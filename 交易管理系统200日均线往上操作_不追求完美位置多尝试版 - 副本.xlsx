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单次交易" sheetId="1" state="visible" r:id="rId3"/>
    <sheet name="加仓管理" sheetId="2" state="visible" r:id="rId4"/>
    <sheet name="多次统计数据" sheetId="3" state="visible" r:id="rId5"/>
    <sheet name="账户数据" sheetId="4" state="visible" r:id="rId6"/>
    <sheet name="目标收益" sheetId="5" state="visible" r:id="rId7"/>
  </sheets>
  <definedNames>
    <definedName function="false" hidden="false" name="_AccountRiskLimit" vbProcedure="false">账户数据!$B$7</definedName>
    <definedName function="false" hidden="false" name="_LockStatus" vbProcedure="false">账户数据!$B$23</definedName>
    <definedName function="false" hidden="false" name="_TradeIds" vbProcedure="false">单次交易!$A$2:$A$201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1" authorId="0">
      <text>
        <r>
          <rPr>
            <sz val="10"/>
            <rFont val="Noto Sans CJK SC"/>
            <family val="2"/>
          </rPr>
          <t xml:space="preserve">开仓时从“账户数据”的当前总金额复制，并粘贴为数值；不要保留公式。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108</xdr:colOff>
                <xdr:row>2</xdr:row>
                <xdr:rowOff>13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Noto Sans CJK SC"/>
            <family val="2"/>
          </rPr>
          <t xml:space="preserve">开仓时从“账户数据”的单次交易允许亏损比例复制，并粘贴为数值。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108</xdr:colOff>
                <xdr:row>2</xdr:row>
                <xdr:rowOff>13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Noto Sans CJK SC"/>
            <family val="2"/>
          </rPr>
          <t xml:space="preserve">按账户快照、本次风险比例和止损距离计算；仅作仓位建议。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108</xdr:colOff>
                <xdr:row>2</xdr:row>
                <xdr:rowOff>7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Noto Sans CJK SC"/>
            <family val="2"/>
          </rPr>
          <t xml:space="preserve">开仓风险告警检查账户锁仓状态、交易预期和风险额度。精简版不再依赖持仓跟踪表。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108</xdr:colOff>
                <xdr:row>2</xdr:row>
                <xdr:rowOff>13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Noto Sans CJK SC"/>
            <family val="2"/>
          </rPr>
          <t xml:space="preserve">手动填写实际成交股数；后续盈亏、收益率和统计均引用此列。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108</xdr:colOff>
                <xdr:row>2</xdr:row>
                <xdr:rowOff>7</xdr:rowOff>
              </xdr:to>
            </anchor>
          </commentPr>
        </mc:Choice>
        <mc:Fallback/>
      </mc:AlternateContent>
    </comment>
    <comment ref="L1" authorId="0">
      <text>
        <r>
          <rPr>
            <sz val="10"/>
            <rFont val="Noto Sans CJK SC"/>
            <family val="2"/>
          </rPr>
          <t xml:space="preserve">自动等于最终持仓股数：第一批买入股数加上所有已填写的实际加仓股数。无需手工填写。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108</xdr:colOff>
                <xdr:row>3</xdr:row>
                <xdr:rowOff>14</xdr:rowOff>
              </xdr:to>
            </anchor>
          </commentPr>
        </mc:Choice>
        <mc:Fallback/>
      </mc:AlternateContent>
    </comment>
    <comment ref="X1" authorId="0">
      <text>
        <r>
          <rPr>
            <sz val="10"/>
            <rFont val="Noto Sans CJK SC"/>
            <family val="2"/>
          </rPr>
          <t xml:space="preserve">按实际卖出价、实际加权买入价和最终卖出股数计算，并扣除买入总费用与卖出费用。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108</xdr:colOff>
                <xdr:row>2</xdr:row>
                <xdr:rowOff>13</xdr:rowOff>
              </xdr:to>
            </anchor>
          </commentPr>
        </mc:Choice>
        <mc:Fallback/>
      </mc:AlternateContent>
    </comment>
    <comment ref="AE1" authorId="0">
      <text>
        <r>
          <rPr>
            <sz val="10"/>
            <rFont val="Noto Sans CJK SC"/>
            <family val="2"/>
          </rPr>
          <t xml:space="preserve">实际盈亏金额</t>
        </r>
        <r>
          <rPr>
            <sz val="10"/>
            <rFont val="Arial"/>
            <family val="2"/>
          </rPr>
          <t xml:space="preserve">÷</t>
        </r>
        <r>
          <rPr>
            <sz val="10"/>
            <rFont val="Noto Sans CJK SC"/>
            <family val="2"/>
          </rPr>
          <t xml:space="preserve">买入时账户金额快照；用于账户口径统计与逐笔复利。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108</xdr:colOff>
                <xdr:row>2</xdr:row>
                <xdr:rowOff>13</xdr:rowOff>
              </xdr:to>
            </anchor>
          </commentPr>
        </mc:Choice>
        <mc:Fallback/>
      </mc:AlternateContent>
    </comment>
    <comment ref="AG1" authorId="0">
      <text>
        <r>
          <rPr>
            <sz val="10"/>
            <rFont val="Noto Sans CJK SC"/>
            <family val="2"/>
          </rPr>
          <t xml:space="preserve">开仓前必选：短期博反弹、突破冲新高或趋势波段。同时必须选择预期持有周期并填写选择理由。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108</xdr:colOff>
                <xdr:row>3</xdr:row>
                <xdr:rowOff>14</xdr:rowOff>
              </xdr:to>
            </anchor>
          </commentPr>
        </mc:Choice>
        <mc:Fallback/>
      </mc:AlternateContent>
    </comment>
    <comment ref="AK1" authorId="0">
      <text>
        <r>
          <rPr>
            <sz val="10"/>
            <rFont val="Noto Sans CJK SC"/>
            <family val="2"/>
          </rPr>
          <t xml:space="preserve">需要第二批时先填价格，再填股数；股数录入时会检查锁仓和风险上限。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108</xdr:colOff>
                <xdr:row>2</xdr:row>
                <xdr:rowOff>13</xdr:rowOff>
              </xdr:to>
            </anchor>
          </commentPr>
        </mc:Choice>
        <mc:Fallback/>
      </mc:AlternateContent>
    </comment>
    <comment ref="AM1" authorId="0">
      <text>
        <r>
          <rPr>
            <sz val="10"/>
            <rFont val="Noto Sans CJK SC"/>
            <family val="2"/>
          </rPr>
          <t xml:space="preserve">第三批必须在第二批完整后填写，同样采用先价格、后股数。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108</xdr:colOff>
                <xdr:row>2</xdr:row>
                <xdr:rowOff>7</xdr:rowOff>
              </xdr:to>
            </anchor>
          </commentPr>
        </mc:Choice>
        <mc:Fallback/>
      </mc:AlternateContent>
    </comment>
    <comment ref="AR1" authorId="0">
      <text>
        <r>
          <rPr>
            <sz val="10"/>
            <rFont val="Noto Sans CJK SC"/>
            <family val="2"/>
          </rPr>
          <t xml:space="preserve">持续审计价格股数配对、批次顺序、整手、锁仓及风险上限；粘贴绕过验证时仍会显示违规。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108</xdr:colOff>
                <xdr:row>3</xdr:row>
                <xdr:rowOff>14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1" authorId="0">
      <text>
        <r>
          <rPr>
            <sz val="10"/>
            <rFont val="Noto Sans CJK SC"/>
            <family val="2"/>
          </rPr>
          <t xml:space="preserve">每次加仓都填写新的止损价。该止损价用于计算底仓在止损位已经锁定的利润。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92</xdr:colOff>
                <xdr:row>3</xdr:row>
                <xdr:rowOff>2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Noto Sans CJK SC"/>
            <family val="2"/>
          </rPr>
          <t xml:space="preserve">本次愿意承担的最大净亏损金额。按照金字塔原则，应随加仓次数逐次不增加。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92</xdr:colOff>
                <xdr:row>3</xdr:row>
                <xdr:rowOff>2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Noto Sans CJK SC"/>
            <family val="2"/>
          </rPr>
          <t xml:space="preserve">成交后填写实际股数，可以少于建议股数。此列不会再因旧开仓股数或旧风险额度而拒绝录入。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92</xdr:colOff>
                <xdr:row>4</xdr:row>
                <xdr:rowOff>1</xdr:rowOff>
              </xdr:to>
            </anchor>
          </commentPr>
        </mc:Choice>
        <mc:Fallback/>
      </mc:AlternateContent>
    </comment>
    <comment ref="K1" authorId="0">
      <text>
        <r>
          <rPr>
            <sz val="10"/>
            <rFont val="Noto Sans CJK SC"/>
            <family val="2"/>
          </rPr>
          <t xml:space="preserve">公式：</t>
        </r>
        <r>
          <rPr>
            <sz val="10"/>
            <rFont val="Arial"/>
            <family val="2"/>
          </rPr>
          <t xml:space="preserve">max(</t>
        </r>
        <r>
          <rPr>
            <sz val="10"/>
            <rFont val="Noto Sans CJK SC"/>
            <family val="2"/>
          </rPr>
          <t xml:space="preserve">新止损价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Noto Sans CJK SC"/>
            <family val="2"/>
          </rPr>
          <t xml:space="preserve">加仓前股数－加仓前持仓成本</t>
        </r>
        <r>
          <rPr>
            <sz val="10"/>
            <rFont val="Arial"/>
            <family val="2"/>
          </rPr>
          <t xml:space="preserve">, 0)</t>
        </r>
        <r>
          <rPr>
            <sz val="10"/>
            <rFont val="Noto Sans CJK SC"/>
            <family val="2"/>
          </rPr>
          <t xml:space="preserve">。锁定利润可抵扣新仓风险。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92</xdr:colOff>
                <xdr:row>3</xdr:row>
                <xdr:rowOff>2</xdr:rowOff>
              </xdr:to>
            </anchor>
          </commentPr>
        </mc:Choice>
        <mc:Fallback/>
      </mc:AlternateContent>
    </comment>
    <comment ref="N1" authorId="0">
      <text>
        <r>
          <rPr>
            <sz val="10"/>
            <rFont val="Noto Sans CJK SC"/>
            <family val="2"/>
          </rPr>
          <t xml:space="preserve">建议股数</t>
        </r>
        <r>
          <rPr>
            <sz val="10"/>
            <rFont val="Arial"/>
            <family val="2"/>
          </rPr>
          <t xml:space="preserve">=min(</t>
        </r>
        <r>
          <rPr>
            <sz val="10"/>
            <rFont val="Noto Sans CJK SC"/>
            <family val="2"/>
          </rPr>
          <t xml:space="preserve">风险允许股数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金字塔上限股数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，向下取整到</t>
        </r>
        <r>
          <rPr>
            <sz val="10"/>
            <rFont val="Arial"/>
            <family val="2"/>
          </rPr>
          <t xml:space="preserve">100</t>
        </r>
        <r>
          <rPr>
            <sz val="10"/>
            <rFont val="Noto Sans CJK SC"/>
            <family val="2"/>
          </rPr>
          <t xml:space="preserve">股。第一次加仓不受首次买入股数硬限制。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92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<sst xmlns="http://schemas.openxmlformats.org/spreadsheetml/2006/main" count="151" uniqueCount="144">
  <si>
    <t xml:space="preserve">交易编号</t>
  </si>
  <si>
    <t xml:space="preserve">股票代码</t>
  </si>
  <si>
    <t xml:space="preserve">买入时账户金额</t>
  </si>
  <si>
    <t xml:space="preserve">本次允许亏损比例</t>
  </si>
  <si>
    <t xml:space="preserve">第一批买入价</t>
  </si>
  <si>
    <t xml:space="preserve">买入建议股数</t>
  </si>
  <si>
    <t xml:space="preserve">开仓风险告警</t>
  </si>
  <si>
    <t xml:space="preserve">第一批买入股数</t>
  </si>
  <si>
    <t xml:space="preserve">首次买入日期</t>
  </si>
  <si>
    <t xml:space="preserve">期望卖出价</t>
  </si>
  <si>
    <t xml:space="preserve">实际卖出价（填写）</t>
  </si>
  <si>
    <t xml:space="preserve">最终卖出股数（自动）</t>
  </si>
  <si>
    <t xml:space="preserve">卖出日期（填写）</t>
  </si>
  <si>
    <t xml:space="preserve">止损价</t>
  </si>
  <si>
    <t xml:space="preserve">买入总费用</t>
  </si>
  <si>
    <t xml:space="preserve">卖出费用（填写）</t>
  </si>
  <si>
    <t xml:space="preserve">买入价的由来</t>
  </si>
  <si>
    <t xml:space="preserve">止损价的由来</t>
  </si>
  <si>
    <t xml:space="preserve">期望卖出价的由来</t>
  </si>
  <si>
    <t xml:space="preserve">实际卖出价的由来</t>
  </si>
  <si>
    <t xml:space="preserve">期望盈利比例</t>
  </si>
  <si>
    <t xml:space="preserve">期望止损比例</t>
  </si>
  <si>
    <t xml:space="preserve">盈亏比</t>
  </si>
  <si>
    <t xml:space="preserve">加权后实际盈亏</t>
  </si>
  <si>
    <t xml:space="preserve">单笔仓位收益率</t>
  </si>
  <si>
    <t xml:space="preserve">账户收益率与平均盈利率差值</t>
  </si>
  <si>
    <t xml:space="preserve">持有天数</t>
  </si>
  <si>
    <t xml:space="preserve">复利容许平均亏损上限</t>
  </si>
  <si>
    <t xml:space="preserve">复利风险判断</t>
  </si>
  <si>
    <t xml:space="preserve">交易打分评价</t>
  </si>
  <si>
    <t xml:space="preserve">实际账户收益率</t>
  </si>
  <si>
    <t xml:space="preserve">列1</t>
  </si>
  <si>
    <t xml:space="preserve">交易预期类型</t>
  </si>
  <si>
    <t xml:space="preserve">预期持有周期</t>
  </si>
  <si>
    <t xml:space="preserve">预期选择理由</t>
  </si>
  <si>
    <t xml:space="preserve">周期匹配检查</t>
  </si>
  <si>
    <t xml:space="preserve">已执行加仓次数</t>
  </si>
  <si>
    <t xml:space="preserve">加仓总股数</t>
  </si>
  <si>
    <t xml:space="preserve">最近加仓价</t>
  </si>
  <si>
    <t xml:space="preserve">最新加仓止损价</t>
  </si>
  <si>
    <t xml:space="preserve">实际加权买入价</t>
  </si>
  <si>
    <t xml:space="preserve">最终持仓股数</t>
  </si>
  <si>
    <t xml:space="preserve">当前净止损风险</t>
  </si>
  <si>
    <t xml:space="preserve">加仓规则检查</t>
  </si>
  <si>
    <t xml:space="preserve">加仓序号(1-5)</t>
  </si>
  <si>
    <t xml:space="preserve">加仓日期</t>
  </si>
  <si>
    <t xml:space="preserve">加仓价</t>
  </si>
  <si>
    <t xml:space="preserve">新止损价</t>
  </si>
  <si>
    <t xml:space="preserve">本次风险预算金额</t>
  </si>
  <si>
    <t xml:space="preserve">实际加仓股数</t>
  </si>
  <si>
    <t xml:space="preserve">本次买入金额</t>
  </si>
  <si>
    <t xml:space="preserve">加仓前持仓股数</t>
  </si>
  <si>
    <t xml:space="preserve">加仓前持仓成本</t>
  </si>
  <si>
    <t xml:space="preserve">新止损下底仓锁定利润</t>
  </si>
  <si>
    <t xml:space="preserve">风险允许股数</t>
  </si>
  <si>
    <t xml:space="preserve">金字塔上限股数</t>
  </si>
  <si>
    <t xml:space="preserve">建议加仓股数</t>
  </si>
  <si>
    <t xml:space="preserve">加仓后累计股数</t>
  </si>
  <si>
    <t xml:space="preserve">加仓后加权成本</t>
  </si>
  <si>
    <t xml:space="preserve">加仓后止损风险</t>
  </si>
  <si>
    <t xml:space="preserve">规则检查</t>
  </si>
  <si>
    <t xml:space="preserve">指标</t>
  </si>
  <si>
    <t xml:space="preserve">当前统计</t>
  </si>
  <si>
    <t xml:space="preserve">口径说明</t>
  </si>
  <si>
    <t xml:space="preserve">已完成交易数</t>
  </si>
  <si>
    <t xml:space="preserve">存在卖出日期的交易</t>
  </si>
  <si>
    <t xml:space="preserve">盈利交易数</t>
  </si>
  <si>
    <t xml:space="preserve">实际盈亏金额大于0</t>
  </si>
  <si>
    <t xml:space="preserve">亏损交易数</t>
  </si>
  <si>
    <t xml:space="preserve">实际盈亏金额小于0</t>
  </si>
  <si>
    <t xml:space="preserve">持平交易数</t>
  </si>
  <si>
    <t xml:space="preserve">已卖出且实际盈亏为0；不进入胜负样本</t>
  </si>
  <si>
    <t xml:space="preserve">盈利概率</t>
  </si>
  <si>
    <t xml:space="preserve">盈利数÷胜负交易数</t>
  </si>
  <si>
    <t xml:space="preserve">亏损概率</t>
  </si>
  <si>
    <t xml:space="preserve">亏损数÷胜负交易数</t>
  </si>
  <si>
    <t xml:space="preserve">平均盈利百分比</t>
  </si>
  <si>
    <t xml:space="preserve">盈利交易实际账户收益率的平均值</t>
  </si>
  <si>
    <t xml:space="preserve">平均亏损百分比</t>
  </si>
  <si>
    <t xml:space="preserve">亏损交易实际账户收益率绝对值的平均值</t>
  </si>
  <si>
    <t xml:space="preserve">盈利的持有总天数</t>
  </si>
  <si>
    <t xml:space="preserve">自然日</t>
  </si>
  <si>
    <t xml:space="preserve">亏损的持有总天数</t>
  </si>
  <si>
    <t xml:space="preserve">平均交易金额</t>
  </si>
  <si>
    <t xml:space="preserve">实际加权买入价×累计买入股数的平均值，包含未卖出交易</t>
  </si>
  <si>
    <t xml:space="preserve">期望收益率</t>
  </si>
  <si>
    <t xml:space="preserve">盈利贡献减亏损贡献</t>
  </si>
  <si>
    <t xml:space="preserve">迄今为止的复利净利润率</t>
  </si>
  <si>
    <t xml:space="preserve">按每笔实际账户收益率逐笔连乘</t>
  </si>
  <si>
    <t xml:space="preserve">值</t>
  </si>
  <si>
    <t xml:space="preserve">录入/计算说明</t>
  </si>
  <si>
    <t xml:space="preserve">初始总金额</t>
  </si>
  <si>
    <t xml:space="preserve">手动输入；当前金额从此值开始累计</t>
  </si>
  <si>
    <t xml:space="preserve">当前总金额</t>
  </si>
  <si>
    <t xml:space="preserve">初始总金额＋全部已实现盈亏</t>
  </si>
  <si>
    <t xml:space="preserve">单次交易允许的亏损比例</t>
  </si>
  <si>
    <t xml:space="preserve">默认1%，可调整；开仓时复制为交易快照</t>
  </si>
  <si>
    <t xml:space="preserve">单次交易允许的亏损金额</t>
  </si>
  <si>
    <t xml:space="preserve">当前总金额×单次允许亏损比例</t>
  </si>
  <si>
    <t xml:space="preserve">当月允许最大亏损比例</t>
  </si>
  <si>
    <t xml:space="preserve">默认5%，可调整</t>
  </si>
  <si>
    <t xml:space="preserve">当月允许最大亏损金额</t>
  </si>
  <si>
    <t xml:space="preserve">当前总金额×当月最大亏损比例</t>
  </si>
  <si>
    <t xml:space="preserve">当月亏损金额</t>
  </si>
  <si>
    <t xml:space="preserve">按卖出日期统计本月已实现亏损，保留负号</t>
  </si>
  <si>
    <t xml:space="preserve">当前未平仓理论亏损</t>
  </si>
  <si>
    <t xml:space="preserve">未平仓三批持仓按当前有效止损计算的风险合计</t>
  </si>
  <si>
    <t xml:space="preserve">当月剩余可开仓风险额度</t>
  </si>
  <si>
    <t xml:space="preserve">当月允许最大亏损金额－当前未平仓理论亏损</t>
  </si>
  <si>
    <t xml:space="preserve">账户实际累计收益率</t>
  </si>
  <si>
    <t xml:space="preserve">当前总金额÷初始总金额－1；无入金出金时为账户权威累计收益</t>
  </si>
  <si>
    <t xml:space="preserve">连续亏损锁仓比例</t>
  </si>
  <si>
    <t xml:space="preserve">从最近盈利或有效手动解锁后的下一笔开始累计；默认6%</t>
  </si>
  <si>
    <t xml:space="preserve">最近盈利记录序号</t>
  </si>
  <si>
    <t xml:space="preserve">按工作表记录顺序查找最近一笔已平仓盈利交易</t>
  </si>
  <si>
    <t xml:space="preserve">最近已完成记录序号</t>
  </si>
  <si>
    <t xml:space="preserve">按工作表记录顺序查找最后一笔已平仓交易</t>
  </si>
  <si>
    <t xml:space="preserve">手动解锁截至记录序号</t>
  </si>
  <si>
    <t xml:space="preserve">锁仓复盘后填写当前最近已完成记录序号；须同时填写解锁原因</t>
  </si>
  <si>
    <t xml:space="preserve">手动解锁原因</t>
  </si>
  <si>
    <t xml:space="preserve">例如：已完成复盘，开始新的模拟周期</t>
  </si>
  <si>
    <t xml:space="preserve">当前周期起点序号</t>
  </si>
  <si>
    <t xml:space="preserve">取最近盈利序号与有效手动解锁序号中的较大值</t>
  </si>
  <si>
    <t xml:space="preserve">周期起点账户金额</t>
  </si>
  <si>
    <t xml:space="preserve">初始金额加上周期起点及以前的全部已实现盈亏</t>
  </si>
  <si>
    <t xml:space="preserve">当前周期累计亏损</t>
  </si>
  <si>
    <t xml:space="preserve">仅累计周期起点之后的已平仓亏损；盈利会自动成为新起点</t>
  </si>
  <si>
    <t xml:space="preserve">连续亏损比例</t>
  </si>
  <si>
    <t xml:space="preserve">当前周期累计亏损÷周期起点账户金额</t>
  </si>
  <si>
    <t xml:space="preserve">锁仓风险使用率</t>
  </si>
  <si>
    <t xml:space="preserve">达到80%预警，达到100%锁仓</t>
  </si>
  <si>
    <t xml:space="preserve">连续亏损锁仓状态</t>
  </si>
  <si>
    <t xml:space="preserve">锁仓时禁止新开仓；有效手动解锁后从下一笔重新累计</t>
  </si>
  <si>
    <t xml:space="preserve">总金额</t>
  </si>
  <si>
    <t xml:space="preserve">来自账户当前总金额</t>
  </si>
  <si>
    <t xml:space="preserve">目标收益率</t>
  </si>
  <si>
    <t xml:space="preserve">手动输入</t>
  </si>
  <si>
    <t xml:space="preserve">目标收益金额</t>
  </si>
  <si>
    <t xml:space="preserve">总金额×目标收益率</t>
  </si>
  <si>
    <t xml:space="preserve">来自历史交易统计</t>
  </si>
  <si>
    <t xml:space="preserve">历史期望收益率</t>
  </si>
  <si>
    <t xml:space="preserve">来自历史胜率与平均盈亏</t>
  </si>
  <si>
    <t xml:space="preserve">所需投资笔数</t>
  </si>
  <si>
    <t xml:space="preserve">按目标收益率与历史账户期望收益率复利计算并向上取整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</si>
</sst>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¥#,##0.00;[RED]&quot;-¥&quot;#,##0.00"/>
    <numFmt numFmtId="166" formatCode="0.00%"/>
    <numFmt numFmtId="167" formatCode="yyyy\-mm\-dd"/>
    <numFmt numFmtId="168" formatCode="0.00"/>
    <numFmt numFmtId="169" formatCode="0"/>
    <numFmt numFmtId="170" formatCode="\¥#,##0.00;[RED]&quot;-¥&quot;#,##0.00"/>
  </numFmts>
  <fonts count="12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宋体"/>
      <family val="3"/>
      <charset val="134"/>
    </font>
    <font>
      <b val="true"/>
      <sz val="11"/>
      <color rgb="FFFFFFFF"/>
      <name val="宋体"/>
      <family val="0"/>
      <charset val="1"/>
    </font>
    <font>
      <sz val="11"/>
      <color rgb="FF008000"/>
      <name val="宋体"/>
      <family val="0"/>
      <charset val="1"/>
    </font>
    <font>
      <sz val="11"/>
      <color theme="1"/>
      <name val="宋体"/>
      <family val="3"/>
      <charset val="134"/>
    </font>
    <font>
      <sz val="10"/>
      <name val="Noto Sans CJK SC"/>
      <family val="2"/>
    </font>
    <font>
      <sz val="10"/>
      <name val="Arial"/>
      <family val="2"/>
    </font>
    <font>
      <sz val="11"/>
      <color rgb="FF0000FF"/>
      <name val="宋体"/>
      <family val="0"/>
      <charset val="1"/>
    </font>
    <font>
      <sz val="11"/>
      <color rgb="FF000000"/>
      <name val="宋体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E2F3"/>
      </patternFill>
    </fill>
    <fill>
      <patternFill patternType="solid">
        <fgColor rgb="FFE7E6E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ddRecords" displayName="AddRecords" ref="A1:R1001" headerRowCount="1" totalsRowCount="0" totalsRowShown="0">
  <autoFilter ref="A1:R1001"/>
  <tableColumns count="18">
    <tableColumn id="1" name="交易编号"/>
    <tableColumn id="2" name="加仓序号(1-5)"/>
    <tableColumn id="3" name="加仓日期"/>
    <tableColumn id="4" name="加仓价"/>
    <tableColumn id="5" name="新止损价"/>
    <tableColumn id="6" name="本次风险预算金额"/>
    <tableColumn id="7" name="实际加仓股数"/>
    <tableColumn id="8" name="本次买入金额"/>
    <tableColumn id="9" name="加仓前持仓股数"/>
    <tableColumn id="10" name="加仓前持仓成本"/>
    <tableColumn id="11" name="新止损下底仓锁定利润"/>
    <tableColumn id="12" name="风险允许股数"/>
    <tableColumn id="13" name="金字塔上限股数"/>
    <tableColumn id="14" name="建议加仓股数"/>
    <tableColumn id="15" name="加仓后累计股数"/>
    <tableColumn id="16" name="加仓后加权成本"/>
    <tableColumn id="17" name="加仓后止损风险"/>
    <tableColumn id="18" name="规则检查"/>
  </tableColumns>
</table>
</file>

<file path=xl/tables/table2.xml><?xml version="1.0" encoding="utf-8"?>
<table xmlns="http://schemas.openxmlformats.org/spreadsheetml/2006/main" id="2" name="TradeRecords" displayName="TradeRecords" ref="A1:AR201" headerRowCount="1" totalsRowCount="0" totalsRowShown="0">
  <autoFilter ref="A1:AR201"/>
  <tableColumns count="44">
    <tableColumn id="1" name="交易编号"/>
    <tableColumn id="2" name="股票代码"/>
    <tableColumn id="3" name="买入时账户金额"/>
    <tableColumn id="4" name="本次允许亏损比例"/>
    <tableColumn id="5" name="第一批买入价"/>
    <tableColumn id="6" name="买入建议股数"/>
    <tableColumn id="7" name="开仓风险告警"/>
    <tableColumn id="8" name="第一批买入股数"/>
    <tableColumn id="9" name="首次买入日期"/>
    <tableColumn id="10" name="期望卖出价"/>
    <tableColumn id="11" name="实际卖出价（填写）"/>
    <tableColumn id="12" name="最终卖出股数（自动）"/>
    <tableColumn id="13" name="卖出日期（填写）"/>
    <tableColumn id="14" name="止损价"/>
    <tableColumn id="15" name="买入总费用"/>
    <tableColumn id="16" name="卖出费用（填写）"/>
    <tableColumn id="17" name="买入价的由来"/>
    <tableColumn id="18" name="止损价的由来"/>
    <tableColumn id="19" name="期望卖出价的由来"/>
    <tableColumn id="20" name="实际卖出价的由来"/>
    <tableColumn id="21" name="期望盈利比例"/>
    <tableColumn id="22" name="期望止损比例"/>
    <tableColumn id="23" name="盈亏比"/>
    <tableColumn id="24" name="加权后实际盈亏"/>
    <tableColumn id="25" name="单笔仓位收益率"/>
    <tableColumn id="26" name="账户收益率与平均盈利率差值"/>
    <tableColumn id="27" name="持有天数"/>
    <tableColumn id="28" name="复利容许平均亏损上限"/>
    <tableColumn id="29" name="复利风险判断"/>
    <tableColumn id="30" name="交易打分评价"/>
    <tableColumn id="31" name="实际账户收益率"/>
    <tableColumn id="32" name="列1"/>
    <tableColumn id="33" name="交易预期类型"/>
    <tableColumn id="34" name="预期持有周期"/>
    <tableColumn id="35" name="预期选择理由"/>
    <tableColumn id="36" name="周期匹配检查"/>
    <tableColumn id="37" name="已执行加仓次数"/>
    <tableColumn id="38" name="加仓总股数"/>
    <tableColumn id="39" name="最近加仓价"/>
    <tableColumn id="40" name="最新加仓止损价"/>
    <tableColumn id="41" name="实际加权买入价"/>
    <tableColumn id="42" name="最终持仓股数"/>
    <tableColumn id="43" name="当前净止损风险"/>
    <tableColumn id="44" name="加仓规则检查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01"/>
  <sheetViews>
    <sheetView showFormulas="false" showGridLines="true" showRowColHeaders="true" showZeros="true" rightToLeft="false" tabSelected="true" showOutlineSymbols="true" defaultGridColor="true" view="normal" topLeftCell="A166" colorId="64" zoomScale="115" zoomScaleNormal="115" zoomScalePageLayoutView="100" workbookViewId="0">
      <pane xSplit="2" ySplit="0" topLeftCell="C166" activePane="topRight" state="frozen"/>
      <selection pane="topLeft" activeCell="A166" activeCellId="0" sqref="A166"/>
      <selection pane="topRight" activeCell="F187" activeCellId="0" sqref="F187"/>
    </sheetView>
  </sheetViews>
  <sheetFormatPr defaultColWidth="9.00390625" defaultRowHeight="13.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0.63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4.38"/>
    <col collapsed="false" customWidth="true" hidden="false" outlineLevel="0" max="11" min="11" style="0" width="18"/>
    <col collapsed="false" customWidth="true" hidden="false" outlineLevel="0" max="12" min="12" style="0" width="21"/>
    <col collapsed="false" customWidth="true" hidden="false" outlineLevel="0" max="13" min="13" style="0" width="18"/>
    <col collapsed="false" customWidth="true" hidden="false" outlineLevel="0" max="16" min="14" style="0" width="14"/>
    <col collapsed="false" customWidth="true" hidden="false" outlineLevel="0" max="20" min="17" style="0" width="24"/>
    <col collapsed="false" customWidth="true" hidden="false" outlineLevel="0" max="27" min="21" style="0" width="14"/>
    <col collapsed="false" customWidth="true" hidden="false" outlineLevel="0" max="28" min="28" style="0" width="22"/>
    <col collapsed="false" customWidth="true" hidden="false" outlineLevel="0" max="31" min="29" style="0" width="18"/>
    <col collapsed="false" customWidth="true" hidden="false" outlineLevel="0" max="32" min="32" style="0" width="20"/>
    <col collapsed="false" customWidth="true" hidden="false" outlineLevel="0" max="33" min="33" style="0" width="18"/>
    <col collapsed="false" customWidth="true" hidden="false" outlineLevel="0" max="34" min="34" style="0" width="20"/>
    <col collapsed="false" customWidth="true" hidden="false" outlineLevel="0" max="35" min="35" style="0" width="42"/>
    <col collapsed="false" customWidth="true" hidden="false" outlineLevel="0" max="36" min="36" style="0" width="32"/>
    <col collapsed="false" customWidth="true" hidden="false" outlineLevel="0" max="37" min="37" style="0" width="16"/>
    <col collapsed="false" customWidth="true" hidden="false" outlineLevel="0" max="39" min="38" style="0" width="14"/>
    <col collapsed="false" customWidth="true" hidden="false" outlineLevel="0" max="43" min="40" style="0" width="17"/>
    <col collapsed="false" customWidth="true" hidden="false" outlineLevel="0" max="44" min="44" style="0" width="3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customFormat="false" ht="13.5" hidden="false" customHeight="false" outlineLevel="0" collapsed="false">
      <c r="A2" s="4"/>
      <c r="B2" s="4"/>
      <c r="C2" s="5"/>
      <c r="D2" s="6"/>
      <c r="E2" s="5"/>
      <c r="F2" s="7" t="str">
        <f aca="false">IF(OR(C2="",D2="",E2="",N2="",C2&lt;=0,D2&lt;=0,E2&lt;=N2),"",ROUNDDOWN((C2*D2)/(E2-N2)/100,0)*100)</f>
        <v/>
      </c>
      <c r="G2" s="7" t="str">
        <f aca="false"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" s="4"/>
      <c r="I2" s="8"/>
      <c r="J2" s="5"/>
      <c r="K2" s="5"/>
      <c r="L2" s="7" t="str">
        <f aca="false">IF(AP2="","",AP2)</f>
        <v/>
      </c>
      <c r="M2" s="8"/>
      <c r="N2" s="5"/>
      <c r="O2" s="5"/>
      <c r="P2" s="5"/>
      <c r="Q2" s="4"/>
      <c r="R2" s="4"/>
      <c r="S2" s="4"/>
      <c r="T2" s="4"/>
      <c r="U2" s="9" t="str">
        <f aca="false">IF(OR(AO2="",J2="",AO2&lt;=0),"",(J2-AO2)/AO2)</f>
        <v/>
      </c>
      <c r="V2" s="9" t="str">
        <f aca="false">IF(OR(AO2="",N2="",AO2&lt;=0),"",(AO2-N2)/AO2)</f>
        <v/>
      </c>
      <c r="W2" s="10" t="str">
        <f aca="false">IF(OR(U2="",V2="",V2&lt;=0),"",U2/V2)</f>
        <v/>
      </c>
      <c r="X2" s="11" t="str">
        <f aca="false">IF(OR(K2="",L2="",AO2="",AP2=""),"",(K2-AO2)*L2-IF(O2="",0,O2)-IF(P2="",0,P2))</f>
        <v/>
      </c>
      <c r="Y2" s="9" t="str">
        <f aca="false">IF(OR(X2="",AO2="",L2=""),"",IF(AO2*L2+IF(O2="",0,O2)&lt;=0,"",X2/(AO2*L2+IF(O2="",0,O2))))</f>
        <v/>
      </c>
      <c r="Z2" s="9" t="str">
        <f aca="false">IF(OR(AE2="",多次统计数据!$B$8=""),"",AE2-多次统计数据!$B$8)</f>
        <v/>
      </c>
      <c r="AA2" s="12" t="str">
        <f aca="false">IF(OR(I2="",M2="",M2&lt;I2),"",M2-I2)</f>
        <v/>
      </c>
      <c r="AB2" s="9" t="str">
        <f aca="false">IF(OR(A2="",多次统计数据!$B$8="",多次统计数据!$B$6&lt;=0,多次统计数据!$B$6&gt;=1),"",1-POWER(1+多次统计数据!$B$8,-多次统计数据!$B$6/(1-多次统计数据!$B$6)))</f>
        <v/>
      </c>
      <c r="AC2" s="7" t="str">
        <f aca="false">IF(OR(AB2="",多次统计数据!$B$9=""),"",IF(多次统计数据!$B$9&lt;AB2,"低于上限","达到或超过上限"))</f>
        <v/>
      </c>
      <c r="AD2" s="4"/>
      <c r="AE2" s="9" t="str">
        <f aca="false">IF(OR(X2="",C2="",C2&lt;=0),"",X2/C2)</f>
        <v/>
      </c>
      <c r="AG2" s="4"/>
      <c r="AH2" s="4"/>
      <c r="AI2" s="4"/>
      <c r="AJ2" s="7" t="str">
        <f aca="false"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f>
        <v/>
      </c>
      <c r="AK2" s="13" t="str">
        <f aca="false">IF(A2="","",COUNTIFS(加仓管理!$A$2:$A$1001,A2,加仓管理!$G$2:$G$1001,"&gt;0"))</f>
        <v/>
      </c>
      <c r="AL2" s="13" t="str">
        <f aca="false">IF(A2="","",SUMIFS(加仓管理!$G$2:$G$1001,加仓管理!$A$2:$A$1001,A2))</f>
        <v/>
      </c>
      <c r="AM2" s="14" t="str">
        <f aca="false">IF(AK2=0,"",IFERROR(LOOKUP(2,1/((加仓管理!$A$2:$A$1001=A2)*(加仓管理!$G$2:$G$1001&gt;0)),加仓管理!$D$2:$D$1001),""))</f>
        <v/>
      </c>
      <c r="AN2" s="14" t="str">
        <f aca="false">IF(AK2=0,"",IFERROR(LOOKUP(2,1/((加仓管理!$A$2:$A$1001=A2)*(加仓管理!$G$2:$G$1001&gt;0)),加仓管理!$E$2:$E$1001),""))</f>
        <v/>
      </c>
      <c r="AO2" s="14" t="str">
        <f aca="false">IF(OR(A2="",H2="",H2&lt;=0),"",(E2*H2+SUMIFS(加仓管理!$H$2:$H$1001,加仓管理!$A$2:$A$1001,A2))/AP2)</f>
        <v/>
      </c>
      <c r="AP2" s="13" t="str">
        <f aca="false">IF(OR(A2="",H2="",H2&lt;=0),"",H2+AL2)</f>
        <v/>
      </c>
      <c r="AQ2" s="14" t="str">
        <f aca="false">IF(A2="","",IF(M2&lt;&gt;"",0,IF(OR(H2="",N2=""),"",MAX((E2*H2+SUMIFS(加仓管理!$H$2:$H$1001,加仓管理!$A$2:$A$1001,A2))-MAX(N2,AN2)*AP2,0))))</f>
        <v/>
      </c>
      <c r="AR2" s="15" t="str">
        <f aca="false">IF(A2="","",IF(OR(E2="",H2=""),"违规：首次买入价格或股数缺失",IF(COUNTIFS(加仓管理!$A$2:$A$1001,A2,加仓管理!$R$2:$R$1001,"违规*")&gt;0,"违规：请检查加仓管理表",IF(SUM($AQ$2:$AQ$201)&gt;账户数据!$B$7,"预警：超过账户风险上限",IF(COUNTIFS(加仓管理!$A$2:$A$1001,A2,加仓管理!$N$2:$N$1001,"&gt;0",加仓管理!$G$2:$G$1001,"")&gt;0,"提示：存在待执行加仓计划","通过")))))</f>
        <v/>
      </c>
    </row>
    <row r="3" customFormat="false" ht="13.5" hidden="false" customHeight="false" outlineLevel="0" collapsed="false">
      <c r="A3" s="4"/>
      <c r="B3" s="4"/>
      <c r="C3" s="11" t="str">
        <f aca="false">IF(C2="","",C2+SUM(单次交易!Y2:Y201))</f>
        <v/>
      </c>
      <c r="D3" s="6"/>
      <c r="E3" s="5"/>
      <c r="F3" s="7" t="str">
        <f aca="false">IF(OR(C3="",D3="",E3="",N3="",C3&lt;=0,D3&lt;=0,E3&lt;=N3),"",ROUNDDOWN((C3*D3)/(E3-N3)/100,0)*100)</f>
        <v/>
      </c>
      <c r="G3" s="7" t="str">
        <f aca="false">IF(A3="","",IF(H3&lt;&gt;"","已开仓",IF(账户数据!$B$23="已锁仓","禁止开仓：连续亏损达到上限",IF(账户数据!$B$23="解锁信息不完整","禁止开仓：请完整填写解锁信息",IF(OR(F3="",E3="",N3="",E3&lt;=N3,账户数据!$B$7=""),"",IF(OR(AG3="",AH3="",AI3=""),"禁止开仓：交易预期未填写完整",IF(账户数据!$B$9+F3*(E3-N3)&gt;=账户数据!$B$7,"禁止开仓：风险额度不足",IF(AJ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" s="4"/>
      <c r="I3" s="8"/>
      <c r="J3" s="5"/>
      <c r="K3" s="5"/>
      <c r="L3" s="7" t="str">
        <f aca="false">IF(AP3="","",AP3)</f>
        <v/>
      </c>
      <c r="M3" s="8"/>
      <c r="N3" s="5"/>
      <c r="O3" s="5"/>
      <c r="P3" s="5"/>
      <c r="Q3" s="4"/>
      <c r="R3" s="4"/>
      <c r="S3" s="4"/>
      <c r="T3" s="4"/>
      <c r="U3" s="9" t="str">
        <f aca="false">IF(OR(AO3="",J3="",AO3&lt;=0),"",(J3-AO3)/AO3)</f>
        <v/>
      </c>
      <c r="V3" s="9" t="str">
        <f aca="false">IF(OR(AO3="",N3="",AO3&lt;=0),"",(AO3-N3)/AO3)</f>
        <v/>
      </c>
      <c r="W3" s="10" t="str">
        <f aca="false">IF(OR(U3="",V3="",V3&lt;=0),"",U3/V3)</f>
        <v/>
      </c>
      <c r="X3" s="11" t="str">
        <f aca="false">IF(OR(K3="",L3="",AO3="",AP3=""),"",(K3-AO3)*L3-IF(O3="",0,O3)-IF(P3="",0,P3))</f>
        <v/>
      </c>
      <c r="Y3" s="9" t="str">
        <f aca="false">IF(OR(X3="",AO3="",L3=""),"",IF(AO3*L3+IF(O3="",0,O3)&lt;=0,"",X3/(AO3*L3+IF(O3="",0,O3))))</f>
        <v/>
      </c>
      <c r="Z3" s="9" t="str">
        <f aca="false">IF(OR(AE3="",多次统计数据!$B$8=""),"",AE3-多次统计数据!$B$8)</f>
        <v/>
      </c>
      <c r="AA3" s="12" t="str">
        <f aca="false">IF(OR(I3="",M3="",M3&lt;I3),"",M3-I3)</f>
        <v/>
      </c>
      <c r="AB3" s="9" t="str">
        <f aca="false">IF(OR(A3="",多次统计数据!$B$8="",多次统计数据!$B$6&lt;=0,多次统计数据!$B$6&gt;=1),"",1-POWER(1+多次统计数据!$B$8,-多次统计数据!$B$6/(1-多次统计数据!$B$6)))</f>
        <v/>
      </c>
      <c r="AC3" s="7" t="str">
        <f aca="false">IF(OR(AB3="",多次统计数据!$B$9=""),"",IF(多次统计数据!$B$9&lt;AB3,"低于上限","达到或超过上限"))</f>
        <v/>
      </c>
      <c r="AD3" s="4"/>
      <c r="AE3" s="9" t="str">
        <f aca="false">IF(OR(X3="",C3="",C3&lt;=0),"",X3/C3)</f>
        <v/>
      </c>
      <c r="AG3" s="4"/>
      <c r="AH3" s="4"/>
      <c r="AI3" s="4"/>
      <c r="AJ3" s="7" t="str">
        <f aca="false">IF(OR(AG3="",AH3=""),"",IF(OR(AND(AG3="短期博反弹",OR(AH3="1～3个交易日",AH3="4～10个交易日")),AND(AG3="突破冲新高",OR(AH3="4～10个交易日",AH3="11～20个交易日")),AND(AG3="趋势波段",OR(AH3="11～20个交易日",AH3="21～60个交易日",AH3="60个交易日以上"))),"匹配","周期与交易预期不匹配，请重新确认"))</f>
        <v/>
      </c>
      <c r="AK3" s="13" t="str">
        <f aca="false">IF(A3="","",COUNTIFS(加仓管理!$A$2:$A$1001,A3,加仓管理!$G$2:$G$1001,"&gt;0"))</f>
        <v/>
      </c>
      <c r="AL3" s="13" t="str">
        <f aca="false">IF(A3="","",SUMIFS(加仓管理!$G$2:$G$1001,加仓管理!$A$2:$A$1001,A3))</f>
        <v/>
      </c>
      <c r="AM3" s="14" t="str">
        <f aca="false">IF(AK3=0,"",IFERROR(LOOKUP(2,1/((加仓管理!$A$2:$A$1001=A3)*(加仓管理!$G$2:$G$1001&gt;0)),加仓管理!$D$2:$D$1001),""))</f>
        <v/>
      </c>
      <c r="AN3" s="14" t="str">
        <f aca="false">IF(AK3=0,"",IFERROR(LOOKUP(2,1/((加仓管理!$A$2:$A$1001=A3)*(加仓管理!$G$2:$G$1001&gt;0)),加仓管理!$E$2:$E$1001),""))</f>
        <v/>
      </c>
      <c r="AO3" s="14" t="str">
        <f aca="false">IF(OR(A3="",H3="",H3&lt;=0),"",(E3*H3+SUMIFS(加仓管理!$H$2:$H$1001,加仓管理!$A$2:$A$1001,A3))/AP3)</f>
        <v/>
      </c>
      <c r="AP3" s="13" t="str">
        <f aca="false">IF(OR(A3="",H3="",H3&lt;=0),"",H3+AL3)</f>
        <v/>
      </c>
      <c r="AQ3" s="14" t="str">
        <f aca="false">IF(A3="","",IF(M3&lt;&gt;"",0,IF(OR(H3="",N3=""),"",MAX((E3*H3+SUMIFS(加仓管理!$H$2:$H$1001,加仓管理!$A$2:$A$1001,A3))-MAX(N3,AN3)*AP3,0))))</f>
        <v/>
      </c>
      <c r="AR3" s="15" t="str">
        <f aca="false">IF(A3="","",IF(OR(E3="",H3=""),"违规：首次买入价格或股数缺失",IF(COUNTIFS(加仓管理!$A$2:$A$1001,A3,加仓管理!$R$2:$R$1001,"违规*")&gt;0,"违规：请检查加仓管理表",IF(SUM($AQ$2:$AQ$201)&gt;账户数据!$B$7,"预警：超过账户风险上限",IF(COUNTIFS(加仓管理!$A$2:$A$1001,A3,加仓管理!$N$2:$N$1001,"&gt;0",加仓管理!$G$2:$G$1001,"")&gt;0,"提示：存在待执行加仓计划","通过")))))</f>
        <v/>
      </c>
    </row>
    <row r="4" customFormat="false" ht="13.5" hidden="false" customHeight="false" outlineLevel="0" collapsed="false">
      <c r="A4" s="4"/>
      <c r="B4" s="4"/>
      <c r="C4" s="5"/>
      <c r="D4" s="6"/>
      <c r="E4" s="5"/>
      <c r="F4" s="7" t="str">
        <f aca="false">IF(OR(C4="",D4="",E4="",N4="",C4&lt;=0,D4&lt;=0,E4&lt;=N4),"",ROUNDDOWN((C4*D4)/(E4-N4)/100,0)*100)</f>
        <v/>
      </c>
      <c r="G4" s="7" t="str">
        <f aca="false">IF(A4="","",IF(H4&lt;&gt;"","已开仓",IF(账户数据!$B$23="已锁仓","禁止开仓：连续亏损达到上限",IF(账户数据!$B$23="解锁信息不完整","禁止开仓：请完整填写解锁信息",IF(OR(F4="",E4="",N4="",E4&lt;=N4,账户数据!$B$7=""),"",IF(OR(AG4="",AH4="",AI4=""),"禁止开仓：交易预期未填写完整",IF(账户数据!$B$9+F4*(E4-N4)&gt;=账户数据!$B$7,"禁止开仓：风险额度不足",IF(AJ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" s="4"/>
      <c r="I4" s="8"/>
      <c r="J4" s="5"/>
      <c r="K4" s="5"/>
      <c r="L4" s="7" t="str">
        <f aca="false">IF(AP4="","",AP4)</f>
        <v/>
      </c>
      <c r="M4" s="8"/>
      <c r="N4" s="5"/>
      <c r="O4" s="5"/>
      <c r="P4" s="5"/>
      <c r="Q4" s="4"/>
      <c r="R4" s="4"/>
      <c r="S4" s="4"/>
      <c r="T4" s="4"/>
      <c r="U4" s="9" t="str">
        <f aca="false">IF(OR(AO4="",J4="",AO4&lt;=0),"",(J4-AO4)/AO4)</f>
        <v/>
      </c>
      <c r="V4" s="9" t="str">
        <f aca="false">IF(OR(AO4="",N4="",AO4&lt;=0),"",(AO4-N4)/AO4)</f>
        <v/>
      </c>
      <c r="W4" s="10" t="str">
        <f aca="false">IF(OR(U4="",V4="",V4&lt;=0),"",U4/V4)</f>
        <v/>
      </c>
      <c r="X4" s="11" t="str">
        <f aca="false">IF(OR(K4="",L4="",AO4="",AP4=""),"",(K4-AO4)*L4-IF(O4="",0,O4)-IF(P4="",0,P4))</f>
        <v/>
      </c>
      <c r="Y4" s="9" t="str">
        <f aca="false">IF(OR(X4="",AO4="",L4=""),"",IF(AO4*L4+IF(O4="",0,O4)&lt;=0,"",X4/(AO4*L4+IF(O4="",0,O4))))</f>
        <v/>
      </c>
      <c r="Z4" s="9" t="str">
        <f aca="false">IF(OR(AE4="",多次统计数据!$B$8=""),"",AE4-多次统计数据!$B$8)</f>
        <v/>
      </c>
      <c r="AA4" s="12" t="str">
        <f aca="false">IF(OR(I4="",M4="",M4&lt;I4),"",M4-I4)</f>
        <v/>
      </c>
      <c r="AB4" s="9" t="str">
        <f aca="false">IF(OR(A4="",多次统计数据!$B$8="",多次统计数据!$B$6&lt;=0,多次统计数据!$B$6&gt;=1),"",1-POWER(1+多次统计数据!$B$8,-多次统计数据!$B$6/(1-多次统计数据!$B$6)))</f>
        <v/>
      </c>
      <c r="AC4" s="7" t="str">
        <f aca="false">IF(OR(AB4="",多次统计数据!$B$9=""),"",IF(多次统计数据!$B$9&lt;AB4,"低于上限","达到或超过上限"))</f>
        <v/>
      </c>
      <c r="AD4" s="4"/>
      <c r="AE4" s="9" t="str">
        <f aca="false">IF(OR(X4="",C4="",C4&lt;=0),"",X4/C4)</f>
        <v/>
      </c>
      <c r="AG4" s="4"/>
      <c r="AH4" s="4"/>
      <c r="AI4" s="4"/>
      <c r="AJ4" s="7" t="str">
        <f aca="false">IF(OR(AG4="",AH4=""),"",IF(OR(AND(AG4="短期博反弹",OR(AH4="1～3个交易日",AH4="4～10个交易日")),AND(AG4="突破冲新高",OR(AH4="4～10个交易日",AH4="11～20个交易日")),AND(AG4="趋势波段",OR(AH4="11～20个交易日",AH4="21～60个交易日",AH4="60个交易日以上"))),"匹配","周期与交易预期不匹配，请重新确认"))</f>
        <v/>
      </c>
      <c r="AK4" s="13" t="str">
        <f aca="false">IF(A4="","",COUNTIFS(加仓管理!$A$2:$A$1001,A4,加仓管理!$G$2:$G$1001,"&gt;0"))</f>
        <v/>
      </c>
      <c r="AL4" s="13" t="str">
        <f aca="false">IF(A4="","",SUMIFS(加仓管理!$G$2:$G$1001,加仓管理!$A$2:$A$1001,A4))</f>
        <v/>
      </c>
      <c r="AM4" s="14" t="str">
        <f aca="false">IF(AK4=0,"",IFERROR(LOOKUP(2,1/((加仓管理!$A$2:$A$1001=A4)*(加仓管理!$G$2:$G$1001&gt;0)),加仓管理!$D$2:$D$1001),""))</f>
        <v/>
      </c>
      <c r="AN4" s="14" t="str">
        <f aca="false">IF(AK4=0,"",IFERROR(LOOKUP(2,1/((加仓管理!$A$2:$A$1001=A4)*(加仓管理!$G$2:$G$1001&gt;0)),加仓管理!$E$2:$E$1001),""))</f>
        <v/>
      </c>
      <c r="AO4" s="14" t="str">
        <f aca="false">IF(OR(A4="",H4="",H4&lt;=0),"",(E4*H4+SUMIFS(加仓管理!$H$2:$H$1001,加仓管理!$A$2:$A$1001,A4))/AP4)</f>
        <v/>
      </c>
      <c r="AP4" s="13" t="str">
        <f aca="false">IF(OR(A4="",H4="",H4&lt;=0),"",H4+AL4)</f>
        <v/>
      </c>
      <c r="AQ4" s="14" t="str">
        <f aca="false">IF(A4="","",IF(M4&lt;&gt;"",0,IF(OR(H4="",N4=""),"",MAX((E4*H4+SUMIFS(加仓管理!$H$2:$H$1001,加仓管理!$A$2:$A$1001,A4))-MAX(N4,AN4)*AP4,0))))</f>
        <v/>
      </c>
      <c r="AR4" s="15" t="str">
        <f aca="false">IF(A4="","",IF(OR(E4="",H4=""),"违规：首次买入价格或股数缺失",IF(COUNTIFS(加仓管理!$A$2:$A$1001,A4,加仓管理!$R$2:$R$1001,"违规*")&gt;0,"违规：请检查加仓管理表",IF(SUM($AQ$2:$AQ$201)&gt;账户数据!$B$7,"预警：超过账户风险上限",IF(COUNTIFS(加仓管理!$A$2:$A$1001,A4,加仓管理!$N$2:$N$1001,"&gt;0",加仓管理!$G$2:$G$1001,"")&gt;0,"提示：存在待执行加仓计划","通过")))))</f>
        <v/>
      </c>
    </row>
    <row r="5" customFormat="false" ht="13.5" hidden="false" customHeight="false" outlineLevel="0" collapsed="false">
      <c r="A5" s="4"/>
      <c r="B5" s="4"/>
      <c r="C5" s="5"/>
      <c r="D5" s="6"/>
      <c r="E5" s="5"/>
      <c r="F5" s="7" t="str">
        <f aca="false">IF(OR(C5="",D5="",E5="",N5="",C5&lt;=0,D5&lt;=0,E5&lt;=N5),"",ROUNDDOWN((C5*D5)/(E5-N5)/100,0)*100)</f>
        <v/>
      </c>
      <c r="G5" s="7" t="str">
        <f aca="false">IF(A5="","",IF(H5&lt;&gt;"","已开仓",IF(账户数据!$B$23="已锁仓","禁止开仓：连续亏损达到上限",IF(账户数据!$B$23="解锁信息不完整","禁止开仓：请完整填写解锁信息",IF(OR(F5="",E5="",N5="",E5&lt;=N5,账户数据!$B$7=""),"",IF(OR(AG5="",AH5="",AI5=""),"禁止开仓：交易预期未填写完整",IF(账户数据!$B$9+F5*(E5-N5)&gt;=账户数据!$B$7,"禁止开仓：风险额度不足",IF(AJ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" s="4"/>
      <c r="I5" s="8"/>
      <c r="J5" s="5"/>
      <c r="K5" s="5"/>
      <c r="L5" s="7" t="str">
        <f aca="false">IF(AP5="","",AP5)</f>
        <v/>
      </c>
      <c r="M5" s="8"/>
      <c r="N5" s="5"/>
      <c r="O5" s="5"/>
      <c r="P5" s="5"/>
      <c r="Q5" s="4"/>
      <c r="R5" s="4"/>
      <c r="S5" s="4"/>
      <c r="T5" s="4"/>
      <c r="U5" s="9" t="str">
        <f aca="false">IF(OR(AO5="",J5="",AO5&lt;=0),"",(J5-AO5)/AO5)</f>
        <v/>
      </c>
      <c r="V5" s="9" t="str">
        <f aca="false">IF(OR(AO5="",N5="",AO5&lt;=0),"",(AO5-N5)/AO5)</f>
        <v/>
      </c>
      <c r="W5" s="10" t="str">
        <f aca="false">IF(OR(U5="",V5="",V5&lt;=0),"",U5/V5)</f>
        <v/>
      </c>
      <c r="X5" s="11" t="str">
        <f aca="false">IF(OR(K5="",L5="",AO5="",AP5=""),"",(K5-AO5)*L5-IF(O5="",0,O5)-IF(P5="",0,P5))</f>
        <v/>
      </c>
      <c r="Y5" s="9" t="str">
        <f aca="false">IF(OR(X5="",AO5="",L5=""),"",IF(AO5*L5+IF(O5="",0,O5)&lt;=0,"",X5/(AO5*L5+IF(O5="",0,O5))))</f>
        <v/>
      </c>
      <c r="Z5" s="9" t="str">
        <f aca="false">IF(OR(AE5="",多次统计数据!$B$8=""),"",AE5-多次统计数据!$B$8)</f>
        <v/>
      </c>
      <c r="AA5" s="12" t="str">
        <f aca="false">IF(OR(I5="",M5="",M5&lt;I5),"",M5-I5)</f>
        <v/>
      </c>
      <c r="AB5" s="9" t="str">
        <f aca="false">IF(OR(A5="",多次统计数据!$B$8="",多次统计数据!$B$6&lt;=0,多次统计数据!$B$6&gt;=1),"",1-POWER(1+多次统计数据!$B$8,-多次统计数据!$B$6/(1-多次统计数据!$B$6)))</f>
        <v/>
      </c>
      <c r="AC5" s="7" t="str">
        <f aca="false">IF(OR(AB5="",多次统计数据!$B$9=""),"",IF(多次统计数据!$B$9&lt;AB5,"低于上限","达到或超过上限"))</f>
        <v/>
      </c>
      <c r="AD5" s="4"/>
      <c r="AE5" s="9" t="str">
        <f aca="false">IF(OR(X5="",C5="",C5&lt;=0),"",X5/C5)</f>
        <v/>
      </c>
      <c r="AG5" s="4"/>
      <c r="AH5" s="4"/>
      <c r="AI5" s="4"/>
      <c r="AJ5" s="7" t="str">
        <f aca="false">IF(OR(AG5="",AH5=""),"",IF(OR(AND(AG5="短期博反弹",OR(AH5="1～3个交易日",AH5="4～10个交易日")),AND(AG5="突破冲新高",OR(AH5="4～10个交易日",AH5="11～20个交易日")),AND(AG5="趋势波段",OR(AH5="11～20个交易日",AH5="21～60个交易日",AH5="60个交易日以上"))),"匹配","周期与交易预期不匹配，请重新确认"))</f>
        <v/>
      </c>
      <c r="AK5" s="13" t="str">
        <f aca="false">IF(A5="","",COUNTIFS(加仓管理!$A$2:$A$1001,A5,加仓管理!$G$2:$G$1001,"&gt;0"))</f>
        <v/>
      </c>
      <c r="AL5" s="13" t="str">
        <f aca="false">IF(A5="","",SUMIFS(加仓管理!$G$2:$G$1001,加仓管理!$A$2:$A$1001,A5))</f>
        <v/>
      </c>
      <c r="AM5" s="14" t="str">
        <f aca="false">IF(AK5=0,"",IFERROR(LOOKUP(2,1/((加仓管理!$A$2:$A$1001=A5)*(加仓管理!$G$2:$G$1001&gt;0)),加仓管理!$D$2:$D$1001),""))</f>
        <v/>
      </c>
      <c r="AN5" s="14" t="str">
        <f aca="false">IF(AK5=0,"",IFERROR(LOOKUP(2,1/((加仓管理!$A$2:$A$1001=A5)*(加仓管理!$G$2:$G$1001&gt;0)),加仓管理!$E$2:$E$1001),""))</f>
        <v/>
      </c>
      <c r="AO5" s="14" t="str">
        <f aca="false">IF(OR(A5="",H5="",H5&lt;=0),"",(E5*H5+SUMIFS(加仓管理!$H$2:$H$1001,加仓管理!$A$2:$A$1001,A5))/AP5)</f>
        <v/>
      </c>
      <c r="AP5" s="13" t="str">
        <f aca="false">IF(OR(A5="",H5="",H5&lt;=0),"",H5+AL5)</f>
        <v/>
      </c>
      <c r="AQ5" s="14" t="str">
        <f aca="false">IF(A5="","",IF(M5&lt;&gt;"",0,IF(OR(H5="",N5=""),"",MAX((E5*H5+SUMIFS(加仓管理!$H$2:$H$1001,加仓管理!$A$2:$A$1001,A5))-MAX(N5,AN5)*AP5,0))))</f>
        <v/>
      </c>
      <c r="AR5" s="15" t="str">
        <f aca="false">IF(A5="","",IF(OR(E5="",H5=""),"违规：首次买入价格或股数缺失",IF(COUNTIFS(加仓管理!$A$2:$A$1001,A5,加仓管理!$R$2:$R$1001,"违规*")&gt;0,"违规：请检查加仓管理表",IF(SUM($AQ$2:$AQ$201)&gt;账户数据!$B$7,"预警：超过账户风险上限",IF(COUNTIFS(加仓管理!$A$2:$A$1001,A5,加仓管理!$N$2:$N$1001,"&gt;0",加仓管理!$G$2:$G$1001,"")&gt;0,"提示：存在待执行加仓计划","通过")))))</f>
        <v/>
      </c>
    </row>
    <row r="6" customFormat="false" ht="13.5" hidden="false" customHeight="false" outlineLevel="0" collapsed="false">
      <c r="A6" s="4"/>
      <c r="B6" s="4"/>
      <c r="C6" s="5"/>
      <c r="D6" s="6"/>
      <c r="E6" s="5"/>
      <c r="F6" s="7" t="str">
        <f aca="false">IF(OR(C6="",D6="",E6="",N6="",C6&lt;=0,D6&lt;=0,E6&lt;=N6),"",ROUNDDOWN((C6*D6)/(E6-N6)/100,0)*100)</f>
        <v/>
      </c>
      <c r="G6" s="7" t="str">
        <f aca="false">IF(A6="","",IF(H6&lt;&gt;"","已开仓",IF(账户数据!$B$23="已锁仓","禁止开仓：连续亏损达到上限",IF(账户数据!$B$23="解锁信息不完整","禁止开仓：请完整填写解锁信息",IF(OR(F6="",E6="",N6="",E6&lt;=N6,账户数据!$B$7=""),"",IF(OR(AG6="",AH6="",AI6=""),"禁止开仓：交易预期未填写完整",IF(账户数据!$B$9+F6*(E6-N6)&gt;=账户数据!$B$7,"禁止开仓：风险额度不足",IF(AJ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" s="4"/>
      <c r="I6" s="8"/>
      <c r="J6" s="5"/>
      <c r="K6" s="5"/>
      <c r="L6" s="7" t="str">
        <f aca="false">IF(AP6="","",AP6)</f>
        <v/>
      </c>
      <c r="M6" s="8"/>
      <c r="N6" s="5"/>
      <c r="O6" s="5"/>
      <c r="P6" s="5"/>
      <c r="Q6" s="4"/>
      <c r="R6" s="4"/>
      <c r="S6" s="4"/>
      <c r="T6" s="4"/>
      <c r="U6" s="9" t="str">
        <f aca="false">IF(OR(AO6="",J6="",AO6&lt;=0),"",(J6-AO6)/AO6)</f>
        <v/>
      </c>
      <c r="V6" s="9" t="str">
        <f aca="false">IF(OR(AO6="",N6="",AO6&lt;=0),"",(AO6-N6)/AO6)</f>
        <v/>
      </c>
      <c r="W6" s="10" t="str">
        <f aca="false">IF(OR(U6="",V6="",V6&lt;=0),"",U6/V6)</f>
        <v/>
      </c>
      <c r="X6" s="11" t="str">
        <f aca="false">IF(OR(K6="",L6="",AO6="",AP6=""),"",(K6-AO6)*L6-IF(O6="",0,O6)-IF(P6="",0,P6))</f>
        <v/>
      </c>
      <c r="Y6" s="9" t="str">
        <f aca="false">IF(OR(X6="",AO6="",L6=""),"",IF(AO6*L6+IF(O6="",0,O6)&lt;=0,"",X6/(AO6*L6+IF(O6="",0,O6))))</f>
        <v/>
      </c>
      <c r="Z6" s="9" t="str">
        <f aca="false">IF(OR(AE6="",多次统计数据!$B$8=""),"",AE6-多次统计数据!$B$8)</f>
        <v/>
      </c>
      <c r="AA6" s="12" t="str">
        <f aca="false">IF(OR(I6="",M6="",M6&lt;I6),"",M6-I6)</f>
        <v/>
      </c>
      <c r="AB6" s="9" t="str">
        <f aca="false">IF(OR(A6="",多次统计数据!$B$8="",多次统计数据!$B$6&lt;=0,多次统计数据!$B$6&gt;=1),"",1-POWER(1+多次统计数据!$B$8,-多次统计数据!$B$6/(1-多次统计数据!$B$6)))</f>
        <v/>
      </c>
      <c r="AC6" s="7" t="str">
        <f aca="false">IF(OR(AB6="",多次统计数据!$B$9=""),"",IF(多次统计数据!$B$9&lt;AB6,"低于上限","达到或超过上限"))</f>
        <v/>
      </c>
      <c r="AD6" s="4"/>
      <c r="AE6" s="9" t="str">
        <f aca="false">IF(OR(X6="",C6="",C6&lt;=0),"",X6/C6)</f>
        <v/>
      </c>
      <c r="AG6" s="4"/>
      <c r="AH6" s="4"/>
      <c r="AI6" s="4"/>
      <c r="AJ6" s="7" t="str">
        <f aca="false">IF(OR(AG6="",AH6=""),"",IF(OR(AND(AG6="短期博反弹",OR(AH6="1～3个交易日",AH6="4～10个交易日")),AND(AG6="突破冲新高",OR(AH6="4～10个交易日",AH6="11～20个交易日")),AND(AG6="趋势波段",OR(AH6="11～20个交易日",AH6="21～60个交易日",AH6="60个交易日以上"))),"匹配","周期与交易预期不匹配，请重新确认"))</f>
        <v/>
      </c>
      <c r="AK6" s="13" t="str">
        <f aca="false">IF(A6="","",COUNTIFS(加仓管理!$A$2:$A$1001,A6,加仓管理!$G$2:$G$1001,"&gt;0"))</f>
        <v/>
      </c>
      <c r="AL6" s="13" t="str">
        <f aca="false">IF(A6="","",SUMIFS(加仓管理!$G$2:$G$1001,加仓管理!$A$2:$A$1001,A6))</f>
        <v/>
      </c>
      <c r="AM6" s="14" t="str">
        <f aca="false">IF(AK6=0,"",IFERROR(LOOKUP(2,1/((加仓管理!$A$2:$A$1001=A6)*(加仓管理!$G$2:$G$1001&gt;0)),加仓管理!$D$2:$D$1001),""))</f>
        <v/>
      </c>
      <c r="AN6" s="14" t="str">
        <f aca="false">IF(AK6=0,"",IFERROR(LOOKUP(2,1/((加仓管理!$A$2:$A$1001=A6)*(加仓管理!$G$2:$G$1001&gt;0)),加仓管理!$E$2:$E$1001),""))</f>
        <v/>
      </c>
      <c r="AO6" s="14" t="str">
        <f aca="false">IF(OR(A6="",H6="",H6&lt;=0),"",(E6*H6+SUMIFS(加仓管理!$H$2:$H$1001,加仓管理!$A$2:$A$1001,A6))/AP6)</f>
        <v/>
      </c>
      <c r="AP6" s="13" t="str">
        <f aca="false">IF(OR(A6="",H6="",H6&lt;=0),"",H6+AL6)</f>
        <v/>
      </c>
      <c r="AQ6" s="14" t="str">
        <f aca="false">IF(A6="","",IF(M6&lt;&gt;"",0,IF(OR(H6="",N6=""),"",MAX((E6*H6+SUMIFS(加仓管理!$H$2:$H$1001,加仓管理!$A$2:$A$1001,A6))-MAX(N6,AN6)*AP6,0))))</f>
        <v/>
      </c>
      <c r="AR6" s="15" t="str">
        <f aca="false">IF(A6="","",IF(OR(E6="",H6=""),"违规：首次买入价格或股数缺失",IF(COUNTIFS(加仓管理!$A$2:$A$1001,A6,加仓管理!$R$2:$R$1001,"违规*")&gt;0,"违规：请检查加仓管理表",IF(SUM($AQ$2:$AQ$201)&gt;账户数据!$B$7,"预警：超过账户风险上限",IF(COUNTIFS(加仓管理!$A$2:$A$1001,A6,加仓管理!$N$2:$N$1001,"&gt;0",加仓管理!$G$2:$G$1001,"")&gt;0,"提示：存在待执行加仓计划","通过")))))</f>
        <v/>
      </c>
    </row>
    <row r="7" customFormat="false" ht="13.5" hidden="false" customHeight="false" outlineLevel="0" collapsed="false">
      <c r="A7" s="4"/>
      <c r="B7" s="4"/>
      <c r="C7" s="5"/>
      <c r="D7" s="6"/>
      <c r="E7" s="5"/>
      <c r="F7" s="7" t="str">
        <f aca="false">IF(OR(C7="",D7="",E7="",N7="",C7&lt;=0,D7&lt;=0,E7&lt;=N7),"",ROUNDDOWN((C7*D7)/(E7-N7)/100,0)*100)</f>
        <v/>
      </c>
      <c r="G7" s="7" t="str">
        <f aca="false">IF(A7="","",IF(H7&lt;&gt;"","已开仓",IF(账户数据!$B$23="已锁仓","禁止开仓：连续亏损达到上限",IF(账户数据!$B$23="解锁信息不完整","禁止开仓：请完整填写解锁信息",IF(OR(F7="",E7="",N7="",E7&lt;=N7,账户数据!$B$7=""),"",IF(OR(AG7="",AH7="",AI7=""),"禁止开仓：交易预期未填写完整",IF(账户数据!$B$9+F7*(E7-N7)&gt;=账户数据!$B$7,"禁止开仓：风险额度不足",IF(AJ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" s="4"/>
      <c r="I7" s="8"/>
      <c r="J7" s="5"/>
      <c r="K7" s="5"/>
      <c r="L7" s="7" t="str">
        <f aca="false">IF(AP7="","",AP7)</f>
        <v/>
      </c>
      <c r="M7" s="8"/>
      <c r="N7" s="5"/>
      <c r="O7" s="5"/>
      <c r="P7" s="5"/>
      <c r="Q7" s="4"/>
      <c r="R7" s="4"/>
      <c r="S7" s="4"/>
      <c r="T7" s="4"/>
      <c r="U7" s="9" t="str">
        <f aca="false">IF(OR(AO7="",J7="",AO7&lt;=0),"",(J7-AO7)/AO7)</f>
        <v/>
      </c>
      <c r="V7" s="9" t="str">
        <f aca="false">IF(OR(AO7="",N7="",AO7&lt;=0),"",(AO7-N7)/AO7)</f>
        <v/>
      </c>
      <c r="W7" s="10" t="str">
        <f aca="false">IF(OR(U7="",V7="",V7&lt;=0),"",U7/V7)</f>
        <v/>
      </c>
      <c r="X7" s="11" t="str">
        <f aca="false">IF(OR(K7="",L7="",AO7="",AP7=""),"",(K7-AO7)*L7-IF(O7="",0,O7)-IF(P7="",0,P7))</f>
        <v/>
      </c>
      <c r="Y7" s="9" t="str">
        <f aca="false">IF(OR(X7="",AO7="",L7=""),"",IF(AO7*L7+IF(O7="",0,O7)&lt;=0,"",X7/(AO7*L7+IF(O7="",0,O7))))</f>
        <v/>
      </c>
      <c r="Z7" s="9" t="str">
        <f aca="false">IF(OR(AE7="",多次统计数据!$B$8=""),"",AE7-多次统计数据!$B$8)</f>
        <v/>
      </c>
      <c r="AA7" s="12" t="str">
        <f aca="false">IF(OR(I7="",M7="",M7&lt;I7),"",M7-I7)</f>
        <v/>
      </c>
      <c r="AB7" s="9" t="str">
        <f aca="false">IF(OR(A7="",多次统计数据!$B$8="",多次统计数据!$B$6&lt;=0,多次统计数据!$B$6&gt;=1),"",1-POWER(1+多次统计数据!$B$8,-多次统计数据!$B$6/(1-多次统计数据!$B$6)))</f>
        <v/>
      </c>
      <c r="AC7" s="7" t="str">
        <f aca="false">IF(OR(AB7="",多次统计数据!$B$9=""),"",IF(多次统计数据!$B$9&lt;AB7,"低于上限","达到或超过上限"))</f>
        <v/>
      </c>
      <c r="AD7" s="4"/>
      <c r="AE7" s="9" t="str">
        <f aca="false">IF(OR(X7="",C7="",C7&lt;=0),"",X7/C7)</f>
        <v/>
      </c>
      <c r="AG7" s="4"/>
      <c r="AH7" s="4"/>
      <c r="AI7" s="4"/>
      <c r="AJ7" s="7" t="str">
        <f aca="false">IF(OR(AG7="",AH7=""),"",IF(OR(AND(AG7="短期博反弹",OR(AH7="1～3个交易日",AH7="4～10个交易日")),AND(AG7="突破冲新高",OR(AH7="4～10个交易日",AH7="11～20个交易日")),AND(AG7="趋势波段",OR(AH7="11～20个交易日",AH7="21～60个交易日",AH7="60个交易日以上"))),"匹配","周期与交易预期不匹配，请重新确认"))</f>
        <v/>
      </c>
      <c r="AK7" s="13" t="str">
        <f aca="false">IF(A7="","",COUNTIFS(加仓管理!$A$2:$A$1001,A7,加仓管理!$G$2:$G$1001,"&gt;0"))</f>
        <v/>
      </c>
      <c r="AL7" s="13" t="str">
        <f aca="false">IF(A7="","",SUMIFS(加仓管理!$G$2:$G$1001,加仓管理!$A$2:$A$1001,A7))</f>
        <v/>
      </c>
      <c r="AM7" s="14" t="str">
        <f aca="false">IF(AK7=0,"",IFERROR(LOOKUP(2,1/((加仓管理!$A$2:$A$1001=A7)*(加仓管理!$G$2:$G$1001&gt;0)),加仓管理!$D$2:$D$1001),""))</f>
        <v/>
      </c>
      <c r="AN7" s="14" t="str">
        <f aca="false">IF(AK7=0,"",IFERROR(LOOKUP(2,1/((加仓管理!$A$2:$A$1001=A7)*(加仓管理!$G$2:$G$1001&gt;0)),加仓管理!$E$2:$E$1001),""))</f>
        <v/>
      </c>
      <c r="AO7" s="14" t="str">
        <f aca="false">IF(OR(A7="",H7="",H7&lt;=0),"",(E7*H7+SUMIFS(加仓管理!$H$2:$H$1001,加仓管理!$A$2:$A$1001,A7))/AP7)</f>
        <v/>
      </c>
      <c r="AP7" s="13" t="str">
        <f aca="false">IF(OR(A7="",H7="",H7&lt;=0),"",H7+AL7)</f>
        <v/>
      </c>
      <c r="AQ7" s="14" t="str">
        <f aca="false">IF(A7="","",IF(M7&lt;&gt;"",0,IF(OR(H7="",N7=""),"",MAX((E7*H7+SUMIFS(加仓管理!$H$2:$H$1001,加仓管理!$A$2:$A$1001,A7))-MAX(N7,AN7)*AP7,0))))</f>
        <v/>
      </c>
      <c r="AR7" s="15" t="str">
        <f aca="false">IF(A7="","",IF(OR(E7="",H7=""),"违规：首次买入价格或股数缺失",IF(COUNTIFS(加仓管理!$A$2:$A$1001,A7,加仓管理!$R$2:$R$1001,"违规*")&gt;0,"违规：请检查加仓管理表",IF(SUM($AQ$2:$AQ$201)&gt;账户数据!$B$7,"预警：超过账户风险上限",IF(COUNTIFS(加仓管理!$A$2:$A$1001,A7,加仓管理!$N$2:$N$1001,"&gt;0",加仓管理!$G$2:$G$1001,"")&gt;0,"提示：存在待执行加仓计划","通过")))))</f>
        <v/>
      </c>
    </row>
    <row r="8" customFormat="false" ht="13.5" hidden="false" customHeight="false" outlineLevel="0" collapsed="false">
      <c r="A8" s="4"/>
      <c r="B8" s="4"/>
      <c r="C8" s="5"/>
      <c r="D8" s="6"/>
      <c r="E8" s="5"/>
      <c r="F8" s="7" t="str">
        <f aca="false">IF(OR(C8="",D8="",E8="",N8="",C8&lt;=0,D8&lt;=0,E8&lt;=N8),"",ROUNDDOWN((C8*D8)/(E8-N8)/100,0)*100)</f>
        <v/>
      </c>
      <c r="G8" s="7" t="str">
        <f aca="false">IF(A8="","",IF(H8&lt;&gt;"","已开仓",IF(账户数据!$B$23="已锁仓","禁止开仓：连续亏损达到上限",IF(账户数据!$B$23="解锁信息不完整","禁止开仓：请完整填写解锁信息",IF(OR(F8="",E8="",N8="",E8&lt;=N8,账户数据!$B$7=""),"",IF(OR(AG8="",AH8="",AI8=""),"禁止开仓：交易预期未填写完整",IF(账户数据!$B$9+F8*(E8-N8)&gt;=账户数据!$B$7,"禁止开仓：风险额度不足",IF(AJ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" s="4"/>
      <c r="I8" s="8"/>
      <c r="J8" s="5"/>
      <c r="K8" s="5"/>
      <c r="L8" s="7" t="str">
        <f aca="false">IF(AP8="","",AP8)</f>
        <v/>
      </c>
      <c r="M8" s="8"/>
      <c r="N8" s="5"/>
      <c r="O8" s="5"/>
      <c r="P8" s="5"/>
      <c r="Q8" s="4"/>
      <c r="R8" s="4"/>
      <c r="S8" s="4"/>
      <c r="T8" s="4"/>
      <c r="U8" s="9" t="str">
        <f aca="false">IF(OR(AO8="",J8="",AO8&lt;=0),"",(J8-AO8)/AO8)</f>
        <v/>
      </c>
      <c r="V8" s="9" t="str">
        <f aca="false">IF(OR(AO8="",N8="",AO8&lt;=0),"",(AO8-N8)/AO8)</f>
        <v/>
      </c>
      <c r="W8" s="10" t="str">
        <f aca="false">IF(OR(U8="",V8="",V8&lt;=0),"",U8/V8)</f>
        <v/>
      </c>
      <c r="X8" s="11" t="str">
        <f aca="false">IF(OR(K8="",L8="",AO8="",AP8=""),"",(K8-AO8)*L8-IF(O8="",0,O8)-IF(P8="",0,P8))</f>
        <v/>
      </c>
      <c r="Y8" s="9" t="str">
        <f aca="false">IF(OR(X8="",AO8="",L8=""),"",IF(AO8*L8+IF(O8="",0,O8)&lt;=0,"",X8/(AO8*L8+IF(O8="",0,O8))))</f>
        <v/>
      </c>
      <c r="Z8" s="9" t="str">
        <f aca="false">IF(OR(AE8="",多次统计数据!$B$8=""),"",AE8-多次统计数据!$B$8)</f>
        <v/>
      </c>
      <c r="AA8" s="12" t="str">
        <f aca="false">IF(OR(I8="",M8="",M8&lt;I8),"",M8-I8)</f>
        <v/>
      </c>
      <c r="AB8" s="9" t="str">
        <f aca="false">IF(OR(A8="",多次统计数据!$B$8="",多次统计数据!$B$6&lt;=0,多次统计数据!$B$6&gt;=1),"",1-POWER(1+多次统计数据!$B$8,-多次统计数据!$B$6/(1-多次统计数据!$B$6)))</f>
        <v/>
      </c>
      <c r="AC8" s="7" t="str">
        <f aca="false">IF(OR(AB8="",多次统计数据!$B$9=""),"",IF(多次统计数据!$B$9&lt;AB8,"低于上限","达到或超过上限"))</f>
        <v/>
      </c>
      <c r="AD8" s="4"/>
      <c r="AE8" s="9" t="str">
        <f aca="false">IF(OR(X8="",C8="",C8&lt;=0),"",X8/C8)</f>
        <v/>
      </c>
      <c r="AG8" s="4"/>
      <c r="AH8" s="4"/>
      <c r="AI8" s="4"/>
      <c r="AJ8" s="7" t="str">
        <f aca="false">IF(OR(AG8="",AH8=""),"",IF(OR(AND(AG8="短期博反弹",OR(AH8="1～3个交易日",AH8="4～10个交易日")),AND(AG8="突破冲新高",OR(AH8="4～10个交易日",AH8="11～20个交易日")),AND(AG8="趋势波段",OR(AH8="11～20个交易日",AH8="21～60个交易日",AH8="60个交易日以上"))),"匹配","周期与交易预期不匹配，请重新确认"))</f>
        <v/>
      </c>
      <c r="AK8" s="13" t="str">
        <f aca="false">IF(A8="","",COUNTIFS(加仓管理!$A$2:$A$1001,A8,加仓管理!$G$2:$G$1001,"&gt;0"))</f>
        <v/>
      </c>
      <c r="AL8" s="13" t="str">
        <f aca="false">IF(A8="","",SUMIFS(加仓管理!$G$2:$G$1001,加仓管理!$A$2:$A$1001,A8))</f>
        <v/>
      </c>
      <c r="AM8" s="14" t="str">
        <f aca="false">IF(AK8=0,"",IFERROR(LOOKUP(2,1/((加仓管理!$A$2:$A$1001=A8)*(加仓管理!$G$2:$G$1001&gt;0)),加仓管理!$D$2:$D$1001),""))</f>
        <v/>
      </c>
      <c r="AN8" s="14" t="str">
        <f aca="false">IF(AK8=0,"",IFERROR(LOOKUP(2,1/((加仓管理!$A$2:$A$1001=A8)*(加仓管理!$G$2:$G$1001&gt;0)),加仓管理!$E$2:$E$1001),""))</f>
        <v/>
      </c>
      <c r="AO8" s="14" t="str">
        <f aca="false">IF(OR(A8="",H8="",H8&lt;=0),"",(E8*H8+SUMIFS(加仓管理!$H$2:$H$1001,加仓管理!$A$2:$A$1001,A8))/AP8)</f>
        <v/>
      </c>
      <c r="AP8" s="13" t="str">
        <f aca="false">IF(OR(A8="",H8="",H8&lt;=0),"",H8+AL8)</f>
        <v/>
      </c>
      <c r="AQ8" s="14" t="str">
        <f aca="false">IF(A8="","",IF(M8&lt;&gt;"",0,IF(OR(H8="",N8=""),"",MAX((E8*H8+SUMIFS(加仓管理!$H$2:$H$1001,加仓管理!$A$2:$A$1001,A8))-MAX(N8,AN8)*AP8,0))))</f>
        <v/>
      </c>
      <c r="AR8" s="15" t="str">
        <f aca="false">IF(A8="","",IF(OR(E8="",H8=""),"违规：首次买入价格或股数缺失",IF(COUNTIFS(加仓管理!$A$2:$A$1001,A8,加仓管理!$R$2:$R$1001,"违规*")&gt;0,"违规：请检查加仓管理表",IF(SUM($AQ$2:$AQ$201)&gt;账户数据!$B$7,"预警：超过账户风险上限",IF(COUNTIFS(加仓管理!$A$2:$A$1001,A8,加仓管理!$N$2:$N$1001,"&gt;0",加仓管理!$G$2:$G$1001,"")&gt;0,"提示：存在待执行加仓计划","通过")))))</f>
        <v/>
      </c>
    </row>
    <row r="9" customFormat="false" ht="13.5" hidden="false" customHeight="false" outlineLevel="0" collapsed="false">
      <c r="A9" s="4"/>
      <c r="B9" s="4"/>
      <c r="C9" s="5"/>
      <c r="D9" s="6"/>
      <c r="E9" s="5"/>
      <c r="F9" s="7" t="str">
        <f aca="false">IF(OR(C9="",D9="",E9="",N9="",C9&lt;=0,D9&lt;=0,E9&lt;=N9),"",ROUNDDOWN((C9*D9)/(E9-N9)/100,0)*100)</f>
        <v/>
      </c>
      <c r="G9" s="7" t="str">
        <f aca="false">IF(A9="","",IF(H9&lt;&gt;"","已开仓",IF(账户数据!$B$23="已锁仓","禁止开仓：连续亏损达到上限",IF(账户数据!$B$23="解锁信息不完整","禁止开仓：请完整填写解锁信息",IF(OR(F9="",E9="",N9="",E9&lt;=N9,账户数据!$B$7=""),"",IF(OR(AG9="",AH9="",AI9=""),"禁止开仓：交易预期未填写完整",IF(账户数据!$B$9+F9*(E9-N9)&gt;=账户数据!$B$7,"禁止开仓：风险额度不足",IF(AJ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" s="4"/>
      <c r="I9" s="8"/>
      <c r="J9" s="5"/>
      <c r="K9" s="5"/>
      <c r="L9" s="7" t="str">
        <f aca="false">IF(AP9="","",AP9)</f>
        <v/>
      </c>
      <c r="M9" s="8"/>
      <c r="N9" s="5"/>
      <c r="O9" s="5"/>
      <c r="P9" s="5"/>
      <c r="Q9" s="4"/>
      <c r="R9" s="4"/>
      <c r="S9" s="4"/>
      <c r="T9" s="4"/>
      <c r="U9" s="9" t="str">
        <f aca="false">IF(OR(AO9="",J9="",AO9&lt;=0),"",(J9-AO9)/AO9)</f>
        <v/>
      </c>
      <c r="V9" s="9" t="str">
        <f aca="false">IF(OR(AO9="",N9="",AO9&lt;=0),"",(AO9-N9)/AO9)</f>
        <v/>
      </c>
      <c r="W9" s="10" t="str">
        <f aca="false">IF(OR(U9="",V9="",V9&lt;=0),"",U9/V9)</f>
        <v/>
      </c>
      <c r="X9" s="11" t="str">
        <f aca="false">IF(OR(K9="",L9="",AO9="",AP9=""),"",(K9-AO9)*L9-IF(O9="",0,O9)-IF(P9="",0,P9))</f>
        <v/>
      </c>
      <c r="Y9" s="9" t="str">
        <f aca="false">IF(OR(X9="",AO9="",L9=""),"",IF(AO9*L9+IF(O9="",0,O9)&lt;=0,"",X9/(AO9*L9+IF(O9="",0,O9))))</f>
        <v/>
      </c>
      <c r="Z9" s="9" t="str">
        <f aca="false">IF(OR(AE9="",多次统计数据!$B$8=""),"",AE9-多次统计数据!$B$8)</f>
        <v/>
      </c>
      <c r="AA9" s="12" t="str">
        <f aca="false">IF(OR(I9="",M9="",M9&lt;I9),"",M9-I9)</f>
        <v/>
      </c>
      <c r="AB9" s="9" t="str">
        <f aca="false">IF(OR(A9="",多次统计数据!$B$8="",多次统计数据!$B$6&lt;=0,多次统计数据!$B$6&gt;=1),"",1-POWER(1+多次统计数据!$B$8,-多次统计数据!$B$6/(1-多次统计数据!$B$6)))</f>
        <v/>
      </c>
      <c r="AC9" s="7" t="str">
        <f aca="false">IF(OR(AB9="",多次统计数据!$B$9=""),"",IF(多次统计数据!$B$9&lt;AB9,"低于上限","达到或超过上限"))</f>
        <v/>
      </c>
      <c r="AD9" s="4"/>
      <c r="AE9" s="9" t="str">
        <f aca="false">IF(OR(X9="",C9="",C9&lt;=0),"",X9/C9)</f>
        <v/>
      </c>
      <c r="AG9" s="4"/>
      <c r="AH9" s="4"/>
      <c r="AI9" s="4"/>
      <c r="AJ9" s="7" t="str">
        <f aca="false">IF(OR(AG9="",AH9=""),"",IF(OR(AND(AG9="短期博反弹",OR(AH9="1～3个交易日",AH9="4～10个交易日")),AND(AG9="突破冲新高",OR(AH9="4～10个交易日",AH9="11～20个交易日")),AND(AG9="趋势波段",OR(AH9="11～20个交易日",AH9="21～60个交易日",AH9="60个交易日以上"))),"匹配","周期与交易预期不匹配，请重新确认"))</f>
        <v/>
      </c>
      <c r="AK9" s="13" t="str">
        <f aca="false">IF(A9="","",COUNTIFS(加仓管理!$A$2:$A$1001,A9,加仓管理!$G$2:$G$1001,"&gt;0"))</f>
        <v/>
      </c>
      <c r="AL9" s="13" t="str">
        <f aca="false">IF(A9="","",SUMIFS(加仓管理!$G$2:$G$1001,加仓管理!$A$2:$A$1001,A9))</f>
        <v/>
      </c>
      <c r="AM9" s="14" t="str">
        <f aca="false">IF(AK9=0,"",IFERROR(LOOKUP(2,1/((加仓管理!$A$2:$A$1001=A9)*(加仓管理!$G$2:$G$1001&gt;0)),加仓管理!$D$2:$D$1001),""))</f>
        <v/>
      </c>
      <c r="AN9" s="14" t="str">
        <f aca="false">IF(AK9=0,"",IFERROR(LOOKUP(2,1/((加仓管理!$A$2:$A$1001=A9)*(加仓管理!$G$2:$G$1001&gt;0)),加仓管理!$E$2:$E$1001),""))</f>
        <v/>
      </c>
      <c r="AO9" s="14" t="str">
        <f aca="false">IF(OR(A9="",H9="",H9&lt;=0),"",(E9*H9+SUMIFS(加仓管理!$H$2:$H$1001,加仓管理!$A$2:$A$1001,A9))/AP9)</f>
        <v/>
      </c>
      <c r="AP9" s="13" t="str">
        <f aca="false">IF(OR(A9="",H9="",H9&lt;=0),"",H9+AL9)</f>
        <v/>
      </c>
      <c r="AQ9" s="14" t="str">
        <f aca="false">IF(A9="","",IF(M9&lt;&gt;"",0,IF(OR(H9="",N9=""),"",MAX((E9*H9+SUMIFS(加仓管理!$H$2:$H$1001,加仓管理!$A$2:$A$1001,A9))-MAX(N9,AN9)*AP9,0))))</f>
        <v/>
      </c>
      <c r="AR9" s="15" t="str">
        <f aca="false">IF(A9="","",IF(OR(E9="",H9=""),"违规：首次买入价格或股数缺失",IF(COUNTIFS(加仓管理!$A$2:$A$1001,A9,加仓管理!$R$2:$R$1001,"违规*")&gt;0,"违规：请检查加仓管理表",IF(SUM($AQ$2:$AQ$201)&gt;账户数据!$B$7,"预警：超过账户风险上限",IF(COUNTIFS(加仓管理!$A$2:$A$1001,A9,加仓管理!$N$2:$N$1001,"&gt;0",加仓管理!$G$2:$G$1001,"")&gt;0,"提示：存在待执行加仓计划","通过")))))</f>
        <v/>
      </c>
    </row>
    <row r="10" customFormat="false" ht="27" hidden="false" customHeight="true" outlineLevel="0" collapsed="false">
      <c r="A10" s="4"/>
      <c r="B10" s="4"/>
      <c r="C10" s="5"/>
      <c r="D10" s="6"/>
      <c r="E10" s="5"/>
      <c r="F10" s="7" t="str">
        <f aca="false">IF(OR(C10="",D10="",E10="",N10="",C10&lt;=0,D10&lt;=0,E10&lt;=N10),"",ROUNDDOWN((C10*D10)/(E10-N10)/100,0)*100)</f>
        <v/>
      </c>
      <c r="G10" s="7" t="str">
        <f aca="false">IF(A10="","",IF(H10&lt;&gt;"","已开仓",IF(账户数据!$B$23="已锁仓","禁止开仓：连续亏损达到上限",IF(账户数据!$B$23="解锁信息不完整","禁止开仓：请完整填写解锁信息",IF(OR(F10="",E10="",N10="",E10&lt;=N10,账户数据!$B$7=""),"",IF(OR(AG10="",AH10="",AI10=""),"禁止开仓：交易预期未填写完整",IF(账户数据!$B$9+F10*(E10-N10)&gt;=账户数据!$B$7,"禁止开仓：风险额度不足",IF(AJ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" s="4"/>
      <c r="I10" s="8"/>
      <c r="J10" s="5"/>
      <c r="K10" s="5"/>
      <c r="L10" s="7" t="str">
        <f aca="false">IF(AP10="","",AP10)</f>
        <v/>
      </c>
      <c r="M10" s="8"/>
      <c r="N10" s="5"/>
      <c r="O10" s="5"/>
      <c r="P10" s="5"/>
      <c r="Q10" s="4"/>
      <c r="R10" s="4"/>
      <c r="S10" s="4"/>
      <c r="T10" s="4"/>
      <c r="U10" s="9" t="str">
        <f aca="false">IF(OR(AO10="",J10="",AO10&lt;=0),"",(J10-AO10)/AO10)</f>
        <v/>
      </c>
      <c r="V10" s="9" t="str">
        <f aca="false">IF(OR(AO10="",N10="",AO10&lt;=0),"",(AO10-N10)/AO10)</f>
        <v/>
      </c>
      <c r="W10" s="10" t="str">
        <f aca="false">IF(OR(U10="",V10="",V10&lt;=0),"",U10/V10)</f>
        <v/>
      </c>
      <c r="X10" s="11" t="str">
        <f aca="false">IF(OR(K10="",L10="",AO10="",AP10=""),"",(K10-AO10)*L10-IF(O10="",0,O10)-IF(P10="",0,P10))</f>
        <v/>
      </c>
      <c r="Y10" s="9" t="str">
        <f aca="false">IF(OR(X10="",AO10="",L10=""),"",IF(AO10*L10+IF(O10="",0,O10)&lt;=0,"",X10/(AO10*L10+IF(O10="",0,O10))))</f>
        <v/>
      </c>
      <c r="Z10" s="9" t="str">
        <f aca="false">IF(OR(AE10="",多次统计数据!$B$8=""),"",AE10-多次统计数据!$B$8)</f>
        <v/>
      </c>
      <c r="AA10" s="12" t="str">
        <f aca="false">IF(OR(I10="",M10="",M10&lt;I10),"",M10-I10)</f>
        <v/>
      </c>
      <c r="AB10" s="9" t="str">
        <f aca="false">IF(OR(A10="",多次统计数据!$B$8="",多次统计数据!$B$6&lt;=0,多次统计数据!$B$6&gt;=1),"",1-POWER(1+多次统计数据!$B$8,-多次统计数据!$B$6/(1-多次统计数据!$B$6)))</f>
        <v/>
      </c>
      <c r="AC10" s="7" t="str">
        <f aca="false">IF(OR(AB10="",多次统计数据!$B$9=""),"",IF(多次统计数据!$B$9&lt;AB10,"低于上限","达到或超过上限"))</f>
        <v/>
      </c>
      <c r="AD10" s="4"/>
      <c r="AE10" s="9" t="str">
        <f aca="false">IF(OR(X10="",C10="",C10&lt;=0),"",X10/C10)</f>
        <v/>
      </c>
      <c r="AG10" s="4"/>
      <c r="AH10" s="4"/>
      <c r="AI10" s="4"/>
      <c r="AJ10" s="7" t="str">
        <f aca="false">IF(OR(AG10="",AH10=""),"",IF(OR(AND(AG10="短期博反弹",OR(AH10="1～3个交易日",AH10="4～10个交易日")),AND(AG10="突破冲新高",OR(AH10="4～10个交易日",AH10="11～20个交易日")),AND(AG10="趋势波段",OR(AH10="11～20个交易日",AH10="21～60个交易日",AH10="60个交易日以上"))),"匹配","周期与交易预期不匹配，请重新确认"))</f>
        <v/>
      </c>
      <c r="AK10" s="13" t="str">
        <f aca="false">IF(A10="","",COUNTIFS(加仓管理!$A$2:$A$1001,A10,加仓管理!$G$2:$G$1001,"&gt;0"))</f>
        <v/>
      </c>
      <c r="AL10" s="13" t="str">
        <f aca="false">IF(A10="","",SUMIFS(加仓管理!$G$2:$G$1001,加仓管理!$A$2:$A$1001,A10))</f>
        <v/>
      </c>
      <c r="AM10" s="14" t="str">
        <f aca="false">IF(AK10=0,"",IFERROR(LOOKUP(2,1/((加仓管理!$A$2:$A$1001=A10)*(加仓管理!$G$2:$G$1001&gt;0)),加仓管理!$D$2:$D$1001),""))</f>
        <v/>
      </c>
      <c r="AN10" s="14" t="str">
        <f aca="false">IF(AK10=0,"",IFERROR(LOOKUP(2,1/((加仓管理!$A$2:$A$1001=A10)*(加仓管理!$G$2:$G$1001&gt;0)),加仓管理!$E$2:$E$1001),""))</f>
        <v/>
      </c>
      <c r="AO10" s="14" t="str">
        <f aca="false">IF(OR(A10="",H10="",H10&lt;=0),"",(E10*H10+SUMIFS(加仓管理!$H$2:$H$1001,加仓管理!$A$2:$A$1001,A10))/AP10)</f>
        <v/>
      </c>
      <c r="AP10" s="13" t="str">
        <f aca="false">IF(OR(A10="",H10="",H10&lt;=0),"",H10+AL10)</f>
        <v/>
      </c>
      <c r="AQ10" s="14" t="str">
        <f aca="false">IF(A10="","",IF(M10&lt;&gt;"",0,IF(OR(H10="",N10=""),"",MAX((E10*H10+SUMIFS(加仓管理!$H$2:$H$1001,加仓管理!$A$2:$A$1001,A10))-MAX(N10,AN10)*AP10,0))))</f>
        <v/>
      </c>
      <c r="AR10" s="15" t="str">
        <f aca="false">IF(A10="","",IF(OR(E10="",H10=""),"违规：首次买入价格或股数缺失",IF(COUNTIFS(加仓管理!$A$2:$A$1001,A10,加仓管理!$R$2:$R$1001,"违规*")&gt;0,"违规：请检查加仓管理表",IF(SUM($AQ$2:$AQ$201)&gt;账户数据!$B$7,"预警：超过账户风险上限",IF(COUNTIFS(加仓管理!$A$2:$A$1001,A10,加仓管理!$N$2:$N$1001,"&gt;0",加仓管理!$G$2:$G$1001,"")&gt;0,"提示：存在待执行加仓计划","通过")))))</f>
        <v/>
      </c>
    </row>
    <row r="11" customFormat="false" ht="13.5" hidden="false" customHeight="false" outlineLevel="0" collapsed="false">
      <c r="A11" s="4"/>
      <c r="B11" s="4"/>
      <c r="C11" s="5"/>
      <c r="D11" s="6"/>
      <c r="E11" s="5"/>
      <c r="F11" s="7" t="str">
        <f aca="false">IF(OR(C11="",D11="",E11="",N11="",C11&lt;=0,D11&lt;=0,E11&lt;=N11),"",ROUNDDOWN((C11*D11)/(E11-N11)/100,0)*100)</f>
        <v/>
      </c>
      <c r="G11" s="7" t="str">
        <f aca="false">IF(A11="","",IF(H11&lt;&gt;"","已开仓",IF(账户数据!$B$23="已锁仓","禁止开仓：连续亏损达到上限",IF(账户数据!$B$23="解锁信息不完整","禁止开仓：请完整填写解锁信息",IF(OR(F11="",E11="",N11="",E11&lt;=N11,账户数据!$B$7=""),"",IF(OR(AG11="",AH11="",AI11=""),"禁止开仓：交易预期未填写完整",IF(账户数据!$B$9+F11*(E11-N11)&gt;=账户数据!$B$7,"禁止开仓：风险额度不足",IF(AJ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" s="4"/>
      <c r="I11" s="8"/>
      <c r="J11" s="5"/>
      <c r="K11" s="5"/>
      <c r="L11" s="7" t="str">
        <f aca="false">IF(AP11="","",AP11)</f>
        <v/>
      </c>
      <c r="M11" s="8"/>
      <c r="N11" s="5"/>
      <c r="O11" s="5"/>
      <c r="P11" s="5"/>
      <c r="Q11" s="4"/>
      <c r="R11" s="4"/>
      <c r="S11" s="4"/>
      <c r="T11" s="4"/>
      <c r="U11" s="9" t="str">
        <f aca="false">IF(OR(AO11="",J11="",AO11&lt;=0),"",(J11-AO11)/AO11)</f>
        <v/>
      </c>
      <c r="V11" s="9" t="str">
        <f aca="false">IF(OR(AO11="",N11="",AO11&lt;=0),"",(AO11-N11)/AO11)</f>
        <v/>
      </c>
      <c r="W11" s="10" t="str">
        <f aca="false">IF(OR(U11="",V11="",V11&lt;=0),"",U11/V11)</f>
        <v/>
      </c>
      <c r="X11" s="11" t="str">
        <f aca="false">IF(OR(K11="",L11="",AO11="",AP11=""),"",(K11-AO11)*L11-IF(O11="",0,O11)-IF(P11="",0,P11))</f>
        <v/>
      </c>
      <c r="Y11" s="9" t="str">
        <f aca="false">IF(OR(X11="",AO11="",L11=""),"",IF(AO11*L11+IF(O11="",0,O11)&lt;=0,"",X11/(AO11*L11+IF(O11="",0,O11))))</f>
        <v/>
      </c>
      <c r="Z11" s="9" t="str">
        <f aca="false">IF(OR(AE11="",多次统计数据!$B$8=""),"",AE11-多次统计数据!$B$8)</f>
        <v/>
      </c>
      <c r="AA11" s="12" t="str">
        <f aca="false">IF(OR(I11="",M11="",M11&lt;I11),"",M11-I11)</f>
        <v/>
      </c>
      <c r="AB11" s="9" t="str">
        <f aca="false">IF(OR(A11="",多次统计数据!$B$8="",多次统计数据!$B$6&lt;=0,多次统计数据!$B$6&gt;=1),"",1-POWER(1+多次统计数据!$B$8,-多次统计数据!$B$6/(1-多次统计数据!$B$6)))</f>
        <v/>
      </c>
      <c r="AC11" s="7" t="str">
        <f aca="false">IF(OR(AB11="",多次统计数据!$B$9=""),"",IF(多次统计数据!$B$9&lt;AB11,"低于上限","达到或超过上限"))</f>
        <v/>
      </c>
      <c r="AD11" s="4"/>
      <c r="AE11" s="9" t="str">
        <f aca="false">IF(OR(X11="",C11="",C11&lt;=0),"",X11/C11)</f>
        <v/>
      </c>
      <c r="AG11" s="4"/>
      <c r="AH11" s="4"/>
      <c r="AI11" s="4"/>
      <c r="AJ11" s="7" t="str">
        <f aca="false">IF(OR(AG11="",AH11=""),"",IF(OR(AND(AG11="短期博反弹",OR(AH11="1～3个交易日",AH11="4～10个交易日")),AND(AG11="突破冲新高",OR(AH11="4～10个交易日",AH11="11～20个交易日")),AND(AG11="趋势波段",OR(AH11="11～20个交易日",AH11="21～60个交易日",AH11="60个交易日以上"))),"匹配","周期与交易预期不匹配，请重新确认"))</f>
        <v/>
      </c>
      <c r="AK11" s="13" t="str">
        <f aca="false">IF(A11="","",COUNTIFS(加仓管理!$A$2:$A$1001,A11,加仓管理!$G$2:$G$1001,"&gt;0"))</f>
        <v/>
      </c>
      <c r="AL11" s="13" t="str">
        <f aca="false">IF(A11="","",SUMIFS(加仓管理!$G$2:$G$1001,加仓管理!$A$2:$A$1001,A11))</f>
        <v/>
      </c>
      <c r="AM11" s="14" t="str">
        <f aca="false">IF(AK11=0,"",IFERROR(LOOKUP(2,1/((加仓管理!$A$2:$A$1001=A11)*(加仓管理!$G$2:$G$1001&gt;0)),加仓管理!$D$2:$D$1001),""))</f>
        <v/>
      </c>
      <c r="AN11" s="14" t="str">
        <f aca="false">IF(AK11=0,"",IFERROR(LOOKUP(2,1/((加仓管理!$A$2:$A$1001=A11)*(加仓管理!$G$2:$G$1001&gt;0)),加仓管理!$E$2:$E$1001),""))</f>
        <v/>
      </c>
      <c r="AO11" s="14" t="str">
        <f aca="false">IF(OR(A11="",H11="",H11&lt;=0),"",(E11*H11+SUMIFS(加仓管理!$H$2:$H$1001,加仓管理!$A$2:$A$1001,A11))/AP11)</f>
        <v/>
      </c>
      <c r="AP11" s="13" t="str">
        <f aca="false">IF(OR(A11="",H11="",H11&lt;=0),"",H11+AL11)</f>
        <v/>
      </c>
      <c r="AQ11" s="14" t="str">
        <f aca="false">IF(A11="","",IF(M11&lt;&gt;"",0,IF(OR(H11="",N11=""),"",MAX((E11*H11+SUMIFS(加仓管理!$H$2:$H$1001,加仓管理!$A$2:$A$1001,A11))-MAX(N11,AN11)*AP11,0))))</f>
        <v/>
      </c>
      <c r="AR11" s="15" t="str">
        <f aca="false">IF(A11="","",IF(OR(E11="",H11=""),"违规：首次买入价格或股数缺失",IF(COUNTIFS(加仓管理!$A$2:$A$1001,A11,加仓管理!$R$2:$R$1001,"违规*")&gt;0,"违规：请检查加仓管理表",IF(SUM($AQ$2:$AQ$201)&gt;账户数据!$B$7,"预警：超过账户风险上限",IF(COUNTIFS(加仓管理!$A$2:$A$1001,A11,加仓管理!$N$2:$N$1001,"&gt;0",加仓管理!$G$2:$G$1001,"")&gt;0,"提示：存在待执行加仓计划","通过")))))</f>
        <v/>
      </c>
    </row>
    <row r="12" customFormat="false" ht="13.5" hidden="false" customHeight="false" outlineLevel="0" collapsed="false">
      <c r="A12" s="4"/>
      <c r="B12" s="4"/>
      <c r="C12" s="5"/>
      <c r="D12" s="6"/>
      <c r="E12" s="5"/>
      <c r="F12" s="7" t="str">
        <f aca="false">IF(OR(C12="",D12="",E12="",N12="",C12&lt;=0,D12&lt;=0,E12&lt;=N12),"",ROUNDDOWN((C12*D12)/(E12-N12)/100,0)*100)</f>
        <v/>
      </c>
      <c r="G12" s="7" t="str">
        <f aca="false">IF(A12="","",IF(H12&lt;&gt;"","已开仓",IF(账户数据!$B$23="已锁仓","禁止开仓：连续亏损达到上限",IF(账户数据!$B$23="解锁信息不完整","禁止开仓：请完整填写解锁信息",IF(OR(F12="",E12="",N12="",E12&lt;=N12,账户数据!$B$7=""),"",IF(OR(AG12="",AH12="",AI12=""),"禁止开仓：交易预期未填写完整",IF(账户数据!$B$9+F12*(E12-N12)&gt;=账户数据!$B$7,"禁止开仓：风险额度不足",IF(AJ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" s="4"/>
      <c r="I12" s="8"/>
      <c r="J12" s="5"/>
      <c r="K12" s="5"/>
      <c r="L12" s="7" t="str">
        <f aca="false">IF(AP12="","",AP12)</f>
        <v/>
      </c>
      <c r="M12" s="8"/>
      <c r="N12" s="5"/>
      <c r="O12" s="5"/>
      <c r="P12" s="5"/>
      <c r="Q12" s="4"/>
      <c r="R12" s="4"/>
      <c r="S12" s="4"/>
      <c r="T12" s="4"/>
      <c r="U12" s="9" t="str">
        <f aca="false">IF(OR(AO12="",J12="",AO12&lt;=0),"",(J12-AO12)/AO12)</f>
        <v/>
      </c>
      <c r="V12" s="9" t="str">
        <f aca="false">IF(OR(AO12="",N12="",AO12&lt;=0),"",(AO12-N12)/AO12)</f>
        <v/>
      </c>
      <c r="W12" s="10" t="str">
        <f aca="false">IF(OR(U12="",V12="",V12&lt;=0),"",U12/V12)</f>
        <v/>
      </c>
      <c r="X12" s="11" t="str">
        <f aca="false">IF(OR(K12="",L12="",AO12="",AP12=""),"",(K12-AO12)*L12-IF(O12="",0,O12)-IF(P12="",0,P12))</f>
        <v/>
      </c>
      <c r="Y12" s="9" t="str">
        <f aca="false">IF(OR(X12="",AO12="",L12=""),"",IF(AO12*L12+IF(O12="",0,O12)&lt;=0,"",X12/(AO12*L12+IF(O12="",0,O12))))</f>
        <v/>
      </c>
      <c r="Z12" s="9" t="str">
        <f aca="false">IF(OR(AE12="",多次统计数据!$B$8=""),"",AE12-多次统计数据!$B$8)</f>
        <v/>
      </c>
      <c r="AA12" s="12" t="str">
        <f aca="false">IF(OR(I12="",M12="",M12&lt;I12),"",M12-I12)</f>
        <v/>
      </c>
      <c r="AB12" s="9" t="str">
        <f aca="false">IF(OR(A12="",多次统计数据!$B$8="",多次统计数据!$B$6&lt;=0,多次统计数据!$B$6&gt;=1),"",1-POWER(1+多次统计数据!$B$8,-多次统计数据!$B$6/(1-多次统计数据!$B$6)))</f>
        <v/>
      </c>
      <c r="AC12" s="7" t="str">
        <f aca="false">IF(OR(AB12="",多次统计数据!$B$9=""),"",IF(多次统计数据!$B$9&lt;AB12,"低于上限","达到或超过上限"))</f>
        <v/>
      </c>
      <c r="AD12" s="4"/>
      <c r="AE12" s="9" t="str">
        <f aca="false">IF(OR(X12="",C12="",C12&lt;=0),"",X12/C12)</f>
        <v/>
      </c>
      <c r="AG12" s="4"/>
      <c r="AH12" s="4"/>
      <c r="AI12" s="4"/>
      <c r="AJ12" s="7" t="str">
        <f aca="false">IF(OR(AG12="",AH12=""),"",IF(OR(AND(AG12="短期博反弹",OR(AH12="1～3个交易日",AH12="4～10个交易日")),AND(AG12="突破冲新高",OR(AH12="4～10个交易日",AH12="11～20个交易日")),AND(AG12="趋势波段",OR(AH12="11～20个交易日",AH12="21～60个交易日",AH12="60个交易日以上"))),"匹配","周期与交易预期不匹配，请重新确认"))</f>
        <v/>
      </c>
      <c r="AK12" s="13" t="str">
        <f aca="false">IF(A12="","",COUNTIFS(加仓管理!$A$2:$A$1001,A12,加仓管理!$G$2:$G$1001,"&gt;0"))</f>
        <v/>
      </c>
      <c r="AL12" s="13" t="str">
        <f aca="false">IF(A12="","",SUMIFS(加仓管理!$G$2:$G$1001,加仓管理!$A$2:$A$1001,A12))</f>
        <v/>
      </c>
      <c r="AM12" s="14" t="str">
        <f aca="false">IF(AK12=0,"",IFERROR(LOOKUP(2,1/((加仓管理!$A$2:$A$1001=A12)*(加仓管理!$G$2:$G$1001&gt;0)),加仓管理!$D$2:$D$1001),""))</f>
        <v/>
      </c>
      <c r="AN12" s="14" t="str">
        <f aca="false">IF(AK12=0,"",IFERROR(LOOKUP(2,1/((加仓管理!$A$2:$A$1001=A12)*(加仓管理!$G$2:$G$1001&gt;0)),加仓管理!$E$2:$E$1001),""))</f>
        <v/>
      </c>
      <c r="AO12" s="14" t="str">
        <f aca="false">IF(OR(A12="",H12="",H12&lt;=0),"",(E12*H12+SUMIFS(加仓管理!$H$2:$H$1001,加仓管理!$A$2:$A$1001,A12))/AP12)</f>
        <v/>
      </c>
      <c r="AP12" s="13" t="str">
        <f aca="false">IF(OR(A12="",H12="",H12&lt;=0),"",H12+AL12)</f>
        <v/>
      </c>
      <c r="AQ12" s="14" t="str">
        <f aca="false">IF(A12="","",IF(M12&lt;&gt;"",0,IF(OR(H12="",N12=""),"",MAX((E12*H12+SUMIFS(加仓管理!$H$2:$H$1001,加仓管理!$A$2:$A$1001,A12))-MAX(N12,AN12)*AP12,0))))</f>
        <v/>
      </c>
      <c r="AR12" s="15" t="str">
        <f aca="false">IF(A12="","",IF(OR(E12="",H12=""),"违规：首次买入价格或股数缺失",IF(COUNTIFS(加仓管理!$A$2:$A$1001,A12,加仓管理!$R$2:$R$1001,"违规*")&gt;0,"违规：请检查加仓管理表",IF(SUM($AQ$2:$AQ$201)&gt;账户数据!$B$7,"预警：超过账户风险上限",IF(COUNTIFS(加仓管理!$A$2:$A$1001,A12,加仓管理!$N$2:$N$1001,"&gt;0",加仓管理!$G$2:$G$1001,"")&gt;0,"提示：存在待执行加仓计划","通过")))))</f>
        <v/>
      </c>
    </row>
    <row r="13" customFormat="false" ht="13.5" hidden="false" customHeight="false" outlineLevel="0" collapsed="false">
      <c r="A13" s="4"/>
      <c r="B13" s="4"/>
      <c r="C13" s="5"/>
      <c r="D13" s="6"/>
      <c r="E13" s="5"/>
      <c r="F13" s="7" t="str">
        <f aca="false">IF(OR(C13="",D13="",E13="",N13="",C13&lt;=0,D13&lt;=0,E13&lt;=N13),"",ROUNDDOWN((C13*D13)/(E13-N13)/100,0)*100)</f>
        <v/>
      </c>
      <c r="G13" s="7" t="str">
        <f aca="false">IF(A13="","",IF(H13&lt;&gt;"","已开仓",IF(账户数据!$B$23="已锁仓","禁止开仓：连续亏损达到上限",IF(账户数据!$B$23="解锁信息不完整","禁止开仓：请完整填写解锁信息",IF(OR(F13="",E13="",N13="",E13&lt;=N13,账户数据!$B$7=""),"",IF(OR(AG13="",AH13="",AI13=""),"禁止开仓：交易预期未填写完整",IF(账户数据!$B$9+F13*(E13-N13)&gt;=账户数据!$B$7,"禁止开仓：风险额度不足",IF(AJ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" s="4"/>
      <c r="I13" s="8"/>
      <c r="J13" s="5"/>
      <c r="K13" s="5"/>
      <c r="L13" s="7" t="str">
        <f aca="false">IF(AP13="","",AP13)</f>
        <v/>
      </c>
      <c r="M13" s="8"/>
      <c r="N13" s="5"/>
      <c r="O13" s="5"/>
      <c r="P13" s="5"/>
      <c r="Q13" s="4"/>
      <c r="R13" s="4"/>
      <c r="S13" s="4"/>
      <c r="T13" s="4"/>
      <c r="U13" s="9" t="str">
        <f aca="false">IF(OR(AO13="",J13="",AO13&lt;=0),"",(J13-AO13)/AO13)</f>
        <v/>
      </c>
      <c r="V13" s="9" t="str">
        <f aca="false">IF(OR(AO13="",N13="",AO13&lt;=0),"",(AO13-N13)/AO13)</f>
        <v/>
      </c>
      <c r="W13" s="10" t="str">
        <f aca="false">IF(OR(U13="",V13="",V13&lt;=0),"",U13/V13)</f>
        <v/>
      </c>
      <c r="X13" s="11" t="str">
        <f aca="false">IF(OR(K13="",L13="",AO13="",AP13=""),"",(K13-AO13)*L13-IF(O13="",0,O13)-IF(P13="",0,P13))</f>
        <v/>
      </c>
      <c r="Y13" s="9" t="str">
        <f aca="false">IF(OR(X13="",AO13="",L13=""),"",IF(AO13*L13+IF(O13="",0,O13)&lt;=0,"",X13/(AO13*L13+IF(O13="",0,O13))))</f>
        <v/>
      </c>
      <c r="Z13" s="9" t="str">
        <f aca="false">IF(OR(AE13="",多次统计数据!$B$8=""),"",AE13-多次统计数据!$B$8)</f>
        <v/>
      </c>
      <c r="AA13" s="12" t="str">
        <f aca="false">IF(OR(I13="",M13="",M13&lt;I13),"",M13-I13)</f>
        <v/>
      </c>
      <c r="AB13" s="9" t="str">
        <f aca="false">IF(OR(A13="",多次统计数据!$B$8="",多次统计数据!$B$6&lt;=0,多次统计数据!$B$6&gt;=1),"",1-POWER(1+多次统计数据!$B$8,-多次统计数据!$B$6/(1-多次统计数据!$B$6)))</f>
        <v/>
      </c>
      <c r="AC13" s="7" t="str">
        <f aca="false">IF(OR(AB13="",多次统计数据!$B$9=""),"",IF(多次统计数据!$B$9&lt;AB13,"低于上限","达到或超过上限"))</f>
        <v/>
      </c>
      <c r="AD13" s="4"/>
      <c r="AE13" s="9" t="str">
        <f aca="false">IF(OR(X13="",C13="",C13&lt;=0),"",X13/C13)</f>
        <v/>
      </c>
      <c r="AG13" s="4"/>
      <c r="AH13" s="4"/>
      <c r="AI13" s="4"/>
      <c r="AJ13" s="7" t="str">
        <f aca="false">IF(OR(AG13="",AH13=""),"",IF(OR(AND(AG13="短期博反弹",OR(AH13="1～3个交易日",AH13="4～10个交易日")),AND(AG13="突破冲新高",OR(AH13="4～10个交易日",AH13="11～20个交易日")),AND(AG13="趋势波段",OR(AH13="11～20个交易日",AH13="21～60个交易日",AH13="60个交易日以上"))),"匹配","周期与交易预期不匹配，请重新确认"))</f>
        <v/>
      </c>
      <c r="AK13" s="13" t="str">
        <f aca="false">IF(A13="","",COUNTIFS(加仓管理!$A$2:$A$1001,A13,加仓管理!$G$2:$G$1001,"&gt;0"))</f>
        <v/>
      </c>
      <c r="AL13" s="13" t="str">
        <f aca="false">IF(A13="","",SUMIFS(加仓管理!$G$2:$G$1001,加仓管理!$A$2:$A$1001,A13))</f>
        <v/>
      </c>
      <c r="AM13" s="14" t="str">
        <f aca="false">IF(AK13=0,"",IFERROR(LOOKUP(2,1/((加仓管理!$A$2:$A$1001=A13)*(加仓管理!$G$2:$G$1001&gt;0)),加仓管理!$D$2:$D$1001),""))</f>
        <v/>
      </c>
      <c r="AN13" s="14" t="str">
        <f aca="false">IF(AK13=0,"",IFERROR(LOOKUP(2,1/((加仓管理!$A$2:$A$1001=A13)*(加仓管理!$G$2:$G$1001&gt;0)),加仓管理!$E$2:$E$1001),""))</f>
        <v/>
      </c>
      <c r="AO13" s="14" t="str">
        <f aca="false">IF(OR(A13="",H13="",H13&lt;=0),"",(E13*H13+SUMIFS(加仓管理!$H$2:$H$1001,加仓管理!$A$2:$A$1001,A13))/AP13)</f>
        <v/>
      </c>
      <c r="AP13" s="13" t="str">
        <f aca="false">IF(OR(A13="",H13="",H13&lt;=0),"",H13+AL13)</f>
        <v/>
      </c>
      <c r="AQ13" s="14" t="str">
        <f aca="false">IF(A13="","",IF(M13&lt;&gt;"",0,IF(OR(H13="",N13=""),"",MAX((E13*H13+SUMIFS(加仓管理!$H$2:$H$1001,加仓管理!$A$2:$A$1001,A13))-MAX(N13,AN13)*AP13,0))))</f>
        <v/>
      </c>
      <c r="AR13" s="15" t="str">
        <f aca="false">IF(A13="","",IF(OR(E13="",H13=""),"违规：首次买入价格或股数缺失",IF(COUNTIFS(加仓管理!$A$2:$A$1001,A13,加仓管理!$R$2:$R$1001,"违规*")&gt;0,"违规：请检查加仓管理表",IF(SUM($AQ$2:$AQ$201)&gt;账户数据!$B$7,"预警：超过账户风险上限",IF(COUNTIFS(加仓管理!$A$2:$A$1001,A13,加仓管理!$N$2:$N$1001,"&gt;0",加仓管理!$G$2:$G$1001,"")&gt;0,"提示：存在待执行加仓计划","通过")))))</f>
        <v/>
      </c>
    </row>
    <row r="14" customFormat="false" ht="13.5" hidden="false" customHeight="false" outlineLevel="0" collapsed="false">
      <c r="A14" s="4"/>
      <c r="B14" s="4"/>
      <c r="C14" s="5"/>
      <c r="D14" s="6"/>
      <c r="E14" s="5"/>
      <c r="F14" s="7" t="str">
        <f aca="false">IF(OR(C14="",D14="",E14="",N14="",C14&lt;=0,D14&lt;=0,E14&lt;=N14),"",ROUNDDOWN((C14*D14)/(E14-N14)/100,0)*100)</f>
        <v/>
      </c>
      <c r="G14" s="7" t="str">
        <f aca="false">IF(A14="","",IF(H14&lt;&gt;"","已开仓",IF(账户数据!$B$23="已锁仓","禁止开仓：连续亏损达到上限",IF(账户数据!$B$23="解锁信息不完整","禁止开仓：请完整填写解锁信息",IF(OR(F14="",E14="",N14="",E14&lt;=N14,账户数据!$B$7=""),"",IF(OR(AG14="",AH14="",AI14=""),"禁止开仓：交易预期未填写完整",IF(账户数据!$B$9+F14*(E14-N14)&gt;=账户数据!$B$7,"禁止开仓：风险额度不足",IF(AJ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" s="4"/>
      <c r="I14" s="8"/>
      <c r="J14" s="5"/>
      <c r="K14" s="5"/>
      <c r="L14" s="7" t="str">
        <f aca="false">IF(AP14="","",AP14)</f>
        <v/>
      </c>
      <c r="M14" s="8"/>
      <c r="N14" s="5"/>
      <c r="O14" s="5"/>
      <c r="P14" s="5"/>
      <c r="Q14" s="4"/>
      <c r="R14" s="4"/>
      <c r="S14" s="4"/>
      <c r="T14" s="4"/>
      <c r="U14" s="9" t="str">
        <f aca="false">IF(OR(AO14="",J14="",AO14&lt;=0),"",(J14-AO14)/AO14)</f>
        <v/>
      </c>
      <c r="V14" s="9" t="str">
        <f aca="false">IF(OR(AO14="",N14="",AO14&lt;=0),"",(AO14-N14)/AO14)</f>
        <v/>
      </c>
      <c r="W14" s="10" t="str">
        <f aca="false">IF(OR(U14="",V14="",V14&lt;=0),"",U14/V14)</f>
        <v/>
      </c>
      <c r="X14" s="11" t="str">
        <f aca="false">IF(OR(K14="",L14="",AO14="",AP14=""),"",(K14-AO14)*L14-IF(O14="",0,O14)-IF(P14="",0,P14))</f>
        <v/>
      </c>
      <c r="Y14" s="9" t="str">
        <f aca="false">IF(OR(X14="",AO14="",L14=""),"",IF(AO14*L14+IF(O14="",0,O14)&lt;=0,"",X14/(AO14*L14+IF(O14="",0,O14))))</f>
        <v/>
      </c>
      <c r="Z14" s="9" t="str">
        <f aca="false">IF(OR(AE14="",多次统计数据!$B$8=""),"",AE14-多次统计数据!$B$8)</f>
        <v/>
      </c>
      <c r="AA14" s="12" t="str">
        <f aca="false">IF(OR(I14="",M14="",M14&lt;I14),"",M14-I14)</f>
        <v/>
      </c>
      <c r="AB14" s="9" t="str">
        <f aca="false">IF(OR(A14="",多次统计数据!$B$8="",多次统计数据!$B$6&lt;=0,多次统计数据!$B$6&gt;=1),"",1-POWER(1+多次统计数据!$B$8,-多次统计数据!$B$6/(1-多次统计数据!$B$6)))</f>
        <v/>
      </c>
      <c r="AC14" s="7" t="str">
        <f aca="false">IF(OR(AB14="",多次统计数据!$B$9=""),"",IF(多次统计数据!$B$9&lt;AB14,"低于上限","达到或超过上限"))</f>
        <v/>
      </c>
      <c r="AD14" s="4"/>
      <c r="AE14" s="9" t="str">
        <f aca="false">IF(OR(X14="",C14="",C14&lt;=0),"",X14/C14)</f>
        <v/>
      </c>
      <c r="AG14" s="4"/>
      <c r="AH14" s="4"/>
      <c r="AI14" s="4"/>
      <c r="AJ14" s="7" t="str">
        <f aca="false">IF(OR(AG14="",AH14=""),"",IF(OR(AND(AG14="短期博反弹",OR(AH14="1～3个交易日",AH14="4～10个交易日")),AND(AG14="突破冲新高",OR(AH14="4～10个交易日",AH14="11～20个交易日")),AND(AG14="趋势波段",OR(AH14="11～20个交易日",AH14="21～60个交易日",AH14="60个交易日以上"))),"匹配","周期与交易预期不匹配，请重新确认"))</f>
        <v/>
      </c>
      <c r="AK14" s="13" t="str">
        <f aca="false">IF(A14="","",COUNTIFS(加仓管理!$A$2:$A$1001,A14,加仓管理!$G$2:$G$1001,"&gt;0"))</f>
        <v/>
      </c>
      <c r="AL14" s="13" t="str">
        <f aca="false">IF(A14="","",SUMIFS(加仓管理!$G$2:$G$1001,加仓管理!$A$2:$A$1001,A14))</f>
        <v/>
      </c>
      <c r="AM14" s="14" t="str">
        <f aca="false">IF(AK14=0,"",IFERROR(LOOKUP(2,1/((加仓管理!$A$2:$A$1001=A14)*(加仓管理!$G$2:$G$1001&gt;0)),加仓管理!$D$2:$D$1001),""))</f>
        <v/>
      </c>
      <c r="AN14" s="14" t="str">
        <f aca="false">IF(AK14=0,"",IFERROR(LOOKUP(2,1/((加仓管理!$A$2:$A$1001=A14)*(加仓管理!$G$2:$G$1001&gt;0)),加仓管理!$E$2:$E$1001),""))</f>
        <v/>
      </c>
      <c r="AO14" s="14" t="str">
        <f aca="false">IF(OR(A14="",H14="",H14&lt;=0),"",(E14*H14+SUMIFS(加仓管理!$H$2:$H$1001,加仓管理!$A$2:$A$1001,A14))/AP14)</f>
        <v/>
      </c>
      <c r="AP14" s="13" t="str">
        <f aca="false">IF(OR(A14="",H14="",H14&lt;=0),"",H14+AL14)</f>
        <v/>
      </c>
      <c r="AQ14" s="14" t="str">
        <f aca="false">IF(A14="","",IF(M14&lt;&gt;"",0,IF(OR(H14="",N14=""),"",MAX((E14*H14+SUMIFS(加仓管理!$H$2:$H$1001,加仓管理!$A$2:$A$1001,A14))-MAX(N14,AN14)*AP14,0))))</f>
        <v/>
      </c>
      <c r="AR14" s="15" t="str">
        <f aca="false">IF(A14="","",IF(OR(E14="",H14=""),"违规：首次买入价格或股数缺失",IF(COUNTIFS(加仓管理!$A$2:$A$1001,A14,加仓管理!$R$2:$R$1001,"违规*")&gt;0,"违规：请检查加仓管理表",IF(SUM($AQ$2:$AQ$201)&gt;账户数据!$B$7,"预警：超过账户风险上限",IF(COUNTIFS(加仓管理!$A$2:$A$1001,A14,加仓管理!$N$2:$N$1001,"&gt;0",加仓管理!$G$2:$G$1001,"")&gt;0,"提示：存在待执行加仓计划","通过")))))</f>
        <v/>
      </c>
    </row>
    <row r="15" customFormat="false" ht="13.5" hidden="false" customHeight="false" outlineLevel="0" collapsed="false">
      <c r="A15" s="4"/>
      <c r="B15" s="4"/>
      <c r="C15" s="5"/>
      <c r="D15" s="6"/>
      <c r="E15" s="5"/>
      <c r="F15" s="7" t="str">
        <f aca="false">IF(OR(C15="",D15="",E15="",N15="",C15&lt;=0,D15&lt;=0,E15&lt;=N15),"",ROUNDDOWN((C15*D15)/(E15-N15)/100,0)*100)</f>
        <v/>
      </c>
      <c r="G15" s="7" t="str">
        <f aca="false">IF(A15="","",IF(H15&lt;&gt;"","已开仓",IF(账户数据!$B$23="已锁仓","禁止开仓：连续亏损达到上限",IF(账户数据!$B$23="解锁信息不完整","禁止开仓：请完整填写解锁信息",IF(OR(F15="",E15="",N15="",E15&lt;=N15,账户数据!$B$7=""),"",IF(OR(AG15="",AH15="",AI15=""),"禁止开仓：交易预期未填写完整",IF(账户数据!$B$9+F15*(E15-N15)&gt;=账户数据!$B$7,"禁止开仓：风险额度不足",IF(AJ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" s="4"/>
      <c r="I15" s="8"/>
      <c r="J15" s="5"/>
      <c r="K15" s="5"/>
      <c r="L15" s="7" t="str">
        <f aca="false">IF(AP15="","",AP15)</f>
        <v/>
      </c>
      <c r="M15" s="8"/>
      <c r="N15" s="5"/>
      <c r="O15" s="5"/>
      <c r="P15" s="5"/>
      <c r="Q15" s="4"/>
      <c r="R15" s="4"/>
      <c r="S15" s="4"/>
      <c r="T15" s="4"/>
      <c r="U15" s="9" t="str">
        <f aca="false">IF(OR(AO15="",J15="",AO15&lt;=0),"",(J15-AO15)/AO15)</f>
        <v/>
      </c>
      <c r="V15" s="9" t="str">
        <f aca="false">IF(OR(AO15="",N15="",AO15&lt;=0),"",(AO15-N15)/AO15)</f>
        <v/>
      </c>
      <c r="W15" s="10" t="str">
        <f aca="false">IF(OR(U15="",V15="",V15&lt;=0),"",U15/V15)</f>
        <v/>
      </c>
      <c r="X15" s="11" t="str">
        <f aca="false">IF(OR(K15="",L15="",AO15="",AP15=""),"",(K15-AO15)*L15-IF(O15="",0,O15)-IF(P15="",0,P15))</f>
        <v/>
      </c>
      <c r="Y15" s="9" t="str">
        <f aca="false">IF(OR(X15="",AO15="",L15=""),"",IF(AO15*L15+IF(O15="",0,O15)&lt;=0,"",X15/(AO15*L15+IF(O15="",0,O15))))</f>
        <v/>
      </c>
      <c r="Z15" s="9" t="str">
        <f aca="false">IF(OR(AE15="",多次统计数据!$B$8=""),"",AE15-多次统计数据!$B$8)</f>
        <v/>
      </c>
      <c r="AA15" s="12" t="str">
        <f aca="false">IF(OR(I15="",M15="",M15&lt;I15),"",M15-I15)</f>
        <v/>
      </c>
      <c r="AB15" s="9" t="str">
        <f aca="false">IF(OR(A15="",多次统计数据!$B$8="",多次统计数据!$B$6&lt;=0,多次统计数据!$B$6&gt;=1),"",1-POWER(1+多次统计数据!$B$8,-多次统计数据!$B$6/(1-多次统计数据!$B$6)))</f>
        <v/>
      </c>
      <c r="AC15" s="7" t="str">
        <f aca="false">IF(OR(AB15="",多次统计数据!$B$9=""),"",IF(多次统计数据!$B$9&lt;AB15,"低于上限","达到或超过上限"))</f>
        <v/>
      </c>
      <c r="AD15" s="4"/>
      <c r="AE15" s="9" t="str">
        <f aca="false">IF(OR(X15="",C15="",C15&lt;=0),"",X15/C15)</f>
        <v/>
      </c>
      <c r="AG15" s="4"/>
      <c r="AH15" s="4"/>
      <c r="AI15" s="4"/>
      <c r="AJ15" s="7" t="str">
        <f aca="false">IF(OR(AG15="",AH15=""),"",IF(OR(AND(AG15="短期博反弹",OR(AH15="1～3个交易日",AH15="4～10个交易日")),AND(AG15="突破冲新高",OR(AH15="4～10个交易日",AH15="11～20个交易日")),AND(AG15="趋势波段",OR(AH15="11～20个交易日",AH15="21～60个交易日",AH15="60个交易日以上"))),"匹配","周期与交易预期不匹配，请重新确认"))</f>
        <v/>
      </c>
      <c r="AK15" s="13" t="str">
        <f aca="false">IF(A15="","",COUNTIFS(加仓管理!$A$2:$A$1001,A15,加仓管理!$G$2:$G$1001,"&gt;0"))</f>
        <v/>
      </c>
      <c r="AL15" s="13" t="str">
        <f aca="false">IF(A15="","",SUMIFS(加仓管理!$G$2:$G$1001,加仓管理!$A$2:$A$1001,A15))</f>
        <v/>
      </c>
      <c r="AM15" s="14" t="str">
        <f aca="false">IF(AK15=0,"",IFERROR(LOOKUP(2,1/((加仓管理!$A$2:$A$1001=A15)*(加仓管理!$G$2:$G$1001&gt;0)),加仓管理!$D$2:$D$1001),""))</f>
        <v/>
      </c>
      <c r="AN15" s="14" t="str">
        <f aca="false">IF(AK15=0,"",IFERROR(LOOKUP(2,1/((加仓管理!$A$2:$A$1001=A15)*(加仓管理!$G$2:$G$1001&gt;0)),加仓管理!$E$2:$E$1001),""))</f>
        <v/>
      </c>
      <c r="AO15" s="14" t="str">
        <f aca="false">IF(OR(A15="",H15="",H15&lt;=0),"",(E15*H15+SUMIFS(加仓管理!$H$2:$H$1001,加仓管理!$A$2:$A$1001,A15))/AP15)</f>
        <v/>
      </c>
      <c r="AP15" s="13" t="str">
        <f aca="false">IF(OR(A15="",H15="",H15&lt;=0),"",H15+AL15)</f>
        <v/>
      </c>
      <c r="AQ15" s="14" t="str">
        <f aca="false">IF(A15="","",IF(M15&lt;&gt;"",0,IF(OR(H15="",N15=""),"",MAX((E15*H15+SUMIFS(加仓管理!$H$2:$H$1001,加仓管理!$A$2:$A$1001,A15))-MAX(N15,AN15)*AP15,0))))</f>
        <v/>
      </c>
      <c r="AR15" s="15" t="str">
        <f aca="false">IF(A15="","",IF(OR(E15="",H15=""),"违规：首次买入价格或股数缺失",IF(COUNTIFS(加仓管理!$A$2:$A$1001,A15,加仓管理!$R$2:$R$1001,"违规*")&gt;0,"违规：请检查加仓管理表",IF(SUM($AQ$2:$AQ$201)&gt;账户数据!$B$7,"预警：超过账户风险上限",IF(COUNTIFS(加仓管理!$A$2:$A$1001,A15,加仓管理!$N$2:$N$1001,"&gt;0",加仓管理!$G$2:$G$1001,"")&gt;0,"提示：存在待执行加仓计划","通过")))))</f>
        <v/>
      </c>
    </row>
    <row r="16" customFormat="false" ht="13.5" hidden="false" customHeight="false" outlineLevel="0" collapsed="false">
      <c r="A16" s="4"/>
      <c r="B16" s="4"/>
      <c r="C16" s="5"/>
      <c r="D16" s="6"/>
      <c r="E16" s="5"/>
      <c r="F16" s="7" t="str">
        <f aca="false">IF(OR(C16="",D16="",E16="",N16="",C16&lt;=0,D16&lt;=0,E16&lt;=N16),"",ROUNDDOWN((C16*D16)/(E16-N16)/100,0)*100)</f>
        <v/>
      </c>
      <c r="G16" s="7" t="str">
        <f aca="false">IF(A16="","",IF(H16&lt;&gt;"","已开仓",IF(账户数据!$B$23="已锁仓","禁止开仓：连续亏损达到上限",IF(账户数据!$B$23="解锁信息不完整","禁止开仓：请完整填写解锁信息",IF(OR(F16="",E16="",N16="",E16&lt;=N16,账户数据!$B$7=""),"",IF(OR(AG16="",AH16="",AI16=""),"禁止开仓：交易预期未填写完整",IF(账户数据!$B$9+F16*(E16-N16)&gt;=账户数据!$B$7,"禁止开仓：风险额度不足",IF(AJ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" s="4"/>
      <c r="I16" s="8"/>
      <c r="J16" s="5"/>
      <c r="K16" s="5"/>
      <c r="L16" s="7" t="str">
        <f aca="false">IF(AP16="","",AP16)</f>
        <v/>
      </c>
      <c r="M16" s="8"/>
      <c r="N16" s="5"/>
      <c r="O16" s="5"/>
      <c r="P16" s="5"/>
      <c r="Q16" s="4"/>
      <c r="R16" s="4"/>
      <c r="S16" s="4"/>
      <c r="T16" s="4"/>
      <c r="U16" s="9" t="str">
        <f aca="false">IF(OR(AO16="",J16="",AO16&lt;=0),"",(J16-AO16)/AO16)</f>
        <v/>
      </c>
      <c r="V16" s="9" t="str">
        <f aca="false">IF(OR(AO16="",N16="",AO16&lt;=0),"",(AO16-N16)/AO16)</f>
        <v/>
      </c>
      <c r="W16" s="10" t="str">
        <f aca="false">IF(OR(U16="",V16="",V16&lt;=0),"",U16/V16)</f>
        <v/>
      </c>
      <c r="X16" s="11" t="str">
        <f aca="false">IF(OR(K16="",L16="",AO16="",AP16=""),"",(K16-AO16)*L16-IF(O16="",0,O16)-IF(P16="",0,P16))</f>
        <v/>
      </c>
      <c r="Y16" s="9" t="str">
        <f aca="false">IF(OR(X16="",AO16="",L16=""),"",IF(AO16*L16+IF(O16="",0,O16)&lt;=0,"",X16/(AO16*L16+IF(O16="",0,O16))))</f>
        <v/>
      </c>
      <c r="Z16" s="9" t="str">
        <f aca="false">IF(OR(AE16="",多次统计数据!$B$8=""),"",AE16-多次统计数据!$B$8)</f>
        <v/>
      </c>
      <c r="AA16" s="12" t="str">
        <f aca="false">IF(OR(I16="",M16="",M16&lt;I16),"",M16-I16)</f>
        <v/>
      </c>
      <c r="AB16" s="9" t="str">
        <f aca="false">IF(OR(A16="",多次统计数据!$B$8="",多次统计数据!$B$6&lt;=0,多次统计数据!$B$6&gt;=1),"",1-POWER(1+多次统计数据!$B$8,-多次统计数据!$B$6/(1-多次统计数据!$B$6)))</f>
        <v/>
      </c>
      <c r="AC16" s="7" t="str">
        <f aca="false">IF(OR(AB16="",多次统计数据!$B$9=""),"",IF(多次统计数据!$B$9&lt;AB16,"低于上限","达到或超过上限"))</f>
        <v/>
      </c>
      <c r="AD16" s="4"/>
      <c r="AE16" s="9" t="str">
        <f aca="false">IF(OR(X16="",C16="",C16&lt;=0),"",X16/C16)</f>
        <v/>
      </c>
      <c r="AG16" s="4"/>
      <c r="AH16" s="4"/>
      <c r="AI16" s="4"/>
      <c r="AJ16" s="7" t="str">
        <f aca="false">IF(OR(AG16="",AH16=""),"",IF(OR(AND(AG16="短期博反弹",OR(AH16="1～3个交易日",AH16="4～10个交易日")),AND(AG16="突破冲新高",OR(AH16="4～10个交易日",AH16="11～20个交易日")),AND(AG16="趋势波段",OR(AH16="11～20个交易日",AH16="21～60个交易日",AH16="60个交易日以上"))),"匹配","周期与交易预期不匹配，请重新确认"))</f>
        <v/>
      </c>
      <c r="AK16" s="13" t="str">
        <f aca="false">IF(A16="","",COUNTIFS(加仓管理!$A$2:$A$1001,A16,加仓管理!$G$2:$G$1001,"&gt;0"))</f>
        <v/>
      </c>
      <c r="AL16" s="13" t="str">
        <f aca="false">IF(A16="","",SUMIFS(加仓管理!$G$2:$G$1001,加仓管理!$A$2:$A$1001,A16))</f>
        <v/>
      </c>
      <c r="AM16" s="14" t="str">
        <f aca="false">IF(AK16=0,"",IFERROR(LOOKUP(2,1/((加仓管理!$A$2:$A$1001=A16)*(加仓管理!$G$2:$G$1001&gt;0)),加仓管理!$D$2:$D$1001),""))</f>
        <v/>
      </c>
      <c r="AN16" s="14" t="str">
        <f aca="false">IF(AK16=0,"",IFERROR(LOOKUP(2,1/((加仓管理!$A$2:$A$1001=A16)*(加仓管理!$G$2:$G$1001&gt;0)),加仓管理!$E$2:$E$1001),""))</f>
        <v/>
      </c>
      <c r="AO16" s="14" t="str">
        <f aca="false">IF(OR(A16="",H16="",H16&lt;=0),"",(E16*H16+SUMIFS(加仓管理!$H$2:$H$1001,加仓管理!$A$2:$A$1001,A16))/AP16)</f>
        <v/>
      </c>
      <c r="AP16" s="13" t="str">
        <f aca="false">IF(OR(A16="",H16="",H16&lt;=0),"",H16+AL16)</f>
        <v/>
      </c>
      <c r="AQ16" s="14" t="str">
        <f aca="false">IF(A16="","",IF(M16&lt;&gt;"",0,IF(OR(H16="",N16=""),"",MAX((E16*H16+SUMIFS(加仓管理!$H$2:$H$1001,加仓管理!$A$2:$A$1001,A16))-MAX(N16,AN16)*AP16,0))))</f>
        <v/>
      </c>
      <c r="AR16" s="15" t="str">
        <f aca="false">IF(A16="","",IF(OR(E16="",H16=""),"违规：首次买入价格或股数缺失",IF(COUNTIFS(加仓管理!$A$2:$A$1001,A16,加仓管理!$R$2:$R$1001,"违规*")&gt;0,"违规：请检查加仓管理表",IF(SUM($AQ$2:$AQ$201)&gt;账户数据!$B$7,"预警：超过账户风险上限",IF(COUNTIFS(加仓管理!$A$2:$A$1001,A16,加仓管理!$N$2:$N$1001,"&gt;0",加仓管理!$G$2:$G$1001,"")&gt;0,"提示：存在待执行加仓计划","通过")))))</f>
        <v/>
      </c>
    </row>
    <row r="17" customFormat="false" ht="13.5" hidden="false" customHeight="false" outlineLevel="0" collapsed="false">
      <c r="A17" s="4"/>
      <c r="B17" s="4"/>
      <c r="C17" s="5"/>
      <c r="D17" s="6"/>
      <c r="E17" s="5"/>
      <c r="F17" s="7" t="str">
        <f aca="false">IF(OR(C17="",D17="",E17="",N17="",C17&lt;=0,D17&lt;=0,E17&lt;=N17),"",ROUNDDOWN((C17*D17)/(E17-N17)/100,0)*100)</f>
        <v/>
      </c>
      <c r="G17" s="7" t="str">
        <f aca="false">IF(A17="","",IF(H17&lt;&gt;"","已开仓",IF(账户数据!$B$23="已锁仓","禁止开仓：连续亏损达到上限",IF(账户数据!$B$23="解锁信息不完整","禁止开仓：请完整填写解锁信息",IF(OR(F17="",E17="",N17="",E17&lt;=N17,账户数据!$B$7=""),"",IF(OR(AG17="",AH17="",AI17=""),"禁止开仓：交易预期未填写完整",IF(账户数据!$B$9+F17*(E17-N17)&gt;=账户数据!$B$7,"禁止开仓：风险额度不足",IF(AJ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" s="4"/>
      <c r="I17" s="8"/>
      <c r="J17" s="5"/>
      <c r="K17" s="5"/>
      <c r="L17" s="7" t="str">
        <f aca="false">IF(AP17="","",AP17)</f>
        <v/>
      </c>
      <c r="M17" s="8"/>
      <c r="N17" s="5"/>
      <c r="O17" s="5"/>
      <c r="P17" s="5"/>
      <c r="Q17" s="4"/>
      <c r="R17" s="4"/>
      <c r="S17" s="4"/>
      <c r="T17" s="4"/>
      <c r="U17" s="9" t="str">
        <f aca="false">IF(OR(AO17="",J17="",AO17&lt;=0),"",(J17-AO17)/AO17)</f>
        <v/>
      </c>
      <c r="V17" s="9" t="str">
        <f aca="false">IF(OR(AO17="",N17="",AO17&lt;=0),"",(AO17-N17)/AO17)</f>
        <v/>
      </c>
      <c r="W17" s="10" t="str">
        <f aca="false">IF(OR(U17="",V17="",V17&lt;=0),"",U17/V17)</f>
        <v/>
      </c>
      <c r="X17" s="11" t="str">
        <f aca="false">IF(OR(K17="",L17="",AO17="",AP17=""),"",(K17-AO17)*L17-IF(O17="",0,O17)-IF(P17="",0,P17))</f>
        <v/>
      </c>
      <c r="Y17" s="9" t="str">
        <f aca="false">IF(OR(X17="",AO17="",L17=""),"",IF(AO17*L17+IF(O17="",0,O17)&lt;=0,"",X17/(AO17*L17+IF(O17="",0,O17))))</f>
        <v/>
      </c>
      <c r="Z17" s="9" t="str">
        <f aca="false">IF(OR(AE17="",多次统计数据!$B$8=""),"",AE17-多次统计数据!$B$8)</f>
        <v/>
      </c>
      <c r="AA17" s="12" t="str">
        <f aca="false">IF(OR(I17="",M17="",M17&lt;I17),"",M17-I17)</f>
        <v/>
      </c>
      <c r="AB17" s="9" t="str">
        <f aca="false">IF(OR(A17="",多次统计数据!$B$8="",多次统计数据!$B$6&lt;=0,多次统计数据!$B$6&gt;=1),"",1-POWER(1+多次统计数据!$B$8,-多次统计数据!$B$6/(1-多次统计数据!$B$6)))</f>
        <v/>
      </c>
      <c r="AC17" s="7" t="str">
        <f aca="false">IF(OR(AB17="",多次统计数据!$B$9=""),"",IF(多次统计数据!$B$9&lt;AB17,"低于上限","达到或超过上限"))</f>
        <v/>
      </c>
      <c r="AD17" s="4"/>
      <c r="AE17" s="9" t="str">
        <f aca="false">IF(OR(X17="",C17="",C17&lt;=0),"",X17/C17)</f>
        <v/>
      </c>
      <c r="AG17" s="4"/>
      <c r="AH17" s="4"/>
      <c r="AI17" s="4"/>
      <c r="AJ17" s="7" t="str">
        <f aca="false">IF(OR(AG17="",AH17=""),"",IF(OR(AND(AG17="短期博反弹",OR(AH17="1～3个交易日",AH17="4～10个交易日")),AND(AG17="突破冲新高",OR(AH17="4～10个交易日",AH17="11～20个交易日")),AND(AG17="趋势波段",OR(AH17="11～20个交易日",AH17="21～60个交易日",AH17="60个交易日以上"))),"匹配","周期与交易预期不匹配，请重新确认"))</f>
        <v/>
      </c>
      <c r="AK17" s="13" t="str">
        <f aca="false">IF(A17="","",COUNTIFS(加仓管理!$A$2:$A$1001,A17,加仓管理!$G$2:$G$1001,"&gt;0"))</f>
        <v/>
      </c>
      <c r="AL17" s="13" t="str">
        <f aca="false">IF(A17="","",SUMIFS(加仓管理!$G$2:$G$1001,加仓管理!$A$2:$A$1001,A17))</f>
        <v/>
      </c>
      <c r="AM17" s="14" t="str">
        <f aca="false">IF(AK17=0,"",IFERROR(LOOKUP(2,1/((加仓管理!$A$2:$A$1001=A17)*(加仓管理!$G$2:$G$1001&gt;0)),加仓管理!$D$2:$D$1001),""))</f>
        <v/>
      </c>
      <c r="AN17" s="14" t="str">
        <f aca="false">IF(AK17=0,"",IFERROR(LOOKUP(2,1/((加仓管理!$A$2:$A$1001=A17)*(加仓管理!$G$2:$G$1001&gt;0)),加仓管理!$E$2:$E$1001),""))</f>
        <v/>
      </c>
      <c r="AO17" s="14" t="str">
        <f aca="false">IF(OR(A17="",H17="",H17&lt;=0),"",(E17*H17+SUMIFS(加仓管理!$H$2:$H$1001,加仓管理!$A$2:$A$1001,A17))/AP17)</f>
        <v/>
      </c>
      <c r="AP17" s="13" t="str">
        <f aca="false">IF(OR(A17="",H17="",H17&lt;=0),"",H17+AL17)</f>
        <v/>
      </c>
      <c r="AQ17" s="14" t="str">
        <f aca="false">IF(A17="","",IF(M17&lt;&gt;"",0,IF(OR(H17="",N17=""),"",MAX((E17*H17+SUMIFS(加仓管理!$H$2:$H$1001,加仓管理!$A$2:$A$1001,A17))-MAX(N17,AN17)*AP17,0))))</f>
        <v/>
      </c>
      <c r="AR17" s="15" t="str">
        <f aca="false">IF(A17="","",IF(OR(E17="",H17=""),"违规：首次买入价格或股数缺失",IF(COUNTIFS(加仓管理!$A$2:$A$1001,A17,加仓管理!$R$2:$R$1001,"违规*")&gt;0,"违规：请检查加仓管理表",IF(SUM($AQ$2:$AQ$201)&gt;账户数据!$B$7,"预警：超过账户风险上限",IF(COUNTIFS(加仓管理!$A$2:$A$1001,A17,加仓管理!$N$2:$N$1001,"&gt;0",加仓管理!$G$2:$G$1001,"")&gt;0,"提示：存在待执行加仓计划","通过")))))</f>
        <v/>
      </c>
    </row>
    <row r="18" customFormat="false" ht="13.5" hidden="false" customHeight="false" outlineLevel="0" collapsed="false">
      <c r="A18" s="4"/>
      <c r="B18" s="4"/>
      <c r="C18" s="5"/>
      <c r="D18" s="6"/>
      <c r="E18" s="5"/>
      <c r="F18" s="7" t="str">
        <f aca="false">IF(OR(C18="",D18="",E18="",N18="",C18&lt;=0,D18&lt;=0,E18&lt;=N18),"",ROUNDDOWN((C18*D18)/(E18-N18)/100,0)*100)</f>
        <v/>
      </c>
      <c r="G18" s="7" t="str">
        <f aca="false">IF(A18="","",IF(H18&lt;&gt;"","已开仓",IF(账户数据!$B$23="已锁仓","禁止开仓：连续亏损达到上限",IF(账户数据!$B$23="解锁信息不完整","禁止开仓：请完整填写解锁信息",IF(OR(F18="",E18="",N18="",E18&lt;=N18,账户数据!$B$7=""),"",IF(OR(AG18="",AH18="",AI18=""),"禁止开仓：交易预期未填写完整",IF(账户数据!$B$9+F18*(E18-N18)&gt;=账户数据!$B$7,"禁止开仓：风险额度不足",IF(AJ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" s="4"/>
      <c r="I18" s="8"/>
      <c r="J18" s="5"/>
      <c r="K18" s="5"/>
      <c r="L18" s="7" t="str">
        <f aca="false">IF(AP18="","",AP18)</f>
        <v/>
      </c>
      <c r="M18" s="8"/>
      <c r="N18" s="5"/>
      <c r="O18" s="5"/>
      <c r="P18" s="5"/>
      <c r="Q18" s="4"/>
      <c r="R18" s="4"/>
      <c r="S18" s="4"/>
      <c r="T18" s="4"/>
      <c r="U18" s="9" t="str">
        <f aca="false">IF(OR(AO18="",J18="",AO18&lt;=0),"",(J18-AO18)/AO18)</f>
        <v/>
      </c>
      <c r="V18" s="9" t="str">
        <f aca="false">IF(OR(AO18="",N18="",AO18&lt;=0),"",(AO18-N18)/AO18)</f>
        <v/>
      </c>
      <c r="W18" s="10" t="str">
        <f aca="false">IF(OR(U18="",V18="",V18&lt;=0),"",U18/V18)</f>
        <v/>
      </c>
      <c r="X18" s="11" t="str">
        <f aca="false">IF(OR(K18="",L18="",AO18="",AP18=""),"",(K18-AO18)*L18-IF(O18="",0,O18)-IF(P18="",0,P18))</f>
        <v/>
      </c>
      <c r="Y18" s="9" t="str">
        <f aca="false">IF(OR(X18="",AO18="",L18=""),"",IF(AO18*L18+IF(O18="",0,O18)&lt;=0,"",X18/(AO18*L18+IF(O18="",0,O18))))</f>
        <v/>
      </c>
      <c r="Z18" s="9" t="str">
        <f aca="false">IF(OR(AE18="",多次统计数据!$B$8=""),"",AE18-多次统计数据!$B$8)</f>
        <v/>
      </c>
      <c r="AA18" s="12" t="str">
        <f aca="false">IF(OR(I18="",M18="",M18&lt;I18),"",M18-I18)</f>
        <v/>
      </c>
      <c r="AB18" s="9" t="str">
        <f aca="false">IF(OR(A18="",多次统计数据!$B$8="",多次统计数据!$B$6&lt;=0,多次统计数据!$B$6&gt;=1),"",1-POWER(1+多次统计数据!$B$8,-多次统计数据!$B$6/(1-多次统计数据!$B$6)))</f>
        <v/>
      </c>
      <c r="AC18" s="7" t="str">
        <f aca="false">IF(OR(AB18="",多次统计数据!$B$9=""),"",IF(多次统计数据!$B$9&lt;AB18,"低于上限","达到或超过上限"))</f>
        <v/>
      </c>
      <c r="AD18" s="4"/>
      <c r="AE18" s="9" t="str">
        <f aca="false">IF(OR(X18="",C18="",C18&lt;=0),"",X18/C18)</f>
        <v/>
      </c>
      <c r="AG18" s="4"/>
      <c r="AH18" s="4"/>
      <c r="AI18" s="4"/>
      <c r="AJ18" s="7" t="str">
        <f aca="false">IF(OR(AG18="",AH18=""),"",IF(OR(AND(AG18="短期博反弹",OR(AH18="1～3个交易日",AH18="4～10个交易日")),AND(AG18="突破冲新高",OR(AH18="4～10个交易日",AH18="11～20个交易日")),AND(AG18="趋势波段",OR(AH18="11～20个交易日",AH18="21～60个交易日",AH18="60个交易日以上"))),"匹配","周期与交易预期不匹配，请重新确认"))</f>
        <v/>
      </c>
      <c r="AK18" s="13" t="str">
        <f aca="false">IF(A18="","",COUNTIFS(加仓管理!$A$2:$A$1001,A18,加仓管理!$G$2:$G$1001,"&gt;0"))</f>
        <v/>
      </c>
      <c r="AL18" s="13" t="str">
        <f aca="false">IF(A18="","",SUMIFS(加仓管理!$G$2:$G$1001,加仓管理!$A$2:$A$1001,A18))</f>
        <v/>
      </c>
      <c r="AM18" s="14" t="str">
        <f aca="false">IF(AK18=0,"",IFERROR(LOOKUP(2,1/((加仓管理!$A$2:$A$1001=A18)*(加仓管理!$G$2:$G$1001&gt;0)),加仓管理!$D$2:$D$1001),""))</f>
        <v/>
      </c>
      <c r="AN18" s="14" t="str">
        <f aca="false">IF(AK18=0,"",IFERROR(LOOKUP(2,1/((加仓管理!$A$2:$A$1001=A18)*(加仓管理!$G$2:$G$1001&gt;0)),加仓管理!$E$2:$E$1001),""))</f>
        <v/>
      </c>
      <c r="AO18" s="14" t="str">
        <f aca="false">IF(OR(A18="",H18="",H18&lt;=0),"",(E18*H18+SUMIFS(加仓管理!$H$2:$H$1001,加仓管理!$A$2:$A$1001,A18))/AP18)</f>
        <v/>
      </c>
      <c r="AP18" s="13" t="str">
        <f aca="false">IF(OR(A18="",H18="",H18&lt;=0),"",H18+AL18)</f>
        <v/>
      </c>
      <c r="AQ18" s="14" t="str">
        <f aca="false">IF(A18="","",IF(M18&lt;&gt;"",0,IF(OR(H18="",N18=""),"",MAX((E18*H18+SUMIFS(加仓管理!$H$2:$H$1001,加仓管理!$A$2:$A$1001,A18))-MAX(N18,AN18)*AP18,0))))</f>
        <v/>
      </c>
      <c r="AR18" s="15" t="str">
        <f aca="false">IF(A18="","",IF(OR(E18="",H18=""),"违规：首次买入价格或股数缺失",IF(COUNTIFS(加仓管理!$A$2:$A$1001,A18,加仓管理!$R$2:$R$1001,"违规*")&gt;0,"违规：请检查加仓管理表",IF(SUM($AQ$2:$AQ$201)&gt;账户数据!$B$7,"预警：超过账户风险上限",IF(COUNTIFS(加仓管理!$A$2:$A$1001,A18,加仓管理!$N$2:$N$1001,"&gt;0",加仓管理!$G$2:$G$1001,"")&gt;0,"提示：存在待执行加仓计划","通过")))))</f>
        <v/>
      </c>
    </row>
    <row r="19" customFormat="false" ht="13.5" hidden="false" customHeight="false" outlineLevel="0" collapsed="false">
      <c r="A19" s="4"/>
      <c r="B19" s="4"/>
      <c r="C19" s="5"/>
      <c r="D19" s="6"/>
      <c r="E19" s="5"/>
      <c r="F19" s="7" t="str">
        <f aca="false">IF(OR(C19="",D19="",E19="",N19="",C19&lt;=0,D19&lt;=0,E19&lt;=N19),"",ROUNDDOWN((C19*D19)/(E19-N19)/100,0)*100)</f>
        <v/>
      </c>
      <c r="G19" s="7" t="str">
        <f aca="false">IF(A19="","",IF(H19&lt;&gt;"","已开仓",IF(账户数据!$B$23="已锁仓","禁止开仓：连续亏损达到上限",IF(账户数据!$B$23="解锁信息不完整","禁止开仓：请完整填写解锁信息",IF(OR(F19="",E19="",N19="",E19&lt;=N19,账户数据!$B$7=""),"",IF(OR(AG19="",AH19="",AI19=""),"禁止开仓：交易预期未填写完整",IF(账户数据!$B$9+F19*(E19-N19)&gt;=账户数据!$B$7,"禁止开仓：风险额度不足",IF(AJ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" s="4"/>
      <c r="I19" s="8"/>
      <c r="J19" s="5"/>
      <c r="K19" s="5"/>
      <c r="L19" s="7" t="str">
        <f aca="false">IF(AP19="","",AP19)</f>
        <v/>
      </c>
      <c r="M19" s="8"/>
      <c r="N19" s="5"/>
      <c r="O19" s="5"/>
      <c r="P19" s="5"/>
      <c r="Q19" s="4"/>
      <c r="R19" s="4"/>
      <c r="S19" s="4"/>
      <c r="T19" s="4"/>
      <c r="U19" s="9" t="str">
        <f aca="false">IF(OR(AO19="",J19="",AO19&lt;=0),"",(J19-AO19)/AO19)</f>
        <v/>
      </c>
      <c r="V19" s="9" t="str">
        <f aca="false">IF(OR(AO19="",N19="",AO19&lt;=0),"",(AO19-N19)/AO19)</f>
        <v/>
      </c>
      <c r="W19" s="10" t="str">
        <f aca="false">IF(OR(U19="",V19="",V19&lt;=0),"",U19/V19)</f>
        <v/>
      </c>
      <c r="X19" s="11" t="str">
        <f aca="false">IF(OR(K19="",L19="",AO19="",AP19=""),"",(K19-AO19)*L19-IF(O19="",0,O19)-IF(P19="",0,P19))</f>
        <v/>
      </c>
      <c r="Y19" s="9" t="str">
        <f aca="false">IF(OR(X19="",AO19="",L19=""),"",IF(AO19*L19+IF(O19="",0,O19)&lt;=0,"",X19/(AO19*L19+IF(O19="",0,O19))))</f>
        <v/>
      </c>
      <c r="Z19" s="9" t="str">
        <f aca="false">IF(OR(AE19="",多次统计数据!$B$8=""),"",AE19-多次统计数据!$B$8)</f>
        <v/>
      </c>
      <c r="AA19" s="12" t="str">
        <f aca="false">IF(OR(I19="",M19="",M19&lt;I19),"",M19-I19)</f>
        <v/>
      </c>
      <c r="AB19" s="9" t="str">
        <f aca="false">IF(OR(A19="",多次统计数据!$B$8="",多次统计数据!$B$6&lt;=0,多次统计数据!$B$6&gt;=1),"",1-POWER(1+多次统计数据!$B$8,-多次统计数据!$B$6/(1-多次统计数据!$B$6)))</f>
        <v/>
      </c>
      <c r="AC19" s="7" t="str">
        <f aca="false">IF(OR(AB19="",多次统计数据!$B$9=""),"",IF(多次统计数据!$B$9&lt;AB19,"低于上限","达到或超过上限"))</f>
        <v/>
      </c>
      <c r="AD19" s="4"/>
      <c r="AE19" s="9" t="str">
        <f aca="false">IF(OR(X19="",C19="",C19&lt;=0),"",X19/C19)</f>
        <v/>
      </c>
      <c r="AG19" s="4"/>
      <c r="AH19" s="4"/>
      <c r="AI19" s="4"/>
      <c r="AJ19" s="7" t="str">
        <f aca="false">IF(OR(AG19="",AH19=""),"",IF(OR(AND(AG19="短期博反弹",OR(AH19="1～3个交易日",AH19="4～10个交易日")),AND(AG19="突破冲新高",OR(AH19="4～10个交易日",AH19="11～20个交易日")),AND(AG19="趋势波段",OR(AH19="11～20个交易日",AH19="21～60个交易日",AH19="60个交易日以上"))),"匹配","周期与交易预期不匹配，请重新确认"))</f>
        <v/>
      </c>
      <c r="AK19" s="13" t="str">
        <f aca="false">IF(A19="","",COUNTIFS(加仓管理!$A$2:$A$1001,A19,加仓管理!$G$2:$G$1001,"&gt;0"))</f>
        <v/>
      </c>
      <c r="AL19" s="13" t="str">
        <f aca="false">IF(A19="","",SUMIFS(加仓管理!$G$2:$G$1001,加仓管理!$A$2:$A$1001,A19))</f>
        <v/>
      </c>
      <c r="AM19" s="14" t="str">
        <f aca="false">IF(AK19=0,"",IFERROR(LOOKUP(2,1/((加仓管理!$A$2:$A$1001=A19)*(加仓管理!$G$2:$G$1001&gt;0)),加仓管理!$D$2:$D$1001),""))</f>
        <v/>
      </c>
      <c r="AN19" s="14" t="str">
        <f aca="false">IF(AK19=0,"",IFERROR(LOOKUP(2,1/((加仓管理!$A$2:$A$1001=A19)*(加仓管理!$G$2:$G$1001&gt;0)),加仓管理!$E$2:$E$1001),""))</f>
        <v/>
      </c>
      <c r="AO19" s="14" t="str">
        <f aca="false">IF(OR(A19="",H19="",H19&lt;=0),"",(E19*H19+SUMIFS(加仓管理!$H$2:$H$1001,加仓管理!$A$2:$A$1001,A19))/AP19)</f>
        <v/>
      </c>
      <c r="AP19" s="13" t="str">
        <f aca="false">IF(OR(A19="",H19="",H19&lt;=0),"",H19+AL19)</f>
        <v/>
      </c>
      <c r="AQ19" s="14" t="str">
        <f aca="false">IF(A19="","",IF(M19&lt;&gt;"",0,IF(OR(H19="",N19=""),"",MAX((E19*H19+SUMIFS(加仓管理!$H$2:$H$1001,加仓管理!$A$2:$A$1001,A19))-MAX(N19,AN19)*AP19,0))))</f>
        <v/>
      </c>
      <c r="AR19" s="15" t="str">
        <f aca="false">IF(A19="","",IF(OR(E19="",H19=""),"违规：首次买入价格或股数缺失",IF(COUNTIFS(加仓管理!$A$2:$A$1001,A19,加仓管理!$R$2:$R$1001,"违规*")&gt;0,"违规：请检查加仓管理表",IF(SUM($AQ$2:$AQ$201)&gt;账户数据!$B$7,"预警：超过账户风险上限",IF(COUNTIFS(加仓管理!$A$2:$A$1001,A19,加仓管理!$N$2:$N$1001,"&gt;0",加仓管理!$G$2:$G$1001,"")&gt;0,"提示：存在待执行加仓计划","通过")))))</f>
        <v/>
      </c>
    </row>
    <row r="20" customFormat="false" ht="13.5" hidden="false" customHeight="false" outlineLevel="0" collapsed="false">
      <c r="A20" s="4"/>
      <c r="B20" s="4"/>
      <c r="C20" s="5"/>
      <c r="D20" s="6"/>
      <c r="E20" s="5"/>
      <c r="F20" s="7" t="str">
        <f aca="false">IF(OR(C20="",D20="",E20="",N20="",C20&lt;=0,D20&lt;=0,E20&lt;=N20),"",ROUNDDOWN((C20*D20)/(E20-N20)/100,0)*100)</f>
        <v/>
      </c>
      <c r="G20" s="7" t="str">
        <f aca="false">IF(A20="","",IF(H20&lt;&gt;"","已开仓",IF(账户数据!$B$23="已锁仓","禁止开仓：连续亏损达到上限",IF(账户数据!$B$23="解锁信息不完整","禁止开仓：请完整填写解锁信息",IF(OR(F20="",E20="",N20="",E20&lt;=N20,账户数据!$B$7=""),"",IF(OR(AG20="",AH20="",AI20=""),"禁止开仓：交易预期未填写完整",IF(账户数据!$B$9+F20*(E20-N20)&gt;=账户数据!$B$7,"禁止开仓：风险额度不足",IF(AJ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" s="4"/>
      <c r="I20" s="8"/>
      <c r="J20" s="5"/>
      <c r="K20" s="5"/>
      <c r="L20" s="7" t="str">
        <f aca="false">IF(AP20="","",AP20)</f>
        <v/>
      </c>
      <c r="M20" s="8"/>
      <c r="N20" s="5"/>
      <c r="O20" s="5"/>
      <c r="P20" s="5"/>
      <c r="Q20" s="4"/>
      <c r="R20" s="4"/>
      <c r="S20" s="4"/>
      <c r="T20" s="4"/>
      <c r="U20" s="9" t="str">
        <f aca="false">IF(OR(AO20="",J20="",AO20&lt;=0),"",(J20-AO20)/AO20)</f>
        <v/>
      </c>
      <c r="V20" s="9" t="str">
        <f aca="false">IF(OR(AO20="",N20="",AO20&lt;=0),"",(AO20-N20)/AO20)</f>
        <v/>
      </c>
      <c r="W20" s="10" t="str">
        <f aca="false">IF(OR(U20="",V20="",V20&lt;=0),"",U20/V20)</f>
        <v/>
      </c>
      <c r="X20" s="11" t="str">
        <f aca="false">IF(OR(K20="",L20="",AO20="",AP20=""),"",(K20-AO20)*L20-IF(O20="",0,O20)-IF(P20="",0,P20))</f>
        <v/>
      </c>
      <c r="Y20" s="9" t="str">
        <f aca="false">IF(OR(X20="",AO20="",L20=""),"",IF(AO20*L20+IF(O20="",0,O20)&lt;=0,"",X20/(AO20*L20+IF(O20="",0,O20))))</f>
        <v/>
      </c>
      <c r="Z20" s="9" t="str">
        <f aca="false">IF(OR(AE20="",多次统计数据!$B$8=""),"",AE20-多次统计数据!$B$8)</f>
        <v/>
      </c>
      <c r="AA20" s="12" t="str">
        <f aca="false">IF(OR(I20="",M20="",M20&lt;I20),"",M20-I20)</f>
        <v/>
      </c>
      <c r="AB20" s="9" t="str">
        <f aca="false">IF(OR(A20="",多次统计数据!$B$8="",多次统计数据!$B$6&lt;=0,多次统计数据!$B$6&gt;=1),"",1-POWER(1+多次统计数据!$B$8,-多次统计数据!$B$6/(1-多次统计数据!$B$6)))</f>
        <v/>
      </c>
      <c r="AC20" s="7" t="str">
        <f aca="false">IF(OR(AB20="",多次统计数据!$B$9=""),"",IF(多次统计数据!$B$9&lt;AB20,"低于上限","达到或超过上限"))</f>
        <v/>
      </c>
      <c r="AD20" s="4"/>
      <c r="AE20" s="9" t="str">
        <f aca="false">IF(OR(X20="",C20="",C20&lt;=0),"",X20/C20)</f>
        <v/>
      </c>
      <c r="AG20" s="4"/>
      <c r="AH20" s="4"/>
      <c r="AI20" s="4"/>
      <c r="AJ20" s="7" t="str">
        <f aca="false">IF(OR(AG20="",AH20=""),"",IF(OR(AND(AG20="短期博反弹",OR(AH20="1～3个交易日",AH20="4～10个交易日")),AND(AG20="突破冲新高",OR(AH20="4～10个交易日",AH20="11～20个交易日")),AND(AG20="趋势波段",OR(AH20="11～20个交易日",AH20="21～60个交易日",AH20="60个交易日以上"))),"匹配","周期与交易预期不匹配，请重新确认"))</f>
        <v/>
      </c>
      <c r="AK20" s="13" t="str">
        <f aca="false">IF(A20="","",COUNTIFS(加仓管理!$A$2:$A$1001,A20,加仓管理!$G$2:$G$1001,"&gt;0"))</f>
        <v/>
      </c>
      <c r="AL20" s="13" t="str">
        <f aca="false">IF(A20="","",SUMIFS(加仓管理!$G$2:$G$1001,加仓管理!$A$2:$A$1001,A20))</f>
        <v/>
      </c>
      <c r="AM20" s="14" t="str">
        <f aca="false">IF(AK20=0,"",IFERROR(LOOKUP(2,1/((加仓管理!$A$2:$A$1001=A20)*(加仓管理!$G$2:$G$1001&gt;0)),加仓管理!$D$2:$D$1001),""))</f>
        <v/>
      </c>
      <c r="AN20" s="14" t="str">
        <f aca="false">IF(AK20=0,"",IFERROR(LOOKUP(2,1/((加仓管理!$A$2:$A$1001=A20)*(加仓管理!$G$2:$G$1001&gt;0)),加仓管理!$E$2:$E$1001),""))</f>
        <v/>
      </c>
      <c r="AO20" s="14" t="str">
        <f aca="false">IF(OR(A20="",H20="",H20&lt;=0),"",(E20*H20+SUMIFS(加仓管理!$H$2:$H$1001,加仓管理!$A$2:$A$1001,A20))/AP20)</f>
        <v/>
      </c>
      <c r="AP20" s="13" t="str">
        <f aca="false">IF(OR(A20="",H20="",H20&lt;=0),"",H20+AL20)</f>
        <v/>
      </c>
      <c r="AQ20" s="14" t="str">
        <f aca="false">IF(A20="","",IF(M20&lt;&gt;"",0,IF(OR(H20="",N20=""),"",MAX((E20*H20+SUMIFS(加仓管理!$H$2:$H$1001,加仓管理!$A$2:$A$1001,A20))-MAX(N20,AN20)*AP20,0))))</f>
        <v/>
      </c>
      <c r="AR20" s="15" t="str">
        <f aca="false">IF(A20="","",IF(OR(E20="",H20=""),"违规：首次买入价格或股数缺失",IF(COUNTIFS(加仓管理!$A$2:$A$1001,A20,加仓管理!$R$2:$R$1001,"违规*")&gt;0,"违规：请检查加仓管理表",IF(SUM($AQ$2:$AQ$201)&gt;账户数据!$B$7,"预警：超过账户风险上限",IF(COUNTIFS(加仓管理!$A$2:$A$1001,A20,加仓管理!$N$2:$N$1001,"&gt;0",加仓管理!$G$2:$G$1001,"")&gt;0,"提示：存在待执行加仓计划","通过")))))</f>
        <v/>
      </c>
    </row>
    <row r="21" customFormat="false" ht="13.5" hidden="false" customHeight="false" outlineLevel="0" collapsed="false">
      <c r="A21" s="4"/>
      <c r="B21" s="4"/>
      <c r="C21" s="5"/>
      <c r="D21" s="6"/>
      <c r="E21" s="5"/>
      <c r="F21" s="7" t="str">
        <f aca="false">IF(OR(C21="",D21="",E21="",N21="",C21&lt;=0,D21&lt;=0,E21&lt;=N21),"",ROUNDDOWN((C21*D21)/(E21-N21)/100,0)*100)</f>
        <v/>
      </c>
      <c r="G21" s="7" t="str">
        <f aca="false">IF(A21="","",IF(H21&lt;&gt;"","已开仓",IF(账户数据!$B$23="已锁仓","禁止开仓：连续亏损达到上限",IF(账户数据!$B$23="解锁信息不完整","禁止开仓：请完整填写解锁信息",IF(OR(F21="",E21="",N21="",E21&lt;=N21,账户数据!$B$7=""),"",IF(OR(AG21="",AH21="",AI21=""),"禁止开仓：交易预期未填写完整",IF(账户数据!$B$9+F21*(E21-N21)&gt;=账户数据!$B$7,"禁止开仓：风险额度不足",IF(AJ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1" s="4"/>
      <c r="I21" s="8"/>
      <c r="J21" s="5"/>
      <c r="K21" s="5"/>
      <c r="L21" s="7" t="str">
        <f aca="false">IF(AP21="","",AP21)</f>
        <v/>
      </c>
      <c r="M21" s="8"/>
      <c r="N21" s="5"/>
      <c r="O21" s="5"/>
      <c r="P21" s="5"/>
      <c r="Q21" s="4"/>
      <c r="R21" s="4"/>
      <c r="S21" s="4"/>
      <c r="T21" s="4"/>
      <c r="U21" s="9" t="str">
        <f aca="false">IF(OR(AO21="",J21="",AO21&lt;=0),"",(J21-AO21)/AO21)</f>
        <v/>
      </c>
      <c r="V21" s="9" t="str">
        <f aca="false">IF(OR(AO21="",N21="",AO21&lt;=0),"",(AO21-N21)/AO21)</f>
        <v/>
      </c>
      <c r="W21" s="10" t="str">
        <f aca="false">IF(OR(U21="",V21="",V21&lt;=0),"",U21/V21)</f>
        <v/>
      </c>
      <c r="X21" s="11" t="str">
        <f aca="false">IF(OR(K21="",L21="",AO21="",AP21=""),"",(K21-AO21)*L21-IF(O21="",0,O21)-IF(P21="",0,P21))</f>
        <v/>
      </c>
      <c r="Y21" s="9" t="str">
        <f aca="false">IF(OR(X21="",AO21="",L21=""),"",IF(AO21*L21+IF(O21="",0,O21)&lt;=0,"",X21/(AO21*L21+IF(O21="",0,O21))))</f>
        <v/>
      </c>
      <c r="Z21" s="9" t="str">
        <f aca="false">IF(OR(AE21="",多次统计数据!$B$8=""),"",AE21-多次统计数据!$B$8)</f>
        <v/>
      </c>
      <c r="AA21" s="12" t="str">
        <f aca="false">IF(OR(I21="",M21="",M21&lt;I21),"",M21-I21)</f>
        <v/>
      </c>
      <c r="AB21" s="9" t="str">
        <f aca="false">IF(OR(A21="",多次统计数据!$B$8="",多次统计数据!$B$6&lt;=0,多次统计数据!$B$6&gt;=1),"",1-POWER(1+多次统计数据!$B$8,-多次统计数据!$B$6/(1-多次统计数据!$B$6)))</f>
        <v/>
      </c>
      <c r="AC21" s="7" t="str">
        <f aca="false">IF(OR(AB21="",多次统计数据!$B$9=""),"",IF(多次统计数据!$B$9&lt;AB21,"低于上限","达到或超过上限"))</f>
        <v/>
      </c>
      <c r="AD21" s="4"/>
      <c r="AE21" s="9" t="str">
        <f aca="false">IF(OR(X21="",C21="",C21&lt;=0),"",X21/C21)</f>
        <v/>
      </c>
      <c r="AG21" s="4"/>
      <c r="AH21" s="4"/>
      <c r="AI21" s="4"/>
      <c r="AJ21" s="7" t="str">
        <f aca="false">IF(OR(AG21="",AH21=""),"",IF(OR(AND(AG21="短期博反弹",OR(AH21="1～3个交易日",AH21="4～10个交易日")),AND(AG21="突破冲新高",OR(AH21="4～10个交易日",AH21="11～20个交易日")),AND(AG21="趋势波段",OR(AH21="11～20个交易日",AH21="21～60个交易日",AH21="60个交易日以上"))),"匹配","周期与交易预期不匹配，请重新确认"))</f>
        <v/>
      </c>
      <c r="AK21" s="13" t="str">
        <f aca="false">IF(A21="","",COUNTIFS(加仓管理!$A$2:$A$1001,A21,加仓管理!$G$2:$G$1001,"&gt;0"))</f>
        <v/>
      </c>
      <c r="AL21" s="13" t="str">
        <f aca="false">IF(A21="","",SUMIFS(加仓管理!$G$2:$G$1001,加仓管理!$A$2:$A$1001,A21))</f>
        <v/>
      </c>
      <c r="AM21" s="14" t="str">
        <f aca="false">IF(AK21=0,"",IFERROR(LOOKUP(2,1/((加仓管理!$A$2:$A$1001=A21)*(加仓管理!$G$2:$G$1001&gt;0)),加仓管理!$D$2:$D$1001),""))</f>
        <v/>
      </c>
      <c r="AN21" s="14" t="str">
        <f aca="false">IF(AK21=0,"",IFERROR(LOOKUP(2,1/((加仓管理!$A$2:$A$1001=A21)*(加仓管理!$G$2:$G$1001&gt;0)),加仓管理!$E$2:$E$1001),""))</f>
        <v/>
      </c>
      <c r="AO21" s="14" t="str">
        <f aca="false">IF(OR(A21="",H21="",H21&lt;=0),"",(E21*H21+SUMIFS(加仓管理!$H$2:$H$1001,加仓管理!$A$2:$A$1001,A21))/AP21)</f>
        <v/>
      </c>
      <c r="AP21" s="13" t="str">
        <f aca="false">IF(OR(A21="",H21="",H21&lt;=0),"",H21+AL21)</f>
        <v/>
      </c>
      <c r="AQ21" s="14" t="str">
        <f aca="false">IF(A21="","",IF(M21&lt;&gt;"",0,IF(OR(H21="",N21=""),"",MAX((E21*H21+SUMIFS(加仓管理!$H$2:$H$1001,加仓管理!$A$2:$A$1001,A21))-MAX(N21,AN21)*AP21,0))))</f>
        <v/>
      </c>
      <c r="AR21" s="15" t="str">
        <f aca="false">IF(A21="","",IF(OR(E21="",H21=""),"违规：首次买入价格或股数缺失",IF(COUNTIFS(加仓管理!$A$2:$A$1001,A21,加仓管理!$R$2:$R$1001,"违规*")&gt;0,"违规：请检查加仓管理表",IF(SUM($AQ$2:$AQ$201)&gt;账户数据!$B$7,"预警：超过账户风险上限",IF(COUNTIFS(加仓管理!$A$2:$A$1001,A21,加仓管理!$N$2:$N$1001,"&gt;0",加仓管理!$G$2:$G$1001,"")&gt;0,"提示：存在待执行加仓计划","通过")))))</f>
        <v/>
      </c>
    </row>
    <row r="22" customFormat="false" ht="13.5" hidden="false" customHeight="false" outlineLevel="0" collapsed="false">
      <c r="A22" s="4"/>
      <c r="B22" s="4"/>
      <c r="C22" s="5"/>
      <c r="D22" s="6"/>
      <c r="E22" s="5"/>
      <c r="F22" s="7" t="str">
        <f aca="false">IF(OR(C22="",D22="",E22="",N22="",C22&lt;=0,D22&lt;=0,E22&lt;=N22),"",ROUNDDOWN((C22*D22)/(E22-N22)/100,0)*100)</f>
        <v/>
      </c>
      <c r="G22" s="7" t="str">
        <f aca="false">IF(A22="","",IF(H22&lt;&gt;"","已开仓",IF(账户数据!$B$23="已锁仓","禁止开仓：连续亏损达到上限",IF(账户数据!$B$23="解锁信息不完整","禁止开仓：请完整填写解锁信息",IF(OR(F22="",E22="",N22="",E22&lt;=N22,账户数据!$B$7=""),"",IF(OR(AG22="",AH22="",AI22=""),"禁止开仓：交易预期未填写完整",IF(账户数据!$B$9+F22*(E22-N22)&gt;=账户数据!$B$7,"禁止开仓：风险额度不足",IF(AJ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2" s="4"/>
      <c r="I22" s="8"/>
      <c r="J22" s="5"/>
      <c r="K22" s="5"/>
      <c r="L22" s="7" t="str">
        <f aca="false">IF(AP22="","",AP22)</f>
        <v/>
      </c>
      <c r="M22" s="8"/>
      <c r="N22" s="5"/>
      <c r="O22" s="5"/>
      <c r="P22" s="5"/>
      <c r="Q22" s="4"/>
      <c r="R22" s="4"/>
      <c r="S22" s="4"/>
      <c r="T22" s="4"/>
      <c r="U22" s="9" t="str">
        <f aca="false">IF(OR(AO22="",J22="",AO22&lt;=0),"",(J22-AO22)/AO22)</f>
        <v/>
      </c>
      <c r="V22" s="9" t="str">
        <f aca="false">IF(OR(AO22="",N22="",AO22&lt;=0),"",(AO22-N22)/AO22)</f>
        <v/>
      </c>
      <c r="W22" s="10" t="str">
        <f aca="false">IF(OR(U22="",V22="",V22&lt;=0),"",U22/V22)</f>
        <v/>
      </c>
      <c r="X22" s="11" t="str">
        <f aca="false">IF(OR(K22="",L22="",AO22="",AP22=""),"",(K22-AO22)*L22-IF(O22="",0,O22)-IF(P22="",0,P22))</f>
        <v/>
      </c>
      <c r="Y22" s="9" t="str">
        <f aca="false">IF(OR(X22="",AO22="",L22=""),"",IF(AO22*L22+IF(O22="",0,O22)&lt;=0,"",X22/(AO22*L22+IF(O22="",0,O22))))</f>
        <v/>
      </c>
      <c r="Z22" s="9" t="str">
        <f aca="false">IF(OR(AE22="",多次统计数据!$B$8=""),"",AE22-多次统计数据!$B$8)</f>
        <v/>
      </c>
      <c r="AA22" s="12" t="str">
        <f aca="false">IF(OR(I22="",M22="",M22&lt;I22),"",M22-I22)</f>
        <v/>
      </c>
      <c r="AB22" s="9" t="str">
        <f aca="false">IF(OR(A22="",多次统计数据!$B$8="",多次统计数据!$B$6&lt;=0,多次统计数据!$B$6&gt;=1),"",1-POWER(1+多次统计数据!$B$8,-多次统计数据!$B$6/(1-多次统计数据!$B$6)))</f>
        <v/>
      </c>
      <c r="AC22" s="7" t="str">
        <f aca="false">IF(OR(AB22="",多次统计数据!$B$9=""),"",IF(多次统计数据!$B$9&lt;AB22,"低于上限","达到或超过上限"))</f>
        <v/>
      </c>
      <c r="AD22" s="4"/>
      <c r="AE22" s="9" t="str">
        <f aca="false">IF(OR(X22="",C22="",C22&lt;=0),"",X22/C22)</f>
        <v/>
      </c>
      <c r="AG22" s="4"/>
      <c r="AH22" s="4"/>
      <c r="AI22" s="4"/>
      <c r="AJ22" s="7" t="str">
        <f aca="false">IF(OR(AG22="",AH22=""),"",IF(OR(AND(AG22="短期博反弹",OR(AH22="1～3个交易日",AH22="4～10个交易日")),AND(AG22="突破冲新高",OR(AH22="4～10个交易日",AH22="11～20个交易日")),AND(AG22="趋势波段",OR(AH22="11～20个交易日",AH22="21～60个交易日",AH22="60个交易日以上"))),"匹配","周期与交易预期不匹配，请重新确认"))</f>
        <v/>
      </c>
      <c r="AK22" s="13" t="str">
        <f aca="false">IF(A22="","",COUNTIFS(加仓管理!$A$2:$A$1001,A22,加仓管理!$G$2:$G$1001,"&gt;0"))</f>
        <v/>
      </c>
      <c r="AL22" s="13" t="str">
        <f aca="false">IF(A22="","",SUMIFS(加仓管理!$G$2:$G$1001,加仓管理!$A$2:$A$1001,A22))</f>
        <v/>
      </c>
      <c r="AM22" s="14" t="str">
        <f aca="false">IF(AK22=0,"",IFERROR(LOOKUP(2,1/((加仓管理!$A$2:$A$1001=A22)*(加仓管理!$G$2:$G$1001&gt;0)),加仓管理!$D$2:$D$1001),""))</f>
        <v/>
      </c>
      <c r="AN22" s="14" t="str">
        <f aca="false">IF(AK22=0,"",IFERROR(LOOKUP(2,1/((加仓管理!$A$2:$A$1001=A22)*(加仓管理!$G$2:$G$1001&gt;0)),加仓管理!$E$2:$E$1001),""))</f>
        <v/>
      </c>
      <c r="AO22" s="14" t="str">
        <f aca="false">IF(OR(A22="",H22="",H22&lt;=0),"",(E22*H22+SUMIFS(加仓管理!$H$2:$H$1001,加仓管理!$A$2:$A$1001,A22))/AP22)</f>
        <v/>
      </c>
      <c r="AP22" s="13" t="str">
        <f aca="false">IF(OR(A22="",H22="",H22&lt;=0),"",H22+AL22)</f>
        <v/>
      </c>
      <c r="AQ22" s="14" t="str">
        <f aca="false">IF(A22="","",IF(M22&lt;&gt;"",0,IF(OR(H22="",N22=""),"",MAX((E22*H22+SUMIFS(加仓管理!$H$2:$H$1001,加仓管理!$A$2:$A$1001,A22))-MAX(N22,AN22)*AP22,0))))</f>
        <v/>
      </c>
      <c r="AR22" s="15" t="str">
        <f aca="false">IF(A22="","",IF(OR(E22="",H22=""),"违规：首次买入价格或股数缺失",IF(COUNTIFS(加仓管理!$A$2:$A$1001,A22,加仓管理!$R$2:$R$1001,"违规*")&gt;0,"违规：请检查加仓管理表",IF(SUM($AQ$2:$AQ$201)&gt;账户数据!$B$7,"预警：超过账户风险上限",IF(COUNTIFS(加仓管理!$A$2:$A$1001,A22,加仓管理!$N$2:$N$1001,"&gt;0",加仓管理!$G$2:$G$1001,"")&gt;0,"提示：存在待执行加仓计划","通过")))))</f>
        <v/>
      </c>
    </row>
    <row r="23" customFormat="false" ht="13.5" hidden="false" customHeight="false" outlineLevel="0" collapsed="false">
      <c r="A23" s="4"/>
      <c r="B23" s="4"/>
      <c r="C23" s="5"/>
      <c r="D23" s="6"/>
      <c r="E23" s="5"/>
      <c r="F23" s="7" t="str">
        <f aca="false">IF(OR(C23="",D23="",E23="",N23="",C23&lt;=0,D23&lt;=0,E23&lt;=N23),"",ROUNDDOWN((C23*D23)/(E23-N23)/100,0)*100)</f>
        <v/>
      </c>
      <c r="G23" s="7" t="str">
        <f aca="false">IF(A23="","",IF(H23&lt;&gt;"","已开仓",IF(账户数据!$B$23="已锁仓","禁止开仓：连续亏损达到上限",IF(账户数据!$B$23="解锁信息不完整","禁止开仓：请完整填写解锁信息",IF(OR(F23="",E23="",N23="",E23&lt;=N23,账户数据!$B$7=""),"",IF(OR(AG23="",AH23="",AI23=""),"禁止开仓：交易预期未填写完整",IF(账户数据!$B$9+F23*(E23-N23)&gt;=账户数据!$B$7,"禁止开仓：风险额度不足",IF(AJ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3" s="4"/>
      <c r="I23" s="8"/>
      <c r="J23" s="5"/>
      <c r="K23" s="5"/>
      <c r="L23" s="7" t="str">
        <f aca="false">IF(AP23="","",AP23)</f>
        <v/>
      </c>
      <c r="M23" s="8"/>
      <c r="N23" s="5"/>
      <c r="O23" s="5"/>
      <c r="P23" s="5"/>
      <c r="Q23" s="4"/>
      <c r="R23" s="4"/>
      <c r="S23" s="4"/>
      <c r="T23" s="4"/>
      <c r="U23" s="9" t="str">
        <f aca="false">IF(OR(AO23="",J23="",AO23&lt;=0),"",(J23-AO23)/AO23)</f>
        <v/>
      </c>
      <c r="V23" s="9" t="str">
        <f aca="false">IF(OR(AO23="",N23="",AO23&lt;=0),"",(AO23-N23)/AO23)</f>
        <v/>
      </c>
      <c r="W23" s="10" t="str">
        <f aca="false">IF(OR(U23="",V23="",V23&lt;=0),"",U23/V23)</f>
        <v/>
      </c>
      <c r="X23" s="11" t="str">
        <f aca="false">IF(OR(K23="",L23="",AO23="",AP23=""),"",(K23-AO23)*L23-IF(O23="",0,O23)-IF(P23="",0,P23))</f>
        <v/>
      </c>
      <c r="Y23" s="9" t="str">
        <f aca="false">IF(OR(X23="",AO23="",L23=""),"",IF(AO23*L23+IF(O23="",0,O23)&lt;=0,"",X23/(AO23*L23+IF(O23="",0,O23))))</f>
        <v/>
      </c>
      <c r="Z23" s="9" t="str">
        <f aca="false">IF(OR(AE23="",多次统计数据!$B$8=""),"",AE23-多次统计数据!$B$8)</f>
        <v/>
      </c>
      <c r="AA23" s="12" t="str">
        <f aca="false">IF(OR(I23="",M23="",M23&lt;I23),"",M23-I23)</f>
        <v/>
      </c>
      <c r="AB23" s="9" t="str">
        <f aca="false">IF(OR(A23="",多次统计数据!$B$8="",多次统计数据!$B$6&lt;=0,多次统计数据!$B$6&gt;=1),"",1-POWER(1+多次统计数据!$B$8,-多次统计数据!$B$6/(1-多次统计数据!$B$6)))</f>
        <v/>
      </c>
      <c r="AC23" s="7" t="str">
        <f aca="false">IF(OR(AB23="",多次统计数据!$B$9=""),"",IF(多次统计数据!$B$9&lt;AB23,"低于上限","达到或超过上限"))</f>
        <v/>
      </c>
      <c r="AD23" s="4"/>
      <c r="AE23" s="9" t="str">
        <f aca="false">IF(OR(X23="",C23="",C23&lt;=0),"",X23/C23)</f>
        <v/>
      </c>
      <c r="AG23" s="4"/>
      <c r="AH23" s="4"/>
      <c r="AI23" s="4"/>
      <c r="AJ23" s="7" t="str">
        <f aca="false">IF(OR(AG23="",AH23=""),"",IF(OR(AND(AG23="短期博反弹",OR(AH23="1～3个交易日",AH23="4～10个交易日")),AND(AG23="突破冲新高",OR(AH23="4～10个交易日",AH23="11～20个交易日")),AND(AG23="趋势波段",OR(AH23="11～20个交易日",AH23="21～60个交易日",AH23="60个交易日以上"))),"匹配","周期与交易预期不匹配，请重新确认"))</f>
        <v/>
      </c>
      <c r="AK23" s="13" t="str">
        <f aca="false">IF(A23="","",COUNTIFS(加仓管理!$A$2:$A$1001,A23,加仓管理!$G$2:$G$1001,"&gt;0"))</f>
        <v/>
      </c>
      <c r="AL23" s="13" t="str">
        <f aca="false">IF(A23="","",SUMIFS(加仓管理!$G$2:$G$1001,加仓管理!$A$2:$A$1001,A23))</f>
        <v/>
      </c>
      <c r="AM23" s="14" t="str">
        <f aca="false">IF(AK23=0,"",IFERROR(LOOKUP(2,1/((加仓管理!$A$2:$A$1001=A23)*(加仓管理!$G$2:$G$1001&gt;0)),加仓管理!$D$2:$D$1001),""))</f>
        <v/>
      </c>
      <c r="AN23" s="14" t="str">
        <f aca="false">IF(AK23=0,"",IFERROR(LOOKUP(2,1/((加仓管理!$A$2:$A$1001=A23)*(加仓管理!$G$2:$G$1001&gt;0)),加仓管理!$E$2:$E$1001),""))</f>
        <v/>
      </c>
      <c r="AO23" s="14" t="str">
        <f aca="false">IF(OR(A23="",H23="",H23&lt;=0),"",(E23*H23+SUMIFS(加仓管理!$H$2:$H$1001,加仓管理!$A$2:$A$1001,A23))/AP23)</f>
        <v/>
      </c>
      <c r="AP23" s="13" t="str">
        <f aca="false">IF(OR(A23="",H23="",H23&lt;=0),"",H23+AL23)</f>
        <v/>
      </c>
      <c r="AQ23" s="14" t="str">
        <f aca="false">IF(A23="","",IF(M23&lt;&gt;"",0,IF(OR(H23="",N23=""),"",MAX((E23*H23+SUMIFS(加仓管理!$H$2:$H$1001,加仓管理!$A$2:$A$1001,A23))-MAX(N23,AN23)*AP23,0))))</f>
        <v/>
      </c>
      <c r="AR23" s="15" t="str">
        <f aca="false">IF(A23="","",IF(OR(E23="",H23=""),"违规：首次买入价格或股数缺失",IF(COUNTIFS(加仓管理!$A$2:$A$1001,A23,加仓管理!$R$2:$R$1001,"违规*")&gt;0,"违规：请检查加仓管理表",IF(SUM($AQ$2:$AQ$201)&gt;账户数据!$B$7,"预警：超过账户风险上限",IF(COUNTIFS(加仓管理!$A$2:$A$1001,A23,加仓管理!$N$2:$N$1001,"&gt;0",加仓管理!$G$2:$G$1001,"")&gt;0,"提示：存在待执行加仓计划","通过")))))</f>
        <v/>
      </c>
    </row>
    <row r="24" customFormat="false" ht="13.5" hidden="false" customHeight="false" outlineLevel="0" collapsed="false">
      <c r="A24" s="4"/>
      <c r="B24" s="4"/>
      <c r="C24" s="5"/>
      <c r="D24" s="6"/>
      <c r="E24" s="5"/>
      <c r="F24" s="7" t="str">
        <f aca="false">IF(OR(C24="",D24="",E24="",N24="",C24&lt;=0,D24&lt;=0,E24&lt;=N24),"",ROUNDDOWN((C24*D24)/(E24-N24)/100,0)*100)</f>
        <v/>
      </c>
      <c r="G24" s="7" t="str">
        <f aca="false">IF(A24="","",IF(H24&lt;&gt;"","已开仓",IF(账户数据!$B$23="已锁仓","禁止开仓：连续亏损达到上限",IF(账户数据!$B$23="解锁信息不完整","禁止开仓：请完整填写解锁信息",IF(OR(F24="",E24="",N24="",E24&lt;=N24,账户数据!$B$7=""),"",IF(OR(AG24="",AH24="",AI24=""),"禁止开仓：交易预期未填写完整",IF(账户数据!$B$9+F24*(E24-N24)&gt;=账户数据!$B$7,"禁止开仓：风险额度不足",IF(AJ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4" s="4"/>
      <c r="I24" s="8"/>
      <c r="J24" s="5"/>
      <c r="K24" s="5"/>
      <c r="L24" s="7" t="str">
        <f aca="false">IF(AP24="","",AP24)</f>
        <v/>
      </c>
      <c r="M24" s="8"/>
      <c r="N24" s="5"/>
      <c r="O24" s="5"/>
      <c r="P24" s="5"/>
      <c r="Q24" s="4"/>
      <c r="R24" s="4"/>
      <c r="S24" s="4"/>
      <c r="T24" s="4"/>
      <c r="U24" s="9" t="str">
        <f aca="false">IF(OR(AO24="",J24="",AO24&lt;=0),"",(J24-AO24)/AO24)</f>
        <v/>
      </c>
      <c r="V24" s="9" t="str">
        <f aca="false">IF(OR(AO24="",N24="",AO24&lt;=0),"",(AO24-N24)/AO24)</f>
        <v/>
      </c>
      <c r="W24" s="10" t="str">
        <f aca="false">IF(OR(U24="",V24="",V24&lt;=0),"",U24/V24)</f>
        <v/>
      </c>
      <c r="X24" s="11" t="str">
        <f aca="false">IF(OR(K24="",L24="",AO24="",AP24=""),"",(K24-AO24)*L24-IF(O24="",0,O24)-IF(P24="",0,P24))</f>
        <v/>
      </c>
      <c r="Y24" s="9" t="str">
        <f aca="false">IF(OR(X24="",AO24="",L24=""),"",IF(AO24*L24+IF(O24="",0,O24)&lt;=0,"",X24/(AO24*L24+IF(O24="",0,O24))))</f>
        <v/>
      </c>
      <c r="Z24" s="9" t="str">
        <f aca="false">IF(OR(AE24="",多次统计数据!$B$8=""),"",AE24-多次统计数据!$B$8)</f>
        <v/>
      </c>
      <c r="AA24" s="12" t="str">
        <f aca="false">IF(OR(I24="",M24="",M24&lt;I24),"",M24-I24)</f>
        <v/>
      </c>
      <c r="AB24" s="9" t="str">
        <f aca="false">IF(OR(A24="",多次统计数据!$B$8="",多次统计数据!$B$6&lt;=0,多次统计数据!$B$6&gt;=1),"",1-POWER(1+多次统计数据!$B$8,-多次统计数据!$B$6/(1-多次统计数据!$B$6)))</f>
        <v/>
      </c>
      <c r="AC24" s="7" t="str">
        <f aca="false">IF(OR(AB24="",多次统计数据!$B$9=""),"",IF(多次统计数据!$B$9&lt;AB24,"低于上限","达到或超过上限"))</f>
        <v/>
      </c>
      <c r="AD24" s="4"/>
      <c r="AE24" s="9" t="str">
        <f aca="false">IF(OR(X24="",C24="",C24&lt;=0),"",X24/C24)</f>
        <v/>
      </c>
      <c r="AG24" s="4"/>
      <c r="AH24" s="4"/>
      <c r="AI24" s="4"/>
      <c r="AJ24" s="7" t="str">
        <f aca="false">IF(OR(AG24="",AH24=""),"",IF(OR(AND(AG24="短期博反弹",OR(AH24="1～3个交易日",AH24="4～10个交易日")),AND(AG24="突破冲新高",OR(AH24="4～10个交易日",AH24="11～20个交易日")),AND(AG24="趋势波段",OR(AH24="11～20个交易日",AH24="21～60个交易日",AH24="60个交易日以上"))),"匹配","周期与交易预期不匹配，请重新确认"))</f>
        <v/>
      </c>
      <c r="AK24" s="13" t="str">
        <f aca="false">IF(A24="","",COUNTIFS(加仓管理!$A$2:$A$1001,A24,加仓管理!$G$2:$G$1001,"&gt;0"))</f>
        <v/>
      </c>
      <c r="AL24" s="13" t="str">
        <f aca="false">IF(A24="","",SUMIFS(加仓管理!$G$2:$G$1001,加仓管理!$A$2:$A$1001,A24))</f>
        <v/>
      </c>
      <c r="AM24" s="14" t="str">
        <f aca="false">IF(AK24=0,"",IFERROR(LOOKUP(2,1/((加仓管理!$A$2:$A$1001=A24)*(加仓管理!$G$2:$G$1001&gt;0)),加仓管理!$D$2:$D$1001),""))</f>
        <v/>
      </c>
      <c r="AN24" s="14" t="str">
        <f aca="false">IF(AK24=0,"",IFERROR(LOOKUP(2,1/((加仓管理!$A$2:$A$1001=A24)*(加仓管理!$G$2:$G$1001&gt;0)),加仓管理!$E$2:$E$1001),""))</f>
        <v/>
      </c>
      <c r="AO24" s="14" t="str">
        <f aca="false">IF(OR(A24="",H24="",H24&lt;=0),"",(E24*H24+SUMIFS(加仓管理!$H$2:$H$1001,加仓管理!$A$2:$A$1001,A24))/AP24)</f>
        <v/>
      </c>
      <c r="AP24" s="13" t="str">
        <f aca="false">IF(OR(A24="",H24="",H24&lt;=0),"",H24+AL24)</f>
        <v/>
      </c>
      <c r="AQ24" s="14" t="str">
        <f aca="false">IF(A24="","",IF(M24&lt;&gt;"",0,IF(OR(H24="",N24=""),"",MAX((E24*H24+SUMIFS(加仓管理!$H$2:$H$1001,加仓管理!$A$2:$A$1001,A24))-MAX(N24,AN24)*AP24,0))))</f>
        <v/>
      </c>
      <c r="AR24" s="15" t="str">
        <f aca="false">IF(A24="","",IF(OR(E24="",H24=""),"违规：首次买入价格或股数缺失",IF(COUNTIFS(加仓管理!$A$2:$A$1001,A24,加仓管理!$R$2:$R$1001,"违规*")&gt;0,"违规：请检查加仓管理表",IF(SUM($AQ$2:$AQ$201)&gt;账户数据!$B$7,"预警：超过账户风险上限",IF(COUNTIFS(加仓管理!$A$2:$A$1001,A24,加仓管理!$N$2:$N$1001,"&gt;0",加仓管理!$G$2:$G$1001,"")&gt;0,"提示：存在待执行加仓计划","通过")))))</f>
        <v/>
      </c>
    </row>
    <row r="25" customFormat="false" ht="13.5" hidden="false" customHeight="false" outlineLevel="0" collapsed="false">
      <c r="A25" s="4"/>
      <c r="B25" s="4"/>
      <c r="C25" s="5"/>
      <c r="D25" s="6"/>
      <c r="E25" s="5"/>
      <c r="F25" s="7" t="str">
        <f aca="false">IF(OR(C25="",D25="",E25="",N25="",C25&lt;=0,D25&lt;=0,E25&lt;=N25),"",ROUNDDOWN((C25*D25)/(E25-N25)/100,0)*100)</f>
        <v/>
      </c>
      <c r="G25" s="7" t="str">
        <f aca="false">IF(A25="","",IF(H25&lt;&gt;"","已开仓",IF(账户数据!$B$23="已锁仓","禁止开仓：连续亏损达到上限",IF(账户数据!$B$23="解锁信息不完整","禁止开仓：请完整填写解锁信息",IF(OR(F25="",E25="",N25="",E25&lt;=N25,账户数据!$B$7=""),"",IF(OR(AG25="",AH25="",AI25=""),"禁止开仓：交易预期未填写完整",IF(账户数据!$B$9+F25*(E25-N25)&gt;=账户数据!$B$7,"禁止开仓：风险额度不足",IF(AJ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5" s="4"/>
      <c r="I25" s="8"/>
      <c r="J25" s="5"/>
      <c r="K25" s="5"/>
      <c r="L25" s="7" t="str">
        <f aca="false">IF(AP25="","",AP25)</f>
        <v/>
      </c>
      <c r="M25" s="8"/>
      <c r="N25" s="5"/>
      <c r="O25" s="5"/>
      <c r="P25" s="5"/>
      <c r="Q25" s="4"/>
      <c r="R25" s="4"/>
      <c r="S25" s="4"/>
      <c r="T25" s="4"/>
      <c r="U25" s="9" t="str">
        <f aca="false">IF(OR(AO25="",J25="",AO25&lt;=0),"",(J25-AO25)/AO25)</f>
        <v/>
      </c>
      <c r="V25" s="9" t="str">
        <f aca="false">IF(OR(AO25="",N25="",AO25&lt;=0),"",(AO25-N25)/AO25)</f>
        <v/>
      </c>
      <c r="W25" s="10" t="str">
        <f aca="false">IF(OR(U25="",V25="",V25&lt;=0),"",U25/V25)</f>
        <v/>
      </c>
      <c r="X25" s="11" t="str">
        <f aca="false">IF(OR(K25="",L25="",AO25="",AP25=""),"",(K25-AO25)*L25-IF(O25="",0,O25)-IF(P25="",0,P25))</f>
        <v/>
      </c>
      <c r="Y25" s="9" t="str">
        <f aca="false">IF(OR(X25="",AO25="",L25=""),"",IF(AO25*L25+IF(O25="",0,O25)&lt;=0,"",X25/(AO25*L25+IF(O25="",0,O25))))</f>
        <v/>
      </c>
      <c r="Z25" s="9" t="str">
        <f aca="false">IF(OR(AE25="",多次统计数据!$B$8=""),"",AE25-多次统计数据!$B$8)</f>
        <v/>
      </c>
      <c r="AA25" s="12" t="str">
        <f aca="false">IF(OR(I25="",M25="",M25&lt;I25),"",M25-I25)</f>
        <v/>
      </c>
      <c r="AB25" s="9" t="str">
        <f aca="false">IF(OR(A25="",多次统计数据!$B$8="",多次统计数据!$B$6&lt;=0,多次统计数据!$B$6&gt;=1),"",1-POWER(1+多次统计数据!$B$8,-多次统计数据!$B$6/(1-多次统计数据!$B$6)))</f>
        <v/>
      </c>
      <c r="AC25" s="7" t="str">
        <f aca="false">IF(OR(AB25="",多次统计数据!$B$9=""),"",IF(多次统计数据!$B$9&lt;AB25,"低于上限","达到或超过上限"))</f>
        <v/>
      </c>
      <c r="AD25" s="4"/>
      <c r="AE25" s="9" t="str">
        <f aca="false">IF(OR(X25="",C25="",C25&lt;=0),"",X25/C25)</f>
        <v/>
      </c>
      <c r="AG25" s="4"/>
      <c r="AH25" s="4"/>
      <c r="AI25" s="4"/>
      <c r="AJ25" s="7" t="str">
        <f aca="false">IF(OR(AG25="",AH25=""),"",IF(OR(AND(AG25="短期博反弹",OR(AH25="1～3个交易日",AH25="4～10个交易日")),AND(AG25="突破冲新高",OR(AH25="4～10个交易日",AH25="11～20个交易日")),AND(AG25="趋势波段",OR(AH25="11～20个交易日",AH25="21～60个交易日",AH25="60个交易日以上"))),"匹配","周期与交易预期不匹配，请重新确认"))</f>
        <v/>
      </c>
      <c r="AK25" s="13" t="str">
        <f aca="false">IF(A25="","",COUNTIFS(加仓管理!$A$2:$A$1001,A25,加仓管理!$G$2:$G$1001,"&gt;0"))</f>
        <v/>
      </c>
      <c r="AL25" s="13" t="str">
        <f aca="false">IF(A25="","",SUMIFS(加仓管理!$G$2:$G$1001,加仓管理!$A$2:$A$1001,A25))</f>
        <v/>
      </c>
      <c r="AM25" s="14" t="str">
        <f aca="false">IF(AK25=0,"",IFERROR(LOOKUP(2,1/((加仓管理!$A$2:$A$1001=A25)*(加仓管理!$G$2:$G$1001&gt;0)),加仓管理!$D$2:$D$1001),""))</f>
        <v/>
      </c>
      <c r="AN25" s="14" t="str">
        <f aca="false">IF(AK25=0,"",IFERROR(LOOKUP(2,1/((加仓管理!$A$2:$A$1001=A25)*(加仓管理!$G$2:$G$1001&gt;0)),加仓管理!$E$2:$E$1001),""))</f>
        <v/>
      </c>
      <c r="AO25" s="14" t="str">
        <f aca="false">IF(OR(A25="",H25="",H25&lt;=0),"",(E25*H25+SUMIFS(加仓管理!$H$2:$H$1001,加仓管理!$A$2:$A$1001,A25))/AP25)</f>
        <v/>
      </c>
      <c r="AP25" s="13" t="str">
        <f aca="false">IF(OR(A25="",H25="",H25&lt;=0),"",H25+AL25)</f>
        <v/>
      </c>
      <c r="AQ25" s="14" t="str">
        <f aca="false">IF(A25="","",IF(M25&lt;&gt;"",0,IF(OR(H25="",N25=""),"",MAX((E25*H25+SUMIFS(加仓管理!$H$2:$H$1001,加仓管理!$A$2:$A$1001,A25))-MAX(N25,AN25)*AP25,0))))</f>
        <v/>
      </c>
      <c r="AR25" s="15" t="str">
        <f aca="false">IF(A25="","",IF(OR(E25="",H25=""),"违规：首次买入价格或股数缺失",IF(COUNTIFS(加仓管理!$A$2:$A$1001,A25,加仓管理!$R$2:$R$1001,"违规*")&gt;0,"违规：请检查加仓管理表",IF(SUM($AQ$2:$AQ$201)&gt;账户数据!$B$7,"预警：超过账户风险上限",IF(COUNTIFS(加仓管理!$A$2:$A$1001,A25,加仓管理!$N$2:$N$1001,"&gt;0",加仓管理!$G$2:$G$1001,"")&gt;0,"提示：存在待执行加仓计划","通过")))))</f>
        <v/>
      </c>
    </row>
    <row r="26" customFormat="false" ht="13.5" hidden="false" customHeight="false" outlineLevel="0" collapsed="false">
      <c r="A26" s="4"/>
      <c r="B26" s="4"/>
      <c r="C26" s="5"/>
      <c r="D26" s="6"/>
      <c r="E26" s="5"/>
      <c r="F26" s="7" t="str">
        <f aca="false">IF(OR(C26="",D26="",E26="",N26="",C26&lt;=0,D26&lt;=0,E26&lt;=N26),"",ROUNDDOWN((C26*D26)/(E26-N26)/100,0)*100)</f>
        <v/>
      </c>
      <c r="G26" s="7" t="str">
        <f aca="false">IF(A26="","",IF(H26&lt;&gt;"","已开仓",IF(账户数据!$B$23="已锁仓","禁止开仓：连续亏损达到上限",IF(账户数据!$B$23="解锁信息不完整","禁止开仓：请完整填写解锁信息",IF(OR(F26="",E26="",N26="",E26&lt;=N26,账户数据!$B$7=""),"",IF(OR(AG26="",AH26="",AI26=""),"禁止开仓：交易预期未填写完整",IF(账户数据!$B$9+F26*(E26-N26)&gt;=账户数据!$B$7,"禁止开仓：风险额度不足",IF(AJ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6" s="4"/>
      <c r="I26" s="8"/>
      <c r="J26" s="5"/>
      <c r="K26" s="5"/>
      <c r="L26" s="7" t="str">
        <f aca="false">IF(AP26="","",AP26)</f>
        <v/>
      </c>
      <c r="M26" s="8"/>
      <c r="N26" s="5"/>
      <c r="O26" s="5"/>
      <c r="P26" s="5"/>
      <c r="Q26" s="4"/>
      <c r="R26" s="4"/>
      <c r="S26" s="4"/>
      <c r="T26" s="4"/>
      <c r="U26" s="9" t="str">
        <f aca="false">IF(OR(AO26="",J26="",AO26&lt;=0),"",(J26-AO26)/AO26)</f>
        <v/>
      </c>
      <c r="V26" s="9" t="str">
        <f aca="false">IF(OR(AO26="",N26="",AO26&lt;=0),"",(AO26-N26)/AO26)</f>
        <v/>
      </c>
      <c r="W26" s="10" t="str">
        <f aca="false">IF(OR(U26="",V26="",V26&lt;=0),"",U26/V26)</f>
        <v/>
      </c>
      <c r="X26" s="11" t="str">
        <f aca="false">IF(OR(K26="",L26="",AO26="",AP26=""),"",(K26-AO26)*L26-IF(O26="",0,O26)-IF(P26="",0,P26))</f>
        <v/>
      </c>
      <c r="Y26" s="9" t="str">
        <f aca="false">IF(OR(X26="",AO26="",L26=""),"",IF(AO26*L26+IF(O26="",0,O26)&lt;=0,"",X26/(AO26*L26+IF(O26="",0,O26))))</f>
        <v/>
      </c>
      <c r="Z26" s="9" t="str">
        <f aca="false">IF(OR(AE26="",多次统计数据!$B$8=""),"",AE26-多次统计数据!$B$8)</f>
        <v/>
      </c>
      <c r="AA26" s="12" t="str">
        <f aca="false">IF(OR(I26="",M26="",M26&lt;I26),"",M26-I26)</f>
        <v/>
      </c>
      <c r="AB26" s="9" t="str">
        <f aca="false">IF(OR(A26="",多次统计数据!$B$8="",多次统计数据!$B$6&lt;=0,多次统计数据!$B$6&gt;=1),"",1-POWER(1+多次统计数据!$B$8,-多次统计数据!$B$6/(1-多次统计数据!$B$6)))</f>
        <v/>
      </c>
      <c r="AC26" s="7" t="str">
        <f aca="false">IF(OR(AB26="",多次统计数据!$B$9=""),"",IF(多次统计数据!$B$9&lt;AB26,"低于上限","达到或超过上限"))</f>
        <v/>
      </c>
      <c r="AD26" s="4"/>
      <c r="AE26" s="9" t="str">
        <f aca="false">IF(OR(X26="",C26="",C26&lt;=0),"",X26/C26)</f>
        <v/>
      </c>
      <c r="AG26" s="4"/>
      <c r="AH26" s="4"/>
      <c r="AI26" s="4"/>
      <c r="AJ26" s="7" t="str">
        <f aca="false">IF(OR(AG26="",AH26=""),"",IF(OR(AND(AG26="短期博反弹",OR(AH26="1～3个交易日",AH26="4～10个交易日")),AND(AG26="突破冲新高",OR(AH26="4～10个交易日",AH26="11～20个交易日")),AND(AG26="趋势波段",OR(AH26="11～20个交易日",AH26="21～60个交易日",AH26="60个交易日以上"))),"匹配","周期与交易预期不匹配，请重新确认"))</f>
        <v/>
      </c>
      <c r="AK26" s="13" t="str">
        <f aca="false">IF(A26="","",COUNTIFS(加仓管理!$A$2:$A$1001,A26,加仓管理!$G$2:$G$1001,"&gt;0"))</f>
        <v/>
      </c>
      <c r="AL26" s="13" t="str">
        <f aca="false">IF(A26="","",SUMIFS(加仓管理!$G$2:$G$1001,加仓管理!$A$2:$A$1001,A26))</f>
        <v/>
      </c>
      <c r="AM26" s="14" t="str">
        <f aca="false">IF(AK26=0,"",IFERROR(LOOKUP(2,1/((加仓管理!$A$2:$A$1001=A26)*(加仓管理!$G$2:$G$1001&gt;0)),加仓管理!$D$2:$D$1001),""))</f>
        <v/>
      </c>
      <c r="AN26" s="14" t="str">
        <f aca="false">IF(AK26=0,"",IFERROR(LOOKUP(2,1/((加仓管理!$A$2:$A$1001=A26)*(加仓管理!$G$2:$G$1001&gt;0)),加仓管理!$E$2:$E$1001),""))</f>
        <v/>
      </c>
      <c r="AO26" s="14" t="str">
        <f aca="false">IF(OR(A26="",H26="",H26&lt;=0),"",(E26*H26+SUMIFS(加仓管理!$H$2:$H$1001,加仓管理!$A$2:$A$1001,A26))/AP26)</f>
        <v/>
      </c>
      <c r="AP26" s="13" t="str">
        <f aca="false">IF(OR(A26="",H26="",H26&lt;=0),"",H26+AL26)</f>
        <v/>
      </c>
      <c r="AQ26" s="14" t="str">
        <f aca="false">IF(A26="","",IF(M26&lt;&gt;"",0,IF(OR(H26="",N26=""),"",MAX((E26*H26+SUMIFS(加仓管理!$H$2:$H$1001,加仓管理!$A$2:$A$1001,A26))-MAX(N26,AN26)*AP26,0))))</f>
        <v/>
      </c>
      <c r="AR26" s="15" t="str">
        <f aca="false">IF(A26="","",IF(OR(E26="",H26=""),"违规：首次买入价格或股数缺失",IF(COUNTIFS(加仓管理!$A$2:$A$1001,A26,加仓管理!$R$2:$R$1001,"违规*")&gt;0,"违规：请检查加仓管理表",IF(SUM($AQ$2:$AQ$201)&gt;账户数据!$B$7,"预警：超过账户风险上限",IF(COUNTIFS(加仓管理!$A$2:$A$1001,A26,加仓管理!$N$2:$N$1001,"&gt;0",加仓管理!$G$2:$G$1001,"")&gt;0,"提示：存在待执行加仓计划","通过")))))</f>
        <v/>
      </c>
    </row>
    <row r="27" customFormat="false" ht="13.5" hidden="false" customHeight="false" outlineLevel="0" collapsed="false">
      <c r="A27" s="4"/>
      <c r="B27" s="4"/>
      <c r="C27" s="5"/>
      <c r="D27" s="6"/>
      <c r="E27" s="5"/>
      <c r="F27" s="7" t="str">
        <f aca="false">IF(OR(C27="",D27="",E27="",N27="",C27&lt;=0,D27&lt;=0,E27&lt;=N27),"",ROUNDDOWN((C27*D27)/(E27-N27)/100,0)*100)</f>
        <v/>
      </c>
      <c r="G27" s="7" t="str">
        <f aca="false">IF(A27="","",IF(H27&lt;&gt;"","已开仓",IF(账户数据!$B$23="已锁仓","禁止开仓：连续亏损达到上限",IF(账户数据!$B$23="解锁信息不完整","禁止开仓：请完整填写解锁信息",IF(OR(F27="",E27="",N27="",E27&lt;=N27,账户数据!$B$7=""),"",IF(OR(AG27="",AH27="",AI27=""),"禁止开仓：交易预期未填写完整",IF(账户数据!$B$9+F27*(E27-N27)&gt;=账户数据!$B$7,"禁止开仓：风险额度不足",IF(AJ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7" s="4"/>
      <c r="I27" s="8"/>
      <c r="J27" s="5"/>
      <c r="K27" s="5"/>
      <c r="L27" s="7" t="str">
        <f aca="false">IF(AP27="","",AP27)</f>
        <v/>
      </c>
      <c r="M27" s="8"/>
      <c r="N27" s="5"/>
      <c r="O27" s="5"/>
      <c r="P27" s="5"/>
      <c r="Q27" s="4"/>
      <c r="R27" s="4"/>
      <c r="S27" s="4"/>
      <c r="T27" s="4"/>
      <c r="U27" s="9" t="str">
        <f aca="false">IF(OR(AO27="",J27="",AO27&lt;=0),"",(J27-AO27)/AO27)</f>
        <v/>
      </c>
      <c r="V27" s="9" t="str">
        <f aca="false">IF(OR(AO27="",N27="",AO27&lt;=0),"",(AO27-N27)/AO27)</f>
        <v/>
      </c>
      <c r="W27" s="10" t="str">
        <f aca="false">IF(OR(U27="",V27="",V27&lt;=0),"",U27/V27)</f>
        <v/>
      </c>
      <c r="X27" s="11" t="str">
        <f aca="false">IF(OR(K27="",L27="",AO27="",AP27=""),"",(K27-AO27)*L27-IF(O27="",0,O27)-IF(P27="",0,P27))</f>
        <v/>
      </c>
      <c r="Y27" s="9" t="str">
        <f aca="false">IF(OR(X27="",AO27="",L27=""),"",IF(AO27*L27+IF(O27="",0,O27)&lt;=0,"",X27/(AO27*L27+IF(O27="",0,O27))))</f>
        <v/>
      </c>
      <c r="Z27" s="9" t="str">
        <f aca="false">IF(OR(AE27="",多次统计数据!$B$8=""),"",AE27-多次统计数据!$B$8)</f>
        <v/>
      </c>
      <c r="AA27" s="12" t="str">
        <f aca="false">IF(OR(I27="",M27="",M27&lt;I27),"",M27-I27)</f>
        <v/>
      </c>
      <c r="AB27" s="9" t="str">
        <f aca="false">IF(OR(A27="",多次统计数据!$B$8="",多次统计数据!$B$6&lt;=0,多次统计数据!$B$6&gt;=1),"",1-POWER(1+多次统计数据!$B$8,-多次统计数据!$B$6/(1-多次统计数据!$B$6)))</f>
        <v/>
      </c>
      <c r="AC27" s="7" t="str">
        <f aca="false">IF(OR(AB27="",多次统计数据!$B$9=""),"",IF(多次统计数据!$B$9&lt;AB27,"低于上限","达到或超过上限"))</f>
        <v/>
      </c>
      <c r="AD27" s="4"/>
      <c r="AE27" s="9" t="str">
        <f aca="false">IF(OR(X27="",C27="",C27&lt;=0),"",X27/C27)</f>
        <v/>
      </c>
      <c r="AG27" s="4"/>
      <c r="AH27" s="4"/>
      <c r="AI27" s="4"/>
      <c r="AJ27" s="7" t="str">
        <f aca="false">IF(OR(AG27="",AH27=""),"",IF(OR(AND(AG27="短期博反弹",OR(AH27="1～3个交易日",AH27="4～10个交易日")),AND(AG27="突破冲新高",OR(AH27="4～10个交易日",AH27="11～20个交易日")),AND(AG27="趋势波段",OR(AH27="11～20个交易日",AH27="21～60个交易日",AH27="60个交易日以上"))),"匹配","周期与交易预期不匹配，请重新确认"))</f>
        <v/>
      </c>
      <c r="AK27" s="13" t="str">
        <f aca="false">IF(A27="","",COUNTIFS(加仓管理!$A$2:$A$1001,A27,加仓管理!$G$2:$G$1001,"&gt;0"))</f>
        <v/>
      </c>
      <c r="AL27" s="13" t="str">
        <f aca="false">IF(A27="","",SUMIFS(加仓管理!$G$2:$G$1001,加仓管理!$A$2:$A$1001,A27))</f>
        <v/>
      </c>
      <c r="AM27" s="14" t="str">
        <f aca="false">IF(AK27=0,"",IFERROR(LOOKUP(2,1/((加仓管理!$A$2:$A$1001=A27)*(加仓管理!$G$2:$G$1001&gt;0)),加仓管理!$D$2:$D$1001),""))</f>
        <v/>
      </c>
      <c r="AN27" s="14" t="str">
        <f aca="false">IF(AK27=0,"",IFERROR(LOOKUP(2,1/((加仓管理!$A$2:$A$1001=A27)*(加仓管理!$G$2:$G$1001&gt;0)),加仓管理!$E$2:$E$1001),""))</f>
        <v/>
      </c>
      <c r="AO27" s="14" t="str">
        <f aca="false">IF(OR(A27="",H27="",H27&lt;=0),"",(E27*H27+SUMIFS(加仓管理!$H$2:$H$1001,加仓管理!$A$2:$A$1001,A27))/AP27)</f>
        <v/>
      </c>
      <c r="AP27" s="13" t="str">
        <f aca="false">IF(OR(A27="",H27="",H27&lt;=0),"",H27+AL27)</f>
        <v/>
      </c>
      <c r="AQ27" s="14" t="str">
        <f aca="false">IF(A27="","",IF(M27&lt;&gt;"",0,IF(OR(H27="",N27=""),"",MAX((E27*H27+SUMIFS(加仓管理!$H$2:$H$1001,加仓管理!$A$2:$A$1001,A27))-MAX(N27,AN27)*AP27,0))))</f>
        <v/>
      </c>
      <c r="AR27" s="15" t="str">
        <f aca="false">IF(A27="","",IF(OR(E27="",H27=""),"违规：首次买入价格或股数缺失",IF(COUNTIFS(加仓管理!$A$2:$A$1001,A27,加仓管理!$R$2:$R$1001,"违规*")&gt;0,"违规：请检查加仓管理表",IF(SUM($AQ$2:$AQ$201)&gt;账户数据!$B$7,"预警：超过账户风险上限",IF(COUNTIFS(加仓管理!$A$2:$A$1001,A27,加仓管理!$N$2:$N$1001,"&gt;0",加仓管理!$G$2:$G$1001,"")&gt;0,"提示：存在待执行加仓计划","通过")))))</f>
        <v/>
      </c>
    </row>
    <row r="28" customFormat="false" ht="13.5" hidden="false" customHeight="false" outlineLevel="0" collapsed="false">
      <c r="A28" s="4"/>
      <c r="B28" s="4"/>
      <c r="C28" s="5"/>
      <c r="D28" s="6"/>
      <c r="E28" s="5"/>
      <c r="F28" s="7" t="str">
        <f aca="false">IF(OR(C28="",D28="",E28="",N28="",C28&lt;=0,D28&lt;=0,E28&lt;=N28),"",ROUNDDOWN((C28*D28)/(E28-N28)/100,0)*100)</f>
        <v/>
      </c>
      <c r="G28" s="7" t="str">
        <f aca="false">IF(A28="","",IF(H28&lt;&gt;"","已开仓",IF(账户数据!$B$23="已锁仓","禁止开仓：连续亏损达到上限",IF(账户数据!$B$23="解锁信息不完整","禁止开仓：请完整填写解锁信息",IF(OR(F28="",E28="",N28="",E28&lt;=N28,账户数据!$B$7=""),"",IF(OR(AG28="",AH28="",AI28=""),"禁止开仓：交易预期未填写完整",IF(账户数据!$B$9+F28*(E28-N28)&gt;=账户数据!$B$7,"禁止开仓：风险额度不足",IF(AJ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8" s="4"/>
      <c r="I28" s="8"/>
      <c r="J28" s="5"/>
      <c r="K28" s="5"/>
      <c r="L28" s="7" t="str">
        <f aca="false">IF(AP28="","",AP28)</f>
        <v/>
      </c>
      <c r="M28" s="8"/>
      <c r="N28" s="5"/>
      <c r="O28" s="5"/>
      <c r="P28" s="5"/>
      <c r="Q28" s="4"/>
      <c r="R28" s="4"/>
      <c r="S28" s="4"/>
      <c r="T28" s="4"/>
      <c r="U28" s="9" t="str">
        <f aca="false">IF(OR(AO28="",J28="",AO28&lt;=0),"",(J28-AO28)/AO28)</f>
        <v/>
      </c>
      <c r="V28" s="9" t="str">
        <f aca="false">IF(OR(AO28="",N28="",AO28&lt;=0),"",(AO28-N28)/AO28)</f>
        <v/>
      </c>
      <c r="W28" s="10" t="str">
        <f aca="false">IF(OR(U28="",V28="",V28&lt;=0),"",U28/V28)</f>
        <v/>
      </c>
      <c r="X28" s="11" t="str">
        <f aca="false">IF(OR(K28="",L28="",AO28="",AP28=""),"",(K28-AO28)*L28-IF(O28="",0,O28)-IF(P28="",0,P28))</f>
        <v/>
      </c>
      <c r="Y28" s="9" t="str">
        <f aca="false">IF(OR(X28="",AO28="",L28=""),"",IF(AO28*L28+IF(O28="",0,O28)&lt;=0,"",X28/(AO28*L28+IF(O28="",0,O28))))</f>
        <v/>
      </c>
      <c r="Z28" s="9" t="str">
        <f aca="false">IF(OR(AE28="",多次统计数据!$B$8=""),"",AE28-多次统计数据!$B$8)</f>
        <v/>
      </c>
      <c r="AA28" s="12" t="str">
        <f aca="false">IF(OR(I28="",M28="",M28&lt;I28),"",M28-I28)</f>
        <v/>
      </c>
      <c r="AB28" s="9" t="str">
        <f aca="false">IF(OR(A28="",多次统计数据!$B$8="",多次统计数据!$B$6&lt;=0,多次统计数据!$B$6&gt;=1),"",1-POWER(1+多次统计数据!$B$8,-多次统计数据!$B$6/(1-多次统计数据!$B$6)))</f>
        <v/>
      </c>
      <c r="AC28" s="7" t="str">
        <f aca="false">IF(OR(AB28="",多次统计数据!$B$9=""),"",IF(多次统计数据!$B$9&lt;AB28,"低于上限","达到或超过上限"))</f>
        <v/>
      </c>
      <c r="AD28" s="4"/>
      <c r="AE28" s="9" t="str">
        <f aca="false">IF(OR(X28="",C28="",C28&lt;=0),"",X28/C28)</f>
        <v/>
      </c>
      <c r="AG28" s="4"/>
      <c r="AH28" s="4"/>
      <c r="AI28" s="4"/>
      <c r="AJ28" s="7" t="str">
        <f aca="false">IF(OR(AG28="",AH28=""),"",IF(OR(AND(AG28="短期博反弹",OR(AH28="1～3个交易日",AH28="4～10个交易日")),AND(AG28="突破冲新高",OR(AH28="4～10个交易日",AH28="11～20个交易日")),AND(AG28="趋势波段",OR(AH28="11～20个交易日",AH28="21～60个交易日",AH28="60个交易日以上"))),"匹配","周期与交易预期不匹配，请重新确认"))</f>
        <v/>
      </c>
      <c r="AK28" s="13" t="str">
        <f aca="false">IF(A28="","",COUNTIFS(加仓管理!$A$2:$A$1001,A28,加仓管理!$G$2:$G$1001,"&gt;0"))</f>
        <v/>
      </c>
      <c r="AL28" s="13" t="str">
        <f aca="false">IF(A28="","",SUMIFS(加仓管理!$G$2:$G$1001,加仓管理!$A$2:$A$1001,A28))</f>
        <v/>
      </c>
      <c r="AM28" s="14" t="str">
        <f aca="false">IF(AK28=0,"",IFERROR(LOOKUP(2,1/((加仓管理!$A$2:$A$1001=A28)*(加仓管理!$G$2:$G$1001&gt;0)),加仓管理!$D$2:$D$1001),""))</f>
        <v/>
      </c>
      <c r="AN28" s="14" t="str">
        <f aca="false">IF(AK28=0,"",IFERROR(LOOKUP(2,1/((加仓管理!$A$2:$A$1001=A28)*(加仓管理!$G$2:$G$1001&gt;0)),加仓管理!$E$2:$E$1001),""))</f>
        <v/>
      </c>
      <c r="AO28" s="14" t="str">
        <f aca="false">IF(OR(A28="",H28="",H28&lt;=0),"",(E28*H28+SUMIFS(加仓管理!$H$2:$H$1001,加仓管理!$A$2:$A$1001,A28))/AP28)</f>
        <v/>
      </c>
      <c r="AP28" s="13" t="str">
        <f aca="false">IF(OR(A28="",H28="",H28&lt;=0),"",H28+AL28)</f>
        <v/>
      </c>
      <c r="AQ28" s="14" t="str">
        <f aca="false">IF(A28="","",IF(M28&lt;&gt;"",0,IF(OR(H28="",N28=""),"",MAX((E28*H28+SUMIFS(加仓管理!$H$2:$H$1001,加仓管理!$A$2:$A$1001,A28))-MAX(N28,AN28)*AP28,0))))</f>
        <v/>
      </c>
      <c r="AR28" s="15" t="str">
        <f aca="false">IF(A28="","",IF(OR(E28="",H28=""),"违规：首次买入价格或股数缺失",IF(COUNTIFS(加仓管理!$A$2:$A$1001,A28,加仓管理!$R$2:$R$1001,"违规*")&gt;0,"违规：请检查加仓管理表",IF(SUM($AQ$2:$AQ$201)&gt;账户数据!$B$7,"预警：超过账户风险上限",IF(COUNTIFS(加仓管理!$A$2:$A$1001,A28,加仓管理!$N$2:$N$1001,"&gt;0",加仓管理!$G$2:$G$1001,"")&gt;0,"提示：存在待执行加仓计划","通过")))))</f>
        <v/>
      </c>
    </row>
    <row r="29" customFormat="false" ht="13.5" hidden="false" customHeight="false" outlineLevel="0" collapsed="false">
      <c r="A29" s="4"/>
      <c r="B29" s="4"/>
      <c r="C29" s="5"/>
      <c r="D29" s="6"/>
      <c r="E29" s="5"/>
      <c r="F29" s="7" t="str">
        <f aca="false">IF(OR(C29="",D29="",E29="",N29="",C29&lt;=0,D29&lt;=0,E29&lt;=N29),"",ROUNDDOWN((C29*D29)/(E29-N29)/100,0)*100)</f>
        <v/>
      </c>
      <c r="G29" s="7" t="str">
        <f aca="false">IF(A29="","",IF(H29&lt;&gt;"","已开仓",IF(账户数据!$B$23="已锁仓","禁止开仓：连续亏损达到上限",IF(账户数据!$B$23="解锁信息不完整","禁止开仓：请完整填写解锁信息",IF(OR(F29="",E29="",N29="",E29&lt;=N29,账户数据!$B$7=""),"",IF(OR(AG29="",AH29="",AI29=""),"禁止开仓：交易预期未填写完整",IF(账户数据!$B$9+F29*(E29-N29)&gt;=账户数据!$B$7,"禁止开仓：风险额度不足",IF(AJ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9" s="4"/>
      <c r="I29" s="8"/>
      <c r="J29" s="5"/>
      <c r="K29" s="5"/>
      <c r="L29" s="7" t="str">
        <f aca="false">IF(AP29="","",AP29)</f>
        <v/>
      </c>
      <c r="M29" s="8"/>
      <c r="N29" s="5"/>
      <c r="O29" s="5"/>
      <c r="P29" s="5"/>
      <c r="Q29" s="4"/>
      <c r="R29" s="4"/>
      <c r="S29" s="4"/>
      <c r="T29" s="4"/>
      <c r="U29" s="9" t="str">
        <f aca="false">IF(OR(AO29="",J29="",AO29&lt;=0),"",(J29-AO29)/AO29)</f>
        <v/>
      </c>
      <c r="V29" s="9" t="str">
        <f aca="false">IF(OR(AO29="",N29="",AO29&lt;=0),"",(AO29-N29)/AO29)</f>
        <v/>
      </c>
      <c r="W29" s="10" t="str">
        <f aca="false">IF(OR(U29="",V29="",V29&lt;=0),"",U29/V29)</f>
        <v/>
      </c>
      <c r="X29" s="11" t="str">
        <f aca="false">IF(OR(K29="",L29="",AO29="",AP29=""),"",(K29-AO29)*L29-IF(O29="",0,O29)-IF(P29="",0,P29))</f>
        <v/>
      </c>
      <c r="Y29" s="9" t="str">
        <f aca="false">IF(OR(X29="",AO29="",L29=""),"",IF(AO29*L29+IF(O29="",0,O29)&lt;=0,"",X29/(AO29*L29+IF(O29="",0,O29))))</f>
        <v/>
      </c>
      <c r="Z29" s="9" t="str">
        <f aca="false">IF(OR(AE29="",多次统计数据!$B$8=""),"",AE29-多次统计数据!$B$8)</f>
        <v/>
      </c>
      <c r="AA29" s="12" t="str">
        <f aca="false">IF(OR(I29="",M29="",M29&lt;I29),"",M29-I29)</f>
        <v/>
      </c>
      <c r="AB29" s="9" t="str">
        <f aca="false">IF(OR(A29="",多次统计数据!$B$8="",多次统计数据!$B$6&lt;=0,多次统计数据!$B$6&gt;=1),"",1-POWER(1+多次统计数据!$B$8,-多次统计数据!$B$6/(1-多次统计数据!$B$6)))</f>
        <v/>
      </c>
      <c r="AC29" s="7" t="str">
        <f aca="false">IF(OR(AB29="",多次统计数据!$B$9=""),"",IF(多次统计数据!$B$9&lt;AB29,"低于上限","达到或超过上限"))</f>
        <v/>
      </c>
      <c r="AD29" s="4"/>
      <c r="AE29" s="9" t="str">
        <f aca="false">IF(OR(X29="",C29="",C29&lt;=0),"",X29/C29)</f>
        <v/>
      </c>
      <c r="AG29" s="4"/>
      <c r="AH29" s="4"/>
      <c r="AI29" s="4"/>
      <c r="AJ29" s="7" t="str">
        <f aca="false">IF(OR(AG29="",AH29=""),"",IF(OR(AND(AG29="短期博反弹",OR(AH29="1～3个交易日",AH29="4～10个交易日")),AND(AG29="突破冲新高",OR(AH29="4～10个交易日",AH29="11～20个交易日")),AND(AG29="趋势波段",OR(AH29="11～20个交易日",AH29="21～60个交易日",AH29="60个交易日以上"))),"匹配","周期与交易预期不匹配，请重新确认"))</f>
        <v/>
      </c>
      <c r="AK29" s="13" t="str">
        <f aca="false">IF(A29="","",COUNTIFS(加仓管理!$A$2:$A$1001,A29,加仓管理!$G$2:$G$1001,"&gt;0"))</f>
        <v/>
      </c>
      <c r="AL29" s="13" t="str">
        <f aca="false">IF(A29="","",SUMIFS(加仓管理!$G$2:$G$1001,加仓管理!$A$2:$A$1001,A29))</f>
        <v/>
      </c>
      <c r="AM29" s="14" t="str">
        <f aca="false">IF(AK29=0,"",IFERROR(LOOKUP(2,1/((加仓管理!$A$2:$A$1001=A29)*(加仓管理!$G$2:$G$1001&gt;0)),加仓管理!$D$2:$D$1001),""))</f>
        <v/>
      </c>
      <c r="AN29" s="14" t="str">
        <f aca="false">IF(AK29=0,"",IFERROR(LOOKUP(2,1/((加仓管理!$A$2:$A$1001=A29)*(加仓管理!$G$2:$G$1001&gt;0)),加仓管理!$E$2:$E$1001),""))</f>
        <v/>
      </c>
      <c r="AO29" s="14" t="str">
        <f aca="false">IF(OR(A29="",H29="",H29&lt;=0),"",(E29*H29+SUMIFS(加仓管理!$H$2:$H$1001,加仓管理!$A$2:$A$1001,A29))/AP29)</f>
        <v/>
      </c>
      <c r="AP29" s="13" t="str">
        <f aca="false">IF(OR(A29="",H29="",H29&lt;=0),"",H29+AL29)</f>
        <v/>
      </c>
      <c r="AQ29" s="14" t="str">
        <f aca="false">IF(A29="","",IF(M29&lt;&gt;"",0,IF(OR(H29="",N29=""),"",MAX((E29*H29+SUMIFS(加仓管理!$H$2:$H$1001,加仓管理!$A$2:$A$1001,A29))-MAX(N29,AN29)*AP29,0))))</f>
        <v/>
      </c>
      <c r="AR29" s="15" t="str">
        <f aca="false">IF(A29="","",IF(OR(E29="",H29=""),"违规：首次买入价格或股数缺失",IF(COUNTIFS(加仓管理!$A$2:$A$1001,A29,加仓管理!$R$2:$R$1001,"违规*")&gt;0,"违规：请检查加仓管理表",IF(SUM($AQ$2:$AQ$201)&gt;账户数据!$B$7,"预警：超过账户风险上限",IF(COUNTIFS(加仓管理!$A$2:$A$1001,A29,加仓管理!$N$2:$N$1001,"&gt;0",加仓管理!$G$2:$G$1001,"")&gt;0,"提示：存在待执行加仓计划","通过")))))</f>
        <v/>
      </c>
    </row>
    <row r="30" customFormat="false" ht="13.5" hidden="false" customHeight="false" outlineLevel="0" collapsed="false">
      <c r="A30" s="4"/>
      <c r="B30" s="4"/>
      <c r="C30" s="5"/>
      <c r="D30" s="6"/>
      <c r="E30" s="5"/>
      <c r="F30" s="7" t="str">
        <f aca="false">IF(OR(C30="",D30="",E30="",N30="",C30&lt;=0,D30&lt;=0,E30&lt;=N30),"",ROUNDDOWN((C30*D30)/(E30-N30)/100,0)*100)</f>
        <v/>
      </c>
      <c r="G30" s="7" t="str">
        <f aca="false">IF(A30="","",IF(H30&lt;&gt;"","已开仓",IF(账户数据!$B$23="已锁仓","禁止开仓：连续亏损达到上限",IF(账户数据!$B$23="解锁信息不完整","禁止开仓：请完整填写解锁信息",IF(OR(F30="",E30="",N30="",E30&lt;=N30,账户数据!$B$7=""),"",IF(OR(AG30="",AH30="",AI30=""),"禁止开仓：交易预期未填写完整",IF(账户数据!$B$9+F30*(E30-N30)&gt;=账户数据!$B$7,"禁止开仓：风险额度不足",IF(AJ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0" s="4"/>
      <c r="I30" s="8"/>
      <c r="J30" s="5"/>
      <c r="K30" s="5"/>
      <c r="L30" s="7" t="str">
        <f aca="false">IF(AP30="","",AP30)</f>
        <v/>
      </c>
      <c r="M30" s="8"/>
      <c r="N30" s="5"/>
      <c r="O30" s="5"/>
      <c r="P30" s="5"/>
      <c r="Q30" s="4"/>
      <c r="R30" s="4"/>
      <c r="S30" s="4"/>
      <c r="T30" s="4"/>
      <c r="U30" s="9" t="str">
        <f aca="false">IF(OR(AO30="",J30="",AO30&lt;=0),"",(J30-AO30)/AO30)</f>
        <v/>
      </c>
      <c r="V30" s="9" t="str">
        <f aca="false">IF(OR(AO30="",N30="",AO30&lt;=0),"",(AO30-N30)/AO30)</f>
        <v/>
      </c>
      <c r="W30" s="10" t="str">
        <f aca="false">IF(OR(U30="",V30="",V30&lt;=0),"",U30/V30)</f>
        <v/>
      </c>
      <c r="X30" s="11" t="str">
        <f aca="false">IF(OR(K30="",L30="",AO30="",AP30=""),"",(K30-AO30)*L30-IF(O30="",0,O30)-IF(P30="",0,P30))</f>
        <v/>
      </c>
      <c r="Y30" s="9" t="str">
        <f aca="false">IF(OR(X30="",AO30="",L30=""),"",IF(AO30*L30+IF(O30="",0,O30)&lt;=0,"",X30/(AO30*L30+IF(O30="",0,O30))))</f>
        <v/>
      </c>
      <c r="Z30" s="9" t="str">
        <f aca="false">IF(OR(AE30="",多次统计数据!$B$8=""),"",AE30-多次统计数据!$B$8)</f>
        <v/>
      </c>
      <c r="AA30" s="12" t="str">
        <f aca="false">IF(OR(I30="",M30="",M30&lt;I30),"",M30-I30)</f>
        <v/>
      </c>
      <c r="AB30" s="9" t="str">
        <f aca="false">IF(OR(A30="",多次统计数据!$B$8="",多次统计数据!$B$6&lt;=0,多次统计数据!$B$6&gt;=1),"",1-POWER(1+多次统计数据!$B$8,-多次统计数据!$B$6/(1-多次统计数据!$B$6)))</f>
        <v/>
      </c>
      <c r="AC30" s="7" t="str">
        <f aca="false">IF(OR(AB30="",多次统计数据!$B$9=""),"",IF(多次统计数据!$B$9&lt;AB30,"低于上限","达到或超过上限"))</f>
        <v/>
      </c>
      <c r="AD30" s="4"/>
      <c r="AE30" s="9" t="str">
        <f aca="false">IF(OR(X30="",C30="",C30&lt;=0),"",X30/C30)</f>
        <v/>
      </c>
      <c r="AG30" s="4"/>
      <c r="AH30" s="4"/>
      <c r="AI30" s="4"/>
      <c r="AJ30" s="7" t="str">
        <f aca="false">IF(OR(AG30="",AH30=""),"",IF(OR(AND(AG30="短期博反弹",OR(AH30="1～3个交易日",AH30="4～10个交易日")),AND(AG30="突破冲新高",OR(AH30="4～10个交易日",AH30="11～20个交易日")),AND(AG30="趋势波段",OR(AH30="11～20个交易日",AH30="21～60个交易日",AH30="60个交易日以上"))),"匹配","周期与交易预期不匹配，请重新确认"))</f>
        <v/>
      </c>
      <c r="AK30" s="13" t="str">
        <f aca="false">IF(A30="","",COUNTIFS(加仓管理!$A$2:$A$1001,A30,加仓管理!$G$2:$G$1001,"&gt;0"))</f>
        <v/>
      </c>
      <c r="AL30" s="13" t="str">
        <f aca="false">IF(A30="","",SUMIFS(加仓管理!$G$2:$G$1001,加仓管理!$A$2:$A$1001,A30))</f>
        <v/>
      </c>
      <c r="AM30" s="14" t="str">
        <f aca="false">IF(AK30=0,"",IFERROR(LOOKUP(2,1/((加仓管理!$A$2:$A$1001=A30)*(加仓管理!$G$2:$G$1001&gt;0)),加仓管理!$D$2:$D$1001),""))</f>
        <v/>
      </c>
      <c r="AN30" s="14" t="str">
        <f aca="false">IF(AK30=0,"",IFERROR(LOOKUP(2,1/((加仓管理!$A$2:$A$1001=A30)*(加仓管理!$G$2:$G$1001&gt;0)),加仓管理!$E$2:$E$1001),""))</f>
        <v/>
      </c>
      <c r="AO30" s="14" t="str">
        <f aca="false">IF(OR(A30="",H30="",H30&lt;=0),"",(E30*H30+SUMIFS(加仓管理!$H$2:$H$1001,加仓管理!$A$2:$A$1001,A30))/AP30)</f>
        <v/>
      </c>
      <c r="AP30" s="13" t="str">
        <f aca="false">IF(OR(A30="",H30="",H30&lt;=0),"",H30+AL30)</f>
        <v/>
      </c>
      <c r="AQ30" s="14" t="str">
        <f aca="false">IF(A30="","",IF(M30&lt;&gt;"",0,IF(OR(H30="",N30=""),"",MAX((E30*H30+SUMIFS(加仓管理!$H$2:$H$1001,加仓管理!$A$2:$A$1001,A30))-MAX(N30,AN30)*AP30,0))))</f>
        <v/>
      </c>
      <c r="AR30" s="15" t="str">
        <f aca="false">IF(A30="","",IF(OR(E30="",H30=""),"违规：首次买入价格或股数缺失",IF(COUNTIFS(加仓管理!$A$2:$A$1001,A30,加仓管理!$R$2:$R$1001,"违规*")&gt;0,"违规：请检查加仓管理表",IF(SUM($AQ$2:$AQ$201)&gt;账户数据!$B$7,"预警：超过账户风险上限",IF(COUNTIFS(加仓管理!$A$2:$A$1001,A30,加仓管理!$N$2:$N$1001,"&gt;0",加仓管理!$G$2:$G$1001,"")&gt;0,"提示：存在待执行加仓计划","通过")))))</f>
        <v/>
      </c>
    </row>
    <row r="31" customFormat="false" ht="13.5" hidden="false" customHeight="false" outlineLevel="0" collapsed="false">
      <c r="A31" s="4"/>
      <c r="B31" s="4"/>
      <c r="C31" s="5"/>
      <c r="D31" s="6"/>
      <c r="E31" s="5"/>
      <c r="F31" s="7" t="str">
        <f aca="false">IF(OR(C31="",D31="",E31="",N31="",C31&lt;=0,D31&lt;=0,E31&lt;=N31),"",ROUNDDOWN((C31*D31)/(E31-N31)/100,0)*100)</f>
        <v/>
      </c>
      <c r="G31" s="7" t="str">
        <f aca="false">IF(A31="","",IF(H31&lt;&gt;"","已开仓",IF(账户数据!$B$23="已锁仓","禁止开仓：连续亏损达到上限",IF(账户数据!$B$23="解锁信息不完整","禁止开仓：请完整填写解锁信息",IF(OR(F31="",E31="",N31="",E31&lt;=N31,账户数据!$B$7=""),"",IF(OR(AG31="",AH31="",AI31=""),"禁止开仓：交易预期未填写完整",IF(账户数据!$B$9+F31*(E31-N31)&gt;=账户数据!$B$7,"禁止开仓：风险额度不足",IF(AJ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1" s="4"/>
      <c r="I31" s="8"/>
      <c r="J31" s="5"/>
      <c r="K31" s="5"/>
      <c r="L31" s="7" t="str">
        <f aca="false">IF(AP31="","",AP31)</f>
        <v/>
      </c>
      <c r="M31" s="8"/>
      <c r="N31" s="5"/>
      <c r="O31" s="5"/>
      <c r="P31" s="5"/>
      <c r="Q31" s="4"/>
      <c r="R31" s="4"/>
      <c r="S31" s="4"/>
      <c r="T31" s="4"/>
      <c r="U31" s="9" t="str">
        <f aca="false">IF(OR(AO31="",J31="",AO31&lt;=0),"",(J31-AO31)/AO31)</f>
        <v/>
      </c>
      <c r="V31" s="9" t="str">
        <f aca="false">IF(OR(AO31="",N31="",AO31&lt;=0),"",(AO31-N31)/AO31)</f>
        <v/>
      </c>
      <c r="W31" s="10" t="str">
        <f aca="false">IF(OR(U31="",V31="",V31&lt;=0),"",U31/V31)</f>
        <v/>
      </c>
      <c r="X31" s="11" t="str">
        <f aca="false">IF(OR(K31="",L31="",AO31="",AP31=""),"",(K31-AO31)*L31-IF(O31="",0,O31)-IF(P31="",0,P31))</f>
        <v/>
      </c>
      <c r="Y31" s="9" t="str">
        <f aca="false">IF(OR(X31="",AO31="",L31=""),"",IF(AO31*L31+IF(O31="",0,O31)&lt;=0,"",X31/(AO31*L31+IF(O31="",0,O31))))</f>
        <v/>
      </c>
      <c r="Z31" s="9" t="str">
        <f aca="false">IF(OR(AE31="",多次统计数据!$B$8=""),"",AE31-多次统计数据!$B$8)</f>
        <v/>
      </c>
      <c r="AA31" s="12" t="str">
        <f aca="false">IF(OR(I31="",M31="",M31&lt;I31),"",M31-I31)</f>
        <v/>
      </c>
      <c r="AB31" s="9" t="str">
        <f aca="false">IF(OR(A31="",多次统计数据!$B$8="",多次统计数据!$B$6&lt;=0,多次统计数据!$B$6&gt;=1),"",1-POWER(1+多次统计数据!$B$8,-多次统计数据!$B$6/(1-多次统计数据!$B$6)))</f>
        <v/>
      </c>
      <c r="AC31" s="7" t="str">
        <f aca="false">IF(OR(AB31="",多次统计数据!$B$9=""),"",IF(多次统计数据!$B$9&lt;AB31,"低于上限","达到或超过上限"))</f>
        <v/>
      </c>
      <c r="AD31" s="4"/>
      <c r="AE31" s="9" t="str">
        <f aca="false">IF(OR(X31="",C31="",C31&lt;=0),"",X31/C31)</f>
        <v/>
      </c>
      <c r="AG31" s="4"/>
      <c r="AH31" s="4"/>
      <c r="AI31" s="4"/>
      <c r="AJ31" s="7" t="str">
        <f aca="false">IF(OR(AG31="",AH31=""),"",IF(OR(AND(AG31="短期博反弹",OR(AH31="1～3个交易日",AH31="4～10个交易日")),AND(AG31="突破冲新高",OR(AH31="4～10个交易日",AH31="11～20个交易日")),AND(AG31="趋势波段",OR(AH31="11～20个交易日",AH31="21～60个交易日",AH31="60个交易日以上"))),"匹配","周期与交易预期不匹配，请重新确认"))</f>
        <v/>
      </c>
      <c r="AK31" s="13" t="str">
        <f aca="false">IF(A31="","",COUNTIFS(加仓管理!$A$2:$A$1001,A31,加仓管理!$G$2:$G$1001,"&gt;0"))</f>
        <v/>
      </c>
      <c r="AL31" s="13" t="str">
        <f aca="false">IF(A31="","",SUMIFS(加仓管理!$G$2:$G$1001,加仓管理!$A$2:$A$1001,A31))</f>
        <v/>
      </c>
      <c r="AM31" s="14" t="str">
        <f aca="false">IF(AK31=0,"",IFERROR(LOOKUP(2,1/((加仓管理!$A$2:$A$1001=A31)*(加仓管理!$G$2:$G$1001&gt;0)),加仓管理!$D$2:$D$1001),""))</f>
        <v/>
      </c>
      <c r="AN31" s="14" t="str">
        <f aca="false">IF(AK31=0,"",IFERROR(LOOKUP(2,1/((加仓管理!$A$2:$A$1001=A31)*(加仓管理!$G$2:$G$1001&gt;0)),加仓管理!$E$2:$E$1001),""))</f>
        <v/>
      </c>
      <c r="AO31" s="14" t="str">
        <f aca="false">IF(OR(A31="",H31="",H31&lt;=0),"",(E31*H31+SUMIFS(加仓管理!$H$2:$H$1001,加仓管理!$A$2:$A$1001,A31))/AP31)</f>
        <v/>
      </c>
      <c r="AP31" s="13" t="str">
        <f aca="false">IF(OR(A31="",H31="",H31&lt;=0),"",H31+AL31)</f>
        <v/>
      </c>
      <c r="AQ31" s="14" t="str">
        <f aca="false">IF(A31="","",IF(M31&lt;&gt;"",0,IF(OR(H31="",N31=""),"",MAX((E31*H31+SUMIFS(加仓管理!$H$2:$H$1001,加仓管理!$A$2:$A$1001,A31))-MAX(N31,AN31)*AP31,0))))</f>
        <v/>
      </c>
      <c r="AR31" s="15" t="str">
        <f aca="false">IF(A31="","",IF(OR(E31="",H31=""),"违规：首次买入价格或股数缺失",IF(COUNTIFS(加仓管理!$A$2:$A$1001,A31,加仓管理!$R$2:$R$1001,"违规*")&gt;0,"违规：请检查加仓管理表",IF(SUM($AQ$2:$AQ$201)&gt;账户数据!$B$7,"预警：超过账户风险上限",IF(COUNTIFS(加仓管理!$A$2:$A$1001,A31,加仓管理!$N$2:$N$1001,"&gt;0",加仓管理!$G$2:$G$1001,"")&gt;0,"提示：存在待执行加仓计划","通过")))))</f>
        <v/>
      </c>
    </row>
    <row r="32" customFormat="false" ht="13.5" hidden="false" customHeight="false" outlineLevel="0" collapsed="false">
      <c r="A32" s="4"/>
      <c r="B32" s="4"/>
      <c r="C32" s="5"/>
      <c r="D32" s="6"/>
      <c r="E32" s="5"/>
      <c r="F32" s="7" t="str">
        <f aca="false">IF(OR(C32="",D32="",E32="",N32="",C32&lt;=0,D32&lt;=0,E32&lt;=N32),"",ROUNDDOWN((C32*D32)/(E32-N32)/100,0)*100)</f>
        <v/>
      </c>
      <c r="G32" s="7" t="str">
        <f aca="false">IF(A32="","",IF(H32&lt;&gt;"","已开仓",IF(账户数据!$B$23="已锁仓","禁止开仓：连续亏损达到上限",IF(账户数据!$B$23="解锁信息不完整","禁止开仓：请完整填写解锁信息",IF(OR(F32="",E32="",N32="",E32&lt;=N32,账户数据!$B$7=""),"",IF(OR(AG32="",AH32="",AI32=""),"禁止开仓：交易预期未填写完整",IF(账户数据!$B$9+F32*(E32-N32)&gt;=账户数据!$B$7,"禁止开仓：风险额度不足",IF(AJ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2" s="4"/>
      <c r="I32" s="8"/>
      <c r="J32" s="5"/>
      <c r="K32" s="5"/>
      <c r="L32" s="7" t="str">
        <f aca="false">IF(AP32="","",AP32)</f>
        <v/>
      </c>
      <c r="M32" s="8"/>
      <c r="N32" s="5"/>
      <c r="O32" s="5"/>
      <c r="P32" s="5"/>
      <c r="Q32" s="4"/>
      <c r="R32" s="4"/>
      <c r="S32" s="4"/>
      <c r="T32" s="4"/>
      <c r="U32" s="9" t="str">
        <f aca="false">IF(OR(AO32="",J32="",AO32&lt;=0),"",(J32-AO32)/AO32)</f>
        <v/>
      </c>
      <c r="V32" s="9" t="str">
        <f aca="false">IF(OR(AO32="",N32="",AO32&lt;=0),"",(AO32-N32)/AO32)</f>
        <v/>
      </c>
      <c r="W32" s="10" t="str">
        <f aca="false">IF(OR(U32="",V32="",V32&lt;=0),"",U32/V32)</f>
        <v/>
      </c>
      <c r="X32" s="11" t="str">
        <f aca="false">IF(OR(K32="",L32="",AO32="",AP32=""),"",(K32-AO32)*L32-IF(O32="",0,O32)-IF(P32="",0,P32))</f>
        <v/>
      </c>
      <c r="Y32" s="9" t="str">
        <f aca="false">IF(OR(X32="",AO32="",L32=""),"",IF(AO32*L32+IF(O32="",0,O32)&lt;=0,"",X32/(AO32*L32+IF(O32="",0,O32))))</f>
        <v/>
      </c>
      <c r="Z32" s="9" t="str">
        <f aca="false">IF(OR(AE32="",多次统计数据!$B$8=""),"",AE32-多次统计数据!$B$8)</f>
        <v/>
      </c>
      <c r="AA32" s="12" t="str">
        <f aca="false">IF(OR(I32="",M32="",M32&lt;I32),"",M32-I32)</f>
        <v/>
      </c>
      <c r="AB32" s="9" t="str">
        <f aca="false">IF(OR(A32="",多次统计数据!$B$8="",多次统计数据!$B$6&lt;=0,多次统计数据!$B$6&gt;=1),"",1-POWER(1+多次统计数据!$B$8,-多次统计数据!$B$6/(1-多次统计数据!$B$6)))</f>
        <v/>
      </c>
      <c r="AC32" s="7" t="str">
        <f aca="false">IF(OR(AB32="",多次统计数据!$B$9=""),"",IF(多次统计数据!$B$9&lt;AB32,"低于上限","达到或超过上限"))</f>
        <v/>
      </c>
      <c r="AD32" s="4"/>
      <c r="AE32" s="9" t="str">
        <f aca="false">IF(OR(X32="",C32="",C32&lt;=0),"",X32/C32)</f>
        <v/>
      </c>
      <c r="AG32" s="4"/>
      <c r="AH32" s="4"/>
      <c r="AI32" s="4"/>
      <c r="AJ32" s="7" t="str">
        <f aca="false">IF(OR(AG32="",AH32=""),"",IF(OR(AND(AG32="短期博反弹",OR(AH32="1～3个交易日",AH32="4～10个交易日")),AND(AG32="突破冲新高",OR(AH32="4～10个交易日",AH32="11～20个交易日")),AND(AG32="趋势波段",OR(AH32="11～20个交易日",AH32="21～60个交易日",AH32="60个交易日以上"))),"匹配","周期与交易预期不匹配，请重新确认"))</f>
        <v/>
      </c>
      <c r="AK32" s="13" t="str">
        <f aca="false">IF(A32="","",COUNTIFS(加仓管理!$A$2:$A$1001,A32,加仓管理!$G$2:$G$1001,"&gt;0"))</f>
        <v/>
      </c>
      <c r="AL32" s="13" t="str">
        <f aca="false">IF(A32="","",SUMIFS(加仓管理!$G$2:$G$1001,加仓管理!$A$2:$A$1001,A32))</f>
        <v/>
      </c>
      <c r="AM32" s="14" t="str">
        <f aca="false">IF(AK32=0,"",IFERROR(LOOKUP(2,1/((加仓管理!$A$2:$A$1001=A32)*(加仓管理!$G$2:$G$1001&gt;0)),加仓管理!$D$2:$D$1001),""))</f>
        <v/>
      </c>
      <c r="AN32" s="14" t="str">
        <f aca="false">IF(AK32=0,"",IFERROR(LOOKUP(2,1/((加仓管理!$A$2:$A$1001=A32)*(加仓管理!$G$2:$G$1001&gt;0)),加仓管理!$E$2:$E$1001),""))</f>
        <v/>
      </c>
      <c r="AO32" s="14" t="str">
        <f aca="false">IF(OR(A32="",H32="",H32&lt;=0),"",(E32*H32+SUMIFS(加仓管理!$H$2:$H$1001,加仓管理!$A$2:$A$1001,A32))/AP32)</f>
        <v/>
      </c>
      <c r="AP32" s="13" t="str">
        <f aca="false">IF(OR(A32="",H32="",H32&lt;=0),"",H32+AL32)</f>
        <v/>
      </c>
      <c r="AQ32" s="14" t="str">
        <f aca="false">IF(A32="","",IF(M32&lt;&gt;"",0,IF(OR(H32="",N32=""),"",MAX((E32*H32+SUMIFS(加仓管理!$H$2:$H$1001,加仓管理!$A$2:$A$1001,A32))-MAX(N32,AN32)*AP32,0))))</f>
        <v/>
      </c>
      <c r="AR32" s="15" t="str">
        <f aca="false">IF(A32="","",IF(OR(E32="",H32=""),"违规：首次买入价格或股数缺失",IF(COUNTIFS(加仓管理!$A$2:$A$1001,A32,加仓管理!$R$2:$R$1001,"违规*")&gt;0,"违规：请检查加仓管理表",IF(SUM($AQ$2:$AQ$201)&gt;账户数据!$B$7,"预警：超过账户风险上限",IF(COUNTIFS(加仓管理!$A$2:$A$1001,A32,加仓管理!$N$2:$N$1001,"&gt;0",加仓管理!$G$2:$G$1001,"")&gt;0,"提示：存在待执行加仓计划","通过")))))</f>
        <v/>
      </c>
    </row>
    <row r="33" customFormat="false" ht="13.5" hidden="false" customHeight="false" outlineLevel="0" collapsed="false">
      <c r="A33" s="4"/>
      <c r="B33" s="4"/>
      <c r="C33" s="5"/>
      <c r="D33" s="6"/>
      <c r="E33" s="5"/>
      <c r="F33" s="7" t="str">
        <f aca="false">IF(OR(C33="",D33="",E33="",N33="",C33&lt;=0,D33&lt;=0,E33&lt;=N33),"",ROUNDDOWN((C33*D33)/(E33-N33)/100,0)*100)</f>
        <v/>
      </c>
      <c r="G33" s="7" t="str">
        <f aca="false">IF(A33="","",IF(H33&lt;&gt;"","已开仓",IF(账户数据!$B$23="已锁仓","禁止开仓：连续亏损达到上限",IF(账户数据!$B$23="解锁信息不完整","禁止开仓：请完整填写解锁信息",IF(OR(F33="",E33="",N33="",E33&lt;=N33,账户数据!$B$7=""),"",IF(OR(AG33="",AH33="",AI33=""),"禁止开仓：交易预期未填写完整",IF(账户数据!$B$9+F33*(E33-N33)&gt;=账户数据!$B$7,"禁止开仓：风险额度不足",IF(AJ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3" s="4"/>
      <c r="I33" s="8"/>
      <c r="J33" s="5"/>
      <c r="K33" s="5"/>
      <c r="L33" s="7" t="str">
        <f aca="false">IF(AP33="","",AP33)</f>
        <v/>
      </c>
      <c r="M33" s="8"/>
      <c r="N33" s="5"/>
      <c r="O33" s="5"/>
      <c r="P33" s="5"/>
      <c r="Q33" s="4"/>
      <c r="R33" s="4"/>
      <c r="S33" s="4"/>
      <c r="T33" s="4"/>
      <c r="U33" s="9" t="str">
        <f aca="false">IF(OR(AO33="",J33="",AO33&lt;=0),"",(J33-AO33)/AO33)</f>
        <v/>
      </c>
      <c r="V33" s="9" t="str">
        <f aca="false">IF(OR(AO33="",N33="",AO33&lt;=0),"",(AO33-N33)/AO33)</f>
        <v/>
      </c>
      <c r="W33" s="10" t="str">
        <f aca="false">IF(OR(U33="",V33="",V33&lt;=0),"",U33/V33)</f>
        <v/>
      </c>
      <c r="X33" s="11" t="str">
        <f aca="false">IF(OR(K33="",L33="",AO33="",AP33=""),"",(K33-AO33)*L33-IF(O33="",0,O33)-IF(P33="",0,P33))</f>
        <v/>
      </c>
      <c r="Y33" s="9" t="str">
        <f aca="false">IF(OR(X33="",AO33="",L33=""),"",IF(AO33*L33+IF(O33="",0,O33)&lt;=0,"",X33/(AO33*L33+IF(O33="",0,O33))))</f>
        <v/>
      </c>
      <c r="Z33" s="9" t="str">
        <f aca="false">IF(OR(AE33="",多次统计数据!$B$8=""),"",AE33-多次统计数据!$B$8)</f>
        <v/>
      </c>
      <c r="AA33" s="12" t="str">
        <f aca="false">IF(OR(I33="",M33="",M33&lt;I33),"",M33-I33)</f>
        <v/>
      </c>
      <c r="AB33" s="9" t="str">
        <f aca="false">IF(OR(A33="",多次统计数据!$B$8="",多次统计数据!$B$6&lt;=0,多次统计数据!$B$6&gt;=1),"",1-POWER(1+多次统计数据!$B$8,-多次统计数据!$B$6/(1-多次统计数据!$B$6)))</f>
        <v/>
      </c>
      <c r="AC33" s="7" t="str">
        <f aca="false">IF(OR(AB33="",多次统计数据!$B$9=""),"",IF(多次统计数据!$B$9&lt;AB33,"低于上限","达到或超过上限"))</f>
        <v/>
      </c>
      <c r="AD33" s="4"/>
      <c r="AE33" s="9" t="str">
        <f aca="false">IF(OR(X33="",C33="",C33&lt;=0),"",X33/C33)</f>
        <v/>
      </c>
      <c r="AG33" s="4"/>
      <c r="AH33" s="4"/>
      <c r="AI33" s="4"/>
      <c r="AJ33" s="7" t="str">
        <f aca="false">IF(OR(AG33="",AH33=""),"",IF(OR(AND(AG33="短期博反弹",OR(AH33="1～3个交易日",AH33="4～10个交易日")),AND(AG33="突破冲新高",OR(AH33="4～10个交易日",AH33="11～20个交易日")),AND(AG33="趋势波段",OR(AH33="11～20个交易日",AH33="21～60个交易日",AH33="60个交易日以上"))),"匹配","周期与交易预期不匹配，请重新确认"))</f>
        <v/>
      </c>
      <c r="AK33" s="13" t="str">
        <f aca="false">IF(A33="","",COUNTIFS(加仓管理!$A$2:$A$1001,A33,加仓管理!$G$2:$G$1001,"&gt;0"))</f>
        <v/>
      </c>
      <c r="AL33" s="13" t="str">
        <f aca="false">IF(A33="","",SUMIFS(加仓管理!$G$2:$G$1001,加仓管理!$A$2:$A$1001,A33))</f>
        <v/>
      </c>
      <c r="AM33" s="14" t="str">
        <f aca="false">IF(AK33=0,"",IFERROR(LOOKUP(2,1/((加仓管理!$A$2:$A$1001=A33)*(加仓管理!$G$2:$G$1001&gt;0)),加仓管理!$D$2:$D$1001),""))</f>
        <v/>
      </c>
      <c r="AN33" s="14" t="str">
        <f aca="false">IF(AK33=0,"",IFERROR(LOOKUP(2,1/((加仓管理!$A$2:$A$1001=A33)*(加仓管理!$G$2:$G$1001&gt;0)),加仓管理!$E$2:$E$1001),""))</f>
        <v/>
      </c>
      <c r="AO33" s="14" t="str">
        <f aca="false">IF(OR(A33="",H33="",H33&lt;=0),"",(E33*H33+SUMIFS(加仓管理!$H$2:$H$1001,加仓管理!$A$2:$A$1001,A33))/AP33)</f>
        <v/>
      </c>
      <c r="AP33" s="13" t="str">
        <f aca="false">IF(OR(A33="",H33="",H33&lt;=0),"",H33+AL33)</f>
        <v/>
      </c>
      <c r="AQ33" s="14" t="str">
        <f aca="false">IF(A33="","",IF(M33&lt;&gt;"",0,IF(OR(H33="",N33=""),"",MAX((E33*H33+SUMIFS(加仓管理!$H$2:$H$1001,加仓管理!$A$2:$A$1001,A33))-MAX(N33,AN33)*AP33,0))))</f>
        <v/>
      </c>
      <c r="AR33" s="15" t="str">
        <f aca="false">IF(A33="","",IF(OR(E33="",H33=""),"违规：首次买入价格或股数缺失",IF(COUNTIFS(加仓管理!$A$2:$A$1001,A33,加仓管理!$R$2:$R$1001,"违规*")&gt;0,"违规：请检查加仓管理表",IF(SUM($AQ$2:$AQ$201)&gt;账户数据!$B$7,"预警：超过账户风险上限",IF(COUNTIFS(加仓管理!$A$2:$A$1001,A33,加仓管理!$N$2:$N$1001,"&gt;0",加仓管理!$G$2:$G$1001,"")&gt;0,"提示：存在待执行加仓计划","通过")))))</f>
        <v/>
      </c>
    </row>
    <row r="34" customFormat="false" ht="13.5" hidden="false" customHeight="false" outlineLevel="0" collapsed="false">
      <c r="A34" s="4"/>
      <c r="B34" s="4"/>
      <c r="C34" s="5"/>
      <c r="D34" s="6"/>
      <c r="E34" s="5"/>
      <c r="F34" s="7" t="str">
        <f aca="false">IF(OR(C34="",D34="",E34="",N34="",C34&lt;=0,D34&lt;=0,E34&lt;=N34),"",ROUNDDOWN((C34*D34)/(E34-N34)/100,0)*100)</f>
        <v/>
      </c>
      <c r="G34" s="7" t="str">
        <f aca="false">IF(A34="","",IF(H34&lt;&gt;"","已开仓",IF(账户数据!$B$23="已锁仓","禁止开仓：连续亏损达到上限",IF(账户数据!$B$23="解锁信息不完整","禁止开仓：请完整填写解锁信息",IF(OR(F34="",E34="",N34="",E34&lt;=N34,账户数据!$B$7=""),"",IF(OR(AG34="",AH34="",AI34=""),"禁止开仓：交易预期未填写完整",IF(账户数据!$B$9+F34*(E34-N34)&gt;=账户数据!$B$7,"禁止开仓：风险额度不足",IF(AJ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4" s="4"/>
      <c r="I34" s="8"/>
      <c r="J34" s="5"/>
      <c r="K34" s="5"/>
      <c r="L34" s="7" t="str">
        <f aca="false">IF(AP34="","",AP34)</f>
        <v/>
      </c>
      <c r="M34" s="8"/>
      <c r="N34" s="5"/>
      <c r="O34" s="5"/>
      <c r="P34" s="5"/>
      <c r="Q34" s="4"/>
      <c r="R34" s="4"/>
      <c r="S34" s="4"/>
      <c r="T34" s="4"/>
      <c r="U34" s="9" t="str">
        <f aca="false">IF(OR(AO34="",J34="",AO34&lt;=0),"",(J34-AO34)/AO34)</f>
        <v/>
      </c>
      <c r="V34" s="9" t="str">
        <f aca="false">IF(OR(AO34="",N34="",AO34&lt;=0),"",(AO34-N34)/AO34)</f>
        <v/>
      </c>
      <c r="W34" s="10" t="str">
        <f aca="false">IF(OR(U34="",V34="",V34&lt;=0),"",U34/V34)</f>
        <v/>
      </c>
      <c r="X34" s="11" t="str">
        <f aca="false">IF(OR(K34="",L34="",AO34="",AP34=""),"",(K34-AO34)*L34-IF(O34="",0,O34)-IF(P34="",0,P34))</f>
        <v/>
      </c>
      <c r="Y34" s="9" t="str">
        <f aca="false">IF(OR(X34="",AO34="",L34=""),"",IF(AO34*L34+IF(O34="",0,O34)&lt;=0,"",X34/(AO34*L34+IF(O34="",0,O34))))</f>
        <v/>
      </c>
      <c r="Z34" s="9" t="str">
        <f aca="false">IF(OR(AE34="",多次统计数据!$B$8=""),"",AE34-多次统计数据!$B$8)</f>
        <v/>
      </c>
      <c r="AA34" s="12" t="str">
        <f aca="false">IF(OR(I34="",M34="",M34&lt;I34),"",M34-I34)</f>
        <v/>
      </c>
      <c r="AB34" s="9" t="str">
        <f aca="false">IF(OR(A34="",多次统计数据!$B$8="",多次统计数据!$B$6&lt;=0,多次统计数据!$B$6&gt;=1),"",1-POWER(1+多次统计数据!$B$8,-多次统计数据!$B$6/(1-多次统计数据!$B$6)))</f>
        <v/>
      </c>
      <c r="AC34" s="7" t="str">
        <f aca="false">IF(OR(AB34="",多次统计数据!$B$9=""),"",IF(多次统计数据!$B$9&lt;AB34,"低于上限","达到或超过上限"))</f>
        <v/>
      </c>
      <c r="AD34" s="4"/>
      <c r="AE34" s="9" t="str">
        <f aca="false">IF(OR(X34="",C34="",C34&lt;=0),"",X34/C34)</f>
        <v/>
      </c>
      <c r="AG34" s="4"/>
      <c r="AH34" s="4"/>
      <c r="AI34" s="4"/>
      <c r="AJ34" s="7" t="str">
        <f aca="false">IF(OR(AG34="",AH34=""),"",IF(OR(AND(AG34="短期博反弹",OR(AH34="1～3个交易日",AH34="4～10个交易日")),AND(AG34="突破冲新高",OR(AH34="4～10个交易日",AH34="11～20个交易日")),AND(AG34="趋势波段",OR(AH34="11～20个交易日",AH34="21～60个交易日",AH34="60个交易日以上"))),"匹配","周期与交易预期不匹配，请重新确认"))</f>
        <v/>
      </c>
      <c r="AK34" s="13" t="str">
        <f aca="false">IF(A34="","",COUNTIFS(加仓管理!$A$2:$A$1001,A34,加仓管理!$G$2:$G$1001,"&gt;0"))</f>
        <v/>
      </c>
      <c r="AL34" s="13" t="str">
        <f aca="false">IF(A34="","",SUMIFS(加仓管理!$G$2:$G$1001,加仓管理!$A$2:$A$1001,A34))</f>
        <v/>
      </c>
      <c r="AM34" s="14" t="str">
        <f aca="false">IF(AK34=0,"",IFERROR(LOOKUP(2,1/((加仓管理!$A$2:$A$1001=A34)*(加仓管理!$G$2:$G$1001&gt;0)),加仓管理!$D$2:$D$1001),""))</f>
        <v/>
      </c>
      <c r="AN34" s="14" t="str">
        <f aca="false">IF(AK34=0,"",IFERROR(LOOKUP(2,1/((加仓管理!$A$2:$A$1001=A34)*(加仓管理!$G$2:$G$1001&gt;0)),加仓管理!$E$2:$E$1001),""))</f>
        <v/>
      </c>
      <c r="AO34" s="14" t="str">
        <f aca="false">IF(OR(A34="",H34="",H34&lt;=0),"",(E34*H34+SUMIFS(加仓管理!$H$2:$H$1001,加仓管理!$A$2:$A$1001,A34))/AP34)</f>
        <v/>
      </c>
      <c r="AP34" s="13" t="str">
        <f aca="false">IF(OR(A34="",H34="",H34&lt;=0),"",H34+AL34)</f>
        <v/>
      </c>
      <c r="AQ34" s="14" t="str">
        <f aca="false">IF(A34="","",IF(M34&lt;&gt;"",0,IF(OR(H34="",N34=""),"",MAX((E34*H34+SUMIFS(加仓管理!$H$2:$H$1001,加仓管理!$A$2:$A$1001,A34))-MAX(N34,AN34)*AP34,0))))</f>
        <v/>
      </c>
      <c r="AR34" s="15" t="str">
        <f aca="false">IF(A34="","",IF(OR(E34="",H34=""),"违规：首次买入价格或股数缺失",IF(COUNTIFS(加仓管理!$A$2:$A$1001,A34,加仓管理!$R$2:$R$1001,"违规*")&gt;0,"违规：请检查加仓管理表",IF(SUM($AQ$2:$AQ$201)&gt;账户数据!$B$7,"预警：超过账户风险上限",IF(COUNTIFS(加仓管理!$A$2:$A$1001,A34,加仓管理!$N$2:$N$1001,"&gt;0",加仓管理!$G$2:$G$1001,"")&gt;0,"提示：存在待执行加仓计划","通过")))))</f>
        <v/>
      </c>
    </row>
    <row r="35" customFormat="false" ht="13.5" hidden="false" customHeight="false" outlineLevel="0" collapsed="false">
      <c r="A35" s="4"/>
      <c r="B35" s="4"/>
      <c r="C35" s="5"/>
      <c r="D35" s="6"/>
      <c r="E35" s="5"/>
      <c r="F35" s="7" t="str">
        <f aca="false">IF(OR(C35="",D35="",E35="",N35="",C35&lt;=0,D35&lt;=0,E35&lt;=N35),"",ROUNDDOWN((C35*D35)/(E35-N35)/100,0)*100)</f>
        <v/>
      </c>
      <c r="G35" s="7" t="str">
        <f aca="false">IF(A35="","",IF(H35&lt;&gt;"","已开仓",IF(账户数据!$B$23="已锁仓","禁止开仓：连续亏损达到上限",IF(账户数据!$B$23="解锁信息不完整","禁止开仓：请完整填写解锁信息",IF(OR(F35="",E35="",N35="",E35&lt;=N35,账户数据!$B$7=""),"",IF(OR(AG35="",AH35="",AI35=""),"禁止开仓：交易预期未填写完整",IF(账户数据!$B$9+F35*(E35-N35)&gt;=账户数据!$B$7,"禁止开仓：风险额度不足",IF(AJ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5" s="4"/>
      <c r="I35" s="8"/>
      <c r="J35" s="5"/>
      <c r="K35" s="5"/>
      <c r="L35" s="7" t="str">
        <f aca="false">IF(AP35="","",AP35)</f>
        <v/>
      </c>
      <c r="M35" s="8"/>
      <c r="N35" s="5"/>
      <c r="O35" s="5"/>
      <c r="P35" s="5"/>
      <c r="Q35" s="4"/>
      <c r="R35" s="4"/>
      <c r="S35" s="4"/>
      <c r="T35" s="4"/>
      <c r="U35" s="9" t="str">
        <f aca="false">IF(OR(AO35="",J35="",AO35&lt;=0),"",(J35-AO35)/AO35)</f>
        <v/>
      </c>
      <c r="V35" s="9" t="str">
        <f aca="false">IF(OR(AO35="",N35="",AO35&lt;=0),"",(AO35-N35)/AO35)</f>
        <v/>
      </c>
      <c r="W35" s="10" t="str">
        <f aca="false">IF(OR(U35="",V35="",V35&lt;=0),"",U35/V35)</f>
        <v/>
      </c>
      <c r="X35" s="11" t="str">
        <f aca="false">IF(OR(K35="",L35="",AO35="",AP35=""),"",(K35-AO35)*L35-IF(O35="",0,O35)-IF(P35="",0,P35))</f>
        <v/>
      </c>
      <c r="Y35" s="9" t="str">
        <f aca="false">IF(OR(X35="",AO35="",L35=""),"",IF(AO35*L35+IF(O35="",0,O35)&lt;=0,"",X35/(AO35*L35+IF(O35="",0,O35))))</f>
        <v/>
      </c>
      <c r="Z35" s="9" t="str">
        <f aca="false">IF(OR(AE35="",多次统计数据!$B$8=""),"",AE35-多次统计数据!$B$8)</f>
        <v/>
      </c>
      <c r="AA35" s="12" t="str">
        <f aca="false">IF(OR(I35="",M35="",M35&lt;I35),"",M35-I35)</f>
        <v/>
      </c>
      <c r="AB35" s="9" t="str">
        <f aca="false">IF(OR(A35="",多次统计数据!$B$8="",多次统计数据!$B$6&lt;=0,多次统计数据!$B$6&gt;=1),"",1-POWER(1+多次统计数据!$B$8,-多次统计数据!$B$6/(1-多次统计数据!$B$6)))</f>
        <v/>
      </c>
      <c r="AC35" s="7" t="str">
        <f aca="false">IF(OR(AB35="",多次统计数据!$B$9=""),"",IF(多次统计数据!$B$9&lt;AB35,"低于上限","达到或超过上限"))</f>
        <v/>
      </c>
      <c r="AD35" s="4"/>
      <c r="AE35" s="9" t="str">
        <f aca="false">IF(OR(X35="",C35="",C35&lt;=0),"",X35/C35)</f>
        <v/>
      </c>
      <c r="AG35" s="4"/>
      <c r="AH35" s="4"/>
      <c r="AI35" s="4"/>
      <c r="AJ35" s="7" t="str">
        <f aca="false">IF(OR(AG35="",AH35=""),"",IF(OR(AND(AG35="短期博反弹",OR(AH35="1～3个交易日",AH35="4～10个交易日")),AND(AG35="突破冲新高",OR(AH35="4～10个交易日",AH35="11～20个交易日")),AND(AG35="趋势波段",OR(AH35="11～20个交易日",AH35="21～60个交易日",AH35="60个交易日以上"))),"匹配","周期与交易预期不匹配，请重新确认"))</f>
        <v/>
      </c>
      <c r="AK35" s="13" t="str">
        <f aca="false">IF(A35="","",COUNTIFS(加仓管理!$A$2:$A$1001,A35,加仓管理!$G$2:$G$1001,"&gt;0"))</f>
        <v/>
      </c>
      <c r="AL35" s="13" t="str">
        <f aca="false">IF(A35="","",SUMIFS(加仓管理!$G$2:$G$1001,加仓管理!$A$2:$A$1001,A35))</f>
        <v/>
      </c>
      <c r="AM35" s="14" t="str">
        <f aca="false">IF(AK35=0,"",IFERROR(LOOKUP(2,1/((加仓管理!$A$2:$A$1001=A35)*(加仓管理!$G$2:$G$1001&gt;0)),加仓管理!$D$2:$D$1001),""))</f>
        <v/>
      </c>
      <c r="AN35" s="14" t="str">
        <f aca="false">IF(AK35=0,"",IFERROR(LOOKUP(2,1/((加仓管理!$A$2:$A$1001=A35)*(加仓管理!$G$2:$G$1001&gt;0)),加仓管理!$E$2:$E$1001),""))</f>
        <v/>
      </c>
      <c r="AO35" s="14" t="str">
        <f aca="false">IF(OR(A35="",H35="",H35&lt;=0),"",(E35*H35+SUMIFS(加仓管理!$H$2:$H$1001,加仓管理!$A$2:$A$1001,A35))/AP35)</f>
        <v/>
      </c>
      <c r="AP35" s="13" t="str">
        <f aca="false">IF(OR(A35="",H35="",H35&lt;=0),"",H35+AL35)</f>
        <v/>
      </c>
      <c r="AQ35" s="14" t="str">
        <f aca="false">IF(A35="","",IF(M35&lt;&gt;"",0,IF(OR(H35="",N35=""),"",MAX((E35*H35+SUMIFS(加仓管理!$H$2:$H$1001,加仓管理!$A$2:$A$1001,A35))-MAX(N35,AN35)*AP35,0))))</f>
        <v/>
      </c>
      <c r="AR35" s="15" t="str">
        <f aca="false">IF(A35="","",IF(OR(E35="",H35=""),"违规：首次买入价格或股数缺失",IF(COUNTIFS(加仓管理!$A$2:$A$1001,A35,加仓管理!$R$2:$R$1001,"违规*")&gt;0,"违规：请检查加仓管理表",IF(SUM($AQ$2:$AQ$201)&gt;账户数据!$B$7,"预警：超过账户风险上限",IF(COUNTIFS(加仓管理!$A$2:$A$1001,A35,加仓管理!$N$2:$N$1001,"&gt;0",加仓管理!$G$2:$G$1001,"")&gt;0,"提示：存在待执行加仓计划","通过")))))</f>
        <v/>
      </c>
    </row>
    <row r="36" customFormat="false" ht="13.5" hidden="false" customHeight="false" outlineLevel="0" collapsed="false">
      <c r="A36" s="4"/>
      <c r="B36" s="4"/>
      <c r="C36" s="5"/>
      <c r="D36" s="6"/>
      <c r="E36" s="5"/>
      <c r="F36" s="7" t="str">
        <f aca="false">IF(OR(C36="",D36="",E36="",N36="",C36&lt;=0,D36&lt;=0,E36&lt;=N36),"",ROUNDDOWN((C36*D36)/(E36-N36)/100,0)*100)</f>
        <v/>
      </c>
      <c r="G36" s="7" t="str">
        <f aca="false">IF(A36="","",IF(H36&lt;&gt;"","已开仓",IF(账户数据!$B$23="已锁仓","禁止开仓：连续亏损达到上限",IF(账户数据!$B$23="解锁信息不完整","禁止开仓：请完整填写解锁信息",IF(OR(F36="",E36="",N36="",E36&lt;=N36,账户数据!$B$7=""),"",IF(OR(AG36="",AH36="",AI36=""),"禁止开仓：交易预期未填写完整",IF(账户数据!$B$9+F36*(E36-N36)&gt;=账户数据!$B$7,"禁止开仓：风险额度不足",IF(AJ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6" s="4"/>
      <c r="I36" s="8"/>
      <c r="J36" s="5"/>
      <c r="K36" s="5"/>
      <c r="L36" s="7" t="str">
        <f aca="false">IF(AP36="","",AP36)</f>
        <v/>
      </c>
      <c r="M36" s="8"/>
      <c r="N36" s="5"/>
      <c r="O36" s="5"/>
      <c r="P36" s="5"/>
      <c r="Q36" s="4"/>
      <c r="R36" s="4"/>
      <c r="S36" s="4"/>
      <c r="T36" s="4"/>
      <c r="U36" s="9" t="str">
        <f aca="false">IF(OR(AO36="",J36="",AO36&lt;=0),"",(J36-AO36)/AO36)</f>
        <v/>
      </c>
      <c r="V36" s="9" t="str">
        <f aca="false">IF(OR(AO36="",N36="",AO36&lt;=0),"",(AO36-N36)/AO36)</f>
        <v/>
      </c>
      <c r="W36" s="10" t="str">
        <f aca="false">IF(OR(U36="",V36="",V36&lt;=0),"",U36/V36)</f>
        <v/>
      </c>
      <c r="X36" s="11" t="str">
        <f aca="false">IF(OR(K36="",L36="",AO36="",AP36=""),"",(K36-AO36)*L36-IF(O36="",0,O36)-IF(P36="",0,P36))</f>
        <v/>
      </c>
      <c r="Y36" s="9" t="str">
        <f aca="false">IF(OR(X36="",AO36="",L36=""),"",IF(AO36*L36+IF(O36="",0,O36)&lt;=0,"",X36/(AO36*L36+IF(O36="",0,O36))))</f>
        <v/>
      </c>
      <c r="Z36" s="9" t="str">
        <f aca="false">IF(OR(AE36="",多次统计数据!$B$8=""),"",AE36-多次统计数据!$B$8)</f>
        <v/>
      </c>
      <c r="AA36" s="12" t="str">
        <f aca="false">IF(OR(I36="",M36="",M36&lt;I36),"",M36-I36)</f>
        <v/>
      </c>
      <c r="AB36" s="9" t="str">
        <f aca="false">IF(OR(A36="",多次统计数据!$B$8="",多次统计数据!$B$6&lt;=0,多次统计数据!$B$6&gt;=1),"",1-POWER(1+多次统计数据!$B$8,-多次统计数据!$B$6/(1-多次统计数据!$B$6)))</f>
        <v/>
      </c>
      <c r="AC36" s="7" t="str">
        <f aca="false">IF(OR(AB36="",多次统计数据!$B$9=""),"",IF(多次统计数据!$B$9&lt;AB36,"低于上限","达到或超过上限"))</f>
        <v/>
      </c>
      <c r="AD36" s="4"/>
      <c r="AE36" s="9" t="str">
        <f aca="false">IF(OR(X36="",C36="",C36&lt;=0),"",X36/C36)</f>
        <v/>
      </c>
      <c r="AG36" s="4"/>
      <c r="AH36" s="4"/>
      <c r="AI36" s="4"/>
      <c r="AJ36" s="7" t="str">
        <f aca="false">IF(OR(AG36="",AH36=""),"",IF(OR(AND(AG36="短期博反弹",OR(AH36="1～3个交易日",AH36="4～10个交易日")),AND(AG36="突破冲新高",OR(AH36="4～10个交易日",AH36="11～20个交易日")),AND(AG36="趋势波段",OR(AH36="11～20个交易日",AH36="21～60个交易日",AH36="60个交易日以上"))),"匹配","周期与交易预期不匹配，请重新确认"))</f>
        <v/>
      </c>
      <c r="AK36" s="13" t="str">
        <f aca="false">IF(A36="","",COUNTIFS(加仓管理!$A$2:$A$1001,A36,加仓管理!$G$2:$G$1001,"&gt;0"))</f>
        <v/>
      </c>
      <c r="AL36" s="13" t="str">
        <f aca="false">IF(A36="","",SUMIFS(加仓管理!$G$2:$G$1001,加仓管理!$A$2:$A$1001,A36))</f>
        <v/>
      </c>
      <c r="AM36" s="14" t="str">
        <f aca="false">IF(AK36=0,"",IFERROR(LOOKUP(2,1/((加仓管理!$A$2:$A$1001=A36)*(加仓管理!$G$2:$G$1001&gt;0)),加仓管理!$D$2:$D$1001),""))</f>
        <v/>
      </c>
      <c r="AN36" s="14" t="str">
        <f aca="false">IF(AK36=0,"",IFERROR(LOOKUP(2,1/((加仓管理!$A$2:$A$1001=A36)*(加仓管理!$G$2:$G$1001&gt;0)),加仓管理!$E$2:$E$1001),""))</f>
        <v/>
      </c>
      <c r="AO36" s="14" t="str">
        <f aca="false">IF(OR(A36="",H36="",H36&lt;=0),"",(E36*H36+SUMIFS(加仓管理!$H$2:$H$1001,加仓管理!$A$2:$A$1001,A36))/AP36)</f>
        <v/>
      </c>
      <c r="AP36" s="13" t="str">
        <f aca="false">IF(OR(A36="",H36="",H36&lt;=0),"",H36+AL36)</f>
        <v/>
      </c>
      <c r="AQ36" s="14" t="str">
        <f aca="false">IF(A36="","",IF(M36&lt;&gt;"",0,IF(OR(H36="",N36=""),"",MAX((E36*H36+SUMIFS(加仓管理!$H$2:$H$1001,加仓管理!$A$2:$A$1001,A36))-MAX(N36,AN36)*AP36,0))))</f>
        <v/>
      </c>
      <c r="AR36" s="15" t="str">
        <f aca="false">IF(A36="","",IF(OR(E36="",H36=""),"违规：首次买入价格或股数缺失",IF(COUNTIFS(加仓管理!$A$2:$A$1001,A36,加仓管理!$R$2:$R$1001,"违规*")&gt;0,"违规：请检查加仓管理表",IF(SUM($AQ$2:$AQ$201)&gt;账户数据!$B$7,"预警：超过账户风险上限",IF(COUNTIFS(加仓管理!$A$2:$A$1001,A36,加仓管理!$N$2:$N$1001,"&gt;0",加仓管理!$G$2:$G$1001,"")&gt;0,"提示：存在待执行加仓计划","通过")))))</f>
        <v/>
      </c>
    </row>
    <row r="37" customFormat="false" ht="13.5" hidden="false" customHeight="false" outlineLevel="0" collapsed="false">
      <c r="A37" s="4"/>
      <c r="B37" s="4"/>
      <c r="C37" s="5"/>
      <c r="D37" s="6"/>
      <c r="E37" s="5"/>
      <c r="F37" s="7" t="str">
        <f aca="false">IF(OR(C37="",D37="",E37="",N37="",C37&lt;=0,D37&lt;=0,E37&lt;=N37),"",ROUNDDOWN((C37*D37)/(E37-N37)/100,0)*100)</f>
        <v/>
      </c>
      <c r="G37" s="7" t="str">
        <f aca="false">IF(A37="","",IF(H37&lt;&gt;"","已开仓",IF(账户数据!$B$23="已锁仓","禁止开仓：连续亏损达到上限",IF(账户数据!$B$23="解锁信息不完整","禁止开仓：请完整填写解锁信息",IF(OR(F37="",E37="",N37="",E37&lt;=N37,账户数据!$B$7=""),"",IF(OR(AG37="",AH37="",AI37=""),"禁止开仓：交易预期未填写完整",IF(账户数据!$B$9+F37*(E37-N37)&gt;=账户数据!$B$7,"禁止开仓：风险额度不足",IF(AJ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7" s="4"/>
      <c r="I37" s="8"/>
      <c r="J37" s="5"/>
      <c r="K37" s="5"/>
      <c r="L37" s="7" t="str">
        <f aca="false">IF(AP37="","",AP37)</f>
        <v/>
      </c>
      <c r="M37" s="8"/>
      <c r="N37" s="5"/>
      <c r="O37" s="5"/>
      <c r="P37" s="5"/>
      <c r="Q37" s="4"/>
      <c r="R37" s="4"/>
      <c r="S37" s="4"/>
      <c r="T37" s="4"/>
      <c r="U37" s="9" t="str">
        <f aca="false">IF(OR(AO37="",J37="",AO37&lt;=0),"",(J37-AO37)/AO37)</f>
        <v/>
      </c>
      <c r="V37" s="9" t="str">
        <f aca="false">IF(OR(AO37="",N37="",AO37&lt;=0),"",(AO37-N37)/AO37)</f>
        <v/>
      </c>
      <c r="W37" s="10" t="str">
        <f aca="false">IF(OR(U37="",V37="",V37&lt;=0),"",U37/V37)</f>
        <v/>
      </c>
      <c r="X37" s="11" t="str">
        <f aca="false">IF(OR(K37="",L37="",AO37="",AP37=""),"",(K37-AO37)*L37-IF(O37="",0,O37)-IF(P37="",0,P37))</f>
        <v/>
      </c>
      <c r="Y37" s="9" t="str">
        <f aca="false">IF(OR(X37="",AO37="",L37=""),"",IF(AO37*L37+IF(O37="",0,O37)&lt;=0,"",X37/(AO37*L37+IF(O37="",0,O37))))</f>
        <v/>
      </c>
      <c r="Z37" s="9" t="str">
        <f aca="false">IF(OR(AE37="",多次统计数据!$B$8=""),"",AE37-多次统计数据!$B$8)</f>
        <v/>
      </c>
      <c r="AA37" s="12" t="str">
        <f aca="false">IF(OR(I37="",M37="",M37&lt;I37),"",M37-I37)</f>
        <v/>
      </c>
      <c r="AB37" s="9" t="str">
        <f aca="false">IF(OR(A37="",多次统计数据!$B$8="",多次统计数据!$B$6&lt;=0,多次统计数据!$B$6&gt;=1),"",1-POWER(1+多次统计数据!$B$8,-多次统计数据!$B$6/(1-多次统计数据!$B$6)))</f>
        <v/>
      </c>
      <c r="AC37" s="7" t="str">
        <f aca="false">IF(OR(AB37="",多次统计数据!$B$9=""),"",IF(多次统计数据!$B$9&lt;AB37,"低于上限","达到或超过上限"))</f>
        <v/>
      </c>
      <c r="AD37" s="4"/>
      <c r="AE37" s="9" t="str">
        <f aca="false">IF(OR(X37="",C37="",C37&lt;=0),"",X37/C37)</f>
        <v/>
      </c>
      <c r="AG37" s="4"/>
      <c r="AH37" s="4"/>
      <c r="AI37" s="4"/>
      <c r="AJ37" s="7" t="str">
        <f aca="false">IF(OR(AG37="",AH37=""),"",IF(OR(AND(AG37="短期博反弹",OR(AH37="1～3个交易日",AH37="4～10个交易日")),AND(AG37="突破冲新高",OR(AH37="4～10个交易日",AH37="11～20个交易日")),AND(AG37="趋势波段",OR(AH37="11～20个交易日",AH37="21～60个交易日",AH37="60个交易日以上"))),"匹配","周期与交易预期不匹配，请重新确认"))</f>
        <v/>
      </c>
      <c r="AK37" s="13" t="str">
        <f aca="false">IF(A37="","",COUNTIFS(加仓管理!$A$2:$A$1001,A37,加仓管理!$G$2:$G$1001,"&gt;0"))</f>
        <v/>
      </c>
      <c r="AL37" s="13" t="str">
        <f aca="false">IF(A37="","",SUMIFS(加仓管理!$G$2:$G$1001,加仓管理!$A$2:$A$1001,A37))</f>
        <v/>
      </c>
      <c r="AM37" s="14" t="str">
        <f aca="false">IF(AK37=0,"",IFERROR(LOOKUP(2,1/((加仓管理!$A$2:$A$1001=A37)*(加仓管理!$G$2:$G$1001&gt;0)),加仓管理!$D$2:$D$1001),""))</f>
        <v/>
      </c>
      <c r="AN37" s="14" t="str">
        <f aca="false">IF(AK37=0,"",IFERROR(LOOKUP(2,1/((加仓管理!$A$2:$A$1001=A37)*(加仓管理!$G$2:$G$1001&gt;0)),加仓管理!$E$2:$E$1001),""))</f>
        <v/>
      </c>
      <c r="AO37" s="14" t="str">
        <f aca="false">IF(OR(A37="",H37="",H37&lt;=0),"",(E37*H37+SUMIFS(加仓管理!$H$2:$H$1001,加仓管理!$A$2:$A$1001,A37))/AP37)</f>
        <v/>
      </c>
      <c r="AP37" s="13" t="str">
        <f aca="false">IF(OR(A37="",H37="",H37&lt;=0),"",H37+AL37)</f>
        <v/>
      </c>
      <c r="AQ37" s="14" t="str">
        <f aca="false">IF(A37="","",IF(M37&lt;&gt;"",0,IF(OR(H37="",N37=""),"",MAX((E37*H37+SUMIFS(加仓管理!$H$2:$H$1001,加仓管理!$A$2:$A$1001,A37))-MAX(N37,AN37)*AP37,0))))</f>
        <v/>
      </c>
      <c r="AR37" s="15" t="str">
        <f aca="false">IF(A37="","",IF(OR(E37="",H37=""),"违规：首次买入价格或股数缺失",IF(COUNTIFS(加仓管理!$A$2:$A$1001,A37,加仓管理!$R$2:$R$1001,"违规*")&gt;0,"违规：请检查加仓管理表",IF(SUM($AQ$2:$AQ$201)&gt;账户数据!$B$7,"预警：超过账户风险上限",IF(COUNTIFS(加仓管理!$A$2:$A$1001,A37,加仓管理!$N$2:$N$1001,"&gt;0",加仓管理!$G$2:$G$1001,"")&gt;0,"提示：存在待执行加仓计划","通过")))))</f>
        <v/>
      </c>
    </row>
    <row r="38" customFormat="false" ht="13.5" hidden="false" customHeight="false" outlineLevel="0" collapsed="false">
      <c r="A38" s="4"/>
      <c r="B38" s="4"/>
      <c r="C38" s="5"/>
      <c r="D38" s="6"/>
      <c r="E38" s="5"/>
      <c r="F38" s="7" t="str">
        <f aca="false">IF(OR(C38="",D38="",E38="",N38="",C38&lt;=0,D38&lt;=0,E38&lt;=N38),"",ROUNDDOWN((C38*D38)/(E38-N38)/100,0)*100)</f>
        <v/>
      </c>
      <c r="G38" s="7" t="str">
        <f aca="false">IF(A38="","",IF(H38&lt;&gt;"","已开仓",IF(账户数据!$B$23="已锁仓","禁止开仓：连续亏损达到上限",IF(账户数据!$B$23="解锁信息不完整","禁止开仓：请完整填写解锁信息",IF(OR(F38="",E38="",N38="",E38&lt;=N38,账户数据!$B$7=""),"",IF(OR(AG38="",AH38="",AI38=""),"禁止开仓：交易预期未填写完整",IF(账户数据!$B$9+F38*(E38-N38)&gt;=账户数据!$B$7,"禁止开仓：风险额度不足",IF(AJ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8" s="4"/>
      <c r="I38" s="8"/>
      <c r="J38" s="5"/>
      <c r="K38" s="5"/>
      <c r="L38" s="7" t="str">
        <f aca="false">IF(AP38="","",AP38)</f>
        <v/>
      </c>
      <c r="M38" s="8"/>
      <c r="N38" s="5"/>
      <c r="O38" s="5"/>
      <c r="P38" s="5"/>
      <c r="Q38" s="4"/>
      <c r="R38" s="4"/>
      <c r="S38" s="4"/>
      <c r="T38" s="4"/>
      <c r="U38" s="9" t="str">
        <f aca="false">IF(OR(AO38="",J38="",AO38&lt;=0),"",(J38-AO38)/AO38)</f>
        <v/>
      </c>
      <c r="V38" s="9" t="str">
        <f aca="false">IF(OR(AO38="",N38="",AO38&lt;=0),"",(AO38-N38)/AO38)</f>
        <v/>
      </c>
      <c r="W38" s="10" t="str">
        <f aca="false">IF(OR(U38="",V38="",V38&lt;=0),"",U38/V38)</f>
        <v/>
      </c>
      <c r="X38" s="11" t="str">
        <f aca="false">IF(OR(K38="",L38="",AO38="",AP38=""),"",(K38-AO38)*L38-IF(O38="",0,O38)-IF(P38="",0,P38))</f>
        <v/>
      </c>
      <c r="Y38" s="9" t="str">
        <f aca="false">IF(OR(X38="",AO38="",L38=""),"",IF(AO38*L38+IF(O38="",0,O38)&lt;=0,"",X38/(AO38*L38+IF(O38="",0,O38))))</f>
        <v/>
      </c>
      <c r="Z38" s="9" t="str">
        <f aca="false">IF(OR(AE38="",多次统计数据!$B$8=""),"",AE38-多次统计数据!$B$8)</f>
        <v/>
      </c>
      <c r="AA38" s="12" t="str">
        <f aca="false">IF(OR(I38="",M38="",M38&lt;I38),"",M38-I38)</f>
        <v/>
      </c>
      <c r="AB38" s="9" t="str">
        <f aca="false">IF(OR(A38="",多次统计数据!$B$8="",多次统计数据!$B$6&lt;=0,多次统计数据!$B$6&gt;=1),"",1-POWER(1+多次统计数据!$B$8,-多次统计数据!$B$6/(1-多次统计数据!$B$6)))</f>
        <v/>
      </c>
      <c r="AC38" s="7" t="str">
        <f aca="false">IF(OR(AB38="",多次统计数据!$B$9=""),"",IF(多次统计数据!$B$9&lt;AB38,"低于上限","达到或超过上限"))</f>
        <v/>
      </c>
      <c r="AD38" s="4"/>
      <c r="AE38" s="9" t="str">
        <f aca="false">IF(OR(X38="",C38="",C38&lt;=0),"",X38/C38)</f>
        <v/>
      </c>
      <c r="AG38" s="4"/>
      <c r="AH38" s="4"/>
      <c r="AI38" s="4"/>
      <c r="AJ38" s="7" t="str">
        <f aca="false">IF(OR(AG38="",AH38=""),"",IF(OR(AND(AG38="短期博反弹",OR(AH38="1～3个交易日",AH38="4～10个交易日")),AND(AG38="突破冲新高",OR(AH38="4～10个交易日",AH38="11～20个交易日")),AND(AG38="趋势波段",OR(AH38="11～20个交易日",AH38="21～60个交易日",AH38="60个交易日以上"))),"匹配","周期与交易预期不匹配，请重新确认"))</f>
        <v/>
      </c>
      <c r="AK38" s="13" t="str">
        <f aca="false">IF(A38="","",COUNTIFS(加仓管理!$A$2:$A$1001,A38,加仓管理!$G$2:$G$1001,"&gt;0"))</f>
        <v/>
      </c>
      <c r="AL38" s="13" t="str">
        <f aca="false">IF(A38="","",SUMIFS(加仓管理!$G$2:$G$1001,加仓管理!$A$2:$A$1001,A38))</f>
        <v/>
      </c>
      <c r="AM38" s="14" t="str">
        <f aca="false">IF(AK38=0,"",IFERROR(LOOKUP(2,1/((加仓管理!$A$2:$A$1001=A38)*(加仓管理!$G$2:$G$1001&gt;0)),加仓管理!$D$2:$D$1001),""))</f>
        <v/>
      </c>
      <c r="AN38" s="14" t="str">
        <f aca="false">IF(AK38=0,"",IFERROR(LOOKUP(2,1/((加仓管理!$A$2:$A$1001=A38)*(加仓管理!$G$2:$G$1001&gt;0)),加仓管理!$E$2:$E$1001),""))</f>
        <v/>
      </c>
      <c r="AO38" s="14" t="str">
        <f aca="false">IF(OR(A38="",H38="",H38&lt;=0),"",(E38*H38+SUMIFS(加仓管理!$H$2:$H$1001,加仓管理!$A$2:$A$1001,A38))/AP38)</f>
        <v/>
      </c>
      <c r="AP38" s="13" t="str">
        <f aca="false">IF(OR(A38="",H38="",H38&lt;=0),"",H38+AL38)</f>
        <v/>
      </c>
      <c r="AQ38" s="14" t="str">
        <f aca="false">IF(A38="","",IF(M38&lt;&gt;"",0,IF(OR(H38="",N38=""),"",MAX((E38*H38+SUMIFS(加仓管理!$H$2:$H$1001,加仓管理!$A$2:$A$1001,A38))-MAX(N38,AN38)*AP38,0))))</f>
        <v/>
      </c>
      <c r="AR38" s="15" t="str">
        <f aca="false">IF(A38="","",IF(OR(E38="",H38=""),"违规：首次买入价格或股数缺失",IF(COUNTIFS(加仓管理!$A$2:$A$1001,A38,加仓管理!$R$2:$R$1001,"违规*")&gt;0,"违规：请检查加仓管理表",IF(SUM($AQ$2:$AQ$201)&gt;账户数据!$B$7,"预警：超过账户风险上限",IF(COUNTIFS(加仓管理!$A$2:$A$1001,A38,加仓管理!$N$2:$N$1001,"&gt;0",加仓管理!$G$2:$G$1001,"")&gt;0,"提示：存在待执行加仓计划","通过")))))</f>
        <v/>
      </c>
    </row>
    <row r="39" customFormat="false" ht="13.5" hidden="false" customHeight="false" outlineLevel="0" collapsed="false">
      <c r="A39" s="4"/>
      <c r="B39" s="4"/>
      <c r="C39" s="5"/>
      <c r="D39" s="6"/>
      <c r="E39" s="5"/>
      <c r="F39" s="7" t="str">
        <f aca="false">IF(OR(C39="",D39="",E39="",N39="",C39&lt;=0,D39&lt;=0,E39&lt;=N39),"",ROUNDDOWN((C39*D39)/(E39-N39)/100,0)*100)</f>
        <v/>
      </c>
      <c r="G39" s="7" t="str">
        <f aca="false">IF(A39="","",IF(H39&lt;&gt;"","已开仓",IF(账户数据!$B$23="已锁仓","禁止开仓：连续亏损达到上限",IF(账户数据!$B$23="解锁信息不完整","禁止开仓：请完整填写解锁信息",IF(OR(F39="",E39="",N39="",E39&lt;=N39,账户数据!$B$7=""),"",IF(OR(AG39="",AH39="",AI39=""),"禁止开仓：交易预期未填写完整",IF(账户数据!$B$9+F39*(E39-N39)&gt;=账户数据!$B$7,"禁止开仓：风险额度不足",IF(AJ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9" s="4"/>
      <c r="I39" s="8"/>
      <c r="J39" s="5"/>
      <c r="K39" s="5"/>
      <c r="L39" s="7" t="str">
        <f aca="false">IF(AP39="","",AP39)</f>
        <v/>
      </c>
      <c r="M39" s="8"/>
      <c r="N39" s="5"/>
      <c r="O39" s="5"/>
      <c r="P39" s="5"/>
      <c r="Q39" s="4"/>
      <c r="R39" s="4"/>
      <c r="S39" s="4"/>
      <c r="T39" s="4"/>
      <c r="U39" s="9" t="str">
        <f aca="false">IF(OR(AO39="",J39="",AO39&lt;=0),"",(J39-AO39)/AO39)</f>
        <v/>
      </c>
      <c r="V39" s="9" t="str">
        <f aca="false">IF(OR(AO39="",N39="",AO39&lt;=0),"",(AO39-N39)/AO39)</f>
        <v/>
      </c>
      <c r="W39" s="10" t="str">
        <f aca="false">IF(OR(U39="",V39="",V39&lt;=0),"",U39/V39)</f>
        <v/>
      </c>
      <c r="X39" s="11" t="str">
        <f aca="false">IF(OR(K39="",L39="",AO39="",AP39=""),"",(K39-AO39)*L39-IF(O39="",0,O39)-IF(P39="",0,P39))</f>
        <v/>
      </c>
      <c r="Y39" s="9" t="str">
        <f aca="false">IF(OR(X39="",AO39="",L39=""),"",IF(AO39*L39+IF(O39="",0,O39)&lt;=0,"",X39/(AO39*L39+IF(O39="",0,O39))))</f>
        <v/>
      </c>
      <c r="Z39" s="9" t="str">
        <f aca="false">IF(OR(AE39="",多次统计数据!$B$8=""),"",AE39-多次统计数据!$B$8)</f>
        <v/>
      </c>
      <c r="AA39" s="12" t="str">
        <f aca="false">IF(OR(I39="",M39="",M39&lt;I39),"",M39-I39)</f>
        <v/>
      </c>
      <c r="AB39" s="9" t="str">
        <f aca="false">IF(OR(A39="",多次统计数据!$B$8="",多次统计数据!$B$6&lt;=0,多次统计数据!$B$6&gt;=1),"",1-POWER(1+多次统计数据!$B$8,-多次统计数据!$B$6/(1-多次统计数据!$B$6)))</f>
        <v/>
      </c>
      <c r="AC39" s="7" t="str">
        <f aca="false">IF(OR(AB39="",多次统计数据!$B$9=""),"",IF(多次统计数据!$B$9&lt;AB39,"低于上限","达到或超过上限"))</f>
        <v/>
      </c>
      <c r="AD39" s="4"/>
      <c r="AE39" s="9" t="str">
        <f aca="false">IF(OR(X39="",C39="",C39&lt;=0),"",X39/C39)</f>
        <v/>
      </c>
      <c r="AG39" s="4"/>
      <c r="AH39" s="4"/>
      <c r="AI39" s="4"/>
      <c r="AJ39" s="7" t="str">
        <f aca="false">IF(OR(AG39="",AH39=""),"",IF(OR(AND(AG39="短期博反弹",OR(AH39="1～3个交易日",AH39="4～10个交易日")),AND(AG39="突破冲新高",OR(AH39="4～10个交易日",AH39="11～20个交易日")),AND(AG39="趋势波段",OR(AH39="11～20个交易日",AH39="21～60个交易日",AH39="60个交易日以上"))),"匹配","周期与交易预期不匹配，请重新确认"))</f>
        <v/>
      </c>
      <c r="AK39" s="13" t="str">
        <f aca="false">IF(A39="","",COUNTIFS(加仓管理!$A$2:$A$1001,A39,加仓管理!$G$2:$G$1001,"&gt;0"))</f>
        <v/>
      </c>
      <c r="AL39" s="13" t="str">
        <f aca="false">IF(A39="","",SUMIFS(加仓管理!$G$2:$G$1001,加仓管理!$A$2:$A$1001,A39))</f>
        <v/>
      </c>
      <c r="AM39" s="14" t="str">
        <f aca="false">IF(AK39=0,"",IFERROR(LOOKUP(2,1/((加仓管理!$A$2:$A$1001=A39)*(加仓管理!$G$2:$G$1001&gt;0)),加仓管理!$D$2:$D$1001),""))</f>
        <v/>
      </c>
      <c r="AN39" s="14" t="str">
        <f aca="false">IF(AK39=0,"",IFERROR(LOOKUP(2,1/((加仓管理!$A$2:$A$1001=A39)*(加仓管理!$G$2:$G$1001&gt;0)),加仓管理!$E$2:$E$1001),""))</f>
        <v/>
      </c>
      <c r="AO39" s="14" t="str">
        <f aca="false">IF(OR(A39="",H39="",H39&lt;=0),"",(E39*H39+SUMIFS(加仓管理!$H$2:$H$1001,加仓管理!$A$2:$A$1001,A39))/AP39)</f>
        <v/>
      </c>
      <c r="AP39" s="13" t="str">
        <f aca="false">IF(OR(A39="",H39="",H39&lt;=0),"",H39+AL39)</f>
        <v/>
      </c>
      <c r="AQ39" s="14" t="str">
        <f aca="false">IF(A39="","",IF(M39&lt;&gt;"",0,IF(OR(H39="",N39=""),"",MAX((E39*H39+SUMIFS(加仓管理!$H$2:$H$1001,加仓管理!$A$2:$A$1001,A39))-MAX(N39,AN39)*AP39,0))))</f>
        <v/>
      </c>
      <c r="AR39" s="15" t="str">
        <f aca="false">IF(A39="","",IF(OR(E39="",H39=""),"违规：首次买入价格或股数缺失",IF(COUNTIFS(加仓管理!$A$2:$A$1001,A39,加仓管理!$R$2:$R$1001,"违规*")&gt;0,"违规：请检查加仓管理表",IF(SUM($AQ$2:$AQ$201)&gt;账户数据!$B$7,"预警：超过账户风险上限",IF(COUNTIFS(加仓管理!$A$2:$A$1001,A39,加仓管理!$N$2:$N$1001,"&gt;0",加仓管理!$G$2:$G$1001,"")&gt;0,"提示：存在待执行加仓计划","通过")))))</f>
        <v/>
      </c>
    </row>
    <row r="40" customFormat="false" ht="13.5" hidden="false" customHeight="false" outlineLevel="0" collapsed="false">
      <c r="A40" s="4"/>
      <c r="B40" s="4"/>
      <c r="C40" s="5"/>
      <c r="D40" s="6"/>
      <c r="E40" s="5"/>
      <c r="F40" s="7" t="str">
        <f aca="false">IF(OR(C40="",D40="",E40="",N40="",C40&lt;=0,D40&lt;=0,E40&lt;=N40),"",ROUNDDOWN((C40*D40)/(E40-N40)/100,0)*100)</f>
        <v/>
      </c>
      <c r="G40" s="7" t="str">
        <f aca="false">IF(A40="","",IF(H40&lt;&gt;"","已开仓",IF(账户数据!$B$23="已锁仓","禁止开仓：连续亏损达到上限",IF(账户数据!$B$23="解锁信息不完整","禁止开仓：请完整填写解锁信息",IF(OR(F40="",E40="",N40="",E40&lt;=N40,账户数据!$B$7=""),"",IF(OR(AG40="",AH40="",AI40=""),"禁止开仓：交易预期未填写完整",IF(账户数据!$B$9+F40*(E40-N40)&gt;=账户数据!$B$7,"禁止开仓：风险额度不足",IF(AJ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0" s="4"/>
      <c r="I40" s="8"/>
      <c r="J40" s="5"/>
      <c r="K40" s="5"/>
      <c r="L40" s="7" t="str">
        <f aca="false">IF(AP40="","",AP40)</f>
        <v/>
      </c>
      <c r="M40" s="8"/>
      <c r="N40" s="5"/>
      <c r="O40" s="5"/>
      <c r="P40" s="5"/>
      <c r="Q40" s="4"/>
      <c r="R40" s="4"/>
      <c r="S40" s="4"/>
      <c r="T40" s="4"/>
      <c r="U40" s="9" t="str">
        <f aca="false">IF(OR(AO40="",J40="",AO40&lt;=0),"",(J40-AO40)/AO40)</f>
        <v/>
      </c>
      <c r="V40" s="9" t="str">
        <f aca="false">IF(OR(AO40="",N40="",AO40&lt;=0),"",(AO40-N40)/AO40)</f>
        <v/>
      </c>
      <c r="W40" s="10" t="str">
        <f aca="false">IF(OR(U40="",V40="",V40&lt;=0),"",U40/V40)</f>
        <v/>
      </c>
      <c r="X40" s="11" t="str">
        <f aca="false">IF(OR(K40="",L40="",AO40="",AP40=""),"",(K40-AO40)*L40-IF(O40="",0,O40)-IF(P40="",0,P40))</f>
        <v/>
      </c>
      <c r="Y40" s="9" t="str">
        <f aca="false">IF(OR(X40="",AO40="",L40=""),"",IF(AO40*L40+IF(O40="",0,O40)&lt;=0,"",X40/(AO40*L40+IF(O40="",0,O40))))</f>
        <v/>
      </c>
      <c r="Z40" s="9" t="str">
        <f aca="false">IF(OR(AE40="",多次统计数据!$B$8=""),"",AE40-多次统计数据!$B$8)</f>
        <v/>
      </c>
      <c r="AA40" s="12" t="str">
        <f aca="false">IF(OR(I40="",M40="",M40&lt;I40),"",M40-I40)</f>
        <v/>
      </c>
      <c r="AB40" s="9" t="str">
        <f aca="false">IF(OR(A40="",多次统计数据!$B$8="",多次统计数据!$B$6&lt;=0,多次统计数据!$B$6&gt;=1),"",1-POWER(1+多次统计数据!$B$8,-多次统计数据!$B$6/(1-多次统计数据!$B$6)))</f>
        <v/>
      </c>
      <c r="AC40" s="7" t="str">
        <f aca="false">IF(OR(AB40="",多次统计数据!$B$9=""),"",IF(多次统计数据!$B$9&lt;AB40,"低于上限","达到或超过上限"))</f>
        <v/>
      </c>
      <c r="AD40" s="4"/>
      <c r="AE40" s="9" t="str">
        <f aca="false">IF(OR(X40="",C40="",C40&lt;=0),"",X40/C40)</f>
        <v/>
      </c>
      <c r="AG40" s="4"/>
      <c r="AH40" s="4"/>
      <c r="AI40" s="4"/>
      <c r="AJ40" s="7" t="str">
        <f aca="false">IF(OR(AG40="",AH40=""),"",IF(OR(AND(AG40="短期博反弹",OR(AH40="1～3个交易日",AH40="4～10个交易日")),AND(AG40="突破冲新高",OR(AH40="4～10个交易日",AH40="11～20个交易日")),AND(AG40="趋势波段",OR(AH40="11～20个交易日",AH40="21～60个交易日",AH40="60个交易日以上"))),"匹配","周期与交易预期不匹配，请重新确认"))</f>
        <v/>
      </c>
      <c r="AK40" s="13" t="str">
        <f aca="false">IF(A40="","",COUNTIFS(加仓管理!$A$2:$A$1001,A40,加仓管理!$G$2:$G$1001,"&gt;0"))</f>
        <v/>
      </c>
      <c r="AL40" s="13" t="str">
        <f aca="false">IF(A40="","",SUMIFS(加仓管理!$G$2:$G$1001,加仓管理!$A$2:$A$1001,A40))</f>
        <v/>
      </c>
      <c r="AM40" s="14" t="str">
        <f aca="false">IF(AK40=0,"",IFERROR(LOOKUP(2,1/((加仓管理!$A$2:$A$1001=A40)*(加仓管理!$G$2:$G$1001&gt;0)),加仓管理!$D$2:$D$1001),""))</f>
        <v/>
      </c>
      <c r="AN40" s="14" t="str">
        <f aca="false">IF(AK40=0,"",IFERROR(LOOKUP(2,1/((加仓管理!$A$2:$A$1001=A40)*(加仓管理!$G$2:$G$1001&gt;0)),加仓管理!$E$2:$E$1001),""))</f>
        <v/>
      </c>
      <c r="AO40" s="14" t="str">
        <f aca="false">IF(OR(A40="",H40="",H40&lt;=0),"",(E40*H40+SUMIFS(加仓管理!$H$2:$H$1001,加仓管理!$A$2:$A$1001,A40))/AP40)</f>
        <v/>
      </c>
      <c r="AP40" s="13" t="str">
        <f aca="false">IF(OR(A40="",H40="",H40&lt;=0),"",H40+AL40)</f>
        <v/>
      </c>
      <c r="AQ40" s="14" t="str">
        <f aca="false">IF(A40="","",IF(M40&lt;&gt;"",0,IF(OR(H40="",N40=""),"",MAX((E40*H40+SUMIFS(加仓管理!$H$2:$H$1001,加仓管理!$A$2:$A$1001,A40))-MAX(N40,AN40)*AP40,0))))</f>
        <v/>
      </c>
      <c r="AR40" s="15" t="str">
        <f aca="false">IF(A40="","",IF(OR(E40="",H40=""),"违规：首次买入价格或股数缺失",IF(COUNTIFS(加仓管理!$A$2:$A$1001,A40,加仓管理!$R$2:$R$1001,"违规*")&gt;0,"违规：请检查加仓管理表",IF(SUM($AQ$2:$AQ$201)&gt;账户数据!$B$7,"预警：超过账户风险上限",IF(COUNTIFS(加仓管理!$A$2:$A$1001,A40,加仓管理!$N$2:$N$1001,"&gt;0",加仓管理!$G$2:$G$1001,"")&gt;0,"提示：存在待执行加仓计划","通过")))))</f>
        <v/>
      </c>
    </row>
    <row r="41" customFormat="false" ht="13.5" hidden="false" customHeight="false" outlineLevel="0" collapsed="false">
      <c r="A41" s="4"/>
      <c r="B41" s="4"/>
      <c r="C41" s="5"/>
      <c r="D41" s="6"/>
      <c r="E41" s="5"/>
      <c r="F41" s="7" t="str">
        <f aca="false">IF(OR(C41="",D41="",E41="",N41="",C41&lt;=0,D41&lt;=0,E41&lt;=N41),"",ROUNDDOWN((C41*D41)/(E41-N41)/100,0)*100)</f>
        <v/>
      </c>
      <c r="G41" s="7" t="str">
        <f aca="false">IF(A41="","",IF(H41&lt;&gt;"","已开仓",IF(账户数据!$B$23="已锁仓","禁止开仓：连续亏损达到上限",IF(账户数据!$B$23="解锁信息不完整","禁止开仓：请完整填写解锁信息",IF(OR(F41="",E41="",N41="",E41&lt;=N41,账户数据!$B$7=""),"",IF(OR(AG41="",AH41="",AI41=""),"禁止开仓：交易预期未填写完整",IF(账户数据!$B$9+F41*(E41-N41)&gt;=账户数据!$B$7,"禁止开仓：风险额度不足",IF(AJ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1" s="4"/>
      <c r="I41" s="8"/>
      <c r="J41" s="5"/>
      <c r="K41" s="5"/>
      <c r="L41" s="7" t="str">
        <f aca="false">IF(AP41="","",AP41)</f>
        <v/>
      </c>
      <c r="M41" s="8"/>
      <c r="N41" s="5"/>
      <c r="O41" s="5"/>
      <c r="P41" s="5"/>
      <c r="Q41" s="4"/>
      <c r="R41" s="4"/>
      <c r="S41" s="4"/>
      <c r="T41" s="4"/>
      <c r="U41" s="9" t="str">
        <f aca="false">IF(OR(AO41="",J41="",AO41&lt;=0),"",(J41-AO41)/AO41)</f>
        <v/>
      </c>
      <c r="V41" s="9" t="str">
        <f aca="false">IF(OR(AO41="",N41="",AO41&lt;=0),"",(AO41-N41)/AO41)</f>
        <v/>
      </c>
      <c r="W41" s="10" t="str">
        <f aca="false">IF(OR(U41="",V41="",V41&lt;=0),"",U41/V41)</f>
        <v/>
      </c>
      <c r="X41" s="11" t="str">
        <f aca="false">IF(OR(K41="",L41="",AO41="",AP41=""),"",(K41-AO41)*L41-IF(O41="",0,O41)-IF(P41="",0,P41))</f>
        <v/>
      </c>
      <c r="Y41" s="9" t="str">
        <f aca="false">IF(OR(X41="",AO41="",L41=""),"",IF(AO41*L41+IF(O41="",0,O41)&lt;=0,"",X41/(AO41*L41+IF(O41="",0,O41))))</f>
        <v/>
      </c>
      <c r="Z41" s="9" t="str">
        <f aca="false">IF(OR(AE41="",多次统计数据!$B$8=""),"",AE41-多次统计数据!$B$8)</f>
        <v/>
      </c>
      <c r="AA41" s="12" t="str">
        <f aca="false">IF(OR(I41="",M41="",M41&lt;I41),"",M41-I41)</f>
        <v/>
      </c>
      <c r="AB41" s="9" t="str">
        <f aca="false">IF(OR(A41="",多次统计数据!$B$8="",多次统计数据!$B$6&lt;=0,多次统计数据!$B$6&gt;=1),"",1-POWER(1+多次统计数据!$B$8,-多次统计数据!$B$6/(1-多次统计数据!$B$6)))</f>
        <v/>
      </c>
      <c r="AC41" s="7" t="str">
        <f aca="false">IF(OR(AB41="",多次统计数据!$B$9=""),"",IF(多次统计数据!$B$9&lt;AB41,"低于上限","达到或超过上限"))</f>
        <v/>
      </c>
      <c r="AD41" s="4"/>
      <c r="AE41" s="9" t="str">
        <f aca="false">IF(OR(X41="",C41="",C41&lt;=0),"",X41/C41)</f>
        <v/>
      </c>
      <c r="AG41" s="4"/>
      <c r="AH41" s="4"/>
      <c r="AI41" s="4"/>
      <c r="AJ41" s="7" t="str">
        <f aca="false">IF(OR(AG41="",AH41=""),"",IF(OR(AND(AG41="短期博反弹",OR(AH41="1～3个交易日",AH41="4～10个交易日")),AND(AG41="突破冲新高",OR(AH41="4～10个交易日",AH41="11～20个交易日")),AND(AG41="趋势波段",OR(AH41="11～20个交易日",AH41="21～60个交易日",AH41="60个交易日以上"))),"匹配","周期与交易预期不匹配，请重新确认"))</f>
        <v/>
      </c>
      <c r="AK41" s="13" t="str">
        <f aca="false">IF(A41="","",COUNTIFS(加仓管理!$A$2:$A$1001,A41,加仓管理!$G$2:$G$1001,"&gt;0"))</f>
        <v/>
      </c>
      <c r="AL41" s="13" t="str">
        <f aca="false">IF(A41="","",SUMIFS(加仓管理!$G$2:$G$1001,加仓管理!$A$2:$A$1001,A41))</f>
        <v/>
      </c>
      <c r="AM41" s="14" t="str">
        <f aca="false">IF(AK41=0,"",IFERROR(LOOKUP(2,1/((加仓管理!$A$2:$A$1001=A41)*(加仓管理!$G$2:$G$1001&gt;0)),加仓管理!$D$2:$D$1001),""))</f>
        <v/>
      </c>
      <c r="AN41" s="14" t="str">
        <f aca="false">IF(AK41=0,"",IFERROR(LOOKUP(2,1/((加仓管理!$A$2:$A$1001=A41)*(加仓管理!$G$2:$G$1001&gt;0)),加仓管理!$E$2:$E$1001),""))</f>
        <v/>
      </c>
      <c r="AO41" s="14" t="str">
        <f aca="false">IF(OR(A41="",H41="",H41&lt;=0),"",(E41*H41+SUMIFS(加仓管理!$H$2:$H$1001,加仓管理!$A$2:$A$1001,A41))/AP41)</f>
        <v/>
      </c>
      <c r="AP41" s="13" t="str">
        <f aca="false">IF(OR(A41="",H41="",H41&lt;=0),"",H41+AL41)</f>
        <v/>
      </c>
      <c r="AQ41" s="14" t="str">
        <f aca="false">IF(A41="","",IF(M41&lt;&gt;"",0,IF(OR(H41="",N41=""),"",MAX((E41*H41+SUMIFS(加仓管理!$H$2:$H$1001,加仓管理!$A$2:$A$1001,A41))-MAX(N41,AN41)*AP41,0))))</f>
        <v/>
      </c>
      <c r="AR41" s="15" t="str">
        <f aca="false">IF(A41="","",IF(OR(E41="",H41=""),"违规：首次买入价格或股数缺失",IF(COUNTIFS(加仓管理!$A$2:$A$1001,A41,加仓管理!$R$2:$R$1001,"违规*")&gt;0,"违规：请检查加仓管理表",IF(SUM($AQ$2:$AQ$201)&gt;账户数据!$B$7,"预警：超过账户风险上限",IF(COUNTIFS(加仓管理!$A$2:$A$1001,A41,加仓管理!$N$2:$N$1001,"&gt;0",加仓管理!$G$2:$G$1001,"")&gt;0,"提示：存在待执行加仓计划","通过")))))</f>
        <v/>
      </c>
    </row>
    <row r="42" customFormat="false" ht="13.5" hidden="false" customHeight="false" outlineLevel="0" collapsed="false">
      <c r="A42" s="4"/>
      <c r="B42" s="4"/>
      <c r="C42" s="5"/>
      <c r="D42" s="6"/>
      <c r="E42" s="5"/>
      <c r="F42" s="7" t="str">
        <f aca="false">IF(OR(C42="",D42="",E42="",N42="",C42&lt;=0,D42&lt;=0,E42&lt;=N42),"",ROUNDDOWN((C42*D42)/(E42-N42)/100,0)*100)</f>
        <v/>
      </c>
      <c r="G42" s="7" t="str">
        <f aca="false">IF(A42="","",IF(H42&lt;&gt;"","已开仓",IF(账户数据!$B$23="已锁仓","禁止开仓：连续亏损达到上限",IF(账户数据!$B$23="解锁信息不完整","禁止开仓：请完整填写解锁信息",IF(OR(F42="",E42="",N42="",E42&lt;=N42,账户数据!$B$7=""),"",IF(OR(AG42="",AH42="",AI42=""),"禁止开仓：交易预期未填写完整",IF(账户数据!$B$9+F42*(E42-N42)&gt;=账户数据!$B$7,"禁止开仓：风险额度不足",IF(AJ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2" s="4"/>
      <c r="I42" s="8"/>
      <c r="J42" s="5"/>
      <c r="K42" s="5"/>
      <c r="L42" s="7" t="str">
        <f aca="false">IF(AP42="","",AP42)</f>
        <v/>
      </c>
      <c r="M42" s="8"/>
      <c r="N42" s="5"/>
      <c r="O42" s="5"/>
      <c r="P42" s="5"/>
      <c r="Q42" s="4"/>
      <c r="R42" s="4"/>
      <c r="S42" s="4"/>
      <c r="T42" s="4"/>
      <c r="U42" s="9" t="str">
        <f aca="false">IF(OR(AO42="",J42="",AO42&lt;=0),"",(J42-AO42)/AO42)</f>
        <v/>
      </c>
      <c r="V42" s="9" t="str">
        <f aca="false">IF(OR(AO42="",N42="",AO42&lt;=0),"",(AO42-N42)/AO42)</f>
        <v/>
      </c>
      <c r="W42" s="10" t="str">
        <f aca="false">IF(OR(U42="",V42="",V42&lt;=0),"",U42/V42)</f>
        <v/>
      </c>
      <c r="X42" s="11" t="str">
        <f aca="false">IF(OR(K42="",L42="",AO42="",AP42=""),"",(K42-AO42)*L42-IF(O42="",0,O42)-IF(P42="",0,P42))</f>
        <v/>
      </c>
      <c r="Y42" s="9" t="str">
        <f aca="false">IF(OR(X42="",AO42="",L42=""),"",IF(AO42*L42+IF(O42="",0,O42)&lt;=0,"",X42/(AO42*L42+IF(O42="",0,O42))))</f>
        <v/>
      </c>
      <c r="Z42" s="9" t="str">
        <f aca="false">IF(OR(AE42="",多次统计数据!$B$8=""),"",AE42-多次统计数据!$B$8)</f>
        <v/>
      </c>
      <c r="AA42" s="12" t="str">
        <f aca="false">IF(OR(I42="",M42="",M42&lt;I42),"",M42-I42)</f>
        <v/>
      </c>
      <c r="AB42" s="9" t="str">
        <f aca="false">IF(OR(A42="",多次统计数据!$B$8="",多次统计数据!$B$6&lt;=0,多次统计数据!$B$6&gt;=1),"",1-POWER(1+多次统计数据!$B$8,-多次统计数据!$B$6/(1-多次统计数据!$B$6)))</f>
        <v/>
      </c>
      <c r="AC42" s="7" t="str">
        <f aca="false">IF(OR(AB42="",多次统计数据!$B$9=""),"",IF(多次统计数据!$B$9&lt;AB42,"低于上限","达到或超过上限"))</f>
        <v/>
      </c>
      <c r="AD42" s="4"/>
      <c r="AE42" s="9" t="str">
        <f aca="false">IF(OR(X42="",C42="",C42&lt;=0),"",X42/C42)</f>
        <v/>
      </c>
      <c r="AG42" s="4"/>
      <c r="AH42" s="4"/>
      <c r="AI42" s="4"/>
      <c r="AJ42" s="7" t="str">
        <f aca="false">IF(OR(AG42="",AH42=""),"",IF(OR(AND(AG42="短期博反弹",OR(AH42="1～3个交易日",AH42="4～10个交易日")),AND(AG42="突破冲新高",OR(AH42="4～10个交易日",AH42="11～20个交易日")),AND(AG42="趋势波段",OR(AH42="11～20个交易日",AH42="21～60个交易日",AH42="60个交易日以上"))),"匹配","周期与交易预期不匹配，请重新确认"))</f>
        <v/>
      </c>
      <c r="AK42" s="13" t="str">
        <f aca="false">IF(A42="","",COUNTIFS(加仓管理!$A$2:$A$1001,A42,加仓管理!$G$2:$G$1001,"&gt;0"))</f>
        <v/>
      </c>
      <c r="AL42" s="13" t="str">
        <f aca="false">IF(A42="","",SUMIFS(加仓管理!$G$2:$G$1001,加仓管理!$A$2:$A$1001,A42))</f>
        <v/>
      </c>
      <c r="AM42" s="14" t="str">
        <f aca="false">IF(AK42=0,"",IFERROR(LOOKUP(2,1/((加仓管理!$A$2:$A$1001=A42)*(加仓管理!$G$2:$G$1001&gt;0)),加仓管理!$D$2:$D$1001),""))</f>
        <v/>
      </c>
      <c r="AN42" s="14" t="str">
        <f aca="false">IF(AK42=0,"",IFERROR(LOOKUP(2,1/((加仓管理!$A$2:$A$1001=A42)*(加仓管理!$G$2:$G$1001&gt;0)),加仓管理!$E$2:$E$1001),""))</f>
        <v/>
      </c>
      <c r="AO42" s="14" t="str">
        <f aca="false">IF(OR(A42="",H42="",H42&lt;=0),"",(E42*H42+SUMIFS(加仓管理!$H$2:$H$1001,加仓管理!$A$2:$A$1001,A42))/AP42)</f>
        <v/>
      </c>
      <c r="AP42" s="13" t="str">
        <f aca="false">IF(OR(A42="",H42="",H42&lt;=0),"",H42+AL42)</f>
        <v/>
      </c>
      <c r="AQ42" s="14" t="str">
        <f aca="false">IF(A42="","",IF(M42&lt;&gt;"",0,IF(OR(H42="",N42=""),"",MAX((E42*H42+SUMIFS(加仓管理!$H$2:$H$1001,加仓管理!$A$2:$A$1001,A42))-MAX(N42,AN42)*AP42,0))))</f>
        <v/>
      </c>
      <c r="AR42" s="15" t="str">
        <f aca="false">IF(A42="","",IF(OR(E42="",H42=""),"违规：首次买入价格或股数缺失",IF(COUNTIFS(加仓管理!$A$2:$A$1001,A42,加仓管理!$R$2:$R$1001,"违规*")&gt;0,"违规：请检查加仓管理表",IF(SUM($AQ$2:$AQ$201)&gt;账户数据!$B$7,"预警：超过账户风险上限",IF(COUNTIFS(加仓管理!$A$2:$A$1001,A42,加仓管理!$N$2:$N$1001,"&gt;0",加仓管理!$G$2:$G$1001,"")&gt;0,"提示：存在待执行加仓计划","通过")))))</f>
        <v/>
      </c>
    </row>
    <row r="43" customFormat="false" ht="13.5" hidden="false" customHeight="false" outlineLevel="0" collapsed="false">
      <c r="A43" s="4"/>
      <c r="B43" s="4"/>
      <c r="C43" s="5"/>
      <c r="D43" s="6"/>
      <c r="E43" s="5"/>
      <c r="F43" s="7" t="str">
        <f aca="false">IF(OR(C43="",D43="",E43="",N43="",C43&lt;=0,D43&lt;=0,E43&lt;=N43),"",ROUNDDOWN((C43*D43)/(E43-N43)/100,0)*100)</f>
        <v/>
      </c>
      <c r="G43" s="7" t="str">
        <f aca="false">IF(A43="","",IF(H43&lt;&gt;"","已开仓",IF(账户数据!$B$23="已锁仓","禁止开仓：连续亏损达到上限",IF(账户数据!$B$23="解锁信息不完整","禁止开仓：请完整填写解锁信息",IF(OR(F43="",E43="",N43="",E43&lt;=N43,账户数据!$B$7=""),"",IF(OR(AG43="",AH43="",AI43=""),"禁止开仓：交易预期未填写完整",IF(账户数据!$B$9+F43*(E43-N43)&gt;=账户数据!$B$7,"禁止开仓：风险额度不足",IF(AJ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3" s="4"/>
      <c r="I43" s="8"/>
      <c r="J43" s="5"/>
      <c r="K43" s="5"/>
      <c r="L43" s="7" t="str">
        <f aca="false">IF(AP43="","",AP43)</f>
        <v/>
      </c>
      <c r="M43" s="8"/>
      <c r="N43" s="5"/>
      <c r="O43" s="5"/>
      <c r="P43" s="5"/>
      <c r="Q43" s="4"/>
      <c r="R43" s="4"/>
      <c r="S43" s="4"/>
      <c r="T43" s="4"/>
      <c r="U43" s="9" t="str">
        <f aca="false">IF(OR(AO43="",J43="",AO43&lt;=0),"",(J43-AO43)/AO43)</f>
        <v/>
      </c>
      <c r="V43" s="9" t="str">
        <f aca="false">IF(OR(AO43="",N43="",AO43&lt;=0),"",(AO43-N43)/AO43)</f>
        <v/>
      </c>
      <c r="W43" s="10" t="str">
        <f aca="false">IF(OR(U43="",V43="",V43&lt;=0),"",U43/V43)</f>
        <v/>
      </c>
      <c r="X43" s="11" t="str">
        <f aca="false">IF(OR(K43="",L43="",AO43="",AP43=""),"",(K43-AO43)*L43-IF(O43="",0,O43)-IF(P43="",0,P43))</f>
        <v/>
      </c>
      <c r="Y43" s="9" t="str">
        <f aca="false">IF(OR(X43="",AO43="",L43=""),"",IF(AO43*L43+IF(O43="",0,O43)&lt;=0,"",X43/(AO43*L43+IF(O43="",0,O43))))</f>
        <v/>
      </c>
      <c r="Z43" s="9" t="str">
        <f aca="false">IF(OR(AE43="",多次统计数据!$B$8=""),"",AE43-多次统计数据!$B$8)</f>
        <v/>
      </c>
      <c r="AA43" s="12" t="str">
        <f aca="false">IF(OR(I43="",M43="",M43&lt;I43),"",M43-I43)</f>
        <v/>
      </c>
      <c r="AB43" s="9" t="str">
        <f aca="false">IF(OR(A43="",多次统计数据!$B$8="",多次统计数据!$B$6&lt;=0,多次统计数据!$B$6&gt;=1),"",1-POWER(1+多次统计数据!$B$8,-多次统计数据!$B$6/(1-多次统计数据!$B$6)))</f>
        <v/>
      </c>
      <c r="AC43" s="7" t="str">
        <f aca="false">IF(OR(AB43="",多次统计数据!$B$9=""),"",IF(多次统计数据!$B$9&lt;AB43,"低于上限","达到或超过上限"))</f>
        <v/>
      </c>
      <c r="AD43" s="4"/>
      <c r="AE43" s="9" t="str">
        <f aca="false">IF(OR(X43="",C43="",C43&lt;=0),"",X43/C43)</f>
        <v/>
      </c>
      <c r="AG43" s="4"/>
      <c r="AH43" s="4"/>
      <c r="AI43" s="4"/>
      <c r="AJ43" s="7" t="str">
        <f aca="false">IF(OR(AG43="",AH43=""),"",IF(OR(AND(AG43="短期博反弹",OR(AH43="1～3个交易日",AH43="4～10个交易日")),AND(AG43="突破冲新高",OR(AH43="4～10个交易日",AH43="11～20个交易日")),AND(AG43="趋势波段",OR(AH43="11～20个交易日",AH43="21～60个交易日",AH43="60个交易日以上"))),"匹配","周期与交易预期不匹配，请重新确认"))</f>
        <v/>
      </c>
      <c r="AK43" s="13" t="str">
        <f aca="false">IF(A43="","",COUNTIFS(加仓管理!$A$2:$A$1001,A43,加仓管理!$G$2:$G$1001,"&gt;0"))</f>
        <v/>
      </c>
      <c r="AL43" s="13" t="str">
        <f aca="false">IF(A43="","",SUMIFS(加仓管理!$G$2:$G$1001,加仓管理!$A$2:$A$1001,A43))</f>
        <v/>
      </c>
      <c r="AM43" s="14" t="str">
        <f aca="false">IF(AK43=0,"",IFERROR(LOOKUP(2,1/((加仓管理!$A$2:$A$1001=A43)*(加仓管理!$G$2:$G$1001&gt;0)),加仓管理!$D$2:$D$1001),""))</f>
        <v/>
      </c>
      <c r="AN43" s="14" t="str">
        <f aca="false">IF(AK43=0,"",IFERROR(LOOKUP(2,1/((加仓管理!$A$2:$A$1001=A43)*(加仓管理!$G$2:$G$1001&gt;0)),加仓管理!$E$2:$E$1001),""))</f>
        <v/>
      </c>
      <c r="AO43" s="14" t="str">
        <f aca="false">IF(OR(A43="",H43="",H43&lt;=0),"",(E43*H43+SUMIFS(加仓管理!$H$2:$H$1001,加仓管理!$A$2:$A$1001,A43))/AP43)</f>
        <v/>
      </c>
      <c r="AP43" s="13" t="str">
        <f aca="false">IF(OR(A43="",H43="",H43&lt;=0),"",H43+AL43)</f>
        <v/>
      </c>
      <c r="AQ43" s="14" t="str">
        <f aca="false">IF(A43="","",IF(M43&lt;&gt;"",0,IF(OR(H43="",N43=""),"",MAX((E43*H43+SUMIFS(加仓管理!$H$2:$H$1001,加仓管理!$A$2:$A$1001,A43))-MAX(N43,AN43)*AP43,0))))</f>
        <v/>
      </c>
      <c r="AR43" s="15" t="str">
        <f aca="false">IF(A43="","",IF(OR(E43="",H43=""),"违规：首次买入价格或股数缺失",IF(COUNTIFS(加仓管理!$A$2:$A$1001,A43,加仓管理!$R$2:$R$1001,"违规*")&gt;0,"违规：请检查加仓管理表",IF(SUM($AQ$2:$AQ$201)&gt;账户数据!$B$7,"预警：超过账户风险上限",IF(COUNTIFS(加仓管理!$A$2:$A$1001,A43,加仓管理!$N$2:$N$1001,"&gt;0",加仓管理!$G$2:$G$1001,"")&gt;0,"提示：存在待执行加仓计划","通过")))))</f>
        <v/>
      </c>
    </row>
    <row r="44" customFormat="false" ht="13.5" hidden="false" customHeight="false" outlineLevel="0" collapsed="false">
      <c r="A44" s="4"/>
      <c r="B44" s="4"/>
      <c r="C44" s="5"/>
      <c r="D44" s="6"/>
      <c r="E44" s="5"/>
      <c r="F44" s="7" t="str">
        <f aca="false">IF(OR(C44="",D44="",E44="",N44="",C44&lt;=0,D44&lt;=0,E44&lt;=N44),"",ROUNDDOWN((C44*D44)/(E44-N44)/100,0)*100)</f>
        <v/>
      </c>
      <c r="G44" s="7" t="str">
        <f aca="false">IF(A44="","",IF(H44&lt;&gt;"","已开仓",IF(账户数据!$B$23="已锁仓","禁止开仓：连续亏损达到上限",IF(账户数据!$B$23="解锁信息不完整","禁止开仓：请完整填写解锁信息",IF(OR(F44="",E44="",N44="",E44&lt;=N44,账户数据!$B$7=""),"",IF(OR(AG44="",AH44="",AI44=""),"禁止开仓：交易预期未填写完整",IF(账户数据!$B$9+F44*(E44-N44)&gt;=账户数据!$B$7,"禁止开仓：风险额度不足",IF(AJ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4" s="4"/>
      <c r="I44" s="8"/>
      <c r="J44" s="5"/>
      <c r="K44" s="5"/>
      <c r="L44" s="7" t="str">
        <f aca="false">IF(AP44="","",AP44)</f>
        <v/>
      </c>
      <c r="M44" s="8"/>
      <c r="N44" s="5"/>
      <c r="O44" s="5"/>
      <c r="P44" s="5"/>
      <c r="Q44" s="4"/>
      <c r="R44" s="4"/>
      <c r="S44" s="4"/>
      <c r="T44" s="4"/>
      <c r="U44" s="9" t="str">
        <f aca="false">IF(OR(AO44="",J44="",AO44&lt;=0),"",(J44-AO44)/AO44)</f>
        <v/>
      </c>
      <c r="V44" s="9" t="str">
        <f aca="false">IF(OR(AO44="",N44="",AO44&lt;=0),"",(AO44-N44)/AO44)</f>
        <v/>
      </c>
      <c r="W44" s="10" t="str">
        <f aca="false">IF(OR(U44="",V44="",V44&lt;=0),"",U44/V44)</f>
        <v/>
      </c>
      <c r="X44" s="11" t="str">
        <f aca="false">IF(OR(K44="",L44="",AO44="",AP44=""),"",(K44-AO44)*L44-IF(O44="",0,O44)-IF(P44="",0,P44))</f>
        <v/>
      </c>
      <c r="Y44" s="9" t="str">
        <f aca="false">IF(OR(X44="",AO44="",L44=""),"",IF(AO44*L44+IF(O44="",0,O44)&lt;=0,"",X44/(AO44*L44+IF(O44="",0,O44))))</f>
        <v/>
      </c>
      <c r="Z44" s="9" t="str">
        <f aca="false">IF(OR(AE44="",多次统计数据!$B$8=""),"",AE44-多次统计数据!$B$8)</f>
        <v/>
      </c>
      <c r="AA44" s="12" t="str">
        <f aca="false">IF(OR(I44="",M44="",M44&lt;I44),"",M44-I44)</f>
        <v/>
      </c>
      <c r="AB44" s="9" t="str">
        <f aca="false">IF(OR(A44="",多次统计数据!$B$8="",多次统计数据!$B$6&lt;=0,多次统计数据!$B$6&gt;=1),"",1-POWER(1+多次统计数据!$B$8,-多次统计数据!$B$6/(1-多次统计数据!$B$6)))</f>
        <v/>
      </c>
      <c r="AC44" s="7" t="str">
        <f aca="false">IF(OR(AB44="",多次统计数据!$B$9=""),"",IF(多次统计数据!$B$9&lt;AB44,"低于上限","达到或超过上限"))</f>
        <v/>
      </c>
      <c r="AD44" s="4"/>
      <c r="AE44" s="9" t="str">
        <f aca="false">IF(OR(X44="",C44="",C44&lt;=0),"",X44/C44)</f>
        <v/>
      </c>
      <c r="AG44" s="4"/>
      <c r="AH44" s="4"/>
      <c r="AI44" s="4"/>
      <c r="AJ44" s="7" t="str">
        <f aca="false">IF(OR(AG44="",AH44=""),"",IF(OR(AND(AG44="短期博反弹",OR(AH44="1～3个交易日",AH44="4～10个交易日")),AND(AG44="突破冲新高",OR(AH44="4～10个交易日",AH44="11～20个交易日")),AND(AG44="趋势波段",OR(AH44="11～20个交易日",AH44="21～60个交易日",AH44="60个交易日以上"))),"匹配","周期与交易预期不匹配，请重新确认"))</f>
        <v/>
      </c>
      <c r="AK44" s="13" t="str">
        <f aca="false">IF(A44="","",COUNTIFS(加仓管理!$A$2:$A$1001,A44,加仓管理!$G$2:$G$1001,"&gt;0"))</f>
        <v/>
      </c>
      <c r="AL44" s="13" t="str">
        <f aca="false">IF(A44="","",SUMIFS(加仓管理!$G$2:$G$1001,加仓管理!$A$2:$A$1001,A44))</f>
        <v/>
      </c>
      <c r="AM44" s="14" t="str">
        <f aca="false">IF(AK44=0,"",IFERROR(LOOKUP(2,1/((加仓管理!$A$2:$A$1001=A44)*(加仓管理!$G$2:$G$1001&gt;0)),加仓管理!$D$2:$D$1001),""))</f>
        <v/>
      </c>
      <c r="AN44" s="14" t="str">
        <f aca="false">IF(AK44=0,"",IFERROR(LOOKUP(2,1/((加仓管理!$A$2:$A$1001=A44)*(加仓管理!$G$2:$G$1001&gt;0)),加仓管理!$E$2:$E$1001),""))</f>
        <v/>
      </c>
      <c r="AO44" s="14" t="str">
        <f aca="false">IF(OR(A44="",H44="",H44&lt;=0),"",(E44*H44+SUMIFS(加仓管理!$H$2:$H$1001,加仓管理!$A$2:$A$1001,A44))/AP44)</f>
        <v/>
      </c>
      <c r="AP44" s="13" t="str">
        <f aca="false">IF(OR(A44="",H44="",H44&lt;=0),"",H44+AL44)</f>
        <v/>
      </c>
      <c r="AQ44" s="14" t="str">
        <f aca="false">IF(A44="","",IF(M44&lt;&gt;"",0,IF(OR(H44="",N44=""),"",MAX((E44*H44+SUMIFS(加仓管理!$H$2:$H$1001,加仓管理!$A$2:$A$1001,A44))-MAX(N44,AN44)*AP44,0))))</f>
        <v/>
      </c>
      <c r="AR44" s="15" t="str">
        <f aca="false">IF(A44="","",IF(OR(E44="",H44=""),"违规：首次买入价格或股数缺失",IF(COUNTIFS(加仓管理!$A$2:$A$1001,A44,加仓管理!$R$2:$R$1001,"违规*")&gt;0,"违规：请检查加仓管理表",IF(SUM($AQ$2:$AQ$201)&gt;账户数据!$B$7,"预警：超过账户风险上限",IF(COUNTIFS(加仓管理!$A$2:$A$1001,A44,加仓管理!$N$2:$N$1001,"&gt;0",加仓管理!$G$2:$G$1001,"")&gt;0,"提示：存在待执行加仓计划","通过")))))</f>
        <v/>
      </c>
    </row>
    <row r="45" customFormat="false" ht="13.5" hidden="false" customHeight="false" outlineLevel="0" collapsed="false">
      <c r="A45" s="4"/>
      <c r="B45" s="4"/>
      <c r="C45" s="5"/>
      <c r="D45" s="6"/>
      <c r="E45" s="5"/>
      <c r="F45" s="7" t="str">
        <f aca="false">IF(OR(C45="",D45="",E45="",N45="",C45&lt;=0,D45&lt;=0,E45&lt;=N45),"",ROUNDDOWN((C45*D45)/(E45-N45)/100,0)*100)</f>
        <v/>
      </c>
      <c r="G45" s="7" t="str">
        <f aca="false">IF(A45="","",IF(H45&lt;&gt;"","已开仓",IF(账户数据!$B$23="已锁仓","禁止开仓：连续亏损达到上限",IF(账户数据!$B$23="解锁信息不完整","禁止开仓：请完整填写解锁信息",IF(OR(F45="",E45="",N45="",E45&lt;=N45,账户数据!$B$7=""),"",IF(OR(AG45="",AH45="",AI45=""),"禁止开仓：交易预期未填写完整",IF(账户数据!$B$9+F45*(E45-N45)&gt;=账户数据!$B$7,"禁止开仓：风险额度不足",IF(AJ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5" s="4"/>
      <c r="I45" s="8"/>
      <c r="J45" s="5"/>
      <c r="K45" s="5"/>
      <c r="L45" s="7" t="str">
        <f aca="false">IF(AP45="","",AP45)</f>
        <v/>
      </c>
      <c r="M45" s="8"/>
      <c r="N45" s="5"/>
      <c r="O45" s="5"/>
      <c r="P45" s="5"/>
      <c r="Q45" s="4"/>
      <c r="R45" s="4"/>
      <c r="S45" s="4"/>
      <c r="T45" s="4"/>
      <c r="U45" s="9" t="str">
        <f aca="false">IF(OR(AO45="",J45="",AO45&lt;=0),"",(J45-AO45)/AO45)</f>
        <v/>
      </c>
      <c r="V45" s="9" t="str">
        <f aca="false">IF(OR(AO45="",N45="",AO45&lt;=0),"",(AO45-N45)/AO45)</f>
        <v/>
      </c>
      <c r="W45" s="10" t="str">
        <f aca="false">IF(OR(U45="",V45="",V45&lt;=0),"",U45/V45)</f>
        <v/>
      </c>
      <c r="X45" s="11" t="str">
        <f aca="false">IF(OR(K45="",L45="",AO45="",AP45=""),"",(K45-AO45)*L45-IF(O45="",0,O45)-IF(P45="",0,P45))</f>
        <v/>
      </c>
      <c r="Y45" s="9" t="str">
        <f aca="false">IF(OR(X45="",AO45="",L45=""),"",IF(AO45*L45+IF(O45="",0,O45)&lt;=0,"",X45/(AO45*L45+IF(O45="",0,O45))))</f>
        <v/>
      </c>
      <c r="Z45" s="9" t="str">
        <f aca="false">IF(OR(AE45="",多次统计数据!$B$8=""),"",AE45-多次统计数据!$B$8)</f>
        <v/>
      </c>
      <c r="AA45" s="12" t="str">
        <f aca="false">IF(OR(I45="",M45="",M45&lt;I45),"",M45-I45)</f>
        <v/>
      </c>
      <c r="AB45" s="9" t="str">
        <f aca="false">IF(OR(A45="",多次统计数据!$B$8="",多次统计数据!$B$6&lt;=0,多次统计数据!$B$6&gt;=1),"",1-POWER(1+多次统计数据!$B$8,-多次统计数据!$B$6/(1-多次统计数据!$B$6)))</f>
        <v/>
      </c>
      <c r="AC45" s="7" t="str">
        <f aca="false">IF(OR(AB45="",多次统计数据!$B$9=""),"",IF(多次统计数据!$B$9&lt;AB45,"低于上限","达到或超过上限"))</f>
        <v/>
      </c>
      <c r="AD45" s="4"/>
      <c r="AE45" s="9" t="str">
        <f aca="false">IF(OR(X45="",C45="",C45&lt;=0),"",X45/C45)</f>
        <v/>
      </c>
      <c r="AG45" s="4"/>
      <c r="AH45" s="4"/>
      <c r="AI45" s="4"/>
      <c r="AJ45" s="7" t="str">
        <f aca="false">IF(OR(AG45="",AH45=""),"",IF(OR(AND(AG45="短期博反弹",OR(AH45="1～3个交易日",AH45="4～10个交易日")),AND(AG45="突破冲新高",OR(AH45="4～10个交易日",AH45="11～20个交易日")),AND(AG45="趋势波段",OR(AH45="11～20个交易日",AH45="21～60个交易日",AH45="60个交易日以上"))),"匹配","周期与交易预期不匹配，请重新确认"))</f>
        <v/>
      </c>
      <c r="AK45" s="13" t="str">
        <f aca="false">IF(A45="","",COUNTIFS(加仓管理!$A$2:$A$1001,A45,加仓管理!$G$2:$G$1001,"&gt;0"))</f>
        <v/>
      </c>
      <c r="AL45" s="13" t="str">
        <f aca="false">IF(A45="","",SUMIFS(加仓管理!$G$2:$G$1001,加仓管理!$A$2:$A$1001,A45))</f>
        <v/>
      </c>
      <c r="AM45" s="14" t="str">
        <f aca="false">IF(AK45=0,"",IFERROR(LOOKUP(2,1/((加仓管理!$A$2:$A$1001=A45)*(加仓管理!$G$2:$G$1001&gt;0)),加仓管理!$D$2:$D$1001),""))</f>
        <v/>
      </c>
      <c r="AN45" s="14" t="str">
        <f aca="false">IF(AK45=0,"",IFERROR(LOOKUP(2,1/((加仓管理!$A$2:$A$1001=A45)*(加仓管理!$G$2:$G$1001&gt;0)),加仓管理!$E$2:$E$1001),""))</f>
        <v/>
      </c>
      <c r="AO45" s="14" t="str">
        <f aca="false">IF(OR(A45="",H45="",H45&lt;=0),"",(E45*H45+SUMIFS(加仓管理!$H$2:$H$1001,加仓管理!$A$2:$A$1001,A45))/AP45)</f>
        <v/>
      </c>
      <c r="AP45" s="13" t="str">
        <f aca="false">IF(OR(A45="",H45="",H45&lt;=0),"",H45+AL45)</f>
        <v/>
      </c>
      <c r="AQ45" s="14" t="str">
        <f aca="false">IF(A45="","",IF(M45&lt;&gt;"",0,IF(OR(H45="",N45=""),"",MAX((E45*H45+SUMIFS(加仓管理!$H$2:$H$1001,加仓管理!$A$2:$A$1001,A45))-MAX(N45,AN45)*AP45,0))))</f>
        <v/>
      </c>
      <c r="AR45" s="15" t="str">
        <f aca="false">IF(A45="","",IF(OR(E45="",H45=""),"违规：首次买入价格或股数缺失",IF(COUNTIFS(加仓管理!$A$2:$A$1001,A45,加仓管理!$R$2:$R$1001,"违规*")&gt;0,"违规：请检查加仓管理表",IF(SUM($AQ$2:$AQ$201)&gt;账户数据!$B$7,"预警：超过账户风险上限",IF(COUNTIFS(加仓管理!$A$2:$A$1001,A45,加仓管理!$N$2:$N$1001,"&gt;0",加仓管理!$G$2:$G$1001,"")&gt;0,"提示：存在待执行加仓计划","通过")))))</f>
        <v/>
      </c>
    </row>
    <row r="46" customFormat="false" ht="13.5" hidden="false" customHeight="false" outlineLevel="0" collapsed="false">
      <c r="A46" s="4"/>
      <c r="B46" s="4"/>
      <c r="C46" s="5"/>
      <c r="D46" s="6"/>
      <c r="E46" s="5"/>
      <c r="F46" s="7" t="str">
        <f aca="false">IF(OR(C46="",D46="",E46="",N46="",C46&lt;=0,D46&lt;=0,E46&lt;=N46),"",ROUNDDOWN((C46*D46)/(E46-N46)/100,0)*100)</f>
        <v/>
      </c>
      <c r="G46" s="7" t="str">
        <f aca="false">IF(A46="","",IF(H46&lt;&gt;"","已开仓",IF(账户数据!$B$23="已锁仓","禁止开仓：连续亏损达到上限",IF(账户数据!$B$23="解锁信息不完整","禁止开仓：请完整填写解锁信息",IF(OR(F46="",E46="",N46="",E46&lt;=N46,账户数据!$B$7=""),"",IF(OR(AG46="",AH46="",AI46=""),"禁止开仓：交易预期未填写完整",IF(账户数据!$B$9+F46*(E46-N46)&gt;=账户数据!$B$7,"禁止开仓：风险额度不足",IF(AJ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6" s="4"/>
      <c r="I46" s="8"/>
      <c r="J46" s="5"/>
      <c r="K46" s="5"/>
      <c r="L46" s="7" t="str">
        <f aca="false">IF(AP46="","",AP46)</f>
        <v/>
      </c>
      <c r="M46" s="8"/>
      <c r="N46" s="5"/>
      <c r="O46" s="5"/>
      <c r="P46" s="5"/>
      <c r="Q46" s="4"/>
      <c r="R46" s="4"/>
      <c r="S46" s="4"/>
      <c r="T46" s="4"/>
      <c r="U46" s="9" t="str">
        <f aca="false">IF(OR(AO46="",J46="",AO46&lt;=0),"",(J46-AO46)/AO46)</f>
        <v/>
      </c>
      <c r="V46" s="9" t="str">
        <f aca="false">IF(OR(AO46="",N46="",AO46&lt;=0),"",(AO46-N46)/AO46)</f>
        <v/>
      </c>
      <c r="W46" s="10" t="str">
        <f aca="false">IF(OR(U46="",V46="",V46&lt;=0),"",U46/V46)</f>
        <v/>
      </c>
      <c r="X46" s="11" t="str">
        <f aca="false">IF(OR(K46="",L46="",AO46="",AP46=""),"",(K46-AO46)*L46-IF(O46="",0,O46)-IF(P46="",0,P46))</f>
        <v/>
      </c>
      <c r="Y46" s="9" t="str">
        <f aca="false">IF(OR(X46="",AO46="",L46=""),"",IF(AO46*L46+IF(O46="",0,O46)&lt;=0,"",X46/(AO46*L46+IF(O46="",0,O46))))</f>
        <v/>
      </c>
      <c r="Z46" s="9" t="str">
        <f aca="false">IF(OR(AE46="",多次统计数据!$B$8=""),"",AE46-多次统计数据!$B$8)</f>
        <v/>
      </c>
      <c r="AA46" s="12" t="str">
        <f aca="false">IF(OR(I46="",M46="",M46&lt;I46),"",M46-I46)</f>
        <v/>
      </c>
      <c r="AB46" s="9" t="str">
        <f aca="false">IF(OR(A46="",多次统计数据!$B$8="",多次统计数据!$B$6&lt;=0,多次统计数据!$B$6&gt;=1),"",1-POWER(1+多次统计数据!$B$8,-多次统计数据!$B$6/(1-多次统计数据!$B$6)))</f>
        <v/>
      </c>
      <c r="AC46" s="7" t="str">
        <f aca="false">IF(OR(AB46="",多次统计数据!$B$9=""),"",IF(多次统计数据!$B$9&lt;AB46,"低于上限","达到或超过上限"))</f>
        <v/>
      </c>
      <c r="AD46" s="4"/>
      <c r="AE46" s="9" t="str">
        <f aca="false">IF(OR(X46="",C46="",C46&lt;=0),"",X46/C46)</f>
        <v/>
      </c>
      <c r="AG46" s="4"/>
      <c r="AH46" s="4"/>
      <c r="AI46" s="4"/>
      <c r="AJ46" s="7" t="str">
        <f aca="false">IF(OR(AG46="",AH46=""),"",IF(OR(AND(AG46="短期博反弹",OR(AH46="1～3个交易日",AH46="4～10个交易日")),AND(AG46="突破冲新高",OR(AH46="4～10个交易日",AH46="11～20个交易日")),AND(AG46="趋势波段",OR(AH46="11～20个交易日",AH46="21～60个交易日",AH46="60个交易日以上"))),"匹配","周期与交易预期不匹配，请重新确认"))</f>
        <v/>
      </c>
      <c r="AK46" s="13" t="str">
        <f aca="false">IF(A46="","",COUNTIFS(加仓管理!$A$2:$A$1001,A46,加仓管理!$G$2:$G$1001,"&gt;0"))</f>
        <v/>
      </c>
      <c r="AL46" s="13" t="str">
        <f aca="false">IF(A46="","",SUMIFS(加仓管理!$G$2:$G$1001,加仓管理!$A$2:$A$1001,A46))</f>
        <v/>
      </c>
      <c r="AM46" s="14" t="str">
        <f aca="false">IF(AK46=0,"",IFERROR(LOOKUP(2,1/((加仓管理!$A$2:$A$1001=A46)*(加仓管理!$G$2:$G$1001&gt;0)),加仓管理!$D$2:$D$1001),""))</f>
        <v/>
      </c>
      <c r="AN46" s="14" t="str">
        <f aca="false">IF(AK46=0,"",IFERROR(LOOKUP(2,1/((加仓管理!$A$2:$A$1001=A46)*(加仓管理!$G$2:$G$1001&gt;0)),加仓管理!$E$2:$E$1001),""))</f>
        <v/>
      </c>
      <c r="AO46" s="14" t="str">
        <f aca="false">IF(OR(A46="",H46="",H46&lt;=0),"",(E46*H46+SUMIFS(加仓管理!$H$2:$H$1001,加仓管理!$A$2:$A$1001,A46))/AP46)</f>
        <v/>
      </c>
      <c r="AP46" s="13" t="str">
        <f aca="false">IF(OR(A46="",H46="",H46&lt;=0),"",H46+AL46)</f>
        <v/>
      </c>
      <c r="AQ46" s="14" t="str">
        <f aca="false">IF(A46="","",IF(M46&lt;&gt;"",0,IF(OR(H46="",N46=""),"",MAX((E46*H46+SUMIFS(加仓管理!$H$2:$H$1001,加仓管理!$A$2:$A$1001,A46))-MAX(N46,AN46)*AP46,0))))</f>
        <v/>
      </c>
      <c r="AR46" s="15" t="str">
        <f aca="false">IF(A46="","",IF(OR(E46="",H46=""),"违规：首次买入价格或股数缺失",IF(COUNTIFS(加仓管理!$A$2:$A$1001,A46,加仓管理!$R$2:$R$1001,"违规*")&gt;0,"违规：请检查加仓管理表",IF(SUM($AQ$2:$AQ$201)&gt;账户数据!$B$7,"预警：超过账户风险上限",IF(COUNTIFS(加仓管理!$A$2:$A$1001,A46,加仓管理!$N$2:$N$1001,"&gt;0",加仓管理!$G$2:$G$1001,"")&gt;0,"提示：存在待执行加仓计划","通过")))))</f>
        <v/>
      </c>
    </row>
    <row r="47" customFormat="false" ht="13.5" hidden="false" customHeight="false" outlineLevel="0" collapsed="false">
      <c r="A47" s="4"/>
      <c r="B47" s="4"/>
      <c r="C47" s="5"/>
      <c r="D47" s="6"/>
      <c r="E47" s="5"/>
      <c r="F47" s="7" t="str">
        <f aca="false">IF(OR(C47="",D47="",E47="",N47="",C47&lt;=0,D47&lt;=0,E47&lt;=N47),"",ROUNDDOWN((C47*D47)/(E47-N47)/100,0)*100)</f>
        <v/>
      </c>
      <c r="G47" s="7" t="str">
        <f aca="false">IF(A47="","",IF(H47&lt;&gt;"","已开仓",IF(账户数据!$B$23="已锁仓","禁止开仓：连续亏损达到上限",IF(账户数据!$B$23="解锁信息不完整","禁止开仓：请完整填写解锁信息",IF(OR(F47="",E47="",N47="",E47&lt;=N47,账户数据!$B$7=""),"",IF(OR(AG47="",AH47="",AI47=""),"禁止开仓：交易预期未填写完整",IF(账户数据!$B$9+F47*(E47-N47)&gt;=账户数据!$B$7,"禁止开仓：风险额度不足",IF(AJ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7" s="4"/>
      <c r="I47" s="8"/>
      <c r="J47" s="5"/>
      <c r="K47" s="5"/>
      <c r="L47" s="7" t="str">
        <f aca="false">IF(AP47="","",AP47)</f>
        <v/>
      </c>
      <c r="M47" s="8"/>
      <c r="N47" s="5"/>
      <c r="O47" s="5"/>
      <c r="P47" s="5"/>
      <c r="Q47" s="4"/>
      <c r="R47" s="4"/>
      <c r="S47" s="4"/>
      <c r="T47" s="4"/>
      <c r="U47" s="9" t="str">
        <f aca="false">IF(OR(AO47="",J47="",AO47&lt;=0),"",(J47-AO47)/AO47)</f>
        <v/>
      </c>
      <c r="V47" s="9" t="str">
        <f aca="false">IF(OR(AO47="",N47="",AO47&lt;=0),"",(AO47-N47)/AO47)</f>
        <v/>
      </c>
      <c r="W47" s="10" t="str">
        <f aca="false">IF(OR(U47="",V47="",V47&lt;=0),"",U47/V47)</f>
        <v/>
      </c>
      <c r="X47" s="11" t="str">
        <f aca="false">IF(OR(K47="",L47="",AO47="",AP47=""),"",(K47-AO47)*L47-IF(O47="",0,O47)-IF(P47="",0,P47))</f>
        <v/>
      </c>
      <c r="Y47" s="9" t="str">
        <f aca="false">IF(OR(X47="",AO47="",L47=""),"",IF(AO47*L47+IF(O47="",0,O47)&lt;=0,"",X47/(AO47*L47+IF(O47="",0,O47))))</f>
        <v/>
      </c>
      <c r="Z47" s="9" t="str">
        <f aca="false">IF(OR(AE47="",多次统计数据!$B$8=""),"",AE47-多次统计数据!$B$8)</f>
        <v/>
      </c>
      <c r="AA47" s="12" t="str">
        <f aca="false">IF(OR(I47="",M47="",M47&lt;I47),"",M47-I47)</f>
        <v/>
      </c>
      <c r="AB47" s="9" t="str">
        <f aca="false">IF(OR(A47="",多次统计数据!$B$8="",多次统计数据!$B$6&lt;=0,多次统计数据!$B$6&gt;=1),"",1-POWER(1+多次统计数据!$B$8,-多次统计数据!$B$6/(1-多次统计数据!$B$6)))</f>
        <v/>
      </c>
      <c r="AC47" s="7" t="str">
        <f aca="false">IF(OR(AB47="",多次统计数据!$B$9=""),"",IF(多次统计数据!$B$9&lt;AB47,"低于上限","达到或超过上限"))</f>
        <v/>
      </c>
      <c r="AD47" s="4"/>
      <c r="AE47" s="9" t="str">
        <f aca="false">IF(OR(X47="",C47="",C47&lt;=0),"",X47/C47)</f>
        <v/>
      </c>
      <c r="AG47" s="4"/>
      <c r="AH47" s="4"/>
      <c r="AI47" s="4"/>
      <c r="AJ47" s="7" t="str">
        <f aca="false">IF(OR(AG47="",AH47=""),"",IF(OR(AND(AG47="短期博反弹",OR(AH47="1～3个交易日",AH47="4～10个交易日")),AND(AG47="突破冲新高",OR(AH47="4～10个交易日",AH47="11～20个交易日")),AND(AG47="趋势波段",OR(AH47="11～20个交易日",AH47="21～60个交易日",AH47="60个交易日以上"))),"匹配","周期与交易预期不匹配，请重新确认"))</f>
        <v/>
      </c>
      <c r="AK47" s="13" t="str">
        <f aca="false">IF(A47="","",COUNTIFS(加仓管理!$A$2:$A$1001,A47,加仓管理!$G$2:$G$1001,"&gt;0"))</f>
        <v/>
      </c>
      <c r="AL47" s="13" t="str">
        <f aca="false">IF(A47="","",SUMIFS(加仓管理!$G$2:$G$1001,加仓管理!$A$2:$A$1001,A47))</f>
        <v/>
      </c>
      <c r="AM47" s="14" t="str">
        <f aca="false">IF(AK47=0,"",IFERROR(LOOKUP(2,1/((加仓管理!$A$2:$A$1001=A47)*(加仓管理!$G$2:$G$1001&gt;0)),加仓管理!$D$2:$D$1001),""))</f>
        <v/>
      </c>
      <c r="AN47" s="14" t="str">
        <f aca="false">IF(AK47=0,"",IFERROR(LOOKUP(2,1/((加仓管理!$A$2:$A$1001=A47)*(加仓管理!$G$2:$G$1001&gt;0)),加仓管理!$E$2:$E$1001),""))</f>
        <v/>
      </c>
      <c r="AO47" s="14" t="str">
        <f aca="false">IF(OR(A47="",H47="",H47&lt;=0),"",(E47*H47+SUMIFS(加仓管理!$H$2:$H$1001,加仓管理!$A$2:$A$1001,A47))/AP47)</f>
        <v/>
      </c>
      <c r="AP47" s="13" t="str">
        <f aca="false">IF(OR(A47="",H47="",H47&lt;=0),"",H47+AL47)</f>
        <v/>
      </c>
      <c r="AQ47" s="14" t="str">
        <f aca="false">IF(A47="","",IF(M47&lt;&gt;"",0,IF(OR(H47="",N47=""),"",MAX((E47*H47+SUMIFS(加仓管理!$H$2:$H$1001,加仓管理!$A$2:$A$1001,A47))-MAX(N47,AN47)*AP47,0))))</f>
        <v/>
      </c>
      <c r="AR47" s="15" t="str">
        <f aca="false">IF(A47="","",IF(OR(E47="",H47=""),"违规：首次买入价格或股数缺失",IF(COUNTIFS(加仓管理!$A$2:$A$1001,A47,加仓管理!$R$2:$R$1001,"违规*")&gt;0,"违规：请检查加仓管理表",IF(SUM($AQ$2:$AQ$201)&gt;账户数据!$B$7,"预警：超过账户风险上限",IF(COUNTIFS(加仓管理!$A$2:$A$1001,A47,加仓管理!$N$2:$N$1001,"&gt;0",加仓管理!$G$2:$G$1001,"")&gt;0,"提示：存在待执行加仓计划","通过")))))</f>
        <v/>
      </c>
    </row>
    <row r="48" customFormat="false" ht="13.5" hidden="false" customHeight="false" outlineLevel="0" collapsed="false">
      <c r="A48" s="4"/>
      <c r="B48" s="4"/>
      <c r="C48" s="5"/>
      <c r="D48" s="6"/>
      <c r="E48" s="5"/>
      <c r="F48" s="7" t="str">
        <f aca="false">IF(OR(C48="",D48="",E48="",N48="",C48&lt;=0,D48&lt;=0,E48&lt;=N48),"",ROUNDDOWN((C48*D48)/(E48-N48)/100,0)*100)</f>
        <v/>
      </c>
      <c r="G48" s="7" t="str">
        <f aca="false">IF(A48="","",IF(H48&lt;&gt;"","已开仓",IF(账户数据!$B$23="已锁仓","禁止开仓：连续亏损达到上限",IF(账户数据!$B$23="解锁信息不完整","禁止开仓：请完整填写解锁信息",IF(OR(F48="",E48="",N48="",E48&lt;=N48,账户数据!$B$7=""),"",IF(OR(AG48="",AH48="",AI48=""),"禁止开仓：交易预期未填写完整",IF(账户数据!$B$9+F48*(E48-N48)&gt;=账户数据!$B$7,"禁止开仓：风险额度不足",IF(AJ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8" s="4"/>
      <c r="I48" s="8"/>
      <c r="J48" s="5"/>
      <c r="K48" s="5"/>
      <c r="L48" s="7" t="str">
        <f aca="false">IF(AP48="","",AP48)</f>
        <v/>
      </c>
      <c r="M48" s="8"/>
      <c r="N48" s="5"/>
      <c r="O48" s="5"/>
      <c r="P48" s="5"/>
      <c r="Q48" s="4"/>
      <c r="R48" s="4"/>
      <c r="S48" s="4"/>
      <c r="T48" s="4"/>
      <c r="U48" s="9" t="str">
        <f aca="false">IF(OR(AO48="",J48="",AO48&lt;=0),"",(J48-AO48)/AO48)</f>
        <v/>
      </c>
      <c r="V48" s="9" t="str">
        <f aca="false">IF(OR(AO48="",N48="",AO48&lt;=0),"",(AO48-N48)/AO48)</f>
        <v/>
      </c>
      <c r="W48" s="10" t="str">
        <f aca="false">IF(OR(U48="",V48="",V48&lt;=0),"",U48/V48)</f>
        <v/>
      </c>
      <c r="X48" s="11" t="str">
        <f aca="false">IF(OR(K48="",L48="",AO48="",AP48=""),"",(K48-AO48)*L48-IF(O48="",0,O48)-IF(P48="",0,P48))</f>
        <v/>
      </c>
      <c r="Y48" s="9" t="str">
        <f aca="false">IF(OR(X48="",AO48="",L48=""),"",IF(AO48*L48+IF(O48="",0,O48)&lt;=0,"",X48/(AO48*L48+IF(O48="",0,O48))))</f>
        <v/>
      </c>
      <c r="Z48" s="9" t="str">
        <f aca="false">IF(OR(AE48="",多次统计数据!$B$8=""),"",AE48-多次统计数据!$B$8)</f>
        <v/>
      </c>
      <c r="AA48" s="12" t="str">
        <f aca="false">IF(OR(I48="",M48="",M48&lt;I48),"",M48-I48)</f>
        <v/>
      </c>
      <c r="AB48" s="9" t="str">
        <f aca="false">IF(OR(A48="",多次统计数据!$B$8="",多次统计数据!$B$6&lt;=0,多次统计数据!$B$6&gt;=1),"",1-POWER(1+多次统计数据!$B$8,-多次统计数据!$B$6/(1-多次统计数据!$B$6)))</f>
        <v/>
      </c>
      <c r="AC48" s="7" t="str">
        <f aca="false">IF(OR(AB48="",多次统计数据!$B$9=""),"",IF(多次统计数据!$B$9&lt;AB48,"低于上限","达到或超过上限"))</f>
        <v/>
      </c>
      <c r="AD48" s="4"/>
      <c r="AE48" s="9" t="str">
        <f aca="false">IF(OR(X48="",C48="",C48&lt;=0),"",X48/C48)</f>
        <v/>
      </c>
      <c r="AG48" s="4"/>
      <c r="AH48" s="4"/>
      <c r="AI48" s="4"/>
      <c r="AJ48" s="7" t="str">
        <f aca="false">IF(OR(AG48="",AH48=""),"",IF(OR(AND(AG48="短期博反弹",OR(AH48="1～3个交易日",AH48="4～10个交易日")),AND(AG48="突破冲新高",OR(AH48="4～10个交易日",AH48="11～20个交易日")),AND(AG48="趋势波段",OR(AH48="11～20个交易日",AH48="21～60个交易日",AH48="60个交易日以上"))),"匹配","周期与交易预期不匹配，请重新确认"))</f>
        <v/>
      </c>
      <c r="AK48" s="13" t="str">
        <f aca="false">IF(A48="","",COUNTIFS(加仓管理!$A$2:$A$1001,A48,加仓管理!$G$2:$G$1001,"&gt;0"))</f>
        <v/>
      </c>
      <c r="AL48" s="13" t="str">
        <f aca="false">IF(A48="","",SUMIFS(加仓管理!$G$2:$G$1001,加仓管理!$A$2:$A$1001,A48))</f>
        <v/>
      </c>
      <c r="AM48" s="14" t="str">
        <f aca="false">IF(AK48=0,"",IFERROR(LOOKUP(2,1/((加仓管理!$A$2:$A$1001=A48)*(加仓管理!$G$2:$G$1001&gt;0)),加仓管理!$D$2:$D$1001),""))</f>
        <v/>
      </c>
      <c r="AN48" s="14" t="str">
        <f aca="false">IF(AK48=0,"",IFERROR(LOOKUP(2,1/((加仓管理!$A$2:$A$1001=A48)*(加仓管理!$G$2:$G$1001&gt;0)),加仓管理!$E$2:$E$1001),""))</f>
        <v/>
      </c>
      <c r="AO48" s="14" t="str">
        <f aca="false">IF(OR(A48="",H48="",H48&lt;=0),"",(E48*H48+SUMIFS(加仓管理!$H$2:$H$1001,加仓管理!$A$2:$A$1001,A48))/AP48)</f>
        <v/>
      </c>
      <c r="AP48" s="13" t="str">
        <f aca="false">IF(OR(A48="",H48="",H48&lt;=0),"",H48+AL48)</f>
        <v/>
      </c>
      <c r="AQ48" s="14" t="str">
        <f aca="false">IF(A48="","",IF(M48&lt;&gt;"",0,IF(OR(H48="",N48=""),"",MAX((E48*H48+SUMIFS(加仓管理!$H$2:$H$1001,加仓管理!$A$2:$A$1001,A48))-MAX(N48,AN48)*AP48,0))))</f>
        <v/>
      </c>
      <c r="AR48" s="15" t="str">
        <f aca="false">IF(A48="","",IF(OR(E48="",H48=""),"违规：首次买入价格或股数缺失",IF(COUNTIFS(加仓管理!$A$2:$A$1001,A48,加仓管理!$R$2:$R$1001,"违规*")&gt;0,"违规：请检查加仓管理表",IF(SUM($AQ$2:$AQ$201)&gt;账户数据!$B$7,"预警：超过账户风险上限",IF(COUNTIFS(加仓管理!$A$2:$A$1001,A48,加仓管理!$N$2:$N$1001,"&gt;0",加仓管理!$G$2:$G$1001,"")&gt;0,"提示：存在待执行加仓计划","通过")))))</f>
        <v/>
      </c>
    </row>
    <row r="49" customFormat="false" ht="13.5" hidden="false" customHeight="false" outlineLevel="0" collapsed="false">
      <c r="A49" s="4"/>
      <c r="B49" s="4"/>
      <c r="C49" s="5"/>
      <c r="D49" s="6"/>
      <c r="E49" s="5"/>
      <c r="F49" s="7" t="str">
        <f aca="false">IF(OR(C49="",D49="",E49="",N49="",C49&lt;=0,D49&lt;=0,E49&lt;=N49),"",ROUNDDOWN((C49*D49)/(E49-N49)/100,0)*100)</f>
        <v/>
      </c>
      <c r="G49" s="7" t="str">
        <f aca="false">IF(A49="","",IF(H49&lt;&gt;"","已开仓",IF(账户数据!$B$23="已锁仓","禁止开仓：连续亏损达到上限",IF(账户数据!$B$23="解锁信息不完整","禁止开仓：请完整填写解锁信息",IF(OR(F49="",E49="",N49="",E49&lt;=N49,账户数据!$B$7=""),"",IF(OR(AG49="",AH49="",AI49=""),"禁止开仓：交易预期未填写完整",IF(账户数据!$B$9+F49*(E49-N49)&gt;=账户数据!$B$7,"禁止开仓：风险额度不足",IF(AJ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9" s="4"/>
      <c r="I49" s="8"/>
      <c r="J49" s="5"/>
      <c r="K49" s="5"/>
      <c r="L49" s="7" t="str">
        <f aca="false">IF(AP49="","",AP49)</f>
        <v/>
      </c>
      <c r="M49" s="8"/>
      <c r="N49" s="5"/>
      <c r="O49" s="5"/>
      <c r="P49" s="5"/>
      <c r="Q49" s="4"/>
      <c r="R49" s="4"/>
      <c r="S49" s="4"/>
      <c r="T49" s="4"/>
      <c r="U49" s="9" t="str">
        <f aca="false">IF(OR(AO49="",J49="",AO49&lt;=0),"",(J49-AO49)/AO49)</f>
        <v/>
      </c>
      <c r="V49" s="9" t="str">
        <f aca="false">IF(OR(AO49="",N49="",AO49&lt;=0),"",(AO49-N49)/AO49)</f>
        <v/>
      </c>
      <c r="W49" s="10" t="str">
        <f aca="false">IF(OR(U49="",V49="",V49&lt;=0),"",U49/V49)</f>
        <v/>
      </c>
      <c r="X49" s="11" t="str">
        <f aca="false">IF(OR(K49="",L49="",AO49="",AP49=""),"",(K49-AO49)*L49-IF(O49="",0,O49)-IF(P49="",0,P49))</f>
        <v/>
      </c>
      <c r="Y49" s="9" t="str">
        <f aca="false">IF(OR(X49="",AO49="",L49=""),"",IF(AO49*L49+IF(O49="",0,O49)&lt;=0,"",X49/(AO49*L49+IF(O49="",0,O49))))</f>
        <v/>
      </c>
      <c r="Z49" s="9" t="str">
        <f aca="false">IF(OR(AE49="",多次统计数据!$B$8=""),"",AE49-多次统计数据!$B$8)</f>
        <v/>
      </c>
      <c r="AA49" s="12" t="str">
        <f aca="false">IF(OR(I49="",M49="",M49&lt;I49),"",M49-I49)</f>
        <v/>
      </c>
      <c r="AB49" s="9" t="str">
        <f aca="false">IF(OR(A49="",多次统计数据!$B$8="",多次统计数据!$B$6&lt;=0,多次统计数据!$B$6&gt;=1),"",1-POWER(1+多次统计数据!$B$8,-多次统计数据!$B$6/(1-多次统计数据!$B$6)))</f>
        <v/>
      </c>
      <c r="AC49" s="7" t="str">
        <f aca="false">IF(OR(AB49="",多次统计数据!$B$9=""),"",IF(多次统计数据!$B$9&lt;AB49,"低于上限","达到或超过上限"))</f>
        <v/>
      </c>
      <c r="AD49" s="4"/>
      <c r="AE49" s="9" t="str">
        <f aca="false">IF(OR(X49="",C49="",C49&lt;=0),"",X49/C49)</f>
        <v/>
      </c>
      <c r="AG49" s="4"/>
      <c r="AH49" s="4"/>
      <c r="AI49" s="4"/>
      <c r="AJ49" s="7" t="str">
        <f aca="false">IF(OR(AG49="",AH49=""),"",IF(OR(AND(AG49="短期博反弹",OR(AH49="1～3个交易日",AH49="4～10个交易日")),AND(AG49="突破冲新高",OR(AH49="4～10个交易日",AH49="11～20个交易日")),AND(AG49="趋势波段",OR(AH49="11～20个交易日",AH49="21～60个交易日",AH49="60个交易日以上"))),"匹配","周期与交易预期不匹配，请重新确认"))</f>
        <v/>
      </c>
      <c r="AK49" s="13" t="str">
        <f aca="false">IF(A49="","",COUNTIFS(加仓管理!$A$2:$A$1001,A49,加仓管理!$G$2:$G$1001,"&gt;0"))</f>
        <v/>
      </c>
      <c r="AL49" s="13" t="str">
        <f aca="false">IF(A49="","",SUMIFS(加仓管理!$G$2:$G$1001,加仓管理!$A$2:$A$1001,A49))</f>
        <v/>
      </c>
      <c r="AM49" s="14" t="str">
        <f aca="false">IF(AK49=0,"",IFERROR(LOOKUP(2,1/((加仓管理!$A$2:$A$1001=A49)*(加仓管理!$G$2:$G$1001&gt;0)),加仓管理!$D$2:$D$1001),""))</f>
        <v/>
      </c>
      <c r="AN49" s="14" t="str">
        <f aca="false">IF(AK49=0,"",IFERROR(LOOKUP(2,1/((加仓管理!$A$2:$A$1001=A49)*(加仓管理!$G$2:$G$1001&gt;0)),加仓管理!$E$2:$E$1001),""))</f>
        <v/>
      </c>
      <c r="AO49" s="14" t="str">
        <f aca="false">IF(OR(A49="",H49="",H49&lt;=0),"",(E49*H49+SUMIFS(加仓管理!$H$2:$H$1001,加仓管理!$A$2:$A$1001,A49))/AP49)</f>
        <v/>
      </c>
      <c r="AP49" s="13" t="str">
        <f aca="false">IF(OR(A49="",H49="",H49&lt;=0),"",H49+AL49)</f>
        <v/>
      </c>
      <c r="AQ49" s="14" t="str">
        <f aca="false">IF(A49="","",IF(M49&lt;&gt;"",0,IF(OR(H49="",N49=""),"",MAX((E49*H49+SUMIFS(加仓管理!$H$2:$H$1001,加仓管理!$A$2:$A$1001,A49))-MAX(N49,AN49)*AP49,0))))</f>
        <v/>
      </c>
      <c r="AR49" s="15" t="str">
        <f aca="false">IF(A49="","",IF(OR(E49="",H49=""),"违规：首次买入价格或股数缺失",IF(COUNTIFS(加仓管理!$A$2:$A$1001,A49,加仓管理!$R$2:$R$1001,"违规*")&gt;0,"违规：请检查加仓管理表",IF(SUM($AQ$2:$AQ$201)&gt;账户数据!$B$7,"预警：超过账户风险上限",IF(COUNTIFS(加仓管理!$A$2:$A$1001,A49,加仓管理!$N$2:$N$1001,"&gt;0",加仓管理!$G$2:$G$1001,"")&gt;0,"提示：存在待执行加仓计划","通过")))))</f>
        <v/>
      </c>
    </row>
    <row r="50" customFormat="false" ht="13.5" hidden="false" customHeight="false" outlineLevel="0" collapsed="false">
      <c r="A50" s="4"/>
      <c r="B50" s="4"/>
      <c r="C50" s="5"/>
      <c r="D50" s="6"/>
      <c r="E50" s="5"/>
      <c r="F50" s="7" t="str">
        <f aca="false">IF(OR(C50="",D50="",E50="",N50="",C50&lt;=0,D50&lt;=0,E50&lt;=N50),"",ROUNDDOWN((C50*D50)/(E50-N50)/100,0)*100)</f>
        <v/>
      </c>
      <c r="G50" s="7" t="str">
        <f aca="false">IF(A50="","",IF(H50&lt;&gt;"","已开仓",IF(账户数据!$B$23="已锁仓","禁止开仓：连续亏损达到上限",IF(账户数据!$B$23="解锁信息不完整","禁止开仓：请完整填写解锁信息",IF(OR(F50="",E50="",N50="",E50&lt;=N50,账户数据!$B$7=""),"",IF(OR(AG50="",AH50="",AI50=""),"禁止开仓：交易预期未填写完整",IF(账户数据!$B$9+F50*(E50-N50)&gt;=账户数据!$B$7,"禁止开仓：风险额度不足",IF(AJ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0" s="4"/>
      <c r="I50" s="8"/>
      <c r="J50" s="5"/>
      <c r="K50" s="5"/>
      <c r="L50" s="7" t="str">
        <f aca="false">IF(AP50="","",AP50)</f>
        <v/>
      </c>
      <c r="M50" s="8"/>
      <c r="N50" s="5"/>
      <c r="O50" s="5"/>
      <c r="P50" s="5"/>
      <c r="Q50" s="4"/>
      <c r="R50" s="4"/>
      <c r="S50" s="4"/>
      <c r="T50" s="4"/>
      <c r="U50" s="9" t="str">
        <f aca="false">IF(OR(AO50="",J50="",AO50&lt;=0),"",(J50-AO50)/AO50)</f>
        <v/>
      </c>
      <c r="V50" s="9" t="str">
        <f aca="false">IF(OR(AO50="",N50="",AO50&lt;=0),"",(AO50-N50)/AO50)</f>
        <v/>
      </c>
      <c r="W50" s="10" t="str">
        <f aca="false">IF(OR(U50="",V50="",V50&lt;=0),"",U50/V50)</f>
        <v/>
      </c>
      <c r="X50" s="11" t="str">
        <f aca="false">IF(OR(K50="",L50="",AO50="",AP50=""),"",(K50-AO50)*L50-IF(O50="",0,O50)-IF(P50="",0,P50))</f>
        <v/>
      </c>
      <c r="Y50" s="9" t="str">
        <f aca="false">IF(OR(X50="",AO50="",L50=""),"",IF(AO50*L50+IF(O50="",0,O50)&lt;=0,"",X50/(AO50*L50+IF(O50="",0,O50))))</f>
        <v/>
      </c>
      <c r="Z50" s="9" t="str">
        <f aca="false">IF(OR(AE50="",多次统计数据!$B$8=""),"",AE50-多次统计数据!$B$8)</f>
        <v/>
      </c>
      <c r="AA50" s="12" t="str">
        <f aca="false">IF(OR(I50="",M50="",M50&lt;I50),"",M50-I50)</f>
        <v/>
      </c>
      <c r="AB50" s="9" t="str">
        <f aca="false">IF(OR(A50="",多次统计数据!$B$8="",多次统计数据!$B$6&lt;=0,多次统计数据!$B$6&gt;=1),"",1-POWER(1+多次统计数据!$B$8,-多次统计数据!$B$6/(1-多次统计数据!$B$6)))</f>
        <v/>
      </c>
      <c r="AC50" s="7" t="str">
        <f aca="false">IF(OR(AB50="",多次统计数据!$B$9=""),"",IF(多次统计数据!$B$9&lt;AB50,"低于上限","达到或超过上限"))</f>
        <v/>
      </c>
      <c r="AD50" s="4"/>
      <c r="AE50" s="9" t="str">
        <f aca="false">IF(OR(X50="",C50="",C50&lt;=0),"",X50/C50)</f>
        <v/>
      </c>
      <c r="AG50" s="4"/>
      <c r="AH50" s="4"/>
      <c r="AI50" s="4"/>
      <c r="AJ50" s="7" t="str">
        <f aca="false">IF(OR(AG50="",AH50=""),"",IF(OR(AND(AG50="短期博反弹",OR(AH50="1～3个交易日",AH50="4～10个交易日")),AND(AG50="突破冲新高",OR(AH50="4～10个交易日",AH50="11～20个交易日")),AND(AG50="趋势波段",OR(AH50="11～20个交易日",AH50="21～60个交易日",AH50="60个交易日以上"))),"匹配","周期与交易预期不匹配，请重新确认"))</f>
        <v/>
      </c>
      <c r="AK50" s="13" t="str">
        <f aca="false">IF(A50="","",COUNTIFS(加仓管理!$A$2:$A$1001,A50,加仓管理!$G$2:$G$1001,"&gt;0"))</f>
        <v/>
      </c>
      <c r="AL50" s="13" t="str">
        <f aca="false">IF(A50="","",SUMIFS(加仓管理!$G$2:$G$1001,加仓管理!$A$2:$A$1001,A50))</f>
        <v/>
      </c>
      <c r="AM50" s="14" t="str">
        <f aca="false">IF(AK50=0,"",IFERROR(LOOKUP(2,1/((加仓管理!$A$2:$A$1001=A50)*(加仓管理!$G$2:$G$1001&gt;0)),加仓管理!$D$2:$D$1001),""))</f>
        <v/>
      </c>
      <c r="AN50" s="14" t="str">
        <f aca="false">IF(AK50=0,"",IFERROR(LOOKUP(2,1/((加仓管理!$A$2:$A$1001=A50)*(加仓管理!$G$2:$G$1001&gt;0)),加仓管理!$E$2:$E$1001),""))</f>
        <v/>
      </c>
      <c r="AO50" s="14" t="str">
        <f aca="false">IF(OR(A50="",H50="",H50&lt;=0),"",(E50*H50+SUMIFS(加仓管理!$H$2:$H$1001,加仓管理!$A$2:$A$1001,A50))/AP50)</f>
        <v/>
      </c>
      <c r="AP50" s="13" t="str">
        <f aca="false">IF(OR(A50="",H50="",H50&lt;=0),"",H50+AL50)</f>
        <v/>
      </c>
      <c r="AQ50" s="14" t="str">
        <f aca="false">IF(A50="","",IF(M50&lt;&gt;"",0,IF(OR(H50="",N50=""),"",MAX((E50*H50+SUMIFS(加仓管理!$H$2:$H$1001,加仓管理!$A$2:$A$1001,A50))-MAX(N50,AN50)*AP50,0))))</f>
        <v/>
      </c>
      <c r="AR50" s="15" t="str">
        <f aca="false">IF(A50="","",IF(OR(E50="",H50=""),"违规：首次买入价格或股数缺失",IF(COUNTIFS(加仓管理!$A$2:$A$1001,A50,加仓管理!$R$2:$R$1001,"违规*")&gt;0,"违规：请检查加仓管理表",IF(SUM($AQ$2:$AQ$201)&gt;账户数据!$B$7,"预警：超过账户风险上限",IF(COUNTIFS(加仓管理!$A$2:$A$1001,A50,加仓管理!$N$2:$N$1001,"&gt;0",加仓管理!$G$2:$G$1001,"")&gt;0,"提示：存在待执行加仓计划","通过")))))</f>
        <v/>
      </c>
    </row>
    <row r="51" customFormat="false" ht="13.5" hidden="false" customHeight="false" outlineLevel="0" collapsed="false">
      <c r="A51" s="4"/>
      <c r="B51" s="4"/>
      <c r="C51" s="5"/>
      <c r="D51" s="6"/>
      <c r="E51" s="5"/>
      <c r="F51" s="7" t="str">
        <f aca="false">IF(OR(C51="",D51="",E51="",N51="",C51&lt;=0,D51&lt;=0,E51&lt;=N51),"",ROUNDDOWN((C51*D51)/(E51-N51)/100,0)*100)</f>
        <v/>
      </c>
      <c r="G51" s="7" t="str">
        <f aca="false">IF(A51="","",IF(H51&lt;&gt;"","已开仓",IF(账户数据!$B$23="已锁仓","禁止开仓：连续亏损达到上限",IF(账户数据!$B$23="解锁信息不完整","禁止开仓：请完整填写解锁信息",IF(OR(F51="",E51="",N51="",E51&lt;=N51,账户数据!$B$7=""),"",IF(OR(AG51="",AH51="",AI51=""),"禁止开仓：交易预期未填写完整",IF(账户数据!$B$9+F51*(E51-N51)&gt;=账户数据!$B$7,"禁止开仓：风险额度不足",IF(AJ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1" s="4"/>
      <c r="I51" s="8"/>
      <c r="J51" s="5"/>
      <c r="K51" s="5"/>
      <c r="L51" s="7" t="str">
        <f aca="false">IF(AP51="","",AP51)</f>
        <v/>
      </c>
      <c r="M51" s="8"/>
      <c r="N51" s="5"/>
      <c r="O51" s="5"/>
      <c r="P51" s="5"/>
      <c r="Q51" s="4"/>
      <c r="R51" s="4"/>
      <c r="S51" s="4"/>
      <c r="T51" s="4"/>
      <c r="U51" s="9" t="str">
        <f aca="false">IF(OR(AO51="",J51="",AO51&lt;=0),"",(J51-AO51)/AO51)</f>
        <v/>
      </c>
      <c r="V51" s="9" t="str">
        <f aca="false">IF(OR(AO51="",N51="",AO51&lt;=0),"",(AO51-N51)/AO51)</f>
        <v/>
      </c>
      <c r="W51" s="10" t="str">
        <f aca="false">IF(OR(U51="",V51="",V51&lt;=0),"",U51/V51)</f>
        <v/>
      </c>
      <c r="X51" s="11" t="str">
        <f aca="false">IF(OR(K51="",L51="",AO51="",AP51=""),"",(K51-AO51)*L51-IF(O51="",0,O51)-IF(P51="",0,P51))</f>
        <v/>
      </c>
      <c r="Y51" s="9" t="str">
        <f aca="false">IF(OR(X51="",AO51="",L51=""),"",IF(AO51*L51+IF(O51="",0,O51)&lt;=0,"",X51/(AO51*L51+IF(O51="",0,O51))))</f>
        <v/>
      </c>
      <c r="Z51" s="9" t="str">
        <f aca="false">IF(OR(AE51="",多次统计数据!$B$8=""),"",AE51-多次统计数据!$B$8)</f>
        <v/>
      </c>
      <c r="AA51" s="12" t="str">
        <f aca="false">IF(OR(I51="",M51="",M51&lt;I51),"",M51-I51)</f>
        <v/>
      </c>
      <c r="AB51" s="9" t="str">
        <f aca="false">IF(OR(A51="",多次统计数据!$B$8="",多次统计数据!$B$6&lt;=0,多次统计数据!$B$6&gt;=1),"",1-POWER(1+多次统计数据!$B$8,-多次统计数据!$B$6/(1-多次统计数据!$B$6)))</f>
        <v/>
      </c>
      <c r="AC51" s="7" t="str">
        <f aca="false">IF(OR(AB51="",多次统计数据!$B$9=""),"",IF(多次统计数据!$B$9&lt;AB51,"低于上限","达到或超过上限"))</f>
        <v/>
      </c>
      <c r="AD51" s="4"/>
      <c r="AE51" s="9" t="str">
        <f aca="false">IF(OR(X51="",C51="",C51&lt;=0),"",X51/C51)</f>
        <v/>
      </c>
      <c r="AG51" s="4"/>
      <c r="AH51" s="4"/>
      <c r="AI51" s="4"/>
      <c r="AJ51" s="7" t="str">
        <f aca="false">IF(OR(AG51="",AH51=""),"",IF(OR(AND(AG51="短期博反弹",OR(AH51="1～3个交易日",AH51="4～10个交易日")),AND(AG51="突破冲新高",OR(AH51="4～10个交易日",AH51="11～20个交易日")),AND(AG51="趋势波段",OR(AH51="11～20个交易日",AH51="21～60个交易日",AH51="60个交易日以上"))),"匹配","周期与交易预期不匹配，请重新确认"))</f>
        <v/>
      </c>
      <c r="AK51" s="13" t="str">
        <f aca="false">IF(A51="","",COUNTIFS(加仓管理!$A$2:$A$1001,A51,加仓管理!$G$2:$G$1001,"&gt;0"))</f>
        <v/>
      </c>
      <c r="AL51" s="13" t="str">
        <f aca="false">IF(A51="","",SUMIFS(加仓管理!$G$2:$G$1001,加仓管理!$A$2:$A$1001,A51))</f>
        <v/>
      </c>
      <c r="AM51" s="14" t="str">
        <f aca="false">IF(AK51=0,"",IFERROR(LOOKUP(2,1/((加仓管理!$A$2:$A$1001=A51)*(加仓管理!$G$2:$G$1001&gt;0)),加仓管理!$D$2:$D$1001),""))</f>
        <v/>
      </c>
      <c r="AN51" s="14" t="str">
        <f aca="false">IF(AK51=0,"",IFERROR(LOOKUP(2,1/((加仓管理!$A$2:$A$1001=A51)*(加仓管理!$G$2:$G$1001&gt;0)),加仓管理!$E$2:$E$1001),""))</f>
        <v/>
      </c>
      <c r="AO51" s="14" t="str">
        <f aca="false">IF(OR(A51="",H51="",H51&lt;=0),"",(E51*H51+SUMIFS(加仓管理!$H$2:$H$1001,加仓管理!$A$2:$A$1001,A51))/AP51)</f>
        <v/>
      </c>
      <c r="AP51" s="13" t="str">
        <f aca="false">IF(OR(A51="",H51="",H51&lt;=0),"",H51+AL51)</f>
        <v/>
      </c>
      <c r="AQ51" s="14" t="str">
        <f aca="false">IF(A51="","",IF(M51&lt;&gt;"",0,IF(OR(H51="",N51=""),"",MAX((E51*H51+SUMIFS(加仓管理!$H$2:$H$1001,加仓管理!$A$2:$A$1001,A51))-MAX(N51,AN51)*AP51,0))))</f>
        <v/>
      </c>
      <c r="AR51" s="15" t="str">
        <f aca="false">IF(A51="","",IF(OR(E51="",H51=""),"违规：首次买入价格或股数缺失",IF(COUNTIFS(加仓管理!$A$2:$A$1001,A51,加仓管理!$R$2:$R$1001,"违规*")&gt;0,"违规：请检查加仓管理表",IF(SUM($AQ$2:$AQ$201)&gt;账户数据!$B$7,"预警：超过账户风险上限",IF(COUNTIFS(加仓管理!$A$2:$A$1001,A51,加仓管理!$N$2:$N$1001,"&gt;0",加仓管理!$G$2:$G$1001,"")&gt;0,"提示：存在待执行加仓计划","通过")))))</f>
        <v/>
      </c>
    </row>
    <row r="52" customFormat="false" ht="13.5" hidden="false" customHeight="false" outlineLevel="0" collapsed="false">
      <c r="A52" s="4"/>
      <c r="B52" s="4"/>
      <c r="C52" s="5"/>
      <c r="D52" s="6"/>
      <c r="E52" s="5"/>
      <c r="F52" s="7" t="str">
        <f aca="false">IF(OR(C52="",D52="",E52="",N52="",C52&lt;=0,D52&lt;=0,E52&lt;=N52),"",ROUNDDOWN((C52*D52)/(E52-N52)/100,0)*100)</f>
        <v/>
      </c>
      <c r="G52" s="7" t="str">
        <f aca="false">IF(A52="","",IF(H52&lt;&gt;"","已开仓",IF(账户数据!$B$23="已锁仓","禁止开仓：连续亏损达到上限",IF(账户数据!$B$23="解锁信息不完整","禁止开仓：请完整填写解锁信息",IF(OR(F52="",E52="",N52="",E52&lt;=N52,账户数据!$B$7=""),"",IF(OR(AG52="",AH52="",AI52=""),"禁止开仓：交易预期未填写完整",IF(账户数据!$B$9+F52*(E52-N52)&gt;=账户数据!$B$7,"禁止开仓：风险额度不足",IF(AJ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2" s="4"/>
      <c r="I52" s="8"/>
      <c r="J52" s="5"/>
      <c r="K52" s="5"/>
      <c r="L52" s="7" t="str">
        <f aca="false">IF(AP52="","",AP52)</f>
        <v/>
      </c>
      <c r="M52" s="8"/>
      <c r="N52" s="5"/>
      <c r="O52" s="5"/>
      <c r="P52" s="5"/>
      <c r="Q52" s="4"/>
      <c r="R52" s="4"/>
      <c r="S52" s="4"/>
      <c r="T52" s="4"/>
      <c r="U52" s="9" t="str">
        <f aca="false">IF(OR(AO52="",J52="",AO52&lt;=0),"",(J52-AO52)/AO52)</f>
        <v/>
      </c>
      <c r="V52" s="9" t="str">
        <f aca="false">IF(OR(AO52="",N52="",AO52&lt;=0),"",(AO52-N52)/AO52)</f>
        <v/>
      </c>
      <c r="W52" s="10" t="str">
        <f aca="false">IF(OR(U52="",V52="",V52&lt;=0),"",U52/V52)</f>
        <v/>
      </c>
      <c r="X52" s="11" t="str">
        <f aca="false">IF(OR(K52="",L52="",AO52="",AP52=""),"",(K52-AO52)*L52-IF(O52="",0,O52)-IF(P52="",0,P52))</f>
        <v/>
      </c>
      <c r="Y52" s="9" t="str">
        <f aca="false">IF(OR(X52="",AO52="",L52=""),"",IF(AO52*L52+IF(O52="",0,O52)&lt;=0,"",X52/(AO52*L52+IF(O52="",0,O52))))</f>
        <v/>
      </c>
      <c r="Z52" s="9" t="str">
        <f aca="false">IF(OR(AE52="",多次统计数据!$B$8=""),"",AE52-多次统计数据!$B$8)</f>
        <v/>
      </c>
      <c r="AA52" s="12" t="str">
        <f aca="false">IF(OR(I52="",M52="",M52&lt;I52),"",M52-I52)</f>
        <v/>
      </c>
      <c r="AB52" s="9" t="str">
        <f aca="false">IF(OR(A52="",多次统计数据!$B$8="",多次统计数据!$B$6&lt;=0,多次统计数据!$B$6&gt;=1),"",1-POWER(1+多次统计数据!$B$8,-多次统计数据!$B$6/(1-多次统计数据!$B$6)))</f>
        <v/>
      </c>
      <c r="AC52" s="7" t="str">
        <f aca="false">IF(OR(AB52="",多次统计数据!$B$9=""),"",IF(多次统计数据!$B$9&lt;AB52,"低于上限","达到或超过上限"))</f>
        <v/>
      </c>
      <c r="AD52" s="4"/>
      <c r="AE52" s="9" t="str">
        <f aca="false">IF(OR(X52="",C52="",C52&lt;=0),"",X52/C52)</f>
        <v/>
      </c>
      <c r="AG52" s="4"/>
      <c r="AH52" s="4"/>
      <c r="AI52" s="4"/>
      <c r="AJ52" s="7" t="str">
        <f aca="false">IF(OR(AG52="",AH52=""),"",IF(OR(AND(AG52="短期博反弹",OR(AH52="1～3个交易日",AH52="4～10个交易日")),AND(AG52="突破冲新高",OR(AH52="4～10个交易日",AH52="11～20个交易日")),AND(AG52="趋势波段",OR(AH52="11～20个交易日",AH52="21～60个交易日",AH52="60个交易日以上"))),"匹配","周期与交易预期不匹配，请重新确认"))</f>
        <v/>
      </c>
      <c r="AK52" s="13" t="str">
        <f aca="false">IF(A52="","",COUNTIFS(加仓管理!$A$2:$A$1001,A52,加仓管理!$G$2:$G$1001,"&gt;0"))</f>
        <v/>
      </c>
      <c r="AL52" s="13" t="str">
        <f aca="false">IF(A52="","",SUMIFS(加仓管理!$G$2:$G$1001,加仓管理!$A$2:$A$1001,A52))</f>
        <v/>
      </c>
      <c r="AM52" s="14" t="str">
        <f aca="false">IF(AK52=0,"",IFERROR(LOOKUP(2,1/((加仓管理!$A$2:$A$1001=A52)*(加仓管理!$G$2:$G$1001&gt;0)),加仓管理!$D$2:$D$1001),""))</f>
        <v/>
      </c>
      <c r="AN52" s="14" t="str">
        <f aca="false">IF(AK52=0,"",IFERROR(LOOKUP(2,1/((加仓管理!$A$2:$A$1001=A52)*(加仓管理!$G$2:$G$1001&gt;0)),加仓管理!$E$2:$E$1001),""))</f>
        <v/>
      </c>
      <c r="AO52" s="14" t="str">
        <f aca="false">IF(OR(A52="",H52="",H52&lt;=0),"",(E52*H52+SUMIFS(加仓管理!$H$2:$H$1001,加仓管理!$A$2:$A$1001,A52))/AP52)</f>
        <v/>
      </c>
      <c r="AP52" s="13" t="str">
        <f aca="false">IF(OR(A52="",H52="",H52&lt;=0),"",H52+AL52)</f>
        <v/>
      </c>
      <c r="AQ52" s="14" t="str">
        <f aca="false">IF(A52="","",IF(M52&lt;&gt;"",0,IF(OR(H52="",N52=""),"",MAX((E52*H52+SUMIFS(加仓管理!$H$2:$H$1001,加仓管理!$A$2:$A$1001,A52))-MAX(N52,AN52)*AP52,0))))</f>
        <v/>
      </c>
      <c r="AR52" s="15" t="str">
        <f aca="false">IF(A52="","",IF(OR(E52="",H52=""),"违规：首次买入价格或股数缺失",IF(COUNTIFS(加仓管理!$A$2:$A$1001,A52,加仓管理!$R$2:$R$1001,"违规*")&gt;0,"违规：请检查加仓管理表",IF(SUM($AQ$2:$AQ$201)&gt;账户数据!$B$7,"预警：超过账户风险上限",IF(COUNTIFS(加仓管理!$A$2:$A$1001,A52,加仓管理!$N$2:$N$1001,"&gt;0",加仓管理!$G$2:$G$1001,"")&gt;0,"提示：存在待执行加仓计划","通过")))))</f>
        <v/>
      </c>
    </row>
    <row r="53" customFormat="false" ht="13.5" hidden="false" customHeight="false" outlineLevel="0" collapsed="false">
      <c r="A53" s="4"/>
      <c r="B53" s="4"/>
      <c r="C53" s="5"/>
      <c r="D53" s="6"/>
      <c r="E53" s="5"/>
      <c r="F53" s="7" t="str">
        <f aca="false">IF(OR(C53="",D53="",E53="",N53="",C53&lt;=0,D53&lt;=0,E53&lt;=N53),"",ROUNDDOWN((C53*D53)/(E53-N53)/100,0)*100)</f>
        <v/>
      </c>
      <c r="G53" s="7" t="str">
        <f aca="false">IF(A53="","",IF(H53&lt;&gt;"","已开仓",IF(账户数据!$B$23="已锁仓","禁止开仓：连续亏损达到上限",IF(账户数据!$B$23="解锁信息不完整","禁止开仓：请完整填写解锁信息",IF(OR(F53="",E53="",N53="",E53&lt;=N53,账户数据!$B$7=""),"",IF(OR(AG53="",AH53="",AI53=""),"禁止开仓：交易预期未填写完整",IF(账户数据!$B$9+F53*(E53-N53)&gt;=账户数据!$B$7,"禁止开仓：风险额度不足",IF(AJ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3" s="4"/>
      <c r="I53" s="8"/>
      <c r="J53" s="5"/>
      <c r="K53" s="5"/>
      <c r="L53" s="7" t="str">
        <f aca="false">IF(AP53="","",AP53)</f>
        <v/>
      </c>
      <c r="M53" s="8"/>
      <c r="N53" s="5"/>
      <c r="O53" s="5"/>
      <c r="P53" s="5"/>
      <c r="Q53" s="4"/>
      <c r="R53" s="4"/>
      <c r="S53" s="4"/>
      <c r="T53" s="4"/>
      <c r="U53" s="9" t="str">
        <f aca="false">IF(OR(AO53="",J53="",AO53&lt;=0),"",(J53-AO53)/AO53)</f>
        <v/>
      </c>
      <c r="V53" s="9" t="str">
        <f aca="false">IF(OR(AO53="",N53="",AO53&lt;=0),"",(AO53-N53)/AO53)</f>
        <v/>
      </c>
      <c r="W53" s="10" t="str">
        <f aca="false">IF(OR(U53="",V53="",V53&lt;=0),"",U53/V53)</f>
        <v/>
      </c>
      <c r="X53" s="11" t="str">
        <f aca="false">IF(OR(K53="",L53="",AO53="",AP53=""),"",(K53-AO53)*L53-IF(O53="",0,O53)-IF(P53="",0,P53))</f>
        <v/>
      </c>
      <c r="Y53" s="9" t="str">
        <f aca="false">IF(OR(X53="",AO53="",L53=""),"",IF(AO53*L53+IF(O53="",0,O53)&lt;=0,"",X53/(AO53*L53+IF(O53="",0,O53))))</f>
        <v/>
      </c>
      <c r="Z53" s="9" t="str">
        <f aca="false">IF(OR(AE53="",多次统计数据!$B$8=""),"",AE53-多次统计数据!$B$8)</f>
        <v/>
      </c>
      <c r="AA53" s="12" t="str">
        <f aca="false">IF(OR(I53="",M53="",M53&lt;I53),"",M53-I53)</f>
        <v/>
      </c>
      <c r="AB53" s="9" t="str">
        <f aca="false">IF(OR(A53="",多次统计数据!$B$8="",多次统计数据!$B$6&lt;=0,多次统计数据!$B$6&gt;=1),"",1-POWER(1+多次统计数据!$B$8,-多次统计数据!$B$6/(1-多次统计数据!$B$6)))</f>
        <v/>
      </c>
      <c r="AC53" s="7" t="str">
        <f aca="false">IF(OR(AB53="",多次统计数据!$B$9=""),"",IF(多次统计数据!$B$9&lt;AB53,"低于上限","达到或超过上限"))</f>
        <v/>
      </c>
      <c r="AD53" s="4"/>
      <c r="AE53" s="9" t="str">
        <f aca="false">IF(OR(X53="",C53="",C53&lt;=0),"",X53/C53)</f>
        <v/>
      </c>
      <c r="AG53" s="4"/>
      <c r="AH53" s="4"/>
      <c r="AI53" s="4"/>
      <c r="AJ53" s="7" t="str">
        <f aca="false">IF(OR(AG53="",AH53=""),"",IF(OR(AND(AG53="短期博反弹",OR(AH53="1～3个交易日",AH53="4～10个交易日")),AND(AG53="突破冲新高",OR(AH53="4～10个交易日",AH53="11～20个交易日")),AND(AG53="趋势波段",OR(AH53="11～20个交易日",AH53="21～60个交易日",AH53="60个交易日以上"))),"匹配","周期与交易预期不匹配，请重新确认"))</f>
        <v/>
      </c>
      <c r="AK53" s="13" t="str">
        <f aca="false">IF(A53="","",COUNTIFS(加仓管理!$A$2:$A$1001,A53,加仓管理!$G$2:$G$1001,"&gt;0"))</f>
        <v/>
      </c>
      <c r="AL53" s="13" t="str">
        <f aca="false">IF(A53="","",SUMIFS(加仓管理!$G$2:$G$1001,加仓管理!$A$2:$A$1001,A53))</f>
        <v/>
      </c>
      <c r="AM53" s="14" t="str">
        <f aca="false">IF(AK53=0,"",IFERROR(LOOKUP(2,1/((加仓管理!$A$2:$A$1001=A53)*(加仓管理!$G$2:$G$1001&gt;0)),加仓管理!$D$2:$D$1001),""))</f>
        <v/>
      </c>
      <c r="AN53" s="14" t="str">
        <f aca="false">IF(AK53=0,"",IFERROR(LOOKUP(2,1/((加仓管理!$A$2:$A$1001=A53)*(加仓管理!$G$2:$G$1001&gt;0)),加仓管理!$E$2:$E$1001),""))</f>
        <v/>
      </c>
      <c r="AO53" s="14" t="str">
        <f aca="false">IF(OR(A53="",H53="",H53&lt;=0),"",(E53*H53+SUMIFS(加仓管理!$H$2:$H$1001,加仓管理!$A$2:$A$1001,A53))/AP53)</f>
        <v/>
      </c>
      <c r="AP53" s="13" t="str">
        <f aca="false">IF(OR(A53="",H53="",H53&lt;=0),"",H53+AL53)</f>
        <v/>
      </c>
      <c r="AQ53" s="14" t="str">
        <f aca="false">IF(A53="","",IF(M53&lt;&gt;"",0,IF(OR(H53="",N53=""),"",MAX((E53*H53+SUMIFS(加仓管理!$H$2:$H$1001,加仓管理!$A$2:$A$1001,A53))-MAX(N53,AN53)*AP53,0))))</f>
        <v/>
      </c>
      <c r="AR53" s="15" t="str">
        <f aca="false">IF(A53="","",IF(OR(E53="",H53=""),"违规：首次买入价格或股数缺失",IF(COUNTIFS(加仓管理!$A$2:$A$1001,A53,加仓管理!$R$2:$R$1001,"违规*")&gt;0,"违规：请检查加仓管理表",IF(SUM($AQ$2:$AQ$201)&gt;账户数据!$B$7,"预警：超过账户风险上限",IF(COUNTIFS(加仓管理!$A$2:$A$1001,A53,加仓管理!$N$2:$N$1001,"&gt;0",加仓管理!$G$2:$G$1001,"")&gt;0,"提示：存在待执行加仓计划","通过")))))</f>
        <v/>
      </c>
    </row>
    <row r="54" customFormat="false" ht="13.5" hidden="false" customHeight="false" outlineLevel="0" collapsed="false">
      <c r="A54" s="4"/>
      <c r="B54" s="4"/>
      <c r="C54" s="5"/>
      <c r="D54" s="6"/>
      <c r="E54" s="5"/>
      <c r="F54" s="7" t="str">
        <f aca="false">IF(OR(C54="",D54="",E54="",N54="",C54&lt;=0,D54&lt;=0,E54&lt;=N54),"",ROUNDDOWN((C54*D54)/(E54-N54)/100,0)*100)</f>
        <v/>
      </c>
      <c r="G54" s="7" t="str">
        <f aca="false">IF(A54="","",IF(H54&lt;&gt;"","已开仓",IF(账户数据!$B$23="已锁仓","禁止开仓：连续亏损达到上限",IF(账户数据!$B$23="解锁信息不完整","禁止开仓：请完整填写解锁信息",IF(OR(F54="",E54="",N54="",E54&lt;=N54,账户数据!$B$7=""),"",IF(OR(AG54="",AH54="",AI54=""),"禁止开仓：交易预期未填写完整",IF(账户数据!$B$9+F54*(E54-N54)&gt;=账户数据!$B$7,"禁止开仓：风险额度不足",IF(AJ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4" s="4"/>
      <c r="I54" s="8"/>
      <c r="J54" s="5"/>
      <c r="K54" s="5"/>
      <c r="L54" s="7" t="str">
        <f aca="false">IF(AP54="","",AP54)</f>
        <v/>
      </c>
      <c r="M54" s="8"/>
      <c r="N54" s="5"/>
      <c r="O54" s="5"/>
      <c r="P54" s="5"/>
      <c r="Q54" s="4"/>
      <c r="R54" s="4"/>
      <c r="S54" s="4"/>
      <c r="T54" s="4"/>
      <c r="U54" s="9" t="str">
        <f aca="false">IF(OR(AO54="",J54="",AO54&lt;=0),"",(J54-AO54)/AO54)</f>
        <v/>
      </c>
      <c r="V54" s="9" t="str">
        <f aca="false">IF(OR(AO54="",N54="",AO54&lt;=0),"",(AO54-N54)/AO54)</f>
        <v/>
      </c>
      <c r="W54" s="10" t="str">
        <f aca="false">IF(OR(U54="",V54="",V54&lt;=0),"",U54/V54)</f>
        <v/>
      </c>
      <c r="X54" s="11" t="str">
        <f aca="false">IF(OR(K54="",L54="",AO54="",AP54=""),"",(K54-AO54)*L54-IF(O54="",0,O54)-IF(P54="",0,P54))</f>
        <v/>
      </c>
      <c r="Y54" s="9" t="str">
        <f aca="false">IF(OR(X54="",AO54="",L54=""),"",IF(AO54*L54+IF(O54="",0,O54)&lt;=0,"",X54/(AO54*L54+IF(O54="",0,O54))))</f>
        <v/>
      </c>
      <c r="Z54" s="9" t="str">
        <f aca="false">IF(OR(AE54="",多次统计数据!$B$8=""),"",AE54-多次统计数据!$B$8)</f>
        <v/>
      </c>
      <c r="AA54" s="12" t="str">
        <f aca="false">IF(OR(I54="",M54="",M54&lt;I54),"",M54-I54)</f>
        <v/>
      </c>
      <c r="AB54" s="9" t="str">
        <f aca="false">IF(OR(A54="",多次统计数据!$B$8="",多次统计数据!$B$6&lt;=0,多次统计数据!$B$6&gt;=1),"",1-POWER(1+多次统计数据!$B$8,-多次统计数据!$B$6/(1-多次统计数据!$B$6)))</f>
        <v/>
      </c>
      <c r="AC54" s="7" t="str">
        <f aca="false">IF(OR(AB54="",多次统计数据!$B$9=""),"",IF(多次统计数据!$B$9&lt;AB54,"低于上限","达到或超过上限"))</f>
        <v/>
      </c>
      <c r="AD54" s="4"/>
      <c r="AE54" s="9" t="str">
        <f aca="false">IF(OR(X54="",C54="",C54&lt;=0),"",X54/C54)</f>
        <v/>
      </c>
      <c r="AG54" s="4"/>
      <c r="AH54" s="4"/>
      <c r="AI54" s="4"/>
      <c r="AJ54" s="7" t="str">
        <f aca="false">IF(OR(AG54="",AH54=""),"",IF(OR(AND(AG54="短期博反弹",OR(AH54="1～3个交易日",AH54="4～10个交易日")),AND(AG54="突破冲新高",OR(AH54="4～10个交易日",AH54="11～20个交易日")),AND(AG54="趋势波段",OR(AH54="11～20个交易日",AH54="21～60个交易日",AH54="60个交易日以上"))),"匹配","周期与交易预期不匹配，请重新确认"))</f>
        <v/>
      </c>
      <c r="AK54" s="13" t="str">
        <f aca="false">IF(A54="","",COUNTIFS(加仓管理!$A$2:$A$1001,A54,加仓管理!$G$2:$G$1001,"&gt;0"))</f>
        <v/>
      </c>
      <c r="AL54" s="13" t="str">
        <f aca="false">IF(A54="","",SUMIFS(加仓管理!$G$2:$G$1001,加仓管理!$A$2:$A$1001,A54))</f>
        <v/>
      </c>
      <c r="AM54" s="14" t="str">
        <f aca="false">IF(AK54=0,"",IFERROR(LOOKUP(2,1/((加仓管理!$A$2:$A$1001=A54)*(加仓管理!$G$2:$G$1001&gt;0)),加仓管理!$D$2:$D$1001),""))</f>
        <v/>
      </c>
      <c r="AN54" s="14" t="str">
        <f aca="false">IF(AK54=0,"",IFERROR(LOOKUP(2,1/((加仓管理!$A$2:$A$1001=A54)*(加仓管理!$G$2:$G$1001&gt;0)),加仓管理!$E$2:$E$1001),""))</f>
        <v/>
      </c>
      <c r="AO54" s="14" t="str">
        <f aca="false">IF(OR(A54="",H54="",H54&lt;=0),"",(E54*H54+SUMIFS(加仓管理!$H$2:$H$1001,加仓管理!$A$2:$A$1001,A54))/AP54)</f>
        <v/>
      </c>
      <c r="AP54" s="13" t="str">
        <f aca="false">IF(OR(A54="",H54="",H54&lt;=0),"",H54+AL54)</f>
        <v/>
      </c>
      <c r="AQ54" s="14" t="str">
        <f aca="false">IF(A54="","",IF(M54&lt;&gt;"",0,IF(OR(H54="",N54=""),"",MAX((E54*H54+SUMIFS(加仓管理!$H$2:$H$1001,加仓管理!$A$2:$A$1001,A54))-MAX(N54,AN54)*AP54,0))))</f>
        <v/>
      </c>
      <c r="AR54" s="15" t="str">
        <f aca="false">IF(A54="","",IF(OR(E54="",H54=""),"违规：首次买入价格或股数缺失",IF(COUNTIFS(加仓管理!$A$2:$A$1001,A54,加仓管理!$R$2:$R$1001,"违规*")&gt;0,"违规：请检查加仓管理表",IF(SUM($AQ$2:$AQ$201)&gt;账户数据!$B$7,"预警：超过账户风险上限",IF(COUNTIFS(加仓管理!$A$2:$A$1001,A54,加仓管理!$N$2:$N$1001,"&gt;0",加仓管理!$G$2:$G$1001,"")&gt;0,"提示：存在待执行加仓计划","通过")))))</f>
        <v/>
      </c>
    </row>
    <row r="55" customFormat="false" ht="13.5" hidden="false" customHeight="false" outlineLevel="0" collapsed="false">
      <c r="A55" s="4"/>
      <c r="B55" s="4"/>
      <c r="C55" s="5"/>
      <c r="D55" s="6"/>
      <c r="E55" s="5"/>
      <c r="F55" s="7" t="str">
        <f aca="false">IF(OR(C55="",D55="",E55="",N55="",C55&lt;=0,D55&lt;=0,E55&lt;=N55),"",ROUNDDOWN((C55*D55)/(E55-N55)/100,0)*100)</f>
        <v/>
      </c>
      <c r="G55" s="7" t="str">
        <f aca="false">IF(A55="","",IF(H55&lt;&gt;"","已开仓",IF(账户数据!$B$23="已锁仓","禁止开仓：连续亏损达到上限",IF(账户数据!$B$23="解锁信息不完整","禁止开仓：请完整填写解锁信息",IF(OR(F55="",E55="",N55="",E55&lt;=N55,账户数据!$B$7=""),"",IF(OR(AG55="",AH55="",AI55=""),"禁止开仓：交易预期未填写完整",IF(账户数据!$B$9+F55*(E55-N55)&gt;=账户数据!$B$7,"禁止开仓：风险额度不足",IF(AJ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5" s="4"/>
      <c r="I55" s="8"/>
      <c r="J55" s="5"/>
      <c r="K55" s="5"/>
      <c r="L55" s="7" t="str">
        <f aca="false">IF(AP55="","",AP55)</f>
        <v/>
      </c>
      <c r="M55" s="8"/>
      <c r="N55" s="5"/>
      <c r="O55" s="5"/>
      <c r="P55" s="5"/>
      <c r="Q55" s="4"/>
      <c r="R55" s="4"/>
      <c r="S55" s="4"/>
      <c r="T55" s="4"/>
      <c r="U55" s="9" t="str">
        <f aca="false">IF(OR(AO55="",J55="",AO55&lt;=0),"",(J55-AO55)/AO55)</f>
        <v/>
      </c>
      <c r="V55" s="9" t="str">
        <f aca="false">IF(OR(AO55="",N55="",AO55&lt;=0),"",(AO55-N55)/AO55)</f>
        <v/>
      </c>
      <c r="W55" s="10" t="str">
        <f aca="false">IF(OR(U55="",V55="",V55&lt;=0),"",U55/V55)</f>
        <v/>
      </c>
      <c r="X55" s="11" t="str">
        <f aca="false">IF(OR(K55="",L55="",AO55="",AP55=""),"",(K55-AO55)*L55-IF(O55="",0,O55)-IF(P55="",0,P55))</f>
        <v/>
      </c>
      <c r="Y55" s="9" t="str">
        <f aca="false">IF(OR(X55="",AO55="",L55=""),"",IF(AO55*L55+IF(O55="",0,O55)&lt;=0,"",X55/(AO55*L55+IF(O55="",0,O55))))</f>
        <v/>
      </c>
      <c r="Z55" s="9" t="str">
        <f aca="false">IF(OR(AE55="",多次统计数据!$B$8=""),"",AE55-多次统计数据!$B$8)</f>
        <v/>
      </c>
      <c r="AA55" s="12" t="str">
        <f aca="false">IF(OR(I55="",M55="",M55&lt;I55),"",M55-I55)</f>
        <v/>
      </c>
      <c r="AB55" s="9" t="str">
        <f aca="false">IF(OR(A55="",多次统计数据!$B$8="",多次统计数据!$B$6&lt;=0,多次统计数据!$B$6&gt;=1),"",1-POWER(1+多次统计数据!$B$8,-多次统计数据!$B$6/(1-多次统计数据!$B$6)))</f>
        <v/>
      </c>
      <c r="AC55" s="7" t="str">
        <f aca="false">IF(OR(AB55="",多次统计数据!$B$9=""),"",IF(多次统计数据!$B$9&lt;AB55,"低于上限","达到或超过上限"))</f>
        <v/>
      </c>
      <c r="AD55" s="4"/>
      <c r="AE55" s="9" t="str">
        <f aca="false">IF(OR(X55="",C55="",C55&lt;=0),"",X55/C55)</f>
        <v/>
      </c>
      <c r="AG55" s="4"/>
      <c r="AH55" s="4"/>
      <c r="AI55" s="4"/>
      <c r="AJ55" s="7" t="str">
        <f aca="false">IF(OR(AG55="",AH55=""),"",IF(OR(AND(AG55="短期博反弹",OR(AH55="1～3个交易日",AH55="4～10个交易日")),AND(AG55="突破冲新高",OR(AH55="4～10个交易日",AH55="11～20个交易日")),AND(AG55="趋势波段",OR(AH55="11～20个交易日",AH55="21～60个交易日",AH55="60个交易日以上"))),"匹配","周期与交易预期不匹配，请重新确认"))</f>
        <v/>
      </c>
      <c r="AK55" s="13" t="str">
        <f aca="false">IF(A55="","",COUNTIFS(加仓管理!$A$2:$A$1001,A55,加仓管理!$G$2:$G$1001,"&gt;0"))</f>
        <v/>
      </c>
      <c r="AL55" s="13" t="str">
        <f aca="false">IF(A55="","",SUMIFS(加仓管理!$G$2:$G$1001,加仓管理!$A$2:$A$1001,A55))</f>
        <v/>
      </c>
      <c r="AM55" s="14" t="str">
        <f aca="false">IF(AK55=0,"",IFERROR(LOOKUP(2,1/((加仓管理!$A$2:$A$1001=A55)*(加仓管理!$G$2:$G$1001&gt;0)),加仓管理!$D$2:$D$1001),""))</f>
        <v/>
      </c>
      <c r="AN55" s="14" t="str">
        <f aca="false">IF(AK55=0,"",IFERROR(LOOKUP(2,1/((加仓管理!$A$2:$A$1001=A55)*(加仓管理!$G$2:$G$1001&gt;0)),加仓管理!$E$2:$E$1001),""))</f>
        <v/>
      </c>
      <c r="AO55" s="14" t="str">
        <f aca="false">IF(OR(A55="",H55="",H55&lt;=0),"",(E55*H55+SUMIFS(加仓管理!$H$2:$H$1001,加仓管理!$A$2:$A$1001,A55))/AP55)</f>
        <v/>
      </c>
      <c r="AP55" s="13" t="str">
        <f aca="false">IF(OR(A55="",H55="",H55&lt;=0),"",H55+AL55)</f>
        <v/>
      </c>
      <c r="AQ55" s="14" t="str">
        <f aca="false">IF(A55="","",IF(M55&lt;&gt;"",0,IF(OR(H55="",N55=""),"",MAX((E55*H55+SUMIFS(加仓管理!$H$2:$H$1001,加仓管理!$A$2:$A$1001,A55))-MAX(N55,AN55)*AP55,0))))</f>
        <v/>
      </c>
      <c r="AR55" s="15" t="str">
        <f aca="false">IF(A55="","",IF(OR(E55="",H55=""),"违规：首次买入价格或股数缺失",IF(COUNTIFS(加仓管理!$A$2:$A$1001,A55,加仓管理!$R$2:$R$1001,"违规*")&gt;0,"违规：请检查加仓管理表",IF(SUM($AQ$2:$AQ$201)&gt;账户数据!$B$7,"预警：超过账户风险上限",IF(COUNTIFS(加仓管理!$A$2:$A$1001,A55,加仓管理!$N$2:$N$1001,"&gt;0",加仓管理!$G$2:$G$1001,"")&gt;0,"提示：存在待执行加仓计划","通过")))))</f>
        <v/>
      </c>
    </row>
    <row r="56" customFormat="false" ht="13.5" hidden="false" customHeight="false" outlineLevel="0" collapsed="false">
      <c r="A56" s="4"/>
      <c r="B56" s="4"/>
      <c r="C56" s="5"/>
      <c r="D56" s="6"/>
      <c r="E56" s="5"/>
      <c r="F56" s="7" t="str">
        <f aca="false">IF(OR(C56="",D56="",E56="",N56="",C56&lt;=0,D56&lt;=0,E56&lt;=N56),"",ROUNDDOWN((C56*D56)/(E56-N56)/100,0)*100)</f>
        <v/>
      </c>
      <c r="G56" s="7" t="str">
        <f aca="false">IF(A56="","",IF(H56&lt;&gt;"","已开仓",IF(账户数据!$B$23="已锁仓","禁止开仓：连续亏损达到上限",IF(账户数据!$B$23="解锁信息不完整","禁止开仓：请完整填写解锁信息",IF(OR(F56="",E56="",N56="",E56&lt;=N56,账户数据!$B$7=""),"",IF(OR(AG56="",AH56="",AI56=""),"禁止开仓：交易预期未填写完整",IF(账户数据!$B$9+F56*(E56-N56)&gt;=账户数据!$B$7,"禁止开仓：风险额度不足",IF(AJ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6" s="4"/>
      <c r="I56" s="8"/>
      <c r="J56" s="5"/>
      <c r="K56" s="5"/>
      <c r="L56" s="7" t="str">
        <f aca="false">IF(AP56="","",AP56)</f>
        <v/>
      </c>
      <c r="M56" s="8"/>
      <c r="N56" s="5"/>
      <c r="O56" s="5"/>
      <c r="P56" s="5"/>
      <c r="Q56" s="4"/>
      <c r="R56" s="4"/>
      <c r="S56" s="4"/>
      <c r="T56" s="4"/>
      <c r="U56" s="9" t="str">
        <f aca="false">IF(OR(AO56="",J56="",AO56&lt;=0),"",(J56-AO56)/AO56)</f>
        <v/>
      </c>
      <c r="V56" s="9" t="str">
        <f aca="false">IF(OR(AO56="",N56="",AO56&lt;=0),"",(AO56-N56)/AO56)</f>
        <v/>
      </c>
      <c r="W56" s="10" t="str">
        <f aca="false">IF(OR(U56="",V56="",V56&lt;=0),"",U56/V56)</f>
        <v/>
      </c>
      <c r="X56" s="11" t="str">
        <f aca="false">IF(OR(K56="",L56="",AO56="",AP56=""),"",(K56-AO56)*L56-IF(O56="",0,O56)-IF(P56="",0,P56))</f>
        <v/>
      </c>
      <c r="Y56" s="9" t="str">
        <f aca="false">IF(OR(X56="",AO56="",L56=""),"",IF(AO56*L56+IF(O56="",0,O56)&lt;=0,"",X56/(AO56*L56+IF(O56="",0,O56))))</f>
        <v/>
      </c>
      <c r="Z56" s="9" t="str">
        <f aca="false">IF(OR(AE56="",多次统计数据!$B$8=""),"",AE56-多次统计数据!$B$8)</f>
        <v/>
      </c>
      <c r="AA56" s="12" t="str">
        <f aca="false">IF(OR(I56="",M56="",M56&lt;I56),"",M56-I56)</f>
        <v/>
      </c>
      <c r="AB56" s="9" t="str">
        <f aca="false">IF(OR(A56="",多次统计数据!$B$8="",多次统计数据!$B$6&lt;=0,多次统计数据!$B$6&gt;=1),"",1-POWER(1+多次统计数据!$B$8,-多次统计数据!$B$6/(1-多次统计数据!$B$6)))</f>
        <v/>
      </c>
      <c r="AC56" s="7" t="str">
        <f aca="false">IF(OR(AB56="",多次统计数据!$B$9=""),"",IF(多次统计数据!$B$9&lt;AB56,"低于上限","达到或超过上限"))</f>
        <v/>
      </c>
      <c r="AD56" s="4"/>
      <c r="AE56" s="9" t="str">
        <f aca="false">IF(OR(X56="",C56="",C56&lt;=0),"",X56/C56)</f>
        <v/>
      </c>
      <c r="AG56" s="4"/>
      <c r="AH56" s="4"/>
      <c r="AI56" s="4"/>
      <c r="AJ56" s="7" t="str">
        <f aca="false">IF(OR(AG56="",AH56=""),"",IF(OR(AND(AG56="短期博反弹",OR(AH56="1～3个交易日",AH56="4～10个交易日")),AND(AG56="突破冲新高",OR(AH56="4～10个交易日",AH56="11～20个交易日")),AND(AG56="趋势波段",OR(AH56="11～20个交易日",AH56="21～60个交易日",AH56="60个交易日以上"))),"匹配","周期与交易预期不匹配，请重新确认"))</f>
        <v/>
      </c>
      <c r="AK56" s="13" t="str">
        <f aca="false">IF(A56="","",COUNTIFS(加仓管理!$A$2:$A$1001,A56,加仓管理!$G$2:$G$1001,"&gt;0"))</f>
        <v/>
      </c>
      <c r="AL56" s="13" t="str">
        <f aca="false">IF(A56="","",SUMIFS(加仓管理!$G$2:$G$1001,加仓管理!$A$2:$A$1001,A56))</f>
        <v/>
      </c>
      <c r="AM56" s="14" t="str">
        <f aca="false">IF(AK56=0,"",IFERROR(LOOKUP(2,1/((加仓管理!$A$2:$A$1001=A56)*(加仓管理!$G$2:$G$1001&gt;0)),加仓管理!$D$2:$D$1001),""))</f>
        <v/>
      </c>
      <c r="AN56" s="14" t="str">
        <f aca="false">IF(AK56=0,"",IFERROR(LOOKUP(2,1/((加仓管理!$A$2:$A$1001=A56)*(加仓管理!$G$2:$G$1001&gt;0)),加仓管理!$E$2:$E$1001),""))</f>
        <v/>
      </c>
      <c r="AO56" s="14" t="str">
        <f aca="false">IF(OR(A56="",H56="",H56&lt;=0),"",(E56*H56+SUMIFS(加仓管理!$H$2:$H$1001,加仓管理!$A$2:$A$1001,A56))/AP56)</f>
        <v/>
      </c>
      <c r="AP56" s="13" t="str">
        <f aca="false">IF(OR(A56="",H56="",H56&lt;=0),"",H56+AL56)</f>
        <v/>
      </c>
      <c r="AQ56" s="14" t="str">
        <f aca="false">IF(A56="","",IF(M56&lt;&gt;"",0,IF(OR(H56="",N56=""),"",MAX((E56*H56+SUMIFS(加仓管理!$H$2:$H$1001,加仓管理!$A$2:$A$1001,A56))-MAX(N56,AN56)*AP56,0))))</f>
        <v/>
      </c>
      <c r="AR56" s="15" t="str">
        <f aca="false">IF(A56="","",IF(OR(E56="",H56=""),"违规：首次买入价格或股数缺失",IF(COUNTIFS(加仓管理!$A$2:$A$1001,A56,加仓管理!$R$2:$R$1001,"违规*")&gt;0,"违规：请检查加仓管理表",IF(SUM($AQ$2:$AQ$201)&gt;账户数据!$B$7,"预警：超过账户风险上限",IF(COUNTIFS(加仓管理!$A$2:$A$1001,A56,加仓管理!$N$2:$N$1001,"&gt;0",加仓管理!$G$2:$G$1001,"")&gt;0,"提示：存在待执行加仓计划","通过")))))</f>
        <v/>
      </c>
    </row>
    <row r="57" customFormat="false" ht="13.5" hidden="false" customHeight="false" outlineLevel="0" collapsed="false">
      <c r="A57" s="4"/>
      <c r="B57" s="4"/>
      <c r="C57" s="5"/>
      <c r="D57" s="6"/>
      <c r="E57" s="5"/>
      <c r="F57" s="7" t="str">
        <f aca="false">IF(OR(C57="",D57="",E57="",N57="",C57&lt;=0,D57&lt;=0,E57&lt;=N57),"",ROUNDDOWN((C57*D57)/(E57-N57)/100,0)*100)</f>
        <v/>
      </c>
      <c r="G57" s="7" t="str">
        <f aca="false">IF(A57="","",IF(H57&lt;&gt;"","已开仓",IF(账户数据!$B$23="已锁仓","禁止开仓：连续亏损达到上限",IF(账户数据!$B$23="解锁信息不完整","禁止开仓：请完整填写解锁信息",IF(OR(F57="",E57="",N57="",E57&lt;=N57,账户数据!$B$7=""),"",IF(OR(AG57="",AH57="",AI57=""),"禁止开仓：交易预期未填写完整",IF(账户数据!$B$9+F57*(E57-N57)&gt;=账户数据!$B$7,"禁止开仓：风险额度不足",IF(AJ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7" s="4"/>
      <c r="I57" s="8"/>
      <c r="J57" s="5"/>
      <c r="K57" s="5"/>
      <c r="L57" s="7" t="str">
        <f aca="false">IF(AP57="","",AP57)</f>
        <v/>
      </c>
      <c r="M57" s="8"/>
      <c r="N57" s="5"/>
      <c r="O57" s="5"/>
      <c r="P57" s="5"/>
      <c r="Q57" s="4"/>
      <c r="R57" s="4"/>
      <c r="S57" s="4"/>
      <c r="T57" s="4"/>
      <c r="U57" s="9" t="str">
        <f aca="false">IF(OR(AO57="",J57="",AO57&lt;=0),"",(J57-AO57)/AO57)</f>
        <v/>
      </c>
      <c r="V57" s="9" t="str">
        <f aca="false">IF(OR(AO57="",N57="",AO57&lt;=0),"",(AO57-N57)/AO57)</f>
        <v/>
      </c>
      <c r="W57" s="10" t="str">
        <f aca="false">IF(OR(U57="",V57="",V57&lt;=0),"",U57/V57)</f>
        <v/>
      </c>
      <c r="X57" s="11" t="str">
        <f aca="false">IF(OR(K57="",L57="",AO57="",AP57=""),"",(K57-AO57)*L57-IF(O57="",0,O57)-IF(P57="",0,P57))</f>
        <v/>
      </c>
      <c r="Y57" s="9" t="str">
        <f aca="false">IF(OR(X57="",AO57="",L57=""),"",IF(AO57*L57+IF(O57="",0,O57)&lt;=0,"",X57/(AO57*L57+IF(O57="",0,O57))))</f>
        <v/>
      </c>
      <c r="Z57" s="9" t="str">
        <f aca="false">IF(OR(AE57="",多次统计数据!$B$8=""),"",AE57-多次统计数据!$B$8)</f>
        <v/>
      </c>
      <c r="AA57" s="12" t="str">
        <f aca="false">IF(OR(I57="",M57="",M57&lt;I57),"",M57-I57)</f>
        <v/>
      </c>
      <c r="AB57" s="9" t="str">
        <f aca="false">IF(OR(A57="",多次统计数据!$B$8="",多次统计数据!$B$6&lt;=0,多次统计数据!$B$6&gt;=1),"",1-POWER(1+多次统计数据!$B$8,-多次统计数据!$B$6/(1-多次统计数据!$B$6)))</f>
        <v/>
      </c>
      <c r="AC57" s="7" t="str">
        <f aca="false">IF(OR(AB57="",多次统计数据!$B$9=""),"",IF(多次统计数据!$B$9&lt;AB57,"低于上限","达到或超过上限"))</f>
        <v/>
      </c>
      <c r="AD57" s="4"/>
      <c r="AE57" s="9" t="str">
        <f aca="false">IF(OR(X57="",C57="",C57&lt;=0),"",X57/C57)</f>
        <v/>
      </c>
      <c r="AG57" s="4"/>
      <c r="AH57" s="4"/>
      <c r="AI57" s="4"/>
      <c r="AJ57" s="7" t="str">
        <f aca="false">IF(OR(AG57="",AH57=""),"",IF(OR(AND(AG57="短期博反弹",OR(AH57="1～3个交易日",AH57="4～10个交易日")),AND(AG57="突破冲新高",OR(AH57="4～10个交易日",AH57="11～20个交易日")),AND(AG57="趋势波段",OR(AH57="11～20个交易日",AH57="21～60个交易日",AH57="60个交易日以上"))),"匹配","周期与交易预期不匹配，请重新确认"))</f>
        <v/>
      </c>
      <c r="AK57" s="13" t="str">
        <f aca="false">IF(A57="","",COUNTIFS(加仓管理!$A$2:$A$1001,A57,加仓管理!$G$2:$G$1001,"&gt;0"))</f>
        <v/>
      </c>
      <c r="AL57" s="13" t="str">
        <f aca="false">IF(A57="","",SUMIFS(加仓管理!$G$2:$G$1001,加仓管理!$A$2:$A$1001,A57))</f>
        <v/>
      </c>
      <c r="AM57" s="14" t="str">
        <f aca="false">IF(AK57=0,"",IFERROR(LOOKUP(2,1/((加仓管理!$A$2:$A$1001=A57)*(加仓管理!$G$2:$G$1001&gt;0)),加仓管理!$D$2:$D$1001),""))</f>
        <v/>
      </c>
      <c r="AN57" s="14" t="str">
        <f aca="false">IF(AK57=0,"",IFERROR(LOOKUP(2,1/((加仓管理!$A$2:$A$1001=A57)*(加仓管理!$G$2:$G$1001&gt;0)),加仓管理!$E$2:$E$1001),""))</f>
        <v/>
      </c>
      <c r="AO57" s="14" t="str">
        <f aca="false">IF(OR(A57="",H57="",H57&lt;=0),"",(E57*H57+SUMIFS(加仓管理!$H$2:$H$1001,加仓管理!$A$2:$A$1001,A57))/AP57)</f>
        <v/>
      </c>
      <c r="AP57" s="13" t="str">
        <f aca="false">IF(OR(A57="",H57="",H57&lt;=0),"",H57+AL57)</f>
        <v/>
      </c>
      <c r="AQ57" s="14" t="str">
        <f aca="false">IF(A57="","",IF(M57&lt;&gt;"",0,IF(OR(H57="",N57=""),"",MAX((E57*H57+SUMIFS(加仓管理!$H$2:$H$1001,加仓管理!$A$2:$A$1001,A57))-MAX(N57,AN57)*AP57,0))))</f>
        <v/>
      </c>
      <c r="AR57" s="15" t="str">
        <f aca="false">IF(A57="","",IF(OR(E57="",H57=""),"违规：首次买入价格或股数缺失",IF(COUNTIFS(加仓管理!$A$2:$A$1001,A57,加仓管理!$R$2:$R$1001,"违规*")&gt;0,"违规：请检查加仓管理表",IF(SUM($AQ$2:$AQ$201)&gt;账户数据!$B$7,"预警：超过账户风险上限",IF(COUNTIFS(加仓管理!$A$2:$A$1001,A57,加仓管理!$N$2:$N$1001,"&gt;0",加仓管理!$G$2:$G$1001,"")&gt;0,"提示：存在待执行加仓计划","通过")))))</f>
        <v/>
      </c>
    </row>
    <row r="58" customFormat="false" ht="13.5" hidden="false" customHeight="false" outlineLevel="0" collapsed="false">
      <c r="A58" s="4"/>
      <c r="B58" s="4"/>
      <c r="C58" s="5"/>
      <c r="D58" s="6"/>
      <c r="E58" s="5"/>
      <c r="F58" s="7" t="str">
        <f aca="false">IF(OR(C58="",D58="",E58="",N58="",C58&lt;=0,D58&lt;=0,E58&lt;=N58),"",ROUNDDOWN((C58*D58)/(E58-N58)/100,0)*100)</f>
        <v/>
      </c>
      <c r="G58" s="7" t="str">
        <f aca="false">IF(A58="","",IF(H58&lt;&gt;"","已开仓",IF(账户数据!$B$23="已锁仓","禁止开仓：连续亏损达到上限",IF(账户数据!$B$23="解锁信息不完整","禁止开仓：请完整填写解锁信息",IF(OR(F58="",E58="",N58="",E58&lt;=N58,账户数据!$B$7=""),"",IF(OR(AG58="",AH58="",AI58=""),"禁止开仓：交易预期未填写完整",IF(账户数据!$B$9+F58*(E58-N58)&gt;=账户数据!$B$7,"禁止开仓：风险额度不足",IF(AJ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8" s="4"/>
      <c r="I58" s="8"/>
      <c r="J58" s="5"/>
      <c r="K58" s="5"/>
      <c r="L58" s="7" t="str">
        <f aca="false">IF(AP58="","",AP58)</f>
        <v/>
      </c>
      <c r="M58" s="8"/>
      <c r="N58" s="5"/>
      <c r="O58" s="5"/>
      <c r="P58" s="5"/>
      <c r="Q58" s="4"/>
      <c r="R58" s="4"/>
      <c r="S58" s="4"/>
      <c r="T58" s="4"/>
      <c r="U58" s="9" t="str">
        <f aca="false">IF(OR(AO58="",J58="",AO58&lt;=0),"",(J58-AO58)/AO58)</f>
        <v/>
      </c>
      <c r="V58" s="9" t="str">
        <f aca="false">IF(OR(AO58="",N58="",AO58&lt;=0),"",(AO58-N58)/AO58)</f>
        <v/>
      </c>
      <c r="W58" s="10" t="str">
        <f aca="false">IF(OR(U58="",V58="",V58&lt;=0),"",U58/V58)</f>
        <v/>
      </c>
      <c r="X58" s="11" t="str">
        <f aca="false">IF(OR(K58="",L58="",AO58="",AP58=""),"",(K58-AO58)*L58-IF(O58="",0,O58)-IF(P58="",0,P58))</f>
        <v/>
      </c>
      <c r="Y58" s="9" t="str">
        <f aca="false">IF(OR(X58="",AO58="",L58=""),"",IF(AO58*L58+IF(O58="",0,O58)&lt;=0,"",X58/(AO58*L58+IF(O58="",0,O58))))</f>
        <v/>
      </c>
      <c r="Z58" s="9" t="str">
        <f aca="false">IF(OR(AE58="",多次统计数据!$B$8=""),"",AE58-多次统计数据!$B$8)</f>
        <v/>
      </c>
      <c r="AA58" s="12" t="str">
        <f aca="false">IF(OR(I58="",M58="",M58&lt;I58),"",M58-I58)</f>
        <v/>
      </c>
      <c r="AB58" s="9" t="str">
        <f aca="false">IF(OR(A58="",多次统计数据!$B$8="",多次统计数据!$B$6&lt;=0,多次统计数据!$B$6&gt;=1),"",1-POWER(1+多次统计数据!$B$8,-多次统计数据!$B$6/(1-多次统计数据!$B$6)))</f>
        <v/>
      </c>
      <c r="AC58" s="7" t="str">
        <f aca="false">IF(OR(AB58="",多次统计数据!$B$9=""),"",IF(多次统计数据!$B$9&lt;AB58,"低于上限","达到或超过上限"))</f>
        <v/>
      </c>
      <c r="AD58" s="4"/>
      <c r="AE58" s="9" t="str">
        <f aca="false">IF(OR(X58="",C58="",C58&lt;=0),"",X58/C58)</f>
        <v/>
      </c>
      <c r="AG58" s="4"/>
      <c r="AH58" s="4"/>
      <c r="AI58" s="4"/>
      <c r="AJ58" s="7" t="str">
        <f aca="false">IF(OR(AG58="",AH58=""),"",IF(OR(AND(AG58="短期博反弹",OR(AH58="1～3个交易日",AH58="4～10个交易日")),AND(AG58="突破冲新高",OR(AH58="4～10个交易日",AH58="11～20个交易日")),AND(AG58="趋势波段",OR(AH58="11～20个交易日",AH58="21～60个交易日",AH58="60个交易日以上"))),"匹配","周期与交易预期不匹配，请重新确认"))</f>
        <v/>
      </c>
      <c r="AK58" s="13" t="str">
        <f aca="false">IF(A58="","",COUNTIFS(加仓管理!$A$2:$A$1001,A58,加仓管理!$G$2:$G$1001,"&gt;0"))</f>
        <v/>
      </c>
      <c r="AL58" s="13" t="str">
        <f aca="false">IF(A58="","",SUMIFS(加仓管理!$G$2:$G$1001,加仓管理!$A$2:$A$1001,A58))</f>
        <v/>
      </c>
      <c r="AM58" s="14" t="str">
        <f aca="false">IF(AK58=0,"",IFERROR(LOOKUP(2,1/((加仓管理!$A$2:$A$1001=A58)*(加仓管理!$G$2:$G$1001&gt;0)),加仓管理!$D$2:$D$1001),""))</f>
        <v/>
      </c>
      <c r="AN58" s="14" t="str">
        <f aca="false">IF(AK58=0,"",IFERROR(LOOKUP(2,1/((加仓管理!$A$2:$A$1001=A58)*(加仓管理!$G$2:$G$1001&gt;0)),加仓管理!$E$2:$E$1001),""))</f>
        <v/>
      </c>
      <c r="AO58" s="14" t="str">
        <f aca="false">IF(OR(A58="",H58="",H58&lt;=0),"",(E58*H58+SUMIFS(加仓管理!$H$2:$H$1001,加仓管理!$A$2:$A$1001,A58))/AP58)</f>
        <v/>
      </c>
      <c r="AP58" s="13" t="str">
        <f aca="false">IF(OR(A58="",H58="",H58&lt;=0),"",H58+AL58)</f>
        <v/>
      </c>
      <c r="AQ58" s="14" t="str">
        <f aca="false">IF(A58="","",IF(M58&lt;&gt;"",0,IF(OR(H58="",N58=""),"",MAX((E58*H58+SUMIFS(加仓管理!$H$2:$H$1001,加仓管理!$A$2:$A$1001,A58))-MAX(N58,AN58)*AP58,0))))</f>
        <v/>
      </c>
      <c r="AR58" s="15" t="str">
        <f aca="false">IF(A58="","",IF(OR(E58="",H58=""),"违规：首次买入价格或股数缺失",IF(COUNTIFS(加仓管理!$A$2:$A$1001,A58,加仓管理!$R$2:$R$1001,"违规*")&gt;0,"违规：请检查加仓管理表",IF(SUM($AQ$2:$AQ$201)&gt;账户数据!$B$7,"预警：超过账户风险上限",IF(COUNTIFS(加仓管理!$A$2:$A$1001,A58,加仓管理!$N$2:$N$1001,"&gt;0",加仓管理!$G$2:$G$1001,"")&gt;0,"提示：存在待执行加仓计划","通过")))))</f>
        <v/>
      </c>
    </row>
    <row r="59" customFormat="false" ht="13.5" hidden="false" customHeight="false" outlineLevel="0" collapsed="false">
      <c r="A59" s="4"/>
      <c r="B59" s="4"/>
      <c r="C59" s="5"/>
      <c r="D59" s="6"/>
      <c r="E59" s="5"/>
      <c r="F59" s="7" t="str">
        <f aca="false">IF(OR(C59="",D59="",E59="",N59="",C59&lt;=0,D59&lt;=0,E59&lt;=N59),"",ROUNDDOWN((C59*D59)/(E59-N59)/100,0)*100)</f>
        <v/>
      </c>
      <c r="G59" s="7" t="str">
        <f aca="false">IF(A59="","",IF(H59&lt;&gt;"","已开仓",IF(账户数据!$B$23="已锁仓","禁止开仓：连续亏损达到上限",IF(账户数据!$B$23="解锁信息不完整","禁止开仓：请完整填写解锁信息",IF(OR(F59="",E59="",N59="",E59&lt;=N59,账户数据!$B$7=""),"",IF(OR(AG59="",AH59="",AI59=""),"禁止开仓：交易预期未填写完整",IF(账户数据!$B$9+F59*(E59-N59)&gt;=账户数据!$B$7,"禁止开仓：风险额度不足",IF(AJ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9" s="4"/>
      <c r="I59" s="8"/>
      <c r="J59" s="5"/>
      <c r="K59" s="5"/>
      <c r="L59" s="7" t="str">
        <f aca="false">IF(AP59="","",AP59)</f>
        <v/>
      </c>
      <c r="M59" s="8"/>
      <c r="N59" s="5"/>
      <c r="O59" s="5"/>
      <c r="P59" s="5"/>
      <c r="Q59" s="4"/>
      <c r="R59" s="4"/>
      <c r="S59" s="4"/>
      <c r="T59" s="4"/>
      <c r="U59" s="9" t="str">
        <f aca="false">IF(OR(AO59="",J59="",AO59&lt;=0),"",(J59-AO59)/AO59)</f>
        <v/>
      </c>
      <c r="V59" s="9" t="str">
        <f aca="false">IF(OR(AO59="",N59="",AO59&lt;=0),"",(AO59-N59)/AO59)</f>
        <v/>
      </c>
      <c r="W59" s="10" t="str">
        <f aca="false">IF(OR(U59="",V59="",V59&lt;=0),"",U59/V59)</f>
        <v/>
      </c>
      <c r="X59" s="11" t="str">
        <f aca="false">IF(OR(K59="",L59="",AO59="",AP59=""),"",(K59-AO59)*L59-IF(O59="",0,O59)-IF(P59="",0,P59))</f>
        <v/>
      </c>
      <c r="Y59" s="9" t="str">
        <f aca="false">IF(OR(X59="",AO59="",L59=""),"",IF(AO59*L59+IF(O59="",0,O59)&lt;=0,"",X59/(AO59*L59+IF(O59="",0,O59))))</f>
        <v/>
      </c>
      <c r="Z59" s="9" t="str">
        <f aca="false">IF(OR(AE59="",多次统计数据!$B$8=""),"",AE59-多次统计数据!$B$8)</f>
        <v/>
      </c>
      <c r="AA59" s="12" t="str">
        <f aca="false">IF(OR(I59="",M59="",M59&lt;I59),"",M59-I59)</f>
        <v/>
      </c>
      <c r="AB59" s="9" t="str">
        <f aca="false">IF(OR(A59="",多次统计数据!$B$8="",多次统计数据!$B$6&lt;=0,多次统计数据!$B$6&gt;=1),"",1-POWER(1+多次统计数据!$B$8,-多次统计数据!$B$6/(1-多次统计数据!$B$6)))</f>
        <v/>
      </c>
      <c r="AC59" s="7" t="str">
        <f aca="false">IF(OR(AB59="",多次统计数据!$B$9=""),"",IF(多次统计数据!$B$9&lt;AB59,"低于上限","达到或超过上限"))</f>
        <v/>
      </c>
      <c r="AD59" s="4"/>
      <c r="AE59" s="9" t="str">
        <f aca="false">IF(OR(X59="",C59="",C59&lt;=0),"",X59/C59)</f>
        <v/>
      </c>
      <c r="AG59" s="4"/>
      <c r="AH59" s="4"/>
      <c r="AI59" s="4"/>
      <c r="AJ59" s="7" t="str">
        <f aca="false">IF(OR(AG59="",AH59=""),"",IF(OR(AND(AG59="短期博反弹",OR(AH59="1～3个交易日",AH59="4～10个交易日")),AND(AG59="突破冲新高",OR(AH59="4～10个交易日",AH59="11～20个交易日")),AND(AG59="趋势波段",OR(AH59="11～20个交易日",AH59="21～60个交易日",AH59="60个交易日以上"))),"匹配","周期与交易预期不匹配，请重新确认"))</f>
        <v/>
      </c>
      <c r="AK59" s="13" t="str">
        <f aca="false">IF(A59="","",COUNTIFS(加仓管理!$A$2:$A$1001,A59,加仓管理!$G$2:$G$1001,"&gt;0"))</f>
        <v/>
      </c>
      <c r="AL59" s="13" t="str">
        <f aca="false">IF(A59="","",SUMIFS(加仓管理!$G$2:$G$1001,加仓管理!$A$2:$A$1001,A59))</f>
        <v/>
      </c>
      <c r="AM59" s="14" t="str">
        <f aca="false">IF(AK59=0,"",IFERROR(LOOKUP(2,1/((加仓管理!$A$2:$A$1001=A59)*(加仓管理!$G$2:$G$1001&gt;0)),加仓管理!$D$2:$D$1001),""))</f>
        <v/>
      </c>
      <c r="AN59" s="14" t="str">
        <f aca="false">IF(AK59=0,"",IFERROR(LOOKUP(2,1/((加仓管理!$A$2:$A$1001=A59)*(加仓管理!$G$2:$G$1001&gt;0)),加仓管理!$E$2:$E$1001),""))</f>
        <v/>
      </c>
      <c r="AO59" s="14" t="str">
        <f aca="false">IF(OR(A59="",H59="",H59&lt;=0),"",(E59*H59+SUMIFS(加仓管理!$H$2:$H$1001,加仓管理!$A$2:$A$1001,A59))/AP59)</f>
        <v/>
      </c>
      <c r="AP59" s="13" t="str">
        <f aca="false">IF(OR(A59="",H59="",H59&lt;=0),"",H59+AL59)</f>
        <v/>
      </c>
      <c r="AQ59" s="14" t="str">
        <f aca="false">IF(A59="","",IF(M59&lt;&gt;"",0,IF(OR(H59="",N59=""),"",MAX((E59*H59+SUMIFS(加仓管理!$H$2:$H$1001,加仓管理!$A$2:$A$1001,A59))-MAX(N59,AN59)*AP59,0))))</f>
        <v/>
      </c>
      <c r="AR59" s="15" t="str">
        <f aca="false">IF(A59="","",IF(OR(E59="",H59=""),"违规：首次买入价格或股数缺失",IF(COUNTIFS(加仓管理!$A$2:$A$1001,A59,加仓管理!$R$2:$R$1001,"违规*")&gt;0,"违规：请检查加仓管理表",IF(SUM($AQ$2:$AQ$201)&gt;账户数据!$B$7,"预警：超过账户风险上限",IF(COUNTIFS(加仓管理!$A$2:$A$1001,A59,加仓管理!$N$2:$N$1001,"&gt;0",加仓管理!$G$2:$G$1001,"")&gt;0,"提示：存在待执行加仓计划","通过")))))</f>
        <v/>
      </c>
    </row>
    <row r="60" customFormat="false" ht="13.5" hidden="false" customHeight="false" outlineLevel="0" collapsed="false">
      <c r="A60" s="4"/>
      <c r="B60" s="4"/>
      <c r="C60" s="5"/>
      <c r="D60" s="6"/>
      <c r="E60" s="5"/>
      <c r="F60" s="7" t="str">
        <f aca="false">IF(OR(C60="",D60="",E60="",N60="",C60&lt;=0,D60&lt;=0,E60&lt;=N60),"",ROUNDDOWN((C60*D60)/(E60-N60)/100,0)*100)</f>
        <v/>
      </c>
      <c r="G60" s="7" t="str">
        <f aca="false">IF(A60="","",IF(H60&lt;&gt;"","已开仓",IF(账户数据!$B$23="已锁仓","禁止开仓：连续亏损达到上限",IF(账户数据!$B$23="解锁信息不完整","禁止开仓：请完整填写解锁信息",IF(OR(F60="",E60="",N60="",E60&lt;=N60,账户数据!$B$7=""),"",IF(OR(AG60="",AH60="",AI60=""),"禁止开仓：交易预期未填写完整",IF(账户数据!$B$9+F60*(E60-N60)&gt;=账户数据!$B$7,"禁止开仓：风险额度不足",IF(AJ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0" s="4"/>
      <c r="I60" s="8"/>
      <c r="J60" s="5"/>
      <c r="K60" s="5"/>
      <c r="L60" s="7" t="str">
        <f aca="false">IF(AP60="","",AP60)</f>
        <v/>
      </c>
      <c r="M60" s="8"/>
      <c r="N60" s="5"/>
      <c r="O60" s="5"/>
      <c r="P60" s="5"/>
      <c r="Q60" s="4"/>
      <c r="R60" s="4"/>
      <c r="S60" s="4"/>
      <c r="T60" s="4"/>
      <c r="U60" s="9" t="str">
        <f aca="false">IF(OR(AO60="",J60="",AO60&lt;=0),"",(J60-AO60)/AO60)</f>
        <v/>
      </c>
      <c r="V60" s="9" t="str">
        <f aca="false">IF(OR(AO60="",N60="",AO60&lt;=0),"",(AO60-N60)/AO60)</f>
        <v/>
      </c>
      <c r="W60" s="10" t="str">
        <f aca="false">IF(OR(U60="",V60="",V60&lt;=0),"",U60/V60)</f>
        <v/>
      </c>
      <c r="X60" s="11" t="str">
        <f aca="false">IF(OR(K60="",L60="",AO60="",AP60=""),"",(K60-AO60)*L60-IF(O60="",0,O60)-IF(P60="",0,P60))</f>
        <v/>
      </c>
      <c r="Y60" s="9" t="str">
        <f aca="false">IF(OR(X60="",AO60="",L60=""),"",IF(AO60*L60+IF(O60="",0,O60)&lt;=0,"",X60/(AO60*L60+IF(O60="",0,O60))))</f>
        <v/>
      </c>
      <c r="Z60" s="9" t="str">
        <f aca="false">IF(OR(AE60="",多次统计数据!$B$8=""),"",AE60-多次统计数据!$B$8)</f>
        <v/>
      </c>
      <c r="AA60" s="12" t="str">
        <f aca="false">IF(OR(I60="",M60="",M60&lt;I60),"",M60-I60)</f>
        <v/>
      </c>
      <c r="AB60" s="9" t="str">
        <f aca="false">IF(OR(A60="",多次统计数据!$B$8="",多次统计数据!$B$6&lt;=0,多次统计数据!$B$6&gt;=1),"",1-POWER(1+多次统计数据!$B$8,-多次统计数据!$B$6/(1-多次统计数据!$B$6)))</f>
        <v/>
      </c>
      <c r="AC60" s="7" t="str">
        <f aca="false">IF(OR(AB60="",多次统计数据!$B$9=""),"",IF(多次统计数据!$B$9&lt;AB60,"低于上限","达到或超过上限"))</f>
        <v/>
      </c>
      <c r="AD60" s="4"/>
      <c r="AE60" s="9" t="str">
        <f aca="false">IF(OR(X60="",C60="",C60&lt;=0),"",X60/C60)</f>
        <v/>
      </c>
      <c r="AG60" s="4"/>
      <c r="AH60" s="4"/>
      <c r="AI60" s="4"/>
      <c r="AJ60" s="7" t="str">
        <f aca="false">IF(OR(AG60="",AH60=""),"",IF(OR(AND(AG60="短期博反弹",OR(AH60="1～3个交易日",AH60="4～10个交易日")),AND(AG60="突破冲新高",OR(AH60="4～10个交易日",AH60="11～20个交易日")),AND(AG60="趋势波段",OR(AH60="11～20个交易日",AH60="21～60个交易日",AH60="60个交易日以上"))),"匹配","周期与交易预期不匹配，请重新确认"))</f>
        <v/>
      </c>
      <c r="AK60" s="13" t="str">
        <f aca="false">IF(A60="","",COUNTIFS(加仓管理!$A$2:$A$1001,A60,加仓管理!$G$2:$G$1001,"&gt;0"))</f>
        <v/>
      </c>
      <c r="AL60" s="13" t="str">
        <f aca="false">IF(A60="","",SUMIFS(加仓管理!$G$2:$G$1001,加仓管理!$A$2:$A$1001,A60))</f>
        <v/>
      </c>
      <c r="AM60" s="14" t="str">
        <f aca="false">IF(AK60=0,"",IFERROR(LOOKUP(2,1/((加仓管理!$A$2:$A$1001=A60)*(加仓管理!$G$2:$G$1001&gt;0)),加仓管理!$D$2:$D$1001),""))</f>
        <v/>
      </c>
      <c r="AN60" s="14" t="str">
        <f aca="false">IF(AK60=0,"",IFERROR(LOOKUP(2,1/((加仓管理!$A$2:$A$1001=A60)*(加仓管理!$G$2:$G$1001&gt;0)),加仓管理!$E$2:$E$1001),""))</f>
        <v/>
      </c>
      <c r="AO60" s="14" t="str">
        <f aca="false">IF(OR(A60="",H60="",H60&lt;=0),"",(E60*H60+SUMIFS(加仓管理!$H$2:$H$1001,加仓管理!$A$2:$A$1001,A60))/AP60)</f>
        <v/>
      </c>
      <c r="AP60" s="13" t="str">
        <f aca="false">IF(OR(A60="",H60="",H60&lt;=0),"",H60+AL60)</f>
        <v/>
      </c>
      <c r="AQ60" s="14" t="str">
        <f aca="false">IF(A60="","",IF(M60&lt;&gt;"",0,IF(OR(H60="",N60=""),"",MAX((E60*H60+SUMIFS(加仓管理!$H$2:$H$1001,加仓管理!$A$2:$A$1001,A60))-MAX(N60,AN60)*AP60,0))))</f>
        <v/>
      </c>
      <c r="AR60" s="15" t="str">
        <f aca="false">IF(A60="","",IF(OR(E60="",H60=""),"违规：首次买入价格或股数缺失",IF(COUNTIFS(加仓管理!$A$2:$A$1001,A60,加仓管理!$R$2:$R$1001,"违规*")&gt;0,"违规：请检查加仓管理表",IF(SUM($AQ$2:$AQ$201)&gt;账户数据!$B$7,"预警：超过账户风险上限",IF(COUNTIFS(加仓管理!$A$2:$A$1001,A60,加仓管理!$N$2:$N$1001,"&gt;0",加仓管理!$G$2:$G$1001,"")&gt;0,"提示：存在待执行加仓计划","通过")))))</f>
        <v/>
      </c>
    </row>
    <row r="61" customFormat="false" ht="13.5" hidden="false" customHeight="false" outlineLevel="0" collapsed="false">
      <c r="A61" s="4"/>
      <c r="B61" s="4"/>
      <c r="C61" s="5"/>
      <c r="D61" s="6"/>
      <c r="E61" s="5"/>
      <c r="F61" s="7" t="str">
        <f aca="false">IF(OR(C61="",D61="",E61="",N61="",C61&lt;=0,D61&lt;=0,E61&lt;=N61),"",ROUNDDOWN((C61*D61)/(E61-N61)/100,0)*100)</f>
        <v/>
      </c>
      <c r="G61" s="7" t="str">
        <f aca="false">IF(A61="","",IF(H61&lt;&gt;"","已开仓",IF(账户数据!$B$23="已锁仓","禁止开仓：连续亏损达到上限",IF(账户数据!$B$23="解锁信息不完整","禁止开仓：请完整填写解锁信息",IF(OR(F61="",E61="",N61="",E61&lt;=N61,账户数据!$B$7=""),"",IF(OR(AG61="",AH61="",AI61=""),"禁止开仓：交易预期未填写完整",IF(账户数据!$B$9+F61*(E61-N61)&gt;=账户数据!$B$7,"禁止开仓：风险额度不足",IF(AJ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1" s="4"/>
      <c r="I61" s="8"/>
      <c r="J61" s="5"/>
      <c r="K61" s="5"/>
      <c r="L61" s="7" t="str">
        <f aca="false">IF(AP61="","",AP61)</f>
        <v/>
      </c>
      <c r="M61" s="8"/>
      <c r="N61" s="5"/>
      <c r="O61" s="5"/>
      <c r="P61" s="5"/>
      <c r="Q61" s="4"/>
      <c r="R61" s="4"/>
      <c r="S61" s="4"/>
      <c r="T61" s="4"/>
      <c r="U61" s="9" t="str">
        <f aca="false">IF(OR(AO61="",J61="",AO61&lt;=0),"",(J61-AO61)/AO61)</f>
        <v/>
      </c>
      <c r="V61" s="9" t="str">
        <f aca="false">IF(OR(AO61="",N61="",AO61&lt;=0),"",(AO61-N61)/AO61)</f>
        <v/>
      </c>
      <c r="W61" s="10" t="str">
        <f aca="false">IF(OR(U61="",V61="",V61&lt;=0),"",U61/V61)</f>
        <v/>
      </c>
      <c r="X61" s="11" t="str">
        <f aca="false">IF(OR(K61="",L61="",AO61="",AP61=""),"",(K61-AO61)*L61-IF(O61="",0,O61)-IF(P61="",0,P61))</f>
        <v/>
      </c>
      <c r="Y61" s="9" t="str">
        <f aca="false">IF(OR(X61="",AO61="",L61=""),"",IF(AO61*L61+IF(O61="",0,O61)&lt;=0,"",X61/(AO61*L61+IF(O61="",0,O61))))</f>
        <v/>
      </c>
      <c r="Z61" s="9" t="str">
        <f aca="false">IF(OR(AE61="",多次统计数据!$B$8=""),"",AE61-多次统计数据!$B$8)</f>
        <v/>
      </c>
      <c r="AA61" s="12" t="str">
        <f aca="false">IF(OR(I61="",M61="",M61&lt;I61),"",M61-I61)</f>
        <v/>
      </c>
      <c r="AB61" s="9" t="str">
        <f aca="false">IF(OR(A61="",多次统计数据!$B$8="",多次统计数据!$B$6&lt;=0,多次统计数据!$B$6&gt;=1),"",1-POWER(1+多次统计数据!$B$8,-多次统计数据!$B$6/(1-多次统计数据!$B$6)))</f>
        <v/>
      </c>
      <c r="AC61" s="7" t="str">
        <f aca="false">IF(OR(AB61="",多次统计数据!$B$9=""),"",IF(多次统计数据!$B$9&lt;AB61,"低于上限","达到或超过上限"))</f>
        <v/>
      </c>
      <c r="AD61" s="4"/>
      <c r="AE61" s="9" t="str">
        <f aca="false">IF(OR(X61="",C61="",C61&lt;=0),"",X61/C61)</f>
        <v/>
      </c>
      <c r="AG61" s="4"/>
      <c r="AH61" s="4"/>
      <c r="AI61" s="4"/>
      <c r="AJ61" s="7" t="str">
        <f aca="false">IF(OR(AG61="",AH61=""),"",IF(OR(AND(AG61="短期博反弹",OR(AH61="1～3个交易日",AH61="4～10个交易日")),AND(AG61="突破冲新高",OR(AH61="4～10个交易日",AH61="11～20个交易日")),AND(AG61="趋势波段",OR(AH61="11～20个交易日",AH61="21～60个交易日",AH61="60个交易日以上"))),"匹配","周期与交易预期不匹配，请重新确认"))</f>
        <v/>
      </c>
      <c r="AK61" s="13" t="str">
        <f aca="false">IF(A61="","",COUNTIFS(加仓管理!$A$2:$A$1001,A61,加仓管理!$G$2:$G$1001,"&gt;0"))</f>
        <v/>
      </c>
      <c r="AL61" s="13" t="str">
        <f aca="false">IF(A61="","",SUMIFS(加仓管理!$G$2:$G$1001,加仓管理!$A$2:$A$1001,A61))</f>
        <v/>
      </c>
      <c r="AM61" s="14" t="str">
        <f aca="false">IF(AK61=0,"",IFERROR(LOOKUP(2,1/((加仓管理!$A$2:$A$1001=A61)*(加仓管理!$G$2:$G$1001&gt;0)),加仓管理!$D$2:$D$1001),""))</f>
        <v/>
      </c>
      <c r="AN61" s="14" t="str">
        <f aca="false">IF(AK61=0,"",IFERROR(LOOKUP(2,1/((加仓管理!$A$2:$A$1001=A61)*(加仓管理!$G$2:$G$1001&gt;0)),加仓管理!$E$2:$E$1001),""))</f>
        <v/>
      </c>
      <c r="AO61" s="14" t="str">
        <f aca="false">IF(OR(A61="",H61="",H61&lt;=0),"",(E61*H61+SUMIFS(加仓管理!$H$2:$H$1001,加仓管理!$A$2:$A$1001,A61))/AP61)</f>
        <v/>
      </c>
      <c r="AP61" s="13" t="str">
        <f aca="false">IF(OR(A61="",H61="",H61&lt;=0),"",H61+AL61)</f>
        <v/>
      </c>
      <c r="AQ61" s="14" t="str">
        <f aca="false">IF(A61="","",IF(M61&lt;&gt;"",0,IF(OR(H61="",N61=""),"",MAX((E61*H61+SUMIFS(加仓管理!$H$2:$H$1001,加仓管理!$A$2:$A$1001,A61))-MAX(N61,AN61)*AP61,0))))</f>
        <v/>
      </c>
      <c r="AR61" s="15" t="str">
        <f aca="false">IF(A61="","",IF(OR(E61="",H61=""),"违规：首次买入价格或股数缺失",IF(COUNTIFS(加仓管理!$A$2:$A$1001,A61,加仓管理!$R$2:$R$1001,"违规*")&gt;0,"违规：请检查加仓管理表",IF(SUM($AQ$2:$AQ$201)&gt;账户数据!$B$7,"预警：超过账户风险上限",IF(COUNTIFS(加仓管理!$A$2:$A$1001,A61,加仓管理!$N$2:$N$1001,"&gt;0",加仓管理!$G$2:$G$1001,"")&gt;0,"提示：存在待执行加仓计划","通过")))))</f>
        <v/>
      </c>
    </row>
    <row r="62" customFormat="false" ht="13.5" hidden="false" customHeight="false" outlineLevel="0" collapsed="false">
      <c r="A62" s="4"/>
      <c r="B62" s="4"/>
      <c r="C62" s="5"/>
      <c r="D62" s="6"/>
      <c r="E62" s="5"/>
      <c r="F62" s="7" t="str">
        <f aca="false">IF(OR(C62="",D62="",E62="",N62="",C62&lt;=0,D62&lt;=0,E62&lt;=N62),"",ROUNDDOWN((C62*D62)/(E62-N62)/100,0)*100)</f>
        <v/>
      </c>
      <c r="G62" s="7" t="str">
        <f aca="false">IF(A62="","",IF(H62&lt;&gt;"","已开仓",IF(账户数据!$B$23="已锁仓","禁止开仓：连续亏损达到上限",IF(账户数据!$B$23="解锁信息不完整","禁止开仓：请完整填写解锁信息",IF(OR(F62="",E62="",N62="",E62&lt;=N62,账户数据!$B$7=""),"",IF(OR(AG62="",AH62="",AI62=""),"禁止开仓：交易预期未填写完整",IF(账户数据!$B$9+F62*(E62-N62)&gt;=账户数据!$B$7,"禁止开仓：风险额度不足",IF(AJ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2" s="4"/>
      <c r="I62" s="8"/>
      <c r="J62" s="5"/>
      <c r="K62" s="5"/>
      <c r="L62" s="7" t="str">
        <f aca="false">IF(AP62="","",AP62)</f>
        <v/>
      </c>
      <c r="M62" s="8"/>
      <c r="N62" s="5"/>
      <c r="O62" s="5"/>
      <c r="P62" s="5"/>
      <c r="Q62" s="4"/>
      <c r="R62" s="4"/>
      <c r="S62" s="4"/>
      <c r="T62" s="4"/>
      <c r="U62" s="9" t="str">
        <f aca="false">IF(OR(AO62="",J62="",AO62&lt;=0),"",(J62-AO62)/AO62)</f>
        <v/>
      </c>
      <c r="V62" s="9" t="str">
        <f aca="false">IF(OR(AO62="",N62="",AO62&lt;=0),"",(AO62-N62)/AO62)</f>
        <v/>
      </c>
      <c r="W62" s="10" t="str">
        <f aca="false">IF(OR(U62="",V62="",V62&lt;=0),"",U62/V62)</f>
        <v/>
      </c>
      <c r="X62" s="11" t="str">
        <f aca="false">IF(OR(K62="",L62="",AO62="",AP62=""),"",(K62-AO62)*L62-IF(O62="",0,O62)-IF(P62="",0,P62))</f>
        <v/>
      </c>
      <c r="Y62" s="9" t="str">
        <f aca="false">IF(OR(X62="",AO62="",L62=""),"",IF(AO62*L62+IF(O62="",0,O62)&lt;=0,"",X62/(AO62*L62+IF(O62="",0,O62))))</f>
        <v/>
      </c>
      <c r="Z62" s="9" t="str">
        <f aca="false">IF(OR(AE62="",多次统计数据!$B$8=""),"",AE62-多次统计数据!$B$8)</f>
        <v/>
      </c>
      <c r="AA62" s="12" t="str">
        <f aca="false">IF(OR(I62="",M62="",M62&lt;I62),"",M62-I62)</f>
        <v/>
      </c>
      <c r="AB62" s="9" t="str">
        <f aca="false">IF(OR(A62="",多次统计数据!$B$8="",多次统计数据!$B$6&lt;=0,多次统计数据!$B$6&gt;=1),"",1-POWER(1+多次统计数据!$B$8,-多次统计数据!$B$6/(1-多次统计数据!$B$6)))</f>
        <v/>
      </c>
      <c r="AC62" s="7" t="str">
        <f aca="false">IF(OR(AB62="",多次统计数据!$B$9=""),"",IF(多次统计数据!$B$9&lt;AB62,"低于上限","达到或超过上限"))</f>
        <v/>
      </c>
      <c r="AD62" s="4"/>
      <c r="AE62" s="9" t="str">
        <f aca="false">IF(OR(X62="",C62="",C62&lt;=0),"",X62/C62)</f>
        <v/>
      </c>
      <c r="AG62" s="4"/>
      <c r="AH62" s="4"/>
      <c r="AI62" s="4"/>
      <c r="AJ62" s="7" t="str">
        <f aca="false">IF(OR(AG62="",AH62=""),"",IF(OR(AND(AG62="短期博反弹",OR(AH62="1～3个交易日",AH62="4～10个交易日")),AND(AG62="突破冲新高",OR(AH62="4～10个交易日",AH62="11～20个交易日")),AND(AG62="趋势波段",OR(AH62="11～20个交易日",AH62="21～60个交易日",AH62="60个交易日以上"))),"匹配","周期与交易预期不匹配，请重新确认"))</f>
        <v/>
      </c>
      <c r="AK62" s="13" t="str">
        <f aca="false">IF(A62="","",COUNTIFS(加仓管理!$A$2:$A$1001,A62,加仓管理!$G$2:$G$1001,"&gt;0"))</f>
        <v/>
      </c>
      <c r="AL62" s="13" t="str">
        <f aca="false">IF(A62="","",SUMIFS(加仓管理!$G$2:$G$1001,加仓管理!$A$2:$A$1001,A62))</f>
        <v/>
      </c>
      <c r="AM62" s="14" t="str">
        <f aca="false">IF(AK62=0,"",IFERROR(LOOKUP(2,1/((加仓管理!$A$2:$A$1001=A62)*(加仓管理!$G$2:$G$1001&gt;0)),加仓管理!$D$2:$D$1001),""))</f>
        <v/>
      </c>
      <c r="AN62" s="14" t="str">
        <f aca="false">IF(AK62=0,"",IFERROR(LOOKUP(2,1/((加仓管理!$A$2:$A$1001=A62)*(加仓管理!$G$2:$G$1001&gt;0)),加仓管理!$E$2:$E$1001),""))</f>
        <v/>
      </c>
      <c r="AO62" s="14" t="str">
        <f aca="false">IF(OR(A62="",H62="",H62&lt;=0),"",(E62*H62+SUMIFS(加仓管理!$H$2:$H$1001,加仓管理!$A$2:$A$1001,A62))/AP62)</f>
        <v/>
      </c>
      <c r="AP62" s="13" t="str">
        <f aca="false">IF(OR(A62="",H62="",H62&lt;=0),"",H62+AL62)</f>
        <v/>
      </c>
      <c r="AQ62" s="14" t="str">
        <f aca="false">IF(A62="","",IF(M62&lt;&gt;"",0,IF(OR(H62="",N62=""),"",MAX((E62*H62+SUMIFS(加仓管理!$H$2:$H$1001,加仓管理!$A$2:$A$1001,A62))-MAX(N62,AN62)*AP62,0))))</f>
        <v/>
      </c>
      <c r="AR62" s="15" t="str">
        <f aca="false">IF(A62="","",IF(OR(E62="",H62=""),"违规：首次买入价格或股数缺失",IF(COUNTIFS(加仓管理!$A$2:$A$1001,A62,加仓管理!$R$2:$R$1001,"违规*")&gt;0,"违规：请检查加仓管理表",IF(SUM($AQ$2:$AQ$201)&gt;账户数据!$B$7,"预警：超过账户风险上限",IF(COUNTIFS(加仓管理!$A$2:$A$1001,A62,加仓管理!$N$2:$N$1001,"&gt;0",加仓管理!$G$2:$G$1001,"")&gt;0,"提示：存在待执行加仓计划","通过")))))</f>
        <v/>
      </c>
    </row>
    <row r="63" customFormat="false" ht="13.5" hidden="false" customHeight="false" outlineLevel="0" collapsed="false">
      <c r="A63" s="4"/>
      <c r="B63" s="4"/>
      <c r="C63" s="5"/>
      <c r="D63" s="6"/>
      <c r="E63" s="5"/>
      <c r="F63" s="7" t="str">
        <f aca="false">IF(OR(C63="",D63="",E63="",N63="",C63&lt;=0,D63&lt;=0,E63&lt;=N63),"",ROUNDDOWN((C63*D63)/(E63-N63)/100,0)*100)</f>
        <v/>
      </c>
      <c r="G63" s="7" t="str">
        <f aca="false">IF(A63="","",IF(H63&lt;&gt;"","已开仓",IF(账户数据!$B$23="已锁仓","禁止开仓：连续亏损达到上限",IF(账户数据!$B$23="解锁信息不完整","禁止开仓：请完整填写解锁信息",IF(OR(F63="",E63="",N63="",E63&lt;=N63,账户数据!$B$7=""),"",IF(OR(AG63="",AH63="",AI63=""),"禁止开仓：交易预期未填写完整",IF(账户数据!$B$9+F63*(E63-N63)&gt;=账户数据!$B$7,"禁止开仓：风险额度不足",IF(AJ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3" s="4"/>
      <c r="I63" s="8"/>
      <c r="J63" s="5"/>
      <c r="K63" s="5"/>
      <c r="L63" s="7" t="str">
        <f aca="false">IF(AP63="","",AP63)</f>
        <v/>
      </c>
      <c r="M63" s="8"/>
      <c r="N63" s="5"/>
      <c r="O63" s="5"/>
      <c r="P63" s="5"/>
      <c r="Q63" s="4"/>
      <c r="R63" s="4"/>
      <c r="S63" s="4"/>
      <c r="T63" s="4"/>
      <c r="U63" s="9" t="str">
        <f aca="false">IF(OR(AO63="",J63="",AO63&lt;=0),"",(J63-AO63)/AO63)</f>
        <v/>
      </c>
      <c r="V63" s="9" t="str">
        <f aca="false">IF(OR(AO63="",N63="",AO63&lt;=0),"",(AO63-N63)/AO63)</f>
        <v/>
      </c>
      <c r="W63" s="10" t="str">
        <f aca="false">IF(OR(U63="",V63="",V63&lt;=0),"",U63/V63)</f>
        <v/>
      </c>
      <c r="X63" s="11" t="str">
        <f aca="false">IF(OR(K63="",L63="",AO63="",AP63=""),"",(K63-AO63)*L63-IF(O63="",0,O63)-IF(P63="",0,P63))</f>
        <v/>
      </c>
      <c r="Y63" s="9" t="str">
        <f aca="false">IF(OR(X63="",AO63="",L63=""),"",IF(AO63*L63+IF(O63="",0,O63)&lt;=0,"",X63/(AO63*L63+IF(O63="",0,O63))))</f>
        <v/>
      </c>
      <c r="Z63" s="9" t="str">
        <f aca="false">IF(OR(AE63="",多次统计数据!$B$8=""),"",AE63-多次统计数据!$B$8)</f>
        <v/>
      </c>
      <c r="AA63" s="12" t="str">
        <f aca="false">IF(OR(I63="",M63="",M63&lt;I63),"",M63-I63)</f>
        <v/>
      </c>
      <c r="AB63" s="9" t="str">
        <f aca="false">IF(OR(A63="",多次统计数据!$B$8="",多次统计数据!$B$6&lt;=0,多次统计数据!$B$6&gt;=1),"",1-POWER(1+多次统计数据!$B$8,-多次统计数据!$B$6/(1-多次统计数据!$B$6)))</f>
        <v/>
      </c>
      <c r="AC63" s="7" t="str">
        <f aca="false">IF(OR(AB63="",多次统计数据!$B$9=""),"",IF(多次统计数据!$B$9&lt;AB63,"低于上限","达到或超过上限"))</f>
        <v/>
      </c>
      <c r="AD63" s="4"/>
      <c r="AE63" s="9" t="str">
        <f aca="false">IF(OR(X63="",C63="",C63&lt;=0),"",X63/C63)</f>
        <v/>
      </c>
      <c r="AG63" s="4"/>
      <c r="AH63" s="4"/>
      <c r="AI63" s="4"/>
      <c r="AJ63" s="7" t="str">
        <f aca="false">IF(OR(AG63="",AH63=""),"",IF(OR(AND(AG63="短期博反弹",OR(AH63="1～3个交易日",AH63="4～10个交易日")),AND(AG63="突破冲新高",OR(AH63="4～10个交易日",AH63="11～20个交易日")),AND(AG63="趋势波段",OR(AH63="11～20个交易日",AH63="21～60个交易日",AH63="60个交易日以上"))),"匹配","周期与交易预期不匹配，请重新确认"))</f>
        <v/>
      </c>
      <c r="AK63" s="13" t="str">
        <f aca="false">IF(A63="","",COUNTIFS(加仓管理!$A$2:$A$1001,A63,加仓管理!$G$2:$G$1001,"&gt;0"))</f>
        <v/>
      </c>
      <c r="AL63" s="13" t="str">
        <f aca="false">IF(A63="","",SUMIFS(加仓管理!$G$2:$G$1001,加仓管理!$A$2:$A$1001,A63))</f>
        <v/>
      </c>
      <c r="AM63" s="14" t="str">
        <f aca="false">IF(AK63=0,"",IFERROR(LOOKUP(2,1/((加仓管理!$A$2:$A$1001=A63)*(加仓管理!$G$2:$G$1001&gt;0)),加仓管理!$D$2:$D$1001),""))</f>
        <v/>
      </c>
      <c r="AN63" s="14" t="str">
        <f aca="false">IF(AK63=0,"",IFERROR(LOOKUP(2,1/((加仓管理!$A$2:$A$1001=A63)*(加仓管理!$G$2:$G$1001&gt;0)),加仓管理!$E$2:$E$1001),""))</f>
        <v/>
      </c>
      <c r="AO63" s="14" t="str">
        <f aca="false">IF(OR(A63="",H63="",H63&lt;=0),"",(E63*H63+SUMIFS(加仓管理!$H$2:$H$1001,加仓管理!$A$2:$A$1001,A63))/AP63)</f>
        <v/>
      </c>
      <c r="AP63" s="13" t="str">
        <f aca="false">IF(OR(A63="",H63="",H63&lt;=0),"",H63+AL63)</f>
        <v/>
      </c>
      <c r="AQ63" s="14" t="str">
        <f aca="false">IF(A63="","",IF(M63&lt;&gt;"",0,IF(OR(H63="",N63=""),"",MAX((E63*H63+SUMIFS(加仓管理!$H$2:$H$1001,加仓管理!$A$2:$A$1001,A63))-MAX(N63,AN63)*AP63,0))))</f>
        <v/>
      </c>
      <c r="AR63" s="15" t="str">
        <f aca="false">IF(A63="","",IF(OR(E63="",H63=""),"违规：首次买入价格或股数缺失",IF(COUNTIFS(加仓管理!$A$2:$A$1001,A63,加仓管理!$R$2:$R$1001,"违规*")&gt;0,"违规：请检查加仓管理表",IF(SUM($AQ$2:$AQ$201)&gt;账户数据!$B$7,"预警：超过账户风险上限",IF(COUNTIFS(加仓管理!$A$2:$A$1001,A63,加仓管理!$N$2:$N$1001,"&gt;0",加仓管理!$G$2:$G$1001,"")&gt;0,"提示：存在待执行加仓计划","通过")))))</f>
        <v/>
      </c>
    </row>
    <row r="64" customFormat="false" ht="13.5" hidden="false" customHeight="false" outlineLevel="0" collapsed="false">
      <c r="A64" s="4"/>
      <c r="B64" s="4"/>
      <c r="C64" s="5"/>
      <c r="D64" s="6"/>
      <c r="E64" s="5"/>
      <c r="F64" s="7" t="str">
        <f aca="false">IF(OR(C64="",D64="",E64="",N64="",C64&lt;=0,D64&lt;=0,E64&lt;=N64),"",ROUNDDOWN((C64*D64)/(E64-N64)/100,0)*100)</f>
        <v/>
      </c>
      <c r="G64" s="7" t="str">
        <f aca="false">IF(A64="","",IF(H64&lt;&gt;"","已开仓",IF(账户数据!$B$23="已锁仓","禁止开仓：连续亏损达到上限",IF(账户数据!$B$23="解锁信息不完整","禁止开仓：请完整填写解锁信息",IF(OR(F64="",E64="",N64="",E64&lt;=N64,账户数据!$B$7=""),"",IF(OR(AG64="",AH64="",AI64=""),"禁止开仓：交易预期未填写完整",IF(账户数据!$B$9+F64*(E64-N64)&gt;=账户数据!$B$7,"禁止开仓：风险额度不足",IF(AJ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4" s="4"/>
      <c r="I64" s="8"/>
      <c r="J64" s="5"/>
      <c r="K64" s="5"/>
      <c r="L64" s="7" t="str">
        <f aca="false">IF(AP64="","",AP64)</f>
        <v/>
      </c>
      <c r="M64" s="8"/>
      <c r="N64" s="5"/>
      <c r="O64" s="5"/>
      <c r="P64" s="5"/>
      <c r="Q64" s="4"/>
      <c r="R64" s="4"/>
      <c r="S64" s="4"/>
      <c r="T64" s="4"/>
      <c r="U64" s="9" t="str">
        <f aca="false">IF(OR(AO64="",J64="",AO64&lt;=0),"",(J64-AO64)/AO64)</f>
        <v/>
      </c>
      <c r="V64" s="9" t="str">
        <f aca="false">IF(OR(AO64="",N64="",AO64&lt;=0),"",(AO64-N64)/AO64)</f>
        <v/>
      </c>
      <c r="W64" s="10" t="str">
        <f aca="false">IF(OR(U64="",V64="",V64&lt;=0),"",U64/V64)</f>
        <v/>
      </c>
      <c r="X64" s="11" t="str">
        <f aca="false">IF(OR(K64="",L64="",AO64="",AP64=""),"",(K64-AO64)*L64-IF(O64="",0,O64)-IF(P64="",0,P64))</f>
        <v/>
      </c>
      <c r="Y64" s="9" t="str">
        <f aca="false">IF(OR(X64="",AO64="",L64=""),"",IF(AO64*L64+IF(O64="",0,O64)&lt;=0,"",X64/(AO64*L64+IF(O64="",0,O64))))</f>
        <v/>
      </c>
      <c r="Z64" s="9" t="str">
        <f aca="false">IF(OR(AE64="",多次统计数据!$B$8=""),"",AE64-多次统计数据!$B$8)</f>
        <v/>
      </c>
      <c r="AA64" s="12" t="str">
        <f aca="false">IF(OR(I64="",M64="",M64&lt;I64),"",M64-I64)</f>
        <v/>
      </c>
      <c r="AB64" s="9" t="str">
        <f aca="false">IF(OR(A64="",多次统计数据!$B$8="",多次统计数据!$B$6&lt;=0,多次统计数据!$B$6&gt;=1),"",1-POWER(1+多次统计数据!$B$8,-多次统计数据!$B$6/(1-多次统计数据!$B$6)))</f>
        <v/>
      </c>
      <c r="AC64" s="7" t="str">
        <f aca="false">IF(OR(AB64="",多次统计数据!$B$9=""),"",IF(多次统计数据!$B$9&lt;AB64,"低于上限","达到或超过上限"))</f>
        <v/>
      </c>
      <c r="AD64" s="4"/>
      <c r="AE64" s="9" t="str">
        <f aca="false">IF(OR(X64="",C64="",C64&lt;=0),"",X64/C64)</f>
        <v/>
      </c>
      <c r="AG64" s="4"/>
      <c r="AH64" s="4"/>
      <c r="AI64" s="4"/>
      <c r="AJ64" s="7" t="str">
        <f aca="false">IF(OR(AG64="",AH64=""),"",IF(OR(AND(AG64="短期博反弹",OR(AH64="1～3个交易日",AH64="4～10个交易日")),AND(AG64="突破冲新高",OR(AH64="4～10个交易日",AH64="11～20个交易日")),AND(AG64="趋势波段",OR(AH64="11～20个交易日",AH64="21～60个交易日",AH64="60个交易日以上"))),"匹配","周期与交易预期不匹配，请重新确认"))</f>
        <v/>
      </c>
      <c r="AK64" s="13" t="str">
        <f aca="false">IF(A64="","",COUNTIFS(加仓管理!$A$2:$A$1001,A64,加仓管理!$G$2:$G$1001,"&gt;0"))</f>
        <v/>
      </c>
      <c r="AL64" s="13" t="str">
        <f aca="false">IF(A64="","",SUMIFS(加仓管理!$G$2:$G$1001,加仓管理!$A$2:$A$1001,A64))</f>
        <v/>
      </c>
      <c r="AM64" s="14" t="str">
        <f aca="false">IF(AK64=0,"",IFERROR(LOOKUP(2,1/((加仓管理!$A$2:$A$1001=A64)*(加仓管理!$G$2:$G$1001&gt;0)),加仓管理!$D$2:$D$1001),""))</f>
        <v/>
      </c>
      <c r="AN64" s="14" t="str">
        <f aca="false">IF(AK64=0,"",IFERROR(LOOKUP(2,1/((加仓管理!$A$2:$A$1001=A64)*(加仓管理!$G$2:$G$1001&gt;0)),加仓管理!$E$2:$E$1001),""))</f>
        <v/>
      </c>
      <c r="AO64" s="14" t="str">
        <f aca="false">IF(OR(A64="",H64="",H64&lt;=0),"",(E64*H64+SUMIFS(加仓管理!$H$2:$H$1001,加仓管理!$A$2:$A$1001,A64))/AP64)</f>
        <v/>
      </c>
      <c r="AP64" s="13" t="str">
        <f aca="false">IF(OR(A64="",H64="",H64&lt;=0),"",H64+AL64)</f>
        <v/>
      </c>
      <c r="AQ64" s="14" t="str">
        <f aca="false">IF(A64="","",IF(M64&lt;&gt;"",0,IF(OR(H64="",N64=""),"",MAX((E64*H64+SUMIFS(加仓管理!$H$2:$H$1001,加仓管理!$A$2:$A$1001,A64))-MAX(N64,AN64)*AP64,0))))</f>
        <v/>
      </c>
      <c r="AR64" s="15" t="str">
        <f aca="false">IF(A64="","",IF(OR(E64="",H64=""),"违规：首次买入价格或股数缺失",IF(COUNTIFS(加仓管理!$A$2:$A$1001,A64,加仓管理!$R$2:$R$1001,"违规*")&gt;0,"违规：请检查加仓管理表",IF(SUM($AQ$2:$AQ$201)&gt;账户数据!$B$7,"预警：超过账户风险上限",IF(COUNTIFS(加仓管理!$A$2:$A$1001,A64,加仓管理!$N$2:$N$1001,"&gt;0",加仓管理!$G$2:$G$1001,"")&gt;0,"提示：存在待执行加仓计划","通过")))))</f>
        <v/>
      </c>
    </row>
    <row r="65" customFormat="false" ht="13.5" hidden="false" customHeight="false" outlineLevel="0" collapsed="false">
      <c r="A65" s="4"/>
      <c r="B65" s="4"/>
      <c r="C65" s="5"/>
      <c r="D65" s="6"/>
      <c r="E65" s="5"/>
      <c r="F65" s="7" t="str">
        <f aca="false">IF(OR(C65="",D65="",E65="",N65="",C65&lt;=0,D65&lt;=0,E65&lt;=N65),"",ROUNDDOWN((C65*D65)/(E65-N65)/100,0)*100)</f>
        <v/>
      </c>
      <c r="G65" s="7" t="str">
        <f aca="false">IF(A65="","",IF(H65&lt;&gt;"","已开仓",IF(账户数据!$B$23="已锁仓","禁止开仓：连续亏损达到上限",IF(账户数据!$B$23="解锁信息不完整","禁止开仓：请完整填写解锁信息",IF(OR(F65="",E65="",N65="",E65&lt;=N65,账户数据!$B$7=""),"",IF(OR(AG65="",AH65="",AI65=""),"禁止开仓：交易预期未填写完整",IF(账户数据!$B$9+F65*(E65-N65)&gt;=账户数据!$B$7,"禁止开仓：风险额度不足",IF(AJ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5" s="4"/>
      <c r="I65" s="8"/>
      <c r="J65" s="5"/>
      <c r="K65" s="5"/>
      <c r="L65" s="7" t="str">
        <f aca="false">IF(AP65="","",AP65)</f>
        <v/>
      </c>
      <c r="M65" s="8"/>
      <c r="N65" s="5"/>
      <c r="O65" s="5"/>
      <c r="P65" s="5"/>
      <c r="Q65" s="4"/>
      <c r="R65" s="4"/>
      <c r="S65" s="4"/>
      <c r="T65" s="4"/>
      <c r="U65" s="9" t="str">
        <f aca="false">IF(OR(AO65="",J65="",AO65&lt;=0),"",(J65-AO65)/AO65)</f>
        <v/>
      </c>
      <c r="V65" s="9" t="str">
        <f aca="false">IF(OR(AO65="",N65="",AO65&lt;=0),"",(AO65-N65)/AO65)</f>
        <v/>
      </c>
      <c r="W65" s="10" t="str">
        <f aca="false">IF(OR(U65="",V65="",V65&lt;=0),"",U65/V65)</f>
        <v/>
      </c>
      <c r="X65" s="11" t="str">
        <f aca="false">IF(OR(K65="",L65="",AO65="",AP65=""),"",(K65-AO65)*L65-IF(O65="",0,O65)-IF(P65="",0,P65))</f>
        <v/>
      </c>
      <c r="Y65" s="9" t="str">
        <f aca="false">IF(OR(X65="",AO65="",L65=""),"",IF(AO65*L65+IF(O65="",0,O65)&lt;=0,"",X65/(AO65*L65+IF(O65="",0,O65))))</f>
        <v/>
      </c>
      <c r="Z65" s="9" t="str">
        <f aca="false">IF(OR(AE65="",多次统计数据!$B$8=""),"",AE65-多次统计数据!$B$8)</f>
        <v/>
      </c>
      <c r="AA65" s="12" t="str">
        <f aca="false">IF(OR(I65="",M65="",M65&lt;I65),"",M65-I65)</f>
        <v/>
      </c>
      <c r="AB65" s="9" t="str">
        <f aca="false">IF(OR(A65="",多次统计数据!$B$8="",多次统计数据!$B$6&lt;=0,多次统计数据!$B$6&gt;=1),"",1-POWER(1+多次统计数据!$B$8,-多次统计数据!$B$6/(1-多次统计数据!$B$6)))</f>
        <v/>
      </c>
      <c r="AC65" s="7" t="str">
        <f aca="false">IF(OR(AB65="",多次统计数据!$B$9=""),"",IF(多次统计数据!$B$9&lt;AB65,"低于上限","达到或超过上限"))</f>
        <v/>
      </c>
      <c r="AD65" s="4"/>
      <c r="AE65" s="9" t="str">
        <f aca="false">IF(OR(X65="",C65="",C65&lt;=0),"",X65/C65)</f>
        <v/>
      </c>
      <c r="AG65" s="4"/>
      <c r="AH65" s="4"/>
      <c r="AI65" s="4"/>
      <c r="AJ65" s="7" t="str">
        <f aca="false">IF(OR(AG65="",AH65=""),"",IF(OR(AND(AG65="短期博反弹",OR(AH65="1～3个交易日",AH65="4～10个交易日")),AND(AG65="突破冲新高",OR(AH65="4～10个交易日",AH65="11～20个交易日")),AND(AG65="趋势波段",OR(AH65="11～20个交易日",AH65="21～60个交易日",AH65="60个交易日以上"))),"匹配","周期与交易预期不匹配，请重新确认"))</f>
        <v/>
      </c>
      <c r="AK65" s="13" t="str">
        <f aca="false">IF(A65="","",COUNTIFS(加仓管理!$A$2:$A$1001,A65,加仓管理!$G$2:$G$1001,"&gt;0"))</f>
        <v/>
      </c>
      <c r="AL65" s="13" t="str">
        <f aca="false">IF(A65="","",SUMIFS(加仓管理!$G$2:$G$1001,加仓管理!$A$2:$A$1001,A65))</f>
        <v/>
      </c>
      <c r="AM65" s="14" t="str">
        <f aca="false">IF(AK65=0,"",IFERROR(LOOKUP(2,1/((加仓管理!$A$2:$A$1001=A65)*(加仓管理!$G$2:$G$1001&gt;0)),加仓管理!$D$2:$D$1001),""))</f>
        <v/>
      </c>
      <c r="AN65" s="14" t="str">
        <f aca="false">IF(AK65=0,"",IFERROR(LOOKUP(2,1/((加仓管理!$A$2:$A$1001=A65)*(加仓管理!$G$2:$G$1001&gt;0)),加仓管理!$E$2:$E$1001),""))</f>
        <v/>
      </c>
      <c r="AO65" s="14" t="str">
        <f aca="false">IF(OR(A65="",H65="",H65&lt;=0),"",(E65*H65+SUMIFS(加仓管理!$H$2:$H$1001,加仓管理!$A$2:$A$1001,A65))/AP65)</f>
        <v/>
      </c>
      <c r="AP65" s="13" t="str">
        <f aca="false">IF(OR(A65="",H65="",H65&lt;=0),"",H65+AL65)</f>
        <v/>
      </c>
      <c r="AQ65" s="14" t="str">
        <f aca="false">IF(A65="","",IF(M65&lt;&gt;"",0,IF(OR(H65="",N65=""),"",MAX((E65*H65+SUMIFS(加仓管理!$H$2:$H$1001,加仓管理!$A$2:$A$1001,A65))-MAX(N65,AN65)*AP65,0))))</f>
        <v/>
      </c>
      <c r="AR65" s="15" t="str">
        <f aca="false">IF(A65="","",IF(OR(E65="",H65=""),"违规：首次买入价格或股数缺失",IF(COUNTIFS(加仓管理!$A$2:$A$1001,A65,加仓管理!$R$2:$R$1001,"违规*")&gt;0,"违规：请检查加仓管理表",IF(SUM($AQ$2:$AQ$201)&gt;账户数据!$B$7,"预警：超过账户风险上限",IF(COUNTIFS(加仓管理!$A$2:$A$1001,A65,加仓管理!$N$2:$N$1001,"&gt;0",加仓管理!$G$2:$G$1001,"")&gt;0,"提示：存在待执行加仓计划","通过")))))</f>
        <v/>
      </c>
    </row>
    <row r="66" customFormat="false" ht="13.5" hidden="false" customHeight="false" outlineLevel="0" collapsed="false">
      <c r="A66" s="4"/>
      <c r="B66" s="4"/>
      <c r="C66" s="5"/>
      <c r="D66" s="6"/>
      <c r="E66" s="5"/>
      <c r="F66" s="7" t="str">
        <f aca="false">IF(OR(C66="",D66="",E66="",N66="",C66&lt;=0,D66&lt;=0,E66&lt;=N66),"",ROUNDDOWN((C66*D66)/(E66-N66)/100,0)*100)</f>
        <v/>
      </c>
      <c r="G66" s="7" t="str">
        <f aca="false">IF(A66="","",IF(H66&lt;&gt;"","已开仓",IF(账户数据!$B$23="已锁仓","禁止开仓：连续亏损达到上限",IF(账户数据!$B$23="解锁信息不完整","禁止开仓：请完整填写解锁信息",IF(OR(F66="",E66="",N66="",E66&lt;=N66,账户数据!$B$7=""),"",IF(OR(AG66="",AH66="",AI66=""),"禁止开仓：交易预期未填写完整",IF(账户数据!$B$9+F66*(E66-N66)&gt;=账户数据!$B$7,"禁止开仓：风险额度不足",IF(AJ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6" s="4"/>
      <c r="I66" s="8"/>
      <c r="J66" s="5"/>
      <c r="K66" s="5"/>
      <c r="L66" s="7" t="str">
        <f aca="false">IF(AP66="","",AP66)</f>
        <v/>
      </c>
      <c r="M66" s="8"/>
      <c r="N66" s="5"/>
      <c r="O66" s="5"/>
      <c r="P66" s="5"/>
      <c r="Q66" s="4"/>
      <c r="R66" s="4"/>
      <c r="S66" s="4"/>
      <c r="T66" s="4"/>
      <c r="U66" s="9" t="str">
        <f aca="false">IF(OR(AO66="",J66="",AO66&lt;=0),"",(J66-AO66)/AO66)</f>
        <v/>
      </c>
      <c r="V66" s="9" t="str">
        <f aca="false">IF(OR(AO66="",N66="",AO66&lt;=0),"",(AO66-N66)/AO66)</f>
        <v/>
      </c>
      <c r="W66" s="10" t="str">
        <f aca="false">IF(OR(U66="",V66="",V66&lt;=0),"",U66/V66)</f>
        <v/>
      </c>
      <c r="X66" s="11" t="str">
        <f aca="false">IF(OR(K66="",L66="",AO66="",AP66=""),"",(K66-AO66)*L66-IF(O66="",0,O66)-IF(P66="",0,P66))</f>
        <v/>
      </c>
      <c r="Y66" s="9" t="str">
        <f aca="false">IF(OR(X66="",AO66="",L66=""),"",IF(AO66*L66+IF(O66="",0,O66)&lt;=0,"",X66/(AO66*L66+IF(O66="",0,O66))))</f>
        <v/>
      </c>
      <c r="Z66" s="9" t="str">
        <f aca="false">IF(OR(AE66="",多次统计数据!$B$8=""),"",AE66-多次统计数据!$B$8)</f>
        <v/>
      </c>
      <c r="AA66" s="12" t="str">
        <f aca="false">IF(OR(I66="",M66="",M66&lt;I66),"",M66-I66)</f>
        <v/>
      </c>
      <c r="AB66" s="9" t="str">
        <f aca="false">IF(OR(A66="",多次统计数据!$B$8="",多次统计数据!$B$6&lt;=0,多次统计数据!$B$6&gt;=1),"",1-POWER(1+多次统计数据!$B$8,-多次统计数据!$B$6/(1-多次统计数据!$B$6)))</f>
        <v/>
      </c>
      <c r="AC66" s="7" t="str">
        <f aca="false">IF(OR(AB66="",多次统计数据!$B$9=""),"",IF(多次统计数据!$B$9&lt;AB66,"低于上限","达到或超过上限"))</f>
        <v/>
      </c>
      <c r="AD66" s="4"/>
      <c r="AE66" s="9" t="str">
        <f aca="false">IF(OR(X66="",C66="",C66&lt;=0),"",X66/C66)</f>
        <v/>
      </c>
      <c r="AG66" s="4"/>
      <c r="AH66" s="4"/>
      <c r="AI66" s="4"/>
      <c r="AJ66" s="7" t="str">
        <f aca="false">IF(OR(AG66="",AH66=""),"",IF(OR(AND(AG66="短期博反弹",OR(AH66="1～3个交易日",AH66="4～10个交易日")),AND(AG66="突破冲新高",OR(AH66="4～10个交易日",AH66="11～20个交易日")),AND(AG66="趋势波段",OR(AH66="11～20个交易日",AH66="21～60个交易日",AH66="60个交易日以上"))),"匹配","周期与交易预期不匹配，请重新确认"))</f>
        <v/>
      </c>
      <c r="AK66" s="13" t="str">
        <f aca="false">IF(A66="","",COUNTIFS(加仓管理!$A$2:$A$1001,A66,加仓管理!$G$2:$G$1001,"&gt;0"))</f>
        <v/>
      </c>
      <c r="AL66" s="13" t="str">
        <f aca="false">IF(A66="","",SUMIFS(加仓管理!$G$2:$G$1001,加仓管理!$A$2:$A$1001,A66))</f>
        <v/>
      </c>
      <c r="AM66" s="14" t="str">
        <f aca="false">IF(AK66=0,"",IFERROR(LOOKUP(2,1/((加仓管理!$A$2:$A$1001=A66)*(加仓管理!$G$2:$G$1001&gt;0)),加仓管理!$D$2:$D$1001),""))</f>
        <v/>
      </c>
      <c r="AN66" s="14" t="str">
        <f aca="false">IF(AK66=0,"",IFERROR(LOOKUP(2,1/((加仓管理!$A$2:$A$1001=A66)*(加仓管理!$G$2:$G$1001&gt;0)),加仓管理!$E$2:$E$1001),""))</f>
        <v/>
      </c>
      <c r="AO66" s="14" t="str">
        <f aca="false">IF(OR(A66="",H66="",H66&lt;=0),"",(E66*H66+SUMIFS(加仓管理!$H$2:$H$1001,加仓管理!$A$2:$A$1001,A66))/AP66)</f>
        <v/>
      </c>
      <c r="AP66" s="13" t="str">
        <f aca="false">IF(OR(A66="",H66="",H66&lt;=0),"",H66+AL66)</f>
        <v/>
      </c>
      <c r="AQ66" s="14" t="str">
        <f aca="false">IF(A66="","",IF(M66&lt;&gt;"",0,IF(OR(H66="",N66=""),"",MAX((E66*H66+SUMIFS(加仓管理!$H$2:$H$1001,加仓管理!$A$2:$A$1001,A66))-MAX(N66,AN66)*AP66,0))))</f>
        <v/>
      </c>
      <c r="AR66" s="15" t="str">
        <f aca="false">IF(A66="","",IF(OR(E66="",H66=""),"违规：首次买入价格或股数缺失",IF(COUNTIFS(加仓管理!$A$2:$A$1001,A66,加仓管理!$R$2:$R$1001,"违规*")&gt;0,"违规：请检查加仓管理表",IF(SUM($AQ$2:$AQ$201)&gt;账户数据!$B$7,"预警：超过账户风险上限",IF(COUNTIFS(加仓管理!$A$2:$A$1001,A66,加仓管理!$N$2:$N$1001,"&gt;0",加仓管理!$G$2:$G$1001,"")&gt;0,"提示：存在待执行加仓计划","通过")))))</f>
        <v/>
      </c>
    </row>
    <row r="67" customFormat="false" ht="13.5" hidden="false" customHeight="false" outlineLevel="0" collapsed="false">
      <c r="A67" s="4"/>
      <c r="B67" s="4"/>
      <c r="C67" s="5"/>
      <c r="D67" s="6"/>
      <c r="E67" s="5"/>
      <c r="F67" s="7" t="str">
        <f aca="false">IF(OR(C67="",D67="",E67="",N67="",C67&lt;=0,D67&lt;=0,E67&lt;=N67),"",ROUNDDOWN((C67*D67)/(E67-N67)/100,0)*100)</f>
        <v/>
      </c>
      <c r="G67" s="7" t="str">
        <f aca="false">IF(A67="","",IF(H67&lt;&gt;"","已开仓",IF(账户数据!$B$23="已锁仓","禁止开仓：连续亏损达到上限",IF(账户数据!$B$23="解锁信息不完整","禁止开仓：请完整填写解锁信息",IF(OR(F67="",E67="",N67="",E67&lt;=N67,账户数据!$B$7=""),"",IF(OR(AG67="",AH67="",AI67=""),"禁止开仓：交易预期未填写完整",IF(账户数据!$B$9+F67*(E67-N67)&gt;=账户数据!$B$7,"禁止开仓：风险额度不足",IF(AJ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7" s="4"/>
      <c r="I67" s="8"/>
      <c r="J67" s="5"/>
      <c r="K67" s="5"/>
      <c r="L67" s="7" t="str">
        <f aca="false">IF(AP67="","",AP67)</f>
        <v/>
      </c>
      <c r="M67" s="8"/>
      <c r="N67" s="5"/>
      <c r="O67" s="5"/>
      <c r="P67" s="5"/>
      <c r="Q67" s="4"/>
      <c r="R67" s="4"/>
      <c r="S67" s="4"/>
      <c r="T67" s="4"/>
      <c r="U67" s="9" t="str">
        <f aca="false">IF(OR(AO67="",J67="",AO67&lt;=0),"",(J67-AO67)/AO67)</f>
        <v/>
      </c>
      <c r="V67" s="9" t="str">
        <f aca="false">IF(OR(AO67="",N67="",AO67&lt;=0),"",(AO67-N67)/AO67)</f>
        <v/>
      </c>
      <c r="W67" s="10" t="str">
        <f aca="false">IF(OR(U67="",V67="",V67&lt;=0),"",U67/V67)</f>
        <v/>
      </c>
      <c r="X67" s="11" t="str">
        <f aca="false">IF(OR(K67="",L67="",AO67="",AP67=""),"",(K67-AO67)*L67-IF(O67="",0,O67)-IF(P67="",0,P67))</f>
        <v/>
      </c>
      <c r="Y67" s="9" t="str">
        <f aca="false">IF(OR(X67="",AO67="",L67=""),"",IF(AO67*L67+IF(O67="",0,O67)&lt;=0,"",X67/(AO67*L67+IF(O67="",0,O67))))</f>
        <v/>
      </c>
      <c r="Z67" s="9" t="str">
        <f aca="false">IF(OR(AE67="",多次统计数据!$B$8=""),"",AE67-多次统计数据!$B$8)</f>
        <v/>
      </c>
      <c r="AA67" s="12" t="str">
        <f aca="false">IF(OR(I67="",M67="",M67&lt;I67),"",M67-I67)</f>
        <v/>
      </c>
      <c r="AB67" s="9" t="str">
        <f aca="false">IF(OR(A67="",多次统计数据!$B$8="",多次统计数据!$B$6&lt;=0,多次统计数据!$B$6&gt;=1),"",1-POWER(1+多次统计数据!$B$8,-多次统计数据!$B$6/(1-多次统计数据!$B$6)))</f>
        <v/>
      </c>
      <c r="AC67" s="7" t="str">
        <f aca="false">IF(OR(AB67="",多次统计数据!$B$9=""),"",IF(多次统计数据!$B$9&lt;AB67,"低于上限","达到或超过上限"))</f>
        <v/>
      </c>
      <c r="AD67" s="4"/>
      <c r="AE67" s="9" t="str">
        <f aca="false">IF(OR(X67="",C67="",C67&lt;=0),"",X67/C67)</f>
        <v/>
      </c>
      <c r="AG67" s="4"/>
      <c r="AH67" s="4"/>
      <c r="AI67" s="4"/>
      <c r="AJ67" s="7" t="str">
        <f aca="false">IF(OR(AG67="",AH67=""),"",IF(OR(AND(AG67="短期博反弹",OR(AH67="1～3个交易日",AH67="4～10个交易日")),AND(AG67="突破冲新高",OR(AH67="4～10个交易日",AH67="11～20个交易日")),AND(AG67="趋势波段",OR(AH67="11～20个交易日",AH67="21～60个交易日",AH67="60个交易日以上"))),"匹配","周期与交易预期不匹配，请重新确认"))</f>
        <v/>
      </c>
      <c r="AK67" s="13" t="str">
        <f aca="false">IF(A67="","",COUNTIFS(加仓管理!$A$2:$A$1001,A67,加仓管理!$G$2:$G$1001,"&gt;0"))</f>
        <v/>
      </c>
      <c r="AL67" s="13" t="str">
        <f aca="false">IF(A67="","",SUMIFS(加仓管理!$G$2:$G$1001,加仓管理!$A$2:$A$1001,A67))</f>
        <v/>
      </c>
      <c r="AM67" s="14" t="str">
        <f aca="false">IF(AK67=0,"",IFERROR(LOOKUP(2,1/((加仓管理!$A$2:$A$1001=A67)*(加仓管理!$G$2:$G$1001&gt;0)),加仓管理!$D$2:$D$1001),""))</f>
        <v/>
      </c>
      <c r="AN67" s="14" t="str">
        <f aca="false">IF(AK67=0,"",IFERROR(LOOKUP(2,1/((加仓管理!$A$2:$A$1001=A67)*(加仓管理!$G$2:$G$1001&gt;0)),加仓管理!$E$2:$E$1001),""))</f>
        <v/>
      </c>
      <c r="AO67" s="14" t="str">
        <f aca="false">IF(OR(A67="",H67="",H67&lt;=0),"",(E67*H67+SUMIFS(加仓管理!$H$2:$H$1001,加仓管理!$A$2:$A$1001,A67))/AP67)</f>
        <v/>
      </c>
      <c r="AP67" s="13" t="str">
        <f aca="false">IF(OR(A67="",H67="",H67&lt;=0),"",H67+AL67)</f>
        <v/>
      </c>
      <c r="AQ67" s="14" t="str">
        <f aca="false">IF(A67="","",IF(M67&lt;&gt;"",0,IF(OR(H67="",N67=""),"",MAX((E67*H67+SUMIFS(加仓管理!$H$2:$H$1001,加仓管理!$A$2:$A$1001,A67))-MAX(N67,AN67)*AP67,0))))</f>
        <v/>
      </c>
      <c r="AR67" s="15" t="str">
        <f aca="false">IF(A67="","",IF(OR(E67="",H67=""),"违规：首次买入价格或股数缺失",IF(COUNTIFS(加仓管理!$A$2:$A$1001,A67,加仓管理!$R$2:$R$1001,"违规*")&gt;0,"违规：请检查加仓管理表",IF(SUM($AQ$2:$AQ$201)&gt;账户数据!$B$7,"预警：超过账户风险上限",IF(COUNTIFS(加仓管理!$A$2:$A$1001,A67,加仓管理!$N$2:$N$1001,"&gt;0",加仓管理!$G$2:$G$1001,"")&gt;0,"提示：存在待执行加仓计划","通过")))))</f>
        <v/>
      </c>
    </row>
    <row r="68" customFormat="false" ht="13.5" hidden="false" customHeight="false" outlineLevel="0" collapsed="false">
      <c r="A68" s="4"/>
      <c r="B68" s="4"/>
      <c r="C68" s="5"/>
      <c r="D68" s="6"/>
      <c r="E68" s="5"/>
      <c r="F68" s="7" t="str">
        <f aca="false">IF(OR(C68="",D68="",E68="",N68="",C68&lt;=0,D68&lt;=0,E68&lt;=N68),"",ROUNDDOWN((C68*D68)/(E68-N68)/100,0)*100)</f>
        <v/>
      </c>
      <c r="G68" s="7" t="str">
        <f aca="false">IF(A68="","",IF(H68&lt;&gt;"","已开仓",IF(账户数据!$B$23="已锁仓","禁止开仓：连续亏损达到上限",IF(账户数据!$B$23="解锁信息不完整","禁止开仓：请完整填写解锁信息",IF(OR(F68="",E68="",N68="",E68&lt;=N68,账户数据!$B$7=""),"",IF(OR(AG68="",AH68="",AI68=""),"禁止开仓：交易预期未填写完整",IF(账户数据!$B$9+F68*(E68-N68)&gt;=账户数据!$B$7,"禁止开仓：风险额度不足",IF(AJ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8" s="4"/>
      <c r="I68" s="8"/>
      <c r="J68" s="5"/>
      <c r="K68" s="5"/>
      <c r="L68" s="7" t="str">
        <f aca="false">IF(AP68="","",AP68)</f>
        <v/>
      </c>
      <c r="M68" s="8"/>
      <c r="N68" s="5"/>
      <c r="O68" s="5"/>
      <c r="P68" s="5"/>
      <c r="Q68" s="4"/>
      <c r="R68" s="4"/>
      <c r="S68" s="4"/>
      <c r="T68" s="4"/>
      <c r="U68" s="9" t="str">
        <f aca="false">IF(OR(AO68="",J68="",AO68&lt;=0),"",(J68-AO68)/AO68)</f>
        <v/>
      </c>
      <c r="V68" s="9" t="str">
        <f aca="false">IF(OR(AO68="",N68="",AO68&lt;=0),"",(AO68-N68)/AO68)</f>
        <v/>
      </c>
      <c r="W68" s="10" t="str">
        <f aca="false">IF(OR(U68="",V68="",V68&lt;=0),"",U68/V68)</f>
        <v/>
      </c>
      <c r="X68" s="11" t="str">
        <f aca="false">IF(OR(K68="",L68="",AO68="",AP68=""),"",(K68-AO68)*L68-IF(O68="",0,O68)-IF(P68="",0,P68))</f>
        <v/>
      </c>
      <c r="Y68" s="9" t="str">
        <f aca="false">IF(OR(X68="",AO68="",L68=""),"",IF(AO68*L68+IF(O68="",0,O68)&lt;=0,"",X68/(AO68*L68+IF(O68="",0,O68))))</f>
        <v/>
      </c>
      <c r="Z68" s="9" t="str">
        <f aca="false">IF(OR(AE68="",多次统计数据!$B$8=""),"",AE68-多次统计数据!$B$8)</f>
        <v/>
      </c>
      <c r="AA68" s="12" t="str">
        <f aca="false">IF(OR(I68="",M68="",M68&lt;I68),"",M68-I68)</f>
        <v/>
      </c>
      <c r="AB68" s="9" t="str">
        <f aca="false">IF(OR(A68="",多次统计数据!$B$8="",多次统计数据!$B$6&lt;=0,多次统计数据!$B$6&gt;=1),"",1-POWER(1+多次统计数据!$B$8,-多次统计数据!$B$6/(1-多次统计数据!$B$6)))</f>
        <v/>
      </c>
      <c r="AC68" s="7" t="str">
        <f aca="false">IF(OR(AB68="",多次统计数据!$B$9=""),"",IF(多次统计数据!$B$9&lt;AB68,"低于上限","达到或超过上限"))</f>
        <v/>
      </c>
      <c r="AD68" s="4"/>
      <c r="AE68" s="9" t="str">
        <f aca="false">IF(OR(X68="",C68="",C68&lt;=0),"",X68/C68)</f>
        <v/>
      </c>
      <c r="AG68" s="4"/>
      <c r="AH68" s="4"/>
      <c r="AI68" s="4"/>
      <c r="AJ68" s="7" t="str">
        <f aca="false">IF(OR(AG68="",AH68=""),"",IF(OR(AND(AG68="短期博反弹",OR(AH68="1～3个交易日",AH68="4～10个交易日")),AND(AG68="突破冲新高",OR(AH68="4～10个交易日",AH68="11～20个交易日")),AND(AG68="趋势波段",OR(AH68="11～20个交易日",AH68="21～60个交易日",AH68="60个交易日以上"))),"匹配","周期与交易预期不匹配，请重新确认"))</f>
        <v/>
      </c>
      <c r="AK68" s="13" t="str">
        <f aca="false">IF(A68="","",COUNTIFS(加仓管理!$A$2:$A$1001,A68,加仓管理!$G$2:$G$1001,"&gt;0"))</f>
        <v/>
      </c>
      <c r="AL68" s="13" t="str">
        <f aca="false">IF(A68="","",SUMIFS(加仓管理!$G$2:$G$1001,加仓管理!$A$2:$A$1001,A68))</f>
        <v/>
      </c>
      <c r="AM68" s="14" t="str">
        <f aca="false">IF(AK68=0,"",IFERROR(LOOKUP(2,1/((加仓管理!$A$2:$A$1001=A68)*(加仓管理!$G$2:$G$1001&gt;0)),加仓管理!$D$2:$D$1001),""))</f>
        <v/>
      </c>
      <c r="AN68" s="14" t="str">
        <f aca="false">IF(AK68=0,"",IFERROR(LOOKUP(2,1/((加仓管理!$A$2:$A$1001=A68)*(加仓管理!$G$2:$G$1001&gt;0)),加仓管理!$E$2:$E$1001),""))</f>
        <v/>
      </c>
      <c r="AO68" s="14" t="str">
        <f aca="false">IF(OR(A68="",H68="",H68&lt;=0),"",(E68*H68+SUMIFS(加仓管理!$H$2:$H$1001,加仓管理!$A$2:$A$1001,A68))/AP68)</f>
        <v/>
      </c>
      <c r="AP68" s="13" t="str">
        <f aca="false">IF(OR(A68="",H68="",H68&lt;=0),"",H68+AL68)</f>
        <v/>
      </c>
      <c r="AQ68" s="14" t="str">
        <f aca="false">IF(A68="","",IF(M68&lt;&gt;"",0,IF(OR(H68="",N68=""),"",MAX((E68*H68+SUMIFS(加仓管理!$H$2:$H$1001,加仓管理!$A$2:$A$1001,A68))-MAX(N68,AN68)*AP68,0))))</f>
        <v/>
      </c>
      <c r="AR68" s="15" t="str">
        <f aca="false">IF(A68="","",IF(OR(E68="",H68=""),"违规：首次买入价格或股数缺失",IF(COUNTIFS(加仓管理!$A$2:$A$1001,A68,加仓管理!$R$2:$R$1001,"违规*")&gt;0,"违规：请检查加仓管理表",IF(SUM($AQ$2:$AQ$201)&gt;账户数据!$B$7,"预警：超过账户风险上限",IF(COUNTIFS(加仓管理!$A$2:$A$1001,A68,加仓管理!$N$2:$N$1001,"&gt;0",加仓管理!$G$2:$G$1001,"")&gt;0,"提示：存在待执行加仓计划","通过")))))</f>
        <v/>
      </c>
    </row>
    <row r="69" customFormat="false" ht="13.5" hidden="false" customHeight="false" outlineLevel="0" collapsed="false">
      <c r="A69" s="4"/>
      <c r="B69" s="4"/>
      <c r="C69" s="5"/>
      <c r="D69" s="6"/>
      <c r="E69" s="5"/>
      <c r="F69" s="7" t="str">
        <f aca="false">IF(OR(C69="",D69="",E69="",N69="",C69&lt;=0,D69&lt;=0,E69&lt;=N69),"",ROUNDDOWN((C69*D69)/(E69-N69)/100,0)*100)</f>
        <v/>
      </c>
      <c r="G69" s="7" t="str">
        <f aca="false">IF(A69="","",IF(H69&lt;&gt;"","已开仓",IF(账户数据!$B$23="已锁仓","禁止开仓：连续亏损达到上限",IF(账户数据!$B$23="解锁信息不完整","禁止开仓：请完整填写解锁信息",IF(OR(F69="",E69="",N69="",E69&lt;=N69,账户数据!$B$7=""),"",IF(OR(AG69="",AH69="",AI69=""),"禁止开仓：交易预期未填写完整",IF(账户数据!$B$9+F69*(E69-N69)&gt;=账户数据!$B$7,"禁止开仓：风险额度不足",IF(AJ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9" s="4"/>
      <c r="I69" s="8"/>
      <c r="J69" s="5"/>
      <c r="K69" s="5"/>
      <c r="L69" s="7" t="str">
        <f aca="false">IF(AP69="","",AP69)</f>
        <v/>
      </c>
      <c r="M69" s="8"/>
      <c r="N69" s="5"/>
      <c r="O69" s="5"/>
      <c r="P69" s="5"/>
      <c r="Q69" s="4"/>
      <c r="R69" s="4"/>
      <c r="S69" s="4"/>
      <c r="T69" s="4"/>
      <c r="U69" s="9" t="str">
        <f aca="false">IF(OR(AO69="",J69="",AO69&lt;=0),"",(J69-AO69)/AO69)</f>
        <v/>
      </c>
      <c r="V69" s="9" t="str">
        <f aca="false">IF(OR(AO69="",N69="",AO69&lt;=0),"",(AO69-N69)/AO69)</f>
        <v/>
      </c>
      <c r="W69" s="10" t="str">
        <f aca="false">IF(OR(U69="",V69="",V69&lt;=0),"",U69/V69)</f>
        <v/>
      </c>
      <c r="X69" s="11" t="str">
        <f aca="false">IF(OR(K69="",L69="",AO69="",AP69=""),"",(K69-AO69)*L69-IF(O69="",0,O69)-IF(P69="",0,P69))</f>
        <v/>
      </c>
      <c r="Y69" s="9" t="str">
        <f aca="false">IF(OR(X69="",AO69="",L69=""),"",IF(AO69*L69+IF(O69="",0,O69)&lt;=0,"",X69/(AO69*L69+IF(O69="",0,O69))))</f>
        <v/>
      </c>
      <c r="Z69" s="9" t="str">
        <f aca="false">IF(OR(AE69="",多次统计数据!$B$8=""),"",AE69-多次统计数据!$B$8)</f>
        <v/>
      </c>
      <c r="AA69" s="12" t="str">
        <f aca="false">IF(OR(I69="",M69="",M69&lt;I69),"",M69-I69)</f>
        <v/>
      </c>
      <c r="AB69" s="9" t="str">
        <f aca="false">IF(OR(A69="",多次统计数据!$B$8="",多次统计数据!$B$6&lt;=0,多次统计数据!$B$6&gt;=1),"",1-POWER(1+多次统计数据!$B$8,-多次统计数据!$B$6/(1-多次统计数据!$B$6)))</f>
        <v/>
      </c>
      <c r="AC69" s="7" t="str">
        <f aca="false">IF(OR(AB69="",多次统计数据!$B$9=""),"",IF(多次统计数据!$B$9&lt;AB69,"低于上限","达到或超过上限"))</f>
        <v/>
      </c>
      <c r="AD69" s="4"/>
      <c r="AE69" s="9" t="str">
        <f aca="false">IF(OR(X69="",C69="",C69&lt;=0),"",X69/C69)</f>
        <v/>
      </c>
      <c r="AG69" s="4"/>
      <c r="AH69" s="4"/>
      <c r="AI69" s="4"/>
      <c r="AJ69" s="7" t="str">
        <f aca="false">IF(OR(AG69="",AH69=""),"",IF(OR(AND(AG69="短期博反弹",OR(AH69="1～3个交易日",AH69="4～10个交易日")),AND(AG69="突破冲新高",OR(AH69="4～10个交易日",AH69="11～20个交易日")),AND(AG69="趋势波段",OR(AH69="11～20个交易日",AH69="21～60个交易日",AH69="60个交易日以上"))),"匹配","周期与交易预期不匹配，请重新确认"))</f>
        <v/>
      </c>
      <c r="AK69" s="13" t="str">
        <f aca="false">IF(A69="","",COUNTIFS(加仓管理!$A$2:$A$1001,A69,加仓管理!$G$2:$G$1001,"&gt;0"))</f>
        <v/>
      </c>
      <c r="AL69" s="13" t="str">
        <f aca="false">IF(A69="","",SUMIFS(加仓管理!$G$2:$G$1001,加仓管理!$A$2:$A$1001,A69))</f>
        <v/>
      </c>
      <c r="AM69" s="14" t="str">
        <f aca="false">IF(AK69=0,"",IFERROR(LOOKUP(2,1/((加仓管理!$A$2:$A$1001=A69)*(加仓管理!$G$2:$G$1001&gt;0)),加仓管理!$D$2:$D$1001),""))</f>
        <v/>
      </c>
      <c r="AN69" s="14" t="str">
        <f aca="false">IF(AK69=0,"",IFERROR(LOOKUP(2,1/((加仓管理!$A$2:$A$1001=A69)*(加仓管理!$G$2:$G$1001&gt;0)),加仓管理!$E$2:$E$1001),""))</f>
        <v/>
      </c>
      <c r="AO69" s="14" t="str">
        <f aca="false">IF(OR(A69="",H69="",H69&lt;=0),"",(E69*H69+SUMIFS(加仓管理!$H$2:$H$1001,加仓管理!$A$2:$A$1001,A69))/AP69)</f>
        <v/>
      </c>
      <c r="AP69" s="13" t="str">
        <f aca="false">IF(OR(A69="",H69="",H69&lt;=0),"",H69+AL69)</f>
        <v/>
      </c>
      <c r="AQ69" s="14" t="str">
        <f aca="false">IF(A69="","",IF(M69&lt;&gt;"",0,IF(OR(H69="",N69=""),"",MAX((E69*H69+SUMIFS(加仓管理!$H$2:$H$1001,加仓管理!$A$2:$A$1001,A69))-MAX(N69,AN69)*AP69,0))))</f>
        <v/>
      </c>
      <c r="AR69" s="15" t="str">
        <f aca="false">IF(A69="","",IF(OR(E69="",H69=""),"违规：首次买入价格或股数缺失",IF(COUNTIFS(加仓管理!$A$2:$A$1001,A69,加仓管理!$R$2:$R$1001,"违规*")&gt;0,"违规：请检查加仓管理表",IF(SUM($AQ$2:$AQ$201)&gt;账户数据!$B$7,"预警：超过账户风险上限",IF(COUNTIFS(加仓管理!$A$2:$A$1001,A69,加仓管理!$N$2:$N$1001,"&gt;0",加仓管理!$G$2:$G$1001,"")&gt;0,"提示：存在待执行加仓计划","通过")))))</f>
        <v/>
      </c>
    </row>
    <row r="70" customFormat="false" ht="13.5" hidden="false" customHeight="false" outlineLevel="0" collapsed="false">
      <c r="A70" s="4"/>
      <c r="B70" s="4"/>
      <c r="C70" s="5"/>
      <c r="D70" s="6"/>
      <c r="E70" s="5"/>
      <c r="F70" s="7" t="str">
        <f aca="false">IF(OR(C70="",D70="",E70="",N70="",C70&lt;=0,D70&lt;=0,E70&lt;=N70),"",ROUNDDOWN((C70*D70)/(E70-N70)/100,0)*100)</f>
        <v/>
      </c>
      <c r="G70" s="7" t="str">
        <f aca="false">IF(A70="","",IF(H70&lt;&gt;"","已开仓",IF(账户数据!$B$23="已锁仓","禁止开仓：连续亏损达到上限",IF(账户数据!$B$23="解锁信息不完整","禁止开仓：请完整填写解锁信息",IF(OR(F70="",E70="",N70="",E70&lt;=N70,账户数据!$B$7=""),"",IF(OR(AG70="",AH70="",AI70=""),"禁止开仓：交易预期未填写完整",IF(账户数据!$B$9+F70*(E70-N70)&gt;=账户数据!$B$7,"禁止开仓：风险额度不足",IF(AJ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0" s="4"/>
      <c r="I70" s="8"/>
      <c r="J70" s="5"/>
      <c r="K70" s="5"/>
      <c r="L70" s="7" t="str">
        <f aca="false">IF(AP70="","",AP70)</f>
        <v/>
      </c>
      <c r="M70" s="8"/>
      <c r="N70" s="5"/>
      <c r="O70" s="5"/>
      <c r="P70" s="5"/>
      <c r="Q70" s="4"/>
      <c r="R70" s="4"/>
      <c r="S70" s="4"/>
      <c r="T70" s="4"/>
      <c r="U70" s="9" t="str">
        <f aca="false">IF(OR(AO70="",J70="",AO70&lt;=0),"",(J70-AO70)/AO70)</f>
        <v/>
      </c>
      <c r="V70" s="9" t="str">
        <f aca="false">IF(OR(AO70="",N70="",AO70&lt;=0),"",(AO70-N70)/AO70)</f>
        <v/>
      </c>
      <c r="W70" s="10" t="str">
        <f aca="false">IF(OR(U70="",V70="",V70&lt;=0),"",U70/V70)</f>
        <v/>
      </c>
      <c r="X70" s="11" t="str">
        <f aca="false">IF(OR(K70="",L70="",AO70="",AP70=""),"",(K70-AO70)*L70-IF(O70="",0,O70)-IF(P70="",0,P70))</f>
        <v/>
      </c>
      <c r="Y70" s="9" t="str">
        <f aca="false">IF(OR(X70="",AO70="",L70=""),"",IF(AO70*L70+IF(O70="",0,O70)&lt;=0,"",X70/(AO70*L70+IF(O70="",0,O70))))</f>
        <v/>
      </c>
      <c r="Z70" s="9" t="str">
        <f aca="false">IF(OR(AE70="",多次统计数据!$B$8=""),"",AE70-多次统计数据!$B$8)</f>
        <v/>
      </c>
      <c r="AA70" s="12" t="str">
        <f aca="false">IF(OR(I70="",M70="",M70&lt;I70),"",M70-I70)</f>
        <v/>
      </c>
      <c r="AB70" s="9" t="str">
        <f aca="false">IF(OR(A70="",多次统计数据!$B$8="",多次统计数据!$B$6&lt;=0,多次统计数据!$B$6&gt;=1),"",1-POWER(1+多次统计数据!$B$8,-多次统计数据!$B$6/(1-多次统计数据!$B$6)))</f>
        <v/>
      </c>
      <c r="AC70" s="7" t="str">
        <f aca="false">IF(OR(AB70="",多次统计数据!$B$9=""),"",IF(多次统计数据!$B$9&lt;AB70,"低于上限","达到或超过上限"))</f>
        <v/>
      </c>
      <c r="AD70" s="4"/>
      <c r="AE70" s="9" t="str">
        <f aca="false">IF(OR(X70="",C70="",C70&lt;=0),"",X70/C70)</f>
        <v/>
      </c>
      <c r="AG70" s="4"/>
      <c r="AH70" s="4"/>
      <c r="AI70" s="4"/>
      <c r="AJ70" s="7" t="str">
        <f aca="false">IF(OR(AG70="",AH70=""),"",IF(OR(AND(AG70="短期博反弹",OR(AH70="1～3个交易日",AH70="4～10个交易日")),AND(AG70="突破冲新高",OR(AH70="4～10个交易日",AH70="11～20个交易日")),AND(AG70="趋势波段",OR(AH70="11～20个交易日",AH70="21～60个交易日",AH70="60个交易日以上"))),"匹配","周期与交易预期不匹配，请重新确认"))</f>
        <v/>
      </c>
      <c r="AK70" s="13" t="str">
        <f aca="false">IF(A70="","",COUNTIFS(加仓管理!$A$2:$A$1001,A70,加仓管理!$G$2:$G$1001,"&gt;0"))</f>
        <v/>
      </c>
      <c r="AL70" s="13" t="str">
        <f aca="false">IF(A70="","",SUMIFS(加仓管理!$G$2:$G$1001,加仓管理!$A$2:$A$1001,A70))</f>
        <v/>
      </c>
      <c r="AM70" s="14" t="str">
        <f aca="false">IF(AK70=0,"",IFERROR(LOOKUP(2,1/((加仓管理!$A$2:$A$1001=A70)*(加仓管理!$G$2:$G$1001&gt;0)),加仓管理!$D$2:$D$1001),""))</f>
        <v/>
      </c>
      <c r="AN70" s="14" t="str">
        <f aca="false">IF(AK70=0,"",IFERROR(LOOKUP(2,1/((加仓管理!$A$2:$A$1001=A70)*(加仓管理!$G$2:$G$1001&gt;0)),加仓管理!$E$2:$E$1001),""))</f>
        <v/>
      </c>
      <c r="AO70" s="14" t="str">
        <f aca="false">IF(OR(A70="",H70="",H70&lt;=0),"",(E70*H70+SUMIFS(加仓管理!$H$2:$H$1001,加仓管理!$A$2:$A$1001,A70))/AP70)</f>
        <v/>
      </c>
      <c r="AP70" s="13" t="str">
        <f aca="false">IF(OR(A70="",H70="",H70&lt;=0),"",H70+AL70)</f>
        <v/>
      </c>
      <c r="AQ70" s="14" t="str">
        <f aca="false">IF(A70="","",IF(M70&lt;&gt;"",0,IF(OR(H70="",N70=""),"",MAX((E70*H70+SUMIFS(加仓管理!$H$2:$H$1001,加仓管理!$A$2:$A$1001,A70))-MAX(N70,AN70)*AP70,0))))</f>
        <v/>
      </c>
      <c r="AR70" s="15" t="str">
        <f aca="false">IF(A70="","",IF(OR(E70="",H70=""),"违规：首次买入价格或股数缺失",IF(COUNTIFS(加仓管理!$A$2:$A$1001,A70,加仓管理!$R$2:$R$1001,"违规*")&gt;0,"违规：请检查加仓管理表",IF(SUM($AQ$2:$AQ$201)&gt;账户数据!$B$7,"预警：超过账户风险上限",IF(COUNTIFS(加仓管理!$A$2:$A$1001,A70,加仓管理!$N$2:$N$1001,"&gt;0",加仓管理!$G$2:$G$1001,"")&gt;0,"提示：存在待执行加仓计划","通过")))))</f>
        <v/>
      </c>
    </row>
    <row r="71" customFormat="false" ht="13.5" hidden="false" customHeight="false" outlineLevel="0" collapsed="false">
      <c r="A71" s="4"/>
      <c r="B71" s="4"/>
      <c r="C71" s="5"/>
      <c r="D71" s="6"/>
      <c r="E71" s="5"/>
      <c r="F71" s="7" t="str">
        <f aca="false">IF(OR(C71="",D71="",E71="",N71="",C71&lt;=0,D71&lt;=0,E71&lt;=N71),"",ROUNDDOWN((C71*D71)/(E71-N71)/100,0)*100)</f>
        <v/>
      </c>
      <c r="G71" s="7" t="str">
        <f aca="false">IF(A71="","",IF(H71&lt;&gt;"","已开仓",IF(账户数据!$B$23="已锁仓","禁止开仓：连续亏损达到上限",IF(账户数据!$B$23="解锁信息不完整","禁止开仓：请完整填写解锁信息",IF(OR(F71="",E71="",N71="",E71&lt;=N71,账户数据!$B$7=""),"",IF(OR(AG71="",AH71="",AI71=""),"禁止开仓：交易预期未填写完整",IF(账户数据!$B$9+F71*(E71-N71)&gt;=账户数据!$B$7,"禁止开仓：风险额度不足",IF(AJ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1" s="4"/>
      <c r="I71" s="8"/>
      <c r="J71" s="5"/>
      <c r="K71" s="5"/>
      <c r="L71" s="7" t="str">
        <f aca="false">IF(AP71="","",AP71)</f>
        <v/>
      </c>
      <c r="M71" s="8"/>
      <c r="N71" s="5"/>
      <c r="O71" s="5"/>
      <c r="P71" s="5"/>
      <c r="Q71" s="4"/>
      <c r="R71" s="4"/>
      <c r="S71" s="4"/>
      <c r="T71" s="4"/>
      <c r="U71" s="9" t="str">
        <f aca="false">IF(OR(AO71="",J71="",AO71&lt;=0),"",(J71-AO71)/AO71)</f>
        <v/>
      </c>
      <c r="V71" s="9" t="str">
        <f aca="false">IF(OR(AO71="",N71="",AO71&lt;=0),"",(AO71-N71)/AO71)</f>
        <v/>
      </c>
      <c r="W71" s="10" t="str">
        <f aca="false">IF(OR(U71="",V71="",V71&lt;=0),"",U71/V71)</f>
        <v/>
      </c>
      <c r="X71" s="11" t="str">
        <f aca="false">IF(OR(K71="",L71="",AO71="",AP71=""),"",(K71-AO71)*L71-IF(O71="",0,O71)-IF(P71="",0,P71))</f>
        <v/>
      </c>
      <c r="Y71" s="9" t="str">
        <f aca="false">IF(OR(X71="",AO71="",L71=""),"",IF(AO71*L71+IF(O71="",0,O71)&lt;=0,"",X71/(AO71*L71+IF(O71="",0,O71))))</f>
        <v/>
      </c>
      <c r="Z71" s="9" t="str">
        <f aca="false">IF(OR(AE71="",多次统计数据!$B$8=""),"",AE71-多次统计数据!$B$8)</f>
        <v/>
      </c>
      <c r="AA71" s="12" t="str">
        <f aca="false">IF(OR(I71="",M71="",M71&lt;I71),"",M71-I71)</f>
        <v/>
      </c>
      <c r="AB71" s="9" t="str">
        <f aca="false">IF(OR(A71="",多次统计数据!$B$8="",多次统计数据!$B$6&lt;=0,多次统计数据!$B$6&gt;=1),"",1-POWER(1+多次统计数据!$B$8,-多次统计数据!$B$6/(1-多次统计数据!$B$6)))</f>
        <v/>
      </c>
      <c r="AC71" s="7" t="str">
        <f aca="false">IF(OR(AB71="",多次统计数据!$B$9=""),"",IF(多次统计数据!$B$9&lt;AB71,"低于上限","达到或超过上限"))</f>
        <v/>
      </c>
      <c r="AD71" s="4"/>
      <c r="AE71" s="9" t="str">
        <f aca="false">IF(OR(X71="",C71="",C71&lt;=0),"",X71/C71)</f>
        <v/>
      </c>
      <c r="AG71" s="4"/>
      <c r="AH71" s="4"/>
      <c r="AI71" s="4"/>
      <c r="AJ71" s="7" t="str">
        <f aca="false">IF(OR(AG71="",AH71=""),"",IF(OR(AND(AG71="短期博反弹",OR(AH71="1～3个交易日",AH71="4～10个交易日")),AND(AG71="突破冲新高",OR(AH71="4～10个交易日",AH71="11～20个交易日")),AND(AG71="趋势波段",OR(AH71="11～20个交易日",AH71="21～60个交易日",AH71="60个交易日以上"))),"匹配","周期与交易预期不匹配，请重新确认"))</f>
        <v/>
      </c>
      <c r="AK71" s="13" t="str">
        <f aca="false">IF(A71="","",COUNTIFS(加仓管理!$A$2:$A$1001,A71,加仓管理!$G$2:$G$1001,"&gt;0"))</f>
        <v/>
      </c>
      <c r="AL71" s="13" t="str">
        <f aca="false">IF(A71="","",SUMIFS(加仓管理!$G$2:$G$1001,加仓管理!$A$2:$A$1001,A71))</f>
        <v/>
      </c>
      <c r="AM71" s="14" t="str">
        <f aca="false">IF(AK71=0,"",IFERROR(LOOKUP(2,1/((加仓管理!$A$2:$A$1001=A71)*(加仓管理!$G$2:$G$1001&gt;0)),加仓管理!$D$2:$D$1001),""))</f>
        <v/>
      </c>
      <c r="AN71" s="14" t="str">
        <f aca="false">IF(AK71=0,"",IFERROR(LOOKUP(2,1/((加仓管理!$A$2:$A$1001=A71)*(加仓管理!$G$2:$G$1001&gt;0)),加仓管理!$E$2:$E$1001),""))</f>
        <v/>
      </c>
      <c r="AO71" s="14" t="str">
        <f aca="false">IF(OR(A71="",H71="",H71&lt;=0),"",(E71*H71+SUMIFS(加仓管理!$H$2:$H$1001,加仓管理!$A$2:$A$1001,A71))/AP71)</f>
        <v/>
      </c>
      <c r="AP71" s="13" t="str">
        <f aca="false">IF(OR(A71="",H71="",H71&lt;=0),"",H71+AL71)</f>
        <v/>
      </c>
      <c r="AQ71" s="14" t="str">
        <f aca="false">IF(A71="","",IF(M71&lt;&gt;"",0,IF(OR(H71="",N71=""),"",MAX((E71*H71+SUMIFS(加仓管理!$H$2:$H$1001,加仓管理!$A$2:$A$1001,A71))-MAX(N71,AN71)*AP71,0))))</f>
        <v/>
      </c>
      <c r="AR71" s="15" t="str">
        <f aca="false">IF(A71="","",IF(OR(E71="",H71=""),"违规：首次买入价格或股数缺失",IF(COUNTIFS(加仓管理!$A$2:$A$1001,A71,加仓管理!$R$2:$R$1001,"违规*")&gt;0,"违规：请检查加仓管理表",IF(SUM($AQ$2:$AQ$201)&gt;账户数据!$B$7,"预警：超过账户风险上限",IF(COUNTIFS(加仓管理!$A$2:$A$1001,A71,加仓管理!$N$2:$N$1001,"&gt;0",加仓管理!$G$2:$G$1001,"")&gt;0,"提示：存在待执行加仓计划","通过")))))</f>
        <v/>
      </c>
    </row>
    <row r="72" customFormat="false" ht="13.5" hidden="false" customHeight="false" outlineLevel="0" collapsed="false">
      <c r="A72" s="4"/>
      <c r="B72" s="4"/>
      <c r="C72" s="5"/>
      <c r="D72" s="6"/>
      <c r="E72" s="5"/>
      <c r="F72" s="7" t="str">
        <f aca="false">IF(OR(C72="",D72="",E72="",N72="",C72&lt;=0,D72&lt;=0,E72&lt;=N72),"",ROUNDDOWN((C72*D72)/(E72-N72)/100,0)*100)</f>
        <v/>
      </c>
      <c r="G72" s="7" t="str">
        <f aca="false">IF(A72="","",IF(H72&lt;&gt;"","已开仓",IF(账户数据!$B$23="已锁仓","禁止开仓：连续亏损达到上限",IF(账户数据!$B$23="解锁信息不完整","禁止开仓：请完整填写解锁信息",IF(OR(F72="",E72="",N72="",E72&lt;=N72,账户数据!$B$7=""),"",IF(OR(AG72="",AH72="",AI72=""),"禁止开仓：交易预期未填写完整",IF(账户数据!$B$9+F72*(E72-N72)&gt;=账户数据!$B$7,"禁止开仓：风险额度不足",IF(AJ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2" s="4"/>
      <c r="I72" s="8"/>
      <c r="J72" s="5"/>
      <c r="K72" s="5"/>
      <c r="L72" s="7" t="str">
        <f aca="false">IF(AP72="","",AP72)</f>
        <v/>
      </c>
      <c r="M72" s="8"/>
      <c r="N72" s="5"/>
      <c r="O72" s="5"/>
      <c r="P72" s="5"/>
      <c r="Q72" s="4"/>
      <c r="R72" s="4"/>
      <c r="S72" s="4"/>
      <c r="T72" s="4"/>
      <c r="U72" s="9" t="str">
        <f aca="false">IF(OR(AO72="",J72="",AO72&lt;=0),"",(J72-AO72)/AO72)</f>
        <v/>
      </c>
      <c r="V72" s="9" t="str">
        <f aca="false">IF(OR(AO72="",N72="",AO72&lt;=0),"",(AO72-N72)/AO72)</f>
        <v/>
      </c>
      <c r="W72" s="10" t="str">
        <f aca="false">IF(OR(U72="",V72="",V72&lt;=0),"",U72/V72)</f>
        <v/>
      </c>
      <c r="X72" s="11" t="str">
        <f aca="false">IF(OR(K72="",L72="",AO72="",AP72=""),"",(K72-AO72)*L72-IF(O72="",0,O72)-IF(P72="",0,P72))</f>
        <v/>
      </c>
      <c r="Y72" s="9" t="str">
        <f aca="false">IF(OR(X72="",AO72="",L72=""),"",IF(AO72*L72+IF(O72="",0,O72)&lt;=0,"",X72/(AO72*L72+IF(O72="",0,O72))))</f>
        <v/>
      </c>
      <c r="Z72" s="9" t="str">
        <f aca="false">IF(OR(AE72="",多次统计数据!$B$8=""),"",AE72-多次统计数据!$B$8)</f>
        <v/>
      </c>
      <c r="AA72" s="12" t="str">
        <f aca="false">IF(OR(I72="",M72="",M72&lt;I72),"",M72-I72)</f>
        <v/>
      </c>
      <c r="AB72" s="9" t="str">
        <f aca="false">IF(OR(A72="",多次统计数据!$B$8="",多次统计数据!$B$6&lt;=0,多次统计数据!$B$6&gt;=1),"",1-POWER(1+多次统计数据!$B$8,-多次统计数据!$B$6/(1-多次统计数据!$B$6)))</f>
        <v/>
      </c>
      <c r="AC72" s="7" t="str">
        <f aca="false">IF(OR(AB72="",多次统计数据!$B$9=""),"",IF(多次统计数据!$B$9&lt;AB72,"低于上限","达到或超过上限"))</f>
        <v/>
      </c>
      <c r="AD72" s="4"/>
      <c r="AE72" s="9" t="str">
        <f aca="false">IF(OR(X72="",C72="",C72&lt;=0),"",X72/C72)</f>
        <v/>
      </c>
      <c r="AG72" s="4"/>
      <c r="AH72" s="4"/>
      <c r="AI72" s="4"/>
      <c r="AJ72" s="7" t="str">
        <f aca="false">IF(OR(AG72="",AH72=""),"",IF(OR(AND(AG72="短期博反弹",OR(AH72="1～3个交易日",AH72="4～10个交易日")),AND(AG72="突破冲新高",OR(AH72="4～10个交易日",AH72="11～20个交易日")),AND(AG72="趋势波段",OR(AH72="11～20个交易日",AH72="21～60个交易日",AH72="60个交易日以上"))),"匹配","周期与交易预期不匹配，请重新确认"))</f>
        <v/>
      </c>
      <c r="AK72" s="13" t="str">
        <f aca="false">IF(A72="","",COUNTIFS(加仓管理!$A$2:$A$1001,A72,加仓管理!$G$2:$G$1001,"&gt;0"))</f>
        <v/>
      </c>
      <c r="AL72" s="13" t="str">
        <f aca="false">IF(A72="","",SUMIFS(加仓管理!$G$2:$G$1001,加仓管理!$A$2:$A$1001,A72))</f>
        <v/>
      </c>
      <c r="AM72" s="14" t="str">
        <f aca="false">IF(AK72=0,"",IFERROR(LOOKUP(2,1/((加仓管理!$A$2:$A$1001=A72)*(加仓管理!$G$2:$G$1001&gt;0)),加仓管理!$D$2:$D$1001),""))</f>
        <v/>
      </c>
      <c r="AN72" s="14" t="str">
        <f aca="false">IF(AK72=0,"",IFERROR(LOOKUP(2,1/((加仓管理!$A$2:$A$1001=A72)*(加仓管理!$G$2:$G$1001&gt;0)),加仓管理!$E$2:$E$1001),""))</f>
        <v/>
      </c>
      <c r="AO72" s="14" t="str">
        <f aca="false">IF(OR(A72="",H72="",H72&lt;=0),"",(E72*H72+SUMIFS(加仓管理!$H$2:$H$1001,加仓管理!$A$2:$A$1001,A72))/AP72)</f>
        <v/>
      </c>
      <c r="AP72" s="13" t="str">
        <f aca="false">IF(OR(A72="",H72="",H72&lt;=0),"",H72+AL72)</f>
        <v/>
      </c>
      <c r="AQ72" s="14" t="str">
        <f aca="false">IF(A72="","",IF(M72&lt;&gt;"",0,IF(OR(H72="",N72=""),"",MAX((E72*H72+SUMIFS(加仓管理!$H$2:$H$1001,加仓管理!$A$2:$A$1001,A72))-MAX(N72,AN72)*AP72,0))))</f>
        <v/>
      </c>
      <c r="AR72" s="15" t="str">
        <f aca="false">IF(A72="","",IF(OR(E72="",H72=""),"违规：首次买入价格或股数缺失",IF(COUNTIFS(加仓管理!$A$2:$A$1001,A72,加仓管理!$R$2:$R$1001,"违规*")&gt;0,"违规：请检查加仓管理表",IF(SUM($AQ$2:$AQ$201)&gt;账户数据!$B$7,"预警：超过账户风险上限",IF(COUNTIFS(加仓管理!$A$2:$A$1001,A72,加仓管理!$N$2:$N$1001,"&gt;0",加仓管理!$G$2:$G$1001,"")&gt;0,"提示：存在待执行加仓计划","通过")))))</f>
        <v/>
      </c>
    </row>
    <row r="73" customFormat="false" ht="13.5" hidden="false" customHeight="false" outlineLevel="0" collapsed="false">
      <c r="A73" s="4"/>
      <c r="B73" s="4"/>
      <c r="C73" s="5"/>
      <c r="D73" s="6"/>
      <c r="E73" s="5"/>
      <c r="F73" s="7" t="str">
        <f aca="false">IF(OR(C73="",D73="",E73="",N73="",C73&lt;=0,D73&lt;=0,E73&lt;=N73),"",ROUNDDOWN((C73*D73)/(E73-N73)/100,0)*100)</f>
        <v/>
      </c>
      <c r="G73" s="7" t="str">
        <f aca="false">IF(A73="","",IF(H73&lt;&gt;"","已开仓",IF(账户数据!$B$23="已锁仓","禁止开仓：连续亏损达到上限",IF(账户数据!$B$23="解锁信息不完整","禁止开仓：请完整填写解锁信息",IF(OR(F73="",E73="",N73="",E73&lt;=N73,账户数据!$B$7=""),"",IF(OR(AG73="",AH73="",AI73=""),"禁止开仓：交易预期未填写完整",IF(账户数据!$B$9+F73*(E73-N73)&gt;=账户数据!$B$7,"禁止开仓：风险额度不足",IF(AJ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3" s="4"/>
      <c r="I73" s="8"/>
      <c r="J73" s="5"/>
      <c r="K73" s="5"/>
      <c r="L73" s="7" t="str">
        <f aca="false">IF(AP73="","",AP73)</f>
        <v/>
      </c>
      <c r="M73" s="8"/>
      <c r="N73" s="5"/>
      <c r="O73" s="5"/>
      <c r="P73" s="5"/>
      <c r="Q73" s="4"/>
      <c r="R73" s="4"/>
      <c r="S73" s="4"/>
      <c r="T73" s="4"/>
      <c r="U73" s="9" t="str">
        <f aca="false">IF(OR(AO73="",J73="",AO73&lt;=0),"",(J73-AO73)/AO73)</f>
        <v/>
      </c>
      <c r="V73" s="9" t="str">
        <f aca="false">IF(OR(AO73="",N73="",AO73&lt;=0),"",(AO73-N73)/AO73)</f>
        <v/>
      </c>
      <c r="W73" s="10" t="str">
        <f aca="false">IF(OR(U73="",V73="",V73&lt;=0),"",U73/V73)</f>
        <v/>
      </c>
      <c r="X73" s="11" t="str">
        <f aca="false">IF(OR(K73="",L73="",AO73="",AP73=""),"",(K73-AO73)*L73-IF(O73="",0,O73)-IF(P73="",0,P73))</f>
        <v/>
      </c>
      <c r="Y73" s="9" t="str">
        <f aca="false">IF(OR(X73="",AO73="",L73=""),"",IF(AO73*L73+IF(O73="",0,O73)&lt;=0,"",X73/(AO73*L73+IF(O73="",0,O73))))</f>
        <v/>
      </c>
      <c r="Z73" s="9" t="str">
        <f aca="false">IF(OR(AE73="",多次统计数据!$B$8=""),"",AE73-多次统计数据!$B$8)</f>
        <v/>
      </c>
      <c r="AA73" s="12" t="str">
        <f aca="false">IF(OR(I73="",M73="",M73&lt;I73),"",M73-I73)</f>
        <v/>
      </c>
      <c r="AB73" s="9" t="str">
        <f aca="false">IF(OR(A73="",多次统计数据!$B$8="",多次统计数据!$B$6&lt;=0,多次统计数据!$B$6&gt;=1),"",1-POWER(1+多次统计数据!$B$8,-多次统计数据!$B$6/(1-多次统计数据!$B$6)))</f>
        <v/>
      </c>
      <c r="AC73" s="7" t="str">
        <f aca="false">IF(OR(AB73="",多次统计数据!$B$9=""),"",IF(多次统计数据!$B$9&lt;AB73,"低于上限","达到或超过上限"))</f>
        <v/>
      </c>
      <c r="AD73" s="4"/>
      <c r="AE73" s="9" t="str">
        <f aca="false">IF(OR(X73="",C73="",C73&lt;=0),"",X73/C73)</f>
        <v/>
      </c>
      <c r="AG73" s="4"/>
      <c r="AH73" s="4"/>
      <c r="AI73" s="4"/>
      <c r="AJ73" s="7" t="str">
        <f aca="false">IF(OR(AG73="",AH73=""),"",IF(OR(AND(AG73="短期博反弹",OR(AH73="1～3个交易日",AH73="4～10个交易日")),AND(AG73="突破冲新高",OR(AH73="4～10个交易日",AH73="11～20个交易日")),AND(AG73="趋势波段",OR(AH73="11～20个交易日",AH73="21～60个交易日",AH73="60个交易日以上"))),"匹配","周期与交易预期不匹配，请重新确认"))</f>
        <v/>
      </c>
      <c r="AK73" s="13" t="str">
        <f aca="false">IF(A73="","",COUNTIFS(加仓管理!$A$2:$A$1001,A73,加仓管理!$G$2:$G$1001,"&gt;0"))</f>
        <v/>
      </c>
      <c r="AL73" s="13" t="str">
        <f aca="false">IF(A73="","",SUMIFS(加仓管理!$G$2:$G$1001,加仓管理!$A$2:$A$1001,A73))</f>
        <v/>
      </c>
      <c r="AM73" s="14" t="str">
        <f aca="false">IF(AK73=0,"",IFERROR(LOOKUP(2,1/((加仓管理!$A$2:$A$1001=A73)*(加仓管理!$G$2:$G$1001&gt;0)),加仓管理!$D$2:$D$1001),""))</f>
        <v/>
      </c>
      <c r="AN73" s="14" t="str">
        <f aca="false">IF(AK73=0,"",IFERROR(LOOKUP(2,1/((加仓管理!$A$2:$A$1001=A73)*(加仓管理!$G$2:$G$1001&gt;0)),加仓管理!$E$2:$E$1001),""))</f>
        <v/>
      </c>
      <c r="AO73" s="14" t="str">
        <f aca="false">IF(OR(A73="",H73="",H73&lt;=0),"",(E73*H73+SUMIFS(加仓管理!$H$2:$H$1001,加仓管理!$A$2:$A$1001,A73))/AP73)</f>
        <v/>
      </c>
      <c r="AP73" s="13" t="str">
        <f aca="false">IF(OR(A73="",H73="",H73&lt;=0),"",H73+AL73)</f>
        <v/>
      </c>
      <c r="AQ73" s="14" t="str">
        <f aca="false">IF(A73="","",IF(M73&lt;&gt;"",0,IF(OR(H73="",N73=""),"",MAX((E73*H73+SUMIFS(加仓管理!$H$2:$H$1001,加仓管理!$A$2:$A$1001,A73))-MAX(N73,AN73)*AP73,0))))</f>
        <v/>
      </c>
      <c r="AR73" s="15" t="str">
        <f aca="false">IF(A73="","",IF(OR(E73="",H73=""),"违规：首次买入价格或股数缺失",IF(COUNTIFS(加仓管理!$A$2:$A$1001,A73,加仓管理!$R$2:$R$1001,"违规*")&gt;0,"违规：请检查加仓管理表",IF(SUM($AQ$2:$AQ$201)&gt;账户数据!$B$7,"预警：超过账户风险上限",IF(COUNTIFS(加仓管理!$A$2:$A$1001,A73,加仓管理!$N$2:$N$1001,"&gt;0",加仓管理!$G$2:$G$1001,"")&gt;0,"提示：存在待执行加仓计划","通过")))))</f>
        <v/>
      </c>
    </row>
    <row r="74" customFormat="false" ht="13.5" hidden="false" customHeight="false" outlineLevel="0" collapsed="false">
      <c r="A74" s="4"/>
      <c r="B74" s="4"/>
      <c r="C74" s="5"/>
      <c r="D74" s="6"/>
      <c r="E74" s="5"/>
      <c r="F74" s="7" t="str">
        <f aca="false">IF(OR(C74="",D74="",E74="",N74="",C74&lt;=0,D74&lt;=0,E74&lt;=N74),"",ROUNDDOWN((C74*D74)/(E74-N74)/100,0)*100)</f>
        <v/>
      </c>
      <c r="G74" s="7" t="str">
        <f aca="false">IF(A74="","",IF(H74&lt;&gt;"","已开仓",IF(账户数据!$B$23="已锁仓","禁止开仓：连续亏损达到上限",IF(账户数据!$B$23="解锁信息不完整","禁止开仓：请完整填写解锁信息",IF(OR(F74="",E74="",N74="",E74&lt;=N74,账户数据!$B$7=""),"",IF(OR(AG74="",AH74="",AI74=""),"禁止开仓：交易预期未填写完整",IF(账户数据!$B$9+F74*(E74-N74)&gt;=账户数据!$B$7,"禁止开仓：风险额度不足",IF(AJ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4" s="4"/>
      <c r="I74" s="8"/>
      <c r="J74" s="5"/>
      <c r="K74" s="5"/>
      <c r="L74" s="7" t="str">
        <f aca="false">IF(AP74="","",AP74)</f>
        <v/>
      </c>
      <c r="M74" s="8"/>
      <c r="N74" s="5"/>
      <c r="O74" s="5"/>
      <c r="P74" s="5"/>
      <c r="Q74" s="4"/>
      <c r="R74" s="4"/>
      <c r="S74" s="4"/>
      <c r="T74" s="4"/>
      <c r="U74" s="9" t="str">
        <f aca="false">IF(OR(AO74="",J74="",AO74&lt;=0),"",(J74-AO74)/AO74)</f>
        <v/>
      </c>
      <c r="V74" s="9" t="str">
        <f aca="false">IF(OR(AO74="",N74="",AO74&lt;=0),"",(AO74-N74)/AO74)</f>
        <v/>
      </c>
      <c r="W74" s="10" t="str">
        <f aca="false">IF(OR(U74="",V74="",V74&lt;=0),"",U74/V74)</f>
        <v/>
      </c>
      <c r="X74" s="11" t="str">
        <f aca="false">IF(OR(K74="",L74="",AO74="",AP74=""),"",(K74-AO74)*L74-IF(O74="",0,O74)-IF(P74="",0,P74))</f>
        <v/>
      </c>
      <c r="Y74" s="9" t="str">
        <f aca="false">IF(OR(X74="",AO74="",L74=""),"",IF(AO74*L74+IF(O74="",0,O74)&lt;=0,"",X74/(AO74*L74+IF(O74="",0,O74))))</f>
        <v/>
      </c>
      <c r="Z74" s="9" t="str">
        <f aca="false">IF(OR(AE74="",多次统计数据!$B$8=""),"",AE74-多次统计数据!$B$8)</f>
        <v/>
      </c>
      <c r="AA74" s="12" t="str">
        <f aca="false">IF(OR(I74="",M74="",M74&lt;I74),"",M74-I74)</f>
        <v/>
      </c>
      <c r="AB74" s="9" t="str">
        <f aca="false">IF(OR(A74="",多次统计数据!$B$8="",多次统计数据!$B$6&lt;=0,多次统计数据!$B$6&gt;=1),"",1-POWER(1+多次统计数据!$B$8,-多次统计数据!$B$6/(1-多次统计数据!$B$6)))</f>
        <v/>
      </c>
      <c r="AC74" s="7" t="str">
        <f aca="false">IF(OR(AB74="",多次统计数据!$B$9=""),"",IF(多次统计数据!$B$9&lt;AB74,"低于上限","达到或超过上限"))</f>
        <v/>
      </c>
      <c r="AD74" s="4"/>
      <c r="AE74" s="9" t="str">
        <f aca="false">IF(OR(X74="",C74="",C74&lt;=0),"",X74/C74)</f>
        <v/>
      </c>
      <c r="AG74" s="4"/>
      <c r="AH74" s="4"/>
      <c r="AI74" s="4"/>
      <c r="AJ74" s="7" t="str">
        <f aca="false">IF(OR(AG74="",AH74=""),"",IF(OR(AND(AG74="短期博反弹",OR(AH74="1～3个交易日",AH74="4～10个交易日")),AND(AG74="突破冲新高",OR(AH74="4～10个交易日",AH74="11～20个交易日")),AND(AG74="趋势波段",OR(AH74="11～20个交易日",AH74="21～60个交易日",AH74="60个交易日以上"))),"匹配","周期与交易预期不匹配，请重新确认"))</f>
        <v/>
      </c>
      <c r="AK74" s="13" t="str">
        <f aca="false">IF(A74="","",COUNTIFS(加仓管理!$A$2:$A$1001,A74,加仓管理!$G$2:$G$1001,"&gt;0"))</f>
        <v/>
      </c>
      <c r="AL74" s="13" t="str">
        <f aca="false">IF(A74="","",SUMIFS(加仓管理!$G$2:$G$1001,加仓管理!$A$2:$A$1001,A74))</f>
        <v/>
      </c>
      <c r="AM74" s="14" t="str">
        <f aca="false">IF(AK74=0,"",IFERROR(LOOKUP(2,1/((加仓管理!$A$2:$A$1001=A74)*(加仓管理!$G$2:$G$1001&gt;0)),加仓管理!$D$2:$D$1001),""))</f>
        <v/>
      </c>
      <c r="AN74" s="14" t="str">
        <f aca="false">IF(AK74=0,"",IFERROR(LOOKUP(2,1/((加仓管理!$A$2:$A$1001=A74)*(加仓管理!$G$2:$G$1001&gt;0)),加仓管理!$E$2:$E$1001),""))</f>
        <v/>
      </c>
      <c r="AO74" s="14" t="str">
        <f aca="false">IF(OR(A74="",H74="",H74&lt;=0),"",(E74*H74+SUMIFS(加仓管理!$H$2:$H$1001,加仓管理!$A$2:$A$1001,A74))/AP74)</f>
        <v/>
      </c>
      <c r="AP74" s="13" t="str">
        <f aca="false">IF(OR(A74="",H74="",H74&lt;=0),"",H74+AL74)</f>
        <v/>
      </c>
      <c r="AQ74" s="14" t="str">
        <f aca="false">IF(A74="","",IF(M74&lt;&gt;"",0,IF(OR(H74="",N74=""),"",MAX((E74*H74+SUMIFS(加仓管理!$H$2:$H$1001,加仓管理!$A$2:$A$1001,A74))-MAX(N74,AN74)*AP74,0))))</f>
        <v/>
      </c>
      <c r="AR74" s="15" t="str">
        <f aca="false">IF(A74="","",IF(OR(E74="",H74=""),"违规：首次买入价格或股数缺失",IF(COUNTIFS(加仓管理!$A$2:$A$1001,A74,加仓管理!$R$2:$R$1001,"违规*")&gt;0,"违规：请检查加仓管理表",IF(SUM($AQ$2:$AQ$201)&gt;账户数据!$B$7,"预警：超过账户风险上限",IF(COUNTIFS(加仓管理!$A$2:$A$1001,A74,加仓管理!$N$2:$N$1001,"&gt;0",加仓管理!$G$2:$G$1001,"")&gt;0,"提示：存在待执行加仓计划","通过")))))</f>
        <v/>
      </c>
    </row>
    <row r="75" customFormat="false" ht="13.5" hidden="false" customHeight="false" outlineLevel="0" collapsed="false">
      <c r="A75" s="4"/>
      <c r="B75" s="16"/>
      <c r="C75" s="5"/>
      <c r="D75" s="6"/>
      <c r="E75" s="5"/>
      <c r="F75" s="7" t="str">
        <f aca="false">IF(OR(C75="",D75="",E75="",N75="",C75&lt;=0,D75&lt;=0,E75&lt;=N75),"",ROUNDDOWN((C75*D75)/(E75-N75)/100,0)*100)</f>
        <v/>
      </c>
      <c r="G75" s="7" t="str">
        <f aca="false">IF(A75="","",IF(H75&lt;&gt;"","已开仓",IF(账户数据!$B$23="已锁仓","禁止开仓：连续亏损达到上限",IF(账户数据!$B$23="解锁信息不完整","禁止开仓：请完整填写解锁信息",IF(OR(F75="",E75="",N75="",E75&lt;=N75,账户数据!$B$7=""),"",IF(OR(AG75="",AH75="",AI75=""),"禁止开仓：交易预期未填写完整",IF(账户数据!$B$9+F75*(E75-N75)&gt;=账户数据!$B$7,"禁止开仓：风险额度不足",IF(AJ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5" s="4"/>
      <c r="I75" s="8"/>
      <c r="J75" s="5"/>
      <c r="K75" s="5"/>
      <c r="L75" s="7" t="str">
        <f aca="false">IF(AP75="","",AP75)</f>
        <v/>
      </c>
      <c r="M75" s="8"/>
      <c r="N75" s="5"/>
      <c r="O75" s="5"/>
      <c r="P75" s="5"/>
      <c r="Q75" s="4"/>
      <c r="R75" s="4"/>
      <c r="S75" s="4"/>
      <c r="T75" s="4"/>
      <c r="U75" s="9" t="str">
        <f aca="false">IF(OR(AO75="",J75="",AO75&lt;=0),"",(J75-AO75)/AO75)</f>
        <v/>
      </c>
      <c r="V75" s="9" t="str">
        <f aca="false">IF(OR(AO75="",N75="",AO75&lt;=0),"",(AO75-N75)/AO75)</f>
        <v/>
      </c>
      <c r="W75" s="10" t="str">
        <f aca="false">IF(OR(U75="",V75="",V75&lt;=0),"",U75/V75)</f>
        <v/>
      </c>
      <c r="X75" s="11" t="str">
        <f aca="false">IF(OR(K75="",L75="",AO75="",AP75=""),"",(K75-AO75)*L75-IF(O75="",0,O75)-IF(P75="",0,P75))</f>
        <v/>
      </c>
      <c r="Y75" s="9" t="str">
        <f aca="false">IF(OR(X75="",AO75="",L75=""),"",IF(AO75*L75+IF(O75="",0,O75)&lt;=0,"",X75/(AO75*L75+IF(O75="",0,O75))))</f>
        <v/>
      </c>
      <c r="Z75" s="9" t="str">
        <f aca="false">IF(OR(AE75="",多次统计数据!$B$8=""),"",AE75-多次统计数据!$B$8)</f>
        <v/>
      </c>
      <c r="AA75" s="12" t="str">
        <f aca="false">IF(OR(I75="",M75="",M75&lt;I75),"",M75-I75)</f>
        <v/>
      </c>
      <c r="AB75" s="9" t="str">
        <f aca="false">IF(OR(A75="",多次统计数据!$B$8="",多次统计数据!$B$6&lt;=0,多次统计数据!$B$6&gt;=1),"",1-POWER(1+多次统计数据!$B$8,-多次统计数据!$B$6/(1-多次统计数据!$B$6)))</f>
        <v/>
      </c>
      <c r="AC75" s="7" t="str">
        <f aca="false">IF(OR(AB75="",多次统计数据!$B$9=""),"",IF(多次统计数据!$B$9&lt;AB75,"低于上限","达到或超过上限"))</f>
        <v/>
      </c>
      <c r="AD75" s="4"/>
      <c r="AE75" s="9" t="str">
        <f aca="false">IF(OR(X75="",C75="",C75&lt;=0),"",X75/C75)</f>
        <v/>
      </c>
      <c r="AF75" s="17"/>
      <c r="AG75" s="4"/>
      <c r="AH75" s="4"/>
      <c r="AI75" s="4"/>
      <c r="AJ75" s="7" t="str">
        <f aca="false">IF(OR(AG75="",AH75=""),"",IF(OR(AND(AG75="短期博反弹",OR(AH75="1～3个交易日",AH75="4～10个交易日")),AND(AG75="突破冲新高",OR(AH75="4～10个交易日",AH75="11～20个交易日")),AND(AG75="趋势波段",OR(AH75="11～20个交易日",AH75="21～60个交易日",AH75="60个交易日以上"))),"匹配","周期与交易预期不匹配，请重新确认"))</f>
        <v/>
      </c>
      <c r="AK75" s="13" t="str">
        <f aca="false">IF(A75="","",COUNTIFS(加仓管理!$A$2:$A$1001,A75,加仓管理!$G$2:$G$1001,"&gt;0"))</f>
        <v/>
      </c>
      <c r="AL75" s="13" t="str">
        <f aca="false">IF(A75="","",SUMIFS(加仓管理!$G$2:$G$1001,加仓管理!$A$2:$A$1001,A75))</f>
        <v/>
      </c>
      <c r="AM75" s="14" t="str">
        <f aca="false">IF(AK75=0,"",IFERROR(LOOKUP(2,1/((加仓管理!$A$2:$A$1001=A75)*(加仓管理!$G$2:$G$1001&gt;0)),加仓管理!$D$2:$D$1001),""))</f>
        <v/>
      </c>
      <c r="AN75" s="14" t="str">
        <f aca="false">IF(AK75=0,"",IFERROR(LOOKUP(2,1/((加仓管理!$A$2:$A$1001=A75)*(加仓管理!$G$2:$G$1001&gt;0)),加仓管理!$E$2:$E$1001),""))</f>
        <v/>
      </c>
      <c r="AO75" s="14" t="str">
        <f aca="false">IF(OR(A75="",H75="",H75&lt;=0),"",(E75*H75+SUMIFS(加仓管理!$H$2:$H$1001,加仓管理!$A$2:$A$1001,A75))/AP75)</f>
        <v/>
      </c>
      <c r="AP75" s="13" t="str">
        <f aca="false">IF(OR(A75="",H75="",H75&lt;=0),"",H75+AL75)</f>
        <v/>
      </c>
      <c r="AQ75" s="14" t="str">
        <f aca="false">IF(A75="","",IF(M75&lt;&gt;"",0,IF(OR(H75="",N75=""),"",MAX((E75*H75+SUMIFS(加仓管理!$H$2:$H$1001,加仓管理!$A$2:$A$1001,A75))-MAX(N75,AN75)*AP75,0))))</f>
        <v/>
      </c>
      <c r="AR75" s="15" t="str">
        <f aca="false">IF(A75="","",IF(OR(E75="",H75=""),"违规：首次买入价格或股数缺失",IF(COUNTIFS(加仓管理!$A$2:$A$1001,A75,加仓管理!$R$2:$R$1001,"违规*")&gt;0,"违规：请检查加仓管理表",IF(SUM($AQ$2:$AQ$201)&gt;账户数据!$B$7,"预警：超过账户风险上限",IF(COUNTIFS(加仓管理!$A$2:$A$1001,A75,加仓管理!$N$2:$N$1001,"&gt;0",加仓管理!$G$2:$G$1001,"")&gt;0,"提示：存在待执行加仓计划","通过")))))</f>
        <v/>
      </c>
    </row>
    <row r="76" customFormat="false" ht="13.5" hidden="false" customHeight="false" outlineLevel="0" collapsed="false">
      <c r="A76" s="4"/>
      <c r="B76" s="16"/>
      <c r="C76" s="5"/>
      <c r="D76" s="6"/>
      <c r="E76" s="5"/>
      <c r="F76" s="7" t="str">
        <f aca="false">IF(OR(C76="",D76="",E76="",N76="",C76&lt;=0,D76&lt;=0,E76&lt;=N76),"",ROUNDDOWN((C76*D76)/(E76-N76)/100,0)*100)</f>
        <v/>
      </c>
      <c r="G76" s="7" t="str">
        <f aca="false">IF(A76="","",IF(H76&lt;&gt;"","已开仓",IF(账户数据!$B$23="已锁仓","禁止开仓：连续亏损达到上限",IF(账户数据!$B$23="解锁信息不完整","禁止开仓：请完整填写解锁信息",IF(OR(F76="",E76="",N76="",E76&lt;=N76,账户数据!$B$7=""),"",IF(OR(AG76="",AH76="",AI76=""),"禁止开仓：交易预期未填写完整",IF(账户数据!$B$9+F76*(E76-N76)&gt;=账户数据!$B$7,"禁止开仓：风险额度不足",IF(AJ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6" s="4"/>
      <c r="I76" s="8"/>
      <c r="J76" s="5"/>
      <c r="K76" s="5"/>
      <c r="L76" s="7" t="str">
        <f aca="false">IF(AP76="","",AP76)</f>
        <v/>
      </c>
      <c r="M76" s="8"/>
      <c r="N76" s="5"/>
      <c r="O76" s="5"/>
      <c r="P76" s="5"/>
      <c r="Q76" s="4"/>
      <c r="R76" s="4"/>
      <c r="S76" s="4"/>
      <c r="T76" s="4"/>
      <c r="U76" s="9" t="str">
        <f aca="false">IF(OR(AO76="",J76="",AO76&lt;=0),"",(J76-AO76)/AO76)</f>
        <v/>
      </c>
      <c r="V76" s="9" t="str">
        <f aca="false">IF(OR(AO76="",N76="",AO76&lt;=0),"",(AO76-N76)/AO76)</f>
        <v/>
      </c>
      <c r="W76" s="10" t="str">
        <f aca="false">IF(OR(U76="",V76="",V76&lt;=0),"",U76/V76)</f>
        <v/>
      </c>
      <c r="X76" s="11" t="str">
        <f aca="false">IF(OR(K76="",L76="",AO76="",AP76=""),"",(K76-AO76)*L76-IF(O76="",0,O76)-IF(P76="",0,P76))</f>
        <v/>
      </c>
      <c r="Y76" s="9" t="str">
        <f aca="false">IF(OR(X76="",AO76="",L76=""),"",IF(AO76*L76+IF(O76="",0,O76)&lt;=0,"",X76/(AO76*L76+IF(O76="",0,O76))))</f>
        <v/>
      </c>
      <c r="Z76" s="9" t="str">
        <f aca="false">IF(OR(AE76="",多次统计数据!$B$8=""),"",AE76-多次统计数据!$B$8)</f>
        <v/>
      </c>
      <c r="AA76" s="12" t="str">
        <f aca="false">IF(OR(I76="",M76="",M76&lt;I76),"",M76-I76)</f>
        <v/>
      </c>
      <c r="AB76" s="9" t="str">
        <f aca="false">IF(OR(A76="",多次统计数据!$B$8="",多次统计数据!$B$6&lt;=0,多次统计数据!$B$6&gt;=1),"",1-POWER(1+多次统计数据!$B$8,-多次统计数据!$B$6/(1-多次统计数据!$B$6)))</f>
        <v/>
      </c>
      <c r="AC76" s="7" t="str">
        <f aca="false">IF(OR(AB76="",多次统计数据!$B$9=""),"",IF(多次统计数据!$B$9&lt;AB76,"低于上限","达到或超过上限"))</f>
        <v/>
      </c>
      <c r="AD76" s="4"/>
      <c r="AE76" s="9" t="str">
        <f aca="false">IF(OR(X76="",C76="",C76&lt;=0),"",X76/C76)</f>
        <v/>
      </c>
      <c r="AF76" s="17"/>
      <c r="AG76" s="4"/>
      <c r="AH76" s="4"/>
      <c r="AI76" s="4"/>
      <c r="AJ76" s="7" t="str">
        <f aca="false">IF(OR(AG76="",AH76=""),"",IF(OR(AND(AG76="短期博反弹",OR(AH76="1～3个交易日",AH76="4～10个交易日")),AND(AG76="突破冲新高",OR(AH76="4～10个交易日",AH76="11～20个交易日")),AND(AG76="趋势波段",OR(AH76="11～20个交易日",AH76="21～60个交易日",AH76="60个交易日以上"))),"匹配","周期与交易预期不匹配，请重新确认"))</f>
        <v/>
      </c>
      <c r="AK76" s="13" t="str">
        <f aca="false">IF(A76="","",COUNTIFS(加仓管理!$A$2:$A$1001,A76,加仓管理!$G$2:$G$1001,"&gt;0"))</f>
        <v/>
      </c>
      <c r="AL76" s="13" t="str">
        <f aca="false">IF(A76="","",SUMIFS(加仓管理!$G$2:$G$1001,加仓管理!$A$2:$A$1001,A76))</f>
        <v/>
      </c>
      <c r="AM76" s="14" t="str">
        <f aca="false">IF(AK76=0,"",IFERROR(LOOKUP(2,1/((加仓管理!$A$2:$A$1001=A76)*(加仓管理!$G$2:$G$1001&gt;0)),加仓管理!$D$2:$D$1001),""))</f>
        <v/>
      </c>
      <c r="AN76" s="14" t="str">
        <f aca="false">IF(AK76=0,"",IFERROR(LOOKUP(2,1/((加仓管理!$A$2:$A$1001=A76)*(加仓管理!$G$2:$G$1001&gt;0)),加仓管理!$E$2:$E$1001),""))</f>
        <v/>
      </c>
      <c r="AO76" s="14" t="str">
        <f aca="false">IF(OR(A76="",H76="",H76&lt;=0),"",(E76*H76+SUMIFS(加仓管理!$H$2:$H$1001,加仓管理!$A$2:$A$1001,A76))/AP76)</f>
        <v/>
      </c>
      <c r="AP76" s="13" t="str">
        <f aca="false">IF(OR(A76="",H76="",H76&lt;=0),"",H76+AL76)</f>
        <v/>
      </c>
      <c r="AQ76" s="14" t="str">
        <f aca="false">IF(A76="","",IF(M76&lt;&gt;"",0,IF(OR(H76="",N76=""),"",MAX((E76*H76+SUMIFS(加仓管理!$H$2:$H$1001,加仓管理!$A$2:$A$1001,A76))-MAX(N76,AN76)*AP76,0))))</f>
        <v/>
      </c>
      <c r="AR76" s="15" t="str">
        <f aca="false">IF(A76="","",IF(OR(E76="",H76=""),"违规：首次买入价格或股数缺失",IF(COUNTIFS(加仓管理!$A$2:$A$1001,A76,加仓管理!$R$2:$R$1001,"违规*")&gt;0,"违规：请检查加仓管理表",IF(SUM($AQ$2:$AQ$201)&gt;账户数据!$B$7,"预警：超过账户风险上限",IF(COUNTIFS(加仓管理!$A$2:$A$1001,A76,加仓管理!$N$2:$N$1001,"&gt;0",加仓管理!$G$2:$G$1001,"")&gt;0,"提示：存在待执行加仓计划","通过")))))</f>
        <v/>
      </c>
    </row>
    <row r="77" customFormat="false" ht="13.5" hidden="false" customHeight="false" outlineLevel="0" collapsed="false">
      <c r="A77" s="4"/>
      <c r="B77" s="16"/>
      <c r="C77" s="5"/>
      <c r="D77" s="6"/>
      <c r="E77" s="5"/>
      <c r="F77" s="7" t="str">
        <f aca="false">IF(OR(C77="",D77="",E77="",N77="",C77&lt;=0,D77&lt;=0,E77&lt;=N77),"",ROUNDDOWN((C77*D77)/(E77-N77)/100,0)*100)</f>
        <v/>
      </c>
      <c r="G77" s="7" t="str">
        <f aca="false">IF(A77="","",IF(H77&lt;&gt;"","已开仓",IF(账户数据!$B$23="已锁仓","禁止开仓：连续亏损达到上限",IF(账户数据!$B$23="解锁信息不完整","禁止开仓：请完整填写解锁信息",IF(OR(F77="",E77="",N77="",E77&lt;=N77,账户数据!$B$7=""),"",IF(OR(AG77="",AH77="",AI77=""),"禁止开仓：交易预期未填写完整",IF(账户数据!$B$9+F77*(E77-N77)&gt;=账户数据!$B$7,"禁止开仓：风险额度不足",IF(AJ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7" s="4"/>
      <c r="I77" s="8"/>
      <c r="J77" s="5"/>
      <c r="K77" s="5"/>
      <c r="L77" s="7" t="str">
        <f aca="false">IF(AP77="","",AP77)</f>
        <v/>
      </c>
      <c r="M77" s="8"/>
      <c r="N77" s="5"/>
      <c r="O77" s="5"/>
      <c r="P77" s="5"/>
      <c r="Q77" s="4"/>
      <c r="R77" s="4"/>
      <c r="S77" s="4"/>
      <c r="T77" s="4"/>
      <c r="U77" s="9" t="str">
        <f aca="false">IF(OR(AO77="",J77="",AO77&lt;=0),"",(J77-AO77)/AO77)</f>
        <v/>
      </c>
      <c r="V77" s="9" t="str">
        <f aca="false">IF(OR(AO77="",N77="",AO77&lt;=0),"",(AO77-N77)/AO77)</f>
        <v/>
      </c>
      <c r="W77" s="10" t="str">
        <f aca="false">IF(OR(U77="",V77="",V77&lt;=0),"",U77/V77)</f>
        <v/>
      </c>
      <c r="X77" s="11" t="str">
        <f aca="false">IF(OR(K77="",L77="",AO77="",AP77=""),"",(K77-AO77)*L77-IF(O77="",0,O77)-IF(P77="",0,P77))</f>
        <v/>
      </c>
      <c r="Y77" s="9" t="str">
        <f aca="false">IF(OR(X77="",AO77="",L77=""),"",IF(AO77*L77+IF(O77="",0,O77)&lt;=0,"",X77/(AO77*L77+IF(O77="",0,O77))))</f>
        <v/>
      </c>
      <c r="Z77" s="9" t="str">
        <f aca="false">IF(OR(AE77="",多次统计数据!$B$8=""),"",AE77-多次统计数据!$B$8)</f>
        <v/>
      </c>
      <c r="AA77" s="12" t="str">
        <f aca="false">IF(OR(I77="",M77="",M77&lt;I77),"",M77-I77)</f>
        <v/>
      </c>
      <c r="AB77" s="9" t="str">
        <f aca="false">IF(OR(A77="",多次统计数据!$B$8="",多次统计数据!$B$6&lt;=0,多次统计数据!$B$6&gt;=1),"",1-POWER(1+多次统计数据!$B$8,-多次统计数据!$B$6/(1-多次统计数据!$B$6)))</f>
        <v/>
      </c>
      <c r="AC77" s="7" t="str">
        <f aca="false">IF(OR(AB77="",多次统计数据!$B$9=""),"",IF(多次统计数据!$B$9&lt;AB77,"低于上限","达到或超过上限"))</f>
        <v/>
      </c>
      <c r="AD77" s="4"/>
      <c r="AE77" s="9" t="str">
        <f aca="false">IF(OR(X77="",C77="",C77&lt;=0),"",X77/C77)</f>
        <v/>
      </c>
      <c r="AF77" s="17"/>
      <c r="AG77" s="4"/>
      <c r="AH77" s="4"/>
      <c r="AI77" s="4"/>
      <c r="AJ77" s="7" t="str">
        <f aca="false">IF(OR(AG77="",AH77=""),"",IF(OR(AND(AG77="短期博反弹",OR(AH77="1～3个交易日",AH77="4～10个交易日")),AND(AG77="突破冲新高",OR(AH77="4～10个交易日",AH77="11～20个交易日")),AND(AG77="趋势波段",OR(AH77="11～20个交易日",AH77="21～60个交易日",AH77="60个交易日以上"))),"匹配","周期与交易预期不匹配，请重新确认"))</f>
        <v/>
      </c>
      <c r="AK77" s="13" t="str">
        <f aca="false">IF(A77="","",COUNTIFS(加仓管理!$A$2:$A$1001,A77,加仓管理!$G$2:$G$1001,"&gt;0"))</f>
        <v/>
      </c>
      <c r="AL77" s="13" t="str">
        <f aca="false">IF(A77="","",SUMIFS(加仓管理!$G$2:$G$1001,加仓管理!$A$2:$A$1001,A77))</f>
        <v/>
      </c>
      <c r="AM77" s="14" t="str">
        <f aca="false">IF(AK77=0,"",IFERROR(LOOKUP(2,1/((加仓管理!$A$2:$A$1001=A77)*(加仓管理!$G$2:$G$1001&gt;0)),加仓管理!$D$2:$D$1001),""))</f>
        <v/>
      </c>
      <c r="AN77" s="14" t="str">
        <f aca="false">IF(AK77=0,"",IFERROR(LOOKUP(2,1/((加仓管理!$A$2:$A$1001=A77)*(加仓管理!$G$2:$G$1001&gt;0)),加仓管理!$E$2:$E$1001),""))</f>
        <v/>
      </c>
      <c r="AO77" s="14" t="str">
        <f aca="false">IF(OR(A77="",H77="",H77&lt;=0),"",(E77*H77+SUMIFS(加仓管理!$H$2:$H$1001,加仓管理!$A$2:$A$1001,A77))/AP77)</f>
        <v/>
      </c>
      <c r="AP77" s="13" t="str">
        <f aca="false">IF(OR(A77="",H77="",H77&lt;=0),"",H77+AL77)</f>
        <v/>
      </c>
      <c r="AQ77" s="14" t="str">
        <f aca="false">IF(A77="","",IF(M77&lt;&gt;"",0,IF(OR(H77="",N77=""),"",MAX((E77*H77+SUMIFS(加仓管理!$H$2:$H$1001,加仓管理!$A$2:$A$1001,A77))-MAX(N77,AN77)*AP77,0))))</f>
        <v/>
      </c>
      <c r="AR77" s="15" t="str">
        <f aca="false">IF(A77="","",IF(OR(E77="",H77=""),"违规：首次买入价格或股数缺失",IF(COUNTIFS(加仓管理!$A$2:$A$1001,A77,加仓管理!$R$2:$R$1001,"违规*")&gt;0,"违规：请检查加仓管理表",IF(SUM($AQ$2:$AQ$201)&gt;账户数据!$B$7,"预警：超过账户风险上限",IF(COUNTIFS(加仓管理!$A$2:$A$1001,A77,加仓管理!$N$2:$N$1001,"&gt;0",加仓管理!$G$2:$G$1001,"")&gt;0,"提示：存在待执行加仓计划","通过")))))</f>
        <v/>
      </c>
    </row>
    <row r="78" customFormat="false" ht="13.5" hidden="false" customHeight="false" outlineLevel="0" collapsed="false">
      <c r="A78" s="4"/>
      <c r="B78" s="4"/>
      <c r="C78" s="5"/>
      <c r="D78" s="6"/>
      <c r="E78" s="5"/>
      <c r="F78" s="7" t="str">
        <f aca="false">IF(OR(C78="",D78="",E78="",N78="",C78&lt;=0,D78&lt;=0,E78&lt;=N78),"",ROUNDDOWN((C78*D78)/(E78-N78)/100,0)*100)</f>
        <v/>
      </c>
      <c r="G78" s="7" t="str">
        <f aca="false">IF(A78="","",IF(H78&lt;&gt;"","已开仓",IF(账户数据!$B$23="已锁仓","禁止开仓：连续亏损达到上限",IF(账户数据!$B$23="解锁信息不完整","禁止开仓：请完整填写解锁信息",IF(OR(F78="",E78="",N78="",E78&lt;=N78,账户数据!$B$7=""),"",IF(OR(AG78="",AH78="",AI78=""),"禁止开仓：交易预期未填写完整",IF(账户数据!$B$9+F78*(E78-N78)&gt;=账户数据!$B$7,"禁止开仓：风险额度不足",IF(AJ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8" s="4"/>
      <c r="I78" s="8"/>
      <c r="J78" s="5"/>
      <c r="K78" s="5"/>
      <c r="L78" s="7" t="str">
        <f aca="false">IF(AP78="","",AP78)</f>
        <v/>
      </c>
      <c r="M78" s="8"/>
      <c r="N78" s="5"/>
      <c r="O78" s="5"/>
      <c r="P78" s="5"/>
      <c r="Q78" s="4"/>
      <c r="R78" s="4"/>
      <c r="S78" s="4"/>
      <c r="T78" s="4"/>
      <c r="U78" s="9" t="str">
        <f aca="false">IF(OR(AO78="",J78="",AO78&lt;=0),"",(J78-AO78)/AO78)</f>
        <v/>
      </c>
      <c r="V78" s="9" t="str">
        <f aca="false">IF(OR(AO78="",N78="",AO78&lt;=0),"",(AO78-N78)/AO78)</f>
        <v/>
      </c>
      <c r="W78" s="10" t="str">
        <f aca="false">IF(OR(U78="",V78="",V78&lt;=0),"",U78/V78)</f>
        <v/>
      </c>
      <c r="X78" s="11" t="str">
        <f aca="false">IF(OR(K78="",L78="",AO78="",AP78=""),"",(K78-AO78)*L78-IF(O78="",0,O78)-IF(P78="",0,P78))</f>
        <v/>
      </c>
      <c r="Y78" s="9" t="str">
        <f aca="false">IF(OR(X78="",AO78="",L78=""),"",IF(AO78*L78+IF(O78="",0,O78)&lt;=0,"",X78/(AO78*L78+IF(O78="",0,O78))))</f>
        <v/>
      </c>
      <c r="Z78" s="9" t="str">
        <f aca="false">IF(OR(AE78="",多次统计数据!$B$8=""),"",AE78-多次统计数据!$B$8)</f>
        <v/>
      </c>
      <c r="AA78" s="12" t="str">
        <f aca="false">IF(OR(I78="",M78="",M78&lt;I78),"",M78-I78)</f>
        <v/>
      </c>
      <c r="AB78" s="9" t="str">
        <f aca="false">IF(OR(A78="",多次统计数据!$B$8="",多次统计数据!$B$6&lt;=0,多次统计数据!$B$6&gt;=1),"",1-POWER(1+多次统计数据!$B$8,-多次统计数据!$B$6/(1-多次统计数据!$B$6)))</f>
        <v/>
      </c>
      <c r="AC78" s="7" t="str">
        <f aca="false">IF(OR(AB78="",多次统计数据!$B$9=""),"",IF(多次统计数据!$B$9&lt;AB78,"低于上限","达到或超过上限"))</f>
        <v/>
      </c>
      <c r="AD78" s="4"/>
      <c r="AE78" s="9" t="str">
        <f aca="false">IF(OR(X78="",C78="",C78&lt;=0),"",X78/C78)</f>
        <v/>
      </c>
      <c r="AG78" s="4"/>
      <c r="AH78" s="4"/>
      <c r="AI78" s="4"/>
      <c r="AJ78" s="7" t="str">
        <f aca="false">IF(OR(AG78="",AH78=""),"",IF(OR(AND(AG78="短期博反弹",OR(AH78="1～3个交易日",AH78="4～10个交易日")),AND(AG78="突破冲新高",OR(AH78="4～10个交易日",AH78="11～20个交易日")),AND(AG78="趋势波段",OR(AH78="11～20个交易日",AH78="21～60个交易日",AH78="60个交易日以上"))),"匹配","周期与交易预期不匹配，请重新确认"))</f>
        <v/>
      </c>
      <c r="AK78" s="13" t="str">
        <f aca="false">IF(A78="","",COUNTIFS(加仓管理!$A$2:$A$1001,A78,加仓管理!$G$2:$G$1001,"&gt;0"))</f>
        <v/>
      </c>
      <c r="AL78" s="13" t="str">
        <f aca="false">IF(A78="","",SUMIFS(加仓管理!$G$2:$G$1001,加仓管理!$A$2:$A$1001,A78))</f>
        <v/>
      </c>
      <c r="AM78" s="14" t="str">
        <f aca="false">IF(AK78=0,"",IFERROR(LOOKUP(2,1/((加仓管理!$A$2:$A$1001=A78)*(加仓管理!$G$2:$G$1001&gt;0)),加仓管理!$D$2:$D$1001),""))</f>
        <v/>
      </c>
      <c r="AN78" s="14" t="str">
        <f aca="false">IF(AK78=0,"",IFERROR(LOOKUP(2,1/((加仓管理!$A$2:$A$1001=A78)*(加仓管理!$G$2:$G$1001&gt;0)),加仓管理!$E$2:$E$1001),""))</f>
        <v/>
      </c>
      <c r="AO78" s="14" t="str">
        <f aca="false">IF(OR(A78="",H78="",H78&lt;=0),"",(E78*H78+SUMIFS(加仓管理!$H$2:$H$1001,加仓管理!$A$2:$A$1001,A78))/AP78)</f>
        <v/>
      </c>
      <c r="AP78" s="13" t="str">
        <f aca="false">IF(OR(A78="",H78="",H78&lt;=0),"",H78+AL78)</f>
        <v/>
      </c>
      <c r="AQ78" s="14" t="str">
        <f aca="false">IF(A78="","",IF(M78&lt;&gt;"",0,IF(OR(H78="",N78=""),"",MAX((E78*H78+SUMIFS(加仓管理!$H$2:$H$1001,加仓管理!$A$2:$A$1001,A78))-MAX(N78,AN78)*AP78,0))))</f>
        <v/>
      </c>
      <c r="AR78" s="15" t="str">
        <f aca="false">IF(A78="","",IF(OR(E78="",H78=""),"违规：首次买入价格或股数缺失",IF(COUNTIFS(加仓管理!$A$2:$A$1001,A78,加仓管理!$R$2:$R$1001,"违规*")&gt;0,"违规：请检查加仓管理表",IF(SUM($AQ$2:$AQ$201)&gt;账户数据!$B$7,"预警：超过账户风险上限",IF(COUNTIFS(加仓管理!$A$2:$A$1001,A78,加仓管理!$N$2:$N$1001,"&gt;0",加仓管理!$G$2:$G$1001,"")&gt;0,"提示：存在待执行加仓计划","通过")))))</f>
        <v/>
      </c>
    </row>
    <row r="79" customFormat="false" ht="13.5" hidden="false" customHeight="false" outlineLevel="0" collapsed="false">
      <c r="A79" s="4"/>
      <c r="B79" s="4"/>
      <c r="C79" s="5"/>
      <c r="D79" s="6"/>
      <c r="E79" s="5"/>
      <c r="F79" s="7" t="str">
        <f aca="false">IF(OR(C79="",D79="",E79="",N79="",C79&lt;=0,D79&lt;=0,E79&lt;=N79),"",ROUNDDOWN((C79*D79)/(E79-N79)/100,0)*100)</f>
        <v/>
      </c>
      <c r="G79" s="7" t="str">
        <f aca="false">IF(A79="","",IF(H79&lt;&gt;"","已开仓",IF(账户数据!$B$23="已锁仓","禁止开仓：连续亏损达到上限",IF(账户数据!$B$23="解锁信息不完整","禁止开仓：请完整填写解锁信息",IF(OR(F79="",E79="",N79="",E79&lt;=N79,账户数据!$B$7=""),"",IF(OR(AG79="",AH79="",AI79=""),"禁止开仓：交易预期未填写完整",IF(账户数据!$B$9+F79*(E79-N79)&gt;=账户数据!$B$7,"禁止开仓：风险额度不足",IF(AJ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9" s="4"/>
      <c r="I79" s="8"/>
      <c r="J79" s="5"/>
      <c r="K79" s="5"/>
      <c r="L79" s="7" t="str">
        <f aca="false">IF(AP79="","",AP79)</f>
        <v/>
      </c>
      <c r="M79" s="8"/>
      <c r="N79" s="5"/>
      <c r="O79" s="5"/>
      <c r="P79" s="5"/>
      <c r="Q79" s="4"/>
      <c r="R79" s="4"/>
      <c r="S79" s="4"/>
      <c r="T79" s="4"/>
      <c r="U79" s="9" t="str">
        <f aca="false">IF(OR(AO79="",J79="",AO79&lt;=0),"",(J79-AO79)/AO79)</f>
        <v/>
      </c>
      <c r="V79" s="9" t="str">
        <f aca="false">IF(OR(AO79="",N79="",AO79&lt;=0),"",(AO79-N79)/AO79)</f>
        <v/>
      </c>
      <c r="W79" s="10" t="str">
        <f aca="false">IF(OR(U79="",V79="",V79&lt;=0),"",U79/V79)</f>
        <v/>
      </c>
      <c r="X79" s="11" t="str">
        <f aca="false">IF(OR(K79="",L79="",AO79="",AP79=""),"",(K79-AO79)*L79-IF(O79="",0,O79)-IF(P79="",0,P79))</f>
        <v/>
      </c>
      <c r="Y79" s="9" t="str">
        <f aca="false">IF(OR(X79="",AO79="",L79=""),"",IF(AO79*L79+IF(O79="",0,O79)&lt;=0,"",X79/(AO79*L79+IF(O79="",0,O79))))</f>
        <v/>
      </c>
      <c r="Z79" s="9" t="str">
        <f aca="false">IF(OR(AE79="",多次统计数据!$B$8=""),"",AE79-多次统计数据!$B$8)</f>
        <v/>
      </c>
      <c r="AA79" s="12" t="str">
        <f aca="false">IF(OR(I79="",M79="",M79&lt;I79),"",M79-I79)</f>
        <v/>
      </c>
      <c r="AB79" s="9" t="str">
        <f aca="false">IF(OR(A79="",多次统计数据!$B$8="",多次统计数据!$B$6&lt;=0,多次统计数据!$B$6&gt;=1),"",1-POWER(1+多次统计数据!$B$8,-多次统计数据!$B$6/(1-多次统计数据!$B$6)))</f>
        <v/>
      </c>
      <c r="AC79" s="7" t="str">
        <f aca="false">IF(OR(AB79="",多次统计数据!$B$9=""),"",IF(多次统计数据!$B$9&lt;AB79,"低于上限","达到或超过上限"))</f>
        <v/>
      </c>
      <c r="AD79" s="4"/>
      <c r="AE79" s="9" t="str">
        <f aca="false">IF(OR(X79="",C79="",C79&lt;=0),"",X79/C79)</f>
        <v/>
      </c>
      <c r="AG79" s="4"/>
      <c r="AH79" s="4"/>
      <c r="AI79" s="4"/>
      <c r="AJ79" s="7" t="str">
        <f aca="false">IF(OR(AG79="",AH79=""),"",IF(OR(AND(AG79="短期博反弹",OR(AH79="1～3个交易日",AH79="4～10个交易日")),AND(AG79="突破冲新高",OR(AH79="4～10个交易日",AH79="11～20个交易日")),AND(AG79="趋势波段",OR(AH79="11～20个交易日",AH79="21～60个交易日",AH79="60个交易日以上"))),"匹配","周期与交易预期不匹配，请重新确认"))</f>
        <v/>
      </c>
      <c r="AK79" s="13" t="str">
        <f aca="false">IF(A79="","",COUNTIFS(加仓管理!$A$2:$A$1001,A79,加仓管理!$G$2:$G$1001,"&gt;0"))</f>
        <v/>
      </c>
      <c r="AL79" s="13" t="str">
        <f aca="false">IF(A79="","",SUMIFS(加仓管理!$G$2:$G$1001,加仓管理!$A$2:$A$1001,A79))</f>
        <v/>
      </c>
      <c r="AM79" s="14" t="str">
        <f aca="false">IF(AK79=0,"",IFERROR(LOOKUP(2,1/((加仓管理!$A$2:$A$1001=A79)*(加仓管理!$G$2:$G$1001&gt;0)),加仓管理!$D$2:$D$1001),""))</f>
        <v/>
      </c>
      <c r="AN79" s="14" t="str">
        <f aca="false">IF(AK79=0,"",IFERROR(LOOKUP(2,1/((加仓管理!$A$2:$A$1001=A79)*(加仓管理!$G$2:$G$1001&gt;0)),加仓管理!$E$2:$E$1001),""))</f>
        <v/>
      </c>
      <c r="AO79" s="14" t="str">
        <f aca="false">IF(OR(A79="",H79="",H79&lt;=0),"",(E79*H79+SUMIFS(加仓管理!$H$2:$H$1001,加仓管理!$A$2:$A$1001,A79))/AP79)</f>
        <v/>
      </c>
      <c r="AP79" s="13" t="str">
        <f aca="false">IF(OR(A79="",H79="",H79&lt;=0),"",H79+AL79)</f>
        <v/>
      </c>
      <c r="AQ79" s="14" t="str">
        <f aca="false">IF(A79="","",IF(M79&lt;&gt;"",0,IF(OR(H79="",N79=""),"",MAX((E79*H79+SUMIFS(加仓管理!$H$2:$H$1001,加仓管理!$A$2:$A$1001,A79))-MAX(N79,AN79)*AP79,0))))</f>
        <v/>
      </c>
      <c r="AR79" s="15" t="str">
        <f aca="false">IF(A79="","",IF(OR(E79="",H79=""),"违规：首次买入价格或股数缺失",IF(COUNTIFS(加仓管理!$A$2:$A$1001,A79,加仓管理!$R$2:$R$1001,"违规*")&gt;0,"违规：请检查加仓管理表",IF(SUM($AQ$2:$AQ$201)&gt;账户数据!$B$7,"预警：超过账户风险上限",IF(COUNTIFS(加仓管理!$A$2:$A$1001,A79,加仓管理!$N$2:$N$1001,"&gt;0",加仓管理!$G$2:$G$1001,"")&gt;0,"提示：存在待执行加仓计划","通过")))))</f>
        <v/>
      </c>
    </row>
    <row r="80" customFormat="false" ht="13.5" hidden="false" customHeight="false" outlineLevel="0" collapsed="false">
      <c r="A80" s="4"/>
      <c r="B80" s="4"/>
      <c r="C80" s="5"/>
      <c r="D80" s="6"/>
      <c r="E80" s="5"/>
      <c r="F80" s="7" t="str">
        <f aca="false">IF(OR(C80="",D80="",E80="",N80="",C80&lt;=0,D80&lt;=0,E80&lt;=N80),"",ROUNDDOWN((C80*D80)/(E80-N80)/100,0)*100)</f>
        <v/>
      </c>
      <c r="G80" s="7" t="str">
        <f aca="false">IF(A80="","",IF(H80&lt;&gt;"","已开仓",IF(账户数据!$B$23="已锁仓","禁止开仓：连续亏损达到上限",IF(账户数据!$B$23="解锁信息不完整","禁止开仓：请完整填写解锁信息",IF(OR(F80="",E80="",N80="",E80&lt;=N80,账户数据!$B$7=""),"",IF(OR(AG80="",AH80="",AI80=""),"禁止开仓：交易预期未填写完整",IF(账户数据!$B$9+F80*(E80-N80)&gt;=账户数据!$B$7,"禁止开仓：风险额度不足",IF(AJ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0" s="4"/>
      <c r="I80" s="8"/>
      <c r="J80" s="5"/>
      <c r="K80" s="5"/>
      <c r="L80" s="7" t="str">
        <f aca="false">IF(AP80="","",AP80)</f>
        <v/>
      </c>
      <c r="M80" s="8"/>
      <c r="N80" s="5"/>
      <c r="O80" s="5"/>
      <c r="P80" s="5"/>
      <c r="Q80" s="4"/>
      <c r="R80" s="4"/>
      <c r="S80" s="4"/>
      <c r="T80" s="4"/>
      <c r="U80" s="9" t="str">
        <f aca="false">IF(OR(AO80="",J80="",AO80&lt;=0),"",(J80-AO80)/AO80)</f>
        <v/>
      </c>
      <c r="V80" s="9" t="str">
        <f aca="false">IF(OR(AO80="",N80="",AO80&lt;=0),"",(AO80-N80)/AO80)</f>
        <v/>
      </c>
      <c r="W80" s="10" t="str">
        <f aca="false">IF(OR(U80="",V80="",V80&lt;=0),"",U80/V80)</f>
        <v/>
      </c>
      <c r="X80" s="11" t="str">
        <f aca="false">IF(OR(K80="",L80="",AO80="",AP80=""),"",(K80-AO80)*L80-IF(O80="",0,O80)-IF(P80="",0,P80))</f>
        <v/>
      </c>
      <c r="Y80" s="9" t="str">
        <f aca="false">IF(OR(X80="",AO80="",L80=""),"",IF(AO80*L80+IF(O80="",0,O80)&lt;=0,"",X80/(AO80*L80+IF(O80="",0,O80))))</f>
        <v/>
      </c>
      <c r="Z80" s="9" t="str">
        <f aca="false">IF(OR(AE80="",多次统计数据!$B$8=""),"",AE80-多次统计数据!$B$8)</f>
        <v/>
      </c>
      <c r="AA80" s="12" t="str">
        <f aca="false">IF(OR(I80="",M80="",M80&lt;I80),"",M80-I80)</f>
        <v/>
      </c>
      <c r="AB80" s="9" t="str">
        <f aca="false">IF(OR(A80="",多次统计数据!$B$8="",多次统计数据!$B$6&lt;=0,多次统计数据!$B$6&gt;=1),"",1-POWER(1+多次统计数据!$B$8,-多次统计数据!$B$6/(1-多次统计数据!$B$6)))</f>
        <v/>
      </c>
      <c r="AC80" s="7" t="str">
        <f aca="false">IF(OR(AB80="",多次统计数据!$B$9=""),"",IF(多次统计数据!$B$9&lt;AB80,"低于上限","达到或超过上限"))</f>
        <v/>
      </c>
      <c r="AD80" s="4"/>
      <c r="AE80" s="9" t="str">
        <f aca="false">IF(OR(X80="",C80="",C80&lt;=0),"",X80/C80)</f>
        <v/>
      </c>
      <c r="AG80" s="4"/>
      <c r="AH80" s="4"/>
      <c r="AI80" s="4"/>
      <c r="AJ80" s="7" t="str">
        <f aca="false">IF(OR(AG80="",AH80=""),"",IF(OR(AND(AG80="短期博反弹",OR(AH80="1～3个交易日",AH80="4～10个交易日")),AND(AG80="突破冲新高",OR(AH80="4～10个交易日",AH80="11～20个交易日")),AND(AG80="趋势波段",OR(AH80="11～20个交易日",AH80="21～60个交易日",AH80="60个交易日以上"))),"匹配","周期与交易预期不匹配，请重新确认"))</f>
        <v/>
      </c>
      <c r="AK80" s="13" t="str">
        <f aca="false">IF(A80="","",COUNTIFS(加仓管理!$A$2:$A$1001,A80,加仓管理!$G$2:$G$1001,"&gt;0"))</f>
        <v/>
      </c>
      <c r="AL80" s="13" t="str">
        <f aca="false">IF(A80="","",SUMIFS(加仓管理!$G$2:$G$1001,加仓管理!$A$2:$A$1001,A80))</f>
        <v/>
      </c>
      <c r="AM80" s="14" t="str">
        <f aca="false">IF(AK80=0,"",IFERROR(LOOKUP(2,1/((加仓管理!$A$2:$A$1001=A80)*(加仓管理!$G$2:$G$1001&gt;0)),加仓管理!$D$2:$D$1001),""))</f>
        <v/>
      </c>
      <c r="AN80" s="14" t="str">
        <f aca="false">IF(AK80=0,"",IFERROR(LOOKUP(2,1/((加仓管理!$A$2:$A$1001=A80)*(加仓管理!$G$2:$G$1001&gt;0)),加仓管理!$E$2:$E$1001),""))</f>
        <v/>
      </c>
      <c r="AO80" s="14" t="str">
        <f aca="false">IF(OR(A80="",H80="",H80&lt;=0),"",(E80*H80+SUMIFS(加仓管理!$H$2:$H$1001,加仓管理!$A$2:$A$1001,A80))/AP80)</f>
        <v/>
      </c>
      <c r="AP80" s="13" t="str">
        <f aca="false">IF(OR(A80="",H80="",H80&lt;=0),"",H80+AL80)</f>
        <v/>
      </c>
      <c r="AQ80" s="14" t="str">
        <f aca="false">IF(A80="","",IF(M80&lt;&gt;"",0,IF(OR(H80="",N80=""),"",MAX((E80*H80+SUMIFS(加仓管理!$H$2:$H$1001,加仓管理!$A$2:$A$1001,A80))-MAX(N80,AN80)*AP80,0))))</f>
        <v/>
      </c>
      <c r="AR80" s="15" t="str">
        <f aca="false">IF(A80="","",IF(OR(E80="",H80=""),"违规：首次买入价格或股数缺失",IF(COUNTIFS(加仓管理!$A$2:$A$1001,A80,加仓管理!$R$2:$R$1001,"违规*")&gt;0,"违规：请检查加仓管理表",IF(SUM($AQ$2:$AQ$201)&gt;账户数据!$B$7,"预警：超过账户风险上限",IF(COUNTIFS(加仓管理!$A$2:$A$1001,A80,加仓管理!$N$2:$N$1001,"&gt;0",加仓管理!$G$2:$G$1001,"")&gt;0,"提示：存在待执行加仓计划","通过")))))</f>
        <v/>
      </c>
    </row>
    <row r="81" customFormat="false" ht="13.5" hidden="false" customHeight="false" outlineLevel="0" collapsed="false">
      <c r="A81" s="4"/>
      <c r="B81" s="4"/>
      <c r="C81" s="5"/>
      <c r="D81" s="6"/>
      <c r="E81" s="5"/>
      <c r="F81" s="7" t="str">
        <f aca="false">IF(OR(C81="",D81="",E81="",N81="",C81&lt;=0,D81&lt;=0,E81&lt;=N81),"",ROUNDDOWN((C81*D81)/(E81-N81)/100,0)*100)</f>
        <v/>
      </c>
      <c r="G81" s="7" t="str">
        <f aca="false">IF(A81="","",IF(H81&lt;&gt;"","已开仓",IF(账户数据!$B$23="已锁仓","禁止开仓：连续亏损达到上限",IF(账户数据!$B$23="解锁信息不完整","禁止开仓：请完整填写解锁信息",IF(OR(F81="",E81="",N81="",E81&lt;=N81,账户数据!$B$7=""),"",IF(OR(AG81="",AH81="",AI81=""),"禁止开仓：交易预期未填写完整",IF(账户数据!$B$9+F81*(E81-N81)&gt;=账户数据!$B$7,"禁止开仓：风险额度不足",IF(AJ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1" s="4"/>
      <c r="I81" s="8"/>
      <c r="J81" s="5"/>
      <c r="K81" s="5"/>
      <c r="L81" s="7" t="str">
        <f aca="false">IF(AP81="","",AP81)</f>
        <v/>
      </c>
      <c r="M81" s="8"/>
      <c r="N81" s="5"/>
      <c r="O81" s="5"/>
      <c r="P81" s="5"/>
      <c r="Q81" s="4"/>
      <c r="R81" s="4"/>
      <c r="S81" s="4"/>
      <c r="T81" s="4"/>
      <c r="U81" s="9" t="str">
        <f aca="false">IF(OR(AO81="",J81="",AO81&lt;=0),"",(J81-AO81)/AO81)</f>
        <v/>
      </c>
      <c r="V81" s="9" t="str">
        <f aca="false">IF(OR(AO81="",N81="",AO81&lt;=0),"",(AO81-N81)/AO81)</f>
        <v/>
      </c>
      <c r="W81" s="10" t="str">
        <f aca="false">IF(OR(U81="",V81="",V81&lt;=0),"",U81/V81)</f>
        <v/>
      </c>
      <c r="X81" s="11" t="str">
        <f aca="false">IF(OR(K81="",L81="",AO81="",AP81=""),"",(K81-AO81)*L81-IF(O81="",0,O81)-IF(P81="",0,P81))</f>
        <v/>
      </c>
      <c r="Y81" s="9" t="str">
        <f aca="false">IF(OR(X81="",AO81="",L81=""),"",IF(AO81*L81+IF(O81="",0,O81)&lt;=0,"",X81/(AO81*L81+IF(O81="",0,O81))))</f>
        <v/>
      </c>
      <c r="Z81" s="9" t="str">
        <f aca="false">IF(OR(AE81="",多次统计数据!$B$8=""),"",AE81-多次统计数据!$B$8)</f>
        <v/>
      </c>
      <c r="AA81" s="12" t="str">
        <f aca="false">IF(OR(I81="",M81="",M81&lt;I81),"",M81-I81)</f>
        <v/>
      </c>
      <c r="AB81" s="9" t="str">
        <f aca="false">IF(OR(A81="",多次统计数据!$B$8="",多次统计数据!$B$6&lt;=0,多次统计数据!$B$6&gt;=1),"",1-POWER(1+多次统计数据!$B$8,-多次统计数据!$B$6/(1-多次统计数据!$B$6)))</f>
        <v/>
      </c>
      <c r="AC81" s="7" t="str">
        <f aca="false">IF(OR(AB81="",多次统计数据!$B$9=""),"",IF(多次统计数据!$B$9&lt;AB81,"低于上限","达到或超过上限"))</f>
        <v/>
      </c>
      <c r="AD81" s="4"/>
      <c r="AE81" s="9" t="str">
        <f aca="false">IF(OR(X81="",C81="",C81&lt;=0),"",X81/C81)</f>
        <v/>
      </c>
      <c r="AG81" s="4"/>
      <c r="AH81" s="4"/>
      <c r="AI81" s="4"/>
      <c r="AJ81" s="7" t="str">
        <f aca="false">IF(OR(AG81="",AH81=""),"",IF(OR(AND(AG81="短期博反弹",OR(AH81="1～3个交易日",AH81="4～10个交易日")),AND(AG81="突破冲新高",OR(AH81="4～10个交易日",AH81="11～20个交易日")),AND(AG81="趋势波段",OR(AH81="11～20个交易日",AH81="21～60个交易日",AH81="60个交易日以上"))),"匹配","周期与交易预期不匹配，请重新确认"))</f>
        <v/>
      </c>
      <c r="AK81" s="13" t="str">
        <f aca="false">IF(A81="","",COUNTIFS(加仓管理!$A$2:$A$1001,A81,加仓管理!$G$2:$G$1001,"&gt;0"))</f>
        <v/>
      </c>
      <c r="AL81" s="13" t="str">
        <f aca="false">IF(A81="","",SUMIFS(加仓管理!$G$2:$G$1001,加仓管理!$A$2:$A$1001,A81))</f>
        <v/>
      </c>
      <c r="AM81" s="14" t="str">
        <f aca="false">IF(AK81=0,"",IFERROR(LOOKUP(2,1/((加仓管理!$A$2:$A$1001=A81)*(加仓管理!$G$2:$G$1001&gt;0)),加仓管理!$D$2:$D$1001),""))</f>
        <v/>
      </c>
      <c r="AN81" s="14" t="str">
        <f aca="false">IF(AK81=0,"",IFERROR(LOOKUP(2,1/((加仓管理!$A$2:$A$1001=A81)*(加仓管理!$G$2:$G$1001&gt;0)),加仓管理!$E$2:$E$1001),""))</f>
        <v/>
      </c>
      <c r="AO81" s="14" t="str">
        <f aca="false">IF(OR(A81="",H81="",H81&lt;=0),"",(E81*H81+SUMIFS(加仓管理!$H$2:$H$1001,加仓管理!$A$2:$A$1001,A81))/AP81)</f>
        <v/>
      </c>
      <c r="AP81" s="13" t="str">
        <f aca="false">IF(OR(A81="",H81="",H81&lt;=0),"",H81+AL81)</f>
        <v/>
      </c>
      <c r="AQ81" s="14" t="str">
        <f aca="false">IF(A81="","",IF(M81&lt;&gt;"",0,IF(OR(H81="",N81=""),"",MAX((E81*H81+SUMIFS(加仓管理!$H$2:$H$1001,加仓管理!$A$2:$A$1001,A81))-MAX(N81,AN81)*AP81,0))))</f>
        <v/>
      </c>
      <c r="AR81" s="15" t="str">
        <f aca="false">IF(A81="","",IF(OR(E81="",H81=""),"违规：首次买入价格或股数缺失",IF(COUNTIFS(加仓管理!$A$2:$A$1001,A81,加仓管理!$R$2:$R$1001,"违规*")&gt;0,"违规：请检查加仓管理表",IF(SUM($AQ$2:$AQ$201)&gt;账户数据!$B$7,"预警：超过账户风险上限",IF(COUNTIFS(加仓管理!$A$2:$A$1001,A81,加仓管理!$N$2:$N$1001,"&gt;0",加仓管理!$G$2:$G$1001,"")&gt;0,"提示：存在待执行加仓计划","通过")))))</f>
        <v/>
      </c>
    </row>
    <row r="82" customFormat="false" ht="13.5" hidden="false" customHeight="false" outlineLevel="0" collapsed="false">
      <c r="A82" s="4"/>
      <c r="B82" s="4"/>
      <c r="C82" s="5"/>
      <c r="D82" s="6"/>
      <c r="E82" s="5"/>
      <c r="F82" s="7" t="str">
        <f aca="false">IF(OR(C82="",D82="",E82="",N82="",C82&lt;=0,D82&lt;=0,E82&lt;=N82),"",ROUNDDOWN((C82*D82)/(E82-N82)/100,0)*100)</f>
        <v/>
      </c>
      <c r="G82" s="7" t="str">
        <f aca="false">IF(A82="","",IF(H82&lt;&gt;"","已开仓",IF(账户数据!$B$23="已锁仓","禁止开仓：连续亏损达到上限",IF(账户数据!$B$23="解锁信息不完整","禁止开仓：请完整填写解锁信息",IF(OR(F82="",E82="",N82="",E82&lt;=N82,账户数据!$B$7=""),"",IF(OR(AG82="",AH82="",AI82=""),"禁止开仓：交易预期未填写完整",IF(账户数据!$B$9+F82*(E82-N82)&gt;=账户数据!$B$7,"禁止开仓：风险额度不足",IF(AJ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2" s="4"/>
      <c r="I82" s="8"/>
      <c r="J82" s="5"/>
      <c r="K82" s="5"/>
      <c r="L82" s="7" t="str">
        <f aca="false">IF(AP82="","",AP82)</f>
        <v/>
      </c>
      <c r="M82" s="8"/>
      <c r="N82" s="5"/>
      <c r="O82" s="5"/>
      <c r="P82" s="5"/>
      <c r="Q82" s="4"/>
      <c r="R82" s="4"/>
      <c r="S82" s="4"/>
      <c r="T82" s="4"/>
      <c r="U82" s="9" t="str">
        <f aca="false">IF(OR(AO82="",J82="",AO82&lt;=0),"",(J82-AO82)/AO82)</f>
        <v/>
      </c>
      <c r="V82" s="9" t="str">
        <f aca="false">IF(OR(AO82="",N82="",AO82&lt;=0),"",(AO82-N82)/AO82)</f>
        <v/>
      </c>
      <c r="W82" s="10" t="str">
        <f aca="false">IF(OR(U82="",V82="",V82&lt;=0),"",U82/V82)</f>
        <v/>
      </c>
      <c r="X82" s="11" t="str">
        <f aca="false">IF(OR(K82="",L82="",AO82="",AP82=""),"",(K82-AO82)*L82-IF(O82="",0,O82)-IF(P82="",0,P82))</f>
        <v/>
      </c>
      <c r="Y82" s="9" t="str">
        <f aca="false">IF(OR(X82="",AO82="",L82=""),"",IF(AO82*L82+IF(O82="",0,O82)&lt;=0,"",X82/(AO82*L82+IF(O82="",0,O82))))</f>
        <v/>
      </c>
      <c r="Z82" s="9" t="str">
        <f aca="false">IF(OR(AE82="",多次统计数据!$B$8=""),"",AE82-多次统计数据!$B$8)</f>
        <v/>
      </c>
      <c r="AA82" s="12" t="str">
        <f aca="false">IF(OR(I82="",M82="",M82&lt;I82),"",M82-I82)</f>
        <v/>
      </c>
      <c r="AB82" s="9" t="str">
        <f aca="false">IF(OR(A82="",多次统计数据!$B$8="",多次统计数据!$B$6&lt;=0,多次统计数据!$B$6&gt;=1),"",1-POWER(1+多次统计数据!$B$8,-多次统计数据!$B$6/(1-多次统计数据!$B$6)))</f>
        <v/>
      </c>
      <c r="AC82" s="7" t="str">
        <f aca="false">IF(OR(AB82="",多次统计数据!$B$9=""),"",IF(多次统计数据!$B$9&lt;AB82,"低于上限","达到或超过上限"))</f>
        <v/>
      </c>
      <c r="AD82" s="4"/>
      <c r="AE82" s="9" t="str">
        <f aca="false">IF(OR(X82="",C82="",C82&lt;=0),"",X82/C82)</f>
        <v/>
      </c>
      <c r="AG82" s="4"/>
      <c r="AH82" s="4"/>
      <c r="AI82" s="4"/>
      <c r="AJ82" s="7" t="str">
        <f aca="false">IF(OR(AG82="",AH82=""),"",IF(OR(AND(AG82="短期博反弹",OR(AH82="1～3个交易日",AH82="4～10个交易日")),AND(AG82="突破冲新高",OR(AH82="4～10个交易日",AH82="11～20个交易日")),AND(AG82="趋势波段",OR(AH82="11～20个交易日",AH82="21～60个交易日",AH82="60个交易日以上"))),"匹配","周期与交易预期不匹配，请重新确认"))</f>
        <v/>
      </c>
      <c r="AK82" s="13" t="str">
        <f aca="false">IF(A82="","",COUNTIFS(加仓管理!$A$2:$A$1001,A82,加仓管理!$G$2:$G$1001,"&gt;0"))</f>
        <v/>
      </c>
      <c r="AL82" s="13" t="str">
        <f aca="false">IF(A82="","",SUMIFS(加仓管理!$G$2:$G$1001,加仓管理!$A$2:$A$1001,A82))</f>
        <v/>
      </c>
      <c r="AM82" s="14" t="str">
        <f aca="false">IF(AK82=0,"",IFERROR(LOOKUP(2,1/((加仓管理!$A$2:$A$1001=A82)*(加仓管理!$G$2:$G$1001&gt;0)),加仓管理!$D$2:$D$1001),""))</f>
        <v/>
      </c>
      <c r="AN82" s="14" t="str">
        <f aca="false">IF(AK82=0,"",IFERROR(LOOKUP(2,1/((加仓管理!$A$2:$A$1001=A82)*(加仓管理!$G$2:$G$1001&gt;0)),加仓管理!$E$2:$E$1001),""))</f>
        <v/>
      </c>
      <c r="AO82" s="14" t="str">
        <f aca="false">IF(OR(A82="",H82="",H82&lt;=0),"",(E82*H82+SUMIFS(加仓管理!$H$2:$H$1001,加仓管理!$A$2:$A$1001,A82))/AP82)</f>
        <v/>
      </c>
      <c r="AP82" s="13" t="str">
        <f aca="false">IF(OR(A82="",H82="",H82&lt;=0),"",H82+AL82)</f>
        <v/>
      </c>
      <c r="AQ82" s="14" t="str">
        <f aca="false">IF(A82="","",IF(M82&lt;&gt;"",0,IF(OR(H82="",N82=""),"",MAX((E82*H82+SUMIFS(加仓管理!$H$2:$H$1001,加仓管理!$A$2:$A$1001,A82))-MAX(N82,AN82)*AP82,0))))</f>
        <v/>
      </c>
      <c r="AR82" s="15" t="str">
        <f aca="false">IF(A82="","",IF(OR(E82="",H82=""),"违规：首次买入价格或股数缺失",IF(COUNTIFS(加仓管理!$A$2:$A$1001,A82,加仓管理!$R$2:$R$1001,"违规*")&gt;0,"违规：请检查加仓管理表",IF(SUM($AQ$2:$AQ$201)&gt;账户数据!$B$7,"预警：超过账户风险上限",IF(COUNTIFS(加仓管理!$A$2:$A$1001,A82,加仓管理!$N$2:$N$1001,"&gt;0",加仓管理!$G$2:$G$1001,"")&gt;0,"提示：存在待执行加仓计划","通过")))))</f>
        <v/>
      </c>
    </row>
    <row r="83" customFormat="false" ht="13.5" hidden="false" customHeight="false" outlineLevel="0" collapsed="false">
      <c r="A83" s="4"/>
      <c r="B83" s="4"/>
      <c r="C83" s="5"/>
      <c r="D83" s="6"/>
      <c r="E83" s="5"/>
      <c r="F83" s="7" t="str">
        <f aca="false">IF(OR(C83="",D83="",E83="",N83="",C83&lt;=0,D83&lt;=0,E83&lt;=N83),"",ROUNDDOWN((C83*D83)/(E83-N83)/100,0)*100)</f>
        <v/>
      </c>
      <c r="G83" s="7" t="str">
        <f aca="false">IF(A83="","",IF(H83&lt;&gt;"","已开仓",IF(账户数据!$B$23="已锁仓","禁止开仓：连续亏损达到上限",IF(账户数据!$B$23="解锁信息不完整","禁止开仓：请完整填写解锁信息",IF(OR(F83="",E83="",N83="",E83&lt;=N83,账户数据!$B$7=""),"",IF(OR(AG83="",AH83="",AI83=""),"禁止开仓：交易预期未填写完整",IF(账户数据!$B$9+F83*(E83-N83)&gt;=账户数据!$B$7,"禁止开仓：风险额度不足",IF(AJ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3" s="4"/>
      <c r="I83" s="8"/>
      <c r="J83" s="5"/>
      <c r="K83" s="5"/>
      <c r="L83" s="7" t="str">
        <f aca="false">IF(AP83="","",AP83)</f>
        <v/>
      </c>
      <c r="M83" s="8"/>
      <c r="N83" s="5"/>
      <c r="O83" s="5"/>
      <c r="P83" s="5"/>
      <c r="Q83" s="4"/>
      <c r="R83" s="4"/>
      <c r="S83" s="4"/>
      <c r="T83" s="4"/>
      <c r="U83" s="9" t="str">
        <f aca="false">IF(OR(AO83="",J83="",AO83&lt;=0),"",(J83-AO83)/AO83)</f>
        <v/>
      </c>
      <c r="V83" s="9" t="str">
        <f aca="false">IF(OR(AO83="",N83="",AO83&lt;=0),"",(AO83-N83)/AO83)</f>
        <v/>
      </c>
      <c r="W83" s="10" t="str">
        <f aca="false">IF(OR(U83="",V83="",V83&lt;=0),"",U83/V83)</f>
        <v/>
      </c>
      <c r="X83" s="11" t="str">
        <f aca="false">IF(OR(K83="",L83="",AO83="",AP83=""),"",(K83-AO83)*L83-IF(O83="",0,O83)-IF(P83="",0,P83))</f>
        <v/>
      </c>
      <c r="Y83" s="9" t="str">
        <f aca="false">IF(OR(X83="",AO83="",L83=""),"",IF(AO83*L83+IF(O83="",0,O83)&lt;=0,"",X83/(AO83*L83+IF(O83="",0,O83))))</f>
        <v/>
      </c>
      <c r="Z83" s="9" t="str">
        <f aca="false">IF(OR(AE83="",多次统计数据!$B$8=""),"",AE83-多次统计数据!$B$8)</f>
        <v/>
      </c>
      <c r="AA83" s="12" t="str">
        <f aca="false">IF(OR(I83="",M83="",M83&lt;I83),"",M83-I83)</f>
        <v/>
      </c>
      <c r="AB83" s="9" t="str">
        <f aca="false">IF(OR(A83="",多次统计数据!$B$8="",多次统计数据!$B$6&lt;=0,多次统计数据!$B$6&gt;=1),"",1-POWER(1+多次统计数据!$B$8,-多次统计数据!$B$6/(1-多次统计数据!$B$6)))</f>
        <v/>
      </c>
      <c r="AC83" s="7" t="str">
        <f aca="false">IF(OR(AB83="",多次统计数据!$B$9=""),"",IF(多次统计数据!$B$9&lt;AB83,"低于上限","达到或超过上限"))</f>
        <v/>
      </c>
      <c r="AD83" s="4"/>
      <c r="AE83" s="9" t="str">
        <f aca="false">IF(OR(X83="",C83="",C83&lt;=0),"",X83/C83)</f>
        <v/>
      </c>
      <c r="AG83" s="4"/>
      <c r="AH83" s="4"/>
      <c r="AI83" s="4"/>
      <c r="AJ83" s="7" t="str">
        <f aca="false">IF(OR(AG83="",AH83=""),"",IF(OR(AND(AG83="短期博反弹",OR(AH83="1～3个交易日",AH83="4～10个交易日")),AND(AG83="突破冲新高",OR(AH83="4～10个交易日",AH83="11～20个交易日")),AND(AG83="趋势波段",OR(AH83="11～20个交易日",AH83="21～60个交易日",AH83="60个交易日以上"))),"匹配","周期与交易预期不匹配，请重新确认"))</f>
        <v/>
      </c>
      <c r="AK83" s="13" t="str">
        <f aca="false">IF(A83="","",COUNTIFS(加仓管理!$A$2:$A$1001,A83,加仓管理!$G$2:$G$1001,"&gt;0"))</f>
        <v/>
      </c>
      <c r="AL83" s="13" t="str">
        <f aca="false">IF(A83="","",SUMIFS(加仓管理!$G$2:$G$1001,加仓管理!$A$2:$A$1001,A83))</f>
        <v/>
      </c>
      <c r="AM83" s="14" t="str">
        <f aca="false">IF(AK83=0,"",IFERROR(LOOKUP(2,1/((加仓管理!$A$2:$A$1001=A83)*(加仓管理!$G$2:$G$1001&gt;0)),加仓管理!$D$2:$D$1001),""))</f>
        <v/>
      </c>
      <c r="AN83" s="14" t="str">
        <f aca="false">IF(AK83=0,"",IFERROR(LOOKUP(2,1/((加仓管理!$A$2:$A$1001=A83)*(加仓管理!$G$2:$G$1001&gt;0)),加仓管理!$E$2:$E$1001),""))</f>
        <v/>
      </c>
      <c r="AO83" s="14" t="str">
        <f aca="false">IF(OR(A83="",H83="",H83&lt;=0),"",(E83*H83+SUMIFS(加仓管理!$H$2:$H$1001,加仓管理!$A$2:$A$1001,A83))/AP83)</f>
        <v/>
      </c>
      <c r="AP83" s="13" t="str">
        <f aca="false">IF(OR(A83="",H83="",H83&lt;=0),"",H83+AL83)</f>
        <v/>
      </c>
      <c r="AQ83" s="14" t="str">
        <f aca="false">IF(A83="","",IF(M83&lt;&gt;"",0,IF(OR(H83="",N83=""),"",MAX((E83*H83+SUMIFS(加仓管理!$H$2:$H$1001,加仓管理!$A$2:$A$1001,A83))-MAX(N83,AN83)*AP83,0))))</f>
        <v/>
      </c>
      <c r="AR83" s="15" t="str">
        <f aca="false">IF(A83="","",IF(OR(E83="",H83=""),"违规：首次买入价格或股数缺失",IF(COUNTIFS(加仓管理!$A$2:$A$1001,A83,加仓管理!$R$2:$R$1001,"违规*")&gt;0,"违规：请检查加仓管理表",IF(SUM($AQ$2:$AQ$201)&gt;账户数据!$B$7,"预警：超过账户风险上限",IF(COUNTIFS(加仓管理!$A$2:$A$1001,A83,加仓管理!$N$2:$N$1001,"&gt;0",加仓管理!$G$2:$G$1001,"")&gt;0,"提示：存在待执行加仓计划","通过")))))</f>
        <v/>
      </c>
    </row>
    <row r="84" customFormat="false" ht="13.5" hidden="false" customHeight="false" outlineLevel="0" collapsed="false">
      <c r="A84" s="4"/>
      <c r="B84" s="4"/>
      <c r="C84" s="5"/>
      <c r="D84" s="6"/>
      <c r="E84" s="5"/>
      <c r="F84" s="7" t="str">
        <f aca="false">IF(OR(C84="",D84="",E84="",N84="",C84&lt;=0,D84&lt;=0,E84&lt;=N84),"",ROUNDDOWN((C84*D84)/(E84-N84)/100,0)*100)</f>
        <v/>
      </c>
      <c r="G84" s="7" t="str">
        <f aca="false">IF(A84="","",IF(H84&lt;&gt;"","已开仓",IF(账户数据!$B$23="已锁仓","禁止开仓：连续亏损达到上限",IF(账户数据!$B$23="解锁信息不完整","禁止开仓：请完整填写解锁信息",IF(OR(F84="",E84="",N84="",E84&lt;=N84,账户数据!$B$7=""),"",IF(OR(AG84="",AH84="",AI84=""),"禁止开仓：交易预期未填写完整",IF(账户数据!$B$9+F84*(E84-N84)&gt;=账户数据!$B$7,"禁止开仓：风险额度不足",IF(AJ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4" s="4"/>
      <c r="I84" s="8"/>
      <c r="J84" s="5"/>
      <c r="K84" s="5"/>
      <c r="L84" s="7" t="str">
        <f aca="false">IF(AP84="","",AP84)</f>
        <v/>
      </c>
      <c r="M84" s="8"/>
      <c r="N84" s="5"/>
      <c r="O84" s="5"/>
      <c r="P84" s="5"/>
      <c r="Q84" s="4"/>
      <c r="R84" s="4"/>
      <c r="S84" s="4"/>
      <c r="T84" s="4"/>
      <c r="U84" s="9" t="str">
        <f aca="false">IF(OR(AO84="",J84="",AO84&lt;=0),"",(J84-AO84)/AO84)</f>
        <v/>
      </c>
      <c r="V84" s="9" t="str">
        <f aca="false">IF(OR(AO84="",N84="",AO84&lt;=0),"",(AO84-N84)/AO84)</f>
        <v/>
      </c>
      <c r="W84" s="10" t="str">
        <f aca="false">IF(OR(U84="",V84="",V84&lt;=0),"",U84/V84)</f>
        <v/>
      </c>
      <c r="X84" s="11" t="str">
        <f aca="false">IF(OR(K84="",L84="",AO84="",AP84=""),"",(K84-AO84)*L84-IF(O84="",0,O84)-IF(P84="",0,P84))</f>
        <v/>
      </c>
      <c r="Y84" s="9" t="str">
        <f aca="false">IF(OR(X84="",AO84="",L84=""),"",IF(AO84*L84+IF(O84="",0,O84)&lt;=0,"",X84/(AO84*L84+IF(O84="",0,O84))))</f>
        <v/>
      </c>
      <c r="Z84" s="9" t="str">
        <f aca="false">IF(OR(AE84="",多次统计数据!$B$8=""),"",AE84-多次统计数据!$B$8)</f>
        <v/>
      </c>
      <c r="AA84" s="12" t="str">
        <f aca="false">IF(OR(I84="",M84="",M84&lt;I84),"",M84-I84)</f>
        <v/>
      </c>
      <c r="AB84" s="9" t="str">
        <f aca="false">IF(OR(A84="",多次统计数据!$B$8="",多次统计数据!$B$6&lt;=0,多次统计数据!$B$6&gt;=1),"",1-POWER(1+多次统计数据!$B$8,-多次统计数据!$B$6/(1-多次统计数据!$B$6)))</f>
        <v/>
      </c>
      <c r="AC84" s="7" t="str">
        <f aca="false">IF(OR(AB84="",多次统计数据!$B$9=""),"",IF(多次统计数据!$B$9&lt;AB84,"低于上限","达到或超过上限"))</f>
        <v/>
      </c>
      <c r="AD84" s="4"/>
      <c r="AE84" s="9" t="str">
        <f aca="false">IF(OR(X84="",C84="",C84&lt;=0),"",X84/C84)</f>
        <v/>
      </c>
      <c r="AG84" s="4"/>
      <c r="AH84" s="4"/>
      <c r="AI84" s="4"/>
      <c r="AJ84" s="7" t="str">
        <f aca="false">IF(OR(AG84="",AH84=""),"",IF(OR(AND(AG84="短期博反弹",OR(AH84="1～3个交易日",AH84="4～10个交易日")),AND(AG84="突破冲新高",OR(AH84="4～10个交易日",AH84="11～20个交易日")),AND(AG84="趋势波段",OR(AH84="11～20个交易日",AH84="21～60个交易日",AH84="60个交易日以上"))),"匹配","周期与交易预期不匹配，请重新确认"))</f>
        <v/>
      </c>
      <c r="AK84" s="13" t="str">
        <f aca="false">IF(A84="","",COUNTIFS(加仓管理!$A$2:$A$1001,A84,加仓管理!$G$2:$G$1001,"&gt;0"))</f>
        <v/>
      </c>
      <c r="AL84" s="13" t="str">
        <f aca="false">IF(A84="","",SUMIFS(加仓管理!$G$2:$G$1001,加仓管理!$A$2:$A$1001,A84))</f>
        <v/>
      </c>
      <c r="AM84" s="14" t="str">
        <f aca="false">IF(AK84=0,"",IFERROR(LOOKUP(2,1/((加仓管理!$A$2:$A$1001=A84)*(加仓管理!$G$2:$G$1001&gt;0)),加仓管理!$D$2:$D$1001),""))</f>
        <v/>
      </c>
      <c r="AN84" s="14" t="str">
        <f aca="false">IF(AK84=0,"",IFERROR(LOOKUP(2,1/((加仓管理!$A$2:$A$1001=A84)*(加仓管理!$G$2:$G$1001&gt;0)),加仓管理!$E$2:$E$1001),""))</f>
        <v/>
      </c>
      <c r="AO84" s="14" t="str">
        <f aca="false">IF(OR(A84="",H84="",H84&lt;=0),"",(E84*H84+SUMIFS(加仓管理!$H$2:$H$1001,加仓管理!$A$2:$A$1001,A84))/AP84)</f>
        <v/>
      </c>
      <c r="AP84" s="13" t="str">
        <f aca="false">IF(OR(A84="",H84="",H84&lt;=0),"",H84+AL84)</f>
        <v/>
      </c>
      <c r="AQ84" s="14" t="str">
        <f aca="false">IF(A84="","",IF(M84&lt;&gt;"",0,IF(OR(H84="",N84=""),"",MAX((E84*H84+SUMIFS(加仓管理!$H$2:$H$1001,加仓管理!$A$2:$A$1001,A84))-MAX(N84,AN84)*AP84,0))))</f>
        <v/>
      </c>
      <c r="AR84" s="15" t="str">
        <f aca="false">IF(A84="","",IF(OR(E84="",H84=""),"违规：首次买入价格或股数缺失",IF(COUNTIFS(加仓管理!$A$2:$A$1001,A84,加仓管理!$R$2:$R$1001,"违规*")&gt;0,"违规：请检查加仓管理表",IF(SUM($AQ$2:$AQ$201)&gt;账户数据!$B$7,"预警：超过账户风险上限",IF(COUNTIFS(加仓管理!$A$2:$A$1001,A84,加仓管理!$N$2:$N$1001,"&gt;0",加仓管理!$G$2:$G$1001,"")&gt;0,"提示：存在待执行加仓计划","通过")))))</f>
        <v/>
      </c>
    </row>
    <row r="85" customFormat="false" ht="13.5" hidden="false" customHeight="false" outlineLevel="0" collapsed="false">
      <c r="A85" s="4"/>
      <c r="B85" s="4"/>
      <c r="C85" s="5"/>
      <c r="D85" s="6"/>
      <c r="E85" s="5"/>
      <c r="F85" s="7" t="str">
        <f aca="false">IF(OR(C85="",D85="",E85="",N85="",C85&lt;=0,D85&lt;=0,E85&lt;=N85),"",ROUNDDOWN((C85*D85)/(E85-N85)/100,0)*100)</f>
        <v/>
      </c>
      <c r="G85" s="7" t="str">
        <f aca="false">IF(A85="","",IF(H85&lt;&gt;"","已开仓",IF(账户数据!$B$23="已锁仓","禁止开仓：连续亏损达到上限",IF(账户数据!$B$23="解锁信息不完整","禁止开仓：请完整填写解锁信息",IF(OR(F85="",E85="",N85="",E85&lt;=N85,账户数据!$B$7=""),"",IF(OR(AG85="",AH85="",AI85=""),"禁止开仓：交易预期未填写完整",IF(账户数据!$B$9+F85*(E85-N85)&gt;=账户数据!$B$7,"禁止开仓：风险额度不足",IF(AJ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5" s="4"/>
      <c r="I85" s="8"/>
      <c r="J85" s="5"/>
      <c r="K85" s="5"/>
      <c r="L85" s="7" t="str">
        <f aca="false">IF(AP85="","",AP85)</f>
        <v/>
      </c>
      <c r="M85" s="8"/>
      <c r="N85" s="5"/>
      <c r="O85" s="5"/>
      <c r="P85" s="5"/>
      <c r="Q85" s="4"/>
      <c r="R85" s="4"/>
      <c r="S85" s="4"/>
      <c r="T85" s="4"/>
      <c r="U85" s="9" t="str">
        <f aca="false">IF(OR(AO85="",J85="",AO85&lt;=0),"",(J85-AO85)/AO85)</f>
        <v/>
      </c>
      <c r="V85" s="9" t="str">
        <f aca="false">IF(OR(AO85="",N85="",AO85&lt;=0),"",(AO85-N85)/AO85)</f>
        <v/>
      </c>
      <c r="W85" s="10" t="str">
        <f aca="false">IF(OR(U85="",V85="",V85&lt;=0),"",U85/V85)</f>
        <v/>
      </c>
      <c r="X85" s="11" t="str">
        <f aca="false">IF(OR(K85="",L85="",AO85="",AP85=""),"",(K85-AO85)*L85-IF(O85="",0,O85)-IF(P85="",0,P85))</f>
        <v/>
      </c>
      <c r="Y85" s="9" t="str">
        <f aca="false">IF(OR(X85="",AO85="",L85=""),"",IF(AO85*L85+IF(O85="",0,O85)&lt;=0,"",X85/(AO85*L85+IF(O85="",0,O85))))</f>
        <v/>
      </c>
      <c r="Z85" s="9" t="str">
        <f aca="false">IF(OR(AE85="",多次统计数据!$B$8=""),"",AE85-多次统计数据!$B$8)</f>
        <v/>
      </c>
      <c r="AA85" s="12" t="str">
        <f aca="false">IF(OR(I85="",M85="",M85&lt;I85),"",M85-I85)</f>
        <v/>
      </c>
      <c r="AB85" s="9" t="str">
        <f aca="false">IF(OR(A85="",多次统计数据!$B$8="",多次统计数据!$B$6&lt;=0,多次统计数据!$B$6&gt;=1),"",1-POWER(1+多次统计数据!$B$8,-多次统计数据!$B$6/(1-多次统计数据!$B$6)))</f>
        <v/>
      </c>
      <c r="AC85" s="7" t="str">
        <f aca="false">IF(OR(AB85="",多次统计数据!$B$9=""),"",IF(多次统计数据!$B$9&lt;AB85,"低于上限","达到或超过上限"))</f>
        <v/>
      </c>
      <c r="AD85" s="4"/>
      <c r="AE85" s="9" t="str">
        <f aca="false">IF(OR(X85="",C85="",C85&lt;=0),"",X85/C85)</f>
        <v/>
      </c>
      <c r="AG85" s="4"/>
      <c r="AH85" s="4"/>
      <c r="AI85" s="4"/>
      <c r="AJ85" s="7" t="str">
        <f aca="false">IF(OR(AG85="",AH85=""),"",IF(OR(AND(AG85="短期博反弹",OR(AH85="1～3个交易日",AH85="4～10个交易日")),AND(AG85="突破冲新高",OR(AH85="4～10个交易日",AH85="11～20个交易日")),AND(AG85="趋势波段",OR(AH85="11～20个交易日",AH85="21～60个交易日",AH85="60个交易日以上"))),"匹配","周期与交易预期不匹配，请重新确认"))</f>
        <v/>
      </c>
      <c r="AK85" s="13" t="str">
        <f aca="false">IF(A85="","",COUNTIFS(加仓管理!$A$2:$A$1001,A85,加仓管理!$G$2:$G$1001,"&gt;0"))</f>
        <v/>
      </c>
      <c r="AL85" s="13" t="str">
        <f aca="false">IF(A85="","",SUMIFS(加仓管理!$G$2:$G$1001,加仓管理!$A$2:$A$1001,A85))</f>
        <v/>
      </c>
      <c r="AM85" s="14" t="str">
        <f aca="false">IF(AK85=0,"",IFERROR(LOOKUP(2,1/((加仓管理!$A$2:$A$1001=A85)*(加仓管理!$G$2:$G$1001&gt;0)),加仓管理!$D$2:$D$1001),""))</f>
        <v/>
      </c>
      <c r="AN85" s="14" t="str">
        <f aca="false">IF(AK85=0,"",IFERROR(LOOKUP(2,1/((加仓管理!$A$2:$A$1001=A85)*(加仓管理!$G$2:$G$1001&gt;0)),加仓管理!$E$2:$E$1001),""))</f>
        <v/>
      </c>
      <c r="AO85" s="14" t="str">
        <f aca="false">IF(OR(A85="",H85="",H85&lt;=0),"",(E85*H85+SUMIFS(加仓管理!$H$2:$H$1001,加仓管理!$A$2:$A$1001,A85))/AP85)</f>
        <v/>
      </c>
      <c r="AP85" s="13" t="str">
        <f aca="false">IF(OR(A85="",H85="",H85&lt;=0),"",H85+AL85)</f>
        <v/>
      </c>
      <c r="AQ85" s="14" t="str">
        <f aca="false">IF(A85="","",IF(M85&lt;&gt;"",0,IF(OR(H85="",N85=""),"",MAX((E85*H85+SUMIFS(加仓管理!$H$2:$H$1001,加仓管理!$A$2:$A$1001,A85))-MAX(N85,AN85)*AP85,0))))</f>
        <v/>
      </c>
      <c r="AR85" s="15" t="str">
        <f aca="false">IF(A85="","",IF(OR(E85="",H85=""),"违规：首次买入价格或股数缺失",IF(COUNTIFS(加仓管理!$A$2:$A$1001,A85,加仓管理!$R$2:$R$1001,"违规*")&gt;0,"违规：请检查加仓管理表",IF(SUM($AQ$2:$AQ$201)&gt;账户数据!$B$7,"预警：超过账户风险上限",IF(COUNTIFS(加仓管理!$A$2:$A$1001,A85,加仓管理!$N$2:$N$1001,"&gt;0",加仓管理!$G$2:$G$1001,"")&gt;0,"提示：存在待执行加仓计划","通过")))))</f>
        <v/>
      </c>
    </row>
    <row r="86" customFormat="false" ht="13.5" hidden="false" customHeight="false" outlineLevel="0" collapsed="false">
      <c r="A86" s="4"/>
      <c r="B86" s="4"/>
      <c r="C86" s="5"/>
      <c r="D86" s="6"/>
      <c r="E86" s="5"/>
      <c r="F86" s="7" t="str">
        <f aca="false">IF(OR(C86="",D86="",E86="",N86="",C86&lt;=0,D86&lt;=0,E86&lt;=N86),"",ROUNDDOWN((C86*D86)/(E86-N86)/100,0)*100)</f>
        <v/>
      </c>
      <c r="G86" s="7" t="str">
        <f aca="false">IF(A86="","",IF(H86&lt;&gt;"","已开仓",IF(账户数据!$B$23="已锁仓","禁止开仓：连续亏损达到上限",IF(账户数据!$B$23="解锁信息不完整","禁止开仓：请完整填写解锁信息",IF(OR(F86="",E86="",N86="",E86&lt;=N86,账户数据!$B$7=""),"",IF(OR(AG86="",AH86="",AI86=""),"禁止开仓：交易预期未填写完整",IF(账户数据!$B$9+F86*(E86-N86)&gt;=账户数据!$B$7,"禁止开仓：风险额度不足",IF(AJ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6" s="4"/>
      <c r="I86" s="8"/>
      <c r="J86" s="5"/>
      <c r="K86" s="5"/>
      <c r="L86" s="7" t="str">
        <f aca="false">IF(AP86="","",AP86)</f>
        <v/>
      </c>
      <c r="M86" s="8"/>
      <c r="N86" s="5"/>
      <c r="O86" s="5"/>
      <c r="P86" s="5"/>
      <c r="Q86" s="4"/>
      <c r="R86" s="4"/>
      <c r="S86" s="4"/>
      <c r="T86" s="4"/>
      <c r="U86" s="9" t="str">
        <f aca="false">IF(OR(AO86="",J86="",AO86&lt;=0),"",(J86-AO86)/AO86)</f>
        <v/>
      </c>
      <c r="V86" s="9" t="str">
        <f aca="false">IF(OR(AO86="",N86="",AO86&lt;=0),"",(AO86-N86)/AO86)</f>
        <v/>
      </c>
      <c r="W86" s="10" t="str">
        <f aca="false">IF(OR(U86="",V86="",V86&lt;=0),"",U86/V86)</f>
        <v/>
      </c>
      <c r="X86" s="11" t="str">
        <f aca="false">IF(OR(K86="",L86="",AO86="",AP86=""),"",(K86-AO86)*L86-IF(O86="",0,O86)-IF(P86="",0,P86))</f>
        <v/>
      </c>
      <c r="Y86" s="9" t="str">
        <f aca="false">IF(OR(X86="",AO86="",L86=""),"",IF(AO86*L86+IF(O86="",0,O86)&lt;=0,"",X86/(AO86*L86+IF(O86="",0,O86))))</f>
        <v/>
      </c>
      <c r="Z86" s="9" t="str">
        <f aca="false">IF(OR(AE86="",多次统计数据!$B$8=""),"",AE86-多次统计数据!$B$8)</f>
        <v/>
      </c>
      <c r="AA86" s="12" t="str">
        <f aca="false">IF(OR(I86="",M86="",M86&lt;I86),"",M86-I86)</f>
        <v/>
      </c>
      <c r="AB86" s="9" t="str">
        <f aca="false">IF(OR(A86="",多次统计数据!$B$8="",多次统计数据!$B$6&lt;=0,多次统计数据!$B$6&gt;=1),"",1-POWER(1+多次统计数据!$B$8,-多次统计数据!$B$6/(1-多次统计数据!$B$6)))</f>
        <v/>
      </c>
      <c r="AC86" s="7" t="str">
        <f aca="false">IF(OR(AB86="",多次统计数据!$B$9=""),"",IF(多次统计数据!$B$9&lt;AB86,"低于上限","达到或超过上限"))</f>
        <v/>
      </c>
      <c r="AD86" s="4"/>
      <c r="AE86" s="9" t="str">
        <f aca="false">IF(OR(X86="",C86="",C86&lt;=0),"",X86/C86)</f>
        <v/>
      </c>
      <c r="AG86" s="4"/>
      <c r="AH86" s="4"/>
      <c r="AI86" s="4"/>
      <c r="AJ86" s="7" t="str">
        <f aca="false">IF(OR(AG86="",AH86=""),"",IF(OR(AND(AG86="短期博反弹",OR(AH86="1～3个交易日",AH86="4～10个交易日")),AND(AG86="突破冲新高",OR(AH86="4～10个交易日",AH86="11～20个交易日")),AND(AG86="趋势波段",OR(AH86="11～20个交易日",AH86="21～60个交易日",AH86="60个交易日以上"))),"匹配","周期与交易预期不匹配，请重新确认"))</f>
        <v/>
      </c>
      <c r="AK86" s="13" t="str">
        <f aca="false">IF(A86="","",COUNTIFS(加仓管理!$A$2:$A$1001,A86,加仓管理!$G$2:$G$1001,"&gt;0"))</f>
        <v/>
      </c>
      <c r="AL86" s="13" t="str">
        <f aca="false">IF(A86="","",SUMIFS(加仓管理!$G$2:$G$1001,加仓管理!$A$2:$A$1001,A86))</f>
        <v/>
      </c>
      <c r="AM86" s="14" t="str">
        <f aca="false">IF(AK86=0,"",IFERROR(LOOKUP(2,1/((加仓管理!$A$2:$A$1001=A86)*(加仓管理!$G$2:$G$1001&gt;0)),加仓管理!$D$2:$D$1001),""))</f>
        <v/>
      </c>
      <c r="AN86" s="14" t="str">
        <f aca="false">IF(AK86=0,"",IFERROR(LOOKUP(2,1/((加仓管理!$A$2:$A$1001=A86)*(加仓管理!$G$2:$G$1001&gt;0)),加仓管理!$E$2:$E$1001),""))</f>
        <v/>
      </c>
      <c r="AO86" s="14" t="str">
        <f aca="false">IF(OR(A86="",H86="",H86&lt;=0),"",(E86*H86+SUMIFS(加仓管理!$H$2:$H$1001,加仓管理!$A$2:$A$1001,A86))/AP86)</f>
        <v/>
      </c>
      <c r="AP86" s="13" t="str">
        <f aca="false">IF(OR(A86="",H86="",H86&lt;=0),"",H86+AL86)</f>
        <v/>
      </c>
      <c r="AQ86" s="14" t="str">
        <f aca="false">IF(A86="","",IF(M86&lt;&gt;"",0,IF(OR(H86="",N86=""),"",MAX((E86*H86+SUMIFS(加仓管理!$H$2:$H$1001,加仓管理!$A$2:$A$1001,A86))-MAX(N86,AN86)*AP86,0))))</f>
        <v/>
      </c>
      <c r="AR86" s="15" t="str">
        <f aca="false">IF(A86="","",IF(OR(E86="",H86=""),"违规：首次买入价格或股数缺失",IF(COUNTIFS(加仓管理!$A$2:$A$1001,A86,加仓管理!$R$2:$R$1001,"违规*")&gt;0,"违规：请检查加仓管理表",IF(SUM($AQ$2:$AQ$201)&gt;账户数据!$B$7,"预警：超过账户风险上限",IF(COUNTIFS(加仓管理!$A$2:$A$1001,A86,加仓管理!$N$2:$N$1001,"&gt;0",加仓管理!$G$2:$G$1001,"")&gt;0,"提示：存在待执行加仓计划","通过")))))</f>
        <v/>
      </c>
    </row>
    <row r="87" customFormat="false" ht="13.5" hidden="false" customHeight="false" outlineLevel="0" collapsed="false">
      <c r="A87" s="4"/>
      <c r="B87" s="4"/>
      <c r="C87" s="5"/>
      <c r="D87" s="6"/>
      <c r="E87" s="5"/>
      <c r="F87" s="7" t="str">
        <f aca="false">IF(OR(C87="",D87="",E87="",N87="",C87&lt;=0,D87&lt;=0,E87&lt;=N87),"",ROUNDDOWN((C87*D87)/(E87-N87)/100,0)*100)</f>
        <v/>
      </c>
      <c r="G87" s="7" t="str">
        <f aca="false">IF(A87="","",IF(H87&lt;&gt;"","已开仓",IF(账户数据!$B$23="已锁仓","禁止开仓：连续亏损达到上限",IF(账户数据!$B$23="解锁信息不完整","禁止开仓：请完整填写解锁信息",IF(OR(F87="",E87="",N87="",E87&lt;=N87,账户数据!$B$7=""),"",IF(OR(AG87="",AH87="",AI87=""),"禁止开仓：交易预期未填写完整",IF(账户数据!$B$9+F87*(E87-N87)&gt;=账户数据!$B$7,"禁止开仓：风险额度不足",IF(AJ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7" s="4"/>
      <c r="I87" s="8"/>
      <c r="J87" s="5"/>
      <c r="K87" s="5"/>
      <c r="L87" s="7" t="str">
        <f aca="false">IF(AP87="","",AP87)</f>
        <v/>
      </c>
      <c r="M87" s="8"/>
      <c r="N87" s="5"/>
      <c r="O87" s="5"/>
      <c r="P87" s="5"/>
      <c r="Q87" s="4"/>
      <c r="R87" s="4"/>
      <c r="S87" s="4"/>
      <c r="T87" s="4"/>
      <c r="U87" s="9" t="str">
        <f aca="false">IF(OR(AO87="",J87="",AO87&lt;=0),"",(J87-AO87)/AO87)</f>
        <v/>
      </c>
      <c r="V87" s="9" t="str">
        <f aca="false">IF(OR(AO87="",N87="",AO87&lt;=0),"",(AO87-N87)/AO87)</f>
        <v/>
      </c>
      <c r="W87" s="10" t="str">
        <f aca="false">IF(OR(U87="",V87="",V87&lt;=0),"",U87/V87)</f>
        <v/>
      </c>
      <c r="X87" s="11" t="str">
        <f aca="false">IF(OR(K87="",L87="",AO87="",AP87=""),"",(K87-AO87)*L87-IF(O87="",0,O87)-IF(P87="",0,P87))</f>
        <v/>
      </c>
      <c r="Y87" s="9" t="str">
        <f aca="false">IF(OR(X87="",AO87="",L87=""),"",IF(AO87*L87+IF(O87="",0,O87)&lt;=0,"",X87/(AO87*L87+IF(O87="",0,O87))))</f>
        <v/>
      </c>
      <c r="Z87" s="9" t="str">
        <f aca="false">IF(OR(AE87="",多次统计数据!$B$8=""),"",AE87-多次统计数据!$B$8)</f>
        <v/>
      </c>
      <c r="AA87" s="12" t="str">
        <f aca="false">IF(OR(I87="",M87="",M87&lt;I87),"",M87-I87)</f>
        <v/>
      </c>
      <c r="AB87" s="9" t="str">
        <f aca="false">IF(OR(A87="",多次统计数据!$B$8="",多次统计数据!$B$6&lt;=0,多次统计数据!$B$6&gt;=1),"",1-POWER(1+多次统计数据!$B$8,-多次统计数据!$B$6/(1-多次统计数据!$B$6)))</f>
        <v/>
      </c>
      <c r="AC87" s="7" t="str">
        <f aca="false">IF(OR(AB87="",多次统计数据!$B$9=""),"",IF(多次统计数据!$B$9&lt;AB87,"低于上限","达到或超过上限"))</f>
        <v/>
      </c>
      <c r="AD87" s="4"/>
      <c r="AE87" s="9" t="str">
        <f aca="false">IF(OR(X87="",C87="",C87&lt;=0),"",X87/C87)</f>
        <v/>
      </c>
      <c r="AG87" s="4"/>
      <c r="AH87" s="4"/>
      <c r="AI87" s="4"/>
      <c r="AJ87" s="7" t="str">
        <f aca="false">IF(OR(AG87="",AH87=""),"",IF(OR(AND(AG87="短期博反弹",OR(AH87="1～3个交易日",AH87="4～10个交易日")),AND(AG87="突破冲新高",OR(AH87="4～10个交易日",AH87="11～20个交易日")),AND(AG87="趋势波段",OR(AH87="11～20个交易日",AH87="21～60个交易日",AH87="60个交易日以上"))),"匹配","周期与交易预期不匹配，请重新确认"))</f>
        <v/>
      </c>
      <c r="AK87" s="13" t="str">
        <f aca="false">IF(A87="","",COUNTIFS(加仓管理!$A$2:$A$1001,A87,加仓管理!$G$2:$G$1001,"&gt;0"))</f>
        <v/>
      </c>
      <c r="AL87" s="13" t="str">
        <f aca="false">IF(A87="","",SUMIFS(加仓管理!$G$2:$G$1001,加仓管理!$A$2:$A$1001,A87))</f>
        <v/>
      </c>
      <c r="AM87" s="14" t="str">
        <f aca="false">IF(AK87=0,"",IFERROR(LOOKUP(2,1/((加仓管理!$A$2:$A$1001=A87)*(加仓管理!$G$2:$G$1001&gt;0)),加仓管理!$D$2:$D$1001),""))</f>
        <v/>
      </c>
      <c r="AN87" s="14" t="str">
        <f aca="false">IF(AK87=0,"",IFERROR(LOOKUP(2,1/((加仓管理!$A$2:$A$1001=A87)*(加仓管理!$G$2:$G$1001&gt;0)),加仓管理!$E$2:$E$1001),""))</f>
        <v/>
      </c>
      <c r="AO87" s="14" t="str">
        <f aca="false">IF(OR(A87="",H87="",H87&lt;=0),"",(E87*H87+SUMIFS(加仓管理!$H$2:$H$1001,加仓管理!$A$2:$A$1001,A87))/AP87)</f>
        <v/>
      </c>
      <c r="AP87" s="13" t="str">
        <f aca="false">IF(OR(A87="",H87="",H87&lt;=0),"",H87+AL87)</f>
        <v/>
      </c>
      <c r="AQ87" s="14" t="str">
        <f aca="false">IF(A87="","",IF(M87&lt;&gt;"",0,IF(OR(H87="",N87=""),"",MAX((E87*H87+SUMIFS(加仓管理!$H$2:$H$1001,加仓管理!$A$2:$A$1001,A87))-MAX(N87,AN87)*AP87,0))))</f>
        <v/>
      </c>
      <c r="AR87" s="15" t="str">
        <f aca="false">IF(A87="","",IF(OR(E87="",H87=""),"违规：首次买入价格或股数缺失",IF(COUNTIFS(加仓管理!$A$2:$A$1001,A87,加仓管理!$R$2:$R$1001,"违规*")&gt;0,"违规：请检查加仓管理表",IF(SUM($AQ$2:$AQ$201)&gt;账户数据!$B$7,"预警：超过账户风险上限",IF(COUNTIFS(加仓管理!$A$2:$A$1001,A87,加仓管理!$N$2:$N$1001,"&gt;0",加仓管理!$G$2:$G$1001,"")&gt;0,"提示：存在待执行加仓计划","通过")))))</f>
        <v/>
      </c>
    </row>
    <row r="88" customFormat="false" ht="13.5" hidden="false" customHeight="false" outlineLevel="0" collapsed="false">
      <c r="A88" s="4"/>
      <c r="B88" s="4"/>
      <c r="C88" s="5"/>
      <c r="D88" s="6"/>
      <c r="E88" s="5"/>
      <c r="F88" s="7" t="str">
        <f aca="false">IF(OR(C88="",D88="",E88="",N88="",C88&lt;=0,D88&lt;=0,E88&lt;=N88),"",ROUNDDOWN((C88*D88)/(E88-N88)/100,0)*100)</f>
        <v/>
      </c>
      <c r="G88" s="7" t="str">
        <f aca="false">IF(A88="","",IF(H88&lt;&gt;"","已开仓",IF(账户数据!$B$23="已锁仓","禁止开仓：连续亏损达到上限",IF(账户数据!$B$23="解锁信息不完整","禁止开仓：请完整填写解锁信息",IF(OR(F88="",E88="",N88="",E88&lt;=N88,账户数据!$B$7=""),"",IF(OR(AG88="",AH88="",AI88=""),"禁止开仓：交易预期未填写完整",IF(账户数据!$B$9+F88*(E88-N88)&gt;=账户数据!$B$7,"禁止开仓：风险额度不足",IF(AJ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8" s="4"/>
      <c r="I88" s="8"/>
      <c r="J88" s="5"/>
      <c r="K88" s="5"/>
      <c r="L88" s="7" t="str">
        <f aca="false">IF(AP88="","",AP88)</f>
        <v/>
      </c>
      <c r="M88" s="8"/>
      <c r="N88" s="5"/>
      <c r="O88" s="5"/>
      <c r="P88" s="5"/>
      <c r="Q88" s="4"/>
      <c r="R88" s="4"/>
      <c r="S88" s="4"/>
      <c r="T88" s="4"/>
      <c r="U88" s="9" t="str">
        <f aca="false">IF(OR(AO88="",J88="",AO88&lt;=0),"",(J88-AO88)/AO88)</f>
        <v/>
      </c>
      <c r="V88" s="9" t="str">
        <f aca="false">IF(OR(AO88="",N88="",AO88&lt;=0),"",(AO88-N88)/AO88)</f>
        <v/>
      </c>
      <c r="W88" s="10" t="str">
        <f aca="false">IF(OR(U88="",V88="",V88&lt;=0),"",U88/V88)</f>
        <v/>
      </c>
      <c r="X88" s="11" t="str">
        <f aca="false">IF(OR(K88="",L88="",AO88="",AP88=""),"",(K88-AO88)*L88-IF(O88="",0,O88)-IF(P88="",0,P88))</f>
        <v/>
      </c>
      <c r="Y88" s="9" t="str">
        <f aca="false">IF(OR(X88="",AO88="",L88=""),"",IF(AO88*L88+IF(O88="",0,O88)&lt;=0,"",X88/(AO88*L88+IF(O88="",0,O88))))</f>
        <v/>
      </c>
      <c r="Z88" s="9" t="str">
        <f aca="false">IF(OR(AE88="",多次统计数据!$B$8=""),"",AE88-多次统计数据!$B$8)</f>
        <v/>
      </c>
      <c r="AA88" s="12" t="str">
        <f aca="false">IF(OR(I88="",M88="",M88&lt;I88),"",M88-I88)</f>
        <v/>
      </c>
      <c r="AB88" s="9" t="str">
        <f aca="false">IF(OR(A88="",多次统计数据!$B$8="",多次统计数据!$B$6&lt;=0,多次统计数据!$B$6&gt;=1),"",1-POWER(1+多次统计数据!$B$8,-多次统计数据!$B$6/(1-多次统计数据!$B$6)))</f>
        <v/>
      </c>
      <c r="AC88" s="7" t="str">
        <f aca="false">IF(OR(AB88="",多次统计数据!$B$9=""),"",IF(多次统计数据!$B$9&lt;AB88,"低于上限","达到或超过上限"))</f>
        <v/>
      </c>
      <c r="AD88" s="4"/>
      <c r="AE88" s="9" t="str">
        <f aca="false">IF(OR(X88="",C88="",C88&lt;=0),"",X88/C88)</f>
        <v/>
      </c>
      <c r="AG88" s="4"/>
      <c r="AH88" s="4"/>
      <c r="AI88" s="4"/>
      <c r="AJ88" s="7" t="str">
        <f aca="false">IF(OR(AG88="",AH88=""),"",IF(OR(AND(AG88="短期博反弹",OR(AH88="1～3个交易日",AH88="4～10个交易日")),AND(AG88="突破冲新高",OR(AH88="4～10个交易日",AH88="11～20个交易日")),AND(AG88="趋势波段",OR(AH88="11～20个交易日",AH88="21～60个交易日",AH88="60个交易日以上"))),"匹配","周期与交易预期不匹配，请重新确认"))</f>
        <v/>
      </c>
      <c r="AK88" s="13" t="str">
        <f aca="false">IF(A88="","",COUNTIFS(加仓管理!$A$2:$A$1001,A88,加仓管理!$G$2:$G$1001,"&gt;0"))</f>
        <v/>
      </c>
      <c r="AL88" s="13" t="str">
        <f aca="false">IF(A88="","",SUMIFS(加仓管理!$G$2:$G$1001,加仓管理!$A$2:$A$1001,A88))</f>
        <v/>
      </c>
      <c r="AM88" s="14" t="str">
        <f aca="false">IF(AK88=0,"",IFERROR(LOOKUP(2,1/((加仓管理!$A$2:$A$1001=A88)*(加仓管理!$G$2:$G$1001&gt;0)),加仓管理!$D$2:$D$1001),""))</f>
        <v/>
      </c>
      <c r="AN88" s="14" t="str">
        <f aca="false">IF(AK88=0,"",IFERROR(LOOKUP(2,1/((加仓管理!$A$2:$A$1001=A88)*(加仓管理!$G$2:$G$1001&gt;0)),加仓管理!$E$2:$E$1001),""))</f>
        <v/>
      </c>
      <c r="AO88" s="14" t="str">
        <f aca="false">IF(OR(A88="",H88="",H88&lt;=0),"",(E88*H88+SUMIFS(加仓管理!$H$2:$H$1001,加仓管理!$A$2:$A$1001,A88))/AP88)</f>
        <v/>
      </c>
      <c r="AP88" s="13" t="str">
        <f aca="false">IF(OR(A88="",H88="",H88&lt;=0),"",H88+AL88)</f>
        <v/>
      </c>
      <c r="AQ88" s="14" t="str">
        <f aca="false">IF(A88="","",IF(M88&lt;&gt;"",0,IF(OR(H88="",N88=""),"",MAX((E88*H88+SUMIFS(加仓管理!$H$2:$H$1001,加仓管理!$A$2:$A$1001,A88))-MAX(N88,AN88)*AP88,0))))</f>
        <v/>
      </c>
      <c r="AR88" s="15" t="str">
        <f aca="false">IF(A88="","",IF(OR(E88="",H88=""),"违规：首次买入价格或股数缺失",IF(COUNTIFS(加仓管理!$A$2:$A$1001,A88,加仓管理!$R$2:$R$1001,"违规*")&gt;0,"违规：请检查加仓管理表",IF(SUM($AQ$2:$AQ$201)&gt;账户数据!$B$7,"预警：超过账户风险上限",IF(COUNTIFS(加仓管理!$A$2:$A$1001,A88,加仓管理!$N$2:$N$1001,"&gt;0",加仓管理!$G$2:$G$1001,"")&gt;0,"提示：存在待执行加仓计划","通过")))))</f>
        <v/>
      </c>
    </row>
    <row r="89" customFormat="false" ht="13.5" hidden="false" customHeight="false" outlineLevel="0" collapsed="false">
      <c r="A89" s="4"/>
      <c r="B89" s="4"/>
      <c r="C89" s="5"/>
      <c r="D89" s="6"/>
      <c r="E89" s="5"/>
      <c r="F89" s="7" t="str">
        <f aca="false">IF(OR(C89="",D89="",E89="",N89="",C89&lt;=0,D89&lt;=0,E89&lt;=N89),"",ROUNDDOWN((C89*D89)/(E89-N89)/100,0)*100)</f>
        <v/>
      </c>
      <c r="G89" s="7" t="str">
        <f aca="false">IF(A89="","",IF(H89&lt;&gt;"","已开仓",IF(账户数据!$B$23="已锁仓","禁止开仓：连续亏损达到上限",IF(账户数据!$B$23="解锁信息不完整","禁止开仓：请完整填写解锁信息",IF(OR(F89="",E89="",N89="",E89&lt;=N89,账户数据!$B$7=""),"",IF(OR(AG89="",AH89="",AI89=""),"禁止开仓：交易预期未填写完整",IF(账户数据!$B$9+F89*(E89-N89)&gt;=账户数据!$B$7,"禁止开仓：风险额度不足",IF(AJ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9" s="4"/>
      <c r="I89" s="8"/>
      <c r="J89" s="5"/>
      <c r="K89" s="5"/>
      <c r="L89" s="7" t="str">
        <f aca="false">IF(AP89="","",AP89)</f>
        <v/>
      </c>
      <c r="M89" s="8"/>
      <c r="N89" s="5"/>
      <c r="O89" s="5"/>
      <c r="P89" s="5"/>
      <c r="Q89" s="4"/>
      <c r="R89" s="4"/>
      <c r="S89" s="4"/>
      <c r="T89" s="4"/>
      <c r="U89" s="9" t="str">
        <f aca="false">IF(OR(AO89="",J89="",AO89&lt;=0),"",(J89-AO89)/AO89)</f>
        <v/>
      </c>
      <c r="V89" s="9" t="str">
        <f aca="false">IF(OR(AO89="",N89="",AO89&lt;=0),"",(AO89-N89)/AO89)</f>
        <v/>
      </c>
      <c r="W89" s="10" t="str">
        <f aca="false">IF(OR(U89="",V89="",V89&lt;=0),"",U89/V89)</f>
        <v/>
      </c>
      <c r="X89" s="11" t="str">
        <f aca="false">IF(OR(K89="",L89="",AO89="",AP89=""),"",(K89-AO89)*L89-IF(O89="",0,O89)-IF(P89="",0,P89))</f>
        <v/>
      </c>
      <c r="Y89" s="9" t="str">
        <f aca="false">IF(OR(X89="",AO89="",L89=""),"",IF(AO89*L89+IF(O89="",0,O89)&lt;=0,"",X89/(AO89*L89+IF(O89="",0,O89))))</f>
        <v/>
      </c>
      <c r="Z89" s="9" t="str">
        <f aca="false">IF(OR(AE89="",多次统计数据!$B$8=""),"",AE89-多次统计数据!$B$8)</f>
        <v/>
      </c>
      <c r="AA89" s="12" t="str">
        <f aca="false">IF(OR(I89="",M89="",M89&lt;I89),"",M89-I89)</f>
        <v/>
      </c>
      <c r="AB89" s="9" t="str">
        <f aca="false">IF(OR(A89="",多次统计数据!$B$8="",多次统计数据!$B$6&lt;=0,多次统计数据!$B$6&gt;=1),"",1-POWER(1+多次统计数据!$B$8,-多次统计数据!$B$6/(1-多次统计数据!$B$6)))</f>
        <v/>
      </c>
      <c r="AC89" s="7" t="str">
        <f aca="false">IF(OR(AB89="",多次统计数据!$B$9=""),"",IF(多次统计数据!$B$9&lt;AB89,"低于上限","达到或超过上限"))</f>
        <v/>
      </c>
      <c r="AD89" s="4"/>
      <c r="AE89" s="9" t="str">
        <f aca="false">IF(OR(X89="",C89="",C89&lt;=0),"",X89/C89)</f>
        <v/>
      </c>
      <c r="AG89" s="4"/>
      <c r="AH89" s="4"/>
      <c r="AI89" s="4"/>
      <c r="AJ89" s="7" t="str">
        <f aca="false">IF(OR(AG89="",AH89=""),"",IF(OR(AND(AG89="短期博反弹",OR(AH89="1～3个交易日",AH89="4～10个交易日")),AND(AG89="突破冲新高",OR(AH89="4～10个交易日",AH89="11～20个交易日")),AND(AG89="趋势波段",OR(AH89="11～20个交易日",AH89="21～60个交易日",AH89="60个交易日以上"))),"匹配","周期与交易预期不匹配，请重新确认"))</f>
        <v/>
      </c>
      <c r="AK89" s="13" t="str">
        <f aca="false">IF(A89="","",COUNTIFS(加仓管理!$A$2:$A$1001,A89,加仓管理!$G$2:$G$1001,"&gt;0"))</f>
        <v/>
      </c>
      <c r="AL89" s="13" t="str">
        <f aca="false">IF(A89="","",SUMIFS(加仓管理!$G$2:$G$1001,加仓管理!$A$2:$A$1001,A89))</f>
        <v/>
      </c>
      <c r="AM89" s="14" t="str">
        <f aca="false">IF(AK89=0,"",IFERROR(LOOKUP(2,1/((加仓管理!$A$2:$A$1001=A89)*(加仓管理!$G$2:$G$1001&gt;0)),加仓管理!$D$2:$D$1001),""))</f>
        <v/>
      </c>
      <c r="AN89" s="14" t="str">
        <f aca="false">IF(AK89=0,"",IFERROR(LOOKUP(2,1/((加仓管理!$A$2:$A$1001=A89)*(加仓管理!$G$2:$G$1001&gt;0)),加仓管理!$E$2:$E$1001),""))</f>
        <v/>
      </c>
      <c r="AO89" s="14" t="str">
        <f aca="false">IF(OR(A89="",H89="",H89&lt;=0),"",(E89*H89+SUMIFS(加仓管理!$H$2:$H$1001,加仓管理!$A$2:$A$1001,A89))/AP89)</f>
        <v/>
      </c>
      <c r="AP89" s="13" t="str">
        <f aca="false">IF(OR(A89="",H89="",H89&lt;=0),"",H89+AL89)</f>
        <v/>
      </c>
      <c r="AQ89" s="14" t="str">
        <f aca="false">IF(A89="","",IF(M89&lt;&gt;"",0,IF(OR(H89="",N89=""),"",MAX((E89*H89+SUMIFS(加仓管理!$H$2:$H$1001,加仓管理!$A$2:$A$1001,A89))-MAX(N89,AN89)*AP89,0))))</f>
        <v/>
      </c>
      <c r="AR89" s="15" t="str">
        <f aca="false">IF(A89="","",IF(OR(E89="",H89=""),"违规：首次买入价格或股数缺失",IF(COUNTIFS(加仓管理!$A$2:$A$1001,A89,加仓管理!$R$2:$R$1001,"违规*")&gt;0,"违规：请检查加仓管理表",IF(SUM($AQ$2:$AQ$201)&gt;账户数据!$B$7,"预警：超过账户风险上限",IF(COUNTIFS(加仓管理!$A$2:$A$1001,A89,加仓管理!$N$2:$N$1001,"&gt;0",加仓管理!$G$2:$G$1001,"")&gt;0,"提示：存在待执行加仓计划","通过")))))</f>
        <v/>
      </c>
    </row>
    <row r="90" customFormat="false" ht="13.5" hidden="false" customHeight="false" outlineLevel="0" collapsed="false">
      <c r="A90" s="4"/>
      <c r="B90" s="4"/>
      <c r="C90" s="5"/>
      <c r="D90" s="6"/>
      <c r="E90" s="5"/>
      <c r="F90" s="7" t="str">
        <f aca="false">IF(OR(C90="",D90="",E90="",N90="",C90&lt;=0,D90&lt;=0,E90&lt;=N90),"",ROUNDDOWN((C90*D90)/(E90-N90)/100,0)*100)</f>
        <v/>
      </c>
      <c r="G90" s="7" t="str">
        <f aca="false">IF(A90="","",IF(H90&lt;&gt;"","已开仓",IF(账户数据!$B$23="已锁仓","禁止开仓：连续亏损达到上限",IF(账户数据!$B$23="解锁信息不完整","禁止开仓：请完整填写解锁信息",IF(OR(F90="",E90="",N90="",E90&lt;=N90,账户数据!$B$7=""),"",IF(OR(AG90="",AH90="",AI90=""),"禁止开仓：交易预期未填写完整",IF(账户数据!$B$9+F90*(E90-N90)&gt;=账户数据!$B$7,"禁止开仓：风险额度不足",IF(AJ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0" s="4"/>
      <c r="I90" s="8"/>
      <c r="J90" s="5"/>
      <c r="K90" s="5"/>
      <c r="L90" s="7" t="str">
        <f aca="false">IF(AP90="","",AP90)</f>
        <v/>
      </c>
      <c r="M90" s="8"/>
      <c r="N90" s="5"/>
      <c r="O90" s="5"/>
      <c r="P90" s="5"/>
      <c r="Q90" s="4"/>
      <c r="R90" s="4"/>
      <c r="S90" s="4"/>
      <c r="T90" s="4"/>
      <c r="U90" s="9" t="str">
        <f aca="false">IF(OR(AO90="",J90="",AO90&lt;=0),"",(J90-AO90)/AO90)</f>
        <v/>
      </c>
      <c r="V90" s="9" t="str">
        <f aca="false">IF(OR(AO90="",N90="",AO90&lt;=0),"",(AO90-N90)/AO90)</f>
        <v/>
      </c>
      <c r="W90" s="10" t="str">
        <f aca="false">IF(OR(U90="",V90="",V90&lt;=0),"",U90/V90)</f>
        <v/>
      </c>
      <c r="X90" s="11" t="str">
        <f aca="false">IF(OR(K90="",L90="",AO90="",AP90=""),"",(K90-AO90)*L90-IF(O90="",0,O90)-IF(P90="",0,P90))</f>
        <v/>
      </c>
      <c r="Y90" s="9" t="str">
        <f aca="false">IF(OR(X90="",AO90="",L90=""),"",IF(AO90*L90+IF(O90="",0,O90)&lt;=0,"",X90/(AO90*L90+IF(O90="",0,O90))))</f>
        <v/>
      </c>
      <c r="Z90" s="9" t="str">
        <f aca="false">IF(OR(AE90="",多次统计数据!$B$8=""),"",AE90-多次统计数据!$B$8)</f>
        <v/>
      </c>
      <c r="AA90" s="12" t="str">
        <f aca="false">IF(OR(I90="",M90="",M90&lt;I90),"",M90-I90)</f>
        <v/>
      </c>
      <c r="AB90" s="9" t="str">
        <f aca="false">IF(OR(A90="",多次统计数据!$B$8="",多次统计数据!$B$6&lt;=0,多次统计数据!$B$6&gt;=1),"",1-POWER(1+多次统计数据!$B$8,-多次统计数据!$B$6/(1-多次统计数据!$B$6)))</f>
        <v/>
      </c>
      <c r="AC90" s="7" t="str">
        <f aca="false">IF(OR(AB90="",多次统计数据!$B$9=""),"",IF(多次统计数据!$B$9&lt;AB90,"低于上限","达到或超过上限"))</f>
        <v/>
      </c>
      <c r="AD90" s="4"/>
      <c r="AE90" s="9" t="str">
        <f aca="false">IF(OR(X90="",C90="",C90&lt;=0),"",X90/C90)</f>
        <v/>
      </c>
      <c r="AG90" s="4"/>
      <c r="AH90" s="4"/>
      <c r="AI90" s="4"/>
      <c r="AJ90" s="7" t="str">
        <f aca="false">IF(OR(AG90="",AH90=""),"",IF(OR(AND(AG90="短期博反弹",OR(AH90="1～3个交易日",AH90="4～10个交易日")),AND(AG90="突破冲新高",OR(AH90="4～10个交易日",AH90="11～20个交易日")),AND(AG90="趋势波段",OR(AH90="11～20个交易日",AH90="21～60个交易日",AH90="60个交易日以上"))),"匹配","周期与交易预期不匹配，请重新确认"))</f>
        <v/>
      </c>
      <c r="AK90" s="13" t="str">
        <f aca="false">IF(A90="","",COUNTIFS(加仓管理!$A$2:$A$1001,A90,加仓管理!$G$2:$G$1001,"&gt;0"))</f>
        <v/>
      </c>
      <c r="AL90" s="13" t="str">
        <f aca="false">IF(A90="","",SUMIFS(加仓管理!$G$2:$G$1001,加仓管理!$A$2:$A$1001,A90))</f>
        <v/>
      </c>
      <c r="AM90" s="14" t="str">
        <f aca="false">IF(AK90=0,"",IFERROR(LOOKUP(2,1/((加仓管理!$A$2:$A$1001=A90)*(加仓管理!$G$2:$G$1001&gt;0)),加仓管理!$D$2:$D$1001),""))</f>
        <v/>
      </c>
      <c r="AN90" s="14" t="str">
        <f aca="false">IF(AK90=0,"",IFERROR(LOOKUP(2,1/((加仓管理!$A$2:$A$1001=A90)*(加仓管理!$G$2:$G$1001&gt;0)),加仓管理!$E$2:$E$1001),""))</f>
        <v/>
      </c>
      <c r="AO90" s="14" t="str">
        <f aca="false">IF(OR(A90="",H90="",H90&lt;=0),"",(E90*H90+SUMIFS(加仓管理!$H$2:$H$1001,加仓管理!$A$2:$A$1001,A90))/AP90)</f>
        <v/>
      </c>
      <c r="AP90" s="13" t="str">
        <f aca="false">IF(OR(A90="",H90="",H90&lt;=0),"",H90+AL90)</f>
        <v/>
      </c>
      <c r="AQ90" s="14" t="str">
        <f aca="false">IF(A90="","",IF(M90&lt;&gt;"",0,IF(OR(H90="",N90=""),"",MAX((E90*H90+SUMIFS(加仓管理!$H$2:$H$1001,加仓管理!$A$2:$A$1001,A90))-MAX(N90,AN90)*AP90,0))))</f>
        <v/>
      </c>
      <c r="AR90" s="15" t="str">
        <f aca="false">IF(A90="","",IF(OR(E90="",H90=""),"违规：首次买入价格或股数缺失",IF(COUNTIFS(加仓管理!$A$2:$A$1001,A90,加仓管理!$R$2:$R$1001,"违规*")&gt;0,"违规：请检查加仓管理表",IF(SUM($AQ$2:$AQ$201)&gt;账户数据!$B$7,"预警：超过账户风险上限",IF(COUNTIFS(加仓管理!$A$2:$A$1001,A90,加仓管理!$N$2:$N$1001,"&gt;0",加仓管理!$G$2:$G$1001,"")&gt;0,"提示：存在待执行加仓计划","通过")))))</f>
        <v/>
      </c>
    </row>
    <row r="91" customFormat="false" ht="13.5" hidden="false" customHeight="false" outlineLevel="0" collapsed="false">
      <c r="A91" s="4"/>
      <c r="B91" s="4"/>
      <c r="C91" s="5"/>
      <c r="D91" s="6"/>
      <c r="E91" s="5"/>
      <c r="F91" s="7" t="str">
        <f aca="false">IF(OR(C91="",D91="",E91="",N91="",C91&lt;=0,D91&lt;=0,E91&lt;=N91),"",ROUNDDOWN((C91*D91)/(E91-N91)/100,0)*100)</f>
        <v/>
      </c>
      <c r="G91" s="7" t="str">
        <f aca="false">IF(A91="","",IF(H91&lt;&gt;"","已开仓",IF(账户数据!$B$23="已锁仓","禁止开仓：连续亏损达到上限",IF(账户数据!$B$23="解锁信息不完整","禁止开仓：请完整填写解锁信息",IF(OR(F91="",E91="",N91="",E91&lt;=N91,账户数据!$B$7=""),"",IF(OR(AG91="",AH91="",AI91=""),"禁止开仓：交易预期未填写完整",IF(账户数据!$B$9+F91*(E91-N91)&gt;=账户数据!$B$7,"禁止开仓：风险额度不足",IF(AJ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1" s="4"/>
      <c r="I91" s="8"/>
      <c r="J91" s="5"/>
      <c r="K91" s="5"/>
      <c r="L91" s="7" t="str">
        <f aca="false">IF(AP91="","",AP91)</f>
        <v/>
      </c>
      <c r="M91" s="8"/>
      <c r="N91" s="5"/>
      <c r="O91" s="5"/>
      <c r="P91" s="5"/>
      <c r="Q91" s="4"/>
      <c r="R91" s="4"/>
      <c r="S91" s="4"/>
      <c r="T91" s="4"/>
      <c r="U91" s="9" t="str">
        <f aca="false">IF(OR(AO91="",J91="",AO91&lt;=0),"",(J91-AO91)/AO91)</f>
        <v/>
      </c>
      <c r="V91" s="9" t="str">
        <f aca="false">IF(OR(AO91="",N91="",AO91&lt;=0),"",(AO91-N91)/AO91)</f>
        <v/>
      </c>
      <c r="W91" s="10" t="str">
        <f aca="false">IF(OR(U91="",V91="",V91&lt;=0),"",U91/V91)</f>
        <v/>
      </c>
      <c r="X91" s="11" t="str">
        <f aca="false">IF(OR(K91="",L91="",AO91="",AP91=""),"",(K91-AO91)*L91-IF(O91="",0,O91)-IF(P91="",0,P91))</f>
        <v/>
      </c>
      <c r="Y91" s="9" t="str">
        <f aca="false">IF(OR(X91="",AO91="",L91=""),"",IF(AO91*L91+IF(O91="",0,O91)&lt;=0,"",X91/(AO91*L91+IF(O91="",0,O91))))</f>
        <v/>
      </c>
      <c r="Z91" s="9" t="str">
        <f aca="false">IF(OR(AE91="",多次统计数据!$B$8=""),"",AE91-多次统计数据!$B$8)</f>
        <v/>
      </c>
      <c r="AA91" s="12" t="str">
        <f aca="false">IF(OR(I91="",M91="",M91&lt;I91),"",M91-I91)</f>
        <v/>
      </c>
      <c r="AB91" s="9" t="str">
        <f aca="false">IF(OR(A91="",多次统计数据!$B$8="",多次统计数据!$B$6&lt;=0,多次统计数据!$B$6&gt;=1),"",1-POWER(1+多次统计数据!$B$8,-多次统计数据!$B$6/(1-多次统计数据!$B$6)))</f>
        <v/>
      </c>
      <c r="AC91" s="7" t="str">
        <f aca="false">IF(OR(AB91="",多次统计数据!$B$9=""),"",IF(多次统计数据!$B$9&lt;AB91,"低于上限","达到或超过上限"))</f>
        <v/>
      </c>
      <c r="AD91" s="4"/>
      <c r="AE91" s="9" t="str">
        <f aca="false">IF(OR(X91="",C91="",C91&lt;=0),"",X91/C91)</f>
        <v/>
      </c>
      <c r="AG91" s="4"/>
      <c r="AH91" s="4"/>
      <c r="AI91" s="4"/>
      <c r="AJ91" s="7" t="str">
        <f aca="false">IF(OR(AG91="",AH91=""),"",IF(OR(AND(AG91="短期博反弹",OR(AH91="1～3个交易日",AH91="4～10个交易日")),AND(AG91="突破冲新高",OR(AH91="4～10个交易日",AH91="11～20个交易日")),AND(AG91="趋势波段",OR(AH91="11～20个交易日",AH91="21～60个交易日",AH91="60个交易日以上"))),"匹配","周期与交易预期不匹配，请重新确认"))</f>
        <v/>
      </c>
      <c r="AK91" s="13" t="str">
        <f aca="false">IF(A91="","",COUNTIFS(加仓管理!$A$2:$A$1001,A91,加仓管理!$G$2:$G$1001,"&gt;0"))</f>
        <v/>
      </c>
      <c r="AL91" s="13" t="str">
        <f aca="false">IF(A91="","",SUMIFS(加仓管理!$G$2:$G$1001,加仓管理!$A$2:$A$1001,A91))</f>
        <v/>
      </c>
      <c r="AM91" s="14" t="str">
        <f aca="false">IF(AK91=0,"",IFERROR(LOOKUP(2,1/((加仓管理!$A$2:$A$1001=A91)*(加仓管理!$G$2:$G$1001&gt;0)),加仓管理!$D$2:$D$1001),""))</f>
        <v/>
      </c>
      <c r="AN91" s="14" t="str">
        <f aca="false">IF(AK91=0,"",IFERROR(LOOKUP(2,1/((加仓管理!$A$2:$A$1001=A91)*(加仓管理!$G$2:$G$1001&gt;0)),加仓管理!$E$2:$E$1001),""))</f>
        <v/>
      </c>
      <c r="AO91" s="14" t="str">
        <f aca="false">IF(OR(A91="",H91="",H91&lt;=0),"",(E91*H91+SUMIFS(加仓管理!$H$2:$H$1001,加仓管理!$A$2:$A$1001,A91))/AP91)</f>
        <v/>
      </c>
      <c r="AP91" s="13" t="str">
        <f aca="false">IF(OR(A91="",H91="",H91&lt;=0),"",H91+AL91)</f>
        <v/>
      </c>
      <c r="AQ91" s="14" t="str">
        <f aca="false">IF(A91="","",IF(M91&lt;&gt;"",0,IF(OR(H91="",N91=""),"",MAX((E91*H91+SUMIFS(加仓管理!$H$2:$H$1001,加仓管理!$A$2:$A$1001,A91))-MAX(N91,AN91)*AP91,0))))</f>
        <v/>
      </c>
      <c r="AR91" s="15" t="str">
        <f aca="false">IF(A91="","",IF(OR(E91="",H91=""),"违规：首次买入价格或股数缺失",IF(COUNTIFS(加仓管理!$A$2:$A$1001,A91,加仓管理!$R$2:$R$1001,"违规*")&gt;0,"违规：请检查加仓管理表",IF(SUM($AQ$2:$AQ$201)&gt;账户数据!$B$7,"预警：超过账户风险上限",IF(COUNTIFS(加仓管理!$A$2:$A$1001,A91,加仓管理!$N$2:$N$1001,"&gt;0",加仓管理!$G$2:$G$1001,"")&gt;0,"提示：存在待执行加仓计划","通过")))))</f>
        <v/>
      </c>
    </row>
    <row r="92" customFormat="false" ht="13.5" hidden="false" customHeight="false" outlineLevel="0" collapsed="false">
      <c r="A92" s="4"/>
      <c r="B92" s="4"/>
      <c r="C92" s="5"/>
      <c r="D92" s="6"/>
      <c r="E92" s="5"/>
      <c r="F92" s="7" t="str">
        <f aca="false">IF(OR(C92="",D92="",E92="",N92="",C92&lt;=0,D92&lt;=0,E92&lt;=N92),"",ROUNDDOWN((C92*D92)/(E92-N92)/100,0)*100)</f>
        <v/>
      </c>
      <c r="G92" s="7" t="str">
        <f aca="false">IF(A92="","",IF(H92&lt;&gt;"","已开仓",IF(账户数据!$B$23="已锁仓","禁止开仓：连续亏损达到上限",IF(账户数据!$B$23="解锁信息不完整","禁止开仓：请完整填写解锁信息",IF(OR(F92="",E92="",N92="",E92&lt;=N92,账户数据!$B$7=""),"",IF(OR(AG92="",AH92="",AI92=""),"禁止开仓：交易预期未填写完整",IF(账户数据!$B$9+F92*(E92-N92)&gt;=账户数据!$B$7,"禁止开仓：风险额度不足",IF(AJ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2" s="4"/>
      <c r="I92" s="8"/>
      <c r="J92" s="5"/>
      <c r="K92" s="5"/>
      <c r="L92" s="7" t="str">
        <f aca="false">IF(AP92="","",AP92)</f>
        <v/>
      </c>
      <c r="M92" s="8"/>
      <c r="N92" s="5"/>
      <c r="O92" s="5"/>
      <c r="P92" s="5"/>
      <c r="Q92" s="4"/>
      <c r="R92" s="4"/>
      <c r="S92" s="4"/>
      <c r="T92" s="4"/>
      <c r="U92" s="9" t="str">
        <f aca="false">IF(OR(AO92="",J92="",AO92&lt;=0),"",(J92-AO92)/AO92)</f>
        <v/>
      </c>
      <c r="V92" s="9" t="str">
        <f aca="false">IF(OR(AO92="",N92="",AO92&lt;=0),"",(AO92-N92)/AO92)</f>
        <v/>
      </c>
      <c r="W92" s="10" t="str">
        <f aca="false">IF(OR(U92="",V92="",V92&lt;=0),"",U92/V92)</f>
        <v/>
      </c>
      <c r="X92" s="11" t="str">
        <f aca="false">IF(OR(K92="",L92="",AO92="",AP92=""),"",(K92-AO92)*L92-IF(O92="",0,O92)-IF(P92="",0,P92))</f>
        <v/>
      </c>
      <c r="Y92" s="9" t="str">
        <f aca="false">IF(OR(X92="",AO92="",L92=""),"",IF(AO92*L92+IF(O92="",0,O92)&lt;=0,"",X92/(AO92*L92+IF(O92="",0,O92))))</f>
        <v/>
      </c>
      <c r="Z92" s="9" t="str">
        <f aca="false">IF(OR(AE92="",多次统计数据!$B$8=""),"",AE92-多次统计数据!$B$8)</f>
        <v/>
      </c>
      <c r="AA92" s="12" t="str">
        <f aca="false">IF(OR(I92="",M92="",M92&lt;I92),"",M92-I92)</f>
        <v/>
      </c>
      <c r="AB92" s="9" t="str">
        <f aca="false">IF(OR(A92="",多次统计数据!$B$8="",多次统计数据!$B$6&lt;=0,多次统计数据!$B$6&gt;=1),"",1-POWER(1+多次统计数据!$B$8,-多次统计数据!$B$6/(1-多次统计数据!$B$6)))</f>
        <v/>
      </c>
      <c r="AC92" s="7" t="str">
        <f aca="false">IF(OR(AB92="",多次统计数据!$B$9=""),"",IF(多次统计数据!$B$9&lt;AB92,"低于上限","达到或超过上限"))</f>
        <v/>
      </c>
      <c r="AD92" s="4"/>
      <c r="AE92" s="9" t="str">
        <f aca="false">IF(OR(X92="",C92="",C92&lt;=0),"",X92/C92)</f>
        <v/>
      </c>
      <c r="AG92" s="4"/>
      <c r="AH92" s="4"/>
      <c r="AI92" s="4"/>
      <c r="AJ92" s="7" t="str">
        <f aca="false">IF(OR(AG92="",AH92=""),"",IF(OR(AND(AG92="短期博反弹",OR(AH92="1～3个交易日",AH92="4～10个交易日")),AND(AG92="突破冲新高",OR(AH92="4～10个交易日",AH92="11～20个交易日")),AND(AG92="趋势波段",OR(AH92="11～20个交易日",AH92="21～60个交易日",AH92="60个交易日以上"))),"匹配","周期与交易预期不匹配，请重新确认"))</f>
        <v/>
      </c>
      <c r="AK92" s="13" t="str">
        <f aca="false">IF(A92="","",COUNTIFS(加仓管理!$A$2:$A$1001,A92,加仓管理!$G$2:$G$1001,"&gt;0"))</f>
        <v/>
      </c>
      <c r="AL92" s="13" t="str">
        <f aca="false">IF(A92="","",SUMIFS(加仓管理!$G$2:$G$1001,加仓管理!$A$2:$A$1001,A92))</f>
        <v/>
      </c>
      <c r="AM92" s="14" t="str">
        <f aca="false">IF(AK92=0,"",IFERROR(LOOKUP(2,1/((加仓管理!$A$2:$A$1001=A92)*(加仓管理!$G$2:$G$1001&gt;0)),加仓管理!$D$2:$D$1001),""))</f>
        <v/>
      </c>
      <c r="AN92" s="14" t="str">
        <f aca="false">IF(AK92=0,"",IFERROR(LOOKUP(2,1/((加仓管理!$A$2:$A$1001=A92)*(加仓管理!$G$2:$G$1001&gt;0)),加仓管理!$E$2:$E$1001),""))</f>
        <v/>
      </c>
      <c r="AO92" s="14" t="str">
        <f aca="false">IF(OR(A92="",H92="",H92&lt;=0),"",(E92*H92+SUMIFS(加仓管理!$H$2:$H$1001,加仓管理!$A$2:$A$1001,A92))/AP92)</f>
        <v/>
      </c>
      <c r="AP92" s="13" t="str">
        <f aca="false">IF(OR(A92="",H92="",H92&lt;=0),"",H92+AL92)</f>
        <v/>
      </c>
      <c r="AQ92" s="14" t="str">
        <f aca="false">IF(A92="","",IF(M92&lt;&gt;"",0,IF(OR(H92="",N92=""),"",MAX((E92*H92+SUMIFS(加仓管理!$H$2:$H$1001,加仓管理!$A$2:$A$1001,A92))-MAX(N92,AN92)*AP92,0))))</f>
        <v/>
      </c>
      <c r="AR92" s="15" t="str">
        <f aca="false">IF(A92="","",IF(OR(E92="",H92=""),"违规：首次买入价格或股数缺失",IF(COUNTIFS(加仓管理!$A$2:$A$1001,A92,加仓管理!$R$2:$R$1001,"违规*")&gt;0,"违规：请检查加仓管理表",IF(SUM($AQ$2:$AQ$201)&gt;账户数据!$B$7,"预警：超过账户风险上限",IF(COUNTIFS(加仓管理!$A$2:$A$1001,A92,加仓管理!$N$2:$N$1001,"&gt;0",加仓管理!$G$2:$G$1001,"")&gt;0,"提示：存在待执行加仓计划","通过")))))</f>
        <v/>
      </c>
    </row>
    <row r="93" customFormat="false" ht="13.5" hidden="false" customHeight="false" outlineLevel="0" collapsed="false">
      <c r="A93" s="4"/>
      <c r="B93" s="4"/>
      <c r="C93" s="5"/>
      <c r="D93" s="6"/>
      <c r="E93" s="5"/>
      <c r="F93" s="7" t="str">
        <f aca="false">IF(OR(C93="",D93="",E93="",N93="",C93&lt;=0,D93&lt;=0,E93&lt;=N93),"",ROUNDDOWN((C93*D93)/(E93-N93)/100,0)*100)</f>
        <v/>
      </c>
      <c r="G93" s="7" t="str">
        <f aca="false">IF(A93="","",IF(H93&lt;&gt;"","已开仓",IF(账户数据!$B$23="已锁仓","禁止开仓：连续亏损达到上限",IF(账户数据!$B$23="解锁信息不完整","禁止开仓：请完整填写解锁信息",IF(OR(F93="",E93="",N93="",E93&lt;=N93,账户数据!$B$7=""),"",IF(OR(AG93="",AH93="",AI93=""),"禁止开仓：交易预期未填写完整",IF(账户数据!$B$9+F93*(E93-N93)&gt;=账户数据!$B$7,"禁止开仓：风险额度不足",IF(AJ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3" s="4"/>
      <c r="I93" s="8"/>
      <c r="J93" s="5"/>
      <c r="K93" s="5"/>
      <c r="L93" s="7" t="str">
        <f aca="false">IF(AP93="","",AP93)</f>
        <v/>
      </c>
      <c r="M93" s="8"/>
      <c r="N93" s="5"/>
      <c r="O93" s="5"/>
      <c r="P93" s="5"/>
      <c r="Q93" s="4"/>
      <c r="R93" s="4"/>
      <c r="S93" s="4"/>
      <c r="T93" s="4"/>
      <c r="U93" s="9" t="str">
        <f aca="false">IF(OR(AO93="",J93="",AO93&lt;=0),"",(J93-AO93)/AO93)</f>
        <v/>
      </c>
      <c r="V93" s="9" t="str">
        <f aca="false">IF(OR(AO93="",N93="",AO93&lt;=0),"",(AO93-N93)/AO93)</f>
        <v/>
      </c>
      <c r="W93" s="10" t="str">
        <f aca="false">IF(OR(U93="",V93="",V93&lt;=0),"",U93/V93)</f>
        <v/>
      </c>
      <c r="X93" s="11" t="str">
        <f aca="false">IF(OR(K93="",L93="",AO93="",AP93=""),"",(K93-AO93)*L93-IF(O93="",0,O93)-IF(P93="",0,P93))</f>
        <v/>
      </c>
      <c r="Y93" s="9" t="str">
        <f aca="false">IF(OR(X93="",AO93="",L93=""),"",IF(AO93*L93+IF(O93="",0,O93)&lt;=0,"",X93/(AO93*L93+IF(O93="",0,O93))))</f>
        <v/>
      </c>
      <c r="Z93" s="9" t="str">
        <f aca="false">IF(OR(AE93="",多次统计数据!$B$8=""),"",AE93-多次统计数据!$B$8)</f>
        <v/>
      </c>
      <c r="AA93" s="12" t="str">
        <f aca="false">IF(OR(I93="",M93="",M93&lt;I93),"",M93-I93)</f>
        <v/>
      </c>
      <c r="AB93" s="9" t="str">
        <f aca="false">IF(OR(A93="",多次统计数据!$B$8="",多次统计数据!$B$6&lt;=0,多次统计数据!$B$6&gt;=1),"",1-POWER(1+多次统计数据!$B$8,-多次统计数据!$B$6/(1-多次统计数据!$B$6)))</f>
        <v/>
      </c>
      <c r="AC93" s="7" t="str">
        <f aca="false">IF(OR(AB93="",多次统计数据!$B$9=""),"",IF(多次统计数据!$B$9&lt;AB93,"低于上限","达到或超过上限"))</f>
        <v/>
      </c>
      <c r="AD93" s="4"/>
      <c r="AE93" s="9" t="str">
        <f aca="false">IF(OR(X93="",C93="",C93&lt;=0),"",X93/C93)</f>
        <v/>
      </c>
      <c r="AG93" s="4"/>
      <c r="AH93" s="4"/>
      <c r="AI93" s="4"/>
      <c r="AJ93" s="7" t="str">
        <f aca="false">IF(OR(AG93="",AH93=""),"",IF(OR(AND(AG93="短期博反弹",OR(AH93="1～3个交易日",AH93="4～10个交易日")),AND(AG93="突破冲新高",OR(AH93="4～10个交易日",AH93="11～20个交易日")),AND(AG93="趋势波段",OR(AH93="11～20个交易日",AH93="21～60个交易日",AH93="60个交易日以上"))),"匹配","周期与交易预期不匹配，请重新确认"))</f>
        <v/>
      </c>
      <c r="AK93" s="13" t="str">
        <f aca="false">IF(A93="","",COUNTIFS(加仓管理!$A$2:$A$1001,A93,加仓管理!$G$2:$G$1001,"&gt;0"))</f>
        <v/>
      </c>
      <c r="AL93" s="13" t="str">
        <f aca="false">IF(A93="","",SUMIFS(加仓管理!$G$2:$G$1001,加仓管理!$A$2:$A$1001,A93))</f>
        <v/>
      </c>
      <c r="AM93" s="14" t="str">
        <f aca="false">IF(AK93=0,"",IFERROR(LOOKUP(2,1/((加仓管理!$A$2:$A$1001=A93)*(加仓管理!$G$2:$G$1001&gt;0)),加仓管理!$D$2:$D$1001),""))</f>
        <v/>
      </c>
      <c r="AN93" s="14" t="str">
        <f aca="false">IF(AK93=0,"",IFERROR(LOOKUP(2,1/((加仓管理!$A$2:$A$1001=A93)*(加仓管理!$G$2:$G$1001&gt;0)),加仓管理!$E$2:$E$1001),""))</f>
        <v/>
      </c>
      <c r="AO93" s="14" t="str">
        <f aca="false">IF(OR(A93="",H93="",H93&lt;=0),"",(E93*H93+SUMIFS(加仓管理!$H$2:$H$1001,加仓管理!$A$2:$A$1001,A93))/AP93)</f>
        <v/>
      </c>
      <c r="AP93" s="13" t="str">
        <f aca="false">IF(OR(A93="",H93="",H93&lt;=0),"",H93+AL93)</f>
        <v/>
      </c>
      <c r="AQ93" s="14" t="str">
        <f aca="false">IF(A93="","",IF(M93&lt;&gt;"",0,IF(OR(H93="",N93=""),"",MAX((E93*H93+SUMIFS(加仓管理!$H$2:$H$1001,加仓管理!$A$2:$A$1001,A93))-MAX(N93,AN93)*AP93,0))))</f>
        <v/>
      </c>
      <c r="AR93" s="15" t="str">
        <f aca="false">IF(A93="","",IF(OR(E93="",H93=""),"违规：首次买入价格或股数缺失",IF(COUNTIFS(加仓管理!$A$2:$A$1001,A93,加仓管理!$R$2:$R$1001,"违规*")&gt;0,"违规：请检查加仓管理表",IF(SUM($AQ$2:$AQ$201)&gt;账户数据!$B$7,"预警：超过账户风险上限",IF(COUNTIFS(加仓管理!$A$2:$A$1001,A93,加仓管理!$N$2:$N$1001,"&gt;0",加仓管理!$G$2:$G$1001,"")&gt;0,"提示：存在待执行加仓计划","通过")))))</f>
        <v/>
      </c>
    </row>
    <row r="94" customFormat="false" ht="13.5" hidden="false" customHeight="false" outlineLevel="0" collapsed="false">
      <c r="A94" s="4"/>
      <c r="B94" s="4"/>
      <c r="C94" s="5"/>
      <c r="D94" s="6"/>
      <c r="E94" s="5"/>
      <c r="F94" s="7" t="str">
        <f aca="false">IF(OR(C94="",D94="",E94="",N94="",C94&lt;=0,D94&lt;=0,E94&lt;=N94),"",ROUNDDOWN((C94*D94)/(E94-N94)/100,0)*100)</f>
        <v/>
      </c>
      <c r="G94" s="7" t="str">
        <f aca="false">IF(A94="","",IF(H94&lt;&gt;"","已开仓",IF(账户数据!$B$23="已锁仓","禁止开仓：连续亏损达到上限",IF(账户数据!$B$23="解锁信息不完整","禁止开仓：请完整填写解锁信息",IF(OR(F94="",E94="",N94="",E94&lt;=N94,账户数据!$B$7=""),"",IF(OR(AG94="",AH94="",AI94=""),"禁止开仓：交易预期未填写完整",IF(账户数据!$B$9+F94*(E94-N94)&gt;=账户数据!$B$7,"禁止开仓：风险额度不足",IF(AJ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4" s="4"/>
      <c r="I94" s="8"/>
      <c r="J94" s="5"/>
      <c r="K94" s="5"/>
      <c r="L94" s="7" t="str">
        <f aca="false">IF(AP94="","",AP94)</f>
        <v/>
      </c>
      <c r="M94" s="8"/>
      <c r="N94" s="5"/>
      <c r="O94" s="5"/>
      <c r="P94" s="5"/>
      <c r="Q94" s="4"/>
      <c r="R94" s="4"/>
      <c r="S94" s="4"/>
      <c r="T94" s="4"/>
      <c r="U94" s="9" t="str">
        <f aca="false">IF(OR(AO94="",J94="",AO94&lt;=0),"",(J94-AO94)/AO94)</f>
        <v/>
      </c>
      <c r="V94" s="9" t="str">
        <f aca="false">IF(OR(AO94="",N94="",AO94&lt;=0),"",(AO94-N94)/AO94)</f>
        <v/>
      </c>
      <c r="W94" s="10" t="str">
        <f aca="false">IF(OR(U94="",V94="",V94&lt;=0),"",U94/V94)</f>
        <v/>
      </c>
      <c r="X94" s="11" t="str">
        <f aca="false">IF(OR(K94="",L94="",AO94="",AP94=""),"",(K94-AO94)*L94-IF(O94="",0,O94)-IF(P94="",0,P94))</f>
        <v/>
      </c>
      <c r="Y94" s="9" t="str">
        <f aca="false">IF(OR(X94="",AO94="",L94=""),"",IF(AO94*L94+IF(O94="",0,O94)&lt;=0,"",X94/(AO94*L94+IF(O94="",0,O94))))</f>
        <v/>
      </c>
      <c r="Z94" s="9" t="str">
        <f aca="false">IF(OR(AE94="",多次统计数据!$B$8=""),"",AE94-多次统计数据!$B$8)</f>
        <v/>
      </c>
      <c r="AA94" s="12" t="str">
        <f aca="false">IF(OR(I94="",M94="",M94&lt;I94),"",M94-I94)</f>
        <v/>
      </c>
      <c r="AB94" s="9" t="str">
        <f aca="false">IF(OR(A94="",多次统计数据!$B$8="",多次统计数据!$B$6&lt;=0,多次统计数据!$B$6&gt;=1),"",1-POWER(1+多次统计数据!$B$8,-多次统计数据!$B$6/(1-多次统计数据!$B$6)))</f>
        <v/>
      </c>
      <c r="AC94" s="7" t="str">
        <f aca="false">IF(OR(AB94="",多次统计数据!$B$9=""),"",IF(多次统计数据!$B$9&lt;AB94,"低于上限","达到或超过上限"))</f>
        <v/>
      </c>
      <c r="AD94" s="4"/>
      <c r="AE94" s="9" t="str">
        <f aca="false">IF(OR(X94="",C94="",C94&lt;=0),"",X94/C94)</f>
        <v/>
      </c>
      <c r="AG94" s="4"/>
      <c r="AH94" s="4"/>
      <c r="AI94" s="4"/>
      <c r="AJ94" s="7" t="str">
        <f aca="false">IF(OR(AG94="",AH94=""),"",IF(OR(AND(AG94="短期博反弹",OR(AH94="1～3个交易日",AH94="4～10个交易日")),AND(AG94="突破冲新高",OR(AH94="4～10个交易日",AH94="11～20个交易日")),AND(AG94="趋势波段",OR(AH94="11～20个交易日",AH94="21～60个交易日",AH94="60个交易日以上"))),"匹配","周期与交易预期不匹配，请重新确认"))</f>
        <v/>
      </c>
      <c r="AK94" s="13" t="str">
        <f aca="false">IF(A94="","",COUNTIFS(加仓管理!$A$2:$A$1001,A94,加仓管理!$G$2:$G$1001,"&gt;0"))</f>
        <v/>
      </c>
      <c r="AL94" s="13" t="str">
        <f aca="false">IF(A94="","",SUMIFS(加仓管理!$G$2:$G$1001,加仓管理!$A$2:$A$1001,A94))</f>
        <v/>
      </c>
      <c r="AM94" s="14" t="str">
        <f aca="false">IF(AK94=0,"",IFERROR(LOOKUP(2,1/((加仓管理!$A$2:$A$1001=A94)*(加仓管理!$G$2:$G$1001&gt;0)),加仓管理!$D$2:$D$1001),""))</f>
        <v/>
      </c>
      <c r="AN94" s="14" t="str">
        <f aca="false">IF(AK94=0,"",IFERROR(LOOKUP(2,1/((加仓管理!$A$2:$A$1001=A94)*(加仓管理!$G$2:$G$1001&gt;0)),加仓管理!$E$2:$E$1001),""))</f>
        <v/>
      </c>
      <c r="AO94" s="14" t="str">
        <f aca="false">IF(OR(A94="",H94="",H94&lt;=0),"",(E94*H94+SUMIFS(加仓管理!$H$2:$H$1001,加仓管理!$A$2:$A$1001,A94))/AP94)</f>
        <v/>
      </c>
      <c r="AP94" s="13" t="str">
        <f aca="false">IF(OR(A94="",H94="",H94&lt;=0),"",H94+AL94)</f>
        <v/>
      </c>
      <c r="AQ94" s="14" t="str">
        <f aca="false">IF(A94="","",IF(M94&lt;&gt;"",0,IF(OR(H94="",N94=""),"",MAX((E94*H94+SUMIFS(加仓管理!$H$2:$H$1001,加仓管理!$A$2:$A$1001,A94))-MAX(N94,AN94)*AP94,0))))</f>
        <v/>
      </c>
      <c r="AR94" s="15" t="str">
        <f aca="false">IF(A94="","",IF(OR(E94="",H94=""),"违规：首次买入价格或股数缺失",IF(COUNTIFS(加仓管理!$A$2:$A$1001,A94,加仓管理!$R$2:$R$1001,"违规*")&gt;0,"违规：请检查加仓管理表",IF(SUM($AQ$2:$AQ$201)&gt;账户数据!$B$7,"预警：超过账户风险上限",IF(COUNTIFS(加仓管理!$A$2:$A$1001,A94,加仓管理!$N$2:$N$1001,"&gt;0",加仓管理!$G$2:$G$1001,"")&gt;0,"提示：存在待执行加仓计划","通过")))))</f>
        <v/>
      </c>
    </row>
    <row r="95" customFormat="false" ht="13.5" hidden="false" customHeight="false" outlineLevel="0" collapsed="false">
      <c r="A95" s="4"/>
      <c r="B95" s="4"/>
      <c r="C95" s="5"/>
      <c r="D95" s="6"/>
      <c r="E95" s="5"/>
      <c r="F95" s="7" t="str">
        <f aca="false">IF(OR(C95="",D95="",E95="",N95="",C95&lt;=0,D95&lt;=0,E95&lt;=N95),"",ROUNDDOWN((C95*D95)/(E95-N95)/100,0)*100)</f>
        <v/>
      </c>
      <c r="G95" s="7" t="str">
        <f aca="false">IF(A95="","",IF(H95&lt;&gt;"","已开仓",IF(账户数据!$B$23="已锁仓","禁止开仓：连续亏损达到上限",IF(账户数据!$B$23="解锁信息不完整","禁止开仓：请完整填写解锁信息",IF(OR(F95="",E95="",N95="",E95&lt;=N95,账户数据!$B$7=""),"",IF(OR(AG95="",AH95="",AI95=""),"禁止开仓：交易预期未填写完整",IF(账户数据!$B$9+F95*(E95-N95)&gt;=账户数据!$B$7,"禁止开仓：风险额度不足",IF(AJ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5" s="4"/>
      <c r="I95" s="8"/>
      <c r="J95" s="5"/>
      <c r="K95" s="5"/>
      <c r="L95" s="7" t="str">
        <f aca="false">IF(AP95="","",AP95)</f>
        <v/>
      </c>
      <c r="M95" s="8"/>
      <c r="N95" s="5"/>
      <c r="O95" s="5"/>
      <c r="P95" s="5"/>
      <c r="Q95" s="4"/>
      <c r="R95" s="4"/>
      <c r="S95" s="4"/>
      <c r="T95" s="4"/>
      <c r="U95" s="9" t="str">
        <f aca="false">IF(OR(AO95="",J95="",AO95&lt;=0),"",(J95-AO95)/AO95)</f>
        <v/>
      </c>
      <c r="V95" s="9" t="str">
        <f aca="false">IF(OR(AO95="",N95="",AO95&lt;=0),"",(AO95-N95)/AO95)</f>
        <v/>
      </c>
      <c r="W95" s="10" t="str">
        <f aca="false">IF(OR(U95="",V95="",V95&lt;=0),"",U95/V95)</f>
        <v/>
      </c>
      <c r="X95" s="11" t="str">
        <f aca="false">IF(OR(K95="",L95="",AO95="",AP95=""),"",(K95-AO95)*L95-IF(O95="",0,O95)-IF(P95="",0,P95))</f>
        <v/>
      </c>
      <c r="Y95" s="9" t="str">
        <f aca="false">IF(OR(X95="",AO95="",L95=""),"",IF(AO95*L95+IF(O95="",0,O95)&lt;=0,"",X95/(AO95*L95+IF(O95="",0,O95))))</f>
        <v/>
      </c>
      <c r="Z95" s="9" t="str">
        <f aca="false">IF(OR(AE95="",多次统计数据!$B$8=""),"",AE95-多次统计数据!$B$8)</f>
        <v/>
      </c>
      <c r="AA95" s="12" t="str">
        <f aca="false">IF(OR(I95="",M95="",M95&lt;I95),"",M95-I95)</f>
        <v/>
      </c>
      <c r="AB95" s="9" t="str">
        <f aca="false">IF(OR(A95="",多次统计数据!$B$8="",多次统计数据!$B$6&lt;=0,多次统计数据!$B$6&gt;=1),"",1-POWER(1+多次统计数据!$B$8,-多次统计数据!$B$6/(1-多次统计数据!$B$6)))</f>
        <v/>
      </c>
      <c r="AC95" s="7" t="str">
        <f aca="false">IF(OR(AB95="",多次统计数据!$B$9=""),"",IF(多次统计数据!$B$9&lt;AB95,"低于上限","达到或超过上限"))</f>
        <v/>
      </c>
      <c r="AD95" s="4"/>
      <c r="AE95" s="9" t="str">
        <f aca="false">IF(OR(X95="",C95="",C95&lt;=0),"",X95/C95)</f>
        <v/>
      </c>
      <c r="AG95" s="4"/>
      <c r="AH95" s="4"/>
      <c r="AI95" s="4"/>
      <c r="AJ95" s="7" t="str">
        <f aca="false">IF(OR(AG95="",AH95=""),"",IF(OR(AND(AG95="短期博反弹",OR(AH95="1～3个交易日",AH95="4～10个交易日")),AND(AG95="突破冲新高",OR(AH95="4～10个交易日",AH95="11～20个交易日")),AND(AG95="趋势波段",OR(AH95="11～20个交易日",AH95="21～60个交易日",AH95="60个交易日以上"))),"匹配","周期与交易预期不匹配，请重新确认"))</f>
        <v/>
      </c>
      <c r="AK95" s="13" t="str">
        <f aca="false">IF(A95="","",COUNTIFS(加仓管理!$A$2:$A$1001,A95,加仓管理!$G$2:$G$1001,"&gt;0"))</f>
        <v/>
      </c>
      <c r="AL95" s="13" t="str">
        <f aca="false">IF(A95="","",SUMIFS(加仓管理!$G$2:$G$1001,加仓管理!$A$2:$A$1001,A95))</f>
        <v/>
      </c>
      <c r="AM95" s="14" t="str">
        <f aca="false">IF(AK95=0,"",IFERROR(LOOKUP(2,1/((加仓管理!$A$2:$A$1001=A95)*(加仓管理!$G$2:$G$1001&gt;0)),加仓管理!$D$2:$D$1001),""))</f>
        <v/>
      </c>
      <c r="AN95" s="14" t="str">
        <f aca="false">IF(AK95=0,"",IFERROR(LOOKUP(2,1/((加仓管理!$A$2:$A$1001=A95)*(加仓管理!$G$2:$G$1001&gt;0)),加仓管理!$E$2:$E$1001),""))</f>
        <v/>
      </c>
      <c r="AO95" s="14" t="str">
        <f aca="false">IF(OR(A95="",H95="",H95&lt;=0),"",(E95*H95+SUMIFS(加仓管理!$H$2:$H$1001,加仓管理!$A$2:$A$1001,A95))/AP95)</f>
        <v/>
      </c>
      <c r="AP95" s="13" t="str">
        <f aca="false">IF(OR(A95="",H95="",H95&lt;=0),"",H95+AL95)</f>
        <v/>
      </c>
      <c r="AQ95" s="14" t="str">
        <f aca="false">IF(A95="","",IF(M95&lt;&gt;"",0,IF(OR(H95="",N95=""),"",MAX((E95*H95+SUMIFS(加仓管理!$H$2:$H$1001,加仓管理!$A$2:$A$1001,A95))-MAX(N95,AN95)*AP95,0))))</f>
        <v/>
      </c>
      <c r="AR95" s="15" t="str">
        <f aca="false">IF(A95="","",IF(OR(E95="",H95=""),"违规：首次买入价格或股数缺失",IF(COUNTIFS(加仓管理!$A$2:$A$1001,A95,加仓管理!$R$2:$R$1001,"违规*")&gt;0,"违规：请检查加仓管理表",IF(SUM($AQ$2:$AQ$201)&gt;账户数据!$B$7,"预警：超过账户风险上限",IF(COUNTIFS(加仓管理!$A$2:$A$1001,A95,加仓管理!$N$2:$N$1001,"&gt;0",加仓管理!$G$2:$G$1001,"")&gt;0,"提示：存在待执行加仓计划","通过")))))</f>
        <v/>
      </c>
    </row>
    <row r="96" customFormat="false" ht="13.5" hidden="false" customHeight="false" outlineLevel="0" collapsed="false">
      <c r="A96" s="4"/>
      <c r="B96" s="4"/>
      <c r="C96" s="5"/>
      <c r="D96" s="6"/>
      <c r="E96" s="5"/>
      <c r="F96" s="7" t="str">
        <f aca="false">IF(OR(C96="",D96="",E96="",N96="",C96&lt;=0,D96&lt;=0,E96&lt;=N96),"",ROUNDDOWN((C96*D96)/(E96-N96)/100,0)*100)</f>
        <v/>
      </c>
      <c r="G96" s="7" t="str">
        <f aca="false">IF(A96="","",IF(H96&lt;&gt;"","已开仓",IF(账户数据!$B$23="已锁仓","禁止开仓：连续亏损达到上限",IF(账户数据!$B$23="解锁信息不完整","禁止开仓：请完整填写解锁信息",IF(OR(F96="",E96="",N96="",E96&lt;=N96,账户数据!$B$7=""),"",IF(OR(AG96="",AH96="",AI96=""),"禁止开仓：交易预期未填写完整",IF(账户数据!$B$9+F96*(E96-N96)&gt;=账户数据!$B$7,"禁止开仓：风险额度不足",IF(AJ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6" s="4"/>
      <c r="I96" s="8"/>
      <c r="J96" s="5"/>
      <c r="K96" s="5"/>
      <c r="L96" s="7" t="str">
        <f aca="false">IF(AP96="","",AP96)</f>
        <v/>
      </c>
      <c r="M96" s="8"/>
      <c r="N96" s="5"/>
      <c r="O96" s="5"/>
      <c r="P96" s="5"/>
      <c r="Q96" s="4"/>
      <c r="R96" s="4"/>
      <c r="S96" s="4"/>
      <c r="T96" s="4"/>
      <c r="U96" s="9" t="str">
        <f aca="false">IF(OR(AO96="",J96="",AO96&lt;=0),"",(J96-AO96)/AO96)</f>
        <v/>
      </c>
      <c r="V96" s="9" t="str">
        <f aca="false">IF(OR(AO96="",N96="",AO96&lt;=0),"",(AO96-N96)/AO96)</f>
        <v/>
      </c>
      <c r="W96" s="10" t="str">
        <f aca="false">IF(OR(U96="",V96="",V96&lt;=0),"",U96/V96)</f>
        <v/>
      </c>
      <c r="X96" s="11" t="str">
        <f aca="false">IF(OR(K96="",L96="",AO96="",AP96=""),"",(K96-AO96)*L96-IF(O96="",0,O96)-IF(P96="",0,P96))</f>
        <v/>
      </c>
      <c r="Y96" s="9" t="str">
        <f aca="false">IF(OR(X96="",AO96="",L96=""),"",IF(AO96*L96+IF(O96="",0,O96)&lt;=0,"",X96/(AO96*L96+IF(O96="",0,O96))))</f>
        <v/>
      </c>
      <c r="Z96" s="9" t="str">
        <f aca="false">IF(OR(AE96="",多次统计数据!$B$8=""),"",AE96-多次统计数据!$B$8)</f>
        <v/>
      </c>
      <c r="AA96" s="12" t="str">
        <f aca="false">IF(OR(I96="",M96="",M96&lt;I96),"",M96-I96)</f>
        <v/>
      </c>
      <c r="AB96" s="9" t="str">
        <f aca="false">IF(OR(A96="",多次统计数据!$B$8="",多次统计数据!$B$6&lt;=0,多次统计数据!$B$6&gt;=1),"",1-POWER(1+多次统计数据!$B$8,-多次统计数据!$B$6/(1-多次统计数据!$B$6)))</f>
        <v/>
      </c>
      <c r="AC96" s="7" t="str">
        <f aca="false">IF(OR(AB96="",多次统计数据!$B$9=""),"",IF(多次统计数据!$B$9&lt;AB96,"低于上限","达到或超过上限"))</f>
        <v/>
      </c>
      <c r="AD96" s="4"/>
      <c r="AE96" s="9" t="str">
        <f aca="false">IF(OR(X96="",C96="",C96&lt;=0),"",X96/C96)</f>
        <v/>
      </c>
      <c r="AG96" s="4"/>
      <c r="AH96" s="4"/>
      <c r="AI96" s="4"/>
      <c r="AJ96" s="7" t="str">
        <f aca="false">IF(OR(AG96="",AH96=""),"",IF(OR(AND(AG96="短期博反弹",OR(AH96="1～3个交易日",AH96="4～10个交易日")),AND(AG96="突破冲新高",OR(AH96="4～10个交易日",AH96="11～20个交易日")),AND(AG96="趋势波段",OR(AH96="11～20个交易日",AH96="21～60个交易日",AH96="60个交易日以上"))),"匹配","周期与交易预期不匹配，请重新确认"))</f>
        <v/>
      </c>
      <c r="AK96" s="13" t="str">
        <f aca="false">IF(A96="","",COUNTIFS(加仓管理!$A$2:$A$1001,A96,加仓管理!$G$2:$G$1001,"&gt;0"))</f>
        <v/>
      </c>
      <c r="AL96" s="13" t="str">
        <f aca="false">IF(A96="","",SUMIFS(加仓管理!$G$2:$G$1001,加仓管理!$A$2:$A$1001,A96))</f>
        <v/>
      </c>
      <c r="AM96" s="14" t="str">
        <f aca="false">IF(AK96=0,"",IFERROR(LOOKUP(2,1/((加仓管理!$A$2:$A$1001=A96)*(加仓管理!$G$2:$G$1001&gt;0)),加仓管理!$D$2:$D$1001),""))</f>
        <v/>
      </c>
      <c r="AN96" s="14" t="str">
        <f aca="false">IF(AK96=0,"",IFERROR(LOOKUP(2,1/((加仓管理!$A$2:$A$1001=A96)*(加仓管理!$G$2:$G$1001&gt;0)),加仓管理!$E$2:$E$1001),""))</f>
        <v/>
      </c>
      <c r="AO96" s="14" t="str">
        <f aca="false">IF(OR(A96="",H96="",H96&lt;=0),"",(E96*H96+SUMIFS(加仓管理!$H$2:$H$1001,加仓管理!$A$2:$A$1001,A96))/AP96)</f>
        <v/>
      </c>
      <c r="AP96" s="13" t="str">
        <f aca="false">IF(OR(A96="",H96="",H96&lt;=0),"",H96+AL96)</f>
        <v/>
      </c>
      <c r="AQ96" s="14" t="str">
        <f aca="false">IF(A96="","",IF(M96&lt;&gt;"",0,IF(OR(H96="",N96=""),"",MAX((E96*H96+SUMIFS(加仓管理!$H$2:$H$1001,加仓管理!$A$2:$A$1001,A96))-MAX(N96,AN96)*AP96,0))))</f>
        <v/>
      </c>
      <c r="AR96" s="15" t="str">
        <f aca="false">IF(A96="","",IF(OR(E96="",H96=""),"违规：首次买入价格或股数缺失",IF(COUNTIFS(加仓管理!$A$2:$A$1001,A96,加仓管理!$R$2:$R$1001,"违规*")&gt;0,"违规：请检查加仓管理表",IF(SUM($AQ$2:$AQ$201)&gt;账户数据!$B$7,"预警：超过账户风险上限",IF(COUNTIFS(加仓管理!$A$2:$A$1001,A96,加仓管理!$N$2:$N$1001,"&gt;0",加仓管理!$G$2:$G$1001,"")&gt;0,"提示：存在待执行加仓计划","通过")))))</f>
        <v/>
      </c>
    </row>
    <row r="97" customFormat="false" ht="13.5" hidden="false" customHeight="false" outlineLevel="0" collapsed="false">
      <c r="A97" s="4"/>
      <c r="B97" s="16"/>
      <c r="C97" s="5"/>
      <c r="D97" s="6"/>
      <c r="E97" s="5"/>
      <c r="F97" s="7" t="str">
        <f aca="false">IF(OR(C97="",D97="",E97="",N97="",C97&lt;=0,D97&lt;=0,E97&lt;=N97),"",ROUNDDOWN((C97*D97)/(E97-N97)/100,0)*100)</f>
        <v/>
      </c>
      <c r="G97" s="7" t="str">
        <f aca="false">IF(A97="","",IF(H97&lt;&gt;"","已开仓",IF(账户数据!$B$23="已锁仓","禁止开仓：连续亏损达到上限",IF(账户数据!$B$23="解锁信息不完整","禁止开仓：请完整填写解锁信息",IF(OR(F97="",E97="",N97="",E97&lt;=N97,账户数据!$B$7=""),"",IF(OR(AG97="",AH97="",AI97=""),"禁止开仓：交易预期未填写完整",IF(账户数据!$B$9+F97*(E97-N97)&gt;=账户数据!$B$7,"禁止开仓：风险额度不足",IF(AJ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7" s="4"/>
      <c r="I97" s="8"/>
      <c r="J97" s="5"/>
      <c r="K97" s="5"/>
      <c r="L97" s="7" t="str">
        <f aca="false">IF(AP97="","",AP97)</f>
        <v/>
      </c>
      <c r="M97" s="8"/>
      <c r="N97" s="5"/>
      <c r="O97" s="5"/>
      <c r="P97" s="5"/>
      <c r="Q97" s="4"/>
      <c r="R97" s="4"/>
      <c r="S97" s="4"/>
      <c r="T97" s="4"/>
      <c r="U97" s="9" t="str">
        <f aca="false">IF(OR(AO97="",J97="",AO97&lt;=0),"",(J97-AO97)/AO97)</f>
        <v/>
      </c>
      <c r="V97" s="9" t="str">
        <f aca="false">IF(OR(AO97="",N97="",AO97&lt;=0),"",(AO97-N97)/AO97)</f>
        <v/>
      </c>
      <c r="W97" s="10" t="str">
        <f aca="false">IF(OR(U97="",V97="",V97&lt;=0),"",U97/V97)</f>
        <v/>
      </c>
      <c r="X97" s="11" t="str">
        <f aca="false">IF(OR(K97="",L97="",AO97="",AP97=""),"",(K97-AO97)*L97-IF(O97="",0,O97)-IF(P97="",0,P97))</f>
        <v/>
      </c>
      <c r="Y97" s="9" t="str">
        <f aca="false">IF(OR(X97="",AO97="",L97=""),"",IF(AO97*L97+IF(O97="",0,O97)&lt;=0,"",X97/(AO97*L97+IF(O97="",0,O97))))</f>
        <v/>
      </c>
      <c r="Z97" s="9" t="str">
        <f aca="false">IF(OR(AE97="",多次统计数据!$B$8=""),"",AE97-多次统计数据!$B$8)</f>
        <v/>
      </c>
      <c r="AA97" s="12" t="str">
        <f aca="false">IF(OR(I97="",M97="",M97&lt;I97),"",M97-I97)</f>
        <v/>
      </c>
      <c r="AB97" s="9" t="str">
        <f aca="false">IF(OR(A97="",多次统计数据!$B$8="",多次统计数据!$B$6&lt;=0,多次统计数据!$B$6&gt;=1),"",1-POWER(1+多次统计数据!$B$8,-多次统计数据!$B$6/(1-多次统计数据!$B$6)))</f>
        <v/>
      </c>
      <c r="AC97" s="7" t="str">
        <f aca="false">IF(OR(AB97="",多次统计数据!$B$9=""),"",IF(多次统计数据!$B$9&lt;AB97,"低于上限","达到或超过上限"))</f>
        <v/>
      </c>
      <c r="AD97" s="4"/>
      <c r="AE97" s="9" t="str">
        <f aca="false">IF(OR(X97="",C97="",C97&lt;=0),"",X97/C97)</f>
        <v/>
      </c>
      <c r="AF97" s="17"/>
      <c r="AG97" s="4"/>
      <c r="AH97" s="4"/>
      <c r="AI97" s="4"/>
      <c r="AJ97" s="7" t="str">
        <f aca="false">IF(OR(AG97="",AH97=""),"",IF(OR(AND(AG97="短期博反弹",OR(AH97="1～3个交易日",AH97="4～10个交易日")),AND(AG97="突破冲新高",OR(AH97="4～10个交易日",AH97="11～20个交易日")),AND(AG97="趋势波段",OR(AH97="11～20个交易日",AH97="21～60个交易日",AH97="60个交易日以上"))),"匹配","周期与交易预期不匹配，请重新确认"))</f>
        <v/>
      </c>
      <c r="AK97" s="13" t="str">
        <f aca="false">IF(A97="","",COUNTIFS(加仓管理!$A$2:$A$1001,A97,加仓管理!$G$2:$G$1001,"&gt;0"))</f>
        <v/>
      </c>
      <c r="AL97" s="13" t="str">
        <f aca="false">IF(A97="","",SUMIFS(加仓管理!$G$2:$G$1001,加仓管理!$A$2:$A$1001,A97))</f>
        <v/>
      </c>
      <c r="AM97" s="14" t="str">
        <f aca="false">IF(AK97=0,"",IFERROR(LOOKUP(2,1/((加仓管理!$A$2:$A$1001=A97)*(加仓管理!$G$2:$G$1001&gt;0)),加仓管理!$D$2:$D$1001),""))</f>
        <v/>
      </c>
      <c r="AN97" s="14" t="str">
        <f aca="false">IF(AK97=0,"",IFERROR(LOOKUP(2,1/((加仓管理!$A$2:$A$1001=A97)*(加仓管理!$G$2:$G$1001&gt;0)),加仓管理!$E$2:$E$1001),""))</f>
        <v/>
      </c>
      <c r="AO97" s="14" t="str">
        <f aca="false">IF(OR(A97="",H97="",H97&lt;=0),"",(E97*H97+SUMIFS(加仓管理!$H$2:$H$1001,加仓管理!$A$2:$A$1001,A97))/AP97)</f>
        <v/>
      </c>
      <c r="AP97" s="13" t="str">
        <f aca="false">IF(OR(A97="",H97="",H97&lt;=0),"",H97+AL97)</f>
        <v/>
      </c>
      <c r="AQ97" s="14" t="str">
        <f aca="false">IF(A97="","",IF(M97&lt;&gt;"",0,IF(OR(H97="",N97=""),"",MAX((E97*H97+SUMIFS(加仓管理!$H$2:$H$1001,加仓管理!$A$2:$A$1001,A97))-MAX(N97,AN97)*AP97,0))))</f>
        <v/>
      </c>
      <c r="AR97" s="15" t="str">
        <f aca="false">IF(A97="","",IF(OR(E97="",H97=""),"违规：首次买入价格或股数缺失",IF(COUNTIFS(加仓管理!$A$2:$A$1001,A97,加仓管理!$R$2:$R$1001,"违规*")&gt;0,"违规：请检查加仓管理表",IF(SUM($AQ$2:$AQ$201)&gt;账户数据!$B$7,"预警：超过账户风险上限",IF(COUNTIFS(加仓管理!$A$2:$A$1001,A97,加仓管理!$N$2:$N$1001,"&gt;0",加仓管理!$G$2:$G$1001,"")&gt;0,"提示：存在待执行加仓计划","通过")))))</f>
        <v/>
      </c>
    </row>
    <row r="98" customFormat="false" ht="13.5" hidden="false" customHeight="false" outlineLevel="0" collapsed="false">
      <c r="A98" s="4"/>
      <c r="B98" s="16"/>
      <c r="C98" s="5"/>
      <c r="D98" s="6"/>
      <c r="E98" s="5"/>
      <c r="F98" s="7" t="str">
        <f aca="false">IF(OR(C98="",D98="",E98="",N98="",C98&lt;=0,D98&lt;=0,E98&lt;=N98),"",ROUNDDOWN((C98*D98)/(E98-N98)/100,0)*100)</f>
        <v/>
      </c>
      <c r="G98" s="7" t="str">
        <f aca="false">IF(A98="","",IF(H98&lt;&gt;"","已开仓",IF(账户数据!$B$23="已锁仓","禁止开仓：连续亏损达到上限",IF(账户数据!$B$23="解锁信息不完整","禁止开仓：请完整填写解锁信息",IF(OR(F98="",E98="",N98="",E98&lt;=N98,账户数据!$B$7=""),"",IF(OR(AG98="",AH98="",AI98=""),"禁止开仓：交易预期未填写完整",IF(账户数据!$B$9+F98*(E98-N98)&gt;=账户数据!$B$7,"禁止开仓：风险额度不足",IF(AJ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8" s="4"/>
      <c r="I98" s="8"/>
      <c r="J98" s="5"/>
      <c r="K98" s="5"/>
      <c r="L98" s="7" t="str">
        <f aca="false">IF(AP98="","",AP98)</f>
        <v/>
      </c>
      <c r="M98" s="8"/>
      <c r="N98" s="5"/>
      <c r="O98" s="5"/>
      <c r="P98" s="5"/>
      <c r="Q98" s="4"/>
      <c r="R98" s="4"/>
      <c r="S98" s="4"/>
      <c r="T98" s="4"/>
      <c r="U98" s="9" t="str">
        <f aca="false">IF(OR(AO98="",J98="",AO98&lt;=0),"",(J98-AO98)/AO98)</f>
        <v/>
      </c>
      <c r="V98" s="9" t="str">
        <f aca="false">IF(OR(AO98="",N98="",AO98&lt;=0),"",(AO98-N98)/AO98)</f>
        <v/>
      </c>
      <c r="W98" s="10" t="str">
        <f aca="false">IF(OR(U98="",V98="",V98&lt;=0),"",U98/V98)</f>
        <v/>
      </c>
      <c r="X98" s="11" t="str">
        <f aca="false">IF(OR(K98="",L98="",AO98="",AP98=""),"",(K98-AO98)*L98-IF(O98="",0,O98)-IF(P98="",0,P98))</f>
        <v/>
      </c>
      <c r="Y98" s="9" t="str">
        <f aca="false">IF(OR(X98="",AO98="",L98=""),"",IF(AO98*L98+IF(O98="",0,O98)&lt;=0,"",X98/(AO98*L98+IF(O98="",0,O98))))</f>
        <v/>
      </c>
      <c r="Z98" s="9" t="str">
        <f aca="false">IF(OR(AE98="",多次统计数据!$B$8=""),"",AE98-多次统计数据!$B$8)</f>
        <v/>
      </c>
      <c r="AA98" s="12" t="str">
        <f aca="false">IF(OR(I98="",M98="",M98&lt;I98),"",M98-I98)</f>
        <v/>
      </c>
      <c r="AB98" s="9" t="str">
        <f aca="false">IF(OR(A98="",多次统计数据!$B$8="",多次统计数据!$B$6&lt;=0,多次统计数据!$B$6&gt;=1),"",1-POWER(1+多次统计数据!$B$8,-多次统计数据!$B$6/(1-多次统计数据!$B$6)))</f>
        <v/>
      </c>
      <c r="AC98" s="7" t="str">
        <f aca="false">IF(OR(AB98="",多次统计数据!$B$9=""),"",IF(多次统计数据!$B$9&lt;AB98,"低于上限","达到或超过上限"))</f>
        <v/>
      </c>
      <c r="AD98" s="4"/>
      <c r="AE98" s="9" t="str">
        <f aca="false">IF(OR(X98="",C98="",C98&lt;=0),"",X98/C98)</f>
        <v/>
      </c>
      <c r="AF98" s="17"/>
      <c r="AG98" s="4"/>
      <c r="AH98" s="4"/>
      <c r="AI98" s="4"/>
      <c r="AJ98" s="7" t="str">
        <f aca="false">IF(OR(AG98="",AH98=""),"",IF(OR(AND(AG98="短期博反弹",OR(AH98="1～3个交易日",AH98="4～10个交易日")),AND(AG98="突破冲新高",OR(AH98="4～10个交易日",AH98="11～20个交易日")),AND(AG98="趋势波段",OR(AH98="11～20个交易日",AH98="21～60个交易日",AH98="60个交易日以上"))),"匹配","周期与交易预期不匹配，请重新确认"))</f>
        <v/>
      </c>
      <c r="AK98" s="13" t="str">
        <f aca="false">IF(A98="","",COUNTIFS(加仓管理!$A$2:$A$1001,A98,加仓管理!$G$2:$G$1001,"&gt;0"))</f>
        <v/>
      </c>
      <c r="AL98" s="13" t="str">
        <f aca="false">IF(A98="","",SUMIFS(加仓管理!$G$2:$G$1001,加仓管理!$A$2:$A$1001,A98))</f>
        <v/>
      </c>
      <c r="AM98" s="14" t="str">
        <f aca="false">IF(AK98=0,"",IFERROR(LOOKUP(2,1/((加仓管理!$A$2:$A$1001=A98)*(加仓管理!$G$2:$G$1001&gt;0)),加仓管理!$D$2:$D$1001),""))</f>
        <v/>
      </c>
      <c r="AN98" s="14" t="str">
        <f aca="false">IF(AK98=0,"",IFERROR(LOOKUP(2,1/((加仓管理!$A$2:$A$1001=A98)*(加仓管理!$G$2:$G$1001&gt;0)),加仓管理!$E$2:$E$1001),""))</f>
        <v/>
      </c>
      <c r="AO98" s="14" t="str">
        <f aca="false">IF(OR(A98="",H98="",H98&lt;=0),"",(E98*H98+SUMIFS(加仓管理!$H$2:$H$1001,加仓管理!$A$2:$A$1001,A98))/AP98)</f>
        <v/>
      </c>
      <c r="AP98" s="13" t="str">
        <f aca="false">IF(OR(A98="",H98="",H98&lt;=0),"",H98+AL98)</f>
        <v/>
      </c>
      <c r="AQ98" s="14" t="str">
        <f aca="false">IF(A98="","",IF(M98&lt;&gt;"",0,IF(OR(H98="",N98=""),"",MAX((E98*H98+SUMIFS(加仓管理!$H$2:$H$1001,加仓管理!$A$2:$A$1001,A98))-MAX(N98,AN98)*AP98,0))))</f>
        <v/>
      </c>
      <c r="AR98" s="15" t="str">
        <f aca="false">IF(A98="","",IF(OR(E98="",H98=""),"违规：首次买入价格或股数缺失",IF(COUNTIFS(加仓管理!$A$2:$A$1001,A98,加仓管理!$R$2:$R$1001,"违规*")&gt;0,"违规：请检查加仓管理表",IF(SUM($AQ$2:$AQ$201)&gt;账户数据!$B$7,"预警：超过账户风险上限",IF(COUNTIFS(加仓管理!$A$2:$A$1001,A98,加仓管理!$N$2:$N$1001,"&gt;0",加仓管理!$G$2:$G$1001,"")&gt;0,"提示：存在待执行加仓计划","通过")))))</f>
        <v/>
      </c>
    </row>
    <row r="99" customFormat="false" ht="13.5" hidden="false" customHeight="false" outlineLevel="0" collapsed="false">
      <c r="A99" s="4"/>
      <c r="B99" s="16"/>
      <c r="C99" s="5"/>
      <c r="D99" s="6"/>
      <c r="E99" s="5"/>
      <c r="F99" s="7" t="str">
        <f aca="false">IF(OR(C99="",D99="",E99="",N99="",C99&lt;=0,D99&lt;=0,E99&lt;=N99),"",ROUNDDOWN((C99*D99)/(E99-N99)/100,0)*100)</f>
        <v/>
      </c>
      <c r="G99" s="7" t="str">
        <f aca="false">IF(A99="","",IF(H99&lt;&gt;"","已开仓",IF(账户数据!$B$23="已锁仓","禁止开仓：连续亏损达到上限",IF(账户数据!$B$23="解锁信息不完整","禁止开仓：请完整填写解锁信息",IF(OR(F99="",E99="",N99="",E99&lt;=N99,账户数据!$B$7=""),"",IF(OR(AG99="",AH99="",AI99=""),"禁止开仓：交易预期未填写完整",IF(账户数据!$B$9+F99*(E99-N99)&gt;=账户数据!$B$7,"禁止开仓：风险额度不足",IF(AJ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9" s="4"/>
      <c r="I99" s="8"/>
      <c r="J99" s="5"/>
      <c r="K99" s="5"/>
      <c r="L99" s="7" t="str">
        <f aca="false">IF(AP99="","",AP99)</f>
        <v/>
      </c>
      <c r="M99" s="8"/>
      <c r="N99" s="5"/>
      <c r="O99" s="5"/>
      <c r="P99" s="5"/>
      <c r="Q99" s="4"/>
      <c r="R99" s="4"/>
      <c r="S99" s="4"/>
      <c r="T99" s="4"/>
      <c r="U99" s="9" t="str">
        <f aca="false">IF(OR(AO99="",J99="",AO99&lt;=0),"",(J99-AO99)/AO99)</f>
        <v/>
      </c>
      <c r="V99" s="9" t="str">
        <f aca="false">IF(OR(AO99="",N99="",AO99&lt;=0),"",(AO99-N99)/AO99)</f>
        <v/>
      </c>
      <c r="W99" s="10" t="str">
        <f aca="false">IF(OR(U99="",V99="",V99&lt;=0),"",U99/V99)</f>
        <v/>
      </c>
      <c r="X99" s="11" t="str">
        <f aca="false">IF(OR(K99="",L99="",AO99="",AP99=""),"",(K99-AO99)*L99-IF(O99="",0,O99)-IF(P99="",0,P99))</f>
        <v/>
      </c>
      <c r="Y99" s="9" t="str">
        <f aca="false">IF(OR(X99="",AO99="",L99=""),"",IF(AO99*L99+IF(O99="",0,O99)&lt;=0,"",X99/(AO99*L99+IF(O99="",0,O99))))</f>
        <v/>
      </c>
      <c r="Z99" s="9" t="str">
        <f aca="false">IF(OR(AE99="",多次统计数据!$B$8=""),"",AE99-多次统计数据!$B$8)</f>
        <v/>
      </c>
      <c r="AA99" s="12" t="str">
        <f aca="false">IF(OR(I99="",M99="",M99&lt;I99),"",M99-I99)</f>
        <v/>
      </c>
      <c r="AB99" s="9" t="str">
        <f aca="false">IF(OR(A99="",多次统计数据!$B$8="",多次统计数据!$B$6&lt;=0,多次统计数据!$B$6&gt;=1),"",1-POWER(1+多次统计数据!$B$8,-多次统计数据!$B$6/(1-多次统计数据!$B$6)))</f>
        <v/>
      </c>
      <c r="AC99" s="7" t="str">
        <f aca="false">IF(OR(AB99="",多次统计数据!$B$9=""),"",IF(多次统计数据!$B$9&lt;AB99,"低于上限","达到或超过上限"))</f>
        <v/>
      </c>
      <c r="AD99" s="4"/>
      <c r="AE99" s="9" t="str">
        <f aca="false">IF(OR(X99="",C99="",C99&lt;=0),"",X99/C99)</f>
        <v/>
      </c>
      <c r="AF99" s="17"/>
      <c r="AG99" s="4"/>
      <c r="AH99" s="4"/>
      <c r="AI99" s="4"/>
      <c r="AJ99" s="7" t="str">
        <f aca="false">IF(OR(AG99="",AH99=""),"",IF(OR(AND(AG99="短期博反弹",OR(AH99="1～3个交易日",AH99="4～10个交易日")),AND(AG99="突破冲新高",OR(AH99="4～10个交易日",AH99="11～20个交易日")),AND(AG99="趋势波段",OR(AH99="11～20个交易日",AH99="21～60个交易日",AH99="60个交易日以上"))),"匹配","周期与交易预期不匹配，请重新确认"))</f>
        <v/>
      </c>
      <c r="AK99" s="13" t="str">
        <f aca="false">IF(A99="","",COUNTIFS(加仓管理!$A$2:$A$1001,A99,加仓管理!$G$2:$G$1001,"&gt;0"))</f>
        <v/>
      </c>
      <c r="AL99" s="13" t="str">
        <f aca="false">IF(A99="","",SUMIFS(加仓管理!$G$2:$G$1001,加仓管理!$A$2:$A$1001,A99))</f>
        <v/>
      </c>
      <c r="AM99" s="14" t="str">
        <f aca="false">IF(AK99=0,"",IFERROR(LOOKUP(2,1/((加仓管理!$A$2:$A$1001=A99)*(加仓管理!$G$2:$G$1001&gt;0)),加仓管理!$D$2:$D$1001),""))</f>
        <v/>
      </c>
      <c r="AN99" s="14" t="str">
        <f aca="false">IF(AK99=0,"",IFERROR(LOOKUP(2,1/((加仓管理!$A$2:$A$1001=A99)*(加仓管理!$G$2:$G$1001&gt;0)),加仓管理!$E$2:$E$1001),""))</f>
        <v/>
      </c>
      <c r="AO99" s="14" t="str">
        <f aca="false">IF(OR(A99="",H99="",H99&lt;=0),"",(E99*H99+SUMIFS(加仓管理!$H$2:$H$1001,加仓管理!$A$2:$A$1001,A99))/AP99)</f>
        <v/>
      </c>
      <c r="AP99" s="13" t="str">
        <f aca="false">IF(OR(A99="",H99="",H99&lt;=0),"",H99+AL99)</f>
        <v/>
      </c>
      <c r="AQ99" s="14" t="str">
        <f aca="false">IF(A99="","",IF(M99&lt;&gt;"",0,IF(OR(H99="",N99=""),"",MAX((E99*H99+SUMIFS(加仓管理!$H$2:$H$1001,加仓管理!$A$2:$A$1001,A99))-MAX(N99,AN99)*AP99,0))))</f>
        <v/>
      </c>
      <c r="AR99" s="15" t="str">
        <f aca="false">IF(A99="","",IF(OR(E99="",H99=""),"违规：首次买入价格或股数缺失",IF(COUNTIFS(加仓管理!$A$2:$A$1001,A99,加仓管理!$R$2:$R$1001,"违规*")&gt;0,"违规：请检查加仓管理表",IF(SUM($AQ$2:$AQ$201)&gt;账户数据!$B$7,"预警：超过账户风险上限",IF(COUNTIFS(加仓管理!$A$2:$A$1001,A99,加仓管理!$N$2:$N$1001,"&gt;0",加仓管理!$G$2:$G$1001,"")&gt;0,"提示：存在待执行加仓计划","通过")))))</f>
        <v/>
      </c>
    </row>
    <row r="100" customFormat="false" ht="13.5" hidden="false" customHeight="false" outlineLevel="0" collapsed="false">
      <c r="A100" s="4"/>
      <c r="B100" s="16"/>
      <c r="C100" s="5"/>
      <c r="D100" s="6"/>
      <c r="E100" s="5"/>
      <c r="F100" s="7" t="str">
        <f aca="false">IF(OR(C100="",D100="",E100="",N100="",C100&lt;=0,D100&lt;=0,E100&lt;=N100),"",ROUNDDOWN((C100*D100)/(E100-N100)/100,0)*100)</f>
        <v/>
      </c>
      <c r="G100" s="7" t="str">
        <f aca="false">IF(A100="","",IF(H100&lt;&gt;"","已开仓",IF(账户数据!$B$23="已锁仓","禁止开仓：连续亏损达到上限",IF(账户数据!$B$23="解锁信息不完整","禁止开仓：请完整填写解锁信息",IF(OR(F100="",E100="",N100="",E100&lt;=N100,账户数据!$B$7=""),"",IF(OR(AG100="",AH100="",AI100=""),"禁止开仓：交易预期未填写完整",IF(账户数据!$B$9+F100*(E100-N100)&gt;=账户数据!$B$7,"禁止开仓：风险额度不足",IF(AJ100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0" s="4"/>
      <c r="I100" s="8"/>
      <c r="J100" s="5"/>
      <c r="K100" s="5"/>
      <c r="L100" s="7" t="str">
        <f aca="false">IF(AP100="","",AP100)</f>
        <v/>
      </c>
      <c r="M100" s="8"/>
      <c r="N100" s="5"/>
      <c r="O100" s="5"/>
      <c r="P100" s="5"/>
      <c r="Q100" s="4"/>
      <c r="R100" s="4"/>
      <c r="S100" s="4"/>
      <c r="T100" s="4"/>
      <c r="U100" s="9" t="str">
        <f aca="false">IF(OR(AO100="",J100="",AO100&lt;=0),"",(J100-AO100)/AO100)</f>
        <v/>
      </c>
      <c r="V100" s="9" t="str">
        <f aca="false">IF(OR(AO100="",N100="",AO100&lt;=0),"",(AO100-N100)/AO100)</f>
        <v/>
      </c>
      <c r="W100" s="10" t="str">
        <f aca="false">IF(OR(U100="",V100="",V100&lt;=0),"",U100/V100)</f>
        <v/>
      </c>
      <c r="X100" s="11" t="str">
        <f aca="false">IF(OR(K100="",L100="",AO100="",AP100=""),"",(K100-AO100)*L100-IF(O100="",0,O100)-IF(P100="",0,P100))</f>
        <v/>
      </c>
      <c r="Y100" s="9" t="str">
        <f aca="false">IF(OR(X100="",AO100="",L100=""),"",IF(AO100*L100+IF(O100="",0,O100)&lt;=0,"",X100/(AO100*L100+IF(O100="",0,O100))))</f>
        <v/>
      </c>
      <c r="Z100" s="9" t="str">
        <f aca="false">IF(OR(AE100="",多次统计数据!$B$8=""),"",AE100-多次统计数据!$B$8)</f>
        <v/>
      </c>
      <c r="AA100" s="12" t="str">
        <f aca="false">IF(OR(I100="",M100="",M100&lt;I100),"",M100-I100)</f>
        <v/>
      </c>
      <c r="AB100" s="9" t="str">
        <f aca="false">IF(OR(A100="",多次统计数据!$B$8="",多次统计数据!$B$6&lt;=0,多次统计数据!$B$6&gt;=1),"",1-POWER(1+多次统计数据!$B$8,-多次统计数据!$B$6/(1-多次统计数据!$B$6)))</f>
        <v/>
      </c>
      <c r="AC100" s="7" t="str">
        <f aca="false">IF(OR(AB100="",多次统计数据!$B$9=""),"",IF(多次统计数据!$B$9&lt;AB100,"低于上限","达到或超过上限"))</f>
        <v/>
      </c>
      <c r="AD100" s="4"/>
      <c r="AE100" s="9" t="str">
        <f aca="false">IF(OR(X100="",C100="",C100&lt;=0),"",X100/C100)</f>
        <v/>
      </c>
      <c r="AG100" s="4"/>
      <c r="AH100" s="4"/>
      <c r="AI100" s="4"/>
      <c r="AJ100" s="7" t="str">
        <f aca="false">IF(OR(AG100="",AH100=""),"",IF(OR(AND(AG100="短期博反弹",OR(AH100="1～3个交易日",AH100="4～10个交易日")),AND(AG100="突破冲新高",OR(AH100="4～10个交易日",AH100="11～20个交易日")),AND(AG100="趋势波段",OR(AH100="11～20个交易日",AH100="21～60个交易日",AH100="60个交易日以上"))),"匹配","周期与交易预期不匹配，请重新确认"))</f>
        <v/>
      </c>
      <c r="AK100" s="13" t="str">
        <f aca="false">IF(A100="","",COUNTIFS(加仓管理!$A$2:$A$1001,A100,加仓管理!$G$2:$G$1001,"&gt;0"))</f>
        <v/>
      </c>
      <c r="AL100" s="13" t="str">
        <f aca="false">IF(A100="","",SUMIFS(加仓管理!$G$2:$G$1001,加仓管理!$A$2:$A$1001,A100))</f>
        <v/>
      </c>
      <c r="AM100" s="14" t="str">
        <f aca="false">IF(AK100=0,"",IFERROR(LOOKUP(2,1/((加仓管理!$A$2:$A$1001=A100)*(加仓管理!$G$2:$G$1001&gt;0)),加仓管理!$D$2:$D$1001),""))</f>
        <v/>
      </c>
      <c r="AN100" s="14" t="str">
        <f aca="false">IF(AK100=0,"",IFERROR(LOOKUP(2,1/((加仓管理!$A$2:$A$1001=A100)*(加仓管理!$G$2:$G$1001&gt;0)),加仓管理!$E$2:$E$1001),""))</f>
        <v/>
      </c>
      <c r="AO100" s="14" t="str">
        <f aca="false">IF(OR(A100="",H100="",H100&lt;=0),"",(E100*H100+SUMIFS(加仓管理!$H$2:$H$1001,加仓管理!$A$2:$A$1001,A100))/AP100)</f>
        <v/>
      </c>
      <c r="AP100" s="13" t="str">
        <f aca="false">IF(OR(A100="",H100="",H100&lt;=0),"",H100+AL100)</f>
        <v/>
      </c>
      <c r="AQ100" s="14" t="str">
        <f aca="false">IF(A100="","",IF(M100&lt;&gt;"",0,IF(OR(H100="",N100=""),"",MAX((E100*H100+SUMIFS(加仓管理!$H$2:$H$1001,加仓管理!$A$2:$A$1001,A100))-MAX(N100,AN100)*AP100,0))))</f>
        <v/>
      </c>
      <c r="AR100" s="15" t="str">
        <f aca="false">IF(A100="","",IF(OR(E100="",H100=""),"违规：首次买入价格或股数缺失",IF(COUNTIFS(加仓管理!$A$2:$A$1001,A100,加仓管理!$R$2:$R$1001,"违规*")&gt;0,"违规：请检查加仓管理表",IF(SUM($AQ$2:$AQ$201)&gt;账户数据!$B$7,"预警：超过账户风险上限",IF(COUNTIFS(加仓管理!$A$2:$A$1001,A100,加仓管理!$N$2:$N$1001,"&gt;0",加仓管理!$G$2:$G$1001,"")&gt;0,"提示：存在待执行加仓计划","通过")))))</f>
        <v/>
      </c>
    </row>
    <row r="101" customFormat="false" ht="13.5" hidden="false" customHeight="false" outlineLevel="0" collapsed="false">
      <c r="A101" s="4"/>
      <c r="B101" s="16"/>
      <c r="C101" s="5"/>
      <c r="D101" s="6"/>
      <c r="E101" s="5"/>
      <c r="F101" s="7" t="str">
        <f aca="false">IF(OR(C101="",D101="",E101="",N101="",C101&lt;=0,D101&lt;=0,E101&lt;=N101),"",ROUNDDOWN((C101*D101)/(E101-N101)/100,0)*100)</f>
        <v/>
      </c>
      <c r="G101" s="7" t="str">
        <f aca="false">IF(A101="","",IF(H101&lt;&gt;"","已开仓",IF(账户数据!$B$23="已锁仓","禁止开仓：连续亏损达到上限",IF(账户数据!$B$23="解锁信息不完整","禁止开仓：请完整填写解锁信息",IF(OR(F101="",E101="",N101="",E101&lt;=N101,账户数据!$B$7=""),"",IF(OR(AG101="",AH101="",AI101=""),"禁止开仓：交易预期未填写完整",IF(账户数据!$B$9+F101*(E101-N101)&gt;=账户数据!$B$7,"禁止开仓：风险额度不足",IF(AJ101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1" s="4"/>
      <c r="I101" s="8"/>
      <c r="J101" s="5"/>
      <c r="K101" s="5"/>
      <c r="L101" s="7" t="str">
        <f aca="false">IF(AP101="","",AP101)</f>
        <v/>
      </c>
      <c r="M101" s="8"/>
      <c r="N101" s="5"/>
      <c r="O101" s="5"/>
      <c r="P101" s="5"/>
      <c r="Q101" s="4"/>
      <c r="R101" s="4"/>
      <c r="S101" s="4"/>
      <c r="T101" s="4"/>
      <c r="U101" s="9" t="str">
        <f aca="false">IF(OR(AO101="",J101="",AO101&lt;=0),"",(J101-AO101)/AO101)</f>
        <v/>
      </c>
      <c r="V101" s="9" t="str">
        <f aca="false">IF(OR(AO101="",N101="",AO101&lt;=0),"",(AO101-N101)/AO101)</f>
        <v/>
      </c>
      <c r="W101" s="10" t="str">
        <f aca="false">IF(OR(U101="",V101="",V101&lt;=0),"",U101/V101)</f>
        <v/>
      </c>
      <c r="X101" s="11" t="str">
        <f aca="false">IF(OR(K101="",L101="",AO101="",AP101=""),"",(K101-AO101)*L101-IF(O101="",0,O101)-IF(P101="",0,P101))</f>
        <v/>
      </c>
      <c r="Y101" s="9" t="str">
        <f aca="false">IF(OR(X101="",AO101="",L101=""),"",IF(AO101*L101+IF(O101="",0,O101)&lt;=0,"",X101/(AO101*L101+IF(O101="",0,O101))))</f>
        <v/>
      </c>
      <c r="Z101" s="9" t="str">
        <f aca="false">IF(OR(AE101="",多次统计数据!$B$8=""),"",AE101-多次统计数据!$B$8)</f>
        <v/>
      </c>
      <c r="AA101" s="12" t="str">
        <f aca="false">IF(OR(I101="",M101="",M101&lt;I101),"",M101-I101)</f>
        <v/>
      </c>
      <c r="AB101" s="9" t="str">
        <f aca="false">IF(OR(A101="",多次统计数据!$B$8="",多次统计数据!$B$6&lt;=0,多次统计数据!$B$6&gt;=1),"",1-POWER(1+多次统计数据!$B$8,-多次统计数据!$B$6/(1-多次统计数据!$B$6)))</f>
        <v/>
      </c>
      <c r="AC101" s="7" t="str">
        <f aca="false">IF(OR(AB101="",多次统计数据!$B$9=""),"",IF(多次统计数据!$B$9&lt;AB101,"低于上限","达到或超过上限"))</f>
        <v/>
      </c>
      <c r="AD101" s="4"/>
      <c r="AE101" s="9" t="str">
        <f aca="false">IF(OR(X101="",C101="",C101&lt;=0),"",X101/C101)</f>
        <v/>
      </c>
      <c r="AG101" s="4"/>
      <c r="AH101" s="4"/>
      <c r="AI101" s="4"/>
      <c r="AJ101" s="7" t="str">
        <f aca="false">IF(OR(AG101="",AH101=""),"",IF(OR(AND(AG101="短期博反弹",OR(AH101="1～3个交易日",AH101="4～10个交易日")),AND(AG101="突破冲新高",OR(AH101="4～10个交易日",AH101="11～20个交易日")),AND(AG101="趋势波段",OR(AH101="11～20个交易日",AH101="21～60个交易日",AH101="60个交易日以上"))),"匹配","周期与交易预期不匹配，请重新确认"))</f>
        <v/>
      </c>
      <c r="AK101" s="13" t="str">
        <f aca="false">IF(A101="","",COUNTIFS(加仓管理!$A$2:$A$1001,A101,加仓管理!$G$2:$G$1001,"&gt;0"))</f>
        <v/>
      </c>
      <c r="AL101" s="13" t="str">
        <f aca="false">IF(A101="","",SUMIFS(加仓管理!$G$2:$G$1001,加仓管理!$A$2:$A$1001,A101))</f>
        <v/>
      </c>
      <c r="AM101" s="14" t="str">
        <f aca="false">IF(AK101=0,"",IFERROR(LOOKUP(2,1/((加仓管理!$A$2:$A$1001=A101)*(加仓管理!$G$2:$G$1001&gt;0)),加仓管理!$D$2:$D$1001),""))</f>
        <v/>
      </c>
      <c r="AN101" s="14" t="str">
        <f aca="false">IF(AK101=0,"",IFERROR(LOOKUP(2,1/((加仓管理!$A$2:$A$1001=A101)*(加仓管理!$G$2:$G$1001&gt;0)),加仓管理!$E$2:$E$1001),""))</f>
        <v/>
      </c>
      <c r="AO101" s="14" t="str">
        <f aca="false">IF(OR(A101="",H101="",H101&lt;=0),"",(E101*H101+SUMIFS(加仓管理!$H$2:$H$1001,加仓管理!$A$2:$A$1001,A101))/AP101)</f>
        <v/>
      </c>
      <c r="AP101" s="13" t="str">
        <f aca="false">IF(OR(A101="",H101="",H101&lt;=0),"",H101+AL101)</f>
        <v/>
      </c>
      <c r="AQ101" s="14" t="str">
        <f aca="false">IF(A101="","",IF(M101&lt;&gt;"",0,IF(OR(H101="",N101=""),"",MAX((E101*H101+SUMIFS(加仓管理!$H$2:$H$1001,加仓管理!$A$2:$A$1001,A101))-MAX(N101,AN101)*AP101,0))))</f>
        <v/>
      </c>
      <c r="AR101" s="15" t="str">
        <f aca="false">IF(A101="","",IF(OR(E101="",H101=""),"违规：首次买入价格或股数缺失",IF(COUNTIFS(加仓管理!$A$2:$A$1001,A101,加仓管理!$R$2:$R$1001,"违规*")&gt;0,"违规：请检查加仓管理表",IF(SUM($AQ$2:$AQ$201)&gt;账户数据!$B$7,"预警：超过账户风险上限",IF(COUNTIFS(加仓管理!$A$2:$A$1001,A101,加仓管理!$N$2:$N$1001,"&gt;0",加仓管理!$G$2:$G$1001,"")&gt;0,"提示：存在待执行加仓计划","通过")))))</f>
        <v/>
      </c>
    </row>
    <row r="102" customFormat="false" ht="13.5" hidden="false" customHeight="false" outlineLevel="0" collapsed="false">
      <c r="A102" s="4"/>
      <c r="B102" s="16"/>
      <c r="C102" s="5"/>
      <c r="D102" s="6"/>
      <c r="E102" s="5"/>
      <c r="F102" s="7" t="str">
        <f aca="false">IF(OR(C102="",D102="",E102="",N102="",C102&lt;=0,D102&lt;=0,E102&lt;=N102),"",ROUNDDOWN((C102*D102)/(E102-N102)/100,0)*100)</f>
        <v/>
      </c>
      <c r="G102" s="7" t="str">
        <f aca="false">IF(A102="","",IF(H102&lt;&gt;"","已开仓",IF(账户数据!$B$23="已锁仓","禁止开仓：连续亏损达到上限",IF(账户数据!$B$23="解锁信息不完整","禁止开仓：请完整填写解锁信息",IF(OR(F102="",E102="",N102="",E102&lt;=N102,账户数据!$B$7=""),"",IF(OR(AG102="",AH102="",AI102=""),"禁止开仓：交易预期未填写完整",IF(账户数据!$B$9+F102*(E102-N102)&gt;=账户数据!$B$7,"禁止开仓：风险额度不足",IF(AJ102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2" s="4"/>
      <c r="I102" s="8"/>
      <c r="J102" s="5"/>
      <c r="K102" s="18"/>
      <c r="L102" s="7" t="str">
        <f aca="false">IF(AP102="","",AP102)</f>
        <v/>
      </c>
      <c r="M102" s="8"/>
      <c r="N102" s="5"/>
      <c r="O102" s="5"/>
      <c r="P102" s="5"/>
      <c r="Q102" s="4"/>
      <c r="R102" s="4"/>
      <c r="S102" s="4"/>
      <c r="T102" s="4"/>
      <c r="U102" s="9" t="str">
        <f aca="false">IF(OR(AO102="",J102="",AO102&lt;=0),"",(J102-AO102)/AO102)</f>
        <v/>
      </c>
      <c r="V102" s="9" t="str">
        <f aca="false">IF(OR(AO102="",N102="",AO102&lt;=0),"",(AO102-N102)/AO102)</f>
        <v/>
      </c>
      <c r="W102" s="10" t="str">
        <f aca="false">IF(OR(U102="",V102="",V102&lt;=0),"",U102/V102)</f>
        <v/>
      </c>
      <c r="X102" s="11" t="str">
        <f aca="false">IF(OR(K102="",L102="",AO102="",AP102=""),"",(K102-AO102)*L102-IF(O102="",0,O102)-IF(P102="",0,P102))</f>
        <v/>
      </c>
      <c r="Y102" s="9" t="str">
        <f aca="false">IF(OR(X102="",AO102="",L102=""),"",IF(AO102*L102+IF(O102="",0,O102)&lt;=0,"",X102/(AO102*L102+IF(O102="",0,O102))))</f>
        <v/>
      </c>
      <c r="Z102" s="9" t="str">
        <f aca="false">IF(OR(AE102="",多次统计数据!$B$8=""),"",AE102-多次统计数据!$B$8)</f>
        <v/>
      </c>
      <c r="AA102" s="12" t="str">
        <f aca="false">IF(OR(I102="",M102="",M102&lt;I102),"",M102-I102)</f>
        <v/>
      </c>
      <c r="AB102" s="9" t="str">
        <f aca="false">IF(OR(A102="",多次统计数据!$B$8="",多次统计数据!$B$6&lt;=0,多次统计数据!$B$6&gt;=1),"",1-POWER(1+多次统计数据!$B$8,-多次统计数据!$B$6/(1-多次统计数据!$B$6)))</f>
        <v/>
      </c>
      <c r="AC102" s="7" t="str">
        <f aca="false">IF(OR(AB102="",多次统计数据!$B$9=""),"",IF(多次统计数据!$B$9&lt;AB102,"低于上限","达到或超过上限"))</f>
        <v/>
      </c>
      <c r="AD102" s="4"/>
      <c r="AE102" s="9" t="str">
        <f aca="false">IF(OR(X102="",C102="",C102&lt;=0),"",X102/C102)</f>
        <v/>
      </c>
      <c r="AG102" s="4"/>
      <c r="AH102" s="4"/>
      <c r="AI102" s="4"/>
      <c r="AJ102" s="7" t="str">
        <f aca="false">IF(OR(AG102="",AH102=""),"",IF(OR(AND(AG102="短期博反弹",OR(AH102="1～3个交易日",AH102="4～10个交易日")),AND(AG102="突破冲新高",OR(AH102="4～10个交易日",AH102="11～20个交易日")),AND(AG102="趋势波段",OR(AH102="11～20个交易日",AH102="21～60个交易日",AH102="60个交易日以上"))),"匹配","周期与交易预期不匹配，请重新确认"))</f>
        <v/>
      </c>
      <c r="AK102" s="13" t="str">
        <f aca="false">IF(A102="","",COUNTIFS(加仓管理!$A$2:$A$1001,A102,加仓管理!$G$2:$G$1001,"&gt;0"))</f>
        <v/>
      </c>
      <c r="AL102" s="13" t="str">
        <f aca="false">IF(A102="","",SUMIFS(加仓管理!$G$2:$G$1001,加仓管理!$A$2:$A$1001,A102))</f>
        <v/>
      </c>
      <c r="AM102" s="14" t="str">
        <f aca="false">IF(AK102=0,"",IFERROR(LOOKUP(2,1/((加仓管理!$A$2:$A$1001=A102)*(加仓管理!$G$2:$G$1001&gt;0)),加仓管理!$D$2:$D$1001),""))</f>
        <v/>
      </c>
      <c r="AN102" s="14" t="str">
        <f aca="false">IF(AK102=0,"",IFERROR(LOOKUP(2,1/((加仓管理!$A$2:$A$1001=A102)*(加仓管理!$G$2:$G$1001&gt;0)),加仓管理!$E$2:$E$1001),""))</f>
        <v/>
      </c>
      <c r="AO102" s="14" t="str">
        <f aca="false">IF(OR(A102="",H102="",H102&lt;=0),"",(E102*H102+SUMIFS(加仓管理!$H$2:$H$1001,加仓管理!$A$2:$A$1001,A102))/AP102)</f>
        <v/>
      </c>
      <c r="AP102" s="13" t="str">
        <f aca="false">IF(OR(A102="",H102="",H102&lt;=0),"",H102+AL102)</f>
        <v/>
      </c>
      <c r="AQ102" s="14" t="str">
        <f aca="false">IF(A102="","",IF(M102&lt;&gt;"",0,IF(OR(H102="",N102=""),"",MAX((E102*H102+SUMIFS(加仓管理!$H$2:$H$1001,加仓管理!$A$2:$A$1001,A102))-MAX(N102,AN102)*AP102,0))))</f>
        <v/>
      </c>
      <c r="AR102" s="15" t="str">
        <f aca="false">IF(A102="","",IF(OR(E102="",H102=""),"违规：首次买入价格或股数缺失",IF(COUNTIFS(加仓管理!$A$2:$A$1001,A102,加仓管理!$R$2:$R$1001,"违规*")&gt;0,"违规：请检查加仓管理表",IF(SUM($AQ$2:$AQ$201)&gt;账户数据!$B$7,"预警：超过账户风险上限",IF(COUNTIFS(加仓管理!$A$2:$A$1001,A102,加仓管理!$N$2:$N$1001,"&gt;0",加仓管理!$G$2:$G$1001,"")&gt;0,"提示：存在待执行加仓计划","通过")))))</f>
        <v/>
      </c>
    </row>
    <row r="103" customFormat="false" ht="13.5" hidden="false" customHeight="false" outlineLevel="0" collapsed="false">
      <c r="A103" s="4"/>
      <c r="B103" s="16"/>
      <c r="C103" s="5"/>
      <c r="D103" s="6"/>
      <c r="E103" s="5"/>
      <c r="F103" s="7" t="str">
        <f aca="false">IF(OR(C103="",D103="",E103="",N103="",C103&lt;=0,D103&lt;=0,E103&lt;=N103),"",ROUNDDOWN((C103*D103)/(E103-N103)/100,0)*100)</f>
        <v/>
      </c>
      <c r="G103" s="7" t="str">
        <f aca="false">IF(A103="","",IF(H103&lt;&gt;"","已开仓",IF(账户数据!$B$23="已锁仓","禁止开仓：连续亏损达到上限",IF(账户数据!$B$23="解锁信息不完整","禁止开仓：请完整填写解锁信息",IF(OR(F103="",E103="",N103="",E103&lt;=N103,账户数据!$B$7=""),"",IF(OR(AG103="",AH103="",AI103=""),"禁止开仓：交易预期未填写完整",IF(账户数据!$B$9+F103*(E103-N103)&gt;=账户数据!$B$7,"禁止开仓：风险额度不足",IF(AJ103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3" s="4"/>
      <c r="I103" s="8"/>
      <c r="J103" s="5"/>
      <c r="K103" s="5"/>
      <c r="L103" s="7" t="str">
        <f aca="false">IF(AP103="","",AP103)</f>
        <v/>
      </c>
      <c r="M103" s="8"/>
      <c r="N103" s="5"/>
      <c r="O103" s="5"/>
      <c r="P103" s="5"/>
      <c r="Q103" s="4"/>
      <c r="R103" s="4"/>
      <c r="S103" s="4"/>
      <c r="T103" s="4"/>
      <c r="U103" s="9" t="str">
        <f aca="false">IF(OR(AO103="",J103="",AO103&lt;=0),"",(J103-AO103)/AO103)</f>
        <v/>
      </c>
      <c r="V103" s="9" t="str">
        <f aca="false">IF(OR(AO103="",N103="",AO103&lt;=0),"",(AO103-N103)/AO103)</f>
        <v/>
      </c>
      <c r="W103" s="10" t="str">
        <f aca="false">IF(OR(U103="",V103="",V103&lt;=0),"",U103/V103)</f>
        <v/>
      </c>
      <c r="X103" s="11" t="str">
        <f aca="false">IF(OR(K103="",L103="",AO103="",AP103=""),"",(K103-AO103)*L103-IF(O103="",0,O103)-IF(P103="",0,P103))</f>
        <v/>
      </c>
      <c r="Y103" s="9" t="str">
        <f aca="false">IF(OR(X103="",AO103="",L103=""),"",IF(AO103*L103+IF(O103="",0,O103)&lt;=0,"",X103/(AO103*L103+IF(O103="",0,O103))))</f>
        <v/>
      </c>
      <c r="Z103" s="9" t="str">
        <f aca="false">IF(OR(AE103="",多次统计数据!$B$8=""),"",AE103-多次统计数据!$B$8)</f>
        <v/>
      </c>
      <c r="AA103" s="12" t="str">
        <f aca="false">IF(OR(I103="",M103="",M103&lt;I103),"",M103-I103)</f>
        <v/>
      </c>
      <c r="AB103" s="9" t="str">
        <f aca="false">IF(OR(A103="",多次统计数据!$B$8="",多次统计数据!$B$6&lt;=0,多次统计数据!$B$6&gt;=1),"",1-POWER(1+多次统计数据!$B$8,-多次统计数据!$B$6/(1-多次统计数据!$B$6)))</f>
        <v/>
      </c>
      <c r="AC103" s="7" t="str">
        <f aca="false">IF(OR(AB103="",多次统计数据!$B$9=""),"",IF(多次统计数据!$B$9&lt;AB103,"低于上限","达到或超过上限"))</f>
        <v/>
      </c>
      <c r="AD103" s="4"/>
      <c r="AE103" s="9" t="str">
        <f aca="false">IF(OR(X103="",C103="",C103&lt;=0),"",X103/C103)</f>
        <v/>
      </c>
      <c r="AG103" s="4"/>
      <c r="AH103" s="4"/>
      <c r="AI103" s="4"/>
      <c r="AJ103" s="7" t="str">
        <f aca="false">IF(OR(AG103="",AH103=""),"",IF(OR(AND(AG103="短期博反弹",OR(AH103="1～3个交易日",AH103="4～10个交易日")),AND(AG103="突破冲新高",OR(AH103="4～10个交易日",AH103="11～20个交易日")),AND(AG103="趋势波段",OR(AH103="11～20个交易日",AH103="21～60个交易日",AH103="60个交易日以上"))),"匹配","周期与交易预期不匹配，请重新确认"))</f>
        <v/>
      </c>
      <c r="AK103" s="13" t="str">
        <f aca="false">IF(A103="","",COUNTIFS(加仓管理!$A$2:$A$1001,A103,加仓管理!$G$2:$G$1001,"&gt;0"))</f>
        <v/>
      </c>
      <c r="AL103" s="13" t="str">
        <f aca="false">IF(A103="","",SUMIFS(加仓管理!$G$2:$G$1001,加仓管理!$A$2:$A$1001,A103))</f>
        <v/>
      </c>
      <c r="AM103" s="14" t="str">
        <f aca="false">IF(AK103=0,"",IFERROR(LOOKUP(2,1/((加仓管理!$A$2:$A$1001=A103)*(加仓管理!$G$2:$G$1001&gt;0)),加仓管理!$D$2:$D$1001),""))</f>
        <v/>
      </c>
      <c r="AN103" s="14" t="str">
        <f aca="false">IF(AK103=0,"",IFERROR(LOOKUP(2,1/((加仓管理!$A$2:$A$1001=A103)*(加仓管理!$G$2:$G$1001&gt;0)),加仓管理!$E$2:$E$1001),""))</f>
        <v/>
      </c>
      <c r="AO103" s="14" t="str">
        <f aca="false">IF(OR(A103="",H103="",H103&lt;=0),"",(E103*H103+SUMIFS(加仓管理!$H$2:$H$1001,加仓管理!$A$2:$A$1001,A103))/AP103)</f>
        <v/>
      </c>
      <c r="AP103" s="13" t="str">
        <f aca="false">IF(OR(A103="",H103="",H103&lt;=0),"",H103+AL103)</f>
        <v/>
      </c>
      <c r="AQ103" s="14" t="str">
        <f aca="false">IF(A103="","",IF(M103&lt;&gt;"",0,IF(OR(H103="",N103=""),"",MAX((E103*H103+SUMIFS(加仓管理!$H$2:$H$1001,加仓管理!$A$2:$A$1001,A103))-MAX(N103,AN103)*AP103,0))))</f>
        <v/>
      </c>
      <c r="AR103" s="15" t="str">
        <f aca="false">IF(A103="","",IF(OR(E103="",H103=""),"违规：首次买入价格或股数缺失",IF(COUNTIFS(加仓管理!$A$2:$A$1001,A103,加仓管理!$R$2:$R$1001,"违规*")&gt;0,"违规：请检查加仓管理表",IF(SUM($AQ$2:$AQ$201)&gt;账户数据!$B$7,"预警：超过账户风险上限",IF(COUNTIFS(加仓管理!$A$2:$A$1001,A103,加仓管理!$N$2:$N$1001,"&gt;0",加仓管理!$G$2:$G$1001,"")&gt;0,"提示：存在待执行加仓计划","通过")))))</f>
        <v/>
      </c>
    </row>
    <row r="104" customFormat="false" ht="27" hidden="false" customHeight="true" outlineLevel="0" collapsed="false">
      <c r="A104" s="4"/>
      <c r="B104" s="16"/>
      <c r="C104" s="5"/>
      <c r="D104" s="6"/>
      <c r="E104" s="5"/>
      <c r="F104" s="7" t="str">
        <f aca="false">IF(OR(C104="",D104="",E104="",N104="",C104&lt;=0,D104&lt;=0,E104&lt;=N104),"",ROUNDDOWN((C104*D104)/(E104-N104)/100,0)*100)</f>
        <v/>
      </c>
      <c r="G104" s="7" t="str">
        <f aca="false">IF(A104="","",IF(H104&lt;&gt;"","已开仓",IF(账户数据!$B$23="已锁仓","禁止开仓：连续亏损达到上限",IF(账户数据!$B$23="解锁信息不完整","禁止开仓：请完整填写解锁信息",IF(OR(F104="",E104="",N104="",E104&lt;=N104,账户数据!$B$7=""),"",IF(OR(AG104="",AH104="",AI104=""),"禁止开仓：交易预期未填写完整",IF(账户数据!$B$9+F104*(E104-N104)&gt;=账户数据!$B$7,"禁止开仓：风险额度不足",IF(AJ104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4" s="4"/>
      <c r="I104" s="8"/>
      <c r="J104" s="5"/>
      <c r="K104" s="11"/>
      <c r="L104" s="7" t="str">
        <f aca="false">IF(AP104="","",AP104)</f>
        <v/>
      </c>
      <c r="M104" s="19"/>
      <c r="N104" s="5"/>
      <c r="O104" s="5"/>
      <c r="P104" s="11"/>
      <c r="Q104" s="4"/>
      <c r="R104" s="4"/>
      <c r="S104" s="4"/>
      <c r="T104" s="4"/>
      <c r="U104" s="9" t="str">
        <f aca="false">IF(OR(AO104="",J104="",AO104&lt;=0),"",(J104-AO104)/AO104)</f>
        <v/>
      </c>
      <c r="V104" s="9" t="str">
        <f aca="false">IF(OR(AO104="",N104="",AO104&lt;=0),"",(AO104-N104)/AO104)</f>
        <v/>
      </c>
      <c r="W104" s="10" t="str">
        <f aca="false">IF(OR(U104="",V104="",V104&lt;=0),"",U104/V104)</f>
        <v/>
      </c>
      <c r="X104" s="11" t="str">
        <f aca="false">IF(OR(K104="",L104="",AO104="",AP104=""),"",(K104-AO104)*L104-IF(O104="",0,O104)-IF(P104="",0,P104))</f>
        <v/>
      </c>
      <c r="Y104" s="9" t="str">
        <f aca="false">IF(OR(X104="",AO104="",L104=""),"",IF(AO104*L104+IF(O104="",0,O104)&lt;=0,"",X104/(AO104*L104+IF(O104="",0,O104))))</f>
        <v/>
      </c>
      <c r="Z104" s="9" t="str">
        <f aca="false">IF(OR(AE104="",多次统计数据!$B$8=""),"",AE104-多次统计数据!$B$8)</f>
        <v/>
      </c>
      <c r="AA104" s="12" t="str">
        <f aca="false">IF(OR(I104="",M104="",M104&lt;I104),"",M104-I104)</f>
        <v/>
      </c>
      <c r="AB104" s="9" t="str">
        <f aca="false">IF(OR(A104="",多次统计数据!$B$8="",多次统计数据!$B$6&lt;=0,多次统计数据!$B$6&gt;=1),"",1-POWER(1+多次统计数据!$B$8,-多次统计数据!$B$6/(1-多次统计数据!$B$6)))</f>
        <v/>
      </c>
      <c r="AC104" s="7" t="str">
        <f aca="false">IF(OR(AB104="",多次统计数据!$B$9=""),"",IF(多次统计数据!$B$9&lt;AB104,"低于上限","达到或超过上限"))</f>
        <v/>
      </c>
      <c r="AD104" s="4"/>
      <c r="AE104" s="9" t="str">
        <f aca="false">IF(OR(X104="",C104="",C104&lt;=0),"",X104/C104)</f>
        <v/>
      </c>
      <c r="AF104" s="17"/>
      <c r="AG104" s="4"/>
      <c r="AH104" s="4"/>
      <c r="AI104" s="16"/>
      <c r="AJ104" s="7" t="str">
        <f aca="false">IF(OR(AG104="",AH104=""),"",IF(OR(AND(AG104="短期博反弹",OR(AH104="1～3个交易日",AH104="4～10个交易日")),AND(AG104="突破冲新高",OR(AH104="4～10个交易日",AH104="11～20个交易日")),AND(AG104="趋势波段",OR(AH104="11～20个交易日",AH104="21～60个交易日",AH104="60个交易日以上"))),"匹配","周期与交易预期不匹配，请重新确认"))</f>
        <v/>
      </c>
      <c r="AK104" s="13" t="str">
        <f aca="false">IF(A104="","",COUNTIFS(加仓管理!$A$2:$A$1001,A104,加仓管理!$G$2:$G$1001,"&gt;0"))</f>
        <v/>
      </c>
      <c r="AL104" s="13" t="str">
        <f aca="false">IF(A104="","",SUMIFS(加仓管理!$G$2:$G$1001,加仓管理!$A$2:$A$1001,A104))</f>
        <v/>
      </c>
      <c r="AM104" s="14" t="str">
        <f aca="false">IF(AK104=0,"",IFERROR(LOOKUP(2,1/((加仓管理!$A$2:$A$1001=A104)*(加仓管理!$G$2:$G$1001&gt;0)),加仓管理!$D$2:$D$1001),""))</f>
        <v/>
      </c>
      <c r="AN104" s="14" t="str">
        <f aca="false">IF(AK104=0,"",IFERROR(LOOKUP(2,1/((加仓管理!$A$2:$A$1001=A104)*(加仓管理!$G$2:$G$1001&gt;0)),加仓管理!$E$2:$E$1001),""))</f>
        <v/>
      </c>
      <c r="AO104" s="14" t="str">
        <f aca="false">IF(OR(A104="",H104="",H104&lt;=0),"",(E104*H104+SUMIFS(加仓管理!$H$2:$H$1001,加仓管理!$A$2:$A$1001,A104))/AP104)</f>
        <v/>
      </c>
      <c r="AP104" s="13" t="str">
        <f aca="false">IF(OR(A104="",H104="",H104&lt;=0),"",H104+AL104)</f>
        <v/>
      </c>
      <c r="AQ104" s="14" t="str">
        <f aca="false">IF(A104="","",IF(M104&lt;&gt;"",0,IF(OR(H104="",N104=""),"",MAX((E104*H104+SUMIFS(加仓管理!$H$2:$H$1001,加仓管理!$A$2:$A$1001,A104))-MAX(N104,AN104)*AP104,0))))</f>
        <v/>
      </c>
      <c r="AR104" s="15" t="str">
        <f aca="false">IF(A104="","",IF(OR(E104="",H104=""),"违规：首次买入价格或股数缺失",IF(COUNTIFS(加仓管理!$A$2:$A$1001,A104,加仓管理!$R$2:$R$1001,"违规*")&gt;0,"违规：请检查加仓管理表",IF(SUM($AQ$2:$AQ$201)&gt;账户数据!$B$7,"预警：超过账户风险上限",IF(COUNTIFS(加仓管理!$A$2:$A$1001,A104,加仓管理!$N$2:$N$1001,"&gt;0",加仓管理!$G$2:$G$1001,"")&gt;0,"提示：存在待执行加仓计划","通过")))))</f>
        <v/>
      </c>
    </row>
    <row r="105" customFormat="false" ht="13.5" hidden="false" customHeight="false" outlineLevel="0" collapsed="false">
      <c r="A105" s="4"/>
      <c r="B105" s="16"/>
      <c r="C105" s="5"/>
      <c r="D105" s="6"/>
      <c r="E105" s="5"/>
      <c r="F105" s="7" t="str">
        <f aca="false">IF(OR(C105="",D105="",E105="",N105="",C105&lt;=0,D105&lt;=0,E105&lt;=N105),"",ROUNDDOWN((C105*D105)/(E105-N105)/100,0)*100)</f>
        <v/>
      </c>
      <c r="G105" s="7" t="str">
        <f aca="false">IF(A105="","",IF(H105&lt;&gt;"","已开仓",IF(账户数据!$B$23="已锁仓","禁止开仓：连续亏损达到上限",IF(账户数据!$B$23="解锁信息不完整","禁止开仓：请完整填写解锁信息",IF(OR(F105="",E105="",N105="",E105&lt;=N105,账户数据!$B$7=""),"",IF(OR(AG105="",AH105="",AI105=""),"禁止开仓：交易预期未填写完整",IF(账户数据!$B$9+F105*(E105-N105)&gt;=账户数据!$B$7,"禁止开仓：风险额度不足",IF(AJ105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5" s="4"/>
      <c r="I105" s="8"/>
      <c r="J105" s="5"/>
      <c r="K105" s="11"/>
      <c r="L105" s="7" t="str">
        <f aca="false">IF(AP105="","",AP105)</f>
        <v/>
      </c>
      <c r="M105" s="19"/>
      <c r="N105" s="5"/>
      <c r="O105" s="5"/>
      <c r="P105" s="11"/>
      <c r="Q105" s="4"/>
      <c r="R105" s="4"/>
      <c r="S105" s="4"/>
      <c r="T105" s="4"/>
      <c r="U105" s="9" t="str">
        <f aca="false">IF(OR(AO105="",J105="",AO105&lt;=0),"",(J105-AO105)/AO105)</f>
        <v/>
      </c>
      <c r="V105" s="9" t="str">
        <f aca="false">IF(OR(AO105="",N105="",AO105&lt;=0),"",(AO105-N105)/AO105)</f>
        <v/>
      </c>
      <c r="W105" s="10" t="str">
        <f aca="false">IF(OR(U105="",V105="",V105&lt;=0),"",U105/V105)</f>
        <v/>
      </c>
      <c r="X105" s="11" t="str">
        <f aca="false">IF(OR(K105="",L105="",AO105="",AP105=""),"",(K105-AO105)*L105-IF(O105="",0,O105)-IF(P105="",0,P105))</f>
        <v/>
      </c>
      <c r="Y105" s="9" t="str">
        <f aca="false">IF(OR(X105="",AO105="",L105=""),"",IF(AO105*L105+IF(O105="",0,O105)&lt;=0,"",X105/(AO105*L105+IF(O105="",0,O105))))</f>
        <v/>
      </c>
      <c r="Z105" s="9" t="str">
        <f aca="false">IF(OR(AE105="",多次统计数据!$B$8=""),"",AE105-多次统计数据!$B$8)</f>
        <v/>
      </c>
      <c r="AA105" s="12" t="str">
        <f aca="false">IF(OR(I105="",M105="",M105&lt;I105),"",M105-I105)</f>
        <v/>
      </c>
      <c r="AB105" s="9" t="str">
        <f aca="false">IF(OR(A105="",多次统计数据!$B$8="",多次统计数据!$B$6&lt;=0,多次统计数据!$B$6&gt;=1),"",1-POWER(1+多次统计数据!$B$8,-多次统计数据!$B$6/(1-多次统计数据!$B$6)))</f>
        <v/>
      </c>
      <c r="AC105" s="7" t="str">
        <f aca="false">IF(OR(AB105="",多次统计数据!$B$9=""),"",IF(多次统计数据!$B$9&lt;AB105,"低于上限","达到或超过上限"))</f>
        <v/>
      </c>
      <c r="AD105" s="4"/>
      <c r="AE105" s="9" t="str">
        <f aca="false">IF(OR(X105="",C105="",C105&lt;=0),"",X105/C105)</f>
        <v/>
      </c>
      <c r="AG105" s="4"/>
      <c r="AH105" s="4"/>
      <c r="AI105" s="16"/>
      <c r="AJ105" s="7" t="str">
        <f aca="false">IF(OR(AG105="",AH105=""),"",IF(OR(AND(AG105="短期博反弹",OR(AH105="1～3个交易日",AH105="4～10个交易日")),AND(AG105="突破冲新高",OR(AH105="4～10个交易日",AH105="11～20个交易日")),AND(AG105="趋势波段",OR(AH105="11～20个交易日",AH105="21～60个交易日",AH105="60个交易日以上"))),"匹配","周期与交易预期不匹配，请重新确认"))</f>
        <v/>
      </c>
      <c r="AK105" s="13" t="str">
        <f aca="false">IF(A105="","",COUNTIFS(加仓管理!$A$2:$A$1001,A105,加仓管理!$G$2:$G$1001,"&gt;0"))</f>
        <v/>
      </c>
      <c r="AL105" s="13" t="str">
        <f aca="false">IF(A105="","",SUMIFS(加仓管理!$G$2:$G$1001,加仓管理!$A$2:$A$1001,A105))</f>
        <v/>
      </c>
      <c r="AM105" s="14" t="str">
        <f aca="false">IF(AK105=0,"",IFERROR(LOOKUP(2,1/((加仓管理!$A$2:$A$1001=A105)*(加仓管理!$G$2:$G$1001&gt;0)),加仓管理!$D$2:$D$1001),""))</f>
        <v/>
      </c>
      <c r="AN105" s="14" t="str">
        <f aca="false">IF(AK105=0,"",IFERROR(LOOKUP(2,1/((加仓管理!$A$2:$A$1001=A105)*(加仓管理!$G$2:$G$1001&gt;0)),加仓管理!$E$2:$E$1001),""))</f>
        <v/>
      </c>
      <c r="AO105" s="14" t="str">
        <f aca="false">IF(OR(A105="",H105="",H105&lt;=0),"",(E105*H105+SUMIFS(加仓管理!$H$2:$H$1001,加仓管理!$A$2:$A$1001,A105))/AP105)</f>
        <v/>
      </c>
      <c r="AP105" s="13" t="str">
        <f aca="false">IF(OR(A105="",H105="",H105&lt;=0),"",H105+AL105)</f>
        <v/>
      </c>
      <c r="AQ105" s="14" t="str">
        <f aca="false">IF(A105="","",IF(M105&lt;&gt;"",0,IF(OR(H105="",N105=""),"",MAX((E105*H105+SUMIFS(加仓管理!$H$2:$H$1001,加仓管理!$A$2:$A$1001,A105))-MAX(N105,AN105)*AP105,0))))</f>
        <v/>
      </c>
      <c r="AR105" s="15" t="str">
        <f aca="false">IF(A105="","",IF(OR(E105="",H105=""),"违规：首次买入价格或股数缺失",IF(COUNTIFS(加仓管理!$A$2:$A$1001,A105,加仓管理!$R$2:$R$1001,"违规*")&gt;0,"违规：请检查加仓管理表",IF(SUM($AQ$2:$AQ$201)&gt;账户数据!$B$7,"预警：超过账户风险上限",IF(COUNTIFS(加仓管理!$A$2:$A$1001,A105,加仓管理!$N$2:$N$1001,"&gt;0",加仓管理!$G$2:$G$1001,"")&gt;0,"提示：存在待执行加仓计划","通过")))))</f>
        <v/>
      </c>
    </row>
    <row r="106" customFormat="false" ht="27" hidden="false" customHeight="true" outlineLevel="0" collapsed="false">
      <c r="A106" s="4"/>
      <c r="B106" s="16"/>
      <c r="C106" s="5"/>
      <c r="D106" s="6"/>
      <c r="E106" s="5"/>
      <c r="F106" s="7" t="str">
        <f aca="false">IF(OR(C106="",D106="",E106="",N106="",C106&lt;=0,D106&lt;=0,E106&lt;=N106),"",ROUNDDOWN((C106*D106)/(E106-N106)/100,0)*100)</f>
        <v/>
      </c>
      <c r="G106" s="7" t="str">
        <f aca="false">IF(A106="","",IF(H106&lt;&gt;"","已开仓",IF(账户数据!$B$23="已锁仓","禁止开仓：连续亏损达到上限",IF(账户数据!$B$23="解锁信息不完整","禁止开仓：请完整填写解锁信息",IF(OR(F106="",E106="",N106="",E106&lt;=N106,账户数据!$B$7=""),"",IF(OR(AG106="",AH106="",AI106=""),"禁止开仓：交易预期未填写完整",IF(账户数据!$B$9+F106*(E106-N106)&gt;=账户数据!$B$7,"禁止开仓：风险额度不足",IF(AJ106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6" s="4"/>
      <c r="I106" s="8"/>
      <c r="J106" s="5"/>
      <c r="K106" s="11"/>
      <c r="L106" s="7" t="str">
        <f aca="false">IF(AP106="","",AP106)</f>
        <v/>
      </c>
      <c r="M106" s="19"/>
      <c r="N106" s="5"/>
      <c r="O106" s="5"/>
      <c r="P106" s="11"/>
      <c r="Q106" s="4"/>
      <c r="R106" s="4"/>
      <c r="S106" s="4"/>
      <c r="T106" s="4"/>
      <c r="U106" s="9" t="str">
        <f aca="false">IF(OR(AO106="",J106="",AO106&lt;=0),"",(J106-AO106)/AO106)</f>
        <v/>
      </c>
      <c r="V106" s="9" t="str">
        <f aca="false">IF(OR(AO106="",N106="",AO106&lt;=0),"",(AO106-N106)/AO106)</f>
        <v/>
      </c>
      <c r="W106" s="10" t="str">
        <f aca="false">IF(OR(U106="",V106="",V106&lt;=0),"",U106/V106)</f>
        <v/>
      </c>
      <c r="X106" s="11" t="str">
        <f aca="false">IF(OR(K106="",L106="",AO106="",AP106=""),"",(K106-AO106)*L106-IF(O106="",0,O106)-IF(P106="",0,P106))</f>
        <v/>
      </c>
      <c r="Y106" s="9" t="str">
        <f aca="false">IF(OR(X106="",AO106="",L106=""),"",IF(AO106*L106+IF(O106="",0,O106)&lt;=0,"",X106/(AO106*L106+IF(O106="",0,O106))))</f>
        <v/>
      </c>
      <c r="Z106" s="9" t="str">
        <f aca="false">IF(OR(AE106="",多次统计数据!$B$8=""),"",AE106-多次统计数据!$B$8)</f>
        <v/>
      </c>
      <c r="AA106" s="12" t="str">
        <f aca="false">IF(OR(I106="",M106="",M106&lt;I106),"",M106-I106)</f>
        <v/>
      </c>
      <c r="AB106" s="9" t="str">
        <f aca="false">IF(OR(A106="",多次统计数据!$B$8="",多次统计数据!$B$6&lt;=0,多次统计数据!$B$6&gt;=1),"",1-POWER(1+多次统计数据!$B$8,-多次统计数据!$B$6/(1-多次统计数据!$B$6)))</f>
        <v/>
      </c>
      <c r="AC106" s="7" t="str">
        <f aca="false">IF(OR(AB106="",多次统计数据!$B$9=""),"",IF(多次统计数据!$B$9&lt;AB106,"低于上限","达到或超过上限"))</f>
        <v/>
      </c>
      <c r="AD106" s="4"/>
      <c r="AE106" s="9" t="str">
        <f aca="false">IF(OR(X106="",C106="",C106&lt;=0),"",X106/C106)</f>
        <v/>
      </c>
      <c r="AG106" s="4"/>
      <c r="AH106" s="4"/>
      <c r="AI106" s="4"/>
      <c r="AJ106" s="7" t="str">
        <f aca="false">IF(OR(AG106="",AH106=""),"",IF(OR(AND(AG106="短期博反弹",OR(AH106="1～3个交易日",AH106="4～10个交易日")),AND(AG106="突破冲新高",OR(AH106="4～10个交易日",AH106="11～20个交易日")),AND(AG106="趋势波段",OR(AH106="11～20个交易日",AH106="21～60个交易日",AH106="60个交易日以上"))),"匹配","周期与交易预期不匹配，请重新确认"))</f>
        <v/>
      </c>
      <c r="AK106" s="13" t="str">
        <f aca="false">IF(A106="","",COUNTIFS(加仓管理!$A$2:$A$1001,A106,加仓管理!$G$2:$G$1001,"&gt;0"))</f>
        <v/>
      </c>
      <c r="AL106" s="13" t="str">
        <f aca="false">IF(A106="","",SUMIFS(加仓管理!$G$2:$G$1001,加仓管理!$A$2:$A$1001,A106))</f>
        <v/>
      </c>
      <c r="AM106" s="14" t="str">
        <f aca="false">IF(AK106=0,"",IFERROR(LOOKUP(2,1/((加仓管理!$A$2:$A$1001=A106)*(加仓管理!$G$2:$G$1001&gt;0)),加仓管理!$D$2:$D$1001),""))</f>
        <v/>
      </c>
      <c r="AN106" s="14" t="str">
        <f aca="false">IF(AK106=0,"",IFERROR(LOOKUP(2,1/((加仓管理!$A$2:$A$1001=A106)*(加仓管理!$G$2:$G$1001&gt;0)),加仓管理!$E$2:$E$1001),""))</f>
        <v/>
      </c>
      <c r="AO106" s="14" t="str">
        <f aca="false">IF(OR(A106="",H106="",H106&lt;=0),"",(E106*H106+SUMIFS(加仓管理!$H$2:$H$1001,加仓管理!$A$2:$A$1001,A106))/AP106)</f>
        <v/>
      </c>
      <c r="AP106" s="13" t="str">
        <f aca="false">IF(OR(A106="",H106="",H106&lt;=0),"",H106+AL106)</f>
        <v/>
      </c>
      <c r="AQ106" s="14" t="str">
        <f aca="false">IF(A106="","",IF(M106&lt;&gt;"",0,IF(OR(H106="",N106=""),"",MAX((E106*H106+SUMIFS(加仓管理!$H$2:$H$1001,加仓管理!$A$2:$A$1001,A106))-MAX(N106,AN106)*AP106,0))))</f>
        <v/>
      </c>
      <c r="AR106" s="15" t="str">
        <f aca="false">IF(A106="","",IF(OR(E106="",H106=""),"违规：首次买入价格或股数缺失",IF(COUNTIFS(加仓管理!$A$2:$A$1001,A106,加仓管理!$R$2:$R$1001,"违规*")&gt;0,"违规：请检查加仓管理表",IF(SUM($AQ$2:$AQ$201)&gt;账户数据!$B$7,"预警：超过账户风险上限",IF(COUNTIFS(加仓管理!$A$2:$A$1001,A106,加仓管理!$N$2:$N$1001,"&gt;0",加仓管理!$G$2:$G$1001,"")&gt;0,"提示：存在待执行加仓计划","通过")))))</f>
        <v/>
      </c>
    </row>
    <row r="107" customFormat="false" ht="13.5" hidden="false" customHeight="false" outlineLevel="0" collapsed="false">
      <c r="A107" s="4"/>
      <c r="B107" s="16"/>
      <c r="C107" s="5"/>
      <c r="D107" s="6"/>
      <c r="E107" s="5"/>
      <c r="F107" s="7" t="str">
        <f aca="false">IF(OR(C107="",D107="",E107="",N107="",C107&lt;=0,D107&lt;=0,E107&lt;=N107),"",ROUNDDOWN((C107*D107)/(E107-N107)/100,0)*100)</f>
        <v/>
      </c>
      <c r="G107" s="7" t="str">
        <f aca="false">IF(A107="","",IF(H107&lt;&gt;"","已开仓",IF(账户数据!$B$23="已锁仓","禁止开仓：连续亏损达到上限",IF(账户数据!$B$23="解锁信息不完整","禁止开仓：请完整填写解锁信息",IF(OR(F107="",E107="",N107="",E107&lt;=N107,账户数据!$B$7=""),"",IF(OR(AG107="",AH107="",AI107=""),"禁止开仓：交易预期未填写完整",IF(账户数据!$B$9+F107*(E107-N107)&gt;=账户数据!$B$7,"禁止开仓：风险额度不足",IF(AJ107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7" s="4"/>
      <c r="I107" s="8"/>
      <c r="J107" s="5"/>
      <c r="K107" s="11"/>
      <c r="L107" s="7" t="str">
        <f aca="false">IF(AP107="","",AP107)</f>
        <v/>
      </c>
      <c r="M107" s="19"/>
      <c r="N107" s="5"/>
      <c r="O107" s="5"/>
      <c r="P107" s="11"/>
      <c r="Q107" s="4"/>
      <c r="R107" s="4"/>
      <c r="S107" s="4"/>
      <c r="T107" s="4"/>
      <c r="U107" s="9" t="str">
        <f aca="false">IF(OR(AO107="",J107="",AO107&lt;=0),"",(J107-AO107)/AO107)</f>
        <v/>
      </c>
      <c r="V107" s="9" t="str">
        <f aca="false">IF(OR(AO107="",N107="",AO107&lt;=0),"",(AO107-N107)/AO107)</f>
        <v/>
      </c>
      <c r="W107" s="10" t="str">
        <f aca="false">IF(OR(U107="",V107="",V107&lt;=0),"",U107/V107)</f>
        <v/>
      </c>
      <c r="X107" s="11" t="str">
        <f aca="false">IF(OR(K107="",L107="",AO107="",AP107=""),"",(K107-AO107)*L107-IF(O107="",0,O107)-IF(P107="",0,P107))</f>
        <v/>
      </c>
      <c r="Y107" s="9" t="str">
        <f aca="false">IF(OR(X107="",AO107="",L107=""),"",IF(AO107*L107+IF(O107="",0,O107)&lt;=0,"",X107/(AO107*L107+IF(O107="",0,O107))))</f>
        <v/>
      </c>
      <c r="Z107" s="9" t="str">
        <f aca="false">IF(OR(AE107="",多次统计数据!$B$8=""),"",AE107-多次统计数据!$B$8)</f>
        <v/>
      </c>
      <c r="AA107" s="12" t="str">
        <f aca="false">IF(OR(I107="",M107="",M107&lt;I107),"",M107-I107)</f>
        <v/>
      </c>
      <c r="AB107" s="9" t="str">
        <f aca="false">IF(OR(A107="",多次统计数据!$B$8="",多次统计数据!$B$6&lt;=0,多次统计数据!$B$6&gt;=1),"",1-POWER(1+多次统计数据!$B$8,-多次统计数据!$B$6/(1-多次统计数据!$B$6)))</f>
        <v/>
      </c>
      <c r="AC107" s="7" t="str">
        <f aca="false">IF(OR(AB107="",多次统计数据!$B$9=""),"",IF(多次统计数据!$B$9&lt;AB107,"低于上限","达到或超过上限"))</f>
        <v/>
      </c>
      <c r="AD107" s="4"/>
      <c r="AE107" s="9" t="str">
        <f aca="false">IF(OR(X107="",C107="",C107&lt;=0),"",X107/C107)</f>
        <v/>
      </c>
      <c r="AG107" s="4"/>
      <c r="AH107" s="4"/>
      <c r="AI107" s="4"/>
      <c r="AJ107" s="7" t="str">
        <f aca="false">IF(OR(AG107="",AH107=""),"",IF(OR(AND(AG107="短期博反弹",OR(AH107="1～3个交易日",AH107="4～10个交易日")),AND(AG107="突破冲新高",OR(AH107="4～10个交易日",AH107="11～20个交易日")),AND(AG107="趋势波段",OR(AH107="11～20个交易日",AH107="21～60个交易日",AH107="60个交易日以上"))),"匹配","周期与交易预期不匹配，请重新确认"))</f>
        <v/>
      </c>
      <c r="AK107" s="13" t="str">
        <f aca="false">IF(A107="","",COUNTIFS(加仓管理!$A$2:$A$1001,A107,加仓管理!$G$2:$G$1001,"&gt;0"))</f>
        <v/>
      </c>
      <c r="AL107" s="13" t="str">
        <f aca="false">IF(A107="","",SUMIFS(加仓管理!$G$2:$G$1001,加仓管理!$A$2:$A$1001,A107))</f>
        <v/>
      </c>
      <c r="AM107" s="14" t="str">
        <f aca="false">IF(AK107=0,"",IFERROR(LOOKUP(2,1/((加仓管理!$A$2:$A$1001=A107)*(加仓管理!$G$2:$G$1001&gt;0)),加仓管理!$D$2:$D$1001),""))</f>
        <v/>
      </c>
      <c r="AN107" s="14" t="str">
        <f aca="false">IF(AK107=0,"",IFERROR(LOOKUP(2,1/((加仓管理!$A$2:$A$1001=A107)*(加仓管理!$G$2:$G$1001&gt;0)),加仓管理!$E$2:$E$1001),""))</f>
        <v/>
      </c>
      <c r="AO107" s="14" t="str">
        <f aca="false">IF(OR(A107="",H107="",H107&lt;=0),"",(E107*H107+SUMIFS(加仓管理!$H$2:$H$1001,加仓管理!$A$2:$A$1001,A107))/AP107)</f>
        <v/>
      </c>
      <c r="AP107" s="13" t="str">
        <f aca="false">IF(OR(A107="",H107="",H107&lt;=0),"",H107+AL107)</f>
        <v/>
      </c>
      <c r="AQ107" s="14" t="str">
        <f aca="false">IF(A107="","",IF(M107&lt;&gt;"",0,IF(OR(H107="",N107=""),"",MAX((E107*H107+SUMIFS(加仓管理!$H$2:$H$1001,加仓管理!$A$2:$A$1001,A107))-MAX(N107,AN107)*AP107,0))))</f>
        <v/>
      </c>
      <c r="AR107" s="15" t="str">
        <f aca="false">IF(A107="","",IF(OR(E107="",H107=""),"违规：首次买入价格或股数缺失",IF(COUNTIFS(加仓管理!$A$2:$A$1001,A107,加仓管理!$R$2:$R$1001,"违规*")&gt;0,"违规：请检查加仓管理表",IF(SUM($AQ$2:$AQ$201)&gt;账户数据!$B$7,"预警：超过账户风险上限",IF(COUNTIFS(加仓管理!$A$2:$A$1001,A107,加仓管理!$N$2:$N$1001,"&gt;0",加仓管理!$G$2:$G$1001,"")&gt;0,"提示：存在待执行加仓计划","通过")))))</f>
        <v/>
      </c>
    </row>
    <row r="108" customFormat="false" ht="13.5" hidden="false" customHeight="false" outlineLevel="0" collapsed="false">
      <c r="A108" s="4"/>
      <c r="B108" s="4"/>
      <c r="C108" s="5"/>
      <c r="D108" s="6"/>
      <c r="E108" s="5"/>
      <c r="F108" s="7" t="str">
        <f aca="false">IF(OR(C108="",D108="",E108="",N108="",C108&lt;=0,D108&lt;=0,E108&lt;=N108),"",ROUNDDOWN((C108*D108)/(E108-N108)/100,0)*100)</f>
        <v/>
      </c>
      <c r="G108" s="7" t="str">
        <f aca="false">IF(A108="","",IF(H108&lt;&gt;"","已开仓",IF(账户数据!$B$23="已锁仓","禁止开仓：连续亏损达到上限",IF(账户数据!$B$23="解锁信息不完整","禁止开仓：请完整填写解锁信息",IF(OR(F108="",E108="",N108="",E108&lt;=N108,账户数据!$B$7=""),"",IF(OR(AG108="",AH108="",AI108=""),"禁止开仓：交易预期未填写完整",IF(账户数据!$B$9+F108*(E108-N108)&gt;=账户数据!$B$7,"禁止开仓：风险额度不足",IF(AJ108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8" s="4"/>
      <c r="I108" s="8"/>
      <c r="J108" s="5"/>
      <c r="K108" s="11"/>
      <c r="L108" s="7" t="str">
        <f aca="false">IF(AP108="","",AP108)</f>
        <v/>
      </c>
      <c r="M108" s="19"/>
      <c r="N108" s="5"/>
      <c r="O108" s="5"/>
      <c r="P108" s="11"/>
      <c r="Q108" s="4"/>
      <c r="R108" s="4"/>
      <c r="S108" s="4"/>
      <c r="T108" s="4"/>
      <c r="U108" s="9" t="str">
        <f aca="false">IF(OR(AO108="",J108="",AO108&lt;=0),"",(J108-AO108)/AO108)</f>
        <v/>
      </c>
      <c r="V108" s="9" t="str">
        <f aca="false">IF(OR(AO108="",N108="",AO108&lt;=0),"",(AO108-N108)/AO108)</f>
        <v/>
      </c>
      <c r="W108" s="10" t="str">
        <f aca="false">IF(OR(U108="",V108="",V108&lt;=0),"",U108/V108)</f>
        <v/>
      </c>
      <c r="X108" s="11" t="str">
        <f aca="false">IF(OR(K108="",L108="",AO108="",AP108=""),"",(K108-AO108)*L108-IF(O108="",0,O108)-IF(P108="",0,P108))</f>
        <v/>
      </c>
      <c r="Y108" s="9" t="str">
        <f aca="false">IF(OR(X108="",AO108="",L108=""),"",IF(AO108*L108+IF(O108="",0,O108)&lt;=0,"",X108/(AO108*L108+IF(O108="",0,O108))))</f>
        <v/>
      </c>
      <c r="Z108" s="9" t="str">
        <f aca="false">IF(OR(AE108="",多次统计数据!$B$8=""),"",AE108-多次统计数据!$B$8)</f>
        <v/>
      </c>
      <c r="AA108" s="12" t="str">
        <f aca="false">IF(OR(I108="",M108="",M108&lt;I108),"",M108-I108)</f>
        <v/>
      </c>
      <c r="AB108" s="9" t="str">
        <f aca="false">IF(OR(A108="",多次统计数据!$B$8="",多次统计数据!$B$6&lt;=0,多次统计数据!$B$6&gt;=1),"",1-POWER(1+多次统计数据!$B$8,-多次统计数据!$B$6/(1-多次统计数据!$B$6)))</f>
        <v/>
      </c>
      <c r="AC108" s="7" t="str">
        <f aca="false">IF(OR(AB108="",多次统计数据!$B$9=""),"",IF(多次统计数据!$B$9&lt;AB108,"低于上限","达到或超过上限"))</f>
        <v/>
      </c>
      <c r="AD108" s="4"/>
      <c r="AE108" s="9" t="str">
        <f aca="false">IF(OR(X108="",C108="",C108&lt;=0),"",X108/C108)</f>
        <v/>
      </c>
      <c r="AG108" s="4"/>
      <c r="AH108" s="4"/>
      <c r="AI108" s="4"/>
      <c r="AJ108" s="7" t="str">
        <f aca="false">IF(OR(AG108="",AH108=""),"",IF(OR(AND(AG108="短期博反弹",OR(AH108="1～3个交易日",AH108="4～10个交易日")),AND(AG108="突破冲新高",OR(AH108="4～10个交易日",AH108="11～20个交易日")),AND(AG108="趋势波段",OR(AH108="11～20个交易日",AH108="21～60个交易日",AH108="60个交易日以上"))),"匹配","周期与交易预期不匹配，请重新确认"))</f>
        <v/>
      </c>
      <c r="AK108" s="13" t="str">
        <f aca="false">IF(A108="","",COUNTIFS(加仓管理!$A$2:$A$1001,A108,加仓管理!$G$2:$G$1001,"&gt;0"))</f>
        <v/>
      </c>
      <c r="AL108" s="13" t="str">
        <f aca="false">IF(A108="","",SUMIFS(加仓管理!$G$2:$G$1001,加仓管理!$A$2:$A$1001,A108))</f>
        <v/>
      </c>
      <c r="AM108" s="14" t="str">
        <f aca="false">IF(AK108=0,"",IFERROR(LOOKUP(2,1/((加仓管理!$A$2:$A$1001=A108)*(加仓管理!$G$2:$G$1001&gt;0)),加仓管理!$D$2:$D$1001),""))</f>
        <v/>
      </c>
      <c r="AN108" s="14" t="str">
        <f aca="false">IF(AK108=0,"",IFERROR(LOOKUP(2,1/((加仓管理!$A$2:$A$1001=A108)*(加仓管理!$G$2:$G$1001&gt;0)),加仓管理!$E$2:$E$1001),""))</f>
        <v/>
      </c>
      <c r="AO108" s="14" t="str">
        <f aca="false">IF(OR(A108="",H108="",H108&lt;=0),"",(E108*H108+SUMIFS(加仓管理!$H$2:$H$1001,加仓管理!$A$2:$A$1001,A108))/AP108)</f>
        <v/>
      </c>
      <c r="AP108" s="13" t="str">
        <f aca="false">IF(OR(A108="",H108="",H108&lt;=0),"",H108+AL108)</f>
        <v/>
      </c>
      <c r="AQ108" s="14" t="str">
        <f aca="false">IF(A108="","",IF(M108&lt;&gt;"",0,IF(OR(H108="",N108=""),"",MAX((E108*H108+SUMIFS(加仓管理!$H$2:$H$1001,加仓管理!$A$2:$A$1001,A108))-MAX(N108,AN108)*AP108,0))))</f>
        <v/>
      </c>
      <c r="AR108" s="15" t="str">
        <f aca="false">IF(A108="","",IF(OR(E108="",H108=""),"违规：首次买入价格或股数缺失",IF(COUNTIFS(加仓管理!$A$2:$A$1001,A108,加仓管理!$R$2:$R$1001,"违规*")&gt;0,"违规：请检查加仓管理表",IF(SUM($AQ$2:$AQ$201)&gt;账户数据!$B$7,"预警：超过账户风险上限",IF(COUNTIFS(加仓管理!$A$2:$A$1001,A108,加仓管理!$N$2:$N$1001,"&gt;0",加仓管理!$G$2:$G$1001,"")&gt;0,"提示：存在待执行加仓计划","通过")))))</f>
        <v/>
      </c>
    </row>
    <row r="109" customFormat="false" ht="13.5" hidden="false" customHeight="false" outlineLevel="0" collapsed="false">
      <c r="A109" s="4"/>
      <c r="B109" s="4"/>
      <c r="C109" s="5"/>
      <c r="D109" s="6"/>
      <c r="E109" s="5"/>
      <c r="F109" s="7" t="str">
        <f aca="false">IF(OR(C109="",D109="",E109="",N109="",C109&lt;=0,D109&lt;=0,E109&lt;=N109),"",ROUNDDOWN((C109*D109)/(E109-N109)/100,0)*100)</f>
        <v/>
      </c>
      <c r="G109" s="7" t="str">
        <f aca="false">IF(A109="","",IF(H109&lt;&gt;"","已开仓",IF(账户数据!$B$23="已锁仓","禁止开仓：连续亏损达到上限",IF(账户数据!$B$23="解锁信息不完整","禁止开仓：请完整填写解锁信息",IF(OR(F109="",E109="",N109="",E109&lt;=N109,账户数据!$B$7=""),"",IF(OR(AG109="",AH109="",AI109=""),"禁止开仓：交易预期未填写完整",IF(账户数据!$B$9+F109*(E109-N109)&gt;=账户数据!$B$7,"禁止开仓：风险额度不足",IF(AJ109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9" s="4"/>
      <c r="I109" s="8"/>
      <c r="J109" s="5"/>
      <c r="K109" s="11"/>
      <c r="L109" s="7" t="str">
        <f aca="false">IF(AP109="","",AP109)</f>
        <v/>
      </c>
      <c r="M109" s="19"/>
      <c r="N109" s="5"/>
      <c r="O109" s="5"/>
      <c r="P109" s="11"/>
      <c r="Q109" s="4"/>
      <c r="R109" s="4"/>
      <c r="S109" s="4"/>
      <c r="T109" s="4"/>
      <c r="U109" s="9" t="str">
        <f aca="false">IF(OR(AO109="",J109="",AO109&lt;=0),"",(J109-AO109)/AO109)</f>
        <v/>
      </c>
      <c r="V109" s="9" t="str">
        <f aca="false">IF(OR(AO109="",N109="",AO109&lt;=0),"",(AO109-N109)/AO109)</f>
        <v/>
      </c>
      <c r="W109" s="10" t="str">
        <f aca="false">IF(OR(U109="",V109="",V109&lt;=0),"",U109/V109)</f>
        <v/>
      </c>
      <c r="X109" s="11" t="str">
        <f aca="false">IF(OR(K109="",L109="",AO109="",AP109=""),"",(K109-AO109)*L109-IF(O109="",0,O109)-IF(P109="",0,P109))</f>
        <v/>
      </c>
      <c r="Y109" s="9" t="str">
        <f aca="false">IF(OR(X109="",AO109="",L109=""),"",IF(AO109*L109+IF(O109="",0,O109)&lt;=0,"",X109/(AO109*L109+IF(O109="",0,O109))))</f>
        <v/>
      </c>
      <c r="Z109" s="9" t="str">
        <f aca="false">IF(OR(AE109="",多次统计数据!$B$8=""),"",AE109-多次统计数据!$B$8)</f>
        <v/>
      </c>
      <c r="AA109" s="12" t="str">
        <f aca="false">IF(OR(I109="",M109="",M109&lt;I109),"",M109-I109)</f>
        <v/>
      </c>
      <c r="AB109" s="9" t="str">
        <f aca="false">IF(OR(A109="",多次统计数据!$B$8="",多次统计数据!$B$6&lt;=0,多次统计数据!$B$6&gt;=1),"",1-POWER(1+多次统计数据!$B$8,-多次统计数据!$B$6/(1-多次统计数据!$B$6)))</f>
        <v/>
      </c>
      <c r="AC109" s="7" t="str">
        <f aca="false">IF(OR(AB109="",多次统计数据!$B$9=""),"",IF(多次统计数据!$B$9&lt;AB109,"低于上限","达到或超过上限"))</f>
        <v/>
      </c>
      <c r="AD109" s="4"/>
      <c r="AE109" s="9" t="str">
        <f aca="false">IF(OR(X109="",C109="",C109&lt;=0),"",X109/C109)</f>
        <v/>
      </c>
      <c r="AG109" s="4"/>
      <c r="AH109" s="4"/>
      <c r="AI109" s="4"/>
      <c r="AJ109" s="7" t="str">
        <f aca="false">IF(OR(AG109="",AH109=""),"",IF(OR(AND(AG109="短期博反弹",OR(AH109="1～3个交易日",AH109="4～10个交易日")),AND(AG109="突破冲新高",OR(AH109="4～10个交易日",AH109="11～20个交易日")),AND(AG109="趋势波段",OR(AH109="11～20个交易日",AH109="21～60个交易日",AH109="60个交易日以上"))),"匹配","周期与交易预期不匹配，请重新确认"))</f>
        <v/>
      </c>
      <c r="AK109" s="13" t="str">
        <f aca="false">IF(A109="","",COUNTIFS(加仓管理!$A$2:$A$1001,A109,加仓管理!$G$2:$G$1001,"&gt;0"))</f>
        <v/>
      </c>
      <c r="AL109" s="13" t="str">
        <f aca="false">IF(A109="","",SUMIFS(加仓管理!$G$2:$G$1001,加仓管理!$A$2:$A$1001,A109))</f>
        <v/>
      </c>
      <c r="AM109" s="14" t="str">
        <f aca="false">IF(AK109=0,"",IFERROR(LOOKUP(2,1/((加仓管理!$A$2:$A$1001=A109)*(加仓管理!$G$2:$G$1001&gt;0)),加仓管理!$D$2:$D$1001),""))</f>
        <v/>
      </c>
      <c r="AN109" s="14" t="str">
        <f aca="false">IF(AK109=0,"",IFERROR(LOOKUP(2,1/((加仓管理!$A$2:$A$1001=A109)*(加仓管理!$G$2:$G$1001&gt;0)),加仓管理!$E$2:$E$1001),""))</f>
        <v/>
      </c>
      <c r="AO109" s="14" t="str">
        <f aca="false">IF(OR(A109="",H109="",H109&lt;=0),"",(E109*H109+SUMIFS(加仓管理!$H$2:$H$1001,加仓管理!$A$2:$A$1001,A109))/AP109)</f>
        <v/>
      </c>
      <c r="AP109" s="13" t="str">
        <f aca="false">IF(OR(A109="",H109="",H109&lt;=0),"",H109+AL109)</f>
        <v/>
      </c>
      <c r="AQ109" s="14" t="str">
        <f aca="false">IF(A109="","",IF(M109&lt;&gt;"",0,IF(OR(H109="",N109=""),"",MAX((E109*H109+SUMIFS(加仓管理!$H$2:$H$1001,加仓管理!$A$2:$A$1001,A109))-MAX(N109,AN109)*AP109,0))))</f>
        <v/>
      </c>
      <c r="AR109" s="15" t="str">
        <f aca="false">IF(A109="","",IF(OR(E109="",H109=""),"违规：首次买入价格或股数缺失",IF(COUNTIFS(加仓管理!$A$2:$A$1001,A109,加仓管理!$R$2:$R$1001,"违规*")&gt;0,"违规：请检查加仓管理表",IF(SUM($AQ$2:$AQ$201)&gt;账户数据!$B$7,"预警：超过账户风险上限",IF(COUNTIFS(加仓管理!$A$2:$A$1001,A109,加仓管理!$N$2:$N$1001,"&gt;0",加仓管理!$G$2:$G$1001,"")&gt;0,"提示：存在待执行加仓计划","通过")))))</f>
        <v/>
      </c>
    </row>
    <row r="110" customFormat="false" ht="13.5" hidden="false" customHeight="false" outlineLevel="0" collapsed="false">
      <c r="A110" s="4"/>
      <c r="B110" s="4"/>
      <c r="C110" s="5"/>
      <c r="D110" s="6"/>
      <c r="E110" s="5"/>
      <c r="F110" s="7" t="str">
        <f aca="false">IF(OR(C110="",D110="",E110="",N110="",C110&lt;=0,D110&lt;=0,E110&lt;=N110),"",ROUNDDOWN((C110*D110)/(E110-N110)/100,0)*100)</f>
        <v/>
      </c>
      <c r="G110" s="7" t="str">
        <f aca="false">IF(A110="","",IF(H110&lt;&gt;"","已开仓",IF(账户数据!$B$23="已锁仓","禁止开仓：连续亏损达到上限",IF(账户数据!$B$23="解锁信息不完整","禁止开仓：请完整填写解锁信息",IF(OR(F110="",E110="",N110="",E110&lt;=N110,账户数据!$B$7=""),"",IF(OR(AG110="",AH110="",AI110=""),"禁止开仓：交易预期未填写完整",IF(账户数据!$B$9+F110*(E110-N110)&gt;=账户数据!$B$7,"禁止开仓：风险额度不足",IF(AJ110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0" s="4"/>
      <c r="I110" s="8"/>
      <c r="J110" s="5"/>
      <c r="K110" s="11"/>
      <c r="L110" s="7" t="str">
        <f aca="false">IF(AP110="","",AP110)</f>
        <v/>
      </c>
      <c r="M110" s="19"/>
      <c r="N110" s="5"/>
      <c r="O110" s="5"/>
      <c r="P110" s="11"/>
      <c r="Q110" s="4"/>
      <c r="R110" s="4"/>
      <c r="S110" s="4"/>
      <c r="T110" s="4"/>
      <c r="U110" s="9" t="str">
        <f aca="false">IF(OR(AO110="",J110="",AO110&lt;=0),"",(J110-AO110)/AO110)</f>
        <v/>
      </c>
      <c r="V110" s="9" t="str">
        <f aca="false">IF(OR(AO110="",N110="",AO110&lt;=0),"",(AO110-N110)/AO110)</f>
        <v/>
      </c>
      <c r="W110" s="10" t="str">
        <f aca="false">IF(OR(U110="",V110="",V110&lt;=0),"",U110/V110)</f>
        <v/>
      </c>
      <c r="X110" s="11" t="str">
        <f aca="false">IF(OR(K110="",L110="",AO110="",AP110=""),"",(K110-AO110)*L110-IF(O110="",0,O110)-IF(P110="",0,P110))</f>
        <v/>
      </c>
      <c r="Y110" s="9" t="str">
        <f aca="false">IF(OR(X110="",AO110="",L110=""),"",IF(AO110*L110+IF(O110="",0,O110)&lt;=0,"",X110/(AO110*L110+IF(O110="",0,O110))))</f>
        <v/>
      </c>
      <c r="Z110" s="9" t="str">
        <f aca="false">IF(OR(AE110="",多次统计数据!$B$8=""),"",AE110-多次统计数据!$B$8)</f>
        <v/>
      </c>
      <c r="AA110" s="12" t="str">
        <f aca="false">IF(OR(I110="",M110="",M110&lt;I110),"",M110-I110)</f>
        <v/>
      </c>
      <c r="AB110" s="9" t="str">
        <f aca="false">IF(OR(A110="",多次统计数据!$B$8="",多次统计数据!$B$6&lt;=0,多次统计数据!$B$6&gt;=1),"",1-POWER(1+多次统计数据!$B$8,-多次统计数据!$B$6/(1-多次统计数据!$B$6)))</f>
        <v/>
      </c>
      <c r="AC110" s="7" t="str">
        <f aca="false">IF(OR(AB110="",多次统计数据!$B$9=""),"",IF(多次统计数据!$B$9&lt;AB110,"低于上限","达到或超过上限"))</f>
        <v/>
      </c>
      <c r="AD110" s="4"/>
      <c r="AE110" s="9" t="str">
        <f aca="false">IF(OR(X110="",C110="",C110&lt;=0),"",X110/C110)</f>
        <v/>
      </c>
      <c r="AG110" s="4"/>
      <c r="AH110" s="4"/>
      <c r="AI110" s="4"/>
      <c r="AJ110" s="7" t="str">
        <f aca="false">IF(OR(AG110="",AH110=""),"",IF(OR(AND(AG110="短期博反弹",OR(AH110="1～3个交易日",AH110="4～10个交易日")),AND(AG110="突破冲新高",OR(AH110="4～10个交易日",AH110="11～20个交易日")),AND(AG110="趋势波段",OR(AH110="11～20个交易日",AH110="21～60个交易日",AH110="60个交易日以上"))),"匹配","周期与交易预期不匹配，请重新确认"))</f>
        <v/>
      </c>
      <c r="AK110" s="13" t="str">
        <f aca="false">IF(A110="","",COUNTIFS(加仓管理!$A$2:$A$1001,A110,加仓管理!$G$2:$G$1001,"&gt;0"))</f>
        <v/>
      </c>
      <c r="AL110" s="13" t="str">
        <f aca="false">IF(A110="","",SUMIFS(加仓管理!$G$2:$G$1001,加仓管理!$A$2:$A$1001,A110))</f>
        <v/>
      </c>
      <c r="AM110" s="14" t="str">
        <f aca="false">IF(AK110=0,"",IFERROR(LOOKUP(2,1/((加仓管理!$A$2:$A$1001=A110)*(加仓管理!$G$2:$G$1001&gt;0)),加仓管理!$D$2:$D$1001),""))</f>
        <v/>
      </c>
      <c r="AN110" s="14" t="str">
        <f aca="false">IF(AK110=0,"",IFERROR(LOOKUP(2,1/((加仓管理!$A$2:$A$1001=A110)*(加仓管理!$G$2:$G$1001&gt;0)),加仓管理!$E$2:$E$1001),""))</f>
        <v/>
      </c>
      <c r="AO110" s="14" t="str">
        <f aca="false">IF(OR(A110="",H110="",H110&lt;=0),"",(E110*H110+SUMIFS(加仓管理!$H$2:$H$1001,加仓管理!$A$2:$A$1001,A110))/AP110)</f>
        <v/>
      </c>
      <c r="AP110" s="13" t="str">
        <f aca="false">IF(OR(A110="",H110="",H110&lt;=0),"",H110+AL110)</f>
        <v/>
      </c>
      <c r="AQ110" s="14" t="str">
        <f aca="false">IF(A110="","",IF(M110&lt;&gt;"",0,IF(OR(H110="",N110=""),"",MAX((E110*H110+SUMIFS(加仓管理!$H$2:$H$1001,加仓管理!$A$2:$A$1001,A110))-MAX(N110,AN110)*AP110,0))))</f>
        <v/>
      </c>
      <c r="AR110" s="15" t="str">
        <f aca="false">IF(A110="","",IF(OR(E110="",H110=""),"违规：首次买入价格或股数缺失",IF(COUNTIFS(加仓管理!$A$2:$A$1001,A110,加仓管理!$R$2:$R$1001,"违规*")&gt;0,"违规：请检查加仓管理表",IF(SUM($AQ$2:$AQ$201)&gt;账户数据!$B$7,"预警：超过账户风险上限",IF(COUNTIFS(加仓管理!$A$2:$A$1001,A110,加仓管理!$N$2:$N$1001,"&gt;0",加仓管理!$G$2:$G$1001,"")&gt;0,"提示：存在待执行加仓计划","通过")))))</f>
        <v/>
      </c>
    </row>
    <row r="111" customFormat="false" ht="13.5" hidden="false" customHeight="false" outlineLevel="0" collapsed="false">
      <c r="A111" s="4"/>
      <c r="B111" s="4"/>
      <c r="C111" s="5"/>
      <c r="D111" s="6"/>
      <c r="E111" s="5"/>
      <c r="F111" s="7" t="str">
        <f aca="false">IF(OR(C111="",D111="",E111="",N111="",C111&lt;=0,D111&lt;=0,E111&lt;=N111),"",ROUNDDOWN((C111*D111)/(E111-N111)/100,0)*100)</f>
        <v/>
      </c>
      <c r="G111" s="7" t="str">
        <f aca="false">IF(A111="","",IF(H111&lt;&gt;"","已开仓",IF(账户数据!$B$23="已锁仓","禁止开仓：连续亏损达到上限",IF(账户数据!$B$23="解锁信息不完整","禁止开仓：请完整填写解锁信息",IF(OR(F111="",E111="",N111="",E111&lt;=N111,账户数据!$B$7=""),"",IF(OR(AG111="",AH111="",AI111=""),"禁止开仓：交易预期未填写完整",IF(账户数据!$B$9+F111*(E111-N111)&gt;=账户数据!$B$7,"禁止开仓：风险额度不足",IF(AJ111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1" s="4"/>
      <c r="I111" s="8"/>
      <c r="J111" s="5"/>
      <c r="K111" s="11"/>
      <c r="L111" s="7" t="str">
        <f aca="false">IF(AP111="","",AP111)</f>
        <v/>
      </c>
      <c r="M111" s="19"/>
      <c r="N111" s="5"/>
      <c r="O111" s="5"/>
      <c r="P111" s="11"/>
      <c r="Q111" s="4"/>
      <c r="R111" s="4"/>
      <c r="S111" s="4"/>
      <c r="T111" s="4"/>
      <c r="U111" s="9" t="str">
        <f aca="false">IF(OR(AO111="",J111="",AO111&lt;=0),"",(J111-AO111)/AO111)</f>
        <v/>
      </c>
      <c r="V111" s="9" t="str">
        <f aca="false">IF(OR(AO111="",N111="",AO111&lt;=0),"",(AO111-N111)/AO111)</f>
        <v/>
      </c>
      <c r="W111" s="10" t="str">
        <f aca="false">IF(OR(U111="",V111="",V111&lt;=0),"",U111/V111)</f>
        <v/>
      </c>
      <c r="X111" s="11" t="str">
        <f aca="false">IF(OR(K111="",L111="",AO111="",AP111=""),"",(K111-AO111)*L111-IF(O111="",0,O111)-IF(P111="",0,P111))</f>
        <v/>
      </c>
      <c r="Y111" s="9" t="str">
        <f aca="false">IF(OR(X111="",AO111="",L111=""),"",IF(AO111*L111+IF(O111="",0,O111)&lt;=0,"",X111/(AO111*L111+IF(O111="",0,O111))))</f>
        <v/>
      </c>
      <c r="Z111" s="9" t="str">
        <f aca="false">IF(OR(AE111="",多次统计数据!$B$8=""),"",AE111-多次统计数据!$B$8)</f>
        <v/>
      </c>
      <c r="AA111" s="12" t="str">
        <f aca="false">IF(OR(I111="",M111="",M111&lt;I111),"",M111-I111)</f>
        <v/>
      </c>
      <c r="AB111" s="9" t="str">
        <f aca="false">IF(OR(A111="",多次统计数据!$B$8="",多次统计数据!$B$6&lt;=0,多次统计数据!$B$6&gt;=1),"",1-POWER(1+多次统计数据!$B$8,-多次统计数据!$B$6/(1-多次统计数据!$B$6)))</f>
        <v/>
      </c>
      <c r="AC111" s="7" t="str">
        <f aca="false">IF(OR(AB111="",多次统计数据!$B$9=""),"",IF(多次统计数据!$B$9&lt;AB111,"低于上限","达到或超过上限"))</f>
        <v/>
      </c>
      <c r="AD111" s="4"/>
      <c r="AE111" s="9" t="str">
        <f aca="false">IF(OR(X111="",C111="",C111&lt;=0),"",X111/C111)</f>
        <v/>
      </c>
      <c r="AG111" s="4"/>
      <c r="AH111" s="4"/>
      <c r="AI111" s="4"/>
      <c r="AJ111" s="7" t="str">
        <f aca="false">IF(OR(AG111="",AH111=""),"",IF(OR(AND(AG111="短期博反弹",OR(AH111="1～3个交易日",AH111="4～10个交易日")),AND(AG111="突破冲新高",OR(AH111="4～10个交易日",AH111="11～20个交易日")),AND(AG111="趋势波段",OR(AH111="11～20个交易日",AH111="21～60个交易日",AH111="60个交易日以上"))),"匹配","周期与交易预期不匹配，请重新确认"))</f>
        <v/>
      </c>
      <c r="AK111" s="13" t="str">
        <f aca="false">IF(A111="","",COUNTIFS(加仓管理!$A$2:$A$1001,A111,加仓管理!$G$2:$G$1001,"&gt;0"))</f>
        <v/>
      </c>
      <c r="AL111" s="13" t="str">
        <f aca="false">IF(A111="","",SUMIFS(加仓管理!$G$2:$G$1001,加仓管理!$A$2:$A$1001,A111))</f>
        <v/>
      </c>
      <c r="AM111" s="14" t="str">
        <f aca="false">IF(AK111=0,"",IFERROR(LOOKUP(2,1/((加仓管理!$A$2:$A$1001=A111)*(加仓管理!$G$2:$G$1001&gt;0)),加仓管理!$D$2:$D$1001),""))</f>
        <v/>
      </c>
      <c r="AN111" s="14" t="str">
        <f aca="false">IF(AK111=0,"",IFERROR(LOOKUP(2,1/((加仓管理!$A$2:$A$1001=A111)*(加仓管理!$G$2:$G$1001&gt;0)),加仓管理!$E$2:$E$1001),""))</f>
        <v/>
      </c>
      <c r="AO111" s="14" t="str">
        <f aca="false">IF(OR(A111="",H111="",H111&lt;=0),"",(E111*H111+SUMIFS(加仓管理!$H$2:$H$1001,加仓管理!$A$2:$A$1001,A111))/AP111)</f>
        <v/>
      </c>
      <c r="AP111" s="13" t="str">
        <f aca="false">IF(OR(A111="",H111="",H111&lt;=0),"",H111+AL111)</f>
        <v/>
      </c>
      <c r="AQ111" s="14" t="str">
        <f aca="false">IF(A111="","",IF(M111&lt;&gt;"",0,IF(OR(H111="",N111=""),"",MAX((E111*H111+SUMIFS(加仓管理!$H$2:$H$1001,加仓管理!$A$2:$A$1001,A111))-MAX(N111,AN111)*AP111,0))))</f>
        <v/>
      </c>
      <c r="AR111" s="15" t="str">
        <f aca="false">IF(A111="","",IF(OR(E111="",H111=""),"违规：首次买入价格或股数缺失",IF(COUNTIFS(加仓管理!$A$2:$A$1001,A111,加仓管理!$R$2:$R$1001,"违规*")&gt;0,"违规：请检查加仓管理表",IF(SUM($AQ$2:$AQ$201)&gt;账户数据!$B$7,"预警：超过账户风险上限",IF(COUNTIFS(加仓管理!$A$2:$A$1001,A111,加仓管理!$N$2:$N$1001,"&gt;0",加仓管理!$G$2:$G$1001,"")&gt;0,"提示：存在待执行加仓计划","通过")))))</f>
        <v/>
      </c>
    </row>
    <row r="112" customFormat="false" ht="13.5" hidden="false" customHeight="false" outlineLevel="0" collapsed="false">
      <c r="A112" s="4"/>
      <c r="B112" s="4"/>
      <c r="C112" s="5"/>
      <c r="D112" s="6"/>
      <c r="E112" s="5"/>
      <c r="F112" s="7" t="str">
        <f aca="false">IF(OR(C112="",D112="",E112="",N112="",C112&lt;=0,D112&lt;=0,E112&lt;=N112),"",ROUNDDOWN((C112*D112)/(E112-N112)/100,0)*100)</f>
        <v/>
      </c>
      <c r="G112" s="7" t="str">
        <f aca="false">IF(A112="","",IF(H112&lt;&gt;"","已开仓",IF(账户数据!$B$23="已锁仓","禁止开仓：连续亏损达到上限",IF(账户数据!$B$23="解锁信息不完整","禁止开仓：请完整填写解锁信息",IF(OR(F112="",E112="",N112="",E112&lt;=N112,账户数据!$B$7=""),"",IF(OR(AG112="",AH112="",AI112=""),"禁止开仓：交易预期未填写完整",IF(账户数据!$B$9+F112*(E112-N112)&gt;=账户数据!$B$7,"禁止开仓：风险额度不足",IF(AJ112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2" s="4"/>
      <c r="I112" s="8"/>
      <c r="J112" s="5"/>
      <c r="K112" s="11"/>
      <c r="L112" s="7" t="str">
        <f aca="false">IF(AP112="","",AP112)</f>
        <v/>
      </c>
      <c r="M112" s="19"/>
      <c r="N112" s="5"/>
      <c r="O112" s="5"/>
      <c r="P112" s="11"/>
      <c r="Q112" s="4"/>
      <c r="R112" s="4"/>
      <c r="S112" s="4"/>
      <c r="T112" s="4"/>
      <c r="U112" s="9" t="str">
        <f aca="false">IF(OR(AO112="",J112="",AO112&lt;=0),"",(J112-AO112)/AO112)</f>
        <v/>
      </c>
      <c r="V112" s="9" t="str">
        <f aca="false">IF(OR(AO112="",N112="",AO112&lt;=0),"",(AO112-N112)/AO112)</f>
        <v/>
      </c>
      <c r="W112" s="10" t="str">
        <f aca="false">IF(OR(U112="",V112="",V112&lt;=0),"",U112/V112)</f>
        <v/>
      </c>
      <c r="X112" s="11" t="str">
        <f aca="false">IF(OR(K112="",L112="",AO112="",AP112=""),"",(K112-AO112)*L112-IF(O112="",0,O112)-IF(P112="",0,P112))</f>
        <v/>
      </c>
      <c r="Y112" s="9" t="str">
        <f aca="false">IF(OR(X112="",AO112="",L112=""),"",IF(AO112*L112+IF(O112="",0,O112)&lt;=0,"",X112/(AO112*L112+IF(O112="",0,O112))))</f>
        <v/>
      </c>
      <c r="Z112" s="9" t="str">
        <f aca="false">IF(OR(AE112="",多次统计数据!$B$8=""),"",AE112-多次统计数据!$B$8)</f>
        <v/>
      </c>
      <c r="AA112" s="12" t="str">
        <f aca="false">IF(OR(I112="",M112="",M112&lt;I112),"",M112-I112)</f>
        <v/>
      </c>
      <c r="AB112" s="9" t="str">
        <f aca="false">IF(OR(A112="",多次统计数据!$B$8="",多次统计数据!$B$6&lt;=0,多次统计数据!$B$6&gt;=1),"",1-POWER(1+多次统计数据!$B$8,-多次统计数据!$B$6/(1-多次统计数据!$B$6)))</f>
        <v/>
      </c>
      <c r="AC112" s="7" t="str">
        <f aca="false">IF(OR(AB112="",多次统计数据!$B$9=""),"",IF(多次统计数据!$B$9&lt;AB112,"低于上限","达到或超过上限"))</f>
        <v/>
      </c>
      <c r="AD112" s="4"/>
      <c r="AE112" s="9" t="str">
        <f aca="false">IF(OR(X112="",C112="",C112&lt;=0),"",X112/C112)</f>
        <v/>
      </c>
      <c r="AG112" s="4"/>
      <c r="AH112" s="4"/>
      <c r="AI112" s="4"/>
      <c r="AJ112" s="7" t="str">
        <f aca="false">IF(OR(AG112="",AH112=""),"",IF(OR(AND(AG112="短期博反弹",OR(AH112="1～3个交易日",AH112="4～10个交易日")),AND(AG112="突破冲新高",OR(AH112="4～10个交易日",AH112="11～20个交易日")),AND(AG112="趋势波段",OR(AH112="11～20个交易日",AH112="21～60个交易日",AH112="60个交易日以上"))),"匹配","周期与交易预期不匹配，请重新确认"))</f>
        <v/>
      </c>
      <c r="AK112" s="13" t="str">
        <f aca="false">IF(A112="","",COUNTIFS(加仓管理!$A$2:$A$1001,A112,加仓管理!$G$2:$G$1001,"&gt;0"))</f>
        <v/>
      </c>
      <c r="AL112" s="13" t="str">
        <f aca="false">IF(A112="","",SUMIFS(加仓管理!$G$2:$G$1001,加仓管理!$A$2:$A$1001,A112))</f>
        <v/>
      </c>
      <c r="AM112" s="14" t="str">
        <f aca="false">IF(AK112=0,"",IFERROR(LOOKUP(2,1/((加仓管理!$A$2:$A$1001=A112)*(加仓管理!$G$2:$G$1001&gt;0)),加仓管理!$D$2:$D$1001),""))</f>
        <v/>
      </c>
      <c r="AN112" s="14" t="str">
        <f aca="false">IF(AK112=0,"",IFERROR(LOOKUP(2,1/((加仓管理!$A$2:$A$1001=A112)*(加仓管理!$G$2:$G$1001&gt;0)),加仓管理!$E$2:$E$1001),""))</f>
        <v/>
      </c>
      <c r="AO112" s="14" t="str">
        <f aca="false">IF(OR(A112="",H112="",H112&lt;=0),"",(E112*H112+SUMIFS(加仓管理!$H$2:$H$1001,加仓管理!$A$2:$A$1001,A112))/AP112)</f>
        <v/>
      </c>
      <c r="AP112" s="13" t="str">
        <f aca="false">IF(OR(A112="",H112="",H112&lt;=0),"",H112+AL112)</f>
        <v/>
      </c>
      <c r="AQ112" s="14" t="str">
        <f aca="false">IF(A112="","",IF(M112&lt;&gt;"",0,IF(OR(H112="",N112=""),"",MAX((E112*H112+SUMIFS(加仓管理!$H$2:$H$1001,加仓管理!$A$2:$A$1001,A112))-MAX(N112,AN112)*AP112,0))))</f>
        <v/>
      </c>
      <c r="AR112" s="15" t="str">
        <f aca="false">IF(A112="","",IF(OR(E112="",H112=""),"违规：首次买入价格或股数缺失",IF(COUNTIFS(加仓管理!$A$2:$A$1001,A112,加仓管理!$R$2:$R$1001,"违规*")&gt;0,"违规：请检查加仓管理表",IF(SUM($AQ$2:$AQ$201)&gt;账户数据!$B$7,"预警：超过账户风险上限",IF(COUNTIFS(加仓管理!$A$2:$A$1001,A112,加仓管理!$N$2:$N$1001,"&gt;0",加仓管理!$G$2:$G$1001,"")&gt;0,"提示：存在待执行加仓计划","通过")))))</f>
        <v/>
      </c>
    </row>
    <row r="113" customFormat="false" ht="13.5" hidden="false" customHeight="false" outlineLevel="0" collapsed="false">
      <c r="A113" s="4"/>
      <c r="B113" s="4"/>
      <c r="C113" s="5"/>
      <c r="D113" s="6"/>
      <c r="E113" s="5"/>
      <c r="F113" s="7" t="str">
        <f aca="false">IF(OR(C113="",D113="",E113="",N113="",C113&lt;=0,D113&lt;=0,E113&lt;=N113),"",ROUNDDOWN((C113*D113)/(E113-N113)/100,0)*100)</f>
        <v/>
      </c>
      <c r="G113" s="7" t="str">
        <f aca="false">IF(A113="","",IF(H113&lt;&gt;"","已开仓",IF(账户数据!$B$23="已锁仓","禁止开仓：连续亏损达到上限",IF(账户数据!$B$23="解锁信息不完整","禁止开仓：请完整填写解锁信息",IF(OR(F113="",E113="",N113="",E113&lt;=N113,账户数据!$B$7=""),"",IF(OR(AG113="",AH113="",AI113=""),"禁止开仓：交易预期未填写完整",IF(账户数据!$B$9+F113*(E113-N113)&gt;=账户数据!$B$7,"禁止开仓：风险额度不足",IF(AJ113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3" s="4"/>
      <c r="I113" s="8"/>
      <c r="J113" s="5"/>
      <c r="K113" s="11"/>
      <c r="L113" s="7" t="str">
        <f aca="false">IF(AP113="","",AP113)</f>
        <v/>
      </c>
      <c r="M113" s="19"/>
      <c r="N113" s="5"/>
      <c r="O113" s="5"/>
      <c r="P113" s="11"/>
      <c r="Q113" s="4"/>
      <c r="R113" s="4"/>
      <c r="S113" s="4"/>
      <c r="T113" s="4"/>
      <c r="U113" s="9" t="str">
        <f aca="false">IF(OR(AO113="",J113="",AO113&lt;=0),"",(J113-AO113)/AO113)</f>
        <v/>
      </c>
      <c r="V113" s="9" t="str">
        <f aca="false">IF(OR(AO113="",N113="",AO113&lt;=0),"",(AO113-N113)/AO113)</f>
        <v/>
      </c>
      <c r="W113" s="10" t="str">
        <f aca="false">IF(OR(U113="",V113="",V113&lt;=0),"",U113/V113)</f>
        <v/>
      </c>
      <c r="X113" s="11" t="str">
        <f aca="false">IF(OR(K113="",L113="",AO113="",AP113=""),"",(K113-AO113)*L113-IF(O113="",0,O113)-IF(P113="",0,P113))</f>
        <v/>
      </c>
      <c r="Y113" s="9" t="str">
        <f aca="false">IF(OR(X113="",AO113="",L113=""),"",IF(AO113*L113+IF(O113="",0,O113)&lt;=0,"",X113/(AO113*L113+IF(O113="",0,O113))))</f>
        <v/>
      </c>
      <c r="Z113" s="9" t="str">
        <f aca="false">IF(OR(AE113="",多次统计数据!$B$8=""),"",AE113-多次统计数据!$B$8)</f>
        <v/>
      </c>
      <c r="AA113" s="12" t="str">
        <f aca="false">IF(OR(I113="",M113="",M113&lt;I113),"",M113-I113)</f>
        <v/>
      </c>
      <c r="AB113" s="9" t="str">
        <f aca="false">IF(OR(A113="",多次统计数据!$B$8="",多次统计数据!$B$6&lt;=0,多次统计数据!$B$6&gt;=1),"",1-POWER(1+多次统计数据!$B$8,-多次统计数据!$B$6/(1-多次统计数据!$B$6)))</f>
        <v/>
      </c>
      <c r="AC113" s="7" t="str">
        <f aca="false">IF(OR(AB113="",多次统计数据!$B$9=""),"",IF(多次统计数据!$B$9&lt;AB113,"低于上限","达到或超过上限"))</f>
        <v/>
      </c>
      <c r="AD113" s="4"/>
      <c r="AE113" s="9" t="str">
        <f aca="false">IF(OR(X113="",C113="",C113&lt;=0),"",X113/C113)</f>
        <v/>
      </c>
      <c r="AG113" s="4"/>
      <c r="AH113" s="4"/>
      <c r="AI113" s="4"/>
      <c r="AJ113" s="7" t="str">
        <f aca="false">IF(OR(AG113="",AH113=""),"",IF(OR(AND(AG113="短期博反弹",OR(AH113="1～3个交易日",AH113="4～10个交易日")),AND(AG113="突破冲新高",OR(AH113="4～10个交易日",AH113="11～20个交易日")),AND(AG113="趋势波段",OR(AH113="11～20个交易日",AH113="21～60个交易日",AH113="60个交易日以上"))),"匹配","周期与交易预期不匹配，请重新确认"))</f>
        <v/>
      </c>
      <c r="AK113" s="13" t="str">
        <f aca="false">IF(A113="","",COUNTIFS(加仓管理!$A$2:$A$1001,A113,加仓管理!$G$2:$G$1001,"&gt;0"))</f>
        <v/>
      </c>
      <c r="AL113" s="13" t="str">
        <f aca="false">IF(A113="","",SUMIFS(加仓管理!$G$2:$G$1001,加仓管理!$A$2:$A$1001,A113))</f>
        <v/>
      </c>
      <c r="AM113" s="14" t="str">
        <f aca="false">IF(AK113=0,"",IFERROR(LOOKUP(2,1/((加仓管理!$A$2:$A$1001=A113)*(加仓管理!$G$2:$G$1001&gt;0)),加仓管理!$D$2:$D$1001),""))</f>
        <v/>
      </c>
      <c r="AN113" s="14" t="str">
        <f aca="false">IF(AK113=0,"",IFERROR(LOOKUP(2,1/((加仓管理!$A$2:$A$1001=A113)*(加仓管理!$G$2:$G$1001&gt;0)),加仓管理!$E$2:$E$1001),""))</f>
        <v/>
      </c>
      <c r="AO113" s="14" t="str">
        <f aca="false">IF(OR(A113="",H113="",H113&lt;=0),"",(E113*H113+SUMIFS(加仓管理!$H$2:$H$1001,加仓管理!$A$2:$A$1001,A113))/AP113)</f>
        <v/>
      </c>
      <c r="AP113" s="13" t="str">
        <f aca="false">IF(OR(A113="",H113="",H113&lt;=0),"",H113+AL113)</f>
        <v/>
      </c>
      <c r="AQ113" s="14" t="str">
        <f aca="false">IF(A113="","",IF(M113&lt;&gt;"",0,IF(OR(H113="",N113=""),"",MAX((E113*H113+SUMIFS(加仓管理!$H$2:$H$1001,加仓管理!$A$2:$A$1001,A113))-MAX(N113,AN113)*AP113,0))))</f>
        <v/>
      </c>
      <c r="AR113" s="15" t="str">
        <f aca="false">IF(A113="","",IF(OR(E113="",H113=""),"违规：首次买入价格或股数缺失",IF(COUNTIFS(加仓管理!$A$2:$A$1001,A113,加仓管理!$R$2:$R$1001,"违规*")&gt;0,"违规：请检查加仓管理表",IF(SUM($AQ$2:$AQ$201)&gt;账户数据!$B$7,"预警：超过账户风险上限",IF(COUNTIFS(加仓管理!$A$2:$A$1001,A113,加仓管理!$N$2:$N$1001,"&gt;0",加仓管理!$G$2:$G$1001,"")&gt;0,"提示：存在待执行加仓计划","通过")))))</f>
        <v/>
      </c>
    </row>
    <row r="114" customFormat="false" ht="13.5" hidden="false" customHeight="false" outlineLevel="0" collapsed="false">
      <c r="A114" s="4"/>
      <c r="B114" s="4"/>
      <c r="C114" s="5"/>
      <c r="D114" s="6"/>
      <c r="E114" s="5"/>
      <c r="F114" s="7" t="str">
        <f aca="false">IF(OR(C114="",D114="",E114="",N114="",C114&lt;=0,D114&lt;=0,E114&lt;=N114),"",ROUNDDOWN((C114*D114)/(E114-N114)/100,0)*100)</f>
        <v/>
      </c>
      <c r="G114" s="7" t="str">
        <f aca="false">IF(A114="","",IF(H114&lt;&gt;"","已开仓",IF(账户数据!$B$23="已锁仓","禁止开仓：连续亏损达到上限",IF(账户数据!$B$23="解锁信息不完整","禁止开仓：请完整填写解锁信息",IF(OR(F114="",E114="",N114="",E114&lt;=N114,账户数据!$B$7=""),"",IF(OR(AG114="",AH114="",AI114=""),"禁止开仓：交易预期未填写完整",IF(账户数据!$B$9+F114*(E114-N114)&gt;=账户数据!$B$7,"禁止开仓：风险额度不足",IF(AJ114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4" s="4"/>
      <c r="I114" s="8"/>
      <c r="J114" s="5"/>
      <c r="K114" s="11"/>
      <c r="L114" s="7" t="str">
        <f aca="false">IF(AP114="","",AP114)</f>
        <v/>
      </c>
      <c r="M114" s="19"/>
      <c r="N114" s="5"/>
      <c r="O114" s="5"/>
      <c r="P114" s="11"/>
      <c r="Q114" s="4"/>
      <c r="R114" s="4"/>
      <c r="S114" s="4"/>
      <c r="T114" s="4"/>
      <c r="U114" s="9" t="str">
        <f aca="false">IF(OR(AO114="",J114="",AO114&lt;=0),"",(J114-AO114)/AO114)</f>
        <v/>
      </c>
      <c r="V114" s="9" t="str">
        <f aca="false">IF(OR(AO114="",N114="",AO114&lt;=0),"",(AO114-N114)/AO114)</f>
        <v/>
      </c>
      <c r="W114" s="10" t="str">
        <f aca="false">IF(OR(U114="",V114="",V114&lt;=0),"",U114/V114)</f>
        <v/>
      </c>
      <c r="X114" s="11" t="str">
        <f aca="false">IF(OR(K114="",L114="",AO114="",AP114=""),"",(K114-AO114)*L114-IF(O114="",0,O114)-IF(P114="",0,P114))</f>
        <v/>
      </c>
      <c r="Y114" s="9" t="str">
        <f aca="false">IF(OR(X114="",AO114="",L114=""),"",IF(AO114*L114+IF(O114="",0,O114)&lt;=0,"",X114/(AO114*L114+IF(O114="",0,O114))))</f>
        <v/>
      </c>
      <c r="Z114" s="9" t="str">
        <f aca="false">IF(OR(AE114="",多次统计数据!$B$8=""),"",AE114-多次统计数据!$B$8)</f>
        <v/>
      </c>
      <c r="AA114" s="12" t="str">
        <f aca="false">IF(OR(I114="",M114="",M114&lt;I114),"",M114-I114)</f>
        <v/>
      </c>
      <c r="AB114" s="9" t="str">
        <f aca="false">IF(OR(A114="",多次统计数据!$B$8="",多次统计数据!$B$6&lt;=0,多次统计数据!$B$6&gt;=1),"",1-POWER(1+多次统计数据!$B$8,-多次统计数据!$B$6/(1-多次统计数据!$B$6)))</f>
        <v/>
      </c>
      <c r="AC114" s="7" t="str">
        <f aca="false">IF(OR(AB114="",多次统计数据!$B$9=""),"",IF(多次统计数据!$B$9&lt;AB114,"低于上限","达到或超过上限"))</f>
        <v/>
      </c>
      <c r="AD114" s="4"/>
      <c r="AE114" s="9" t="str">
        <f aca="false">IF(OR(X114="",C114="",C114&lt;=0),"",X114/C114)</f>
        <v/>
      </c>
      <c r="AG114" s="4"/>
      <c r="AH114" s="4"/>
      <c r="AI114" s="4"/>
      <c r="AJ114" s="7" t="str">
        <f aca="false">IF(OR(AG114="",AH114=""),"",IF(OR(AND(AG114="短期博反弹",OR(AH114="1～3个交易日",AH114="4～10个交易日")),AND(AG114="突破冲新高",OR(AH114="4～10个交易日",AH114="11～20个交易日")),AND(AG114="趋势波段",OR(AH114="11～20个交易日",AH114="21～60个交易日",AH114="60个交易日以上"))),"匹配","周期与交易预期不匹配，请重新确认"))</f>
        <v/>
      </c>
      <c r="AK114" s="13" t="str">
        <f aca="false">IF(A114="","",COUNTIFS(加仓管理!$A$2:$A$1001,A114,加仓管理!$G$2:$G$1001,"&gt;0"))</f>
        <v/>
      </c>
      <c r="AL114" s="13" t="str">
        <f aca="false">IF(A114="","",SUMIFS(加仓管理!$G$2:$G$1001,加仓管理!$A$2:$A$1001,A114))</f>
        <v/>
      </c>
      <c r="AM114" s="14" t="str">
        <f aca="false">IF(AK114=0,"",IFERROR(LOOKUP(2,1/((加仓管理!$A$2:$A$1001=A114)*(加仓管理!$G$2:$G$1001&gt;0)),加仓管理!$D$2:$D$1001),""))</f>
        <v/>
      </c>
      <c r="AN114" s="14" t="str">
        <f aca="false">IF(AK114=0,"",IFERROR(LOOKUP(2,1/((加仓管理!$A$2:$A$1001=A114)*(加仓管理!$G$2:$G$1001&gt;0)),加仓管理!$E$2:$E$1001),""))</f>
        <v/>
      </c>
      <c r="AO114" s="14" t="str">
        <f aca="false">IF(OR(A114="",H114="",H114&lt;=0),"",(E114*H114+SUMIFS(加仓管理!$H$2:$H$1001,加仓管理!$A$2:$A$1001,A114))/AP114)</f>
        <v/>
      </c>
      <c r="AP114" s="13" t="str">
        <f aca="false">IF(OR(A114="",H114="",H114&lt;=0),"",H114+AL114)</f>
        <v/>
      </c>
      <c r="AQ114" s="14" t="str">
        <f aca="false">IF(A114="","",IF(M114&lt;&gt;"",0,IF(OR(H114="",N114=""),"",MAX((E114*H114+SUMIFS(加仓管理!$H$2:$H$1001,加仓管理!$A$2:$A$1001,A114))-MAX(N114,AN114)*AP114,0))))</f>
        <v/>
      </c>
      <c r="AR114" s="15" t="str">
        <f aca="false">IF(A114="","",IF(OR(E114="",H114=""),"违规：首次买入价格或股数缺失",IF(COUNTIFS(加仓管理!$A$2:$A$1001,A114,加仓管理!$R$2:$R$1001,"违规*")&gt;0,"违规：请检查加仓管理表",IF(SUM($AQ$2:$AQ$201)&gt;账户数据!$B$7,"预警：超过账户风险上限",IF(COUNTIFS(加仓管理!$A$2:$A$1001,A114,加仓管理!$N$2:$N$1001,"&gt;0",加仓管理!$G$2:$G$1001,"")&gt;0,"提示：存在待执行加仓计划","通过")))))</f>
        <v/>
      </c>
    </row>
    <row r="115" customFormat="false" ht="13.5" hidden="false" customHeight="false" outlineLevel="0" collapsed="false">
      <c r="A115" s="4"/>
      <c r="B115" s="4"/>
      <c r="C115" s="5"/>
      <c r="D115" s="6"/>
      <c r="E115" s="5"/>
      <c r="F115" s="7" t="str">
        <f aca="false">IF(OR(C115="",D115="",E115="",N115="",C115&lt;=0,D115&lt;=0,E115&lt;=N115),"",ROUNDDOWN((C115*D115)/(E115-N115)/100,0)*100)</f>
        <v/>
      </c>
      <c r="G115" s="7" t="str">
        <f aca="false">IF(A115="","",IF(H115&lt;&gt;"","已开仓",IF(账户数据!$B$23="已锁仓","禁止开仓：连续亏损达到上限",IF(账户数据!$B$23="解锁信息不完整","禁止开仓：请完整填写解锁信息",IF(OR(F115="",E115="",N115="",E115&lt;=N115,账户数据!$B$7=""),"",IF(OR(AG115="",AH115="",AI115=""),"禁止开仓：交易预期未填写完整",IF(账户数据!$B$9+F115*(E115-N115)&gt;=账户数据!$B$7,"禁止开仓：风险额度不足",IF(AJ115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5" s="4"/>
      <c r="I115" s="8"/>
      <c r="J115" s="5"/>
      <c r="K115" s="11"/>
      <c r="L115" s="7" t="str">
        <f aca="false">IF(AP115="","",AP115)</f>
        <v/>
      </c>
      <c r="M115" s="19"/>
      <c r="N115" s="5"/>
      <c r="O115" s="5"/>
      <c r="P115" s="11"/>
      <c r="Q115" s="4"/>
      <c r="R115" s="4"/>
      <c r="S115" s="4"/>
      <c r="T115" s="4"/>
      <c r="U115" s="9" t="str">
        <f aca="false">IF(OR(AO115="",J115="",AO115&lt;=0),"",(J115-AO115)/AO115)</f>
        <v/>
      </c>
      <c r="V115" s="9" t="str">
        <f aca="false">IF(OR(AO115="",N115="",AO115&lt;=0),"",(AO115-N115)/AO115)</f>
        <v/>
      </c>
      <c r="W115" s="10" t="str">
        <f aca="false">IF(OR(U115="",V115="",V115&lt;=0),"",U115/V115)</f>
        <v/>
      </c>
      <c r="X115" s="11" t="str">
        <f aca="false">IF(OR(K115="",L115="",AO115="",AP115=""),"",(K115-AO115)*L115-IF(O115="",0,O115)-IF(P115="",0,P115))</f>
        <v/>
      </c>
      <c r="Y115" s="9" t="str">
        <f aca="false">IF(OR(X115="",AO115="",L115=""),"",IF(AO115*L115+IF(O115="",0,O115)&lt;=0,"",X115/(AO115*L115+IF(O115="",0,O115))))</f>
        <v/>
      </c>
      <c r="Z115" s="9" t="str">
        <f aca="false">IF(OR(AE115="",多次统计数据!$B$8=""),"",AE115-多次统计数据!$B$8)</f>
        <v/>
      </c>
      <c r="AA115" s="12" t="str">
        <f aca="false">IF(OR(I115="",M115="",M115&lt;I115),"",M115-I115)</f>
        <v/>
      </c>
      <c r="AB115" s="9" t="str">
        <f aca="false">IF(OR(A115="",多次统计数据!$B$8="",多次统计数据!$B$6&lt;=0,多次统计数据!$B$6&gt;=1),"",1-POWER(1+多次统计数据!$B$8,-多次统计数据!$B$6/(1-多次统计数据!$B$6)))</f>
        <v/>
      </c>
      <c r="AC115" s="7" t="str">
        <f aca="false">IF(OR(AB115="",多次统计数据!$B$9=""),"",IF(多次统计数据!$B$9&lt;AB115,"低于上限","达到或超过上限"))</f>
        <v/>
      </c>
      <c r="AD115" s="4"/>
      <c r="AE115" s="9" t="str">
        <f aca="false">IF(OR(X115="",C115="",C115&lt;=0),"",X115/C115)</f>
        <v/>
      </c>
      <c r="AG115" s="4"/>
      <c r="AH115" s="4"/>
      <c r="AI115" s="4"/>
      <c r="AJ115" s="7" t="str">
        <f aca="false">IF(OR(AG115="",AH115=""),"",IF(OR(AND(AG115="短期博反弹",OR(AH115="1～3个交易日",AH115="4～10个交易日")),AND(AG115="突破冲新高",OR(AH115="4～10个交易日",AH115="11～20个交易日")),AND(AG115="趋势波段",OR(AH115="11～20个交易日",AH115="21～60个交易日",AH115="60个交易日以上"))),"匹配","周期与交易预期不匹配，请重新确认"))</f>
        <v/>
      </c>
      <c r="AK115" s="13" t="str">
        <f aca="false">IF(A115="","",COUNTIFS(加仓管理!$A$2:$A$1001,A115,加仓管理!$G$2:$G$1001,"&gt;0"))</f>
        <v/>
      </c>
      <c r="AL115" s="13" t="str">
        <f aca="false">IF(A115="","",SUMIFS(加仓管理!$G$2:$G$1001,加仓管理!$A$2:$A$1001,A115))</f>
        <v/>
      </c>
      <c r="AM115" s="14" t="str">
        <f aca="false">IF(AK115=0,"",IFERROR(LOOKUP(2,1/((加仓管理!$A$2:$A$1001=A115)*(加仓管理!$G$2:$G$1001&gt;0)),加仓管理!$D$2:$D$1001),""))</f>
        <v/>
      </c>
      <c r="AN115" s="14" t="str">
        <f aca="false">IF(AK115=0,"",IFERROR(LOOKUP(2,1/((加仓管理!$A$2:$A$1001=A115)*(加仓管理!$G$2:$G$1001&gt;0)),加仓管理!$E$2:$E$1001),""))</f>
        <v/>
      </c>
      <c r="AO115" s="14" t="str">
        <f aca="false">IF(OR(A115="",H115="",H115&lt;=0),"",(E115*H115+SUMIFS(加仓管理!$H$2:$H$1001,加仓管理!$A$2:$A$1001,A115))/AP115)</f>
        <v/>
      </c>
      <c r="AP115" s="13" t="str">
        <f aca="false">IF(OR(A115="",H115="",H115&lt;=0),"",H115+AL115)</f>
        <v/>
      </c>
      <c r="AQ115" s="14" t="str">
        <f aca="false">IF(A115="","",IF(M115&lt;&gt;"",0,IF(OR(H115="",N115=""),"",MAX((E115*H115+SUMIFS(加仓管理!$H$2:$H$1001,加仓管理!$A$2:$A$1001,A115))-MAX(N115,AN115)*AP115,0))))</f>
        <v/>
      </c>
      <c r="AR115" s="15" t="str">
        <f aca="false">IF(A115="","",IF(OR(E115="",H115=""),"违规：首次买入价格或股数缺失",IF(COUNTIFS(加仓管理!$A$2:$A$1001,A115,加仓管理!$R$2:$R$1001,"违规*")&gt;0,"违规：请检查加仓管理表",IF(SUM($AQ$2:$AQ$201)&gt;账户数据!$B$7,"预警：超过账户风险上限",IF(COUNTIFS(加仓管理!$A$2:$A$1001,A115,加仓管理!$N$2:$N$1001,"&gt;0",加仓管理!$G$2:$G$1001,"")&gt;0,"提示：存在待执行加仓计划","通过")))))</f>
        <v/>
      </c>
    </row>
    <row r="116" customFormat="false" ht="13.5" hidden="false" customHeight="false" outlineLevel="0" collapsed="false">
      <c r="A116" s="4"/>
      <c r="B116" s="4"/>
      <c r="C116" s="5"/>
      <c r="D116" s="6"/>
      <c r="E116" s="5"/>
      <c r="F116" s="7" t="str">
        <f aca="false">IF(OR(C116="",D116="",E116="",N116="",C116&lt;=0,D116&lt;=0,E116&lt;=N116),"",ROUNDDOWN((C116*D116)/(E116-N116)/100,0)*100)</f>
        <v/>
      </c>
      <c r="G116" s="7" t="str">
        <f aca="false">IF(A116="","",IF(H116&lt;&gt;"","已开仓",IF(账户数据!$B$23="已锁仓","禁止开仓：连续亏损达到上限",IF(账户数据!$B$23="解锁信息不完整","禁止开仓：请完整填写解锁信息",IF(OR(F116="",E116="",N116="",E116&lt;=N116,账户数据!$B$7=""),"",IF(OR(AG116="",AH116="",AI116=""),"禁止开仓：交易预期未填写完整",IF(账户数据!$B$9+F116*(E116-N116)&gt;=账户数据!$B$7,"禁止开仓：风险额度不足",IF(AJ116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6" s="4"/>
      <c r="I116" s="8"/>
      <c r="J116" s="5"/>
      <c r="K116" s="11"/>
      <c r="L116" s="7" t="str">
        <f aca="false">IF(AP116="","",AP116)</f>
        <v/>
      </c>
      <c r="M116" s="19"/>
      <c r="N116" s="5"/>
      <c r="O116" s="5"/>
      <c r="P116" s="11"/>
      <c r="Q116" s="4"/>
      <c r="R116" s="4"/>
      <c r="S116" s="4"/>
      <c r="T116" s="4"/>
      <c r="U116" s="9" t="str">
        <f aca="false">IF(OR(AO116="",J116="",AO116&lt;=0),"",(J116-AO116)/AO116)</f>
        <v/>
      </c>
      <c r="V116" s="9" t="str">
        <f aca="false">IF(OR(AO116="",N116="",AO116&lt;=0),"",(AO116-N116)/AO116)</f>
        <v/>
      </c>
      <c r="W116" s="10" t="str">
        <f aca="false">IF(OR(U116="",V116="",V116&lt;=0),"",U116/V116)</f>
        <v/>
      </c>
      <c r="X116" s="11" t="str">
        <f aca="false">IF(OR(K116="",L116="",AO116="",AP116=""),"",(K116-AO116)*L116-IF(O116="",0,O116)-IF(P116="",0,P116))</f>
        <v/>
      </c>
      <c r="Y116" s="9" t="str">
        <f aca="false">IF(OR(X116="",AO116="",L116=""),"",IF(AO116*L116+IF(O116="",0,O116)&lt;=0,"",X116/(AO116*L116+IF(O116="",0,O116))))</f>
        <v/>
      </c>
      <c r="Z116" s="9" t="str">
        <f aca="false">IF(OR(AE116="",多次统计数据!$B$8=""),"",AE116-多次统计数据!$B$8)</f>
        <v/>
      </c>
      <c r="AA116" s="12" t="str">
        <f aca="false">IF(OR(I116="",M116="",M116&lt;I116),"",M116-I116)</f>
        <v/>
      </c>
      <c r="AB116" s="9" t="str">
        <f aca="false">IF(OR(A116="",多次统计数据!$B$8="",多次统计数据!$B$6&lt;=0,多次统计数据!$B$6&gt;=1),"",1-POWER(1+多次统计数据!$B$8,-多次统计数据!$B$6/(1-多次统计数据!$B$6)))</f>
        <v/>
      </c>
      <c r="AC116" s="7" t="str">
        <f aca="false">IF(OR(AB116="",多次统计数据!$B$9=""),"",IF(多次统计数据!$B$9&lt;AB116,"低于上限","达到或超过上限"))</f>
        <v/>
      </c>
      <c r="AD116" s="4"/>
      <c r="AE116" s="9" t="str">
        <f aca="false">IF(OR(X116="",C116="",C116&lt;=0),"",X116/C116)</f>
        <v/>
      </c>
      <c r="AG116" s="4"/>
      <c r="AH116" s="4"/>
      <c r="AI116" s="4"/>
      <c r="AJ116" s="7" t="str">
        <f aca="false">IF(OR(AG116="",AH116=""),"",IF(OR(AND(AG116="短期博反弹",OR(AH116="1～3个交易日",AH116="4～10个交易日")),AND(AG116="突破冲新高",OR(AH116="4～10个交易日",AH116="11～20个交易日")),AND(AG116="趋势波段",OR(AH116="11～20个交易日",AH116="21～60个交易日",AH116="60个交易日以上"))),"匹配","周期与交易预期不匹配，请重新确认"))</f>
        <v/>
      </c>
      <c r="AK116" s="13" t="str">
        <f aca="false">IF(A116="","",COUNTIFS(加仓管理!$A$2:$A$1001,A116,加仓管理!$G$2:$G$1001,"&gt;0"))</f>
        <v/>
      </c>
      <c r="AL116" s="13" t="str">
        <f aca="false">IF(A116="","",SUMIFS(加仓管理!$G$2:$G$1001,加仓管理!$A$2:$A$1001,A116))</f>
        <v/>
      </c>
      <c r="AM116" s="14" t="str">
        <f aca="false">IF(AK116=0,"",IFERROR(LOOKUP(2,1/((加仓管理!$A$2:$A$1001=A116)*(加仓管理!$G$2:$G$1001&gt;0)),加仓管理!$D$2:$D$1001),""))</f>
        <v/>
      </c>
      <c r="AN116" s="14" t="str">
        <f aca="false">IF(AK116=0,"",IFERROR(LOOKUP(2,1/((加仓管理!$A$2:$A$1001=A116)*(加仓管理!$G$2:$G$1001&gt;0)),加仓管理!$E$2:$E$1001),""))</f>
        <v/>
      </c>
      <c r="AO116" s="14" t="str">
        <f aca="false">IF(OR(A116="",H116="",H116&lt;=0),"",(E116*H116+SUMIFS(加仓管理!$H$2:$H$1001,加仓管理!$A$2:$A$1001,A116))/AP116)</f>
        <v/>
      </c>
      <c r="AP116" s="13" t="str">
        <f aca="false">IF(OR(A116="",H116="",H116&lt;=0),"",H116+AL116)</f>
        <v/>
      </c>
      <c r="AQ116" s="14" t="str">
        <f aca="false">IF(A116="","",IF(M116&lt;&gt;"",0,IF(OR(H116="",N116=""),"",MAX((E116*H116+SUMIFS(加仓管理!$H$2:$H$1001,加仓管理!$A$2:$A$1001,A116))-MAX(N116,AN116)*AP116,0))))</f>
        <v/>
      </c>
      <c r="AR116" s="15" t="str">
        <f aca="false">IF(A116="","",IF(OR(E116="",H116=""),"违规：首次买入价格或股数缺失",IF(COUNTIFS(加仓管理!$A$2:$A$1001,A116,加仓管理!$R$2:$R$1001,"违规*")&gt;0,"违规：请检查加仓管理表",IF(SUM($AQ$2:$AQ$201)&gt;账户数据!$B$7,"预警：超过账户风险上限",IF(COUNTIFS(加仓管理!$A$2:$A$1001,A116,加仓管理!$N$2:$N$1001,"&gt;0",加仓管理!$G$2:$G$1001,"")&gt;0,"提示：存在待执行加仓计划","通过")))))</f>
        <v/>
      </c>
    </row>
    <row r="117" customFormat="false" ht="13.5" hidden="false" customHeight="false" outlineLevel="0" collapsed="false">
      <c r="A117" s="4"/>
      <c r="B117" s="4"/>
      <c r="C117" s="5"/>
      <c r="D117" s="6"/>
      <c r="E117" s="5"/>
      <c r="F117" s="7" t="str">
        <f aca="false">IF(OR(C117="",D117="",E117="",N117="",C117&lt;=0,D117&lt;=0,E117&lt;=N117),"",ROUNDDOWN((C117*D117)/(E117-N117)/100,0)*100)</f>
        <v/>
      </c>
      <c r="G117" s="7" t="str">
        <f aca="false">IF(A117="","",IF(H117&lt;&gt;"","已开仓",IF(账户数据!$B$23="已锁仓","禁止开仓：连续亏损达到上限",IF(账户数据!$B$23="解锁信息不完整","禁止开仓：请完整填写解锁信息",IF(OR(F117="",E117="",N117="",E117&lt;=N117,账户数据!$B$7=""),"",IF(OR(AG117="",AH117="",AI117=""),"禁止开仓：交易预期未填写完整",IF(账户数据!$B$9+F117*(E117-N117)&gt;=账户数据!$B$7,"禁止开仓：风险额度不足",IF(AJ117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7" s="4"/>
      <c r="I117" s="8"/>
      <c r="J117" s="5"/>
      <c r="K117" s="11"/>
      <c r="L117" s="7" t="str">
        <f aca="false">IF(AP117="","",AP117)</f>
        <v/>
      </c>
      <c r="M117" s="19"/>
      <c r="N117" s="5"/>
      <c r="O117" s="5"/>
      <c r="P117" s="11"/>
      <c r="Q117" s="4"/>
      <c r="R117" s="4"/>
      <c r="S117" s="4"/>
      <c r="T117" s="4"/>
      <c r="U117" s="9" t="str">
        <f aca="false">IF(OR(AO117="",J117="",AO117&lt;=0),"",(J117-AO117)/AO117)</f>
        <v/>
      </c>
      <c r="V117" s="9" t="str">
        <f aca="false">IF(OR(AO117="",N117="",AO117&lt;=0),"",(AO117-N117)/AO117)</f>
        <v/>
      </c>
      <c r="W117" s="10" t="str">
        <f aca="false">IF(OR(U117="",V117="",V117&lt;=0),"",U117/V117)</f>
        <v/>
      </c>
      <c r="X117" s="11" t="str">
        <f aca="false">IF(OR(K117="",L117="",AO117="",AP117=""),"",(K117-AO117)*L117-IF(O117="",0,O117)-IF(P117="",0,P117))</f>
        <v/>
      </c>
      <c r="Y117" s="9" t="str">
        <f aca="false">IF(OR(X117="",AO117="",L117=""),"",IF(AO117*L117+IF(O117="",0,O117)&lt;=0,"",X117/(AO117*L117+IF(O117="",0,O117))))</f>
        <v/>
      </c>
      <c r="Z117" s="9" t="str">
        <f aca="false">IF(OR(AE117="",多次统计数据!$B$8=""),"",AE117-多次统计数据!$B$8)</f>
        <v/>
      </c>
      <c r="AA117" s="12" t="str">
        <f aca="false">IF(OR(I117="",M117="",M117&lt;I117),"",M117-I117)</f>
        <v/>
      </c>
      <c r="AB117" s="9" t="str">
        <f aca="false">IF(OR(A117="",多次统计数据!$B$8="",多次统计数据!$B$6&lt;=0,多次统计数据!$B$6&gt;=1),"",1-POWER(1+多次统计数据!$B$8,-多次统计数据!$B$6/(1-多次统计数据!$B$6)))</f>
        <v/>
      </c>
      <c r="AC117" s="7" t="str">
        <f aca="false">IF(OR(AB117="",多次统计数据!$B$9=""),"",IF(多次统计数据!$B$9&lt;AB117,"低于上限","达到或超过上限"))</f>
        <v/>
      </c>
      <c r="AD117" s="4"/>
      <c r="AE117" s="9" t="str">
        <f aca="false">IF(OR(X117="",C117="",C117&lt;=0),"",X117/C117)</f>
        <v/>
      </c>
      <c r="AG117" s="4"/>
      <c r="AH117" s="4"/>
      <c r="AI117" s="4"/>
      <c r="AJ117" s="7" t="str">
        <f aca="false">IF(OR(AG117="",AH117=""),"",IF(OR(AND(AG117="短期博反弹",OR(AH117="1～3个交易日",AH117="4～10个交易日")),AND(AG117="突破冲新高",OR(AH117="4～10个交易日",AH117="11～20个交易日")),AND(AG117="趋势波段",OR(AH117="11～20个交易日",AH117="21～60个交易日",AH117="60个交易日以上"))),"匹配","周期与交易预期不匹配，请重新确认"))</f>
        <v/>
      </c>
      <c r="AK117" s="13" t="str">
        <f aca="false">IF(A117="","",COUNTIFS(加仓管理!$A$2:$A$1001,A117,加仓管理!$G$2:$G$1001,"&gt;0"))</f>
        <v/>
      </c>
      <c r="AL117" s="13" t="str">
        <f aca="false">IF(A117="","",SUMIFS(加仓管理!$G$2:$G$1001,加仓管理!$A$2:$A$1001,A117))</f>
        <v/>
      </c>
      <c r="AM117" s="14" t="str">
        <f aca="false">IF(AK117=0,"",IFERROR(LOOKUP(2,1/((加仓管理!$A$2:$A$1001=A117)*(加仓管理!$G$2:$G$1001&gt;0)),加仓管理!$D$2:$D$1001),""))</f>
        <v/>
      </c>
      <c r="AN117" s="14" t="str">
        <f aca="false">IF(AK117=0,"",IFERROR(LOOKUP(2,1/((加仓管理!$A$2:$A$1001=A117)*(加仓管理!$G$2:$G$1001&gt;0)),加仓管理!$E$2:$E$1001),""))</f>
        <v/>
      </c>
      <c r="AO117" s="14" t="str">
        <f aca="false">IF(OR(A117="",H117="",H117&lt;=0),"",(E117*H117+SUMIFS(加仓管理!$H$2:$H$1001,加仓管理!$A$2:$A$1001,A117))/AP117)</f>
        <v/>
      </c>
      <c r="AP117" s="13" t="str">
        <f aca="false">IF(OR(A117="",H117="",H117&lt;=0),"",H117+AL117)</f>
        <v/>
      </c>
      <c r="AQ117" s="14" t="str">
        <f aca="false">IF(A117="","",IF(M117&lt;&gt;"",0,IF(OR(H117="",N117=""),"",MAX((E117*H117+SUMIFS(加仓管理!$H$2:$H$1001,加仓管理!$A$2:$A$1001,A117))-MAX(N117,AN117)*AP117,0))))</f>
        <v/>
      </c>
      <c r="AR117" s="15" t="str">
        <f aca="false">IF(A117="","",IF(OR(E117="",H117=""),"违规：首次买入价格或股数缺失",IF(COUNTIFS(加仓管理!$A$2:$A$1001,A117,加仓管理!$R$2:$R$1001,"违规*")&gt;0,"违规：请检查加仓管理表",IF(SUM($AQ$2:$AQ$201)&gt;账户数据!$B$7,"预警：超过账户风险上限",IF(COUNTIFS(加仓管理!$A$2:$A$1001,A117,加仓管理!$N$2:$N$1001,"&gt;0",加仓管理!$G$2:$G$1001,"")&gt;0,"提示：存在待执行加仓计划","通过")))))</f>
        <v/>
      </c>
    </row>
    <row r="118" customFormat="false" ht="13.5" hidden="false" customHeight="false" outlineLevel="0" collapsed="false">
      <c r="A118" s="4"/>
      <c r="B118" s="4"/>
      <c r="C118" s="5"/>
      <c r="D118" s="6"/>
      <c r="E118" s="5"/>
      <c r="F118" s="7" t="str">
        <f aca="false">IF(OR(C118="",D118="",E118="",N118="",C118&lt;=0,D118&lt;=0,E118&lt;=N118),"",ROUNDDOWN((C118*D118)/(E118-N118)/100,0)*100)</f>
        <v/>
      </c>
      <c r="G118" s="7" t="str">
        <f aca="false">IF(A118="","",IF(H118&lt;&gt;"","已开仓",IF(账户数据!$B$23="已锁仓","禁止开仓：连续亏损达到上限",IF(账户数据!$B$23="解锁信息不完整","禁止开仓：请完整填写解锁信息",IF(OR(F118="",E118="",N118="",E118&lt;=N118,账户数据!$B$7=""),"",IF(OR(AG118="",AH118="",AI118=""),"禁止开仓：交易预期未填写完整",IF(账户数据!$B$9+F118*(E118-N118)&gt;=账户数据!$B$7,"禁止开仓：风险额度不足",IF(AJ118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8" s="4"/>
      <c r="I118" s="8"/>
      <c r="J118" s="5"/>
      <c r="K118" s="11"/>
      <c r="L118" s="7" t="str">
        <f aca="false">IF(AP118="","",AP118)</f>
        <v/>
      </c>
      <c r="M118" s="19"/>
      <c r="N118" s="5"/>
      <c r="O118" s="5"/>
      <c r="P118" s="11"/>
      <c r="Q118" s="4"/>
      <c r="R118" s="4"/>
      <c r="S118" s="4"/>
      <c r="T118" s="4"/>
      <c r="U118" s="9" t="str">
        <f aca="false">IF(OR(AO118="",J118="",AO118&lt;=0),"",(J118-AO118)/AO118)</f>
        <v/>
      </c>
      <c r="V118" s="9" t="str">
        <f aca="false">IF(OR(AO118="",N118="",AO118&lt;=0),"",(AO118-N118)/AO118)</f>
        <v/>
      </c>
      <c r="W118" s="10" t="str">
        <f aca="false">IF(OR(U118="",V118="",V118&lt;=0),"",U118/V118)</f>
        <v/>
      </c>
      <c r="X118" s="11" t="str">
        <f aca="false">IF(OR(K118="",L118="",AO118="",AP118=""),"",(K118-AO118)*L118-IF(O118="",0,O118)-IF(P118="",0,P118))</f>
        <v/>
      </c>
      <c r="Y118" s="9" t="str">
        <f aca="false">IF(OR(X118="",AO118="",L118=""),"",IF(AO118*L118+IF(O118="",0,O118)&lt;=0,"",X118/(AO118*L118+IF(O118="",0,O118))))</f>
        <v/>
      </c>
      <c r="Z118" s="9" t="str">
        <f aca="false">IF(OR(AE118="",多次统计数据!$B$8=""),"",AE118-多次统计数据!$B$8)</f>
        <v/>
      </c>
      <c r="AA118" s="12" t="str">
        <f aca="false">IF(OR(I118="",M118="",M118&lt;I118),"",M118-I118)</f>
        <v/>
      </c>
      <c r="AB118" s="9" t="str">
        <f aca="false">IF(OR(A118="",多次统计数据!$B$8="",多次统计数据!$B$6&lt;=0,多次统计数据!$B$6&gt;=1),"",1-POWER(1+多次统计数据!$B$8,-多次统计数据!$B$6/(1-多次统计数据!$B$6)))</f>
        <v/>
      </c>
      <c r="AC118" s="7" t="str">
        <f aca="false">IF(OR(AB118="",多次统计数据!$B$9=""),"",IF(多次统计数据!$B$9&lt;AB118,"低于上限","达到或超过上限"))</f>
        <v/>
      </c>
      <c r="AD118" s="4"/>
      <c r="AE118" s="9" t="str">
        <f aca="false">IF(OR(X118="",C118="",C118&lt;=0),"",X118/C118)</f>
        <v/>
      </c>
      <c r="AG118" s="4"/>
      <c r="AH118" s="4"/>
      <c r="AI118" s="4"/>
      <c r="AJ118" s="7" t="str">
        <f aca="false">IF(OR(AG118="",AH118=""),"",IF(OR(AND(AG118="短期博反弹",OR(AH118="1～3个交易日",AH118="4～10个交易日")),AND(AG118="突破冲新高",OR(AH118="4～10个交易日",AH118="11～20个交易日")),AND(AG118="趋势波段",OR(AH118="11～20个交易日",AH118="21～60个交易日",AH118="60个交易日以上"))),"匹配","周期与交易预期不匹配，请重新确认"))</f>
        <v/>
      </c>
      <c r="AK118" s="13" t="str">
        <f aca="false">IF(A118="","",COUNTIFS(加仓管理!$A$2:$A$1001,A118,加仓管理!$G$2:$G$1001,"&gt;0"))</f>
        <v/>
      </c>
      <c r="AL118" s="13" t="str">
        <f aca="false">IF(A118="","",SUMIFS(加仓管理!$G$2:$G$1001,加仓管理!$A$2:$A$1001,A118))</f>
        <v/>
      </c>
      <c r="AM118" s="14" t="str">
        <f aca="false">IF(AK118=0,"",IFERROR(LOOKUP(2,1/((加仓管理!$A$2:$A$1001=A118)*(加仓管理!$G$2:$G$1001&gt;0)),加仓管理!$D$2:$D$1001),""))</f>
        <v/>
      </c>
      <c r="AN118" s="14" t="str">
        <f aca="false">IF(AK118=0,"",IFERROR(LOOKUP(2,1/((加仓管理!$A$2:$A$1001=A118)*(加仓管理!$G$2:$G$1001&gt;0)),加仓管理!$E$2:$E$1001),""))</f>
        <v/>
      </c>
      <c r="AO118" s="14" t="str">
        <f aca="false">IF(OR(A118="",H118="",H118&lt;=0),"",(E118*H118+SUMIFS(加仓管理!$H$2:$H$1001,加仓管理!$A$2:$A$1001,A118))/AP118)</f>
        <v/>
      </c>
      <c r="AP118" s="13" t="str">
        <f aca="false">IF(OR(A118="",H118="",H118&lt;=0),"",H118+AL118)</f>
        <v/>
      </c>
      <c r="AQ118" s="14" t="str">
        <f aca="false">IF(A118="","",IF(M118&lt;&gt;"",0,IF(OR(H118="",N118=""),"",MAX((E118*H118+SUMIFS(加仓管理!$H$2:$H$1001,加仓管理!$A$2:$A$1001,A118))-MAX(N118,AN118)*AP118,0))))</f>
        <v/>
      </c>
      <c r="AR118" s="15" t="str">
        <f aca="false">IF(A118="","",IF(OR(E118="",H118=""),"违规：首次买入价格或股数缺失",IF(COUNTIFS(加仓管理!$A$2:$A$1001,A118,加仓管理!$R$2:$R$1001,"违规*")&gt;0,"违规：请检查加仓管理表",IF(SUM($AQ$2:$AQ$201)&gt;账户数据!$B$7,"预警：超过账户风险上限",IF(COUNTIFS(加仓管理!$A$2:$A$1001,A118,加仓管理!$N$2:$N$1001,"&gt;0",加仓管理!$G$2:$G$1001,"")&gt;0,"提示：存在待执行加仓计划","通过")))))</f>
        <v/>
      </c>
    </row>
    <row r="119" customFormat="false" ht="13.5" hidden="false" customHeight="false" outlineLevel="0" collapsed="false">
      <c r="A119" s="4"/>
      <c r="B119" s="4"/>
      <c r="C119" s="5"/>
      <c r="D119" s="6"/>
      <c r="E119" s="5"/>
      <c r="F119" s="7" t="str">
        <f aca="false">IF(OR(C119="",D119="",E119="",N119="",C119&lt;=0,D119&lt;=0,E119&lt;=N119),"",ROUNDDOWN((C119*D119)/(E119-N119)/100,0)*100)</f>
        <v/>
      </c>
      <c r="G119" s="7" t="str">
        <f aca="false">IF(A119="","",IF(H119&lt;&gt;"","已开仓",IF(账户数据!$B$23="已锁仓","禁止开仓：连续亏损达到上限",IF(账户数据!$B$23="解锁信息不完整","禁止开仓：请完整填写解锁信息",IF(OR(F119="",E119="",N119="",E119&lt;=N119,账户数据!$B$7=""),"",IF(OR(AG119="",AH119="",AI119=""),"禁止开仓：交易预期未填写完整",IF(账户数据!$B$9+F119*(E119-N119)&gt;=账户数据!$B$7,"禁止开仓：风险额度不足",IF(AJ119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9" s="4"/>
      <c r="I119" s="8"/>
      <c r="J119" s="5"/>
      <c r="K119" s="11"/>
      <c r="L119" s="7" t="str">
        <f aca="false">IF(AP119="","",AP119)</f>
        <v/>
      </c>
      <c r="M119" s="19"/>
      <c r="N119" s="5"/>
      <c r="O119" s="5"/>
      <c r="P119" s="11"/>
      <c r="Q119" s="4"/>
      <c r="R119" s="4"/>
      <c r="S119" s="4"/>
      <c r="T119" s="4"/>
      <c r="U119" s="9" t="str">
        <f aca="false">IF(OR(AO119="",J119="",AO119&lt;=0),"",(J119-AO119)/AO119)</f>
        <v/>
      </c>
      <c r="V119" s="9" t="str">
        <f aca="false">IF(OR(AO119="",N119="",AO119&lt;=0),"",(AO119-N119)/AO119)</f>
        <v/>
      </c>
      <c r="W119" s="10" t="str">
        <f aca="false">IF(OR(U119="",V119="",V119&lt;=0),"",U119/V119)</f>
        <v/>
      </c>
      <c r="X119" s="11" t="str">
        <f aca="false">IF(OR(K119="",L119="",AO119="",AP119=""),"",(K119-AO119)*L119-IF(O119="",0,O119)-IF(P119="",0,P119))</f>
        <v/>
      </c>
      <c r="Y119" s="9" t="str">
        <f aca="false">IF(OR(X119="",AO119="",L119=""),"",IF(AO119*L119+IF(O119="",0,O119)&lt;=0,"",X119/(AO119*L119+IF(O119="",0,O119))))</f>
        <v/>
      </c>
      <c r="Z119" s="9" t="str">
        <f aca="false">IF(OR(AE119="",多次统计数据!$B$8=""),"",AE119-多次统计数据!$B$8)</f>
        <v/>
      </c>
      <c r="AA119" s="12" t="str">
        <f aca="false">IF(OR(I119="",M119="",M119&lt;I119),"",M119-I119)</f>
        <v/>
      </c>
      <c r="AB119" s="9" t="str">
        <f aca="false">IF(OR(A119="",多次统计数据!$B$8="",多次统计数据!$B$6&lt;=0,多次统计数据!$B$6&gt;=1),"",1-POWER(1+多次统计数据!$B$8,-多次统计数据!$B$6/(1-多次统计数据!$B$6)))</f>
        <v/>
      </c>
      <c r="AC119" s="7" t="str">
        <f aca="false">IF(OR(AB119="",多次统计数据!$B$9=""),"",IF(多次统计数据!$B$9&lt;AB119,"低于上限","达到或超过上限"))</f>
        <v/>
      </c>
      <c r="AD119" s="4"/>
      <c r="AE119" s="9" t="str">
        <f aca="false">IF(OR(X119="",C119="",C119&lt;=0),"",X119/C119)</f>
        <v/>
      </c>
      <c r="AG119" s="4"/>
      <c r="AH119" s="4"/>
      <c r="AI119" s="4"/>
      <c r="AJ119" s="7" t="str">
        <f aca="false">IF(OR(AG119="",AH119=""),"",IF(OR(AND(AG119="短期博反弹",OR(AH119="1～3个交易日",AH119="4～10个交易日")),AND(AG119="突破冲新高",OR(AH119="4～10个交易日",AH119="11～20个交易日")),AND(AG119="趋势波段",OR(AH119="11～20个交易日",AH119="21～60个交易日",AH119="60个交易日以上"))),"匹配","周期与交易预期不匹配，请重新确认"))</f>
        <v/>
      </c>
      <c r="AK119" s="13" t="str">
        <f aca="false">IF(A119="","",COUNTIFS(加仓管理!$A$2:$A$1001,A119,加仓管理!$G$2:$G$1001,"&gt;0"))</f>
        <v/>
      </c>
      <c r="AL119" s="13" t="str">
        <f aca="false">IF(A119="","",SUMIFS(加仓管理!$G$2:$G$1001,加仓管理!$A$2:$A$1001,A119))</f>
        <v/>
      </c>
      <c r="AM119" s="14" t="str">
        <f aca="false">IF(AK119=0,"",IFERROR(LOOKUP(2,1/((加仓管理!$A$2:$A$1001=A119)*(加仓管理!$G$2:$G$1001&gt;0)),加仓管理!$D$2:$D$1001),""))</f>
        <v/>
      </c>
      <c r="AN119" s="14" t="str">
        <f aca="false">IF(AK119=0,"",IFERROR(LOOKUP(2,1/((加仓管理!$A$2:$A$1001=A119)*(加仓管理!$G$2:$G$1001&gt;0)),加仓管理!$E$2:$E$1001),""))</f>
        <v/>
      </c>
      <c r="AO119" s="14" t="str">
        <f aca="false">IF(OR(A119="",H119="",H119&lt;=0),"",(E119*H119+SUMIFS(加仓管理!$H$2:$H$1001,加仓管理!$A$2:$A$1001,A119))/AP119)</f>
        <v/>
      </c>
      <c r="AP119" s="13" t="str">
        <f aca="false">IF(OR(A119="",H119="",H119&lt;=0),"",H119+AL119)</f>
        <v/>
      </c>
      <c r="AQ119" s="14" t="str">
        <f aca="false">IF(A119="","",IF(M119&lt;&gt;"",0,IF(OR(H119="",N119=""),"",MAX((E119*H119+SUMIFS(加仓管理!$H$2:$H$1001,加仓管理!$A$2:$A$1001,A119))-MAX(N119,AN119)*AP119,0))))</f>
        <v/>
      </c>
      <c r="AR119" s="15" t="str">
        <f aca="false">IF(A119="","",IF(OR(E119="",H119=""),"违规：首次买入价格或股数缺失",IF(COUNTIFS(加仓管理!$A$2:$A$1001,A119,加仓管理!$R$2:$R$1001,"违规*")&gt;0,"违规：请检查加仓管理表",IF(SUM($AQ$2:$AQ$201)&gt;账户数据!$B$7,"预警：超过账户风险上限",IF(COUNTIFS(加仓管理!$A$2:$A$1001,A119,加仓管理!$N$2:$N$1001,"&gt;0",加仓管理!$G$2:$G$1001,"")&gt;0,"提示：存在待执行加仓计划","通过")))))</f>
        <v/>
      </c>
    </row>
    <row r="120" customFormat="false" ht="13.5" hidden="false" customHeight="false" outlineLevel="0" collapsed="false">
      <c r="A120" s="4"/>
      <c r="B120" s="4"/>
      <c r="C120" s="5"/>
      <c r="D120" s="6"/>
      <c r="E120" s="5"/>
      <c r="F120" s="7" t="str">
        <f aca="false">IF(OR(C120="",D120="",E120="",N120="",C120&lt;=0,D120&lt;=0,E120&lt;=N120),"",ROUNDDOWN((C120*D120)/(E120-N120)/100,0)*100)</f>
        <v/>
      </c>
      <c r="G120" s="7" t="str">
        <f aca="false">IF(A120="","",IF(H120&lt;&gt;"","已开仓",IF(账户数据!$B$23="已锁仓","禁止开仓：连续亏损达到上限",IF(账户数据!$B$23="解锁信息不完整","禁止开仓：请完整填写解锁信息",IF(OR(F120="",E120="",N120="",E120&lt;=N120,账户数据!$B$7=""),"",IF(OR(AG120="",AH120="",AI120=""),"禁止开仓：交易预期未填写完整",IF(账户数据!$B$9+F120*(E120-N120)&gt;=账户数据!$B$7,"禁止开仓：风险额度不足",IF(AJ120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0" s="4"/>
      <c r="I120" s="8"/>
      <c r="J120" s="5"/>
      <c r="K120" s="11"/>
      <c r="L120" s="7" t="str">
        <f aca="false">IF(AP120="","",AP120)</f>
        <v/>
      </c>
      <c r="M120" s="19"/>
      <c r="N120" s="5"/>
      <c r="O120" s="5"/>
      <c r="P120" s="11"/>
      <c r="Q120" s="4"/>
      <c r="R120" s="4"/>
      <c r="S120" s="4"/>
      <c r="T120" s="4"/>
      <c r="U120" s="9" t="str">
        <f aca="false">IF(OR(AO120="",J120="",AO120&lt;=0),"",(J120-AO120)/AO120)</f>
        <v/>
      </c>
      <c r="V120" s="9" t="str">
        <f aca="false">IF(OR(AO120="",N120="",AO120&lt;=0),"",(AO120-N120)/AO120)</f>
        <v/>
      </c>
      <c r="W120" s="10" t="str">
        <f aca="false">IF(OR(U120="",V120="",V120&lt;=0),"",U120/V120)</f>
        <v/>
      </c>
      <c r="X120" s="11" t="str">
        <f aca="false">IF(OR(K120="",L120="",AO120="",AP120=""),"",(K120-AO120)*L120-IF(O120="",0,O120)-IF(P120="",0,P120))</f>
        <v/>
      </c>
      <c r="Y120" s="9" t="str">
        <f aca="false">IF(OR(X120="",AO120="",L120=""),"",IF(AO120*L120+IF(O120="",0,O120)&lt;=0,"",X120/(AO120*L120+IF(O120="",0,O120))))</f>
        <v/>
      </c>
      <c r="Z120" s="9" t="str">
        <f aca="false">IF(OR(AE120="",多次统计数据!$B$8=""),"",AE120-多次统计数据!$B$8)</f>
        <v/>
      </c>
      <c r="AA120" s="12" t="str">
        <f aca="false">IF(OR(I120="",M120="",M120&lt;I120),"",M120-I120)</f>
        <v/>
      </c>
      <c r="AB120" s="9" t="str">
        <f aca="false">IF(OR(A120="",多次统计数据!$B$8="",多次统计数据!$B$6&lt;=0,多次统计数据!$B$6&gt;=1),"",1-POWER(1+多次统计数据!$B$8,-多次统计数据!$B$6/(1-多次统计数据!$B$6)))</f>
        <v/>
      </c>
      <c r="AC120" s="7" t="str">
        <f aca="false">IF(OR(AB120="",多次统计数据!$B$9=""),"",IF(多次统计数据!$B$9&lt;AB120,"低于上限","达到或超过上限"))</f>
        <v/>
      </c>
      <c r="AD120" s="4"/>
      <c r="AE120" s="9" t="str">
        <f aca="false">IF(OR(X120="",C120="",C120&lt;=0),"",X120/C120)</f>
        <v/>
      </c>
      <c r="AG120" s="4"/>
      <c r="AH120" s="4"/>
      <c r="AI120" s="4"/>
      <c r="AJ120" s="7" t="str">
        <f aca="false">IF(OR(AG120="",AH120=""),"",IF(OR(AND(AG120="短期博反弹",OR(AH120="1～3个交易日",AH120="4～10个交易日")),AND(AG120="突破冲新高",OR(AH120="4～10个交易日",AH120="11～20个交易日")),AND(AG120="趋势波段",OR(AH120="11～20个交易日",AH120="21～60个交易日",AH120="60个交易日以上"))),"匹配","周期与交易预期不匹配，请重新确认"))</f>
        <v/>
      </c>
      <c r="AK120" s="13" t="str">
        <f aca="false">IF(A120="","",COUNTIFS(加仓管理!$A$2:$A$1001,A120,加仓管理!$G$2:$G$1001,"&gt;0"))</f>
        <v/>
      </c>
      <c r="AL120" s="13" t="str">
        <f aca="false">IF(A120="","",SUMIFS(加仓管理!$G$2:$G$1001,加仓管理!$A$2:$A$1001,A120))</f>
        <v/>
      </c>
      <c r="AM120" s="14" t="str">
        <f aca="false">IF(AK120=0,"",IFERROR(LOOKUP(2,1/((加仓管理!$A$2:$A$1001=A120)*(加仓管理!$G$2:$G$1001&gt;0)),加仓管理!$D$2:$D$1001),""))</f>
        <v/>
      </c>
      <c r="AN120" s="14" t="str">
        <f aca="false">IF(AK120=0,"",IFERROR(LOOKUP(2,1/((加仓管理!$A$2:$A$1001=A120)*(加仓管理!$G$2:$G$1001&gt;0)),加仓管理!$E$2:$E$1001),""))</f>
        <v/>
      </c>
      <c r="AO120" s="14" t="str">
        <f aca="false">IF(OR(A120="",H120="",H120&lt;=0),"",(E120*H120+SUMIFS(加仓管理!$H$2:$H$1001,加仓管理!$A$2:$A$1001,A120))/AP120)</f>
        <v/>
      </c>
      <c r="AP120" s="13" t="str">
        <f aca="false">IF(OR(A120="",H120="",H120&lt;=0),"",H120+AL120)</f>
        <v/>
      </c>
      <c r="AQ120" s="14" t="str">
        <f aca="false">IF(A120="","",IF(M120&lt;&gt;"",0,IF(OR(H120="",N120=""),"",MAX((E120*H120+SUMIFS(加仓管理!$H$2:$H$1001,加仓管理!$A$2:$A$1001,A120))-MAX(N120,AN120)*AP120,0))))</f>
        <v/>
      </c>
      <c r="AR120" s="15" t="str">
        <f aca="false">IF(A120="","",IF(OR(E120="",H120=""),"违规：首次买入价格或股数缺失",IF(COUNTIFS(加仓管理!$A$2:$A$1001,A120,加仓管理!$R$2:$R$1001,"违规*")&gt;0,"违规：请检查加仓管理表",IF(SUM($AQ$2:$AQ$201)&gt;账户数据!$B$7,"预警：超过账户风险上限",IF(COUNTIFS(加仓管理!$A$2:$A$1001,A120,加仓管理!$N$2:$N$1001,"&gt;0",加仓管理!$G$2:$G$1001,"")&gt;0,"提示：存在待执行加仓计划","通过")))))</f>
        <v/>
      </c>
    </row>
    <row r="121" customFormat="false" ht="13.5" hidden="false" customHeight="false" outlineLevel="0" collapsed="false">
      <c r="A121" s="4"/>
      <c r="B121" s="4"/>
      <c r="C121" s="5"/>
      <c r="D121" s="6"/>
      <c r="E121" s="5"/>
      <c r="F121" s="7" t="str">
        <f aca="false">IF(OR(C121="",D121="",E121="",N121="",C121&lt;=0,D121&lt;=0,E121&lt;=N121),"",ROUNDDOWN((C121*D121)/(E121-N121)/100,0)*100)</f>
        <v/>
      </c>
      <c r="G121" s="7" t="str">
        <f aca="false">IF(A121="","",IF(H121&lt;&gt;"","已开仓",IF(账户数据!$B$23="已锁仓","禁止开仓：连续亏损达到上限",IF(账户数据!$B$23="解锁信息不完整","禁止开仓：请完整填写解锁信息",IF(OR(F121="",E121="",N121="",E121&lt;=N121,账户数据!$B$7=""),"",IF(OR(AG121="",AH121="",AI121=""),"禁止开仓：交易预期未填写完整",IF(账户数据!$B$9+F121*(E121-N121)&gt;=账户数据!$B$7,"禁止开仓：风险额度不足",IF(AJ121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1" s="4"/>
      <c r="I121" s="8"/>
      <c r="J121" s="5"/>
      <c r="K121" s="11"/>
      <c r="L121" s="7" t="str">
        <f aca="false">IF(AP121="","",AP121)</f>
        <v/>
      </c>
      <c r="M121" s="19"/>
      <c r="N121" s="5"/>
      <c r="O121" s="5"/>
      <c r="P121" s="11"/>
      <c r="Q121" s="4"/>
      <c r="R121" s="4"/>
      <c r="S121" s="4"/>
      <c r="T121" s="4"/>
      <c r="U121" s="9" t="str">
        <f aca="false">IF(OR(AO121="",J121="",AO121&lt;=0),"",(J121-AO121)/AO121)</f>
        <v/>
      </c>
      <c r="V121" s="9" t="str">
        <f aca="false">IF(OR(AO121="",N121="",AO121&lt;=0),"",(AO121-N121)/AO121)</f>
        <v/>
      </c>
      <c r="W121" s="10" t="str">
        <f aca="false">IF(OR(U121="",V121="",V121&lt;=0),"",U121/V121)</f>
        <v/>
      </c>
      <c r="X121" s="11" t="str">
        <f aca="false">IF(OR(K121="",L121="",AO121="",AP121=""),"",(K121-AO121)*L121-IF(O121="",0,O121)-IF(P121="",0,P121))</f>
        <v/>
      </c>
      <c r="Y121" s="9" t="str">
        <f aca="false">IF(OR(X121="",AO121="",L121=""),"",IF(AO121*L121+IF(O121="",0,O121)&lt;=0,"",X121/(AO121*L121+IF(O121="",0,O121))))</f>
        <v/>
      </c>
      <c r="Z121" s="9" t="str">
        <f aca="false">IF(OR(AE121="",多次统计数据!$B$8=""),"",AE121-多次统计数据!$B$8)</f>
        <v/>
      </c>
      <c r="AA121" s="12" t="str">
        <f aca="false">IF(OR(I121="",M121="",M121&lt;I121),"",M121-I121)</f>
        <v/>
      </c>
      <c r="AB121" s="9" t="str">
        <f aca="false">IF(OR(A121="",多次统计数据!$B$8="",多次统计数据!$B$6&lt;=0,多次统计数据!$B$6&gt;=1),"",1-POWER(1+多次统计数据!$B$8,-多次统计数据!$B$6/(1-多次统计数据!$B$6)))</f>
        <v/>
      </c>
      <c r="AC121" s="7" t="str">
        <f aca="false">IF(OR(AB121="",多次统计数据!$B$9=""),"",IF(多次统计数据!$B$9&lt;AB121,"低于上限","达到或超过上限"))</f>
        <v/>
      </c>
      <c r="AD121" s="4"/>
      <c r="AE121" s="9" t="str">
        <f aca="false">IF(OR(X121="",C121="",C121&lt;=0),"",X121/C121)</f>
        <v/>
      </c>
      <c r="AG121" s="4"/>
      <c r="AH121" s="4"/>
      <c r="AI121" s="4"/>
      <c r="AJ121" s="7" t="str">
        <f aca="false">IF(OR(AG121="",AH121=""),"",IF(OR(AND(AG121="短期博反弹",OR(AH121="1～3个交易日",AH121="4～10个交易日")),AND(AG121="突破冲新高",OR(AH121="4～10个交易日",AH121="11～20个交易日")),AND(AG121="趋势波段",OR(AH121="11～20个交易日",AH121="21～60个交易日",AH121="60个交易日以上"))),"匹配","周期与交易预期不匹配，请重新确认"))</f>
        <v/>
      </c>
      <c r="AK121" s="13" t="str">
        <f aca="false">IF(A121="","",COUNTIFS(加仓管理!$A$2:$A$1001,A121,加仓管理!$G$2:$G$1001,"&gt;0"))</f>
        <v/>
      </c>
      <c r="AL121" s="13" t="str">
        <f aca="false">IF(A121="","",SUMIFS(加仓管理!$G$2:$G$1001,加仓管理!$A$2:$A$1001,A121))</f>
        <v/>
      </c>
      <c r="AM121" s="14" t="str">
        <f aca="false">IF(AK121=0,"",IFERROR(LOOKUP(2,1/((加仓管理!$A$2:$A$1001=A121)*(加仓管理!$G$2:$G$1001&gt;0)),加仓管理!$D$2:$D$1001),""))</f>
        <v/>
      </c>
      <c r="AN121" s="14" t="str">
        <f aca="false">IF(AK121=0,"",IFERROR(LOOKUP(2,1/((加仓管理!$A$2:$A$1001=A121)*(加仓管理!$G$2:$G$1001&gt;0)),加仓管理!$E$2:$E$1001),""))</f>
        <v/>
      </c>
      <c r="AO121" s="14" t="str">
        <f aca="false">IF(OR(A121="",H121="",H121&lt;=0),"",(E121*H121+SUMIFS(加仓管理!$H$2:$H$1001,加仓管理!$A$2:$A$1001,A121))/AP121)</f>
        <v/>
      </c>
      <c r="AP121" s="13" t="str">
        <f aca="false">IF(OR(A121="",H121="",H121&lt;=0),"",H121+AL121)</f>
        <v/>
      </c>
      <c r="AQ121" s="14" t="str">
        <f aca="false">IF(A121="","",IF(M121&lt;&gt;"",0,IF(OR(H121="",N121=""),"",MAX((E121*H121+SUMIFS(加仓管理!$H$2:$H$1001,加仓管理!$A$2:$A$1001,A121))-MAX(N121,AN121)*AP121,0))))</f>
        <v/>
      </c>
      <c r="AR121" s="15" t="str">
        <f aca="false">IF(A121="","",IF(OR(E121="",H121=""),"违规：首次买入价格或股数缺失",IF(COUNTIFS(加仓管理!$A$2:$A$1001,A121,加仓管理!$R$2:$R$1001,"违规*")&gt;0,"违规：请检查加仓管理表",IF(SUM($AQ$2:$AQ$201)&gt;账户数据!$B$7,"预警：超过账户风险上限",IF(COUNTIFS(加仓管理!$A$2:$A$1001,A121,加仓管理!$N$2:$N$1001,"&gt;0",加仓管理!$G$2:$G$1001,"")&gt;0,"提示：存在待执行加仓计划","通过")))))</f>
        <v/>
      </c>
    </row>
    <row r="122" customFormat="false" ht="13.5" hidden="false" customHeight="false" outlineLevel="0" collapsed="false">
      <c r="A122" s="4"/>
      <c r="B122" s="4"/>
      <c r="C122" s="5"/>
      <c r="D122" s="6"/>
      <c r="E122" s="5"/>
      <c r="F122" s="7" t="str">
        <f aca="false">IF(OR(C122="",D122="",E122="",N122="",C122&lt;=0,D122&lt;=0,E122&lt;=N122),"",ROUNDDOWN((C122*D122)/(E122-N122)/100,0)*100)</f>
        <v/>
      </c>
      <c r="G122" s="7" t="str">
        <f aca="false">IF(A122="","",IF(H122&lt;&gt;"","已开仓",IF(账户数据!$B$23="已锁仓","禁止开仓：连续亏损达到上限",IF(账户数据!$B$23="解锁信息不完整","禁止开仓：请完整填写解锁信息",IF(OR(F122="",E122="",N122="",E122&lt;=N122,账户数据!$B$7=""),"",IF(OR(AG122="",AH122="",AI122=""),"禁止开仓：交易预期未填写完整",IF(账户数据!$B$9+F122*(E122-N122)&gt;=账户数据!$B$7,"禁止开仓：风险额度不足",IF(AJ122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2" s="4"/>
      <c r="I122" s="8"/>
      <c r="J122" s="5"/>
      <c r="K122" s="11"/>
      <c r="L122" s="7" t="str">
        <f aca="false">IF(AP122="","",AP122)</f>
        <v/>
      </c>
      <c r="M122" s="19"/>
      <c r="N122" s="5"/>
      <c r="O122" s="5"/>
      <c r="P122" s="11"/>
      <c r="Q122" s="4"/>
      <c r="R122" s="4"/>
      <c r="S122" s="4"/>
      <c r="T122" s="4"/>
      <c r="U122" s="9" t="str">
        <f aca="false">IF(OR(AO122="",J122="",AO122&lt;=0),"",(J122-AO122)/AO122)</f>
        <v/>
      </c>
      <c r="V122" s="9" t="str">
        <f aca="false">IF(OR(AO122="",N122="",AO122&lt;=0),"",(AO122-N122)/AO122)</f>
        <v/>
      </c>
      <c r="W122" s="10" t="str">
        <f aca="false">IF(OR(U122="",V122="",V122&lt;=0),"",U122/V122)</f>
        <v/>
      </c>
      <c r="X122" s="11" t="str">
        <f aca="false">IF(OR(K122="",L122="",AO122="",AP122=""),"",(K122-AO122)*L122-IF(O122="",0,O122)-IF(P122="",0,P122))</f>
        <v/>
      </c>
      <c r="Y122" s="9" t="str">
        <f aca="false">IF(OR(X122="",AO122="",L122=""),"",IF(AO122*L122+IF(O122="",0,O122)&lt;=0,"",X122/(AO122*L122+IF(O122="",0,O122))))</f>
        <v/>
      </c>
      <c r="Z122" s="9" t="str">
        <f aca="false">IF(OR(AE122="",多次统计数据!$B$8=""),"",AE122-多次统计数据!$B$8)</f>
        <v/>
      </c>
      <c r="AA122" s="12" t="str">
        <f aca="false">IF(OR(I122="",M122="",M122&lt;I122),"",M122-I122)</f>
        <v/>
      </c>
      <c r="AB122" s="9" t="str">
        <f aca="false">IF(OR(A122="",多次统计数据!$B$8="",多次统计数据!$B$6&lt;=0,多次统计数据!$B$6&gt;=1),"",1-POWER(1+多次统计数据!$B$8,-多次统计数据!$B$6/(1-多次统计数据!$B$6)))</f>
        <v/>
      </c>
      <c r="AC122" s="7" t="str">
        <f aca="false">IF(OR(AB122="",多次统计数据!$B$9=""),"",IF(多次统计数据!$B$9&lt;AB122,"低于上限","达到或超过上限"))</f>
        <v/>
      </c>
      <c r="AD122" s="4"/>
      <c r="AE122" s="9" t="str">
        <f aca="false">IF(OR(X122="",C122="",C122&lt;=0),"",X122/C122)</f>
        <v/>
      </c>
      <c r="AG122" s="4"/>
      <c r="AH122" s="4"/>
      <c r="AI122" s="4"/>
      <c r="AJ122" s="7" t="str">
        <f aca="false">IF(OR(AG122="",AH122=""),"",IF(OR(AND(AG122="短期博反弹",OR(AH122="1～3个交易日",AH122="4～10个交易日")),AND(AG122="突破冲新高",OR(AH122="4～10个交易日",AH122="11～20个交易日")),AND(AG122="趋势波段",OR(AH122="11～20个交易日",AH122="21～60个交易日",AH122="60个交易日以上"))),"匹配","周期与交易预期不匹配，请重新确认"))</f>
        <v/>
      </c>
      <c r="AK122" s="13" t="str">
        <f aca="false">IF(A122="","",COUNTIFS(加仓管理!$A$2:$A$1001,A122,加仓管理!$G$2:$G$1001,"&gt;0"))</f>
        <v/>
      </c>
      <c r="AL122" s="13" t="str">
        <f aca="false">IF(A122="","",SUMIFS(加仓管理!$G$2:$G$1001,加仓管理!$A$2:$A$1001,A122))</f>
        <v/>
      </c>
      <c r="AM122" s="14" t="str">
        <f aca="false">IF(AK122=0,"",IFERROR(LOOKUP(2,1/((加仓管理!$A$2:$A$1001=A122)*(加仓管理!$G$2:$G$1001&gt;0)),加仓管理!$D$2:$D$1001),""))</f>
        <v/>
      </c>
      <c r="AN122" s="14" t="str">
        <f aca="false">IF(AK122=0,"",IFERROR(LOOKUP(2,1/((加仓管理!$A$2:$A$1001=A122)*(加仓管理!$G$2:$G$1001&gt;0)),加仓管理!$E$2:$E$1001),""))</f>
        <v/>
      </c>
      <c r="AO122" s="14" t="str">
        <f aca="false">IF(OR(A122="",H122="",H122&lt;=0),"",(E122*H122+SUMIFS(加仓管理!$H$2:$H$1001,加仓管理!$A$2:$A$1001,A122))/AP122)</f>
        <v/>
      </c>
      <c r="AP122" s="13" t="str">
        <f aca="false">IF(OR(A122="",H122="",H122&lt;=0),"",H122+AL122)</f>
        <v/>
      </c>
      <c r="AQ122" s="14" t="str">
        <f aca="false">IF(A122="","",IF(M122&lt;&gt;"",0,IF(OR(H122="",N122=""),"",MAX((E122*H122+SUMIFS(加仓管理!$H$2:$H$1001,加仓管理!$A$2:$A$1001,A122))-MAX(N122,AN122)*AP122,0))))</f>
        <v/>
      </c>
      <c r="AR122" s="15" t="str">
        <f aca="false">IF(A122="","",IF(OR(E122="",H122=""),"违规：首次买入价格或股数缺失",IF(COUNTIFS(加仓管理!$A$2:$A$1001,A122,加仓管理!$R$2:$R$1001,"违规*")&gt;0,"违规：请检查加仓管理表",IF(SUM($AQ$2:$AQ$201)&gt;账户数据!$B$7,"预警：超过账户风险上限",IF(COUNTIFS(加仓管理!$A$2:$A$1001,A122,加仓管理!$N$2:$N$1001,"&gt;0",加仓管理!$G$2:$G$1001,"")&gt;0,"提示：存在待执行加仓计划","通过")))))</f>
        <v/>
      </c>
    </row>
    <row r="123" customFormat="false" ht="13.5" hidden="false" customHeight="false" outlineLevel="0" collapsed="false">
      <c r="A123" s="4"/>
      <c r="B123" s="4"/>
      <c r="C123" s="5"/>
      <c r="D123" s="6"/>
      <c r="E123" s="5"/>
      <c r="F123" s="7" t="str">
        <f aca="false">IF(OR(C123="",D123="",E123="",N123="",C123&lt;=0,D123&lt;=0,E123&lt;=N123),"",ROUNDDOWN((C123*D123)/(E123-N123)/100,0)*100)</f>
        <v/>
      </c>
      <c r="G123" s="7" t="str">
        <f aca="false">IF(A123="","",IF(H123&lt;&gt;"","已开仓",IF(账户数据!$B$23="已锁仓","禁止开仓：连续亏损达到上限",IF(账户数据!$B$23="解锁信息不完整","禁止开仓：请完整填写解锁信息",IF(OR(F123="",E123="",N123="",E123&lt;=N123,账户数据!$B$7=""),"",IF(OR(AG123="",AH123="",AI123=""),"禁止开仓：交易预期未填写完整",IF(账户数据!$B$9+F123*(E123-N123)&gt;=账户数据!$B$7,"禁止开仓：风险额度不足",IF(AJ123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3" s="4"/>
      <c r="I123" s="8"/>
      <c r="J123" s="5"/>
      <c r="K123" s="11"/>
      <c r="L123" s="7" t="str">
        <f aca="false">IF(AP123="","",AP123)</f>
        <v/>
      </c>
      <c r="M123" s="19"/>
      <c r="N123" s="5"/>
      <c r="O123" s="5"/>
      <c r="P123" s="11"/>
      <c r="Q123" s="4"/>
      <c r="R123" s="4"/>
      <c r="S123" s="4"/>
      <c r="T123" s="4"/>
      <c r="U123" s="9" t="str">
        <f aca="false">IF(OR(AO123="",J123="",AO123&lt;=0),"",(J123-AO123)/AO123)</f>
        <v/>
      </c>
      <c r="V123" s="9" t="str">
        <f aca="false">IF(OR(AO123="",N123="",AO123&lt;=0),"",(AO123-N123)/AO123)</f>
        <v/>
      </c>
      <c r="W123" s="10" t="str">
        <f aca="false">IF(OR(U123="",V123="",V123&lt;=0),"",U123/V123)</f>
        <v/>
      </c>
      <c r="X123" s="11" t="str">
        <f aca="false">IF(OR(K123="",L123="",AO123="",AP123=""),"",(K123-AO123)*L123-IF(O123="",0,O123)-IF(P123="",0,P123))</f>
        <v/>
      </c>
      <c r="Y123" s="9" t="str">
        <f aca="false">IF(OR(X123="",AO123="",L123=""),"",IF(AO123*L123+IF(O123="",0,O123)&lt;=0,"",X123/(AO123*L123+IF(O123="",0,O123))))</f>
        <v/>
      </c>
      <c r="Z123" s="9" t="str">
        <f aca="false">IF(OR(AE123="",多次统计数据!$B$8=""),"",AE123-多次统计数据!$B$8)</f>
        <v/>
      </c>
      <c r="AA123" s="12" t="str">
        <f aca="false">IF(OR(I123="",M123="",M123&lt;I123),"",M123-I123)</f>
        <v/>
      </c>
      <c r="AB123" s="9" t="str">
        <f aca="false">IF(OR(A123="",多次统计数据!$B$8="",多次统计数据!$B$6&lt;=0,多次统计数据!$B$6&gt;=1),"",1-POWER(1+多次统计数据!$B$8,-多次统计数据!$B$6/(1-多次统计数据!$B$6)))</f>
        <v/>
      </c>
      <c r="AC123" s="7" t="str">
        <f aca="false">IF(OR(AB123="",多次统计数据!$B$9=""),"",IF(多次统计数据!$B$9&lt;AB123,"低于上限","达到或超过上限"))</f>
        <v/>
      </c>
      <c r="AD123" s="4"/>
      <c r="AE123" s="9" t="str">
        <f aca="false">IF(OR(X123="",C123="",C123&lt;=0),"",X123/C123)</f>
        <v/>
      </c>
      <c r="AG123" s="4"/>
      <c r="AH123" s="4"/>
      <c r="AI123" s="4"/>
      <c r="AJ123" s="7" t="str">
        <f aca="false">IF(OR(AG123="",AH123=""),"",IF(OR(AND(AG123="短期博反弹",OR(AH123="1～3个交易日",AH123="4～10个交易日")),AND(AG123="突破冲新高",OR(AH123="4～10个交易日",AH123="11～20个交易日")),AND(AG123="趋势波段",OR(AH123="11～20个交易日",AH123="21～60个交易日",AH123="60个交易日以上"))),"匹配","周期与交易预期不匹配，请重新确认"))</f>
        <v/>
      </c>
      <c r="AK123" s="13" t="str">
        <f aca="false">IF(A123="","",COUNTIFS(加仓管理!$A$2:$A$1001,A123,加仓管理!$G$2:$G$1001,"&gt;0"))</f>
        <v/>
      </c>
      <c r="AL123" s="13" t="str">
        <f aca="false">IF(A123="","",SUMIFS(加仓管理!$G$2:$G$1001,加仓管理!$A$2:$A$1001,A123))</f>
        <v/>
      </c>
      <c r="AM123" s="14" t="str">
        <f aca="false">IF(AK123=0,"",IFERROR(LOOKUP(2,1/((加仓管理!$A$2:$A$1001=A123)*(加仓管理!$G$2:$G$1001&gt;0)),加仓管理!$D$2:$D$1001),""))</f>
        <v/>
      </c>
      <c r="AN123" s="14" t="str">
        <f aca="false">IF(AK123=0,"",IFERROR(LOOKUP(2,1/((加仓管理!$A$2:$A$1001=A123)*(加仓管理!$G$2:$G$1001&gt;0)),加仓管理!$E$2:$E$1001),""))</f>
        <v/>
      </c>
      <c r="AO123" s="14" t="str">
        <f aca="false">IF(OR(A123="",H123="",H123&lt;=0),"",(E123*H123+SUMIFS(加仓管理!$H$2:$H$1001,加仓管理!$A$2:$A$1001,A123))/AP123)</f>
        <v/>
      </c>
      <c r="AP123" s="13" t="str">
        <f aca="false">IF(OR(A123="",H123="",H123&lt;=0),"",H123+AL123)</f>
        <v/>
      </c>
      <c r="AQ123" s="14" t="str">
        <f aca="false">IF(A123="","",IF(M123&lt;&gt;"",0,IF(OR(H123="",N123=""),"",MAX((E123*H123+SUMIFS(加仓管理!$H$2:$H$1001,加仓管理!$A$2:$A$1001,A123))-MAX(N123,AN123)*AP123,0))))</f>
        <v/>
      </c>
      <c r="AR123" s="15" t="str">
        <f aca="false">IF(A123="","",IF(OR(E123="",H123=""),"违规：首次买入价格或股数缺失",IF(COUNTIFS(加仓管理!$A$2:$A$1001,A123,加仓管理!$R$2:$R$1001,"违规*")&gt;0,"违规：请检查加仓管理表",IF(SUM($AQ$2:$AQ$201)&gt;账户数据!$B$7,"预警：超过账户风险上限",IF(COUNTIFS(加仓管理!$A$2:$A$1001,A123,加仓管理!$N$2:$N$1001,"&gt;0",加仓管理!$G$2:$G$1001,"")&gt;0,"提示：存在待执行加仓计划","通过")))))</f>
        <v/>
      </c>
    </row>
    <row r="124" customFormat="false" ht="13.5" hidden="false" customHeight="false" outlineLevel="0" collapsed="false">
      <c r="A124" s="4"/>
      <c r="B124" s="4"/>
      <c r="C124" s="5"/>
      <c r="D124" s="6"/>
      <c r="E124" s="5"/>
      <c r="F124" s="7" t="str">
        <f aca="false">IF(OR(C124="",D124="",E124="",N124="",C124&lt;=0,D124&lt;=0,E124&lt;=N124),"",ROUNDDOWN((C124*D124)/(E124-N124)/100,0)*100)</f>
        <v/>
      </c>
      <c r="G124" s="7" t="str">
        <f aca="false">IF(A124="","",IF(H124&lt;&gt;"","已开仓",IF(账户数据!$B$23="已锁仓","禁止开仓：连续亏损达到上限",IF(账户数据!$B$23="解锁信息不完整","禁止开仓：请完整填写解锁信息",IF(OR(F124="",E124="",N124="",E124&lt;=N124,账户数据!$B$7=""),"",IF(OR(AG124="",AH124="",AI124=""),"禁止开仓：交易预期未填写完整",IF(账户数据!$B$9+F124*(E124-N124)&gt;=账户数据!$B$7,"禁止开仓：风险额度不足",IF(AJ124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4" s="4"/>
      <c r="I124" s="8"/>
      <c r="J124" s="5"/>
      <c r="K124" s="11"/>
      <c r="L124" s="7" t="str">
        <f aca="false">IF(AP124="","",AP124)</f>
        <v/>
      </c>
      <c r="M124" s="19"/>
      <c r="N124" s="5"/>
      <c r="O124" s="5"/>
      <c r="P124" s="11"/>
      <c r="Q124" s="4"/>
      <c r="R124" s="4"/>
      <c r="S124" s="4"/>
      <c r="T124" s="4"/>
      <c r="U124" s="9" t="str">
        <f aca="false">IF(OR(AO124="",J124="",AO124&lt;=0),"",(J124-AO124)/AO124)</f>
        <v/>
      </c>
      <c r="V124" s="9" t="str">
        <f aca="false">IF(OR(AO124="",N124="",AO124&lt;=0),"",(AO124-N124)/AO124)</f>
        <v/>
      </c>
      <c r="W124" s="10" t="str">
        <f aca="false">IF(OR(U124="",V124="",V124&lt;=0),"",U124/V124)</f>
        <v/>
      </c>
      <c r="X124" s="11" t="str">
        <f aca="false">IF(OR(K124="",L124="",AO124="",AP124=""),"",(K124-AO124)*L124-IF(O124="",0,O124)-IF(P124="",0,P124))</f>
        <v/>
      </c>
      <c r="Y124" s="9" t="str">
        <f aca="false">IF(OR(X124="",AO124="",L124=""),"",IF(AO124*L124+IF(O124="",0,O124)&lt;=0,"",X124/(AO124*L124+IF(O124="",0,O124))))</f>
        <v/>
      </c>
      <c r="Z124" s="9" t="str">
        <f aca="false">IF(OR(AE124="",多次统计数据!$B$8=""),"",AE124-多次统计数据!$B$8)</f>
        <v/>
      </c>
      <c r="AA124" s="12" t="str">
        <f aca="false">IF(OR(I124="",M124="",M124&lt;I124),"",M124-I124)</f>
        <v/>
      </c>
      <c r="AB124" s="9" t="str">
        <f aca="false">IF(OR(A124="",多次统计数据!$B$8="",多次统计数据!$B$6&lt;=0,多次统计数据!$B$6&gt;=1),"",1-POWER(1+多次统计数据!$B$8,-多次统计数据!$B$6/(1-多次统计数据!$B$6)))</f>
        <v/>
      </c>
      <c r="AC124" s="7" t="str">
        <f aca="false">IF(OR(AB124="",多次统计数据!$B$9=""),"",IF(多次统计数据!$B$9&lt;AB124,"低于上限","达到或超过上限"))</f>
        <v/>
      </c>
      <c r="AD124" s="4"/>
      <c r="AE124" s="9" t="str">
        <f aca="false">IF(OR(X124="",C124="",C124&lt;=0),"",X124/C124)</f>
        <v/>
      </c>
      <c r="AG124" s="4"/>
      <c r="AH124" s="4"/>
      <c r="AI124" s="4"/>
      <c r="AJ124" s="7" t="str">
        <f aca="false">IF(OR(AG124="",AH124=""),"",IF(OR(AND(AG124="短期博反弹",OR(AH124="1～3个交易日",AH124="4～10个交易日")),AND(AG124="突破冲新高",OR(AH124="4～10个交易日",AH124="11～20个交易日")),AND(AG124="趋势波段",OR(AH124="11～20个交易日",AH124="21～60个交易日",AH124="60个交易日以上"))),"匹配","周期与交易预期不匹配，请重新确认"))</f>
        <v/>
      </c>
      <c r="AK124" s="13" t="str">
        <f aca="false">IF(A124="","",COUNTIFS(加仓管理!$A$2:$A$1001,A124,加仓管理!$G$2:$G$1001,"&gt;0"))</f>
        <v/>
      </c>
      <c r="AL124" s="13" t="str">
        <f aca="false">IF(A124="","",SUMIFS(加仓管理!$G$2:$G$1001,加仓管理!$A$2:$A$1001,A124))</f>
        <v/>
      </c>
      <c r="AM124" s="14" t="str">
        <f aca="false">IF(AK124=0,"",IFERROR(LOOKUP(2,1/((加仓管理!$A$2:$A$1001=A124)*(加仓管理!$G$2:$G$1001&gt;0)),加仓管理!$D$2:$D$1001),""))</f>
        <v/>
      </c>
      <c r="AN124" s="14" t="str">
        <f aca="false">IF(AK124=0,"",IFERROR(LOOKUP(2,1/((加仓管理!$A$2:$A$1001=A124)*(加仓管理!$G$2:$G$1001&gt;0)),加仓管理!$E$2:$E$1001),""))</f>
        <v/>
      </c>
      <c r="AO124" s="14" t="str">
        <f aca="false">IF(OR(A124="",H124="",H124&lt;=0),"",(E124*H124+SUMIFS(加仓管理!$H$2:$H$1001,加仓管理!$A$2:$A$1001,A124))/AP124)</f>
        <v/>
      </c>
      <c r="AP124" s="13" t="str">
        <f aca="false">IF(OR(A124="",H124="",H124&lt;=0),"",H124+AL124)</f>
        <v/>
      </c>
      <c r="AQ124" s="14" t="str">
        <f aca="false">IF(A124="","",IF(M124&lt;&gt;"",0,IF(OR(H124="",N124=""),"",MAX((E124*H124+SUMIFS(加仓管理!$H$2:$H$1001,加仓管理!$A$2:$A$1001,A124))-MAX(N124,AN124)*AP124,0))))</f>
        <v/>
      </c>
      <c r="AR124" s="15" t="str">
        <f aca="false">IF(A124="","",IF(OR(E124="",H124=""),"违规：首次买入价格或股数缺失",IF(COUNTIFS(加仓管理!$A$2:$A$1001,A124,加仓管理!$R$2:$R$1001,"违规*")&gt;0,"违规：请检查加仓管理表",IF(SUM($AQ$2:$AQ$201)&gt;账户数据!$B$7,"预警：超过账户风险上限",IF(COUNTIFS(加仓管理!$A$2:$A$1001,A124,加仓管理!$N$2:$N$1001,"&gt;0",加仓管理!$G$2:$G$1001,"")&gt;0,"提示：存在待执行加仓计划","通过")))))</f>
        <v/>
      </c>
    </row>
    <row r="125" customFormat="false" ht="13.5" hidden="false" customHeight="false" outlineLevel="0" collapsed="false">
      <c r="A125" s="4"/>
      <c r="B125" s="4"/>
      <c r="C125" s="5"/>
      <c r="D125" s="6"/>
      <c r="E125" s="5"/>
      <c r="F125" s="7" t="str">
        <f aca="false">IF(OR(C125="",D125="",E125="",N125="",C125&lt;=0,D125&lt;=0,E125&lt;=N125),"",ROUNDDOWN((C125*D125)/(E125-N125)/100,0)*100)</f>
        <v/>
      </c>
      <c r="G125" s="7" t="str">
        <f aca="false">IF(A125="","",IF(H125&lt;&gt;"","已开仓",IF(账户数据!$B$23="已锁仓","禁止开仓：连续亏损达到上限",IF(账户数据!$B$23="解锁信息不完整","禁止开仓：请完整填写解锁信息",IF(OR(F125="",E125="",N125="",E125&lt;=N125,账户数据!$B$7=""),"",IF(OR(AG125="",AH125="",AI125=""),"禁止开仓：交易预期未填写完整",IF(账户数据!$B$9+F125*(E125-N125)&gt;=账户数据!$B$7,"禁止开仓：风险额度不足",IF(AJ125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5" s="4"/>
      <c r="I125" s="8"/>
      <c r="J125" s="5"/>
      <c r="K125" s="11"/>
      <c r="L125" s="7" t="str">
        <f aca="false">IF(AP125="","",AP125)</f>
        <v/>
      </c>
      <c r="M125" s="19"/>
      <c r="N125" s="5"/>
      <c r="O125" s="5"/>
      <c r="P125" s="11"/>
      <c r="Q125" s="4"/>
      <c r="R125" s="4"/>
      <c r="S125" s="4"/>
      <c r="T125" s="4"/>
      <c r="U125" s="9" t="str">
        <f aca="false">IF(OR(AO125="",J125="",AO125&lt;=0),"",(J125-AO125)/AO125)</f>
        <v/>
      </c>
      <c r="V125" s="9" t="str">
        <f aca="false">IF(OR(AO125="",N125="",AO125&lt;=0),"",(AO125-N125)/AO125)</f>
        <v/>
      </c>
      <c r="W125" s="10" t="str">
        <f aca="false">IF(OR(U125="",V125="",V125&lt;=0),"",U125/V125)</f>
        <v/>
      </c>
      <c r="X125" s="11" t="str">
        <f aca="false">IF(OR(K125="",L125="",AO125="",AP125=""),"",(K125-AO125)*L125-IF(O125="",0,O125)-IF(P125="",0,P125))</f>
        <v/>
      </c>
      <c r="Y125" s="9" t="str">
        <f aca="false">IF(OR(X125="",AO125="",L125=""),"",IF(AO125*L125+IF(O125="",0,O125)&lt;=0,"",X125/(AO125*L125+IF(O125="",0,O125))))</f>
        <v/>
      </c>
      <c r="Z125" s="9" t="str">
        <f aca="false">IF(OR(AE125="",多次统计数据!$B$8=""),"",AE125-多次统计数据!$B$8)</f>
        <v/>
      </c>
      <c r="AA125" s="12" t="str">
        <f aca="false">IF(OR(I125="",M125="",M125&lt;I125),"",M125-I125)</f>
        <v/>
      </c>
      <c r="AB125" s="9" t="str">
        <f aca="false">IF(OR(A125="",多次统计数据!$B$8="",多次统计数据!$B$6&lt;=0,多次统计数据!$B$6&gt;=1),"",1-POWER(1+多次统计数据!$B$8,-多次统计数据!$B$6/(1-多次统计数据!$B$6)))</f>
        <v/>
      </c>
      <c r="AC125" s="7" t="str">
        <f aca="false">IF(OR(AB125="",多次统计数据!$B$9=""),"",IF(多次统计数据!$B$9&lt;AB125,"低于上限","达到或超过上限"))</f>
        <v/>
      </c>
      <c r="AD125" s="4"/>
      <c r="AE125" s="9" t="str">
        <f aca="false">IF(OR(X125="",C125="",C125&lt;=0),"",X125/C125)</f>
        <v/>
      </c>
      <c r="AG125" s="4"/>
      <c r="AH125" s="4"/>
      <c r="AI125" s="4"/>
      <c r="AJ125" s="7" t="str">
        <f aca="false">IF(OR(AG125="",AH125=""),"",IF(OR(AND(AG125="短期博反弹",OR(AH125="1～3个交易日",AH125="4～10个交易日")),AND(AG125="突破冲新高",OR(AH125="4～10个交易日",AH125="11～20个交易日")),AND(AG125="趋势波段",OR(AH125="11～20个交易日",AH125="21～60个交易日",AH125="60个交易日以上"))),"匹配","周期与交易预期不匹配，请重新确认"))</f>
        <v/>
      </c>
      <c r="AK125" s="13" t="str">
        <f aca="false">IF(A125="","",COUNTIFS(加仓管理!$A$2:$A$1001,A125,加仓管理!$G$2:$G$1001,"&gt;0"))</f>
        <v/>
      </c>
      <c r="AL125" s="13" t="str">
        <f aca="false">IF(A125="","",SUMIFS(加仓管理!$G$2:$G$1001,加仓管理!$A$2:$A$1001,A125))</f>
        <v/>
      </c>
      <c r="AM125" s="14" t="str">
        <f aca="false">IF(AK125=0,"",IFERROR(LOOKUP(2,1/((加仓管理!$A$2:$A$1001=A125)*(加仓管理!$G$2:$G$1001&gt;0)),加仓管理!$D$2:$D$1001),""))</f>
        <v/>
      </c>
      <c r="AN125" s="14" t="str">
        <f aca="false">IF(AK125=0,"",IFERROR(LOOKUP(2,1/((加仓管理!$A$2:$A$1001=A125)*(加仓管理!$G$2:$G$1001&gt;0)),加仓管理!$E$2:$E$1001),""))</f>
        <v/>
      </c>
      <c r="AO125" s="14" t="str">
        <f aca="false">IF(OR(A125="",H125="",H125&lt;=0),"",(E125*H125+SUMIFS(加仓管理!$H$2:$H$1001,加仓管理!$A$2:$A$1001,A125))/AP125)</f>
        <v/>
      </c>
      <c r="AP125" s="13" t="str">
        <f aca="false">IF(OR(A125="",H125="",H125&lt;=0),"",H125+AL125)</f>
        <v/>
      </c>
      <c r="AQ125" s="14" t="str">
        <f aca="false">IF(A125="","",IF(M125&lt;&gt;"",0,IF(OR(H125="",N125=""),"",MAX((E125*H125+SUMIFS(加仓管理!$H$2:$H$1001,加仓管理!$A$2:$A$1001,A125))-MAX(N125,AN125)*AP125,0))))</f>
        <v/>
      </c>
      <c r="AR125" s="15" t="str">
        <f aca="false">IF(A125="","",IF(OR(E125="",H125=""),"违规：首次买入价格或股数缺失",IF(COUNTIFS(加仓管理!$A$2:$A$1001,A125,加仓管理!$R$2:$R$1001,"违规*")&gt;0,"违规：请检查加仓管理表",IF(SUM($AQ$2:$AQ$201)&gt;账户数据!$B$7,"预警：超过账户风险上限",IF(COUNTIFS(加仓管理!$A$2:$A$1001,A125,加仓管理!$N$2:$N$1001,"&gt;0",加仓管理!$G$2:$G$1001,"")&gt;0,"提示：存在待执行加仓计划","通过")))))</f>
        <v/>
      </c>
    </row>
    <row r="126" customFormat="false" ht="13.5" hidden="false" customHeight="false" outlineLevel="0" collapsed="false">
      <c r="A126" s="4"/>
      <c r="B126" s="4"/>
      <c r="C126" s="5"/>
      <c r="D126" s="6"/>
      <c r="E126" s="5"/>
      <c r="F126" s="7" t="str">
        <f aca="false">IF(OR(C126="",D126="",E126="",N126="",C126&lt;=0,D126&lt;=0,E126&lt;=N126),"",ROUNDDOWN((C126*D126)/(E126-N126)/100,0)*100)</f>
        <v/>
      </c>
      <c r="G126" s="7" t="str">
        <f aca="false">IF(A126="","",IF(H126&lt;&gt;"","已开仓",IF(账户数据!$B$23="已锁仓","禁止开仓：连续亏损达到上限",IF(账户数据!$B$23="解锁信息不完整","禁止开仓：请完整填写解锁信息",IF(OR(F126="",E126="",N126="",E126&lt;=N126,账户数据!$B$7=""),"",IF(OR(AG126="",AH126="",AI126=""),"禁止开仓：交易预期未填写完整",IF(账户数据!$B$9+F126*(E126-N126)&gt;=账户数据!$B$7,"禁止开仓：风险额度不足",IF(AJ126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6" s="4"/>
      <c r="I126" s="8"/>
      <c r="J126" s="5"/>
      <c r="K126" s="11"/>
      <c r="L126" s="7" t="str">
        <f aca="false">IF(AP126="","",AP126)</f>
        <v/>
      </c>
      <c r="M126" s="19"/>
      <c r="N126" s="5"/>
      <c r="O126" s="5"/>
      <c r="P126" s="11"/>
      <c r="Q126" s="4"/>
      <c r="R126" s="4"/>
      <c r="S126" s="4"/>
      <c r="T126" s="4"/>
      <c r="U126" s="9" t="str">
        <f aca="false">IF(OR(AO126="",J126="",AO126&lt;=0),"",(J126-AO126)/AO126)</f>
        <v/>
      </c>
      <c r="V126" s="9" t="str">
        <f aca="false">IF(OR(AO126="",N126="",AO126&lt;=0),"",(AO126-N126)/AO126)</f>
        <v/>
      </c>
      <c r="W126" s="10" t="str">
        <f aca="false">IF(OR(U126="",V126="",V126&lt;=0),"",U126/V126)</f>
        <v/>
      </c>
      <c r="X126" s="11" t="str">
        <f aca="false">IF(OR(K126="",L126="",AO126="",AP126=""),"",(K126-AO126)*L126-IF(O126="",0,O126)-IF(P126="",0,P126))</f>
        <v/>
      </c>
      <c r="Y126" s="9" t="str">
        <f aca="false">IF(OR(X126="",AO126="",L126=""),"",IF(AO126*L126+IF(O126="",0,O126)&lt;=0,"",X126/(AO126*L126+IF(O126="",0,O126))))</f>
        <v/>
      </c>
      <c r="Z126" s="9" t="str">
        <f aca="false">IF(OR(AE126="",多次统计数据!$B$8=""),"",AE126-多次统计数据!$B$8)</f>
        <v/>
      </c>
      <c r="AA126" s="12" t="str">
        <f aca="false">IF(OR(I126="",M126="",M126&lt;I126),"",M126-I126)</f>
        <v/>
      </c>
      <c r="AB126" s="9" t="str">
        <f aca="false">IF(OR(A126="",多次统计数据!$B$8="",多次统计数据!$B$6&lt;=0,多次统计数据!$B$6&gt;=1),"",1-POWER(1+多次统计数据!$B$8,-多次统计数据!$B$6/(1-多次统计数据!$B$6)))</f>
        <v/>
      </c>
      <c r="AC126" s="7" t="str">
        <f aca="false">IF(OR(AB126="",多次统计数据!$B$9=""),"",IF(多次统计数据!$B$9&lt;AB126,"低于上限","达到或超过上限"))</f>
        <v/>
      </c>
      <c r="AD126" s="4"/>
      <c r="AE126" s="9" t="str">
        <f aca="false">IF(OR(X126="",C126="",C126&lt;=0),"",X126/C126)</f>
        <v/>
      </c>
      <c r="AG126" s="4"/>
      <c r="AH126" s="4"/>
      <c r="AI126" s="4"/>
      <c r="AJ126" s="7" t="str">
        <f aca="false">IF(OR(AG126="",AH126=""),"",IF(OR(AND(AG126="短期博反弹",OR(AH126="1～3个交易日",AH126="4～10个交易日")),AND(AG126="突破冲新高",OR(AH126="4～10个交易日",AH126="11～20个交易日")),AND(AG126="趋势波段",OR(AH126="11～20个交易日",AH126="21～60个交易日",AH126="60个交易日以上"))),"匹配","周期与交易预期不匹配，请重新确认"))</f>
        <v/>
      </c>
      <c r="AK126" s="13" t="str">
        <f aca="false">IF(A126="","",COUNTIFS(加仓管理!$A$2:$A$1001,A126,加仓管理!$G$2:$G$1001,"&gt;0"))</f>
        <v/>
      </c>
      <c r="AL126" s="13" t="str">
        <f aca="false">IF(A126="","",SUMIFS(加仓管理!$G$2:$G$1001,加仓管理!$A$2:$A$1001,A126))</f>
        <v/>
      </c>
      <c r="AM126" s="14" t="str">
        <f aca="false">IF(AK126=0,"",IFERROR(LOOKUP(2,1/((加仓管理!$A$2:$A$1001=A126)*(加仓管理!$G$2:$G$1001&gt;0)),加仓管理!$D$2:$D$1001),""))</f>
        <v/>
      </c>
      <c r="AN126" s="14" t="str">
        <f aca="false">IF(AK126=0,"",IFERROR(LOOKUP(2,1/((加仓管理!$A$2:$A$1001=A126)*(加仓管理!$G$2:$G$1001&gt;0)),加仓管理!$E$2:$E$1001),""))</f>
        <v/>
      </c>
      <c r="AO126" s="14" t="str">
        <f aca="false">IF(OR(A126="",H126="",H126&lt;=0),"",(E126*H126+SUMIFS(加仓管理!$H$2:$H$1001,加仓管理!$A$2:$A$1001,A126))/AP126)</f>
        <v/>
      </c>
      <c r="AP126" s="13" t="str">
        <f aca="false">IF(OR(A126="",H126="",H126&lt;=0),"",H126+AL126)</f>
        <v/>
      </c>
      <c r="AQ126" s="14" t="str">
        <f aca="false">IF(A126="","",IF(M126&lt;&gt;"",0,IF(OR(H126="",N126=""),"",MAX((E126*H126+SUMIFS(加仓管理!$H$2:$H$1001,加仓管理!$A$2:$A$1001,A126))-MAX(N126,AN126)*AP126,0))))</f>
        <v/>
      </c>
      <c r="AR126" s="15" t="str">
        <f aca="false">IF(A126="","",IF(OR(E126="",H126=""),"违规：首次买入价格或股数缺失",IF(COUNTIFS(加仓管理!$A$2:$A$1001,A126,加仓管理!$R$2:$R$1001,"违规*")&gt;0,"违规：请检查加仓管理表",IF(SUM($AQ$2:$AQ$201)&gt;账户数据!$B$7,"预警：超过账户风险上限",IF(COUNTIFS(加仓管理!$A$2:$A$1001,A126,加仓管理!$N$2:$N$1001,"&gt;0",加仓管理!$G$2:$G$1001,"")&gt;0,"提示：存在待执行加仓计划","通过")))))</f>
        <v/>
      </c>
    </row>
    <row r="127" customFormat="false" ht="13.5" hidden="false" customHeight="false" outlineLevel="0" collapsed="false">
      <c r="A127" s="4"/>
      <c r="B127" s="4"/>
      <c r="C127" s="5"/>
      <c r="D127" s="6"/>
      <c r="E127" s="5"/>
      <c r="F127" s="7" t="str">
        <f aca="false">IF(OR(C127="",D127="",E127="",N127="",C127&lt;=0,D127&lt;=0,E127&lt;=N127),"",ROUNDDOWN((C127*D127)/(E127-N127)/100,0)*100)</f>
        <v/>
      </c>
      <c r="G127" s="7" t="str">
        <f aca="false">IF(A127="","",IF(H127&lt;&gt;"","已开仓",IF(账户数据!$B$23="已锁仓","禁止开仓：连续亏损达到上限",IF(账户数据!$B$23="解锁信息不完整","禁止开仓：请完整填写解锁信息",IF(OR(F127="",E127="",N127="",E127&lt;=N127,账户数据!$B$7=""),"",IF(OR(AG127="",AH127="",AI127=""),"禁止开仓：交易预期未填写完整",IF(账户数据!$B$9+F127*(E127-N127)&gt;=账户数据!$B$7,"禁止开仓：风险额度不足",IF(AJ127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7" s="4"/>
      <c r="I127" s="8"/>
      <c r="J127" s="5"/>
      <c r="K127" s="11"/>
      <c r="L127" s="7" t="str">
        <f aca="false">IF(AP127="","",AP127)</f>
        <v/>
      </c>
      <c r="M127" s="19"/>
      <c r="N127" s="5"/>
      <c r="O127" s="5"/>
      <c r="P127" s="11"/>
      <c r="Q127" s="4"/>
      <c r="R127" s="4"/>
      <c r="S127" s="4"/>
      <c r="T127" s="4"/>
      <c r="U127" s="9" t="str">
        <f aca="false">IF(OR(AO127="",J127="",AO127&lt;=0),"",(J127-AO127)/AO127)</f>
        <v/>
      </c>
      <c r="V127" s="9" t="str">
        <f aca="false">IF(OR(AO127="",N127="",AO127&lt;=0),"",(AO127-N127)/AO127)</f>
        <v/>
      </c>
      <c r="W127" s="10" t="str">
        <f aca="false">IF(OR(U127="",V127="",V127&lt;=0),"",U127/V127)</f>
        <v/>
      </c>
      <c r="X127" s="11" t="str">
        <f aca="false">IF(OR(K127="",L127="",AO127="",AP127=""),"",(K127-AO127)*L127-IF(O127="",0,O127)-IF(P127="",0,P127))</f>
        <v/>
      </c>
      <c r="Y127" s="9" t="str">
        <f aca="false">IF(OR(X127="",AO127="",L127=""),"",IF(AO127*L127+IF(O127="",0,O127)&lt;=0,"",X127/(AO127*L127+IF(O127="",0,O127))))</f>
        <v/>
      </c>
      <c r="Z127" s="9" t="str">
        <f aca="false">IF(OR(AE127="",多次统计数据!$B$8=""),"",AE127-多次统计数据!$B$8)</f>
        <v/>
      </c>
      <c r="AA127" s="12" t="str">
        <f aca="false">IF(OR(I127="",M127="",M127&lt;I127),"",M127-I127)</f>
        <v/>
      </c>
      <c r="AB127" s="9" t="str">
        <f aca="false">IF(OR(A127="",多次统计数据!$B$8="",多次统计数据!$B$6&lt;=0,多次统计数据!$B$6&gt;=1),"",1-POWER(1+多次统计数据!$B$8,-多次统计数据!$B$6/(1-多次统计数据!$B$6)))</f>
        <v/>
      </c>
      <c r="AC127" s="7" t="str">
        <f aca="false">IF(OR(AB127="",多次统计数据!$B$9=""),"",IF(多次统计数据!$B$9&lt;AB127,"低于上限","达到或超过上限"))</f>
        <v/>
      </c>
      <c r="AD127" s="4"/>
      <c r="AE127" s="9" t="str">
        <f aca="false">IF(OR(X127="",C127="",C127&lt;=0),"",X127/C127)</f>
        <v/>
      </c>
      <c r="AG127" s="4"/>
      <c r="AH127" s="4"/>
      <c r="AI127" s="4"/>
      <c r="AJ127" s="7" t="str">
        <f aca="false">IF(OR(AG127="",AH127=""),"",IF(OR(AND(AG127="短期博反弹",OR(AH127="1～3个交易日",AH127="4～10个交易日")),AND(AG127="突破冲新高",OR(AH127="4～10个交易日",AH127="11～20个交易日")),AND(AG127="趋势波段",OR(AH127="11～20个交易日",AH127="21～60个交易日",AH127="60个交易日以上"))),"匹配","周期与交易预期不匹配，请重新确认"))</f>
        <v/>
      </c>
      <c r="AK127" s="13" t="str">
        <f aca="false">IF(A127="","",COUNTIFS(加仓管理!$A$2:$A$1001,A127,加仓管理!$G$2:$G$1001,"&gt;0"))</f>
        <v/>
      </c>
      <c r="AL127" s="13" t="str">
        <f aca="false">IF(A127="","",SUMIFS(加仓管理!$G$2:$G$1001,加仓管理!$A$2:$A$1001,A127))</f>
        <v/>
      </c>
      <c r="AM127" s="14" t="str">
        <f aca="false">IF(AK127=0,"",IFERROR(LOOKUP(2,1/((加仓管理!$A$2:$A$1001=A127)*(加仓管理!$G$2:$G$1001&gt;0)),加仓管理!$D$2:$D$1001),""))</f>
        <v/>
      </c>
      <c r="AN127" s="14" t="str">
        <f aca="false">IF(AK127=0,"",IFERROR(LOOKUP(2,1/((加仓管理!$A$2:$A$1001=A127)*(加仓管理!$G$2:$G$1001&gt;0)),加仓管理!$E$2:$E$1001),""))</f>
        <v/>
      </c>
      <c r="AO127" s="14" t="str">
        <f aca="false">IF(OR(A127="",H127="",H127&lt;=0),"",(E127*H127+SUMIFS(加仓管理!$H$2:$H$1001,加仓管理!$A$2:$A$1001,A127))/AP127)</f>
        <v/>
      </c>
      <c r="AP127" s="13" t="str">
        <f aca="false">IF(OR(A127="",H127="",H127&lt;=0),"",H127+AL127)</f>
        <v/>
      </c>
      <c r="AQ127" s="14" t="str">
        <f aca="false">IF(A127="","",IF(M127&lt;&gt;"",0,IF(OR(H127="",N127=""),"",MAX((E127*H127+SUMIFS(加仓管理!$H$2:$H$1001,加仓管理!$A$2:$A$1001,A127))-MAX(N127,AN127)*AP127,0))))</f>
        <v/>
      </c>
      <c r="AR127" s="15" t="str">
        <f aca="false">IF(A127="","",IF(OR(E127="",H127=""),"违规：首次买入价格或股数缺失",IF(COUNTIFS(加仓管理!$A$2:$A$1001,A127,加仓管理!$R$2:$R$1001,"违规*")&gt;0,"违规：请检查加仓管理表",IF(SUM($AQ$2:$AQ$201)&gt;账户数据!$B$7,"预警：超过账户风险上限",IF(COUNTIFS(加仓管理!$A$2:$A$1001,A127,加仓管理!$N$2:$N$1001,"&gt;0",加仓管理!$G$2:$G$1001,"")&gt;0,"提示：存在待执行加仓计划","通过")))))</f>
        <v/>
      </c>
    </row>
    <row r="128" customFormat="false" ht="13.5" hidden="false" customHeight="false" outlineLevel="0" collapsed="false">
      <c r="A128" s="4"/>
      <c r="B128" s="4"/>
      <c r="C128" s="5"/>
      <c r="D128" s="6"/>
      <c r="E128" s="5"/>
      <c r="F128" s="7" t="str">
        <f aca="false">IF(OR(C128="",D128="",E128="",N128="",C128&lt;=0,D128&lt;=0,E128&lt;=N128),"",ROUNDDOWN((C128*D128)/(E128-N128)/100,0)*100)</f>
        <v/>
      </c>
      <c r="G128" s="7" t="str">
        <f aca="false">IF(A128="","",IF(H128&lt;&gt;"","已开仓",IF(账户数据!$B$23="已锁仓","禁止开仓：连续亏损达到上限",IF(账户数据!$B$23="解锁信息不完整","禁止开仓：请完整填写解锁信息",IF(OR(F128="",E128="",N128="",E128&lt;=N128,账户数据!$B$7=""),"",IF(OR(AG128="",AH128="",AI128=""),"禁止开仓：交易预期未填写完整",IF(账户数据!$B$9+F128*(E128-N128)&gt;=账户数据!$B$7,"禁止开仓：风险额度不足",IF(AJ128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8" s="4"/>
      <c r="I128" s="8"/>
      <c r="J128" s="5"/>
      <c r="K128" s="11"/>
      <c r="L128" s="7" t="str">
        <f aca="false">IF(AP128="","",AP128)</f>
        <v/>
      </c>
      <c r="M128" s="19"/>
      <c r="N128" s="5"/>
      <c r="O128" s="5"/>
      <c r="P128" s="11"/>
      <c r="Q128" s="4"/>
      <c r="R128" s="4"/>
      <c r="S128" s="4"/>
      <c r="T128" s="4"/>
      <c r="U128" s="9" t="str">
        <f aca="false">IF(OR(AO128="",J128="",AO128&lt;=0),"",(J128-AO128)/AO128)</f>
        <v/>
      </c>
      <c r="V128" s="9" t="str">
        <f aca="false">IF(OR(AO128="",N128="",AO128&lt;=0),"",(AO128-N128)/AO128)</f>
        <v/>
      </c>
      <c r="W128" s="10" t="str">
        <f aca="false">IF(OR(U128="",V128="",V128&lt;=0),"",U128/V128)</f>
        <v/>
      </c>
      <c r="X128" s="11" t="str">
        <f aca="false">IF(OR(K128="",L128="",AO128="",AP128=""),"",(K128-AO128)*L128-IF(O128="",0,O128)-IF(P128="",0,P128))</f>
        <v/>
      </c>
      <c r="Y128" s="9" t="str">
        <f aca="false">IF(OR(X128="",AO128="",L128=""),"",IF(AO128*L128+IF(O128="",0,O128)&lt;=0,"",X128/(AO128*L128+IF(O128="",0,O128))))</f>
        <v/>
      </c>
      <c r="Z128" s="9" t="str">
        <f aca="false">IF(OR(AE128="",多次统计数据!$B$8=""),"",AE128-多次统计数据!$B$8)</f>
        <v/>
      </c>
      <c r="AA128" s="12" t="str">
        <f aca="false">IF(OR(I128="",M128="",M128&lt;I128),"",M128-I128)</f>
        <v/>
      </c>
      <c r="AB128" s="9" t="str">
        <f aca="false">IF(OR(A128="",多次统计数据!$B$8="",多次统计数据!$B$6&lt;=0,多次统计数据!$B$6&gt;=1),"",1-POWER(1+多次统计数据!$B$8,-多次统计数据!$B$6/(1-多次统计数据!$B$6)))</f>
        <v/>
      </c>
      <c r="AC128" s="7" t="str">
        <f aca="false">IF(OR(AB128="",多次统计数据!$B$9=""),"",IF(多次统计数据!$B$9&lt;AB128,"低于上限","达到或超过上限"))</f>
        <v/>
      </c>
      <c r="AD128" s="4"/>
      <c r="AE128" s="9" t="str">
        <f aca="false">IF(OR(X128="",C128="",C128&lt;=0),"",X128/C128)</f>
        <v/>
      </c>
      <c r="AG128" s="4"/>
      <c r="AH128" s="4"/>
      <c r="AI128" s="4"/>
      <c r="AJ128" s="7" t="str">
        <f aca="false">IF(OR(AG128="",AH128=""),"",IF(OR(AND(AG128="短期博反弹",OR(AH128="1～3个交易日",AH128="4～10个交易日")),AND(AG128="突破冲新高",OR(AH128="4～10个交易日",AH128="11～20个交易日")),AND(AG128="趋势波段",OR(AH128="11～20个交易日",AH128="21～60个交易日",AH128="60个交易日以上"))),"匹配","周期与交易预期不匹配，请重新确认"))</f>
        <v/>
      </c>
      <c r="AK128" s="13" t="str">
        <f aca="false">IF(A128="","",COUNTIFS(加仓管理!$A$2:$A$1001,A128,加仓管理!$G$2:$G$1001,"&gt;0"))</f>
        <v/>
      </c>
      <c r="AL128" s="13" t="str">
        <f aca="false">IF(A128="","",SUMIFS(加仓管理!$G$2:$G$1001,加仓管理!$A$2:$A$1001,A128))</f>
        <v/>
      </c>
      <c r="AM128" s="14" t="str">
        <f aca="false">IF(AK128=0,"",IFERROR(LOOKUP(2,1/((加仓管理!$A$2:$A$1001=A128)*(加仓管理!$G$2:$G$1001&gt;0)),加仓管理!$D$2:$D$1001),""))</f>
        <v/>
      </c>
      <c r="AN128" s="14" t="str">
        <f aca="false">IF(AK128=0,"",IFERROR(LOOKUP(2,1/((加仓管理!$A$2:$A$1001=A128)*(加仓管理!$G$2:$G$1001&gt;0)),加仓管理!$E$2:$E$1001),""))</f>
        <v/>
      </c>
      <c r="AO128" s="14" t="str">
        <f aca="false">IF(OR(A128="",H128="",H128&lt;=0),"",(E128*H128+SUMIFS(加仓管理!$H$2:$H$1001,加仓管理!$A$2:$A$1001,A128))/AP128)</f>
        <v/>
      </c>
      <c r="AP128" s="13" t="str">
        <f aca="false">IF(OR(A128="",H128="",H128&lt;=0),"",H128+AL128)</f>
        <v/>
      </c>
      <c r="AQ128" s="14" t="str">
        <f aca="false">IF(A128="","",IF(M128&lt;&gt;"",0,IF(OR(H128="",N128=""),"",MAX((E128*H128+SUMIFS(加仓管理!$H$2:$H$1001,加仓管理!$A$2:$A$1001,A128))-MAX(N128,AN128)*AP128,0))))</f>
        <v/>
      </c>
      <c r="AR128" s="15" t="str">
        <f aca="false">IF(A128="","",IF(OR(E128="",H128=""),"违规：首次买入价格或股数缺失",IF(COUNTIFS(加仓管理!$A$2:$A$1001,A128,加仓管理!$R$2:$R$1001,"违规*")&gt;0,"违规：请检查加仓管理表",IF(SUM($AQ$2:$AQ$201)&gt;账户数据!$B$7,"预警：超过账户风险上限",IF(COUNTIFS(加仓管理!$A$2:$A$1001,A128,加仓管理!$N$2:$N$1001,"&gt;0",加仓管理!$G$2:$G$1001,"")&gt;0,"提示：存在待执行加仓计划","通过")))))</f>
        <v/>
      </c>
    </row>
    <row r="129" customFormat="false" ht="13.5" hidden="false" customHeight="false" outlineLevel="0" collapsed="false">
      <c r="A129" s="4"/>
      <c r="B129" s="4"/>
      <c r="C129" s="5"/>
      <c r="D129" s="6"/>
      <c r="E129" s="5"/>
      <c r="F129" s="7" t="str">
        <f aca="false">IF(OR(C129="",D129="",E129="",N129="",C129&lt;=0,D129&lt;=0,E129&lt;=N129),"",ROUNDDOWN((C129*D129)/(E129-N129)/100,0)*100)</f>
        <v/>
      </c>
      <c r="G129" s="7" t="str">
        <f aca="false">IF(A129="","",IF(H129&lt;&gt;"","已开仓",IF(账户数据!$B$23="已锁仓","禁止开仓：连续亏损达到上限",IF(账户数据!$B$23="解锁信息不完整","禁止开仓：请完整填写解锁信息",IF(OR(F129="",E129="",N129="",E129&lt;=N129,账户数据!$B$7=""),"",IF(OR(AG129="",AH129="",AI129=""),"禁止开仓：交易预期未填写完整",IF(账户数据!$B$9+F129*(E129-N129)&gt;=账户数据!$B$7,"禁止开仓：风险额度不足",IF(AJ129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9" s="4"/>
      <c r="I129" s="8"/>
      <c r="J129" s="5"/>
      <c r="K129" s="11"/>
      <c r="L129" s="7" t="str">
        <f aca="false">IF(AP129="","",AP129)</f>
        <v/>
      </c>
      <c r="M129" s="19"/>
      <c r="N129" s="5"/>
      <c r="O129" s="5"/>
      <c r="P129" s="11"/>
      <c r="Q129" s="4"/>
      <c r="R129" s="4"/>
      <c r="S129" s="4"/>
      <c r="T129" s="4"/>
      <c r="U129" s="9" t="str">
        <f aca="false">IF(OR(AO129="",J129="",AO129&lt;=0),"",(J129-AO129)/AO129)</f>
        <v/>
      </c>
      <c r="V129" s="9" t="str">
        <f aca="false">IF(OR(AO129="",N129="",AO129&lt;=0),"",(AO129-N129)/AO129)</f>
        <v/>
      </c>
      <c r="W129" s="10" t="str">
        <f aca="false">IF(OR(U129="",V129="",V129&lt;=0),"",U129/V129)</f>
        <v/>
      </c>
      <c r="X129" s="11" t="str">
        <f aca="false">IF(OR(K129="",L129="",AO129="",AP129=""),"",(K129-AO129)*L129-IF(O129="",0,O129)-IF(P129="",0,P129))</f>
        <v/>
      </c>
      <c r="Y129" s="9" t="str">
        <f aca="false">IF(OR(X129="",AO129="",L129=""),"",IF(AO129*L129+IF(O129="",0,O129)&lt;=0,"",X129/(AO129*L129+IF(O129="",0,O129))))</f>
        <v/>
      </c>
      <c r="Z129" s="9" t="str">
        <f aca="false">IF(OR(AE129="",多次统计数据!$B$8=""),"",AE129-多次统计数据!$B$8)</f>
        <v/>
      </c>
      <c r="AA129" s="12" t="str">
        <f aca="false">IF(OR(I129="",M129="",M129&lt;I129),"",M129-I129)</f>
        <v/>
      </c>
      <c r="AB129" s="9" t="str">
        <f aca="false">IF(OR(A129="",多次统计数据!$B$8="",多次统计数据!$B$6&lt;=0,多次统计数据!$B$6&gt;=1),"",1-POWER(1+多次统计数据!$B$8,-多次统计数据!$B$6/(1-多次统计数据!$B$6)))</f>
        <v/>
      </c>
      <c r="AC129" s="7" t="str">
        <f aca="false">IF(OR(AB129="",多次统计数据!$B$9=""),"",IF(多次统计数据!$B$9&lt;AB129,"低于上限","达到或超过上限"))</f>
        <v/>
      </c>
      <c r="AD129" s="4"/>
      <c r="AE129" s="9" t="str">
        <f aca="false">IF(OR(X129="",C129="",C129&lt;=0),"",X129/C129)</f>
        <v/>
      </c>
      <c r="AG129" s="4"/>
      <c r="AH129" s="4"/>
      <c r="AI129" s="4"/>
      <c r="AJ129" s="7" t="str">
        <f aca="false">IF(OR(AG129="",AH129=""),"",IF(OR(AND(AG129="短期博反弹",OR(AH129="1～3个交易日",AH129="4～10个交易日")),AND(AG129="突破冲新高",OR(AH129="4～10个交易日",AH129="11～20个交易日")),AND(AG129="趋势波段",OR(AH129="11～20个交易日",AH129="21～60个交易日",AH129="60个交易日以上"))),"匹配","周期与交易预期不匹配，请重新确认"))</f>
        <v/>
      </c>
      <c r="AK129" s="13" t="str">
        <f aca="false">IF(A129="","",COUNTIFS(加仓管理!$A$2:$A$1001,A129,加仓管理!$G$2:$G$1001,"&gt;0"))</f>
        <v/>
      </c>
      <c r="AL129" s="13" t="str">
        <f aca="false">IF(A129="","",SUMIFS(加仓管理!$G$2:$G$1001,加仓管理!$A$2:$A$1001,A129))</f>
        <v/>
      </c>
      <c r="AM129" s="14" t="str">
        <f aca="false">IF(AK129=0,"",IFERROR(LOOKUP(2,1/((加仓管理!$A$2:$A$1001=A129)*(加仓管理!$G$2:$G$1001&gt;0)),加仓管理!$D$2:$D$1001),""))</f>
        <v/>
      </c>
      <c r="AN129" s="14" t="str">
        <f aca="false">IF(AK129=0,"",IFERROR(LOOKUP(2,1/((加仓管理!$A$2:$A$1001=A129)*(加仓管理!$G$2:$G$1001&gt;0)),加仓管理!$E$2:$E$1001),""))</f>
        <v/>
      </c>
      <c r="AO129" s="14" t="str">
        <f aca="false">IF(OR(A129="",H129="",H129&lt;=0),"",(E129*H129+SUMIFS(加仓管理!$H$2:$H$1001,加仓管理!$A$2:$A$1001,A129))/AP129)</f>
        <v/>
      </c>
      <c r="AP129" s="13" t="str">
        <f aca="false">IF(OR(A129="",H129="",H129&lt;=0),"",H129+AL129)</f>
        <v/>
      </c>
      <c r="AQ129" s="14" t="str">
        <f aca="false">IF(A129="","",IF(M129&lt;&gt;"",0,IF(OR(H129="",N129=""),"",MAX((E129*H129+SUMIFS(加仓管理!$H$2:$H$1001,加仓管理!$A$2:$A$1001,A129))-MAX(N129,AN129)*AP129,0))))</f>
        <v/>
      </c>
      <c r="AR129" s="15" t="str">
        <f aca="false">IF(A129="","",IF(OR(E129="",H129=""),"违规：首次买入价格或股数缺失",IF(COUNTIFS(加仓管理!$A$2:$A$1001,A129,加仓管理!$R$2:$R$1001,"违规*")&gt;0,"违规：请检查加仓管理表",IF(SUM($AQ$2:$AQ$201)&gt;账户数据!$B$7,"预警：超过账户风险上限",IF(COUNTIFS(加仓管理!$A$2:$A$1001,A129,加仓管理!$N$2:$N$1001,"&gt;0",加仓管理!$G$2:$G$1001,"")&gt;0,"提示：存在待执行加仓计划","通过")))))</f>
        <v/>
      </c>
    </row>
    <row r="130" customFormat="false" ht="13.5" hidden="false" customHeight="false" outlineLevel="0" collapsed="false">
      <c r="A130" s="4"/>
      <c r="B130" s="4"/>
      <c r="C130" s="5"/>
      <c r="D130" s="6"/>
      <c r="E130" s="5"/>
      <c r="F130" s="7" t="str">
        <f aca="false">IF(OR(C130="",D130="",E130="",N130="",C130&lt;=0,D130&lt;=0,E130&lt;=N130),"",ROUNDDOWN((C130*D130)/(E130-N130)/100,0)*100)</f>
        <v/>
      </c>
      <c r="G130" s="7" t="str">
        <f aca="false">IF(A130="","",IF(H130&lt;&gt;"","已开仓",IF(账户数据!$B$23="已锁仓","禁止开仓：连续亏损达到上限",IF(账户数据!$B$23="解锁信息不完整","禁止开仓：请完整填写解锁信息",IF(OR(F130="",E130="",N130="",E130&lt;=N130,账户数据!$B$7=""),"",IF(OR(AG130="",AH130="",AI130=""),"禁止开仓：交易预期未填写完整",IF(账户数据!$B$9+F130*(E130-N130)&gt;=账户数据!$B$7,"禁止开仓：风险额度不足",IF(AJ130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0" s="4"/>
      <c r="I130" s="8"/>
      <c r="J130" s="5"/>
      <c r="K130" s="11"/>
      <c r="L130" s="7" t="str">
        <f aca="false">IF(AP130="","",AP130)</f>
        <v/>
      </c>
      <c r="M130" s="19"/>
      <c r="N130" s="5"/>
      <c r="O130" s="5"/>
      <c r="P130" s="11"/>
      <c r="Q130" s="4"/>
      <c r="R130" s="4"/>
      <c r="S130" s="4"/>
      <c r="T130" s="4"/>
      <c r="U130" s="9" t="str">
        <f aca="false">IF(OR(AO130="",J130="",AO130&lt;=0),"",(J130-AO130)/AO130)</f>
        <v/>
      </c>
      <c r="V130" s="9" t="str">
        <f aca="false">IF(OR(AO130="",N130="",AO130&lt;=0),"",(AO130-N130)/AO130)</f>
        <v/>
      </c>
      <c r="W130" s="10" t="str">
        <f aca="false">IF(OR(U130="",V130="",V130&lt;=0),"",U130/V130)</f>
        <v/>
      </c>
      <c r="X130" s="11" t="str">
        <f aca="false">IF(OR(K130="",L130="",AO130="",AP130=""),"",(K130-AO130)*L130-IF(O130="",0,O130)-IF(P130="",0,P130))</f>
        <v/>
      </c>
      <c r="Y130" s="9" t="str">
        <f aca="false">IF(OR(X130="",AO130="",L130=""),"",IF(AO130*L130+IF(O130="",0,O130)&lt;=0,"",X130/(AO130*L130+IF(O130="",0,O130))))</f>
        <v/>
      </c>
      <c r="Z130" s="9" t="str">
        <f aca="false">IF(OR(AE130="",多次统计数据!$B$8=""),"",AE130-多次统计数据!$B$8)</f>
        <v/>
      </c>
      <c r="AA130" s="12" t="str">
        <f aca="false">IF(OR(I130="",M130="",M130&lt;I130),"",M130-I130)</f>
        <v/>
      </c>
      <c r="AB130" s="9" t="str">
        <f aca="false">IF(OR(A130="",多次统计数据!$B$8="",多次统计数据!$B$6&lt;=0,多次统计数据!$B$6&gt;=1),"",1-POWER(1+多次统计数据!$B$8,-多次统计数据!$B$6/(1-多次统计数据!$B$6)))</f>
        <v/>
      </c>
      <c r="AC130" s="7" t="str">
        <f aca="false">IF(OR(AB130="",多次统计数据!$B$9=""),"",IF(多次统计数据!$B$9&lt;AB130,"低于上限","达到或超过上限"))</f>
        <v/>
      </c>
      <c r="AD130" s="4"/>
      <c r="AE130" s="9" t="str">
        <f aca="false">IF(OR(X130="",C130="",C130&lt;=0),"",X130/C130)</f>
        <v/>
      </c>
      <c r="AG130" s="4"/>
      <c r="AH130" s="4"/>
      <c r="AI130" s="4"/>
      <c r="AJ130" s="7" t="str">
        <f aca="false">IF(OR(AG130="",AH130=""),"",IF(OR(AND(AG130="短期博反弹",OR(AH130="1～3个交易日",AH130="4～10个交易日")),AND(AG130="突破冲新高",OR(AH130="4～10个交易日",AH130="11～20个交易日")),AND(AG130="趋势波段",OR(AH130="11～20个交易日",AH130="21～60个交易日",AH130="60个交易日以上"))),"匹配","周期与交易预期不匹配，请重新确认"))</f>
        <v/>
      </c>
      <c r="AK130" s="13" t="str">
        <f aca="false">IF(A130="","",COUNTIFS(加仓管理!$A$2:$A$1001,A130,加仓管理!$G$2:$G$1001,"&gt;0"))</f>
        <v/>
      </c>
      <c r="AL130" s="13" t="str">
        <f aca="false">IF(A130="","",SUMIFS(加仓管理!$G$2:$G$1001,加仓管理!$A$2:$A$1001,A130))</f>
        <v/>
      </c>
      <c r="AM130" s="14" t="str">
        <f aca="false">IF(AK130=0,"",IFERROR(LOOKUP(2,1/((加仓管理!$A$2:$A$1001=A130)*(加仓管理!$G$2:$G$1001&gt;0)),加仓管理!$D$2:$D$1001),""))</f>
        <v/>
      </c>
      <c r="AN130" s="14" t="str">
        <f aca="false">IF(AK130=0,"",IFERROR(LOOKUP(2,1/((加仓管理!$A$2:$A$1001=A130)*(加仓管理!$G$2:$G$1001&gt;0)),加仓管理!$E$2:$E$1001),""))</f>
        <v/>
      </c>
      <c r="AO130" s="14" t="str">
        <f aca="false">IF(OR(A130="",H130="",H130&lt;=0),"",(E130*H130+SUMIFS(加仓管理!$H$2:$H$1001,加仓管理!$A$2:$A$1001,A130))/AP130)</f>
        <v/>
      </c>
      <c r="AP130" s="13" t="str">
        <f aca="false">IF(OR(A130="",H130="",H130&lt;=0),"",H130+AL130)</f>
        <v/>
      </c>
      <c r="AQ130" s="14" t="str">
        <f aca="false">IF(A130="","",IF(M130&lt;&gt;"",0,IF(OR(H130="",N130=""),"",MAX((E130*H130+SUMIFS(加仓管理!$H$2:$H$1001,加仓管理!$A$2:$A$1001,A130))-MAX(N130,AN130)*AP130,0))))</f>
        <v/>
      </c>
      <c r="AR130" s="15" t="str">
        <f aca="false">IF(A130="","",IF(OR(E130="",H130=""),"违规：首次买入价格或股数缺失",IF(COUNTIFS(加仓管理!$A$2:$A$1001,A130,加仓管理!$R$2:$R$1001,"违规*")&gt;0,"违规：请检查加仓管理表",IF(SUM($AQ$2:$AQ$201)&gt;账户数据!$B$7,"预警：超过账户风险上限",IF(COUNTIFS(加仓管理!$A$2:$A$1001,A130,加仓管理!$N$2:$N$1001,"&gt;0",加仓管理!$G$2:$G$1001,"")&gt;0,"提示：存在待执行加仓计划","通过")))))</f>
        <v/>
      </c>
    </row>
    <row r="131" customFormat="false" ht="13.5" hidden="false" customHeight="false" outlineLevel="0" collapsed="false">
      <c r="A131" s="4"/>
      <c r="B131" s="4"/>
      <c r="C131" s="5"/>
      <c r="D131" s="6"/>
      <c r="E131" s="5"/>
      <c r="F131" s="7" t="str">
        <f aca="false">IF(OR(C131="",D131="",E131="",N131="",C131&lt;=0,D131&lt;=0,E131&lt;=N131),"",ROUNDDOWN((C131*D131)/(E131-N131)/100,0)*100)</f>
        <v/>
      </c>
      <c r="G131" s="7" t="str">
        <f aca="false">IF(A131="","",IF(H131&lt;&gt;"","已开仓",IF(账户数据!$B$23="已锁仓","禁止开仓：连续亏损达到上限",IF(账户数据!$B$23="解锁信息不完整","禁止开仓：请完整填写解锁信息",IF(OR(F131="",E131="",N131="",E131&lt;=N131,账户数据!$B$7=""),"",IF(OR(AG131="",AH131="",AI131=""),"禁止开仓：交易预期未填写完整",IF(账户数据!$B$9+F131*(E131-N131)&gt;=账户数据!$B$7,"禁止开仓：风险额度不足",IF(AJ131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1" s="4"/>
      <c r="I131" s="8"/>
      <c r="J131" s="5"/>
      <c r="K131" s="11"/>
      <c r="L131" s="7" t="str">
        <f aca="false">IF(AP131="","",AP131)</f>
        <v/>
      </c>
      <c r="M131" s="19"/>
      <c r="N131" s="5"/>
      <c r="O131" s="5"/>
      <c r="P131" s="11"/>
      <c r="Q131" s="4"/>
      <c r="R131" s="4"/>
      <c r="S131" s="4"/>
      <c r="T131" s="4"/>
      <c r="U131" s="9" t="str">
        <f aca="false">IF(OR(AO131="",J131="",AO131&lt;=0),"",(J131-AO131)/AO131)</f>
        <v/>
      </c>
      <c r="V131" s="9" t="str">
        <f aca="false">IF(OR(AO131="",N131="",AO131&lt;=0),"",(AO131-N131)/AO131)</f>
        <v/>
      </c>
      <c r="W131" s="10" t="str">
        <f aca="false">IF(OR(U131="",V131="",V131&lt;=0),"",U131/V131)</f>
        <v/>
      </c>
      <c r="X131" s="11" t="str">
        <f aca="false">IF(OR(K131="",L131="",AO131="",AP131=""),"",(K131-AO131)*L131-IF(O131="",0,O131)-IF(P131="",0,P131))</f>
        <v/>
      </c>
      <c r="Y131" s="9" t="str">
        <f aca="false">IF(OR(X131="",AO131="",L131=""),"",IF(AO131*L131+IF(O131="",0,O131)&lt;=0,"",X131/(AO131*L131+IF(O131="",0,O131))))</f>
        <v/>
      </c>
      <c r="Z131" s="9" t="str">
        <f aca="false">IF(OR(AE131="",多次统计数据!$B$8=""),"",AE131-多次统计数据!$B$8)</f>
        <v/>
      </c>
      <c r="AA131" s="12" t="str">
        <f aca="false">IF(OR(I131="",M131="",M131&lt;I131),"",M131-I131)</f>
        <v/>
      </c>
      <c r="AB131" s="9" t="str">
        <f aca="false">IF(OR(A131="",多次统计数据!$B$8="",多次统计数据!$B$6&lt;=0,多次统计数据!$B$6&gt;=1),"",1-POWER(1+多次统计数据!$B$8,-多次统计数据!$B$6/(1-多次统计数据!$B$6)))</f>
        <v/>
      </c>
      <c r="AC131" s="7" t="str">
        <f aca="false">IF(OR(AB131="",多次统计数据!$B$9=""),"",IF(多次统计数据!$B$9&lt;AB131,"低于上限","达到或超过上限"))</f>
        <v/>
      </c>
      <c r="AD131" s="4"/>
      <c r="AE131" s="9" t="str">
        <f aca="false">IF(OR(X131="",C131="",C131&lt;=0),"",X131/C131)</f>
        <v/>
      </c>
      <c r="AG131" s="4"/>
      <c r="AH131" s="4"/>
      <c r="AI131" s="4"/>
      <c r="AJ131" s="7" t="str">
        <f aca="false">IF(OR(AG131="",AH131=""),"",IF(OR(AND(AG131="短期博反弹",OR(AH131="1～3个交易日",AH131="4～10个交易日")),AND(AG131="突破冲新高",OR(AH131="4～10个交易日",AH131="11～20个交易日")),AND(AG131="趋势波段",OR(AH131="11～20个交易日",AH131="21～60个交易日",AH131="60个交易日以上"))),"匹配","周期与交易预期不匹配，请重新确认"))</f>
        <v/>
      </c>
      <c r="AK131" s="13" t="str">
        <f aca="false">IF(A131="","",COUNTIFS(加仓管理!$A$2:$A$1001,A131,加仓管理!$G$2:$G$1001,"&gt;0"))</f>
        <v/>
      </c>
      <c r="AL131" s="13" t="str">
        <f aca="false">IF(A131="","",SUMIFS(加仓管理!$G$2:$G$1001,加仓管理!$A$2:$A$1001,A131))</f>
        <v/>
      </c>
      <c r="AM131" s="14" t="str">
        <f aca="false">IF(AK131=0,"",IFERROR(LOOKUP(2,1/((加仓管理!$A$2:$A$1001=A131)*(加仓管理!$G$2:$G$1001&gt;0)),加仓管理!$D$2:$D$1001),""))</f>
        <v/>
      </c>
      <c r="AN131" s="14" t="str">
        <f aca="false">IF(AK131=0,"",IFERROR(LOOKUP(2,1/((加仓管理!$A$2:$A$1001=A131)*(加仓管理!$G$2:$G$1001&gt;0)),加仓管理!$E$2:$E$1001),""))</f>
        <v/>
      </c>
      <c r="AO131" s="14" t="str">
        <f aca="false">IF(OR(A131="",H131="",H131&lt;=0),"",(E131*H131+SUMIFS(加仓管理!$H$2:$H$1001,加仓管理!$A$2:$A$1001,A131))/AP131)</f>
        <v/>
      </c>
      <c r="AP131" s="13" t="str">
        <f aca="false">IF(OR(A131="",H131="",H131&lt;=0),"",H131+AL131)</f>
        <v/>
      </c>
      <c r="AQ131" s="14" t="str">
        <f aca="false">IF(A131="","",IF(M131&lt;&gt;"",0,IF(OR(H131="",N131=""),"",MAX((E131*H131+SUMIFS(加仓管理!$H$2:$H$1001,加仓管理!$A$2:$A$1001,A131))-MAX(N131,AN131)*AP131,0))))</f>
        <v/>
      </c>
      <c r="AR131" s="15" t="str">
        <f aca="false">IF(A131="","",IF(OR(E131="",H131=""),"违规：首次买入价格或股数缺失",IF(COUNTIFS(加仓管理!$A$2:$A$1001,A131,加仓管理!$R$2:$R$1001,"违规*")&gt;0,"违规：请检查加仓管理表",IF(SUM($AQ$2:$AQ$201)&gt;账户数据!$B$7,"预警：超过账户风险上限",IF(COUNTIFS(加仓管理!$A$2:$A$1001,A131,加仓管理!$N$2:$N$1001,"&gt;0",加仓管理!$G$2:$G$1001,"")&gt;0,"提示：存在待执行加仓计划","通过")))))</f>
        <v/>
      </c>
    </row>
    <row r="132" customFormat="false" ht="13.5" hidden="false" customHeight="false" outlineLevel="0" collapsed="false">
      <c r="A132" s="4"/>
      <c r="B132" s="4"/>
      <c r="C132" s="5"/>
      <c r="D132" s="6"/>
      <c r="E132" s="5"/>
      <c r="F132" s="7" t="str">
        <f aca="false">IF(OR(C132="",D132="",E132="",N132="",C132&lt;=0,D132&lt;=0,E132&lt;=N132),"",ROUNDDOWN((C132*D132)/(E132-N132)/100,0)*100)</f>
        <v/>
      </c>
      <c r="G132" s="7" t="str">
        <f aca="false">IF(A132="","",IF(H132&lt;&gt;"","已开仓",IF(账户数据!$B$23="已锁仓","禁止开仓：连续亏损达到上限",IF(账户数据!$B$23="解锁信息不完整","禁止开仓：请完整填写解锁信息",IF(OR(F132="",E132="",N132="",E132&lt;=N132,账户数据!$B$7=""),"",IF(OR(AG132="",AH132="",AI132=""),"禁止开仓：交易预期未填写完整",IF(账户数据!$B$9+F132*(E132-N132)&gt;=账户数据!$B$7,"禁止开仓：风险额度不足",IF(AJ132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2" s="4"/>
      <c r="I132" s="8"/>
      <c r="J132" s="5"/>
      <c r="K132" s="11"/>
      <c r="L132" s="7" t="str">
        <f aca="false">IF(AP132="","",AP132)</f>
        <v/>
      </c>
      <c r="M132" s="19"/>
      <c r="N132" s="5"/>
      <c r="O132" s="5"/>
      <c r="P132" s="11"/>
      <c r="Q132" s="4"/>
      <c r="R132" s="4"/>
      <c r="S132" s="4"/>
      <c r="T132" s="4"/>
      <c r="U132" s="9" t="str">
        <f aca="false">IF(OR(AO132="",J132="",AO132&lt;=0),"",(J132-AO132)/AO132)</f>
        <v/>
      </c>
      <c r="V132" s="9" t="str">
        <f aca="false">IF(OR(AO132="",N132="",AO132&lt;=0),"",(AO132-N132)/AO132)</f>
        <v/>
      </c>
      <c r="W132" s="10" t="str">
        <f aca="false">IF(OR(U132="",V132="",V132&lt;=0),"",U132/V132)</f>
        <v/>
      </c>
      <c r="X132" s="11" t="str">
        <f aca="false">IF(OR(K132="",L132="",AO132="",AP132=""),"",(K132-AO132)*L132-IF(O132="",0,O132)-IF(P132="",0,P132))</f>
        <v/>
      </c>
      <c r="Y132" s="9" t="str">
        <f aca="false">IF(OR(X132="",AO132="",L132=""),"",IF(AO132*L132+IF(O132="",0,O132)&lt;=0,"",X132/(AO132*L132+IF(O132="",0,O132))))</f>
        <v/>
      </c>
      <c r="Z132" s="9" t="str">
        <f aca="false">IF(OR(AE132="",多次统计数据!$B$8=""),"",AE132-多次统计数据!$B$8)</f>
        <v/>
      </c>
      <c r="AA132" s="12" t="str">
        <f aca="false">IF(OR(I132="",M132="",M132&lt;I132),"",M132-I132)</f>
        <v/>
      </c>
      <c r="AB132" s="9" t="str">
        <f aca="false">IF(OR(A132="",多次统计数据!$B$8="",多次统计数据!$B$6&lt;=0,多次统计数据!$B$6&gt;=1),"",1-POWER(1+多次统计数据!$B$8,-多次统计数据!$B$6/(1-多次统计数据!$B$6)))</f>
        <v/>
      </c>
      <c r="AC132" s="7" t="str">
        <f aca="false">IF(OR(AB132="",多次统计数据!$B$9=""),"",IF(多次统计数据!$B$9&lt;AB132,"低于上限","达到或超过上限"))</f>
        <v/>
      </c>
      <c r="AD132" s="4"/>
      <c r="AE132" s="9" t="str">
        <f aca="false">IF(OR(X132="",C132="",C132&lt;=0),"",X132/C132)</f>
        <v/>
      </c>
      <c r="AG132" s="4"/>
      <c r="AH132" s="4"/>
      <c r="AI132" s="4"/>
      <c r="AJ132" s="7" t="str">
        <f aca="false">IF(OR(AG132="",AH132=""),"",IF(OR(AND(AG132="短期博反弹",OR(AH132="1～3个交易日",AH132="4～10个交易日")),AND(AG132="突破冲新高",OR(AH132="4～10个交易日",AH132="11～20个交易日")),AND(AG132="趋势波段",OR(AH132="11～20个交易日",AH132="21～60个交易日",AH132="60个交易日以上"))),"匹配","周期与交易预期不匹配，请重新确认"))</f>
        <v/>
      </c>
      <c r="AK132" s="13" t="str">
        <f aca="false">IF(A132="","",COUNTIFS(加仓管理!$A$2:$A$1001,A132,加仓管理!$G$2:$G$1001,"&gt;0"))</f>
        <v/>
      </c>
      <c r="AL132" s="13" t="str">
        <f aca="false">IF(A132="","",SUMIFS(加仓管理!$G$2:$G$1001,加仓管理!$A$2:$A$1001,A132))</f>
        <v/>
      </c>
      <c r="AM132" s="14" t="str">
        <f aca="false">IF(AK132=0,"",IFERROR(LOOKUP(2,1/((加仓管理!$A$2:$A$1001=A132)*(加仓管理!$G$2:$G$1001&gt;0)),加仓管理!$D$2:$D$1001),""))</f>
        <v/>
      </c>
      <c r="AN132" s="14" t="str">
        <f aca="false">IF(AK132=0,"",IFERROR(LOOKUP(2,1/((加仓管理!$A$2:$A$1001=A132)*(加仓管理!$G$2:$G$1001&gt;0)),加仓管理!$E$2:$E$1001),""))</f>
        <v/>
      </c>
      <c r="AO132" s="14" t="str">
        <f aca="false">IF(OR(A132="",H132="",H132&lt;=0),"",(E132*H132+SUMIFS(加仓管理!$H$2:$H$1001,加仓管理!$A$2:$A$1001,A132))/AP132)</f>
        <v/>
      </c>
      <c r="AP132" s="13" t="str">
        <f aca="false">IF(OR(A132="",H132="",H132&lt;=0),"",H132+AL132)</f>
        <v/>
      </c>
      <c r="AQ132" s="14" t="str">
        <f aca="false">IF(A132="","",IF(M132&lt;&gt;"",0,IF(OR(H132="",N132=""),"",MAX((E132*H132+SUMIFS(加仓管理!$H$2:$H$1001,加仓管理!$A$2:$A$1001,A132))-MAX(N132,AN132)*AP132,0))))</f>
        <v/>
      </c>
      <c r="AR132" s="15" t="str">
        <f aca="false">IF(A132="","",IF(OR(E132="",H132=""),"违规：首次买入价格或股数缺失",IF(COUNTIFS(加仓管理!$A$2:$A$1001,A132,加仓管理!$R$2:$R$1001,"违规*")&gt;0,"违规：请检查加仓管理表",IF(SUM($AQ$2:$AQ$201)&gt;账户数据!$B$7,"预警：超过账户风险上限",IF(COUNTIFS(加仓管理!$A$2:$A$1001,A132,加仓管理!$N$2:$N$1001,"&gt;0",加仓管理!$G$2:$G$1001,"")&gt;0,"提示：存在待执行加仓计划","通过")))))</f>
        <v/>
      </c>
    </row>
    <row r="133" customFormat="false" ht="13.5" hidden="false" customHeight="false" outlineLevel="0" collapsed="false">
      <c r="A133" s="4"/>
      <c r="B133" s="4"/>
      <c r="C133" s="5"/>
      <c r="D133" s="6"/>
      <c r="E133" s="5"/>
      <c r="F133" s="7" t="str">
        <f aca="false">IF(OR(C133="",D133="",E133="",N133="",C133&lt;=0,D133&lt;=0,E133&lt;=N133),"",ROUNDDOWN((C133*D133)/(E133-N133)/100,0)*100)</f>
        <v/>
      </c>
      <c r="G133" s="7" t="str">
        <f aca="false">IF(A133="","",IF(H133&lt;&gt;"","已开仓",IF(账户数据!$B$23="已锁仓","禁止开仓：连续亏损达到上限",IF(账户数据!$B$23="解锁信息不完整","禁止开仓：请完整填写解锁信息",IF(OR(F133="",E133="",N133="",E133&lt;=N133,账户数据!$B$7=""),"",IF(OR(AG133="",AH133="",AI133=""),"禁止开仓：交易预期未填写完整",IF(账户数据!$B$9+F133*(E133-N133)&gt;=账户数据!$B$7,"禁止开仓：风险额度不足",IF(AJ133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3" s="4"/>
      <c r="I133" s="8"/>
      <c r="J133" s="5"/>
      <c r="K133" s="11"/>
      <c r="L133" s="7" t="str">
        <f aca="false">IF(AP133="","",AP133)</f>
        <v/>
      </c>
      <c r="M133" s="19"/>
      <c r="N133" s="5"/>
      <c r="O133" s="5"/>
      <c r="P133" s="11"/>
      <c r="Q133" s="4"/>
      <c r="R133" s="4"/>
      <c r="S133" s="4"/>
      <c r="T133" s="4"/>
      <c r="U133" s="9" t="str">
        <f aca="false">IF(OR(AO133="",J133="",AO133&lt;=0),"",(J133-AO133)/AO133)</f>
        <v/>
      </c>
      <c r="V133" s="9" t="str">
        <f aca="false">IF(OR(AO133="",N133="",AO133&lt;=0),"",(AO133-N133)/AO133)</f>
        <v/>
      </c>
      <c r="W133" s="10" t="str">
        <f aca="false">IF(OR(U133="",V133="",V133&lt;=0),"",U133/V133)</f>
        <v/>
      </c>
      <c r="X133" s="11" t="str">
        <f aca="false">IF(OR(K133="",L133="",AO133="",AP133=""),"",(K133-AO133)*L133-IF(O133="",0,O133)-IF(P133="",0,P133))</f>
        <v/>
      </c>
      <c r="Y133" s="9" t="str">
        <f aca="false">IF(OR(X133="",AO133="",L133=""),"",IF(AO133*L133+IF(O133="",0,O133)&lt;=0,"",X133/(AO133*L133+IF(O133="",0,O133))))</f>
        <v/>
      </c>
      <c r="Z133" s="9" t="str">
        <f aca="false">IF(OR(AE133="",多次统计数据!$B$8=""),"",AE133-多次统计数据!$B$8)</f>
        <v/>
      </c>
      <c r="AA133" s="12" t="str">
        <f aca="false">IF(OR(I133="",M133="",M133&lt;I133),"",M133-I133)</f>
        <v/>
      </c>
      <c r="AB133" s="9" t="str">
        <f aca="false">IF(OR(A133="",多次统计数据!$B$8="",多次统计数据!$B$6&lt;=0,多次统计数据!$B$6&gt;=1),"",1-POWER(1+多次统计数据!$B$8,-多次统计数据!$B$6/(1-多次统计数据!$B$6)))</f>
        <v/>
      </c>
      <c r="AC133" s="7" t="str">
        <f aca="false">IF(OR(AB133="",多次统计数据!$B$9=""),"",IF(多次统计数据!$B$9&lt;AB133,"低于上限","达到或超过上限"))</f>
        <v/>
      </c>
      <c r="AD133" s="4"/>
      <c r="AE133" s="9" t="str">
        <f aca="false">IF(OR(X133="",C133="",C133&lt;=0),"",X133/C133)</f>
        <v/>
      </c>
      <c r="AG133" s="4"/>
      <c r="AH133" s="4"/>
      <c r="AI133" s="4"/>
      <c r="AJ133" s="7" t="str">
        <f aca="false">IF(OR(AG133="",AH133=""),"",IF(OR(AND(AG133="短期博反弹",OR(AH133="1～3个交易日",AH133="4～10个交易日")),AND(AG133="突破冲新高",OR(AH133="4～10个交易日",AH133="11～20个交易日")),AND(AG133="趋势波段",OR(AH133="11～20个交易日",AH133="21～60个交易日",AH133="60个交易日以上"))),"匹配","周期与交易预期不匹配，请重新确认"))</f>
        <v/>
      </c>
      <c r="AK133" s="13" t="str">
        <f aca="false">IF(A133="","",COUNTIFS(加仓管理!$A$2:$A$1001,A133,加仓管理!$G$2:$G$1001,"&gt;0"))</f>
        <v/>
      </c>
      <c r="AL133" s="13" t="str">
        <f aca="false">IF(A133="","",SUMIFS(加仓管理!$G$2:$G$1001,加仓管理!$A$2:$A$1001,A133))</f>
        <v/>
      </c>
      <c r="AM133" s="14" t="str">
        <f aca="false">IF(AK133=0,"",IFERROR(LOOKUP(2,1/((加仓管理!$A$2:$A$1001=A133)*(加仓管理!$G$2:$G$1001&gt;0)),加仓管理!$D$2:$D$1001),""))</f>
        <v/>
      </c>
      <c r="AN133" s="14" t="str">
        <f aca="false">IF(AK133=0,"",IFERROR(LOOKUP(2,1/((加仓管理!$A$2:$A$1001=A133)*(加仓管理!$G$2:$G$1001&gt;0)),加仓管理!$E$2:$E$1001),""))</f>
        <v/>
      </c>
      <c r="AO133" s="14" t="str">
        <f aca="false">IF(OR(A133="",H133="",H133&lt;=0),"",(E133*H133+SUMIFS(加仓管理!$H$2:$H$1001,加仓管理!$A$2:$A$1001,A133))/AP133)</f>
        <v/>
      </c>
      <c r="AP133" s="13" t="str">
        <f aca="false">IF(OR(A133="",H133="",H133&lt;=0),"",H133+AL133)</f>
        <v/>
      </c>
      <c r="AQ133" s="14" t="str">
        <f aca="false">IF(A133="","",IF(M133&lt;&gt;"",0,IF(OR(H133="",N133=""),"",MAX((E133*H133+SUMIFS(加仓管理!$H$2:$H$1001,加仓管理!$A$2:$A$1001,A133))-MAX(N133,AN133)*AP133,0))))</f>
        <v/>
      </c>
      <c r="AR133" s="15" t="str">
        <f aca="false">IF(A133="","",IF(OR(E133="",H133=""),"违规：首次买入价格或股数缺失",IF(COUNTIFS(加仓管理!$A$2:$A$1001,A133,加仓管理!$R$2:$R$1001,"违规*")&gt;0,"违规：请检查加仓管理表",IF(SUM($AQ$2:$AQ$201)&gt;账户数据!$B$7,"预警：超过账户风险上限",IF(COUNTIFS(加仓管理!$A$2:$A$1001,A133,加仓管理!$N$2:$N$1001,"&gt;0",加仓管理!$G$2:$G$1001,"")&gt;0,"提示：存在待执行加仓计划","通过")))))</f>
        <v/>
      </c>
    </row>
    <row r="134" customFormat="false" ht="13.5" hidden="false" customHeight="false" outlineLevel="0" collapsed="false">
      <c r="A134" s="4"/>
      <c r="B134" s="4"/>
      <c r="C134" s="5"/>
      <c r="D134" s="6"/>
      <c r="E134" s="5"/>
      <c r="F134" s="7" t="str">
        <f aca="false">IF(OR(C134="",D134="",E134="",N134="",C134&lt;=0,D134&lt;=0,E134&lt;=N134),"",ROUNDDOWN((C134*D134)/(E134-N134)/100,0)*100)</f>
        <v/>
      </c>
      <c r="G134" s="7" t="str">
        <f aca="false">IF(A134="","",IF(H134&lt;&gt;"","已开仓",IF(账户数据!$B$23="已锁仓","禁止开仓：连续亏损达到上限",IF(账户数据!$B$23="解锁信息不完整","禁止开仓：请完整填写解锁信息",IF(OR(F134="",E134="",N134="",E134&lt;=N134,账户数据!$B$7=""),"",IF(OR(AG134="",AH134="",AI134=""),"禁止开仓：交易预期未填写完整",IF(账户数据!$B$9+F134*(E134-N134)&gt;=账户数据!$B$7,"禁止开仓：风险额度不足",IF(AJ134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4" s="4"/>
      <c r="I134" s="8"/>
      <c r="J134" s="5"/>
      <c r="K134" s="11"/>
      <c r="L134" s="7" t="str">
        <f aca="false">IF(AP134="","",AP134)</f>
        <v/>
      </c>
      <c r="M134" s="19"/>
      <c r="N134" s="5"/>
      <c r="O134" s="5"/>
      <c r="P134" s="11"/>
      <c r="Q134" s="4"/>
      <c r="R134" s="4"/>
      <c r="S134" s="4"/>
      <c r="T134" s="4"/>
      <c r="U134" s="9" t="str">
        <f aca="false">IF(OR(AO134="",J134="",AO134&lt;=0),"",(J134-AO134)/AO134)</f>
        <v/>
      </c>
      <c r="V134" s="9" t="str">
        <f aca="false">IF(OR(AO134="",N134="",AO134&lt;=0),"",(AO134-N134)/AO134)</f>
        <v/>
      </c>
      <c r="W134" s="10" t="str">
        <f aca="false">IF(OR(U134="",V134="",V134&lt;=0),"",U134/V134)</f>
        <v/>
      </c>
      <c r="X134" s="11" t="str">
        <f aca="false">IF(OR(K134="",L134="",AO134="",AP134=""),"",(K134-AO134)*L134-IF(O134="",0,O134)-IF(P134="",0,P134))</f>
        <v/>
      </c>
      <c r="Y134" s="9" t="str">
        <f aca="false">IF(OR(X134="",AO134="",L134=""),"",IF(AO134*L134+IF(O134="",0,O134)&lt;=0,"",X134/(AO134*L134+IF(O134="",0,O134))))</f>
        <v/>
      </c>
      <c r="Z134" s="9" t="str">
        <f aca="false">IF(OR(AE134="",多次统计数据!$B$8=""),"",AE134-多次统计数据!$B$8)</f>
        <v/>
      </c>
      <c r="AA134" s="12" t="str">
        <f aca="false">IF(OR(I134="",M134="",M134&lt;I134),"",M134-I134)</f>
        <v/>
      </c>
      <c r="AB134" s="9" t="str">
        <f aca="false">IF(OR(A134="",多次统计数据!$B$8="",多次统计数据!$B$6&lt;=0,多次统计数据!$B$6&gt;=1),"",1-POWER(1+多次统计数据!$B$8,-多次统计数据!$B$6/(1-多次统计数据!$B$6)))</f>
        <v/>
      </c>
      <c r="AC134" s="7" t="str">
        <f aca="false">IF(OR(AB134="",多次统计数据!$B$9=""),"",IF(多次统计数据!$B$9&lt;AB134,"低于上限","达到或超过上限"))</f>
        <v/>
      </c>
      <c r="AD134" s="4"/>
      <c r="AE134" s="9" t="str">
        <f aca="false">IF(OR(X134="",C134="",C134&lt;=0),"",X134/C134)</f>
        <v/>
      </c>
      <c r="AG134" s="4"/>
      <c r="AH134" s="4"/>
      <c r="AI134" s="4"/>
      <c r="AJ134" s="7" t="str">
        <f aca="false">IF(OR(AG134="",AH134=""),"",IF(OR(AND(AG134="短期博反弹",OR(AH134="1～3个交易日",AH134="4～10个交易日")),AND(AG134="突破冲新高",OR(AH134="4～10个交易日",AH134="11～20个交易日")),AND(AG134="趋势波段",OR(AH134="11～20个交易日",AH134="21～60个交易日",AH134="60个交易日以上"))),"匹配","周期与交易预期不匹配，请重新确认"))</f>
        <v/>
      </c>
      <c r="AK134" s="13" t="str">
        <f aca="false">IF(A134="","",COUNTIFS(加仓管理!$A$2:$A$1001,A134,加仓管理!$G$2:$G$1001,"&gt;0"))</f>
        <v/>
      </c>
      <c r="AL134" s="13" t="str">
        <f aca="false">IF(A134="","",SUMIFS(加仓管理!$G$2:$G$1001,加仓管理!$A$2:$A$1001,A134))</f>
        <v/>
      </c>
      <c r="AM134" s="14" t="str">
        <f aca="false">IF(AK134=0,"",IFERROR(LOOKUP(2,1/((加仓管理!$A$2:$A$1001=A134)*(加仓管理!$G$2:$G$1001&gt;0)),加仓管理!$D$2:$D$1001),""))</f>
        <v/>
      </c>
      <c r="AN134" s="14" t="str">
        <f aca="false">IF(AK134=0,"",IFERROR(LOOKUP(2,1/((加仓管理!$A$2:$A$1001=A134)*(加仓管理!$G$2:$G$1001&gt;0)),加仓管理!$E$2:$E$1001),""))</f>
        <v/>
      </c>
      <c r="AO134" s="14" t="str">
        <f aca="false">IF(OR(A134="",H134="",H134&lt;=0),"",(E134*H134+SUMIFS(加仓管理!$H$2:$H$1001,加仓管理!$A$2:$A$1001,A134))/AP134)</f>
        <v/>
      </c>
      <c r="AP134" s="13" t="str">
        <f aca="false">IF(OR(A134="",H134="",H134&lt;=0),"",H134+AL134)</f>
        <v/>
      </c>
      <c r="AQ134" s="14" t="str">
        <f aca="false">IF(A134="","",IF(M134&lt;&gt;"",0,IF(OR(H134="",N134=""),"",MAX((E134*H134+SUMIFS(加仓管理!$H$2:$H$1001,加仓管理!$A$2:$A$1001,A134))-MAX(N134,AN134)*AP134,0))))</f>
        <v/>
      </c>
      <c r="AR134" s="15" t="str">
        <f aca="false">IF(A134="","",IF(OR(E134="",H134=""),"违规：首次买入价格或股数缺失",IF(COUNTIFS(加仓管理!$A$2:$A$1001,A134,加仓管理!$R$2:$R$1001,"违规*")&gt;0,"违规：请检查加仓管理表",IF(SUM($AQ$2:$AQ$201)&gt;账户数据!$B$7,"预警：超过账户风险上限",IF(COUNTIFS(加仓管理!$A$2:$A$1001,A134,加仓管理!$N$2:$N$1001,"&gt;0",加仓管理!$G$2:$G$1001,"")&gt;0,"提示：存在待执行加仓计划","通过")))))</f>
        <v/>
      </c>
    </row>
    <row r="135" customFormat="false" ht="13.5" hidden="false" customHeight="false" outlineLevel="0" collapsed="false">
      <c r="A135" s="4"/>
      <c r="B135" s="4"/>
      <c r="C135" s="5"/>
      <c r="D135" s="6"/>
      <c r="E135" s="5"/>
      <c r="F135" s="7" t="str">
        <f aca="false">IF(OR(C135="",D135="",E135="",N135="",C135&lt;=0,D135&lt;=0,E135&lt;=N135),"",ROUNDDOWN((C135*D135)/(E135-N135)/100,0)*100)</f>
        <v/>
      </c>
      <c r="G135" s="7" t="str">
        <f aca="false">IF(A135="","",IF(H135&lt;&gt;"","已开仓",IF(账户数据!$B$23="已锁仓","禁止开仓：连续亏损达到上限",IF(账户数据!$B$23="解锁信息不完整","禁止开仓：请完整填写解锁信息",IF(OR(F135="",E135="",N135="",E135&lt;=N135,账户数据!$B$7=""),"",IF(OR(AG135="",AH135="",AI135=""),"禁止开仓：交易预期未填写完整",IF(账户数据!$B$9+F135*(E135-N135)&gt;=账户数据!$B$7,"禁止开仓：风险额度不足",IF(AJ135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5" s="4"/>
      <c r="I135" s="8"/>
      <c r="J135" s="5"/>
      <c r="K135" s="11"/>
      <c r="L135" s="7" t="str">
        <f aca="false">IF(AP135="","",AP135)</f>
        <v/>
      </c>
      <c r="M135" s="19"/>
      <c r="N135" s="5"/>
      <c r="O135" s="5"/>
      <c r="P135" s="11"/>
      <c r="Q135" s="4"/>
      <c r="R135" s="4"/>
      <c r="S135" s="4"/>
      <c r="T135" s="4"/>
      <c r="U135" s="9" t="str">
        <f aca="false">IF(OR(AO135="",J135="",AO135&lt;=0),"",(J135-AO135)/AO135)</f>
        <v/>
      </c>
      <c r="V135" s="9" t="str">
        <f aca="false">IF(OR(AO135="",N135="",AO135&lt;=0),"",(AO135-N135)/AO135)</f>
        <v/>
      </c>
      <c r="W135" s="10" t="str">
        <f aca="false">IF(OR(U135="",V135="",V135&lt;=0),"",U135/V135)</f>
        <v/>
      </c>
      <c r="X135" s="11" t="str">
        <f aca="false">IF(OR(K135="",L135="",AO135="",AP135=""),"",(K135-AO135)*L135-IF(O135="",0,O135)-IF(P135="",0,P135))</f>
        <v/>
      </c>
      <c r="Y135" s="9" t="str">
        <f aca="false">IF(OR(X135="",AO135="",L135=""),"",IF(AO135*L135+IF(O135="",0,O135)&lt;=0,"",X135/(AO135*L135+IF(O135="",0,O135))))</f>
        <v/>
      </c>
      <c r="Z135" s="9" t="str">
        <f aca="false">IF(OR(AE135="",多次统计数据!$B$8=""),"",AE135-多次统计数据!$B$8)</f>
        <v/>
      </c>
      <c r="AA135" s="12" t="str">
        <f aca="false">IF(OR(I135="",M135="",M135&lt;I135),"",M135-I135)</f>
        <v/>
      </c>
      <c r="AB135" s="9" t="str">
        <f aca="false">IF(OR(A135="",多次统计数据!$B$8="",多次统计数据!$B$6&lt;=0,多次统计数据!$B$6&gt;=1),"",1-POWER(1+多次统计数据!$B$8,-多次统计数据!$B$6/(1-多次统计数据!$B$6)))</f>
        <v/>
      </c>
      <c r="AC135" s="7" t="str">
        <f aca="false">IF(OR(AB135="",多次统计数据!$B$9=""),"",IF(多次统计数据!$B$9&lt;AB135,"低于上限","达到或超过上限"))</f>
        <v/>
      </c>
      <c r="AD135" s="4"/>
      <c r="AE135" s="9" t="str">
        <f aca="false">IF(OR(X135="",C135="",C135&lt;=0),"",X135/C135)</f>
        <v/>
      </c>
      <c r="AG135" s="4"/>
      <c r="AH135" s="4"/>
      <c r="AI135" s="4"/>
      <c r="AJ135" s="7" t="str">
        <f aca="false">IF(OR(AG135="",AH135=""),"",IF(OR(AND(AG135="短期博反弹",OR(AH135="1～3个交易日",AH135="4～10个交易日")),AND(AG135="突破冲新高",OR(AH135="4～10个交易日",AH135="11～20个交易日")),AND(AG135="趋势波段",OR(AH135="11～20个交易日",AH135="21～60个交易日",AH135="60个交易日以上"))),"匹配","周期与交易预期不匹配，请重新确认"))</f>
        <v/>
      </c>
      <c r="AK135" s="13" t="str">
        <f aca="false">IF(A135="","",COUNTIFS(加仓管理!$A$2:$A$1001,A135,加仓管理!$G$2:$G$1001,"&gt;0"))</f>
        <v/>
      </c>
      <c r="AL135" s="13" t="str">
        <f aca="false">IF(A135="","",SUMIFS(加仓管理!$G$2:$G$1001,加仓管理!$A$2:$A$1001,A135))</f>
        <v/>
      </c>
      <c r="AM135" s="14" t="str">
        <f aca="false">IF(AK135=0,"",IFERROR(LOOKUP(2,1/((加仓管理!$A$2:$A$1001=A135)*(加仓管理!$G$2:$G$1001&gt;0)),加仓管理!$D$2:$D$1001),""))</f>
        <v/>
      </c>
      <c r="AN135" s="14" t="str">
        <f aca="false">IF(AK135=0,"",IFERROR(LOOKUP(2,1/((加仓管理!$A$2:$A$1001=A135)*(加仓管理!$G$2:$G$1001&gt;0)),加仓管理!$E$2:$E$1001),""))</f>
        <v/>
      </c>
      <c r="AO135" s="14" t="str">
        <f aca="false">IF(OR(A135="",H135="",H135&lt;=0),"",(E135*H135+SUMIFS(加仓管理!$H$2:$H$1001,加仓管理!$A$2:$A$1001,A135))/AP135)</f>
        <v/>
      </c>
      <c r="AP135" s="13" t="str">
        <f aca="false">IF(OR(A135="",H135="",H135&lt;=0),"",H135+AL135)</f>
        <v/>
      </c>
      <c r="AQ135" s="14" t="str">
        <f aca="false">IF(A135="","",IF(M135&lt;&gt;"",0,IF(OR(H135="",N135=""),"",MAX((E135*H135+SUMIFS(加仓管理!$H$2:$H$1001,加仓管理!$A$2:$A$1001,A135))-MAX(N135,AN135)*AP135,0))))</f>
        <v/>
      </c>
      <c r="AR135" s="15" t="str">
        <f aca="false">IF(A135="","",IF(OR(E135="",H135=""),"违规：首次买入价格或股数缺失",IF(COUNTIFS(加仓管理!$A$2:$A$1001,A135,加仓管理!$R$2:$R$1001,"违规*")&gt;0,"违规：请检查加仓管理表",IF(SUM($AQ$2:$AQ$201)&gt;账户数据!$B$7,"预警：超过账户风险上限",IF(COUNTIFS(加仓管理!$A$2:$A$1001,A135,加仓管理!$N$2:$N$1001,"&gt;0",加仓管理!$G$2:$G$1001,"")&gt;0,"提示：存在待执行加仓计划","通过")))))</f>
        <v/>
      </c>
    </row>
    <row r="136" customFormat="false" ht="13.5" hidden="false" customHeight="false" outlineLevel="0" collapsed="false">
      <c r="A136" s="4"/>
      <c r="B136" s="4"/>
      <c r="C136" s="5"/>
      <c r="D136" s="6"/>
      <c r="E136" s="5"/>
      <c r="F136" s="7" t="str">
        <f aca="false">IF(OR(C136="",D136="",E136="",N136="",C136&lt;=0,D136&lt;=0,E136&lt;=N136),"",ROUNDDOWN((C136*D136)/(E136-N136)/100,0)*100)</f>
        <v/>
      </c>
      <c r="G136" s="7" t="str">
        <f aca="false">IF(A136="","",IF(H136&lt;&gt;"","已开仓",IF(账户数据!$B$23="已锁仓","禁止开仓：连续亏损达到上限",IF(账户数据!$B$23="解锁信息不完整","禁止开仓：请完整填写解锁信息",IF(OR(F136="",E136="",N136="",E136&lt;=N136,账户数据!$B$7=""),"",IF(OR(AG136="",AH136="",AI136=""),"禁止开仓：交易预期未填写完整",IF(账户数据!$B$9+F136*(E136-N136)&gt;=账户数据!$B$7,"禁止开仓：风险额度不足",IF(AJ136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6" s="4"/>
      <c r="I136" s="8"/>
      <c r="J136" s="5"/>
      <c r="K136" s="11"/>
      <c r="L136" s="7" t="str">
        <f aca="false">IF(AP136="","",AP136)</f>
        <v/>
      </c>
      <c r="M136" s="19"/>
      <c r="N136" s="5"/>
      <c r="O136" s="5"/>
      <c r="P136" s="11"/>
      <c r="Q136" s="4"/>
      <c r="R136" s="4"/>
      <c r="S136" s="4"/>
      <c r="T136" s="4"/>
      <c r="U136" s="9" t="str">
        <f aca="false">IF(OR(AO136="",J136="",AO136&lt;=0),"",(J136-AO136)/AO136)</f>
        <v/>
      </c>
      <c r="V136" s="9" t="str">
        <f aca="false">IF(OR(AO136="",N136="",AO136&lt;=0),"",(AO136-N136)/AO136)</f>
        <v/>
      </c>
      <c r="W136" s="10" t="str">
        <f aca="false">IF(OR(U136="",V136="",V136&lt;=0),"",U136/V136)</f>
        <v/>
      </c>
      <c r="X136" s="11" t="str">
        <f aca="false">IF(OR(K136="",L136="",AO136="",AP136=""),"",(K136-AO136)*L136-IF(O136="",0,O136)-IF(P136="",0,P136))</f>
        <v/>
      </c>
      <c r="Y136" s="9" t="str">
        <f aca="false">IF(OR(X136="",AO136="",L136=""),"",IF(AO136*L136+IF(O136="",0,O136)&lt;=0,"",X136/(AO136*L136+IF(O136="",0,O136))))</f>
        <v/>
      </c>
      <c r="Z136" s="9" t="str">
        <f aca="false">IF(OR(AE136="",多次统计数据!$B$8=""),"",AE136-多次统计数据!$B$8)</f>
        <v/>
      </c>
      <c r="AA136" s="12" t="str">
        <f aca="false">IF(OR(I136="",M136="",M136&lt;I136),"",M136-I136)</f>
        <v/>
      </c>
      <c r="AB136" s="9" t="str">
        <f aca="false">IF(OR(A136="",多次统计数据!$B$8="",多次统计数据!$B$6&lt;=0,多次统计数据!$B$6&gt;=1),"",1-POWER(1+多次统计数据!$B$8,-多次统计数据!$B$6/(1-多次统计数据!$B$6)))</f>
        <v/>
      </c>
      <c r="AC136" s="7" t="str">
        <f aca="false">IF(OR(AB136="",多次统计数据!$B$9=""),"",IF(多次统计数据!$B$9&lt;AB136,"低于上限","达到或超过上限"))</f>
        <v/>
      </c>
      <c r="AD136" s="4"/>
      <c r="AE136" s="9" t="str">
        <f aca="false">IF(OR(X136="",C136="",C136&lt;=0),"",X136/C136)</f>
        <v/>
      </c>
      <c r="AG136" s="4"/>
      <c r="AH136" s="4"/>
      <c r="AI136" s="4"/>
      <c r="AJ136" s="7" t="str">
        <f aca="false">IF(OR(AG136="",AH136=""),"",IF(OR(AND(AG136="短期博反弹",OR(AH136="1～3个交易日",AH136="4～10个交易日")),AND(AG136="突破冲新高",OR(AH136="4～10个交易日",AH136="11～20个交易日")),AND(AG136="趋势波段",OR(AH136="11～20个交易日",AH136="21～60个交易日",AH136="60个交易日以上"))),"匹配","周期与交易预期不匹配，请重新确认"))</f>
        <v/>
      </c>
      <c r="AK136" s="13" t="str">
        <f aca="false">IF(A136="","",COUNTIFS(加仓管理!$A$2:$A$1001,A136,加仓管理!$G$2:$G$1001,"&gt;0"))</f>
        <v/>
      </c>
      <c r="AL136" s="13" t="str">
        <f aca="false">IF(A136="","",SUMIFS(加仓管理!$G$2:$G$1001,加仓管理!$A$2:$A$1001,A136))</f>
        <v/>
      </c>
      <c r="AM136" s="14" t="str">
        <f aca="false">IF(AK136=0,"",IFERROR(LOOKUP(2,1/((加仓管理!$A$2:$A$1001=A136)*(加仓管理!$G$2:$G$1001&gt;0)),加仓管理!$D$2:$D$1001),""))</f>
        <v/>
      </c>
      <c r="AN136" s="14" t="str">
        <f aca="false">IF(AK136=0,"",IFERROR(LOOKUP(2,1/((加仓管理!$A$2:$A$1001=A136)*(加仓管理!$G$2:$G$1001&gt;0)),加仓管理!$E$2:$E$1001),""))</f>
        <v/>
      </c>
      <c r="AO136" s="14" t="str">
        <f aca="false">IF(OR(A136="",H136="",H136&lt;=0),"",(E136*H136+SUMIFS(加仓管理!$H$2:$H$1001,加仓管理!$A$2:$A$1001,A136))/AP136)</f>
        <v/>
      </c>
      <c r="AP136" s="13" t="str">
        <f aca="false">IF(OR(A136="",H136="",H136&lt;=0),"",H136+AL136)</f>
        <v/>
      </c>
      <c r="AQ136" s="14" t="str">
        <f aca="false">IF(A136="","",IF(M136&lt;&gt;"",0,IF(OR(H136="",N136=""),"",MAX((E136*H136+SUMIFS(加仓管理!$H$2:$H$1001,加仓管理!$A$2:$A$1001,A136))-MAX(N136,AN136)*AP136,0))))</f>
        <v/>
      </c>
      <c r="AR136" s="15" t="str">
        <f aca="false">IF(A136="","",IF(OR(E136="",H136=""),"违规：首次买入价格或股数缺失",IF(COUNTIFS(加仓管理!$A$2:$A$1001,A136,加仓管理!$R$2:$R$1001,"违规*")&gt;0,"违规：请检查加仓管理表",IF(SUM($AQ$2:$AQ$201)&gt;账户数据!$B$7,"预警：超过账户风险上限",IF(COUNTIFS(加仓管理!$A$2:$A$1001,A136,加仓管理!$N$2:$N$1001,"&gt;0",加仓管理!$G$2:$G$1001,"")&gt;0,"提示：存在待执行加仓计划","通过")))))</f>
        <v/>
      </c>
    </row>
    <row r="137" customFormat="false" ht="13.5" hidden="false" customHeight="false" outlineLevel="0" collapsed="false">
      <c r="A137" s="4"/>
      <c r="B137" s="4"/>
      <c r="C137" s="5"/>
      <c r="D137" s="6"/>
      <c r="E137" s="5"/>
      <c r="F137" s="7" t="str">
        <f aca="false">IF(OR(C137="",D137="",E137="",N137="",C137&lt;=0,D137&lt;=0,E137&lt;=N137),"",ROUNDDOWN((C137*D137)/(E137-N137)/100,0)*100)</f>
        <v/>
      </c>
      <c r="G137" s="7" t="str">
        <f aca="false">IF(A137="","",IF(H137&lt;&gt;"","已开仓",IF(账户数据!$B$23="已锁仓","禁止开仓：连续亏损达到上限",IF(账户数据!$B$23="解锁信息不完整","禁止开仓：请完整填写解锁信息",IF(OR(F137="",E137="",N137="",E137&lt;=N137,账户数据!$B$7=""),"",IF(OR(AG137="",AH137="",AI137=""),"禁止开仓：交易预期未填写完整",IF(账户数据!$B$9+F137*(E137-N137)&gt;=账户数据!$B$7,"禁止开仓：风险额度不足",IF(AJ137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7" s="4"/>
      <c r="I137" s="8"/>
      <c r="J137" s="5"/>
      <c r="K137" s="11"/>
      <c r="L137" s="7" t="str">
        <f aca="false">IF(AP137="","",AP137)</f>
        <v/>
      </c>
      <c r="M137" s="19"/>
      <c r="N137" s="5"/>
      <c r="O137" s="5"/>
      <c r="P137" s="11"/>
      <c r="Q137" s="4"/>
      <c r="R137" s="4"/>
      <c r="S137" s="4"/>
      <c r="T137" s="4"/>
      <c r="U137" s="9" t="str">
        <f aca="false">IF(OR(AO137="",J137="",AO137&lt;=0),"",(J137-AO137)/AO137)</f>
        <v/>
      </c>
      <c r="V137" s="9" t="str">
        <f aca="false">IF(OR(AO137="",N137="",AO137&lt;=0),"",(AO137-N137)/AO137)</f>
        <v/>
      </c>
      <c r="W137" s="10" t="str">
        <f aca="false">IF(OR(U137="",V137="",V137&lt;=0),"",U137/V137)</f>
        <v/>
      </c>
      <c r="X137" s="11" t="str">
        <f aca="false">IF(OR(K137="",L137="",AO137="",AP137=""),"",(K137-AO137)*L137-IF(O137="",0,O137)-IF(P137="",0,P137))</f>
        <v/>
      </c>
      <c r="Y137" s="9" t="str">
        <f aca="false">IF(OR(X137="",AO137="",L137=""),"",IF(AO137*L137+IF(O137="",0,O137)&lt;=0,"",X137/(AO137*L137+IF(O137="",0,O137))))</f>
        <v/>
      </c>
      <c r="Z137" s="9" t="str">
        <f aca="false">IF(OR(AE137="",多次统计数据!$B$8=""),"",AE137-多次统计数据!$B$8)</f>
        <v/>
      </c>
      <c r="AA137" s="12" t="str">
        <f aca="false">IF(OR(I137="",M137="",M137&lt;I137),"",M137-I137)</f>
        <v/>
      </c>
      <c r="AB137" s="9" t="str">
        <f aca="false">IF(OR(A137="",多次统计数据!$B$8="",多次统计数据!$B$6&lt;=0,多次统计数据!$B$6&gt;=1),"",1-POWER(1+多次统计数据!$B$8,-多次统计数据!$B$6/(1-多次统计数据!$B$6)))</f>
        <v/>
      </c>
      <c r="AC137" s="7" t="str">
        <f aca="false">IF(OR(AB137="",多次统计数据!$B$9=""),"",IF(多次统计数据!$B$9&lt;AB137,"低于上限","达到或超过上限"))</f>
        <v/>
      </c>
      <c r="AD137" s="4"/>
      <c r="AE137" s="9" t="str">
        <f aca="false">IF(OR(X137="",C137="",C137&lt;=0),"",X137/C137)</f>
        <v/>
      </c>
      <c r="AG137" s="4"/>
      <c r="AH137" s="4"/>
      <c r="AI137" s="4"/>
      <c r="AJ137" s="7" t="str">
        <f aca="false">IF(OR(AG137="",AH137=""),"",IF(OR(AND(AG137="短期博反弹",OR(AH137="1～3个交易日",AH137="4～10个交易日")),AND(AG137="突破冲新高",OR(AH137="4～10个交易日",AH137="11～20个交易日")),AND(AG137="趋势波段",OR(AH137="11～20个交易日",AH137="21～60个交易日",AH137="60个交易日以上"))),"匹配","周期与交易预期不匹配，请重新确认"))</f>
        <v/>
      </c>
      <c r="AK137" s="13" t="str">
        <f aca="false">IF(A137="","",COUNTIFS(加仓管理!$A$2:$A$1001,A137,加仓管理!$G$2:$G$1001,"&gt;0"))</f>
        <v/>
      </c>
      <c r="AL137" s="13" t="str">
        <f aca="false">IF(A137="","",SUMIFS(加仓管理!$G$2:$G$1001,加仓管理!$A$2:$A$1001,A137))</f>
        <v/>
      </c>
      <c r="AM137" s="14" t="str">
        <f aca="false">IF(AK137=0,"",IFERROR(LOOKUP(2,1/((加仓管理!$A$2:$A$1001=A137)*(加仓管理!$G$2:$G$1001&gt;0)),加仓管理!$D$2:$D$1001),""))</f>
        <v/>
      </c>
      <c r="AN137" s="14" t="str">
        <f aca="false">IF(AK137=0,"",IFERROR(LOOKUP(2,1/((加仓管理!$A$2:$A$1001=A137)*(加仓管理!$G$2:$G$1001&gt;0)),加仓管理!$E$2:$E$1001),""))</f>
        <v/>
      </c>
      <c r="AO137" s="14" t="str">
        <f aca="false">IF(OR(A137="",H137="",H137&lt;=0),"",(E137*H137+SUMIFS(加仓管理!$H$2:$H$1001,加仓管理!$A$2:$A$1001,A137))/AP137)</f>
        <v/>
      </c>
      <c r="AP137" s="13" t="str">
        <f aca="false">IF(OR(A137="",H137="",H137&lt;=0),"",H137+AL137)</f>
        <v/>
      </c>
      <c r="AQ137" s="14" t="str">
        <f aca="false">IF(A137="","",IF(M137&lt;&gt;"",0,IF(OR(H137="",N137=""),"",MAX((E137*H137+SUMIFS(加仓管理!$H$2:$H$1001,加仓管理!$A$2:$A$1001,A137))-MAX(N137,AN137)*AP137,0))))</f>
        <v/>
      </c>
      <c r="AR137" s="15" t="str">
        <f aca="false">IF(A137="","",IF(OR(E137="",H137=""),"违规：首次买入价格或股数缺失",IF(COUNTIFS(加仓管理!$A$2:$A$1001,A137,加仓管理!$R$2:$R$1001,"违规*")&gt;0,"违规：请检查加仓管理表",IF(SUM($AQ$2:$AQ$201)&gt;账户数据!$B$7,"预警：超过账户风险上限",IF(COUNTIFS(加仓管理!$A$2:$A$1001,A137,加仓管理!$N$2:$N$1001,"&gt;0",加仓管理!$G$2:$G$1001,"")&gt;0,"提示：存在待执行加仓计划","通过")))))</f>
        <v/>
      </c>
    </row>
    <row r="138" customFormat="false" ht="13.5" hidden="false" customHeight="false" outlineLevel="0" collapsed="false">
      <c r="A138" s="4"/>
      <c r="B138" s="4"/>
      <c r="C138" s="5"/>
      <c r="D138" s="6"/>
      <c r="E138" s="5"/>
      <c r="F138" s="7" t="str">
        <f aca="false">IF(OR(C138="",D138="",E138="",N138="",C138&lt;=0,D138&lt;=0,E138&lt;=N138),"",ROUNDDOWN((C138*D138)/(E138-N138)/100,0)*100)</f>
        <v/>
      </c>
      <c r="G138" s="7" t="str">
        <f aca="false">IF(A138="","",IF(H138&lt;&gt;"","已开仓",IF(账户数据!$B$23="已锁仓","禁止开仓：连续亏损达到上限",IF(账户数据!$B$23="解锁信息不完整","禁止开仓：请完整填写解锁信息",IF(OR(F138="",E138="",N138="",E138&lt;=N138,账户数据!$B$7=""),"",IF(OR(AG138="",AH138="",AI138=""),"禁止开仓：交易预期未填写完整",IF(账户数据!$B$9+F138*(E138-N138)&gt;=账户数据!$B$7,"禁止开仓：风险额度不足",IF(AJ138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8" s="4"/>
      <c r="I138" s="8"/>
      <c r="J138" s="5"/>
      <c r="K138" s="11"/>
      <c r="L138" s="7" t="str">
        <f aca="false">IF(AP138="","",AP138)</f>
        <v/>
      </c>
      <c r="M138" s="19"/>
      <c r="N138" s="5"/>
      <c r="O138" s="5"/>
      <c r="P138" s="11"/>
      <c r="Q138" s="4"/>
      <c r="R138" s="4"/>
      <c r="S138" s="4"/>
      <c r="T138" s="4"/>
      <c r="U138" s="9" t="str">
        <f aca="false">IF(OR(AO138="",J138="",AO138&lt;=0),"",(J138-AO138)/AO138)</f>
        <v/>
      </c>
      <c r="V138" s="9" t="str">
        <f aca="false">IF(OR(AO138="",N138="",AO138&lt;=0),"",(AO138-N138)/AO138)</f>
        <v/>
      </c>
      <c r="W138" s="10" t="str">
        <f aca="false">IF(OR(U138="",V138="",V138&lt;=0),"",U138/V138)</f>
        <v/>
      </c>
      <c r="X138" s="11" t="str">
        <f aca="false">IF(OR(K138="",L138="",AO138="",AP138=""),"",(K138-AO138)*L138-IF(O138="",0,O138)-IF(P138="",0,P138))</f>
        <v/>
      </c>
      <c r="Y138" s="9" t="str">
        <f aca="false">IF(OR(X138="",AO138="",L138=""),"",IF(AO138*L138+IF(O138="",0,O138)&lt;=0,"",X138/(AO138*L138+IF(O138="",0,O138))))</f>
        <v/>
      </c>
      <c r="Z138" s="9" t="str">
        <f aca="false">IF(OR(AE138="",多次统计数据!$B$8=""),"",AE138-多次统计数据!$B$8)</f>
        <v/>
      </c>
      <c r="AA138" s="12" t="str">
        <f aca="false">IF(OR(I138="",M138="",M138&lt;I138),"",M138-I138)</f>
        <v/>
      </c>
      <c r="AB138" s="9" t="str">
        <f aca="false">IF(OR(A138="",多次统计数据!$B$8="",多次统计数据!$B$6&lt;=0,多次统计数据!$B$6&gt;=1),"",1-POWER(1+多次统计数据!$B$8,-多次统计数据!$B$6/(1-多次统计数据!$B$6)))</f>
        <v/>
      </c>
      <c r="AC138" s="7" t="str">
        <f aca="false">IF(OR(AB138="",多次统计数据!$B$9=""),"",IF(多次统计数据!$B$9&lt;AB138,"低于上限","达到或超过上限"))</f>
        <v/>
      </c>
      <c r="AD138" s="4"/>
      <c r="AE138" s="9" t="str">
        <f aca="false">IF(OR(X138="",C138="",C138&lt;=0),"",X138/C138)</f>
        <v/>
      </c>
      <c r="AG138" s="4"/>
      <c r="AH138" s="4"/>
      <c r="AI138" s="4"/>
      <c r="AJ138" s="7" t="str">
        <f aca="false">IF(OR(AG138="",AH138=""),"",IF(OR(AND(AG138="短期博反弹",OR(AH138="1～3个交易日",AH138="4～10个交易日")),AND(AG138="突破冲新高",OR(AH138="4～10个交易日",AH138="11～20个交易日")),AND(AG138="趋势波段",OR(AH138="11～20个交易日",AH138="21～60个交易日",AH138="60个交易日以上"))),"匹配","周期与交易预期不匹配，请重新确认"))</f>
        <v/>
      </c>
      <c r="AK138" s="13" t="str">
        <f aca="false">IF(A138="","",COUNTIFS(加仓管理!$A$2:$A$1001,A138,加仓管理!$G$2:$G$1001,"&gt;0"))</f>
        <v/>
      </c>
      <c r="AL138" s="13" t="str">
        <f aca="false">IF(A138="","",SUMIFS(加仓管理!$G$2:$G$1001,加仓管理!$A$2:$A$1001,A138))</f>
        <v/>
      </c>
      <c r="AM138" s="14" t="str">
        <f aca="false">IF(AK138=0,"",IFERROR(LOOKUP(2,1/((加仓管理!$A$2:$A$1001=A138)*(加仓管理!$G$2:$G$1001&gt;0)),加仓管理!$D$2:$D$1001),""))</f>
        <v/>
      </c>
      <c r="AN138" s="14" t="str">
        <f aca="false">IF(AK138=0,"",IFERROR(LOOKUP(2,1/((加仓管理!$A$2:$A$1001=A138)*(加仓管理!$G$2:$G$1001&gt;0)),加仓管理!$E$2:$E$1001),""))</f>
        <v/>
      </c>
      <c r="AO138" s="14" t="str">
        <f aca="false">IF(OR(A138="",H138="",H138&lt;=0),"",(E138*H138+SUMIFS(加仓管理!$H$2:$H$1001,加仓管理!$A$2:$A$1001,A138))/AP138)</f>
        <v/>
      </c>
      <c r="AP138" s="13" t="str">
        <f aca="false">IF(OR(A138="",H138="",H138&lt;=0),"",H138+AL138)</f>
        <v/>
      </c>
      <c r="AQ138" s="14" t="str">
        <f aca="false">IF(A138="","",IF(M138&lt;&gt;"",0,IF(OR(H138="",N138=""),"",MAX((E138*H138+SUMIFS(加仓管理!$H$2:$H$1001,加仓管理!$A$2:$A$1001,A138))-MAX(N138,AN138)*AP138,0))))</f>
        <v/>
      </c>
      <c r="AR138" s="15" t="str">
        <f aca="false">IF(A138="","",IF(OR(E138="",H138=""),"违规：首次买入价格或股数缺失",IF(COUNTIFS(加仓管理!$A$2:$A$1001,A138,加仓管理!$R$2:$R$1001,"违规*")&gt;0,"违规：请检查加仓管理表",IF(SUM($AQ$2:$AQ$201)&gt;账户数据!$B$7,"预警：超过账户风险上限",IF(COUNTIFS(加仓管理!$A$2:$A$1001,A138,加仓管理!$N$2:$N$1001,"&gt;0",加仓管理!$G$2:$G$1001,"")&gt;0,"提示：存在待执行加仓计划","通过")))))</f>
        <v/>
      </c>
    </row>
    <row r="139" customFormat="false" ht="13.5" hidden="false" customHeight="false" outlineLevel="0" collapsed="false">
      <c r="A139" s="4"/>
      <c r="B139" s="4"/>
      <c r="C139" s="5"/>
      <c r="D139" s="6"/>
      <c r="E139" s="5"/>
      <c r="F139" s="7" t="str">
        <f aca="false">IF(OR(C139="",D139="",E139="",N139="",C139&lt;=0,D139&lt;=0,E139&lt;=N139),"",ROUNDDOWN((C139*D139)/(E139-N139)/100,0)*100)</f>
        <v/>
      </c>
      <c r="G139" s="7" t="str">
        <f aca="false">IF(A139="","",IF(H139&lt;&gt;"","已开仓",IF(账户数据!$B$23="已锁仓","禁止开仓：连续亏损达到上限",IF(账户数据!$B$23="解锁信息不完整","禁止开仓：请完整填写解锁信息",IF(OR(F139="",E139="",N139="",E139&lt;=N139,账户数据!$B$7=""),"",IF(OR(AG139="",AH139="",AI139=""),"禁止开仓：交易预期未填写完整",IF(账户数据!$B$9+F139*(E139-N139)&gt;=账户数据!$B$7,"禁止开仓：风险额度不足",IF(AJ139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9" s="4"/>
      <c r="I139" s="8"/>
      <c r="J139" s="5"/>
      <c r="K139" s="11"/>
      <c r="L139" s="7" t="str">
        <f aca="false">IF(AP139="","",AP139)</f>
        <v/>
      </c>
      <c r="M139" s="19"/>
      <c r="N139" s="5"/>
      <c r="O139" s="5"/>
      <c r="P139" s="11"/>
      <c r="Q139" s="4"/>
      <c r="R139" s="4"/>
      <c r="S139" s="4"/>
      <c r="T139" s="4"/>
      <c r="U139" s="9" t="str">
        <f aca="false">IF(OR(AO139="",J139="",AO139&lt;=0),"",(J139-AO139)/AO139)</f>
        <v/>
      </c>
      <c r="V139" s="9" t="str">
        <f aca="false">IF(OR(AO139="",N139="",AO139&lt;=0),"",(AO139-N139)/AO139)</f>
        <v/>
      </c>
      <c r="W139" s="10" t="str">
        <f aca="false">IF(OR(U139="",V139="",V139&lt;=0),"",U139/V139)</f>
        <v/>
      </c>
      <c r="X139" s="11" t="str">
        <f aca="false">IF(OR(K139="",L139="",AO139="",AP139=""),"",(K139-AO139)*L139-IF(O139="",0,O139)-IF(P139="",0,P139))</f>
        <v/>
      </c>
      <c r="Y139" s="9" t="str">
        <f aca="false">IF(OR(X139="",AO139="",L139=""),"",IF(AO139*L139+IF(O139="",0,O139)&lt;=0,"",X139/(AO139*L139+IF(O139="",0,O139))))</f>
        <v/>
      </c>
      <c r="Z139" s="9" t="str">
        <f aca="false">IF(OR(AE139="",多次统计数据!$B$8=""),"",AE139-多次统计数据!$B$8)</f>
        <v/>
      </c>
      <c r="AA139" s="12" t="str">
        <f aca="false">IF(OR(I139="",M139="",M139&lt;I139),"",M139-I139)</f>
        <v/>
      </c>
      <c r="AB139" s="9" t="str">
        <f aca="false">IF(OR(A139="",多次统计数据!$B$8="",多次统计数据!$B$6&lt;=0,多次统计数据!$B$6&gt;=1),"",1-POWER(1+多次统计数据!$B$8,-多次统计数据!$B$6/(1-多次统计数据!$B$6)))</f>
        <v/>
      </c>
      <c r="AC139" s="7" t="str">
        <f aca="false">IF(OR(AB139="",多次统计数据!$B$9=""),"",IF(多次统计数据!$B$9&lt;AB139,"低于上限","达到或超过上限"))</f>
        <v/>
      </c>
      <c r="AD139" s="4"/>
      <c r="AE139" s="9" t="str">
        <f aca="false">IF(OR(X139="",C139="",C139&lt;=0),"",X139/C139)</f>
        <v/>
      </c>
      <c r="AG139" s="4"/>
      <c r="AH139" s="4"/>
      <c r="AI139" s="4"/>
      <c r="AJ139" s="7" t="str">
        <f aca="false">IF(OR(AG139="",AH139=""),"",IF(OR(AND(AG139="短期博反弹",OR(AH139="1～3个交易日",AH139="4～10个交易日")),AND(AG139="突破冲新高",OR(AH139="4～10个交易日",AH139="11～20个交易日")),AND(AG139="趋势波段",OR(AH139="11～20个交易日",AH139="21～60个交易日",AH139="60个交易日以上"))),"匹配","周期与交易预期不匹配，请重新确认"))</f>
        <v/>
      </c>
      <c r="AK139" s="13" t="str">
        <f aca="false">IF(A139="","",COUNTIFS(加仓管理!$A$2:$A$1001,A139,加仓管理!$G$2:$G$1001,"&gt;0"))</f>
        <v/>
      </c>
      <c r="AL139" s="13" t="str">
        <f aca="false">IF(A139="","",SUMIFS(加仓管理!$G$2:$G$1001,加仓管理!$A$2:$A$1001,A139))</f>
        <v/>
      </c>
      <c r="AM139" s="14" t="str">
        <f aca="false">IF(AK139=0,"",IFERROR(LOOKUP(2,1/((加仓管理!$A$2:$A$1001=A139)*(加仓管理!$G$2:$G$1001&gt;0)),加仓管理!$D$2:$D$1001),""))</f>
        <v/>
      </c>
      <c r="AN139" s="14" t="str">
        <f aca="false">IF(AK139=0,"",IFERROR(LOOKUP(2,1/((加仓管理!$A$2:$A$1001=A139)*(加仓管理!$G$2:$G$1001&gt;0)),加仓管理!$E$2:$E$1001),""))</f>
        <v/>
      </c>
      <c r="AO139" s="14" t="str">
        <f aca="false">IF(OR(A139="",H139="",H139&lt;=0),"",(E139*H139+SUMIFS(加仓管理!$H$2:$H$1001,加仓管理!$A$2:$A$1001,A139))/AP139)</f>
        <v/>
      </c>
      <c r="AP139" s="13" t="str">
        <f aca="false">IF(OR(A139="",H139="",H139&lt;=0),"",H139+AL139)</f>
        <v/>
      </c>
      <c r="AQ139" s="14" t="str">
        <f aca="false">IF(A139="","",IF(M139&lt;&gt;"",0,IF(OR(H139="",N139=""),"",MAX((E139*H139+SUMIFS(加仓管理!$H$2:$H$1001,加仓管理!$A$2:$A$1001,A139))-MAX(N139,AN139)*AP139,0))))</f>
        <v/>
      </c>
      <c r="AR139" s="15" t="str">
        <f aca="false">IF(A139="","",IF(OR(E139="",H139=""),"违规：首次买入价格或股数缺失",IF(COUNTIFS(加仓管理!$A$2:$A$1001,A139,加仓管理!$R$2:$R$1001,"违规*")&gt;0,"违规：请检查加仓管理表",IF(SUM($AQ$2:$AQ$201)&gt;账户数据!$B$7,"预警：超过账户风险上限",IF(COUNTIFS(加仓管理!$A$2:$A$1001,A139,加仓管理!$N$2:$N$1001,"&gt;0",加仓管理!$G$2:$G$1001,"")&gt;0,"提示：存在待执行加仓计划","通过")))))</f>
        <v/>
      </c>
    </row>
    <row r="140" customFormat="false" ht="13.5" hidden="false" customHeight="false" outlineLevel="0" collapsed="false">
      <c r="A140" s="4"/>
      <c r="B140" s="4"/>
      <c r="C140" s="5"/>
      <c r="D140" s="6"/>
      <c r="E140" s="5"/>
      <c r="F140" s="7" t="str">
        <f aca="false">IF(OR(C140="",D140="",E140="",N140="",C140&lt;=0,D140&lt;=0,E140&lt;=N140),"",ROUNDDOWN((C140*D140)/(E140-N140)/100,0)*100)</f>
        <v/>
      </c>
      <c r="G140" s="7" t="str">
        <f aca="false">IF(A140="","",IF(H140&lt;&gt;"","已开仓",IF(账户数据!$B$23="已锁仓","禁止开仓：连续亏损达到上限",IF(账户数据!$B$23="解锁信息不完整","禁止开仓：请完整填写解锁信息",IF(OR(F140="",E140="",N140="",E140&lt;=N140,账户数据!$B$7=""),"",IF(OR(AG140="",AH140="",AI140=""),"禁止开仓：交易预期未填写完整",IF(账户数据!$B$9+F140*(E140-N140)&gt;=账户数据!$B$7,"禁止开仓：风险额度不足",IF(AJ140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0" s="4"/>
      <c r="I140" s="8"/>
      <c r="J140" s="5"/>
      <c r="K140" s="11"/>
      <c r="L140" s="7" t="str">
        <f aca="false">IF(AP140="","",AP140)</f>
        <v/>
      </c>
      <c r="M140" s="19"/>
      <c r="N140" s="5"/>
      <c r="O140" s="5"/>
      <c r="P140" s="11"/>
      <c r="Q140" s="4"/>
      <c r="R140" s="4"/>
      <c r="S140" s="4"/>
      <c r="T140" s="4"/>
      <c r="U140" s="9" t="str">
        <f aca="false">IF(OR(AO140="",J140="",AO140&lt;=0),"",(J140-AO140)/AO140)</f>
        <v/>
      </c>
      <c r="V140" s="9" t="str">
        <f aca="false">IF(OR(AO140="",N140="",AO140&lt;=0),"",(AO140-N140)/AO140)</f>
        <v/>
      </c>
      <c r="W140" s="10" t="str">
        <f aca="false">IF(OR(U140="",V140="",V140&lt;=0),"",U140/V140)</f>
        <v/>
      </c>
      <c r="X140" s="11" t="str">
        <f aca="false">IF(OR(K140="",L140="",AO140="",AP140=""),"",(K140-AO140)*L140-IF(O140="",0,O140)-IF(P140="",0,P140))</f>
        <v/>
      </c>
      <c r="Y140" s="9" t="str">
        <f aca="false">IF(OR(X140="",AO140="",L140=""),"",IF(AO140*L140+IF(O140="",0,O140)&lt;=0,"",X140/(AO140*L140+IF(O140="",0,O140))))</f>
        <v/>
      </c>
      <c r="Z140" s="9" t="str">
        <f aca="false">IF(OR(AE140="",多次统计数据!$B$8=""),"",AE140-多次统计数据!$B$8)</f>
        <v/>
      </c>
      <c r="AA140" s="12" t="str">
        <f aca="false">IF(OR(I140="",M140="",M140&lt;I140),"",M140-I140)</f>
        <v/>
      </c>
      <c r="AB140" s="9" t="str">
        <f aca="false">IF(OR(A140="",多次统计数据!$B$8="",多次统计数据!$B$6&lt;=0,多次统计数据!$B$6&gt;=1),"",1-POWER(1+多次统计数据!$B$8,-多次统计数据!$B$6/(1-多次统计数据!$B$6)))</f>
        <v/>
      </c>
      <c r="AC140" s="7" t="str">
        <f aca="false">IF(OR(AB140="",多次统计数据!$B$9=""),"",IF(多次统计数据!$B$9&lt;AB140,"低于上限","达到或超过上限"))</f>
        <v/>
      </c>
      <c r="AD140" s="4"/>
      <c r="AE140" s="9" t="str">
        <f aca="false">IF(OR(X140="",C140="",C140&lt;=0),"",X140/C140)</f>
        <v/>
      </c>
      <c r="AG140" s="4"/>
      <c r="AH140" s="4"/>
      <c r="AI140" s="4"/>
      <c r="AJ140" s="7" t="str">
        <f aca="false">IF(OR(AG140="",AH140=""),"",IF(OR(AND(AG140="短期博反弹",OR(AH140="1～3个交易日",AH140="4～10个交易日")),AND(AG140="突破冲新高",OR(AH140="4～10个交易日",AH140="11～20个交易日")),AND(AG140="趋势波段",OR(AH140="11～20个交易日",AH140="21～60个交易日",AH140="60个交易日以上"))),"匹配","周期与交易预期不匹配，请重新确认"))</f>
        <v/>
      </c>
      <c r="AK140" s="13" t="str">
        <f aca="false">IF(A140="","",COUNTIFS(加仓管理!$A$2:$A$1001,A140,加仓管理!$G$2:$G$1001,"&gt;0"))</f>
        <v/>
      </c>
      <c r="AL140" s="13" t="str">
        <f aca="false">IF(A140="","",SUMIFS(加仓管理!$G$2:$G$1001,加仓管理!$A$2:$A$1001,A140))</f>
        <v/>
      </c>
      <c r="AM140" s="14" t="str">
        <f aca="false">IF(AK140=0,"",IFERROR(LOOKUP(2,1/((加仓管理!$A$2:$A$1001=A140)*(加仓管理!$G$2:$G$1001&gt;0)),加仓管理!$D$2:$D$1001),""))</f>
        <v/>
      </c>
      <c r="AN140" s="14" t="str">
        <f aca="false">IF(AK140=0,"",IFERROR(LOOKUP(2,1/((加仓管理!$A$2:$A$1001=A140)*(加仓管理!$G$2:$G$1001&gt;0)),加仓管理!$E$2:$E$1001),""))</f>
        <v/>
      </c>
      <c r="AO140" s="14" t="str">
        <f aca="false">IF(OR(A140="",H140="",H140&lt;=0),"",(E140*H140+SUMIFS(加仓管理!$H$2:$H$1001,加仓管理!$A$2:$A$1001,A140))/AP140)</f>
        <v/>
      </c>
      <c r="AP140" s="13" t="str">
        <f aca="false">IF(OR(A140="",H140="",H140&lt;=0),"",H140+AL140)</f>
        <v/>
      </c>
      <c r="AQ140" s="14" t="str">
        <f aca="false">IF(A140="","",IF(M140&lt;&gt;"",0,IF(OR(H140="",N140=""),"",MAX((E140*H140+SUMIFS(加仓管理!$H$2:$H$1001,加仓管理!$A$2:$A$1001,A140))-MAX(N140,AN140)*AP140,0))))</f>
        <v/>
      </c>
      <c r="AR140" s="15" t="str">
        <f aca="false">IF(A140="","",IF(OR(E140="",H140=""),"违规：首次买入价格或股数缺失",IF(COUNTIFS(加仓管理!$A$2:$A$1001,A140,加仓管理!$R$2:$R$1001,"违规*")&gt;0,"违规：请检查加仓管理表",IF(SUM($AQ$2:$AQ$201)&gt;账户数据!$B$7,"预警：超过账户风险上限",IF(COUNTIFS(加仓管理!$A$2:$A$1001,A140,加仓管理!$N$2:$N$1001,"&gt;0",加仓管理!$G$2:$G$1001,"")&gt;0,"提示：存在待执行加仓计划","通过")))))</f>
        <v/>
      </c>
    </row>
    <row r="141" customFormat="false" ht="13.5" hidden="false" customHeight="false" outlineLevel="0" collapsed="false">
      <c r="A141" s="4"/>
      <c r="B141" s="4"/>
      <c r="C141" s="5"/>
      <c r="D141" s="6"/>
      <c r="E141" s="5"/>
      <c r="F141" s="7" t="str">
        <f aca="false">IF(OR(C141="",D141="",E141="",N141="",C141&lt;=0,D141&lt;=0,E141&lt;=N141),"",ROUNDDOWN((C141*D141)/(E141-N141)/100,0)*100)</f>
        <v/>
      </c>
      <c r="G141" s="7" t="str">
        <f aca="false">IF(A141="","",IF(H141&lt;&gt;"","已开仓",IF(账户数据!$B$23="已锁仓","禁止开仓：连续亏损达到上限",IF(账户数据!$B$23="解锁信息不完整","禁止开仓：请完整填写解锁信息",IF(OR(F141="",E141="",N141="",E141&lt;=N141,账户数据!$B$7=""),"",IF(OR(AG141="",AH141="",AI141=""),"禁止开仓：交易预期未填写完整",IF(账户数据!$B$9+F141*(E141-N141)&gt;=账户数据!$B$7,"禁止开仓：风险额度不足",IF(AJ141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1" s="4"/>
      <c r="I141" s="8"/>
      <c r="J141" s="5"/>
      <c r="K141" s="11"/>
      <c r="L141" s="7" t="str">
        <f aca="false">IF(AP141="","",AP141)</f>
        <v/>
      </c>
      <c r="M141" s="19"/>
      <c r="N141" s="5"/>
      <c r="O141" s="5"/>
      <c r="P141" s="11"/>
      <c r="Q141" s="4"/>
      <c r="R141" s="4"/>
      <c r="S141" s="4"/>
      <c r="T141" s="4"/>
      <c r="U141" s="9" t="str">
        <f aca="false">IF(OR(AO141="",J141="",AO141&lt;=0),"",(J141-AO141)/AO141)</f>
        <v/>
      </c>
      <c r="V141" s="9" t="str">
        <f aca="false">IF(OR(AO141="",N141="",AO141&lt;=0),"",(AO141-N141)/AO141)</f>
        <v/>
      </c>
      <c r="W141" s="10" t="str">
        <f aca="false">IF(OR(U141="",V141="",V141&lt;=0),"",U141/V141)</f>
        <v/>
      </c>
      <c r="X141" s="11" t="str">
        <f aca="false">IF(OR(K141="",L141="",AO141="",AP141=""),"",(K141-AO141)*L141-IF(O141="",0,O141)-IF(P141="",0,P141))</f>
        <v/>
      </c>
      <c r="Y141" s="9" t="str">
        <f aca="false">IF(OR(X141="",AO141="",L141=""),"",IF(AO141*L141+IF(O141="",0,O141)&lt;=0,"",X141/(AO141*L141+IF(O141="",0,O141))))</f>
        <v/>
      </c>
      <c r="Z141" s="9" t="str">
        <f aca="false">IF(OR(AE141="",多次统计数据!$B$8=""),"",AE141-多次统计数据!$B$8)</f>
        <v/>
      </c>
      <c r="AA141" s="12" t="str">
        <f aca="false">IF(OR(I141="",M141="",M141&lt;I141),"",M141-I141)</f>
        <v/>
      </c>
      <c r="AB141" s="9" t="str">
        <f aca="false">IF(OR(A141="",多次统计数据!$B$8="",多次统计数据!$B$6&lt;=0,多次统计数据!$B$6&gt;=1),"",1-POWER(1+多次统计数据!$B$8,-多次统计数据!$B$6/(1-多次统计数据!$B$6)))</f>
        <v/>
      </c>
      <c r="AC141" s="7" t="str">
        <f aca="false">IF(OR(AB141="",多次统计数据!$B$9=""),"",IF(多次统计数据!$B$9&lt;AB141,"低于上限","达到或超过上限"))</f>
        <v/>
      </c>
      <c r="AD141" s="4"/>
      <c r="AE141" s="9" t="str">
        <f aca="false">IF(OR(X141="",C141="",C141&lt;=0),"",X141/C141)</f>
        <v/>
      </c>
      <c r="AG141" s="4"/>
      <c r="AH141" s="4"/>
      <c r="AI141" s="4"/>
      <c r="AJ141" s="7" t="str">
        <f aca="false">IF(OR(AG141="",AH141=""),"",IF(OR(AND(AG141="短期博反弹",OR(AH141="1～3个交易日",AH141="4～10个交易日")),AND(AG141="突破冲新高",OR(AH141="4～10个交易日",AH141="11～20个交易日")),AND(AG141="趋势波段",OR(AH141="11～20个交易日",AH141="21～60个交易日",AH141="60个交易日以上"))),"匹配","周期与交易预期不匹配，请重新确认"))</f>
        <v/>
      </c>
      <c r="AK141" s="13" t="str">
        <f aca="false">IF(A141="","",COUNTIFS(加仓管理!$A$2:$A$1001,A141,加仓管理!$G$2:$G$1001,"&gt;0"))</f>
        <v/>
      </c>
      <c r="AL141" s="13" t="str">
        <f aca="false">IF(A141="","",SUMIFS(加仓管理!$G$2:$G$1001,加仓管理!$A$2:$A$1001,A141))</f>
        <v/>
      </c>
      <c r="AM141" s="14" t="str">
        <f aca="false">IF(AK141=0,"",IFERROR(LOOKUP(2,1/((加仓管理!$A$2:$A$1001=A141)*(加仓管理!$G$2:$G$1001&gt;0)),加仓管理!$D$2:$D$1001),""))</f>
        <v/>
      </c>
      <c r="AN141" s="14" t="str">
        <f aca="false">IF(AK141=0,"",IFERROR(LOOKUP(2,1/((加仓管理!$A$2:$A$1001=A141)*(加仓管理!$G$2:$G$1001&gt;0)),加仓管理!$E$2:$E$1001),""))</f>
        <v/>
      </c>
      <c r="AO141" s="14" t="str">
        <f aca="false">IF(OR(A141="",H141="",H141&lt;=0),"",(E141*H141+SUMIFS(加仓管理!$H$2:$H$1001,加仓管理!$A$2:$A$1001,A141))/AP141)</f>
        <v/>
      </c>
      <c r="AP141" s="13" t="str">
        <f aca="false">IF(OR(A141="",H141="",H141&lt;=0),"",H141+AL141)</f>
        <v/>
      </c>
      <c r="AQ141" s="14" t="str">
        <f aca="false">IF(A141="","",IF(M141&lt;&gt;"",0,IF(OR(H141="",N141=""),"",MAX((E141*H141+SUMIFS(加仓管理!$H$2:$H$1001,加仓管理!$A$2:$A$1001,A141))-MAX(N141,AN141)*AP141,0))))</f>
        <v/>
      </c>
      <c r="AR141" s="15" t="str">
        <f aca="false">IF(A141="","",IF(OR(E141="",H141=""),"违规：首次买入价格或股数缺失",IF(COUNTIFS(加仓管理!$A$2:$A$1001,A141,加仓管理!$R$2:$R$1001,"违规*")&gt;0,"违规：请检查加仓管理表",IF(SUM($AQ$2:$AQ$201)&gt;账户数据!$B$7,"预警：超过账户风险上限",IF(COUNTIFS(加仓管理!$A$2:$A$1001,A141,加仓管理!$N$2:$N$1001,"&gt;0",加仓管理!$G$2:$G$1001,"")&gt;0,"提示：存在待执行加仓计划","通过")))))</f>
        <v/>
      </c>
    </row>
    <row r="142" customFormat="false" ht="13.5" hidden="false" customHeight="false" outlineLevel="0" collapsed="false">
      <c r="A142" s="4"/>
      <c r="B142" s="4"/>
      <c r="C142" s="5"/>
      <c r="D142" s="6"/>
      <c r="E142" s="5"/>
      <c r="F142" s="7" t="str">
        <f aca="false">IF(OR(C142="",D142="",E142="",N142="",C142&lt;=0,D142&lt;=0,E142&lt;=N142),"",ROUNDDOWN((C142*D142)/(E142-N142)/100,0)*100)</f>
        <v/>
      </c>
      <c r="G142" s="7" t="str">
        <f aca="false">IF(A142="","",IF(H142&lt;&gt;"","已开仓",IF(账户数据!$B$23="已锁仓","禁止开仓：连续亏损达到上限",IF(账户数据!$B$23="解锁信息不完整","禁止开仓：请完整填写解锁信息",IF(OR(F142="",E142="",N142="",E142&lt;=N142,账户数据!$B$7=""),"",IF(OR(AG142="",AH142="",AI142=""),"禁止开仓：交易预期未填写完整",IF(账户数据!$B$9+F142*(E142-N142)&gt;=账户数据!$B$7,"禁止开仓：风险额度不足",IF(AJ142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2" s="4"/>
      <c r="I142" s="8"/>
      <c r="J142" s="5"/>
      <c r="K142" s="11"/>
      <c r="L142" s="7" t="str">
        <f aca="false">IF(AP142="","",AP142)</f>
        <v/>
      </c>
      <c r="M142" s="19"/>
      <c r="N142" s="5"/>
      <c r="O142" s="5"/>
      <c r="P142" s="11"/>
      <c r="Q142" s="4"/>
      <c r="R142" s="4"/>
      <c r="S142" s="4"/>
      <c r="T142" s="4"/>
      <c r="U142" s="9" t="str">
        <f aca="false">IF(OR(AO142="",J142="",AO142&lt;=0),"",(J142-AO142)/AO142)</f>
        <v/>
      </c>
      <c r="V142" s="9" t="str">
        <f aca="false">IF(OR(AO142="",N142="",AO142&lt;=0),"",(AO142-N142)/AO142)</f>
        <v/>
      </c>
      <c r="W142" s="10" t="str">
        <f aca="false">IF(OR(U142="",V142="",V142&lt;=0),"",U142/V142)</f>
        <v/>
      </c>
      <c r="X142" s="11" t="str">
        <f aca="false">IF(OR(K142="",L142="",AO142="",AP142=""),"",(K142-AO142)*L142-IF(O142="",0,O142)-IF(P142="",0,P142))</f>
        <v/>
      </c>
      <c r="Y142" s="9" t="str">
        <f aca="false">IF(OR(X142="",AO142="",L142=""),"",IF(AO142*L142+IF(O142="",0,O142)&lt;=0,"",X142/(AO142*L142+IF(O142="",0,O142))))</f>
        <v/>
      </c>
      <c r="Z142" s="9" t="str">
        <f aca="false">IF(OR(AE142="",多次统计数据!$B$8=""),"",AE142-多次统计数据!$B$8)</f>
        <v/>
      </c>
      <c r="AA142" s="12" t="str">
        <f aca="false">IF(OR(I142="",M142="",M142&lt;I142),"",M142-I142)</f>
        <v/>
      </c>
      <c r="AB142" s="9" t="str">
        <f aca="false">IF(OR(A142="",多次统计数据!$B$8="",多次统计数据!$B$6&lt;=0,多次统计数据!$B$6&gt;=1),"",1-POWER(1+多次统计数据!$B$8,-多次统计数据!$B$6/(1-多次统计数据!$B$6)))</f>
        <v/>
      </c>
      <c r="AC142" s="7" t="str">
        <f aca="false">IF(OR(AB142="",多次统计数据!$B$9=""),"",IF(多次统计数据!$B$9&lt;AB142,"低于上限","达到或超过上限"))</f>
        <v/>
      </c>
      <c r="AD142" s="4"/>
      <c r="AE142" s="9" t="str">
        <f aca="false">IF(OR(X142="",C142="",C142&lt;=0),"",X142/C142)</f>
        <v/>
      </c>
      <c r="AG142" s="4"/>
      <c r="AH142" s="4"/>
      <c r="AI142" s="4"/>
      <c r="AJ142" s="7" t="str">
        <f aca="false">IF(OR(AG142="",AH142=""),"",IF(OR(AND(AG142="短期博反弹",OR(AH142="1～3个交易日",AH142="4～10个交易日")),AND(AG142="突破冲新高",OR(AH142="4～10个交易日",AH142="11～20个交易日")),AND(AG142="趋势波段",OR(AH142="11～20个交易日",AH142="21～60个交易日",AH142="60个交易日以上"))),"匹配","周期与交易预期不匹配，请重新确认"))</f>
        <v/>
      </c>
      <c r="AK142" s="13" t="str">
        <f aca="false">IF(A142="","",COUNTIFS(加仓管理!$A$2:$A$1001,A142,加仓管理!$G$2:$G$1001,"&gt;0"))</f>
        <v/>
      </c>
      <c r="AL142" s="13" t="str">
        <f aca="false">IF(A142="","",SUMIFS(加仓管理!$G$2:$G$1001,加仓管理!$A$2:$A$1001,A142))</f>
        <v/>
      </c>
      <c r="AM142" s="14" t="str">
        <f aca="false">IF(AK142=0,"",IFERROR(LOOKUP(2,1/((加仓管理!$A$2:$A$1001=A142)*(加仓管理!$G$2:$G$1001&gt;0)),加仓管理!$D$2:$D$1001),""))</f>
        <v/>
      </c>
      <c r="AN142" s="14" t="str">
        <f aca="false">IF(AK142=0,"",IFERROR(LOOKUP(2,1/((加仓管理!$A$2:$A$1001=A142)*(加仓管理!$G$2:$G$1001&gt;0)),加仓管理!$E$2:$E$1001),""))</f>
        <v/>
      </c>
      <c r="AO142" s="14" t="str">
        <f aca="false">IF(OR(A142="",H142="",H142&lt;=0),"",(E142*H142+SUMIFS(加仓管理!$H$2:$H$1001,加仓管理!$A$2:$A$1001,A142))/AP142)</f>
        <v/>
      </c>
      <c r="AP142" s="13" t="str">
        <f aca="false">IF(OR(A142="",H142="",H142&lt;=0),"",H142+AL142)</f>
        <v/>
      </c>
      <c r="AQ142" s="14" t="str">
        <f aca="false">IF(A142="","",IF(M142&lt;&gt;"",0,IF(OR(H142="",N142=""),"",MAX((E142*H142+SUMIFS(加仓管理!$H$2:$H$1001,加仓管理!$A$2:$A$1001,A142))-MAX(N142,AN142)*AP142,0))))</f>
        <v/>
      </c>
      <c r="AR142" s="15" t="str">
        <f aca="false">IF(A142="","",IF(OR(E142="",H142=""),"违规：首次买入价格或股数缺失",IF(COUNTIFS(加仓管理!$A$2:$A$1001,A142,加仓管理!$R$2:$R$1001,"违规*")&gt;0,"违规：请检查加仓管理表",IF(SUM($AQ$2:$AQ$201)&gt;账户数据!$B$7,"预警：超过账户风险上限",IF(COUNTIFS(加仓管理!$A$2:$A$1001,A142,加仓管理!$N$2:$N$1001,"&gt;0",加仓管理!$G$2:$G$1001,"")&gt;0,"提示：存在待执行加仓计划","通过")))))</f>
        <v/>
      </c>
    </row>
    <row r="143" customFormat="false" ht="13.5" hidden="false" customHeight="false" outlineLevel="0" collapsed="false">
      <c r="A143" s="4"/>
      <c r="B143" s="4"/>
      <c r="C143" s="5"/>
      <c r="D143" s="6"/>
      <c r="E143" s="5"/>
      <c r="F143" s="7" t="str">
        <f aca="false">IF(OR(C143="",D143="",E143="",N143="",C143&lt;=0,D143&lt;=0,E143&lt;=N143),"",ROUNDDOWN((C143*D143)/(E143-N143)/100,0)*100)</f>
        <v/>
      </c>
      <c r="G143" s="7" t="str">
        <f aca="false">IF(A143="","",IF(H143&lt;&gt;"","已开仓",IF(账户数据!$B$23="已锁仓","禁止开仓：连续亏损达到上限",IF(账户数据!$B$23="解锁信息不完整","禁止开仓：请完整填写解锁信息",IF(OR(F143="",E143="",N143="",E143&lt;=N143,账户数据!$B$7=""),"",IF(OR(AG143="",AH143="",AI143=""),"禁止开仓：交易预期未填写完整",IF(账户数据!$B$9+F143*(E143-N143)&gt;=账户数据!$B$7,"禁止开仓：风险额度不足",IF(AJ143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3" s="4"/>
      <c r="I143" s="8"/>
      <c r="J143" s="5"/>
      <c r="K143" s="11"/>
      <c r="L143" s="7" t="str">
        <f aca="false">IF(AP143="","",AP143)</f>
        <v/>
      </c>
      <c r="M143" s="19"/>
      <c r="N143" s="5"/>
      <c r="O143" s="5"/>
      <c r="P143" s="11"/>
      <c r="Q143" s="4"/>
      <c r="R143" s="4"/>
      <c r="S143" s="4"/>
      <c r="T143" s="4"/>
      <c r="U143" s="9" t="str">
        <f aca="false">IF(OR(AO143="",J143="",AO143&lt;=0),"",(J143-AO143)/AO143)</f>
        <v/>
      </c>
      <c r="V143" s="9" t="str">
        <f aca="false">IF(OR(AO143="",N143="",AO143&lt;=0),"",(AO143-N143)/AO143)</f>
        <v/>
      </c>
      <c r="W143" s="10" t="str">
        <f aca="false">IF(OR(U143="",V143="",V143&lt;=0),"",U143/V143)</f>
        <v/>
      </c>
      <c r="X143" s="11" t="str">
        <f aca="false">IF(OR(K143="",L143="",AO143="",AP143=""),"",(K143-AO143)*L143-IF(O143="",0,O143)-IF(P143="",0,P143))</f>
        <v/>
      </c>
      <c r="Y143" s="9" t="str">
        <f aca="false">IF(OR(X143="",AO143="",L143=""),"",IF(AO143*L143+IF(O143="",0,O143)&lt;=0,"",X143/(AO143*L143+IF(O143="",0,O143))))</f>
        <v/>
      </c>
      <c r="Z143" s="9" t="str">
        <f aca="false">IF(OR(AE143="",多次统计数据!$B$8=""),"",AE143-多次统计数据!$B$8)</f>
        <v/>
      </c>
      <c r="AA143" s="12" t="str">
        <f aca="false">IF(OR(I143="",M143="",M143&lt;I143),"",M143-I143)</f>
        <v/>
      </c>
      <c r="AB143" s="9" t="str">
        <f aca="false">IF(OR(A143="",多次统计数据!$B$8="",多次统计数据!$B$6&lt;=0,多次统计数据!$B$6&gt;=1),"",1-POWER(1+多次统计数据!$B$8,-多次统计数据!$B$6/(1-多次统计数据!$B$6)))</f>
        <v/>
      </c>
      <c r="AC143" s="7" t="str">
        <f aca="false">IF(OR(AB143="",多次统计数据!$B$9=""),"",IF(多次统计数据!$B$9&lt;AB143,"低于上限","达到或超过上限"))</f>
        <v/>
      </c>
      <c r="AD143" s="4"/>
      <c r="AE143" s="9" t="str">
        <f aca="false">IF(OR(X143="",C143="",C143&lt;=0),"",X143/C143)</f>
        <v/>
      </c>
      <c r="AG143" s="4"/>
      <c r="AH143" s="4"/>
      <c r="AI143" s="4"/>
      <c r="AJ143" s="7" t="str">
        <f aca="false">IF(OR(AG143="",AH143=""),"",IF(OR(AND(AG143="短期博反弹",OR(AH143="1～3个交易日",AH143="4～10个交易日")),AND(AG143="突破冲新高",OR(AH143="4～10个交易日",AH143="11～20个交易日")),AND(AG143="趋势波段",OR(AH143="11～20个交易日",AH143="21～60个交易日",AH143="60个交易日以上"))),"匹配","周期与交易预期不匹配，请重新确认"))</f>
        <v/>
      </c>
      <c r="AK143" s="13" t="str">
        <f aca="false">IF(A143="","",COUNTIFS(加仓管理!$A$2:$A$1001,A143,加仓管理!$G$2:$G$1001,"&gt;0"))</f>
        <v/>
      </c>
      <c r="AL143" s="13" t="str">
        <f aca="false">IF(A143="","",SUMIFS(加仓管理!$G$2:$G$1001,加仓管理!$A$2:$A$1001,A143))</f>
        <v/>
      </c>
      <c r="AM143" s="14" t="str">
        <f aca="false">IF(AK143=0,"",IFERROR(LOOKUP(2,1/((加仓管理!$A$2:$A$1001=A143)*(加仓管理!$G$2:$G$1001&gt;0)),加仓管理!$D$2:$D$1001),""))</f>
        <v/>
      </c>
      <c r="AN143" s="14" t="str">
        <f aca="false">IF(AK143=0,"",IFERROR(LOOKUP(2,1/((加仓管理!$A$2:$A$1001=A143)*(加仓管理!$G$2:$G$1001&gt;0)),加仓管理!$E$2:$E$1001),""))</f>
        <v/>
      </c>
      <c r="AO143" s="14" t="str">
        <f aca="false">IF(OR(A143="",H143="",H143&lt;=0),"",(E143*H143+SUMIFS(加仓管理!$H$2:$H$1001,加仓管理!$A$2:$A$1001,A143))/AP143)</f>
        <v/>
      </c>
      <c r="AP143" s="13" t="str">
        <f aca="false">IF(OR(A143="",H143="",H143&lt;=0),"",H143+AL143)</f>
        <v/>
      </c>
      <c r="AQ143" s="14" t="str">
        <f aca="false">IF(A143="","",IF(M143&lt;&gt;"",0,IF(OR(H143="",N143=""),"",MAX((E143*H143+SUMIFS(加仓管理!$H$2:$H$1001,加仓管理!$A$2:$A$1001,A143))-MAX(N143,AN143)*AP143,0))))</f>
        <v/>
      </c>
      <c r="AR143" s="15" t="str">
        <f aca="false">IF(A143="","",IF(OR(E143="",H143=""),"违规：首次买入价格或股数缺失",IF(COUNTIFS(加仓管理!$A$2:$A$1001,A143,加仓管理!$R$2:$R$1001,"违规*")&gt;0,"违规：请检查加仓管理表",IF(SUM($AQ$2:$AQ$201)&gt;账户数据!$B$7,"预警：超过账户风险上限",IF(COUNTIFS(加仓管理!$A$2:$A$1001,A143,加仓管理!$N$2:$N$1001,"&gt;0",加仓管理!$G$2:$G$1001,"")&gt;0,"提示：存在待执行加仓计划","通过")))))</f>
        <v/>
      </c>
    </row>
    <row r="144" customFormat="false" ht="13.5" hidden="false" customHeight="false" outlineLevel="0" collapsed="false">
      <c r="A144" s="4"/>
      <c r="B144" s="4"/>
      <c r="C144" s="5"/>
      <c r="D144" s="6"/>
      <c r="E144" s="5"/>
      <c r="F144" s="7" t="str">
        <f aca="false">IF(OR(C144="",D144="",E144="",N144="",C144&lt;=0,D144&lt;=0,E144&lt;=N144),"",ROUNDDOWN((C144*D144)/(E144-N144)/100,0)*100)</f>
        <v/>
      </c>
      <c r="G144" s="7" t="str">
        <f aca="false">IF(A144="","",IF(H144&lt;&gt;"","已开仓",IF(账户数据!$B$23="已锁仓","禁止开仓：连续亏损达到上限",IF(账户数据!$B$23="解锁信息不完整","禁止开仓：请完整填写解锁信息",IF(OR(F144="",E144="",N144="",E144&lt;=N144,账户数据!$B$7=""),"",IF(OR(AG144="",AH144="",AI144=""),"禁止开仓：交易预期未填写完整",IF(账户数据!$B$9+F144*(E144-N144)&gt;=账户数据!$B$7,"禁止开仓：风险额度不足",IF(AJ144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4" s="4"/>
      <c r="I144" s="8"/>
      <c r="J144" s="5"/>
      <c r="K144" s="11"/>
      <c r="L144" s="7" t="str">
        <f aca="false">IF(AP144="","",AP144)</f>
        <v/>
      </c>
      <c r="M144" s="19"/>
      <c r="N144" s="5"/>
      <c r="O144" s="5"/>
      <c r="P144" s="11"/>
      <c r="Q144" s="4"/>
      <c r="R144" s="4"/>
      <c r="S144" s="4"/>
      <c r="T144" s="4"/>
      <c r="U144" s="9" t="str">
        <f aca="false">IF(OR(AO144="",J144="",AO144&lt;=0),"",(J144-AO144)/AO144)</f>
        <v/>
      </c>
      <c r="V144" s="9" t="str">
        <f aca="false">IF(OR(AO144="",N144="",AO144&lt;=0),"",(AO144-N144)/AO144)</f>
        <v/>
      </c>
      <c r="W144" s="10" t="str">
        <f aca="false">IF(OR(U144="",V144="",V144&lt;=0),"",U144/V144)</f>
        <v/>
      </c>
      <c r="X144" s="11" t="str">
        <f aca="false">IF(OR(K144="",L144="",AO144="",AP144=""),"",(K144-AO144)*L144-IF(O144="",0,O144)-IF(P144="",0,P144))</f>
        <v/>
      </c>
      <c r="Y144" s="9" t="str">
        <f aca="false">IF(OR(X144="",AO144="",L144=""),"",IF(AO144*L144+IF(O144="",0,O144)&lt;=0,"",X144/(AO144*L144+IF(O144="",0,O144))))</f>
        <v/>
      </c>
      <c r="Z144" s="9" t="str">
        <f aca="false">IF(OR(AE144="",多次统计数据!$B$8=""),"",AE144-多次统计数据!$B$8)</f>
        <v/>
      </c>
      <c r="AA144" s="12" t="str">
        <f aca="false">IF(OR(I144="",M144="",M144&lt;I144),"",M144-I144)</f>
        <v/>
      </c>
      <c r="AB144" s="9" t="str">
        <f aca="false">IF(OR(A144="",多次统计数据!$B$8="",多次统计数据!$B$6&lt;=0,多次统计数据!$B$6&gt;=1),"",1-POWER(1+多次统计数据!$B$8,-多次统计数据!$B$6/(1-多次统计数据!$B$6)))</f>
        <v/>
      </c>
      <c r="AC144" s="7" t="str">
        <f aca="false">IF(OR(AB144="",多次统计数据!$B$9=""),"",IF(多次统计数据!$B$9&lt;AB144,"低于上限","达到或超过上限"))</f>
        <v/>
      </c>
      <c r="AD144" s="4"/>
      <c r="AE144" s="9" t="str">
        <f aca="false">IF(OR(X144="",C144="",C144&lt;=0),"",X144/C144)</f>
        <v/>
      </c>
      <c r="AG144" s="4"/>
      <c r="AH144" s="4"/>
      <c r="AI144" s="4"/>
      <c r="AJ144" s="7" t="str">
        <f aca="false">IF(OR(AG144="",AH144=""),"",IF(OR(AND(AG144="短期博反弹",OR(AH144="1～3个交易日",AH144="4～10个交易日")),AND(AG144="突破冲新高",OR(AH144="4～10个交易日",AH144="11～20个交易日")),AND(AG144="趋势波段",OR(AH144="11～20个交易日",AH144="21～60个交易日",AH144="60个交易日以上"))),"匹配","周期与交易预期不匹配，请重新确认"))</f>
        <v/>
      </c>
      <c r="AK144" s="13" t="str">
        <f aca="false">IF(A144="","",COUNTIFS(加仓管理!$A$2:$A$1001,A144,加仓管理!$G$2:$G$1001,"&gt;0"))</f>
        <v/>
      </c>
      <c r="AL144" s="13" t="str">
        <f aca="false">IF(A144="","",SUMIFS(加仓管理!$G$2:$G$1001,加仓管理!$A$2:$A$1001,A144))</f>
        <v/>
      </c>
      <c r="AM144" s="14" t="str">
        <f aca="false">IF(AK144=0,"",IFERROR(LOOKUP(2,1/((加仓管理!$A$2:$A$1001=A144)*(加仓管理!$G$2:$G$1001&gt;0)),加仓管理!$D$2:$D$1001),""))</f>
        <v/>
      </c>
      <c r="AN144" s="14" t="str">
        <f aca="false">IF(AK144=0,"",IFERROR(LOOKUP(2,1/((加仓管理!$A$2:$A$1001=A144)*(加仓管理!$G$2:$G$1001&gt;0)),加仓管理!$E$2:$E$1001),""))</f>
        <v/>
      </c>
      <c r="AO144" s="14" t="str">
        <f aca="false">IF(OR(A144="",H144="",H144&lt;=0),"",(E144*H144+SUMIFS(加仓管理!$H$2:$H$1001,加仓管理!$A$2:$A$1001,A144))/AP144)</f>
        <v/>
      </c>
      <c r="AP144" s="13" t="str">
        <f aca="false">IF(OR(A144="",H144="",H144&lt;=0),"",H144+AL144)</f>
        <v/>
      </c>
      <c r="AQ144" s="14" t="str">
        <f aca="false">IF(A144="","",IF(M144&lt;&gt;"",0,IF(OR(H144="",N144=""),"",MAX((E144*H144+SUMIFS(加仓管理!$H$2:$H$1001,加仓管理!$A$2:$A$1001,A144))-MAX(N144,AN144)*AP144,0))))</f>
        <v/>
      </c>
      <c r="AR144" s="15" t="str">
        <f aca="false">IF(A144="","",IF(OR(E144="",H144=""),"违规：首次买入价格或股数缺失",IF(COUNTIFS(加仓管理!$A$2:$A$1001,A144,加仓管理!$R$2:$R$1001,"违规*")&gt;0,"违规：请检查加仓管理表",IF(SUM($AQ$2:$AQ$201)&gt;账户数据!$B$7,"预警：超过账户风险上限",IF(COUNTIFS(加仓管理!$A$2:$A$1001,A144,加仓管理!$N$2:$N$1001,"&gt;0",加仓管理!$G$2:$G$1001,"")&gt;0,"提示：存在待执行加仓计划","通过")))))</f>
        <v/>
      </c>
    </row>
    <row r="145" customFormat="false" ht="13.5" hidden="false" customHeight="false" outlineLevel="0" collapsed="false">
      <c r="A145" s="4"/>
      <c r="B145" s="4"/>
      <c r="C145" s="5"/>
      <c r="D145" s="6"/>
      <c r="E145" s="5"/>
      <c r="F145" s="7" t="str">
        <f aca="false">IF(OR(C145="",D145="",E145="",N145="",C145&lt;=0,D145&lt;=0,E145&lt;=N145),"",ROUNDDOWN((C145*D145)/(E145-N145)/100,0)*100)</f>
        <v/>
      </c>
      <c r="G145" s="7" t="str">
        <f aca="false">IF(A145="","",IF(H145&lt;&gt;"","已开仓",IF(账户数据!$B$23="已锁仓","禁止开仓：连续亏损达到上限",IF(账户数据!$B$23="解锁信息不完整","禁止开仓：请完整填写解锁信息",IF(OR(F145="",E145="",N145="",E145&lt;=N145,账户数据!$B$7=""),"",IF(OR(AG145="",AH145="",AI145=""),"禁止开仓：交易预期未填写完整",IF(账户数据!$B$9+F145*(E145-N145)&gt;=账户数据!$B$7,"禁止开仓：风险额度不足",IF(AJ145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5" s="4"/>
      <c r="I145" s="8"/>
      <c r="J145" s="5"/>
      <c r="K145" s="11"/>
      <c r="L145" s="7" t="str">
        <f aca="false">IF(AP145="","",AP145)</f>
        <v/>
      </c>
      <c r="M145" s="19"/>
      <c r="N145" s="5"/>
      <c r="O145" s="5"/>
      <c r="P145" s="11"/>
      <c r="Q145" s="4"/>
      <c r="R145" s="4"/>
      <c r="S145" s="4"/>
      <c r="T145" s="4"/>
      <c r="U145" s="9" t="str">
        <f aca="false">IF(OR(AO145="",J145="",AO145&lt;=0),"",(J145-AO145)/AO145)</f>
        <v/>
      </c>
      <c r="V145" s="9" t="str">
        <f aca="false">IF(OR(AO145="",N145="",AO145&lt;=0),"",(AO145-N145)/AO145)</f>
        <v/>
      </c>
      <c r="W145" s="10" t="str">
        <f aca="false">IF(OR(U145="",V145="",V145&lt;=0),"",U145/V145)</f>
        <v/>
      </c>
      <c r="X145" s="11" t="str">
        <f aca="false">IF(OR(K145="",L145="",AO145="",AP145=""),"",(K145-AO145)*L145-IF(O145="",0,O145)-IF(P145="",0,P145))</f>
        <v/>
      </c>
      <c r="Y145" s="9" t="str">
        <f aca="false">IF(OR(X145="",AO145="",L145=""),"",IF(AO145*L145+IF(O145="",0,O145)&lt;=0,"",X145/(AO145*L145+IF(O145="",0,O145))))</f>
        <v/>
      </c>
      <c r="Z145" s="9" t="str">
        <f aca="false">IF(OR(AE145="",多次统计数据!$B$8=""),"",AE145-多次统计数据!$B$8)</f>
        <v/>
      </c>
      <c r="AA145" s="12" t="str">
        <f aca="false">IF(OR(I145="",M145="",M145&lt;I145),"",M145-I145)</f>
        <v/>
      </c>
      <c r="AB145" s="9" t="str">
        <f aca="false">IF(OR(A145="",多次统计数据!$B$8="",多次统计数据!$B$6&lt;=0,多次统计数据!$B$6&gt;=1),"",1-POWER(1+多次统计数据!$B$8,-多次统计数据!$B$6/(1-多次统计数据!$B$6)))</f>
        <v/>
      </c>
      <c r="AC145" s="7" t="str">
        <f aca="false">IF(OR(AB145="",多次统计数据!$B$9=""),"",IF(多次统计数据!$B$9&lt;AB145,"低于上限","达到或超过上限"))</f>
        <v/>
      </c>
      <c r="AD145" s="4"/>
      <c r="AE145" s="9" t="str">
        <f aca="false">IF(OR(X145="",C145="",C145&lt;=0),"",X145/C145)</f>
        <v/>
      </c>
      <c r="AG145" s="4"/>
      <c r="AH145" s="4"/>
      <c r="AI145" s="4"/>
      <c r="AJ145" s="7" t="str">
        <f aca="false">IF(OR(AG145="",AH145=""),"",IF(OR(AND(AG145="短期博反弹",OR(AH145="1～3个交易日",AH145="4～10个交易日")),AND(AG145="突破冲新高",OR(AH145="4～10个交易日",AH145="11～20个交易日")),AND(AG145="趋势波段",OR(AH145="11～20个交易日",AH145="21～60个交易日",AH145="60个交易日以上"))),"匹配","周期与交易预期不匹配，请重新确认"))</f>
        <v/>
      </c>
      <c r="AK145" s="13" t="str">
        <f aca="false">IF(A145="","",COUNTIFS(加仓管理!$A$2:$A$1001,A145,加仓管理!$G$2:$G$1001,"&gt;0"))</f>
        <v/>
      </c>
      <c r="AL145" s="13" t="str">
        <f aca="false">IF(A145="","",SUMIFS(加仓管理!$G$2:$G$1001,加仓管理!$A$2:$A$1001,A145))</f>
        <v/>
      </c>
      <c r="AM145" s="14" t="str">
        <f aca="false">IF(AK145=0,"",IFERROR(LOOKUP(2,1/((加仓管理!$A$2:$A$1001=A145)*(加仓管理!$G$2:$G$1001&gt;0)),加仓管理!$D$2:$D$1001),""))</f>
        <v/>
      </c>
      <c r="AN145" s="14" t="str">
        <f aca="false">IF(AK145=0,"",IFERROR(LOOKUP(2,1/((加仓管理!$A$2:$A$1001=A145)*(加仓管理!$G$2:$G$1001&gt;0)),加仓管理!$E$2:$E$1001),""))</f>
        <v/>
      </c>
      <c r="AO145" s="14" t="str">
        <f aca="false">IF(OR(A145="",H145="",H145&lt;=0),"",(E145*H145+SUMIFS(加仓管理!$H$2:$H$1001,加仓管理!$A$2:$A$1001,A145))/AP145)</f>
        <v/>
      </c>
      <c r="AP145" s="13" t="str">
        <f aca="false">IF(OR(A145="",H145="",H145&lt;=0),"",H145+AL145)</f>
        <v/>
      </c>
      <c r="AQ145" s="14" t="str">
        <f aca="false">IF(A145="","",IF(M145&lt;&gt;"",0,IF(OR(H145="",N145=""),"",MAX((E145*H145+SUMIFS(加仓管理!$H$2:$H$1001,加仓管理!$A$2:$A$1001,A145))-MAX(N145,AN145)*AP145,0))))</f>
        <v/>
      </c>
      <c r="AR145" s="15" t="str">
        <f aca="false">IF(A145="","",IF(OR(E145="",H145=""),"违规：首次买入价格或股数缺失",IF(COUNTIFS(加仓管理!$A$2:$A$1001,A145,加仓管理!$R$2:$R$1001,"违规*")&gt;0,"违规：请检查加仓管理表",IF(SUM($AQ$2:$AQ$201)&gt;账户数据!$B$7,"预警：超过账户风险上限",IF(COUNTIFS(加仓管理!$A$2:$A$1001,A145,加仓管理!$N$2:$N$1001,"&gt;0",加仓管理!$G$2:$G$1001,"")&gt;0,"提示：存在待执行加仓计划","通过")))))</f>
        <v/>
      </c>
    </row>
    <row r="146" customFormat="false" ht="13.5" hidden="false" customHeight="false" outlineLevel="0" collapsed="false">
      <c r="A146" s="4"/>
      <c r="B146" s="4"/>
      <c r="C146" s="5"/>
      <c r="D146" s="6"/>
      <c r="E146" s="5"/>
      <c r="F146" s="7" t="str">
        <f aca="false">IF(OR(C146="",D146="",E146="",N146="",C146&lt;=0,D146&lt;=0,E146&lt;=N146),"",ROUNDDOWN((C146*D146)/(E146-N146)/100,0)*100)</f>
        <v/>
      </c>
      <c r="G146" s="7" t="str">
        <f aca="false">IF(A146="","",IF(H146&lt;&gt;"","已开仓",IF(账户数据!$B$23="已锁仓","禁止开仓：连续亏损达到上限",IF(账户数据!$B$23="解锁信息不完整","禁止开仓：请完整填写解锁信息",IF(OR(F146="",E146="",N146="",E146&lt;=N146,账户数据!$B$7=""),"",IF(OR(AG146="",AH146="",AI146=""),"禁止开仓：交易预期未填写完整",IF(账户数据!$B$9+F146*(E146-N146)&gt;=账户数据!$B$7,"禁止开仓：风险额度不足",IF(AJ146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6" s="4"/>
      <c r="I146" s="8"/>
      <c r="J146" s="5"/>
      <c r="K146" s="11"/>
      <c r="L146" s="7" t="str">
        <f aca="false">IF(AP146="","",AP146)</f>
        <v/>
      </c>
      <c r="M146" s="19"/>
      <c r="N146" s="5"/>
      <c r="O146" s="5"/>
      <c r="P146" s="11"/>
      <c r="Q146" s="4"/>
      <c r="R146" s="4"/>
      <c r="S146" s="4"/>
      <c r="T146" s="4"/>
      <c r="U146" s="9" t="str">
        <f aca="false">IF(OR(AO146="",J146="",AO146&lt;=0),"",(J146-AO146)/AO146)</f>
        <v/>
      </c>
      <c r="V146" s="9" t="str">
        <f aca="false">IF(OR(AO146="",N146="",AO146&lt;=0),"",(AO146-N146)/AO146)</f>
        <v/>
      </c>
      <c r="W146" s="10" t="str">
        <f aca="false">IF(OR(U146="",V146="",V146&lt;=0),"",U146/V146)</f>
        <v/>
      </c>
      <c r="X146" s="11" t="str">
        <f aca="false">IF(OR(K146="",L146="",AO146="",AP146=""),"",(K146-AO146)*L146-IF(O146="",0,O146)-IF(P146="",0,P146))</f>
        <v/>
      </c>
      <c r="Y146" s="9" t="str">
        <f aca="false">IF(OR(X146="",AO146="",L146=""),"",IF(AO146*L146+IF(O146="",0,O146)&lt;=0,"",X146/(AO146*L146+IF(O146="",0,O146))))</f>
        <v/>
      </c>
      <c r="Z146" s="9" t="str">
        <f aca="false">IF(OR(AE146="",多次统计数据!$B$8=""),"",AE146-多次统计数据!$B$8)</f>
        <v/>
      </c>
      <c r="AA146" s="12" t="str">
        <f aca="false">IF(OR(I146="",M146="",M146&lt;I146),"",M146-I146)</f>
        <v/>
      </c>
      <c r="AB146" s="9" t="str">
        <f aca="false">IF(OR(A146="",多次统计数据!$B$8="",多次统计数据!$B$6&lt;=0,多次统计数据!$B$6&gt;=1),"",1-POWER(1+多次统计数据!$B$8,-多次统计数据!$B$6/(1-多次统计数据!$B$6)))</f>
        <v/>
      </c>
      <c r="AC146" s="7" t="str">
        <f aca="false">IF(OR(AB146="",多次统计数据!$B$9=""),"",IF(多次统计数据!$B$9&lt;AB146,"低于上限","达到或超过上限"))</f>
        <v/>
      </c>
      <c r="AD146" s="4"/>
      <c r="AE146" s="9" t="str">
        <f aca="false">IF(OR(X146="",C146="",C146&lt;=0),"",X146/C146)</f>
        <v/>
      </c>
      <c r="AG146" s="4"/>
      <c r="AH146" s="4"/>
      <c r="AI146" s="4"/>
      <c r="AJ146" s="7" t="str">
        <f aca="false">IF(OR(AG146="",AH146=""),"",IF(OR(AND(AG146="短期博反弹",OR(AH146="1～3个交易日",AH146="4～10个交易日")),AND(AG146="突破冲新高",OR(AH146="4～10个交易日",AH146="11～20个交易日")),AND(AG146="趋势波段",OR(AH146="11～20个交易日",AH146="21～60个交易日",AH146="60个交易日以上"))),"匹配","周期与交易预期不匹配，请重新确认"))</f>
        <v/>
      </c>
      <c r="AK146" s="13" t="str">
        <f aca="false">IF(A146="","",COUNTIFS(加仓管理!$A$2:$A$1001,A146,加仓管理!$G$2:$G$1001,"&gt;0"))</f>
        <v/>
      </c>
      <c r="AL146" s="13" t="str">
        <f aca="false">IF(A146="","",SUMIFS(加仓管理!$G$2:$G$1001,加仓管理!$A$2:$A$1001,A146))</f>
        <v/>
      </c>
      <c r="AM146" s="14" t="str">
        <f aca="false">IF(AK146=0,"",IFERROR(LOOKUP(2,1/((加仓管理!$A$2:$A$1001=A146)*(加仓管理!$G$2:$G$1001&gt;0)),加仓管理!$D$2:$D$1001),""))</f>
        <v/>
      </c>
      <c r="AN146" s="14" t="str">
        <f aca="false">IF(AK146=0,"",IFERROR(LOOKUP(2,1/((加仓管理!$A$2:$A$1001=A146)*(加仓管理!$G$2:$G$1001&gt;0)),加仓管理!$E$2:$E$1001),""))</f>
        <v/>
      </c>
      <c r="AO146" s="14" t="str">
        <f aca="false">IF(OR(A146="",H146="",H146&lt;=0),"",(E146*H146+SUMIFS(加仓管理!$H$2:$H$1001,加仓管理!$A$2:$A$1001,A146))/AP146)</f>
        <v/>
      </c>
      <c r="AP146" s="13" t="str">
        <f aca="false">IF(OR(A146="",H146="",H146&lt;=0),"",H146+AL146)</f>
        <v/>
      </c>
      <c r="AQ146" s="14" t="str">
        <f aca="false">IF(A146="","",IF(M146&lt;&gt;"",0,IF(OR(H146="",N146=""),"",MAX((E146*H146+SUMIFS(加仓管理!$H$2:$H$1001,加仓管理!$A$2:$A$1001,A146))-MAX(N146,AN146)*AP146,0))))</f>
        <v/>
      </c>
      <c r="AR146" s="15" t="str">
        <f aca="false">IF(A146="","",IF(OR(E146="",H146=""),"违规：首次买入价格或股数缺失",IF(COUNTIFS(加仓管理!$A$2:$A$1001,A146,加仓管理!$R$2:$R$1001,"违规*")&gt;0,"违规：请检查加仓管理表",IF(SUM($AQ$2:$AQ$201)&gt;账户数据!$B$7,"预警：超过账户风险上限",IF(COUNTIFS(加仓管理!$A$2:$A$1001,A146,加仓管理!$N$2:$N$1001,"&gt;0",加仓管理!$G$2:$G$1001,"")&gt;0,"提示：存在待执行加仓计划","通过")))))</f>
        <v/>
      </c>
    </row>
    <row r="147" customFormat="false" ht="13.5" hidden="false" customHeight="false" outlineLevel="0" collapsed="false">
      <c r="A147" s="4"/>
      <c r="B147" s="4"/>
      <c r="C147" s="5"/>
      <c r="D147" s="6"/>
      <c r="E147" s="5"/>
      <c r="F147" s="7" t="str">
        <f aca="false">IF(OR(C147="",D147="",E147="",N147="",C147&lt;=0,D147&lt;=0,E147&lt;=N147),"",ROUNDDOWN((C147*D147)/(E147-N147)/100,0)*100)</f>
        <v/>
      </c>
      <c r="G147" s="7" t="str">
        <f aca="false">IF(A147="","",IF(H147&lt;&gt;"","已开仓",IF(账户数据!$B$23="已锁仓","禁止开仓：连续亏损达到上限",IF(账户数据!$B$23="解锁信息不完整","禁止开仓：请完整填写解锁信息",IF(OR(F147="",E147="",N147="",E147&lt;=N147,账户数据!$B$7=""),"",IF(OR(AG147="",AH147="",AI147=""),"禁止开仓：交易预期未填写完整",IF(账户数据!$B$9+F147*(E147-N147)&gt;=账户数据!$B$7,"禁止开仓：风险额度不足",IF(AJ147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7" s="4"/>
      <c r="I147" s="8"/>
      <c r="J147" s="5"/>
      <c r="K147" s="11"/>
      <c r="L147" s="7" t="str">
        <f aca="false">IF(AP147="","",AP147)</f>
        <v/>
      </c>
      <c r="M147" s="19"/>
      <c r="N147" s="5"/>
      <c r="O147" s="5"/>
      <c r="P147" s="11"/>
      <c r="Q147" s="4"/>
      <c r="R147" s="4"/>
      <c r="S147" s="4"/>
      <c r="T147" s="4"/>
      <c r="U147" s="9" t="str">
        <f aca="false">IF(OR(AO147="",J147="",AO147&lt;=0),"",(J147-AO147)/AO147)</f>
        <v/>
      </c>
      <c r="V147" s="9" t="str">
        <f aca="false">IF(OR(AO147="",N147="",AO147&lt;=0),"",(AO147-N147)/AO147)</f>
        <v/>
      </c>
      <c r="W147" s="10" t="str">
        <f aca="false">IF(OR(U147="",V147="",V147&lt;=0),"",U147/V147)</f>
        <v/>
      </c>
      <c r="X147" s="11" t="str">
        <f aca="false">IF(OR(K147="",L147="",AO147="",AP147=""),"",(K147-AO147)*L147-IF(O147="",0,O147)-IF(P147="",0,P147))</f>
        <v/>
      </c>
      <c r="Y147" s="9" t="str">
        <f aca="false">IF(OR(X147="",AO147="",L147=""),"",IF(AO147*L147+IF(O147="",0,O147)&lt;=0,"",X147/(AO147*L147+IF(O147="",0,O147))))</f>
        <v/>
      </c>
      <c r="Z147" s="9" t="str">
        <f aca="false">IF(OR(AE147="",多次统计数据!$B$8=""),"",AE147-多次统计数据!$B$8)</f>
        <v/>
      </c>
      <c r="AA147" s="12" t="str">
        <f aca="false">IF(OR(I147="",M147="",M147&lt;I147),"",M147-I147)</f>
        <v/>
      </c>
      <c r="AB147" s="9" t="str">
        <f aca="false">IF(OR(A147="",多次统计数据!$B$8="",多次统计数据!$B$6&lt;=0,多次统计数据!$B$6&gt;=1),"",1-POWER(1+多次统计数据!$B$8,-多次统计数据!$B$6/(1-多次统计数据!$B$6)))</f>
        <v/>
      </c>
      <c r="AC147" s="7" t="str">
        <f aca="false">IF(OR(AB147="",多次统计数据!$B$9=""),"",IF(多次统计数据!$B$9&lt;AB147,"低于上限","达到或超过上限"))</f>
        <v/>
      </c>
      <c r="AD147" s="4"/>
      <c r="AE147" s="9" t="str">
        <f aca="false">IF(OR(X147="",C147="",C147&lt;=0),"",X147/C147)</f>
        <v/>
      </c>
      <c r="AG147" s="4"/>
      <c r="AH147" s="4"/>
      <c r="AI147" s="4"/>
      <c r="AJ147" s="7" t="str">
        <f aca="false">IF(OR(AG147="",AH147=""),"",IF(OR(AND(AG147="短期博反弹",OR(AH147="1～3个交易日",AH147="4～10个交易日")),AND(AG147="突破冲新高",OR(AH147="4～10个交易日",AH147="11～20个交易日")),AND(AG147="趋势波段",OR(AH147="11～20个交易日",AH147="21～60个交易日",AH147="60个交易日以上"))),"匹配","周期与交易预期不匹配，请重新确认"))</f>
        <v/>
      </c>
      <c r="AK147" s="13" t="str">
        <f aca="false">IF(A147="","",COUNTIFS(加仓管理!$A$2:$A$1001,A147,加仓管理!$G$2:$G$1001,"&gt;0"))</f>
        <v/>
      </c>
      <c r="AL147" s="13" t="str">
        <f aca="false">IF(A147="","",SUMIFS(加仓管理!$G$2:$G$1001,加仓管理!$A$2:$A$1001,A147))</f>
        <v/>
      </c>
      <c r="AM147" s="14" t="str">
        <f aca="false">IF(AK147=0,"",IFERROR(LOOKUP(2,1/((加仓管理!$A$2:$A$1001=A147)*(加仓管理!$G$2:$G$1001&gt;0)),加仓管理!$D$2:$D$1001),""))</f>
        <v/>
      </c>
      <c r="AN147" s="14" t="str">
        <f aca="false">IF(AK147=0,"",IFERROR(LOOKUP(2,1/((加仓管理!$A$2:$A$1001=A147)*(加仓管理!$G$2:$G$1001&gt;0)),加仓管理!$E$2:$E$1001),""))</f>
        <v/>
      </c>
      <c r="AO147" s="14" t="str">
        <f aca="false">IF(OR(A147="",H147="",H147&lt;=0),"",(E147*H147+SUMIFS(加仓管理!$H$2:$H$1001,加仓管理!$A$2:$A$1001,A147))/AP147)</f>
        <v/>
      </c>
      <c r="AP147" s="13" t="str">
        <f aca="false">IF(OR(A147="",H147="",H147&lt;=0),"",H147+AL147)</f>
        <v/>
      </c>
      <c r="AQ147" s="14" t="str">
        <f aca="false">IF(A147="","",IF(M147&lt;&gt;"",0,IF(OR(H147="",N147=""),"",MAX((E147*H147+SUMIFS(加仓管理!$H$2:$H$1001,加仓管理!$A$2:$A$1001,A147))-MAX(N147,AN147)*AP147,0))))</f>
        <v/>
      </c>
      <c r="AR147" s="15" t="str">
        <f aca="false">IF(A147="","",IF(OR(E147="",H147=""),"违规：首次买入价格或股数缺失",IF(COUNTIFS(加仓管理!$A$2:$A$1001,A147,加仓管理!$R$2:$R$1001,"违规*")&gt;0,"违规：请检查加仓管理表",IF(SUM($AQ$2:$AQ$201)&gt;账户数据!$B$7,"预警：超过账户风险上限",IF(COUNTIFS(加仓管理!$A$2:$A$1001,A147,加仓管理!$N$2:$N$1001,"&gt;0",加仓管理!$G$2:$G$1001,"")&gt;0,"提示：存在待执行加仓计划","通过")))))</f>
        <v/>
      </c>
    </row>
    <row r="148" customFormat="false" ht="13.5" hidden="false" customHeight="false" outlineLevel="0" collapsed="false">
      <c r="A148" s="4"/>
      <c r="B148" s="4"/>
      <c r="C148" s="5"/>
      <c r="D148" s="6"/>
      <c r="E148" s="5"/>
      <c r="F148" s="7" t="str">
        <f aca="false">IF(OR(C148="",D148="",E148="",N148="",C148&lt;=0,D148&lt;=0,E148&lt;=N148),"",ROUNDDOWN((C148*D148)/(E148-N148)/100,0)*100)</f>
        <v/>
      </c>
      <c r="G148" s="7" t="str">
        <f aca="false">IF(A148="","",IF(H148&lt;&gt;"","已开仓",IF(账户数据!$B$23="已锁仓","禁止开仓：连续亏损达到上限",IF(账户数据!$B$23="解锁信息不完整","禁止开仓：请完整填写解锁信息",IF(OR(F148="",E148="",N148="",E148&lt;=N148,账户数据!$B$7=""),"",IF(OR(AG148="",AH148="",AI148=""),"禁止开仓：交易预期未填写完整",IF(账户数据!$B$9+F148*(E148-N148)&gt;=账户数据!$B$7,"禁止开仓：风险额度不足",IF(AJ148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8" s="4"/>
      <c r="I148" s="8"/>
      <c r="J148" s="5"/>
      <c r="K148" s="11"/>
      <c r="L148" s="7" t="str">
        <f aca="false">IF(AP148="","",AP148)</f>
        <v/>
      </c>
      <c r="M148" s="19"/>
      <c r="N148" s="5"/>
      <c r="O148" s="5"/>
      <c r="P148" s="11"/>
      <c r="Q148" s="4"/>
      <c r="R148" s="4"/>
      <c r="S148" s="4"/>
      <c r="T148" s="4"/>
      <c r="U148" s="9" t="str">
        <f aca="false">IF(OR(AO148="",J148="",AO148&lt;=0),"",(J148-AO148)/AO148)</f>
        <v/>
      </c>
      <c r="V148" s="9" t="str">
        <f aca="false">IF(OR(AO148="",N148="",AO148&lt;=0),"",(AO148-N148)/AO148)</f>
        <v/>
      </c>
      <c r="W148" s="10" t="str">
        <f aca="false">IF(OR(U148="",V148="",V148&lt;=0),"",U148/V148)</f>
        <v/>
      </c>
      <c r="X148" s="11" t="str">
        <f aca="false">IF(OR(K148="",L148="",AO148="",AP148=""),"",(K148-AO148)*L148-IF(O148="",0,O148)-IF(P148="",0,P148))</f>
        <v/>
      </c>
      <c r="Y148" s="9" t="str">
        <f aca="false">IF(OR(X148="",AO148="",L148=""),"",IF(AO148*L148+IF(O148="",0,O148)&lt;=0,"",X148/(AO148*L148+IF(O148="",0,O148))))</f>
        <v/>
      </c>
      <c r="Z148" s="9" t="str">
        <f aca="false">IF(OR(AE148="",多次统计数据!$B$8=""),"",AE148-多次统计数据!$B$8)</f>
        <v/>
      </c>
      <c r="AA148" s="12" t="str">
        <f aca="false">IF(OR(I148="",M148="",M148&lt;I148),"",M148-I148)</f>
        <v/>
      </c>
      <c r="AB148" s="9" t="str">
        <f aca="false">IF(OR(A148="",多次统计数据!$B$8="",多次统计数据!$B$6&lt;=0,多次统计数据!$B$6&gt;=1),"",1-POWER(1+多次统计数据!$B$8,-多次统计数据!$B$6/(1-多次统计数据!$B$6)))</f>
        <v/>
      </c>
      <c r="AC148" s="7" t="str">
        <f aca="false">IF(OR(AB148="",多次统计数据!$B$9=""),"",IF(多次统计数据!$B$9&lt;AB148,"低于上限","达到或超过上限"))</f>
        <v/>
      </c>
      <c r="AD148" s="4"/>
      <c r="AE148" s="9" t="str">
        <f aca="false">IF(OR(X148="",C148="",C148&lt;=0),"",X148/C148)</f>
        <v/>
      </c>
      <c r="AG148" s="4"/>
      <c r="AH148" s="4"/>
      <c r="AI148" s="4"/>
      <c r="AJ148" s="7" t="str">
        <f aca="false">IF(OR(AG148="",AH148=""),"",IF(OR(AND(AG148="短期博反弹",OR(AH148="1～3个交易日",AH148="4～10个交易日")),AND(AG148="突破冲新高",OR(AH148="4～10个交易日",AH148="11～20个交易日")),AND(AG148="趋势波段",OR(AH148="11～20个交易日",AH148="21～60个交易日",AH148="60个交易日以上"))),"匹配","周期与交易预期不匹配，请重新确认"))</f>
        <v/>
      </c>
      <c r="AK148" s="13" t="str">
        <f aca="false">IF(A148="","",COUNTIFS(加仓管理!$A$2:$A$1001,A148,加仓管理!$G$2:$G$1001,"&gt;0"))</f>
        <v/>
      </c>
      <c r="AL148" s="13" t="str">
        <f aca="false">IF(A148="","",SUMIFS(加仓管理!$G$2:$G$1001,加仓管理!$A$2:$A$1001,A148))</f>
        <v/>
      </c>
      <c r="AM148" s="14" t="str">
        <f aca="false">IF(AK148=0,"",IFERROR(LOOKUP(2,1/((加仓管理!$A$2:$A$1001=A148)*(加仓管理!$G$2:$G$1001&gt;0)),加仓管理!$D$2:$D$1001),""))</f>
        <v/>
      </c>
      <c r="AN148" s="14" t="str">
        <f aca="false">IF(AK148=0,"",IFERROR(LOOKUP(2,1/((加仓管理!$A$2:$A$1001=A148)*(加仓管理!$G$2:$G$1001&gt;0)),加仓管理!$E$2:$E$1001),""))</f>
        <v/>
      </c>
      <c r="AO148" s="14" t="str">
        <f aca="false">IF(OR(A148="",H148="",H148&lt;=0),"",(E148*H148+SUMIFS(加仓管理!$H$2:$H$1001,加仓管理!$A$2:$A$1001,A148))/AP148)</f>
        <v/>
      </c>
      <c r="AP148" s="13" t="str">
        <f aca="false">IF(OR(A148="",H148="",H148&lt;=0),"",H148+AL148)</f>
        <v/>
      </c>
      <c r="AQ148" s="14" t="str">
        <f aca="false">IF(A148="","",IF(M148&lt;&gt;"",0,IF(OR(H148="",N148=""),"",MAX((E148*H148+SUMIFS(加仓管理!$H$2:$H$1001,加仓管理!$A$2:$A$1001,A148))-MAX(N148,AN148)*AP148,0))))</f>
        <v/>
      </c>
      <c r="AR148" s="15" t="str">
        <f aca="false">IF(A148="","",IF(OR(E148="",H148=""),"违规：首次买入价格或股数缺失",IF(COUNTIFS(加仓管理!$A$2:$A$1001,A148,加仓管理!$R$2:$R$1001,"违规*")&gt;0,"违规：请检查加仓管理表",IF(SUM($AQ$2:$AQ$201)&gt;账户数据!$B$7,"预警：超过账户风险上限",IF(COUNTIFS(加仓管理!$A$2:$A$1001,A148,加仓管理!$N$2:$N$1001,"&gt;0",加仓管理!$G$2:$G$1001,"")&gt;0,"提示：存在待执行加仓计划","通过")))))</f>
        <v/>
      </c>
    </row>
    <row r="149" customFormat="false" ht="13.5" hidden="false" customHeight="false" outlineLevel="0" collapsed="false">
      <c r="A149" s="4"/>
      <c r="B149" s="4"/>
      <c r="C149" s="5"/>
      <c r="D149" s="6"/>
      <c r="E149" s="5"/>
      <c r="F149" s="7" t="str">
        <f aca="false">IF(OR(C149="",D149="",E149="",N149="",C149&lt;=0,D149&lt;=0,E149&lt;=N149),"",ROUNDDOWN((C149*D149)/(E149-N149)/100,0)*100)</f>
        <v/>
      </c>
      <c r="G149" s="7" t="str">
        <f aca="false">IF(A149="","",IF(H149&lt;&gt;"","已开仓",IF(账户数据!$B$23="已锁仓","禁止开仓：连续亏损达到上限",IF(账户数据!$B$23="解锁信息不完整","禁止开仓：请完整填写解锁信息",IF(OR(F149="",E149="",N149="",E149&lt;=N149,账户数据!$B$7=""),"",IF(OR(AG149="",AH149="",AI149=""),"禁止开仓：交易预期未填写完整",IF(账户数据!$B$9+F149*(E149-N149)&gt;=账户数据!$B$7,"禁止开仓：风险额度不足",IF(AJ149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9" s="4"/>
      <c r="I149" s="8"/>
      <c r="J149" s="5"/>
      <c r="K149" s="11"/>
      <c r="L149" s="7" t="str">
        <f aca="false">IF(AP149="","",AP149)</f>
        <v/>
      </c>
      <c r="M149" s="19"/>
      <c r="N149" s="5"/>
      <c r="O149" s="5"/>
      <c r="P149" s="11"/>
      <c r="Q149" s="4"/>
      <c r="R149" s="4"/>
      <c r="S149" s="4"/>
      <c r="T149" s="4"/>
      <c r="U149" s="9" t="str">
        <f aca="false">IF(OR(AO149="",J149="",AO149&lt;=0),"",(J149-AO149)/AO149)</f>
        <v/>
      </c>
      <c r="V149" s="9" t="str">
        <f aca="false">IF(OR(AO149="",N149="",AO149&lt;=0),"",(AO149-N149)/AO149)</f>
        <v/>
      </c>
      <c r="W149" s="10" t="str">
        <f aca="false">IF(OR(U149="",V149="",V149&lt;=0),"",U149/V149)</f>
        <v/>
      </c>
      <c r="X149" s="11" t="str">
        <f aca="false">IF(OR(K149="",L149="",AO149="",AP149=""),"",(K149-AO149)*L149-IF(O149="",0,O149)-IF(P149="",0,P149))</f>
        <v/>
      </c>
      <c r="Y149" s="9" t="str">
        <f aca="false">IF(OR(X149="",AO149="",L149=""),"",IF(AO149*L149+IF(O149="",0,O149)&lt;=0,"",X149/(AO149*L149+IF(O149="",0,O149))))</f>
        <v/>
      </c>
      <c r="Z149" s="9" t="str">
        <f aca="false">IF(OR(AE149="",多次统计数据!$B$8=""),"",AE149-多次统计数据!$B$8)</f>
        <v/>
      </c>
      <c r="AA149" s="12" t="str">
        <f aca="false">IF(OR(I149="",M149="",M149&lt;I149),"",M149-I149)</f>
        <v/>
      </c>
      <c r="AB149" s="9" t="str">
        <f aca="false">IF(OR(A149="",多次统计数据!$B$8="",多次统计数据!$B$6&lt;=0,多次统计数据!$B$6&gt;=1),"",1-POWER(1+多次统计数据!$B$8,-多次统计数据!$B$6/(1-多次统计数据!$B$6)))</f>
        <v/>
      </c>
      <c r="AC149" s="7" t="str">
        <f aca="false">IF(OR(AB149="",多次统计数据!$B$9=""),"",IF(多次统计数据!$B$9&lt;AB149,"低于上限","达到或超过上限"))</f>
        <v/>
      </c>
      <c r="AD149" s="4"/>
      <c r="AE149" s="9" t="str">
        <f aca="false">IF(OR(X149="",C149="",C149&lt;=0),"",X149/C149)</f>
        <v/>
      </c>
      <c r="AG149" s="4"/>
      <c r="AH149" s="4"/>
      <c r="AI149" s="4"/>
      <c r="AJ149" s="7" t="str">
        <f aca="false">IF(OR(AG149="",AH149=""),"",IF(OR(AND(AG149="短期博反弹",OR(AH149="1～3个交易日",AH149="4～10个交易日")),AND(AG149="突破冲新高",OR(AH149="4～10个交易日",AH149="11～20个交易日")),AND(AG149="趋势波段",OR(AH149="11～20个交易日",AH149="21～60个交易日",AH149="60个交易日以上"))),"匹配","周期与交易预期不匹配，请重新确认"))</f>
        <v/>
      </c>
      <c r="AK149" s="13" t="str">
        <f aca="false">IF(A149="","",COUNTIFS(加仓管理!$A$2:$A$1001,A149,加仓管理!$G$2:$G$1001,"&gt;0"))</f>
        <v/>
      </c>
      <c r="AL149" s="13" t="str">
        <f aca="false">IF(A149="","",SUMIFS(加仓管理!$G$2:$G$1001,加仓管理!$A$2:$A$1001,A149))</f>
        <v/>
      </c>
      <c r="AM149" s="14" t="str">
        <f aca="false">IF(AK149=0,"",IFERROR(LOOKUP(2,1/((加仓管理!$A$2:$A$1001=A149)*(加仓管理!$G$2:$G$1001&gt;0)),加仓管理!$D$2:$D$1001),""))</f>
        <v/>
      </c>
      <c r="AN149" s="14" t="str">
        <f aca="false">IF(AK149=0,"",IFERROR(LOOKUP(2,1/((加仓管理!$A$2:$A$1001=A149)*(加仓管理!$G$2:$G$1001&gt;0)),加仓管理!$E$2:$E$1001),""))</f>
        <v/>
      </c>
      <c r="AO149" s="14" t="str">
        <f aca="false">IF(OR(A149="",H149="",H149&lt;=0),"",(E149*H149+SUMIFS(加仓管理!$H$2:$H$1001,加仓管理!$A$2:$A$1001,A149))/AP149)</f>
        <v/>
      </c>
      <c r="AP149" s="13" t="str">
        <f aca="false">IF(OR(A149="",H149="",H149&lt;=0),"",H149+AL149)</f>
        <v/>
      </c>
      <c r="AQ149" s="14" t="str">
        <f aca="false">IF(A149="","",IF(M149&lt;&gt;"",0,IF(OR(H149="",N149=""),"",MAX((E149*H149+SUMIFS(加仓管理!$H$2:$H$1001,加仓管理!$A$2:$A$1001,A149))-MAX(N149,AN149)*AP149,0))))</f>
        <v/>
      </c>
      <c r="AR149" s="15" t="str">
        <f aca="false">IF(A149="","",IF(OR(E149="",H149=""),"违规：首次买入价格或股数缺失",IF(COUNTIFS(加仓管理!$A$2:$A$1001,A149,加仓管理!$R$2:$R$1001,"违规*")&gt;0,"违规：请检查加仓管理表",IF(SUM($AQ$2:$AQ$201)&gt;账户数据!$B$7,"预警：超过账户风险上限",IF(COUNTIFS(加仓管理!$A$2:$A$1001,A149,加仓管理!$N$2:$N$1001,"&gt;0",加仓管理!$G$2:$G$1001,"")&gt;0,"提示：存在待执行加仓计划","通过")))))</f>
        <v/>
      </c>
    </row>
    <row r="150" customFormat="false" ht="13.5" hidden="false" customHeight="false" outlineLevel="0" collapsed="false">
      <c r="A150" s="4"/>
      <c r="B150" s="4"/>
      <c r="C150" s="5"/>
      <c r="D150" s="6"/>
      <c r="E150" s="5"/>
      <c r="F150" s="7" t="str">
        <f aca="false">IF(OR(C150="",D150="",E150="",N150="",C150&lt;=0,D150&lt;=0,E150&lt;=N150),"",ROUNDDOWN((C150*D150)/(E150-N150)/100,0)*100)</f>
        <v/>
      </c>
      <c r="G150" s="7" t="str">
        <f aca="false">IF(A150="","",IF(H150&lt;&gt;"","已开仓",IF(账户数据!$B$23="已锁仓","禁止开仓：连续亏损达到上限",IF(账户数据!$B$23="解锁信息不完整","禁止开仓：请完整填写解锁信息",IF(OR(F150="",E150="",N150="",E150&lt;=N150,账户数据!$B$7=""),"",IF(OR(AG150="",AH150="",AI150=""),"禁止开仓：交易预期未填写完整",IF(账户数据!$B$9+F150*(E150-N150)&gt;=账户数据!$B$7,"禁止开仓：风险额度不足",IF(AJ150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0" s="4"/>
      <c r="I150" s="8"/>
      <c r="J150" s="5"/>
      <c r="K150" s="11"/>
      <c r="L150" s="7" t="str">
        <f aca="false">IF(AP150="","",AP150)</f>
        <v/>
      </c>
      <c r="M150" s="19"/>
      <c r="N150" s="5"/>
      <c r="O150" s="5"/>
      <c r="P150" s="11"/>
      <c r="Q150" s="4"/>
      <c r="R150" s="4"/>
      <c r="S150" s="4"/>
      <c r="T150" s="4"/>
      <c r="U150" s="9" t="str">
        <f aca="false">IF(OR(AO150="",J150="",AO150&lt;=0),"",(J150-AO150)/AO150)</f>
        <v/>
      </c>
      <c r="V150" s="9" t="str">
        <f aca="false">IF(OR(AO150="",N150="",AO150&lt;=0),"",(AO150-N150)/AO150)</f>
        <v/>
      </c>
      <c r="W150" s="10" t="str">
        <f aca="false">IF(OR(U150="",V150="",V150&lt;=0),"",U150/V150)</f>
        <v/>
      </c>
      <c r="X150" s="11" t="str">
        <f aca="false">IF(OR(K150="",L150="",AO150="",AP150=""),"",(K150-AO150)*L150-IF(O150="",0,O150)-IF(P150="",0,P150))</f>
        <v/>
      </c>
      <c r="Y150" s="9" t="str">
        <f aca="false">IF(OR(X150="",AO150="",L150=""),"",IF(AO150*L150+IF(O150="",0,O150)&lt;=0,"",X150/(AO150*L150+IF(O150="",0,O150))))</f>
        <v/>
      </c>
      <c r="Z150" s="9" t="str">
        <f aca="false">IF(OR(AE150="",多次统计数据!$B$8=""),"",AE150-多次统计数据!$B$8)</f>
        <v/>
      </c>
      <c r="AA150" s="12" t="str">
        <f aca="false">IF(OR(I150="",M150="",M150&lt;I150),"",M150-I150)</f>
        <v/>
      </c>
      <c r="AB150" s="9" t="str">
        <f aca="false">IF(OR(A150="",多次统计数据!$B$8="",多次统计数据!$B$6&lt;=0,多次统计数据!$B$6&gt;=1),"",1-POWER(1+多次统计数据!$B$8,-多次统计数据!$B$6/(1-多次统计数据!$B$6)))</f>
        <v/>
      </c>
      <c r="AC150" s="7" t="str">
        <f aca="false">IF(OR(AB150="",多次统计数据!$B$9=""),"",IF(多次统计数据!$B$9&lt;AB150,"低于上限","达到或超过上限"))</f>
        <v/>
      </c>
      <c r="AD150" s="4"/>
      <c r="AE150" s="9" t="str">
        <f aca="false">IF(OR(X150="",C150="",C150&lt;=0),"",X150/C150)</f>
        <v/>
      </c>
      <c r="AG150" s="4"/>
      <c r="AH150" s="4"/>
      <c r="AI150" s="4"/>
      <c r="AJ150" s="7" t="str">
        <f aca="false">IF(OR(AG150="",AH150=""),"",IF(OR(AND(AG150="短期博反弹",OR(AH150="1～3个交易日",AH150="4～10个交易日")),AND(AG150="突破冲新高",OR(AH150="4～10个交易日",AH150="11～20个交易日")),AND(AG150="趋势波段",OR(AH150="11～20个交易日",AH150="21～60个交易日",AH150="60个交易日以上"))),"匹配","周期与交易预期不匹配，请重新确认"))</f>
        <v/>
      </c>
      <c r="AK150" s="13" t="str">
        <f aca="false">IF(A150="","",COUNTIFS(加仓管理!$A$2:$A$1001,A150,加仓管理!$G$2:$G$1001,"&gt;0"))</f>
        <v/>
      </c>
      <c r="AL150" s="13" t="str">
        <f aca="false">IF(A150="","",SUMIFS(加仓管理!$G$2:$G$1001,加仓管理!$A$2:$A$1001,A150))</f>
        <v/>
      </c>
      <c r="AM150" s="14" t="str">
        <f aca="false">IF(AK150=0,"",IFERROR(LOOKUP(2,1/((加仓管理!$A$2:$A$1001=A150)*(加仓管理!$G$2:$G$1001&gt;0)),加仓管理!$D$2:$D$1001),""))</f>
        <v/>
      </c>
      <c r="AN150" s="14" t="str">
        <f aca="false">IF(AK150=0,"",IFERROR(LOOKUP(2,1/((加仓管理!$A$2:$A$1001=A150)*(加仓管理!$G$2:$G$1001&gt;0)),加仓管理!$E$2:$E$1001),""))</f>
        <v/>
      </c>
      <c r="AO150" s="14" t="str">
        <f aca="false">IF(OR(A150="",H150="",H150&lt;=0),"",(E150*H150+SUMIFS(加仓管理!$H$2:$H$1001,加仓管理!$A$2:$A$1001,A150))/AP150)</f>
        <v/>
      </c>
      <c r="AP150" s="13" t="str">
        <f aca="false">IF(OR(A150="",H150="",H150&lt;=0),"",H150+AL150)</f>
        <v/>
      </c>
      <c r="AQ150" s="14" t="str">
        <f aca="false">IF(A150="","",IF(M150&lt;&gt;"",0,IF(OR(H150="",N150=""),"",MAX((E150*H150+SUMIFS(加仓管理!$H$2:$H$1001,加仓管理!$A$2:$A$1001,A150))-MAX(N150,AN150)*AP150,0))))</f>
        <v/>
      </c>
      <c r="AR150" s="15" t="str">
        <f aca="false">IF(A150="","",IF(OR(E150="",H150=""),"违规：首次买入价格或股数缺失",IF(COUNTIFS(加仓管理!$A$2:$A$1001,A150,加仓管理!$R$2:$R$1001,"违规*")&gt;0,"违规：请检查加仓管理表",IF(SUM($AQ$2:$AQ$201)&gt;账户数据!$B$7,"预警：超过账户风险上限",IF(COUNTIFS(加仓管理!$A$2:$A$1001,A150,加仓管理!$N$2:$N$1001,"&gt;0",加仓管理!$G$2:$G$1001,"")&gt;0,"提示：存在待执行加仓计划","通过")))))</f>
        <v/>
      </c>
    </row>
    <row r="151" customFormat="false" ht="13.5" hidden="false" customHeight="false" outlineLevel="0" collapsed="false">
      <c r="A151" s="4"/>
      <c r="B151" s="4"/>
      <c r="C151" s="5"/>
      <c r="D151" s="6"/>
      <c r="E151" s="5"/>
      <c r="F151" s="7" t="str">
        <f aca="false">IF(OR(C151="",D151="",E151="",N151="",C151&lt;=0,D151&lt;=0,E151&lt;=N151),"",ROUNDDOWN((C151*D151)/(E151-N151)/100,0)*100)</f>
        <v/>
      </c>
      <c r="G151" s="7" t="str">
        <f aca="false">IF(A151="","",IF(H151&lt;&gt;"","已开仓",IF(账户数据!$B$23="已锁仓","禁止开仓：连续亏损达到上限",IF(账户数据!$B$23="解锁信息不完整","禁止开仓：请完整填写解锁信息",IF(OR(F151="",E151="",N151="",E151&lt;=N151,账户数据!$B$7=""),"",IF(OR(AG151="",AH151="",AI151=""),"禁止开仓：交易预期未填写完整",IF(账户数据!$B$9+F151*(E151-N151)&gt;=账户数据!$B$7,"禁止开仓：风险额度不足",IF(AJ151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1" s="4"/>
      <c r="I151" s="8"/>
      <c r="J151" s="5"/>
      <c r="K151" s="11"/>
      <c r="L151" s="7" t="str">
        <f aca="false">IF(AP151="","",AP151)</f>
        <v/>
      </c>
      <c r="M151" s="19"/>
      <c r="N151" s="5"/>
      <c r="O151" s="5"/>
      <c r="P151" s="11"/>
      <c r="Q151" s="4"/>
      <c r="R151" s="4"/>
      <c r="S151" s="4"/>
      <c r="T151" s="4"/>
      <c r="U151" s="9" t="str">
        <f aca="false">IF(OR(AO151="",J151="",AO151&lt;=0),"",(J151-AO151)/AO151)</f>
        <v/>
      </c>
      <c r="V151" s="9" t="str">
        <f aca="false">IF(OR(AO151="",N151="",AO151&lt;=0),"",(AO151-N151)/AO151)</f>
        <v/>
      </c>
      <c r="W151" s="10" t="str">
        <f aca="false">IF(OR(U151="",V151="",V151&lt;=0),"",U151/V151)</f>
        <v/>
      </c>
      <c r="X151" s="11" t="str">
        <f aca="false">IF(OR(K151="",L151="",AO151="",AP151=""),"",(K151-AO151)*L151-IF(O151="",0,O151)-IF(P151="",0,P151))</f>
        <v/>
      </c>
      <c r="Y151" s="9" t="str">
        <f aca="false">IF(OR(X151="",AO151="",L151=""),"",IF(AO151*L151+IF(O151="",0,O151)&lt;=0,"",X151/(AO151*L151+IF(O151="",0,O151))))</f>
        <v/>
      </c>
      <c r="Z151" s="9" t="str">
        <f aca="false">IF(OR(AE151="",多次统计数据!$B$8=""),"",AE151-多次统计数据!$B$8)</f>
        <v/>
      </c>
      <c r="AA151" s="12" t="str">
        <f aca="false">IF(OR(I151="",M151="",M151&lt;I151),"",M151-I151)</f>
        <v/>
      </c>
      <c r="AB151" s="9" t="str">
        <f aca="false">IF(OR(A151="",多次统计数据!$B$8="",多次统计数据!$B$6&lt;=0,多次统计数据!$B$6&gt;=1),"",1-POWER(1+多次统计数据!$B$8,-多次统计数据!$B$6/(1-多次统计数据!$B$6)))</f>
        <v/>
      </c>
      <c r="AC151" s="7" t="str">
        <f aca="false">IF(OR(AB151="",多次统计数据!$B$9=""),"",IF(多次统计数据!$B$9&lt;AB151,"低于上限","达到或超过上限"))</f>
        <v/>
      </c>
      <c r="AD151" s="4"/>
      <c r="AE151" s="9" t="str">
        <f aca="false">IF(OR(X151="",C151="",C151&lt;=0),"",X151/C151)</f>
        <v/>
      </c>
      <c r="AG151" s="4"/>
      <c r="AH151" s="4"/>
      <c r="AI151" s="4"/>
      <c r="AJ151" s="7" t="str">
        <f aca="false">IF(OR(AG151="",AH151=""),"",IF(OR(AND(AG151="短期博反弹",OR(AH151="1～3个交易日",AH151="4～10个交易日")),AND(AG151="突破冲新高",OR(AH151="4～10个交易日",AH151="11～20个交易日")),AND(AG151="趋势波段",OR(AH151="11～20个交易日",AH151="21～60个交易日",AH151="60个交易日以上"))),"匹配","周期与交易预期不匹配，请重新确认"))</f>
        <v/>
      </c>
      <c r="AK151" s="13" t="str">
        <f aca="false">IF(A151="","",COUNTIFS(加仓管理!$A$2:$A$1001,A151,加仓管理!$G$2:$G$1001,"&gt;0"))</f>
        <v/>
      </c>
      <c r="AL151" s="13" t="str">
        <f aca="false">IF(A151="","",SUMIFS(加仓管理!$G$2:$G$1001,加仓管理!$A$2:$A$1001,A151))</f>
        <v/>
      </c>
      <c r="AM151" s="14" t="str">
        <f aca="false">IF(AK151=0,"",IFERROR(LOOKUP(2,1/((加仓管理!$A$2:$A$1001=A151)*(加仓管理!$G$2:$G$1001&gt;0)),加仓管理!$D$2:$D$1001),""))</f>
        <v/>
      </c>
      <c r="AN151" s="14" t="str">
        <f aca="false">IF(AK151=0,"",IFERROR(LOOKUP(2,1/((加仓管理!$A$2:$A$1001=A151)*(加仓管理!$G$2:$G$1001&gt;0)),加仓管理!$E$2:$E$1001),""))</f>
        <v/>
      </c>
      <c r="AO151" s="14" t="str">
        <f aca="false">IF(OR(A151="",H151="",H151&lt;=0),"",(E151*H151+SUMIFS(加仓管理!$H$2:$H$1001,加仓管理!$A$2:$A$1001,A151))/AP151)</f>
        <v/>
      </c>
      <c r="AP151" s="13" t="str">
        <f aca="false">IF(OR(A151="",H151="",H151&lt;=0),"",H151+AL151)</f>
        <v/>
      </c>
      <c r="AQ151" s="14" t="str">
        <f aca="false">IF(A151="","",IF(M151&lt;&gt;"",0,IF(OR(H151="",N151=""),"",MAX((E151*H151+SUMIFS(加仓管理!$H$2:$H$1001,加仓管理!$A$2:$A$1001,A151))-MAX(N151,AN151)*AP151,0))))</f>
        <v/>
      </c>
      <c r="AR151" s="15" t="str">
        <f aca="false">IF(A151="","",IF(OR(E151="",H151=""),"违规：首次买入价格或股数缺失",IF(COUNTIFS(加仓管理!$A$2:$A$1001,A151,加仓管理!$R$2:$R$1001,"违规*")&gt;0,"违规：请检查加仓管理表",IF(SUM($AQ$2:$AQ$201)&gt;账户数据!$B$7,"预警：超过账户风险上限",IF(COUNTIFS(加仓管理!$A$2:$A$1001,A151,加仓管理!$N$2:$N$1001,"&gt;0",加仓管理!$G$2:$G$1001,"")&gt;0,"提示：存在待执行加仓计划","通过")))))</f>
        <v/>
      </c>
    </row>
    <row r="152" customFormat="false" ht="13.5" hidden="false" customHeight="false" outlineLevel="0" collapsed="false">
      <c r="A152" s="4"/>
      <c r="B152" s="4"/>
      <c r="C152" s="5"/>
      <c r="D152" s="6"/>
      <c r="E152" s="5"/>
      <c r="F152" s="7" t="str">
        <f aca="false">IF(OR(C152="",D152="",E152="",N152="",C152&lt;=0,D152&lt;=0,E152&lt;=N152),"",ROUNDDOWN((C152*D152)/(E152-N152)/100,0)*100)</f>
        <v/>
      </c>
      <c r="G152" s="7" t="str">
        <f aca="false">IF(A152="","",IF(H152&lt;&gt;"","已开仓",IF(账户数据!$B$23="已锁仓","禁止开仓：连续亏损达到上限",IF(账户数据!$B$23="解锁信息不完整","禁止开仓：请完整填写解锁信息",IF(OR(F152="",E152="",N152="",E152&lt;=N152,账户数据!$B$7=""),"",IF(OR(AG152="",AH152="",AI152=""),"禁止开仓：交易预期未填写完整",IF(账户数据!$B$9+F152*(E152-N152)&gt;=账户数据!$B$7,"禁止开仓：风险额度不足",IF(AJ152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2" s="4"/>
      <c r="I152" s="8"/>
      <c r="J152" s="5"/>
      <c r="K152" s="11"/>
      <c r="L152" s="7" t="str">
        <f aca="false">IF(AP152="","",AP152)</f>
        <v/>
      </c>
      <c r="M152" s="19"/>
      <c r="N152" s="5"/>
      <c r="O152" s="5"/>
      <c r="P152" s="11"/>
      <c r="Q152" s="4"/>
      <c r="R152" s="4"/>
      <c r="S152" s="4"/>
      <c r="T152" s="4"/>
      <c r="U152" s="9" t="str">
        <f aca="false">IF(OR(AO152="",J152="",AO152&lt;=0),"",(J152-AO152)/AO152)</f>
        <v/>
      </c>
      <c r="V152" s="9" t="str">
        <f aca="false">IF(OR(AO152="",N152="",AO152&lt;=0),"",(AO152-N152)/AO152)</f>
        <v/>
      </c>
      <c r="W152" s="10" t="str">
        <f aca="false">IF(OR(U152="",V152="",V152&lt;=0),"",U152/V152)</f>
        <v/>
      </c>
      <c r="X152" s="11" t="str">
        <f aca="false">IF(OR(K152="",L152="",AO152="",AP152=""),"",(K152-AO152)*L152-IF(O152="",0,O152)-IF(P152="",0,P152))</f>
        <v/>
      </c>
      <c r="Y152" s="9" t="str">
        <f aca="false">IF(OR(X152="",AO152="",L152=""),"",IF(AO152*L152+IF(O152="",0,O152)&lt;=0,"",X152/(AO152*L152+IF(O152="",0,O152))))</f>
        <v/>
      </c>
      <c r="Z152" s="9" t="str">
        <f aca="false">IF(OR(AE152="",多次统计数据!$B$8=""),"",AE152-多次统计数据!$B$8)</f>
        <v/>
      </c>
      <c r="AA152" s="12" t="str">
        <f aca="false">IF(OR(I152="",M152="",M152&lt;I152),"",M152-I152)</f>
        <v/>
      </c>
      <c r="AB152" s="9" t="str">
        <f aca="false">IF(OR(A152="",多次统计数据!$B$8="",多次统计数据!$B$6&lt;=0,多次统计数据!$B$6&gt;=1),"",1-POWER(1+多次统计数据!$B$8,-多次统计数据!$B$6/(1-多次统计数据!$B$6)))</f>
        <v/>
      </c>
      <c r="AC152" s="7" t="str">
        <f aca="false">IF(OR(AB152="",多次统计数据!$B$9=""),"",IF(多次统计数据!$B$9&lt;AB152,"低于上限","达到或超过上限"))</f>
        <v/>
      </c>
      <c r="AD152" s="4"/>
      <c r="AE152" s="9" t="str">
        <f aca="false">IF(OR(X152="",C152="",C152&lt;=0),"",X152/C152)</f>
        <v/>
      </c>
      <c r="AG152" s="4"/>
      <c r="AH152" s="4"/>
      <c r="AI152" s="4"/>
      <c r="AJ152" s="7" t="str">
        <f aca="false">IF(OR(AG152="",AH152=""),"",IF(OR(AND(AG152="短期博反弹",OR(AH152="1～3个交易日",AH152="4～10个交易日")),AND(AG152="突破冲新高",OR(AH152="4～10个交易日",AH152="11～20个交易日")),AND(AG152="趋势波段",OR(AH152="11～20个交易日",AH152="21～60个交易日",AH152="60个交易日以上"))),"匹配","周期与交易预期不匹配，请重新确认"))</f>
        <v/>
      </c>
      <c r="AK152" s="13" t="str">
        <f aca="false">IF(A152="","",COUNTIFS(加仓管理!$A$2:$A$1001,A152,加仓管理!$G$2:$G$1001,"&gt;0"))</f>
        <v/>
      </c>
      <c r="AL152" s="13" t="str">
        <f aca="false">IF(A152="","",SUMIFS(加仓管理!$G$2:$G$1001,加仓管理!$A$2:$A$1001,A152))</f>
        <v/>
      </c>
      <c r="AM152" s="14" t="str">
        <f aca="false">IF(AK152=0,"",IFERROR(LOOKUP(2,1/((加仓管理!$A$2:$A$1001=A152)*(加仓管理!$G$2:$G$1001&gt;0)),加仓管理!$D$2:$D$1001),""))</f>
        <v/>
      </c>
      <c r="AN152" s="14" t="str">
        <f aca="false">IF(AK152=0,"",IFERROR(LOOKUP(2,1/((加仓管理!$A$2:$A$1001=A152)*(加仓管理!$G$2:$G$1001&gt;0)),加仓管理!$E$2:$E$1001),""))</f>
        <v/>
      </c>
      <c r="AO152" s="14" t="str">
        <f aca="false">IF(OR(A152="",H152="",H152&lt;=0),"",(E152*H152+SUMIFS(加仓管理!$H$2:$H$1001,加仓管理!$A$2:$A$1001,A152))/AP152)</f>
        <v/>
      </c>
      <c r="AP152" s="13" t="str">
        <f aca="false">IF(OR(A152="",H152="",H152&lt;=0),"",H152+AL152)</f>
        <v/>
      </c>
      <c r="AQ152" s="14" t="str">
        <f aca="false">IF(A152="","",IF(M152&lt;&gt;"",0,IF(OR(H152="",N152=""),"",MAX((E152*H152+SUMIFS(加仓管理!$H$2:$H$1001,加仓管理!$A$2:$A$1001,A152))-MAX(N152,AN152)*AP152,0))))</f>
        <v/>
      </c>
      <c r="AR152" s="15" t="str">
        <f aca="false">IF(A152="","",IF(OR(E152="",H152=""),"违规：首次买入价格或股数缺失",IF(COUNTIFS(加仓管理!$A$2:$A$1001,A152,加仓管理!$R$2:$R$1001,"违规*")&gt;0,"违规：请检查加仓管理表",IF(SUM($AQ$2:$AQ$201)&gt;账户数据!$B$7,"预警：超过账户风险上限",IF(COUNTIFS(加仓管理!$A$2:$A$1001,A152,加仓管理!$N$2:$N$1001,"&gt;0",加仓管理!$G$2:$G$1001,"")&gt;0,"提示：存在待执行加仓计划","通过")))))</f>
        <v/>
      </c>
    </row>
    <row r="153" customFormat="false" ht="13.5" hidden="false" customHeight="false" outlineLevel="0" collapsed="false">
      <c r="A153" s="4"/>
      <c r="B153" s="4"/>
      <c r="C153" s="5"/>
      <c r="D153" s="6"/>
      <c r="E153" s="5"/>
      <c r="F153" s="7" t="str">
        <f aca="false">IF(OR(C153="",D153="",E153="",N153="",C153&lt;=0,D153&lt;=0,E153&lt;=N153),"",ROUNDDOWN((C153*D153)/(E153-N153)/100,0)*100)</f>
        <v/>
      </c>
      <c r="G153" s="7" t="str">
        <f aca="false">IF(A153="","",IF(H153&lt;&gt;"","已开仓",IF(账户数据!$B$23="已锁仓","禁止开仓：连续亏损达到上限",IF(账户数据!$B$23="解锁信息不完整","禁止开仓：请完整填写解锁信息",IF(OR(F153="",E153="",N153="",E153&lt;=N153,账户数据!$B$7=""),"",IF(OR(AG153="",AH153="",AI153=""),"禁止开仓：交易预期未填写完整",IF(账户数据!$B$9+F153*(E153-N153)&gt;=账户数据!$B$7,"禁止开仓：风险额度不足",IF(AJ153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3" s="4"/>
      <c r="I153" s="8"/>
      <c r="J153" s="5"/>
      <c r="K153" s="11"/>
      <c r="L153" s="7" t="str">
        <f aca="false">IF(AP153="","",AP153)</f>
        <v/>
      </c>
      <c r="M153" s="19"/>
      <c r="N153" s="5"/>
      <c r="O153" s="5"/>
      <c r="P153" s="11"/>
      <c r="Q153" s="4"/>
      <c r="R153" s="4"/>
      <c r="S153" s="4"/>
      <c r="T153" s="4"/>
      <c r="U153" s="9" t="str">
        <f aca="false">IF(OR(AO153="",J153="",AO153&lt;=0),"",(J153-AO153)/AO153)</f>
        <v/>
      </c>
      <c r="V153" s="9" t="str">
        <f aca="false">IF(OR(AO153="",N153="",AO153&lt;=0),"",(AO153-N153)/AO153)</f>
        <v/>
      </c>
      <c r="W153" s="10" t="str">
        <f aca="false">IF(OR(U153="",V153="",V153&lt;=0),"",U153/V153)</f>
        <v/>
      </c>
      <c r="X153" s="11" t="str">
        <f aca="false">IF(OR(K153="",L153="",AO153="",AP153=""),"",(K153-AO153)*L153-IF(O153="",0,O153)-IF(P153="",0,P153))</f>
        <v/>
      </c>
      <c r="Y153" s="9" t="str">
        <f aca="false">IF(OR(X153="",AO153="",L153=""),"",IF(AO153*L153+IF(O153="",0,O153)&lt;=0,"",X153/(AO153*L153+IF(O153="",0,O153))))</f>
        <v/>
      </c>
      <c r="Z153" s="9" t="str">
        <f aca="false">IF(OR(AE153="",多次统计数据!$B$8=""),"",AE153-多次统计数据!$B$8)</f>
        <v/>
      </c>
      <c r="AA153" s="12" t="str">
        <f aca="false">IF(OR(I153="",M153="",M153&lt;I153),"",M153-I153)</f>
        <v/>
      </c>
      <c r="AB153" s="9" t="str">
        <f aca="false">IF(OR(A153="",多次统计数据!$B$8="",多次统计数据!$B$6&lt;=0,多次统计数据!$B$6&gt;=1),"",1-POWER(1+多次统计数据!$B$8,-多次统计数据!$B$6/(1-多次统计数据!$B$6)))</f>
        <v/>
      </c>
      <c r="AC153" s="7" t="str">
        <f aca="false">IF(OR(AB153="",多次统计数据!$B$9=""),"",IF(多次统计数据!$B$9&lt;AB153,"低于上限","达到或超过上限"))</f>
        <v/>
      </c>
      <c r="AD153" s="4"/>
      <c r="AE153" s="9" t="str">
        <f aca="false">IF(OR(X153="",C153="",C153&lt;=0),"",X153/C153)</f>
        <v/>
      </c>
      <c r="AG153" s="4"/>
      <c r="AH153" s="4"/>
      <c r="AI153" s="4"/>
      <c r="AJ153" s="7" t="str">
        <f aca="false">IF(OR(AG153="",AH153=""),"",IF(OR(AND(AG153="短期博反弹",OR(AH153="1～3个交易日",AH153="4～10个交易日")),AND(AG153="突破冲新高",OR(AH153="4～10个交易日",AH153="11～20个交易日")),AND(AG153="趋势波段",OR(AH153="11～20个交易日",AH153="21～60个交易日",AH153="60个交易日以上"))),"匹配","周期与交易预期不匹配，请重新确认"))</f>
        <v/>
      </c>
      <c r="AK153" s="13" t="str">
        <f aca="false">IF(A153="","",COUNTIFS(加仓管理!$A$2:$A$1001,A153,加仓管理!$G$2:$G$1001,"&gt;0"))</f>
        <v/>
      </c>
      <c r="AL153" s="13" t="str">
        <f aca="false">IF(A153="","",SUMIFS(加仓管理!$G$2:$G$1001,加仓管理!$A$2:$A$1001,A153))</f>
        <v/>
      </c>
      <c r="AM153" s="14" t="str">
        <f aca="false">IF(AK153=0,"",IFERROR(LOOKUP(2,1/((加仓管理!$A$2:$A$1001=A153)*(加仓管理!$G$2:$G$1001&gt;0)),加仓管理!$D$2:$D$1001),""))</f>
        <v/>
      </c>
      <c r="AN153" s="14" t="str">
        <f aca="false">IF(AK153=0,"",IFERROR(LOOKUP(2,1/((加仓管理!$A$2:$A$1001=A153)*(加仓管理!$G$2:$G$1001&gt;0)),加仓管理!$E$2:$E$1001),""))</f>
        <v/>
      </c>
      <c r="AO153" s="14" t="str">
        <f aca="false">IF(OR(A153="",H153="",H153&lt;=0),"",(E153*H153+SUMIFS(加仓管理!$H$2:$H$1001,加仓管理!$A$2:$A$1001,A153))/AP153)</f>
        <v/>
      </c>
      <c r="AP153" s="13" t="str">
        <f aca="false">IF(OR(A153="",H153="",H153&lt;=0),"",H153+AL153)</f>
        <v/>
      </c>
      <c r="AQ153" s="14" t="str">
        <f aca="false">IF(A153="","",IF(M153&lt;&gt;"",0,IF(OR(H153="",N153=""),"",MAX((E153*H153+SUMIFS(加仓管理!$H$2:$H$1001,加仓管理!$A$2:$A$1001,A153))-MAX(N153,AN153)*AP153,0))))</f>
        <v/>
      </c>
      <c r="AR153" s="15" t="str">
        <f aca="false">IF(A153="","",IF(OR(E153="",H153=""),"违规：首次买入价格或股数缺失",IF(COUNTIFS(加仓管理!$A$2:$A$1001,A153,加仓管理!$R$2:$R$1001,"违规*")&gt;0,"违规：请检查加仓管理表",IF(SUM($AQ$2:$AQ$201)&gt;账户数据!$B$7,"预警：超过账户风险上限",IF(COUNTIFS(加仓管理!$A$2:$A$1001,A153,加仓管理!$N$2:$N$1001,"&gt;0",加仓管理!$G$2:$G$1001,"")&gt;0,"提示：存在待执行加仓计划","通过")))))</f>
        <v/>
      </c>
    </row>
    <row r="154" customFormat="false" ht="13.5" hidden="false" customHeight="false" outlineLevel="0" collapsed="false">
      <c r="A154" s="4"/>
      <c r="B154" s="4"/>
      <c r="C154" s="5"/>
      <c r="D154" s="6"/>
      <c r="E154" s="5"/>
      <c r="F154" s="7" t="str">
        <f aca="false">IF(OR(C154="",D154="",E154="",N154="",C154&lt;=0,D154&lt;=0,E154&lt;=N154),"",ROUNDDOWN((C154*D154)/(E154-N154)/100,0)*100)</f>
        <v/>
      </c>
      <c r="G154" s="7" t="str">
        <f aca="false">IF(A154="","",IF(H154&lt;&gt;"","已开仓",IF(账户数据!$B$23="已锁仓","禁止开仓：连续亏损达到上限",IF(账户数据!$B$23="解锁信息不完整","禁止开仓：请完整填写解锁信息",IF(OR(F154="",E154="",N154="",E154&lt;=N154,账户数据!$B$7=""),"",IF(OR(AG154="",AH154="",AI154=""),"禁止开仓：交易预期未填写完整",IF(账户数据!$B$9+F154*(E154-N154)&gt;=账户数据!$B$7,"禁止开仓：风险额度不足",IF(AJ154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4" s="4"/>
      <c r="I154" s="8"/>
      <c r="J154" s="5"/>
      <c r="K154" s="11"/>
      <c r="L154" s="7" t="str">
        <f aca="false">IF(AP154="","",AP154)</f>
        <v/>
      </c>
      <c r="M154" s="19"/>
      <c r="N154" s="5"/>
      <c r="O154" s="5"/>
      <c r="P154" s="11"/>
      <c r="Q154" s="4"/>
      <c r="R154" s="4"/>
      <c r="S154" s="4"/>
      <c r="T154" s="4"/>
      <c r="U154" s="9" t="str">
        <f aca="false">IF(OR(AO154="",J154="",AO154&lt;=0),"",(J154-AO154)/AO154)</f>
        <v/>
      </c>
      <c r="V154" s="9" t="str">
        <f aca="false">IF(OR(AO154="",N154="",AO154&lt;=0),"",(AO154-N154)/AO154)</f>
        <v/>
      </c>
      <c r="W154" s="10" t="str">
        <f aca="false">IF(OR(U154="",V154="",V154&lt;=0),"",U154/V154)</f>
        <v/>
      </c>
      <c r="X154" s="11" t="str">
        <f aca="false">IF(OR(K154="",L154="",AO154="",AP154=""),"",(K154-AO154)*L154-IF(O154="",0,O154)-IF(P154="",0,P154))</f>
        <v/>
      </c>
      <c r="Y154" s="9" t="str">
        <f aca="false">IF(OR(X154="",AO154="",L154=""),"",IF(AO154*L154+IF(O154="",0,O154)&lt;=0,"",X154/(AO154*L154+IF(O154="",0,O154))))</f>
        <v/>
      </c>
      <c r="Z154" s="9" t="str">
        <f aca="false">IF(OR(AE154="",多次统计数据!$B$8=""),"",AE154-多次统计数据!$B$8)</f>
        <v/>
      </c>
      <c r="AA154" s="12" t="str">
        <f aca="false">IF(OR(I154="",M154="",M154&lt;I154),"",M154-I154)</f>
        <v/>
      </c>
      <c r="AB154" s="9" t="str">
        <f aca="false">IF(OR(A154="",多次统计数据!$B$8="",多次统计数据!$B$6&lt;=0,多次统计数据!$B$6&gt;=1),"",1-POWER(1+多次统计数据!$B$8,-多次统计数据!$B$6/(1-多次统计数据!$B$6)))</f>
        <v/>
      </c>
      <c r="AC154" s="7" t="str">
        <f aca="false">IF(OR(AB154="",多次统计数据!$B$9=""),"",IF(多次统计数据!$B$9&lt;AB154,"低于上限","达到或超过上限"))</f>
        <v/>
      </c>
      <c r="AD154" s="4"/>
      <c r="AE154" s="9" t="str">
        <f aca="false">IF(OR(X154="",C154="",C154&lt;=0),"",X154/C154)</f>
        <v/>
      </c>
      <c r="AG154" s="4"/>
      <c r="AH154" s="4"/>
      <c r="AI154" s="4"/>
      <c r="AJ154" s="7" t="str">
        <f aca="false">IF(OR(AG154="",AH154=""),"",IF(OR(AND(AG154="短期博反弹",OR(AH154="1～3个交易日",AH154="4～10个交易日")),AND(AG154="突破冲新高",OR(AH154="4～10个交易日",AH154="11～20个交易日")),AND(AG154="趋势波段",OR(AH154="11～20个交易日",AH154="21～60个交易日",AH154="60个交易日以上"))),"匹配","周期与交易预期不匹配，请重新确认"))</f>
        <v/>
      </c>
      <c r="AK154" s="13" t="str">
        <f aca="false">IF(A154="","",COUNTIFS(加仓管理!$A$2:$A$1001,A154,加仓管理!$G$2:$G$1001,"&gt;0"))</f>
        <v/>
      </c>
      <c r="AL154" s="13" t="str">
        <f aca="false">IF(A154="","",SUMIFS(加仓管理!$G$2:$G$1001,加仓管理!$A$2:$A$1001,A154))</f>
        <v/>
      </c>
      <c r="AM154" s="14" t="str">
        <f aca="false">IF(AK154=0,"",IFERROR(LOOKUP(2,1/((加仓管理!$A$2:$A$1001=A154)*(加仓管理!$G$2:$G$1001&gt;0)),加仓管理!$D$2:$D$1001),""))</f>
        <v/>
      </c>
      <c r="AN154" s="14" t="str">
        <f aca="false">IF(AK154=0,"",IFERROR(LOOKUP(2,1/((加仓管理!$A$2:$A$1001=A154)*(加仓管理!$G$2:$G$1001&gt;0)),加仓管理!$E$2:$E$1001),""))</f>
        <v/>
      </c>
      <c r="AO154" s="14" t="str">
        <f aca="false">IF(OR(A154="",H154="",H154&lt;=0),"",(E154*H154+SUMIFS(加仓管理!$H$2:$H$1001,加仓管理!$A$2:$A$1001,A154))/AP154)</f>
        <v/>
      </c>
      <c r="AP154" s="13" t="str">
        <f aca="false">IF(OR(A154="",H154="",H154&lt;=0),"",H154+AL154)</f>
        <v/>
      </c>
      <c r="AQ154" s="14" t="str">
        <f aca="false">IF(A154="","",IF(M154&lt;&gt;"",0,IF(OR(H154="",N154=""),"",MAX((E154*H154+SUMIFS(加仓管理!$H$2:$H$1001,加仓管理!$A$2:$A$1001,A154))-MAX(N154,AN154)*AP154,0))))</f>
        <v/>
      </c>
      <c r="AR154" s="15" t="str">
        <f aca="false">IF(A154="","",IF(OR(E154="",H154=""),"违规：首次买入价格或股数缺失",IF(COUNTIFS(加仓管理!$A$2:$A$1001,A154,加仓管理!$R$2:$R$1001,"违规*")&gt;0,"违规：请检查加仓管理表",IF(SUM($AQ$2:$AQ$201)&gt;账户数据!$B$7,"预警：超过账户风险上限",IF(COUNTIFS(加仓管理!$A$2:$A$1001,A154,加仓管理!$N$2:$N$1001,"&gt;0",加仓管理!$G$2:$G$1001,"")&gt;0,"提示：存在待执行加仓计划","通过")))))</f>
        <v/>
      </c>
    </row>
    <row r="155" customFormat="false" ht="13.5" hidden="false" customHeight="false" outlineLevel="0" collapsed="false">
      <c r="A155" s="4"/>
      <c r="B155" s="4"/>
      <c r="C155" s="5"/>
      <c r="D155" s="6"/>
      <c r="E155" s="5"/>
      <c r="F155" s="7" t="str">
        <f aca="false">IF(OR(C155="",D155="",E155="",N155="",C155&lt;=0,D155&lt;=0,E155&lt;=N155),"",ROUNDDOWN((C155*D155)/(E155-N155)/100,0)*100)</f>
        <v/>
      </c>
      <c r="G155" s="7" t="str">
        <f aca="false">IF(A155="","",IF(H155&lt;&gt;"","已开仓",IF(账户数据!$B$23="已锁仓","禁止开仓：连续亏损达到上限",IF(账户数据!$B$23="解锁信息不完整","禁止开仓：请完整填写解锁信息",IF(OR(F155="",E155="",N155="",E155&lt;=N155,账户数据!$B$7=""),"",IF(OR(AG155="",AH155="",AI155=""),"禁止开仓：交易预期未填写完整",IF(账户数据!$B$9+F155*(E155-N155)&gt;=账户数据!$B$7,"禁止开仓：风险额度不足",IF(AJ155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5" s="4"/>
      <c r="I155" s="8"/>
      <c r="J155" s="5"/>
      <c r="K155" s="11"/>
      <c r="L155" s="7" t="str">
        <f aca="false">IF(AP155="","",AP155)</f>
        <v/>
      </c>
      <c r="M155" s="19"/>
      <c r="N155" s="5"/>
      <c r="O155" s="5"/>
      <c r="P155" s="11"/>
      <c r="Q155" s="4"/>
      <c r="R155" s="4"/>
      <c r="S155" s="4"/>
      <c r="T155" s="4"/>
      <c r="U155" s="9" t="str">
        <f aca="false">IF(OR(AO155="",J155="",AO155&lt;=0),"",(J155-AO155)/AO155)</f>
        <v/>
      </c>
      <c r="V155" s="9" t="str">
        <f aca="false">IF(OR(AO155="",N155="",AO155&lt;=0),"",(AO155-N155)/AO155)</f>
        <v/>
      </c>
      <c r="W155" s="10" t="str">
        <f aca="false">IF(OR(U155="",V155="",V155&lt;=0),"",U155/V155)</f>
        <v/>
      </c>
      <c r="X155" s="11" t="str">
        <f aca="false">IF(OR(K155="",L155="",AO155="",AP155=""),"",(K155-AO155)*L155-IF(O155="",0,O155)-IF(P155="",0,P155))</f>
        <v/>
      </c>
      <c r="Y155" s="9" t="str">
        <f aca="false">IF(OR(X155="",AO155="",L155=""),"",IF(AO155*L155+IF(O155="",0,O155)&lt;=0,"",X155/(AO155*L155+IF(O155="",0,O155))))</f>
        <v/>
      </c>
      <c r="Z155" s="9" t="str">
        <f aca="false">IF(OR(AE155="",多次统计数据!$B$8=""),"",AE155-多次统计数据!$B$8)</f>
        <v/>
      </c>
      <c r="AA155" s="12" t="str">
        <f aca="false">IF(OR(I155="",M155="",M155&lt;I155),"",M155-I155)</f>
        <v/>
      </c>
      <c r="AB155" s="9" t="str">
        <f aca="false">IF(OR(A155="",多次统计数据!$B$8="",多次统计数据!$B$6&lt;=0,多次统计数据!$B$6&gt;=1),"",1-POWER(1+多次统计数据!$B$8,-多次统计数据!$B$6/(1-多次统计数据!$B$6)))</f>
        <v/>
      </c>
      <c r="AC155" s="7" t="str">
        <f aca="false">IF(OR(AB155="",多次统计数据!$B$9=""),"",IF(多次统计数据!$B$9&lt;AB155,"低于上限","达到或超过上限"))</f>
        <v/>
      </c>
      <c r="AD155" s="4"/>
      <c r="AE155" s="9" t="str">
        <f aca="false">IF(OR(X155="",C155="",C155&lt;=0),"",X155/C155)</f>
        <v/>
      </c>
      <c r="AG155" s="4"/>
      <c r="AH155" s="4"/>
      <c r="AI155" s="4"/>
      <c r="AJ155" s="7" t="str">
        <f aca="false">IF(OR(AG155="",AH155=""),"",IF(OR(AND(AG155="短期博反弹",OR(AH155="1～3个交易日",AH155="4～10个交易日")),AND(AG155="突破冲新高",OR(AH155="4～10个交易日",AH155="11～20个交易日")),AND(AG155="趋势波段",OR(AH155="11～20个交易日",AH155="21～60个交易日",AH155="60个交易日以上"))),"匹配","周期与交易预期不匹配，请重新确认"))</f>
        <v/>
      </c>
      <c r="AK155" s="13" t="str">
        <f aca="false">IF(A155="","",COUNTIFS(加仓管理!$A$2:$A$1001,A155,加仓管理!$G$2:$G$1001,"&gt;0"))</f>
        <v/>
      </c>
      <c r="AL155" s="13" t="str">
        <f aca="false">IF(A155="","",SUMIFS(加仓管理!$G$2:$G$1001,加仓管理!$A$2:$A$1001,A155))</f>
        <v/>
      </c>
      <c r="AM155" s="14" t="str">
        <f aca="false">IF(AK155=0,"",IFERROR(LOOKUP(2,1/((加仓管理!$A$2:$A$1001=A155)*(加仓管理!$G$2:$G$1001&gt;0)),加仓管理!$D$2:$D$1001),""))</f>
        <v/>
      </c>
      <c r="AN155" s="14" t="str">
        <f aca="false">IF(AK155=0,"",IFERROR(LOOKUP(2,1/((加仓管理!$A$2:$A$1001=A155)*(加仓管理!$G$2:$G$1001&gt;0)),加仓管理!$E$2:$E$1001),""))</f>
        <v/>
      </c>
      <c r="AO155" s="14" t="str">
        <f aca="false">IF(OR(A155="",H155="",H155&lt;=0),"",(E155*H155+SUMIFS(加仓管理!$H$2:$H$1001,加仓管理!$A$2:$A$1001,A155))/AP155)</f>
        <v/>
      </c>
      <c r="AP155" s="13" t="str">
        <f aca="false">IF(OR(A155="",H155="",H155&lt;=0),"",H155+AL155)</f>
        <v/>
      </c>
      <c r="AQ155" s="14" t="str">
        <f aca="false">IF(A155="","",IF(M155&lt;&gt;"",0,IF(OR(H155="",N155=""),"",MAX((E155*H155+SUMIFS(加仓管理!$H$2:$H$1001,加仓管理!$A$2:$A$1001,A155))-MAX(N155,AN155)*AP155,0))))</f>
        <v/>
      </c>
      <c r="AR155" s="15" t="str">
        <f aca="false">IF(A155="","",IF(OR(E155="",H155=""),"违规：首次买入价格或股数缺失",IF(COUNTIFS(加仓管理!$A$2:$A$1001,A155,加仓管理!$R$2:$R$1001,"违规*")&gt;0,"违规：请检查加仓管理表",IF(SUM($AQ$2:$AQ$201)&gt;账户数据!$B$7,"预警：超过账户风险上限",IF(COUNTIFS(加仓管理!$A$2:$A$1001,A155,加仓管理!$N$2:$N$1001,"&gt;0",加仓管理!$G$2:$G$1001,"")&gt;0,"提示：存在待执行加仓计划","通过")))))</f>
        <v/>
      </c>
    </row>
    <row r="156" customFormat="false" ht="13.5" hidden="false" customHeight="false" outlineLevel="0" collapsed="false">
      <c r="A156" s="4"/>
      <c r="B156" s="4"/>
      <c r="C156" s="5"/>
      <c r="D156" s="6"/>
      <c r="E156" s="5"/>
      <c r="F156" s="7" t="str">
        <f aca="false">IF(OR(C156="",D156="",E156="",N156="",C156&lt;=0,D156&lt;=0,E156&lt;=N156),"",ROUNDDOWN((C156*D156)/(E156-N156)/100,0)*100)</f>
        <v/>
      </c>
      <c r="G156" s="7" t="str">
        <f aca="false">IF(A156="","",IF(H156&lt;&gt;"","已开仓",IF(账户数据!$B$23="已锁仓","禁止开仓：连续亏损达到上限",IF(账户数据!$B$23="解锁信息不完整","禁止开仓：请完整填写解锁信息",IF(OR(F156="",E156="",N156="",E156&lt;=N156,账户数据!$B$7=""),"",IF(OR(AG156="",AH156="",AI156=""),"禁止开仓：交易预期未填写完整",IF(账户数据!$B$9+F156*(E156-N156)&gt;=账户数据!$B$7,"禁止开仓：风险额度不足",IF(AJ156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6" s="4"/>
      <c r="I156" s="8"/>
      <c r="J156" s="5"/>
      <c r="K156" s="11"/>
      <c r="L156" s="7" t="str">
        <f aca="false">IF(AP156="","",AP156)</f>
        <v/>
      </c>
      <c r="M156" s="19"/>
      <c r="N156" s="5"/>
      <c r="O156" s="5"/>
      <c r="P156" s="11"/>
      <c r="Q156" s="4"/>
      <c r="R156" s="4"/>
      <c r="S156" s="4"/>
      <c r="T156" s="4"/>
      <c r="U156" s="9" t="str">
        <f aca="false">IF(OR(AO156="",J156="",AO156&lt;=0),"",(J156-AO156)/AO156)</f>
        <v/>
      </c>
      <c r="V156" s="9" t="str">
        <f aca="false">IF(OR(AO156="",N156="",AO156&lt;=0),"",(AO156-N156)/AO156)</f>
        <v/>
      </c>
      <c r="W156" s="10" t="str">
        <f aca="false">IF(OR(U156="",V156="",V156&lt;=0),"",U156/V156)</f>
        <v/>
      </c>
      <c r="X156" s="11" t="str">
        <f aca="false">IF(OR(K156="",L156="",AO156="",AP156=""),"",(K156-AO156)*L156-IF(O156="",0,O156)-IF(P156="",0,P156))</f>
        <v/>
      </c>
      <c r="Y156" s="9" t="str">
        <f aca="false">IF(OR(X156="",AO156="",L156=""),"",IF(AO156*L156+IF(O156="",0,O156)&lt;=0,"",X156/(AO156*L156+IF(O156="",0,O156))))</f>
        <v/>
      </c>
      <c r="Z156" s="9" t="str">
        <f aca="false">IF(OR(AE156="",多次统计数据!$B$8=""),"",AE156-多次统计数据!$B$8)</f>
        <v/>
      </c>
      <c r="AA156" s="12" t="str">
        <f aca="false">IF(OR(I156="",M156="",M156&lt;I156),"",M156-I156)</f>
        <v/>
      </c>
      <c r="AB156" s="9" t="str">
        <f aca="false">IF(OR(A156="",多次统计数据!$B$8="",多次统计数据!$B$6&lt;=0,多次统计数据!$B$6&gt;=1),"",1-POWER(1+多次统计数据!$B$8,-多次统计数据!$B$6/(1-多次统计数据!$B$6)))</f>
        <v/>
      </c>
      <c r="AC156" s="7" t="str">
        <f aca="false">IF(OR(AB156="",多次统计数据!$B$9=""),"",IF(多次统计数据!$B$9&lt;AB156,"低于上限","达到或超过上限"))</f>
        <v/>
      </c>
      <c r="AD156" s="4"/>
      <c r="AE156" s="9" t="str">
        <f aca="false">IF(OR(X156="",C156="",C156&lt;=0),"",X156/C156)</f>
        <v/>
      </c>
      <c r="AG156" s="4"/>
      <c r="AH156" s="4"/>
      <c r="AI156" s="4"/>
      <c r="AJ156" s="7" t="str">
        <f aca="false">IF(OR(AG156="",AH156=""),"",IF(OR(AND(AG156="短期博反弹",OR(AH156="1～3个交易日",AH156="4～10个交易日")),AND(AG156="突破冲新高",OR(AH156="4～10个交易日",AH156="11～20个交易日")),AND(AG156="趋势波段",OR(AH156="11～20个交易日",AH156="21～60个交易日",AH156="60个交易日以上"))),"匹配","周期与交易预期不匹配，请重新确认"))</f>
        <v/>
      </c>
      <c r="AK156" s="13" t="str">
        <f aca="false">IF(A156="","",COUNTIFS(加仓管理!$A$2:$A$1001,A156,加仓管理!$G$2:$G$1001,"&gt;0"))</f>
        <v/>
      </c>
      <c r="AL156" s="13" t="str">
        <f aca="false">IF(A156="","",SUMIFS(加仓管理!$G$2:$G$1001,加仓管理!$A$2:$A$1001,A156))</f>
        <v/>
      </c>
      <c r="AM156" s="14" t="str">
        <f aca="false">IF(AK156=0,"",IFERROR(LOOKUP(2,1/((加仓管理!$A$2:$A$1001=A156)*(加仓管理!$G$2:$G$1001&gt;0)),加仓管理!$D$2:$D$1001),""))</f>
        <v/>
      </c>
      <c r="AN156" s="14" t="str">
        <f aca="false">IF(AK156=0,"",IFERROR(LOOKUP(2,1/((加仓管理!$A$2:$A$1001=A156)*(加仓管理!$G$2:$G$1001&gt;0)),加仓管理!$E$2:$E$1001),""))</f>
        <v/>
      </c>
      <c r="AO156" s="14" t="str">
        <f aca="false">IF(OR(A156="",H156="",H156&lt;=0),"",(E156*H156+SUMIFS(加仓管理!$H$2:$H$1001,加仓管理!$A$2:$A$1001,A156))/AP156)</f>
        <v/>
      </c>
      <c r="AP156" s="13" t="str">
        <f aca="false">IF(OR(A156="",H156="",H156&lt;=0),"",H156+AL156)</f>
        <v/>
      </c>
      <c r="AQ156" s="14" t="str">
        <f aca="false">IF(A156="","",IF(M156&lt;&gt;"",0,IF(OR(H156="",N156=""),"",MAX((E156*H156+SUMIFS(加仓管理!$H$2:$H$1001,加仓管理!$A$2:$A$1001,A156))-MAX(N156,AN156)*AP156,0))))</f>
        <v/>
      </c>
      <c r="AR156" s="15" t="str">
        <f aca="false">IF(A156="","",IF(OR(E156="",H156=""),"违规：首次买入价格或股数缺失",IF(COUNTIFS(加仓管理!$A$2:$A$1001,A156,加仓管理!$R$2:$R$1001,"违规*")&gt;0,"违规：请检查加仓管理表",IF(SUM($AQ$2:$AQ$201)&gt;账户数据!$B$7,"预警：超过账户风险上限",IF(COUNTIFS(加仓管理!$A$2:$A$1001,A156,加仓管理!$N$2:$N$1001,"&gt;0",加仓管理!$G$2:$G$1001,"")&gt;0,"提示：存在待执行加仓计划","通过")))))</f>
        <v/>
      </c>
    </row>
    <row r="157" customFormat="false" ht="13.5" hidden="false" customHeight="false" outlineLevel="0" collapsed="false">
      <c r="A157" s="4"/>
      <c r="B157" s="4"/>
      <c r="C157" s="5"/>
      <c r="D157" s="6"/>
      <c r="E157" s="5"/>
      <c r="F157" s="7" t="str">
        <f aca="false">IF(OR(C157="",D157="",E157="",N157="",C157&lt;=0,D157&lt;=0,E157&lt;=N157),"",ROUNDDOWN((C157*D157)/(E157-N157)/100,0)*100)</f>
        <v/>
      </c>
      <c r="G157" s="7" t="str">
        <f aca="false">IF(A157="","",IF(H157&lt;&gt;"","已开仓",IF(账户数据!$B$23="已锁仓","禁止开仓：连续亏损达到上限",IF(账户数据!$B$23="解锁信息不完整","禁止开仓：请完整填写解锁信息",IF(OR(F157="",E157="",N157="",E157&lt;=N157,账户数据!$B$7=""),"",IF(OR(AG157="",AH157="",AI157=""),"禁止开仓：交易预期未填写完整",IF(账户数据!$B$9+F157*(E157-N157)&gt;=账户数据!$B$7,"禁止开仓：风险额度不足",IF(AJ157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7" s="4"/>
      <c r="I157" s="8"/>
      <c r="J157" s="5"/>
      <c r="K157" s="11"/>
      <c r="L157" s="7" t="str">
        <f aca="false">IF(AP157="","",AP157)</f>
        <v/>
      </c>
      <c r="M157" s="19"/>
      <c r="N157" s="5"/>
      <c r="O157" s="5"/>
      <c r="P157" s="11"/>
      <c r="Q157" s="4"/>
      <c r="R157" s="4"/>
      <c r="S157" s="4"/>
      <c r="T157" s="4"/>
      <c r="U157" s="9" t="str">
        <f aca="false">IF(OR(AO157="",J157="",AO157&lt;=0),"",(J157-AO157)/AO157)</f>
        <v/>
      </c>
      <c r="V157" s="9" t="str">
        <f aca="false">IF(OR(AO157="",N157="",AO157&lt;=0),"",(AO157-N157)/AO157)</f>
        <v/>
      </c>
      <c r="W157" s="10" t="str">
        <f aca="false">IF(OR(U157="",V157="",V157&lt;=0),"",U157/V157)</f>
        <v/>
      </c>
      <c r="X157" s="11" t="str">
        <f aca="false">IF(OR(K157="",L157="",AO157="",AP157=""),"",(K157-AO157)*L157-IF(O157="",0,O157)-IF(P157="",0,P157))</f>
        <v/>
      </c>
      <c r="Y157" s="9" t="str">
        <f aca="false">IF(OR(X157="",AO157="",L157=""),"",IF(AO157*L157+IF(O157="",0,O157)&lt;=0,"",X157/(AO157*L157+IF(O157="",0,O157))))</f>
        <v/>
      </c>
      <c r="Z157" s="9" t="str">
        <f aca="false">IF(OR(AE157="",多次统计数据!$B$8=""),"",AE157-多次统计数据!$B$8)</f>
        <v/>
      </c>
      <c r="AA157" s="12" t="str">
        <f aca="false">IF(OR(I157="",M157="",M157&lt;I157),"",M157-I157)</f>
        <v/>
      </c>
      <c r="AB157" s="9" t="str">
        <f aca="false">IF(OR(A157="",多次统计数据!$B$8="",多次统计数据!$B$6&lt;=0,多次统计数据!$B$6&gt;=1),"",1-POWER(1+多次统计数据!$B$8,-多次统计数据!$B$6/(1-多次统计数据!$B$6)))</f>
        <v/>
      </c>
      <c r="AC157" s="7" t="str">
        <f aca="false">IF(OR(AB157="",多次统计数据!$B$9=""),"",IF(多次统计数据!$B$9&lt;AB157,"低于上限","达到或超过上限"))</f>
        <v/>
      </c>
      <c r="AD157" s="4"/>
      <c r="AE157" s="9" t="str">
        <f aca="false">IF(OR(X157="",C157="",C157&lt;=0),"",X157/C157)</f>
        <v/>
      </c>
      <c r="AG157" s="4"/>
      <c r="AH157" s="4"/>
      <c r="AI157" s="4"/>
      <c r="AJ157" s="7" t="str">
        <f aca="false">IF(OR(AG157="",AH157=""),"",IF(OR(AND(AG157="短期博反弹",OR(AH157="1～3个交易日",AH157="4～10个交易日")),AND(AG157="突破冲新高",OR(AH157="4～10个交易日",AH157="11～20个交易日")),AND(AG157="趋势波段",OR(AH157="11～20个交易日",AH157="21～60个交易日",AH157="60个交易日以上"))),"匹配","周期与交易预期不匹配，请重新确认"))</f>
        <v/>
      </c>
      <c r="AK157" s="13" t="str">
        <f aca="false">IF(A157="","",COUNTIFS(加仓管理!$A$2:$A$1001,A157,加仓管理!$G$2:$G$1001,"&gt;0"))</f>
        <v/>
      </c>
      <c r="AL157" s="13" t="str">
        <f aca="false">IF(A157="","",SUMIFS(加仓管理!$G$2:$G$1001,加仓管理!$A$2:$A$1001,A157))</f>
        <v/>
      </c>
      <c r="AM157" s="14" t="str">
        <f aca="false">IF(AK157=0,"",IFERROR(LOOKUP(2,1/((加仓管理!$A$2:$A$1001=A157)*(加仓管理!$G$2:$G$1001&gt;0)),加仓管理!$D$2:$D$1001),""))</f>
        <v/>
      </c>
      <c r="AN157" s="14" t="str">
        <f aca="false">IF(AK157=0,"",IFERROR(LOOKUP(2,1/((加仓管理!$A$2:$A$1001=A157)*(加仓管理!$G$2:$G$1001&gt;0)),加仓管理!$E$2:$E$1001),""))</f>
        <v/>
      </c>
      <c r="AO157" s="14" t="str">
        <f aca="false">IF(OR(A157="",H157="",H157&lt;=0),"",(E157*H157+SUMIFS(加仓管理!$H$2:$H$1001,加仓管理!$A$2:$A$1001,A157))/AP157)</f>
        <v/>
      </c>
      <c r="AP157" s="13" t="str">
        <f aca="false">IF(OR(A157="",H157="",H157&lt;=0),"",H157+AL157)</f>
        <v/>
      </c>
      <c r="AQ157" s="14" t="str">
        <f aca="false">IF(A157="","",IF(M157&lt;&gt;"",0,IF(OR(H157="",N157=""),"",MAX((E157*H157+SUMIFS(加仓管理!$H$2:$H$1001,加仓管理!$A$2:$A$1001,A157))-MAX(N157,AN157)*AP157,0))))</f>
        <v/>
      </c>
      <c r="AR157" s="15" t="str">
        <f aca="false">IF(A157="","",IF(OR(E157="",H157=""),"违规：首次买入价格或股数缺失",IF(COUNTIFS(加仓管理!$A$2:$A$1001,A157,加仓管理!$R$2:$R$1001,"违规*")&gt;0,"违规：请检查加仓管理表",IF(SUM($AQ$2:$AQ$201)&gt;账户数据!$B$7,"预警：超过账户风险上限",IF(COUNTIFS(加仓管理!$A$2:$A$1001,A157,加仓管理!$N$2:$N$1001,"&gt;0",加仓管理!$G$2:$G$1001,"")&gt;0,"提示：存在待执行加仓计划","通过")))))</f>
        <v/>
      </c>
    </row>
    <row r="158" customFormat="false" ht="13.5" hidden="false" customHeight="false" outlineLevel="0" collapsed="false">
      <c r="A158" s="4"/>
      <c r="B158" s="4"/>
      <c r="C158" s="5"/>
      <c r="D158" s="6"/>
      <c r="E158" s="5"/>
      <c r="F158" s="7" t="str">
        <f aca="false">IF(OR(C158="",D158="",E158="",N158="",C158&lt;=0,D158&lt;=0,E158&lt;=N158),"",ROUNDDOWN((C158*D158)/(E158-N158)/100,0)*100)</f>
        <v/>
      </c>
      <c r="G158" s="7" t="str">
        <f aca="false">IF(A158="","",IF(H158&lt;&gt;"","已开仓",IF(账户数据!$B$23="已锁仓","禁止开仓：连续亏损达到上限",IF(账户数据!$B$23="解锁信息不完整","禁止开仓：请完整填写解锁信息",IF(OR(F158="",E158="",N158="",E158&lt;=N158,账户数据!$B$7=""),"",IF(OR(AG158="",AH158="",AI158=""),"禁止开仓：交易预期未填写完整",IF(账户数据!$B$9+F158*(E158-N158)&gt;=账户数据!$B$7,"禁止开仓：风险额度不足",IF(AJ158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8" s="4"/>
      <c r="I158" s="8"/>
      <c r="J158" s="5"/>
      <c r="K158" s="11"/>
      <c r="L158" s="7" t="str">
        <f aca="false">IF(AP158="","",AP158)</f>
        <v/>
      </c>
      <c r="M158" s="19"/>
      <c r="N158" s="5"/>
      <c r="O158" s="5"/>
      <c r="P158" s="11"/>
      <c r="Q158" s="4"/>
      <c r="R158" s="4"/>
      <c r="S158" s="4"/>
      <c r="T158" s="4"/>
      <c r="U158" s="9" t="str">
        <f aca="false">IF(OR(AO158="",J158="",AO158&lt;=0),"",(J158-AO158)/AO158)</f>
        <v/>
      </c>
      <c r="V158" s="9" t="str">
        <f aca="false">IF(OR(AO158="",N158="",AO158&lt;=0),"",(AO158-N158)/AO158)</f>
        <v/>
      </c>
      <c r="W158" s="10" t="str">
        <f aca="false">IF(OR(U158="",V158="",V158&lt;=0),"",U158/V158)</f>
        <v/>
      </c>
      <c r="X158" s="11" t="str">
        <f aca="false">IF(OR(K158="",L158="",AO158="",AP158=""),"",(K158-AO158)*L158-IF(O158="",0,O158)-IF(P158="",0,P158))</f>
        <v/>
      </c>
      <c r="Y158" s="9" t="str">
        <f aca="false">IF(OR(X158="",AO158="",L158=""),"",IF(AO158*L158+IF(O158="",0,O158)&lt;=0,"",X158/(AO158*L158+IF(O158="",0,O158))))</f>
        <v/>
      </c>
      <c r="Z158" s="9" t="str">
        <f aca="false">IF(OR(AE158="",多次统计数据!$B$8=""),"",AE158-多次统计数据!$B$8)</f>
        <v/>
      </c>
      <c r="AA158" s="12" t="str">
        <f aca="false">IF(OR(I158="",M158="",M158&lt;I158),"",M158-I158)</f>
        <v/>
      </c>
      <c r="AB158" s="9" t="str">
        <f aca="false">IF(OR(A158="",多次统计数据!$B$8="",多次统计数据!$B$6&lt;=0,多次统计数据!$B$6&gt;=1),"",1-POWER(1+多次统计数据!$B$8,-多次统计数据!$B$6/(1-多次统计数据!$B$6)))</f>
        <v/>
      </c>
      <c r="AC158" s="7" t="str">
        <f aca="false">IF(OR(AB158="",多次统计数据!$B$9=""),"",IF(多次统计数据!$B$9&lt;AB158,"低于上限","达到或超过上限"))</f>
        <v/>
      </c>
      <c r="AD158" s="4"/>
      <c r="AE158" s="9" t="str">
        <f aca="false">IF(OR(X158="",C158="",C158&lt;=0),"",X158/C158)</f>
        <v/>
      </c>
      <c r="AG158" s="4"/>
      <c r="AH158" s="4"/>
      <c r="AI158" s="4"/>
      <c r="AJ158" s="7" t="str">
        <f aca="false">IF(OR(AG158="",AH158=""),"",IF(OR(AND(AG158="短期博反弹",OR(AH158="1～3个交易日",AH158="4～10个交易日")),AND(AG158="突破冲新高",OR(AH158="4～10个交易日",AH158="11～20个交易日")),AND(AG158="趋势波段",OR(AH158="11～20个交易日",AH158="21～60个交易日",AH158="60个交易日以上"))),"匹配","周期与交易预期不匹配，请重新确认"))</f>
        <v/>
      </c>
      <c r="AK158" s="13" t="str">
        <f aca="false">IF(A158="","",COUNTIFS(加仓管理!$A$2:$A$1001,A158,加仓管理!$G$2:$G$1001,"&gt;0"))</f>
        <v/>
      </c>
      <c r="AL158" s="13" t="str">
        <f aca="false">IF(A158="","",SUMIFS(加仓管理!$G$2:$G$1001,加仓管理!$A$2:$A$1001,A158))</f>
        <v/>
      </c>
      <c r="AM158" s="14" t="str">
        <f aca="false">IF(AK158=0,"",IFERROR(LOOKUP(2,1/((加仓管理!$A$2:$A$1001=A158)*(加仓管理!$G$2:$G$1001&gt;0)),加仓管理!$D$2:$D$1001),""))</f>
        <v/>
      </c>
      <c r="AN158" s="14" t="str">
        <f aca="false">IF(AK158=0,"",IFERROR(LOOKUP(2,1/((加仓管理!$A$2:$A$1001=A158)*(加仓管理!$G$2:$G$1001&gt;0)),加仓管理!$E$2:$E$1001),""))</f>
        <v/>
      </c>
      <c r="AO158" s="14" t="str">
        <f aca="false">IF(OR(A158="",H158="",H158&lt;=0),"",(E158*H158+SUMIFS(加仓管理!$H$2:$H$1001,加仓管理!$A$2:$A$1001,A158))/AP158)</f>
        <v/>
      </c>
      <c r="AP158" s="13" t="str">
        <f aca="false">IF(OR(A158="",H158="",H158&lt;=0),"",H158+AL158)</f>
        <v/>
      </c>
      <c r="AQ158" s="14" t="str">
        <f aca="false">IF(A158="","",IF(M158&lt;&gt;"",0,IF(OR(H158="",N158=""),"",MAX((E158*H158+SUMIFS(加仓管理!$H$2:$H$1001,加仓管理!$A$2:$A$1001,A158))-MAX(N158,AN158)*AP158,0))))</f>
        <v/>
      </c>
      <c r="AR158" s="15" t="str">
        <f aca="false">IF(A158="","",IF(OR(E158="",H158=""),"违规：首次买入价格或股数缺失",IF(COUNTIFS(加仓管理!$A$2:$A$1001,A158,加仓管理!$R$2:$R$1001,"违规*")&gt;0,"违规：请检查加仓管理表",IF(SUM($AQ$2:$AQ$201)&gt;账户数据!$B$7,"预警：超过账户风险上限",IF(COUNTIFS(加仓管理!$A$2:$A$1001,A158,加仓管理!$N$2:$N$1001,"&gt;0",加仓管理!$G$2:$G$1001,"")&gt;0,"提示：存在待执行加仓计划","通过")))))</f>
        <v/>
      </c>
    </row>
    <row r="159" customFormat="false" ht="13.5" hidden="false" customHeight="false" outlineLevel="0" collapsed="false">
      <c r="A159" s="4"/>
      <c r="B159" s="4"/>
      <c r="C159" s="5"/>
      <c r="D159" s="6"/>
      <c r="E159" s="5"/>
      <c r="F159" s="7" t="str">
        <f aca="false">IF(OR(C159="",D159="",E159="",N159="",C159&lt;=0,D159&lt;=0,E159&lt;=N159),"",ROUNDDOWN((C159*D159)/(E159-N159)/100,0)*100)</f>
        <v/>
      </c>
      <c r="G159" s="7" t="str">
        <f aca="false">IF(A159="","",IF(H159&lt;&gt;"","已开仓",IF(账户数据!$B$23="已锁仓","禁止开仓：连续亏损达到上限",IF(账户数据!$B$23="解锁信息不完整","禁止开仓：请完整填写解锁信息",IF(OR(F159="",E159="",N159="",E159&lt;=N159,账户数据!$B$7=""),"",IF(OR(AG159="",AH159="",AI159=""),"禁止开仓：交易预期未填写完整",IF(账户数据!$B$9+F159*(E159-N159)&gt;=账户数据!$B$7,"禁止开仓：风险额度不足",IF(AJ159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9" s="4"/>
      <c r="I159" s="8"/>
      <c r="J159" s="5"/>
      <c r="K159" s="11"/>
      <c r="L159" s="7" t="str">
        <f aca="false">IF(AP159="","",AP159)</f>
        <v/>
      </c>
      <c r="M159" s="19"/>
      <c r="N159" s="5"/>
      <c r="O159" s="5"/>
      <c r="P159" s="11"/>
      <c r="Q159" s="4"/>
      <c r="R159" s="4"/>
      <c r="S159" s="4"/>
      <c r="T159" s="4"/>
      <c r="U159" s="9" t="str">
        <f aca="false">IF(OR(AO159="",J159="",AO159&lt;=0),"",(J159-AO159)/AO159)</f>
        <v/>
      </c>
      <c r="V159" s="9" t="str">
        <f aca="false">IF(OR(AO159="",N159="",AO159&lt;=0),"",(AO159-N159)/AO159)</f>
        <v/>
      </c>
      <c r="W159" s="10" t="str">
        <f aca="false">IF(OR(U159="",V159="",V159&lt;=0),"",U159/V159)</f>
        <v/>
      </c>
      <c r="X159" s="11" t="str">
        <f aca="false">IF(OR(K159="",L159="",AO159="",AP159=""),"",(K159-AO159)*L159-IF(O159="",0,O159)-IF(P159="",0,P159))</f>
        <v/>
      </c>
      <c r="Y159" s="9" t="str">
        <f aca="false">IF(OR(X159="",AO159="",L159=""),"",IF(AO159*L159+IF(O159="",0,O159)&lt;=0,"",X159/(AO159*L159+IF(O159="",0,O159))))</f>
        <v/>
      </c>
      <c r="Z159" s="9" t="str">
        <f aca="false">IF(OR(AE159="",多次统计数据!$B$8=""),"",AE159-多次统计数据!$B$8)</f>
        <v/>
      </c>
      <c r="AA159" s="12" t="str">
        <f aca="false">IF(OR(I159="",M159="",M159&lt;I159),"",M159-I159)</f>
        <v/>
      </c>
      <c r="AB159" s="9" t="str">
        <f aca="false">IF(OR(A159="",多次统计数据!$B$8="",多次统计数据!$B$6&lt;=0,多次统计数据!$B$6&gt;=1),"",1-POWER(1+多次统计数据!$B$8,-多次统计数据!$B$6/(1-多次统计数据!$B$6)))</f>
        <v/>
      </c>
      <c r="AC159" s="7" t="str">
        <f aca="false">IF(OR(AB159="",多次统计数据!$B$9=""),"",IF(多次统计数据!$B$9&lt;AB159,"低于上限","达到或超过上限"))</f>
        <v/>
      </c>
      <c r="AD159" s="4"/>
      <c r="AE159" s="9" t="str">
        <f aca="false">IF(OR(X159="",C159="",C159&lt;=0),"",X159/C159)</f>
        <v/>
      </c>
      <c r="AG159" s="4"/>
      <c r="AH159" s="4"/>
      <c r="AI159" s="4"/>
      <c r="AJ159" s="7" t="str">
        <f aca="false">IF(OR(AG159="",AH159=""),"",IF(OR(AND(AG159="短期博反弹",OR(AH159="1～3个交易日",AH159="4～10个交易日")),AND(AG159="突破冲新高",OR(AH159="4～10个交易日",AH159="11～20个交易日")),AND(AG159="趋势波段",OR(AH159="11～20个交易日",AH159="21～60个交易日",AH159="60个交易日以上"))),"匹配","周期与交易预期不匹配，请重新确认"))</f>
        <v/>
      </c>
      <c r="AK159" s="13" t="str">
        <f aca="false">IF(A159="","",COUNTIFS(加仓管理!$A$2:$A$1001,A159,加仓管理!$G$2:$G$1001,"&gt;0"))</f>
        <v/>
      </c>
      <c r="AL159" s="13" t="str">
        <f aca="false">IF(A159="","",SUMIFS(加仓管理!$G$2:$G$1001,加仓管理!$A$2:$A$1001,A159))</f>
        <v/>
      </c>
      <c r="AM159" s="14" t="str">
        <f aca="false">IF(AK159=0,"",IFERROR(LOOKUP(2,1/((加仓管理!$A$2:$A$1001=A159)*(加仓管理!$G$2:$G$1001&gt;0)),加仓管理!$D$2:$D$1001),""))</f>
        <v/>
      </c>
      <c r="AN159" s="14" t="str">
        <f aca="false">IF(AK159=0,"",IFERROR(LOOKUP(2,1/((加仓管理!$A$2:$A$1001=A159)*(加仓管理!$G$2:$G$1001&gt;0)),加仓管理!$E$2:$E$1001),""))</f>
        <v/>
      </c>
      <c r="AO159" s="14" t="str">
        <f aca="false">IF(OR(A159="",H159="",H159&lt;=0),"",(E159*H159+SUMIFS(加仓管理!$H$2:$H$1001,加仓管理!$A$2:$A$1001,A159))/AP159)</f>
        <v/>
      </c>
      <c r="AP159" s="13" t="str">
        <f aca="false">IF(OR(A159="",H159="",H159&lt;=0),"",H159+AL159)</f>
        <v/>
      </c>
      <c r="AQ159" s="14" t="str">
        <f aca="false">IF(A159="","",IF(M159&lt;&gt;"",0,IF(OR(H159="",N159=""),"",MAX((E159*H159+SUMIFS(加仓管理!$H$2:$H$1001,加仓管理!$A$2:$A$1001,A159))-MAX(N159,AN159)*AP159,0))))</f>
        <v/>
      </c>
      <c r="AR159" s="15" t="str">
        <f aca="false">IF(A159="","",IF(OR(E159="",H159=""),"违规：首次买入价格或股数缺失",IF(COUNTIFS(加仓管理!$A$2:$A$1001,A159,加仓管理!$R$2:$R$1001,"违规*")&gt;0,"违规：请检查加仓管理表",IF(SUM($AQ$2:$AQ$201)&gt;账户数据!$B$7,"预警：超过账户风险上限",IF(COUNTIFS(加仓管理!$A$2:$A$1001,A159,加仓管理!$N$2:$N$1001,"&gt;0",加仓管理!$G$2:$G$1001,"")&gt;0,"提示：存在待执行加仓计划","通过")))))</f>
        <v/>
      </c>
    </row>
    <row r="160" customFormat="false" ht="13.5" hidden="false" customHeight="false" outlineLevel="0" collapsed="false">
      <c r="A160" s="4"/>
      <c r="B160" s="4"/>
      <c r="C160" s="5"/>
      <c r="D160" s="6"/>
      <c r="E160" s="5"/>
      <c r="F160" s="7" t="str">
        <f aca="false">IF(OR(C160="",D160="",E160="",N160="",C160&lt;=0,D160&lt;=0,E160&lt;=N160),"",ROUNDDOWN((C160*D160)/(E160-N160)/100,0)*100)</f>
        <v/>
      </c>
      <c r="G160" s="7" t="str">
        <f aca="false">IF(A160="","",IF(H160&lt;&gt;"","已开仓",IF(账户数据!$B$23="已锁仓","禁止开仓：连续亏损达到上限",IF(账户数据!$B$23="解锁信息不完整","禁止开仓：请完整填写解锁信息",IF(OR(F160="",E160="",N160="",E160&lt;=N160,账户数据!$B$7=""),"",IF(OR(AG160="",AH160="",AI160=""),"禁止开仓：交易预期未填写完整",IF(账户数据!$B$9+F160*(E160-N160)&gt;=账户数据!$B$7,"禁止开仓：风险额度不足",IF(AJ160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0" s="4"/>
      <c r="I160" s="8"/>
      <c r="J160" s="5"/>
      <c r="K160" s="11"/>
      <c r="L160" s="7" t="str">
        <f aca="false">IF(AP160="","",AP160)</f>
        <v/>
      </c>
      <c r="M160" s="19"/>
      <c r="N160" s="5"/>
      <c r="O160" s="5"/>
      <c r="P160" s="11"/>
      <c r="Q160" s="4"/>
      <c r="R160" s="4"/>
      <c r="S160" s="4"/>
      <c r="T160" s="4"/>
      <c r="U160" s="9" t="str">
        <f aca="false">IF(OR(AO160="",J160="",AO160&lt;=0),"",(J160-AO160)/AO160)</f>
        <v/>
      </c>
      <c r="V160" s="9" t="str">
        <f aca="false">IF(OR(AO160="",N160="",AO160&lt;=0),"",(AO160-N160)/AO160)</f>
        <v/>
      </c>
      <c r="W160" s="10" t="str">
        <f aca="false">IF(OR(U160="",V160="",V160&lt;=0),"",U160/V160)</f>
        <v/>
      </c>
      <c r="X160" s="11" t="str">
        <f aca="false">IF(OR(K160="",L160="",AO160="",AP160=""),"",(K160-AO160)*L160-IF(O160="",0,O160)-IF(P160="",0,P160))</f>
        <v/>
      </c>
      <c r="Y160" s="9" t="str">
        <f aca="false">IF(OR(X160="",AO160="",L160=""),"",IF(AO160*L160+IF(O160="",0,O160)&lt;=0,"",X160/(AO160*L160+IF(O160="",0,O160))))</f>
        <v/>
      </c>
      <c r="Z160" s="9" t="str">
        <f aca="false">IF(OR(AE160="",多次统计数据!$B$8=""),"",AE160-多次统计数据!$B$8)</f>
        <v/>
      </c>
      <c r="AA160" s="12" t="str">
        <f aca="false">IF(OR(I160="",M160="",M160&lt;I160),"",M160-I160)</f>
        <v/>
      </c>
      <c r="AB160" s="9" t="str">
        <f aca="false">IF(OR(A160="",多次统计数据!$B$8="",多次统计数据!$B$6&lt;=0,多次统计数据!$B$6&gt;=1),"",1-POWER(1+多次统计数据!$B$8,-多次统计数据!$B$6/(1-多次统计数据!$B$6)))</f>
        <v/>
      </c>
      <c r="AC160" s="7" t="str">
        <f aca="false">IF(OR(AB160="",多次统计数据!$B$9=""),"",IF(多次统计数据!$B$9&lt;AB160,"低于上限","达到或超过上限"))</f>
        <v/>
      </c>
      <c r="AD160" s="4"/>
      <c r="AE160" s="9" t="str">
        <f aca="false">IF(OR(X160="",C160="",C160&lt;=0),"",X160/C160)</f>
        <v/>
      </c>
      <c r="AG160" s="4"/>
      <c r="AH160" s="4"/>
      <c r="AI160" s="4"/>
      <c r="AJ160" s="7" t="str">
        <f aca="false">IF(OR(AG160="",AH160=""),"",IF(OR(AND(AG160="短期博反弹",OR(AH160="1～3个交易日",AH160="4～10个交易日")),AND(AG160="突破冲新高",OR(AH160="4～10个交易日",AH160="11～20个交易日")),AND(AG160="趋势波段",OR(AH160="11～20个交易日",AH160="21～60个交易日",AH160="60个交易日以上"))),"匹配","周期与交易预期不匹配，请重新确认"))</f>
        <v/>
      </c>
      <c r="AK160" s="13" t="str">
        <f aca="false">IF(A160="","",COUNTIFS(加仓管理!$A$2:$A$1001,A160,加仓管理!$G$2:$G$1001,"&gt;0"))</f>
        <v/>
      </c>
      <c r="AL160" s="13" t="str">
        <f aca="false">IF(A160="","",SUMIFS(加仓管理!$G$2:$G$1001,加仓管理!$A$2:$A$1001,A160))</f>
        <v/>
      </c>
      <c r="AM160" s="14" t="str">
        <f aca="false">IF(AK160=0,"",IFERROR(LOOKUP(2,1/((加仓管理!$A$2:$A$1001=A160)*(加仓管理!$G$2:$G$1001&gt;0)),加仓管理!$D$2:$D$1001),""))</f>
        <v/>
      </c>
      <c r="AN160" s="14" t="str">
        <f aca="false">IF(AK160=0,"",IFERROR(LOOKUP(2,1/((加仓管理!$A$2:$A$1001=A160)*(加仓管理!$G$2:$G$1001&gt;0)),加仓管理!$E$2:$E$1001),""))</f>
        <v/>
      </c>
      <c r="AO160" s="14" t="str">
        <f aca="false">IF(OR(A160="",H160="",H160&lt;=0),"",(E160*H160+SUMIFS(加仓管理!$H$2:$H$1001,加仓管理!$A$2:$A$1001,A160))/AP160)</f>
        <v/>
      </c>
      <c r="AP160" s="13" t="str">
        <f aca="false">IF(OR(A160="",H160="",H160&lt;=0),"",H160+AL160)</f>
        <v/>
      </c>
      <c r="AQ160" s="14" t="str">
        <f aca="false">IF(A160="","",IF(M160&lt;&gt;"",0,IF(OR(H160="",N160=""),"",MAX((E160*H160+SUMIFS(加仓管理!$H$2:$H$1001,加仓管理!$A$2:$A$1001,A160))-MAX(N160,AN160)*AP160,0))))</f>
        <v/>
      </c>
      <c r="AR160" s="15" t="str">
        <f aca="false">IF(A160="","",IF(OR(E160="",H160=""),"违规：首次买入价格或股数缺失",IF(COUNTIFS(加仓管理!$A$2:$A$1001,A160,加仓管理!$R$2:$R$1001,"违规*")&gt;0,"违规：请检查加仓管理表",IF(SUM($AQ$2:$AQ$201)&gt;账户数据!$B$7,"预警：超过账户风险上限",IF(COUNTIFS(加仓管理!$A$2:$A$1001,A160,加仓管理!$N$2:$N$1001,"&gt;0",加仓管理!$G$2:$G$1001,"")&gt;0,"提示：存在待执行加仓计划","通过")))))</f>
        <v/>
      </c>
    </row>
    <row r="161" customFormat="false" ht="13.5" hidden="false" customHeight="false" outlineLevel="0" collapsed="false">
      <c r="A161" s="4"/>
      <c r="B161" s="4"/>
      <c r="C161" s="5"/>
      <c r="D161" s="6"/>
      <c r="E161" s="5"/>
      <c r="F161" s="7" t="str">
        <f aca="false">IF(OR(C161="",D161="",E161="",N161="",C161&lt;=0,D161&lt;=0,E161&lt;=N161),"",ROUNDDOWN((C161*D161)/(E161-N161)/100,0)*100)</f>
        <v/>
      </c>
      <c r="G161" s="7" t="str">
        <f aca="false">IF(A161="","",IF(H161&lt;&gt;"","已开仓",IF(账户数据!$B$23="已锁仓","禁止开仓：连续亏损达到上限",IF(账户数据!$B$23="解锁信息不完整","禁止开仓：请完整填写解锁信息",IF(OR(F161="",E161="",N161="",E161&lt;=N161,账户数据!$B$7=""),"",IF(OR(AG161="",AH161="",AI161=""),"禁止开仓：交易预期未填写完整",IF(账户数据!$B$9+F161*(E161-N161)&gt;=账户数据!$B$7,"禁止开仓：风险额度不足",IF(AJ161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1" s="4"/>
      <c r="I161" s="8"/>
      <c r="J161" s="5"/>
      <c r="K161" s="11"/>
      <c r="L161" s="7" t="str">
        <f aca="false">IF(AP161="","",AP161)</f>
        <v/>
      </c>
      <c r="M161" s="19"/>
      <c r="N161" s="5"/>
      <c r="O161" s="5"/>
      <c r="P161" s="11"/>
      <c r="Q161" s="4"/>
      <c r="R161" s="4"/>
      <c r="S161" s="4"/>
      <c r="T161" s="4"/>
      <c r="U161" s="9" t="str">
        <f aca="false">IF(OR(AO161="",J161="",AO161&lt;=0),"",(J161-AO161)/AO161)</f>
        <v/>
      </c>
      <c r="V161" s="9" t="str">
        <f aca="false">IF(OR(AO161="",N161="",AO161&lt;=0),"",(AO161-N161)/AO161)</f>
        <v/>
      </c>
      <c r="W161" s="10" t="str">
        <f aca="false">IF(OR(U161="",V161="",V161&lt;=0),"",U161/V161)</f>
        <v/>
      </c>
      <c r="X161" s="11" t="str">
        <f aca="false">IF(OR(K161="",L161="",AO161="",AP161=""),"",(K161-AO161)*L161-IF(O161="",0,O161)-IF(P161="",0,P161))</f>
        <v/>
      </c>
      <c r="Y161" s="9" t="str">
        <f aca="false">IF(OR(X161="",AO161="",L161=""),"",IF(AO161*L161+IF(O161="",0,O161)&lt;=0,"",X161/(AO161*L161+IF(O161="",0,O161))))</f>
        <v/>
      </c>
      <c r="Z161" s="9" t="str">
        <f aca="false">IF(OR(AE161="",多次统计数据!$B$8=""),"",AE161-多次统计数据!$B$8)</f>
        <v/>
      </c>
      <c r="AA161" s="12" t="str">
        <f aca="false">IF(OR(I161="",M161="",M161&lt;I161),"",M161-I161)</f>
        <v/>
      </c>
      <c r="AB161" s="9" t="str">
        <f aca="false">IF(OR(A161="",多次统计数据!$B$8="",多次统计数据!$B$6&lt;=0,多次统计数据!$B$6&gt;=1),"",1-POWER(1+多次统计数据!$B$8,-多次统计数据!$B$6/(1-多次统计数据!$B$6)))</f>
        <v/>
      </c>
      <c r="AC161" s="7" t="str">
        <f aca="false">IF(OR(AB161="",多次统计数据!$B$9=""),"",IF(多次统计数据!$B$9&lt;AB161,"低于上限","达到或超过上限"))</f>
        <v/>
      </c>
      <c r="AD161" s="4"/>
      <c r="AE161" s="9" t="str">
        <f aca="false">IF(OR(X161="",C161="",C161&lt;=0),"",X161/C161)</f>
        <v/>
      </c>
      <c r="AG161" s="4"/>
      <c r="AH161" s="4"/>
      <c r="AI161" s="4"/>
      <c r="AJ161" s="7" t="str">
        <f aca="false">IF(OR(AG161="",AH161=""),"",IF(OR(AND(AG161="短期博反弹",OR(AH161="1～3个交易日",AH161="4～10个交易日")),AND(AG161="突破冲新高",OR(AH161="4～10个交易日",AH161="11～20个交易日")),AND(AG161="趋势波段",OR(AH161="11～20个交易日",AH161="21～60个交易日",AH161="60个交易日以上"))),"匹配","周期与交易预期不匹配，请重新确认"))</f>
        <v/>
      </c>
      <c r="AK161" s="13" t="str">
        <f aca="false">IF(A161="","",COUNTIFS(加仓管理!$A$2:$A$1001,A161,加仓管理!$G$2:$G$1001,"&gt;0"))</f>
        <v/>
      </c>
      <c r="AL161" s="13" t="str">
        <f aca="false">IF(A161="","",SUMIFS(加仓管理!$G$2:$G$1001,加仓管理!$A$2:$A$1001,A161))</f>
        <v/>
      </c>
      <c r="AM161" s="14" t="str">
        <f aca="false">IF(AK161=0,"",IFERROR(LOOKUP(2,1/((加仓管理!$A$2:$A$1001=A161)*(加仓管理!$G$2:$G$1001&gt;0)),加仓管理!$D$2:$D$1001),""))</f>
        <v/>
      </c>
      <c r="AN161" s="14" t="str">
        <f aca="false">IF(AK161=0,"",IFERROR(LOOKUP(2,1/((加仓管理!$A$2:$A$1001=A161)*(加仓管理!$G$2:$G$1001&gt;0)),加仓管理!$E$2:$E$1001),""))</f>
        <v/>
      </c>
      <c r="AO161" s="14" t="str">
        <f aca="false">IF(OR(A161="",H161="",H161&lt;=0),"",(E161*H161+SUMIFS(加仓管理!$H$2:$H$1001,加仓管理!$A$2:$A$1001,A161))/AP161)</f>
        <v/>
      </c>
      <c r="AP161" s="13" t="str">
        <f aca="false">IF(OR(A161="",H161="",H161&lt;=0),"",H161+AL161)</f>
        <v/>
      </c>
      <c r="AQ161" s="14" t="str">
        <f aca="false">IF(A161="","",IF(M161&lt;&gt;"",0,IF(OR(H161="",N161=""),"",MAX((E161*H161+SUMIFS(加仓管理!$H$2:$H$1001,加仓管理!$A$2:$A$1001,A161))-MAX(N161,AN161)*AP161,0))))</f>
        <v/>
      </c>
      <c r="AR161" s="15" t="str">
        <f aca="false">IF(A161="","",IF(OR(E161="",H161=""),"违规：首次买入价格或股数缺失",IF(COUNTIFS(加仓管理!$A$2:$A$1001,A161,加仓管理!$R$2:$R$1001,"违规*")&gt;0,"违规：请检查加仓管理表",IF(SUM($AQ$2:$AQ$201)&gt;账户数据!$B$7,"预警：超过账户风险上限",IF(COUNTIFS(加仓管理!$A$2:$A$1001,A161,加仓管理!$N$2:$N$1001,"&gt;0",加仓管理!$G$2:$G$1001,"")&gt;0,"提示：存在待执行加仓计划","通过")))))</f>
        <v/>
      </c>
    </row>
    <row r="162" customFormat="false" ht="13.5" hidden="false" customHeight="false" outlineLevel="0" collapsed="false">
      <c r="A162" s="4"/>
      <c r="B162" s="4"/>
      <c r="C162" s="5"/>
      <c r="D162" s="6"/>
      <c r="E162" s="5"/>
      <c r="F162" s="7" t="str">
        <f aca="false">IF(OR(C162="",D162="",E162="",N162="",C162&lt;=0,D162&lt;=0,E162&lt;=N162),"",ROUNDDOWN((C162*D162)/(E162-N162)/100,0)*100)</f>
        <v/>
      </c>
      <c r="G162" s="7" t="str">
        <f aca="false">IF(A162="","",IF(H162&lt;&gt;"","已开仓",IF(账户数据!$B$23="已锁仓","禁止开仓：连续亏损达到上限",IF(账户数据!$B$23="解锁信息不完整","禁止开仓：请完整填写解锁信息",IF(OR(F162="",E162="",N162="",E162&lt;=N162,账户数据!$B$7=""),"",IF(OR(AG162="",AH162="",AI162=""),"禁止开仓：交易预期未填写完整",IF(账户数据!$B$9+F162*(E162-N162)&gt;=账户数据!$B$7,"禁止开仓：风险额度不足",IF(AJ162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2" s="4"/>
      <c r="I162" s="8"/>
      <c r="J162" s="5"/>
      <c r="K162" s="11"/>
      <c r="L162" s="7" t="str">
        <f aca="false">IF(AP162="","",AP162)</f>
        <v/>
      </c>
      <c r="M162" s="19"/>
      <c r="N162" s="5"/>
      <c r="O162" s="5"/>
      <c r="P162" s="11"/>
      <c r="Q162" s="4"/>
      <c r="R162" s="4"/>
      <c r="S162" s="4"/>
      <c r="T162" s="4"/>
      <c r="U162" s="9" t="str">
        <f aca="false">IF(OR(AO162="",J162="",AO162&lt;=0),"",(J162-AO162)/AO162)</f>
        <v/>
      </c>
      <c r="V162" s="9" t="str">
        <f aca="false">IF(OR(AO162="",N162="",AO162&lt;=0),"",(AO162-N162)/AO162)</f>
        <v/>
      </c>
      <c r="W162" s="10" t="str">
        <f aca="false">IF(OR(U162="",V162="",V162&lt;=0),"",U162/V162)</f>
        <v/>
      </c>
      <c r="X162" s="11" t="str">
        <f aca="false">IF(OR(K162="",L162="",AO162="",AP162=""),"",(K162-AO162)*L162-IF(O162="",0,O162)-IF(P162="",0,P162))</f>
        <v/>
      </c>
      <c r="Y162" s="9" t="str">
        <f aca="false">IF(OR(X162="",AO162="",L162=""),"",IF(AO162*L162+IF(O162="",0,O162)&lt;=0,"",X162/(AO162*L162+IF(O162="",0,O162))))</f>
        <v/>
      </c>
      <c r="Z162" s="9" t="str">
        <f aca="false">IF(OR(AE162="",多次统计数据!$B$8=""),"",AE162-多次统计数据!$B$8)</f>
        <v/>
      </c>
      <c r="AA162" s="12" t="str">
        <f aca="false">IF(OR(I162="",M162="",M162&lt;I162),"",M162-I162)</f>
        <v/>
      </c>
      <c r="AB162" s="9" t="str">
        <f aca="false">IF(OR(A162="",多次统计数据!$B$8="",多次统计数据!$B$6&lt;=0,多次统计数据!$B$6&gt;=1),"",1-POWER(1+多次统计数据!$B$8,-多次统计数据!$B$6/(1-多次统计数据!$B$6)))</f>
        <v/>
      </c>
      <c r="AC162" s="7" t="str">
        <f aca="false">IF(OR(AB162="",多次统计数据!$B$9=""),"",IF(多次统计数据!$B$9&lt;AB162,"低于上限","达到或超过上限"))</f>
        <v/>
      </c>
      <c r="AD162" s="4"/>
      <c r="AE162" s="9" t="str">
        <f aca="false">IF(OR(X162="",C162="",C162&lt;=0),"",X162/C162)</f>
        <v/>
      </c>
      <c r="AG162" s="4"/>
      <c r="AH162" s="4"/>
      <c r="AI162" s="4"/>
      <c r="AJ162" s="7" t="str">
        <f aca="false">IF(OR(AG162="",AH162=""),"",IF(OR(AND(AG162="短期博反弹",OR(AH162="1～3个交易日",AH162="4～10个交易日")),AND(AG162="突破冲新高",OR(AH162="4～10个交易日",AH162="11～20个交易日")),AND(AG162="趋势波段",OR(AH162="11～20个交易日",AH162="21～60个交易日",AH162="60个交易日以上"))),"匹配","周期与交易预期不匹配，请重新确认"))</f>
        <v/>
      </c>
      <c r="AK162" s="13" t="str">
        <f aca="false">IF(A162="","",COUNTIFS(加仓管理!$A$2:$A$1001,A162,加仓管理!$G$2:$G$1001,"&gt;0"))</f>
        <v/>
      </c>
      <c r="AL162" s="13" t="str">
        <f aca="false">IF(A162="","",SUMIFS(加仓管理!$G$2:$G$1001,加仓管理!$A$2:$A$1001,A162))</f>
        <v/>
      </c>
      <c r="AM162" s="14" t="str">
        <f aca="false">IF(AK162=0,"",IFERROR(LOOKUP(2,1/((加仓管理!$A$2:$A$1001=A162)*(加仓管理!$G$2:$G$1001&gt;0)),加仓管理!$D$2:$D$1001),""))</f>
        <v/>
      </c>
      <c r="AN162" s="14" t="str">
        <f aca="false">IF(AK162=0,"",IFERROR(LOOKUP(2,1/((加仓管理!$A$2:$A$1001=A162)*(加仓管理!$G$2:$G$1001&gt;0)),加仓管理!$E$2:$E$1001),""))</f>
        <v/>
      </c>
      <c r="AO162" s="14" t="str">
        <f aca="false">IF(OR(A162="",H162="",H162&lt;=0),"",(E162*H162+SUMIFS(加仓管理!$H$2:$H$1001,加仓管理!$A$2:$A$1001,A162))/AP162)</f>
        <v/>
      </c>
      <c r="AP162" s="13" t="str">
        <f aca="false">IF(OR(A162="",H162="",H162&lt;=0),"",H162+AL162)</f>
        <v/>
      </c>
      <c r="AQ162" s="14" t="str">
        <f aca="false">IF(A162="","",IF(M162&lt;&gt;"",0,IF(OR(H162="",N162=""),"",MAX((E162*H162+SUMIFS(加仓管理!$H$2:$H$1001,加仓管理!$A$2:$A$1001,A162))-MAX(N162,AN162)*AP162,0))))</f>
        <v/>
      </c>
      <c r="AR162" s="15" t="str">
        <f aca="false">IF(A162="","",IF(OR(E162="",H162=""),"违规：首次买入价格或股数缺失",IF(COUNTIFS(加仓管理!$A$2:$A$1001,A162,加仓管理!$R$2:$R$1001,"违规*")&gt;0,"违规：请检查加仓管理表",IF(SUM($AQ$2:$AQ$201)&gt;账户数据!$B$7,"预警：超过账户风险上限",IF(COUNTIFS(加仓管理!$A$2:$A$1001,A162,加仓管理!$N$2:$N$1001,"&gt;0",加仓管理!$G$2:$G$1001,"")&gt;0,"提示：存在待执行加仓计划","通过")))))</f>
        <v/>
      </c>
    </row>
    <row r="163" customFormat="false" ht="13.5" hidden="false" customHeight="false" outlineLevel="0" collapsed="false">
      <c r="A163" s="4"/>
      <c r="B163" s="4"/>
      <c r="C163" s="5"/>
      <c r="D163" s="6"/>
      <c r="E163" s="5"/>
      <c r="F163" s="7" t="str">
        <f aca="false">IF(OR(C163="",D163="",E163="",N163="",C163&lt;=0,D163&lt;=0,E163&lt;=N163),"",ROUNDDOWN((C163*D163)/(E163-N163)/100,0)*100)</f>
        <v/>
      </c>
      <c r="G163" s="7" t="str">
        <f aca="false">IF(A163="","",IF(H163&lt;&gt;"","已开仓",IF(账户数据!$B$23="已锁仓","禁止开仓：连续亏损达到上限",IF(账户数据!$B$23="解锁信息不完整","禁止开仓：请完整填写解锁信息",IF(OR(F163="",E163="",N163="",E163&lt;=N163,账户数据!$B$7=""),"",IF(OR(AG163="",AH163="",AI163=""),"禁止开仓：交易预期未填写完整",IF(账户数据!$B$9+F163*(E163-N163)&gt;=账户数据!$B$7,"禁止开仓：风险额度不足",IF(AJ163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3" s="4"/>
      <c r="I163" s="8"/>
      <c r="J163" s="5"/>
      <c r="K163" s="11"/>
      <c r="L163" s="7" t="str">
        <f aca="false">IF(AP163="","",AP163)</f>
        <v/>
      </c>
      <c r="M163" s="19"/>
      <c r="N163" s="5"/>
      <c r="O163" s="5"/>
      <c r="P163" s="11"/>
      <c r="Q163" s="4"/>
      <c r="R163" s="4"/>
      <c r="S163" s="4"/>
      <c r="T163" s="4"/>
      <c r="U163" s="9" t="str">
        <f aca="false">IF(OR(AO163="",J163="",AO163&lt;=0),"",(J163-AO163)/AO163)</f>
        <v/>
      </c>
      <c r="V163" s="9" t="str">
        <f aca="false">IF(OR(AO163="",N163="",AO163&lt;=0),"",(AO163-N163)/AO163)</f>
        <v/>
      </c>
      <c r="W163" s="10" t="str">
        <f aca="false">IF(OR(U163="",V163="",V163&lt;=0),"",U163/V163)</f>
        <v/>
      </c>
      <c r="X163" s="11" t="str">
        <f aca="false">IF(OR(K163="",L163="",AO163="",AP163=""),"",(K163-AO163)*L163-IF(O163="",0,O163)-IF(P163="",0,P163))</f>
        <v/>
      </c>
      <c r="Y163" s="9" t="str">
        <f aca="false">IF(OR(X163="",AO163="",L163=""),"",IF(AO163*L163+IF(O163="",0,O163)&lt;=0,"",X163/(AO163*L163+IF(O163="",0,O163))))</f>
        <v/>
      </c>
      <c r="Z163" s="9" t="str">
        <f aca="false">IF(OR(AE163="",多次统计数据!$B$8=""),"",AE163-多次统计数据!$B$8)</f>
        <v/>
      </c>
      <c r="AA163" s="12" t="str">
        <f aca="false">IF(OR(I163="",M163="",M163&lt;I163),"",M163-I163)</f>
        <v/>
      </c>
      <c r="AB163" s="9" t="str">
        <f aca="false">IF(OR(A163="",多次统计数据!$B$8="",多次统计数据!$B$6&lt;=0,多次统计数据!$B$6&gt;=1),"",1-POWER(1+多次统计数据!$B$8,-多次统计数据!$B$6/(1-多次统计数据!$B$6)))</f>
        <v/>
      </c>
      <c r="AC163" s="7" t="str">
        <f aca="false">IF(OR(AB163="",多次统计数据!$B$9=""),"",IF(多次统计数据!$B$9&lt;AB163,"低于上限","达到或超过上限"))</f>
        <v/>
      </c>
      <c r="AD163" s="4"/>
      <c r="AE163" s="9" t="str">
        <f aca="false">IF(OR(X163="",C163="",C163&lt;=0),"",X163/C163)</f>
        <v/>
      </c>
      <c r="AG163" s="4"/>
      <c r="AH163" s="4"/>
      <c r="AI163" s="4"/>
      <c r="AJ163" s="7" t="str">
        <f aca="false">IF(OR(AG163="",AH163=""),"",IF(OR(AND(AG163="短期博反弹",OR(AH163="1～3个交易日",AH163="4～10个交易日")),AND(AG163="突破冲新高",OR(AH163="4～10个交易日",AH163="11～20个交易日")),AND(AG163="趋势波段",OR(AH163="11～20个交易日",AH163="21～60个交易日",AH163="60个交易日以上"))),"匹配","周期与交易预期不匹配，请重新确认"))</f>
        <v/>
      </c>
      <c r="AK163" s="13" t="str">
        <f aca="false">IF(A163="","",COUNTIFS(加仓管理!$A$2:$A$1001,A163,加仓管理!$G$2:$G$1001,"&gt;0"))</f>
        <v/>
      </c>
      <c r="AL163" s="13" t="str">
        <f aca="false">IF(A163="","",SUMIFS(加仓管理!$G$2:$G$1001,加仓管理!$A$2:$A$1001,A163))</f>
        <v/>
      </c>
      <c r="AM163" s="14" t="str">
        <f aca="false">IF(AK163=0,"",IFERROR(LOOKUP(2,1/((加仓管理!$A$2:$A$1001=A163)*(加仓管理!$G$2:$G$1001&gt;0)),加仓管理!$D$2:$D$1001),""))</f>
        <v/>
      </c>
      <c r="AN163" s="14" t="str">
        <f aca="false">IF(AK163=0,"",IFERROR(LOOKUP(2,1/((加仓管理!$A$2:$A$1001=A163)*(加仓管理!$G$2:$G$1001&gt;0)),加仓管理!$E$2:$E$1001),""))</f>
        <v/>
      </c>
      <c r="AO163" s="14" t="str">
        <f aca="false">IF(OR(A163="",H163="",H163&lt;=0),"",(E163*H163+SUMIFS(加仓管理!$H$2:$H$1001,加仓管理!$A$2:$A$1001,A163))/AP163)</f>
        <v/>
      </c>
      <c r="AP163" s="13" t="str">
        <f aca="false">IF(OR(A163="",H163="",H163&lt;=0),"",H163+AL163)</f>
        <v/>
      </c>
      <c r="AQ163" s="14" t="str">
        <f aca="false">IF(A163="","",IF(M163&lt;&gt;"",0,IF(OR(H163="",N163=""),"",MAX((E163*H163+SUMIFS(加仓管理!$H$2:$H$1001,加仓管理!$A$2:$A$1001,A163))-MAX(N163,AN163)*AP163,0))))</f>
        <v/>
      </c>
      <c r="AR163" s="15" t="str">
        <f aca="false">IF(A163="","",IF(OR(E163="",H163=""),"违规：首次买入价格或股数缺失",IF(COUNTIFS(加仓管理!$A$2:$A$1001,A163,加仓管理!$R$2:$R$1001,"违规*")&gt;0,"违规：请检查加仓管理表",IF(SUM($AQ$2:$AQ$201)&gt;账户数据!$B$7,"预警：超过账户风险上限",IF(COUNTIFS(加仓管理!$A$2:$A$1001,A163,加仓管理!$N$2:$N$1001,"&gt;0",加仓管理!$G$2:$G$1001,"")&gt;0,"提示：存在待执行加仓计划","通过")))))</f>
        <v/>
      </c>
    </row>
    <row r="164" customFormat="false" ht="13.5" hidden="false" customHeight="false" outlineLevel="0" collapsed="false">
      <c r="A164" s="4"/>
      <c r="B164" s="4"/>
      <c r="C164" s="5"/>
      <c r="D164" s="6"/>
      <c r="E164" s="5"/>
      <c r="F164" s="7" t="str">
        <f aca="false">IF(OR(C164="",D164="",E164="",N164="",C164&lt;=0,D164&lt;=0,E164&lt;=N164),"",ROUNDDOWN((C164*D164)/(E164-N164)/100,0)*100)</f>
        <v/>
      </c>
      <c r="G164" s="7" t="str">
        <f aca="false">IF(A164="","",IF(H164&lt;&gt;"","已开仓",IF(账户数据!$B$23="已锁仓","禁止开仓：连续亏损达到上限",IF(账户数据!$B$23="解锁信息不完整","禁止开仓：请完整填写解锁信息",IF(OR(F164="",E164="",N164="",E164&lt;=N164,账户数据!$B$7=""),"",IF(OR(AG164="",AH164="",AI164=""),"禁止开仓：交易预期未填写完整",IF(账户数据!$B$9+F164*(E164-N164)&gt;=账户数据!$B$7,"禁止开仓：风险额度不足",IF(AJ164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4" s="4"/>
      <c r="I164" s="8"/>
      <c r="J164" s="5"/>
      <c r="K164" s="11"/>
      <c r="L164" s="7" t="str">
        <f aca="false">IF(AP164="","",AP164)</f>
        <v/>
      </c>
      <c r="M164" s="19"/>
      <c r="N164" s="5"/>
      <c r="O164" s="5"/>
      <c r="P164" s="11"/>
      <c r="Q164" s="4"/>
      <c r="R164" s="4"/>
      <c r="S164" s="4"/>
      <c r="T164" s="4"/>
      <c r="U164" s="9" t="str">
        <f aca="false">IF(OR(AO164="",J164="",AO164&lt;=0),"",(J164-AO164)/AO164)</f>
        <v/>
      </c>
      <c r="V164" s="9" t="str">
        <f aca="false">IF(OR(AO164="",N164="",AO164&lt;=0),"",(AO164-N164)/AO164)</f>
        <v/>
      </c>
      <c r="W164" s="10" t="str">
        <f aca="false">IF(OR(U164="",V164="",V164&lt;=0),"",U164/V164)</f>
        <v/>
      </c>
      <c r="X164" s="11" t="str">
        <f aca="false">IF(OR(K164="",L164="",AO164="",AP164=""),"",(K164-AO164)*L164-IF(O164="",0,O164)-IF(P164="",0,P164))</f>
        <v/>
      </c>
      <c r="Y164" s="9" t="str">
        <f aca="false">IF(OR(X164="",AO164="",L164=""),"",IF(AO164*L164+IF(O164="",0,O164)&lt;=0,"",X164/(AO164*L164+IF(O164="",0,O164))))</f>
        <v/>
      </c>
      <c r="Z164" s="9" t="str">
        <f aca="false">IF(OR(AE164="",多次统计数据!$B$8=""),"",AE164-多次统计数据!$B$8)</f>
        <v/>
      </c>
      <c r="AA164" s="12" t="str">
        <f aca="false">IF(OR(I164="",M164="",M164&lt;I164),"",M164-I164)</f>
        <v/>
      </c>
      <c r="AB164" s="9" t="str">
        <f aca="false">IF(OR(A164="",多次统计数据!$B$8="",多次统计数据!$B$6&lt;=0,多次统计数据!$B$6&gt;=1),"",1-POWER(1+多次统计数据!$B$8,-多次统计数据!$B$6/(1-多次统计数据!$B$6)))</f>
        <v/>
      </c>
      <c r="AC164" s="7" t="str">
        <f aca="false">IF(OR(AB164="",多次统计数据!$B$9=""),"",IF(多次统计数据!$B$9&lt;AB164,"低于上限","达到或超过上限"))</f>
        <v/>
      </c>
      <c r="AD164" s="4"/>
      <c r="AE164" s="9" t="str">
        <f aca="false">IF(OR(X164="",C164="",C164&lt;=0),"",X164/C164)</f>
        <v/>
      </c>
      <c r="AG164" s="4"/>
      <c r="AH164" s="4"/>
      <c r="AI164" s="4"/>
      <c r="AJ164" s="7" t="str">
        <f aca="false">IF(OR(AG164="",AH164=""),"",IF(OR(AND(AG164="短期博反弹",OR(AH164="1～3个交易日",AH164="4～10个交易日")),AND(AG164="突破冲新高",OR(AH164="4～10个交易日",AH164="11～20个交易日")),AND(AG164="趋势波段",OR(AH164="11～20个交易日",AH164="21～60个交易日",AH164="60个交易日以上"))),"匹配","周期与交易预期不匹配，请重新确认"))</f>
        <v/>
      </c>
      <c r="AK164" s="13" t="str">
        <f aca="false">IF(A164="","",COUNTIFS(加仓管理!$A$2:$A$1001,A164,加仓管理!$G$2:$G$1001,"&gt;0"))</f>
        <v/>
      </c>
      <c r="AL164" s="13" t="str">
        <f aca="false">IF(A164="","",SUMIFS(加仓管理!$G$2:$G$1001,加仓管理!$A$2:$A$1001,A164))</f>
        <v/>
      </c>
      <c r="AM164" s="14" t="str">
        <f aca="false">IF(AK164=0,"",IFERROR(LOOKUP(2,1/((加仓管理!$A$2:$A$1001=A164)*(加仓管理!$G$2:$G$1001&gt;0)),加仓管理!$D$2:$D$1001),""))</f>
        <v/>
      </c>
      <c r="AN164" s="14" t="str">
        <f aca="false">IF(AK164=0,"",IFERROR(LOOKUP(2,1/((加仓管理!$A$2:$A$1001=A164)*(加仓管理!$G$2:$G$1001&gt;0)),加仓管理!$E$2:$E$1001),""))</f>
        <v/>
      </c>
      <c r="AO164" s="14" t="str">
        <f aca="false">IF(OR(A164="",H164="",H164&lt;=0),"",(E164*H164+SUMIFS(加仓管理!$H$2:$H$1001,加仓管理!$A$2:$A$1001,A164))/AP164)</f>
        <v/>
      </c>
      <c r="AP164" s="13" t="str">
        <f aca="false">IF(OR(A164="",H164="",H164&lt;=0),"",H164+AL164)</f>
        <v/>
      </c>
      <c r="AQ164" s="14" t="str">
        <f aca="false">IF(A164="","",IF(M164&lt;&gt;"",0,IF(OR(H164="",N164=""),"",MAX((E164*H164+SUMIFS(加仓管理!$H$2:$H$1001,加仓管理!$A$2:$A$1001,A164))-MAX(N164,AN164)*AP164,0))))</f>
        <v/>
      </c>
      <c r="AR164" s="15" t="str">
        <f aca="false">IF(A164="","",IF(OR(E164="",H164=""),"违规：首次买入价格或股数缺失",IF(COUNTIFS(加仓管理!$A$2:$A$1001,A164,加仓管理!$R$2:$R$1001,"违规*")&gt;0,"违规：请检查加仓管理表",IF(SUM($AQ$2:$AQ$201)&gt;账户数据!$B$7,"预警：超过账户风险上限",IF(COUNTIFS(加仓管理!$A$2:$A$1001,A164,加仓管理!$N$2:$N$1001,"&gt;0",加仓管理!$G$2:$G$1001,"")&gt;0,"提示：存在待执行加仓计划","通过")))))</f>
        <v/>
      </c>
    </row>
    <row r="165" customFormat="false" ht="13.5" hidden="false" customHeight="false" outlineLevel="0" collapsed="false">
      <c r="A165" s="4"/>
      <c r="B165" s="4"/>
      <c r="C165" s="5"/>
      <c r="D165" s="6"/>
      <c r="E165" s="5"/>
      <c r="F165" s="7" t="str">
        <f aca="false">IF(OR(C165="",D165="",E165="",N165="",C165&lt;=0,D165&lt;=0,E165&lt;=N165),"",ROUNDDOWN((C165*D165)/(E165-N165)/100,0)*100)</f>
        <v/>
      </c>
      <c r="G165" s="7" t="str">
        <f aca="false">IF(A165="","",IF(H165&lt;&gt;"","已开仓",IF(账户数据!$B$23="已锁仓","禁止开仓：连续亏损达到上限",IF(账户数据!$B$23="解锁信息不完整","禁止开仓：请完整填写解锁信息",IF(OR(F165="",E165="",N165="",E165&lt;=N165,账户数据!$B$7=""),"",IF(OR(AG165="",AH165="",AI165=""),"禁止开仓：交易预期未填写完整",IF(账户数据!$B$9+F165*(E165-N165)&gt;=账户数据!$B$7,"禁止开仓：风险额度不足",IF(AJ165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5" s="4"/>
      <c r="I165" s="8"/>
      <c r="J165" s="5"/>
      <c r="K165" s="11"/>
      <c r="L165" s="7" t="str">
        <f aca="false">IF(AP165="","",AP165)</f>
        <v/>
      </c>
      <c r="M165" s="19"/>
      <c r="N165" s="5"/>
      <c r="O165" s="5"/>
      <c r="P165" s="11"/>
      <c r="Q165" s="4"/>
      <c r="R165" s="4"/>
      <c r="S165" s="4"/>
      <c r="T165" s="4"/>
      <c r="U165" s="9" t="str">
        <f aca="false">IF(OR(AO165="",J165="",AO165&lt;=0),"",(J165-AO165)/AO165)</f>
        <v/>
      </c>
      <c r="V165" s="9" t="str">
        <f aca="false">IF(OR(AO165="",N165="",AO165&lt;=0),"",(AO165-N165)/AO165)</f>
        <v/>
      </c>
      <c r="W165" s="10" t="str">
        <f aca="false">IF(OR(U165="",V165="",V165&lt;=0),"",U165/V165)</f>
        <v/>
      </c>
      <c r="X165" s="11" t="str">
        <f aca="false">IF(OR(K165="",L165="",AO165="",AP165=""),"",(K165-AO165)*L165-IF(O165="",0,O165)-IF(P165="",0,P165))</f>
        <v/>
      </c>
      <c r="Y165" s="9" t="str">
        <f aca="false">IF(OR(X165="",AO165="",L165=""),"",IF(AO165*L165+IF(O165="",0,O165)&lt;=0,"",X165/(AO165*L165+IF(O165="",0,O165))))</f>
        <v/>
      </c>
      <c r="Z165" s="9" t="str">
        <f aca="false">IF(OR(AE165="",多次统计数据!$B$8=""),"",AE165-多次统计数据!$B$8)</f>
        <v/>
      </c>
      <c r="AA165" s="12" t="str">
        <f aca="false">IF(OR(I165="",M165="",M165&lt;I165),"",M165-I165)</f>
        <v/>
      </c>
      <c r="AB165" s="9" t="str">
        <f aca="false">IF(OR(A165="",多次统计数据!$B$8="",多次统计数据!$B$6&lt;=0,多次统计数据!$B$6&gt;=1),"",1-POWER(1+多次统计数据!$B$8,-多次统计数据!$B$6/(1-多次统计数据!$B$6)))</f>
        <v/>
      </c>
      <c r="AC165" s="7" t="str">
        <f aca="false">IF(OR(AB165="",多次统计数据!$B$9=""),"",IF(多次统计数据!$B$9&lt;AB165,"低于上限","达到或超过上限"))</f>
        <v/>
      </c>
      <c r="AD165" s="4"/>
      <c r="AE165" s="9" t="str">
        <f aca="false">IF(OR(X165="",C165="",C165&lt;=0),"",X165/C165)</f>
        <v/>
      </c>
      <c r="AG165" s="4"/>
      <c r="AH165" s="4"/>
      <c r="AI165" s="4"/>
      <c r="AJ165" s="7" t="str">
        <f aca="false">IF(OR(AG165="",AH165=""),"",IF(OR(AND(AG165="短期博反弹",OR(AH165="1～3个交易日",AH165="4～10个交易日")),AND(AG165="突破冲新高",OR(AH165="4～10个交易日",AH165="11～20个交易日")),AND(AG165="趋势波段",OR(AH165="11～20个交易日",AH165="21～60个交易日",AH165="60个交易日以上"))),"匹配","周期与交易预期不匹配，请重新确认"))</f>
        <v/>
      </c>
      <c r="AK165" s="13" t="str">
        <f aca="false">IF(A165="","",COUNTIFS(加仓管理!$A$2:$A$1001,A165,加仓管理!$G$2:$G$1001,"&gt;0"))</f>
        <v/>
      </c>
      <c r="AL165" s="13" t="str">
        <f aca="false">IF(A165="","",SUMIFS(加仓管理!$G$2:$G$1001,加仓管理!$A$2:$A$1001,A165))</f>
        <v/>
      </c>
      <c r="AM165" s="14" t="str">
        <f aca="false">IF(AK165=0,"",IFERROR(LOOKUP(2,1/((加仓管理!$A$2:$A$1001=A165)*(加仓管理!$G$2:$G$1001&gt;0)),加仓管理!$D$2:$D$1001),""))</f>
        <v/>
      </c>
      <c r="AN165" s="14" t="str">
        <f aca="false">IF(AK165=0,"",IFERROR(LOOKUP(2,1/((加仓管理!$A$2:$A$1001=A165)*(加仓管理!$G$2:$G$1001&gt;0)),加仓管理!$E$2:$E$1001),""))</f>
        <v/>
      </c>
      <c r="AO165" s="14" t="str">
        <f aca="false">IF(OR(A165="",H165="",H165&lt;=0),"",(E165*H165+SUMIFS(加仓管理!$H$2:$H$1001,加仓管理!$A$2:$A$1001,A165))/AP165)</f>
        <v/>
      </c>
      <c r="AP165" s="13" t="str">
        <f aca="false">IF(OR(A165="",H165="",H165&lt;=0),"",H165+AL165)</f>
        <v/>
      </c>
      <c r="AQ165" s="14" t="str">
        <f aca="false">IF(A165="","",IF(M165&lt;&gt;"",0,IF(OR(H165="",N165=""),"",MAX((E165*H165+SUMIFS(加仓管理!$H$2:$H$1001,加仓管理!$A$2:$A$1001,A165))-MAX(N165,AN165)*AP165,0))))</f>
        <v/>
      </c>
      <c r="AR165" s="15" t="str">
        <f aca="false">IF(A165="","",IF(OR(E165="",H165=""),"违规：首次买入价格或股数缺失",IF(COUNTIFS(加仓管理!$A$2:$A$1001,A165,加仓管理!$R$2:$R$1001,"违规*")&gt;0,"违规：请检查加仓管理表",IF(SUM($AQ$2:$AQ$201)&gt;账户数据!$B$7,"预警：超过账户风险上限",IF(COUNTIFS(加仓管理!$A$2:$A$1001,A165,加仓管理!$N$2:$N$1001,"&gt;0",加仓管理!$G$2:$G$1001,"")&gt;0,"提示：存在待执行加仓计划","通过")))))</f>
        <v/>
      </c>
    </row>
    <row r="166" customFormat="false" ht="13.5" hidden="false" customHeight="false" outlineLevel="0" collapsed="false">
      <c r="A166" s="4"/>
      <c r="B166" s="4"/>
      <c r="C166" s="5"/>
      <c r="D166" s="6"/>
      <c r="E166" s="5"/>
      <c r="F166" s="7" t="str">
        <f aca="false">IF(OR(C166="",D166="",E166="",N166="",C166&lt;=0,D166&lt;=0,E166&lt;=N166),"",ROUNDDOWN((C166*D166)/(E166-N166)/100,0)*100)</f>
        <v/>
      </c>
      <c r="G166" s="7" t="str">
        <f aca="false">IF(A166="","",IF(H166&lt;&gt;"","已开仓",IF(账户数据!$B$23="已锁仓","禁止开仓：连续亏损达到上限",IF(账户数据!$B$23="解锁信息不完整","禁止开仓：请完整填写解锁信息",IF(OR(F166="",E166="",N166="",E166&lt;=N166,账户数据!$B$7=""),"",IF(OR(AG166="",AH166="",AI166=""),"禁止开仓：交易预期未填写完整",IF(账户数据!$B$9+F166*(E166-N166)&gt;=账户数据!$B$7,"禁止开仓：风险额度不足",IF(AJ166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6" s="4"/>
      <c r="I166" s="8"/>
      <c r="J166" s="5"/>
      <c r="K166" s="11"/>
      <c r="L166" s="7" t="str">
        <f aca="false">IF(AP166="","",AP166)</f>
        <v/>
      </c>
      <c r="M166" s="19"/>
      <c r="N166" s="5"/>
      <c r="O166" s="5"/>
      <c r="P166" s="11"/>
      <c r="Q166" s="4"/>
      <c r="R166" s="4"/>
      <c r="S166" s="4"/>
      <c r="T166" s="4"/>
      <c r="U166" s="9" t="str">
        <f aca="false">IF(OR(AO166="",J166="",AO166&lt;=0),"",(J166-AO166)/AO166)</f>
        <v/>
      </c>
      <c r="V166" s="9" t="str">
        <f aca="false">IF(OR(AO166="",N166="",AO166&lt;=0),"",(AO166-N166)/AO166)</f>
        <v/>
      </c>
      <c r="W166" s="10" t="str">
        <f aca="false">IF(OR(U166="",V166="",V166&lt;=0),"",U166/V166)</f>
        <v/>
      </c>
      <c r="X166" s="11" t="str">
        <f aca="false">IF(OR(K166="",L166="",AO166="",AP166=""),"",(K166-AO166)*L166-IF(O166="",0,O166)-IF(P166="",0,P166))</f>
        <v/>
      </c>
      <c r="Y166" s="9" t="str">
        <f aca="false">IF(OR(X166="",AO166="",L166=""),"",IF(AO166*L166+IF(O166="",0,O166)&lt;=0,"",X166/(AO166*L166+IF(O166="",0,O166))))</f>
        <v/>
      </c>
      <c r="Z166" s="9" t="str">
        <f aca="false">IF(OR(AE166="",多次统计数据!$B$8=""),"",AE166-多次统计数据!$B$8)</f>
        <v/>
      </c>
      <c r="AA166" s="12" t="str">
        <f aca="false">IF(OR(I166="",M166="",M166&lt;I166),"",M166-I166)</f>
        <v/>
      </c>
      <c r="AB166" s="9" t="str">
        <f aca="false">IF(OR(A166="",多次统计数据!$B$8="",多次统计数据!$B$6&lt;=0,多次统计数据!$B$6&gt;=1),"",1-POWER(1+多次统计数据!$B$8,-多次统计数据!$B$6/(1-多次统计数据!$B$6)))</f>
        <v/>
      </c>
      <c r="AC166" s="7" t="str">
        <f aca="false">IF(OR(AB166="",多次统计数据!$B$9=""),"",IF(多次统计数据!$B$9&lt;AB166,"低于上限","达到或超过上限"))</f>
        <v/>
      </c>
      <c r="AD166" s="4"/>
      <c r="AE166" s="9" t="str">
        <f aca="false">IF(OR(X166="",C166="",C166&lt;=0),"",X166/C166)</f>
        <v/>
      </c>
      <c r="AG166" s="4"/>
      <c r="AH166" s="4"/>
      <c r="AI166" s="4"/>
      <c r="AJ166" s="7" t="str">
        <f aca="false">IF(OR(AG166="",AH166=""),"",IF(OR(AND(AG166="短期博反弹",OR(AH166="1～3个交易日",AH166="4～10个交易日")),AND(AG166="突破冲新高",OR(AH166="4～10个交易日",AH166="11～20个交易日")),AND(AG166="趋势波段",OR(AH166="11～20个交易日",AH166="21～60个交易日",AH166="60个交易日以上"))),"匹配","周期与交易预期不匹配，请重新确认"))</f>
        <v/>
      </c>
      <c r="AK166" s="13" t="str">
        <f aca="false">IF(A166="","",COUNTIFS(加仓管理!$A$2:$A$1001,A166,加仓管理!$G$2:$G$1001,"&gt;0"))</f>
        <v/>
      </c>
      <c r="AL166" s="13" t="str">
        <f aca="false">IF(A166="","",SUMIFS(加仓管理!$G$2:$G$1001,加仓管理!$A$2:$A$1001,A166))</f>
        <v/>
      </c>
      <c r="AM166" s="14" t="str">
        <f aca="false">IF(AK166=0,"",IFERROR(LOOKUP(2,1/((加仓管理!$A$2:$A$1001=A166)*(加仓管理!$G$2:$G$1001&gt;0)),加仓管理!$D$2:$D$1001),""))</f>
        <v/>
      </c>
      <c r="AN166" s="14" t="str">
        <f aca="false">IF(AK166=0,"",IFERROR(LOOKUP(2,1/((加仓管理!$A$2:$A$1001=A166)*(加仓管理!$G$2:$G$1001&gt;0)),加仓管理!$E$2:$E$1001),""))</f>
        <v/>
      </c>
      <c r="AO166" s="14" t="str">
        <f aca="false">IF(OR(A166="",H166="",H166&lt;=0),"",(E166*H166+SUMIFS(加仓管理!$H$2:$H$1001,加仓管理!$A$2:$A$1001,A166))/AP166)</f>
        <v/>
      </c>
      <c r="AP166" s="13" t="str">
        <f aca="false">IF(OR(A166="",H166="",H166&lt;=0),"",H166+AL166)</f>
        <v/>
      </c>
      <c r="AQ166" s="14" t="str">
        <f aca="false">IF(A166="","",IF(M166&lt;&gt;"",0,IF(OR(H166="",N166=""),"",MAX((E166*H166+SUMIFS(加仓管理!$H$2:$H$1001,加仓管理!$A$2:$A$1001,A166))-MAX(N166,AN166)*AP166,0))))</f>
        <v/>
      </c>
      <c r="AR166" s="15" t="str">
        <f aca="false">IF(A166="","",IF(OR(E166="",H166=""),"违规：首次买入价格或股数缺失",IF(COUNTIFS(加仓管理!$A$2:$A$1001,A166,加仓管理!$R$2:$R$1001,"违规*")&gt;0,"违规：请检查加仓管理表",IF(SUM($AQ$2:$AQ$201)&gt;账户数据!$B$7,"预警：超过账户风险上限",IF(COUNTIFS(加仓管理!$A$2:$A$1001,A166,加仓管理!$N$2:$N$1001,"&gt;0",加仓管理!$G$2:$G$1001,"")&gt;0,"提示：存在待执行加仓计划","通过")))))</f>
        <v/>
      </c>
    </row>
    <row r="167" customFormat="false" ht="13.5" hidden="false" customHeight="false" outlineLevel="0" collapsed="false">
      <c r="A167" s="4"/>
      <c r="B167" s="4"/>
      <c r="C167" s="5"/>
      <c r="D167" s="6"/>
      <c r="E167" s="5"/>
      <c r="F167" s="7" t="str">
        <f aca="false">IF(OR(C167="",D167="",E167="",N167="",C167&lt;=0,D167&lt;=0,E167&lt;=N167),"",ROUNDDOWN((C167*D167)/(E167-N167)/100,0)*100)</f>
        <v/>
      </c>
      <c r="G167" s="7" t="str">
        <f aca="false">IF(A167="","",IF(H167&lt;&gt;"","已开仓",IF(账户数据!$B$23="已锁仓","禁止开仓：连续亏损达到上限",IF(账户数据!$B$23="解锁信息不完整","禁止开仓：请完整填写解锁信息",IF(OR(F167="",E167="",N167="",E167&lt;=N167,账户数据!$B$7=""),"",IF(OR(AG167="",AH167="",AI167=""),"禁止开仓：交易预期未填写完整",IF(账户数据!$B$9+F167*(E167-N167)&gt;=账户数据!$B$7,"禁止开仓：风险额度不足",IF(AJ167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7" s="4"/>
      <c r="I167" s="8"/>
      <c r="J167" s="5"/>
      <c r="K167" s="11"/>
      <c r="L167" s="7" t="str">
        <f aca="false">IF(AP167="","",AP167)</f>
        <v/>
      </c>
      <c r="M167" s="19"/>
      <c r="N167" s="5"/>
      <c r="O167" s="5"/>
      <c r="P167" s="11"/>
      <c r="Q167" s="4"/>
      <c r="R167" s="4"/>
      <c r="S167" s="4"/>
      <c r="T167" s="4"/>
      <c r="U167" s="9" t="str">
        <f aca="false">IF(OR(AO167="",J167="",AO167&lt;=0),"",(J167-AO167)/AO167)</f>
        <v/>
      </c>
      <c r="V167" s="9" t="str">
        <f aca="false">IF(OR(AO167="",N167="",AO167&lt;=0),"",(AO167-N167)/AO167)</f>
        <v/>
      </c>
      <c r="W167" s="10" t="str">
        <f aca="false">IF(OR(U167="",V167="",V167&lt;=0),"",U167/V167)</f>
        <v/>
      </c>
      <c r="X167" s="11" t="str">
        <f aca="false">IF(OR(K167="",L167="",AO167="",AP167=""),"",(K167-AO167)*L167-IF(O167="",0,O167)-IF(P167="",0,P167))</f>
        <v/>
      </c>
      <c r="Y167" s="9" t="str">
        <f aca="false">IF(OR(X167="",AO167="",L167=""),"",IF(AO167*L167+IF(O167="",0,O167)&lt;=0,"",X167/(AO167*L167+IF(O167="",0,O167))))</f>
        <v/>
      </c>
      <c r="Z167" s="9" t="str">
        <f aca="false">IF(OR(AE167="",多次统计数据!$B$8=""),"",AE167-多次统计数据!$B$8)</f>
        <v/>
      </c>
      <c r="AA167" s="12" t="str">
        <f aca="false">IF(OR(I167="",M167="",M167&lt;I167),"",M167-I167)</f>
        <v/>
      </c>
      <c r="AB167" s="9" t="str">
        <f aca="false">IF(OR(A167="",多次统计数据!$B$8="",多次统计数据!$B$6&lt;=0,多次统计数据!$B$6&gt;=1),"",1-POWER(1+多次统计数据!$B$8,-多次统计数据!$B$6/(1-多次统计数据!$B$6)))</f>
        <v/>
      </c>
      <c r="AC167" s="7" t="str">
        <f aca="false">IF(OR(AB167="",多次统计数据!$B$9=""),"",IF(多次统计数据!$B$9&lt;AB167,"低于上限","达到或超过上限"))</f>
        <v/>
      </c>
      <c r="AD167" s="4"/>
      <c r="AE167" s="9" t="str">
        <f aca="false">IF(OR(X167="",C167="",C167&lt;=0),"",X167/C167)</f>
        <v/>
      </c>
      <c r="AG167" s="4"/>
      <c r="AH167" s="4"/>
      <c r="AI167" s="4"/>
      <c r="AJ167" s="7" t="str">
        <f aca="false">IF(OR(AG167="",AH167=""),"",IF(OR(AND(AG167="短期博反弹",OR(AH167="1～3个交易日",AH167="4～10个交易日")),AND(AG167="突破冲新高",OR(AH167="4～10个交易日",AH167="11～20个交易日")),AND(AG167="趋势波段",OR(AH167="11～20个交易日",AH167="21～60个交易日",AH167="60个交易日以上"))),"匹配","周期与交易预期不匹配，请重新确认"))</f>
        <v/>
      </c>
      <c r="AK167" s="13" t="str">
        <f aca="false">IF(A167="","",COUNTIFS(加仓管理!$A$2:$A$1001,A167,加仓管理!$G$2:$G$1001,"&gt;0"))</f>
        <v/>
      </c>
      <c r="AL167" s="13" t="str">
        <f aca="false">IF(A167="","",SUMIFS(加仓管理!$G$2:$G$1001,加仓管理!$A$2:$A$1001,A167))</f>
        <v/>
      </c>
      <c r="AM167" s="14" t="str">
        <f aca="false">IF(AK167=0,"",IFERROR(LOOKUP(2,1/((加仓管理!$A$2:$A$1001=A167)*(加仓管理!$G$2:$G$1001&gt;0)),加仓管理!$D$2:$D$1001),""))</f>
        <v/>
      </c>
      <c r="AN167" s="14" t="str">
        <f aca="false">IF(AK167=0,"",IFERROR(LOOKUP(2,1/((加仓管理!$A$2:$A$1001=A167)*(加仓管理!$G$2:$G$1001&gt;0)),加仓管理!$E$2:$E$1001),""))</f>
        <v/>
      </c>
      <c r="AO167" s="14" t="str">
        <f aca="false">IF(OR(A167="",H167="",H167&lt;=0),"",(E167*H167+SUMIFS(加仓管理!$H$2:$H$1001,加仓管理!$A$2:$A$1001,A167))/AP167)</f>
        <v/>
      </c>
      <c r="AP167" s="13" t="str">
        <f aca="false">IF(OR(A167="",H167="",H167&lt;=0),"",H167+AL167)</f>
        <v/>
      </c>
      <c r="AQ167" s="14" t="str">
        <f aca="false">IF(A167="","",IF(M167&lt;&gt;"",0,IF(OR(H167="",N167=""),"",MAX((E167*H167+SUMIFS(加仓管理!$H$2:$H$1001,加仓管理!$A$2:$A$1001,A167))-MAX(N167,AN167)*AP167,0))))</f>
        <v/>
      </c>
      <c r="AR167" s="15" t="str">
        <f aca="false">IF(A167="","",IF(OR(E167="",H167=""),"违规：首次买入价格或股数缺失",IF(COUNTIFS(加仓管理!$A$2:$A$1001,A167,加仓管理!$R$2:$R$1001,"违规*")&gt;0,"违规：请检查加仓管理表",IF(SUM($AQ$2:$AQ$201)&gt;账户数据!$B$7,"预警：超过账户风险上限",IF(COUNTIFS(加仓管理!$A$2:$A$1001,A167,加仓管理!$N$2:$N$1001,"&gt;0",加仓管理!$G$2:$G$1001,"")&gt;0,"提示：存在待执行加仓计划","通过")))))</f>
        <v/>
      </c>
    </row>
    <row r="168" customFormat="false" ht="13.5" hidden="false" customHeight="false" outlineLevel="0" collapsed="false">
      <c r="A168" s="4"/>
      <c r="B168" s="4"/>
      <c r="C168" s="5"/>
      <c r="D168" s="6"/>
      <c r="E168" s="5"/>
      <c r="F168" s="7" t="str">
        <f aca="false">IF(OR(C168="",D168="",E168="",N168="",C168&lt;=0,D168&lt;=0,E168&lt;=N168),"",ROUNDDOWN((C168*D168)/(E168-N168)/100,0)*100)</f>
        <v/>
      </c>
      <c r="G168" s="7" t="str">
        <f aca="false">IF(A168="","",IF(H168&lt;&gt;"","已开仓",IF(账户数据!$B$23="已锁仓","禁止开仓：连续亏损达到上限",IF(账户数据!$B$23="解锁信息不完整","禁止开仓：请完整填写解锁信息",IF(OR(F168="",E168="",N168="",E168&lt;=N168,账户数据!$B$7=""),"",IF(OR(AG168="",AH168="",AI168=""),"禁止开仓：交易预期未填写完整",IF(账户数据!$B$9+F168*(E168-N168)&gt;=账户数据!$B$7,"禁止开仓：风险额度不足",IF(AJ168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8" s="4"/>
      <c r="I168" s="8"/>
      <c r="J168" s="5"/>
      <c r="K168" s="11"/>
      <c r="L168" s="7" t="str">
        <f aca="false">IF(AP168="","",AP168)</f>
        <v/>
      </c>
      <c r="M168" s="19"/>
      <c r="N168" s="5"/>
      <c r="O168" s="5"/>
      <c r="P168" s="11"/>
      <c r="Q168" s="4"/>
      <c r="R168" s="4"/>
      <c r="S168" s="4"/>
      <c r="T168" s="4"/>
      <c r="U168" s="9" t="str">
        <f aca="false">IF(OR(AO168="",J168="",AO168&lt;=0),"",(J168-AO168)/AO168)</f>
        <v/>
      </c>
      <c r="V168" s="9" t="str">
        <f aca="false">IF(OR(AO168="",N168="",AO168&lt;=0),"",(AO168-N168)/AO168)</f>
        <v/>
      </c>
      <c r="W168" s="10" t="str">
        <f aca="false">IF(OR(U168="",V168="",V168&lt;=0),"",U168/V168)</f>
        <v/>
      </c>
      <c r="X168" s="11" t="str">
        <f aca="false">IF(OR(K168="",L168="",AO168="",AP168=""),"",(K168-AO168)*L168-IF(O168="",0,O168)-IF(P168="",0,P168))</f>
        <v/>
      </c>
      <c r="Y168" s="9" t="str">
        <f aca="false">IF(OR(X168="",AO168="",L168=""),"",IF(AO168*L168+IF(O168="",0,O168)&lt;=0,"",X168/(AO168*L168+IF(O168="",0,O168))))</f>
        <v/>
      </c>
      <c r="Z168" s="9" t="str">
        <f aca="false">IF(OR(AE168="",多次统计数据!$B$8=""),"",AE168-多次统计数据!$B$8)</f>
        <v/>
      </c>
      <c r="AA168" s="12" t="str">
        <f aca="false">IF(OR(I168="",M168="",M168&lt;I168),"",M168-I168)</f>
        <v/>
      </c>
      <c r="AB168" s="9" t="str">
        <f aca="false">IF(OR(A168="",多次统计数据!$B$8="",多次统计数据!$B$6&lt;=0,多次统计数据!$B$6&gt;=1),"",1-POWER(1+多次统计数据!$B$8,-多次统计数据!$B$6/(1-多次统计数据!$B$6)))</f>
        <v/>
      </c>
      <c r="AC168" s="7" t="str">
        <f aca="false">IF(OR(AB168="",多次统计数据!$B$9=""),"",IF(多次统计数据!$B$9&lt;AB168,"低于上限","达到或超过上限"))</f>
        <v/>
      </c>
      <c r="AD168" s="4"/>
      <c r="AE168" s="9" t="str">
        <f aca="false">IF(OR(X168="",C168="",C168&lt;=0),"",X168/C168)</f>
        <v/>
      </c>
      <c r="AG168" s="4"/>
      <c r="AH168" s="4"/>
      <c r="AI168" s="4"/>
      <c r="AJ168" s="7" t="str">
        <f aca="false">IF(OR(AG168="",AH168=""),"",IF(OR(AND(AG168="短期博反弹",OR(AH168="1～3个交易日",AH168="4～10个交易日")),AND(AG168="突破冲新高",OR(AH168="4～10个交易日",AH168="11～20个交易日")),AND(AG168="趋势波段",OR(AH168="11～20个交易日",AH168="21～60个交易日",AH168="60个交易日以上"))),"匹配","周期与交易预期不匹配，请重新确认"))</f>
        <v/>
      </c>
      <c r="AK168" s="13" t="str">
        <f aca="false">IF(A168="","",COUNTIFS(加仓管理!$A$2:$A$1001,A168,加仓管理!$G$2:$G$1001,"&gt;0"))</f>
        <v/>
      </c>
      <c r="AL168" s="13" t="str">
        <f aca="false">IF(A168="","",SUMIFS(加仓管理!$G$2:$G$1001,加仓管理!$A$2:$A$1001,A168))</f>
        <v/>
      </c>
      <c r="AM168" s="14" t="str">
        <f aca="false">IF(AK168=0,"",IFERROR(LOOKUP(2,1/((加仓管理!$A$2:$A$1001=A168)*(加仓管理!$G$2:$G$1001&gt;0)),加仓管理!$D$2:$D$1001),""))</f>
        <v/>
      </c>
      <c r="AN168" s="14" t="str">
        <f aca="false">IF(AK168=0,"",IFERROR(LOOKUP(2,1/((加仓管理!$A$2:$A$1001=A168)*(加仓管理!$G$2:$G$1001&gt;0)),加仓管理!$E$2:$E$1001),""))</f>
        <v/>
      </c>
      <c r="AO168" s="14" t="str">
        <f aca="false">IF(OR(A168="",H168="",H168&lt;=0),"",(E168*H168+SUMIFS(加仓管理!$H$2:$H$1001,加仓管理!$A$2:$A$1001,A168))/AP168)</f>
        <v/>
      </c>
      <c r="AP168" s="13" t="str">
        <f aca="false">IF(OR(A168="",H168="",H168&lt;=0),"",H168+AL168)</f>
        <v/>
      </c>
      <c r="AQ168" s="14" t="str">
        <f aca="false">IF(A168="","",IF(M168&lt;&gt;"",0,IF(OR(H168="",N168=""),"",MAX((E168*H168+SUMIFS(加仓管理!$H$2:$H$1001,加仓管理!$A$2:$A$1001,A168))-MAX(N168,AN168)*AP168,0))))</f>
        <v/>
      </c>
      <c r="AR168" s="15" t="str">
        <f aca="false">IF(A168="","",IF(OR(E168="",H168=""),"违规：首次买入价格或股数缺失",IF(COUNTIFS(加仓管理!$A$2:$A$1001,A168,加仓管理!$R$2:$R$1001,"违规*")&gt;0,"违规：请检查加仓管理表",IF(SUM($AQ$2:$AQ$201)&gt;账户数据!$B$7,"预警：超过账户风险上限",IF(COUNTIFS(加仓管理!$A$2:$A$1001,A168,加仓管理!$N$2:$N$1001,"&gt;0",加仓管理!$G$2:$G$1001,"")&gt;0,"提示：存在待执行加仓计划","通过")))))</f>
        <v/>
      </c>
    </row>
    <row r="169" customFormat="false" ht="13.5" hidden="false" customHeight="false" outlineLevel="0" collapsed="false">
      <c r="A169" s="4"/>
      <c r="B169" s="4"/>
      <c r="C169" s="5"/>
      <c r="D169" s="6"/>
      <c r="E169" s="5"/>
      <c r="F169" s="7" t="str">
        <f aca="false">IF(OR(C169="",D169="",E169="",N169="",C169&lt;=0,D169&lt;=0,E169&lt;=N169),"",ROUNDDOWN((C169*D169)/(E169-N169)/100,0)*100)</f>
        <v/>
      </c>
      <c r="G169" s="7" t="str">
        <f aca="false">IF(A169="","",IF(H169&lt;&gt;"","已开仓",IF(账户数据!$B$23="已锁仓","禁止开仓：连续亏损达到上限",IF(账户数据!$B$23="解锁信息不完整","禁止开仓：请完整填写解锁信息",IF(OR(F169="",E169="",N169="",E169&lt;=N169,账户数据!$B$7=""),"",IF(OR(AG169="",AH169="",AI169=""),"禁止开仓：交易预期未填写完整",IF(账户数据!$B$9+F169*(E169-N169)&gt;=账户数据!$B$7,"禁止开仓：风险额度不足",IF(AJ169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9" s="4"/>
      <c r="I169" s="8"/>
      <c r="J169" s="5"/>
      <c r="K169" s="11"/>
      <c r="L169" s="7" t="str">
        <f aca="false">IF(AP169="","",AP169)</f>
        <v/>
      </c>
      <c r="M169" s="19"/>
      <c r="N169" s="5"/>
      <c r="O169" s="5"/>
      <c r="P169" s="11"/>
      <c r="Q169" s="4"/>
      <c r="R169" s="4"/>
      <c r="S169" s="4"/>
      <c r="T169" s="4"/>
      <c r="U169" s="9" t="str">
        <f aca="false">IF(OR(AO169="",J169="",AO169&lt;=0),"",(J169-AO169)/AO169)</f>
        <v/>
      </c>
      <c r="V169" s="9" t="str">
        <f aca="false">IF(OR(AO169="",N169="",AO169&lt;=0),"",(AO169-N169)/AO169)</f>
        <v/>
      </c>
      <c r="W169" s="10" t="str">
        <f aca="false">IF(OR(U169="",V169="",V169&lt;=0),"",U169/V169)</f>
        <v/>
      </c>
      <c r="X169" s="11" t="str">
        <f aca="false">IF(OR(K169="",L169="",AO169="",AP169=""),"",(K169-AO169)*L169-IF(O169="",0,O169)-IF(P169="",0,P169))</f>
        <v/>
      </c>
      <c r="Y169" s="9" t="str">
        <f aca="false">IF(OR(X169="",AO169="",L169=""),"",IF(AO169*L169+IF(O169="",0,O169)&lt;=0,"",X169/(AO169*L169+IF(O169="",0,O169))))</f>
        <v/>
      </c>
      <c r="Z169" s="9" t="str">
        <f aca="false">IF(OR(AE169="",多次统计数据!$B$8=""),"",AE169-多次统计数据!$B$8)</f>
        <v/>
      </c>
      <c r="AA169" s="12" t="str">
        <f aca="false">IF(OR(I169="",M169="",M169&lt;I169),"",M169-I169)</f>
        <v/>
      </c>
      <c r="AB169" s="9" t="str">
        <f aca="false">IF(OR(A169="",多次统计数据!$B$8="",多次统计数据!$B$6&lt;=0,多次统计数据!$B$6&gt;=1),"",1-POWER(1+多次统计数据!$B$8,-多次统计数据!$B$6/(1-多次统计数据!$B$6)))</f>
        <v/>
      </c>
      <c r="AC169" s="7" t="str">
        <f aca="false">IF(OR(AB169="",多次统计数据!$B$9=""),"",IF(多次统计数据!$B$9&lt;AB169,"低于上限","达到或超过上限"))</f>
        <v/>
      </c>
      <c r="AD169" s="4"/>
      <c r="AE169" s="9" t="str">
        <f aca="false">IF(OR(X169="",C169="",C169&lt;=0),"",X169/C169)</f>
        <v/>
      </c>
      <c r="AG169" s="4"/>
      <c r="AH169" s="4"/>
      <c r="AI169" s="4"/>
      <c r="AJ169" s="7" t="str">
        <f aca="false">IF(OR(AG169="",AH169=""),"",IF(OR(AND(AG169="短期博反弹",OR(AH169="1～3个交易日",AH169="4～10个交易日")),AND(AG169="突破冲新高",OR(AH169="4～10个交易日",AH169="11～20个交易日")),AND(AG169="趋势波段",OR(AH169="11～20个交易日",AH169="21～60个交易日",AH169="60个交易日以上"))),"匹配","周期与交易预期不匹配，请重新确认"))</f>
        <v/>
      </c>
      <c r="AK169" s="13" t="str">
        <f aca="false">IF(A169="","",COUNTIFS(加仓管理!$A$2:$A$1001,A169,加仓管理!$G$2:$G$1001,"&gt;0"))</f>
        <v/>
      </c>
      <c r="AL169" s="13" t="str">
        <f aca="false">IF(A169="","",SUMIFS(加仓管理!$G$2:$G$1001,加仓管理!$A$2:$A$1001,A169))</f>
        <v/>
      </c>
      <c r="AM169" s="14" t="str">
        <f aca="false">IF(AK169=0,"",IFERROR(LOOKUP(2,1/((加仓管理!$A$2:$A$1001=A169)*(加仓管理!$G$2:$G$1001&gt;0)),加仓管理!$D$2:$D$1001),""))</f>
        <v/>
      </c>
      <c r="AN169" s="14" t="str">
        <f aca="false">IF(AK169=0,"",IFERROR(LOOKUP(2,1/((加仓管理!$A$2:$A$1001=A169)*(加仓管理!$G$2:$G$1001&gt;0)),加仓管理!$E$2:$E$1001),""))</f>
        <v/>
      </c>
      <c r="AO169" s="14" t="str">
        <f aca="false">IF(OR(A169="",H169="",H169&lt;=0),"",(E169*H169+SUMIFS(加仓管理!$H$2:$H$1001,加仓管理!$A$2:$A$1001,A169))/AP169)</f>
        <v/>
      </c>
      <c r="AP169" s="13" t="str">
        <f aca="false">IF(OR(A169="",H169="",H169&lt;=0),"",H169+AL169)</f>
        <v/>
      </c>
      <c r="AQ169" s="14" t="str">
        <f aca="false">IF(A169="","",IF(M169&lt;&gt;"",0,IF(OR(H169="",N169=""),"",MAX((E169*H169+SUMIFS(加仓管理!$H$2:$H$1001,加仓管理!$A$2:$A$1001,A169))-MAX(N169,AN169)*AP169,0))))</f>
        <v/>
      </c>
      <c r="AR169" s="15" t="str">
        <f aca="false">IF(A169="","",IF(OR(E169="",H169=""),"违规：首次买入价格或股数缺失",IF(COUNTIFS(加仓管理!$A$2:$A$1001,A169,加仓管理!$R$2:$R$1001,"违规*")&gt;0,"违规：请检查加仓管理表",IF(SUM($AQ$2:$AQ$201)&gt;账户数据!$B$7,"预警：超过账户风险上限",IF(COUNTIFS(加仓管理!$A$2:$A$1001,A169,加仓管理!$N$2:$N$1001,"&gt;0",加仓管理!$G$2:$G$1001,"")&gt;0,"提示：存在待执行加仓计划","通过")))))</f>
        <v/>
      </c>
    </row>
    <row r="170" customFormat="false" ht="13.5" hidden="false" customHeight="false" outlineLevel="0" collapsed="false">
      <c r="A170" s="4"/>
      <c r="B170" s="4"/>
      <c r="C170" s="5"/>
      <c r="D170" s="6"/>
      <c r="E170" s="5"/>
      <c r="F170" s="7" t="str">
        <f aca="false">IF(OR(C170="",D170="",E170="",N170="",C170&lt;=0,D170&lt;=0,E170&lt;=N170),"",ROUNDDOWN((C170*D170)/(E170-N170)/100,0)*100)</f>
        <v/>
      </c>
      <c r="G170" s="7" t="str">
        <f aca="false">IF(A170="","",IF(H170&lt;&gt;"","已开仓",IF(账户数据!$B$23="已锁仓","禁止开仓：连续亏损达到上限",IF(账户数据!$B$23="解锁信息不完整","禁止开仓：请完整填写解锁信息",IF(OR(F170="",E170="",N170="",E170&lt;=N170,账户数据!$B$7=""),"",IF(OR(AG170="",AH170="",AI170=""),"禁止开仓：交易预期未填写完整",IF(账户数据!$B$9+F170*(E170-N170)&gt;=账户数据!$B$7,"禁止开仓：风险额度不足",IF(AJ170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0" s="4"/>
      <c r="I170" s="8"/>
      <c r="J170" s="5"/>
      <c r="K170" s="11"/>
      <c r="L170" s="7" t="str">
        <f aca="false">IF(AP170="","",AP170)</f>
        <v/>
      </c>
      <c r="M170" s="19"/>
      <c r="N170" s="5"/>
      <c r="O170" s="5"/>
      <c r="P170" s="11"/>
      <c r="Q170" s="4"/>
      <c r="R170" s="4"/>
      <c r="S170" s="4"/>
      <c r="T170" s="4"/>
      <c r="U170" s="9" t="str">
        <f aca="false">IF(OR(AO170="",J170="",AO170&lt;=0),"",(J170-AO170)/AO170)</f>
        <v/>
      </c>
      <c r="V170" s="9" t="str">
        <f aca="false">IF(OR(AO170="",N170="",AO170&lt;=0),"",(AO170-N170)/AO170)</f>
        <v/>
      </c>
      <c r="W170" s="10" t="str">
        <f aca="false">IF(OR(U170="",V170="",V170&lt;=0),"",U170/V170)</f>
        <v/>
      </c>
      <c r="X170" s="11" t="str">
        <f aca="false">IF(OR(K170="",L170="",AO170="",AP170=""),"",(K170-AO170)*L170-IF(O170="",0,O170)-IF(P170="",0,P170))</f>
        <v/>
      </c>
      <c r="Y170" s="9" t="str">
        <f aca="false">IF(OR(X170="",AO170="",L170=""),"",IF(AO170*L170+IF(O170="",0,O170)&lt;=0,"",X170/(AO170*L170+IF(O170="",0,O170))))</f>
        <v/>
      </c>
      <c r="Z170" s="9" t="str">
        <f aca="false">IF(OR(AE170="",多次统计数据!$B$8=""),"",AE170-多次统计数据!$B$8)</f>
        <v/>
      </c>
      <c r="AA170" s="12" t="str">
        <f aca="false">IF(OR(I170="",M170="",M170&lt;I170),"",M170-I170)</f>
        <v/>
      </c>
      <c r="AB170" s="9" t="str">
        <f aca="false">IF(OR(A170="",多次统计数据!$B$8="",多次统计数据!$B$6&lt;=0,多次统计数据!$B$6&gt;=1),"",1-POWER(1+多次统计数据!$B$8,-多次统计数据!$B$6/(1-多次统计数据!$B$6)))</f>
        <v/>
      </c>
      <c r="AC170" s="7" t="str">
        <f aca="false">IF(OR(AB170="",多次统计数据!$B$9=""),"",IF(多次统计数据!$B$9&lt;AB170,"低于上限","达到或超过上限"))</f>
        <v/>
      </c>
      <c r="AD170" s="4"/>
      <c r="AE170" s="9" t="str">
        <f aca="false">IF(OR(X170="",C170="",C170&lt;=0),"",X170/C170)</f>
        <v/>
      </c>
      <c r="AG170" s="4"/>
      <c r="AH170" s="4"/>
      <c r="AI170" s="4"/>
      <c r="AJ170" s="7" t="str">
        <f aca="false">IF(OR(AG170="",AH170=""),"",IF(OR(AND(AG170="短期博反弹",OR(AH170="1～3个交易日",AH170="4～10个交易日")),AND(AG170="突破冲新高",OR(AH170="4～10个交易日",AH170="11～20个交易日")),AND(AG170="趋势波段",OR(AH170="11～20个交易日",AH170="21～60个交易日",AH170="60个交易日以上"))),"匹配","周期与交易预期不匹配，请重新确认"))</f>
        <v/>
      </c>
      <c r="AK170" s="13" t="str">
        <f aca="false">IF(A170="","",COUNTIFS(加仓管理!$A$2:$A$1001,A170,加仓管理!$G$2:$G$1001,"&gt;0"))</f>
        <v/>
      </c>
      <c r="AL170" s="13" t="str">
        <f aca="false">IF(A170="","",SUMIFS(加仓管理!$G$2:$G$1001,加仓管理!$A$2:$A$1001,A170))</f>
        <v/>
      </c>
      <c r="AM170" s="14" t="str">
        <f aca="false">IF(AK170=0,"",IFERROR(LOOKUP(2,1/((加仓管理!$A$2:$A$1001=A170)*(加仓管理!$G$2:$G$1001&gt;0)),加仓管理!$D$2:$D$1001),""))</f>
        <v/>
      </c>
      <c r="AN170" s="14" t="str">
        <f aca="false">IF(AK170=0,"",IFERROR(LOOKUP(2,1/((加仓管理!$A$2:$A$1001=A170)*(加仓管理!$G$2:$G$1001&gt;0)),加仓管理!$E$2:$E$1001),""))</f>
        <v/>
      </c>
      <c r="AO170" s="14" t="str">
        <f aca="false">IF(OR(A170="",H170="",H170&lt;=0),"",(E170*H170+SUMIFS(加仓管理!$H$2:$H$1001,加仓管理!$A$2:$A$1001,A170))/AP170)</f>
        <v/>
      </c>
      <c r="AP170" s="13" t="str">
        <f aca="false">IF(OR(A170="",H170="",H170&lt;=0),"",H170+AL170)</f>
        <v/>
      </c>
      <c r="AQ170" s="14" t="str">
        <f aca="false">IF(A170="","",IF(M170&lt;&gt;"",0,IF(OR(H170="",N170=""),"",MAX((E170*H170+SUMIFS(加仓管理!$H$2:$H$1001,加仓管理!$A$2:$A$1001,A170))-MAX(N170,AN170)*AP170,0))))</f>
        <v/>
      </c>
      <c r="AR170" s="15" t="str">
        <f aca="false">IF(A170="","",IF(OR(E170="",H170=""),"违规：首次买入价格或股数缺失",IF(COUNTIFS(加仓管理!$A$2:$A$1001,A170,加仓管理!$R$2:$R$1001,"违规*")&gt;0,"违规：请检查加仓管理表",IF(SUM($AQ$2:$AQ$201)&gt;账户数据!$B$7,"预警：超过账户风险上限",IF(COUNTIFS(加仓管理!$A$2:$A$1001,A170,加仓管理!$N$2:$N$1001,"&gt;0",加仓管理!$G$2:$G$1001,"")&gt;0,"提示：存在待执行加仓计划","通过")))))</f>
        <v/>
      </c>
    </row>
    <row r="171" customFormat="false" ht="13.5" hidden="false" customHeight="false" outlineLevel="0" collapsed="false">
      <c r="A171" s="4"/>
      <c r="B171" s="4"/>
      <c r="C171" s="5"/>
      <c r="D171" s="6"/>
      <c r="E171" s="5"/>
      <c r="F171" s="7" t="str">
        <f aca="false">IF(OR(C171="",D171="",E171="",N171="",C171&lt;=0,D171&lt;=0,E171&lt;=N171),"",ROUNDDOWN((C171*D171)/(E171-N171)/100,0)*100)</f>
        <v/>
      </c>
      <c r="G171" s="7" t="str">
        <f aca="false">IF(A171="","",IF(H171&lt;&gt;"","已开仓",IF(账户数据!$B$23="已锁仓","禁止开仓：连续亏损达到上限",IF(账户数据!$B$23="解锁信息不完整","禁止开仓：请完整填写解锁信息",IF(OR(F171="",E171="",N171="",E171&lt;=N171,账户数据!$B$7=""),"",IF(OR(AG171="",AH171="",AI171=""),"禁止开仓：交易预期未填写完整",IF(账户数据!$B$9+F171*(E171-N171)&gt;=账户数据!$B$7,"禁止开仓：风险额度不足",IF(AJ171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1" s="4"/>
      <c r="I171" s="8"/>
      <c r="J171" s="5"/>
      <c r="K171" s="11"/>
      <c r="L171" s="7" t="str">
        <f aca="false">IF(AP171="","",AP171)</f>
        <v/>
      </c>
      <c r="M171" s="19"/>
      <c r="N171" s="5"/>
      <c r="O171" s="5"/>
      <c r="P171" s="11"/>
      <c r="Q171" s="4"/>
      <c r="R171" s="4"/>
      <c r="S171" s="4"/>
      <c r="T171" s="4"/>
      <c r="U171" s="9" t="str">
        <f aca="false">IF(OR(AO171="",J171="",AO171&lt;=0),"",(J171-AO171)/AO171)</f>
        <v/>
      </c>
      <c r="V171" s="9" t="str">
        <f aca="false">IF(OR(AO171="",N171="",AO171&lt;=0),"",(AO171-N171)/AO171)</f>
        <v/>
      </c>
      <c r="W171" s="10" t="str">
        <f aca="false">IF(OR(U171="",V171="",V171&lt;=0),"",U171/V171)</f>
        <v/>
      </c>
      <c r="X171" s="11" t="str">
        <f aca="false">IF(OR(K171="",L171="",AO171="",AP171=""),"",(K171-AO171)*L171-IF(O171="",0,O171)-IF(P171="",0,P171))</f>
        <v/>
      </c>
      <c r="Y171" s="9" t="str">
        <f aca="false">IF(OR(X171="",AO171="",L171=""),"",IF(AO171*L171+IF(O171="",0,O171)&lt;=0,"",X171/(AO171*L171+IF(O171="",0,O171))))</f>
        <v/>
      </c>
      <c r="Z171" s="9" t="str">
        <f aca="false">IF(OR(AE171="",多次统计数据!$B$8=""),"",AE171-多次统计数据!$B$8)</f>
        <v/>
      </c>
      <c r="AA171" s="12" t="str">
        <f aca="false">IF(OR(I171="",M171="",M171&lt;I171),"",M171-I171)</f>
        <v/>
      </c>
      <c r="AB171" s="9" t="str">
        <f aca="false">IF(OR(A171="",多次统计数据!$B$8="",多次统计数据!$B$6&lt;=0,多次统计数据!$B$6&gt;=1),"",1-POWER(1+多次统计数据!$B$8,-多次统计数据!$B$6/(1-多次统计数据!$B$6)))</f>
        <v/>
      </c>
      <c r="AC171" s="7" t="str">
        <f aca="false">IF(OR(AB171="",多次统计数据!$B$9=""),"",IF(多次统计数据!$B$9&lt;AB171,"低于上限","达到或超过上限"))</f>
        <v/>
      </c>
      <c r="AD171" s="4"/>
      <c r="AE171" s="9" t="str">
        <f aca="false">IF(OR(X171="",C171="",C171&lt;=0),"",X171/C171)</f>
        <v/>
      </c>
      <c r="AG171" s="4"/>
      <c r="AH171" s="4"/>
      <c r="AI171" s="4"/>
      <c r="AJ171" s="7" t="str">
        <f aca="false">IF(OR(AG171="",AH171=""),"",IF(OR(AND(AG171="短期博反弹",OR(AH171="1～3个交易日",AH171="4～10个交易日")),AND(AG171="突破冲新高",OR(AH171="4～10个交易日",AH171="11～20个交易日")),AND(AG171="趋势波段",OR(AH171="11～20个交易日",AH171="21～60个交易日",AH171="60个交易日以上"))),"匹配","周期与交易预期不匹配，请重新确认"))</f>
        <v/>
      </c>
      <c r="AK171" s="13" t="str">
        <f aca="false">IF(A171="","",COUNTIFS(加仓管理!$A$2:$A$1001,A171,加仓管理!$G$2:$G$1001,"&gt;0"))</f>
        <v/>
      </c>
      <c r="AL171" s="13" t="str">
        <f aca="false">IF(A171="","",SUMIFS(加仓管理!$G$2:$G$1001,加仓管理!$A$2:$A$1001,A171))</f>
        <v/>
      </c>
      <c r="AM171" s="14" t="str">
        <f aca="false">IF(AK171=0,"",IFERROR(LOOKUP(2,1/((加仓管理!$A$2:$A$1001=A171)*(加仓管理!$G$2:$G$1001&gt;0)),加仓管理!$D$2:$D$1001),""))</f>
        <v/>
      </c>
      <c r="AN171" s="14" t="str">
        <f aca="false">IF(AK171=0,"",IFERROR(LOOKUP(2,1/((加仓管理!$A$2:$A$1001=A171)*(加仓管理!$G$2:$G$1001&gt;0)),加仓管理!$E$2:$E$1001),""))</f>
        <v/>
      </c>
      <c r="AO171" s="14" t="str">
        <f aca="false">IF(OR(A171="",H171="",H171&lt;=0),"",(E171*H171+SUMIFS(加仓管理!$H$2:$H$1001,加仓管理!$A$2:$A$1001,A171))/AP171)</f>
        <v/>
      </c>
      <c r="AP171" s="13" t="str">
        <f aca="false">IF(OR(A171="",H171="",H171&lt;=0),"",H171+AL171)</f>
        <v/>
      </c>
      <c r="AQ171" s="14" t="str">
        <f aca="false">IF(A171="","",IF(M171&lt;&gt;"",0,IF(OR(H171="",N171=""),"",MAX((E171*H171+SUMIFS(加仓管理!$H$2:$H$1001,加仓管理!$A$2:$A$1001,A171))-MAX(N171,AN171)*AP171,0))))</f>
        <v/>
      </c>
      <c r="AR171" s="15" t="str">
        <f aca="false">IF(A171="","",IF(OR(E171="",H171=""),"违规：首次买入价格或股数缺失",IF(COUNTIFS(加仓管理!$A$2:$A$1001,A171,加仓管理!$R$2:$R$1001,"违规*")&gt;0,"违规：请检查加仓管理表",IF(SUM($AQ$2:$AQ$201)&gt;账户数据!$B$7,"预警：超过账户风险上限",IF(COUNTIFS(加仓管理!$A$2:$A$1001,A171,加仓管理!$N$2:$N$1001,"&gt;0",加仓管理!$G$2:$G$1001,"")&gt;0,"提示：存在待执行加仓计划","通过")))))</f>
        <v/>
      </c>
    </row>
    <row r="172" customFormat="false" ht="13.5" hidden="false" customHeight="false" outlineLevel="0" collapsed="false">
      <c r="A172" s="4"/>
      <c r="B172" s="4"/>
      <c r="C172" s="5"/>
      <c r="D172" s="6"/>
      <c r="E172" s="5"/>
      <c r="F172" s="7" t="str">
        <f aca="false">IF(OR(C172="",D172="",E172="",N172="",C172&lt;=0,D172&lt;=0,E172&lt;=N172),"",ROUNDDOWN((C172*D172)/(E172-N172)/100,0)*100)</f>
        <v/>
      </c>
      <c r="G172" s="7" t="str">
        <f aca="false">IF(A172="","",IF(H172&lt;&gt;"","已开仓",IF(账户数据!$B$23="已锁仓","禁止开仓：连续亏损达到上限",IF(账户数据!$B$23="解锁信息不完整","禁止开仓：请完整填写解锁信息",IF(OR(F172="",E172="",N172="",E172&lt;=N172,账户数据!$B$7=""),"",IF(OR(AG172="",AH172="",AI172=""),"禁止开仓：交易预期未填写完整",IF(账户数据!$B$9+F172*(E172-N172)&gt;=账户数据!$B$7,"禁止开仓：风险额度不足",IF(AJ172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2" s="4"/>
      <c r="I172" s="8"/>
      <c r="J172" s="5"/>
      <c r="K172" s="11"/>
      <c r="L172" s="7" t="str">
        <f aca="false">IF(AP172="","",AP172)</f>
        <v/>
      </c>
      <c r="M172" s="19"/>
      <c r="N172" s="5"/>
      <c r="O172" s="5"/>
      <c r="P172" s="11"/>
      <c r="Q172" s="4"/>
      <c r="R172" s="4"/>
      <c r="S172" s="4"/>
      <c r="T172" s="4"/>
      <c r="U172" s="9" t="str">
        <f aca="false">IF(OR(AO172="",J172="",AO172&lt;=0),"",(J172-AO172)/AO172)</f>
        <v/>
      </c>
      <c r="V172" s="9" t="str">
        <f aca="false">IF(OR(AO172="",N172="",AO172&lt;=0),"",(AO172-N172)/AO172)</f>
        <v/>
      </c>
      <c r="W172" s="10" t="str">
        <f aca="false">IF(OR(U172="",V172="",V172&lt;=0),"",U172/V172)</f>
        <v/>
      </c>
      <c r="X172" s="11" t="str">
        <f aca="false">IF(OR(K172="",L172="",AO172="",AP172=""),"",(K172-AO172)*L172-IF(O172="",0,O172)-IF(P172="",0,P172))</f>
        <v/>
      </c>
      <c r="Y172" s="9" t="str">
        <f aca="false">IF(OR(X172="",AO172="",L172=""),"",IF(AO172*L172+IF(O172="",0,O172)&lt;=0,"",X172/(AO172*L172+IF(O172="",0,O172))))</f>
        <v/>
      </c>
      <c r="Z172" s="9" t="str">
        <f aca="false">IF(OR(AE172="",多次统计数据!$B$8=""),"",AE172-多次统计数据!$B$8)</f>
        <v/>
      </c>
      <c r="AA172" s="12" t="str">
        <f aca="false">IF(OR(I172="",M172="",M172&lt;I172),"",M172-I172)</f>
        <v/>
      </c>
      <c r="AB172" s="9" t="str">
        <f aca="false">IF(OR(A172="",多次统计数据!$B$8="",多次统计数据!$B$6&lt;=0,多次统计数据!$B$6&gt;=1),"",1-POWER(1+多次统计数据!$B$8,-多次统计数据!$B$6/(1-多次统计数据!$B$6)))</f>
        <v/>
      </c>
      <c r="AC172" s="7" t="str">
        <f aca="false">IF(OR(AB172="",多次统计数据!$B$9=""),"",IF(多次统计数据!$B$9&lt;AB172,"低于上限","达到或超过上限"))</f>
        <v/>
      </c>
      <c r="AD172" s="4"/>
      <c r="AE172" s="9" t="str">
        <f aca="false">IF(OR(X172="",C172="",C172&lt;=0),"",X172/C172)</f>
        <v/>
      </c>
      <c r="AG172" s="4"/>
      <c r="AH172" s="4"/>
      <c r="AI172" s="4"/>
      <c r="AJ172" s="7" t="str">
        <f aca="false">IF(OR(AG172="",AH172=""),"",IF(OR(AND(AG172="短期博反弹",OR(AH172="1～3个交易日",AH172="4～10个交易日")),AND(AG172="突破冲新高",OR(AH172="4～10个交易日",AH172="11～20个交易日")),AND(AG172="趋势波段",OR(AH172="11～20个交易日",AH172="21～60个交易日",AH172="60个交易日以上"))),"匹配","周期与交易预期不匹配，请重新确认"))</f>
        <v/>
      </c>
      <c r="AK172" s="13" t="str">
        <f aca="false">IF(A172="","",COUNTIFS(加仓管理!$A$2:$A$1001,A172,加仓管理!$G$2:$G$1001,"&gt;0"))</f>
        <v/>
      </c>
      <c r="AL172" s="13" t="str">
        <f aca="false">IF(A172="","",SUMIFS(加仓管理!$G$2:$G$1001,加仓管理!$A$2:$A$1001,A172))</f>
        <v/>
      </c>
      <c r="AM172" s="14" t="str">
        <f aca="false">IF(AK172=0,"",IFERROR(LOOKUP(2,1/((加仓管理!$A$2:$A$1001=A172)*(加仓管理!$G$2:$G$1001&gt;0)),加仓管理!$D$2:$D$1001),""))</f>
        <v/>
      </c>
      <c r="AN172" s="14" t="str">
        <f aca="false">IF(AK172=0,"",IFERROR(LOOKUP(2,1/((加仓管理!$A$2:$A$1001=A172)*(加仓管理!$G$2:$G$1001&gt;0)),加仓管理!$E$2:$E$1001),""))</f>
        <v/>
      </c>
      <c r="AO172" s="14" t="str">
        <f aca="false">IF(OR(A172="",H172="",H172&lt;=0),"",(E172*H172+SUMIFS(加仓管理!$H$2:$H$1001,加仓管理!$A$2:$A$1001,A172))/AP172)</f>
        <v/>
      </c>
      <c r="AP172" s="13" t="str">
        <f aca="false">IF(OR(A172="",H172="",H172&lt;=0),"",H172+AL172)</f>
        <v/>
      </c>
      <c r="AQ172" s="14" t="str">
        <f aca="false">IF(A172="","",IF(M172&lt;&gt;"",0,IF(OR(H172="",N172=""),"",MAX((E172*H172+SUMIFS(加仓管理!$H$2:$H$1001,加仓管理!$A$2:$A$1001,A172))-MAX(N172,AN172)*AP172,0))))</f>
        <v/>
      </c>
      <c r="AR172" s="15" t="str">
        <f aca="false">IF(A172="","",IF(OR(E172="",H172=""),"违规：首次买入价格或股数缺失",IF(COUNTIFS(加仓管理!$A$2:$A$1001,A172,加仓管理!$R$2:$R$1001,"违规*")&gt;0,"违规：请检查加仓管理表",IF(SUM($AQ$2:$AQ$201)&gt;账户数据!$B$7,"预警：超过账户风险上限",IF(COUNTIFS(加仓管理!$A$2:$A$1001,A172,加仓管理!$N$2:$N$1001,"&gt;0",加仓管理!$G$2:$G$1001,"")&gt;0,"提示：存在待执行加仓计划","通过")))))</f>
        <v/>
      </c>
    </row>
    <row r="173" customFormat="false" ht="13.5" hidden="false" customHeight="false" outlineLevel="0" collapsed="false">
      <c r="A173" s="4"/>
      <c r="B173" s="4"/>
      <c r="C173" s="5"/>
      <c r="D173" s="6"/>
      <c r="E173" s="5"/>
      <c r="F173" s="7" t="str">
        <f aca="false">IF(OR(C173="",D173="",E173="",N173="",C173&lt;=0,D173&lt;=0,E173&lt;=N173),"",ROUNDDOWN((C173*D173)/(E173-N173)/100,0)*100)</f>
        <v/>
      </c>
      <c r="G173" s="7" t="str">
        <f aca="false">IF(A173="","",IF(H173&lt;&gt;"","已开仓",IF(账户数据!$B$23="已锁仓","禁止开仓：连续亏损达到上限",IF(账户数据!$B$23="解锁信息不完整","禁止开仓：请完整填写解锁信息",IF(OR(F173="",E173="",N173="",E173&lt;=N173,账户数据!$B$7=""),"",IF(OR(AG173="",AH173="",AI173=""),"禁止开仓：交易预期未填写完整",IF(账户数据!$B$9+F173*(E173-N173)&gt;=账户数据!$B$7,"禁止开仓：风险额度不足",IF(AJ173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3" s="4"/>
      <c r="I173" s="8"/>
      <c r="J173" s="5"/>
      <c r="K173" s="11"/>
      <c r="L173" s="7" t="str">
        <f aca="false">IF(AP173="","",AP173)</f>
        <v/>
      </c>
      <c r="M173" s="19"/>
      <c r="N173" s="5"/>
      <c r="O173" s="5"/>
      <c r="P173" s="11"/>
      <c r="Q173" s="4"/>
      <c r="R173" s="4"/>
      <c r="S173" s="4"/>
      <c r="T173" s="4"/>
      <c r="U173" s="9" t="str">
        <f aca="false">IF(OR(AO173="",J173="",AO173&lt;=0),"",(J173-AO173)/AO173)</f>
        <v/>
      </c>
      <c r="V173" s="9" t="str">
        <f aca="false">IF(OR(AO173="",N173="",AO173&lt;=0),"",(AO173-N173)/AO173)</f>
        <v/>
      </c>
      <c r="W173" s="10" t="str">
        <f aca="false">IF(OR(U173="",V173="",V173&lt;=0),"",U173/V173)</f>
        <v/>
      </c>
      <c r="X173" s="11" t="str">
        <f aca="false">IF(OR(K173="",L173="",AO173="",AP173=""),"",(K173-AO173)*L173-IF(O173="",0,O173)-IF(P173="",0,P173))</f>
        <v/>
      </c>
      <c r="Y173" s="9" t="str">
        <f aca="false">IF(OR(X173="",AO173="",L173=""),"",IF(AO173*L173+IF(O173="",0,O173)&lt;=0,"",X173/(AO173*L173+IF(O173="",0,O173))))</f>
        <v/>
      </c>
      <c r="Z173" s="9" t="str">
        <f aca="false">IF(OR(AE173="",多次统计数据!$B$8=""),"",AE173-多次统计数据!$B$8)</f>
        <v/>
      </c>
      <c r="AA173" s="12" t="str">
        <f aca="false">IF(OR(I173="",M173="",M173&lt;I173),"",M173-I173)</f>
        <v/>
      </c>
      <c r="AB173" s="9" t="str">
        <f aca="false">IF(OR(A173="",多次统计数据!$B$8="",多次统计数据!$B$6&lt;=0,多次统计数据!$B$6&gt;=1),"",1-POWER(1+多次统计数据!$B$8,-多次统计数据!$B$6/(1-多次统计数据!$B$6)))</f>
        <v/>
      </c>
      <c r="AC173" s="7" t="str">
        <f aca="false">IF(OR(AB173="",多次统计数据!$B$9=""),"",IF(多次统计数据!$B$9&lt;AB173,"低于上限","达到或超过上限"))</f>
        <v/>
      </c>
      <c r="AD173" s="4"/>
      <c r="AE173" s="9" t="str">
        <f aca="false">IF(OR(X173="",C173="",C173&lt;=0),"",X173/C173)</f>
        <v/>
      </c>
      <c r="AG173" s="4"/>
      <c r="AH173" s="4"/>
      <c r="AI173" s="4"/>
      <c r="AJ173" s="7" t="str">
        <f aca="false">IF(OR(AG173="",AH173=""),"",IF(OR(AND(AG173="短期博反弹",OR(AH173="1～3个交易日",AH173="4～10个交易日")),AND(AG173="突破冲新高",OR(AH173="4～10个交易日",AH173="11～20个交易日")),AND(AG173="趋势波段",OR(AH173="11～20个交易日",AH173="21～60个交易日",AH173="60个交易日以上"))),"匹配","周期与交易预期不匹配，请重新确认"))</f>
        <v/>
      </c>
      <c r="AK173" s="13" t="str">
        <f aca="false">IF(A173="","",COUNTIFS(加仓管理!$A$2:$A$1001,A173,加仓管理!$G$2:$G$1001,"&gt;0"))</f>
        <v/>
      </c>
      <c r="AL173" s="13" t="str">
        <f aca="false">IF(A173="","",SUMIFS(加仓管理!$G$2:$G$1001,加仓管理!$A$2:$A$1001,A173))</f>
        <v/>
      </c>
      <c r="AM173" s="14" t="str">
        <f aca="false">IF(AK173=0,"",IFERROR(LOOKUP(2,1/((加仓管理!$A$2:$A$1001=A173)*(加仓管理!$G$2:$G$1001&gt;0)),加仓管理!$D$2:$D$1001),""))</f>
        <v/>
      </c>
      <c r="AN173" s="14" t="str">
        <f aca="false">IF(AK173=0,"",IFERROR(LOOKUP(2,1/((加仓管理!$A$2:$A$1001=A173)*(加仓管理!$G$2:$G$1001&gt;0)),加仓管理!$E$2:$E$1001),""))</f>
        <v/>
      </c>
      <c r="AO173" s="14" t="str">
        <f aca="false">IF(OR(A173="",H173="",H173&lt;=0),"",(E173*H173+SUMIFS(加仓管理!$H$2:$H$1001,加仓管理!$A$2:$A$1001,A173))/AP173)</f>
        <v/>
      </c>
      <c r="AP173" s="13" t="str">
        <f aca="false">IF(OR(A173="",H173="",H173&lt;=0),"",H173+AL173)</f>
        <v/>
      </c>
      <c r="AQ173" s="14" t="str">
        <f aca="false">IF(A173="","",IF(M173&lt;&gt;"",0,IF(OR(H173="",N173=""),"",MAX((E173*H173+SUMIFS(加仓管理!$H$2:$H$1001,加仓管理!$A$2:$A$1001,A173))-MAX(N173,AN173)*AP173,0))))</f>
        <v/>
      </c>
      <c r="AR173" s="15" t="str">
        <f aca="false">IF(A173="","",IF(OR(E173="",H173=""),"违规：首次买入价格或股数缺失",IF(COUNTIFS(加仓管理!$A$2:$A$1001,A173,加仓管理!$R$2:$R$1001,"违规*")&gt;0,"违规：请检查加仓管理表",IF(SUM($AQ$2:$AQ$201)&gt;账户数据!$B$7,"预警：超过账户风险上限",IF(COUNTIFS(加仓管理!$A$2:$A$1001,A173,加仓管理!$N$2:$N$1001,"&gt;0",加仓管理!$G$2:$G$1001,"")&gt;0,"提示：存在待执行加仓计划","通过")))))</f>
        <v/>
      </c>
    </row>
    <row r="174" customFormat="false" ht="13.5" hidden="false" customHeight="false" outlineLevel="0" collapsed="false">
      <c r="A174" s="4"/>
      <c r="B174" s="4"/>
      <c r="C174" s="5"/>
      <c r="D174" s="6"/>
      <c r="E174" s="5"/>
      <c r="F174" s="7" t="str">
        <f aca="false">IF(OR(C174="",D174="",E174="",N174="",C174&lt;=0,D174&lt;=0,E174&lt;=N174),"",ROUNDDOWN((C174*D174)/(E174-N174)/100,0)*100)</f>
        <v/>
      </c>
      <c r="G174" s="7" t="str">
        <f aca="false">IF(A174="","",IF(H174&lt;&gt;"","已开仓",IF(账户数据!$B$23="已锁仓","禁止开仓：连续亏损达到上限",IF(账户数据!$B$23="解锁信息不完整","禁止开仓：请完整填写解锁信息",IF(OR(F174="",E174="",N174="",E174&lt;=N174,账户数据!$B$7=""),"",IF(OR(AG174="",AH174="",AI174=""),"禁止开仓：交易预期未填写完整",IF(账户数据!$B$9+F174*(E174-N174)&gt;=账户数据!$B$7,"禁止开仓：风险额度不足",IF(AJ174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4" s="4"/>
      <c r="I174" s="8"/>
      <c r="J174" s="5"/>
      <c r="K174" s="11"/>
      <c r="L174" s="7" t="str">
        <f aca="false">IF(AP174="","",AP174)</f>
        <v/>
      </c>
      <c r="M174" s="19"/>
      <c r="N174" s="5"/>
      <c r="O174" s="5"/>
      <c r="P174" s="11"/>
      <c r="Q174" s="4"/>
      <c r="R174" s="4"/>
      <c r="S174" s="4"/>
      <c r="T174" s="4"/>
      <c r="U174" s="9" t="str">
        <f aca="false">IF(OR(AO174="",J174="",AO174&lt;=0),"",(J174-AO174)/AO174)</f>
        <v/>
      </c>
      <c r="V174" s="9" t="str">
        <f aca="false">IF(OR(AO174="",N174="",AO174&lt;=0),"",(AO174-N174)/AO174)</f>
        <v/>
      </c>
      <c r="W174" s="10" t="str">
        <f aca="false">IF(OR(U174="",V174="",V174&lt;=0),"",U174/V174)</f>
        <v/>
      </c>
      <c r="X174" s="11" t="str">
        <f aca="false">IF(OR(K174="",L174="",AO174="",AP174=""),"",(K174-AO174)*L174-IF(O174="",0,O174)-IF(P174="",0,P174))</f>
        <v/>
      </c>
      <c r="Y174" s="9" t="str">
        <f aca="false">IF(OR(X174="",AO174="",L174=""),"",IF(AO174*L174+IF(O174="",0,O174)&lt;=0,"",X174/(AO174*L174+IF(O174="",0,O174))))</f>
        <v/>
      </c>
      <c r="Z174" s="9" t="str">
        <f aca="false">IF(OR(AE174="",多次统计数据!$B$8=""),"",AE174-多次统计数据!$B$8)</f>
        <v/>
      </c>
      <c r="AA174" s="12" t="str">
        <f aca="false">IF(OR(I174="",M174="",M174&lt;I174),"",M174-I174)</f>
        <v/>
      </c>
      <c r="AB174" s="9" t="str">
        <f aca="false">IF(OR(A174="",多次统计数据!$B$8="",多次统计数据!$B$6&lt;=0,多次统计数据!$B$6&gt;=1),"",1-POWER(1+多次统计数据!$B$8,-多次统计数据!$B$6/(1-多次统计数据!$B$6)))</f>
        <v/>
      </c>
      <c r="AC174" s="7" t="str">
        <f aca="false">IF(OR(AB174="",多次统计数据!$B$9=""),"",IF(多次统计数据!$B$9&lt;AB174,"低于上限","达到或超过上限"))</f>
        <v/>
      </c>
      <c r="AD174" s="4"/>
      <c r="AE174" s="9" t="str">
        <f aca="false">IF(OR(X174="",C174="",C174&lt;=0),"",X174/C174)</f>
        <v/>
      </c>
      <c r="AG174" s="4"/>
      <c r="AH174" s="4"/>
      <c r="AI174" s="4"/>
      <c r="AJ174" s="7" t="str">
        <f aca="false">IF(OR(AG174="",AH174=""),"",IF(OR(AND(AG174="短期博反弹",OR(AH174="1～3个交易日",AH174="4～10个交易日")),AND(AG174="突破冲新高",OR(AH174="4～10个交易日",AH174="11～20个交易日")),AND(AG174="趋势波段",OR(AH174="11～20个交易日",AH174="21～60个交易日",AH174="60个交易日以上"))),"匹配","周期与交易预期不匹配，请重新确认"))</f>
        <v/>
      </c>
      <c r="AK174" s="13" t="str">
        <f aca="false">IF(A174="","",COUNTIFS(加仓管理!$A$2:$A$1001,A174,加仓管理!$G$2:$G$1001,"&gt;0"))</f>
        <v/>
      </c>
      <c r="AL174" s="13" t="str">
        <f aca="false">IF(A174="","",SUMIFS(加仓管理!$G$2:$G$1001,加仓管理!$A$2:$A$1001,A174))</f>
        <v/>
      </c>
      <c r="AM174" s="14" t="str">
        <f aca="false">IF(AK174=0,"",IFERROR(LOOKUP(2,1/((加仓管理!$A$2:$A$1001=A174)*(加仓管理!$G$2:$G$1001&gt;0)),加仓管理!$D$2:$D$1001),""))</f>
        <v/>
      </c>
      <c r="AN174" s="14" t="str">
        <f aca="false">IF(AK174=0,"",IFERROR(LOOKUP(2,1/((加仓管理!$A$2:$A$1001=A174)*(加仓管理!$G$2:$G$1001&gt;0)),加仓管理!$E$2:$E$1001),""))</f>
        <v/>
      </c>
      <c r="AO174" s="14" t="str">
        <f aca="false">IF(OR(A174="",H174="",H174&lt;=0),"",(E174*H174+SUMIFS(加仓管理!$H$2:$H$1001,加仓管理!$A$2:$A$1001,A174))/AP174)</f>
        <v/>
      </c>
      <c r="AP174" s="13" t="str">
        <f aca="false">IF(OR(A174="",H174="",H174&lt;=0),"",H174+AL174)</f>
        <v/>
      </c>
      <c r="AQ174" s="14" t="str">
        <f aca="false">IF(A174="","",IF(M174&lt;&gt;"",0,IF(OR(H174="",N174=""),"",MAX((E174*H174+SUMIFS(加仓管理!$H$2:$H$1001,加仓管理!$A$2:$A$1001,A174))-MAX(N174,AN174)*AP174,0))))</f>
        <v/>
      </c>
      <c r="AR174" s="15" t="str">
        <f aca="false">IF(A174="","",IF(OR(E174="",H174=""),"违规：首次买入价格或股数缺失",IF(COUNTIFS(加仓管理!$A$2:$A$1001,A174,加仓管理!$R$2:$R$1001,"违规*")&gt;0,"违规：请检查加仓管理表",IF(SUM($AQ$2:$AQ$201)&gt;账户数据!$B$7,"预警：超过账户风险上限",IF(COUNTIFS(加仓管理!$A$2:$A$1001,A174,加仓管理!$N$2:$N$1001,"&gt;0",加仓管理!$G$2:$G$1001,"")&gt;0,"提示：存在待执行加仓计划","通过")))))</f>
        <v/>
      </c>
    </row>
    <row r="175" customFormat="false" ht="13.5" hidden="false" customHeight="false" outlineLevel="0" collapsed="false">
      <c r="A175" s="4"/>
      <c r="B175" s="4"/>
      <c r="C175" s="5"/>
      <c r="D175" s="6"/>
      <c r="E175" s="5"/>
      <c r="F175" s="7" t="str">
        <f aca="false">IF(OR(C175="",D175="",E175="",N175="",C175&lt;=0,D175&lt;=0,E175&lt;=N175),"",ROUNDDOWN((C175*D175)/(E175-N175)/100,0)*100)</f>
        <v/>
      </c>
      <c r="G175" s="7" t="str">
        <f aca="false">IF(A175="","",IF(H175&lt;&gt;"","已开仓",IF(账户数据!$B$23="已锁仓","禁止开仓：连续亏损达到上限",IF(账户数据!$B$23="解锁信息不完整","禁止开仓：请完整填写解锁信息",IF(OR(F175="",E175="",N175="",E175&lt;=N175,账户数据!$B$7=""),"",IF(OR(AG175="",AH175="",AI175=""),"禁止开仓：交易预期未填写完整",IF(账户数据!$B$9+F175*(E175-N175)&gt;=账户数据!$B$7,"禁止开仓：风险额度不足",IF(AJ175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5" s="4"/>
      <c r="I175" s="8"/>
      <c r="J175" s="5"/>
      <c r="K175" s="11"/>
      <c r="L175" s="7" t="str">
        <f aca="false">IF(AP175="","",AP175)</f>
        <v/>
      </c>
      <c r="M175" s="19"/>
      <c r="N175" s="5"/>
      <c r="O175" s="5"/>
      <c r="P175" s="11"/>
      <c r="Q175" s="4"/>
      <c r="R175" s="4"/>
      <c r="S175" s="4"/>
      <c r="T175" s="4"/>
      <c r="U175" s="9" t="str">
        <f aca="false">IF(OR(AO175="",J175="",AO175&lt;=0),"",(J175-AO175)/AO175)</f>
        <v/>
      </c>
      <c r="V175" s="9" t="str">
        <f aca="false">IF(OR(AO175="",N175="",AO175&lt;=0),"",(AO175-N175)/AO175)</f>
        <v/>
      </c>
      <c r="W175" s="10" t="str">
        <f aca="false">IF(OR(U175="",V175="",V175&lt;=0),"",U175/V175)</f>
        <v/>
      </c>
      <c r="X175" s="11" t="str">
        <f aca="false">IF(OR(K175="",L175="",AO175="",AP175=""),"",(K175-AO175)*L175-IF(O175="",0,O175)-IF(P175="",0,P175))</f>
        <v/>
      </c>
      <c r="Y175" s="9" t="str">
        <f aca="false">IF(OR(X175="",AO175="",L175=""),"",IF(AO175*L175+IF(O175="",0,O175)&lt;=0,"",X175/(AO175*L175+IF(O175="",0,O175))))</f>
        <v/>
      </c>
      <c r="Z175" s="9" t="str">
        <f aca="false">IF(OR(AE175="",多次统计数据!$B$8=""),"",AE175-多次统计数据!$B$8)</f>
        <v/>
      </c>
      <c r="AA175" s="12" t="str">
        <f aca="false">IF(OR(I175="",M175="",M175&lt;I175),"",M175-I175)</f>
        <v/>
      </c>
      <c r="AB175" s="9" t="str">
        <f aca="false">IF(OR(A175="",多次统计数据!$B$8="",多次统计数据!$B$6&lt;=0,多次统计数据!$B$6&gt;=1),"",1-POWER(1+多次统计数据!$B$8,-多次统计数据!$B$6/(1-多次统计数据!$B$6)))</f>
        <v/>
      </c>
      <c r="AC175" s="7" t="str">
        <f aca="false">IF(OR(AB175="",多次统计数据!$B$9=""),"",IF(多次统计数据!$B$9&lt;AB175,"低于上限","达到或超过上限"))</f>
        <v/>
      </c>
      <c r="AD175" s="4"/>
      <c r="AE175" s="9" t="str">
        <f aca="false">IF(OR(X175="",C175="",C175&lt;=0),"",X175/C175)</f>
        <v/>
      </c>
      <c r="AG175" s="4"/>
      <c r="AH175" s="4"/>
      <c r="AI175" s="4"/>
      <c r="AJ175" s="7" t="str">
        <f aca="false">IF(OR(AG175="",AH175=""),"",IF(OR(AND(AG175="短期博反弹",OR(AH175="1～3个交易日",AH175="4～10个交易日")),AND(AG175="突破冲新高",OR(AH175="4～10个交易日",AH175="11～20个交易日")),AND(AG175="趋势波段",OR(AH175="11～20个交易日",AH175="21～60个交易日",AH175="60个交易日以上"))),"匹配","周期与交易预期不匹配，请重新确认"))</f>
        <v/>
      </c>
      <c r="AK175" s="13" t="str">
        <f aca="false">IF(A175="","",COUNTIFS(加仓管理!$A$2:$A$1001,A175,加仓管理!$G$2:$G$1001,"&gt;0"))</f>
        <v/>
      </c>
      <c r="AL175" s="13" t="str">
        <f aca="false">IF(A175="","",SUMIFS(加仓管理!$G$2:$G$1001,加仓管理!$A$2:$A$1001,A175))</f>
        <v/>
      </c>
      <c r="AM175" s="14" t="str">
        <f aca="false">IF(AK175=0,"",IFERROR(LOOKUP(2,1/((加仓管理!$A$2:$A$1001=A175)*(加仓管理!$G$2:$G$1001&gt;0)),加仓管理!$D$2:$D$1001),""))</f>
        <v/>
      </c>
      <c r="AN175" s="14" t="str">
        <f aca="false">IF(AK175=0,"",IFERROR(LOOKUP(2,1/((加仓管理!$A$2:$A$1001=A175)*(加仓管理!$G$2:$G$1001&gt;0)),加仓管理!$E$2:$E$1001),""))</f>
        <v/>
      </c>
      <c r="AO175" s="14" t="str">
        <f aca="false">IF(OR(A175="",H175="",H175&lt;=0),"",(E175*H175+SUMIFS(加仓管理!$H$2:$H$1001,加仓管理!$A$2:$A$1001,A175))/AP175)</f>
        <v/>
      </c>
      <c r="AP175" s="13" t="str">
        <f aca="false">IF(OR(A175="",H175="",H175&lt;=0),"",H175+AL175)</f>
        <v/>
      </c>
      <c r="AQ175" s="14" t="str">
        <f aca="false">IF(A175="","",IF(M175&lt;&gt;"",0,IF(OR(H175="",N175=""),"",MAX((E175*H175+SUMIFS(加仓管理!$H$2:$H$1001,加仓管理!$A$2:$A$1001,A175))-MAX(N175,AN175)*AP175,0))))</f>
        <v/>
      </c>
      <c r="AR175" s="15" t="str">
        <f aca="false">IF(A175="","",IF(OR(E175="",H175=""),"违规：首次买入价格或股数缺失",IF(COUNTIFS(加仓管理!$A$2:$A$1001,A175,加仓管理!$R$2:$R$1001,"违规*")&gt;0,"违规：请检查加仓管理表",IF(SUM($AQ$2:$AQ$201)&gt;账户数据!$B$7,"预警：超过账户风险上限",IF(COUNTIFS(加仓管理!$A$2:$A$1001,A175,加仓管理!$N$2:$N$1001,"&gt;0",加仓管理!$G$2:$G$1001,"")&gt;0,"提示：存在待执行加仓计划","通过")))))</f>
        <v/>
      </c>
    </row>
    <row r="176" customFormat="false" ht="13.5" hidden="false" customHeight="false" outlineLevel="0" collapsed="false">
      <c r="A176" s="4"/>
      <c r="B176" s="4"/>
      <c r="C176" s="5"/>
      <c r="D176" s="6"/>
      <c r="E176" s="5"/>
      <c r="F176" s="7" t="str">
        <f aca="false">IF(OR(C176="",D176="",E176="",N176="",C176&lt;=0,D176&lt;=0,E176&lt;=N176),"",ROUNDDOWN((C176*D176)/(E176-N176)/100,0)*100)</f>
        <v/>
      </c>
      <c r="G176" s="7" t="str">
        <f aca="false">IF(A176="","",IF(H176&lt;&gt;"","已开仓",IF(账户数据!$B$23="已锁仓","禁止开仓：连续亏损达到上限",IF(账户数据!$B$23="解锁信息不完整","禁止开仓：请完整填写解锁信息",IF(OR(F176="",E176="",N176="",E176&lt;=N176,账户数据!$B$7=""),"",IF(OR(AG176="",AH176="",AI176=""),"禁止开仓：交易预期未填写完整",IF(账户数据!$B$9+F176*(E176-N176)&gt;=账户数据!$B$7,"禁止开仓：风险额度不足",IF(AJ176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6" s="4"/>
      <c r="I176" s="8"/>
      <c r="J176" s="5"/>
      <c r="K176" s="11"/>
      <c r="L176" s="7" t="str">
        <f aca="false">IF(AP176="","",AP176)</f>
        <v/>
      </c>
      <c r="M176" s="19"/>
      <c r="N176" s="5"/>
      <c r="O176" s="5"/>
      <c r="P176" s="11"/>
      <c r="Q176" s="4"/>
      <c r="R176" s="4"/>
      <c r="S176" s="4"/>
      <c r="T176" s="4"/>
      <c r="U176" s="9" t="str">
        <f aca="false">IF(OR(AO176="",J176="",AO176&lt;=0),"",(J176-AO176)/AO176)</f>
        <v/>
      </c>
      <c r="V176" s="9" t="str">
        <f aca="false">IF(OR(AO176="",N176="",AO176&lt;=0),"",(AO176-N176)/AO176)</f>
        <v/>
      </c>
      <c r="W176" s="10" t="str">
        <f aca="false">IF(OR(U176="",V176="",V176&lt;=0),"",U176/V176)</f>
        <v/>
      </c>
      <c r="X176" s="11" t="str">
        <f aca="false">IF(OR(K176="",L176="",AO176="",AP176=""),"",(K176-AO176)*L176-IF(O176="",0,O176)-IF(P176="",0,P176))</f>
        <v/>
      </c>
      <c r="Y176" s="9" t="str">
        <f aca="false">IF(OR(X176="",AO176="",L176=""),"",IF(AO176*L176+IF(O176="",0,O176)&lt;=0,"",X176/(AO176*L176+IF(O176="",0,O176))))</f>
        <v/>
      </c>
      <c r="Z176" s="9" t="str">
        <f aca="false">IF(OR(AE176="",多次统计数据!$B$8=""),"",AE176-多次统计数据!$B$8)</f>
        <v/>
      </c>
      <c r="AA176" s="12" t="str">
        <f aca="false">IF(OR(I176="",M176="",M176&lt;I176),"",M176-I176)</f>
        <v/>
      </c>
      <c r="AB176" s="9" t="str">
        <f aca="false">IF(OR(A176="",多次统计数据!$B$8="",多次统计数据!$B$6&lt;=0,多次统计数据!$B$6&gt;=1),"",1-POWER(1+多次统计数据!$B$8,-多次统计数据!$B$6/(1-多次统计数据!$B$6)))</f>
        <v/>
      </c>
      <c r="AC176" s="7" t="str">
        <f aca="false">IF(OR(AB176="",多次统计数据!$B$9=""),"",IF(多次统计数据!$B$9&lt;AB176,"低于上限","达到或超过上限"))</f>
        <v/>
      </c>
      <c r="AD176" s="4"/>
      <c r="AE176" s="9" t="str">
        <f aca="false">IF(OR(X176="",C176="",C176&lt;=0),"",X176/C176)</f>
        <v/>
      </c>
      <c r="AG176" s="4"/>
      <c r="AH176" s="4"/>
      <c r="AI176" s="4"/>
      <c r="AJ176" s="7" t="str">
        <f aca="false">IF(OR(AG176="",AH176=""),"",IF(OR(AND(AG176="短期博反弹",OR(AH176="1～3个交易日",AH176="4～10个交易日")),AND(AG176="突破冲新高",OR(AH176="4～10个交易日",AH176="11～20个交易日")),AND(AG176="趋势波段",OR(AH176="11～20个交易日",AH176="21～60个交易日",AH176="60个交易日以上"))),"匹配","周期与交易预期不匹配，请重新确认"))</f>
        <v/>
      </c>
      <c r="AK176" s="13" t="str">
        <f aca="false">IF(A176="","",COUNTIFS(加仓管理!$A$2:$A$1001,A176,加仓管理!$G$2:$G$1001,"&gt;0"))</f>
        <v/>
      </c>
      <c r="AL176" s="13" t="str">
        <f aca="false">IF(A176="","",SUMIFS(加仓管理!$G$2:$G$1001,加仓管理!$A$2:$A$1001,A176))</f>
        <v/>
      </c>
      <c r="AM176" s="14" t="str">
        <f aca="false">IF(AK176=0,"",IFERROR(LOOKUP(2,1/((加仓管理!$A$2:$A$1001=A176)*(加仓管理!$G$2:$G$1001&gt;0)),加仓管理!$D$2:$D$1001),""))</f>
        <v/>
      </c>
      <c r="AN176" s="14" t="str">
        <f aca="false">IF(AK176=0,"",IFERROR(LOOKUP(2,1/((加仓管理!$A$2:$A$1001=A176)*(加仓管理!$G$2:$G$1001&gt;0)),加仓管理!$E$2:$E$1001),""))</f>
        <v/>
      </c>
      <c r="AO176" s="14" t="str">
        <f aca="false">IF(OR(A176="",H176="",H176&lt;=0),"",(E176*H176+SUMIFS(加仓管理!$H$2:$H$1001,加仓管理!$A$2:$A$1001,A176))/AP176)</f>
        <v/>
      </c>
      <c r="AP176" s="13" t="str">
        <f aca="false">IF(OR(A176="",H176="",H176&lt;=0),"",H176+AL176)</f>
        <v/>
      </c>
      <c r="AQ176" s="14" t="str">
        <f aca="false">IF(A176="","",IF(M176&lt;&gt;"",0,IF(OR(H176="",N176=""),"",MAX((E176*H176+SUMIFS(加仓管理!$H$2:$H$1001,加仓管理!$A$2:$A$1001,A176))-MAX(N176,AN176)*AP176,0))))</f>
        <v/>
      </c>
      <c r="AR176" s="15" t="str">
        <f aca="false">IF(A176="","",IF(OR(E176="",H176=""),"违规：首次买入价格或股数缺失",IF(COUNTIFS(加仓管理!$A$2:$A$1001,A176,加仓管理!$R$2:$R$1001,"违规*")&gt;0,"违规：请检查加仓管理表",IF(SUM($AQ$2:$AQ$201)&gt;账户数据!$B$7,"预警：超过账户风险上限",IF(COUNTIFS(加仓管理!$A$2:$A$1001,A176,加仓管理!$N$2:$N$1001,"&gt;0",加仓管理!$G$2:$G$1001,"")&gt;0,"提示：存在待执行加仓计划","通过")))))</f>
        <v/>
      </c>
    </row>
    <row r="177" customFormat="false" ht="13.5" hidden="false" customHeight="false" outlineLevel="0" collapsed="false">
      <c r="A177" s="4"/>
      <c r="B177" s="4"/>
      <c r="C177" s="5"/>
      <c r="D177" s="6"/>
      <c r="E177" s="5"/>
      <c r="F177" s="7" t="str">
        <f aca="false">IF(OR(C177="",D177="",E177="",N177="",C177&lt;=0,D177&lt;=0,E177&lt;=N177),"",ROUNDDOWN((C177*D177)/(E177-N177)/100,0)*100)</f>
        <v/>
      </c>
      <c r="G177" s="7" t="str">
        <f aca="false">IF(A177="","",IF(H177&lt;&gt;"","已开仓",IF(账户数据!$B$23="已锁仓","禁止开仓：连续亏损达到上限",IF(账户数据!$B$23="解锁信息不完整","禁止开仓：请完整填写解锁信息",IF(OR(F177="",E177="",N177="",E177&lt;=N177,账户数据!$B$7=""),"",IF(OR(AG177="",AH177="",AI177=""),"禁止开仓：交易预期未填写完整",IF(账户数据!$B$9+F177*(E177-N177)&gt;=账户数据!$B$7,"禁止开仓：风险额度不足",IF(AJ177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7" s="4"/>
      <c r="I177" s="8"/>
      <c r="J177" s="5"/>
      <c r="K177" s="11"/>
      <c r="L177" s="7" t="str">
        <f aca="false">IF(AP177="","",AP177)</f>
        <v/>
      </c>
      <c r="M177" s="19"/>
      <c r="N177" s="5"/>
      <c r="O177" s="5"/>
      <c r="P177" s="11"/>
      <c r="Q177" s="4"/>
      <c r="R177" s="4"/>
      <c r="S177" s="4"/>
      <c r="T177" s="4"/>
      <c r="U177" s="9" t="str">
        <f aca="false">IF(OR(AO177="",J177="",AO177&lt;=0),"",(J177-AO177)/AO177)</f>
        <v/>
      </c>
      <c r="V177" s="9" t="str">
        <f aca="false">IF(OR(AO177="",N177="",AO177&lt;=0),"",(AO177-N177)/AO177)</f>
        <v/>
      </c>
      <c r="W177" s="10" t="str">
        <f aca="false">IF(OR(U177="",V177="",V177&lt;=0),"",U177/V177)</f>
        <v/>
      </c>
      <c r="X177" s="11" t="str">
        <f aca="false">IF(OR(K177="",L177="",AO177="",AP177=""),"",(K177-AO177)*L177-IF(O177="",0,O177)-IF(P177="",0,P177))</f>
        <v/>
      </c>
      <c r="Y177" s="9" t="str">
        <f aca="false">IF(OR(X177="",AO177="",L177=""),"",IF(AO177*L177+IF(O177="",0,O177)&lt;=0,"",X177/(AO177*L177+IF(O177="",0,O177))))</f>
        <v/>
      </c>
      <c r="Z177" s="9" t="str">
        <f aca="false">IF(OR(AE177="",多次统计数据!$B$8=""),"",AE177-多次统计数据!$B$8)</f>
        <v/>
      </c>
      <c r="AA177" s="12" t="str">
        <f aca="false">IF(OR(I177="",M177="",M177&lt;I177),"",M177-I177)</f>
        <v/>
      </c>
      <c r="AB177" s="9" t="str">
        <f aca="false">IF(OR(A177="",多次统计数据!$B$8="",多次统计数据!$B$6&lt;=0,多次统计数据!$B$6&gt;=1),"",1-POWER(1+多次统计数据!$B$8,-多次统计数据!$B$6/(1-多次统计数据!$B$6)))</f>
        <v/>
      </c>
      <c r="AC177" s="7" t="str">
        <f aca="false">IF(OR(AB177="",多次统计数据!$B$9=""),"",IF(多次统计数据!$B$9&lt;AB177,"低于上限","达到或超过上限"))</f>
        <v/>
      </c>
      <c r="AD177" s="4"/>
      <c r="AE177" s="9" t="str">
        <f aca="false">IF(OR(X177="",C177="",C177&lt;=0),"",X177/C177)</f>
        <v/>
      </c>
      <c r="AG177" s="4"/>
      <c r="AH177" s="4"/>
      <c r="AI177" s="4"/>
      <c r="AJ177" s="7" t="str">
        <f aca="false">IF(OR(AG177="",AH177=""),"",IF(OR(AND(AG177="短期博反弹",OR(AH177="1～3个交易日",AH177="4～10个交易日")),AND(AG177="突破冲新高",OR(AH177="4～10个交易日",AH177="11～20个交易日")),AND(AG177="趋势波段",OR(AH177="11～20个交易日",AH177="21～60个交易日",AH177="60个交易日以上"))),"匹配","周期与交易预期不匹配，请重新确认"))</f>
        <v/>
      </c>
      <c r="AK177" s="13" t="str">
        <f aca="false">IF(A177="","",COUNTIFS(加仓管理!$A$2:$A$1001,A177,加仓管理!$G$2:$G$1001,"&gt;0"))</f>
        <v/>
      </c>
      <c r="AL177" s="13" t="str">
        <f aca="false">IF(A177="","",SUMIFS(加仓管理!$G$2:$G$1001,加仓管理!$A$2:$A$1001,A177))</f>
        <v/>
      </c>
      <c r="AM177" s="14" t="str">
        <f aca="false">IF(AK177=0,"",IFERROR(LOOKUP(2,1/((加仓管理!$A$2:$A$1001=A177)*(加仓管理!$G$2:$G$1001&gt;0)),加仓管理!$D$2:$D$1001),""))</f>
        <v/>
      </c>
      <c r="AN177" s="14" t="str">
        <f aca="false">IF(AK177=0,"",IFERROR(LOOKUP(2,1/((加仓管理!$A$2:$A$1001=A177)*(加仓管理!$G$2:$G$1001&gt;0)),加仓管理!$E$2:$E$1001),""))</f>
        <v/>
      </c>
      <c r="AO177" s="14" t="str">
        <f aca="false">IF(OR(A177="",H177="",H177&lt;=0),"",(E177*H177+SUMIFS(加仓管理!$H$2:$H$1001,加仓管理!$A$2:$A$1001,A177))/AP177)</f>
        <v/>
      </c>
      <c r="AP177" s="13" t="str">
        <f aca="false">IF(OR(A177="",H177="",H177&lt;=0),"",H177+AL177)</f>
        <v/>
      </c>
      <c r="AQ177" s="14" t="str">
        <f aca="false">IF(A177="","",IF(M177&lt;&gt;"",0,IF(OR(H177="",N177=""),"",MAX((E177*H177+SUMIFS(加仓管理!$H$2:$H$1001,加仓管理!$A$2:$A$1001,A177))-MAX(N177,AN177)*AP177,0))))</f>
        <v/>
      </c>
      <c r="AR177" s="15" t="str">
        <f aca="false">IF(A177="","",IF(OR(E177="",H177=""),"违规：首次买入价格或股数缺失",IF(COUNTIFS(加仓管理!$A$2:$A$1001,A177,加仓管理!$R$2:$R$1001,"违规*")&gt;0,"违规：请检查加仓管理表",IF(SUM($AQ$2:$AQ$201)&gt;账户数据!$B$7,"预警：超过账户风险上限",IF(COUNTIFS(加仓管理!$A$2:$A$1001,A177,加仓管理!$N$2:$N$1001,"&gt;0",加仓管理!$G$2:$G$1001,"")&gt;0,"提示：存在待执行加仓计划","通过")))))</f>
        <v/>
      </c>
    </row>
    <row r="178" customFormat="false" ht="13.5" hidden="false" customHeight="false" outlineLevel="0" collapsed="false">
      <c r="A178" s="4"/>
      <c r="B178" s="4"/>
      <c r="C178" s="5"/>
      <c r="D178" s="6"/>
      <c r="E178" s="5"/>
      <c r="F178" s="7" t="str">
        <f aca="false">IF(OR(C178="",D178="",E178="",N178="",C178&lt;=0,D178&lt;=0,E178&lt;=N178),"",ROUNDDOWN((C178*D178)/(E178-N178)/100,0)*100)</f>
        <v/>
      </c>
      <c r="G178" s="7" t="str">
        <f aca="false">IF(A178="","",IF(H178&lt;&gt;"","已开仓",IF(账户数据!$B$23="已锁仓","禁止开仓：连续亏损达到上限",IF(账户数据!$B$23="解锁信息不完整","禁止开仓：请完整填写解锁信息",IF(OR(F178="",E178="",N178="",E178&lt;=N178,账户数据!$B$7=""),"",IF(OR(AG178="",AH178="",AI178=""),"禁止开仓：交易预期未填写完整",IF(账户数据!$B$9+F178*(E178-N178)&gt;=账户数据!$B$7,"禁止开仓：风险额度不足",IF(AJ178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8" s="4"/>
      <c r="I178" s="8"/>
      <c r="J178" s="5"/>
      <c r="K178" s="11"/>
      <c r="L178" s="7" t="str">
        <f aca="false">IF(AP178="","",AP178)</f>
        <v/>
      </c>
      <c r="M178" s="19"/>
      <c r="N178" s="5"/>
      <c r="O178" s="5"/>
      <c r="P178" s="11"/>
      <c r="Q178" s="4"/>
      <c r="R178" s="4"/>
      <c r="S178" s="4"/>
      <c r="T178" s="4"/>
      <c r="U178" s="9" t="str">
        <f aca="false">IF(OR(AO178="",J178="",AO178&lt;=0),"",(J178-AO178)/AO178)</f>
        <v/>
      </c>
      <c r="V178" s="9" t="str">
        <f aca="false">IF(OR(AO178="",N178="",AO178&lt;=0),"",(AO178-N178)/AO178)</f>
        <v/>
      </c>
      <c r="W178" s="10" t="str">
        <f aca="false">IF(OR(U178="",V178="",V178&lt;=0),"",U178/V178)</f>
        <v/>
      </c>
      <c r="X178" s="11" t="str">
        <f aca="false">IF(OR(K178="",L178="",AO178="",AP178=""),"",(K178-AO178)*L178-IF(O178="",0,O178)-IF(P178="",0,P178))</f>
        <v/>
      </c>
      <c r="Y178" s="9" t="str">
        <f aca="false">IF(OR(X178="",AO178="",L178=""),"",IF(AO178*L178+IF(O178="",0,O178)&lt;=0,"",X178/(AO178*L178+IF(O178="",0,O178))))</f>
        <v/>
      </c>
      <c r="Z178" s="9" t="str">
        <f aca="false">IF(OR(AE178="",多次统计数据!$B$8=""),"",AE178-多次统计数据!$B$8)</f>
        <v/>
      </c>
      <c r="AA178" s="12" t="str">
        <f aca="false">IF(OR(I178="",M178="",M178&lt;I178),"",M178-I178)</f>
        <v/>
      </c>
      <c r="AB178" s="9" t="str">
        <f aca="false">IF(OR(A178="",多次统计数据!$B$8="",多次统计数据!$B$6&lt;=0,多次统计数据!$B$6&gt;=1),"",1-POWER(1+多次统计数据!$B$8,-多次统计数据!$B$6/(1-多次统计数据!$B$6)))</f>
        <v/>
      </c>
      <c r="AC178" s="7" t="str">
        <f aca="false">IF(OR(AB178="",多次统计数据!$B$9=""),"",IF(多次统计数据!$B$9&lt;AB178,"低于上限","达到或超过上限"))</f>
        <v/>
      </c>
      <c r="AD178" s="4"/>
      <c r="AE178" s="9" t="str">
        <f aca="false">IF(OR(X178="",C178="",C178&lt;=0),"",X178/C178)</f>
        <v/>
      </c>
      <c r="AG178" s="4"/>
      <c r="AH178" s="4"/>
      <c r="AI178" s="4"/>
      <c r="AJ178" s="7" t="str">
        <f aca="false">IF(OR(AG178="",AH178=""),"",IF(OR(AND(AG178="短期博反弹",OR(AH178="1～3个交易日",AH178="4～10个交易日")),AND(AG178="突破冲新高",OR(AH178="4～10个交易日",AH178="11～20个交易日")),AND(AG178="趋势波段",OR(AH178="11～20个交易日",AH178="21～60个交易日",AH178="60个交易日以上"))),"匹配","周期与交易预期不匹配，请重新确认"))</f>
        <v/>
      </c>
      <c r="AK178" s="13" t="str">
        <f aca="false">IF(A178="","",COUNTIFS(加仓管理!$A$2:$A$1001,A178,加仓管理!$G$2:$G$1001,"&gt;0"))</f>
        <v/>
      </c>
      <c r="AL178" s="13" t="str">
        <f aca="false">IF(A178="","",SUMIFS(加仓管理!$G$2:$G$1001,加仓管理!$A$2:$A$1001,A178))</f>
        <v/>
      </c>
      <c r="AM178" s="14" t="str">
        <f aca="false">IF(AK178=0,"",IFERROR(LOOKUP(2,1/((加仓管理!$A$2:$A$1001=A178)*(加仓管理!$G$2:$G$1001&gt;0)),加仓管理!$D$2:$D$1001),""))</f>
        <v/>
      </c>
      <c r="AN178" s="14" t="str">
        <f aca="false">IF(AK178=0,"",IFERROR(LOOKUP(2,1/((加仓管理!$A$2:$A$1001=A178)*(加仓管理!$G$2:$G$1001&gt;0)),加仓管理!$E$2:$E$1001),""))</f>
        <v/>
      </c>
      <c r="AO178" s="14" t="str">
        <f aca="false">IF(OR(A178="",H178="",H178&lt;=0),"",(E178*H178+SUMIFS(加仓管理!$H$2:$H$1001,加仓管理!$A$2:$A$1001,A178))/AP178)</f>
        <v/>
      </c>
      <c r="AP178" s="13" t="str">
        <f aca="false">IF(OR(A178="",H178="",H178&lt;=0),"",H178+AL178)</f>
        <v/>
      </c>
      <c r="AQ178" s="14" t="str">
        <f aca="false">IF(A178="","",IF(M178&lt;&gt;"",0,IF(OR(H178="",N178=""),"",MAX((E178*H178+SUMIFS(加仓管理!$H$2:$H$1001,加仓管理!$A$2:$A$1001,A178))-MAX(N178,AN178)*AP178,0))))</f>
        <v/>
      </c>
      <c r="AR178" s="15" t="str">
        <f aca="false">IF(A178="","",IF(OR(E178="",H178=""),"违规：首次买入价格或股数缺失",IF(COUNTIFS(加仓管理!$A$2:$A$1001,A178,加仓管理!$R$2:$R$1001,"违规*")&gt;0,"违规：请检查加仓管理表",IF(SUM($AQ$2:$AQ$201)&gt;账户数据!$B$7,"预警：超过账户风险上限",IF(COUNTIFS(加仓管理!$A$2:$A$1001,A178,加仓管理!$N$2:$N$1001,"&gt;0",加仓管理!$G$2:$G$1001,"")&gt;0,"提示：存在待执行加仓计划","通过")))))</f>
        <v/>
      </c>
    </row>
    <row r="179" customFormat="false" ht="13.5" hidden="false" customHeight="false" outlineLevel="0" collapsed="false">
      <c r="A179" s="4"/>
      <c r="B179" s="4"/>
      <c r="C179" s="5"/>
      <c r="D179" s="6"/>
      <c r="E179" s="5"/>
      <c r="F179" s="7" t="str">
        <f aca="false">IF(OR(C179="",D179="",E179="",N179="",C179&lt;=0,D179&lt;=0,E179&lt;=N179),"",ROUNDDOWN((C179*D179)/(E179-N179)/100,0)*100)</f>
        <v/>
      </c>
      <c r="G179" s="7" t="str">
        <f aca="false">IF(A179="","",IF(H179&lt;&gt;"","已开仓",IF(账户数据!$B$23="已锁仓","禁止开仓：连续亏损达到上限",IF(账户数据!$B$23="解锁信息不完整","禁止开仓：请完整填写解锁信息",IF(OR(F179="",E179="",N179="",E179&lt;=N179,账户数据!$B$7=""),"",IF(OR(AG179="",AH179="",AI179=""),"禁止开仓：交易预期未填写完整",IF(账户数据!$B$9+F179*(E179-N179)&gt;=账户数据!$B$7,"禁止开仓：风险额度不足",IF(AJ179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9" s="4"/>
      <c r="I179" s="8"/>
      <c r="J179" s="5"/>
      <c r="K179" s="11"/>
      <c r="L179" s="7" t="str">
        <f aca="false">IF(AP179="","",AP179)</f>
        <v/>
      </c>
      <c r="M179" s="19"/>
      <c r="N179" s="5"/>
      <c r="O179" s="5"/>
      <c r="P179" s="11"/>
      <c r="Q179" s="4"/>
      <c r="R179" s="4"/>
      <c r="S179" s="4"/>
      <c r="T179" s="4"/>
      <c r="U179" s="9" t="str">
        <f aca="false">IF(OR(AO179="",J179="",AO179&lt;=0),"",(J179-AO179)/AO179)</f>
        <v/>
      </c>
      <c r="V179" s="9" t="str">
        <f aca="false">IF(OR(AO179="",N179="",AO179&lt;=0),"",(AO179-N179)/AO179)</f>
        <v/>
      </c>
      <c r="W179" s="10" t="str">
        <f aca="false">IF(OR(U179="",V179="",V179&lt;=0),"",U179/V179)</f>
        <v/>
      </c>
      <c r="X179" s="11" t="str">
        <f aca="false">IF(OR(K179="",L179="",AO179="",AP179=""),"",(K179-AO179)*L179-IF(O179="",0,O179)-IF(P179="",0,P179))</f>
        <v/>
      </c>
      <c r="Y179" s="9" t="str">
        <f aca="false">IF(OR(X179="",AO179="",L179=""),"",IF(AO179*L179+IF(O179="",0,O179)&lt;=0,"",X179/(AO179*L179+IF(O179="",0,O179))))</f>
        <v/>
      </c>
      <c r="Z179" s="9" t="str">
        <f aca="false">IF(OR(AE179="",多次统计数据!$B$8=""),"",AE179-多次统计数据!$B$8)</f>
        <v/>
      </c>
      <c r="AA179" s="12" t="str">
        <f aca="false">IF(OR(I179="",M179="",M179&lt;I179),"",M179-I179)</f>
        <v/>
      </c>
      <c r="AB179" s="9" t="str">
        <f aca="false">IF(OR(A179="",多次统计数据!$B$8="",多次统计数据!$B$6&lt;=0,多次统计数据!$B$6&gt;=1),"",1-POWER(1+多次统计数据!$B$8,-多次统计数据!$B$6/(1-多次统计数据!$B$6)))</f>
        <v/>
      </c>
      <c r="AC179" s="7" t="str">
        <f aca="false">IF(OR(AB179="",多次统计数据!$B$9=""),"",IF(多次统计数据!$B$9&lt;AB179,"低于上限","达到或超过上限"))</f>
        <v/>
      </c>
      <c r="AD179" s="4"/>
      <c r="AE179" s="9" t="str">
        <f aca="false">IF(OR(X179="",C179="",C179&lt;=0),"",X179/C179)</f>
        <v/>
      </c>
      <c r="AG179" s="4"/>
      <c r="AH179" s="4"/>
      <c r="AI179" s="4"/>
      <c r="AJ179" s="7" t="str">
        <f aca="false">IF(OR(AG179="",AH179=""),"",IF(OR(AND(AG179="短期博反弹",OR(AH179="1～3个交易日",AH179="4～10个交易日")),AND(AG179="突破冲新高",OR(AH179="4～10个交易日",AH179="11～20个交易日")),AND(AG179="趋势波段",OR(AH179="11～20个交易日",AH179="21～60个交易日",AH179="60个交易日以上"))),"匹配","周期与交易预期不匹配，请重新确认"))</f>
        <v/>
      </c>
      <c r="AK179" s="13" t="str">
        <f aca="false">IF(A179="","",COUNTIFS(加仓管理!$A$2:$A$1001,A179,加仓管理!$G$2:$G$1001,"&gt;0"))</f>
        <v/>
      </c>
      <c r="AL179" s="13" t="str">
        <f aca="false">IF(A179="","",SUMIFS(加仓管理!$G$2:$G$1001,加仓管理!$A$2:$A$1001,A179))</f>
        <v/>
      </c>
      <c r="AM179" s="14" t="str">
        <f aca="false">IF(AK179=0,"",IFERROR(LOOKUP(2,1/((加仓管理!$A$2:$A$1001=A179)*(加仓管理!$G$2:$G$1001&gt;0)),加仓管理!$D$2:$D$1001),""))</f>
        <v/>
      </c>
      <c r="AN179" s="14" t="str">
        <f aca="false">IF(AK179=0,"",IFERROR(LOOKUP(2,1/((加仓管理!$A$2:$A$1001=A179)*(加仓管理!$G$2:$G$1001&gt;0)),加仓管理!$E$2:$E$1001),""))</f>
        <v/>
      </c>
      <c r="AO179" s="14" t="str">
        <f aca="false">IF(OR(A179="",H179="",H179&lt;=0),"",(E179*H179+SUMIFS(加仓管理!$H$2:$H$1001,加仓管理!$A$2:$A$1001,A179))/AP179)</f>
        <v/>
      </c>
      <c r="AP179" s="13" t="str">
        <f aca="false">IF(OR(A179="",H179="",H179&lt;=0),"",H179+AL179)</f>
        <v/>
      </c>
      <c r="AQ179" s="14" t="str">
        <f aca="false">IF(A179="","",IF(M179&lt;&gt;"",0,IF(OR(H179="",N179=""),"",MAX((E179*H179+SUMIFS(加仓管理!$H$2:$H$1001,加仓管理!$A$2:$A$1001,A179))-MAX(N179,AN179)*AP179,0))))</f>
        <v/>
      </c>
      <c r="AR179" s="15" t="str">
        <f aca="false">IF(A179="","",IF(OR(E179="",H179=""),"违规：首次买入价格或股数缺失",IF(COUNTIFS(加仓管理!$A$2:$A$1001,A179,加仓管理!$R$2:$R$1001,"违规*")&gt;0,"违规：请检查加仓管理表",IF(SUM($AQ$2:$AQ$201)&gt;账户数据!$B$7,"预警：超过账户风险上限",IF(COUNTIFS(加仓管理!$A$2:$A$1001,A179,加仓管理!$N$2:$N$1001,"&gt;0",加仓管理!$G$2:$G$1001,"")&gt;0,"提示：存在待执行加仓计划","通过")))))</f>
        <v/>
      </c>
    </row>
    <row r="180" customFormat="false" ht="13.5" hidden="false" customHeight="false" outlineLevel="0" collapsed="false">
      <c r="A180" s="4"/>
      <c r="B180" s="4"/>
      <c r="C180" s="5"/>
      <c r="D180" s="6"/>
      <c r="E180" s="5"/>
      <c r="F180" s="7" t="str">
        <f aca="false">IF(OR(C180="",D180="",E180="",N180="",C180&lt;=0,D180&lt;=0,E180&lt;=N180),"",ROUNDDOWN((C180*D180)/(E180-N180)/100,0)*100)</f>
        <v/>
      </c>
      <c r="G180" s="7" t="str">
        <f aca="false">IF(A180="","",IF(H180&lt;&gt;"","已开仓",IF(账户数据!$B$23="已锁仓","禁止开仓：连续亏损达到上限",IF(账户数据!$B$23="解锁信息不完整","禁止开仓：请完整填写解锁信息",IF(OR(F180="",E180="",N180="",E180&lt;=N180,账户数据!$B$7=""),"",IF(OR(AG180="",AH180="",AI180=""),"禁止开仓：交易预期未填写完整",IF(账户数据!$B$9+F180*(E180-N180)&gt;=账户数据!$B$7,"禁止开仓：风险额度不足",IF(AJ180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0" s="4"/>
      <c r="I180" s="8"/>
      <c r="J180" s="5"/>
      <c r="K180" s="11"/>
      <c r="L180" s="7" t="str">
        <f aca="false">IF(AP180="","",AP180)</f>
        <v/>
      </c>
      <c r="M180" s="19"/>
      <c r="N180" s="5"/>
      <c r="O180" s="5"/>
      <c r="P180" s="11"/>
      <c r="Q180" s="4"/>
      <c r="R180" s="4"/>
      <c r="S180" s="4"/>
      <c r="T180" s="4"/>
      <c r="U180" s="9" t="str">
        <f aca="false">IF(OR(AO180="",J180="",AO180&lt;=0),"",(J180-AO180)/AO180)</f>
        <v/>
      </c>
      <c r="V180" s="9" t="str">
        <f aca="false">IF(OR(AO180="",N180="",AO180&lt;=0),"",(AO180-N180)/AO180)</f>
        <v/>
      </c>
      <c r="W180" s="10" t="str">
        <f aca="false">IF(OR(U180="",V180="",V180&lt;=0),"",U180/V180)</f>
        <v/>
      </c>
      <c r="X180" s="11" t="str">
        <f aca="false">IF(OR(K180="",L180="",AO180="",AP180=""),"",(K180-AO180)*L180-IF(O180="",0,O180)-IF(P180="",0,P180))</f>
        <v/>
      </c>
      <c r="Y180" s="9" t="str">
        <f aca="false">IF(OR(X180="",AO180="",L180=""),"",IF(AO180*L180+IF(O180="",0,O180)&lt;=0,"",X180/(AO180*L180+IF(O180="",0,O180))))</f>
        <v/>
      </c>
      <c r="Z180" s="9" t="str">
        <f aca="false">IF(OR(AE180="",多次统计数据!$B$8=""),"",AE180-多次统计数据!$B$8)</f>
        <v/>
      </c>
      <c r="AA180" s="12" t="str">
        <f aca="false">IF(OR(I180="",M180="",M180&lt;I180),"",M180-I180)</f>
        <v/>
      </c>
      <c r="AB180" s="9" t="str">
        <f aca="false">IF(OR(A180="",多次统计数据!$B$8="",多次统计数据!$B$6&lt;=0,多次统计数据!$B$6&gt;=1),"",1-POWER(1+多次统计数据!$B$8,-多次统计数据!$B$6/(1-多次统计数据!$B$6)))</f>
        <v/>
      </c>
      <c r="AC180" s="7" t="str">
        <f aca="false">IF(OR(AB180="",多次统计数据!$B$9=""),"",IF(多次统计数据!$B$9&lt;AB180,"低于上限","达到或超过上限"))</f>
        <v/>
      </c>
      <c r="AD180" s="4"/>
      <c r="AE180" s="9" t="str">
        <f aca="false">IF(OR(X180="",C180="",C180&lt;=0),"",X180/C180)</f>
        <v/>
      </c>
      <c r="AG180" s="4"/>
      <c r="AH180" s="4"/>
      <c r="AI180" s="4"/>
      <c r="AJ180" s="7" t="str">
        <f aca="false">IF(OR(AG180="",AH180=""),"",IF(OR(AND(AG180="短期博反弹",OR(AH180="1～3个交易日",AH180="4～10个交易日")),AND(AG180="突破冲新高",OR(AH180="4～10个交易日",AH180="11～20个交易日")),AND(AG180="趋势波段",OR(AH180="11～20个交易日",AH180="21～60个交易日",AH180="60个交易日以上"))),"匹配","周期与交易预期不匹配，请重新确认"))</f>
        <v/>
      </c>
      <c r="AK180" s="13" t="str">
        <f aca="false">IF(A180="","",COUNTIFS(加仓管理!$A$2:$A$1001,A180,加仓管理!$G$2:$G$1001,"&gt;0"))</f>
        <v/>
      </c>
      <c r="AL180" s="13" t="str">
        <f aca="false">IF(A180="","",SUMIFS(加仓管理!$G$2:$G$1001,加仓管理!$A$2:$A$1001,A180))</f>
        <v/>
      </c>
      <c r="AM180" s="14" t="str">
        <f aca="false">IF(AK180=0,"",IFERROR(LOOKUP(2,1/((加仓管理!$A$2:$A$1001=A180)*(加仓管理!$G$2:$G$1001&gt;0)),加仓管理!$D$2:$D$1001),""))</f>
        <v/>
      </c>
      <c r="AN180" s="14" t="str">
        <f aca="false">IF(AK180=0,"",IFERROR(LOOKUP(2,1/((加仓管理!$A$2:$A$1001=A180)*(加仓管理!$G$2:$G$1001&gt;0)),加仓管理!$E$2:$E$1001),""))</f>
        <v/>
      </c>
      <c r="AO180" s="14" t="str">
        <f aca="false">IF(OR(A180="",H180="",H180&lt;=0),"",(E180*H180+SUMIFS(加仓管理!$H$2:$H$1001,加仓管理!$A$2:$A$1001,A180))/AP180)</f>
        <v/>
      </c>
      <c r="AP180" s="13" t="str">
        <f aca="false">IF(OR(A180="",H180="",H180&lt;=0),"",H180+AL180)</f>
        <v/>
      </c>
      <c r="AQ180" s="14" t="str">
        <f aca="false">IF(A180="","",IF(M180&lt;&gt;"",0,IF(OR(H180="",N180=""),"",MAX((E180*H180+SUMIFS(加仓管理!$H$2:$H$1001,加仓管理!$A$2:$A$1001,A180))-MAX(N180,AN180)*AP180,0))))</f>
        <v/>
      </c>
      <c r="AR180" s="15" t="str">
        <f aca="false">IF(A180="","",IF(OR(E180="",H180=""),"违规：首次买入价格或股数缺失",IF(COUNTIFS(加仓管理!$A$2:$A$1001,A180,加仓管理!$R$2:$R$1001,"违规*")&gt;0,"违规：请检查加仓管理表",IF(SUM($AQ$2:$AQ$201)&gt;账户数据!$B$7,"预警：超过账户风险上限",IF(COUNTIFS(加仓管理!$A$2:$A$1001,A180,加仓管理!$N$2:$N$1001,"&gt;0",加仓管理!$G$2:$G$1001,"")&gt;0,"提示：存在待执行加仓计划","通过")))))</f>
        <v/>
      </c>
    </row>
    <row r="181" customFormat="false" ht="13.5" hidden="false" customHeight="false" outlineLevel="0" collapsed="false">
      <c r="A181" s="4"/>
      <c r="B181" s="4"/>
      <c r="C181" s="5"/>
      <c r="D181" s="6"/>
      <c r="E181" s="5"/>
      <c r="F181" s="7" t="str">
        <f aca="false">IF(OR(C181="",D181="",E181="",N181="",C181&lt;=0,D181&lt;=0,E181&lt;=N181),"",ROUNDDOWN((C181*D181)/(E181-N181)/100,0)*100)</f>
        <v/>
      </c>
      <c r="G181" s="7" t="str">
        <f aca="false">IF(A181="","",IF(H181&lt;&gt;"","已开仓",IF(账户数据!$B$23="已锁仓","禁止开仓：连续亏损达到上限",IF(账户数据!$B$23="解锁信息不完整","禁止开仓：请完整填写解锁信息",IF(OR(F181="",E181="",N181="",E181&lt;=N181,账户数据!$B$7=""),"",IF(OR(AG181="",AH181="",AI181=""),"禁止开仓：交易预期未填写完整",IF(账户数据!$B$9+F181*(E181-N181)&gt;=账户数据!$B$7,"禁止开仓：风险额度不足",IF(AJ181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1" s="4"/>
      <c r="I181" s="8"/>
      <c r="J181" s="5"/>
      <c r="K181" s="11"/>
      <c r="L181" s="7" t="str">
        <f aca="false">IF(AP181="","",AP181)</f>
        <v/>
      </c>
      <c r="M181" s="19"/>
      <c r="N181" s="5"/>
      <c r="O181" s="5"/>
      <c r="P181" s="11"/>
      <c r="Q181" s="4"/>
      <c r="R181" s="4"/>
      <c r="S181" s="4"/>
      <c r="T181" s="4"/>
      <c r="U181" s="9" t="str">
        <f aca="false">IF(OR(AO181="",J181="",AO181&lt;=0),"",(J181-AO181)/AO181)</f>
        <v/>
      </c>
      <c r="V181" s="9" t="str">
        <f aca="false">IF(OR(AO181="",N181="",AO181&lt;=0),"",(AO181-N181)/AO181)</f>
        <v/>
      </c>
      <c r="W181" s="10" t="str">
        <f aca="false">IF(OR(U181="",V181="",V181&lt;=0),"",U181/V181)</f>
        <v/>
      </c>
      <c r="X181" s="11" t="str">
        <f aca="false">IF(OR(K181="",L181="",AO181="",AP181=""),"",(K181-AO181)*L181-IF(O181="",0,O181)-IF(P181="",0,P181))</f>
        <v/>
      </c>
      <c r="Y181" s="9" t="str">
        <f aca="false">IF(OR(X181="",AO181="",L181=""),"",IF(AO181*L181+IF(O181="",0,O181)&lt;=0,"",X181/(AO181*L181+IF(O181="",0,O181))))</f>
        <v/>
      </c>
      <c r="Z181" s="9" t="str">
        <f aca="false">IF(OR(AE181="",多次统计数据!$B$8=""),"",AE181-多次统计数据!$B$8)</f>
        <v/>
      </c>
      <c r="AA181" s="12" t="str">
        <f aca="false">IF(OR(I181="",M181="",M181&lt;I181),"",M181-I181)</f>
        <v/>
      </c>
      <c r="AB181" s="9" t="str">
        <f aca="false">IF(OR(A181="",多次统计数据!$B$8="",多次统计数据!$B$6&lt;=0,多次统计数据!$B$6&gt;=1),"",1-POWER(1+多次统计数据!$B$8,-多次统计数据!$B$6/(1-多次统计数据!$B$6)))</f>
        <v/>
      </c>
      <c r="AC181" s="7" t="str">
        <f aca="false">IF(OR(AB181="",多次统计数据!$B$9=""),"",IF(多次统计数据!$B$9&lt;AB181,"低于上限","达到或超过上限"))</f>
        <v/>
      </c>
      <c r="AD181" s="4"/>
      <c r="AE181" s="9" t="str">
        <f aca="false">IF(OR(X181="",C181="",C181&lt;=0),"",X181/C181)</f>
        <v/>
      </c>
      <c r="AG181" s="4"/>
      <c r="AH181" s="4"/>
      <c r="AI181" s="4"/>
      <c r="AJ181" s="7" t="str">
        <f aca="false">IF(OR(AG181="",AH181=""),"",IF(OR(AND(AG181="短期博反弹",OR(AH181="1～3个交易日",AH181="4～10个交易日")),AND(AG181="突破冲新高",OR(AH181="4～10个交易日",AH181="11～20个交易日")),AND(AG181="趋势波段",OR(AH181="11～20个交易日",AH181="21～60个交易日",AH181="60个交易日以上"))),"匹配","周期与交易预期不匹配，请重新确认"))</f>
        <v/>
      </c>
      <c r="AK181" s="13" t="str">
        <f aca="false">IF(A181="","",COUNTIFS(加仓管理!$A$2:$A$1001,A181,加仓管理!$G$2:$G$1001,"&gt;0"))</f>
        <v/>
      </c>
      <c r="AL181" s="13" t="str">
        <f aca="false">IF(A181="","",SUMIFS(加仓管理!$G$2:$G$1001,加仓管理!$A$2:$A$1001,A181))</f>
        <v/>
      </c>
      <c r="AM181" s="14" t="str">
        <f aca="false">IF(AK181=0,"",IFERROR(LOOKUP(2,1/((加仓管理!$A$2:$A$1001=A181)*(加仓管理!$G$2:$G$1001&gt;0)),加仓管理!$D$2:$D$1001),""))</f>
        <v/>
      </c>
      <c r="AN181" s="14" t="str">
        <f aca="false">IF(AK181=0,"",IFERROR(LOOKUP(2,1/((加仓管理!$A$2:$A$1001=A181)*(加仓管理!$G$2:$G$1001&gt;0)),加仓管理!$E$2:$E$1001),""))</f>
        <v/>
      </c>
      <c r="AO181" s="14" t="str">
        <f aca="false">IF(OR(A181="",H181="",H181&lt;=0),"",(E181*H181+SUMIFS(加仓管理!$H$2:$H$1001,加仓管理!$A$2:$A$1001,A181))/AP181)</f>
        <v/>
      </c>
      <c r="AP181" s="13" t="str">
        <f aca="false">IF(OR(A181="",H181="",H181&lt;=0),"",H181+AL181)</f>
        <v/>
      </c>
      <c r="AQ181" s="14" t="str">
        <f aca="false">IF(A181="","",IF(M181&lt;&gt;"",0,IF(OR(H181="",N181=""),"",MAX((E181*H181+SUMIFS(加仓管理!$H$2:$H$1001,加仓管理!$A$2:$A$1001,A181))-MAX(N181,AN181)*AP181,0))))</f>
        <v/>
      </c>
      <c r="AR181" s="15" t="str">
        <f aca="false">IF(A181="","",IF(OR(E181="",H181=""),"违规：首次买入价格或股数缺失",IF(COUNTIFS(加仓管理!$A$2:$A$1001,A181,加仓管理!$R$2:$R$1001,"违规*")&gt;0,"违规：请检查加仓管理表",IF(SUM($AQ$2:$AQ$201)&gt;账户数据!$B$7,"预警：超过账户风险上限",IF(COUNTIFS(加仓管理!$A$2:$A$1001,A181,加仓管理!$N$2:$N$1001,"&gt;0",加仓管理!$G$2:$G$1001,"")&gt;0,"提示：存在待执行加仓计划","通过")))))</f>
        <v/>
      </c>
    </row>
    <row r="182" customFormat="false" ht="13.5" hidden="false" customHeight="false" outlineLevel="0" collapsed="false">
      <c r="A182" s="4"/>
      <c r="B182" s="4"/>
      <c r="C182" s="5"/>
      <c r="D182" s="6"/>
      <c r="E182" s="5"/>
      <c r="F182" s="7" t="str">
        <f aca="false">IF(OR(C182="",D182="",E182="",N182="",C182&lt;=0,D182&lt;=0,E182&lt;=N182),"",ROUNDDOWN((C182*D182)/(E182-N182)/100,0)*100)</f>
        <v/>
      </c>
      <c r="G182" s="7" t="str">
        <f aca="false">IF(A182="","",IF(H182&lt;&gt;"","已开仓",IF(账户数据!$B$23="已锁仓","禁止开仓：连续亏损达到上限",IF(账户数据!$B$23="解锁信息不完整","禁止开仓：请完整填写解锁信息",IF(OR(F182="",E182="",N182="",E182&lt;=N182,账户数据!$B$7=""),"",IF(OR(AG182="",AH182="",AI182=""),"禁止开仓：交易预期未填写完整",IF(账户数据!$B$9+F182*(E182-N182)&gt;=账户数据!$B$7,"禁止开仓：风险额度不足",IF(AJ182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2" s="4"/>
      <c r="I182" s="8"/>
      <c r="J182" s="5"/>
      <c r="K182" s="11"/>
      <c r="L182" s="7" t="str">
        <f aca="false">IF(AP182="","",AP182)</f>
        <v/>
      </c>
      <c r="M182" s="19"/>
      <c r="N182" s="5"/>
      <c r="O182" s="5"/>
      <c r="P182" s="11"/>
      <c r="Q182" s="4"/>
      <c r="R182" s="4"/>
      <c r="S182" s="4"/>
      <c r="T182" s="4"/>
      <c r="U182" s="9" t="str">
        <f aca="false">IF(OR(AO182="",J182="",AO182&lt;=0),"",(J182-AO182)/AO182)</f>
        <v/>
      </c>
      <c r="V182" s="9" t="str">
        <f aca="false">IF(OR(AO182="",N182="",AO182&lt;=0),"",(AO182-N182)/AO182)</f>
        <v/>
      </c>
      <c r="W182" s="10" t="str">
        <f aca="false">IF(OR(U182="",V182="",V182&lt;=0),"",U182/V182)</f>
        <v/>
      </c>
      <c r="X182" s="11" t="str">
        <f aca="false">IF(OR(K182="",L182="",AO182="",AP182=""),"",(K182-AO182)*L182-IF(O182="",0,O182)-IF(P182="",0,P182))</f>
        <v/>
      </c>
      <c r="Y182" s="9" t="str">
        <f aca="false">IF(OR(X182="",AO182="",L182=""),"",IF(AO182*L182+IF(O182="",0,O182)&lt;=0,"",X182/(AO182*L182+IF(O182="",0,O182))))</f>
        <v/>
      </c>
      <c r="Z182" s="9" t="str">
        <f aca="false">IF(OR(AE182="",多次统计数据!$B$8=""),"",AE182-多次统计数据!$B$8)</f>
        <v/>
      </c>
      <c r="AA182" s="12" t="str">
        <f aca="false">IF(OR(I182="",M182="",M182&lt;I182),"",M182-I182)</f>
        <v/>
      </c>
      <c r="AB182" s="9" t="str">
        <f aca="false">IF(OR(A182="",多次统计数据!$B$8="",多次统计数据!$B$6&lt;=0,多次统计数据!$B$6&gt;=1),"",1-POWER(1+多次统计数据!$B$8,-多次统计数据!$B$6/(1-多次统计数据!$B$6)))</f>
        <v/>
      </c>
      <c r="AC182" s="7" t="str">
        <f aca="false">IF(OR(AB182="",多次统计数据!$B$9=""),"",IF(多次统计数据!$B$9&lt;AB182,"低于上限","达到或超过上限"))</f>
        <v/>
      </c>
      <c r="AD182" s="4"/>
      <c r="AE182" s="9" t="str">
        <f aca="false">IF(OR(X182="",C182="",C182&lt;=0),"",X182/C182)</f>
        <v/>
      </c>
      <c r="AG182" s="4"/>
      <c r="AH182" s="4"/>
      <c r="AI182" s="4"/>
      <c r="AJ182" s="7" t="str">
        <f aca="false">IF(OR(AG182="",AH182=""),"",IF(OR(AND(AG182="短期博反弹",OR(AH182="1～3个交易日",AH182="4～10个交易日")),AND(AG182="突破冲新高",OR(AH182="4～10个交易日",AH182="11～20个交易日")),AND(AG182="趋势波段",OR(AH182="11～20个交易日",AH182="21～60个交易日",AH182="60个交易日以上"))),"匹配","周期与交易预期不匹配，请重新确认"))</f>
        <v/>
      </c>
      <c r="AK182" s="13" t="str">
        <f aca="false">IF(A182="","",COUNTIFS(加仓管理!$A$2:$A$1001,A182,加仓管理!$G$2:$G$1001,"&gt;0"))</f>
        <v/>
      </c>
      <c r="AL182" s="13" t="str">
        <f aca="false">IF(A182="","",SUMIFS(加仓管理!$G$2:$G$1001,加仓管理!$A$2:$A$1001,A182))</f>
        <v/>
      </c>
      <c r="AM182" s="14" t="str">
        <f aca="false">IF(AK182=0,"",IFERROR(LOOKUP(2,1/((加仓管理!$A$2:$A$1001=A182)*(加仓管理!$G$2:$G$1001&gt;0)),加仓管理!$D$2:$D$1001),""))</f>
        <v/>
      </c>
      <c r="AN182" s="14" t="str">
        <f aca="false">IF(AK182=0,"",IFERROR(LOOKUP(2,1/((加仓管理!$A$2:$A$1001=A182)*(加仓管理!$G$2:$G$1001&gt;0)),加仓管理!$E$2:$E$1001),""))</f>
        <v/>
      </c>
      <c r="AO182" s="14" t="str">
        <f aca="false">IF(OR(A182="",H182="",H182&lt;=0),"",(E182*H182+SUMIFS(加仓管理!$H$2:$H$1001,加仓管理!$A$2:$A$1001,A182))/AP182)</f>
        <v/>
      </c>
      <c r="AP182" s="13" t="str">
        <f aca="false">IF(OR(A182="",H182="",H182&lt;=0),"",H182+AL182)</f>
        <v/>
      </c>
      <c r="AQ182" s="14" t="str">
        <f aca="false">IF(A182="","",IF(M182&lt;&gt;"",0,IF(OR(H182="",N182=""),"",MAX((E182*H182+SUMIFS(加仓管理!$H$2:$H$1001,加仓管理!$A$2:$A$1001,A182))-MAX(N182,AN182)*AP182,0))))</f>
        <v/>
      </c>
      <c r="AR182" s="15" t="str">
        <f aca="false">IF(A182="","",IF(OR(E182="",H182=""),"违规：首次买入价格或股数缺失",IF(COUNTIFS(加仓管理!$A$2:$A$1001,A182,加仓管理!$R$2:$R$1001,"违规*")&gt;0,"违规：请检查加仓管理表",IF(SUM($AQ$2:$AQ$201)&gt;账户数据!$B$7,"预警：超过账户风险上限",IF(COUNTIFS(加仓管理!$A$2:$A$1001,A182,加仓管理!$N$2:$N$1001,"&gt;0",加仓管理!$G$2:$G$1001,"")&gt;0,"提示：存在待执行加仓计划","通过")))))</f>
        <v/>
      </c>
    </row>
    <row r="183" customFormat="false" ht="13.5" hidden="false" customHeight="false" outlineLevel="0" collapsed="false">
      <c r="A183" s="4"/>
      <c r="B183" s="4"/>
      <c r="C183" s="5"/>
      <c r="D183" s="6"/>
      <c r="E183" s="5"/>
      <c r="F183" s="7" t="str">
        <f aca="false">IF(OR(C183="",D183="",E183="",N183="",C183&lt;=0,D183&lt;=0,E183&lt;=N183),"",ROUNDDOWN((C183*D183)/(E183-N183)/100,0)*100)</f>
        <v/>
      </c>
      <c r="G183" s="7" t="str">
        <f aca="false">IF(A183="","",IF(H183&lt;&gt;"","已开仓",IF(账户数据!$B$23="已锁仓","禁止开仓：连续亏损达到上限",IF(账户数据!$B$23="解锁信息不完整","禁止开仓：请完整填写解锁信息",IF(OR(F183="",E183="",N183="",E183&lt;=N183,账户数据!$B$7=""),"",IF(OR(AG183="",AH183="",AI183=""),"禁止开仓：交易预期未填写完整",IF(账户数据!$B$9+F183*(E183-N183)&gt;=账户数据!$B$7,"禁止开仓：风险额度不足",IF(AJ183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3" s="4"/>
      <c r="I183" s="8"/>
      <c r="J183" s="5"/>
      <c r="K183" s="11"/>
      <c r="L183" s="7" t="str">
        <f aca="false">IF(AP183="","",AP183)</f>
        <v/>
      </c>
      <c r="M183" s="19"/>
      <c r="N183" s="5"/>
      <c r="O183" s="5"/>
      <c r="P183" s="11"/>
      <c r="Q183" s="4"/>
      <c r="R183" s="4"/>
      <c r="S183" s="4"/>
      <c r="T183" s="4"/>
      <c r="U183" s="9" t="str">
        <f aca="false">IF(OR(AO183="",J183="",AO183&lt;=0),"",(J183-AO183)/AO183)</f>
        <v/>
      </c>
      <c r="V183" s="9" t="str">
        <f aca="false">IF(OR(AO183="",N183="",AO183&lt;=0),"",(AO183-N183)/AO183)</f>
        <v/>
      </c>
      <c r="W183" s="10" t="str">
        <f aca="false">IF(OR(U183="",V183="",V183&lt;=0),"",U183/V183)</f>
        <v/>
      </c>
      <c r="X183" s="11" t="str">
        <f aca="false">IF(OR(K183="",L183="",AO183="",AP183=""),"",(K183-AO183)*L183-IF(O183="",0,O183)-IF(P183="",0,P183))</f>
        <v/>
      </c>
      <c r="Y183" s="9" t="str">
        <f aca="false">IF(OR(X183="",AO183="",L183=""),"",IF(AO183*L183+IF(O183="",0,O183)&lt;=0,"",X183/(AO183*L183+IF(O183="",0,O183))))</f>
        <v/>
      </c>
      <c r="Z183" s="9" t="str">
        <f aca="false">IF(OR(AE183="",多次统计数据!$B$8=""),"",AE183-多次统计数据!$B$8)</f>
        <v/>
      </c>
      <c r="AA183" s="12" t="str">
        <f aca="false">IF(OR(I183="",M183="",M183&lt;I183),"",M183-I183)</f>
        <v/>
      </c>
      <c r="AB183" s="9" t="str">
        <f aca="false">IF(OR(A183="",多次统计数据!$B$8="",多次统计数据!$B$6&lt;=0,多次统计数据!$B$6&gt;=1),"",1-POWER(1+多次统计数据!$B$8,-多次统计数据!$B$6/(1-多次统计数据!$B$6)))</f>
        <v/>
      </c>
      <c r="AC183" s="7" t="str">
        <f aca="false">IF(OR(AB183="",多次统计数据!$B$9=""),"",IF(多次统计数据!$B$9&lt;AB183,"低于上限","达到或超过上限"))</f>
        <v/>
      </c>
      <c r="AD183" s="4"/>
      <c r="AE183" s="9" t="str">
        <f aca="false">IF(OR(X183="",C183="",C183&lt;=0),"",X183/C183)</f>
        <v/>
      </c>
      <c r="AG183" s="4"/>
      <c r="AH183" s="4"/>
      <c r="AI183" s="4"/>
      <c r="AJ183" s="7" t="str">
        <f aca="false">IF(OR(AG183="",AH183=""),"",IF(OR(AND(AG183="短期博反弹",OR(AH183="1～3个交易日",AH183="4～10个交易日")),AND(AG183="突破冲新高",OR(AH183="4～10个交易日",AH183="11～20个交易日")),AND(AG183="趋势波段",OR(AH183="11～20个交易日",AH183="21～60个交易日",AH183="60个交易日以上"))),"匹配","周期与交易预期不匹配，请重新确认"))</f>
        <v/>
      </c>
      <c r="AK183" s="13" t="str">
        <f aca="false">IF(A183="","",COUNTIFS(加仓管理!$A$2:$A$1001,A183,加仓管理!$G$2:$G$1001,"&gt;0"))</f>
        <v/>
      </c>
      <c r="AL183" s="13" t="str">
        <f aca="false">IF(A183="","",SUMIFS(加仓管理!$G$2:$G$1001,加仓管理!$A$2:$A$1001,A183))</f>
        <v/>
      </c>
      <c r="AM183" s="14" t="str">
        <f aca="false">IF(AK183=0,"",IFERROR(LOOKUP(2,1/((加仓管理!$A$2:$A$1001=A183)*(加仓管理!$G$2:$G$1001&gt;0)),加仓管理!$D$2:$D$1001),""))</f>
        <v/>
      </c>
      <c r="AN183" s="14" t="str">
        <f aca="false">IF(AK183=0,"",IFERROR(LOOKUP(2,1/((加仓管理!$A$2:$A$1001=A183)*(加仓管理!$G$2:$G$1001&gt;0)),加仓管理!$E$2:$E$1001),""))</f>
        <v/>
      </c>
      <c r="AO183" s="14" t="str">
        <f aca="false">IF(OR(A183="",H183="",H183&lt;=0),"",(E183*H183+SUMIFS(加仓管理!$H$2:$H$1001,加仓管理!$A$2:$A$1001,A183))/AP183)</f>
        <v/>
      </c>
      <c r="AP183" s="13" t="str">
        <f aca="false">IF(OR(A183="",H183="",H183&lt;=0),"",H183+AL183)</f>
        <v/>
      </c>
      <c r="AQ183" s="14" t="str">
        <f aca="false">IF(A183="","",IF(M183&lt;&gt;"",0,IF(OR(H183="",N183=""),"",MAX((E183*H183+SUMIFS(加仓管理!$H$2:$H$1001,加仓管理!$A$2:$A$1001,A183))-MAX(N183,AN183)*AP183,0))))</f>
        <v/>
      </c>
      <c r="AR183" s="15" t="str">
        <f aca="false">IF(A183="","",IF(OR(E183="",H183=""),"违规：首次买入价格或股数缺失",IF(COUNTIFS(加仓管理!$A$2:$A$1001,A183,加仓管理!$R$2:$R$1001,"违规*")&gt;0,"违规：请检查加仓管理表",IF(SUM($AQ$2:$AQ$201)&gt;账户数据!$B$7,"预警：超过账户风险上限",IF(COUNTIFS(加仓管理!$A$2:$A$1001,A183,加仓管理!$N$2:$N$1001,"&gt;0",加仓管理!$G$2:$G$1001,"")&gt;0,"提示：存在待执行加仓计划","通过")))))</f>
        <v/>
      </c>
    </row>
    <row r="184" customFormat="false" ht="13.5" hidden="false" customHeight="false" outlineLevel="0" collapsed="false">
      <c r="A184" s="4"/>
      <c r="B184" s="4"/>
      <c r="C184" s="5"/>
      <c r="D184" s="6"/>
      <c r="E184" s="5"/>
      <c r="F184" s="7" t="str">
        <f aca="false">IF(OR(C184="",D184="",E184="",N184="",C184&lt;=0,D184&lt;=0,E184&lt;=N184),"",ROUNDDOWN((C184*D184)/(E184-N184)/100,0)*100)</f>
        <v/>
      </c>
      <c r="G184" s="7" t="str">
        <f aca="false">IF(A184="","",IF(H184&lt;&gt;"","已开仓",IF(账户数据!$B$23="已锁仓","禁止开仓：连续亏损达到上限",IF(账户数据!$B$23="解锁信息不完整","禁止开仓：请完整填写解锁信息",IF(OR(F184="",E184="",N184="",E184&lt;=N184,账户数据!$B$7=""),"",IF(OR(AG184="",AH184="",AI184=""),"禁止开仓：交易预期未填写完整",IF(账户数据!$B$9+F184*(E184-N184)&gt;=账户数据!$B$7,"禁止开仓：风险额度不足",IF(AJ184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4" s="4"/>
      <c r="I184" s="8"/>
      <c r="J184" s="5"/>
      <c r="K184" s="11"/>
      <c r="L184" s="7" t="str">
        <f aca="false">IF(AP184="","",AP184)</f>
        <v/>
      </c>
      <c r="M184" s="19"/>
      <c r="N184" s="5"/>
      <c r="O184" s="5"/>
      <c r="P184" s="11"/>
      <c r="Q184" s="4"/>
      <c r="R184" s="4"/>
      <c r="S184" s="4"/>
      <c r="T184" s="4"/>
      <c r="U184" s="9" t="str">
        <f aca="false">IF(OR(AO184="",J184="",AO184&lt;=0),"",(J184-AO184)/AO184)</f>
        <v/>
      </c>
      <c r="V184" s="9" t="str">
        <f aca="false">IF(OR(AO184="",N184="",AO184&lt;=0),"",(AO184-N184)/AO184)</f>
        <v/>
      </c>
      <c r="W184" s="10" t="str">
        <f aca="false">IF(OR(U184="",V184="",V184&lt;=0),"",U184/V184)</f>
        <v/>
      </c>
      <c r="X184" s="11" t="str">
        <f aca="false">IF(OR(K184="",L184="",AO184="",AP184=""),"",(K184-AO184)*L184-IF(O184="",0,O184)-IF(P184="",0,P184))</f>
        <v/>
      </c>
      <c r="Y184" s="9" t="str">
        <f aca="false">IF(OR(X184="",AO184="",L184=""),"",IF(AO184*L184+IF(O184="",0,O184)&lt;=0,"",X184/(AO184*L184+IF(O184="",0,O184))))</f>
        <v/>
      </c>
      <c r="Z184" s="9" t="str">
        <f aca="false">IF(OR(AE184="",多次统计数据!$B$8=""),"",AE184-多次统计数据!$B$8)</f>
        <v/>
      </c>
      <c r="AA184" s="12" t="str">
        <f aca="false">IF(OR(I184="",M184="",M184&lt;I184),"",M184-I184)</f>
        <v/>
      </c>
      <c r="AB184" s="9" t="str">
        <f aca="false">IF(OR(A184="",多次统计数据!$B$8="",多次统计数据!$B$6&lt;=0,多次统计数据!$B$6&gt;=1),"",1-POWER(1+多次统计数据!$B$8,-多次统计数据!$B$6/(1-多次统计数据!$B$6)))</f>
        <v/>
      </c>
      <c r="AC184" s="7" t="str">
        <f aca="false">IF(OR(AB184="",多次统计数据!$B$9=""),"",IF(多次统计数据!$B$9&lt;AB184,"低于上限","达到或超过上限"))</f>
        <v/>
      </c>
      <c r="AD184" s="4"/>
      <c r="AE184" s="9" t="str">
        <f aca="false">IF(OR(X184="",C184="",C184&lt;=0),"",X184/C184)</f>
        <v/>
      </c>
      <c r="AG184" s="4"/>
      <c r="AH184" s="4"/>
      <c r="AI184" s="4"/>
      <c r="AJ184" s="7" t="str">
        <f aca="false">IF(OR(AG184="",AH184=""),"",IF(OR(AND(AG184="短期博反弹",OR(AH184="1～3个交易日",AH184="4～10个交易日")),AND(AG184="突破冲新高",OR(AH184="4～10个交易日",AH184="11～20个交易日")),AND(AG184="趋势波段",OR(AH184="11～20个交易日",AH184="21～60个交易日",AH184="60个交易日以上"))),"匹配","周期与交易预期不匹配，请重新确认"))</f>
        <v/>
      </c>
      <c r="AK184" s="13" t="str">
        <f aca="false">IF(A184="","",COUNTIFS(加仓管理!$A$2:$A$1001,A184,加仓管理!$G$2:$G$1001,"&gt;0"))</f>
        <v/>
      </c>
      <c r="AL184" s="13" t="str">
        <f aca="false">IF(A184="","",SUMIFS(加仓管理!$G$2:$G$1001,加仓管理!$A$2:$A$1001,A184))</f>
        <v/>
      </c>
      <c r="AM184" s="14" t="str">
        <f aca="false">IF(AK184=0,"",IFERROR(LOOKUP(2,1/((加仓管理!$A$2:$A$1001=A184)*(加仓管理!$G$2:$G$1001&gt;0)),加仓管理!$D$2:$D$1001),""))</f>
        <v/>
      </c>
      <c r="AN184" s="14" t="str">
        <f aca="false">IF(AK184=0,"",IFERROR(LOOKUP(2,1/((加仓管理!$A$2:$A$1001=A184)*(加仓管理!$G$2:$G$1001&gt;0)),加仓管理!$E$2:$E$1001),""))</f>
        <v/>
      </c>
      <c r="AO184" s="14" t="str">
        <f aca="false">IF(OR(A184="",H184="",H184&lt;=0),"",(E184*H184+SUMIFS(加仓管理!$H$2:$H$1001,加仓管理!$A$2:$A$1001,A184))/AP184)</f>
        <v/>
      </c>
      <c r="AP184" s="13" t="str">
        <f aca="false">IF(OR(A184="",H184="",H184&lt;=0),"",H184+AL184)</f>
        <v/>
      </c>
      <c r="AQ184" s="14" t="str">
        <f aca="false">IF(A184="","",IF(M184&lt;&gt;"",0,IF(OR(H184="",N184=""),"",MAX((E184*H184+SUMIFS(加仓管理!$H$2:$H$1001,加仓管理!$A$2:$A$1001,A184))-MAX(N184,AN184)*AP184,0))))</f>
        <v/>
      </c>
      <c r="AR184" s="15" t="str">
        <f aca="false">IF(A184="","",IF(OR(E184="",H184=""),"违规：首次买入价格或股数缺失",IF(COUNTIFS(加仓管理!$A$2:$A$1001,A184,加仓管理!$R$2:$R$1001,"违规*")&gt;0,"违规：请检查加仓管理表",IF(SUM($AQ$2:$AQ$201)&gt;账户数据!$B$7,"预警：超过账户风险上限",IF(COUNTIFS(加仓管理!$A$2:$A$1001,A184,加仓管理!$N$2:$N$1001,"&gt;0",加仓管理!$G$2:$G$1001,"")&gt;0,"提示：存在待执行加仓计划","通过")))))</f>
        <v/>
      </c>
    </row>
    <row r="185" customFormat="false" ht="13.5" hidden="false" customHeight="false" outlineLevel="0" collapsed="false">
      <c r="A185" s="4"/>
      <c r="B185" s="4"/>
      <c r="C185" s="5"/>
      <c r="D185" s="6"/>
      <c r="E185" s="5"/>
      <c r="F185" s="7" t="str">
        <f aca="false">IF(OR(C185="",D185="",E185="",N185="",C185&lt;=0,D185&lt;=0,E185&lt;=N185),"",ROUNDDOWN((C185*D185)/(E185-N185)/100,0)*100)</f>
        <v/>
      </c>
      <c r="G185" s="7" t="str">
        <f aca="false">IF(A185="","",IF(H185&lt;&gt;"","已开仓",IF(账户数据!$B$23="已锁仓","禁止开仓：连续亏损达到上限",IF(账户数据!$B$23="解锁信息不完整","禁止开仓：请完整填写解锁信息",IF(OR(F185="",E185="",N185="",E185&lt;=N185,账户数据!$B$7=""),"",IF(OR(AG185="",AH185="",AI185=""),"禁止开仓：交易预期未填写完整",IF(账户数据!$B$9+F185*(E185-N185)&gt;=账户数据!$B$7,"禁止开仓：风险额度不足",IF(AJ185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5" s="4"/>
      <c r="I185" s="8"/>
      <c r="J185" s="5"/>
      <c r="K185" s="11"/>
      <c r="L185" s="7" t="str">
        <f aca="false">IF(AP185="","",AP185)</f>
        <v/>
      </c>
      <c r="M185" s="19"/>
      <c r="N185" s="5"/>
      <c r="O185" s="5"/>
      <c r="P185" s="11"/>
      <c r="Q185" s="4"/>
      <c r="R185" s="4"/>
      <c r="S185" s="4"/>
      <c r="T185" s="4"/>
      <c r="U185" s="9" t="str">
        <f aca="false">IF(OR(AO185="",J185="",AO185&lt;=0),"",(J185-AO185)/AO185)</f>
        <v/>
      </c>
      <c r="V185" s="9" t="str">
        <f aca="false">IF(OR(AO185="",N185="",AO185&lt;=0),"",(AO185-N185)/AO185)</f>
        <v/>
      </c>
      <c r="W185" s="10" t="str">
        <f aca="false">IF(OR(U185="",V185="",V185&lt;=0),"",U185/V185)</f>
        <v/>
      </c>
      <c r="X185" s="11" t="str">
        <f aca="false">IF(OR(K185="",L185="",AO185="",AP185=""),"",(K185-AO185)*L185-IF(O185="",0,O185)-IF(P185="",0,P185))</f>
        <v/>
      </c>
      <c r="Y185" s="9" t="str">
        <f aca="false">IF(OR(X185="",AO185="",L185=""),"",IF(AO185*L185+IF(O185="",0,O185)&lt;=0,"",X185/(AO185*L185+IF(O185="",0,O185))))</f>
        <v/>
      </c>
      <c r="Z185" s="9" t="str">
        <f aca="false">IF(OR(AE185="",多次统计数据!$B$8=""),"",AE185-多次统计数据!$B$8)</f>
        <v/>
      </c>
      <c r="AA185" s="12" t="str">
        <f aca="false">IF(OR(I185="",M185="",M185&lt;I185),"",M185-I185)</f>
        <v/>
      </c>
      <c r="AB185" s="9" t="str">
        <f aca="false">IF(OR(A185="",多次统计数据!$B$8="",多次统计数据!$B$6&lt;=0,多次统计数据!$B$6&gt;=1),"",1-POWER(1+多次统计数据!$B$8,-多次统计数据!$B$6/(1-多次统计数据!$B$6)))</f>
        <v/>
      </c>
      <c r="AC185" s="7" t="str">
        <f aca="false">IF(OR(AB185="",多次统计数据!$B$9=""),"",IF(多次统计数据!$B$9&lt;AB185,"低于上限","达到或超过上限"))</f>
        <v/>
      </c>
      <c r="AD185" s="4"/>
      <c r="AE185" s="9" t="str">
        <f aca="false">IF(OR(X185="",C185="",C185&lt;=0),"",X185/C185)</f>
        <v/>
      </c>
      <c r="AG185" s="4"/>
      <c r="AH185" s="4"/>
      <c r="AI185" s="4"/>
      <c r="AJ185" s="7" t="str">
        <f aca="false">IF(OR(AG185="",AH185=""),"",IF(OR(AND(AG185="短期博反弹",OR(AH185="1～3个交易日",AH185="4～10个交易日")),AND(AG185="突破冲新高",OR(AH185="4～10个交易日",AH185="11～20个交易日")),AND(AG185="趋势波段",OR(AH185="11～20个交易日",AH185="21～60个交易日",AH185="60个交易日以上"))),"匹配","周期与交易预期不匹配，请重新确认"))</f>
        <v/>
      </c>
      <c r="AK185" s="13" t="str">
        <f aca="false">IF(A185="","",COUNTIFS(加仓管理!$A$2:$A$1001,A185,加仓管理!$G$2:$G$1001,"&gt;0"))</f>
        <v/>
      </c>
      <c r="AL185" s="13" t="str">
        <f aca="false">IF(A185="","",SUMIFS(加仓管理!$G$2:$G$1001,加仓管理!$A$2:$A$1001,A185))</f>
        <v/>
      </c>
      <c r="AM185" s="14" t="str">
        <f aca="false">IF(AK185=0,"",IFERROR(LOOKUP(2,1/((加仓管理!$A$2:$A$1001=A185)*(加仓管理!$G$2:$G$1001&gt;0)),加仓管理!$D$2:$D$1001),""))</f>
        <v/>
      </c>
      <c r="AN185" s="14" t="str">
        <f aca="false">IF(AK185=0,"",IFERROR(LOOKUP(2,1/((加仓管理!$A$2:$A$1001=A185)*(加仓管理!$G$2:$G$1001&gt;0)),加仓管理!$E$2:$E$1001),""))</f>
        <v/>
      </c>
      <c r="AO185" s="14" t="str">
        <f aca="false">IF(OR(A185="",H185="",H185&lt;=0),"",(E185*H185+SUMIFS(加仓管理!$H$2:$H$1001,加仓管理!$A$2:$A$1001,A185))/AP185)</f>
        <v/>
      </c>
      <c r="AP185" s="13" t="str">
        <f aca="false">IF(OR(A185="",H185="",H185&lt;=0),"",H185+AL185)</f>
        <v/>
      </c>
      <c r="AQ185" s="14" t="str">
        <f aca="false">IF(A185="","",IF(M185&lt;&gt;"",0,IF(OR(H185="",N185=""),"",MAX((E185*H185+SUMIFS(加仓管理!$H$2:$H$1001,加仓管理!$A$2:$A$1001,A185))-MAX(N185,AN185)*AP185,0))))</f>
        <v/>
      </c>
      <c r="AR185" s="15" t="str">
        <f aca="false">IF(A185="","",IF(OR(E185="",H185=""),"违规：首次买入价格或股数缺失",IF(COUNTIFS(加仓管理!$A$2:$A$1001,A185,加仓管理!$R$2:$R$1001,"违规*")&gt;0,"违规：请检查加仓管理表",IF(SUM($AQ$2:$AQ$201)&gt;账户数据!$B$7,"预警：超过账户风险上限",IF(COUNTIFS(加仓管理!$A$2:$A$1001,A185,加仓管理!$N$2:$N$1001,"&gt;0",加仓管理!$G$2:$G$1001,"")&gt;0,"提示：存在待执行加仓计划","通过")))))</f>
        <v/>
      </c>
    </row>
    <row r="186" customFormat="false" ht="13.5" hidden="false" customHeight="false" outlineLevel="0" collapsed="false">
      <c r="A186" s="4"/>
      <c r="B186" s="4"/>
      <c r="C186" s="5"/>
      <c r="D186" s="6"/>
      <c r="E186" s="5"/>
      <c r="F186" s="7" t="str">
        <f aca="false">IF(OR(C186="",D186="",E186="",N186="",C186&lt;=0,D186&lt;=0,E186&lt;=N186),"",ROUNDDOWN((C186*D186)/(E186-N186)/100,0)*100)</f>
        <v/>
      </c>
      <c r="G186" s="7" t="str">
        <f aca="false">IF(A186="","",IF(H186&lt;&gt;"","已开仓",IF(账户数据!$B$23="已锁仓","禁止开仓：连续亏损达到上限",IF(账户数据!$B$23="解锁信息不完整","禁止开仓：请完整填写解锁信息",IF(OR(F186="",E186="",N186="",E186&lt;=N186,账户数据!$B$7=""),"",IF(OR(AG186="",AH186="",AI186=""),"禁止开仓：交易预期未填写完整",IF(账户数据!$B$9+F186*(E186-N186)&gt;=账户数据!$B$7,"禁止开仓：风险额度不足",IF(AJ186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6" s="4"/>
      <c r="I186" s="8"/>
      <c r="J186" s="5"/>
      <c r="K186" s="11"/>
      <c r="L186" s="7" t="str">
        <f aca="false">IF(AP186="","",AP186)</f>
        <v/>
      </c>
      <c r="M186" s="19"/>
      <c r="N186" s="5"/>
      <c r="O186" s="5"/>
      <c r="P186" s="11"/>
      <c r="Q186" s="4"/>
      <c r="R186" s="4"/>
      <c r="S186" s="4"/>
      <c r="T186" s="4"/>
      <c r="U186" s="9" t="str">
        <f aca="false">IF(OR(AO186="",J186="",AO186&lt;=0),"",(J186-AO186)/AO186)</f>
        <v/>
      </c>
      <c r="V186" s="9" t="str">
        <f aca="false">IF(OR(AO186="",N186="",AO186&lt;=0),"",(AO186-N186)/AO186)</f>
        <v/>
      </c>
      <c r="W186" s="10" t="str">
        <f aca="false">IF(OR(U186="",V186="",V186&lt;=0),"",U186/V186)</f>
        <v/>
      </c>
      <c r="X186" s="11" t="str">
        <f aca="false">IF(OR(K186="",L186="",AO186="",AP186=""),"",(K186-AO186)*L186-IF(O186="",0,O186)-IF(P186="",0,P186))</f>
        <v/>
      </c>
      <c r="Y186" s="9" t="str">
        <f aca="false">IF(OR(X186="",AO186="",L186=""),"",IF(AO186*L186+IF(O186="",0,O186)&lt;=0,"",X186/(AO186*L186+IF(O186="",0,O186))))</f>
        <v/>
      </c>
      <c r="Z186" s="9" t="str">
        <f aca="false">IF(OR(AE186="",多次统计数据!$B$8=""),"",AE186-多次统计数据!$B$8)</f>
        <v/>
      </c>
      <c r="AA186" s="12" t="str">
        <f aca="false">IF(OR(I186="",M186="",M186&lt;I186),"",M186-I186)</f>
        <v/>
      </c>
      <c r="AB186" s="9" t="str">
        <f aca="false">IF(OR(A186="",多次统计数据!$B$8="",多次统计数据!$B$6&lt;=0,多次统计数据!$B$6&gt;=1),"",1-POWER(1+多次统计数据!$B$8,-多次统计数据!$B$6/(1-多次统计数据!$B$6)))</f>
        <v/>
      </c>
      <c r="AC186" s="7" t="str">
        <f aca="false">IF(OR(AB186="",多次统计数据!$B$9=""),"",IF(多次统计数据!$B$9&lt;AB186,"低于上限","达到或超过上限"))</f>
        <v/>
      </c>
      <c r="AD186" s="4"/>
      <c r="AE186" s="9" t="str">
        <f aca="false">IF(OR(X186="",C186="",C186&lt;=0),"",X186/C186)</f>
        <v/>
      </c>
      <c r="AG186" s="4"/>
      <c r="AH186" s="4"/>
      <c r="AI186" s="4"/>
      <c r="AJ186" s="7" t="str">
        <f aca="false">IF(OR(AG186="",AH186=""),"",IF(OR(AND(AG186="短期博反弹",OR(AH186="1～3个交易日",AH186="4～10个交易日")),AND(AG186="突破冲新高",OR(AH186="4～10个交易日",AH186="11～20个交易日")),AND(AG186="趋势波段",OR(AH186="11～20个交易日",AH186="21～60个交易日",AH186="60个交易日以上"))),"匹配","周期与交易预期不匹配，请重新确认"))</f>
        <v/>
      </c>
      <c r="AK186" s="13" t="str">
        <f aca="false">IF(A186="","",COUNTIFS(加仓管理!$A$2:$A$1001,A186,加仓管理!$G$2:$G$1001,"&gt;0"))</f>
        <v/>
      </c>
      <c r="AL186" s="13" t="str">
        <f aca="false">IF(A186="","",SUMIFS(加仓管理!$G$2:$G$1001,加仓管理!$A$2:$A$1001,A186))</f>
        <v/>
      </c>
      <c r="AM186" s="14" t="str">
        <f aca="false">IF(AK186=0,"",IFERROR(LOOKUP(2,1/((加仓管理!$A$2:$A$1001=A186)*(加仓管理!$G$2:$G$1001&gt;0)),加仓管理!$D$2:$D$1001),""))</f>
        <v/>
      </c>
      <c r="AN186" s="14" t="str">
        <f aca="false">IF(AK186=0,"",IFERROR(LOOKUP(2,1/((加仓管理!$A$2:$A$1001=A186)*(加仓管理!$G$2:$G$1001&gt;0)),加仓管理!$E$2:$E$1001),""))</f>
        <v/>
      </c>
      <c r="AO186" s="14" t="str">
        <f aca="false">IF(OR(A186="",H186="",H186&lt;=0),"",(E186*H186+SUMIFS(加仓管理!$H$2:$H$1001,加仓管理!$A$2:$A$1001,A186))/AP186)</f>
        <v/>
      </c>
      <c r="AP186" s="13" t="str">
        <f aca="false">IF(OR(A186="",H186="",H186&lt;=0),"",H186+AL186)</f>
        <v/>
      </c>
      <c r="AQ186" s="14" t="str">
        <f aca="false">IF(A186="","",IF(M186&lt;&gt;"",0,IF(OR(H186="",N186=""),"",MAX((E186*H186+SUMIFS(加仓管理!$H$2:$H$1001,加仓管理!$A$2:$A$1001,A186))-MAX(N186,AN186)*AP186,0))))</f>
        <v/>
      </c>
      <c r="AR186" s="15" t="str">
        <f aca="false">IF(A186="","",IF(OR(E186="",H186=""),"违规：首次买入价格或股数缺失",IF(COUNTIFS(加仓管理!$A$2:$A$1001,A186,加仓管理!$R$2:$R$1001,"违规*")&gt;0,"违规：请检查加仓管理表",IF(SUM($AQ$2:$AQ$201)&gt;账户数据!$B$7,"预警：超过账户风险上限",IF(COUNTIFS(加仓管理!$A$2:$A$1001,A186,加仓管理!$N$2:$N$1001,"&gt;0",加仓管理!$G$2:$G$1001,"")&gt;0,"提示：存在待执行加仓计划","通过")))))</f>
        <v/>
      </c>
    </row>
    <row r="187" customFormat="false" ht="13.5" hidden="false" customHeight="false" outlineLevel="0" collapsed="false">
      <c r="A187" s="4"/>
      <c r="B187" s="4"/>
      <c r="C187" s="5"/>
      <c r="D187" s="6"/>
      <c r="E187" s="5"/>
      <c r="F187" s="7" t="str">
        <f aca="false">IF(OR(C187="",D187="",E187="",N187="",C187&lt;=0,D187&lt;=0,E187&lt;=N187),"",ROUNDDOWN((C187*D187)/(E187-N187)/100,0)*100)</f>
        <v/>
      </c>
      <c r="G187" s="7" t="str">
        <f aca="false">IF(A187="","",IF(H187&lt;&gt;"","已开仓",IF(账户数据!$B$23="已锁仓","禁止开仓：连续亏损达到上限",IF(账户数据!$B$23="解锁信息不完整","禁止开仓：请完整填写解锁信息",IF(OR(F187="",E187="",N187="",E187&lt;=N187,账户数据!$B$7=""),"",IF(OR(AG187="",AH187="",AI187=""),"禁止开仓：交易预期未填写完整",IF(账户数据!$B$9+F187*(E187-N187)&gt;=账户数据!$B$7,"禁止开仓：风险额度不足",IF(AJ187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7" s="4"/>
      <c r="I187" s="8"/>
      <c r="J187" s="5"/>
      <c r="K187" s="11"/>
      <c r="L187" s="7" t="str">
        <f aca="false">IF(AP187="","",AP187)</f>
        <v/>
      </c>
      <c r="M187" s="19"/>
      <c r="N187" s="5"/>
      <c r="O187" s="5"/>
      <c r="P187" s="11"/>
      <c r="Q187" s="4"/>
      <c r="R187" s="4"/>
      <c r="S187" s="4"/>
      <c r="T187" s="4"/>
      <c r="U187" s="9" t="str">
        <f aca="false">IF(OR(AO187="",J187="",AO187&lt;=0),"",(J187-AO187)/AO187)</f>
        <v/>
      </c>
      <c r="V187" s="9" t="str">
        <f aca="false">IF(OR(AO187="",N187="",AO187&lt;=0),"",(AO187-N187)/AO187)</f>
        <v/>
      </c>
      <c r="W187" s="10" t="str">
        <f aca="false">IF(OR(U187="",V187="",V187&lt;=0),"",U187/V187)</f>
        <v/>
      </c>
      <c r="X187" s="11" t="str">
        <f aca="false">IF(OR(K187="",L187="",AO187="",AP187=""),"",(K187-AO187)*L187-IF(O187="",0,O187)-IF(P187="",0,P187))</f>
        <v/>
      </c>
      <c r="Y187" s="9" t="str">
        <f aca="false">IF(OR(X187="",AO187="",L187=""),"",IF(AO187*L187+IF(O187="",0,O187)&lt;=0,"",X187/(AO187*L187+IF(O187="",0,O187))))</f>
        <v/>
      </c>
      <c r="Z187" s="9" t="str">
        <f aca="false">IF(OR(AE187="",多次统计数据!$B$8=""),"",AE187-多次统计数据!$B$8)</f>
        <v/>
      </c>
      <c r="AA187" s="12" t="str">
        <f aca="false">IF(OR(I187="",M187="",M187&lt;I187),"",M187-I187)</f>
        <v/>
      </c>
      <c r="AB187" s="9" t="str">
        <f aca="false">IF(OR(A187="",多次统计数据!$B$8="",多次统计数据!$B$6&lt;=0,多次统计数据!$B$6&gt;=1),"",1-POWER(1+多次统计数据!$B$8,-多次统计数据!$B$6/(1-多次统计数据!$B$6)))</f>
        <v/>
      </c>
      <c r="AC187" s="7" t="str">
        <f aca="false">IF(OR(AB187="",多次统计数据!$B$9=""),"",IF(多次统计数据!$B$9&lt;AB187,"低于上限","达到或超过上限"))</f>
        <v/>
      </c>
      <c r="AD187" s="4"/>
      <c r="AE187" s="9" t="str">
        <f aca="false">IF(OR(X187="",C187="",C187&lt;=0),"",X187/C187)</f>
        <v/>
      </c>
      <c r="AG187" s="4"/>
      <c r="AH187" s="4"/>
      <c r="AI187" s="4"/>
      <c r="AJ187" s="7" t="str">
        <f aca="false">IF(OR(AG187="",AH187=""),"",IF(OR(AND(AG187="短期博反弹",OR(AH187="1～3个交易日",AH187="4～10个交易日")),AND(AG187="突破冲新高",OR(AH187="4～10个交易日",AH187="11～20个交易日")),AND(AG187="趋势波段",OR(AH187="11～20个交易日",AH187="21～60个交易日",AH187="60个交易日以上"))),"匹配","周期与交易预期不匹配，请重新确认"))</f>
        <v/>
      </c>
      <c r="AK187" s="13" t="str">
        <f aca="false">IF(A187="","",COUNTIFS(加仓管理!$A$2:$A$1001,A187,加仓管理!$G$2:$G$1001,"&gt;0"))</f>
        <v/>
      </c>
      <c r="AL187" s="13" t="str">
        <f aca="false">IF(A187="","",SUMIFS(加仓管理!$G$2:$G$1001,加仓管理!$A$2:$A$1001,A187))</f>
        <v/>
      </c>
      <c r="AM187" s="14" t="str">
        <f aca="false">IF(AK187=0,"",IFERROR(LOOKUP(2,1/((加仓管理!$A$2:$A$1001=A187)*(加仓管理!$G$2:$G$1001&gt;0)),加仓管理!$D$2:$D$1001),""))</f>
        <v/>
      </c>
      <c r="AN187" s="14" t="str">
        <f aca="false">IF(AK187=0,"",IFERROR(LOOKUP(2,1/((加仓管理!$A$2:$A$1001=A187)*(加仓管理!$G$2:$G$1001&gt;0)),加仓管理!$E$2:$E$1001),""))</f>
        <v/>
      </c>
      <c r="AO187" s="14" t="str">
        <f aca="false">IF(OR(A187="",H187="",H187&lt;=0),"",(E187*H187+SUMIFS(加仓管理!$H$2:$H$1001,加仓管理!$A$2:$A$1001,A187))/AP187)</f>
        <v/>
      </c>
      <c r="AP187" s="13" t="str">
        <f aca="false">IF(OR(A187="",H187="",H187&lt;=0),"",H187+AL187)</f>
        <v/>
      </c>
      <c r="AQ187" s="14" t="str">
        <f aca="false">IF(A187="","",IF(M187&lt;&gt;"",0,IF(OR(H187="",N187=""),"",MAX((E187*H187+SUMIFS(加仓管理!$H$2:$H$1001,加仓管理!$A$2:$A$1001,A187))-MAX(N187,AN187)*AP187,0))))</f>
        <v/>
      </c>
      <c r="AR187" s="15" t="str">
        <f aca="false">IF(A187="","",IF(OR(E187="",H187=""),"违规：首次买入价格或股数缺失",IF(COUNTIFS(加仓管理!$A$2:$A$1001,A187,加仓管理!$R$2:$R$1001,"违规*")&gt;0,"违规：请检查加仓管理表",IF(SUM($AQ$2:$AQ$201)&gt;账户数据!$B$7,"预警：超过账户风险上限",IF(COUNTIFS(加仓管理!$A$2:$A$1001,A187,加仓管理!$N$2:$N$1001,"&gt;0",加仓管理!$G$2:$G$1001,"")&gt;0,"提示：存在待执行加仓计划","通过")))))</f>
        <v/>
      </c>
    </row>
    <row r="188" customFormat="false" ht="13.5" hidden="false" customHeight="false" outlineLevel="0" collapsed="false">
      <c r="A188" s="4"/>
      <c r="B188" s="4"/>
      <c r="C188" s="5"/>
      <c r="D188" s="6"/>
      <c r="E188" s="5"/>
      <c r="F188" s="7" t="str">
        <f aca="false">IF(OR(C188="",D188="",E188="",N188="",C188&lt;=0,D188&lt;=0,E188&lt;=N188),"",ROUNDDOWN((C188*D188)/(E188-N188)/100,0)*100)</f>
        <v/>
      </c>
      <c r="G188" s="7" t="str">
        <f aca="false">IF(A188="","",IF(H188&lt;&gt;"","已开仓",IF(账户数据!$B$23="已锁仓","禁止开仓：连续亏损达到上限",IF(账户数据!$B$23="解锁信息不完整","禁止开仓：请完整填写解锁信息",IF(OR(F188="",E188="",N188="",E188&lt;=N188,账户数据!$B$7=""),"",IF(OR(AG188="",AH188="",AI188=""),"禁止开仓：交易预期未填写完整",IF(账户数据!$B$9+F188*(E188-N188)&gt;=账户数据!$B$7,"禁止开仓：风险额度不足",IF(AJ188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8" s="4"/>
      <c r="I188" s="8"/>
      <c r="J188" s="5"/>
      <c r="K188" s="11"/>
      <c r="L188" s="7" t="str">
        <f aca="false">IF(AP188="","",AP188)</f>
        <v/>
      </c>
      <c r="M188" s="19"/>
      <c r="N188" s="5"/>
      <c r="O188" s="5"/>
      <c r="P188" s="11"/>
      <c r="Q188" s="4"/>
      <c r="R188" s="4"/>
      <c r="S188" s="4"/>
      <c r="T188" s="4"/>
      <c r="U188" s="9" t="str">
        <f aca="false">IF(OR(AO188="",J188="",AO188&lt;=0),"",(J188-AO188)/AO188)</f>
        <v/>
      </c>
      <c r="V188" s="9" t="str">
        <f aca="false">IF(OR(AO188="",N188="",AO188&lt;=0),"",(AO188-N188)/AO188)</f>
        <v/>
      </c>
      <c r="W188" s="10" t="str">
        <f aca="false">IF(OR(U188="",V188="",V188&lt;=0),"",U188/V188)</f>
        <v/>
      </c>
      <c r="X188" s="11" t="str">
        <f aca="false">IF(OR(K188="",L188="",AO188="",AP188=""),"",(K188-AO188)*L188-IF(O188="",0,O188)-IF(P188="",0,P188))</f>
        <v/>
      </c>
      <c r="Y188" s="9" t="str">
        <f aca="false">IF(OR(X188="",AO188="",L188=""),"",IF(AO188*L188+IF(O188="",0,O188)&lt;=0,"",X188/(AO188*L188+IF(O188="",0,O188))))</f>
        <v/>
      </c>
      <c r="Z188" s="9" t="str">
        <f aca="false">IF(OR(AE188="",多次统计数据!$B$8=""),"",AE188-多次统计数据!$B$8)</f>
        <v/>
      </c>
      <c r="AA188" s="12" t="str">
        <f aca="false">IF(OR(I188="",M188="",M188&lt;I188),"",M188-I188)</f>
        <v/>
      </c>
      <c r="AB188" s="9" t="str">
        <f aca="false">IF(OR(A188="",多次统计数据!$B$8="",多次统计数据!$B$6&lt;=0,多次统计数据!$B$6&gt;=1),"",1-POWER(1+多次统计数据!$B$8,-多次统计数据!$B$6/(1-多次统计数据!$B$6)))</f>
        <v/>
      </c>
      <c r="AC188" s="7" t="str">
        <f aca="false">IF(OR(AB188="",多次统计数据!$B$9=""),"",IF(多次统计数据!$B$9&lt;AB188,"低于上限","达到或超过上限"))</f>
        <v/>
      </c>
      <c r="AD188" s="4"/>
      <c r="AE188" s="9" t="str">
        <f aca="false">IF(OR(X188="",C188="",C188&lt;=0),"",X188/C188)</f>
        <v/>
      </c>
      <c r="AG188" s="4"/>
      <c r="AH188" s="4"/>
      <c r="AI188" s="4"/>
      <c r="AJ188" s="7" t="str">
        <f aca="false">IF(OR(AG188="",AH188=""),"",IF(OR(AND(AG188="短期博反弹",OR(AH188="1～3个交易日",AH188="4～10个交易日")),AND(AG188="突破冲新高",OR(AH188="4～10个交易日",AH188="11～20个交易日")),AND(AG188="趋势波段",OR(AH188="11～20个交易日",AH188="21～60个交易日",AH188="60个交易日以上"))),"匹配","周期与交易预期不匹配，请重新确认"))</f>
        <v/>
      </c>
      <c r="AK188" s="13" t="str">
        <f aca="false">IF(A188="","",COUNTIFS(加仓管理!$A$2:$A$1001,A188,加仓管理!$G$2:$G$1001,"&gt;0"))</f>
        <v/>
      </c>
      <c r="AL188" s="13" t="str">
        <f aca="false">IF(A188="","",SUMIFS(加仓管理!$G$2:$G$1001,加仓管理!$A$2:$A$1001,A188))</f>
        <v/>
      </c>
      <c r="AM188" s="14" t="str">
        <f aca="false">IF(AK188=0,"",IFERROR(LOOKUP(2,1/((加仓管理!$A$2:$A$1001=A188)*(加仓管理!$G$2:$G$1001&gt;0)),加仓管理!$D$2:$D$1001),""))</f>
        <v/>
      </c>
      <c r="AN188" s="14" t="str">
        <f aca="false">IF(AK188=0,"",IFERROR(LOOKUP(2,1/((加仓管理!$A$2:$A$1001=A188)*(加仓管理!$G$2:$G$1001&gt;0)),加仓管理!$E$2:$E$1001),""))</f>
        <v/>
      </c>
      <c r="AO188" s="14" t="str">
        <f aca="false">IF(OR(A188="",H188="",H188&lt;=0),"",(E188*H188+SUMIFS(加仓管理!$H$2:$H$1001,加仓管理!$A$2:$A$1001,A188))/AP188)</f>
        <v/>
      </c>
      <c r="AP188" s="13" t="str">
        <f aca="false">IF(OR(A188="",H188="",H188&lt;=0),"",H188+AL188)</f>
        <v/>
      </c>
      <c r="AQ188" s="14" t="str">
        <f aca="false">IF(A188="","",IF(M188&lt;&gt;"",0,IF(OR(H188="",N188=""),"",MAX((E188*H188+SUMIFS(加仓管理!$H$2:$H$1001,加仓管理!$A$2:$A$1001,A188))-MAX(N188,AN188)*AP188,0))))</f>
        <v/>
      </c>
      <c r="AR188" s="15" t="str">
        <f aca="false">IF(A188="","",IF(OR(E188="",H188=""),"违规：首次买入价格或股数缺失",IF(COUNTIFS(加仓管理!$A$2:$A$1001,A188,加仓管理!$R$2:$R$1001,"违规*")&gt;0,"违规：请检查加仓管理表",IF(SUM($AQ$2:$AQ$201)&gt;账户数据!$B$7,"预警：超过账户风险上限",IF(COUNTIFS(加仓管理!$A$2:$A$1001,A188,加仓管理!$N$2:$N$1001,"&gt;0",加仓管理!$G$2:$G$1001,"")&gt;0,"提示：存在待执行加仓计划","通过")))))</f>
        <v/>
      </c>
    </row>
    <row r="189" customFormat="false" ht="13.5" hidden="false" customHeight="false" outlineLevel="0" collapsed="false">
      <c r="A189" s="4"/>
      <c r="B189" s="4"/>
      <c r="C189" s="5"/>
      <c r="D189" s="6"/>
      <c r="E189" s="5"/>
      <c r="F189" s="7" t="str">
        <f aca="false">IF(OR(C189="",D189="",E189="",N189="",C189&lt;=0,D189&lt;=0,E189&lt;=N189),"",ROUNDDOWN((C189*D189)/(E189-N189)/100,0)*100)</f>
        <v/>
      </c>
      <c r="G189" s="7" t="str">
        <f aca="false">IF(A189="","",IF(H189&lt;&gt;"","已开仓",IF(账户数据!$B$23="已锁仓","禁止开仓：连续亏损达到上限",IF(账户数据!$B$23="解锁信息不完整","禁止开仓：请完整填写解锁信息",IF(OR(F189="",E189="",N189="",E189&lt;=N189,账户数据!$B$7=""),"",IF(OR(AG189="",AH189="",AI189=""),"禁止开仓：交易预期未填写完整",IF(账户数据!$B$9+F189*(E189-N189)&gt;=账户数据!$B$7,"禁止开仓：风险额度不足",IF(AJ189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9" s="4"/>
      <c r="I189" s="8"/>
      <c r="J189" s="5"/>
      <c r="K189" s="11"/>
      <c r="L189" s="7" t="str">
        <f aca="false">IF(AP189="","",AP189)</f>
        <v/>
      </c>
      <c r="M189" s="19"/>
      <c r="N189" s="5"/>
      <c r="O189" s="5"/>
      <c r="P189" s="11"/>
      <c r="Q189" s="4"/>
      <c r="R189" s="4"/>
      <c r="S189" s="4"/>
      <c r="T189" s="4"/>
      <c r="U189" s="9" t="str">
        <f aca="false">IF(OR(AO189="",J189="",AO189&lt;=0),"",(J189-AO189)/AO189)</f>
        <v/>
      </c>
      <c r="V189" s="9" t="str">
        <f aca="false">IF(OR(AO189="",N189="",AO189&lt;=0),"",(AO189-N189)/AO189)</f>
        <v/>
      </c>
      <c r="W189" s="10" t="str">
        <f aca="false">IF(OR(U189="",V189="",V189&lt;=0),"",U189/V189)</f>
        <v/>
      </c>
      <c r="X189" s="11" t="str">
        <f aca="false">IF(OR(K189="",L189="",AO189="",AP189=""),"",(K189-AO189)*L189-IF(O189="",0,O189)-IF(P189="",0,P189))</f>
        <v/>
      </c>
      <c r="Y189" s="9" t="str">
        <f aca="false">IF(OR(X189="",AO189="",L189=""),"",IF(AO189*L189+IF(O189="",0,O189)&lt;=0,"",X189/(AO189*L189+IF(O189="",0,O189))))</f>
        <v/>
      </c>
      <c r="Z189" s="9" t="str">
        <f aca="false">IF(OR(AE189="",多次统计数据!$B$8=""),"",AE189-多次统计数据!$B$8)</f>
        <v/>
      </c>
      <c r="AA189" s="12" t="str">
        <f aca="false">IF(OR(I189="",M189="",M189&lt;I189),"",M189-I189)</f>
        <v/>
      </c>
      <c r="AB189" s="9" t="str">
        <f aca="false">IF(OR(A189="",多次统计数据!$B$8="",多次统计数据!$B$6&lt;=0,多次统计数据!$B$6&gt;=1),"",1-POWER(1+多次统计数据!$B$8,-多次统计数据!$B$6/(1-多次统计数据!$B$6)))</f>
        <v/>
      </c>
      <c r="AC189" s="7" t="str">
        <f aca="false">IF(OR(AB189="",多次统计数据!$B$9=""),"",IF(多次统计数据!$B$9&lt;AB189,"低于上限","达到或超过上限"))</f>
        <v/>
      </c>
      <c r="AD189" s="4"/>
      <c r="AE189" s="9" t="str">
        <f aca="false">IF(OR(X189="",C189="",C189&lt;=0),"",X189/C189)</f>
        <v/>
      </c>
      <c r="AG189" s="4"/>
      <c r="AH189" s="4"/>
      <c r="AI189" s="4"/>
      <c r="AJ189" s="7" t="str">
        <f aca="false">IF(OR(AG189="",AH189=""),"",IF(OR(AND(AG189="短期博反弹",OR(AH189="1～3个交易日",AH189="4～10个交易日")),AND(AG189="突破冲新高",OR(AH189="4～10个交易日",AH189="11～20个交易日")),AND(AG189="趋势波段",OR(AH189="11～20个交易日",AH189="21～60个交易日",AH189="60个交易日以上"))),"匹配","周期与交易预期不匹配，请重新确认"))</f>
        <v/>
      </c>
      <c r="AK189" s="13" t="str">
        <f aca="false">IF(A189="","",COUNTIFS(加仓管理!$A$2:$A$1001,A189,加仓管理!$G$2:$G$1001,"&gt;0"))</f>
        <v/>
      </c>
      <c r="AL189" s="13" t="str">
        <f aca="false">IF(A189="","",SUMIFS(加仓管理!$G$2:$G$1001,加仓管理!$A$2:$A$1001,A189))</f>
        <v/>
      </c>
      <c r="AM189" s="14" t="str">
        <f aca="false">IF(AK189=0,"",IFERROR(LOOKUP(2,1/((加仓管理!$A$2:$A$1001=A189)*(加仓管理!$G$2:$G$1001&gt;0)),加仓管理!$D$2:$D$1001),""))</f>
        <v/>
      </c>
      <c r="AN189" s="14" t="str">
        <f aca="false">IF(AK189=0,"",IFERROR(LOOKUP(2,1/((加仓管理!$A$2:$A$1001=A189)*(加仓管理!$G$2:$G$1001&gt;0)),加仓管理!$E$2:$E$1001),""))</f>
        <v/>
      </c>
      <c r="AO189" s="14" t="str">
        <f aca="false">IF(OR(A189="",H189="",H189&lt;=0),"",(E189*H189+SUMIFS(加仓管理!$H$2:$H$1001,加仓管理!$A$2:$A$1001,A189))/AP189)</f>
        <v/>
      </c>
      <c r="AP189" s="13" t="str">
        <f aca="false">IF(OR(A189="",H189="",H189&lt;=0),"",H189+AL189)</f>
        <v/>
      </c>
      <c r="AQ189" s="14" t="str">
        <f aca="false">IF(A189="","",IF(M189&lt;&gt;"",0,IF(OR(H189="",N189=""),"",MAX((E189*H189+SUMIFS(加仓管理!$H$2:$H$1001,加仓管理!$A$2:$A$1001,A189))-MAX(N189,AN189)*AP189,0))))</f>
        <v/>
      </c>
      <c r="AR189" s="15" t="str">
        <f aca="false">IF(A189="","",IF(OR(E189="",H189=""),"违规：首次买入价格或股数缺失",IF(COUNTIFS(加仓管理!$A$2:$A$1001,A189,加仓管理!$R$2:$R$1001,"违规*")&gt;0,"违规：请检查加仓管理表",IF(SUM($AQ$2:$AQ$201)&gt;账户数据!$B$7,"预警：超过账户风险上限",IF(COUNTIFS(加仓管理!$A$2:$A$1001,A189,加仓管理!$N$2:$N$1001,"&gt;0",加仓管理!$G$2:$G$1001,"")&gt;0,"提示：存在待执行加仓计划","通过")))))</f>
        <v/>
      </c>
    </row>
    <row r="190" customFormat="false" ht="13.5" hidden="false" customHeight="false" outlineLevel="0" collapsed="false">
      <c r="A190" s="4"/>
      <c r="B190" s="4"/>
      <c r="C190" s="5"/>
      <c r="D190" s="6"/>
      <c r="E190" s="5"/>
      <c r="F190" s="7" t="str">
        <f aca="false">IF(OR(C190="",D190="",E190="",N190="",C190&lt;=0,D190&lt;=0,E190&lt;=N190),"",ROUNDDOWN((C190*D190)/(E190-N190)/100,0)*100)</f>
        <v/>
      </c>
      <c r="G190" s="7" t="str">
        <f aca="false">IF(A190="","",IF(H190&lt;&gt;"","已开仓",IF(账户数据!$B$23="已锁仓","禁止开仓：连续亏损达到上限",IF(账户数据!$B$23="解锁信息不完整","禁止开仓：请完整填写解锁信息",IF(OR(F190="",E190="",N190="",E190&lt;=N190,账户数据!$B$7=""),"",IF(OR(AG190="",AH190="",AI190=""),"禁止开仓：交易预期未填写完整",IF(账户数据!$B$9+F190*(E190-N190)&gt;=账户数据!$B$7,"禁止开仓：风险额度不足",IF(AJ190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0" s="4"/>
      <c r="I190" s="8"/>
      <c r="J190" s="5"/>
      <c r="K190" s="11"/>
      <c r="L190" s="7" t="str">
        <f aca="false">IF(AP190="","",AP190)</f>
        <v/>
      </c>
      <c r="M190" s="19"/>
      <c r="N190" s="5"/>
      <c r="O190" s="5"/>
      <c r="P190" s="11"/>
      <c r="Q190" s="4"/>
      <c r="R190" s="4"/>
      <c r="S190" s="4"/>
      <c r="T190" s="4"/>
      <c r="U190" s="9" t="str">
        <f aca="false">IF(OR(AO190="",J190="",AO190&lt;=0),"",(J190-AO190)/AO190)</f>
        <v/>
      </c>
      <c r="V190" s="9" t="str">
        <f aca="false">IF(OR(AO190="",N190="",AO190&lt;=0),"",(AO190-N190)/AO190)</f>
        <v/>
      </c>
      <c r="W190" s="10" t="str">
        <f aca="false">IF(OR(U190="",V190="",V190&lt;=0),"",U190/V190)</f>
        <v/>
      </c>
      <c r="X190" s="11" t="str">
        <f aca="false">IF(OR(K190="",L190="",AO190="",AP190=""),"",(K190-AO190)*L190-IF(O190="",0,O190)-IF(P190="",0,P190))</f>
        <v/>
      </c>
      <c r="Y190" s="9" t="str">
        <f aca="false">IF(OR(X190="",AO190="",L190=""),"",IF(AO190*L190+IF(O190="",0,O190)&lt;=0,"",X190/(AO190*L190+IF(O190="",0,O190))))</f>
        <v/>
      </c>
      <c r="Z190" s="9" t="str">
        <f aca="false">IF(OR(AE190="",多次统计数据!$B$8=""),"",AE190-多次统计数据!$B$8)</f>
        <v/>
      </c>
      <c r="AA190" s="12" t="str">
        <f aca="false">IF(OR(I190="",M190="",M190&lt;I190),"",M190-I190)</f>
        <v/>
      </c>
      <c r="AB190" s="9" t="str">
        <f aca="false">IF(OR(A190="",多次统计数据!$B$8="",多次统计数据!$B$6&lt;=0,多次统计数据!$B$6&gt;=1),"",1-POWER(1+多次统计数据!$B$8,-多次统计数据!$B$6/(1-多次统计数据!$B$6)))</f>
        <v/>
      </c>
      <c r="AC190" s="7" t="str">
        <f aca="false">IF(OR(AB190="",多次统计数据!$B$9=""),"",IF(多次统计数据!$B$9&lt;AB190,"低于上限","达到或超过上限"))</f>
        <v/>
      </c>
      <c r="AD190" s="4"/>
      <c r="AE190" s="9" t="str">
        <f aca="false">IF(OR(X190="",C190="",C190&lt;=0),"",X190/C190)</f>
        <v/>
      </c>
      <c r="AG190" s="4"/>
      <c r="AH190" s="4"/>
      <c r="AI190" s="4"/>
      <c r="AJ190" s="7" t="str">
        <f aca="false">IF(OR(AG190="",AH190=""),"",IF(OR(AND(AG190="短期博反弹",OR(AH190="1～3个交易日",AH190="4～10个交易日")),AND(AG190="突破冲新高",OR(AH190="4～10个交易日",AH190="11～20个交易日")),AND(AG190="趋势波段",OR(AH190="11～20个交易日",AH190="21～60个交易日",AH190="60个交易日以上"))),"匹配","周期与交易预期不匹配，请重新确认"))</f>
        <v/>
      </c>
      <c r="AK190" s="13" t="str">
        <f aca="false">IF(A190="","",COUNTIFS(加仓管理!$A$2:$A$1001,A190,加仓管理!$G$2:$G$1001,"&gt;0"))</f>
        <v/>
      </c>
      <c r="AL190" s="13" t="str">
        <f aca="false">IF(A190="","",SUMIFS(加仓管理!$G$2:$G$1001,加仓管理!$A$2:$A$1001,A190))</f>
        <v/>
      </c>
      <c r="AM190" s="14" t="str">
        <f aca="false">IF(AK190=0,"",IFERROR(LOOKUP(2,1/((加仓管理!$A$2:$A$1001=A190)*(加仓管理!$G$2:$G$1001&gt;0)),加仓管理!$D$2:$D$1001),""))</f>
        <v/>
      </c>
      <c r="AN190" s="14" t="str">
        <f aca="false">IF(AK190=0,"",IFERROR(LOOKUP(2,1/((加仓管理!$A$2:$A$1001=A190)*(加仓管理!$G$2:$G$1001&gt;0)),加仓管理!$E$2:$E$1001),""))</f>
        <v/>
      </c>
      <c r="AO190" s="14" t="str">
        <f aca="false">IF(OR(A190="",H190="",H190&lt;=0),"",(E190*H190+SUMIFS(加仓管理!$H$2:$H$1001,加仓管理!$A$2:$A$1001,A190))/AP190)</f>
        <v/>
      </c>
      <c r="AP190" s="13" t="str">
        <f aca="false">IF(OR(A190="",H190="",H190&lt;=0),"",H190+AL190)</f>
        <v/>
      </c>
      <c r="AQ190" s="14" t="str">
        <f aca="false">IF(A190="","",IF(M190&lt;&gt;"",0,IF(OR(H190="",N190=""),"",MAX((E190*H190+SUMIFS(加仓管理!$H$2:$H$1001,加仓管理!$A$2:$A$1001,A190))-MAX(N190,AN190)*AP190,0))))</f>
        <v/>
      </c>
      <c r="AR190" s="15" t="str">
        <f aca="false">IF(A190="","",IF(OR(E190="",H190=""),"违规：首次买入价格或股数缺失",IF(COUNTIFS(加仓管理!$A$2:$A$1001,A190,加仓管理!$R$2:$R$1001,"违规*")&gt;0,"违规：请检查加仓管理表",IF(SUM($AQ$2:$AQ$201)&gt;账户数据!$B$7,"预警：超过账户风险上限",IF(COUNTIFS(加仓管理!$A$2:$A$1001,A190,加仓管理!$N$2:$N$1001,"&gt;0",加仓管理!$G$2:$G$1001,"")&gt;0,"提示：存在待执行加仓计划","通过")))))</f>
        <v/>
      </c>
    </row>
    <row r="191" customFormat="false" ht="13.5" hidden="false" customHeight="false" outlineLevel="0" collapsed="false">
      <c r="A191" s="4"/>
      <c r="B191" s="4"/>
      <c r="C191" s="5"/>
      <c r="D191" s="6"/>
      <c r="E191" s="5"/>
      <c r="F191" s="7" t="str">
        <f aca="false">IF(OR(C191="",D191="",E191="",N191="",C191&lt;=0,D191&lt;=0,E191&lt;=N191),"",ROUNDDOWN((C191*D191)/(E191-N191)/100,0)*100)</f>
        <v/>
      </c>
      <c r="G191" s="7" t="str">
        <f aca="false">IF(A191="","",IF(H191&lt;&gt;"","已开仓",IF(账户数据!$B$23="已锁仓","禁止开仓：连续亏损达到上限",IF(账户数据!$B$23="解锁信息不完整","禁止开仓：请完整填写解锁信息",IF(OR(F191="",E191="",N191="",E191&lt;=N191,账户数据!$B$7=""),"",IF(OR(AG191="",AH191="",AI191=""),"禁止开仓：交易预期未填写完整",IF(账户数据!$B$9+F191*(E191-N191)&gt;=账户数据!$B$7,"禁止开仓：风险额度不足",IF(AJ191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1" s="4"/>
      <c r="I191" s="8"/>
      <c r="J191" s="5"/>
      <c r="K191" s="11"/>
      <c r="L191" s="7" t="str">
        <f aca="false">IF(AP191="","",AP191)</f>
        <v/>
      </c>
      <c r="M191" s="19"/>
      <c r="N191" s="5"/>
      <c r="O191" s="5"/>
      <c r="P191" s="11"/>
      <c r="Q191" s="4"/>
      <c r="R191" s="4"/>
      <c r="S191" s="4"/>
      <c r="T191" s="4"/>
      <c r="U191" s="9" t="str">
        <f aca="false">IF(OR(AO191="",J191="",AO191&lt;=0),"",(J191-AO191)/AO191)</f>
        <v/>
      </c>
      <c r="V191" s="9" t="str">
        <f aca="false">IF(OR(AO191="",N191="",AO191&lt;=0),"",(AO191-N191)/AO191)</f>
        <v/>
      </c>
      <c r="W191" s="10" t="str">
        <f aca="false">IF(OR(U191="",V191="",V191&lt;=0),"",U191/V191)</f>
        <v/>
      </c>
      <c r="X191" s="11" t="str">
        <f aca="false">IF(OR(K191="",L191="",AO191="",AP191=""),"",(K191-AO191)*L191-IF(O191="",0,O191)-IF(P191="",0,P191))</f>
        <v/>
      </c>
      <c r="Y191" s="9" t="str">
        <f aca="false">IF(OR(X191="",AO191="",L191=""),"",IF(AO191*L191+IF(O191="",0,O191)&lt;=0,"",X191/(AO191*L191+IF(O191="",0,O191))))</f>
        <v/>
      </c>
      <c r="Z191" s="9" t="str">
        <f aca="false">IF(OR(AE191="",多次统计数据!$B$8=""),"",AE191-多次统计数据!$B$8)</f>
        <v/>
      </c>
      <c r="AA191" s="12" t="str">
        <f aca="false">IF(OR(I191="",M191="",M191&lt;I191),"",M191-I191)</f>
        <v/>
      </c>
      <c r="AB191" s="9" t="str">
        <f aca="false">IF(OR(A191="",多次统计数据!$B$8="",多次统计数据!$B$6&lt;=0,多次统计数据!$B$6&gt;=1),"",1-POWER(1+多次统计数据!$B$8,-多次统计数据!$B$6/(1-多次统计数据!$B$6)))</f>
        <v/>
      </c>
      <c r="AC191" s="7" t="str">
        <f aca="false">IF(OR(AB191="",多次统计数据!$B$9=""),"",IF(多次统计数据!$B$9&lt;AB191,"低于上限","达到或超过上限"))</f>
        <v/>
      </c>
      <c r="AD191" s="4"/>
      <c r="AE191" s="9" t="str">
        <f aca="false">IF(OR(X191="",C191="",C191&lt;=0),"",X191/C191)</f>
        <v/>
      </c>
      <c r="AG191" s="4"/>
      <c r="AH191" s="4"/>
      <c r="AI191" s="4"/>
      <c r="AJ191" s="7" t="str">
        <f aca="false">IF(OR(AG191="",AH191=""),"",IF(OR(AND(AG191="短期博反弹",OR(AH191="1～3个交易日",AH191="4～10个交易日")),AND(AG191="突破冲新高",OR(AH191="4～10个交易日",AH191="11～20个交易日")),AND(AG191="趋势波段",OR(AH191="11～20个交易日",AH191="21～60个交易日",AH191="60个交易日以上"))),"匹配","周期与交易预期不匹配，请重新确认"))</f>
        <v/>
      </c>
      <c r="AK191" s="13" t="str">
        <f aca="false">IF(A191="","",COUNTIFS(加仓管理!$A$2:$A$1001,A191,加仓管理!$G$2:$G$1001,"&gt;0"))</f>
        <v/>
      </c>
      <c r="AL191" s="13" t="str">
        <f aca="false">IF(A191="","",SUMIFS(加仓管理!$G$2:$G$1001,加仓管理!$A$2:$A$1001,A191))</f>
        <v/>
      </c>
      <c r="AM191" s="14" t="str">
        <f aca="false">IF(AK191=0,"",IFERROR(LOOKUP(2,1/((加仓管理!$A$2:$A$1001=A191)*(加仓管理!$G$2:$G$1001&gt;0)),加仓管理!$D$2:$D$1001),""))</f>
        <v/>
      </c>
      <c r="AN191" s="14" t="str">
        <f aca="false">IF(AK191=0,"",IFERROR(LOOKUP(2,1/((加仓管理!$A$2:$A$1001=A191)*(加仓管理!$G$2:$G$1001&gt;0)),加仓管理!$E$2:$E$1001),""))</f>
        <v/>
      </c>
      <c r="AO191" s="14" t="str">
        <f aca="false">IF(OR(A191="",H191="",H191&lt;=0),"",(E191*H191+SUMIFS(加仓管理!$H$2:$H$1001,加仓管理!$A$2:$A$1001,A191))/AP191)</f>
        <v/>
      </c>
      <c r="AP191" s="13" t="str">
        <f aca="false">IF(OR(A191="",H191="",H191&lt;=0),"",H191+AL191)</f>
        <v/>
      </c>
      <c r="AQ191" s="14" t="str">
        <f aca="false">IF(A191="","",IF(M191&lt;&gt;"",0,IF(OR(H191="",N191=""),"",MAX((E191*H191+SUMIFS(加仓管理!$H$2:$H$1001,加仓管理!$A$2:$A$1001,A191))-MAX(N191,AN191)*AP191,0))))</f>
        <v/>
      </c>
      <c r="AR191" s="15" t="str">
        <f aca="false">IF(A191="","",IF(OR(E191="",H191=""),"违规：首次买入价格或股数缺失",IF(COUNTIFS(加仓管理!$A$2:$A$1001,A191,加仓管理!$R$2:$R$1001,"违规*")&gt;0,"违规：请检查加仓管理表",IF(SUM($AQ$2:$AQ$201)&gt;账户数据!$B$7,"预警：超过账户风险上限",IF(COUNTIFS(加仓管理!$A$2:$A$1001,A191,加仓管理!$N$2:$N$1001,"&gt;0",加仓管理!$G$2:$G$1001,"")&gt;0,"提示：存在待执行加仓计划","通过")))))</f>
        <v/>
      </c>
    </row>
    <row r="192" customFormat="false" ht="13.5" hidden="false" customHeight="false" outlineLevel="0" collapsed="false">
      <c r="A192" s="4"/>
      <c r="B192" s="4"/>
      <c r="C192" s="5"/>
      <c r="D192" s="6"/>
      <c r="E192" s="5"/>
      <c r="F192" s="7" t="str">
        <f aca="false">IF(OR(C192="",D192="",E192="",N192="",C192&lt;=0,D192&lt;=0,E192&lt;=N192),"",ROUNDDOWN((C192*D192)/(E192-N192)/100,0)*100)</f>
        <v/>
      </c>
      <c r="G192" s="7" t="str">
        <f aca="false">IF(A192="","",IF(H192&lt;&gt;"","已开仓",IF(账户数据!$B$23="已锁仓","禁止开仓：连续亏损达到上限",IF(账户数据!$B$23="解锁信息不完整","禁止开仓：请完整填写解锁信息",IF(OR(F192="",E192="",N192="",E192&lt;=N192,账户数据!$B$7=""),"",IF(OR(AG192="",AH192="",AI192=""),"禁止开仓：交易预期未填写完整",IF(账户数据!$B$9+F192*(E192-N192)&gt;=账户数据!$B$7,"禁止开仓：风险额度不足",IF(AJ192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2" s="4"/>
      <c r="I192" s="8"/>
      <c r="J192" s="5"/>
      <c r="K192" s="11"/>
      <c r="L192" s="7" t="str">
        <f aca="false">IF(AP192="","",AP192)</f>
        <v/>
      </c>
      <c r="M192" s="19"/>
      <c r="N192" s="5"/>
      <c r="O192" s="5"/>
      <c r="P192" s="11"/>
      <c r="Q192" s="4"/>
      <c r="R192" s="4"/>
      <c r="S192" s="4"/>
      <c r="T192" s="4"/>
      <c r="U192" s="9" t="str">
        <f aca="false">IF(OR(AO192="",J192="",AO192&lt;=0),"",(J192-AO192)/AO192)</f>
        <v/>
      </c>
      <c r="V192" s="9" t="str">
        <f aca="false">IF(OR(AO192="",N192="",AO192&lt;=0),"",(AO192-N192)/AO192)</f>
        <v/>
      </c>
      <c r="W192" s="10" t="str">
        <f aca="false">IF(OR(U192="",V192="",V192&lt;=0),"",U192/V192)</f>
        <v/>
      </c>
      <c r="X192" s="11" t="str">
        <f aca="false">IF(OR(K192="",L192="",AO192="",AP192=""),"",(K192-AO192)*L192-IF(O192="",0,O192)-IF(P192="",0,P192))</f>
        <v/>
      </c>
      <c r="Y192" s="9" t="str">
        <f aca="false">IF(OR(X192="",AO192="",L192=""),"",IF(AO192*L192+IF(O192="",0,O192)&lt;=0,"",X192/(AO192*L192+IF(O192="",0,O192))))</f>
        <v/>
      </c>
      <c r="Z192" s="9" t="str">
        <f aca="false">IF(OR(AE192="",多次统计数据!$B$8=""),"",AE192-多次统计数据!$B$8)</f>
        <v/>
      </c>
      <c r="AA192" s="12" t="str">
        <f aca="false">IF(OR(I192="",M192="",M192&lt;I192),"",M192-I192)</f>
        <v/>
      </c>
      <c r="AB192" s="9" t="str">
        <f aca="false">IF(OR(A192="",多次统计数据!$B$8="",多次统计数据!$B$6&lt;=0,多次统计数据!$B$6&gt;=1),"",1-POWER(1+多次统计数据!$B$8,-多次统计数据!$B$6/(1-多次统计数据!$B$6)))</f>
        <v/>
      </c>
      <c r="AC192" s="7" t="str">
        <f aca="false">IF(OR(AB192="",多次统计数据!$B$9=""),"",IF(多次统计数据!$B$9&lt;AB192,"低于上限","达到或超过上限"))</f>
        <v/>
      </c>
      <c r="AD192" s="4"/>
      <c r="AE192" s="9" t="str">
        <f aca="false">IF(OR(X192="",C192="",C192&lt;=0),"",X192/C192)</f>
        <v/>
      </c>
      <c r="AG192" s="4"/>
      <c r="AH192" s="4"/>
      <c r="AI192" s="4"/>
      <c r="AJ192" s="7" t="str">
        <f aca="false">IF(OR(AG192="",AH192=""),"",IF(OR(AND(AG192="短期博反弹",OR(AH192="1～3个交易日",AH192="4～10个交易日")),AND(AG192="突破冲新高",OR(AH192="4～10个交易日",AH192="11～20个交易日")),AND(AG192="趋势波段",OR(AH192="11～20个交易日",AH192="21～60个交易日",AH192="60个交易日以上"))),"匹配","周期与交易预期不匹配，请重新确认"))</f>
        <v/>
      </c>
      <c r="AK192" s="13" t="str">
        <f aca="false">IF(A192="","",COUNTIFS(加仓管理!$A$2:$A$1001,A192,加仓管理!$G$2:$G$1001,"&gt;0"))</f>
        <v/>
      </c>
      <c r="AL192" s="13" t="str">
        <f aca="false">IF(A192="","",SUMIFS(加仓管理!$G$2:$G$1001,加仓管理!$A$2:$A$1001,A192))</f>
        <v/>
      </c>
      <c r="AM192" s="14" t="str">
        <f aca="false">IF(AK192=0,"",IFERROR(LOOKUP(2,1/((加仓管理!$A$2:$A$1001=A192)*(加仓管理!$G$2:$G$1001&gt;0)),加仓管理!$D$2:$D$1001),""))</f>
        <v/>
      </c>
      <c r="AN192" s="14" t="str">
        <f aca="false">IF(AK192=0,"",IFERROR(LOOKUP(2,1/((加仓管理!$A$2:$A$1001=A192)*(加仓管理!$G$2:$G$1001&gt;0)),加仓管理!$E$2:$E$1001),""))</f>
        <v/>
      </c>
      <c r="AO192" s="14" t="str">
        <f aca="false">IF(OR(A192="",H192="",H192&lt;=0),"",(E192*H192+SUMIFS(加仓管理!$H$2:$H$1001,加仓管理!$A$2:$A$1001,A192))/AP192)</f>
        <v/>
      </c>
      <c r="AP192" s="13" t="str">
        <f aca="false">IF(OR(A192="",H192="",H192&lt;=0),"",H192+AL192)</f>
        <v/>
      </c>
      <c r="AQ192" s="14" t="str">
        <f aca="false">IF(A192="","",IF(M192&lt;&gt;"",0,IF(OR(H192="",N192=""),"",MAX((E192*H192+SUMIFS(加仓管理!$H$2:$H$1001,加仓管理!$A$2:$A$1001,A192))-MAX(N192,AN192)*AP192,0))))</f>
        <v/>
      </c>
      <c r="AR192" s="15" t="str">
        <f aca="false">IF(A192="","",IF(OR(E192="",H192=""),"违规：首次买入价格或股数缺失",IF(COUNTIFS(加仓管理!$A$2:$A$1001,A192,加仓管理!$R$2:$R$1001,"违规*")&gt;0,"违规：请检查加仓管理表",IF(SUM($AQ$2:$AQ$201)&gt;账户数据!$B$7,"预警：超过账户风险上限",IF(COUNTIFS(加仓管理!$A$2:$A$1001,A192,加仓管理!$N$2:$N$1001,"&gt;0",加仓管理!$G$2:$G$1001,"")&gt;0,"提示：存在待执行加仓计划","通过")))))</f>
        <v/>
      </c>
    </row>
    <row r="193" customFormat="false" ht="13.5" hidden="false" customHeight="false" outlineLevel="0" collapsed="false">
      <c r="A193" s="4"/>
      <c r="B193" s="4"/>
      <c r="C193" s="5"/>
      <c r="D193" s="6"/>
      <c r="E193" s="5"/>
      <c r="F193" s="7" t="str">
        <f aca="false">IF(OR(C193="",D193="",E193="",N193="",C193&lt;=0,D193&lt;=0,E193&lt;=N193),"",ROUNDDOWN((C193*D193)/(E193-N193)/100,0)*100)</f>
        <v/>
      </c>
      <c r="G193" s="7" t="str">
        <f aca="false">IF(A193="","",IF(H193&lt;&gt;"","已开仓",IF(账户数据!$B$23="已锁仓","禁止开仓：连续亏损达到上限",IF(账户数据!$B$23="解锁信息不完整","禁止开仓：请完整填写解锁信息",IF(OR(F193="",E193="",N193="",E193&lt;=N193,账户数据!$B$7=""),"",IF(OR(AG193="",AH193="",AI193=""),"禁止开仓：交易预期未填写完整",IF(账户数据!$B$9+F193*(E193-N193)&gt;=账户数据!$B$7,"禁止开仓：风险额度不足",IF(AJ193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3" s="4"/>
      <c r="I193" s="8"/>
      <c r="J193" s="5"/>
      <c r="K193" s="11"/>
      <c r="L193" s="7" t="str">
        <f aca="false">IF(AP193="","",AP193)</f>
        <v/>
      </c>
      <c r="M193" s="19"/>
      <c r="N193" s="5"/>
      <c r="O193" s="5"/>
      <c r="P193" s="11"/>
      <c r="Q193" s="4"/>
      <c r="R193" s="4"/>
      <c r="S193" s="4"/>
      <c r="T193" s="4"/>
      <c r="U193" s="9" t="str">
        <f aca="false">IF(OR(AO193="",J193="",AO193&lt;=0),"",(J193-AO193)/AO193)</f>
        <v/>
      </c>
      <c r="V193" s="9" t="str">
        <f aca="false">IF(OR(AO193="",N193="",AO193&lt;=0),"",(AO193-N193)/AO193)</f>
        <v/>
      </c>
      <c r="W193" s="10" t="str">
        <f aca="false">IF(OR(U193="",V193="",V193&lt;=0),"",U193/V193)</f>
        <v/>
      </c>
      <c r="X193" s="11" t="str">
        <f aca="false">IF(OR(K193="",L193="",AO193="",AP193=""),"",(K193-AO193)*L193-IF(O193="",0,O193)-IF(P193="",0,P193))</f>
        <v/>
      </c>
      <c r="Y193" s="9" t="str">
        <f aca="false">IF(OR(X193="",AO193="",L193=""),"",IF(AO193*L193+IF(O193="",0,O193)&lt;=0,"",X193/(AO193*L193+IF(O193="",0,O193))))</f>
        <v/>
      </c>
      <c r="Z193" s="9" t="str">
        <f aca="false">IF(OR(AE193="",多次统计数据!$B$8=""),"",AE193-多次统计数据!$B$8)</f>
        <v/>
      </c>
      <c r="AA193" s="12" t="str">
        <f aca="false">IF(OR(I193="",M193="",M193&lt;I193),"",M193-I193)</f>
        <v/>
      </c>
      <c r="AB193" s="9" t="str">
        <f aca="false">IF(OR(A193="",多次统计数据!$B$8="",多次统计数据!$B$6&lt;=0,多次统计数据!$B$6&gt;=1),"",1-POWER(1+多次统计数据!$B$8,-多次统计数据!$B$6/(1-多次统计数据!$B$6)))</f>
        <v/>
      </c>
      <c r="AC193" s="7" t="str">
        <f aca="false">IF(OR(AB193="",多次统计数据!$B$9=""),"",IF(多次统计数据!$B$9&lt;AB193,"低于上限","达到或超过上限"))</f>
        <v/>
      </c>
      <c r="AD193" s="4"/>
      <c r="AE193" s="9" t="str">
        <f aca="false">IF(OR(X193="",C193="",C193&lt;=0),"",X193/C193)</f>
        <v/>
      </c>
      <c r="AG193" s="4"/>
      <c r="AH193" s="4"/>
      <c r="AI193" s="4"/>
      <c r="AJ193" s="7" t="str">
        <f aca="false">IF(OR(AG193="",AH193=""),"",IF(OR(AND(AG193="短期博反弹",OR(AH193="1～3个交易日",AH193="4～10个交易日")),AND(AG193="突破冲新高",OR(AH193="4～10个交易日",AH193="11～20个交易日")),AND(AG193="趋势波段",OR(AH193="11～20个交易日",AH193="21～60个交易日",AH193="60个交易日以上"))),"匹配","周期与交易预期不匹配，请重新确认"))</f>
        <v/>
      </c>
      <c r="AK193" s="13" t="str">
        <f aca="false">IF(A193="","",COUNTIFS(加仓管理!$A$2:$A$1001,A193,加仓管理!$G$2:$G$1001,"&gt;0"))</f>
        <v/>
      </c>
      <c r="AL193" s="13" t="str">
        <f aca="false">IF(A193="","",SUMIFS(加仓管理!$G$2:$G$1001,加仓管理!$A$2:$A$1001,A193))</f>
        <v/>
      </c>
      <c r="AM193" s="14" t="str">
        <f aca="false">IF(AK193=0,"",IFERROR(LOOKUP(2,1/((加仓管理!$A$2:$A$1001=A193)*(加仓管理!$G$2:$G$1001&gt;0)),加仓管理!$D$2:$D$1001),""))</f>
        <v/>
      </c>
      <c r="AN193" s="14" t="str">
        <f aca="false">IF(AK193=0,"",IFERROR(LOOKUP(2,1/((加仓管理!$A$2:$A$1001=A193)*(加仓管理!$G$2:$G$1001&gt;0)),加仓管理!$E$2:$E$1001),""))</f>
        <v/>
      </c>
      <c r="AO193" s="14" t="str">
        <f aca="false">IF(OR(A193="",H193="",H193&lt;=0),"",(E193*H193+SUMIFS(加仓管理!$H$2:$H$1001,加仓管理!$A$2:$A$1001,A193))/AP193)</f>
        <v/>
      </c>
      <c r="AP193" s="13" t="str">
        <f aca="false">IF(OR(A193="",H193="",H193&lt;=0),"",H193+AL193)</f>
        <v/>
      </c>
      <c r="AQ193" s="14" t="str">
        <f aca="false">IF(A193="","",IF(M193&lt;&gt;"",0,IF(OR(H193="",N193=""),"",MAX((E193*H193+SUMIFS(加仓管理!$H$2:$H$1001,加仓管理!$A$2:$A$1001,A193))-MAX(N193,AN193)*AP193,0))))</f>
        <v/>
      </c>
      <c r="AR193" s="15" t="str">
        <f aca="false">IF(A193="","",IF(OR(E193="",H193=""),"违规：首次买入价格或股数缺失",IF(COUNTIFS(加仓管理!$A$2:$A$1001,A193,加仓管理!$R$2:$R$1001,"违规*")&gt;0,"违规：请检查加仓管理表",IF(SUM($AQ$2:$AQ$201)&gt;账户数据!$B$7,"预警：超过账户风险上限",IF(COUNTIFS(加仓管理!$A$2:$A$1001,A193,加仓管理!$N$2:$N$1001,"&gt;0",加仓管理!$G$2:$G$1001,"")&gt;0,"提示：存在待执行加仓计划","通过")))))</f>
        <v/>
      </c>
    </row>
    <row r="194" customFormat="false" ht="13.5" hidden="false" customHeight="false" outlineLevel="0" collapsed="false">
      <c r="A194" s="4"/>
      <c r="B194" s="4"/>
      <c r="C194" s="5"/>
      <c r="D194" s="6"/>
      <c r="E194" s="5"/>
      <c r="F194" s="7" t="str">
        <f aca="false">IF(OR(C194="",D194="",E194="",N194="",C194&lt;=0,D194&lt;=0,E194&lt;=N194),"",ROUNDDOWN((C194*D194)/(E194-N194)/100,0)*100)</f>
        <v/>
      </c>
      <c r="G194" s="7" t="str">
        <f aca="false">IF(A194="","",IF(H194&lt;&gt;"","已开仓",IF(账户数据!$B$23="已锁仓","禁止开仓：连续亏损达到上限",IF(账户数据!$B$23="解锁信息不完整","禁止开仓：请完整填写解锁信息",IF(OR(F194="",E194="",N194="",E194&lt;=N194,账户数据!$B$7=""),"",IF(OR(AG194="",AH194="",AI194=""),"禁止开仓：交易预期未填写完整",IF(账户数据!$B$9+F194*(E194-N194)&gt;=账户数据!$B$7,"禁止开仓：风险额度不足",IF(AJ194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4" s="4"/>
      <c r="I194" s="8"/>
      <c r="J194" s="5"/>
      <c r="K194" s="11"/>
      <c r="L194" s="7" t="str">
        <f aca="false">IF(AP194="","",AP194)</f>
        <v/>
      </c>
      <c r="M194" s="19"/>
      <c r="N194" s="5"/>
      <c r="O194" s="5"/>
      <c r="P194" s="11"/>
      <c r="Q194" s="4"/>
      <c r="R194" s="4"/>
      <c r="S194" s="4"/>
      <c r="T194" s="4"/>
      <c r="U194" s="9" t="str">
        <f aca="false">IF(OR(AO194="",J194="",AO194&lt;=0),"",(J194-AO194)/AO194)</f>
        <v/>
      </c>
      <c r="V194" s="9" t="str">
        <f aca="false">IF(OR(AO194="",N194="",AO194&lt;=0),"",(AO194-N194)/AO194)</f>
        <v/>
      </c>
      <c r="W194" s="10" t="str">
        <f aca="false">IF(OR(U194="",V194="",V194&lt;=0),"",U194/V194)</f>
        <v/>
      </c>
      <c r="X194" s="11" t="str">
        <f aca="false">IF(OR(K194="",L194="",AO194="",AP194=""),"",(K194-AO194)*L194-IF(O194="",0,O194)-IF(P194="",0,P194))</f>
        <v/>
      </c>
      <c r="Y194" s="9" t="str">
        <f aca="false">IF(OR(X194="",AO194="",L194=""),"",IF(AO194*L194+IF(O194="",0,O194)&lt;=0,"",X194/(AO194*L194+IF(O194="",0,O194))))</f>
        <v/>
      </c>
      <c r="Z194" s="9" t="str">
        <f aca="false">IF(OR(AE194="",多次统计数据!$B$8=""),"",AE194-多次统计数据!$B$8)</f>
        <v/>
      </c>
      <c r="AA194" s="12" t="str">
        <f aca="false">IF(OR(I194="",M194="",M194&lt;I194),"",M194-I194)</f>
        <v/>
      </c>
      <c r="AB194" s="9" t="str">
        <f aca="false">IF(OR(A194="",多次统计数据!$B$8="",多次统计数据!$B$6&lt;=0,多次统计数据!$B$6&gt;=1),"",1-POWER(1+多次统计数据!$B$8,-多次统计数据!$B$6/(1-多次统计数据!$B$6)))</f>
        <v/>
      </c>
      <c r="AC194" s="7" t="str">
        <f aca="false">IF(OR(AB194="",多次统计数据!$B$9=""),"",IF(多次统计数据!$B$9&lt;AB194,"低于上限","达到或超过上限"))</f>
        <v/>
      </c>
      <c r="AD194" s="4"/>
      <c r="AE194" s="9" t="str">
        <f aca="false">IF(OR(X194="",C194="",C194&lt;=0),"",X194/C194)</f>
        <v/>
      </c>
      <c r="AG194" s="4"/>
      <c r="AH194" s="4"/>
      <c r="AI194" s="4"/>
      <c r="AJ194" s="7" t="str">
        <f aca="false">IF(OR(AG194="",AH194=""),"",IF(OR(AND(AG194="短期博反弹",OR(AH194="1～3个交易日",AH194="4～10个交易日")),AND(AG194="突破冲新高",OR(AH194="4～10个交易日",AH194="11～20个交易日")),AND(AG194="趋势波段",OR(AH194="11～20个交易日",AH194="21～60个交易日",AH194="60个交易日以上"))),"匹配","周期与交易预期不匹配，请重新确认"))</f>
        <v/>
      </c>
      <c r="AK194" s="13" t="str">
        <f aca="false">IF(A194="","",COUNTIFS(加仓管理!$A$2:$A$1001,A194,加仓管理!$G$2:$G$1001,"&gt;0"))</f>
        <v/>
      </c>
      <c r="AL194" s="13" t="str">
        <f aca="false">IF(A194="","",SUMIFS(加仓管理!$G$2:$G$1001,加仓管理!$A$2:$A$1001,A194))</f>
        <v/>
      </c>
      <c r="AM194" s="14" t="str">
        <f aca="false">IF(AK194=0,"",IFERROR(LOOKUP(2,1/((加仓管理!$A$2:$A$1001=A194)*(加仓管理!$G$2:$G$1001&gt;0)),加仓管理!$D$2:$D$1001),""))</f>
        <v/>
      </c>
      <c r="AN194" s="14" t="str">
        <f aca="false">IF(AK194=0,"",IFERROR(LOOKUP(2,1/((加仓管理!$A$2:$A$1001=A194)*(加仓管理!$G$2:$G$1001&gt;0)),加仓管理!$E$2:$E$1001),""))</f>
        <v/>
      </c>
      <c r="AO194" s="14" t="str">
        <f aca="false">IF(OR(A194="",H194="",H194&lt;=0),"",(E194*H194+SUMIFS(加仓管理!$H$2:$H$1001,加仓管理!$A$2:$A$1001,A194))/AP194)</f>
        <v/>
      </c>
      <c r="AP194" s="13" t="str">
        <f aca="false">IF(OR(A194="",H194="",H194&lt;=0),"",H194+AL194)</f>
        <v/>
      </c>
      <c r="AQ194" s="14" t="str">
        <f aca="false">IF(A194="","",IF(M194&lt;&gt;"",0,IF(OR(H194="",N194=""),"",MAX((E194*H194+SUMIFS(加仓管理!$H$2:$H$1001,加仓管理!$A$2:$A$1001,A194))-MAX(N194,AN194)*AP194,0))))</f>
        <v/>
      </c>
      <c r="AR194" s="15" t="str">
        <f aca="false">IF(A194="","",IF(OR(E194="",H194=""),"违规：首次买入价格或股数缺失",IF(COUNTIFS(加仓管理!$A$2:$A$1001,A194,加仓管理!$R$2:$R$1001,"违规*")&gt;0,"违规：请检查加仓管理表",IF(SUM($AQ$2:$AQ$201)&gt;账户数据!$B$7,"预警：超过账户风险上限",IF(COUNTIFS(加仓管理!$A$2:$A$1001,A194,加仓管理!$N$2:$N$1001,"&gt;0",加仓管理!$G$2:$G$1001,"")&gt;0,"提示：存在待执行加仓计划","通过")))))</f>
        <v/>
      </c>
    </row>
    <row r="195" customFormat="false" ht="13.5" hidden="false" customHeight="false" outlineLevel="0" collapsed="false">
      <c r="A195" s="4"/>
      <c r="B195" s="4"/>
      <c r="C195" s="5"/>
      <c r="D195" s="6"/>
      <c r="E195" s="5"/>
      <c r="F195" s="7" t="str">
        <f aca="false">IF(OR(C195="",D195="",E195="",N195="",C195&lt;=0,D195&lt;=0,E195&lt;=N195),"",ROUNDDOWN((C195*D195)/(E195-N195)/100,0)*100)</f>
        <v/>
      </c>
      <c r="G195" s="7" t="str">
        <f aca="false">IF(A195="","",IF(H195&lt;&gt;"","已开仓",IF(账户数据!$B$23="已锁仓","禁止开仓：连续亏损达到上限",IF(账户数据!$B$23="解锁信息不完整","禁止开仓：请完整填写解锁信息",IF(OR(F195="",E195="",N195="",E195&lt;=N195,账户数据!$B$7=""),"",IF(OR(AG195="",AH195="",AI195=""),"禁止开仓：交易预期未填写完整",IF(账户数据!$B$9+F195*(E195-N195)&gt;=账户数据!$B$7,"禁止开仓：风险额度不足",IF(AJ195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5" s="4"/>
      <c r="I195" s="8"/>
      <c r="J195" s="5"/>
      <c r="K195" s="11"/>
      <c r="L195" s="7" t="str">
        <f aca="false">IF(AP195="","",AP195)</f>
        <v/>
      </c>
      <c r="M195" s="19"/>
      <c r="N195" s="5"/>
      <c r="O195" s="5"/>
      <c r="P195" s="11"/>
      <c r="Q195" s="4"/>
      <c r="R195" s="4"/>
      <c r="S195" s="4"/>
      <c r="T195" s="4"/>
      <c r="U195" s="9" t="str">
        <f aca="false">IF(OR(AO195="",J195="",AO195&lt;=0),"",(J195-AO195)/AO195)</f>
        <v/>
      </c>
      <c r="V195" s="9" t="str">
        <f aca="false">IF(OR(AO195="",N195="",AO195&lt;=0),"",(AO195-N195)/AO195)</f>
        <v/>
      </c>
      <c r="W195" s="10" t="str">
        <f aca="false">IF(OR(U195="",V195="",V195&lt;=0),"",U195/V195)</f>
        <v/>
      </c>
      <c r="X195" s="11" t="str">
        <f aca="false">IF(OR(K195="",L195="",AO195="",AP195=""),"",(K195-AO195)*L195-IF(O195="",0,O195)-IF(P195="",0,P195))</f>
        <v/>
      </c>
      <c r="Y195" s="9" t="str">
        <f aca="false">IF(OR(X195="",AO195="",L195=""),"",IF(AO195*L195+IF(O195="",0,O195)&lt;=0,"",X195/(AO195*L195+IF(O195="",0,O195))))</f>
        <v/>
      </c>
      <c r="Z195" s="9" t="str">
        <f aca="false">IF(OR(AE195="",多次统计数据!$B$8=""),"",AE195-多次统计数据!$B$8)</f>
        <v/>
      </c>
      <c r="AA195" s="12" t="str">
        <f aca="false">IF(OR(I195="",M195="",M195&lt;I195),"",M195-I195)</f>
        <v/>
      </c>
      <c r="AB195" s="9" t="str">
        <f aca="false">IF(OR(A195="",多次统计数据!$B$8="",多次统计数据!$B$6&lt;=0,多次统计数据!$B$6&gt;=1),"",1-POWER(1+多次统计数据!$B$8,-多次统计数据!$B$6/(1-多次统计数据!$B$6)))</f>
        <v/>
      </c>
      <c r="AC195" s="7" t="str">
        <f aca="false">IF(OR(AB195="",多次统计数据!$B$9=""),"",IF(多次统计数据!$B$9&lt;AB195,"低于上限","达到或超过上限"))</f>
        <v/>
      </c>
      <c r="AD195" s="4"/>
      <c r="AE195" s="9" t="str">
        <f aca="false">IF(OR(X195="",C195="",C195&lt;=0),"",X195/C195)</f>
        <v/>
      </c>
      <c r="AG195" s="4"/>
      <c r="AH195" s="4"/>
      <c r="AI195" s="4"/>
      <c r="AJ195" s="7" t="str">
        <f aca="false">IF(OR(AG195="",AH195=""),"",IF(OR(AND(AG195="短期博反弹",OR(AH195="1～3个交易日",AH195="4～10个交易日")),AND(AG195="突破冲新高",OR(AH195="4～10个交易日",AH195="11～20个交易日")),AND(AG195="趋势波段",OR(AH195="11～20个交易日",AH195="21～60个交易日",AH195="60个交易日以上"))),"匹配","周期与交易预期不匹配，请重新确认"))</f>
        <v/>
      </c>
      <c r="AK195" s="13" t="str">
        <f aca="false">IF(A195="","",COUNTIFS(加仓管理!$A$2:$A$1001,A195,加仓管理!$G$2:$G$1001,"&gt;0"))</f>
        <v/>
      </c>
      <c r="AL195" s="13" t="str">
        <f aca="false">IF(A195="","",SUMIFS(加仓管理!$G$2:$G$1001,加仓管理!$A$2:$A$1001,A195))</f>
        <v/>
      </c>
      <c r="AM195" s="14" t="str">
        <f aca="false">IF(AK195=0,"",IFERROR(LOOKUP(2,1/((加仓管理!$A$2:$A$1001=A195)*(加仓管理!$G$2:$G$1001&gt;0)),加仓管理!$D$2:$D$1001),""))</f>
        <v/>
      </c>
      <c r="AN195" s="14" t="str">
        <f aca="false">IF(AK195=0,"",IFERROR(LOOKUP(2,1/((加仓管理!$A$2:$A$1001=A195)*(加仓管理!$G$2:$G$1001&gt;0)),加仓管理!$E$2:$E$1001),""))</f>
        <v/>
      </c>
      <c r="AO195" s="14" t="str">
        <f aca="false">IF(OR(A195="",H195="",H195&lt;=0),"",(E195*H195+SUMIFS(加仓管理!$H$2:$H$1001,加仓管理!$A$2:$A$1001,A195))/AP195)</f>
        <v/>
      </c>
      <c r="AP195" s="13" t="str">
        <f aca="false">IF(OR(A195="",H195="",H195&lt;=0),"",H195+AL195)</f>
        <v/>
      </c>
      <c r="AQ195" s="14" t="str">
        <f aca="false">IF(A195="","",IF(M195&lt;&gt;"",0,IF(OR(H195="",N195=""),"",MAX((E195*H195+SUMIFS(加仓管理!$H$2:$H$1001,加仓管理!$A$2:$A$1001,A195))-MAX(N195,AN195)*AP195,0))))</f>
        <v/>
      </c>
      <c r="AR195" s="15" t="str">
        <f aca="false">IF(A195="","",IF(OR(E195="",H195=""),"违规：首次买入价格或股数缺失",IF(COUNTIFS(加仓管理!$A$2:$A$1001,A195,加仓管理!$R$2:$R$1001,"违规*")&gt;0,"违规：请检查加仓管理表",IF(SUM($AQ$2:$AQ$201)&gt;账户数据!$B$7,"预警：超过账户风险上限",IF(COUNTIFS(加仓管理!$A$2:$A$1001,A195,加仓管理!$N$2:$N$1001,"&gt;0",加仓管理!$G$2:$G$1001,"")&gt;0,"提示：存在待执行加仓计划","通过")))))</f>
        <v/>
      </c>
    </row>
    <row r="196" customFormat="false" ht="13.5" hidden="false" customHeight="false" outlineLevel="0" collapsed="false">
      <c r="A196" s="4"/>
      <c r="B196" s="4"/>
      <c r="C196" s="5"/>
      <c r="D196" s="6"/>
      <c r="E196" s="5"/>
      <c r="F196" s="7" t="str">
        <f aca="false">IF(OR(C196="",D196="",E196="",N196="",C196&lt;=0,D196&lt;=0,E196&lt;=N196),"",ROUNDDOWN((C196*D196)/(E196-N196)/100,0)*100)</f>
        <v/>
      </c>
      <c r="G196" s="7" t="str">
        <f aca="false">IF(A196="","",IF(H196&lt;&gt;"","已开仓",IF(账户数据!$B$23="已锁仓","禁止开仓：连续亏损达到上限",IF(账户数据!$B$23="解锁信息不完整","禁止开仓：请完整填写解锁信息",IF(OR(F196="",E196="",N196="",E196&lt;=N196,账户数据!$B$7=""),"",IF(OR(AG196="",AH196="",AI196=""),"禁止开仓：交易预期未填写完整",IF(账户数据!$B$9+F196*(E196-N196)&gt;=账户数据!$B$7,"禁止开仓：风险额度不足",IF(AJ196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6" s="4"/>
      <c r="I196" s="8"/>
      <c r="J196" s="5"/>
      <c r="K196" s="11"/>
      <c r="L196" s="7" t="str">
        <f aca="false">IF(AP196="","",AP196)</f>
        <v/>
      </c>
      <c r="M196" s="19"/>
      <c r="N196" s="5"/>
      <c r="O196" s="5"/>
      <c r="P196" s="11"/>
      <c r="Q196" s="4"/>
      <c r="R196" s="4"/>
      <c r="S196" s="4"/>
      <c r="T196" s="4"/>
      <c r="U196" s="9" t="str">
        <f aca="false">IF(OR(AO196="",J196="",AO196&lt;=0),"",(J196-AO196)/AO196)</f>
        <v/>
      </c>
      <c r="V196" s="9" t="str">
        <f aca="false">IF(OR(AO196="",N196="",AO196&lt;=0),"",(AO196-N196)/AO196)</f>
        <v/>
      </c>
      <c r="W196" s="10" t="str">
        <f aca="false">IF(OR(U196="",V196="",V196&lt;=0),"",U196/V196)</f>
        <v/>
      </c>
      <c r="X196" s="11" t="str">
        <f aca="false">IF(OR(K196="",L196="",AO196="",AP196=""),"",(K196-AO196)*L196-IF(O196="",0,O196)-IF(P196="",0,P196))</f>
        <v/>
      </c>
      <c r="Y196" s="9" t="str">
        <f aca="false">IF(OR(X196="",AO196="",L196=""),"",IF(AO196*L196+IF(O196="",0,O196)&lt;=0,"",X196/(AO196*L196+IF(O196="",0,O196))))</f>
        <v/>
      </c>
      <c r="Z196" s="9" t="str">
        <f aca="false">IF(OR(AE196="",多次统计数据!$B$8=""),"",AE196-多次统计数据!$B$8)</f>
        <v/>
      </c>
      <c r="AA196" s="12" t="str">
        <f aca="false">IF(OR(I196="",M196="",M196&lt;I196),"",M196-I196)</f>
        <v/>
      </c>
      <c r="AB196" s="9" t="str">
        <f aca="false">IF(OR(A196="",多次统计数据!$B$8="",多次统计数据!$B$6&lt;=0,多次统计数据!$B$6&gt;=1),"",1-POWER(1+多次统计数据!$B$8,-多次统计数据!$B$6/(1-多次统计数据!$B$6)))</f>
        <v/>
      </c>
      <c r="AC196" s="7" t="str">
        <f aca="false">IF(OR(AB196="",多次统计数据!$B$9=""),"",IF(多次统计数据!$B$9&lt;AB196,"低于上限","达到或超过上限"))</f>
        <v/>
      </c>
      <c r="AD196" s="4"/>
      <c r="AE196" s="9" t="str">
        <f aca="false">IF(OR(X196="",C196="",C196&lt;=0),"",X196/C196)</f>
        <v/>
      </c>
      <c r="AG196" s="4"/>
      <c r="AH196" s="4"/>
      <c r="AI196" s="4"/>
      <c r="AJ196" s="7" t="str">
        <f aca="false">IF(OR(AG196="",AH196=""),"",IF(OR(AND(AG196="短期博反弹",OR(AH196="1～3个交易日",AH196="4～10个交易日")),AND(AG196="突破冲新高",OR(AH196="4～10个交易日",AH196="11～20个交易日")),AND(AG196="趋势波段",OR(AH196="11～20个交易日",AH196="21～60个交易日",AH196="60个交易日以上"))),"匹配","周期与交易预期不匹配，请重新确认"))</f>
        <v/>
      </c>
      <c r="AK196" s="13" t="str">
        <f aca="false">IF(A196="","",COUNTIFS(加仓管理!$A$2:$A$1001,A196,加仓管理!$G$2:$G$1001,"&gt;0"))</f>
        <v/>
      </c>
      <c r="AL196" s="13" t="str">
        <f aca="false">IF(A196="","",SUMIFS(加仓管理!$G$2:$G$1001,加仓管理!$A$2:$A$1001,A196))</f>
        <v/>
      </c>
      <c r="AM196" s="14" t="str">
        <f aca="false">IF(AK196=0,"",IFERROR(LOOKUP(2,1/((加仓管理!$A$2:$A$1001=A196)*(加仓管理!$G$2:$G$1001&gt;0)),加仓管理!$D$2:$D$1001),""))</f>
        <v/>
      </c>
      <c r="AN196" s="14" t="str">
        <f aca="false">IF(AK196=0,"",IFERROR(LOOKUP(2,1/((加仓管理!$A$2:$A$1001=A196)*(加仓管理!$G$2:$G$1001&gt;0)),加仓管理!$E$2:$E$1001),""))</f>
        <v/>
      </c>
      <c r="AO196" s="14" t="str">
        <f aca="false">IF(OR(A196="",H196="",H196&lt;=0),"",(E196*H196+SUMIFS(加仓管理!$H$2:$H$1001,加仓管理!$A$2:$A$1001,A196))/AP196)</f>
        <v/>
      </c>
      <c r="AP196" s="13" t="str">
        <f aca="false">IF(OR(A196="",H196="",H196&lt;=0),"",H196+AL196)</f>
        <v/>
      </c>
      <c r="AQ196" s="14" t="str">
        <f aca="false">IF(A196="","",IF(M196&lt;&gt;"",0,IF(OR(H196="",N196=""),"",MAX((E196*H196+SUMIFS(加仓管理!$H$2:$H$1001,加仓管理!$A$2:$A$1001,A196))-MAX(N196,AN196)*AP196,0))))</f>
        <v/>
      </c>
      <c r="AR196" s="15" t="str">
        <f aca="false">IF(A196="","",IF(OR(E196="",H196=""),"违规：首次买入价格或股数缺失",IF(COUNTIFS(加仓管理!$A$2:$A$1001,A196,加仓管理!$R$2:$R$1001,"违规*")&gt;0,"违规：请检查加仓管理表",IF(SUM($AQ$2:$AQ$201)&gt;账户数据!$B$7,"预警：超过账户风险上限",IF(COUNTIFS(加仓管理!$A$2:$A$1001,A196,加仓管理!$N$2:$N$1001,"&gt;0",加仓管理!$G$2:$G$1001,"")&gt;0,"提示：存在待执行加仓计划","通过")))))</f>
        <v/>
      </c>
    </row>
    <row r="197" customFormat="false" ht="13.5" hidden="false" customHeight="false" outlineLevel="0" collapsed="false">
      <c r="A197" s="4"/>
      <c r="B197" s="4"/>
      <c r="C197" s="5"/>
      <c r="D197" s="6"/>
      <c r="E197" s="5"/>
      <c r="F197" s="7" t="str">
        <f aca="false">IF(OR(C197="",D197="",E197="",N197="",C197&lt;=0,D197&lt;=0,E197&lt;=N197),"",ROUNDDOWN((C197*D197)/(E197-N197)/100,0)*100)</f>
        <v/>
      </c>
      <c r="G197" s="7" t="str">
        <f aca="false">IF(A197="","",IF(H197&lt;&gt;"","已开仓",IF(账户数据!$B$23="已锁仓","禁止开仓：连续亏损达到上限",IF(账户数据!$B$23="解锁信息不完整","禁止开仓：请完整填写解锁信息",IF(OR(F197="",E197="",N197="",E197&lt;=N197,账户数据!$B$7=""),"",IF(OR(AG197="",AH197="",AI197=""),"禁止开仓：交易预期未填写完整",IF(账户数据!$B$9+F197*(E197-N197)&gt;=账户数据!$B$7,"禁止开仓：风险额度不足",IF(AJ197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7" s="4"/>
      <c r="I197" s="8"/>
      <c r="J197" s="5"/>
      <c r="K197" s="11"/>
      <c r="L197" s="7" t="str">
        <f aca="false">IF(AP197="","",AP197)</f>
        <v/>
      </c>
      <c r="M197" s="19"/>
      <c r="N197" s="5"/>
      <c r="O197" s="5"/>
      <c r="P197" s="11"/>
      <c r="Q197" s="4"/>
      <c r="R197" s="4"/>
      <c r="S197" s="4"/>
      <c r="T197" s="4"/>
      <c r="U197" s="9" t="str">
        <f aca="false">IF(OR(AO197="",J197="",AO197&lt;=0),"",(J197-AO197)/AO197)</f>
        <v/>
      </c>
      <c r="V197" s="9" t="str">
        <f aca="false">IF(OR(AO197="",N197="",AO197&lt;=0),"",(AO197-N197)/AO197)</f>
        <v/>
      </c>
      <c r="W197" s="10" t="str">
        <f aca="false">IF(OR(U197="",V197="",V197&lt;=0),"",U197/V197)</f>
        <v/>
      </c>
      <c r="X197" s="11" t="str">
        <f aca="false">IF(OR(K197="",L197="",AO197="",AP197=""),"",(K197-AO197)*L197-IF(O197="",0,O197)-IF(P197="",0,P197))</f>
        <v/>
      </c>
      <c r="Y197" s="9" t="str">
        <f aca="false">IF(OR(X197="",AO197="",L197=""),"",IF(AO197*L197+IF(O197="",0,O197)&lt;=0,"",X197/(AO197*L197+IF(O197="",0,O197))))</f>
        <v/>
      </c>
      <c r="Z197" s="9" t="str">
        <f aca="false">IF(OR(AE197="",多次统计数据!$B$8=""),"",AE197-多次统计数据!$B$8)</f>
        <v/>
      </c>
      <c r="AA197" s="12" t="str">
        <f aca="false">IF(OR(I197="",M197="",M197&lt;I197),"",M197-I197)</f>
        <v/>
      </c>
      <c r="AB197" s="9" t="str">
        <f aca="false">IF(OR(A197="",多次统计数据!$B$8="",多次统计数据!$B$6&lt;=0,多次统计数据!$B$6&gt;=1),"",1-POWER(1+多次统计数据!$B$8,-多次统计数据!$B$6/(1-多次统计数据!$B$6)))</f>
        <v/>
      </c>
      <c r="AC197" s="7" t="str">
        <f aca="false">IF(OR(AB197="",多次统计数据!$B$9=""),"",IF(多次统计数据!$B$9&lt;AB197,"低于上限","达到或超过上限"))</f>
        <v/>
      </c>
      <c r="AD197" s="4"/>
      <c r="AE197" s="9" t="str">
        <f aca="false">IF(OR(X197="",C197="",C197&lt;=0),"",X197/C197)</f>
        <v/>
      </c>
      <c r="AG197" s="4"/>
      <c r="AH197" s="4"/>
      <c r="AI197" s="4"/>
      <c r="AJ197" s="7" t="str">
        <f aca="false">IF(OR(AG197="",AH197=""),"",IF(OR(AND(AG197="短期博反弹",OR(AH197="1～3个交易日",AH197="4～10个交易日")),AND(AG197="突破冲新高",OR(AH197="4～10个交易日",AH197="11～20个交易日")),AND(AG197="趋势波段",OR(AH197="11～20个交易日",AH197="21～60个交易日",AH197="60个交易日以上"))),"匹配","周期与交易预期不匹配，请重新确认"))</f>
        <v/>
      </c>
      <c r="AK197" s="13" t="str">
        <f aca="false">IF(A197="","",COUNTIFS(加仓管理!$A$2:$A$1001,A197,加仓管理!$G$2:$G$1001,"&gt;0"))</f>
        <v/>
      </c>
      <c r="AL197" s="13" t="str">
        <f aca="false">IF(A197="","",SUMIFS(加仓管理!$G$2:$G$1001,加仓管理!$A$2:$A$1001,A197))</f>
        <v/>
      </c>
      <c r="AM197" s="14" t="str">
        <f aca="false">IF(AK197=0,"",IFERROR(LOOKUP(2,1/((加仓管理!$A$2:$A$1001=A197)*(加仓管理!$G$2:$G$1001&gt;0)),加仓管理!$D$2:$D$1001),""))</f>
        <v/>
      </c>
      <c r="AN197" s="14" t="str">
        <f aca="false">IF(AK197=0,"",IFERROR(LOOKUP(2,1/((加仓管理!$A$2:$A$1001=A197)*(加仓管理!$G$2:$G$1001&gt;0)),加仓管理!$E$2:$E$1001),""))</f>
        <v/>
      </c>
      <c r="AO197" s="14" t="str">
        <f aca="false">IF(OR(A197="",H197="",H197&lt;=0),"",(E197*H197+SUMIFS(加仓管理!$H$2:$H$1001,加仓管理!$A$2:$A$1001,A197))/AP197)</f>
        <v/>
      </c>
      <c r="AP197" s="13" t="str">
        <f aca="false">IF(OR(A197="",H197="",H197&lt;=0),"",H197+AL197)</f>
        <v/>
      </c>
      <c r="AQ197" s="14" t="str">
        <f aca="false">IF(A197="","",IF(M197&lt;&gt;"",0,IF(OR(H197="",N197=""),"",MAX((E197*H197+SUMIFS(加仓管理!$H$2:$H$1001,加仓管理!$A$2:$A$1001,A197))-MAX(N197,AN197)*AP197,0))))</f>
        <v/>
      </c>
      <c r="AR197" s="15" t="str">
        <f aca="false">IF(A197="","",IF(OR(E197="",H197=""),"违规：首次买入价格或股数缺失",IF(COUNTIFS(加仓管理!$A$2:$A$1001,A197,加仓管理!$R$2:$R$1001,"违规*")&gt;0,"违规：请检查加仓管理表",IF(SUM($AQ$2:$AQ$201)&gt;账户数据!$B$7,"预警：超过账户风险上限",IF(COUNTIFS(加仓管理!$A$2:$A$1001,A197,加仓管理!$N$2:$N$1001,"&gt;0",加仓管理!$G$2:$G$1001,"")&gt;0,"提示：存在待执行加仓计划","通过")))))</f>
        <v/>
      </c>
    </row>
    <row r="198" customFormat="false" ht="13.5" hidden="false" customHeight="false" outlineLevel="0" collapsed="false">
      <c r="A198" s="4"/>
      <c r="B198" s="4"/>
      <c r="C198" s="5"/>
      <c r="D198" s="6"/>
      <c r="E198" s="5"/>
      <c r="F198" s="7" t="str">
        <f aca="false">IF(OR(C198="",D198="",E198="",N198="",C198&lt;=0,D198&lt;=0,E198&lt;=N198),"",ROUNDDOWN((C198*D198)/(E198-N198)/100,0)*100)</f>
        <v/>
      </c>
      <c r="G198" s="7" t="str">
        <f aca="false">IF(A198="","",IF(H198&lt;&gt;"","已开仓",IF(账户数据!$B$23="已锁仓","禁止开仓：连续亏损达到上限",IF(账户数据!$B$23="解锁信息不完整","禁止开仓：请完整填写解锁信息",IF(OR(F198="",E198="",N198="",E198&lt;=N198,账户数据!$B$7=""),"",IF(OR(AG198="",AH198="",AI198=""),"禁止开仓：交易预期未填写完整",IF(账户数据!$B$9+F198*(E198-N198)&gt;=账户数据!$B$7,"禁止开仓：风险额度不足",IF(AJ198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8" s="4"/>
      <c r="I198" s="8"/>
      <c r="J198" s="5"/>
      <c r="K198" s="11"/>
      <c r="L198" s="7" t="str">
        <f aca="false">IF(AP198="","",AP198)</f>
        <v/>
      </c>
      <c r="M198" s="19"/>
      <c r="N198" s="5"/>
      <c r="O198" s="5"/>
      <c r="P198" s="11"/>
      <c r="Q198" s="4"/>
      <c r="R198" s="4"/>
      <c r="S198" s="4"/>
      <c r="T198" s="4"/>
      <c r="U198" s="9" t="str">
        <f aca="false">IF(OR(AO198="",J198="",AO198&lt;=0),"",(J198-AO198)/AO198)</f>
        <v/>
      </c>
      <c r="V198" s="9" t="str">
        <f aca="false">IF(OR(AO198="",N198="",AO198&lt;=0),"",(AO198-N198)/AO198)</f>
        <v/>
      </c>
      <c r="W198" s="10" t="str">
        <f aca="false">IF(OR(U198="",V198="",V198&lt;=0),"",U198/V198)</f>
        <v/>
      </c>
      <c r="X198" s="11" t="str">
        <f aca="false">IF(OR(K198="",L198="",AO198="",AP198=""),"",(K198-AO198)*L198-IF(O198="",0,O198)-IF(P198="",0,P198))</f>
        <v/>
      </c>
      <c r="Y198" s="9" t="str">
        <f aca="false">IF(OR(X198="",AO198="",L198=""),"",IF(AO198*L198+IF(O198="",0,O198)&lt;=0,"",X198/(AO198*L198+IF(O198="",0,O198))))</f>
        <v/>
      </c>
      <c r="Z198" s="9" t="str">
        <f aca="false">IF(OR(AE198="",多次统计数据!$B$8=""),"",AE198-多次统计数据!$B$8)</f>
        <v/>
      </c>
      <c r="AA198" s="12" t="str">
        <f aca="false">IF(OR(I198="",M198="",M198&lt;I198),"",M198-I198)</f>
        <v/>
      </c>
      <c r="AB198" s="9" t="str">
        <f aca="false">IF(OR(A198="",多次统计数据!$B$8="",多次统计数据!$B$6&lt;=0,多次统计数据!$B$6&gt;=1),"",1-POWER(1+多次统计数据!$B$8,-多次统计数据!$B$6/(1-多次统计数据!$B$6)))</f>
        <v/>
      </c>
      <c r="AC198" s="7" t="str">
        <f aca="false">IF(OR(AB198="",多次统计数据!$B$9=""),"",IF(多次统计数据!$B$9&lt;AB198,"低于上限","达到或超过上限"))</f>
        <v/>
      </c>
      <c r="AD198" s="4"/>
      <c r="AE198" s="9" t="str">
        <f aca="false">IF(OR(X198="",C198="",C198&lt;=0),"",X198/C198)</f>
        <v/>
      </c>
      <c r="AG198" s="4"/>
      <c r="AH198" s="4"/>
      <c r="AI198" s="4"/>
      <c r="AJ198" s="7" t="str">
        <f aca="false">IF(OR(AG198="",AH198=""),"",IF(OR(AND(AG198="短期博反弹",OR(AH198="1～3个交易日",AH198="4～10个交易日")),AND(AG198="突破冲新高",OR(AH198="4～10个交易日",AH198="11～20个交易日")),AND(AG198="趋势波段",OR(AH198="11～20个交易日",AH198="21～60个交易日",AH198="60个交易日以上"))),"匹配","周期与交易预期不匹配，请重新确认"))</f>
        <v/>
      </c>
      <c r="AK198" s="13" t="str">
        <f aca="false">IF(A198="","",COUNTIFS(加仓管理!$A$2:$A$1001,A198,加仓管理!$G$2:$G$1001,"&gt;0"))</f>
        <v/>
      </c>
      <c r="AL198" s="13" t="str">
        <f aca="false">IF(A198="","",SUMIFS(加仓管理!$G$2:$G$1001,加仓管理!$A$2:$A$1001,A198))</f>
        <v/>
      </c>
      <c r="AM198" s="14" t="str">
        <f aca="false">IF(AK198=0,"",IFERROR(LOOKUP(2,1/((加仓管理!$A$2:$A$1001=A198)*(加仓管理!$G$2:$G$1001&gt;0)),加仓管理!$D$2:$D$1001),""))</f>
        <v/>
      </c>
      <c r="AN198" s="14" t="str">
        <f aca="false">IF(AK198=0,"",IFERROR(LOOKUP(2,1/((加仓管理!$A$2:$A$1001=A198)*(加仓管理!$G$2:$G$1001&gt;0)),加仓管理!$E$2:$E$1001),""))</f>
        <v/>
      </c>
      <c r="AO198" s="14" t="str">
        <f aca="false">IF(OR(A198="",H198="",H198&lt;=0),"",(E198*H198+SUMIFS(加仓管理!$H$2:$H$1001,加仓管理!$A$2:$A$1001,A198))/AP198)</f>
        <v/>
      </c>
      <c r="AP198" s="13" t="str">
        <f aca="false">IF(OR(A198="",H198="",H198&lt;=0),"",H198+AL198)</f>
        <v/>
      </c>
      <c r="AQ198" s="14" t="str">
        <f aca="false">IF(A198="","",IF(M198&lt;&gt;"",0,IF(OR(H198="",N198=""),"",MAX((E198*H198+SUMIFS(加仓管理!$H$2:$H$1001,加仓管理!$A$2:$A$1001,A198))-MAX(N198,AN198)*AP198,0))))</f>
        <v/>
      </c>
      <c r="AR198" s="15" t="str">
        <f aca="false">IF(A198="","",IF(OR(E198="",H198=""),"违规：首次买入价格或股数缺失",IF(COUNTIFS(加仓管理!$A$2:$A$1001,A198,加仓管理!$R$2:$R$1001,"违规*")&gt;0,"违规：请检查加仓管理表",IF(SUM($AQ$2:$AQ$201)&gt;账户数据!$B$7,"预警：超过账户风险上限",IF(COUNTIFS(加仓管理!$A$2:$A$1001,A198,加仓管理!$N$2:$N$1001,"&gt;0",加仓管理!$G$2:$G$1001,"")&gt;0,"提示：存在待执行加仓计划","通过")))))</f>
        <v/>
      </c>
    </row>
    <row r="199" customFormat="false" ht="13.5" hidden="false" customHeight="false" outlineLevel="0" collapsed="false">
      <c r="A199" s="4"/>
      <c r="B199" s="4"/>
      <c r="C199" s="5"/>
      <c r="D199" s="6"/>
      <c r="E199" s="5"/>
      <c r="F199" s="7" t="str">
        <f aca="false">IF(OR(C199="",D199="",E199="",N199="",C199&lt;=0,D199&lt;=0,E199&lt;=N199),"",ROUNDDOWN((C199*D199)/(E199-N199)/100,0)*100)</f>
        <v/>
      </c>
      <c r="G199" s="7" t="str">
        <f aca="false">IF(A199="","",IF(H199&lt;&gt;"","已开仓",IF(账户数据!$B$23="已锁仓","禁止开仓：连续亏损达到上限",IF(账户数据!$B$23="解锁信息不完整","禁止开仓：请完整填写解锁信息",IF(OR(F199="",E199="",N199="",E199&lt;=N199,账户数据!$B$7=""),"",IF(OR(AG199="",AH199="",AI199=""),"禁止开仓：交易预期未填写完整",IF(账户数据!$B$9+F199*(E199-N199)&gt;=账户数据!$B$7,"禁止开仓：风险额度不足",IF(AJ199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9" s="4"/>
      <c r="I199" s="8"/>
      <c r="J199" s="5"/>
      <c r="K199" s="11"/>
      <c r="L199" s="7" t="str">
        <f aca="false">IF(AP199="","",AP199)</f>
        <v/>
      </c>
      <c r="M199" s="19"/>
      <c r="N199" s="5"/>
      <c r="O199" s="5"/>
      <c r="P199" s="11"/>
      <c r="Q199" s="4"/>
      <c r="R199" s="4"/>
      <c r="S199" s="4"/>
      <c r="T199" s="4"/>
      <c r="U199" s="9" t="str">
        <f aca="false">IF(OR(AO199="",J199="",AO199&lt;=0),"",(J199-AO199)/AO199)</f>
        <v/>
      </c>
      <c r="V199" s="9" t="str">
        <f aca="false">IF(OR(AO199="",N199="",AO199&lt;=0),"",(AO199-N199)/AO199)</f>
        <v/>
      </c>
      <c r="W199" s="10" t="str">
        <f aca="false">IF(OR(U199="",V199="",V199&lt;=0),"",U199/V199)</f>
        <v/>
      </c>
      <c r="X199" s="11" t="str">
        <f aca="false">IF(OR(K199="",L199="",AO199="",AP199=""),"",(K199-AO199)*L199-IF(O199="",0,O199)-IF(P199="",0,P199))</f>
        <v/>
      </c>
      <c r="Y199" s="9" t="str">
        <f aca="false">IF(OR(X199="",AO199="",L199=""),"",IF(AO199*L199+IF(O199="",0,O199)&lt;=0,"",X199/(AO199*L199+IF(O199="",0,O199))))</f>
        <v/>
      </c>
      <c r="Z199" s="9" t="str">
        <f aca="false">IF(OR(AE199="",多次统计数据!$B$8=""),"",AE199-多次统计数据!$B$8)</f>
        <v/>
      </c>
      <c r="AA199" s="12" t="str">
        <f aca="false">IF(OR(I199="",M199="",M199&lt;I199),"",M199-I199)</f>
        <v/>
      </c>
      <c r="AB199" s="9" t="str">
        <f aca="false">IF(OR(A199="",多次统计数据!$B$8="",多次统计数据!$B$6&lt;=0,多次统计数据!$B$6&gt;=1),"",1-POWER(1+多次统计数据!$B$8,-多次统计数据!$B$6/(1-多次统计数据!$B$6)))</f>
        <v/>
      </c>
      <c r="AC199" s="7" t="str">
        <f aca="false">IF(OR(AB199="",多次统计数据!$B$9=""),"",IF(多次统计数据!$B$9&lt;AB199,"低于上限","达到或超过上限"))</f>
        <v/>
      </c>
      <c r="AD199" s="4"/>
      <c r="AE199" s="9" t="str">
        <f aca="false">IF(OR(X199="",C199="",C199&lt;=0),"",X199/C199)</f>
        <v/>
      </c>
      <c r="AG199" s="4"/>
      <c r="AH199" s="4"/>
      <c r="AI199" s="4"/>
      <c r="AJ199" s="7" t="str">
        <f aca="false">IF(OR(AG199="",AH199=""),"",IF(OR(AND(AG199="短期博反弹",OR(AH199="1～3个交易日",AH199="4～10个交易日")),AND(AG199="突破冲新高",OR(AH199="4～10个交易日",AH199="11～20个交易日")),AND(AG199="趋势波段",OR(AH199="11～20个交易日",AH199="21～60个交易日",AH199="60个交易日以上"))),"匹配","周期与交易预期不匹配，请重新确认"))</f>
        <v/>
      </c>
      <c r="AK199" s="13" t="str">
        <f aca="false">IF(A199="","",COUNTIFS(加仓管理!$A$2:$A$1001,A199,加仓管理!$G$2:$G$1001,"&gt;0"))</f>
        <v/>
      </c>
      <c r="AL199" s="13" t="str">
        <f aca="false">IF(A199="","",SUMIFS(加仓管理!$G$2:$G$1001,加仓管理!$A$2:$A$1001,A199))</f>
        <v/>
      </c>
      <c r="AM199" s="14" t="str">
        <f aca="false">IF(AK199=0,"",IFERROR(LOOKUP(2,1/((加仓管理!$A$2:$A$1001=A199)*(加仓管理!$G$2:$G$1001&gt;0)),加仓管理!$D$2:$D$1001),""))</f>
        <v/>
      </c>
      <c r="AN199" s="14" t="str">
        <f aca="false">IF(AK199=0,"",IFERROR(LOOKUP(2,1/((加仓管理!$A$2:$A$1001=A199)*(加仓管理!$G$2:$G$1001&gt;0)),加仓管理!$E$2:$E$1001),""))</f>
        <v/>
      </c>
      <c r="AO199" s="14" t="str">
        <f aca="false">IF(OR(A199="",H199="",H199&lt;=0),"",(E199*H199+SUMIFS(加仓管理!$H$2:$H$1001,加仓管理!$A$2:$A$1001,A199))/AP199)</f>
        <v/>
      </c>
      <c r="AP199" s="13" t="str">
        <f aca="false">IF(OR(A199="",H199="",H199&lt;=0),"",H199+AL199)</f>
        <v/>
      </c>
      <c r="AQ199" s="14" t="str">
        <f aca="false">IF(A199="","",IF(M199&lt;&gt;"",0,IF(OR(H199="",N199=""),"",MAX((E199*H199+SUMIFS(加仓管理!$H$2:$H$1001,加仓管理!$A$2:$A$1001,A199))-MAX(N199,AN199)*AP199,0))))</f>
        <v/>
      </c>
      <c r="AR199" s="15" t="str">
        <f aca="false">IF(A199="","",IF(OR(E199="",H199=""),"违规：首次买入价格或股数缺失",IF(COUNTIFS(加仓管理!$A$2:$A$1001,A199,加仓管理!$R$2:$R$1001,"违规*")&gt;0,"违规：请检查加仓管理表",IF(SUM($AQ$2:$AQ$201)&gt;账户数据!$B$7,"预警：超过账户风险上限",IF(COUNTIFS(加仓管理!$A$2:$A$1001,A199,加仓管理!$N$2:$N$1001,"&gt;0",加仓管理!$G$2:$G$1001,"")&gt;0,"提示：存在待执行加仓计划","通过")))))</f>
        <v/>
      </c>
    </row>
    <row r="200" customFormat="false" ht="13.5" hidden="false" customHeight="false" outlineLevel="0" collapsed="false">
      <c r="A200" s="4"/>
      <c r="B200" s="4"/>
      <c r="C200" s="5"/>
      <c r="D200" s="6"/>
      <c r="E200" s="5"/>
      <c r="F200" s="7" t="str">
        <f aca="false">IF(OR(C200="",D200="",E200="",N200="",C200&lt;=0,D200&lt;=0,E200&lt;=N200),"",ROUNDDOWN((C200*D200)/(E200-N200)/100,0)*100)</f>
        <v/>
      </c>
      <c r="G200" s="7" t="str">
        <f aca="false">IF(A200="","",IF(H200&lt;&gt;"","已开仓",IF(账户数据!$B$23="已锁仓","禁止开仓：连续亏损达到上限",IF(账户数据!$B$23="解锁信息不完整","禁止开仓：请完整填写解锁信息",IF(OR(F200="",E200="",N200="",E200&lt;=N200,账户数据!$B$7=""),"",IF(OR(AG200="",AH200="",AI200=""),"禁止开仓：交易预期未填写完整",IF(账户数据!$B$9+F200*(E200-N200)&gt;=账户数据!$B$7,"禁止开仓：风险额度不足",IF(AJ200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0" s="4"/>
      <c r="I200" s="8"/>
      <c r="J200" s="5"/>
      <c r="K200" s="11"/>
      <c r="L200" s="7" t="str">
        <f aca="false">IF(AP200="","",AP200)</f>
        <v/>
      </c>
      <c r="M200" s="19"/>
      <c r="N200" s="5"/>
      <c r="O200" s="5"/>
      <c r="P200" s="11"/>
      <c r="Q200" s="4"/>
      <c r="R200" s="4"/>
      <c r="S200" s="4"/>
      <c r="T200" s="4"/>
      <c r="U200" s="9" t="str">
        <f aca="false">IF(OR(AO200="",J200="",AO200&lt;=0),"",(J200-AO200)/AO200)</f>
        <v/>
      </c>
      <c r="V200" s="9" t="str">
        <f aca="false">IF(OR(AO200="",N200="",AO200&lt;=0),"",(AO200-N200)/AO200)</f>
        <v/>
      </c>
      <c r="W200" s="10" t="str">
        <f aca="false">IF(OR(U200="",V200="",V200&lt;=0),"",U200/V200)</f>
        <v/>
      </c>
      <c r="X200" s="11" t="str">
        <f aca="false">IF(OR(K200="",L200="",AO200="",AP200=""),"",(K200-AO200)*L200-IF(O200="",0,O200)-IF(P200="",0,P200))</f>
        <v/>
      </c>
      <c r="Y200" s="9" t="str">
        <f aca="false">IF(OR(X200="",AO200="",L200=""),"",IF(AO200*L200+IF(O200="",0,O200)&lt;=0,"",X200/(AO200*L200+IF(O200="",0,O200))))</f>
        <v/>
      </c>
      <c r="Z200" s="9" t="str">
        <f aca="false">IF(OR(AE200="",多次统计数据!$B$8=""),"",AE200-多次统计数据!$B$8)</f>
        <v/>
      </c>
      <c r="AA200" s="12" t="str">
        <f aca="false">IF(OR(I200="",M200="",M200&lt;I200),"",M200-I200)</f>
        <v/>
      </c>
      <c r="AB200" s="9" t="str">
        <f aca="false">IF(OR(A200="",多次统计数据!$B$8="",多次统计数据!$B$6&lt;=0,多次统计数据!$B$6&gt;=1),"",1-POWER(1+多次统计数据!$B$8,-多次统计数据!$B$6/(1-多次统计数据!$B$6)))</f>
        <v/>
      </c>
      <c r="AC200" s="7" t="str">
        <f aca="false">IF(OR(AB200="",多次统计数据!$B$9=""),"",IF(多次统计数据!$B$9&lt;AB200,"低于上限","达到或超过上限"))</f>
        <v/>
      </c>
      <c r="AD200" s="4"/>
      <c r="AE200" s="9" t="str">
        <f aca="false">IF(OR(X200="",C200="",C200&lt;=0),"",X200/C200)</f>
        <v/>
      </c>
      <c r="AG200" s="4"/>
      <c r="AH200" s="4"/>
      <c r="AI200" s="4"/>
      <c r="AJ200" s="7" t="str">
        <f aca="false">IF(OR(AG200="",AH200=""),"",IF(OR(AND(AG200="短期博反弹",OR(AH200="1～3个交易日",AH200="4～10个交易日")),AND(AG200="突破冲新高",OR(AH200="4～10个交易日",AH200="11～20个交易日")),AND(AG200="趋势波段",OR(AH200="11～20个交易日",AH200="21～60个交易日",AH200="60个交易日以上"))),"匹配","周期与交易预期不匹配，请重新确认"))</f>
        <v/>
      </c>
      <c r="AK200" s="13" t="str">
        <f aca="false">IF(A200="","",COUNTIFS(加仓管理!$A$2:$A$1001,A200,加仓管理!$G$2:$G$1001,"&gt;0"))</f>
        <v/>
      </c>
      <c r="AL200" s="13" t="str">
        <f aca="false">IF(A200="","",SUMIFS(加仓管理!$G$2:$G$1001,加仓管理!$A$2:$A$1001,A200))</f>
        <v/>
      </c>
      <c r="AM200" s="14" t="str">
        <f aca="false">IF(AK200=0,"",IFERROR(LOOKUP(2,1/((加仓管理!$A$2:$A$1001=A200)*(加仓管理!$G$2:$G$1001&gt;0)),加仓管理!$D$2:$D$1001),""))</f>
        <v/>
      </c>
      <c r="AN200" s="14" t="str">
        <f aca="false">IF(AK200=0,"",IFERROR(LOOKUP(2,1/((加仓管理!$A$2:$A$1001=A200)*(加仓管理!$G$2:$G$1001&gt;0)),加仓管理!$E$2:$E$1001),""))</f>
        <v/>
      </c>
      <c r="AO200" s="14" t="str">
        <f aca="false">IF(OR(A200="",H200="",H200&lt;=0),"",(E200*H200+SUMIFS(加仓管理!$H$2:$H$1001,加仓管理!$A$2:$A$1001,A200))/AP200)</f>
        <v/>
      </c>
      <c r="AP200" s="13" t="str">
        <f aca="false">IF(OR(A200="",H200="",H200&lt;=0),"",H200+AL200)</f>
        <v/>
      </c>
      <c r="AQ200" s="14" t="str">
        <f aca="false">IF(A200="","",IF(M200&lt;&gt;"",0,IF(OR(H200="",N200=""),"",MAX((E200*H200+SUMIFS(加仓管理!$H$2:$H$1001,加仓管理!$A$2:$A$1001,A200))-MAX(N200,AN200)*AP200,0))))</f>
        <v/>
      </c>
      <c r="AR200" s="15" t="str">
        <f aca="false">IF(A200="","",IF(OR(E200="",H200=""),"违规：首次买入价格或股数缺失",IF(COUNTIFS(加仓管理!$A$2:$A$1001,A200,加仓管理!$R$2:$R$1001,"违规*")&gt;0,"违规：请检查加仓管理表",IF(SUM($AQ$2:$AQ$201)&gt;账户数据!$B$7,"预警：超过账户风险上限",IF(COUNTIFS(加仓管理!$A$2:$A$1001,A200,加仓管理!$N$2:$N$1001,"&gt;0",加仓管理!$G$2:$G$1001,"")&gt;0,"提示：存在待执行加仓计划","通过")))))</f>
        <v/>
      </c>
    </row>
    <row r="201" customFormat="false" ht="13.5" hidden="false" customHeight="false" outlineLevel="0" collapsed="false">
      <c r="A201" s="4"/>
      <c r="B201" s="4"/>
      <c r="C201" s="5"/>
      <c r="D201" s="6"/>
      <c r="E201" s="5"/>
      <c r="F201" s="7" t="str">
        <f aca="false">IF(OR(C201="",D201="",E201="",N201="",C201&lt;=0,D201&lt;=0,E201&lt;=N201),"",ROUNDDOWN((C201*D201)/(E201-N201)/100,0)*100)</f>
        <v/>
      </c>
      <c r="G201" s="7" t="str">
        <f aca="false">IF(A201="","",IF(H201&lt;&gt;"","已开仓",IF(账户数据!$B$23="已锁仓","禁止开仓：连续亏损达到上限",IF(账户数据!$B$23="解锁信息不完整","禁止开仓：请完整填写解锁信息",IF(OR(F201="",E201="",N201="",E201&lt;=N201,账户数据!$B$7=""),"",IF(OR(AG201="",AH201="",AI201=""),"禁止开仓：交易预期未填写完整",IF(账户数据!$B$9+F201*(E201-N201)&gt;=账户数据!$B$7,"禁止开仓：风险额度不足",IF(AJ201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1" s="4"/>
      <c r="I201" s="8"/>
      <c r="J201" s="5"/>
      <c r="K201" s="11"/>
      <c r="L201" s="7" t="str">
        <f aca="false">IF(AP201="","",AP201)</f>
        <v/>
      </c>
      <c r="M201" s="19"/>
      <c r="N201" s="5"/>
      <c r="O201" s="5"/>
      <c r="P201" s="11"/>
      <c r="Q201" s="4"/>
      <c r="R201" s="4"/>
      <c r="S201" s="4"/>
      <c r="T201" s="4"/>
      <c r="U201" s="9" t="str">
        <f aca="false">IF(OR(AO201="",J201="",AO201&lt;=0),"",(J201-AO201)/AO201)</f>
        <v/>
      </c>
      <c r="V201" s="9" t="str">
        <f aca="false">IF(OR(AO201="",N201="",AO201&lt;=0),"",(AO201-N201)/AO201)</f>
        <v/>
      </c>
      <c r="W201" s="10" t="str">
        <f aca="false">IF(OR(U201="",V201="",V201&lt;=0),"",U201/V201)</f>
        <v/>
      </c>
      <c r="X201" s="11" t="str">
        <f aca="false">IF(OR(K201="",L201="",AO201="",AP201=""),"",(K201-AO201)*L201-IF(O201="",0,O201)-IF(P201="",0,P201))</f>
        <v/>
      </c>
      <c r="Y201" s="9" t="str">
        <f aca="false">IF(OR(X201="",AO201="",L201=""),"",IF(AO201*L201+IF(O201="",0,O201)&lt;=0,"",X201/(AO201*L201+IF(O201="",0,O201))))</f>
        <v/>
      </c>
      <c r="Z201" s="9" t="str">
        <f aca="false">IF(OR(AE201="",多次统计数据!$B$8=""),"",AE201-多次统计数据!$B$8)</f>
        <v/>
      </c>
      <c r="AA201" s="12" t="str">
        <f aca="false">IF(OR(I201="",M201="",M201&lt;I201),"",M201-I201)</f>
        <v/>
      </c>
      <c r="AB201" s="9" t="str">
        <f aca="false">IF(OR(A201="",多次统计数据!$B$8="",多次统计数据!$B$6&lt;=0,多次统计数据!$B$6&gt;=1),"",1-POWER(1+多次统计数据!$B$8,-多次统计数据!$B$6/(1-多次统计数据!$B$6)))</f>
        <v/>
      </c>
      <c r="AC201" s="7" t="str">
        <f aca="false">IF(OR(AB201="",多次统计数据!$B$9=""),"",IF(多次统计数据!$B$9&lt;AB201,"低于上限","达到或超过上限"))</f>
        <v/>
      </c>
      <c r="AD201" s="4"/>
      <c r="AE201" s="9" t="str">
        <f aca="false">IF(OR(X201="",C201="",C201&lt;=0),"",X201/C201)</f>
        <v/>
      </c>
      <c r="AG201" s="4"/>
      <c r="AH201" s="4"/>
      <c r="AI201" s="4"/>
      <c r="AJ201" s="7" t="str">
        <f aca="false">IF(OR(AG201="",AH201=""),"",IF(OR(AND(AG201="短期博反弹",OR(AH201="1～3个交易日",AH201="4～10个交易日")),AND(AG201="突破冲新高",OR(AH201="4～10个交易日",AH201="11～20个交易日")),AND(AG201="趋势波段",OR(AH201="11～20个交易日",AH201="21～60个交易日",AH201="60个交易日以上"))),"匹配","周期与交易预期不匹配，请重新确认"))</f>
        <v/>
      </c>
      <c r="AK201" s="13" t="str">
        <f aca="false">IF(A201="","",COUNTIFS(加仓管理!$A$2:$A$1001,A201,加仓管理!$G$2:$G$1001,"&gt;0"))</f>
        <v/>
      </c>
      <c r="AL201" s="13" t="str">
        <f aca="false">IF(A201="","",SUMIFS(加仓管理!$G$2:$G$1001,加仓管理!$A$2:$A$1001,A201))</f>
        <v/>
      </c>
      <c r="AM201" s="14" t="str">
        <f aca="false">IF(AK201=0,"",IFERROR(LOOKUP(2,1/((加仓管理!$A$2:$A$1001=A201)*(加仓管理!$G$2:$G$1001&gt;0)),加仓管理!$D$2:$D$1001),""))</f>
        <v/>
      </c>
      <c r="AN201" s="14" t="str">
        <f aca="false">IF(AK201=0,"",IFERROR(LOOKUP(2,1/((加仓管理!$A$2:$A$1001=A201)*(加仓管理!$G$2:$G$1001&gt;0)),加仓管理!$E$2:$E$1001),""))</f>
        <v/>
      </c>
      <c r="AO201" s="14" t="str">
        <f aca="false">IF(OR(A201="",H201="",H201&lt;=0),"",(E201*H201+SUMIFS(加仓管理!$H$2:$H$1001,加仓管理!$A$2:$A$1001,A201))/AP201)</f>
        <v/>
      </c>
      <c r="AP201" s="13" t="str">
        <f aca="false">IF(OR(A201="",H201="",H201&lt;=0),"",H201+AL201)</f>
        <v/>
      </c>
      <c r="AQ201" s="14" t="str">
        <f aca="false">IF(A201="","",IF(M201&lt;&gt;"",0,IF(OR(H201="",N201=""),"",MAX((E201*H201+SUMIFS(加仓管理!$H$2:$H$1001,加仓管理!$A$2:$A$1001,A201))-MAX(N201,AN201)*AP201,0))))</f>
        <v/>
      </c>
      <c r="AR201" s="15" t="str">
        <f aca="false">IF(A201="","",IF(OR(E201="",H201=""),"违规：首次买入价格或股数缺失",IF(COUNTIFS(加仓管理!$A$2:$A$1001,A201,加仓管理!$R$2:$R$1001,"违规*")&gt;0,"违规：请检查加仓管理表",IF(SUM($AQ$2:$AQ$201)&gt;账户数据!$B$7,"预警：超过账户风险上限",IF(COUNTIFS(加仓管理!$A$2:$A$1001,A201,加仓管理!$N$2:$N$1001,"&gt;0",加仓管理!$G$2:$G$1001,"")&gt;0,"提示：存在待执行加仓计划","通过")))))</f>
        <v/>
      </c>
    </row>
  </sheetData>
  <conditionalFormatting sqref="X2:X201">
    <cfRule type="cellIs" priority="2" operator="greaterThan" aboveAverage="0" equalAverage="0" bottom="0" percent="0" rank="0" text="" dxfId="7">
      <formula>0</formula>
    </cfRule>
    <cfRule type="cellIs" priority="3" operator="lessThan" aboveAverage="0" equalAverage="0" bottom="0" percent="0" rank="0" text="" dxfId="8">
      <formula>0</formula>
    </cfRule>
  </conditionalFormatting>
  <conditionalFormatting sqref="W2:W201">
    <cfRule type="cellIs" priority="4" operator="lessThan" aboveAverage="0" equalAverage="0" bottom="0" percent="0" rank="0" text="" dxfId="9">
      <formula>2</formula>
    </cfRule>
  </conditionalFormatting>
  <conditionalFormatting sqref="AC2:AC201">
    <cfRule type="expression" priority="5" aboveAverage="0" equalAverage="0" bottom="0" percent="0" rank="0" text="" dxfId="8">
      <formula>$AC2="达到或超过上限"</formula>
    </cfRule>
    <cfRule type="expression" priority="6" aboveAverage="0" equalAverage="0" bottom="0" percent="0" rank="0" text="" dxfId="7">
      <formula>$AC2="低于上限"</formula>
    </cfRule>
  </conditionalFormatting>
  <conditionalFormatting sqref="Y2:Y201">
    <cfRule type="cellIs" priority="7" operator="greaterThan" aboveAverage="0" equalAverage="0" bottom="0" percent="0" rank="0" text="" dxfId="7">
      <formula>0</formula>
    </cfRule>
    <cfRule type="cellIs" priority="8" operator="lessThan" aboveAverage="0" equalAverage="0" bottom="0" percent="0" rank="0" text="" dxfId="8">
      <formula>0</formula>
    </cfRule>
  </conditionalFormatting>
  <conditionalFormatting sqref="AE2:AE201">
    <cfRule type="cellIs" priority="9" operator="greaterThan" aboveAverage="0" equalAverage="0" bottom="0" percent="0" rank="0" text="" dxfId="7">
      <formula>0</formula>
    </cfRule>
    <cfRule type="cellIs" priority="10" operator="lessThan" aboveAverage="0" equalAverage="0" bottom="0" percent="0" rank="0" text="" dxfId="8">
      <formula>0</formula>
    </cfRule>
  </conditionalFormatting>
  <conditionalFormatting sqref="G2:G201">
    <cfRule type="expression" priority="11" aboveAverage="0" equalAverage="0" bottom="0" percent="0" rank="0" text="" dxfId="8">
      <formula>$G2="禁止开仓"</formula>
    </cfRule>
    <cfRule type="expression" priority="12" aboveAverage="0" equalAverage="0" bottom="0" percent="0" rank="0" text="" dxfId="7">
      <formula>$G2="允许开仓"</formula>
    </cfRule>
    <cfRule type="expression" priority="13" aboveAverage="0" equalAverage="0" bottom="0" percent="0" rank="0" text="" dxfId="8">
      <formula>LEFT($G2,4)="禁止开仓"</formula>
    </cfRule>
    <cfRule type="expression" priority="14" aboveAverage="0" equalAverage="0" bottom="0" percent="0" rank="0" text="" dxfId="9">
      <formula>$G2="允许开仓（接近锁仓）"</formula>
    </cfRule>
    <cfRule type="expression" priority="15" aboveAverage="0" equalAverage="0" bottom="0" percent="0" rank="0" text="" dxfId="7">
      <formula>$G2="允许开仓"</formula>
    </cfRule>
  </conditionalFormatting>
  <conditionalFormatting sqref="AJ2:AJ201">
    <cfRule type="expression" priority="16" aboveAverage="0" equalAverage="0" bottom="0" percent="0" rank="0" text="" dxfId="9">
      <formula>$AJ2="周期与交易预期不匹配，请重新确认"</formula>
    </cfRule>
    <cfRule type="expression" priority="17" aboveAverage="0" equalAverage="0" bottom="0" percent="0" rank="0" text="" dxfId="7">
      <formula>$AJ2="匹配"</formula>
    </cfRule>
  </conditionalFormatting>
  <conditionalFormatting sqref="AR2:AR201">
    <cfRule type="expression" priority="18" aboveAverage="0" equalAverage="0" bottom="0" percent="0" rank="0" text="" dxfId="8">
      <formula>LEFT($AR2,2)="违规"</formula>
    </cfRule>
    <cfRule type="expression" priority="19" aboveAverage="0" equalAverage="0" bottom="0" percent="0" rank="0" text="" dxfId="7">
      <formula>$AR2="通过"</formula>
    </cfRule>
  </conditionalFormatting>
  <dataValidations count="10">
    <dataValidation allowBlank="false" errorStyle="stop" operator="greaterThan" showDropDown="false" showErrorMessage="false" showInputMessage="false" sqref="C2 E2:E201 J2:K201 N2:N201 C4:C201" type="decimal">
      <formula1>0</formula1>
      <formula2>0</formula2>
    </dataValidation>
    <dataValidation allowBlank="false" errorStyle="stop" operator="between" showDropDown="false" showErrorMessage="false" showInputMessage="false" sqref="D2:D201" type="decimal">
      <formula1>0</formula1>
      <formula2>1</formula2>
    </dataValidation>
    <dataValidation allowBlank="false" error="请完成解锁和交易预期，确保股数为100股整数倍，且单笔及账户风险均未超过上限。" errorStyle="stop" errorTitle="当前禁止开仓、计划不完整或风险超限" operator="between" showDropDown="false" showErrorMessage="true" showInputMessage="false" sqref="H2:H201" type="custom">
      <formula1>OR(H2="",AND(_LockStatus&lt;&gt;"已锁仓",_LockStatus&lt;&gt;"解锁信息不完整",AG2&lt;&gt;"",AH2&lt;&gt;"",AI2&lt;&gt;"",ISNUMBER(H2),H2&gt;0,H2=INT(H2),MOD(H2,100)=0,AQ2&lt;=C2*D2,SUM($AQ$2:$AQ$201)&lt;=_AccountRiskLimit))</formula1>
      <formula2>0</formula2>
    </dataValidation>
    <dataValidation allowBlank="false" errorStyle="stop" operator="between" showDropDown="false" showErrorMessage="false" showInputMessage="false" sqref="I2:I201" type="date">
      <formula1>DATE(2000,1,1)</formula1>
      <formula2>DATE(2100,12,31)</formula2>
    </dataValidation>
    <dataValidation allowBlank="false" error="卖出股数由系统自动带出，等于最终持仓股数。" errorStyle="stop" errorTitle="卖出股数应为最终累计股数" operator="between" showDropDown="false" showErrorMessage="false" showInputMessage="false" sqref="L2:L201" type="custom">
      <formula1>OR(L2="",L2=AP2)</formula1>
      <formula2>0</formula2>
    </dataValidation>
    <dataValidation allowBlank="false" errorStyle="stop" operator="between" showDropDown="false" showErrorMessage="false" showInputMessage="false" sqref="M2:M201" type="custom">
      <formula1>OR(M2="",AND(ISNUMBER(M2),M2&gt;=I2))</formula1>
      <formula2>0</formula2>
    </dataValidation>
    <dataValidation allowBlank="false" errorStyle="stop" operator="between" showDropDown="false" showErrorMessage="false" showInputMessage="false" sqref="AD2:AD201" type="list">
      <formula1>"1-差,2-较差,3-一般,4-良好,5-优秀"</formula1>
      <formula2>0</formula2>
    </dataValidation>
    <dataValidation allowBlank="false" error="请从短期博反弹、突破冲新高、趋势波段中选择" errorStyle="stop" errorTitle="交易预期无效" operator="between" showDropDown="false" showErrorMessage="true" showInputMessage="false" sqref="AG2:AG201" type="list">
      <formula1>"短期博反弹,突破冲新高,趋势波段"</formula1>
      <formula2>0</formula2>
    </dataValidation>
    <dataValidation allowBlank="false" error="请从预设的交易日范围中选择" errorStyle="stop" errorTitle="预期持有周期无效" operator="between" showDropDown="false" showErrorMessage="true" showInputMessage="false" sqref="AH2:AH201" type="list">
      <formula1>"1～3个交易日,4～10个交易日,11～20个交易日,21～60个交易日,60个交易日以上"</formula1>
      <formula2>0</formula2>
    </dataValidation>
    <dataValidation allowBlank="false" errorStyle="stop" operator="greaterThanOrEqual" showDropDown="false" showErrorMessage="false" showInputMessage="false" sqref="O2:P2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R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328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3"/>
    <col collapsed="false" customWidth="true" hidden="false" outlineLevel="0" max="5" min="4" style="0" width="12"/>
    <col collapsed="false" customWidth="true" hidden="false" outlineLevel="0" max="6" min="6" style="0" width="17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17"/>
    <col collapsed="false" customWidth="true" hidden="false" outlineLevel="0" max="11" min="11" style="0" width="21"/>
    <col collapsed="false" customWidth="true" hidden="false" outlineLevel="0" max="12" min="12" style="0" width="1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false" outlineLevel="0" max="17" min="15" style="0" width="17"/>
    <col collapsed="false" customWidth="true" hidden="false" outlineLevel="0" max="18" min="18" style="0" width="32"/>
  </cols>
  <sheetData>
    <row r="1" customFormat="false" ht="33.75" hidden="false" customHeight="true" outlineLevel="0" collapsed="false">
      <c r="A1" s="3" t="s">
        <v>0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</row>
    <row r="2" customFormat="false" ht="15" hidden="false" customHeight="false" outlineLevel="0" collapsed="false">
      <c r="A2" s="20"/>
      <c r="B2" s="21"/>
      <c r="C2" s="22"/>
      <c r="D2" s="23"/>
      <c r="E2" s="23"/>
      <c r="F2" s="23"/>
      <c r="G2" s="21"/>
      <c r="H2" s="24" t="str">
        <f aca="false">IF(OR(A2="",D2="",G2=""),"",D2*G2)</f>
        <v/>
      </c>
      <c r="I2" s="25" t="str">
        <f aca="false">IF(OR(A2="",B2=""),"",IFERROR(LOOKUP(2,1/(单次交易!$A$2:$A$201=A2),单次交易!$H$2:$H$201),0)+SUMIFS($G$2:$G$1001,$A$2:$A$1001,A2,$B$2:$B$1001,"&lt;"&amp;B2))</f>
        <v/>
      </c>
      <c r="J2" s="24" t="str">
        <f aca="false">IF(OR(A2="",B2=""),"",IFERROR(LOOKUP(2,1/(单次交易!$A$2:$A$201=A2),单次交易!$E$2:$E$201)*LOOKUP(2,1/(单次交易!$A$2:$A$201=A2),单次交易!$H$2:$H$201),0)+SUMIFS($H$2:$H$1001,$A$2:$A$1001,A2,$B$2:$B$1001,"&lt;"&amp;B2))</f>
        <v/>
      </c>
      <c r="K2" s="24" t="str">
        <f aca="false">IF(OR(E2="",I2="",J2=""),"",MAX(E2*I2-J2,0))</f>
        <v/>
      </c>
      <c r="L2" s="25" t="str">
        <f aca="false">IF(OR(D2="",E2="",F2="",D2&lt;=E2),"",FLOOR((F2+K2)/(D2-E2),100))</f>
        <v/>
      </c>
      <c r="M2" s="25" t="str">
        <f aca="false">IF(OR(A2="",B2="",L2=""),"",IF(B2=1,L2,IFERROR(SUMIFS($G$2:$G$1001,$A$2:$A$1001,A2,$B$2:$B$1001,B2-1),0)))</f>
        <v/>
      </c>
      <c r="N2" s="25" t="str">
        <f aca="false">IF(OR(L2="",M2=""),"",MIN(L2,M2))</f>
        <v/>
      </c>
      <c r="O2" s="25" t="str">
        <f aca="false">IF(OR(I2="",G2=""),"",I2+G2)</f>
        <v/>
      </c>
      <c r="P2" s="24" t="str">
        <f aca="false">IF(OR(O2="",O2=0),"",(J2+H2)/O2)</f>
        <v/>
      </c>
      <c r="Q2" s="24" t="str">
        <f aca="false">IF(OR(O2="",E2=""),"",MAX(J2+H2-E2*O2,0))</f>
        <v/>
      </c>
      <c r="R2" s="26" t="str">
        <f aca="false">IF(A2="","",IF(COUNTIF(_TradeIds,A2)=0,"违规：交易编号不存在",IF(OR(B2="",B2&lt;1,B2&gt;5,B2&lt;&gt;INT(B2)),"违规：加仓序号须为1到5的整数",IF(COUNTIFS($A$2:$A$1001,A2,$B$2:$B$1001,B2)&gt;1,"违规：同一交易的加仓序号重复",IF(OR(D2="",E2="",F2=""),"计划不完整：请填写加仓价、新止损价和风险预算",IF(OR(D2&lt;=0,E2&lt;=0,F2&lt;=0,D2&lt;=E2),"违规：加仓价必须高于新止损价，金额须大于0",IF(AND(B2&gt;1,COUNTIFS($A$2:$A$1001,A2,$B$2:$B$1001,B2-1,$G$2:$G$1001,"&gt;0")=0),"违规：须先完成上一次加仓",IF(AND(B2&gt;1,E2&lt;SUMIFS($E$2:$E$1001,$A$2:$A$1001,A2,$B$2:$B$1001,B2-1)),"违规：新止损价不得低于上一次",IF(AND(B2&gt;1,F2&gt;SUMIFS($F$2:$F$1001,$A$2:$A$1001,A2,$B$2:$B$1001,B2-1)),"违规：风险预算须逐次不增加",IF(OR(_LockStatus="已锁仓",_LockStatus="解锁信息不完整"),"违规：锁仓期间禁止加仓",IF(G2="","计划可执行：建议股数见N列",IF(OR(G2&lt;=0,G2&lt;&gt;INT(G2),MOD(G2,100)&lt;&gt;0),"违规：实际股数须为100股整数倍",IF(G2&gt;N2,"违规：实际股数超过风险或金字塔上限",IF(AND(B2&gt;1,G2&gt;SUMIFS($G$2:$G$1001,$A$2:$A$1001,A2,$B$2:$B$1001,B2-1)),"违规：加仓股数须逐次不增加",IF(Q2&gt;F2,"违规：止损风险超过本次预算","通过")))))))))))))))</f>
        <v/>
      </c>
    </row>
    <row r="3" customFormat="false" ht="15" hidden="false" customHeight="false" outlineLevel="0" collapsed="false">
      <c r="A3" s="20"/>
      <c r="B3" s="21"/>
      <c r="C3" s="22"/>
      <c r="D3" s="23"/>
      <c r="E3" s="23"/>
      <c r="F3" s="23"/>
      <c r="G3" s="21"/>
      <c r="H3" s="24" t="str">
        <f aca="false">IF(OR(A3="",D3="",G3=""),"",D3*G3)</f>
        <v/>
      </c>
      <c r="I3" s="25" t="str">
        <f aca="false">IF(OR(A3="",B3=""),"",IFERROR(LOOKUP(2,1/(单次交易!$A$2:$A$201=A3),单次交易!$H$2:$H$201),0)+SUMIFS($G$2:$G$1001,$A$2:$A$1001,A3,$B$2:$B$1001,"&lt;"&amp;B3))</f>
        <v/>
      </c>
      <c r="J3" s="24" t="str">
        <f aca="false">IF(OR(A3="",B3=""),"",IFERROR(LOOKUP(2,1/(单次交易!$A$2:$A$201=A3),单次交易!$E$2:$E$201)*LOOKUP(2,1/(单次交易!$A$2:$A$201=A3),单次交易!$H$2:$H$201),0)+SUMIFS($H$2:$H$1001,$A$2:$A$1001,A3,$B$2:$B$1001,"&lt;"&amp;B3))</f>
        <v/>
      </c>
      <c r="K3" s="24" t="str">
        <f aca="false">IF(OR(E3="",I3="",J3=""),"",MAX(E3*I3-J3,0))</f>
        <v/>
      </c>
      <c r="L3" s="25" t="str">
        <f aca="false">IF(OR(D3="",E3="",F3="",D3&lt;=E3),"",FLOOR((F3+K3)/(D3-E3),100))</f>
        <v/>
      </c>
      <c r="M3" s="25" t="str">
        <f aca="false">IF(OR(A3="",B3="",L3=""),"",IF(B3=1,L3,IFERROR(SUMIFS($G$2:$G$1001,$A$2:$A$1001,A3,$B$2:$B$1001,B3-1),0)))</f>
        <v/>
      </c>
      <c r="N3" s="25" t="str">
        <f aca="false">IF(OR(L3="",M3=""),"",MIN(L3,M3))</f>
        <v/>
      </c>
      <c r="O3" s="25" t="str">
        <f aca="false">IF(OR(I3="",G3=""),"",I3+G3)</f>
        <v/>
      </c>
      <c r="P3" s="24" t="str">
        <f aca="false">IF(OR(O3="",O3=0),"",(J3+H3)/O3)</f>
        <v/>
      </c>
      <c r="Q3" s="24" t="str">
        <f aca="false">IF(OR(O3="",E3=""),"",MAX(J3+H3-E3*O3,0))</f>
        <v/>
      </c>
      <c r="R3" s="26" t="str">
        <f aca="false">IF(A3="","",IF(COUNTIF(_TradeIds,A3)=0,"违规：交易编号不存在",IF(OR(B3="",B3&lt;1,B3&gt;5,B3&lt;&gt;INT(B3)),"违规：加仓序号须为1到5的整数",IF(COUNTIFS($A$2:$A$1001,A3,$B$2:$B$1001,B3)&gt;1,"违规：同一交易的加仓序号重复",IF(OR(D3="",E3="",F3=""),"计划不完整：请填写加仓价、新止损价和风险预算",IF(OR(D3&lt;=0,E3&lt;=0,F3&lt;=0,D3&lt;=E3),"违规：加仓价必须高于新止损价，金额须大于0",IF(AND(B3&gt;1,COUNTIFS($A$2:$A$1001,A3,$B$2:$B$1001,B3-1,$G$2:$G$1001,"&gt;0")=0),"违规：须先完成上一次加仓",IF(AND(B3&gt;1,E3&lt;SUMIFS($E$2:$E$1001,$A$2:$A$1001,A3,$B$2:$B$1001,B3-1)),"违规：新止损价不得低于上一次",IF(AND(B3&gt;1,F3&gt;SUMIFS($F$2:$F$1001,$A$2:$A$1001,A3,$B$2:$B$1001,B3-1)),"违规：风险预算须逐次不增加",IF(OR(_LockStatus="已锁仓",_LockStatus="解锁信息不完整"),"违规：锁仓期间禁止加仓",IF(G3="","计划可执行：建议股数见N列",IF(OR(G3&lt;=0,G3&lt;&gt;INT(G3),MOD(G3,100)&lt;&gt;0),"违规：实际股数须为100股整数倍",IF(G3&gt;N3,"违规：实际股数超过风险或金字塔上限",IF(AND(B3&gt;1,G3&gt;SUMIFS($G$2:$G$1001,$A$2:$A$1001,A3,$B$2:$B$1001,B3-1)),"违规：加仓股数须逐次不增加",IF(Q3&gt;F3,"违规：止损风险超过本次预算","通过")))))))))))))))</f>
        <v/>
      </c>
    </row>
    <row r="4" customFormat="false" ht="15" hidden="false" customHeight="false" outlineLevel="0" collapsed="false">
      <c r="A4" s="20"/>
      <c r="B4" s="21"/>
      <c r="C4" s="22"/>
      <c r="D4" s="23"/>
      <c r="E4" s="23"/>
      <c r="F4" s="23"/>
      <c r="G4" s="21"/>
      <c r="H4" s="24" t="str">
        <f aca="false">IF(OR(A4="",D4="",G4=""),"",D4*G4)</f>
        <v/>
      </c>
      <c r="I4" s="25" t="str">
        <f aca="false">IF(OR(A4="",B4=""),"",IFERROR(LOOKUP(2,1/(单次交易!$A$2:$A$201=A4),单次交易!$H$2:$H$201),0)+SUMIFS($G$2:$G$1001,$A$2:$A$1001,A4,$B$2:$B$1001,"&lt;"&amp;B4))</f>
        <v/>
      </c>
      <c r="J4" s="24" t="str">
        <f aca="false">IF(OR(A4="",B4=""),"",IFERROR(LOOKUP(2,1/(单次交易!$A$2:$A$201=A4),单次交易!$E$2:$E$201)*LOOKUP(2,1/(单次交易!$A$2:$A$201=A4),单次交易!$H$2:$H$201),0)+SUMIFS($H$2:$H$1001,$A$2:$A$1001,A4,$B$2:$B$1001,"&lt;"&amp;B4))</f>
        <v/>
      </c>
      <c r="K4" s="24" t="str">
        <f aca="false">IF(OR(E4="",I4="",J4=""),"",MAX(E4*I4-J4,0))</f>
        <v/>
      </c>
      <c r="L4" s="25" t="str">
        <f aca="false">IF(OR(D4="",E4="",F4="",D4&lt;=E4),"",FLOOR((F4+K4)/(D4-E4),100))</f>
        <v/>
      </c>
      <c r="M4" s="25" t="str">
        <f aca="false">IF(OR(A4="",B4="",L4=""),"",IF(B4=1,L4,IFERROR(SUMIFS($G$2:$G$1001,$A$2:$A$1001,A4,$B$2:$B$1001,B4-1),0)))</f>
        <v/>
      </c>
      <c r="N4" s="25" t="str">
        <f aca="false">IF(OR(L4="",M4=""),"",MIN(L4,M4))</f>
        <v/>
      </c>
      <c r="O4" s="25" t="str">
        <f aca="false">IF(OR(I4="",G4=""),"",I4+G4)</f>
        <v/>
      </c>
      <c r="P4" s="24" t="str">
        <f aca="false">IF(OR(O4="",O4=0),"",(J4+H4)/O4)</f>
        <v/>
      </c>
      <c r="Q4" s="24" t="str">
        <f aca="false">IF(OR(O4="",E4=""),"",MAX(J4+H4-E4*O4,0))</f>
        <v/>
      </c>
      <c r="R4" s="26" t="str">
        <f aca="false">IF(A4="","",IF(COUNTIF(_TradeIds,A4)=0,"违规：交易编号不存在",IF(OR(B4="",B4&lt;1,B4&gt;5,B4&lt;&gt;INT(B4)),"违规：加仓序号须为1到5的整数",IF(COUNTIFS($A$2:$A$1001,A4,$B$2:$B$1001,B4)&gt;1,"违规：同一交易的加仓序号重复",IF(OR(D4="",E4="",F4=""),"计划不完整：请填写加仓价、新止损价和风险预算",IF(OR(D4&lt;=0,E4&lt;=0,F4&lt;=0,D4&lt;=E4),"违规：加仓价必须高于新止损价，金额须大于0",IF(AND(B4&gt;1,COUNTIFS($A$2:$A$1001,A4,$B$2:$B$1001,B4-1,$G$2:$G$1001,"&gt;0")=0),"违规：须先完成上一次加仓",IF(AND(B4&gt;1,E4&lt;SUMIFS($E$2:$E$1001,$A$2:$A$1001,A4,$B$2:$B$1001,B4-1)),"违规：新止损价不得低于上一次",IF(AND(B4&gt;1,F4&gt;SUMIFS($F$2:$F$1001,$A$2:$A$1001,A4,$B$2:$B$1001,B4-1)),"违规：风险预算须逐次不增加",IF(OR(_LockStatus="已锁仓",_LockStatus="解锁信息不完整"),"违规：锁仓期间禁止加仓",IF(G4="","计划可执行：建议股数见N列",IF(OR(G4&lt;=0,G4&lt;&gt;INT(G4),MOD(G4,100)&lt;&gt;0),"违规：实际股数须为100股整数倍",IF(G4&gt;N4,"违规：实际股数超过风险或金字塔上限",IF(AND(B4&gt;1,G4&gt;SUMIFS($G$2:$G$1001,$A$2:$A$1001,A4,$B$2:$B$1001,B4-1)),"违规：加仓股数须逐次不增加",IF(Q4&gt;F4,"违规：止损风险超过本次预算","通过")))))))))))))))</f>
        <v/>
      </c>
    </row>
    <row r="5" customFormat="false" ht="15" hidden="false" customHeight="false" outlineLevel="0" collapsed="false">
      <c r="A5" s="20"/>
      <c r="B5" s="21"/>
      <c r="C5" s="22"/>
      <c r="D5" s="23"/>
      <c r="E5" s="23"/>
      <c r="F5" s="23"/>
      <c r="G5" s="21"/>
      <c r="H5" s="24" t="str">
        <f aca="false">IF(OR(A5="",D5="",G5=""),"",D5*G5)</f>
        <v/>
      </c>
      <c r="I5" s="25" t="str">
        <f aca="false">IF(OR(A5="",B5=""),"",IFERROR(LOOKUP(2,1/(单次交易!$A$2:$A$201=A5),单次交易!$H$2:$H$201),0)+SUMIFS($G$2:$G$1001,$A$2:$A$1001,A5,$B$2:$B$1001,"&lt;"&amp;B5))</f>
        <v/>
      </c>
      <c r="J5" s="24" t="str">
        <f aca="false">IF(OR(A5="",B5=""),"",IFERROR(LOOKUP(2,1/(单次交易!$A$2:$A$201=A5),单次交易!$E$2:$E$201)*LOOKUP(2,1/(单次交易!$A$2:$A$201=A5),单次交易!$H$2:$H$201),0)+SUMIFS($H$2:$H$1001,$A$2:$A$1001,A5,$B$2:$B$1001,"&lt;"&amp;B5))</f>
        <v/>
      </c>
      <c r="K5" s="24" t="str">
        <f aca="false">IF(OR(E5="",I5="",J5=""),"",MAX(E5*I5-J5,0))</f>
        <v/>
      </c>
      <c r="L5" s="25" t="str">
        <f aca="false">IF(OR(D5="",E5="",F5="",D5&lt;=E5),"",FLOOR((F5+K5)/(D5-E5),100))</f>
        <v/>
      </c>
      <c r="M5" s="25" t="str">
        <f aca="false">IF(OR(A5="",B5="",L5=""),"",IF(B5=1,L5,IFERROR(SUMIFS($G$2:$G$1001,$A$2:$A$1001,A5,$B$2:$B$1001,B5-1),0)))</f>
        <v/>
      </c>
      <c r="N5" s="25" t="str">
        <f aca="false">IF(OR(L5="",M5=""),"",MIN(L5,M5))</f>
        <v/>
      </c>
      <c r="O5" s="25" t="str">
        <f aca="false">IF(OR(I5="",G5=""),"",I5+G5)</f>
        <v/>
      </c>
      <c r="P5" s="24" t="str">
        <f aca="false">IF(OR(O5="",O5=0),"",(J5+H5)/O5)</f>
        <v/>
      </c>
      <c r="Q5" s="24" t="str">
        <f aca="false">IF(OR(O5="",E5=""),"",MAX(J5+H5-E5*O5,0))</f>
        <v/>
      </c>
      <c r="R5" s="26" t="str">
        <f aca="false">IF(A5="","",IF(COUNTIF(_TradeIds,A5)=0,"违规：交易编号不存在",IF(OR(B5="",B5&lt;1,B5&gt;5,B5&lt;&gt;INT(B5)),"违规：加仓序号须为1到5的整数",IF(COUNTIFS($A$2:$A$1001,A5,$B$2:$B$1001,B5)&gt;1,"违规：同一交易的加仓序号重复",IF(OR(D5="",E5="",F5=""),"计划不完整：请填写加仓价、新止损价和风险预算",IF(OR(D5&lt;=0,E5&lt;=0,F5&lt;=0,D5&lt;=E5),"违规：加仓价必须高于新止损价，金额须大于0",IF(AND(B5&gt;1,COUNTIFS($A$2:$A$1001,A5,$B$2:$B$1001,B5-1,$G$2:$G$1001,"&gt;0")=0),"违规：须先完成上一次加仓",IF(AND(B5&gt;1,E5&lt;SUMIFS($E$2:$E$1001,$A$2:$A$1001,A5,$B$2:$B$1001,B5-1)),"违规：新止损价不得低于上一次",IF(AND(B5&gt;1,F5&gt;SUMIFS($F$2:$F$1001,$A$2:$A$1001,A5,$B$2:$B$1001,B5-1)),"违规：风险预算须逐次不增加",IF(OR(_LockStatus="已锁仓",_LockStatus="解锁信息不完整"),"违规：锁仓期间禁止加仓",IF(G5="","计划可执行：建议股数见N列",IF(OR(G5&lt;=0,G5&lt;&gt;INT(G5),MOD(G5,100)&lt;&gt;0),"违规：实际股数须为100股整数倍",IF(G5&gt;N5,"违规：实际股数超过风险或金字塔上限",IF(AND(B5&gt;1,G5&gt;SUMIFS($G$2:$G$1001,$A$2:$A$1001,A5,$B$2:$B$1001,B5-1)),"违规：加仓股数须逐次不增加",IF(Q5&gt;F5,"违规：止损风险超过本次预算","通过")))))))))))))))</f>
        <v/>
      </c>
    </row>
    <row r="6" customFormat="false" ht="15" hidden="false" customHeight="false" outlineLevel="0" collapsed="false">
      <c r="A6" s="20"/>
      <c r="B6" s="21"/>
      <c r="C6" s="22"/>
      <c r="D6" s="23"/>
      <c r="E6" s="23"/>
      <c r="F6" s="23"/>
      <c r="G6" s="21"/>
      <c r="H6" s="24" t="str">
        <f aca="false">IF(OR(A6="",D6="",G6=""),"",D6*G6)</f>
        <v/>
      </c>
      <c r="I6" s="25" t="str">
        <f aca="false">IF(OR(A6="",B6=""),"",IFERROR(LOOKUP(2,1/(单次交易!$A$2:$A$201=A6),单次交易!$H$2:$H$201),0)+SUMIFS($G$2:$G$1001,$A$2:$A$1001,A6,$B$2:$B$1001,"&lt;"&amp;B6))</f>
        <v/>
      </c>
      <c r="J6" s="24" t="str">
        <f aca="false">IF(OR(A6="",B6=""),"",IFERROR(LOOKUP(2,1/(单次交易!$A$2:$A$201=A6),单次交易!$E$2:$E$201)*LOOKUP(2,1/(单次交易!$A$2:$A$201=A6),单次交易!$H$2:$H$201),0)+SUMIFS($H$2:$H$1001,$A$2:$A$1001,A6,$B$2:$B$1001,"&lt;"&amp;B6))</f>
        <v/>
      </c>
      <c r="K6" s="24" t="str">
        <f aca="false">IF(OR(E6="",I6="",J6=""),"",MAX(E6*I6-J6,0))</f>
        <v/>
      </c>
      <c r="L6" s="25" t="str">
        <f aca="false">IF(OR(D6="",E6="",F6="",D6&lt;=E6),"",FLOOR((F6+K6)/(D6-E6),100))</f>
        <v/>
      </c>
      <c r="M6" s="25" t="str">
        <f aca="false">IF(OR(A6="",B6="",L6=""),"",IF(B6=1,L6,IFERROR(SUMIFS($G$2:$G$1001,$A$2:$A$1001,A6,$B$2:$B$1001,B6-1),0)))</f>
        <v/>
      </c>
      <c r="N6" s="25" t="str">
        <f aca="false">IF(OR(L6="",M6=""),"",MIN(L6,M6))</f>
        <v/>
      </c>
      <c r="O6" s="25" t="str">
        <f aca="false">IF(OR(I6="",G6=""),"",I6+G6)</f>
        <v/>
      </c>
      <c r="P6" s="24" t="str">
        <f aca="false">IF(OR(O6="",O6=0),"",(J6+H6)/O6)</f>
        <v/>
      </c>
      <c r="Q6" s="24" t="str">
        <f aca="false">IF(OR(O6="",E6=""),"",MAX(J6+H6-E6*O6,0))</f>
        <v/>
      </c>
      <c r="R6" s="26" t="str">
        <f aca="false">IF(A6="","",IF(COUNTIF(_TradeIds,A6)=0,"违规：交易编号不存在",IF(OR(B6="",B6&lt;1,B6&gt;5,B6&lt;&gt;INT(B6)),"违规：加仓序号须为1到5的整数",IF(COUNTIFS($A$2:$A$1001,A6,$B$2:$B$1001,B6)&gt;1,"违规：同一交易的加仓序号重复",IF(OR(D6="",E6="",F6=""),"计划不完整：请填写加仓价、新止损价和风险预算",IF(OR(D6&lt;=0,E6&lt;=0,F6&lt;=0,D6&lt;=E6),"违规：加仓价必须高于新止损价，金额须大于0",IF(AND(B6&gt;1,COUNTIFS($A$2:$A$1001,A6,$B$2:$B$1001,B6-1,$G$2:$G$1001,"&gt;0")=0),"违规：须先完成上一次加仓",IF(AND(B6&gt;1,E6&lt;SUMIFS($E$2:$E$1001,$A$2:$A$1001,A6,$B$2:$B$1001,B6-1)),"违规：新止损价不得低于上一次",IF(AND(B6&gt;1,F6&gt;SUMIFS($F$2:$F$1001,$A$2:$A$1001,A6,$B$2:$B$1001,B6-1)),"违规：风险预算须逐次不增加",IF(OR(_LockStatus="已锁仓",_LockStatus="解锁信息不完整"),"违规：锁仓期间禁止加仓",IF(G6="","计划可执行：建议股数见N列",IF(OR(G6&lt;=0,G6&lt;&gt;INT(G6),MOD(G6,100)&lt;&gt;0),"违规：实际股数须为100股整数倍",IF(G6&gt;N6,"违规：实际股数超过风险或金字塔上限",IF(AND(B6&gt;1,G6&gt;SUMIFS($G$2:$G$1001,$A$2:$A$1001,A6,$B$2:$B$1001,B6-1)),"违规：加仓股数须逐次不增加",IF(Q6&gt;F6,"违规：止损风险超过本次预算","通过")))))))))))))))</f>
        <v/>
      </c>
    </row>
    <row r="7" customFormat="false" ht="15" hidden="false" customHeight="false" outlineLevel="0" collapsed="false">
      <c r="A7" s="20"/>
      <c r="B7" s="21"/>
      <c r="C7" s="22"/>
      <c r="D7" s="23"/>
      <c r="E7" s="23"/>
      <c r="F7" s="23"/>
      <c r="G7" s="21"/>
      <c r="H7" s="24" t="str">
        <f aca="false">IF(OR(A7="",D7="",G7=""),"",D7*G7)</f>
        <v/>
      </c>
      <c r="I7" s="25" t="str">
        <f aca="false">IF(OR(A7="",B7=""),"",IFERROR(LOOKUP(2,1/(单次交易!$A$2:$A$201=A7),单次交易!$H$2:$H$201),0)+SUMIFS($G$2:$G$1001,$A$2:$A$1001,A7,$B$2:$B$1001,"&lt;"&amp;B7))</f>
        <v/>
      </c>
      <c r="J7" s="24" t="str">
        <f aca="false">IF(OR(A7="",B7=""),"",IFERROR(LOOKUP(2,1/(单次交易!$A$2:$A$201=A7),单次交易!$E$2:$E$201)*LOOKUP(2,1/(单次交易!$A$2:$A$201=A7),单次交易!$H$2:$H$201),0)+SUMIFS($H$2:$H$1001,$A$2:$A$1001,A7,$B$2:$B$1001,"&lt;"&amp;B7))</f>
        <v/>
      </c>
      <c r="K7" s="24" t="str">
        <f aca="false">IF(OR(E7="",I7="",J7=""),"",MAX(E7*I7-J7,0))</f>
        <v/>
      </c>
      <c r="L7" s="25" t="str">
        <f aca="false">IF(OR(D7="",E7="",F7="",D7&lt;=E7),"",FLOOR((F7+K7)/(D7-E7),100))</f>
        <v/>
      </c>
      <c r="M7" s="25" t="str">
        <f aca="false">IF(OR(A7="",B7="",L7=""),"",IF(B7=1,L7,IFERROR(SUMIFS($G$2:$G$1001,$A$2:$A$1001,A7,$B$2:$B$1001,B7-1),0)))</f>
        <v/>
      </c>
      <c r="N7" s="25" t="str">
        <f aca="false">IF(OR(L7="",M7=""),"",MIN(L7,M7))</f>
        <v/>
      </c>
      <c r="O7" s="25" t="str">
        <f aca="false">IF(OR(I7="",G7=""),"",I7+G7)</f>
        <v/>
      </c>
      <c r="P7" s="24" t="str">
        <f aca="false">IF(OR(O7="",O7=0),"",(J7+H7)/O7)</f>
        <v/>
      </c>
      <c r="Q7" s="24" t="str">
        <f aca="false">IF(OR(O7="",E7=""),"",MAX(J7+H7-E7*O7,0))</f>
        <v/>
      </c>
      <c r="R7" s="26" t="str">
        <f aca="false">IF(A7="","",IF(COUNTIF(_TradeIds,A7)=0,"违规：交易编号不存在",IF(OR(B7="",B7&lt;1,B7&gt;5,B7&lt;&gt;INT(B7)),"违规：加仓序号须为1到5的整数",IF(COUNTIFS($A$2:$A$1001,A7,$B$2:$B$1001,B7)&gt;1,"违规：同一交易的加仓序号重复",IF(OR(D7="",E7="",F7=""),"计划不完整：请填写加仓价、新止损价和风险预算",IF(OR(D7&lt;=0,E7&lt;=0,F7&lt;=0,D7&lt;=E7),"违规：加仓价必须高于新止损价，金额须大于0",IF(AND(B7&gt;1,COUNTIFS($A$2:$A$1001,A7,$B$2:$B$1001,B7-1,$G$2:$G$1001,"&gt;0")=0),"违规：须先完成上一次加仓",IF(AND(B7&gt;1,E7&lt;SUMIFS($E$2:$E$1001,$A$2:$A$1001,A7,$B$2:$B$1001,B7-1)),"违规：新止损价不得低于上一次",IF(AND(B7&gt;1,F7&gt;SUMIFS($F$2:$F$1001,$A$2:$A$1001,A7,$B$2:$B$1001,B7-1)),"违规：风险预算须逐次不增加",IF(OR(_LockStatus="已锁仓",_LockStatus="解锁信息不完整"),"违规：锁仓期间禁止加仓",IF(G7="","计划可执行：建议股数见N列",IF(OR(G7&lt;=0,G7&lt;&gt;INT(G7),MOD(G7,100)&lt;&gt;0),"违规：实际股数须为100股整数倍",IF(G7&gt;N7,"违规：实际股数超过风险或金字塔上限",IF(AND(B7&gt;1,G7&gt;SUMIFS($G$2:$G$1001,$A$2:$A$1001,A7,$B$2:$B$1001,B7-1)),"违规：加仓股数须逐次不增加",IF(Q7&gt;F7,"违规：止损风险超过本次预算","通过")))))))))))))))</f>
        <v/>
      </c>
    </row>
    <row r="8" customFormat="false" ht="15" hidden="false" customHeight="false" outlineLevel="0" collapsed="false">
      <c r="A8" s="20"/>
      <c r="B8" s="21"/>
      <c r="C8" s="22"/>
      <c r="D8" s="23"/>
      <c r="E8" s="23"/>
      <c r="F8" s="23"/>
      <c r="G8" s="21"/>
      <c r="H8" s="24" t="str">
        <f aca="false">IF(OR(A8="",D8="",G8=""),"",D8*G8)</f>
        <v/>
      </c>
      <c r="I8" s="25" t="str">
        <f aca="false">IF(OR(A8="",B8=""),"",IFERROR(LOOKUP(2,1/(单次交易!$A$2:$A$201=A8),单次交易!$H$2:$H$201),0)+SUMIFS($G$2:$G$1001,$A$2:$A$1001,A8,$B$2:$B$1001,"&lt;"&amp;B8))</f>
        <v/>
      </c>
      <c r="J8" s="24" t="str">
        <f aca="false">IF(OR(A8="",B8=""),"",IFERROR(LOOKUP(2,1/(单次交易!$A$2:$A$201=A8),单次交易!$E$2:$E$201)*LOOKUP(2,1/(单次交易!$A$2:$A$201=A8),单次交易!$H$2:$H$201),0)+SUMIFS($H$2:$H$1001,$A$2:$A$1001,A8,$B$2:$B$1001,"&lt;"&amp;B8))</f>
        <v/>
      </c>
      <c r="K8" s="24" t="str">
        <f aca="false">IF(OR(E8="",I8="",J8=""),"",MAX(E8*I8-J8,0))</f>
        <v/>
      </c>
      <c r="L8" s="25" t="str">
        <f aca="false">IF(OR(D8="",E8="",F8="",D8&lt;=E8),"",FLOOR((F8+K8)/(D8-E8),100))</f>
        <v/>
      </c>
      <c r="M8" s="25" t="str">
        <f aca="false">IF(OR(A8="",B8="",L8=""),"",IF(B8=1,L8,IFERROR(SUMIFS($G$2:$G$1001,$A$2:$A$1001,A8,$B$2:$B$1001,B8-1),0)))</f>
        <v/>
      </c>
      <c r="N8" s="25" t="str">
        <f aca="false">IF(OR(L8="",M8=""),"",MIN(L8,M8))</f>
        <v/>
      </c>
      <c r="O8" s="25" t="str">
        <f aca="false">IF(OR(I8="",G8=""),"",I8+G8)</f>
        <v/>
      </c>
      <c r="P8" s="24" t="str">
        <f aca="false">IF(OR(O8="",O8=0),"",(J8+H8)/O8)</f>
        <v/>
      </c>
      <c r="Q8" s="24" t="str">
        <f aca="false">IF(OR(O8="",E8=""),"",MAX(J8+H8-E8*O8,0))</f>
        <v/>
      </c>
      <c r="R8" s="26" t="str">
        <f aca="false">IF(A8="","",IF(COUNTIF(_TradeIds,A8)=0,"违规：交易编号不存在",IF(OR(B8="",B8&lt;1,B8&gt;5,B8&lt;&gt;INT(B8)),"违规：加仓序号须为1到5的整数",IF(COUNTIFS($A$2:$A$1001,A8,$B$2:$B$1001,B8)&gt;1,"违规：同一交易的加仓序号重复",IF(OR(D8="",E8="",F8=""),"计划不完整：请填写加仓价、新止损价和风险预算",IF(OR(D8&lt;=0,E8&lt;=0,F8&lt;=0,D8&lt;=E8),"违规：加仓价必须高于新止损价，金额须大于0",IF(AND(B8&gt;1,COUNTIFS($A$2:$A$1001,A8,$B$2:$B$1001,B8-1,$G$2:$G$1001,"&gt;0")=0),"违规：须先完成上一次加仓",IF(AND(B8&gt;1,E8&lt;SUMIFS($E$2:$E$1001,$A$2:$A$1001,A8,$B$2:$B$1001,B8-1)),"违规：新止损价不得低于上一次",IF(AND(B8&gt;1,F8&gt;SUMIFS($F$2:$F$1001,$A$2:$A$1001,A8,$B$2:$B$1001,B8-1)),"违规：风险预算须逐次不增加",IF(OR(_LockStatus="已锁仓",_LockStatus="解锁信息不完整"),"违规：锁仓期间禁止加仓",IF(G8="","计划可执行：建议股数见N列",IF(OR(G8&lt;=0,G8&lt;&gt;INT(G8),MOD(G8,100)&lt;&gt;0),"违规：实际股数须为100股整数倍",IF(G8&gt;N8,"违规：实际股数超过风险或金字塔上限",IF(AND(B8&gt;1,G8&gt;SUMIFS($G$2:$G$1001,$A$2:$A$1001,A8,$B$2:$B$1001,B8-1)),"违规：加仓股数须逐次不增加",IF(Q8&gt;F8,"违规：止损风险超过本次预算","通过")))))))))))))))</f>
        <v/>
      </c>
    </row>
    <row r="9" customFormat="false" ht="15" hidden="false" customHeight="false" outlineLevel="0" collapsed="false">
      <c r="A9" s="20"/>
      <c r="B9" s="21"/>
      <c r="C9" s="22"/>
      <c r="D9" s="23"/>
      <c r="E9" s="23"/>
      <c r="F9" s="23"/>
      <c r="G9" s="21"/>
      <c r="H9" s="24" t="str">
        <f aca="false">IF(OR(A9="",D9="",G9=""),"",D9*G9)</f>
        <v/>
      </c>
      <c r="I9" s="25" t="str">
        <f aca="false">IF(OR(A9="",B9=""),"",IFERROR(LOOKUP(2,1/(单次交易!$A$2:$A$201=A9),单次交易!$H$2:$H$201),0)+SUMIFS($G$2:$G$1001,$A$2:$A$1001,A9,$B$2:$B$1001,"&lt;"&amp;B9))</f>
        <v/>
      </c>
      <c r="J9" s="24" t="str">
        <f aca="false">IF(OR(A9="",B9=""),"",IFERROR(LOOKUP(2,1/(单次交易!$A$2:$A$201=A9),单次交易!$E$2:$E$201)*LOOKUP(2,1/(单次交易!$A$2:$A$201=A9),单次交易!$H$2:$H$201),0)+SUMIFS($H$2:$H$1001,$A$2:$A$1001,A9,$B$2:$B$1001,"&lt;"&amp;B9))</f>
        <v/>
      </c>
      <c r="K9" s="24" t="str">
        <f aca="false">IF(OR(E9="",I9="",J9=""),"",MAX(E9*I9-J9,0))</f>
        <v/>
      </c>
      <c r="L9" s="25" t="str">
        <f aca="false">IF(OR(D9="",E9="",F9="",D9&lt;=E9),"",FLOOR((F9+K9)/(D9-E9),100))</f>
        <v/>
      </c>
      <c r="M9" s="25" t="str">
        <f aca="false">IF(OR(A9="",B9="",L9=""),"",IF(B9=1,L9,IFERROR(SUMIFS($G$2:$G$1001,$A$2:$A$1001,A9,$B$2:$B$1001,B9-1),0)))</f>
        <v/>
      </c>
      <c r="N9" s="25" t="str">
        <f aca="false">IF(OR(L9="",M9=""),"",MIN(L9,M9))</f>
        <v/>
      </c>
      <c r="O9" s="25" t="str">
        <f aca="false">IF(OR(I9="",G9=""),"",I9+G9)</f>
        <v/>
      </c>
      <c r="P9" s="24" t="str">
        <f aca="false">IF(OR(O9="",O9=0),"",(J9+H9)/O9)</f>
        <v/>
      </c>
      <c r="Q9" s="24" t="str">
        <f aca="false">IF(OR(O9="",E9=""),"",MAX(J9+H9-E9*O9,0))</f>
        <v/>
      </c>
      <c r="R9" s="26" t="str">
        <f aca="false">IF(A9="","",IF(COUNTIF(_TradeIds,A9)=0,"违规：交易编号不存在",IF(OR(B9="",B9&lt;1,B9&gt;5,B9&lt;&gt;INT(B9)),"违规：加仓序号须为1到5的整数",IF(COUNTIFS($A$2:$A$1001,A9,$B$2:$B$1001,B9)&gt;1,"违规：同一交易的加仓序号重复",IF(OR(D9="",E9="",F9=""),"计划不完整：请填写加仓价、新止损价和风险预算",IF(OR(D9&lt;=0,E9&lt;=0,F9&lt;=0,D9&lt;=E9),"违规：加仓价必须高于新止损价，金额须大于0",IF(AND(B9&gt;1,COUNTIFS($A$2:$A$1001,A9,$B$2:$B$1001,B9-1,$G$2:$G$1001,"&gt;0")=0),"违规：须先完成上一次加仓",IF(AND(B9&gt;1,E9&lt;SUMIFS($E$2:$E$1001,$A$2:$A$1001,A9,$B$2:$B$1001,B9-1)),"违规：新止损价不得低于上一次",IF(AND(B9&gt;1,F9&gt;SUMIFS($F$2:$F$1001,$A$2:$A$1001,A9,$B$2:$B$1001,B9-1)),"违规：风险预算须逐次不增加",IF(OR(_LockStatus="已锁仓",_LockStatus="解锁信息不完整"),"违规：锁仓期间禁止加仓",IF(G9="","计划可执行：建议股数见N列",IF(OR(G9&lt;=0,G9&lt;&gt;INT(G9),MOD(G9,100)&lt;&gt;0),"违规：实际股数须为100股整数倍",IF(G9&gt;N9,"违规：实际股数超过风险或金字塔上限",IF(AND(B9&gt;1,G9&gt;SUMIFS($G$2:$G$1001,$A$2:$A$1001,A9,$B$2:$B$1001,B9-1)),"违规：加仓股数须逐次不增加",IF(Q9&gt;F9,"违规：止损风险超过本次预算","通过")))))))))))))))</f>
        <v/>
      </c>
    </row>
    <row r="10" customFormat="false" ht="15" hidden="false" customHeight="false" outlineLevel="0" collapsed="false">
      <c r="A10" s="20"/>
      <c r="B10" s="21"/>
      <c r="C10" s="22"/>
      <c r="D10" s="23"/>
      <c r="E10" s="23"/>
      <c r="F10" s="23"/>
      <c r="G10" s="21"/>
      <c r="H10" s="24" t="str">
        <f aca="false">IF(OR(A10="",D10="",G10=""),"",D10*G10)</f>
        <v/>
      </c>
      <c r="I10" s="25" t="str">
        <f aca="false">IF(OR(A10="",B10=""),"",IFERROR(LOOKUP(2,1/(单次交易!$A$2:$A$201=A10),单次交易!$H$2:$H$201),0)+SUMIFS($G$2:$G$1001,$A$2:$A$1001,A10,$B$2:$B$1001,"&lt;"&amp;B10))</f>
        <v/>
      </c>
      <c r="J10" s="24" t="str">
        <f aca="false">IF(OR(A10="",B10=""),"",IFERROR(LOOKUP(2,1/(单次交易!$A$2:$A$201=A10),单次交易!$E$2:$E$201)*LOOKUP(2,1/(单次交易!$A$2:$A$201=A10),单次交易!$H$2:$H$201),0)+SUMIFS($H$2:$H$1001,$A$2:$A$1001,A10,$B$2:$B$1001,"&lt;"&amp;B10))</f>
        <v/>
      </c>
      <c r="K10" s="24" t="str">
        <f aca="false">IF(OR(E10="",I10="",J10=""),"",MAX(E10*I10-J10,0))</f>
        <v/>
      </c>
      <c r="L10" s="25" t="str">
        <f aca="false">IF(OR(D10="",E10="",F10="",D10&lt;=E10),"",FLOOR((F10+K10)/(D10-E10),100))</f>
        <v/>
      </c>
      <c r="M10" s="25" t="str">
        <f aca="false">IF(OR(A10="",B10="",L10=""),"",IF(B10=1,L10,IFERROR(SUMIFS($G$2:$G$1001,$A$2:$A$1001,A10,$B$2:$B$1001,B10-1),0)))</f>
        <v/>
      </c>
      <c r="N10" s="25" t="str">
        <f aca="false">IF(OR(L10="",M10=""),"",MIN(L10,M10))</f>
        <v/>
      </c>
      <c r="O10" s="25" t="str">
        <f aca="false">IF(OR(I10="",G10=""),"",I10+G10)</f>
        <v/>
      </c>
      <c r="P10" s="24" t="str">
        <f aca="false">IF(OR(O10="",O10=0),"",(J10+H10)/O10)</f>
        <v/>
      </c>
      <c r="Q10" s="24" t="str">
        <f aca="false">IF(OR(O10="",E10=""),"",MAX(J10+H10-E10*O10,0))</f>
        <v/>
      </c>
      <c r="R10" s="26" t="str">
        <f aca="false">IF(A10="","",IF(COUNTIF(_TradeIds,A10)=0,"违规：交易编号不存在",IF(OR(B10="",B10&lt;1,B10&gt;5,B10&lt;&gt;INT(B10)),"违规：加仓序号须为1到5的整数",IF(COUNTIFS($A$2:$A$1001,A10,$B$2:$B$1001,B10)&gt;1,"违规：同一交易的加仓序号重复",IF(OR(D10="",E10="",F10=""),"计划不完整：请填写加仓价、新止损价和风险预算",IF(OR(D10&lt;=0,E10&lt;=0,F10&lt;=0,D10&lt;=E10),"违规：加仓价必须高于新止损价，金额须大于0",IF(AND(B10&gt;1,COUNTIFS($A$2:$A$1001,A10,$B$2:$B$1001,B10-1,$G$2:$G$1001,"&gt;0")=0),"违规：须先完成上一次加仓",IF(AND(B10&gt;1,E10&lt;SUMIFS($E$2:$E$1001,$A$2:$A$1001,A10,$B$2:$B$1001,B10-1)),"违规：新止损价不得低于上一次",IF(AND(B10&gt;1,F10&gt;SUMIFS($F$2:$F$1001,$A$2:$A$1001,A10,$B$2:$B$1001,B10-1)),"违规：风险预算须逐次不增加",IF(OR(_LockStatus="已锁仓",_LockStatus="解锁信息不完整"),"违规：锁仓期间禁止加仓",IF(G10="","计划可执行：建议股数见N列",IF(OR(G10&lt;=0,G10&lt;&gt;INT(G10),MOD(G10,100)&lt;&gt;0),"违规：实际股数须为100股整数倍",IF(G10&gt;N10,"违规：实际股数超过风险或金字塔上限",IF(AND(B10&gt;1,G10&gt;SUMIFS($G$2:$G$1001,$A$2:$A$1001,A10,$B$2:$B$1001,B10-1)),"违规：加仓股数须逐次不增加",IF(Q10&gt;F10,"违规：止损风险超过本次预算","通过")))))))))))))))</f>
        <v/>
      </c>
    </row>
    <row r="11" customFormat="false" ht="15" hidden="false" customHeight="false" outlineLevel="0" collapsed="false">
      <c r="A11" s="20"/>
      <c r="B11" s="21"/>
      <c r="C11" s="22"/>
      <c r="D11" s="23"/>
      <c r="E11" s="23"/>
      <c r="F11" s="23"/>
      <c r="G11" s="21"/>
      <c r="H11" s="24" t="str">
        <f aca="false">IF(OR(A11="",D11="",G11=""),"",D11*G11)</f>
        <v/>
      </c>
      <c r="I11" s="25" t="str">
        <f aca="false">IF(OR(A11="",B11=""),"",IFERROR(LOOKUP(2,1/(单次交易!$A$2:$A$201=A11),单次交易!$H$2:$H$201),0)+SUMIFS($G$2:$G$1001,$A$2:$A$1001,A11,$B$2:$B$1001,"&lt;"&amp;B11))</f>
        <v/>
      </c>
      <c r="J11" s="24" t="str">
        <f aca="false">IF(OR(A11="",B11=""),"",IFERROR(LOOKUP(2,1/(单次交易!$A$2:$A$201=A11),单次交易!$E$2:$E$201)*LOOKUP(2,1/(单次交易!$A$2:$A$201=A11),单次交易!$H$2:$H$201),0)+SUMIFS($H$2:$H$1001,$A$2:$A$1001,A11,$B$2:$B$1001,"&lt;"&amp;B11))</f>
        <v/>
      </c>
      <c r="K11" s="24" t="str">
        <f aca="false">IF(OR(E11="",I11="",J11=""),"",MAX(E11*I11-J11,0))</f>
        <v/>
      </c>
      <c r="L11" s="25" t="str">
        <f aca="false">IF(OR(D11="",E11="",F11="",D11&lt;=E11),"",FLOOR((F11+K11)/(D11-E11),100))</f>
        <v/>
      </c>
      <c r="M11" s="25" t="str">
        <f aca="false">IF(OR(A11="",B11="",L11=""),"",IF(B11=1,L11,IFERROR(SUMIFS($G$2:$G$1001,$A$2:$A$1001,A11,$B$2:$B$1001,B11-1),0)))</f>
        <v/>
      </c>
      <c r="N11" s="25" t="str">
        <f aca="false">IF(OR(L11="",M11=""),"",MIN(L11,M11))</f>
        <v/>
      </c>
      <c r="O11" s="25" t="str">
        <f aca="false">IF(OR(I11="",G11=""),"",I11+G11)</f>
        <v/>
      </c>
      <c r="P11" s="24" t="str">
        <f aca="false">IF(OR(O11="",O11=0),"",(J11+H11)/O11)</f>
        <v/>
      </c>
      <c r="Q11" s="24" t="str">
        <f aca="false">IF(OR(O11="",E11=""),"",MAX(J11+H11-E11*O11,0))</f>
        <v/>
      </c>
      <c r="R11" s="26" t="str">
        <f aca="false">IF(A11="","",IF(COUNTIF(_TradeIds,A11)=0,"违规：交易编号不存在",IF(OR(B11="",B11&lt;1,B11&gt;5,B11&lt;&gt;INT(B11)),"违规：加仓序号须为1到5的整数",IF(COUNTIFS($A$2:$A$1001,A11,$B$2:$B$1001,B11)&gt;1,"违规：同一交易的加仓序号重复",IF(OR(D11="",E11="",F11=""),"计划不完整：请填写加仓价、新止损价和风险预算",IF(OR(D11&lt;=0,E11&lt;=0,F11&lt;=0,D11&lt;=E11),"违规：加仓价必须高于新止损价，金额须大于0",IF(AND(B11&gt;1,COUNTIFS($A$2:$A$1001,A11,$B$2:$B$1001,B11-1,$G$2:$G$1001,"&gt;0")=0),"违规：须先完成上一次加仓",IF(AND(B11&gt;1,E11&lt;SUMIFS($E$2:$E$1001,$A$2:$A$1001,A11,$B$2:$B$1001,B11-1)),"违规：新止损价不得低于上一次",IF(AND(B11&gt;1,F11&gt;SUMIFS($F$2:$F$1001,$A$2:$A$1001,A11,$B$2:$B$1001,B11-1)),"违规：风险预算须逐次不增加",IF(OR(_LockStatus="已锁仓",_LockStatus="解锁信息不完整"),"违规：锁仓期间禁止加仓",IF(G11="","计划可执行：建议股数见N列",IF(OR(G11&lt;=0,G11&lt;&gt;INT(G11),MOD(G11,100)&lt;&gt;0),"违规：实际股数须为100股整数倍",IF(G11&gt;N11,"违规：实际股数超过风险或金字塔上限",IF(AND(B11&gt;1,G11&gt;SUMIFS($G$2:$G$1001,$A$2:$A$1001,A11,$B$2:$B$1001,B11-1)),"违规：加仓股数须逐次不增加",IF(Q11&gt;F11,"违规：止损风险超过本次预算","通过")))))))))))))))</f>
        <v/>
      </c>
    </row>
    <row r="12" customFormat="false" ht="15" hidden="false" customHeight="false" outlineLevel="0" collapsed="false">
      <c r="A12" s="20"/>
      <c r="B12" s="21"/>
      <c r="C12" s="22"/>
      <c r="D12" s="23"/>
      <c r="E12" s="23"/>
      <c r="F12" s="23"/>
      <c r="G12" s="21"/>
      <c r="H12" s="24" t="str">
        <f aca="false">IF(OR(A12="",D12="",G12=""),"",D12*G12)</f>
        <v/>
      </c>
      <c r="I12" s="25" t="str">
        <f aca="false">IF(OR(A12="",B12=""),"",IFERROR(LOOKUP(2,1/(单次交易!$A$2:$A$201=A12),单次交易!$H$2:$H$201),0)+SUMIFS($G$2:$G$1001,$A$2:$A$1001,A12,$B$2:$B$1001,"&lt;"&amp;B12))</f>
        <v/>
      </c>
      <c r="J12" s="24" t="str">
        <f aca="false">IF(OR(A12="",B12=""),"",IFERROR(LOOKUP(2,1/(单次交易!$A$2:$A$201=A12),单次交易!$E$2:$E$201)*LOOKUP(2,1/(单次交易!$A$2:$A$201=A12),单次交易!$H$2:$H$201),0)+SUMIFS($H$2:$H$1001,$A$2:$A$1001,A12,$B$2:$B$1001,"&lt;"&amp;B12))</f>
        <v/>
      </c>
      <c r="K12" s="24" t="str">
        <f aca="false">IF(OR(E12="",I12="",J12=""),"",MAX(E12*I12-J12,0))</f>
        <v/>
      </c>
      <c r="L12" s="25" t="str">
        <f aca="false">IF(OR(D12="",E12="",F12="",D12&lt;=E12),"",FLOOR((F12+K12)/(D12-E12),100))</f>
        <v/>
      </c>
      <c r="M12" s="25" t="str">
        <f aca="false">IF(OR(A12="",B12="",L12=""),"",IF(B12=1,L12,IFERROR(SUMIFS($G$2:$G$1001,$A$2:$A$1001,A12,$B$2:$B$1001,B12-1),0)))</f>
        <v/>
      </c>
      <c r="N12" s="25" t="str">
        <f aca="false">IF(OR(L12="",M12=""),"",MIN(L12,M12))</f>
        <v/>
      </c>
      <c r="O12" s="25" t="str">
        <f aca="false">IF(OR(I12="",G12=""),"",I12+G12)</f>
        <v/>
      </c>
      <c r="P12" s="24" t="str">
        <f aca="false">IF(OR(O12="",O12=0),"",(J12+H12)/O12)</f>
        <v/>
      </c>
      <c r="Q12" s="24" t="str">
        <f aca="false">IF(OR(O12="",E12=""),"",MAX(J12+H12-E12*O12,0))</f>
        <v/>
      </c>
      <c r="R12" s="26" t="str">
        <f aca="false">IF(A12="","",IF(COUNTIF(_TradeIds,A12)=0,"违规：交易编号不存在",IF(OR(B12="",B12&lt;1,B12&gt;5,B12&lt;&gt;INT(B12)),"违规：加仓序号须为1到5的整数",IF(COUNTIFS($A$2:$A$1001,A12,$B$2:$B$1001,B12)&gt;1,"违规：同一交易的加仓序号重复",IF(OR(D12="",E12="",F12=""),"计划不完整：请填写加仓价、新止损价和风险预算",IF(OR(D12&lt;=0,E12&lt;=0,F12&lt;=0,D12&lt;=E12),"违规：加仓价必须高于新止损价，金额须大于0",IF(AND(B12&gt;1,COUNTIFS($A$2:$A$1001,A12,$B$2:$B$1001,B12-1,$G$2:$G$1001,"&gt;0")=0),"违规：须先完成上一次加仓",IF(AND(B12&gt;1,E12&lt;SUMIFS($E$2:$E$1001,$A$2:$A$1001,A12,$B$2:$B$1001,B12-1)),"违规：新止损价不得低于上一次",IF(AND(B12&gt;1,F12&gt;SUMIFS($F$2:$F$1001,$A$2:$A$1001,A12,$B$2:$B$1001,B12-1)),"违规：风险预算须逐次不增加",IF(OR(_LockStatus="已锁仓",_LockStatus="解锁信息不完整"),"违规：锁仓期间禁止加仓",IF(G12="","计划可执行：建议股数见N列",IF(OR(G12&lt;=0,G12&lt;&gt;INT(G12),MOD(G12,100)&lt;&gt;0),"违规：实际股数须为100股整数倍",IF(G12&gt;N12,"违规：实际股数超过风险或金字塔上限",IF(AND(B12&gt;1,G12&gt;SUMIFS($G$2:$G$1001,$A$2:$A$1001,A12,$B$2:$B$1001,B12-1)),"违规：加仓股数须逐次不增加",IF(Q12&gt;F12,"违规：止损风险超过本次预算","通过")))))))))))))))</f>
        <v/>
      </c>
    </row>
    <row r="13" customFormat="false" ht="15" hidden="false" customHeight="false" outlineLevel="0" collapsed="false">
      <c r="A13" s="20"/>
      <c r="B13" s="21"/>
      <c r="C13" s="22"/>
      <c r="D13" s="23"/>
      <c r="E13" s="23"/>
      <c r="F13" s="23"/>
      <c r="G13" s="21"/>
      <c r="H13" s="24" t="str">
        <f aca="false">IF(OR(A13="",D13="",G13=""),"",D13*G13)</f>
        <v/>
      </c>
      <c r="I13" s="25" t="str">
        <f aca="false">IF(OR(A13="",B13=""),"",IFERROR(LOOKUP(2,1/(单次交易!$A$2:$A$201=A13),单次交易!$H$2:$H$201),0)+SUMIFS($G$2:$G$1001,$A$2:$A$1001,A13,$B$2:$B$1001,"&lt;"&amp;B13))</f>
        <v/>
      </c>
      <c r="J13" s="24" t="str">
        <f aca="false">IF(OR(A13="",B13=""),"",IFERROR(LOOKUP(2,1/(单次交易!$A$2:$A$201=A13),单次交易!$E$2:$E$201)*LOOKUP(2,1/(单次交易!$A$2:$A$201=A13),单次交易!$H$2:$H$201),0)+SUMIFS($H$2:$H$1001,$A$2:$A$1001,A13,$B$2:$B$1001,"&lt;"&amp;B13))</f>
        <v/>
      </c>
      <c r="K13" s="24" t="str">
        <f aca="false">IF(OR(E13="",I13="",J13=""),"",MAX(E13*I13-J13,0))</f>
        <v/>
      </c>
      <c r="L13" s="25" t="str">
        <f aca="false">IF(OR(D13="",E13="",F13="",D13&lt;=E13),"",FLOOR((F13+K13)/(D13-E13),100))</f>
        <v/>
      </c>
      <c r="M13" s="25" t="str">
        <f aca="false">IF(OR(A13="",B13="",L13=""),"",IF(B13=1,L13,IFERROR(SUMIFS($G$2:$G$1001,$A$2:$A$1001,A13,$B$2:$B$1001,B13-1),0)))</f>
        <v/>
      </c>
      <c r="N13" s="25" t="str">
        <f aca="false">IF(OR(L13="",M13=""),"",MIN(L13,M13))</f>
        <v/>
      </c>
      <c r="O13" s="25" t="str">
        <f aca="false">IF(OR(I13="",G13=""),"",I13+G13)</f>
        <v/>
      </c>
      <c r="P13" s="24" t="str">
        <f aca="false">IF(OR(O13="",O13=0),"",(J13+H13)/O13)</f>
        <v/>
      </c>
      <c r="Q13" s="24" t="str">
        <f aca="false">IF(OR(O13="",E13=""),"",MAX(J13+H13-E13*O13,0))</f>
        <v/>
      </c>
      <c r="R13" s="26" t="str">
        <f aca="false">IF(A13="","",IF(COUNTIF(_TradeIds,A13)=0,"违规：交易编号不存在",IF(OR(B13="",B13&lt;1,B13&gt;5,B13&lt;&gt;INT(B13)),"违规：加仓序号须为1到5的整数",IF(COUNTIFS($A$2:$A$1001,A13,$B$2:$B$1001,B13)&gt;1,"违规：同一交易的加仓序号重复",IF(OR(D13="",E13="",F13=""),"计划不完整：请填写加仓价、新止损价和风险预算",IF(OR(D13&lt;=0,E13&lt;=0,F13&lt;=0,D13&lt;=E13),"违规：加仓价必须高于新止损价，金额须大于0",IF(AND(B13&gt;1,COUNTIFS($A$2:$A$1001,A13,$B$2:$B$1001,B13-1,$G$2:$G$1001,"&gt;0")=0),"违规：须先完成上一次加仓",IF(AND(B13&gt;1,E13&lt;SUMIFS($E$2:$E$1001,$A$2:$A$1001,A13,$B$2:$B$1001,B13-1)),"违规：新止损价不得低于上一次",IF(AND(B13&gt;1,F13&gt;SUMIFS($F$2:$F$1001,$A$2:$A$1001,A13,$B$2:$B$1001,B13-1)),"违规：风险预算须逐次不增加",IF(OR(_LockStatus="已锁仓",_LockStatus="解锁信息不完整"),"违规：锁仓期间禁止加仓",IF(G13="","计划可执行：建议股数见N列",IF(OR(G13&lt;=0,G13&lt;&gt;INT(G13),MOD(G13,100)&lt;&gt;0),"违规：实际股数须为100股整数倍",IF(G13&gt;N13,"违规：实际股数超过风险或金字塔上限",IF(AND(B13&gt;1,G13&gt;SUMIFS($G$2:$G$1001,$A$2:$A$1001,A13,$B$2:$B$1001,B13-1)),"违规：加仓股数须逐次不增加",IF(Q13&gt;F13,"违规：止损风险超过本次预算","通过")))))))))))))))</f>
        <v/>
      </c>
    </row>
    <row r="14" customFormat="false" ht="15" hidden="false" customHeight="false" outlineLevel="0" collapsed="false">
      <c r="A14" s="20"/>
      <c r="B14" s="21"/>
      <c r="C14" s="22"/>
      <c r="D14" s="23"/>
      <c r="E14" s="23"/>
      <c r="F14" s="23"/>
      <c r="G14" s="21"/>
      <c r="H14" s="24" t="str">
        <f aca="false">IF(OR(A14="",D14="",G14=""),"",D14*G14)</f>
        <v/>
      </c>
      <c r="I14" s="25" t="str">
        <f aca="false">IF(OR(A14="",B14=""),"",IFERROR(LOOKUP(2,1/(单次交易!$A$2:$A$201=A14),单次交易!$H$2:$H$201),0)+SUMIFS($G$2:$G$1001,$A$2:$A$1001,A14,$B$2:$B$1001,"&lt;"&amp;B14))</f>
        <v/>
      </c>
      <c r="J14" s="24" t="str">
        <f aca="false">IF(OR(A14="",B14=""),"",IFERROR(LOOKUP(2,1/(单次交易!$A$2:$A$201=A14),单次交易!$E$2:$E$201)*LOOKUP(2,1/(单次交易!$A$2:$A$201=A14),单次交易!$H$2:$H$201),0)+SUMIFS($H$2:$H$1001,$A$2:$A$1001,A14,$B$2:$B$1001,"&lt;"&amp;B14))</f>
        <v/>
      </c>
      <c r="K14" s="24" t="str">
        <f aca="false">IF(OR(E14="",I14="",J14=""),"",MAX(E14*I14-J14,0))</f>
        <v/>
      </c>
      <c r="L14" s="25" t="str">
        <f aca="false">IF(OR(D14="",E14="",F14="",D14&lt;=E14),"",FLOOR((F14+K14)/(D14-E14),100))</f>
        <v/>
      </c>
      <c r="M14" s="25" t="str">
        <f aca="false">IF(OR(A14="",B14="",L14=""),"",IF(B14=1,L14,IFERROR(SUMIFS($G$2:$G$1001,$A$2:$A$1001,A14,$B$2:$B$1001,B14-1),0)))</f>
        <v/>
      </c>
      <c r="N14" s="25" t="str">
        <f aca="false">IF(OR(L14="",M14=""),"",MIN(L14,M14))</f>
        <v/>
      </c>
      <c r="O14" s="25" t="str">
        <f aca="false">IF(OR(I14="",G14=""),"",I14+G14)</f>
        <v/>
      </c>
      <c r="P14" s="24" t="str">
        <f aca="false">IF(OR(O14="",O14=0),"",(J14+H14)/O14)</f>
        <v/>
      </c>
      <c r="Q14" s="24" t="str">
        <f aca="false">IF(OR(O14="",E14=""),"",MAX(J14+H14-E14*O14,0))</f>
        <v/>
      </c>
      <c r="R14" s="26" t="str">
        <f aca="false">IF(A14="","",IF(COUNTIF(_TradeIds,A14)=0,"违规：交易编号不存在",IF(OR(B14="",B14&lt;1,B14&gt;5,B14&lt;&gt;INT(B14)),"违规：加仓序号须为1到5的整数",IF(COUNTIFS($A$2:$A$1001,A14,$B$2:$B$1001,B14)&gt;1,"违规：同一交易的加仓序号重复",IF(OR(D14="",E14="",F14=""),"计划不完整：请填写加仓价、新止损价和风险预算",IF(OR(D14&lt;=0,E14&lt;=0,F14&lt;=0,D14&lt;=E14),"违规：加仓价必须高于新止损价，金额须大于0",IF(AND(B14&gt;1,COUNTIFS($A$2:$A$1001,A14,$B$2:$B$1001,B14-1,$G$2:$G$1001,"&gt;0")=0),"违规：须先完成上一次加仓",IF(AND(B14&gt;1,E14&lt;SUMIFS($E$2:$E$1001,$A$2:$A$1001,A14,$B$2:$B$1001,B14-1)),"违规：新止损价不得低于上一次",IF(AND(B14&gt;1,F14&gt;SUMIFS($F$2:$F$1001,$A$2:$A$1001,A14,$B$2:$B$1001,B14-1)),"违规：风险预算须逐次不增加",IF(OR(_LockStatus="已锁仓",_LockStatus="解锁信息不完整"),"违规：锁仓期间禁止加仓",IF(G14="","计划可执行：建议股数见N列",IF(OR(G14&lt;=0,G14&lt;&gt;INT(G14),MOD(G14,100)&lt;&gt;0),"违规：实际股数须为100股整数倍",IF(G14&gt;N14,"违规：实际股数超过风险或金字塔上限",IF(AND(B14&gt;1,G14&gt;SUMIFS($G$2:$G$1001,$A$2:$A$1001,A14,$B$2:$B$1001,B14-1)),"违规：加仓股数须逐次不增加",IF(Q14&gt;F14,"违规：止损风险超过本次预算","通过")))))))))))))))</f>
        <v/>
      </c>
    </row>
    <row r="15" customFormat="false" ht="15" hidden="false" customHeight="false" outlineLevel="0" collapsed="false">
      <c r="A15" s="20"/>
      <c r="B15" s="21"/>
      <c r="C15" s="22"/>
      <c r="D15" s="23"/>
      <c r="E15" s="23"/>
      <c r="F15" s="23"/>
      <c r="G15" s="21"/>
      <c r="H15" s="24" t="str">
        <f aca="false">IF(OR(A15="",D15="",G15=""),"",D15*G15)</f>
        <v/>
      </c>
      <c r="I15" s="25" t="str">
        <f aca="false">IF(OR(A15="",B15=""),"",IFERROR(LOOKUP(2,1/(单次交易!$A$2:$A$201=A15),单次交易!$H$2:$H$201),0)+SUMIFS($G$2:$G$1001,$A$2:$A$1001,A15,$B$2:$B$1001,"&lt;"&amp;B15))</f>
        <v/>
      </c>
      <c r="J15" s="24" t="str">
        <f aca="false">IF(OR(A15="",B15=""),"",IFERROR(LOOKUP(2,1/(单次交易!$A$2:$A$201=A15),单次交易!$E$2:$E$201)*LOOKUP(2,1/(单次交易!$A$2:$A$201=A15),单次交易!$H$2:$H$201),0)+SUMIFS($H$2:$H$1001,$A$2:$A$1001,A15,$B$2:$B$1001,"&lt;"&amp;B15))</f>
        <v/>
      </c>
      <c r="K15" s="24" t="str">
        <f aca="false">IF(OR(E15="",I15="",J15=""),"",MAX(E15*I15-J15,0))</f>
        <v/>
      </c>
      <c r="L15" s="25" t="str">
        <f aca="false">IF(OR(D15="",E15="",F15="",D15&lt;=E15),"",FLOOR((F15+K15)/(D15-E15),100))</f>
        <v/>
      </c>
      <c r="M15" s="25" t="str">
        <f aca="false">IF(OR(A15="",B15="",L15=""),"",IF(B15=1,L15,IFERROR(SUMIFS($G$2:$G$1001,$A$2:$A$1001,A15,$B$2:$B$1001,B15-1),0)))</f>
        <v/>
      </c>
      <c r="N15" s="25" t="str">
        <f aca="false">IF(OR(L15="",M15=""),"",MIN(L15,M15))</f>
        <v/>
      </c>
      <c r="O15" s="25" t="str">
        <f aca="false">IF(OR(I15="",G15=""),"",I15+G15)</f>
        <v/>
      </c>
      <c r="P15" s="24" t="str">
        <f aca="false">IF(OR(O15="",O15=0),"",(J15+H15)/O15)</f>
        <v/>
      </c>
      <c r="Q15" s="24" t="str">
        <f aca="false">IF(OR(O15="",E15=""),"",MAX(J15+H15-E15*O15,0))</f>
        <v/>
      </c>
      <c r="R15" s="26" t="str">
        <f aca="false">IF(A15="","",IF(COUNTIF(_TradeIds,A15)=0,"违规：交易编号不存在",IF(OR(B15="",B15&lt;1,B15&gt;5,B15&lt;&gt;INT(B15)),"违规：加仓序号须为1到5的整数",IF(COUNTIFS($A$2:$A$1001,A15,$B$2:$B$1001,B15)&gt;1,"违规：同一交易的加仓序号重复",IF(OR(D15="",E15="",F15=""),"计划不完整：请填写加仓价、新止损价和风险预算",IF(OR(D15&lt;=0,E15&lt;=0,F15&lt;=0,D15&lt;=E15),"违规：加仓价必须高于新止损价，金额须大于0",IF(AND(B15&gt;1,COUNTIFS($A$2:$A$1001,A15,$B$2:$B$1001,B15-1,$G$2:$G$1001,"&gt;0")=0),"违规：须先完成上一次加仓",IF(AND(B15&gt;1,E15&lt;SUMIFS($E$2:$E$1001,$A$2:$A$1001,A15,$B$2:$B$1001,B15-1)),"违规：新止损价不得低于上一次",IF(AND(B15&gt;1,F15&gt;SUMIFS($F$2:$F$1001,$A$2:$A$1001,A15,$B$2:$B$1001,B15-1)),"违规：风险预算须逐次不增加",IF(OR(_LockStatus="已锁仓",_LockStatus="解锁信息不完整"),"违规：锁仓期间禁止加仓",IF(G15="","计划可执行：建议股数见N列",IF(OR(G15&lt;=0,G15&lt;&gt;INT(G15),MOD(G15,100)&lt;&gt;0),"违规：实际股数须为100股整数倍",IF(G15&gt;N15,"违规：实际股数超过风险或金字塔上限",IF(AND(B15&gt;1,G15&gt;SUMIFS($G$2:$G$1001,$A$2:$A$1001,A15,$B$2:$B$1001,B15-1)),"违规：加仓股数须逐次不增加",IF(Q15&gt;F15,"违规：止损风险超过本次预算","通过")))))))))))))))</f>
        <v/>
      </c>
    </row>
    <row r="16" customFormat="false" ht="15" hidden="false" customHeight="false" outlineLevel="0" collapsed="false">
      <c r="A16" s="20"/>
      <c r="B16" s="21"/>
      <c r="C16" s="22"/>
      <c r="D16" s="23"/>
      <c r="E16" s="23"/>
      <c r="F16" s="23"/>
      <c r="G16" s="21"/>
      <c r="H16" s="24" t="str">
        <f aca="false">IF(OR(A16="",D16="",G16=""),"",D16*G16)</f>
        <v/>
      </c>
      <c r="I16" s="25" t="str">
        <f aca="false">IF(OR(A16="",B16=""),"",IFERROR(LOOKUP(2,1/(单次交易!$A$2:$A$201=A16),单次交易!$H$2:$H$201),0)+SUMIFS($G$2:$G$1001,$A$2:$A$1001,A16,$B$2:$B$1001,"&lt;"&amp;B16))</f>
        <v/>
      </c>
      <c r="J16" s="24" t="str">
        <f aca="false">IF(OR(A16="",B16=""),"",IFERROR(LOOKUP(2,1/(单次交易!$A$2:$A$201=A16),单次交易!$E$2:$E$201)*LOOKUP(2,1/(单次交易!$A$2:$A$201=A16),单次交易!$H$2:$H$201),0)+SUMIFS($H$2:$H$1001,$A$2:$A$1001,A16,$B$2:$B$1001,"&lt;"&amp;B16))</f>
        <v/>
      </c>
      <c r="K16" s="24" t="str">
        <f aca="false">IF(OR(E16="",I16="",J16=""),"",MAX(E16*I16-J16,0))</f>
        <v/>
      </c>
      <c r="L16" s="25" t="str">
        <f aca="false">IF(OR(D16="",E16="",F16="",D16&lt;=E16),"",FLOOR((F16+K16)/(D16-E16),100))</f>
        <v/>
      </c>
      <c r="M16" s="25" t="str">
        <f aca="false">IF(OR(A16="",B16="",L16=""),"",IF(B16=1,L16,IFERROR(SUMIFS($G$2:$G$1001,$A$2:$A$1001,A16,$B$2:$B$1001,B16-1),0)))</f>
        <v/>
      </c>
      <c r="N16" s="25" t="str">
        <f aca="false">IF(OR(L16="",M16=""),"",MIN(L16,M16))</f>
        <v/>
      </c>
      <c r="O16" s="25" t="str">
        <f aca="false">IF(OR(I16="",G16=""),"",I16+G16)</f>
        <v/>
      </c>
      <c r="P16" s="24" t="str">
        <f aca="false">IF(OR(O16="",O16=0),"",(J16+H16)/O16)</f>
        <v/>
      </c>
      <c r="Q16" s="24" t="str">
        <f aca="false">IF(OR(O16="",E16=""),"",MAX(J16+H16-E16*O16,0))</f>
        <v/>
      </c>
      <c r="R16" s="26" t="str">
        <f aca="false">IF(A16="","",IF(COUNTIF(_TradeIds,A16)=0,"违规：交易编号不存在",IF(OR(B16="",B16&lt;1,B16&gt;5,B16&lt;&gt;INT(B16)),"违规：加仓序号须为1到5的整数",IF(COUNTIFS($A$2:$A$1001,A16,$B$2:$B$1001,B16)&gt;1,"违规：同一交易的加仓序号重复",IF(OR(D16="",E16="",F16=""),"计划不完整：请填写加仓价、新止损价和风险预算",IF(OR(D16&lt;=0,E16&lt;=0,F16&lt;=0,D16&lt;=E16),"违规：加仓价必须高于新止损价，金额须大于0",IF(AND(B16&gt;1,COUNTIFS($A$2:$A$1001,A16,$B$2:$B$1001,B16-1,$G$2:$G$1001,"&gt;0")=0),"违规：须先完成上一次加仓",IF(AND(B16&gt;1,E16&lt;SUMIFS($E$2:$E$1001,$A$2:$A$1001,A16,$B$2:$B$1001,B16-1)),"违规：新止损价不得低于上一次",IF(AND(B16&gt;1,F16&gt;SUMIFS($F$2:$F$1001,$A$2:$A$1001,A16,$B$2:$B$1001,B16-1)),"违规：风险预算须逐次不增加",IF(OR(_LockStatus="已锁仓",_LockStatus="解锁信息不完整"),"违规：锁仓期间禁止加仓",IF(G16="","计划可执行：建议股数见N列",IF(OR(G16&lt;=0,G16&lt;&gt;INT(G16),MOD(G16,100)&lt;&gt;0),"违规：实际股数须为100股整数倍",IF(G16&gt;N16,"违规：实际股数超过风险或金字塔上限",IF(AND(B16&gt;1,G16&gt;SUMIFS($G$2:$G$1001,$A$2:$A$1001,A16,$B$2:$B$1001,B16-1)),"违规：加仓股数须逐次不增加",IF(Q16&gt;F16,"违规：止损风险超过本次预算","通过")))))))))))))))</f>
        <v/>
      </c>
    </row>
    <row r="17" customFormat="false" ht="15" hidden="false" customHeight="false" outlineLevel="0" collapsed="false">
      <c r="A17" s="20"/>
      <c r="B17" s="21"/>
      <c r="C17" s="22"/>
      <c r="D17" s="23"/>
      <c r="E17" s="23"/>
      <c r="F17" s="23"/>
      <c r="G17" s="21"/>
      <c r="H17" s="24" t="str">
        <f aca="false">IF(OR(A17="",D17="",G17=""),"",D17*G17)</f>
        <v/>
      </c>
      <c r="I17" s="25" t="str">
        <f aca="false">IF(OR(A17="",B17=""),"",IFERROR(LOOKUP(2,1/(单次交易!$A$2:$A$201=A17),单次交易!$H$2:$H$201),0)+SUMIFS($G$2:$G$1001,$A$2:$A$1001,A17,$B$2:$B$1001,"&lt;"&amp;B17))</f>
        <v/>
      </c>
      <c r="J17" s="24" t="str">
        <f aca="false">IF(OR(A17="",B17=""),"",IFERROR(LOOKUP(2,1/(单次交易!$A$2:$A$201=A17),单次交易!$E$2:$E$201)*LOOKUP(2,1/(单次交易!$A$2:$A$201=A17),单次交易!$H$2:$H$201),0)+SUMIFS($H$2:$H$1001,$A$2:$A$1001,A17,$B$2:$B$1001,"&lt;"&amp;B17))</f>
        <v/>
      </c>
      <c r="K17" s="24" t="str">
        <f aca="false">IF(OR(E17="",I17="",J17=""),"",MAX(E17*I17-J17,0))</f>
        <v/>
      </c>
      <c r="L17" s="25" t="str">
        <f aca="false">IF(OR(D17="",E17="",F17="",D17&lt;=E17),"",FLOOR((F17+K17)/(D17-E17),100))</f>
        <v/>
      </c>
      <c r="M17" s="25" t="str">
        <f aca="false">IF(OR(A17="",B17="",L17=""),"",IF(B17=1,L17,IFERROR(SUMIFS($G$2:$G$1001,$A$2:$A$1001,A17,$B$2:$B$1001,B17-1),0)))</f>
        <v/>
      </c>
      <c r="N17" s="25" t="str">
        <f aca="false">IF(OR(L17="",M17=""),"",MIN(L17,M17))</f>
        <v/>
      </c>
      <c r="O17" s="25" t="str">
        <f aca="false">IF(OR(I17="",G17=""),"",I17+G17)</f>
        <v/>
      </c>
      <c r="P17" s="24" t="str">
        <f aca="false">IF(OR(O17="",O17=0),"",(J17+H17)/O17)</f>
        <v/>
      </c>
      <c r="Q17" s="24" t="str">
        <f aca="false">IF(OR(O17="",E17=""),"",MAX(J17+H17-E17*O17,0))</f>
        <v/>
      </c>
      <c r="R17" s="26" t="str">
        <f aca="false">IF(A17="","",IF(COUNTIF(_TradeIds,A17)=0,"违规：交易编号不存在",IF(OR(B17="",B17&lt;1,B17&gt;5,B17&lt;&gt;INT(B17)),"违规：加仓序号须为1到5的整数",IF(COUNTIFS($A$2:$A$1001,A17,$B$2:$B$1001,B17)&gt;1,"违规：同一交易的加仓序号重复",IF(OR(D17="",E17="",F17=""),"计划不完整：请填写加仓价、新止损价和风险预算",IF(OR(D17&lt;=0,E17&lt;=0,F17&lt;=0,D17&lt;=E17),"违规：加仓价必须高于新止损价，金额须大于0",IF(AND(B17&gt;1,COUNTIFS($A$2:$A$1001,A17,$B$2:$B$1001,B17-1,$G$2:$G$1001,"&gt;0")=0),"违规：须先完成上一次加仓",IF(AND(B17&gt;1,E17&lt;SUMIFS($E$2:$E$1001,$A$2:$A$1001,A17,$B$2:$B$1001,B17-1)),"违规：新止损价不得低于上一次",IF(AND(B17&gt;1,F17&gt;SUMIFS($F$2:$F$1001,$A$2:$A$1001,A17,$B$2:$B$1001,B17-1)),"违规：风险预算须逐次不增加",IF(OR(_LockStatus="已锁仓",_LockStatus="解锁信息不完整"),"违规：锁仓期间禁止加仓",IF(G17="","计划可执行：建议股数见N列",IF(OR(G17&lt;=0,G17&lt;&gt;INT(G17),MOD(G17,100)&lt;&gt;0),"违规：实际股数须为100股整数倍",IF(G17&gt;N17,"违规：实际股数超过风险或金字塔上限",IF(AND(B17&gt;1,G17&gt;SUMIFS($G$2:$G$1001,$A$2:$A$1001,A17,$B$2:$B$1001,B17-1)),"违规：加仓股数须逐次不增加",IF(Q17&gt;F17,"违规：止损风险超过本次预算","通过")))))))))))))))</f>
        <v/>
      </c>
    </row>
    <row r="18" customFormat="false" ht="15" hidden="false" customHeight="false" outlineLevel="0" collapsed="false">
      <c r="A18" s="20"/>
      <c r="B18" s="21"/>
      <c r="C18" s="22"/>
      <c r="D18" s="23"/>
      <c r="E18" s="23"/>
      <c r="F18" s="23"/>
      <c r="G18" s="21"/>
      <c r="H18" s="24" t="str">
        <f aca="false">IF(OR(A18="",D18="",G18=""),"",D18*G18)</f>
        <v/>
      </c>
      <c r="I18" s="25" t="str">
        <f aca="false">IF(OR(A18="",B18=""),"",IFERROR(LOOKUP(2,1/(单次交易!$A$2:$A$201=A18),单次交易!$H$2:$H$201),0)+SUMIFS($G$2:$G$1001,$A$2:$A$1001,A18,$B$2:$B$1001,"&lt;"&amp;B18))</f>
        <v/>
      </c>
      <c r="J18" s="24" t="str">
        <f aca="false">IF(OR(A18="",B18=""),"",IFERROR(LOOKUP(2,1/(单次交易!$A$2:$A$201=A18),单次交易!$E$2:$E$201)*LOOKUP(2,1/(单次交易!$A$2:$A$201=A18),单次交易!$H$2:$H$201),0)+SUMIFS($H$2:$H$1001,$A$2:$A$1001,A18,$B$2:$B$1001,"&lt;"&amp;B18))</f>
        <v/>
      </c>
      <c r="K18" s="24" t="str">
        <f aca="false">IF(OR(E18="",I18="",J18=""),"",MAX(E18*I18-J18,0))</f>
        <v/>
      </c>
      <c r="L18" s="25" t="str">
        <f aca="false">IF(OR(D18="",E18="",F18="",D18&lt;=E18),"",FLOOR((F18+K18)/(D18-E18),100))</f>
        <v/>
      </c>
      <c r="M18" s="25" t="str">
        <f aca="false">IF(OR(A18="",B18="",L18=""),"",IF(B18=1,L18,IFERROR(SUMIFS($G$2:$G$1001,$A$2:$A$1001,A18,$B$2:$B$1001,B18-1),0)))</f>
        <v/>
      </c>
      <c r="N18" s="25" t="str">
        <f aca="false">IF(OR(L18="",M18=""),"",MIN(L18,M18))</f>
        <v/>
      </c>
      <c r="O18" s="25" t="str">
        <f aca="false">IF(OR(I18="",G18=""),"",I18+G18)</f>
        <v/>
      </c>
      <c r="P18" s="24" t="str">
        <f aca="false">IF(OR(O18="",O18=0),"",(J18+H18)/O18)</f>
        <v/>
      </c>
      <c r="Q18" s="24" t="str">
        <f aca="false">IF(OR(O18="",E18=""),"",MAX(J18+H18-E18*O18,0))</f>
        <v/>
      </c>
      <c r="R18" s="26" t="str">
        <f aca="false">IF(A18="","",IF(COUNTIF(_TradeIds,A18)=0,"违规：交易编号不存在",IF(OR(B18="",B18&lt;1,B18&gt;5,B18&lt;&gt;INT(B18)),"违规：加仓序号须为1到5的整数",IF(COUNTIFS($A$2:$A$1001,A18,$B$2:$B$1001,B18)&gt;1,"违规：同一交易的加仓序号重复",IF(OR(D18="",E18="",F18=""),"计划不完整：请填写加仓价、新止损价和风险预算",IF(OR(D18&lt;=0,E18&lt;=0,F18&lt;=0,D18&lt;=E18),"违规：加仓价必须高于新止损价，金额须大于0",IF(AND(B18&gt;1,COUNTIFS($A$2:$A$1001,A18,$B$2:$B$1001,B18-1,$G$2:$G$1001,"&gt;0")=0),"违规：须先完成上一次加仓",IF(AND(B18&gt;1,E18&lt;SUMIFS($E$2:$E$1001,$A$2:$A$1001,A18,$B$2:$B$1001,B18-1)),"违规：新止损价不得低于上一次",IF(AND(B18&gt;1,F18&gt;SUMIFS($F$2:$F$1001,$A$2:$A$1001,A18,$B$2:$B$1001,B18-1)),"违规：风险预算须逐次不增加",IF(OR(_LockStatus="已锁仓",_LockStatus="解锁信息不完整"),"违规：锁仓期间禁止加仓",IF(G18="","计划可执行：建议股数见N列",IF(OR(G18&lt;=0,G18&lt;&gt;INT(G18),MOD(G18,100)&lt;&gt;0),"违规：实际股数须为100股整数倍",IF(G18&gt;N18,"违规：实际股数超过风险或金字塔上限",IF(AND(B18&gt;1,G18&gt;SUMIFS($G$2:$G$1001,$A$2:$A$1001,A18,$B$2:$B$1001,B18-1)),"违规：加仓股数须逐次不增加",IF(Q18&gt;F18,"违规：止损风险超过本次预算","通过")))))))))))))))</f>
        <v/>
      </c>
    </row>
    <row r="19" customFormat="false" ht="15" hidden="false" customHeight="false" outlineLevel="0" collapsed="false">
      <c r="A19" s="20"/>
      <c r="B19" s="21"/>
      <c r="C19" s="22"/>
      <c r="D19" s="23"/>
      <c r="E19" s="23"/>
      <c r="F19" s="23"/>
      <c r="G19" s="21"/>
      <c r="H19" s="24" t="str">
        <f aca="false">IF(OR(A19="",D19="",G19=""),"",D19*G19)</f>
        <v/>
      </c>
      <c r="I19" s="25" t="str">
        <f aca="false">IF(OR(A19="",B19=""),"",IFERROR(LOOKUP(2,1/(单次交易!$A$2:$A$201=A19),单次交易!$H$2:$H$201),0)+SUMIFS($G$2:$G$1001,$A$2:$A$1001,A19,$B$2:$B$1001,"&lt;"&amp;B19))</f>
        <v/>
      </c>
      <c r="J19" s="24" t="str">
        <f aca="false">IF(OR(A19="",B19=""),"",IFERROR(LOOKUP(2,1/(单次交易!$A$2:$A$201=A19),单次交易!$E$2:$E$201)*LOOKUP(2,1/(单次交易!$A$2:$A$201=A19),单次交易!$H$2:$H$201),0)+SUMIFS($H$2:$H$1001,$A$2:$A$1001,A19,$B$2:$B$1001,"&lt;"&amp;B19))</f>
        <v/>
      </c>
      <c r="K19" s="24" t="str">
        <f aca="false">IF(OR(E19="",I19="",J19=""),"",MAX(E19*I19-J19,0))</f>
        <v/>
      </c>
      <c r="L19" s="25" t="str">
        <f aca="false">IF(OR(D19="",E19="",F19="",D19&lt;=E19),"",FLOOR((F19+K19)/(D19-E19),100))</f>
        <v/>
      </c>
      <c r="M19" s="25" t="str">
        <f aca="false">IF(OR(A19="",B19="",L19=""),"",IF(B19=1,L19,IFERROR(SUMIFS($G$2:$G$1001,$A$2:$A$1001,A19,$B$2:$B$1001,B19-1),0)))</f>
        <v/>
      </c>
      <c r="N19" s="25" t="str">
        <f aca="false">IF(OR(L19="",M19=""),"",MIN(L19,M19))</f>
        <v/>
      </c>
      <c r="O19" s="25" t="str">
        <f aca="false">IF(OR(I19="",G19=""),"",I19+G19)</f>
        <v/>
      </c>
      <c r="P19" s="24" t="str">
        <f aca="false">IF(OR(O19="",O19=0),"",(J19+H19)/O19)</f>
        <v/>
      </c>
      <c r="Q19" s="24" t="str">
        <f aca="false">IF(OR(O19="",E19=""),"",MAX(J19+H19-E19*O19,0))</f>
        <v/>
      </c>
      <c r="R19" s="26" t="str">
        <f aca="false">IF(A19="","",IF(COUNTIF(_TradeIds,A19)=0,"违规：交易编号不存在",IF(OR(B19="",B19&lt;1,B19&gt;5,B19&lt;&gt;INT(B19)),"违规：加仓序号须为1到5的整数",IF(COUNTIFS($A$2:$A$1001,A19,$B$2:$B$1001,B19)&gt;1,"违规：同一交易的加仓序号重复",IF(OR(D19="",E19="",F19=""),"计划不完整：请填写加仓价、新止损价和风险预算",IF(OR(D19&lt;=0,E19&lt;=0,F19&lt;=0,D19&lt;=E19),"违规：加仓价必须高于新止损价，金额须大于0",IF(AND(B19&gt;1,COUNTIFS($A$2:$A$1001,A19,$B$2:$B$1001,B19-1,$G$2:$G$1001,"&gt;0")=0),"违规：须先完成上一次加仓",IF(AND(B19&gt;1,E19&lt;SUMIFS($E$2:$E$1001,$A$2:$A$1001,A19,$B$2:$B$1001,B19-1)),"违规：新止损价不得低于上一次",IF(AND(B19&gt;1,F19&gt;SUMIFS($F$2:$F$1001,$A$2:$A$1001,A19,$B$2:$B$1001,B19-1)),"违规：风险预算须逐次不增加",IF(OR(_LockStatus="已锁仓",_LockStatus="解锁信息不完整"),"违规：锁仓期间禁止加仓",IF(G19="","计划可执行：建议股数见N列",IF(OR(G19&lt;=0,G19&lt;&gt;INT(G19),MOD(G19,100)&lt;&gt;0),"违规：实际股数须为100股整数倍",IF(G19&gt;N19,"违规：实际股数超过风险或金字塔上限",IF(AND(B19&gt;1,G19&gt;SUMIFS($G$2:$G$1001,$A$2:$A$1001,A19,$B$2:$B$1001,B19-1)),"违规：加仓股数须逐次不增加",IF(Q19&gt;F19,"违规：止损风险超过本次预算","通过")))))))))))))))</f>
        <v/>
      </c>
    </row>
    <row r="20" customFormat="false" ht="15" hidden="false" customHeight="false" outlineLevel="0" collapsed="false">
      <c r="A20" s="20"/>
      <c r="B20" s="21"/>
      <c r="C20" s="22"/>
      <c r="D20" s="23"/>
      <c r="E20" s="23"/>
      <c r="F20" s="23"/>
      <c r="G20" s="21"/>
      <c r="H20" s="24" t="str">
        <f aca="false">IF(OR(A20="",D20="",G20=""),"",D20*G20)</f>
        <v/>
      </c>
      <c r="I20" s="25" t="str">
        <f aca="false">IF(OR(A20="",B20=""),"",IFERROR(LOOKUP(2,1/(单次交易!$A$2:$A$201=A20),单次交易!$H$2:$H$201),0)+SUMIFS($G$2:$G$1001,$A$2:$A$1001,A20,$B$2:$B$1001,"&lt;"&amp;B20))</f>
        <v/>
      </c>
      <c r="J20" s="24" t="str">
        <f aca="false">IF(OR(A20="",B20=""),"",IFERROR(LOOKUP(2,1/(单次交易!$A$2:$A$201=A20),单次交易!$E$2:$E$201)*LOOKUP(2,1/(单次交易!$A$2:$A$201=A20),单次交易!$H$2:$H$201),0)+SUMIFS($H$2:$H$1001,$A$2:$A$1001,A20,$B$2:$B$1001,"&lt;"&amp;B20))</f>
        <v/>
      </c>
      <c r="K20" s="24" t="str">
        <f aca="false">IF(OR(E20="",I20="",J20=""),"",MAX(E20*I20-J20,0))</f>
        <v/>
      </c>
      <c r="L20" s="25" t="str">
        <f aca="false">IF(OR(D20="",E20="",F20="",D20&lt;=E20),"",FLOOR((F20+K20)/(D20-E20),100))</f>
        <v/>
      </c>
      <c r="M20" s="25" t="str">
        <f aca="false">IF(OR(A20="",B20="",L20=""),"",IF(B20=1,L20,IFERROR(SUMIFS($G$2:$G$1001,$A$2:$A$1001,A20,$B$2:$B$1001,B20-1),0)))</f>
        <v/>
      </c>
      <c r="N20" s="25" t="str">
        <f aca="false">IF(OR(L20="",M20=""),"",MIN(L20,M20))</f>
        <v/>
      </c>
      <c r="O20" s="25" t="str">
        <f aca="false">IF(OR(I20="",G20=""),"",I20+G20)</f>
        <v/>
      </c>
      <c r="P20" s="24" t="str">
        <f aca="false">IF(OR(O20="",O20=0),"",(J20+H20)/O20)</f>
        <v/>
      </c>
      <c r="Q20" s="24" t="str">
        <f aca="false">IF(OR(O20="",E20=""),"",MAX(J20+H20-E20*O20,0))</f>
        <v/>
      </c>
      <c r="R20" s="26" t="str">
        <f aca="false">IF(A20="","",IF(COUNTIF(_TradeIds,A20)=0,"违规：交易编号不存在",IF(OR(B20="",B20&lt;1,B20&gt;5,B20&lt;&gt;INT(B20)),"违规：加仓序号须为1到5的整数",IF(COUNTIFS($A$2:$A$1001,A20,$B$2:$B$1001,B20)&gt;1,"违规：同一交易的加仓序号重复",IF(OR(D20="",E20="",F20=""),"计划不完整：请填写加仓价、新止损价和风险预算",IF(OR(D20&lt;=0,E20&lt;=0,F20&lt;=0,D20&lt;=E20),"违规：加仓价必须高于新止损价，金额须大于0",IF(AND(B20&gt;1,COUNTIFS($A$2:$A$1001,A20,$B$2:$B$1001,B20-1,$G$2:$G$1001,"&gt;0")=0),"违规：须先完成上一次加仓",IF(AND(B20&gt;1,E20&lt;SUMIFS($E$2:$E$1001,$A$2:$A$1001,A20,$B$2:$B$1001,B20-1)),"违规：新止损价不得低于上一次",IF(AND(B20&gt;1,F20&gt;SUMIFS($F$2:$F$1001,$A$2:$A$1001,A20,$B$2:$B$1001,B20-1)),"违规：风险预算须逐次不增加",IF(OR(_LockStatus="已锁仓",_LockStatus="解锁信息不完整"),"违规：锁仓期间禁止加仓",IF(G20="","计划可执行：建议股数见N列",IF(OR(G20&lt;=0,G20&lt;&gt;INT(G20),MOD(G20,100)&lt;&gt;0),"违规：实际股数须为100股整数倍",IF(G20&gt;N20,"违规：实际股数超过风险或金字塔上限",IF(AND(B20&gt;1,G20&gt;SUMIFS($G$2:$G$1001,$A$2:$A$1001,A20,$B$2:$B$1001,B20-1)),"违规：加仓股数须逐次不增加",IF(Q20&gt;F20,"违规：止损风险超过本次预算","通过")))))))))))))))</f>
        <v/>
      </c>
    </row>
    <row r="21" customFormat="false" ht="15" hidden="false" customHeight="false" outlineLevel="0" collapsed="false">
      <c r="A21" s="20"/>
      <c r="B21" s="21"/>
      <c r="C21" s="22"/>
      <c r="D21" s="23"/>
      <c r="E21" s="23"/>
      <c r="F21" s="23"/>
      <c r="G21" s="21"/>
      <c r="H21" s="24" t="str">
        <f aca="false">IF(OR(A21="",D21="",G21=""),"",D21*G21)</f>
        <v/>
      </c>
      <c r="I21" s="25" t="str">
        <f aca="false">IF(OR(A21="",B21=""),"",IFERROR(LOOKUP(2,1/(单次交易!$A$2:$A$201=A21),单次交易!$H$2:$H$201),0)+SUMIFS($G$2:$G$1001,$A$2:$A$1001,A21,$B$2:$B$1001,"&lt;"&amp;B21))</f>
        <v/>
      </c>
      <c r="J21" s="24" t="str">
        <f aca="false">IF(OR(A21="",B21=""),"",IFERROR(LOOKUP(2,1/(单次交易!$A$2:$A$201=A21),单次交易!$E$2:$E$201)*LOOKUP(2,1/(单次交易!$A$2:$A$201=A21),单次交易!$H$2:$H$201),0)+SUMIFS($H$2:$H$1001,$A$2:$A$1001,A21,$B$2:$B$1001,"&lt;"&amp;B21))</f>
        <v/>
      </c>
      <c r="K21" s="24" t="str">
        <f aca="false">IF(OR(E21="",I21="",J21=""),"",MAX(E21*I21-J21,0))</f>
        <v/>
      </c>
      <c r="L21" s="25" t="str">
        <f aca="false">IF(OR(D21="",E21="",F21="",D21&lt;=E21),"",FLOOR((F21+K21)/(D21-E21),100))</f>
        <v/>
      </c>
      <c r="M21" s="25" t="str">
        <f aca="false">IF(OR(A21="",B21="",L21=""),"",IF(B21=1,L21,IFERROR(SUMIFS($G$2:$G$1001,$A$2:$A$1001,A21,$B$2:$B$1001,B21-1),0)))</f>
        <v/>
      </c>
      <c r="N21" s="25" t="str">
        <f aca="false">IF(OR(L21="",M21=""),"",MIN(L21,M21))</f>
        <v/>
      </c>
      <c r="O21" s="25" t="str">
        <f aca="false">IF(OR(I21="",G21=""),"",I21+G21)</f>
        <v/>
      </c>
      <c r="P21" s="24" t="str">
        <f aca="false">IF(OR(O21="",O21=0),"",(J21+H21)/O21)</f>
        <v/>
      </c>
      <c r="Q21" s="24" t="str">
        <f aca="false">IF(OR(O21="",E21=""),"",MAX(J21+H21-E21*O21,0))</f>
        <v/>
      </c>
      <c r="R21" s="26" t="str">
        <f aca="false">IF(A21="","",IF(COUNTIF(_TradeIds,A21)=0,"违规：交易编号不存在",IF(OR(B21="",B21&lt;1,B21&gt;5,B21&lt;&gt;INT(B21)),"违规：加仓序号须为1到5的整数",IF(COUNTIFS($A$2:$A$1001,A21,$B$2:$B$1001,B21)&gt;1,"违规：同一交易的加仓序号重复",IF(OR(D21="",E21="",F21=""),"计划不完整：请填写加仓价、新止损价和风险预算",IF(OR(D21&lt;=0,E21&lt;=0,F21&lt;=0,D21&lt;=E21),"违规：加仓价必须高于新止损价，金额须大于0",IF(AND(B21&gt;1,COUNTIFS($A$2:$A$1001,A21,$B$2:$B$1001,B21-1,$G$2:$G$1001,"&gt;0")=0),"违规：须先完成上一次加仓",IF(AND(B21&gt;1,E21&lt;SUMIFS($E$2:$E$1001,$A$2:$A$1001,A21,$B$2:$B$1001,B21-1)),"违规：新止损价不得低于上一次",IF(AND(B21&gt;1,F21&gt;SUMIFS($F$2:$F$1001,$A$2:$A$1001,A21,$B$2:$B$1001,B21-1)),"违规：风险预算须逐次不增加",IF(OR(_LockStatus="已锁仓",_LockStatus="解锁信息不完整"),"违规：锁仓期间禁止加仓",IF(G21="","计划可执行：建议股数见N列",IF(OR(G21&lt;=0,G21&lt;&gt;INT(G21),MOD(G21,100)&lt;&gt;0),"违规：实际股数须为100股整数倍",IF(G21&gt;N21,"违规：实际股数超过风险或金字塔上限",IF(AND(B21&gt;1,G21&gt;SUMIFS($G$2:$G$1001,$A$2:$A$1001,A21,$B$2:$B$1001,B21-1)),"违规：加仓股数须逐次不增加",IF(Q21&gt;F21,"违规：止损风险超过本次预算","通过")))))))))))))))</f>
        <v/>
      </c>
    </row>
    <row r="22" customFormat="false" ht="15" hidden="false" customHeight="false" outlineLevel="0" collapsed="false">
      <c r="A22" s="20"/>
      <c r="B22" s="21"/>
      <c r="C22" s="22"/>
      <c r="D22" s="23"/>
      <c r="E22" s="23"/>
      <c r="F22" s="23"/>
      <c r="G22" s="21"/>
      <c r="H22" s="24" t="str">
        <f aca="false">IF(OR(A22="",D22="",G22=""),"",D22*G22)</f>
        <v/>
      </c>
      <c r="I22" s="25" t="str">
        <f aca="false">IF(OR(A22="",B22=""),"",IFERROR(LOOKUP(2,1/(单次交易!$A$2:$A$201=A22),单次交易!$H$2:$H$201),0)+SUMIFS($G$2:$G$1001,$A$2:$A$1001,A22,$B$2:$B$1001,"&lt;"&amp;B22))</f>
        <v/>
      </c>
      <c r="J22" s="24" t="str">
        <f aca="false">IF(OR(A22="",B22=""),"",IFERROR(LOOKUP(2,1/(单次交易!$A$2:$A$201=A22),单次交易!$E$2:$E$201)*LOOKUP(2,1/(单次交易!$A$2:$A$201=A22),单次交易!$H$2:$H$201),0)+SUMIFS($H$2:$H$1001,$A$2:$A$1001,A22,$B$2:$B$1001,"&lt;"&amp;B22))</f>
        <v/>
      </c>
      <c r="K22" s="24" t="str">
        <f aca="false">IF(OR(E22="",I22="",J22=""),"",MAX(E22*I22-J22,0))</f>
        <v/>
      </c>
      <c r="L22" s="25" t="str">
        <f aca="false">IF(OR(D22="",E22="",F22="",D22&lt;=E22),"",FLOOR((F22+K22)/(D22-E22),100))</f>
        <v/>
      </c>
      <c r="M22" s="25" t="str">
        <f aca="false">IF(OR(A22="",B22="",L22=""),"",IF(B22=1,L22,IFERROR(SUMIFS($G$2:$G$1001,$A$2:$A$1001,A22,$B$2:$B$1001,B22-1),0)))</f>
        <v/>
      </c>
      <c r="N22" s="25" t="str">
        <f aca="false">IF(OR(L22="",M22=""),"",MIN(L22,M22))</f>
        <v/>
      </c>
      <c r="O22" s="25" t="str">
        <f aca="false">IF(OR(I22="",G22=""),"",I22+G22)</f>
        <v/>
      </c>
      <c r="P22" s="24" t="str">
        <f aca="false">IF(OR(O22="",O22=0),"",(J22+H22)/O22)</f>
        <v/>
      </c>
      <c r="Q22" s="24" t="str">
        <f aca="false">IF(OR(O22="",E22=""),"",MAX(J22+H22-E22*O22,0))</f>
        <v/>
      </c>
      <c r="R22" s="26" t="str">
        <f aca="false">IF(A22="","",IF(COUNTIF(_TradeIds,A22)=0,"违规：交易编号不存在",IF(OR(B22="",B22&lt;1,B22&gt;5,B22&lt;&gt;INT(B22)),"违规：加仓序号须为1到5的整数",IF(COUNTIFS($A$2:$A$1001,A22,$B$2:$B$1001,B22)&gt;1,"违规：同一交易的加仓序号重复",IF(OR(D22="",E22="",F22=""),"计划不完整：请填写加仓价、新止损价和风险预算",IF(OR(D22&lt;=0,E22&lt;=0,F22&lt;=0,D22&lt;=E22),"违规：加仓价必须高于新止损价，金额须大于0",IF(AND(B22&gt;1,COUNTIFS($A$2:$A$1001,A22,$B$2:$B$1001,B22-1,$G$2:$G$1001,"&gt;0")=0),"违规：须先完成上一次加仓",IF(AND(B22&gt;1,E22&lt;SUMIFS($E$2:$E$1001,$A$2:$A$1001,A22,$B$2:$B$1001,B22-1)),"违规：新止损价不得低于上一次",IF(AND(B22&gt;1,F22&gt;SUMIFS($F$2:$F$1001,$A$2:$A$1001,A22,$B$2:$B$1001,B22-1)),"违规：风险预算须逐次不增加",IF(OR(_LockStatus="已锁仓",_LockStatus="解锁信息不完整"),"违规：锁仓期间禁止加仓",IF(G22="","计划可执行：建议股数见N列",IF(OR(G22&lt;=0,G22&lt;&gt;INT(G22),MOD(G22,100)&lt;&gt;0),"违规：实际股数须为100股整数倍",IF(G22&gt;N22,"违规：实际股数超过风险或金字塔上限",IF(AND(B22&gt;1,G22&gt;SUMIFS($G$2:$G$1001,$A$2:$A$1001,A22,$B$2:$B$1001,B22-1)),"违规：加仓股数须逐次不增加",IF(Q22&gt;F22,"违规：止损风险超过本次预算","通过")))))))))))))))</f>
        <v/>
      </c>
    </row>
    <row r="23" customFormat="false" ht="15" hidden="false" customHeight="false" outlineLevel="0" collapsed="false">
      <c r="A23" s="20"/>
      <c r="B23" s="21"/>
      <c r="C23" s="22"/>
      <c r="D23" s="23"/>
      <c r="E23" s="23"/>
      <c r="F23" s="23"/>
      <c r="G23" s="21"/>
      <c r="H23" s="24" t="str">
        <f aca="false">IF(OR(A23="",D23="",G23=""),"",D23*G23)</f>
        <v/>
      </c>
      <c r="I23" s="25" t="str">
        <f aca="false">IF(OR(A23="",B23=""),"",IFERROR(LOOKUP(2,1/(单次交易!$A$2:$A$201=A23),单次交易!$H$2:$H$201),0)+SUMIFS($G$2:$G$1001,$A$2:$A$1001,A23,$B$2:$B$1001,"&lt;"&amp;B23))</f>
        <v/>
      </c>
      <c r="J23" s="24" t="str">
        <f aca="false">IF(OR(A23="",B23=""),"",IFERROR(LOOKUP(2,1/(单次交易!$A$2:$A$201=A23),单次交易!$E$2:$E$201)*LOOKUP(2,1/(单次交易!$A$2:$A$201=A23),单次交易!$H$2:$H$201),0)+SUMIFS($H$2:$H$1001,$A$2:$A$1001,A23,$B$2:$B$1001,"&lt;"&amp;B23))</f>
        <v/>
      </c>
      <c r="K23" s="24" t="str">
        <f aca="false">IF(OR(E23="",I23="",J23=""),"",MAX(E23*I23-J23,0))</f>
        <v/>
      </c>
      <c r="L23" s="25" t="str">
        <f aca="false">IF(OR(D23="",E23="",F23="",D23&lt;=E23),"",FLOOR((F23+K23)/(D23-E23),100))</f>
        <v/>
      </c>
      <c r="M23" s="25" t="str">
        <f aca="false">IF(OR(A23="",B23="",L23=""),"",IF(B23=1,L23,IFERROR(SUMIFS($G$2:$G$1001,$A$2:$A$1001,A23,$B$2:$B$1001,B23-1),0)))</f>
        <v/>
      </c>
      <c r="N23" s="25" t="str">
        <f aca="false">IF(OR(L23="",M23=""),"",MIN(L23,M23))</f>
        <v/>
      </c>
      <c r="O23" s="25" t="str">
        <f aca="false">IF(OR(I23="",G23=""),"",I23+G23)</f>
        <v/>
      </c>
      <c r="P23" s="24" t="str">
        <f aca="false">IF(OR(O23="",O23=0),"",(J23+H23)/O23)</f>
        <v/>
      </c>
      <c r="Q23" s="24" t="str">
        <f aca="false">IF(OR(O23="",E23=""),"",MAX(J23+H23-E23*O23,0))</f>
        <v/>
      </c>
      <c r="R23" s="26" t="str">
        <f aca="false">IF(A23="","",IF(COUNTIF(_TradeIds,A23)=0,"违规：交易编号不存在",IF(OR(B23="",B23&lt;1,B23&gt;5,B23&lt;&gt;INT(B23)),"违规：加仓序号须为1到5的整数",IF(COUNTIFS($A$2:$A$1001,A23,$B$2:$B$1001,B23)&gt;1,"违规：同一交易的加仓序号重复",IF(OR(D23="",E23="",F23=""),"计划不完整：请填写加仓价、新止损价和风险预算",IF(OR(D23&lt;=0,E23&lt;=0,F23&lt;=0,D23&lt;=E23),"违规：加仓价必须高于新止损价，金额须大于0",IF(AND(B23&gt;1,COUNTIFS($A$2:$A$1001,A23,$B$2:$B$1001,B23-1,$G$2:$G$1001,"&gt;0")=0),"违规：须先完成上一次加仓",IF(AND(B23&gt;1,E23&lt;SUMIFS($E$2:$E$1001,$A$2:$A$1001,A23,$B$2:$B$1001,B23-1)),"违规：新止损价不得低于上一次",IF(AND(B23&gt;1,F23&gt;SUMIFS($F$2:$F$1001,$A$2:$A$1001,A23,$B$2:$B$1001,B23-1)),"违规：风险预算须逐次不增加",IF(OR(_LockStatus="已锁仓",_LockStatus="解锁信息不完整"),"违规：锁仓期间禁止加仓",IF(G23="","计划可执行：建议股数见N列",IF(OR(G23&lt;=0,G23&lt;&gt;INT(G23),MOD(G23,100)&lt;&gt;0),"违规：实际股数须为100股整数倍",IF(G23&gt;N23,"违规：实际股数超过风险或金字塔上限",IF(AND(B23&gt;1,G23&gt;SUMIFS($G$2:$G$1001,$A$2:$A$1001,A23,$B$2:$B$1001,B23-1)),"违规：加仓股数须逐次不增加",IF(Q23&gt;F23,"违规：止损风险超过本次预算","通过")))))))))))))))</f>
        <v/>
      </c>
    </row>
    <row r="24" customFormat="false" ht="15" hidden="false" customHeight="false" outlineLevel="0" collapsed="false">
      <c r="A24" s="20"/>
      <c r="B24" s="21"/>
      <c r="C24" s="22"/>
      <c r="D24" s="23"/>
      <c r="E24" s="23"/>
      <c r="F24" s="23"/>
      <c r="G24" s="21"/>
      <c r="H24" s="24" t="str">
        <f aca="false">IF(OR(A24="",D24="",G24=""),"",D24*G24)</f>
        <v/>
      </c>
      <c r="I24" s="25" t="str">
        <f aca="false">IF(OR(A24="",B24=""),"",IFERROR(LOOKUP(2,1/(单次交易!$A$2:$A$201=A24),单次交易!$H$2:$H$201),0)+SUMIFS($G$2:$G$1001,$A$2:$A$1001,A24,$B$2:$B$1001,"&lt;"&amp;B24))</f>
        <v/>
      </c>
      <c r="J24" s="24" t="str">
        <f aca="false">IF(OR(A24="",B24=""),"",IFERROR(LOOKUP(2,1/(单次交易!$A$2:$A$201=A24),单次交易!$E$2:$E$201)*LOOKUP(2,1/(单次交易!$A$2:$A$201=A24),单次交易!$H$2:$H$201),0)+SUMIFS($H$2:$H$1001,$A$2:$A$1001,A24,$B$2:$B$1001,"&lt;"&amp;B24))</f>
        <v/>
      </c>
      <c r="K24" s="24" t="str">
        <f aca="false">IF(OR(E24="",I24="",J24=""),"",MAX(E24*I24-J24,0))</f>
        <v/>
      </c>
      <c r="L24" s="25" t="str">
        <f aca="false">IF(OR(D24="",E24="",F24="",D24&lt;=E24),"",FLOOR((F24+K24)/(D24-E24),100))</f>
        <v/>
      </c>
      <c r="M24" s="25" t="str">
        <f aca="false">IF(OR(A24="",B24="",L24=""),"",IF(B24=1,L24,IFERROR(SUMIFS($G$2:$G$1001,$A$2:$A$1001,A24,$B$2:$B$1001,B24-1),0)))</f>
        <v/>
      </c>
      <c r="N24" s="25" t="str">
        <f aca="false">IF(OR(L24="",M24=""),"",MIN(L24,M24))</f>
        <v/>
      </c>
      <c r="O24" s="25" t="str">
        <f aca="false">IF(OR(I24="",G24=""),"",I24+G24)</f>
        <v/>
      </c>
      <c r="P24" s="24" t="str">
        <f aca="false">IF(OR(O24="",O24=0),"",(J24+H24)/O24)</f>
        <v/>
      </c>
      <c r="Q24" s="24" t="str">
        <f aca="false">IF(OR(O24="",E24=""),"",MAX(J24+H24-E24*O24,0))</f>
        <v/>
      </c>
      <c r="R24" s="26" t="str">
        <f aca="false">IF(A24="","",IF(COUNTIF(_TradeIds,A24)=0,"违规：交易编号不存在",IF(OR(B24="",B24&lt;1,B24&gt;5,B24&lt;&gt;INT(B24)),"违规：加仓序号须为1到5的整数",IF(COUNTIFS($A$2:$A$1001,A24,$B$2:$B$1001,B24)&gt;1,"违规：同一交易的加仓序号重复",IF(OR(D24="",E24="",F24=""),"计划不完整：请填写加仓价、新止损价和风险预算",IF(OR(D24&lt;=0,E24&lt;=0,F24&lt;=0,D24&lt;=E24),"违规：加仓价必须高于新止损价，金额须大于0",IF(AND(B24&gt;1,COUNTIFS($A$2:$A$1001,A24,$B$2:$B$1001,B24-1,$G$2:$G$1001,"&gt;0")=0),"违规：须先完成上一次加仓",IF(AND(B24&gt;1,E24&lt;SUMIFS($E$2:$E$1001,$A$2:$A$1001,A24,$B$2:$B$1001,B24-1)),"违规：新止损价不得低于上一次",IF(AND(B24&gt;1,F24&gt;SUMIFS($F$2:$F$1001,$A$2:$A$1001,A24,$B$2:$B$1001,B24-1)),"违规：风险预算须逐次不增加",IF(OR(_LockStatus="已锁仓",_LockStatus="解锁信息不完整"),"违规：锁仓期间禁止加仓",IF(G24="","计划可执行：建议股数见N列",IF(OR(G24&lt;=0,G24&lt;&gt;INT(G24),MOD(G24,100)&lt;&gt;0),"违规：实际股数须为100股整数倍",IF(G24&gt;N24,"违规：实际股数超过风险或金字塔上限",IF(AND(B24&gt;1,G24&gt;SUMIFS($G$2:$G$1001,$A$2:$A$1001,A24,$B$2:$B$1001,B24-1)),"违规：加仓股数须逐次不增加",IF(Q24&gt;F24,"违规：止损风险超过本次预算","通过")))))))))))))))</f>
        <v/>
      </c>
    </row>
    <row r="25" customFormat="false" ht="15" hidden="false" customHeight="false" outlineLevel="0" collapsed="false">
      <c r="A25" s="20"/>
      <c r="B25" s="21"/>
      <c r="C25" s="22"/>
      <c r="D25" s="23"/>
      <c r="E25" s="23"/>
      <c r="F25" s="23"/>
      <c r="G25" s="21"/>
      <c r="H25" s="24" t="str">
        <f aca="false">IF(OR(A25="",D25="",G25=""),"",D25*G25)</f>
        <v/>
      </c>
      <c r="I25" s="25" t="str">
        <f aca="false">IF(OR(A25="",B25=""),"",IFERROR(LOOKUP(2,1/(单次交易!$A$2:$A$201=A25),单次交易!$H$2:$H$201),0)+SUMIFS($G$2:$G$1001,$A$2:$A$1001,A25,$B$2:$B$1001,"&lt;"&amp;B25))</f>
        <v/>
      </c>
      <c r="J25" s="24" t="str">
        <f aca="false">IF(OR(A25="",B25=""),"",IFERROR(LOOKUP(2,1/(单次交易!$A$2:$A$201=A25),单次交易!$E$2:$E$201)*LOOKUP(2,1/(单次交易!$A$2:$A$201=A25),单次交易!$H$2:$H$201),0)+SUMIFS($H$2:$H$1001,$A$2:$A$1001,A25,$B$2:$B$1001,"&lt;"&amp;B25))</f>
        <v/>
      </c>
      <c r="K25" s="24" t="str">
        <f aca="false">IF(OR(E25="",I25="",J25=""),"",MAX(E25*I25-J25,0))</f>
        <v/>
      </c>
      <c r="L25" s="25" t="str">
        <f aca="false">IF(OR(D25="",E25="",F25="",D25&lt;=E25),"",FLOOR((F25+K25)/(D25-E25),100))</f>
        <v/>
      </c>
      <c r="M25" s="25" t="str">
        <f aca="false">IF(OR(A25="",B25="",L25=""),"",IF(B25=1,L25,IFERROR(SUMIFS($G$2:$G$1001,$A$2:$A$1001,A25,$B$2:$B$1001,B25-1),0)))</f>
        <v/>
      </c>
      <c r="N25" s="25" t="str">
        <f aca="false">IF(OR(L25="",M25=""),"",MIN(L25,M25))</f>
        <v/>
      </c>
      <c r="O25" s="25" t="str">
        <f aca="false">IF(OR(I25="",G25=""),"",I25+G25)</f>
        <v/>
      </c>
      <c r="P25" s="24" t="str">
        <f aca="false">IF(OR(O25="",O25=0),"",(J25+H25)/O25)</f>
        <v/>
      </c>
      <c r="Q25" s="24" t="str">
        <f aca="false">IF(OR(O25="",E25=""),"",MAX(J25+H25-E25*O25,0))</f>
        <v/>
      </c>
      <c r="R25" s="26" t="str">
        <f aca="false">IF(A25="","",IF(COUNTIF(_TradeIds,A25)=0,"违规：交易编号不存在",IF(OR(B25="",B25&lt;1,B25&gt;5,B25&lt;&gt;INT(B25)),"违规：加仓序号须为1到5的整数",IF(COUNTIFS($A$2:$A$1001,A25,$B$2:$B$1001,B25)&gt;1,"违规：同一交易的加仓序号重复",IF(OR(D25="",E25="",F25=""),"计划不完整：请填写加仓价、新止损价和风险预算",IF(OR(D25&lt;=0,E25&lt;=0,F25&lt;=0,D25&lt;=E25),"违规：加仓价必须高于新止损价，金额须大于0",IF(AND(B25&gt;1,COUNTIFS($A$2:$A$1001,A25,$B$2:$B$1001,B25-1,$G$2:$G$1001,"&gt;0")=0),"违规：须先完成上一次加仓",IF(AND(B25&gt;1,E25&lt;SUMIFS($E$2:$E$1001,$A$2:$A$1001,A25,$B$2:$B$1001,B25-1)),"违规：新止损价不得低于上一次",IF(AND(B25&gt;1,F25&gt;SUMIFS($F$2:$F$1001,$A$2:$A$1001,A25,$B$2:$B$1001,B25-1)),"违规：风险预算须逐次不增加",IF(OR(_LockStatus="已锁仓",_LockStatus="解锁信息不完整"),"违规：锁仓期间禁止加仓",IF(G25="","计划可执行：建议股数见N列",IF(OR(G25&lt;=0,G25&lt;&gt;INT(G25),MOD(G25,100)&lt;&gt;0),"违规：实际股数须为100股整数倍",IF(G25&gt;N25,"违规：实际股数超过风险或金字塔上限",IF(AND(B25&gt;1,G25&gt;SUMIFS($G$2:$G$1001,$A$2:$A$1001,A25,$B$2:$B$1001,B25-1)),"违规：加仓股数须逐次不增加",IF(Q25&gt;F25,"违规：止损风险超过本次预算","通过")))))))))))))))</f>
        <v/>
      </c>
    </row>
    <row r="26" customFormat="false" ht="15" hidden="false" customHeight="false" outlineLevel="0" collapsed="false">
      <c r="A26" s="20"/>
      <c r="B26" s="21"/>
      <c r="C26" s="22"/>
      <c r="D26" s="23"/>
      <c r="E26" s="23"/>
      <c r="F26" s="23"/>
      <c r="G26" s="21"/>
      <c r="H26" s="24" t="str">
        <f aca="false">IF(OR(A26="",D26="",G26=""),"",D26*G26)</f>
        <v/>
      </c>
      <c r="I26" s="25" t="str">
        <f aca="false">IF(OR(A26="",B26=""),"",IFERROR(LOOKUP(2,1/(单次交易!$A$2:$A$201=A26),单次交易!$H$2:$H$201),0)+SUMIFS($G$2:$G$1001,$A$2:$A$1001,A26,$B$2:$B$1001,"&lt;"&amp;B26))</f>
        <v/>
      </c>
      <c r="J26" s="24" t="str">
        <f aca="false">IF(OR(A26="",B26=""),"",IFERROR(LOOKUP(2,1/(单次交易!$A$2:$A$201=A26),单次交易!$E$2:$E$201)*LOOKUP(2,1/(单次交易!$A$2:$A$201=A26),单次交易!$H$2:$H$201),0)+SUMIFS($H$2:$H$1001,$A$2:$A$1001,A26,$B$2:$B$1001,"&lt;"&amp;B26))</f>
        <v/>
      </c>
      <c r="K26" s="24" t="str">
        <f aca="false">IF(OR(E26="",I26="",J26=""),"",MAX(E26*I26-J26,0))</f>
        <v/>
      </c>
      <c r="L26" s="25" t="str">
        <f aca="false">IF(OR(D26="",E26="",F26="",D26&lt;=E26),"",FLOOR((F26+K26)/(D26-E26),100))</f>
        <v/>
      </c>
      <c r="M26" s="25" t="str">
        <f aca="false">IF(OR(A26="",B26="",L26=""),"",IF(B26=1,L26,IFERROR(SUMIFS($G$2:$G$1001,$A$2:$A$1001,A26,$B$2:$B$1001,B26-1),0)))</f>
        <v/>
      </c>
      <c r="N26" s="25" t="str">
        <f aca="false">IF(OR(L26="",M26=""),"",MIN(L26,M26))</f>
        <v/>
      </c>
      <c r="O26" s="25" t="str">
        <f aca="false">IF(OR(I26="",G26=""),"",I26+G26)</f>
        <v/>
      </c>
      <c r="P26" s="24" t="str">
        <f aca="false">IF(OR(O26="",O26=0),"",(J26+H26)/O26)</f>
        <v/>
      </c>
      <c r="Q26" s="24" t="str">
        <f aca="false">IF(OR(O26="",E26=""),"",MAX(J26+H26-E26*O26,0))</f>
        <v/>
      </c>
      <c r="R26" s="26" t="str">
        <f aca="false">IF(A26="","",IF(COUNTIF(_TradeIds,A26)=0,"违规：交易编号不存在",IF(OR(B26="",B26&lt;1,B26&gt;5,B26&lt;&gt;INT(B26)),"违规：加仓序号须为1到5的整数",IF(COUNTIFS($A$2:$A$1001,A26,$B$2:$B$1001,B26)&gt;1,"违规：同一交易的加仓序号重复",IF(OR(D26="",E26="",F26=""),"计划不完整：请填写加仓价、新止损价和风险预算",IF(OR(D26&lt;=0,E26&lt;=0,F26&lt;=0,D26&lt;=E26),"违规：加仓价必须高于新止损价，金额须大于0",IF(AND(B26&gt;1,COUNTIFS($A$2:$A$1001,A26,$B$2:$B$1001,B26-1,$G$2:$G$1001,"&gt;0")=0),"违规：须先完成上一次加仓",IF(AND(B26&gt;1,E26&lt;SUMIFS($E$2:$E$1001,$A$2:$A$1001,A26,$B$2:$B$1001,B26-1)),"违规：新止损价不得低于上一次",IF(AND(B26&gt;1,F26&gt;SUMIFS($F$2:$F$1001,$A$2:$A$1001,A26,$B$2:$B$1001,B26-1)),"违规：风险预算须逐次不增加",IF(OR(_LockStatus="已锁仓",_LockStatus="解锁信息不完整"),"违规：锁仓期间禁止加仓",IF(G26="","计划可执行：建议股数见N列",IF(OR(G26&lt;=0,G26&lt;&gt;INT(G26),MOD(G26,100)&lt;&gt;0),"违规：实际股数须为100股整数倍",IF(G26&gt;N26,"违规：实际股数超过风险或金字塔上限",IF(AND(B26&gt;1,G26&gt;SUMIFS($G$2:$G$1001,$A$2:$A$1001,A26,$B$2:$B$1001,B26-1)),"违规：加仓股数须逐次不增加",IF(Q26&gt;F26,"违规：止损风险超过本次预算","通过")))))))))))))))</f>
        <v/>
      </c>
    </row>
    <row r="27" customFormat="false" ht="15" hidden="false" customHeight="false" outlineLevel="0" collapsed="false">
      <c r="A27" s="20"/>
      <c r="B27" s="21"/>
      <c r="C27" s="22"/>
      <c r="D27" s="23"/>
      <c r="E27" s="23"/>
      <c r="F27" s="23"/>
      <c r="G27" s="21"/>
      <c r="H27" s="24" t="str">
        <f aca="false">IF(OR(A27="",D27="",G27=""),"",D27*G27)</f>
        <v/>
      </c>
      <c r="I27" s="25" t="str">
        <f aca="false">IF(OR(A27="",B27=""),"",IFERROR(LOOKUP(2,1/(单次交易!$A$2:$A$201=A27),单次交易!$H$2:$H$201),0)+SUMIFS($G$2:$G$1001,$A$2:$A$1001,A27,$B$2:$B$1001,"&lt;"&amp;B27))</f>
        <v/>
      </c>
      <c r="J27" s="24" t="str">
        <f aca="false">IF(OR(A27="",B27=""),"",IFERROR(LOOKUP(2,1/(单次交易!$A$2:$A$201=A27),单次交易!$E$2:$E$201)*LOOKUP(2,1/(单次交易!$A$2:$A$201=A27),单次交易!$H$2:$H$201),0)+SUMIFS($H$2:$H$1001,$A$2:$A$1001,A27,$B$2:$B$1001,"&lt;"&amp;B27))</f>
        <v/>
      </c>
      <c r="K27" s="24" t="str">
        <f aca="false">IF(OR(E27="",I27="",J27=""),"",MAX(E27*I27-J27,0))</f>
        <v/>
      </c>
      <c r="L27" s="25" t="str">
        <f aca="false">IF(OR(D27="",E27="",F27="",D27&lt;=E27),"",FLOOR((F27+K27)/(D27-E27),100))</f>
        <v/>
      </c>
      <c r="M27" s="25" t="str">
        <f aca="false">IF(OR(A27="",B27="",L27=""),"",IF(B27=1,L27,IFERROR(SUMIFS($G$2:$G$1001,$A$2:$A$1001,A27,$B$2:$B$1001,B27-1),0)))</f>
        <v/>
      </c>
      <c r="N27" s="25" t="str">
        <f aca="false">IF(OR(L27="",M27=""),"",MIN(L27,M27))</f>
        <v/>
      </c>
      <c r="O27" s="25" t="str">
        <f aca="false">IF(OR(I27="",G27=""),"",I27+G27)</f>
        <v/>
      </c>
      <c r="P27" s="24" t="str">
        <f aca="false">IF(OR(O27="",O27=0),"",(J27+H27)/O27)</f>
        <v/>
      </c>
      <c r="Q27" s="24" t="str">
        <f aca="false">IF(OR(O27="",E27=""),"",MAX(J27+H27-E27*O27,0))</f>
        <v/>
      </c>
      <c r="R27" s="26" t="str">
        <f aca="false">IF(A27="","",IF(COUNTIF(_TradeIds,A27)=0,"违规：交易编号不存在",IF(OR(B27="",B27&lt;1,B27&gt;5,B27&lt;&gt;INT(B27)),"违规：加仓序号须为1到5的整数",IF(COUNTIFS($A$2:$A$1001,A27,$B$2:$B$1001,B27)&gt;1,"违规：同一交易的加仓序号重复",IF(OR(D27="",E27="",F27=""),"计划不完整：请填写加仓价、新止损价和风险预算",IF(OR(D27&lt;=0,E27&lt;=0,F27&lt;=0,D27&lt;=E27),"违规：加仓价必须高于新止损价，金额须大于0",IF(AND(B27&gt;1,COUNTIFS($A$2:$A$1001,A27,$B$2:$B$1001,B27-1,$G$2:$G$1001,"&gt;0")=0),"违规：须先完成上一次加仓",IF(AND(B27&gt;1,E27&lt;SUMIFS($E$2:$E$1001,$A$2:$A$1001,A27,$B$2:$B$1001,B27-1)),"违规：新止损价不得低于上一次",IF(AND(B27&gt;1,F27&gt;SUMIFS($F$2:$F$1001,$A$2:$A$1001,A27,$B$2:$B$1001,B27-1)),"违规：风险预算须逐次不增加",IF(OR(_LockStatus="已锁仓",_LockStatus="解锁信息不完整"),"违规：锁仓期间禁止加仓",IF(G27="","计划可执行：建议股数见N列",IF(OR(G27&lt;=0,G27&lt;&gt;INT(G27),MOD(G27,100)&lt;&gt;0),"违规：实际股数须为100股整数倍",IF(G27&gt;N27,"违规：实际股数超过风险或金字塔上限",IF(AND(B27&gt;1,G27&gt;SUMIFS($G$2:$G$1001,$A$2:$A$1001,A27,$B$2:$B$1001,B27-1)),"违规：加仓股数须逐次不增加",IF(Q27&gt;F27,"违规：止损风险超过本次预算","通过")))))))))))))))</f>
        <v/>
      </c>
    </row>
    <row r="28" customFormat="false" ht="15" hidden="false" customHeight="false" outlineLevel="0" collapsed="false">
      <c r="A28" s="20"/>
      <c r="B28" s="21"/>
      <c r="C28" s="22"/>
      <c r="D28" s="23"/>
      <c r="E28" s="23"/>
      <c r="F28" s="23"/>
      <c r="G28" s="21"/>
      <c r="H28" s="24" t="str">
        <f aca="false">IF(OR(A28="",D28="",G28=""),"",D28*G28)</f>
        <v/>
      </c>
      <c r="I28" s="25" t="str">
        <f aca="false">IF(OR(A28="",B28=""),"",IFERROR(LOOKUP(2,1/(单次交易!$A$2:$A$201=A28),单次交易!$H$2:$H$201),0)+SUMIFS($G$2:$G$1001,$A$2:$A$1001,A28,$B$2:$B$1001,"&lt;"&amp;B28))</f>
        <v/>
      </c>
      <c r="J28" s="24" t="str">
        <f aca="false">IF(OR(A28="",B28=""),"",IFERROR(LOOKUP(2,1/(单次交易!$A$2:$A$201=A28),单次交易!$E$2:$E$201)*LOOKUP(2,1/(单次交易!$A$2:$A$201=A28),单次交易!$H$2:$H$201),0)+SUMIFS($H$2:$H$1001,$A$2:$A$1001,A28,$B$2:$B$1001,"&lt;"&amp;B28))</f>
        <v/>
      </c>
      <c r="K28" s="24" t="str">
        <f aca="false">IF(OR(E28="",I28="",J28=""),"",MAX(E28*I28-J28,0))</f>
        <v/>
      </c>
      <c r="L28" s="25" t="str">
        <f aca="false">IF(OR(D28="",E28="",F28="",D28&lt;=E28),"",FLOOR((F28+K28)/(D28-E28),100))</f>
        <v/>
      </c>
      <c r="M28" s="25" t="str">
        <f aca="false">IF(OR(A28="",B28="",L28=""),"",IF(B28=1,L28,IFERROR(SUMIFS($G$2:$G$1001,$A$2:$A$1001,A28,$B$2:$B$1001,B28-1),0)))</f>
        <v/>
      </c>
      <c r="N28" s="25" t="str">
        <f aca="false">IF(OR(L28="",M28=""),"",MIN(L28,M28))</f>
        <v/>
      </c>
      <c r="O28" s="25" t="str">
        <f aca="false">IF(OR(I28="",G28=""),"",I28+G28)</f>
        <v/>
      </c>
      <c r="P28" s="24" t="str">
        <f aca="false">IF(OR(O28="",O28=0),"",(J28+H28)/O28)</f>
        <v/>
      </c>
      <c r="Q28" s="24" t="str">
        <f aca="false">IF(OR(O28="",E28=""),"",MAX(J28+H28-E28*O28,0))</f>
        <v/>
      </c>
      <c r="R28" s="26" t="str">
        <f aca="false">IF(A28="","",IF(COUNTIF(_TradeIds,A28)=0,"违规：交易编号不存在",IF(OR(B28="",B28&lt;1,B28&gt;5,B28&lt;&gt;INT(B28)),"违规：加仓序号须为1到5的整数",IF(COUNTIFS($A$2:$A$1001,A28,$B$2:$B$1001,B28)&gt;1,"违规：同一交易的加仓序号重复",IF(OR(D28="",E28="",F28=""),"计划不完整：请填写加仓价、新止损价和风险预算",IF(OR(D28&lt;=0,E28&lt;=0,F28&lt;=0,D28&lt;=E28),"违规：加仓价必须高于新止损价，金额须大于0",IF(AND(B28&gt;1,COUNTIFS($A$2:$A$1001,A28,$B$2:$B$1001,B28-1,$G$2:$G$1001,"&gt;0")=0),"违规：须先完成上一次加仓",IF(AND(B28&gt;1,E28&lt;SUMIFS($E$2:$E$1001,$A$2:$A$1001,A28,$B$2:$B$1001,B28-1)),"违规：新止损价不得低于上一次",IF(AND(B28&gt;1,F28&gt;SUMIFS($F$2:$F$1001,$A$2:$A$1001,A28,$B$2:$B$1001,B28-1)),"违规：风险预算须逐次不增加",IF(OR(_LockStatus="已锁仓",_LockStatus="解锁信息不完整"),"违规：锁仓期间禁止加仓",IF(G28="","计划可执行：建议股数见N列",IF(OR(G28&lt;=0,G28&lt;&gt;INT(G28),MOD(G28,100)&lt;&gt;0),"违规：实际股数须为100股整数倍",IF(G28&gt;N28,"违规：实际股数超过风险或金字塔上限",IF(AND(B28&gt;1,G28&gt;SUMIFS($G$2:$G$1001,$A$2:$A$1001,A28,$B$2:$B$1001,B28-1)),"违规：加仓股数须逐次不增加",IF(Q28&gt;F28,"违规：止损风险超过本次预算","通过")))))))))))))))</f>
        <v/>
      </c>
    </row>
    <row r="29" customFormat="false" ht="15" hidden="false" customHeight="false" outlineLevel="0" collapsed="false">
      <c r="A29" s="20"/>
      <c r="B29" s="21"/>
      <c r="C29" s="22"/>
      <c r="D29" s="23"/>
      <c r="E29" s="23"/>
      <c r="F29" s="23"/>
      <c r="G29" s="21"/>
      <c r="H29" s="24" t="str">
        <f aca="false">IF(OR(A29="",D29="",G29=""),"",D29*G29)</f>
        <v/>
      </c>
      <c r="I29" s="25" t="str">
        <f aca="false">IF(OR(A29="",B29=""),"",IFERROR(LOOKUP(2,1/(单次交易!$A$2:$A$201=A29),单次交易!$H$2:$H$201),0)+SUMIFS($G$2:$G$1001,$A$2:$A$1001,A29,$B$2:$B$1001,"&lt;"&amp;B29))</f>
        <v/>
      </c>
      <c r="J29" s="24" t="str">
        <f aca="false">IF(OR(A29="",B29=""),"",IFERROR(LOOKUP(2,1/(单次交易!$A$2:$A$201=A29),单次交易!$E$2:$E$201)*LOOKUP(2,1/(单次交易!$A$2:$A$201=A29),单次交易!$H$2:$H$201),0)+SUMIFS($H$2:$H$1001,$A$2:$A$1001,A29,$B$2:$B$1001,"&lt;"&amp;B29))</f>
        <v/>
      </c>
      <c r="K29" s="24" t="str">
        <f aca="false">IF(OR(E29="",I29="",J29=""),"",MAX(E29*I29-J29,0))</f>
        <v/>
      </c>
      <c r="L29" s="25" t="str">
        <f aca="false">IF(OR(D29="",E29="",F29="",D29&lt;=E29),"",FLOOR((F29+K29)/(D29-E29),100))</f>
        <v/>
      </c>
      <c r="M29" s="25" t="str">
        <f aca="false">IF(OR(A29="",B29="",L29=""),"",IF(B29=1,L29,IFERROR(SUMIFS($G$2:$G$1001,$A$2:$A$1001,A29,$B$2:$B$1001,B29-1),0)))</f>
        <v/>
      </c>
      <c r="N29" s="25" t="str">
        <f aca="false">IF(OR(L29="",M29=""),"",MIN(L29,M29))</f>
        <v/>
      </c>
      <c r="O29" s="25" t="str">
        <f aca="false">IF(OR(I29="",G29=""),"",I29+G29)</f>
        <v/>
      </c>
      <c r="P29" s="24" t="str">
        <f aca="false">IF(OR(O29="",O29=0),"",(J29+H29)/O29)</f>
        <v/>
      </c>
      <c r="Q29" s="24" t="str">
        <f aca="false">IF(OR(O29="",E29=""),"",MAX(J29+H29-E29*O29,0))</f>
        <v/>
      </c>
      <c r="R29" s="26" t="str">
        <f aca="false">IF(A29="","",IF(COUNTIF(_TradeIds,A29)=0,"违规：交易编号不存在",IF(OR(B29="",B29&lt;1,B29&gt;5,B29&lt;&gt;INT(B29)),"违规：加仓序号须为1到5的整数",IF(COUNTIFS($A$2:$A$1001,A29,$B$2:$B$1001,B29)&gt;1,"违规：同一交易的加仓序号重复",IF(OR(D29="",E29="",F29=""),"计划不完整：请填写加仓价、新止损价和风险预算",IF(OR(D29&lt;=0,E29&lt;=0,F29&lt;=0,D29&lt;=E29),"违规：加仓价必须高于新止损价，金额须大于0",IF(AND(B29&gt;1,COUNTIFS($A$2:$A$1001,A29,$B$2:$B$1001,B29-1,$G$2:$G$1001,"&gt;0")=0),"违规：须先完成上一次加仓",IF(AND(B29&gt;1,E29&lt;SUMIFS($E$2:$E$1001,$A$2:$A$1001,A29,$B$2:$B$1001,B29-1)),"违规：新止损价不得低于上一次",IF(AND(B29&gt;1,F29&gt;SUMIFS($F$2:$F$1001,$A$2:$A$1001,A29,$B$2:$B$1001,B29-1)),"违规：风险预算须逐次不增加",IF(OR(_LockStatus="已锁仓",_LockStatus="解锁信息不完整"),"违规：锁仓期间禁止加仓",IF(G29="","计划可执行：建议股数见N列",IF(OR(G29&lt;=0,G29&lt;&gt;INT(G29),MOD(G29,100)&lt;&gt;0),"违规：实际股数须为100股整数倍",IF(G29&gt;N29,"违规：实际股数超过风险或金字塔上限",IF(AND(B29&gt;1,G29&gt;SUMIFS($G$2:$G$1001,$A$2:$A$1001,A29,$B$2:$B$1001,B29-1)),"违规：加仓股数须逐次不增加",IF(Q29&gt;F29,"违规：止损风险超过本次预算","通过")))))))))))))))</f>
        <v/>
      </c>
    </row>
    <row r="30" customFormat="false" ht="15" hidden="false" customHeight="false" outlineLevel="0" collapsed="false">
      <c r="A30" s="20"/>
      <c r="B30" s="21"/>
      <c r="C30" s="22"/>
      <c r="D30" s="23"/>
      <c r="E30" s="23"/>
      <c r="F30" s="23"/>
      <c r="G30" s="21"/>
      <c r="H30" s="24" t="str">
        <f aca="false">IF(OR(A30="",D30="",G30=""),"",D30*G30)</f>
        <v/>
      </c>
      <c r="I30" s="25" t="str">
        <f aca="false">IF(OR(A30="",B30=""),"",IFERROR(LOOKUP(2,1/(单次交易!$A$2:$A$201=A30),单次交易!$H$2:$H$201),0)+SUMIFS($G$2:$G$1001,$A$2:$A$1001,A30,$B$2:$B$1001,"&lt;"&amp;B30))</f>
        <v/>
      </c>
      <c r="J30" s="24" t="str">
        <f aca="false">IF(OR(A30="",B30=""),"",IFERROR(LOOKUP(2,1/(单次交易!$A$2:$A$201=A30),单次交易!$E$2:$E$201)*LOOKUP(2,1/(单次交易!$A$2:$A$201=A30),单次交易!$H$2:$H$201),0)+SUMIFS($H$2:$H$1001,$A$2:$A$1001,A30,$B$2:$B$1001,"&lt;"&amp;B30))</f>
        <v/>
      </c>
      <c r="K30" s="24" t="str">
        <f aca="false">IF(OR(E30="",I30="",J30=""),"",MAX(E30*I30-J30,0))</f>
        <v/>
      </c>
      <c r="L30" s="25" t="str">
        <f aca="false">IF(OR(D30="",E30="",F30="",D30&lt;=E30),"",FLOOR((F30+K30)/(D30-E30),100))</f>
        <v/>
      </c>
      <c r="M30" s="25" t="str">
        <f aca="false">IF(OR(A30="",B30="",L30=""),"",IF(B30=1,L30,IFERROR(SUMIFS($G$2:$G$1001,$A$2:$A$1001,A30,$B$2:$B$1001,B30-1),0)))</f>
        <v/>
      </c>
      <c r="N30" s="25" t="str">
        <f aca="false">IF(OR(L30="",M30=""),"",MIN(L30,M30))</f>
        <v/>
      </c>
      <c r="O30" s="25" t="str">
        <f aca="false">IF(OR(I30="",G30=""),"",I30+G30)</f>
        <v/>
      </c>
      <c r="P30" s="24" t="str">
        <f aca="false">IF(OR(O30="",O30=0),"",(J30+H30)/O30)</f>
        <v/>
      </c>
      <c r="Q30" s="24" t="str">
        <f aca="false">IF(OR(O30="",E30=""),"",MAX(J30+H30-E30*O30,0))</f>
        <v/>
      </c>
      <c r="R30" s="26" t="str">
        <f aca="false">IF(A30="","",IF(COUNTIF(_TradeIds,A30)=0,"违规：交易编号不存在",IF(OR(B30="",B30&lt;1,B30&gt;5,B30&lt;&gt;INT(B30)),"违规：加仓序号须为1到5的整数",IF(COUNTIFS($A$2:$A$1001,A30,$B$2:$B$1001,B30)&gt;1,"违规：同一交易的加仓序号重复",IF(OR(D30="",E30="",F30=""),"计划不完整：请填写加仓价、新止损价和风险预算",IF(OR(D30&lt;=0,E30&lt;=0,F30&lt;=0,D30&lt;=E30),"违规：加仓价必须高于新止损价，金额须大于0",IF(AND(B30&gt;1,COUNTIFS($A$2:$A$1001,A30,$B$2:$B$1001,B30-1,$G$2:$G$1001,"&gt;0")=0),"违规：须先完成上一次加仓",IF(AND(B30&gt;1,E30&lt;SUMIFS($E$2:$E$1001,$A$2:$A$1001,A30,$B$2:$B$1001,B30-1)),"违规：新止损价不得低于上一次",IF(AND(B30&gt;1,F30&gt;SUMIFS($F$2:$F$1001,$A$2:$A$1001,A30,$B$2:$B$1001,B30-1)),"违规：风险预算须逐次不增加",IF(OR(_LockStatus="已锁仓",_LockStatus="解锁信息不完整"),"违规：锁仓期间禁止加仓",IF(G30="","计划可执行：建议股数见N列",IF(OR(G30&lt;=0,G30&lt;&gt;INT(G30),MOD(G30,100)&lt;&gt;0),"违规：实际股数须为100股整数倍",IF(G30&gt;N30,"违规：实际股数超过风险或金字塔上限",IF(AND(B30&gt;1,G30&gt;SUMIFS($G$2:$G$1001,$A$2:$A$1001,A30,$B$2:$B$1001,B30-1)),"违规：加仓股数须逐次不增加",IF(Q30&gt;F30,"违规：止损风险超过本次预算","通过")))))))))))))))</f>
        <v/>
      </c>
    </row>
    <row r="31" customFormat="false" ht="15" hidden="false" customHeight="false" outlineLevel="0" collapsed="false">
      <c r="A31" s="20"/>
      <c r="B31" s="21"/>
      <c r="C31" s="22"/>
      <c r="D31" s="23"/>
      <c r="E31" s="23"/>
      <c r="F31" s="23"/>
      <c r="G31" s="21"/>
      <c r="H31" s="24" t="str">
        <f aca="false">IF(OR(A31="",D31="",G31=""),"",D31*G31)</f>
        <v/>
      </c>
      <c r="I31" s="25" t="str">
        <f aca="false">IF(OR(A31="",B31=""),"",IFERROR(LOOKUP(2,1/(单次交易!$A$2:$A$201=A31),单次交易!$H$2:$H$201),0)+SUMIFS($G$2:$G$1001,$A$2:$A$1001,A31,$B$2:$B$1001,"&lt;"&amp;B31))</f>
        <v/>
      </c>
      <c r="J31" s="24" t="str">
        <f aca="false">IF(OR(A31="",B31=""),"",IFERROR(LOOKUP(2,1/(单次交易!$A$2:$A$201=A31),单次交易!$E$2:$E$201)*LOOKUP(2,1/(单次交易!$A$2:$A$201=A31),单次交易!$H$2:$H$201),0)+SUMIFS($H$2:$H$1001,$A$2:$A$1001,A31,$B$2:$B$1001,"&lt;"&amp;B31))</f>
        <v/>
      </c>
      <c r="K31" s="24" t="str">
        <f aca="false">IF(OR(E31="",I31="",J31=""),"",MAX(E31*I31-J31,0))</f>
        <v/>
      </c>
      <c r="L31" s="25" t="str">
        <f aca="false">IF(OR(D31="",E31="",F31="",D31&lt;=E31),"",FLOOR((F31+K31)/(D31-E31),100))</f>
        <v/>
      </c>
      <c r="M31" s="25" t="str">
        <f aca="false">IF(OR(A31="",B31="",L31=""),"",IF(B31=1,L31,IFERROR(SUMIFS($G$2:$G$1001,$A$2:$A$1001,A31,$B$2:$B$1001,B31-1),0)))</f>
        <v/>
      </c>
      <c r="N31" s="25" t="str">
        <f aca="false">IF(OR(L31="",M31=""),"",MIN(L31,M31))</f>
        <v/>
      </c>
      <c r="O31" s="25" t="str">
        <f aca="false">IF(OR(I31="",G31=""),"",I31+G31)</f>
        <v/>
      </c>
      <c r="P31" s="24" t="str">
        <f aca="false">IF(OR(O31="",O31=0),"",(J31+H31)/O31)</f>
        <v/>
      </c>
      <c r="Q31" s="24" t="str">
        <f aca="false">IF(OR(O31="",E31=""),"",MAX(J31+H31-E31*O31,0))</f>
        <v/>
      </c>
      <c r="R31" s="26" t="str">
        <f aca="false">IF(A31="","",IF(COUNTIF(_TradeIds,A31)=0,"违规：交易编号不存在",IF(OR(B31="",B31&lt;1,B31&gt;5,B31&lt;&gt;INT(B31)),"违规：加仓序号须为1到5的整数",IF(COUNTIFS($A$2:$A$1001,A31,$B$2:$B$1001,B31)&gt;1,"违规：同一交易的加仓序号重复",IF(OR(D31="",E31="",F31=""),"计划不完整：请填写加仓价、新止损价和风险预算",IF(OR(D31&lt;=0,E31&lt;=0,F31&lt;=0,D31&lt;=E31),"违规：加仓价必须高于新止损价，金额须大于0",IF(AND(B31&gt;1,COUNTIFS($A$2:$A$1001,A31,$B$2:$B$1001,B31-1,$G$2:$G$1001,"&gt;0")=0),"违规：须先完成上一次加仓",IF(AND(B31&gt;1,E31&lt;SUMIFS($E$2:$E$1001,$A$2:$A$1001,A31,$B$2:$B$1001,B31-1)),"违规：新止损价不得低于上一次",IF(AND(B31&gt;1,F31&gt;SUMIFS($F$2:$F$1001,$A$2:$A$1001,A31,$B$2:$B$1001,B31-1)),"违规：风险预算须逐次不增加",IF(OR(_LockStatus="已锁仓",_LockStatus="解锁信息不完整"),"违规：锁仓期间禁止加仓",IF(G31="","计划可执行：建议股数见N列",IF(OR(G31&lt;=0,G31&lt;&gt;INT(G31),MOD(G31,100)&lt;&gt;0),"违规：实际股数须为100股整数倍",IF(G31&gt;N31,"违规：实际股数超过风险或金字塔上限",IF(AND(B31&gt;1,G31&gt;SUMIFS($G$2:$G$1001,$A$2:$A$1001,A31,$B$2:$B$1001,B31-1)),"违规：加仓股数须逐次不增加",IF(Q31&gt;F31,"违规：止损风险超过本次预算","通过")))))))))))))))</f>
        <v/>
      </c>
    </row>
    <row r="32" customFormat="false" ht="15" hidden="false" customHeight="false" outlineLevel="0" collapsed="false">
      <c r="A32" s="20"/>
      <c r="B32" s="21"/>
      <c r="C32" s="22"/>
      <c r="D32" s="23"/>
      <c r="E32" s="23"/>
      <c r="F32" s="23"/>
      <c r="G32" s="21"/>
      <c r="H32" s="24" t="str">
        <f aca="false">IF(OR(A32="",D32="",G32=""),"",D32*G32)</f>
        <v/>
      </c>
      <c r="I32" s="25" t="str">
        <f aca="false">IF(OR(A32="",B32=""),"",IFERROR(LOOKUP(2,1/(单次交易!$A$2:$A$201=A32),单次交易!$H$2:$H$201),0)+SUMIFS($G$2:$G$1001,$A$2:$A$1001,A32,$B$2:$B$1001,"&lt;"&amp;B32))</f>
        <v/>
      </c>
      <c r="J32" s="24" t="str">
        <f aca="false">IF(OR(A32="",B32=""),"",IFERROR(LOOKUP(2,1/(单次交易!$A$2:$A$201=A32),单次交易!$E$2:$E$201)*LOOKUP(2,1/(单次交易!$A$2:$A$201=A32),单次交易!$H$2:$H$201),0)+SUMIFS($H$2:$H$1001,$A$2:$A$1001,A32,$B$2:$B$1001,"&lt;"&amp;B32))</f>
        <v/>
      </c>
      <c r="K32" s="24" t="str">
        <f aca="false">IF(OR(E32="",I32="",J32=""),"",MAX(E32*I32-J32,0))</f>
        <v/>
      </c>
      <c r="L32" s="25" t="str">
        <f aca="false">IF(OR(D32="",E32="",F32="",D32&lt;=E32),"",FLOOR((F32+K32)/(D32-E32),100))</f>
        <v/>
      </c>
      <c r="M32" s="25" t="str">
        <f aca="false">IF(OR(A32="",B32="",L32=""),"",IF(B32=1,L32,IFERROR(SUMIFS($G$2:$G$1001,$A$2:$A$1001,A32,$B$2:$B$1001,B32-1),0)))</f>
        <v/>
      </c>
      <c r="N32" s="25" t="str">
        <f aca="false">IF(OR(L32="",M32=""),"",MIN(L32,M32))</f>
        <v/>
      </c>
      <c r="O32" s="25" t="str">
        <f aca="false">IF(OR(I32="",G32=""),"",I32+G32)</f>
        <v/>
      </c>
      <c r="P32" s="24" t="str">
        <f aca="false">IF(OR(O32="",O32=0),"",(J32+H32)/O32)</f>
        <v/>
      </c>
      <c r="Q32" s="24" t="str">
        <f aca="false">IF(OR(O32="",E32=""),"",MAX(J32+H32-E32*O32,0))</f>
        <v/>
      </c>
      <c r="R32" s="26" t="str">
        <f aca="false">IF(A32="","",IF(COUNTIF(_TradeIds,A32)=0,"违规：交易编号不存在",IF(OR(B32="",B32&lt;1,B32&gt;5,B32&lt;&gt;INT(B32)),"违规：加仓序号须为1到5的整数",IF(COUNTIFS($A$2:$A$1001,A32,$B$2:$B$1001,B32)&gt;1,"违规：同一交易的加仓序号重复",IF(OR(D32="",E32="",F32=""),"计划不完整：请填写加仓价、新止损价和风险预算",IF(OR(D32&lt;=0,E32&lt;=0,F32&lt;=0,D32&lt;=E32),"违规：加仓价必须高于新止损价，金额须大于0",IF(AND(B32&gt;1,COUNTIFS($A$2:$A$1001,A32,$B$2:$B$1001,B32-1,$G$2:$G$1001,"&gt;0")=0),"违规：须先完成上一次加仓",IF(AND(B32&gt;1,E32&lt;SUMIFS($E$2:$E$1001,$A$2:$A$1001,A32,$B$2:$B$1001,B32-1)),"违规：新止损价不得低于上一次",IF(AND(B32&gt;1,F32&gt;SUMIFS($F$2:$F$1001,$A$2:$A$1001,A32,$B$2:$B$1001,B32-1)),"违规：风险预算须逐次不增加",IF(OR(_LockStatus="已锁仓",_LockStatus="解锁信息不完整"),"违规：锁仓期间禁止加仓",IF(G32="","计划可执行：建议股数见N列",IF(OR(G32&lt;=0,G32&lt;&gt;INT(G32),MOD(G32,100)&lt;&gt;0),"违规：实际股数须为100股整数倍",IF(G32&gt;N32,"违规：实际股数超过风险或金字塔上限",IF(AND(B32&gt;1,G32&gt;SUMIFS($G$2:$G$1001,$A$2:$A$1001,A32,$B$2:$B$1001,B32-1)),"违规：加仓股数须逐次不增加",IF(Q32&gt;F32,"违规：止损风险超过本次预算","通过")))))))))))))))</f>
        <v/>
      </c>
    </row>
    <row r="33" customFormat="false" ht="15" hidden="false" customHeight="false" outlineLevel="0" collapsed="false">
      <c r="A33" s="20"/>
      <c r="B33" s="21"/>
      <c r="C33" s="22"/>
      <c r="D33" s="23"/>
      <c r="E33" s="23"/>
      <c r="F33" s="23"/>
      <c r="G33" s="21"/>
      <c r="H33" s="24" t="str">
        <f aca="false">IF(OR(A33="",D33="",G33=""),"",D33*G33)</f>
        <v/>
      </c>
      <c r="I33" s="25" t="str">
        <f aca="false">IF(OR(A33="",B33=""),"",IFERROR(LOOKUP(2,1/(单次交易!$A$2:$A$201=A33),单次交易!$H$2:$H$201),0)+SUMIFS($G$2:$G$1001,$A$2:$A$1001,A33,$B$2:$B$1001,"&lt;"&amp;B33))</f>
        <v/>
      </c>
      <c r="J33" s="24" t="str">
        <f aca="false">IF(OR(A33="",B33=""),"",IFERROR(LOOKUP(2,1/(单次交易!$A$2:$A$201=A33),单次交易!$E$2:$E$201)*LOOKUP(2,1/(单次交易!$A$2:$A$201=A33),单次交易!$H$2:$H$201),0)+SUMIFS($H$2:$H$1001,$A$2:$A$1001,A33,$B$2:$B$1001,"&lt;"&amp;B33))</f>
        <v/>
      </c>
      <c r="K33" s="24" t="str">
        <f aca="false">IF(OR(E33="",I33="",J33=""),"",MAX(E33*I33-J33,0))</f>
        <v/>
      </c>
      <c r="L33" s="25" t="str">
        <f aca="false">IF(OR(D33="",E33="",F33="",D33&lt;=E33),"",FLOOR((F33+K33)/(D33-E33),100))</f>
        <v/>
      </c>
      <c r="M33" s="25" t="str">
        <f aca="false">IF(OR(A33="",B33="",L33=""),"",IF(B33=1,L33,IFERROR(SUMIFS($G$2:$G$1001,$A$2:$A$1001,A33,$B$2:$B$1001,B33-1),0)))</f>
        <v/>
      </c>
      <c r="N33" s="25" t="str">
        <f aca="false">IF(OR(L33="",M33=""),"",MIN(L33,M33))</f>
        <v/>
      </c>
      <c r="O33" s="25" t="str">
        <f aca="false">IF(OR(I33="",G33=""),"",I33+G33)</f>
        <v/>
      </c>
      <c r="P33" s="24" t="str">
        <f aca="false">IF(OR(O33="",O33=0),"",(J33+H33)/O33)</f>
        <v/>
      </c>
      <c r="Q33" s="24" t="str">
        <f aca="false">IF(OR(O33="",E33=""),"",MAX(J33+H33-E33*O33,0))</f>
        <v/>
      </c>
      <c r="R33" s="26" t="str">
        <f aca="false">IF(A33="","",IF(COUNTIF(_TradeIds,A33)=0,"违规：交易编号不存在",IF(OR(B33="",B33&lt;1,B33&gt;5,B33&lt;&gt;INT(B33)),"违规：加仓序号须为1到5的整数",IF(COUNTIFS($A$2:$A$1001,A33,$B$2:$B$1001,B33)&gt;1,"违规：同一交易的加仓序号重复",IF(OR(D33="",E33="",F33=""),"计划不完整：请填写加仓价、新止损价和风险预算",IF(OR(D33&lt;=0,E33&lt;=0,F33&lt;=0,D33&lt;=E33),"违规：加仓价必须高于新止损价，金额须大于0",IF(AND(B33&gt;1,COUNTIFS($A$2:$A$1001,A33,$B$2:$B$1001,B33-1,$G$2:$G$1001,"&gt;0")=0),"违规：须先完成上一次加仓",IF(AND(B33&gt;1,E33&lt;SUMIFS($E$2:$E$1001,$A$2:$A$1001,A33,$B$2:$B$1001,B33-1)),"违规：新止损价不得低于上一次",IF(AND(B33&gt;1,F33&gt;SUMIFS($F$2:$F$1001,$A$2:$A$1001,A33,$B$2:$B$1001,B33-1)),"违规：风险预算须逐次不增加",IF(OR(_LockStatus="已锁仓",_LockStatus="解锁信息不完整"),"违规：锁仓期间禁止加仓",IF(G33="","计划可执行：建议股数见N列",IF(OR(G33&lt;=0,G33&lt;&gt;INT(G33),MOD(G33,100)&lt;&gt;0),"违规：实际股数须为100股整数倍",IF(G33&gt;N33,"违规：实际股数超过风险或金字塔上限",IF(AND(B33&gt;1,G33&gt;SUMIFS($G$2:$G$1001,$A$2:$A$1001,A33,$B$2:$B$1001,B33-1)),"违规：加仓股数须逐次不增加",IF(Q33&gt;F33,"违规：止损风险超过本次预算","通过")))))))))))))))</f>
        <v/>
      </c>
    </row>
    <row r="34" customFormat="false" ht="15" hidden="false" customHeight="false" outlineLevel="0" collapsed="false">
      <c r="A34" s="20"/>
      <c r="B34" s="21"/>
      <c r="C34" s="22"/>
      <c r="D34" s="23"/>
      <c r="E34" s="23"/>
      <c r="F34" s="23"/>
      <c r="G34" s="21"/>
      <c r="H34" s="24" t="str">
        <f aca="false">IF(OR(A34="",D34="",G34=""),"",D34*G34)</f>
        <v/>
      </c>
      <c r="I34" s="25" t="str">
        <f aca="false">IF(OR(A34="",B34=""),"",IFERROR(LOOKUP(2,1/(单次交易!$A$2:$A$201=A34),单次交易!$H$2:$H$201),0)+SUMIFS($G$2:$G$1001,$A$2:$A$1001,A34,$B$2:$B$1001,"&lt;"&amp;B34))</f>
        <v/>
      </c>
      <c r="J34" s="24" t="str">
        <f aca="false">IF(OR(A34="",B34=""),"",IFERROR(LOOKUP(2,1/(单次交易!$A$2:$A$201=A34),单次交易!$E$2:$E$201)*LOOKUP(2,1/(单次交易!$A$2:$A$201=A34),单次交易!$H$2:$H$201),0)+SUMIFS($H$2:$H$1001,$A$2:$A$1001,A34,$B$2:$B$1001,"&lt;"&amp;B34))</f>
        <v/>
      </c>
      <c r="K34" s="24" t="str">
        <f aca="false">IF(OR(E34="",I34="",J34=""),"",MAX(E34*I34-J34,0))</f>
        <v/>
      </c>
      <c r="L34" s="25" t="str">
        <f aca="false">IF(OR(D34="",E34="",F34="",D34&lt;=E34),"",FLOOR((F34+K34)/(D34-E34),100))</f>
        <v/>
      </c>
      <c r="M34" s="25" t="str">
        <f aca="false">IF(OR(A34="",B34="",L34=""),"",IF(B34=1,L34,IFERROR(SUMIFS($G$2:$G$1001,$A$2:$A$1001,A34,$B$2:$B$1001,B34-1),0)))</f>
        <v/>
      </c>
      <c r="N34" s="25" t="str">
        <f aca="false">IF(OR(L34="",M34=""),"",MIN(L34,M34))</f>
        <v/>
      </c>
      <c r="O34" s="25" t="str">
        <f aca="false">IF(OR(I34="",G34=""),"",I34+G34)</f>
        <v/>
      </c>
      <c r="P34" s="24" t="str">
        <f aca="false">IF(OR(O34="",O34=0),"",(J34+H34)/O34)</f>
        <v/>
      </c>
      <c r="Q34" s="24" t="str">
        <f aca="false">IF(OR(O34="",E34=""),"",MAX(J34+H34-E34*O34,0))</f>
        <v/>
      </c>
      <c r="R34" s="26" t="str">
        <f aca="false">IF(A34="","",IF(COUNTIF(_TradeIds,A34)=0,"违规：交易编号不存在",IF(OR(B34="",B34&lt;1,B34&gt;5,B34&lt;&gt;INT(B34)),"违规：加仓序号须为1到5的整数",IF(COUNTIFS($A$2:$A$1001,A34,$B$2:$B$1001,B34)&gt;1,"违规：同一交易的加仓序号重复",IF(OR(D34="",E34="",F34=""),"计划不完整：请填写加仓价、新止损价和风险预算",IF(OR(D34&lt;=0,E34&lt;=0,F34&lt;=0,D34&lt;=E34),"违规：加仓价必须高于新止损价，金额须大于0",IF(AND(B34&gt;1,COUNTIFS($A$2:$A$1001,A34,$B$2:$B$1001,B34-1,$G$2:$G$1001,"&gt;0")=0),"违规：须先完成上一次加仓",IF(AND(B34&gt;1,E34&lt;SUMIFS($E$2:$E$1001,$A$2:$A$1001,A34,$B$2:$B$1001,B34-1)),"违规：新止损价不得低于上一次",IF(AND(B34&gt;1,F34&gt;SUMIFS($F$2:$F$1001,$A$2:$A$1001,A34,$B$2:$B$1001,B34-1)),"违规：风险预算须逐次不增加",IF(OR(_LockStatus="已锁仓",_LockStatus="解锁信息不完整"),"违规：锁仓期间禁止加仓",IF(G34="","计划可执行：建议股数见N列",IF(OR(G34&lt;=0,G34&lt;&gt;INT(G34),MOD(G34,100)&lt;&gt;0),"违规：实际股数须为100股整数倍",IF(G34&gt;N34,"违规：实际股数超过风险或金字塔上限",IF(AND(B34&gt;1,G34&gt;SUMIFS($G$2:$G$1001,$A$2:$A$1001,A34,$B$2:$B$1001,B34-1)),"违规：加仓股数须逐次不增加",IF(Q34&gt;F34,"违规：止损风险超过本次预算","通过")))))))))))))))</f>
        <v/>
      </c>
    </row>
    <row r="35" customFormat="false" ht="15" hidden="false" customHeight="false" outlineLevel="0" collapsed="false">
      <c r="A35" s="20"/>
      <c r="B35" s="21"/>
      <c r="C35" s="22"/>
      <c r="D35" s="23"/>
      <c r="E35" s="23"/>
      <c r="F35" s="23"/>
      <c r="G35" s="21"/>
      <c r="H35" s="24" t="str">
        <f aca="false">IF(OR(A35="",D35="",G35=""),"",D35*G35)</f>
        <v/>
      </c>
      <c r="I35" s="25" t="str">
        <f aca="false">IF(OR(A35="",B35=""),"",IFERROR(LOOKUP(2,1/(单次交易!$A$2:$A$201=A35),单次交易!$H$2:$H$201),0)+SUMIFS($G$2:$G$1001,$A$2:$A$1001,A35,$B$2:$B$1001,"&lt;"&amp;B35))</f>
        <v/>
      </c>
      <c r="J35" s="24" t="str">
        <f aca="false">IF(OR(A35="",B35=""),"",IFERROR(LOOKUP(2,1/(单次交易!$A$2:$A$201=A35),单次交易!$E$2:$E$201)*LOOKUP(2,1/(单次交易!$A$2:$A$201=A35),单次交易!$H$2:$H$201),0)+SUMIFS($H$2:$H$1001,$A$2:$A$1001,A35,$B$2:$B$1001,"&lt;"&amp;B35))</f>
        <v/>
      </c>
      <c r="K35" s="24" t="str">
        <f aca="false">IF(OR(E35="",I35="",J35=""),"",MAX(E35*I35-J35,0))</f>
        <v/>
      </c>
      <c r="L35" s="25" t="str">
        <f aca="false">IF(OR(D35="",E35="",F35="",D35&lt;=E35),"",FLOOR((F35+K35)/(D35-E35),100))</f>
        <v/>
      </c>
      <c r="M35" s="25" t="str">
        <f aca="false">IF(OR(A35="",B35="",L35=""),"",IF(B35=1,L35,IFERROR(SUMIFS($G$2:$G$1001,$A$2:$A$1001,A35,$B$2:$B$1001,B35-1),0)))</f>
        <v/>
      </c>
      <c r="N35" s="25" t="str">
        <f aca="false">IF(OR(L35="",M35=""),"",MIN(L35,M35))</f>
        <v/>
      </c>
      <c r="O35" s="25" t="str">
        <f aca="false">IF(OR(I35="",G35=""),"",I35+G35)</f>
        <v/>
      </c>
      <c r="P35" s="24" t="str">
        <f aca="false">IF(OR(O35="",O35=0),"",(J35+H35)/O35)</f>
        <v/>
      </c>
      <c r="Q35" s="24" t="str">
        <f aca="false">IF(OR(O35="",E35=""),"",MAX(J35+H35-E35*O35,0))</f>
        <v/>
      </c>
      <c r="R35" s="26" t="str">
        <f aca="false">IF(A35="","",IF(COUNTIF(_TradeIds,A35)=0,"违规：交易编号不存在",IF(OR(B35="",B35&lt;1,B35&gt;5,B35&lt;&gt;INT(B35)),"违规：加仓序号须为1到5的整数",IF(COUNTIFS($A$2:$A$1001,A35,$B$2:$B$1001,B35)&gt;1,"违规：同一交易的加仓序号重复",IF(OR(D35="",E35="",F35=""),"计划不完整：请填写加仓价、新止损价和风险预算",IF(OR(D35&lt;=0,E35&lt;=0,F35&lt;=0,D35&lt;=E35),"违规：加仓价必须高于新止损价，金额须大于0",IF(AND(B35&gt;1,COUNTIFS($A$2:$A$1001,A35,$B$2:$B$1001,B35-1,$G$2:$G$1001,"&gt;0")=0),"违规：须先完成上一次加仓",IF(AND(B35&gt;1,E35&lt;SUMIFS($E$2:$E$1001,$A$2:$A$1001,A35,$B$2:$B$1001,B35-1)),"违规：新止损价不得低于上一次",IF(AND(B35&gt;1,F35&gt;SUMIFS($F$2:$F$1001,$A$2:$A$1001,A35,$B$2:$B$1001,B35-1)),"违规：风险预算须逐次不增加",IF(OR(_LockStatus="已锁仓",_LockStatus="解锁信息不完整"),"违规：锁仓期间禁止加仓",IF(G35="","计划可执行：建议股数见N列",IF(OR(G35&lt;=0,G35&lt;&gt;INT(G35),MOD(G35,100)&lt;&gt;0),"违规：实际股数须为100股整数倍",IF(G35&gt;N35,"违规：实际股数超过风险或金字塔上限",IF(AND(B35&gt;1,G35&gt;SUMIFS($G$2:$G$1001,$A$2:$A$1001,A35,$B$2:$B$1001,B35-1)),"违规：加仓股数须逐次不增加",IF(Q35&gt;F35,"违规：止损风险超过本次预算","通过")))))))))))))))</f>
        <v/>
      </c>
    </row>
    <row r="36" customFormat="false" ht="15" hidden="false" customHeight="false" outlineLevel="0" collapsed="false">
      <c r="A36" s="20"/>
      <c r="B36" s="21"/>
      <c r="C36" s="22"/>
      <c r="D36" s="23"/>
      <c r="E36" s="23"/>
      <c r="F36" s="23"/>
      <c r="G36" s="21"/>
      <c r="H36" s="24" t="str">
        <f aca="false">IF(OR(A36="",D36="",G36=""),"",D36*G36)</f>
        <v/>
      </c>
      <c r="I36" s="25" t="str">
        <f aca="false">IF(OR(A36="",B36=""),"",IFERROR(LOOKUP(2,1/(单次交易!$A$2:$A$201=A36),单次交易!$H$2:$H$201),0)+SUMIFS($G$2:$G$1001,$A$2:$A$1001,A36,$B$2:$B$1001,"&lt;"&amp;B36))</f>
        <v/>
      </c>
      <c r="J36" s="24" t="str">
        <f aca="false">IF(OR(A36="",B36=""),"",IFERROR(LOOKUP(2,1/(单次交易!$A$2:$A$201=A36),单次交易!$E$2:$E$201)*LOOKUP(2,1/(单次交易!$A$2:$A$201=A36),单次交易!$H$2:$H$201),0)+SUMIFS($H$2:$H$1001,$A$2:$A$1001,A36,$B$2:$B$1001,"&lt;"&amp;B36))</f>
        <v/>
      </c>
      <c r="K36" s="24" t="str">
        <f aca="false">IF(OR(E36="",I36="",J36=""),"",MAX(E36*I36-J36,0))</f>
        <v/>
      </c>
      <c r="L36" s="25" t="str">
        <f aca="false">IF(OR(D36="",E36="",F36="",D36&lt;=E36),"",FLOOR((F36+K36)/(D36-E36),100))</f>
        <v/>
      </c>
      <c r="M36" s="25" t="str">
        <f aca="false">IF(OR(A36="",B36="",L36=""),"",IF(B36=1,L36,IFERROR(SUMIFS($G$2:$G$1001,$A$2:$A$1001,A36,$B$2:$B$1001,B36-1),0)))</f>
        <v/>
      </c>
      <c r="N36" s="25" t="str">
        <f aca="false">IF(OR(L36="",M36=""),"",MIN(L36,M36))</f>
        <v/>
      </c>
      <c r="O36" s="25" t="str">
        <f aca="false">IF(OR(I36="",G36=""),"",I36+G36)</f>
        <v/>
      </c>
      <c r="P36" s="24" t="str">
        <f aca="false">IF(OR(O36="",O36=0),"",(J36+H36)/O36)</f>
        <v/>
      </c>
      <c r="Q36" s="24" t="str">
        <f aca="false">IF(OR(O36="",E36=""),"",MAX(J36+H36-E36*O36,0))</f>
        <v/>
      </c>
      <c r="R36" s="26" t="str">
        <f aca="false">IF(A36="","",IF(COUNTIF(_TradeIds,A36)=0,"违规：交易编号不存在",IF(OR(B36="",B36&lt;1,B36&gt;5,B36&lt;&gt;INT(B36)),"违规：加仓序号须为1到5的整数",IF(COUNTIFS($A$2:$A$1001,A36,$B$2:$B$1001,B36)&gt;1,"违规：同一交易的加仓序号重复",IF(OR(D36="",E36="",F36=""),"计划不完整：请填写加仓价、新止损价和风险预算",IF(OR(D36&lt;=0,E36&lt;=0,F36&lt;=0,D36&lt;=E36),"违规：加仓价必须高于新止损价，金额须大于0",IF(AND(B36&gt;1,COUNTIFS($A$2:$A$1001,A36,$B$2:$B$1001,B36-1,$G$2:$G$1001,"&gt;0")=0),"违规：须先完成上一次加仓",IF(AND(B36&gt;1,E36&lt;SUMIFS($E$2:$E$1001,$A$2:$A$1001,A36,$B$2:$B$1001,B36-1)),"违规：新止损价不得低于上一次",IF(AND(B36&gt;1,F36&gt;SUMIFS($F$2:$F$1001,$A$2:$A$1001,A36,$B$2:$B$1001,B36-1)),"违规：风险预算须逐次不增加",IF(OR(_LockStatus="已锁仓",_LockStatus="解锁信息不完整"),"违规：锁仓期间禁止加仓",IF(G36="","计划可执行：建议股数见N列",IF(OR(G36&lt;=0,G36&lt;&gt;INT(G36),MOD(G36,100)&lt;&gt;0),"违规：实际股数须为100股整数倍",IF(G36&gt;N36,"违规：实际股数超过风险或金字塔上限",IF(AND(B36&gt;1,G36&gt;SUMIFS($G$2:$G$1001,$A$2:$A$1001,A36,$B$2:$B$1001,B36-1)),"违规：加仓股数须逐次不增加",IF(Q36&gt;F36,"违规：止损风险超过本次预算","通过")))))))))))))))</f>
        <v/>
      </c>
    </row>
    <row r="37" customFormat="false" ht="15" hidden="false" customHeight="false" outlineLevel="0" collapsed="false">
      <c r="A37" s="20"/>
      <c r="B37" s="21"/>
      <c r="C37" s="22"/>
      <c r="D37" s="23"/>
      <c r="E37" s="23"/>
      <c r="F37" s="23"/>
      <c r="G37" s="21"/>
      <c r="H37" s="24" t="str">
        <f aca="false">IF(OR(A37="",D37="",G37=""),"",D37*G37)</f>
        <v/>
      </c>
      <c r="I37" s="25" t="str">
        <f aca="false">IF(OR(A37="",B37=""),"",IFERROR(LOOKUP(2,1/(单次交易!$A$2:$A$201=A37),单次交易!$H$2:$H$201),0)+SUMIFS($G$2:$G$1001,$A$2:$A$1001,A37,$B$2:$B$1001,"&lt;"&amp;B37))</f>
        <v/>
      </c>
      <c r="J37" s="24" t="str">
        <f aca="false">IF(OR(A37="",B37=""),"",IFERROR(LOOKUP(2,1/(单次交易!$A$2:$A$201=A37),单次交易!$E$2:$E$201)*LOOKUP(2,1/(单次交易!$A$2:$A$201=A37),单次交易!$H$2:$H$201),0)+SUMIFS($H$2:$H$1001,$A$2:$A$1001,A37,$B$2:$B$1001,"&lt;"&amp;B37))</f>
        <v/>
      </c>
      <c r="K37" s="24" t="str">
        <f aca="false">IF(OR(E37="",I37="",J37=""),"",MAX(E37*I37-J37,0))</f>
        <v/>
      </c>
      <c r="L37" s="25" t="str">
        <f aca="false">IF(OR(D37="",E37="",F37="",D37&lt;=E37),"",FLOOR((F37+K37)/(D37-E37),100))</f>
        <v/>
      </c>
      <c r="M37" s="25" t="str">
        <f aca="false">IF(OR(A37="",B37="",L37=""),"",IF(B37=1,L37,IFERROR(SUMIFS($G$2:$G$1001,$A$2:$A$1001,A37,$B$2:$B$1001,B37-1),0)))</f>
        <v/>
      </c>
      <c r="N37" s="25" t="str">
        <f aca="false">IF(OR(L37="",M37=""),"",MIN(L37,M37))</f>
        <v/>
      </c>
      <c r="O37" s="25" t="str">
        <f aca="false">IF(OR(I37="",G37=""),"",I37+G37)</f>
        <v/>
      </c>
      <c r="P37" s="24" t="str">
        <f aca="false">IF(OR(O37="",O37=0),"",(J37+H37)/O37)</f>
        <v/>
      </c>
      <c r="Q37" s="24" t="str">
        <f aca="false">IF(OR(O37="",E37=""),"",MAX(J37+H37-E37*O37,0))</f>
        <v/>
      </c>
      <c r="R37" s="26" t="str">
        <f aca="false">IF(A37="","",IF(COUNTIF(_TradeIds,A37)=0,"违规：交易编号不存在",IF(OR(B37="",B37&lt;1,B37&gt;5,B37&lt;&gt;INT(B37)),"违规：加仓序号须为1到5的整数",IF(COUNTIFS($A$2:$A$1001,A37,$B$2:$B$1001,B37)&gt;1,"违规：同一交易的加仓序号重复",IF(OR(D37="",E37="",F37=""),"计划不完整：请填写加仓价、新止损价和风险预算",IF(OR(D37&lt;=0,E37&lt;=0,F37&lt;=0,D37&lt;=E37),"违规：加仓价必须高于新止损价，金额须大于0",IF(AND(B37&gt;1,COUNTIFS($A$2:$A$1001,A37,$B$2:$B$1001,B37-1,$G$2:$G$1001,"&gt;0")=0),"违规：须先完成上一次加仓",IF(AND(B37&gt;1,E37&lt;SUMIFS($E$2:$E$1001,$A$2:$A$1001,A37,$B$2:$B$1001,B37-1)),"违规：新止损价不得低于上一次",IF(AND(B37&gt;1,F37&gt;SUMIFS($F$2:$F$1001,$A$2:$A$1001,A37,$B$2:$B$1001,B37-1)),"违规：风险预算须逐次不增加",IF(OR(_LockStatus="已锁仓",_LockStatus="解锁信息不完整"),"违规：锁仓期间禁止加仓",IF(G37="","计划可执行：建议股数见N列",IF(OR(G37&lt;=0,G37&lt;&gt;INT(G37),MOD(G37,100)&lt;&gt;0),"违规：实际股数须为100股整数倍",IF(G37&gt;N37,"违规：实际股数超过风险或金字塔上限",IF(AND(B37&gt;1,G37&gt;SUMIFS($G$2:$G$1001,$A$2:$A$1001,A37,$B$2:$B$1001,B37-1)),"违规：加仓股数须逐次不增加",IF(Q37&gt;F37,"违规：止损风险超过本次预算","通过")))))))))))))))</f>
        <v/>
      </c>
    </row>
    <row r="38" customFormat="false" ht="15" hidden="false" customHeight="false" outlineLevel="0" collapsed="false">
      <c r="A38" s="20"/>
      <c r="B38" s="21"/>
      <c r="C38" s="22"/>
      <c r="D38" s="23"/>
      <c r="E38" s="23"/>
      <c r="F38" s="23"/>
      <c r="G38" s="21"/>
      <c r="H38" s="24" t="str">
        <f aca="false">IF(OR(A38="",D38="",G38=""),"",D38*G38)</f>
        <v/>
      </c>
      <c r="I38" s="25" t="str">
        <f aca="false">IF(OR(A38="",B38=""),"",IFERROR(LOOKUP(2,1/(单次交易!$A$2:$A$201=A38),单次交易!$H$2:$H$201),0)+SUMIFS($G$2:$G$1001,$A$2:$A$1001,A38,$B$2:$B$1001,"&lt;"&amp;B38))</f>
        <v/>
      </c>
      <c r="J38" s="24" t="str">
        <f aca="false">IF(OR(A38="",B38=""),"",IFERROR(LOOKUP(2,1/(单次交易!$A$2:$A$201=A38),单次交易!$E$2:$E$201)*LOOKUP(2,1/(单次交易!$A$2:$A$201=A38),单次交易!$H$2:$H$201),0)+SUMIFS($H$2:$H$1001,$A$2:$A$1001,A38,$B$2:$B$1001,"&lt;"&amp;B38))</f>
        <v/>
      </c>
      <c r="K38" s="24" t="str">
        <f aca="false">IF(OR(E38="",I38="",J38=""),"",MAX(E38*I38-J38,0))</f>
        <v/>
      </c>
      <c r="L38" s="25" t="str">
        <f aca="false">IF(OR(D38="",E38="",F38="",D38&lt;=E38),"",FLOOR((F38+K38)/(D38-E38),100))</f>
        <v/>
      </c>
      <c r="M38" s="25" t="str">
        <f aca="false">IF(OR(A38="",B38="",L38=""),"",IF(B38=1,L38,IFERROR(SUMIFS($G$2:$G$1001,$A$2:$A$1001,A38,$B$2:$B$1001,B38-1),0)))</f>
        <v/>
      </c>
      <c r="N38" s="25" t="str">
        <f aca="false">IF(OR(L38="",M38=""),"",MIN(L38,M38))</f>
        <v/>
      </c>
      <c r="O38" s="25" t="str">
        <f aca="false">IF(OR(I38="",G38=""),"",I38+G38)</f>
        <v/>
      </c>
      <c r="P38" s="24" t="str">
        <f aca="false">IF(OR(O38="",O38=0),"",(J38+H38)/O38)</f>
        <v/>
      </c>
      <c r="Q38" s="24" t="str">
        <f aca="false">IF(OR(O38="",E38=""),"",MAX(J38+H38-E38*O38,0))</f>
        <v/>
      </c>
      <c r="R38" s="26" t="str">
        <f aca="false">IF(A38="","",IF(COUNTIF(_TradeIds,A38)=0,"违规：交易编号不存在",IF(OR(B38="",B38&lt;1,B38&gt;5,B38&lt;&gt;INT(B38)),"违规：加仓序号须为1到5的整数",IF(COUNTIFS($A$2:$A$1001,A38,$B$2:$B$1001,B38)&gt;1,"违规：同一交易的加仓序号重复",IF(OR(D38="",E38="",F38=""),"计划不完整：请填写加仓价、新止损价和风险预算",IF(OR(D38&lt;=0,E38&lt;=0,F38&lt;=0,D38&lt;=E38),"违规：加仓价必须高于新止损价，金额须大于0",IF(AND(B38&gt;1,COUNTIFS($A$2:$A$1001,A38,$B$2:$B$1001,B38-1,$G$2:$G$1001,"&gt;0")=0),"违规：须先完成上一次加仓",IF(AND(B38&gt;1,E38&lt;SUMIFS($E$2:$E$1001,$A$2:$A$1001,A38,$B$2:$B$1001,B38-1)),"违规：新止损价不得低于上一次",IF(AND(B38&gt;1,F38&gt;SUMIFS($F$2:$F$1001,$A$2:$A$1001,A38,$B$2:$B$1001,B38-1)),"违规：风险预算须逐次不增加",IF(OR(_LockStatus="已锁仓",_LockStatus="解锁信息不完整"),"违规：锁仓期间禁止加仓",IF(G38="","计划可执行：建议股数见N列",IF(OR(G38&lt;=0,G38&lt;&gt;INT(G38),MOD(G38,100)&lt;&gt;0),"违规：实际股数须为100股整数倍",IF(G38&gt;N38,"违规：实际股数超过风险或金字塔上限",IF(AND(B38&gt;1,G38&gt;SUMIFS($G$2:$G$1001,$A$2:$A$1001,A38,$B$2:$B$1001,B38-1)),"违规：加仓股数须逐次不增加",IF(Q38&gt;F38,"违规：止损风险超过本次预算","通过")))))))))))))))</f>
        <v/>
      </c>
    </row>
    <row r="39" customFormat="false" ht="15" hidden="false" customHeight="false" outlineLevel="0" collapsed="false">
      <c r="A39" s="20"/>
      <c r="B39" s="21"/>
      <c r="C39" s="22"/>
      <c r="D39" s="23"/>
      <c r="E39" s="23"/>
      <c r="F39" s="23"/>
      <c r="G39" s="21"/>
      <c r="H39" s="24" t="str">
        <f aca="false">IF(OR(A39="",D39="",G39=""),"",D39*G39)</f>
        <v/>
      </c>
      <c r="I39" s="25" t="str">
        <f aca="false">IF(OR(A39="",B39=""),"",IFERROR(LOOKUP(2,1/(单次交易!$A$2:$A$201=A39),单次交易!$H$2:$H$201),0)+SUMIFS($G$2:$G$1001,$A$2:$A$1001,A39,$B$2:$B$1001,"&lt;"&amp;B39))</f>
        <v/>
      </c>
      <c r="J39" s="24" t="str">
        <f aca="false">IF(OR(A39="",B39=""),"",IFERROR(LOOKUP(2,1/(单次交易!$A$2:$A$201=A39),单次交易!$E$2:$E$201)*LOOKUP(2,1/(单次交易!$A$2:$A$201=A39),单次交易!$H$2:$H$201),0)+SUMIFS($H$2:$H$1001,$A$2:$A$1001,A39,$B$2:$B$1001,"&lt;"&amp;B39))</f>
        <v/>
      </c>
      <c r="K39" s="24" t="str">
        <f aca="false">IF(OR(E39="",I39="",J39=""),"",MAX(E39*I39-J39,0))</f>
        <v/>
      </c>
      <c r="L39" s="25" t="str">
        <f aca="false">IF(OR(D39="",E39="",F39="",D39&lt;=E39),"",FLOOR((F39+K39)/(D39-E39),100))</f>
        <v/>
      </c>
      <c r="M39" s="25" t="str">
        <f aca="false">IF(OR(A39="",B39="",L39=""),"",IF(B39=1,L39,IFERROR(SUMIFS($G$2:$G$1001,$A$2:$A$1001,A39,$B$2:$B$1001,B39-1),0)))</f>
        <v/>
      </c>
      <c r="N39" s="25" t="str">
        <f aca="false">IF(OR(L39="",M39=""),"",MIN(L39,M39))</f>
        <v/>
      </c>
      <c r="O39" s="25" t="str">
        <f aca="false">IF(OR(I39="",G39=""),"",I39+G39)</f>
        <v/>
      </c>
      <c r="P39" s="24" t="str">
        <f aca="false">IF(OR(O39="",O39=0),"",(J39+H39)/O39)</f>
        <v/>
      </c>
      <c r="Q39" s="24" t="str">
        <f aca="false">IF(OR(O39="",E39=""),"",MAX(J39+H39-E39*O39,0))</f>
        <v/>
      </c>
      <c r="R39" s="26" t="str">
        <f aca="false">IF(A39="","",IF(COUNTIF(_TradeIds,A39)=0,"违规：交易编号不存在",IF(OR(B39="",B39&lt;1,B39&gt;5,B39&lt;&gt;INT(B39)),"违规：加仓序号须为1到5的整数",IF(COUNTIFS($A$2:$A$1001,A39,$B$2:$B$1001,B39)&gt;1,"违规：同一交易的加仓序号重复",IF(OR(D39="",E39="",F39=""),"计划不完整：请填写加仓价、新止损价和风险预算",IF(OR(D39&lt;=0,E39&lt;=0,F39&lt;=0,D39&lt;=E39),"违规：加仓价必须高于新止损价，金额须大于0",IF(AND(B39&gt;1,COUNTIFS($A$2:$A$1001,A39,$B$2:$B$1001,B39-1,$G$2:$G$1001,"&gt;0")=0),"违规：须先完成上一次加仓",IF(AND(B39&gt;1,E39&lt;SUMIFS($E$2:$E$1001,$A$2:$A$1001,A39,$B$2:$B$1001,B39-1)),"违规：新止损价不得低于上一次",IF(AND(B39&gt;1,F39&gt;SUMIFS($F$2:$F$1001,$A$2:$A$1001,A39,$B$2:$B$1001,B39-1)),"违规：风险预算须逐次不增加",IF(OR(_LockStatus="已锁仓",_LockStatus="解锁信息不完整"),"违规：锁仓期间禁止加仓",IF(G39="","计划可执行：建议股数见N列",IF(OR(G39&lt;=0,G39&lt;&gt;INT(G39),MOD(G39,100)&lt;&gt;0),"违规：实际股数须为100股整数倍",IF(G39&gt;N39,"违规：实际股数超过风险或金字塔上限",IF(AND(B39&gt;1,G39&gt;SUMIFS($G$2:$G$1001,$A$2:$A$1001,A39,$B$2:$B$1001,B39-1)),"违规：加仓股数须逐次不增加",IF(Q39&gt;F39,"违规：止损风险超过本次预算","通过")))))))))))))))</f>
        <v/>
      </c>
    </row>
    <row r="40" customFormat="false" ht="15" hidden="false" customHeight="false" outlineLevel="0" collapsed="false">
      <c r="A40" s="20"/>
      <c r="B40" s="21"/>
      <c r="C40" s="22"/>
      <c r="D40" s="23"/>
      <c r="E40" s="23"/>
      <c r="F40" s="23"/>
      <c r="G40" s="21"/>
      <c r="H40" s="24" t="str">
        <f aca="false">IF(OR(A40="",D40="",G40=""),"",D40*G40)</f>
        <v/>
      </c>
      <c r="I40" s="25" t="str">
        <f aca="false">IF(OR(A40="",B40=""),"",IFERROR(LOOKUP(2,1/(单次交易!$A$2:$A$201=A40),单次交易!$H$2:$H$201),0)+SUMIFS($G$2:$G$1001,$A$2:$A$1001,A40,$B$2:$B$1001,"&lt;"&amp;B40))</f>
        <v/>
      </c>
      <c r="J40" s="24" t="str">
        <f aca="false">IF(OR(A40="",B40=""),"",IFERROR(LOOKUP(2,1/(单次交易!$A$2:$A$201=A40),单次交易!$E$2:$E$201)*LOOKUP(2,1/(单次交易!$A$2:$A$201=A40),单次交易!$H$2:$H$201),0)+SUMIFS($H$2:$H$1001,$A$2:$A$1001,A40,$B$2:$B$1001,"&lt;"&amp;B40))</f>
        <v/>
      </c>
      <c r="K40" s="24" t="str">
        <f aca="false">IF(OR(E40="",I40="",J40=""),"",MAX(E40*I40-J40,0))</f>
        <v/>
      </c>
      <c r="L40" s="25" t="str">
        <f aca="false">IF(OR(D40="",E40="",F40="",D40&lt;=E40),"",FLOOR((F40+K40)/(D40-E40),100))</f>
        <v/>
      </c>
      <c r="M40" s="25" t="str">
        <f aca="false">IF(OR(A40="",B40="",L40=""),"",IF(B40=1,L40,IFERROR(SUMIFS($G$2:$G$1001,$A$2:$A$1001,A40,$B$2:$B$1001,B40-1),0)))</f>
        <v/>
      </c>
      <c r="N40" s="25" t="str">
        <f aca="false">IF(OR(L40="",M40=""),"",MIN(L40,M40))</f>
        <v/>
      </c>
      <c r="O40" s="25" t="str">
        <f aca="false">IF(OR(I40="",G40=""),"",I40+G40)</f>
        <v/>
      </c>
      <c r="P40" s="24" t="str">
        <f aca="false">IF(OR(O40="",O40=0),"",(J40+H40)/O40)</f>
        <v/>
      </c>
      <c r="Q40" s="24" t="str">
        <f aca="false">IF(OR(O40="",E40=""),"",MAX(J40+H40-E40*O40,0))</f>
        <v/>
      </c>
      <c r="R40" s="26" t="str">
        <f aca="false">IF(A40="","",IF(COUNTIF(_TradeIds,A40)=0,"违规：交易编号不存在",IF(OR(B40="",B40&lt;1,B40&gt;5,B40&lt;&gt;INT(B40)),"违规：加仓序号须为1到5的整数",IF(COUNTIFS($A$2:$A$1001,A40,$B$2:$B$1001,B40)&gt;1,"违规：同一交易的加仓序号重复",IF(OR(D40="",E40="",F40=""),"计划不完整：请填写加仓价、新止损价和风险预算",IF(OR(D40&lt;=0,E40&lt;=0,F40&lt;=0,D40&lt;=E40),"违规：加仓价必须高于新止损价，金额须大于0",IF(AND(B40&gt;1,COUNTIFS($A$2:$A$1001,A40,$B$2:$B$1001,B40-1,$G$2:$G$1001,"&gt;0")=0),"违规：须先完成上一次加仓",IF(AND(B40&gt;1,E40&lt;SUMIFS($E$2:$E$1001,$A$2:$A$1001,A40,$B$2:$B$1001,B40-1)),"违规：新止损价不得低于上一次",IF(AND(B40&gt;1,F40&gt;SUMIFS($F$2:$F$1001,$A$2:$A$1001,A40,$B$2:$B$1001,B40-1)),"违规：风险预算须逐次不增加",IF(OR(_LockStatus="已锁仓",_LockStatus="解锁信息不完整"),"违规：锁仓期间禁止加仓",IF(G40="","计划可执行：建议股数见N列",IF(OR(G40&lt;=0,G40&lt;&gt;INT(G40),MOD(G40,100)&lt;&gt;0),"违规：实际股数须为100股整数倍",IF(G40&gt;N40,"违规：实际股数超过风险或金字塔上限",IF(AND(B40&gt;1,G40&gt;SUMIFS($G$2:$G$1001,$A$2:$A$1001,A40,$B$2:$B$1001,B40-1)),"违规：加仓股数须逐次不增加",IF(Q40&gt;F40,"违规：止损风险超过本次预算","通过")))))))))))))))</f>
        <v/>
      </c>
    </row>
    <row r="41" customFormat="false" ht="15" hidden="false" customHeight="false" outlineLevel="0" collapsed="false">
      <c r="A41" s="20"/>
      <c r="B41" s="21"/>
      <c r="C41" s="22"/>
      <c r="D41" s="23"/>
      <c r="E41" s="23"/>
      <c r="F41" s="23"/>
      <c r="G41" s="21"/>
      <c r="H41" s="24" t="str">
        <f aca="false">IF(OR(A41="",D41="",G41=""),"",D41*G41)</f>
        <v/>
      </c>
      <c r="I41" s="25" t="str">
        <f aca="false">IF(OR(A41="",B41=""),"",IFERROR(LOOKUP(2,1/(单次交易!$A$2:$A$201=A41),单次交易!$H$2:$H$201),0)+SUMIFS($G$2:$G$1001,$A$2:$A$1001,A41,$B$2:$B$1001,"&lt;"&amp;B41))</f>
        <v/>
      </c>
      <c r="J41" s="24" t="str">
        <f aca="false">IF(OR(A41="",B41=""),"",IFERROR(LOOKUP(2,1/(单次交易!$A$2:$A$201=A41),单次交易!$E$2:$E$201)*LOOKUP(2,1/(单次交易!$A$2:$A$201=A41),单次交易!$H$2:$H$201),0)+SUMIFS($H$2:$H$1001,$A$2:$A$1001,A41,$B$2:$B$1001,"&lt;"&amp;B41))</f>
        <v/>
      </c>
      <c r="K41" s="24" t="str">
        <f aca="false">IF(OR(E41="",I41="",J41=""),"",MAX(E41*I41-J41,0))</f>
        <v/>
      </c>
      <c r="L41" s="25" t="str">
        <f aca="false">IF(OR(D41="",E41="",F41="",D41&lt;=E41),"",FLOOR((F41+K41)/(D41-E41),100))</f>
        <v/>
      </c>
      <c r="M41" s="25" t="str">
        <f aca="false">IF(OR(A41="",B41="",L41=""),"",IF(B41=1,L41,IFERROR(SUMIFS($G$2:$G$1001,$A$2:$A$1001,A41,$B$2:$B$1001,B41-1),0)))</f>
        <v/>
      </c>
      <c r="N41" s="25" t="str">
        <f aca="false">IF(OR(L41="",M41=""),"",MIN(L41,M41))</f>
        <v/>
      </c>
      <c r="O41" s="25" t="str">
        <f aca="false">IF(OR(I41="",G41=""),"",I41+G41)</f>
        <v/>
      </c>
      <c r="P41" s="24" t="str">
        <f aca="false">IF(OR(O41="",O41=0),"",(J41+H41)/O41)</f>
        <v/>
      </c>
      <c r="Q41" s="24" t="str">
        <f aca="false">IF(OR(O41="",E41=""),"",MAX(J41+H41-E41*O41,0))</f>
        <v/>
      </c>
      <c r="R41" s="26" t="str">
        <f aca="false">IF(A41="","",IF(COUNTIF(_TradeIds,A41)=0,"违规：交易编号不存在",IF(OR(B41="",B41&lt;1,B41&gt;5,B41&lt;&gt;INT(B41)),"违规：加仓序号须为1到5的整数",IF(COUNTIFS($A$2:$A$1001,A41,$B$2:$B$1001,B41)&gt;1,"违规：同一交易的加仓序号重复",IF(OR(D41="",E41="",F41=""),"计划不完整：请填写加仓价、新止损价和风险预算",IF(OR(D41&lt;=0,E41&lt;=0,F41&lt;=0,D41&lt;=E41),"违规：加仓价必须高于新止损价，金额须大于0",IF(AND(B41&gt;1,COUNTIFS($A$2:$A$1001,A41,$B$2:$B$1001,B41-1,$G$2:$G$1001,"&gt;0")=0),"违规：须先完成上一次加仓",IF(AND(B41&gt;1,E41&lt;SUMIFS($E$2:$E$1001,$A$2:$A$1001,A41,$B$2:$B$1001,B41-1)),"违规：新止损价不得低于上一次",IF(AND(B41&gt;1,F41&gt;SUMIFS($F$2:$F$1001,$A$2:$A$1001,A41,$B$2:$B$1001,B41-1)),"违规：风险预算须逐次不增加",IF(OR(_LockStatus="已锁仓",_LockStatus="解锁信息不完整"),"违规：锁仓期间禁止加仓",IF(G41="","计划可执行：建议股数见N列",IF(OR(G41&lt;=0,G41&lt;&gt;INT(G41),MOD(G41,100)&lt;&gt;0),"违规：实际股数须为100股整数倍",IF(G41&gt;N41,"违规：实际股数超过风险或金字塔上限",IF(AND(B41&gt;1,G41&gt;SUMIFS($G$2:$G$1001,$A$2:$A$1001,A41,$B$2:$B$1001,B41-1)),"违规：加仓股数须逐次不增加",IF(Q41&gt;F41,"违规：止损风险超过本次预算","通过")))))))))))))))</f>
        <v/>
      </c>
    </row>
    <row r="42" customFormat="false" ht="15" hidden="false" customHeight="false" outlineLevel="0" collapsed="false">
      <c r="A42" s="20"/>
      <c r="B42" s="21"/>
      <c r="C42" s="22"/>
      <c r="D42" s="23"/>
      <c r="E42" s="23"/>
      <c r="F42" s="23"/>
      <c r="G42" s="21"/>
      <c r="H42" s="24" t="str">
        <f aca="false">IF(OR(A42="",D42="",G42=""),"",D42*G42)</f>
        <v/>
      </c>
      <c r="I42" s="25" t="str">
        <f aca="false">IF(OR(A42="",B42=""),"",IFERROR(LOOKUP(2,1/(单次交易!$A$2:$A$201=A42),单次交易!$H$2:$H$201),0)+SUMIFS($G$2:$G$1001,$A$2:$A$1001,A42,$B$2:$B$1001,"&lt;"&amp;B42))</f>
        <v/>
      </c>
      <c r="J42" s="24" t="str">
        <f aca="false">IF(OR(A42="",B42=""),"",IFERROR(LOOKUP(2,1/(单次交易!$A$2:$A$201=A42),单次交易!$E$2:$E$201)*LOOKUP(2,1/(单次交易!$A$2:$A$201=A42),单次交易!$H$2:$H$201),0)+SUMIFS($H$2:$H$1001,$A$2:$A$1001,A42,$B$2:$B$1001,"&lt;"&amp;B42))</f>
        <v/>
      </c>
      <c r="K42" s="24" t="str">
        <f aca="false">IF(OR(E42="",I42="",J42=""),"",MAX(E42*I42-J42,0))</f>
        <v/>
      </c>
      <c r="L42" s="25" t="str">
        <f aca="false">IF(OR(D42="",E42="",F42="",D42&lt;=E42),"",FLOOR((F42+K42)/(D42-E42),100))</f>
        <v/>
      </c>
      <c r="M42" s="25" t="str">
        <f aca="false">IF(OR(A42="",B42="",L42=""),"",IF(B42=1,L42,IFERROR(SUMIFS($G$2:$G$1001,$A$2:$A$1001,A42,$B$2:$B$1001,B42-1),0)))</f>
        <v/>
      </c>
      <c r="N42" s="25" t="str">
        <f aca="false">IF(OR(L42="",M42=""),"",MIN(L42,M42))</f>
        <v/>
      </c>
      <c r="O42" s="25" t="str">
        <f aca="false">IF(OR(I42="",G42=""),"",I42+G42)</f>
        <v/>
      </c>
      <c r="P42" s="24" t="str">
        <f aca="false">IF(OR(O42="",O42=0),"",(J42+H42)/O42)</f>
        <v/>
      </c>
      <c r="Q42" s="24" t="str">
        <f aca="false">IF(OR(O42="",E42=""),"",MAX(J42+H42-E42*O42,0))</f>
        <v/>
      </c>
      <c r="R42" s="26" t="str">
        <f aca="false">IF(A42="","",IF(COUNTIF(_TradeIds,A42)=0,"违规：交易编号不存在",IF(OR(B42="",B42&lt;1,B42&gt;5,B42&lt;&gt;INT(B42)),"违规：加仓序号须为1到5的整数",IF(COUNTIFS($A$2:$A$1001,A42,$B$2:$B$1001,B42)&gt;1,"违规：同一交易的加仓序号重复",IF(OR(D42="",E42="",F42=""),"计划不完整：请填写加仓价、新止损价和风险预算",IF(OR(D42&lt;=0,E42&lt;=0,F42&lt;=0,D42&lt;=E42),"违规：加仓价必须高于新止损价，金额须大于0",IF(AND(B42&gt;1,COUNTIFS($A$2:$A$1001,A42,$B$2:$B$1001,B42-1,$G$2:$G$1001,"&gt;0")=0),"违规：须先完成上一次加仓",IF(AND(B42&gt;1,E42&lt;SUMIFS($E$2:$E$1001,$A$2:$A$1001,A42,$B$2:$B$1001,B42-1)),"违规：新止损价不得低于上一次",IF(AND(B42&gt;1,F42&gt;SUMIFS($F$2:$F$1001,$A$2:$A$1001,A42,$B$2:$B$1001,B42-1)),"违规：风险预算须逐次不增加",IF(OR(_LockStatus="已锁仓",_LockStatus="解锁信息不完整"),"违规：锁仓期间禁止加仓",IF(G42="","计划可执行：建议股数见N列",IF(OR(G42&lt;=0,G42&lt;&gt;INT(G42),MOD(G42,100)&lt;&gt;0),"违规：实际股数须为100股整数倍",IF(G42&gt;N42,"违规：实际股数超过风险或金字塔上限",IF(AND(B42&gt;1,G42&gt;SUMIFS($G$2:$G$1001,$A$2:$A$1001,A42,$B$2:$B$1001,B42-1)),"违规：加仓股数须逐次不增加",IF(Q42&gt;F42,"违规：止损风险超过本次预算","通过")))))))))))))))</f>
        <v/>
      </c>
    </row>
    <row r="43" customFormat="false" ht="15" hidden="false" customHeight="false" outlineLevel="0" collapsed="false">
      <c r="A43" s="20"/>
      <c r="B43" s="21"/>
      <c r="C43" s="22"/>
      <c r="D43" s="23"/>
      <c r="E43" s="23"/>
      <c r="F43" s="23"/>
      <c r="G43" s="21"/>
      <c r="H43" s="24" t="str">
        <f aca="false">IF(OR(A43="",D43="",G43=""),"",D43*G43)</f>
        <v/>
      </c>
      <c r="I43" s="25" t="str">
        <f aca="false">IF(OR(A43="",B43=""),"",IFERROR(LOOKUP(2,1/(单次交易!$A$2:$A$201=A43),单次交易!$H$2:$H$201),0)+SUMIFS($G$2:$G$1001,$A$2:$A$1001,A43,$B$2:$B$1001,"&lt;"&amp;B43))</f>
        <v/>
      </c>
      <c r="J43" s="24" t="str">
        <f aca="false">IF(OR(A43="",B43=""),"",IFERROR(LOOKUP(2,1/(单次交易!$A$2:$A$201=A43),单次交易!$E$2:$E$201)*LOOKUP(2,1/(单次交易!$A$2:$A$201=A43),单次交易!$H$2:$H$201),0)+SUMIFS($H$2:$H$1001,$A$2:$A$1001,A43,$B$2:$B$1001,"&lt;"&amp;B43))</f>
        <v/>
      </c>
      <c r="K43" s="24" t="str">
        <f aca="false">IF(OR(E43="",I43="",J43=""),"",MAX(E43*I43-J43,0))</f>
        <v/>
      </c>
      <c r="L43" s="25" t="str">
        <f aca="false">IF(OR(D43="",E43="",F43="",D43&lt;=E43),"",FLOOR((F43+K43)/(D43-E43),100))</f>
        <v/>
      </c>
      <c r="M43" s="25" t="str">
        <f aca="false">IF(OR(A43="",B43="",L43=""),"",IF(B43=1,L43,IFERROR(SUMIFS($G$2:$G$1001,$A$2:$A$1001,A43,$B$2:$B$1001,B43-1),0)))</f>
        <v/>
      </c>
      <c r="N43" s="25" t="str">
        <f aca="false">IF(OR(L43="",M43=""),"",MIN(L43,M43))</f>
        <v/>
      </c>
      <c r="O43" s="25" t="str">
        <f aca="false">IF(OR(I43="",G43=""),"",I43+G43)</f>
        <v/>
      </c>
      <c r="P43" s="24" t="str">
        <f aca="false">IF(OR(O43="",O43=0),"",(J43+H43)/O43)</f>
        <v/>
      </c>
      <c r="Q43" s="24" t="str">
        <f aca="false">IF(OR(O43="",E43=""),"",MAX(J43+H43-E43*O43,0))</f>
        <v/>
      </c>
      <c r="R43" s="26" t="str">
        <f aca="false">IF(A43="","",IF(COUNTIF(_TradeIds,A43)=0,"违规：交易编号不存在",IF(OR(B43="",B43&lt;1,B43&gt;5,B43&lt;&gt;INT(B43)),"违规：加仓序号须为1到5的整数",IF(COUNTIFS($A$2:$A$1001,A43,$B$2:$B$1001,B43)&gt;1,"违规：同一交易的加仓序号重复",IF(OR(D43="",E43="",F43=""),"计划不完整：请填写加仓价、新止损价和风险预算",IF(OR(D43&lt;=0,E43&lt;=0,F43&lt;=0,D43&lt;=E43),"违规：加仓价必须高于新止损价，金额须大于0",IF(AND(B43&gt;1,COUNTIFS($A$2:$A$1001,A43,$B$2:$B$1001,B43-1,$G$2:$G$1001,"&gt;0")=0),"违规：须先完成上一次加仓",IF(AND(B43&gt;1,E43&lt;SUMIFS($E$2:$E$1001,$A$2:$A$1001,A43,$B$2:$B$1001,B43-1)),"违规：新止损价不得低于上一次",IF(AND(B43&gt;1,F43&gt;SUMIFS($F$2:$F$1001,$A$2:$A$1001,A43,$B$2:$B$1001,B43-1)),"违规：风险预算须逐次不增加",IF(OR(_LockStatus="已锁仓",_LockStatus="解锁信息不完整"),"违规：锁仓期间禁止加仓",IF(G43="","计划可执行：建议股数见N列",IF(OR(G43&lt;=0,G43&lt;&gt;INT(G43),MOD(G43,100)&lt;&gt;0),"违规：实际股数须为100股整数倍",IF(G43&gt;N43,"违规：实际股数超过风险或金字塔上限",IF(AND(B43&gt;1,G43&gt;SUMIFS($G$2:$G$1001,$A$2:$A$1001,A43,$B$2:$B$1001,B43-1)),"违规：加仓股数须逐次不增加",IF(Q43&gt;F43,"违规：止损风险超过本次预算","通过")))))))))))))))</f>
        <v/>
      </c>
    </row>
    <row r="44" customFormat="false" ht="15" hidden="false" customHeight="false" outlineLevel="0" collapsed="false">
      <c r="A44" s="20"/>
      <c r="B44" s="21"/>
      <c r="C44" s="22"/>
      <c r="D44" s="23"/>
      <c r="E44" s="23"/>
      <c r="F44" s="23"/>
      <c r="G44" s="21"/>
      <c r="H44" s="24" t="str">
        <f aca="false">IF(OR(A44="",D44="",G44=""),"",D44*G44)</f>
        <v/>
      </c>
      <c r="I44" s="25" t="str">
        <f aca="false">IF(OR(A44="",B44=""),"",IFERROR(LOOKUP(2,1/(单次交易!$A$2:$A$201=A44),单次交易!$H$2:$H$201),0)+SUMIFS($G$2:$G$1001,$A$2:$A$1001,A44,$B$2:$B$1001,"&lt;"&amp;B44))</f>
        <v/>
      </c>
      <c r="J44" s="24" t="str">
        <f aca="false">IF(OR(A44="",B44=""),"",IFERROR(LOOKUP(2,1/(单次交易!$A$2:$A$201=A44),单次交易!$E$2:$E$201)*LOOKUP(2,1/(单次交易!$A$2:$A$201=A44),单次交易!$H$2:$H$201),0)+SUMIFS($H$2:$H$1001,$A$2:$A$1001,A44,$B$2:$B$1001,"&lt;"&amp;B44))</f>
        <v/>
      </c>
      <c r="K44" s="24" t="str">
        <f aca="false">IF(OR(E44="",I44="",J44=""),"",MAX(E44*I44-J44,0))</f>
        <v/>
      </c>
      <c r="L44" s="25" t="str">
        <f aca="false">IF(OR(D44="",E44="",F44="",D44&lt;=E44),"",FLOOR((F44+K44)/(D44-E44),100))</f>
        <v/>
      </c>
      <c r="M44" s="25" t="str">
        <f aca="false">IF(OR(A44="",B44="",L44=""),"",IF(B44=1,L44,IFERROR(SUMIFS($G$2:$G$1001,$A$2:$A$1001,A44,$B$2:$B$1001,B44-1),0)))</f>
        <v/>
      </c>
      <c r="N44" s="25" t="str">
        <f aca="false">IF(OR(L44="",M44=""),"",MIN(L44,M44))</f>
        <v/>
      </c>
      <c r="O44" s="25" t="str">
        <f aca="false">IF(OR(I44="",G44=""),"",I44+G44)</f>
        <v/>
      </c>
      <c r="P44" s="24" t="str">
        <f aca="false">IF(OR(O44="",O44=0),"",(J44+H44)/O44)</f>
        <v/>
      </c>
      <c r="Q44" s="24" t="str">
        <f aca="false">IF(OR(O44="",E44=""),"",MAX(J44+H44-E44*O44,0))</f>
        <v/>
      </c>
      <c r="R44" s="26" t="str">
        <f aca="false">IF(A44="","",IF(COUNTIF(_TradeIds,A44)=0,"违规：交易编号不存在",IF(OR(B44="",B44&lt;1,B44&gt;5,B44&lt;&gt;INT(B44)),"违规：加仓序号须为1到5的整数",IF(COUNTIFS($A$2:$A$1001,A44,$B$2:$B$1001,B44)&gt;1,"违规：同一交易的加仓序号重复",IF(OR(D44="",E44="",F44=""),"计划不完整：请填写加仓价、新止损价和风险预算",IF(OR(D44&lt;=0,E44&lt;=0,F44&lt;=0,D44&lt;=E44),"违规：加仓价必须高于新止损价，金额须大于0",IF(AND(B44&gt;1,COUNTIFS($A$2:$A$1001,A44,$B$2:$B$1001,B44-1,$G$2:$G$1001,"&gt;0")=0),"违规：须先完成上一次加仓",IF(AND(B44&gt;1,E44&lt;SUMIFS($E$2:$E$1001,$A$2:$A$1001,A44,$B$2:$B$1001,B44-1)),"违规：新止损价不得低于上一次",IF(AND(B44&gt;1,F44&gt;SUMIFS($F$2:$F$1001,$A$2:$A$1001,A44,$B$2:$B$1001,B44-1)),"违规：风险预算须逐次不增加",IF(OR(_LockStatus="已锁仓",_LockStatus="解锁信息不完整"),"违规：锁仓期间禁止加仓",IF(G44="","计划可执行：建议股数见N列",IF(OR(G44&lt;=0,G44&lt;&gt;INT(G44),MOD(G44,100)&lt;&gt;0),"违规：实际股数须为100股整数倍",IF(G44&gt;N44,"违规：实际股数超过风险或金字塔上限",IF(AND(B44&gt;1,G44&gt;SUMIFS($G$2:$G$1001,$A$2:$A$1001,A44,$B$2:$B$1001,B44-1)),"违规：加仓股数须逐次不增加",IF(Q44&gt;F44,"违规：止损风险超过本次预算","通过")))))))))))))))</f>
        <v/>
      </c>
    </row>
    <row r="45" customFormat="false" ht="15" hidden="false" customHeight="false" outlineLevel="0" collapsed="false">
      <c r="A45" s="20"/>
      <c r="B45" s="21"/>
      <c r="C45" s="22"/>
      <c r="D45" s="23"/>
      <c r="E45" s="23"/>
      <c r="F45" s="23"/>
      <c r="G45" s="21"/>
      <c r="H45" s="24" t="str">
        <f aca="false">IF(OR(A45="",D45="",G45=""),"",D45*G45)</f>
        <v/>
      </c>
      <c r="I45" s="25" t="str">
        <f aca="false">IF(OR(A45="",B45=""),"",IFERROR(LOOKUP(2,1/(单次交易!$A$2:$A$201=A45),单次交易!$H$2:$H$201),0)+SUMIFS($G$2:$G$1001,$A$2:$A$1001,A45,$B$2:$B$1001,"&lt;"&amp;B45))</f>
        <v/>
      </c>
      <c r="J45" s="24" t="str">
        <f aca="false">IF(OR(A45="",B45=""),"",IFERROR(LOOKUP(2,1/(单次交易!$A$2:$A$201=A45),单次交易!$E$2:$E$201)*LOOKUP(2,1/(单次交易!$A$2:$A$201=A45),单次交易!$H$2:$H$201),0)+SUMIFS($H$2:$H$1001,$A$2:$A$1001,A45,$B$2:$B$1001,"&lt;"&amp;B45))</f>
        <v/>
      </c>
      <c r="K45" s="24" t="str">
        <f aca="false">IF(OR(E45="",I45="",J45=""),"",MAX(E45*I45-J45,0))</f>
        <v/>
      </c>
      <c r="L45" s="25" t="str">
        <f aca="false">IF(OR(D45="",E45="",F45="",D45&lt;=E45),"",FLOOR((F45+K45)/(D45-E45),100))</f>
        <v/>
      </c>
      <c r="M45" s="25" t="str">
        <f aca="false">IF(OR(A45="",B45="",L45=""),"",IF(B45=1,L45,IFERROR(SUMIFS($G$2:$G$1001,$A$2:$A$1001,A45,$B$2:$B$1001,B45-1),0)))</f>
        <v/>
      </c>
      <c r="N45" s="25" t="str">
        <f aca="false">IF(OR(L45="",M45=""),"",MIN(L45,M45))</f>
        <v/>
      </c>
      <c r="O45" s="25" t="str">
        <f aca="false">IF(OR(I45="",G45=""),"",I45+G45)</f>
        <v/>
      </c>
      <c r="P45" s="24" t="str">
        <f aca="false">IF(OR(O45="",O45=0),"",(J45+H45)/O45)</f>
        <v/>
      </c>
      <c r="Q45" s="24" t="str">
        <f aca="false">IF(OR(O45="",E45=""),"",MAX(J45+H45-E45*O45,0))</f>
        <v/>
      </c>
      <c r="R45" s="26" t="str">
        <f aca="false">IF(A45="","",IF(COUNTIF(_TradeIds,A45)=0,"违规：交易编号不存在",IF(OR(B45="",B45&lt;1,B45&gt;5,B45&lt;&gt;INT(B45)),"违规：加仓序号须为1到5的整数",IF(COUNTIFS($A$2:$A$1001,A45,$B$2:$B$1001,B45)&gt;1,"违规：同一交易的加仓序号重复",IF(OR(D45="",E45="",F45=""),"计划不完整：请填写加仓价、新止损价和风险预算",IF(OR(D45&lt;=0,E45&lt;=0,F45&lt;=0,D45&lt;=E45),"违规：加仓价必须高于新止损价，金额须大于0",IF(AND(B45&gt;1,COUNTIFS($A$2:$A$1001,A45,$B$2:$B$1001,B45-1,$G$2:$G$1001,"&gt;0")=0),"违规：须先完成上一次加仓",IF(AND(B45&gt;1,E45&lt;SUMIFS($E$2:$E$1001,$A$2:$A$1001,A45,$B$2:$B$1001,B45-1)),"违规：新止损价不得低于上一次",IF(AND(B45&gt;1,F45&gt;SUMIFS($F$2:$F$1001,$A$2:$A$1001,A45,$B$2:$B$1001,B45-1)),"违规：风险预算须逐次不增加",IF(OR(_LockStatus="已锁仓",_LockStatus="解锁信息不完整"),"违规：锁仓期间禁止加仓",IF(G45="","计划可执行：建议股数见N列",IF(OR(G45&lt;=0,G45&lt;&gt;INT(G45),MOD(G45,100)&lt;&gt;0),"违规：实际股数须为100股整数倍",IF(G45&gt;N45,"违规：实际股数超过风险或金字塔上限",IF(AND(B45&gt;1,G45&gt;SUMIFS($G$2:$G$1001,$A$2:$A$1001,A45,$B$2:$B$1001,B45-1)),"违规：加仓股数须逐次不增加",IF(Q45&gt;F45,"违规：止损风险超过本次预算","通过")))))))))))))))</f>
        <v/>
      </c>
    </row>
    <row r="46" customFormat="false" ht="15" hidden="false" customHeight="false" outlineLevel="0" collapsed="false">
      <c r="A46" s="20"/>
      <c r="B46" s="21"/>
      <c r="C46" s="22"/>
      <c r="D46" s="23"/>
      <c r="E46" s="23"/>
      <c r="F46" s="23"/>
      <c r="G46" s="21"/>
      <c r="H46" s="24" t="str">
        <f aca="false">IF(OR(A46="",D46="",G46=""),"",D46*G46)</f>
        <v/>
      </c>
      <c r="I46" s="25" t="str">
        <f aca="false">IF(OR(A46="",B46=""),"",IFERROR(LOOKUP(2,1/(单次交易!$A$2:$A$201=A46),单次交易!$H$2:$H$201),0)+SUMIFS($G$2:$G$1001,$A$2:$A$1001,A46,$B$2:$B$1001,"&lt;"&amp;B46))</f>
        <v/>
      </c>
      <c r="J46" s="24" t="str">
        <f aca="false">IF(OR(A46="",B46=""),"",IFERROR(LOOKUP(2,1/(单次交易!$A$2:$A$201=A46),单次交易!$E$2:$E$201)*LOOKUP(2,1/(单次交易!$A$2:$A$201=A46),单次交易!$H$2:$H$201),0)+SUMIFS($H$2:$H$1001,$A$2:$A$1001,A46,$B$2:$B$1001,"&lt;"&amp;B46))</f>
        <v/>
      </c>
      <c r="K46" s="24" t="str">
        <f aca="false">IF(OR(E46="",I46="",J46=""),"",MAX(E46*I46-J46,0))</f>
        <v/>
      </c>
      <c r="L46" s="25" t="str">
        <f aca="false">IF(OR(D46="",E46="",F46="",D46&lt;=E46),"",FLOOR((F46+K46)/(D46-E46),100))</f>
        <v/>
      </c>
      <c r="M46" s="25" t="str">
        <f aca="false">IF(OR(A46="",B46="",L46=""),"",IF(B46=1,L46,IFERROR(SUMIFS($G$2:$G$1001,$A$2:$A$1001,A46,$B$2:$B$1001,B46-1),0)))</f>
        <v/>
      </c>
      <c r="N46" s="25" t="str">
        <f aca="false">IF(OR(L46="",M46=""),"",MIN(L46,M46))</f>
        <v/>
      </c>
      <c r="O46" s="25" t="str">
        <f aca="false">IF(OR(I46="",G46=""),"",I46+G46)</f>
        <v/>
      </c>
      <c r="P46" s="24" t="str">
        <f aca="false">IF(OR(O46="",O46=0),"",(J46+H46)/O46)</f>
        <v/>
      </c>
      <c r="Q46" s="24" t="str">
        <f aca="false">IF(OR(O46="",E46=""),"",MAX(J46+H46-E46*O46,0))</f>
        <v/>
      </c>
      <c r="R46" s="26" t="str">
        <f aca="false">IF(A46="","",IF(COUNTIF(_TradeIds,A46)=0,"违规：交易编号不存在",IF(OR(B46="",B46&lt;1,B46&gt;5,B46&lt;&gt;INT(B46)),"违规：加仓序号须为1到5的整数",IF(COUNTIFS($A$2:$A$1001,A46,$B$2:$B$1001,B46)&gt;1,"违规：同一交易的加仓序号重复",IF(OR(D46="",E46="",F46=""),"计划不完整：请填写加仓价、新止损价和风险预算",IF(OR(D46&lt;=0,E46&lt;=0,F46&lt;=0,D46&lt;=E46),"违规：加仓价必须高于新止损价，金额须大于0",IF(AND(B46&gt;1,COUNTIFS($A$2:$A$1001,A46,$B$2:$B$1001,B46-1,$G$2:$G$1001,"&gt;0")=0),"违规：须先完成上一次加仓",IF(AND(B46&gt;1,E46&lt;SUMIFS($E$2:$E$1001,$A$2:$A$1001,A46,$B$2:$B$1001,B46-1)),"违规：新止损价不得低于上一次",IF(AND(B46&gt;1,F46&gt;SUMIFS($F$2:$F$1001,$A$2:$A$1001,A46,$B$2:$B$1001,B46-1)),"违规：风险预算须逐次不增加",IF(OR(_LockStatus="已锁仓",_LockStatus="解锁信息不完整"),"违规：锁仓期间禁止加仓",IF(G46="","计划可执行：建议股数见N列",IF(OR(G46&lt;=0,G46&lt;&gt;INT(G46),MOD(G46,100)&lt;&gt;0),"违规：实际股数须为100股整数倍",IF(G46&gt;N46,"违规：实际股数超过风险或金字塔上限",IF(AND(B46&gt;1,G46&gt;SUMIFS($G$2:$G$1001,$A$2:$A$1001,A46,$B$2:$B$1001,B46-1)),"违规：加仓股数须逐次不增加",IF(Q46&gt;F46,"违规：止损风险超过本次预算","通过")))))))))))))))</f>
        <v/>
      </c>
    </row>
    <row r="47" customFormat="false" ht="15" hidden="false" customHeight="false" outlineLevel="0" collapsed="false">
      <c r="A47" s="20"/>
      <c r="B47" s="21"/>
      <c r="C47" s="22"/>
      <c r="D47" s="23"/>
      <c r="E47" s="23"/>
      <c r="F47" s="23"/>
      <c r="G47" s="21"/>
      <c r="H47" s="24" t="str">
        <f aca="false">IF(OR(A47="",D47="",G47=""),"",D47*G47)</f>
        <v/>
      </c>
      <c r="I47" s="25" t="str">
        <f aca="false">IF(OR(A47="",B47=""),"",IFERROR(LOOKUP(2,1/(单次交易!$A$2:$A$201=A47),单次交易!$H$2:$H$201),0)+SUMIFS($G$2:$G$1001,$A$2:$A$1001,A47,$B$2:$B$1001,"&lt;"&amp;B47))</f>
        <v/>
      </c>
      <c r="J47" s="24" t="str">
        <f aca="false">IF(OR(A47="",B47=""),"",IFERROR(LOOKUP(2,1/(单次交易!$A$2:$A$201=A47),单次交易!$E$2:$E$201)*LOOKUP(2,1/(单次交易!$A$2:$A$201=A47),单次交易!$H$2:$H$201),0)+SUMIFS($H$2:$H$1001,$A$2:$A$1001,A47,$B$2:$B$1001,"&lt;"&amp;B47))</f>
        <v/>
      </c>
      <c r="K47" s="24" t="str">
        <f aca="false">IF(OR(E47="",I47="",J47=""),"",MAX(E47*I47-J47,0))</f>
        <v/>
      </c>
      <c r="L47" s="25" t="str">
        <f aca="false">IF(OR(D47="",E47="",F47="",D47&lt;=E47),"",FLOOR((F47+K47)/(D47-E47),100))</f>
        <v/>
      </c>
      <c r="M47" s="25" t="str">
        <f aca="false">IF(OR(A47="",B47="",L47=""),"",IF(B47=1,L47,IFERROR(SUMIFS($G$2:$G$1001,$A$2:$A$1001,A47,$B$2:$B$1001,B47-1),0)))</f>
        <v/>
      </c>
      <c r="N47" s="25" t="str">
        <f aca="false">IF(OR(L47="",M47=""),"",MIN(L47,M47))</f>
        <v/>
      </c>
      <c r="O47" s="25" t="str">
        <f aca="false">IF(OR(I47="",G47=""),"",I47+G47)</f>
        <v/>
      </c>
      <c r="P47" s="24" t="str">
        <f aca="false">IF(OR(O47="",O47=0),"",(J47+H47)/O47)</f>
        <v/>
      </c>
      <c r="Q47" s="24" t="str">
        <f aca="false">IF(OR(O47="",E47=""),"",MAX(J47+H47-E47*O47,0))</f>
        <v/>
      </c>
      <c r="R47" s="26" t="str">
        <f aca="false">IF(A47="","",IF(COUNTIF(_TradeIds,A47)=0,"违规：交易编号不存在",IF(OR(B47="",B47&lt;1,B47&gt;5,B47&lt;&gt;INT(B47)),"违规：加仓序号须为1到5的整数",IF(COUNTIFS($A$2:$A$1001,A47,$B$2:$B$1001,B47)&gt;1,"违规：同一交易的加仓序号重复",IF(OR(D47="",E47="",F47=""),"计划不完整：请填写加仓价、新止损价和风险预算",IF(OR(D47&lt;=0,E47&lt;=0,F47&lt;=0,D47&lt;=E47),"违规：加仓价必须高于新止损价，金额须大于0",IF(AND(B47&gt;1,COUNTIFS($A$2:$A$1001,A47,$B$2:$B$1001,B47-1,$G$2:$G$1001,"&gt;0")=0),"违规：须先完成上一次加仓",IF(AND(B47&gt;1,E47&lt;SUMIFS($E$2:$E$1001,$A$2:$A$1001,A47,$B$2:$B$1001,B47-1)),"违规：新止损价不得低于上一次",IF(AND(B47&gt;1,F47&gt;SUMIFS($F$2:$F$1001,$A$2:$A$1001,A47,$B$2:$B$1001,B47-1)),"违规：风险预算须逐次不增加",IF(OR(_LockStatus="已锁仓",_LockStatus="解锁信息不完整"),"违规：锁仓期间禁止加仓",IF(G47="","计划可执行：建议股数见N列",IF(OR(G47&lt;=0,G47&lt;&gt;INT(G47),MOD(G47,100)&lt;&gt;0),"违规：实际股数须为100股整数倍",IF(G47&gt;N47,"违规：实际股数超过风险或金字塔上限",IF(AND(B47&gt;1,G47&gt;SUMIFS($G$2:$G$1001,$A$2:$A$1001,A47,$B$2:$B$1001,B47-1)),"违规：加仓股数须逐次不增加",IF(Q47&gt;F47,"违规：止损风险超过本次预算","通过")))))))))))))))</f>
        <v/>
      </c>
    </row>
    <row r="48" customFormat="false" ht="15" hidden="false" customHeight="false" outlineLevel="0" collapsed="false">
      <c r="A48" s="20"/>
      <c r="B48" s="21"/>
      <c r="C48" s="22"/>
      <c r="D48" s="23"/>
      <c r="E48" s="23"/>
      <c r="F48" s="23"/>
      <c r="G48" s="21"/>
      <c r="H48" s="24" t="str">
        <f aca="false">IF(OR(A48="",D48="",G48=""),"",D48*G48)</f>
        <v/>
      </c>
      <c r="I48" s="25" t="str">
        <f aca="false">IF(OR(A48="",B48=""),"",IFERROR(LOOKUP(2,1/(单次交易!$A$2:$A$201=A48),单次交易!$H$2:$H$201),0)+SUMIFS($G$2:$G$1001,$A$2:$A$1001,A48,$B$2:$B$1001,"&lt;"&amp;B48))</f>
        <v/>
      </c>
      <c r="J48" s="24" t="str">
        <f aca="false">IF(OR(A48="",B48=""),"",IFERROR(LOOKUP(2,1/(单次交易!$A$2:$A$201=A48),单次交易!$E$2:$E$201)*LOOKUP(2,1/(单次交易!$A$2:$A$201=A48),单次交易!$H$2:$H$201),0)+SUMIFS($H$2:$H$1001,$A$2:$A$1001,A48,$B$2:$B$1001,"&lt;"&amp;B48))</f>
        <v/>
      </c>
      <c r="K48" s="24" t="str">
        <f aca="false">IF(OR(E48="",I48="",J48=""),"",MAX(E48*I48-J48,0))</f>
        <v/>
      </c>
      <c r="L48" s="25" t="str">
        <f aca="false">IF(OR(D48="",E48="",F48="",D48&lt;=E48),"",FLOOR((F48+K48)/(D48-E48),100))</f>
        <v/>
      </c>
      <c r="M48" s="25" t="str">
        <f aca="false">IF(OR(A48="",B48="",L48=""),"",IF(B48=1,L48,IFERROR(SUMIFS($G$2:$G$1001,$A$2:$A$1001,A48,$B$2:$B$1001,B48-1),0)))</f>
        <v/>
      </c>
      <c r="N48" s="25" t="str">
        <f aca="false">IF(OR(L48="",M48=""),"",MIN(L48,M48))</f>
        <v/>
      </c>
      <c r="O48" s="25" t="str">
        <f aca="false">IF(OR(I48="",G48=""),"",I48+G48)</f>
        <v/>
      </c>
      <c r="P48" s="24" t="str">
        <f aca="false">IF(OR(O48="",O48=0),"",(J48+H48)/O48)</f>
        <v/>
      </c>
      <c r="Q48" s="24" t="str">
        <f aca="false">IF(OR(O48="",E48=""),"",MAX(J48+H48-E48*O48,0))</f>
        <v/>
      </c>
      <c r="R48" s="26" t="str">
        <f aca="false">IF(A48="","",IF(COUNTIF(_TradeIds,A48)=0,"违规：交易编号不存在",IF(OR(B48="",B48&lt;1,B48&gt;5,B48&lt;&gt;INT(B48)),"违规：加仓序号须为1到5的整数",IF(COUNTIFS($A$2:$A$1001,A48,$B$2:$B$1001,B48)&gt;1,"违规：同一交易的加仓序号重复",IF(OR(D48="",E48="",F48=""),"计划不完整：请填写加仓价、新止损价和风险预算",IF(OR(D48&lt;=0,E48&lt;=0,F48&lt;=0,D48&lt;=E48),"违规：加仓价必须高于新止损价，金额须大于0",IF(AND(B48&gt;1,COUNTIFS($A$2:$A$1001,A48,$B$2:$B$1001,B48-1,$G$2:$G$1001,"&gt;0")=0),"违规：须先完成上一次加仓",IF(AND(B48&gt;1,E48&lt;SUMIFS($E$2:$E$1001,$A$2:$A$1001,A48,$B$2:$B$1001,B48-1)),"违规：新止损价不得低于上一次",IF(AND(B48&gt;1,F48&gt;SUMIFS($F$2:$F$1001,$A$2:$A$1001,A48,$B$2:$B$1001,B48-1)),"违规：风险预算须逐次不增加",IF(OR(_LockStatus="已锁仓",_LockStatus="解锁信息不完整"),"违规：锁仓期间禁止加仓",IF(G48="","计划可执行：建议股数见N列",IF(OR(G48&lt;=0,G48&lt;&gt;INT(G48),MOD(G48,100)&lt;&gt;0),"违规：实际股数须为100股整数倍",IF(G48&gt;N48,"违规：实际股数超过风险或金字塔上限",IF(AND(B48&gt;1,G48&gt;SUMIFS($G$2:$G$1001,$A$2:$A$1001,A48,$B$2:$B$1001,B48-1)),"违规：加仓股数须逐次不增加",IF(Q48&gt;F48,"违规：止损风险超过本次预算","通过")))))))))))))))</f>
        <v/>
      </c>
    </row>
    <row r="49" customFormat="false" ht="15" hidden="false" customHeight="false" outlineLevel="0" collapsed="false">
      <c r="A49" s="20"/>
      <c r="B49" s="21"/>
      <c r="C49" s="22"/>
      <c r="D49" s="23"/>
      <c r="E49" s="23"/>
      <c r="F49" s="23"/>
      <c r="G49" s="21"/>
      <c r="H49" s="24" t="str">
        <f aca="false">IF(OR(A49="",D49="",G49=""),"",D49*G49)</f>
        <v/>
      </c>
      <c r="I49" s="25" t="str">
        <f aca="false">IF(OR(A49="",B49=""),"",IFERROR(LOOKUP(2,1/(单次交易!$A$2:$A$201=A49),单次交易!$H$2:$H$201),0)+SUMIFS($G$2:$G$1001,$A$2:$A$1001,A49,$B$2:$B$1001,"&lt;"&amp;B49))</f>
        <v/>
      </c>
      <c r="J49" s="24" t="str">
        <f aca="false">IF(OR(A49="",B49=""),"",IFERROR(LOOKUP(2,1/(单次交易!$A$2:$A$201=A49),单次交易!$E$2:$E$201)*LOOKUP(2,1/(单次交易!$A$2:$A$201=A49),单次交易!$H$2:$H$201),0)+SUMIFS($H$2:$H$1001,$A$2:$A$1001,A49,$B$2:$B$1001,"&lt;"&amp;B49))</f>
        <v/>
      </c>
      <c r="K49" s="24" t="str">
        <f aca="false">IF(OR(E49="",I49="",J49=""),"",MAX(E49*I49-J49,0))</f>
        <v/>
      </c>
      <c r="L49" s="25" t="str">
        <f aca="false">IF(OR(D49="",E49="",F49="",D49&lt;=E49),"",FLOOR((F49+K49)/(D49-E49),100))</f>
        <v/>
      </c>
      <c r="M49" s="25" t="str">
        <f aca="false">IF(OR(A49="",B49="",L49=""),"",IF(B49=1,L49,IFERROR(SUMIFS($G$2:$G$1001,$A$2:$A$1001,A49,$B$2:$B$1001,B49-1),0)))</f>
        <v/>
      </c>
      <c r="N49" s="25" t="str">
        <f aca="false">IF(OR(L49="",M49=""),"",MIN(L49,M49))</f>
        <v/>
      </c>
      <c r="O49" s="25" t="str">
        <f aca="false">IF(OR(I49="",G49=""),"",I49+G49)</f>
        <v/>
      </c>
      <c r="P49" s="24" t="str">
        <f aca="false">IF(OR(O49="",O49=0),"",(J49+H49)/O49)</f>
        <v/>
      </c>
      <c r="Q49" s="24" t="str">
        <f aca="false">IF(OR(O49="",E49=""),"",MAX(J49+H49-E49*O49,0))</f>
        <v/>
      </c>
      <c r="R49" s="26" t="str">
        <f aca="false">IF(A49="","",IF(COUNTIF(_TradeIds,A49)=0,"违规：交易编号不存在",IF(OR(B49="",B49&lt;1,B49&gt;5,B49&lt;&gt;INT(B49)),"违规：加仓序号须为1到5的整数",IF(COUNTIFS($A$2:$A$1001,A49,$B$2:$B$1001,B49)&gt;1,"违规：同一交易的加仓序号重复",IF(OR(D49="",E49="",F49=""),"计划不完整：请填写加仓价、新止损价和风险预算",IF(OR(D49&lt;=0,E49&lt;=0,F49&lt;=0,D49&lt;=E49),"违规：加仓价必须高于新止损价，金额须大于0",IF(AND(B49&gt;1,COUNTIFS($A$2:$A$1001,A49,$B$2:$B$1001,B49-1,$G$2:$G$1001,"&gt;0")=0),"违规：须先完成上一次加仓",IF(AND(B49&gt;1,E49&lt;SUMIFS($E$2:$E$1001,$A$2:$A$1001,A49,$B$2:$B$1001,B49-1)),"违规：新止损价不得低于上一次",IF(AND(B49&gt;1,F49&gt;SUMIFS($F$2:$F$1001,$A$2:$A$1001,A49,$B$2:$B$1001,B49-1)),"违规：风险预算须逐次不增加",IF(OR(_LockStatus="已锁仓",_LockStatus="解锁信息不完整"),"违规：锁仓期间禁止加仓",IF(G49="","计划可执行：建议股数见N列",IF(OR(G49&lt;=0,G49&lt;&gt;INT(G49),MOD(G49,100)&lt;&gt;0),"违规：实际股数须为100股整数倍",IF(G49&gt;N49,"违规：实际股数超过风险或金字塔上限",IF(AND(B49&gt;1,G49&gt;SUMIFS($G$2:$G$1001,$A$2:$A$1001,A49,$B$2:$B$1001,B49-1)),"违规：加仓股数须逐次不增加",IF(Q49&gt;F49,"违规：止损风险超过本次预算","通过")))))))))))))))</f>
        <v/>
      </c>
    </row>
    <row r="50" customFormat="false" ht="15" hidden="false" customHeight="false" outlineLevel="0" collapsed="false">
      <c r="A50" s="20"/>
      <c r="B50" s="21"/>
      <c r="C50" s="22"/>
      <c r="D50" s="23"/>
      <c r="E50" s="23"/>
      <c r="F50" s="23"/>
      <c r="G50" s="21"/>
      <c r="H50" s="24" t="str">
        <f aca="false">IF(OR(A50="",D50="",G50=""),"",D50*G50)</f>
        <v/>
      </c>
      <c r="I50" s="25" t="str">
        <f aca="false">IF(OR(A50="",B50=""),"",IFERROR(LOOKUP(2,1/(单次交易!$A$2:$A$201=A50),单次交易!$H$2:$H$201),0)+SUMIFS($G$2:$G$1001,$A$2:$A$1001,A50,$B$2:$B$1001,"&lt;"&amp;B50))</f>
        <v/>
      </c>
      <c r="J50" s="24" t="str">
        <f aca="false">IF(OR(A50="",B50=""),"",IFERROR(LOOKUP(2,1/(单次交易!$A$2:$A$201=A50),单次交易!$E$2:$E$201)*LOOKUP(2,1/(单次交易!$A$2:$A$201=A50),单次交易!$H$2:$H$201),0)+SUMIFS($H$2:$H$1001,$A$2:$A$1001,A50,$B$2:$B$1001,"&lt;"&amp;B50))</f>
        <v/>
      </c>
      <c r="K50" s="24" t="str">
        <f aca="false">IF(OR(E50="",I50="",J50=""),"",MAX(E50*I50-J50,0))</f>
        <v/>
      </c>
      <c r="L50" s="25" t="str">
        <f aca="false">IF(OR(D50="",E50="",F50="",D50&lt;=E50),"",FLOOR((F50+K50)/(D50-E50),100))</f>
        <v/>
      </c>
      <c r="M50" s="25" t="str">
        <f aca="false">IF(OR(A50="",B50="",L50=""),"",IF(B50=1,L50,IFERROR(SUMIFS($G$2:$G$1001,$A$2:$A$1001,A50,$B$2:$B$1001,B50-1),0)))</f>
        <v/>
      </c>
      <c r="N50" s="25" t="str">
        <f aca="false">IF(OR(L50="",M50=""),"",MIN(L50,M50))</f>
        <v/>
      </c>
      <c r="O50" s="25" t="str">
        <f aca="false">IF(OR(I50="",G50=""),"",I50+G50)</f>
        <v/>
      </c>
      <c r="P50" s="24" t="str">
        <f aca="false">IF(OR(O50="",O50=0),"",(J50+H50)/O50)</f>
        <v/>
      </c>
      <c r="Q50" s="24" t="str">
        <f aca="false">IF(OR(O50="",E50=""),"",MAX(J50+H50-E50*O50,0))</f>
        <v/>
      </c>
      <c r="R50" s="26" t="str">
        <f aca="false">IF(A50="","",IF(COUNTIF(_TradeIds,A50)=0,"违规：交易编号不存在",IF(OR(B50="",B50&lt;1,B50&gt;5,B50&lt;&gt;INT(B50)),"违规：加仓序号须为1到5的整数",IF(COUNTIFS($A$2:$A$1001,A50,$B$2:$B$1001,B50)&gt;1,"违规：同一交易的加仓序号重复",IF(OR(D50="",E50="",F50=""),"计划不完整：请填写加仓价、新止损价和风险预算",IF(OR(D50&lt;=0,E50&lt;=0,F50&lt;=0,D50&lt;=E50),"违规：加仓价必须高于新止损价，金额须大于0",IF(AND(B50&gt;1,COUNTIFS($A$2:$A$1001,A50,$B$2:$B$1001,B50-1,$G$2:$G$1001,"&gt;0")=0),"违规：须先完成上一次加仓",IF(AND(B50&gt;1,E50&lt;SUMIFS($E$2:$E$1001,$A$2:$A$1001,A50,$B$2:$B$1001,B50-1)),"违规：新止损价不得低于上一次",IF(AND(B50&gt;1,F50&gt;SUMIFS($F$2:$F$1001,$A$2:$A$1001,A50,$B$2:$B$1001,B50-1)),"违规：风险预算须逐次不增加",IF(OR(_LockStatus="已锁仓",_LockStatus="解锁信息不完整"),"违规：锁仓期间禁止加仓",IF(G50="","计划可执行：建议股数见N列",IF(OR(G50&lt;=0,G50&lt;&gt;INT(G50),MOD(G50,100)&lt;&gt;0),"违规：实际股数须为100股整数倍",IF(G50&gt;N50,"违规：实际股数超过风险或金字塔上限",IF(AND(B50&gt;1,G50&gt;SUMIFS($G$2:$G$1001,$A$2:$A$1001,A50,$B$2:$B$1001,B50-1)),"违规：加仓股数须逐次不增加",IF(Q50&gt;F50,"违规：止损风险超过本次预算","通过")))))))))))))))</f>
        <v/>
      </c>
    </row>
    <row r="51" customFormat="false" ht="15" hidden="false" customHeight="false" outlineLevel="0" collapsed="false">
      <c r="A51" s="20"/>
      <c r="B51" s="21"/>
      <c r="C51" s="22"/>
      <c r="D51" s="23"/>
      <c r="E51" s="23"/>
      <c r="F51" s="23"/>
      <c r="G51" s="21"/>
      <c r="H51" s="24" t="str">
        <f aca="false">IF(OR(A51="",D51="",G51=""),"",D51*G51)</f>
        <v/>
      </c>
      <c r="I51" s="25" t="str">
        <f aca="false">IF(OR(A51="",B51=""),"",IFERROR(LOOKUP(2,1/(单次交易!$A$2:$A$201=A51),单次交易!$H$2:$H$201),0)+SUMIFS($G$2:$G$1001,$A$2:$A$1001,A51,$B$2:$B$1001,"&lt;"&amp;B51))</f>
        <v/>
      </c>
      <c r="J51" s="24" t="str">
        <f aca="false">IF(OR(A51="",B51=""),"",IFERROR(LOOKUP(2,1/(单次交易!$A$2:$A$201=A51),单次交易!$E$2:$E$201)*LOOKUP(2,1/(单次交易!$A$2:$A$201=A51),单次交易!$H$2:$H$201),0)+SUMIFS($H$2:$H$1001,$A$2:$A$1001,A51,$B$2:$B$1001,"&lt;"&amp;B51))</f>
        <v/>
      </c>
      <c r="K51" s="24" t="str">
        <f aca="false">IF(OR(E51="",I51="",J51=""),"",MAX(E51*I51-J51,0))</f>
        <v/>
      </c>
      <c r="L51" s="25" t="str">
        <f aca="false">IF(OR(D51="",E51="",F51="",D51&lt;=E51),"",FLOOR((F51+K51)/(D51-E51),100))</f>
        <v/>
      </c>
      <c r="M51" s="25" t="str">
        <f aca="false">IF(OR(A51="",B51="",L51=""),"",IF(B51=1,L51,IFERROR(SUMIFS($G$2:$G$1001,$A$2:$A$1001,A51,$B$2:$B$1001,B51-1),0)))</f>
        <v/>
      </c>
      <c r="N51" s="25" t="str">
        <f aca="false">IF(OR(L51="",M51=""),"",MIN(L51,M51))</f>
        <v/>
      </c>
      <c r="O51" s="25" t="str">
        <f aca="false">IF(OR(I51="",G51=""),"",I51+G51)</f>
        <v/>
      </c>
      <c r="P51" s="24" t="str">
        <f aca="false">IF(OR(O51="",O51=0),"",(J51+H51)/O51)</f>
        <v/>
      </c>
      <c r="Q51" s="24" t="str">
        <f aca="false">IF(OR(O51="",E51=""),"",MAX(J51+H51-E51*O51,0))</f>
        <v/>
      </c>
      <c r="R51" s="26" t="str">
        <f aca="false">IF(A51="","",IF(COUNTIF(_TradeIds,A51)=0,"违规：交易编号不存在",IF(OR(B51="",B51&lt;1,B51&gt;5,B51&lt;&gt;INT(B51)),"违规：加仓序号须为1到5的整数",IF(COUNTIFS($A$2:$A$1001,A51,$B$2:$B$1001,B51)&gt;1,"违规：同一交易的加仓序号重复",IF(OR(D51="",E51="",F51=""),"计划不完整：请填写加仓价、新止损价和风险预算",IF(OR(D51&lt;=0,E51&lt;=0,F51&lt;=0,D51&lt;=E51),"违规：加仓价必须高于新止损价，金额须大于0",IF(AND(B51&gt;1,COUNTIFS($A$2:$A$1001,A51,$B$2:$B$1001,B51-1,$G$2:$G$1001,"&gt;0")=0),"违规：须先完成上一次加仓",IF(AND(B51&gt;1,E51&lt;SUMIFS($E$2:$E$1001,$A$2:$A$1001,A51,$B$2:$B$1001,B51-1)),"违规：新止损价不得低于上一次",IF(AND(B51&gt;1,F51&gt;SUMIFS($F$2:$F$1001,$A$2:$A$1001,A51,$B$2:$B$1001,B51-1)),"违规：风险预算须逐次不增加",IF(OR(_LockStatus="已锁仓",_LockStatus="解锁信息不完整"),"违规：锁仓期间禁止加仓",IF(G51="","计划可执行：建议股数见N列",IF(OR(G51&lt;=0,G51&lt;&gt;INT(G51),MOD(G51,100)&lt;&gt;0),"违规：实际股数须为100股整数倍",IF(G51&gt;N51,"违规：实际股数超过风险或金字塔上限",IF(AND(B51&gt;1,G51&gt;SUMIFS($G$2:$G$1001,$A$2:$A$1001,A51,$B$2:$B$1001,B51-1)),"违规：加仓股数须逐次不增加",IF(Q51&gt;F51,"违规：止损风险超过本次预算","通过")))))))))))))))</f>
        <v/>
      </c>
    </row>
    <row r="52" customFormat="false" ht="15" hidden="false" customHeight="false" outlineLevel="0" collapsed="false">
      <c r="A52" s="20"/>
      <c r="B52" s="21"/>
      <c r="C52" s="22"/>
      <c r="D52" s="23"/>
      <c r="E52" s="23"/>
      <c r="F52" s="23"/>
      <c r="G52" s="21"/>
      <c r="H52" s="24" t="str">
        <f aca="false">IF(OR(A52="",D52="",G52=""),"",D52*G52)</f>
        <v/>
      </c>
      <c r="I52" s="25" t="str">
        <f aca="false">IF(OR(A52="",B52=""),"",IFERROR(LOOKUP(2,1/(单次交易!$A$2:$A$201=A52),单次交易!$H$2:$H$201),0)+SUMIFS($G$2:$G$1001,$A$2:$A$1001,A52,$B$2:$B$1001,"&lt;"&amp;B52))</f>
        <v/>
      </c>
      <c r="J52" s="24" t="str">
        <f aca="false">IF(OR(A52="",B52=""),"",IFERROR(LOOKUP(2,1/(单次交易!$A$2:$A$201=A52),单次交易!$E$2:$E$201)*LOOKUP(2,1/(单次交易!$A$2:$A$201=A52),单次交易!$H$2:$H$201),0)+SUMIFS($H$2:$H$1001,$A$2:$A$1001,A52,$B$2:$B$1001,"&lt;"&amp;B52))</f>
        <v/>
      </c>
      <c r="K52" s="24" t="str">
        <f aca="false">IF(OR(E52="",I52="",J52=""),"",MAX(E52*I52-J52,0))</f>
        <v/>
      </c>
      <c r="L52" s="25" t="str">
        <f aca="false">IF(OR(D52="",E52="",F52="",D52&lt;=E52),"",FLOOR((F52+K52)/(D52-E52),100))</f>
        <v/>
      </c>
      <c r="M52" s="25" t="str">
        <f aca="false">IF(OR(A52="",B52="",L52=""),"",IF(B52=1,L52,IFERROR(SUMIFS($G$2:$G$1001,$A$2:$A$1001,A52,$B$2:$B$1001,B52-1),0)))</f>
        <v/>
      </c>
      <c r="N52" s="25" t="str">
        <f aca="false">IF(OR(L52="",M52=""),"",MIN(L52,M52))</f>
        <v/>
      </c>
      <c r="O52" s="25" t="str">
        <f aca="false">IF(OR(I52="",G52=""),"",I52+G52)</f>
        <v/>
      </c>
      <c r="P52" s="24" t="str">
        <f aca="false">IF(OR(O52="",O52=0),"",(J52+H52)/O52)</f>
        <v/>
      </c>
      <c r="Q52" s="24" t="str">
        <f aca="false">IF(OR(O52="",E52=""),"",MAX(J52+H52-E52*O52,0))</f>
        <v/>
      </c>
      <c r="R52" s="26" t="str">
        <f aca="false">IF(A52="","",IF(COUNTIF(_TradeIds,A52)=0,"违规：交易编号不存在",IF(OR(B52="",B52&lt;1,B52&gt;5,B52&lt;&gt;INT(B52)),"违规：加仓序号须为1到5的整数",IF(COUNTIFS($A$2:$A$1001,A52,$B$2:$B$1001,B52)&gt;1,"违规：同一交易的加仓序号重复",IF(OR(D52="",E52="",F52=""),"计划不完整：请填写加仓价、新止损价和风险预算",IF(OR(D52&lt;=0,E52&lt;=0,F52&lt;=0,D52&lt;=E52),"违规：加仓价必须高于新止损价，金额须大于0",IF(AND(B52&gt;1,COUNTIFS($A$2:$A$1001,A52,$B$2:$B$1001,B52-1,$G$2:$G$1001,"&gt;0")=0),"违规：须先完成上一次加仓",IF(AND(B52&gt;1,E52&lt;SUMIFS($E$2:$E$1001,$A$2:$A$1001,A52,$B$2:$B$1001,B52-1)),"违规：新止损价不得低于上一次",IF(AND(B52&gt;1,F52&gt;SUMIFS($F$2:$F$1001,$A$2:$A$1001,A52,$B$2:$B$1001,B52-1)),"违规：风险预算须逐次不增加",IF(OR(_LockStatus="已锁仓",_LockStatus="解锁信息不完整"),"违规：锁仓期间禁止加仓",IF(G52="","计划可执行：建议股数见N列",IF(OR(G52&lt;=0,G52&lt;&gt;INT(G52),MOD(G52,100)&lt;&gt;0),"违规：实际股数须为100股整数倍",IF(G52&gt;N52,"违规：实际股数超过风险或金字塔上限",IF(AND(B52&gt;1,G52&gt;SUMIFS($G$2:$G$1001,$A$2:$A$1001,A52,$B$2:$B$1001,B52-1)),"违规：加仓股数须逐次不增加",IF(Q52&gt;F52,"违规：止损风险超过本次预算","通过")))))))))))))))</f>
        <v/>
      </c>
    </row>
    <row r="53" customFormat="false" ht="15" hidden="false" customHeight="false" outlineLevel="0" collapsed="false">
      <c r="A53" s="20"/>
      <c r="B53" s="21"/>
      <c r="C53" s="22"/>
      <c r="D53" s="23"/>
      <c r="E53" s="23"/>
      <c r="F53" s="23"/>
      <c r="G53" s="21"/>
      <c r="H53" s="24" t="str">
        <f aca="false">IF(OR(A53="",D53="",G53=""),"",D53*G53)</f>
        <v/>
      </c>
      <c r="I53" s="25" t="str">
        <f aca="false">IF(OR(A53="",B53=""),"",IFERROR(LOOKUP(2,1/(单次交易!$A$2:$A$201=A53),单次交易!$H$2:$H$201),0)+SUMIFS($G$2:$G$1001,$A$2:$A$1001,A53,$B$2:$B$1001,"&lt;"&amp;B53))</f>
        <v/>
      </c>
      <c r="J53" s="24" t="str">
        <f aca="false">IF(OR(A53="",B53=""),"",IFERROR(LOOKUP(2,1/(单次交易!$A$2:$A$201=A53),单次交易!$E$2:$E$201)*LOOKUP(2,1/(单次交易!$A$2:$A$201=A53),单次交易!$H$2:$H$201),0)+SUMIFS($H$2:$H$1001,$A$2:$A$1001,A53,$B$2:$B$1001,"&lt;"&amp;B53))</f>
        <v/>
      </c>
      <c r="K53" s="24" t="str">
        <f aca="false">IF(OR(E53="",I53="",J53=""),"",MAX(E53*I53-J53,0))</f>
        <v/>
      </c>
      <c r="L53" s="25" t="str">
        <f aca="false">IF(OR(D53="",E53="",F53="",D53&lt;=E53),"",FLOOR((F53+K53)/(D53-E53),100))</f>
        <v/>
      </c>
      <c r="M53" s="25" t="str">
        <f aca="false">IF(OR(A53="",B53="",L53=""),"",IF(B53=1,L53,IFERROR(SUMIFS($G$2:$G$1001,$A$2:$A$1001,A53,$B$2:$B$1001,B53-1),0)))</f>
        <v/>
      </c>
      <c r="N53" s="25" t="str">
        <f aca="false">IF(OR(L53="",M53=""),"",MIN(L53,M53))</f>
        <v/>
      </c>
      <c r="O53" s="25" t="str">
        <f aca="false">IF(OR(I53="",G53=""),"",I53+G53)</f>
        <v/>
      </c>
      <c r="P53" s="24" t="str">
        <f aca="false">IF(OR(O53="",O53=0),"",(J53+H53)/O53)</f>
        <v/>
      </c>
      <c r="Q53" s="24" t="str">
        <f aca="false">IF(OR(O53="",E53=""),"",MAX(J53+H53-E53*O53,0))</f>
        <v/>
      </c>
      <c r="R53" s="26" t="str">
        <f aca="false">IF(A53="","",IF(COUNTIF(_TradeIds,A53)=0,"违规：交易编号不存在",IF(OR(B53="",B53&lt;1,B53&gt;5,B53&lt;&gt;INT(B53)),"违规：加仓序号须为1到5的整数",IF(COUNTIFS($A$2:$A$1001,A53,$B$2:$B$1001,B53)&gt;1,"违规：同一交易的加仓序号重复",IF(OR(D53="",E53="",F53=""),"计划不完整：请填写加仓价、新止损价和风险预算",IF(OR(D53&lt;=0,E53&lt;=0,F53&lt;=0,D53&lt;=E53),"违规：加仓价必须高于新止损价，金额须大于0",IF(AND(B53&gt;1,COUNTIFS($A$2:$A$1001,A53,$B$2:$B$1001,B53-1,$G$2:$G$1001,"&gt;0")=0),"违规：须先完成上一次加仓",IF(AND(B53&gt;1,E53&lt;SUMIFS($E$2:$E$1001,$A$2:$A$1001,A53,$B$2:$B$1001,B53-1)),"违规：新止损价不得低于上一次",IF(AND(B53&gt;1,F53&gt;SUMIFS($F$2:$F$1001,$A$2:$A$1001,A53,$B$2:$B$1001,B53-1)),"违规：风险预算须逐次不增加",IF(OR(_LockStatus="已锁仓",_LockStatus="解锁信息不完整"),"违规：锁仓期间禁止加仓",IF(G53="","计划可执行：建议股数见N列",IF(OR(G53&lt;=0,G53&lt;&gt;INT(G53),MOD(G53,100)&lt;&gt;0),"违规：实际股数须为100股整数倍",IF(G53&gt;N53,"违规：实际股数超过风险或金字塔上限",IF(AND(B53&gt;1,G53&gt;SUMIFS($G$2:$G$1001,$A$2:$A$1001,A53,$B$2:$B$1001,B53-1)),"违规：加仓股数须逐次不增加",IF(Q53&gt;F53,"违规：止损风险超过本次预算","通过")))))))))))))))</f>
        <v/>
      </c>
    </row>
    <row r="54" customFormat="false" ht="15" hidden="false" customHeight="false" outlineLevel="0" collapsed="false">
      <c r="A54" s="20"/>
      <c r="B54" s="21"/>
      <c r="C54" s="22"/>
      <c r="D54" s="23"/>
      <c r="E54" s="23"/>
      <c r="F54" s="23"/>
      <c r="G54" s="21"/>
      <c r="H54" s="24" t="str">
        <f aca="false">IF(OR(A54="",D54="",G54=""),"",D54*G54)</f>
        <v/>
      </c>
      <c r="I54" s="25" t="str">
        <f aca="false">IF(OR(A54="",B54=""),"",IFERROR(LOOKUP(2,1/(单次交易!$A$2:$A$201=A54),单次交易!$H$2:$H$201),0)+SUMIFS($G$2:$G$1001,$A$2:$A$1001,A54,$B$2:$B$1001,"&lt;"&amp;B54))</f>
        <v/>
      </c>
      <c r="J54" s="24" t="str">
        <f aca="false">IF(OR(A54="",B54=""),"",IFERROR(LOOKUP(2,1/(单次交易!$A$2:$A$201=A54),单次交易!$E$2:$E$201)*LOOKUP(2,1/(单次交易!$A$2:$A$201=A54),单次交易!$H$2:$H$201),0)+SUMIFS($H$2:$H$1001,$A$2:$A$1001,A54,$B$2:$B$1001,"&lt;"&amp;B54))</f>
        <v/>
      </c>
      <c r="K54" s="24" t="str">
        <f aca="false">IF(OR(E54="",I54="",J54=""),"",MAX(E54*I54-J54,0))</f>
        <v/>
      </c>
      <c r="L54" s="25" t="str">
        <f aca="false">IF(OR(D54="",E54="",F54="",D54&lt;=E54),"",FLOOR((F54+K54)/(D54-E54),100))</f>
        <v/>
      </c>
      <c r="M54" s="25" t="str">
        <f aca="false">IF(OR(A54="",B54="",L54=""),"",IF(B54=1,L54,IFERROR(SUMIFS($G$2:$G$1001,$A$2:$A$1001,A54,$B$2:$B$1001,B54-1),0)))</f>
        <v/>
      </c>
      <c r="N54" s="25" t="str">
        <f aca="false">IF(OR(L54="",M54=""),"",MIN(L54,M54))</f>
        <v/>
      </c>
      <c r="O54" s="25" t="str">
        <f aca="false">IF(OR(I54="",G54=""),"",I54+G54)</f>
        <v/>
      </c>
      <c r="P54" s="24" t="str">
        <f aca="false">IF(OR(O54="",O54=0),"",(J54+H54)/O54)</f>
        <v/>
      </c>
      <c r="Q54" s="24" t="str">
        <f aca="false">IF(OR(O54="",E54=""),"",MAX(J54+H54-E54*O54,0))</f>
        <v/>
      </c>
      <c r="R54" s="26" t="str">
        <f aca="false">IF(A54="","",IF(COUNTIF(_TradeIds,A54)=0,"违规：交易编号不存在",IF(OR(B54="",B54&lt;1,B54&gt;5,B54&lt;&gt;INT(B54)),"违规：加仓序号须为1到5的整数",IF(COUNTIFS($A$2:$A$1001,A54,$B$2:$B$1001,B54)&gt;1,"违规：同一交易的加仓序号重复",IF(OR(D54="",E54="",F54=""),"计划不完整：请填写加仓价、新止损价和风险预算",IF(OR(D54&lt;=0,E54&lt;=0,F54&lt;=0,D54&lt;=E54),"违规：加仓价必须高于新止损价，金额须大于0",IF(AND(B54&gt;1,COUNTIFS($A$2:$A$1001,A54,$B$2:$B$1001,B54-1,$G$2:$G$1001,"&gt;0")=0),"违规：须先完成上一次加仓",IF(AND(B54&gt;1,E54&lt;SUMIFS($E$2:$E$1001,$A$2:$A$1001,A54,$B$2:$B$1001,B54-1)),"违规：新止损价不得低于上一次",IF(AND(B54&gt;1,F54&gt;SUMIFS($F$2:$F$1001,$A$2:$A$1001,A54,$B$2:$B$1001,B54-1)),"违规：风险预算须逐次不增加",IF(OR(_LockStatus="已锁仓",_LockStatus="解锁信息不完整"),"违规：锁仓期间禁止加仓",IF(G54="","计划可执行：建议股数见N列",IF(OR(G54&lt;=0,G54&lt;&gt;INT(G54),MOD(G54,100)&lt;&gt;0),"违规：实际股数须为100股整数倍",IF(G54&gt;N54,"违规：实际股数超过风险或金字塔上限",IF(AND(B54&gt;1,G54&gt;SUMIFS($G$2:$G$1001,$A$2:$A$1001,A54,$B$2:$B$1001,B54-1)),"违规：加仓股数须逐次不增加",IF(Q54&gt;F54,"违规：止损风险超过本次预算","通过")))))))))))))))</f>
        <v/>
      </c>
    </row>
    <row r="55" customFormat="false" ht="15" hidden="false" customHeight="false" outlineLevel="0" collapsed="false">
      <c r="A55" s="20"/>
      <c r="B55" s="21"/>
      <c r="C55" s="22"/>
      <c r="D55" s="23"/>
      <c r="E55" s="23"/>
      <c r="F55" s="23"/>
      <c r="G55" s="21"/>
      <c r="H55" s="24" t="str">
        <f aca="false">IF(OR(A55="",D55="",G55=""),"",D55*G55)</f>
        <v/>
      </c>
      <c r="I55" s="25" t="str">
        <f aca="false">IF(OR(A55="",B55=""),"",IFERROR(LOOKUP(2,1/(单次交易!$A$2:$A$201=A55),单次交易!$H$2:$H$201),0)+SUMIFS($G$2:$G$1001,$A$2:$A$1001,A55,$B$2:$B$1001,"&lt;"&amp;B55))</f>
        <v/>
      </c>
      <c r="J55" s="24" t="str">
        <f aca="false">IF(OR(A55="",B55=""),"",IFERROR(LOOKUP(2,1/(单次交易!$A$2:$A$201=A55),单次交易!$E$2:$E$201)*LOOKUP(2,1/(单次交易!$A$2:$A$201=A55),单次交易!$H$2:$H$201),0)+SUMIFS($H$2:$H$1001,$A$2:$A$1001,A55,$B$2:$B$1001,"&lt;"&amp;B55))</f>
        <v/>
      </c>
      <c r="K55" s="24" t="str">
        <f aca="false">IF(OR(E55="",I55="",J55=""),"",MAX(E55*I55-J55,0))</f>
        <v/>
      </c>
      <c r="L55" s="25" t="str">
        <f aca="false">IF(OR(D55="",E55="",F55="",D55&lt;=E55),"",FLOOR((F55+K55)/(D55-E55),100))</f>
        <v/>
      </c>
      <c r="M55" s="25" t="str">
        <f aca="false">IF(OR(A55="",B55="",L55=""),"",IF(B55=1,L55,IFERROR(SUMIFS($G$2:$G$1001,$A$2:$A$1001,A55,$B$2:$B$1001,B55-1),0)))</f>
        <v/>
      </c>
      <c r="N55" s="25" t="str">
        <f aca="false">IF(OR(L55="",M55=""),"",MIN(L55,M55))</f>
        <v/>
      </c>
      <c r="O55" s="25" t="str">
        <f aca="false">IF(OR(I55="",G55=""),"",I55+G55)</f>
        <v/>
      </c>
      <c r="P55" s="24" t="str">
        <f aca="false">IF(OR(O55="",O55=0),"",(J55+H55)/O55)</f>
        <v/>
      </c>
      <c r="Q55" s="24" t="str">
        <f aca="false">IF(OR(O55="",E55=""),"",MAX(J55+H55-E55*O55,0))</f>
        <v/>
      </c>
      <c r="R55" s="26" t="str">
        <f aca="false">IF(A55="","",IF(COUNTIF(_TradeIds,A55)=0,"违规：交易编号不存在",IF(OR(B55="",B55&lt;1,B55&gt;5,B55&lt;&gt;INT(B55)),"违规：加仓序号须为1到5的整数",IF(COUNTIFS($A$2:$A$1001,A55,$B$2:$B$1001,B55)&gt;1,"违规：同一交易的加仓序号重复",IF(OR(D55="",E55="",F55=""),"计划不完整：请填写加仓价、新止损价和风险预算",IF(OR(D55&lt;=0,E55&lt;=0,F55&lt;=0,D55&lt;=E55),"违规：加仓价必须高于新止损价，金额须大于0",IF(AND(B55&gt;1,COUNTIFS($A$2:$A$1001,A55,$B$2:$B$1001,B55-1,$G$2:$G$1001,"&gt;0")=0),"违规：须先完成上一次加仓",IF(AND(B55&gt;1,E55&lt;SUMIFS($E$2:$E$1001,$A$2:$A$1001,A55,$B$2:$B$1001,B55-1)),"违规：新止损价不得低于上一次",IF(AND(B55&gt;1,F55&gt;SUMIFS($F$2:$F$1001,$A$2:$A$1001,A55,$B$2:$B$1001,B55-1)),"违规：风险预算须逐次不增加",IF(OR(_LockStatus="已锁仓",_LockStatus="解锁信息不完整"),"违规：锁仓期间禁止加仓",IF(G55="","计划可执行：建议股数见N列",IF(OR(G55&lt;=0,G55&lt;&gt;INT(G55),MOD(G55,100)&lt;&gt;0),"违规：实际股数须为100股整数倍",IF(G55&gt;N55,"违规：实际股数超过风险或金字塔上限",IF(AND(B55&gt;1,G55&gt;SUMIFS($G$2:$G$1001,$A$2:$A$1001,A55,$B$2:$B$1001,B55-1)),"违规：加仓股数须逐次不增加",IF(Q55&gt;F55,"违规：止损风险超过本次预算","通过")))))))))))))))</f>
        <v/>
      </c>
    </row>
    <row r="56" customFormat="false" ht="15" hidden="false" customHeight="false" outlineLevel="0" collapsed="false">
      <c r="A56" s="20"/>
      <c r="B56" s="21"/>
      <c r="C56" s="22"/>
      <c r="D56" s="23"/>
      <c r="E56" s="23"/>
      <c r="F56" s="23"/>
      <c r="G56" s="21"/>
      <c r="H56" s="24" t="str">
        <f aca="false">IF(OR(A56="",D56="",G56=""),"",D56*G56)</f>
        <v/>
      </c>
      <c r="I56" s="25" t="str">
        <f aca="false">IF(OR(A56="",B56=""),"",IFERROR(LOOKUP(2,1/(单次交易!$A$2:$A$201=A56),单次交易!$H$2:$H$201),0)+SUMIFS($G$2:$G$1001,$A$2:$A$1001,A56,$B$2:$B$1001,"&lt;"&amp;B56))</f>
        <v/>
      </c>
      <c r="J56" s="24" t="str">
        <f aca="false">IF(OR(A56="",B56=""),"",IFERROR(LOOKUP(2,1/(单次交易!$A$2:$A$201=A56),单次交易!$E$2:$E$201)*LOOKUP(2,1/(单次交易!$A$2:$A$201=A56),单次交易!$H$2:$H$201),0)+SUMIFS($H$2:$H$1001,$A$2:$A$1001,A56,$B$2:$B$1001,"&lt;"&amp;B56))</f>
        <v/>
      </c>
      <c r="K56" s="24" t="str">
        <f aca="false">IF(OR(E56="",I56="",J56=""),"",MAX(E56*I56-J56,0))</f>
        <v/>
      </c>
      <c r="L56" s="25" t="str">
        <f aca="false">IF(OR(D56="",E56="",F56="",D56&lt;=E56),"",FLOOR((F56+K56)/(D56-E56),100))</f>
        <v/>
      </c>
      <c r="M56" s="25" t="str">
        <f aca="false">IF(OR(A56="",B56="",L56=""),"",IF(B56=1,L56,IFERROR(SUMIFS($G$2:$G$1001,$A$2:$A$1001,A56,$B$2:$B$1001,B56-1),0)))</f>
        <v/>
      </c>
      <c r="N56" s="25" t="str">
        <f aca="false">IF(OR(L56="",M56=""),"",MIN(L56,M56))</f>
        <v/>
      </c>
      <c r="O56" s="25" t="str">
        <f aca="false">IF(OR(I56="",G56=""),"",I56+G56)</f>
        <v/>
      </c>
      <c r="P56" s="24" t="str">
        <f aca="false">IF(OR(O56="",O56=0),"",(J56+H56)/O56)</f>
        <v/>
      </c>
      <c r="Q56" s="24" t="str">
        <f aca="false">IF(OR(O56="",E56=""),"",MAX(J56+H56-E56*O56,0))</f>
        <v/>
      </c>
      <c r="R56" s="26" t="str">
        <f aca="false">IF(A56="","",IF(COUNTIF(_TradeIds,A56)=0,"违规：交易编号不存在",IF(OR(B56="",B56&lt;1,B56&gt;5,B56&lt;&gt;INT(B56)),"违规：加仓序号须为1到5的整数",IF(COUNTIFS($A$2:$A$1001,A56,$B$2:$B$1001,B56)&gt;1,"违规：同一交易的加仓序号重复",IF(OR(D56="",E56="",F56=""),"计划不完整：请填写加仓价、新止损价和风险预算",IF(OR(D56&lt;=0,E56&lt;=0,F56&lt;=0,D56&lt;=E56),"违规：加仓价必须高于新止损价，金额须大于0",IF(AND(B56&gt;1,COUNTIFS($A$2:$A$1001,A56,$B$2:$B$1001,B56-1,$G$2:$G$1001,"&gt;0")=0),"违规：须先完成上一次加仓",IF(AND(B56&gt;1,E56&lt;SUMIFS($E$2:$E$1001,$A$2:$A$1001,A56,$B$2:$B$1001,B56-1)),"违规：新止损价不得低于上一次",IF(AND(B56&gt;1,F56&gt;SUMIFS($F$2:$F$1001,$A$2:$A$1001,A56,$B$2:$B$1001,B56-1)),"违规：风险预算须逐次不增加",IF(OR(_LockStatus="已锁仓",_LockStatus="解锁信息不完整"),"违规：锁仓期间禁止加仓",IF(G56="","计划可执行：建议股数见N列",IF(OR(G56&lt;=0,G56&lt;&gt;INT(G56),MOD(G56,100)&lt;&gt;0),"违规：实际股数须为100股整数倍",IF(G56&gt;N56,"违规：实际股数超过风险或金字塔上限",IF(AND(B56&gt;1,G56&gt;SUMIFS($G$2:$G$1001,$A$2:$A$1001,A56,$B$2:$B$1001,B56-1)),"违规：加仓股数须逐次不增加",IF(Q56&gt;F56,"违规：止损风险超过本次预算","通过")))))))))))))))</f>
        <v/>
      </c>
    </row>
    <row r="57" customFormat="false" ht="15" hidden="false" customHeight="false" outlineLevel="0" collapsed="false">
      <c r="A57" s="20"/>
      <c r="B57" s="21"/>
      <c r="C57" s="22"/>
      <c r="D57" s="23"/>
      <c r="E57" s="23"/>
      <c r="F57" s="23"/>
      <c r="G57" s="21"/>
      <c r="H57" s="24" t="str">
        <f aca="false">IF(OR(A57="",D57="",G57=""),"",D57*G57)</f>
        <v/>
      </c>
      <c r="I57" s="25" t="str">
        <f aca="false">IF(OR(A57="",B57=""),"",IFERROR(LOOKUP(2,1/(单次交易!$A$2:$A$201=A57),单次交易!$H$2:$H$201),0)+SUMIFS($G$2:$G$1001,$A$2:$A$1001,A57,$B$2:$B$1001,"&lt;"&amp;B57))</f>
        <v/>
      </c>
      <c r="J57" s="24" t="str">
        <f aca="false">IF(OR(A57="",B57=""),"",IFERROR(LOOKUP(2,1/(单次交易!$A$2:$A$201=A57),单次交易!$E$2:$E$201)*LOOKUP(2,1/(单次交易!$A$2:$A$201=A57),单次交易!$H$2:$H$201),0)+SUMIFS($H$2:$H$1001,$A$2:$A$1001,A57,$B$2:$B$1001,"&lt;"&amp;B57))</f>
        <v/>
      </c>
      <c r="K57" s="24" t="str">
        <f aca="false">IF(OR(E57="",I57="",J57=""),"",MAX(E57*I57-J57,0))</f>
        <v/>
      </c>
      <c r="L57" s="25" t="str">
        <f aca="false">IF(OR(D57="",E57="",F57="",D57&lt;=E57),"",FLOOR((F57+K57)/(D57-E57),100))</f>
        <v/>
      </c>
      <c r="M57" s="25" t="str">
        <f aca="false">IF(OR(A57="",B57="",L57=""),"",IF(B57=1,L57,IFERROR(SUMIFS($G$2:$G$1001,$A$2:$A$1001,A57,$B$2:$B$1001,B57-1),0)))</f>
        <v/>
      </c>
      <c r="N57" s="25" t="str">
        <f aca="false">IF(OR(L57="",M57=""),"",MIN(L57,M57))</f>
        <v/>
      </c>
      <c r="O57" s="25" t="str">
        <f aca="false">IF(OR(I57="",G57=""),"",I57+G57)</f>
        <v/>
      </c>
      <c r="P57" s="24" t="str">
        <f aca="false">IF(OR(O57="",O57=0),"",(J57+H57)/O57)</f>
        <v/>
      </c>
      <c r="Q57" s="24" t="str">
        <f aca="false">IF(OR(O57="",E57=""),"",MAX(J57+H57-E57*O57,0))</f>
        <v/>
      </c>
      <c r="R57" s="26" t="str">
        <f aca="false">IF(A57="","",IF(COUNTIF(_TradeIds,A57)=0,"违规：交易编号不存在",IF(OR(B57="",B57&lt;1,B57&gt;5,B57&lt;&gt;INT(B57)),"违规：加仓序号须为1到5的整数",IF(COUNTIFS($A$2:$A$1001,A57,$B$2:$B$1001,B57)&gt;1,"违规：同一交易的加仓序号重复",IF(OR(D57="",E57="",F57=""),"计划不完整：请填写加仓价、新止损价和风险预算",IF(OR(D57&lt;=0,E57&lt;=0,F57&lt;=0,D57&lt;=E57),"违规：加仓价必须高于新止损价，金额须大于0",IF(AND(B57&gt;1,COUNTIFS($A$2:$A$1001,A57,$B$2:$B$1001,B57-1,$G$2:$G$1001,"&gt;0")=0),"违规：须先完成上一次加仓",IF(AND(B57&gt;1,E57&lt;SUMIFS($E$2:$E$1001,$A$2:$A$1001,A57,$B$2:$B$1001,B57-1)),"违规：新止损价不得低于上一次",IF(AND(B57&gt;1,F57&gt;SUMIFS($F$2:$F$1001,$A$2:$A$1001,A57,$B$2:$B$1001,B57-1)),"违规：风险预算须逐次不增加",IF(OR(_LockStatus="已锁仓",_LockStatus="解锁信息不完整"),"违规：锁仓期间禁止加仓",IF(G57="","计划可执行：建议股数见N列",IF(OR(G57&lt;=0,G57&lt;&gt;INT(G57),MOD(G57,100)&lt;&gt;0),"违规：实际股数须为100股整数倍",IF(G57&gt;N57,"违规：实际股数超过风险或金字塔上限",IF(AND(B57&gt;1,G57&gt;SUMIFS($G$2:$G$1001,$A$2:$A$1001,A57,$B$2:$B$1001,B57-1)),"违规：加仓股数须逐次不增加",IF(Q57&gt;F57,"违规：止损风险超过本次预算","通过")))))))))))))))</f>
        <v/>
      </c>
    </row>
    <row r="58" customFormat="false" ht="15" hidden="false" customHeight="false" outlineLevel="0" collapsed="false">
      <c r="A58" s="20"/>
      <c r="B58" s="21"/>
      <c r="C58" s="22"/>
      <c r="D58" s="23"/>
      <c r="E58" s="23"/>
      <c r="F58" s="23"/>
      <c r="G58" s="21"/>
      <c r="H58" s="24" t="str">
        <f aca="false">IF(OR(A58="",D58="",G58=""),"",D58*G58)</f>
        <v/>
      </c>
      <c r="I58" s="25" t="str">
        <f aca="false">IF(OR(A58="",B58=""),"",IFERROR(LOOKUP(2,1/(单次交易!$A$2:$A$201=A58),单次交易!$H$2:$H$201),0)+SUMIFS($G$2:$G$1001,$A$2:$A$1001,A58,$B$2:$B$1001,"&lt;"&amp;B58))</f>
        <v/>
      </c>
      <c r="J58" s="24" t="str">
        <f aca="false">IF(OR(A58="",B58=""),"",IFERROR(LOOKUP(2,1/(单次交易!$A$2:$A$201=A58),单次交易!$E$2:$E$201)*LOOKUP(2,1/(单次交易!$A$2:$A$201=A58),单次交易!$H$2:$H$201),0)+SUMIFS($H$2:$H$1001,$A$2:$A$1001,A58,$B$2:$B$1001,"&lt;"&amp;B58))</f>
        <v/>
      </c>
      <c r="K58" s="24" t="str">
        <f aca="false">IF(OR(E58="",I58="",J58=""),"",MAX(E58*I58-J58,0))</f>
        <v/>
      </c>
      <c r="L58" s="25" t="str">
        <f aca="false">IF(OR(D58="",E58="",F58="",D58&lt;=E58),"",FLOOR((F58+K58)/(D58-E58),100))</f>
        <v/>
      </c>
      <c r="M58" s="25" t="str">
        <f aca="false">IF(OR(A58="",B58="",L58=""),"",IF(B58=1,L58,IFERROR(SUMIFS($G$2:$G$1001,$A$2:$A$1001,A58,$B$2:$B$1001,B58-1),0)))</f>
        <v/>
      </c>
      <c r="N58" s="25" t="str">
        <f aca="false">IF(OR(L58="",M58=""),"",MIN(L58,M58))</f>
        <v/>
      </c>
      <c r="O58" s="25" t="str">
        <f aca="false">IF(OR(I58="",G58=""),"",I58+G58)</f>
        <v/>
      </c>
      <c r="P58" s="24" t="str">
        <f aca="false">IF(OR(O58="",O58=0),"",(J58+H58)/O58)</f>
        <v/>
      </c>
      <c r="Q58" s="24" t="str">
        <f aca="false">IF(OR(O58="",E58=""),"",MAX(J58+H58-E58*O58,0))</f>
        <v/>
      </c>
      <c r="R58" s="26" t="str">
        <f aca="false">IF(A58="","",IF(COUNTIF(_TradeIds,A58)=0,"违规：交易编号不存在",IF(OR(B58="",B58&lt;1,B58&gt;5,B58&lt;&gt;INT(B58)),"违规：加仓序号须为1到5的整数",IF(COUNTIFS($A$2:$A$1001,A58,$B$2:$B$1001,B58)&gt;1,"违规：同一交易的加仓序号重复",IF(OR(D58="",E58="",F58=""),"计划不完整：请填写加仓价、新止损价和风险预算",IF(OR(D58&lt;=0,E58&lt;=0,F58&lt;=0,D58&lt;=E58),"违规：加仓价必须高于新止损价，金额须大于0",IF(AND(B58&gt;1,COUNTIFS($A$2:$A$1001,A58,$B$2:$B$1001,B58-1,$G$2:$G$1001,"&gt;0")=0),"违规：须先完成上一次加仓",IF(AND(B58&gt;1,E58&lt;SUMIFS($E$2:$E$1001,$A$2:$A$1001,A58,$B$2:$B$1001,B58-1)),"违规：新止损价不得低于上一次",IF(AND(B58&gt;1,F58&gt;SUMIFS($F$2:$F$1001,$A$2:$A$1001,A58,$B$2:$B$1001,B58-1)),"违规：风险预算须逐次不增加",IF(OR(_LockStatus="已锁仓",_LockStatus="解锁信息不完整"),"违规：锁仓期间禁止加仓",IF(G58="","计划可执行：建议股数见N列",IF(OR(G58&lt;=0,G58&lt;&gt;INT(G58),MOD(G58,100)&lt;&gt;0),"违规：实际股数须为100股整数倍",IF(G58&gt;N58,"违规：实际股数超过风险或金字塔上限",IF(AND(B58&gt;1,G58&gt;SUMIFS($G$2:$G$1001,$A$2:$A$1001,A58,$B$2:$B$1001,B58-1)),"违规：加仓股数须逐次不增加",IF(Q58&gt;F58,"违规：止损风险超过本次预算","通过")))))))))))))))</f>
        <v/>
      </c>
    </row>
    <row r="59" customFormat="false" ht="15" hidden="false" customHeight="false" outlineLevel="0" collapsed="false">
      <c r="A59" s="20"/>
      <c r="B59" s="21"/>
      <c r="C59" s="22"/>
      <c r="D59" s="23"/>
      <c r="E59" s="23"/>
      <c r="F59" s="23"/>
      <c r="G59" s="21"/>
      <c r="H59" s="24" t="str">
        <f aca="false">IF(OR(A59="",D59="",G59=""),"",D59*G59)</f>
        <v/>
      </c>
      <c r="I59" s="25" t="str">
        <f aca="false">IF(OR(A59="",B59=""),"",IFERROR(LOOKUP(2,1/(单次交易!$A$2:$A$201=A59),单次交易!$H$2:$H$201),0)+SUMIFS($G$2:$G$1001,$A$2:$A$1001,A59,$B$2:$B$1001,"&lt;"&amp;B59))</f>
        <v/>
      </c>
      <c r="J59" s="24" t="str">
        <f aca="false">IF(OR(A59="",B59=""),"",IFERROR(LOOKUP(2,1/(单次交易!$A$2:$A$201=A59),单次交易!$E$2:$E$201)*LOOKUP(2,1/(单次交易!$A$2:$A$201=A59),单次交易!$H$2:$H$201),0)+SUMIFS($H$2:$H$1001,$A$2:$A$1001,A59,$B$2:$B$1001,"&lt;"&amp;B59))</f>
        <v/>
      </c>
      <c r="K59" s="24" t="str">
        <f aca="false">IF(OR(E59="",I59="",J59=""),"",MAX(E59*I59-J59,0))</f>
        <v/>
      </c>
      <c r="L59" s="25" t="str">
        <f aca="false">IF(OR(D59="",E59="",F59="",D59&lt;=E59),"",FLOOR((F59+K59)/(D59-E59),100))</f>
        <v/>
      </c>
      <c r="M59" s="25" t="str">
        <f aca="false">IF(OR(A59="",B59="",L59=""),"",IF(B59=1,L59,IFERROR(SUMIFS($G$2:$G$1001,$A$2:$A$1001,A59,$B$2:$B$1001,B59-1),0)))</f>
        <v/>
      </c>
      <c r="N59" s="25" t="str">
        <f aca="false">IF(OR(L59="",M59=""),"",MIN(L59,M59))</f>
        <v/>
      </c>
      <c r="O59" s="25" t="str">
        <f aca="false">IF(OR(I59="",G59=""),"",I59+G59)</f>
        <v/>
      </c>
      <c r="P59" s="24" t="str">
        <f aca="false">IF(OR(O59="",O59=0),"",(J59+H59)/O59)</f>
        <v/>
      </c>
      <c r="Q59" s="24" t="str">
        <f aca="false">IF(OR(O59="",E59=""),"",MAX(J59+H59-E59*O59,0))</f>
        <v/>
      </c>
      <c r="R59" s="26" t="str">
        <f aca="false">IF(A59="","",IF(COUNTIF(_TradeIds,A59)=0,"违规：交易编号不存在",IF(OR(B59="",B59&lt;1,B59&gt;5,B59&lt;&gt;INT(B59)),"违规：加仓序号须为1到5的整数",IF(COUNTIFS($A$2:$A$1001,A59,$B$2:$B$1001,B59)&gt;1,"违规：同一交易的加仓序号重复",IF(OR(D59="",E59="",F59=""),"计划不完整：请填写加仓价、新止损价和风险预算",IF(OR(D59&lt;=0,E59&lt;=0,F59&lt;=0,D59&lt;=E59),"违规：加仓价必须高于新止损价，金额须大于0",IF(AND(B59&gt;1,COUNTIFS($A$2:$A$1001,A59,$B$2:$B$1001,B59-1,$G$2:$G$1001,"&gt;0")=0),"违规：须先完成上一次加仓",IF(AND(B59&gt;1,E59&lt;SUMIFS($E$2:$E$1001,$A$2:$A$1001,A59,$B$2:$B$1001,B59-1)),"违规：新止损价不得低于上一次",IF(AND(B59&gt;1,F59&gt;SUMIFS($F$2:$F$1001,$A$2:$A$1001,A59,$B$2:$B$1001,B59-1)),"违规：风险预算须逐次不增加",IF(OR(_LockStatus="已锁仓",_LockStatus="解锁信息不完整"),"违规：锁仓期间禁止加仓",IF(G59="","计划可执行：建议股数见N列",IF(OR(G59&lt;=0,G59&lt;&gt;INT(G59),MOD(G59,100)&lt;&gt;0),"违规：实际股数须为100股整数倍",IF(G59&gt;N59,"违规：实际股数超过风险或金字塔上限",IF(AND(B59&gt;1,G59&gt;SUMIFS($G$2:$G$1001,$A$2:$A$1001,A59,$B$2:$B$1001,B59-1)),"违规：加仓股数须逐次不增加",IF(Q59&gt;F59,"违规：止损风险超过本次预算","通过")))))))))))))))</f>
        <v/>
      </c>
    </row>
    <row r="60" customFormat="false" ht="15" hidden="false" customHeight="false" outlineLevel="0" collapsed="false">
      <c r="A60" s="20"/>
      <c r="B60" s="21"/>
      <c r="C60" s="22"/>
      <c r="D60" s="23"/>
      <c r="E60" s="23"/>
      <c r="F60" s="23"/>
      <c r="G60" s="21"/>
      <c r="H60" s="24" t="str">
        <f aca="false">IF(OR(A60="",D60="",G60=""),"",D60*G60)</f>
        <v/>
      </c>
      <c r="I60" s="25" t="str">
        <f aca="false">IF(OR(A60="",B60=""),"",IFERROR(LOOKUP(2,1/(单次交易!$A$2:$A$201=A60),单次交易!$H$2:$H$201),0)+SUMIFS($G$2:$G$1001,$A$2:$A$1001,A60,$B$2:$B$1001,"&lt;"&amp;B60))</f>
        <v/>
      </c>
      <c r="J60" s="24" t="str">
        <f aca="false">IF(OR(A60="",B60=""),"",IFERROR(LOOKUP(2,1/(单次交易!$A$2:$A$201=A60),单次交易!$E$2:$E$201)*LOOKUP(2,1/(单次交易!$A$2:$A$201=A60),单次交易!$H$2:$H$201),0)+SUMIFS($H$2:$H$1001,$A$2:$A$1001,A60,$B$2:$B$1001,"&lt;"&amp;B60))</f>
        <v/>
      </c>
      <c r="K60" s="24" t="str">
        <f aca="false">IF(OR(E60="",I60="",J60=""),"",MAX(E60*I60-J60,0))</f>
        <v/>
      </c>
      <c r="L60" s="25" t="str">
        <f aca="false">IF(OR(D60="",E60="",F60="",D60&lt;=E60),"",FLOOR((F60+K60)/(D60-E60),100))</f>
        <v/>
      </c>
      <c r="M60" s="25" t="str">
        <f aca="false">IF(OR(A60="",B60="",L60=""),"",IF(B60=1,L60,IFERROR(SUMIFS($G$2:$G$1001,$A$2:$A$1001,A60,$B$2:$B$1001,B60-1),0)))</f>
        <v/>
      </c>
      <c r="N60" s="25" t="str">
        <f aca="false">IF(OR(L60="",M60=""),"",MIN(L60,M60))</f>
        <v/>
      </c>
      <c r="O60" s="25" t="str">
        <f aca="false">IF(OR(I60="",G60=""),"",I60+G60)</f>
        <v/>
      </c>
      <c r="P60" s="24" t="str">
        <f aca="false">IF(OR(O60="",O60=0),"",(J60+H60)/O60)</f>
        <v/>
      </c>
      <c r="Q60" s="24" t="str">
        <f aca="false">IF(OR(O60="",E60=""),"",MAX(J60+H60-E60*O60,0))</f>
        <v/>
      </c>
      <c r="R60" s="26" t="str">
        <f aca="false">IF(A60="","",IF(COUNTIF(_TradeIds,A60)=0,"违规：交易编号不存在",IF(OR(B60="",B60&lt;1,B60&gt;5,B60&lt;&gt;INT(B60)),"违规：加仓序号须为1到5的整数",IF(COUNTIFS($A$2:$A$1001,A60,$B$2:$B$1001,B60)&gt;1,"违规：同一交易的加仓序号重复",IF(OR(D60="",E60="",F60=""),"计划不完整：请填写加仓价、新止损价和风险预算",IF(OR(D60&lt;=0,E60&lt;=0,F60&lt;=0,D60&lt;=E60),"违规：加仓价必须高于新止损价，金额须大于0",IF(AND(B60&gt;1,COUNTIFS($A$2:$A$1001,A60,$B$2:$B$1001,B60-1,$G$2:$G$1001,"&gt;0")=0),"违规：须先完成上一次加仓",IF(AND(B60&gt;1,E60&lt;SUMIFS($E$2:$E$1001,$A$2:$A$1001,A60,$B$2:$B$1001,B60-1)),"违规：新止损价不得低于上一次",IF(AND(B60&gt;1,F60&gt;SUMIFS($F$2:$F$1001,$A$2:$A$1001,A60,$B$2:$B$1001,B60-1)),"违规：风险预算须逐次不增加",IF(OR(_LockStatus="已锁仓",_LockStatus="解锁信息不完整"),"违规：锁仓期间禁止加仓",IF(G60="","计划可执行：建议股数见N列",IF(OR(G60&lt;=0,G60&lt;&gt;INT(G60),MOD(G60,100)&lt;&gt;0),"违规：实际股数须为100股整数倍",IF(G60&gt;N60,"违规：实际股数超过风险或金字塔上限",IF(AND(B60&gt;1,G60&gt;SUMIFS($G$2:$G$1001,$A$2:$A$1001,A60,$B$2:$B$1001,B60-1)),"违规：加仓股数须逐次不增加",IF(Q60&gt;F60,"违规：止损风险超过本次预算","通过")))))))))))))))</f>
        <v/>
      </c>
    </row>
    <row r="61" customFormat="false" ht="15" hidden="false" customHeight="false" outlineLevel="0" collapsed="false">
      <c r="A61" s="20"/>
      <c r="B61" s="21"/>
      <c r="C61" s="22"/>
      <c r="D61" s="23"/>
      <c r="E61" s="23"/>
      <c r="F61" s="23"/>
      <c r="G61" s="21"/>
      <c r="H61" s="24" t="str">
        <f aca="false">IF(OR(A61="",D61="",G61=""),"",D61*G61)</f>
        <v/>
      </c>
      <c r="I61" s="25" t="str">
        <f aca="false">IF(OR(A61="",B61=""),"",IFERROR(LOOKUP(2,1/(单次交易!$A$2:$A$201=A61),单次交易!$H$2:$H$201),0)+SUMIFS($G$2:$G$1001,$A$2:$A$1001,A61,$B$2:$B$1001,"&lt;"&amp;B61))</f>
        <v/>
      </c>
      <c r="J61" s="24" t="str">
        <f aca="false">IF(OR(A61="",B61=""),"",IFERROR(LOOKUP(2,1/(单次交易!$A$2:$A$201=A61),单次交易!$E$2:$E$201)*LOOKUP(2,1/(单次交易!$A$2:$A$201=A61),单次交易!$H$2:$H$201),0)+SUMIFS($H$2:$H$1001,$A$2:$A$1001,A61,$B$2:$B$1001,"&lt;"&amp;B61))</f>
        <v/>
      </c>
      <c r="K61" s="24" t="str">
        <f aca="false">IF(OR(E61="",I61="",J61=""),"",MAX(E61*I61-J61,0))</f>
        <v/>
      </c>
      <c r="L61" s="25" t="str">
        <f aca="false">IF(OR(D61="",E61="",F61="",D61&lt;=E61),"",FLOOR((F61+K61)/(D61-E61),100))</f>
        <v/>
      </c>
      <c r="M61" s="25" t="str">
        <f aca="false">IF(OR(A61="",B61="",L61=""),"",IF(B61=1,L61,IFERROR(SUMIFS($G$2:$G$1001,$A$2:$A$1001,A61,$B$2:$B$1001,B61-1),0)))</f>
        <v/>
      </c>
      <c r="N61" s="25" t="str">
        <f aca="false">IF(OR(L61="",M61=""),"",MIN(L61,M61))</f>
        <v/>
      </c>
      <c r="O61" s="25" t="str">
        <f aca="false">IF(OR(I61="",G61=""),"",I61+G61)</f>
        <v/>
      </c>
      <c r="P61" s="24" t="str">
        <f aca="false">IF(OR(O61="",O61=0),"",(J61+H61)/O61)</f>
        <v/>
      </c>
      <c r="Q61" s="24" t="str">
        <f aca="false">IF(OR(O61="",E61=""),"",MAX(J61+H61-E61*O61,0))</f>
        <v/>
      </c>
      <c r="R61" s="26" t="str">
        <f aca="false">IF(A61="","",IF(COUNTIF(_TradeIds,A61)=0,"违规：交易编号不存在",IF(OR(B61="",B61&lt;1,B61&gt;5,B61&lt;&gt;INT(B61)),"违规：加仓序号须为1到5的整数",IF(COUNTIFS($A$2:$A$1001,A61,$B$2:$B$1001,B61)&gt;1,"违规：同一交易的加仓序号重复",IF(OR(D61="",E61="",F61=""),"计划不完整：请填写加仓价、新止损价和风险预算",IF(OR(D61&lt;=0,E61&lt;=0,F61&lt;=0,D61&lt;=E61),"违规：加仓价必须高于新止损价，金额须大于0",IF(AND(B61&gt;1,COUNTIFS($A$2:$A$1001,A61,$B$2:$B$1001,B61-1,$G$2:$G$1001,"&gt;0")=0),"违规：须先完成上一次加仓",IF(AND(B61&gt;1,E61&lt;SUMIFS($E$2:$E$1001,$A$2:$A$1001,A61,$B$2:$B$1001,B61-1)),"违规：新止损价不得低于上一次",IF(AND(B61&gt;1,F61&gt;SUMIFS($F$2:$F$1001,$A$2:$A$1001,A61,$B$2:$B$1001,B61-1)),"违规：风险预算须逐次不增加",IF(OR(_LockStatus="已锁仓",_LockStatus="解锁信息不完整"),"违规：锁仓期间禁止加仓",IF(G61="","计划可执行：建议股数见N列",IF(OR(G61&lt;=0,G61&lt;&gt;INT(G61),MOD(G61,100)&lt;&gt;0),"违规：实际股数须为100股整数倍",IF(G61&gt;N61,"违规：实际股数超过风险或金字塔上限",IF(AND(B61&gt;1,G61&gt;SUMIFS($G$2:$G$1001,$A$2:$A$1001,A61,$B$2:$B$1001,B61-1)),"违规：加仓股数须逐次不增加",IF(Q61&gt;F61,"违规：止损风险超过本次预算","通过")))))))))))))))</f>
        <v/>
      </c>
    </row>
    <row r="62" customFormat="false" ht="15" hidden="false" customHeight="false" outlineLevel="0" collapsed="false">
      <c r="A62" s="20"/>
      <c r="B62" s="21"/>
      <c r="C62" s="22"/>
      <c r="D62" s="23"/>
      <c r="E62" s="23"/>
      <c r="F62" s="23"/>
      <c r="G62" s="21"/>
      <c r="H62" s="24" t="str">
        <f aca="false">IF(OR(A62="",D62="",G62=""),"",D62*G62)</f>
        <v/>
      </c>
      <c r="I62" s="25" t="str">
        <f aca="false">IF(OR(A62="",B62=""),"",IFERROR(LOOKUP(2,1/(单次交易!$A$2:$A$201=A62),单次交易!$H$2:$H$201),0)+SUMIFS($G$2:$G$1001,$A$2:$A$1001,A62,$B$2:$B$1001,"&lt;"&amp;B62))</f>
        <v/>
      </c>
      <c r="J62" s="24" t="str">
        <f aca="false">IF(OR(A62="",B62=""),"",IFERROR(LOOKUP(2,1/(单次交易!$A$2:$A$201=A62),单次交易!$E$2:$E$201)*LOOKUP(2,1/(单次交易!$A$2:$A$201=A62),单次交易!$H$2:$H$201),0)+SUMIFS($H$2:$H$1001,$A$2:$A$1001,A62,$B$2:$B$1001,"&lt;"&amp;B62))</f>
        <v/>
      </c>
      <c r="K62" s="24" t="str">
        <f aca="false">IF(OR(E62="",I62="",J62=""),"",MAX(E62*I62-J62,0))</f>
        <v/>
      </c>
      <c r="L62" s="25" t="str">
        <f aca="false">IF(OR(D62="",E62="",F62="",D62&lt;=E62),"",FLOOR((F62+K62)/(D62-E62),100))</f>
        <v/>
      </c>
      <c r="M62" s="25" t="str">
        <f aca="false">IF(OR(A62="",B62="",L62=""),"",IF(B62=1,L62,IFERROR(SUMIFS($G$2:$G$1001,$A$2:$A$1001,A62,$B$2:$B$1001,B62-1),0)))</f>
        <v/>
      </c>
      <c r="N62" s="25" t="str">
        <f aca="false">IF(OR(L62="",M62=""),"",MIN(L62,M62))</f>
        <v/>
      </c>
      <c r="O62" s="25" t="str">
        <f aca="false">IF(OR(I62="",G62=""),"",I62+G62)</f>
        <v/>
      </c>
      <c r="P62" s="24" t="str">
        <f aca="false">IF(OR(O62="",O62=0),"",(J62+H62)/O62)</f>
        <v/>
      </c>
      <c r="Q62" s="24" t="str">
        <f aca="false">IF(OR(O62="",E62=""),"",MAX(J62+H62-E62*O62,0))</f>
        <v/>
      </c>
      <c r="R62" s="26" t="str">
        <f aca="false">IF(A62="","",IF(COUNTIF(_TradeIds,A62)=0,"违规：交易编号不存在",IF(OR(B62="",B62&lt;1,B62&gt;5,B62&lt;&gt;INT(B62)),"违规：加仓序号须为1到5的整数",IF(COUNTIFS($A$2:$A$1001,A62,$B$2:$B$1001,B62)&gt;1,"违规：同一交易的加仓序号重复",IF(OR(D62="",E62="",F62=""),"计划不完整：请填写加仓价、新止损价和风险预算",IF(OR(D62&lt;=0,E62&lt;=0,F62&lt;=0,D62&lt;=E62),"违规：加仓价必须高于新止损价，金额须大于0",IF(AND(B62&gt;1,COUNTIFS($A$2:$A$1001,A62,$B$2:$B$1001,B62-1,$G$2:$G$1001,"&gt;0")=0),"违规：须先完成上一次加仓",IF(AND(B62&gt;1,E62&lt;SUMIFS($E$2:$E$1001,$A$2:$A$1001,A62,$B$2:$B$1001,B62-1)),"违规：新止损价不得低于上一次",IF(AND(B62&gt;1,F62&gt;SUMIFS($F$2:$F$1001,$A$2:$A$1001,A62,$B$2:$B$1001,B62-1)),"违规：风险预算须逐次不增加",IF(OR(_LockStatus="已锁仓",_LockStatus="解锁信息不完整"),"违规：锁仓期间禁止加仓",IF(G62="","计划可执行：建议股数见N列",IF(OR(G62&lt;=0,G62&lt;&gt;INT(G62),MOD(G62,100)&lt;&gt;0),"违规：实际股数须为100股整数倍",IF(G62&gt;N62,"违规：实际股数超过风险或金字塔上限",IF(AND(B62&gt;1,G62&gt;SUMIFS($G$2:$G$1001,$A$2:$A$1001,A62,$B$2:$B$1001,B62-1)),"违规：加仓股数须逐次不增加",IF(Q62&gt;F62,"违规：止损风险超过本次预算","通过")))))))))))))))</f>
        <v/>
      </c>
    </row>
    <row r="63" customFormat="false" ht="15" hidden="false" customHeight="false" outlineLevel="0" collapsed="false">
      <c r="A63" s="20"/>
      <c r="B63" s="21"/>
      <c r="C63" s="22"/>
      <c r="D63" s="23"/>
      <c r="E63" s="23"/>
      <c r="F63" s="23"/>
      <c r="G63" s="21"/>
      <c r="H63" s="24" t="str">
        <f aca="false">IF(OR(A63="",D63="",G63=""),"",D63*G63)</f>
        <v/>
      </c>
      <c r="I63" s="25" t="str">
        <f aca="false">IF(OR(A63="",B63=""),"",IFERROR(LOOKUP(2,1/(单次交易!$A$2:$A$201=A63),单次交易!$H$2:$H$201),0)+SUMIFS($G$2:$G$1001,$A$2:$A$1001,A63,$B$2:$B$1001,"&lt;"&amp;B63))</f>
        <v/>
      </c>
      <c r="J63" s="24" t="str">
        <f aca="false">IF(OR(A63="",B63=""),"",IFERROR(LOOKUP(2,1/(单次交易!$A$2:$A$201=A63),单次交易!$E$2:$E$201)*LOOKUP(2,1/(单次交易!$A$2:$A$201=A63),单次交易!$H$2:$H$201),0)+SUMIFS($H$2:$H$1001,$A$2:$A$1001,A63,$B$2:$B$1001,"&lt;"&amp;B63))</f>
        <v/>
      </c>
      <c r="K63" s="24" t="str">
        <f aca="false">IF(OR(E63="",I63="",J63=""),"",MAX(E63*I63-J63,0))</f>
        <v/>
      </c>
      <c r="L63" s="25" t="str">
        <f aca="false">IF(OR(D63="",E63="",F63="",D63&lt;=E63),"",FLOOR((F63+K63)/(D63-E63),100))</f>
        <v/>
      </c>
      <c r="M63" s="25" t="str">
        <f aca="false">IF(OR(A63="",B63="",L63=""),"",IF(B63=1,L63,IFERROR(SUMIFS($G$2:$G$1001,$A$2:$A$1001,A63,$B$2:$B$1001,B63-1),0)))</f>
        <v/>
      </c>
      <c r="N63" s="25" t="str">
        <f aca="false">IF(OR(L63="",M63=""),"",MIN(L63,M63))</f>
        <v/>
      </c>
      <c r="O63" s="25" t="str">
        <f aca="false">IF(OR(I63="",G63=""),"",I63+G63)</f>
        <v/>
      </c>
      <c r="P63" s="24" t="str">
        <f aca="false">IF(OR(O63="",O63=0),"",(J63+H63)/O63)</f>
        <v/>
      </c>
      <c r="Q63" s="24" t="str">
        <f aca="false">IF(OR(O63="",E63=""),"",MAX(J63+H63-E63*O63,0))</f>
        <v/>
      </c>
      <c r="R63" s="26" t="str">
        <f aca="false">IF(A63="","",IF(COUNTIF(_TradeIds,A63)=0,"违规：交易编号不存在",IF(OR(B63="",B63&lt;1,B63&gt;5,B63&lt;&gt;INT(B63)),"违规：加仓序号须为1到5的整数",IF(COUNTIFS($A$2:$A$1001,A63,$B$2:$B$1001,B63)&gt;1,"违规：同一交易的加仓序号重复",IF(OR(D63="",E63="",F63=""),"计划不完整：请填写加仓价、新止损价和风险预算",IF(OR(D63&lt;=0,E63&lt;=0,F63&lt;=0,D63&lt;=E63),"违规：加仓价必须高于新止损价，金额须大于0",IF(AND(B63&gt;1,COUNTIFS($A$2:$A$1001,A63,$B$2:$B$1001,B63-1,$G$2:$G$1001,"&gt;0")=0),"违规：须先完成上一次加仓",IF(AND(B63&gt;1,E63&lt;SUMIFS($E$2:$E$1001,$A$2:$A$1001,A63,$B$2:$B$1001,B63-1)),"违规：新止损价不得低于上一次",IF(AND(B63&gt;1,F63&gt;SUMIFS($F$2:$F$1001,$A$2:$A$1001,A63,$B$2:$B$1001,B63-1)),"违规：风险预算须逐次不增加",IF(OR(_LockStatus="已锁仓",_LockStatus="解锁信息不完整"),"违规：锁仓期间禁止加仓",IF(G63="","计划可执行：建议股数见N列",IF(OR(G63&lt;=0,G63&lt;&gt;INT(G63),MOD(G63,100)&lt;&gt;0),"违规：实际股数须为100股整数倍",IF(G63&gt;N63,"违规：实际股数超过风险或金字塔上限",IF(AND(B63&gt;1,G63&gt;SUMIFS($G$2:$G$1001,$A$2:$A$1001,A63,$B$2:$B$1001,B63-1)),"违规：加仓股数须逐次不增加",IF(Q63&gt;F63,"违规：止损风险超过本次预算","通过")))))))))))))))</f>
        <v/>
      </c>
    </row>
    <row r="64" customFormat="false" ht="15" hidden="false" customHeight="false" outlineLevel="0" collapsed="false">
      <c r="A64" s="20"/>
      <c r="B64" s="21"/>
      <c r="C64" s="22"/>
      <c r="D64" s="23"/>
      <c r="E64" s="23"/>
      <c r="F64" s="23"/>
      <c r="G64" s="21"/>
      <c r="H64" s="24" t="str">
        <f aca="false">IF(OR(A64="",D64="",G64=""),"",D64*G64)</f>
        <v/>
      </c>
      <c r="I64" s="25" t="str">
        <f aca="false">IF(OR(A64="",B64=""),"",IFERROR(LOOKUP(2,1/(单次交易!$A$2:$A$201=A64),单次交易!$H$2:$H$201),0)+SUMIFS($G$2:$G$1001,$A$2:$A$1001,A64,$B$2:$B$1001,"&lt;"&amp;B64))</f>
        <v/>
      </c>
      <c r="J64" s="24" t="str">
        <f aca="false">IF(OR(A64="",B64=""),"",IFERROR(LOOKUP(2,1/(单次交易!$A$2:$A$201=A64),单次交易!$E$2:$E$201)*LOOKUP(2,1/(单次交易!$A$2:$A$201=A64),单次交易!$H$2:$H$201),0)+SUMIFS($H$2:$H$1001,$A$2:$A$1001,A64,$B$2:$B$1001,"&lt;"&amp;B64))</f>
        <v/>
      </c>
      <c r="K64" s="24" t="str">
        <f aca="false">IF(OR(E64="",I64="",J64=""),"",MAX(E64*I64-J64,0))</f>
        <v/>
      </c>
      <c r="L64" s="25" t="str">
        <f aca="false">IF(OR(D64="",E64="",F64="",D64&lt;=E64),"",FLOOR((F64+K64)/(D64-E64),100))</f>
        <v/>
      </c>
      <c r="M64" s="25" t="str">
        <f aca="false">IF(OR(A64="",B64="",L64=""),"",IF(B64=1,L64,IFERROR(SUMIFS($G$2:$G$1001,$A$2:$A$1001,A64,$B$2:$B$1001,B64-1),0)))</f>
        <v/>
      </c>
      <c r="N64" s="25" t="str">
        <f aca="false">IF(OR(L64="",M64=""),"",MIN(L64,M64))</f>
        <v/>
      </c>
      <c r="O64" s="25" t="str">
        <f aca="false">IF(OR(I64="",G64=""),"",I64+G64)</f>
        <v/>
      </c>
      <c r="P64" s="24" t="str">
        <f aca="false">IF(OR(O64="",O64=0),"",(J64+H64)/O64)</f>
        <v/>
      </c>
      <c r="Q64" s="24" t="str">
        <f aca="false">IF(OR(O64="",E64=""),"",MAX(J64+H64-E64*O64,0))</f>
        <v/>
      </c>
      <c r="R64" s="26" t="str">
        <f aca="false">IF(A64="","",IF(COUNTIF(_TradeIds,A64)=0,"违规：交易编号不存在",IF(OR(B64="",B64&lt;1,B64&gt;5,B64&lt;&gt;INT(B64)),"违规：加仓序号须为1到5的整数",IF(COUNTIFS($A$2:$A$1001,A64,$B$2:$B$1001,B64)&gt;1,"违规：同一交易的加仓序号重复",IF(OR(D64="",E64="",F64=""),"计划不完整：请填写加仓价、新止损价和风险预算",IF(OR(D64&lt;=0,E64&lt;=0,F64&lt;=0,D64&lt;=E64),"违规：加仓价必须高于新止损价，金额须大于0",IF(AND(B64&gt;1,COUNTIFS($A$2:$A$1001,A64,$B$2:$B$1001,B64-1,$G$2:$G$1001,"&gt;0")=0),"违规：须先完成上一次加仓",IF(AND(B64&gt;1,E64&lt;SUMIFS($E$2:$E$1001,$A$2:$A$1001,A64,$B$2:$B$1001,B64-1)),"违规：新止损价不得低于上一次",IF(AND(B64&gt;1,F64&gt;SUMIFS($F$2:$F$1001,$A$2:$A$1001,A64,$B$2:$B$1001,B64-1)),"违规：风险预算须逐次不增加",IF(OR(_LockStatus="已锁仓",_LockStatus="解锁信息不完整"),"违规：锁仓期间禁止加仓",IF(G64="","计划可执行：建议股数见N列",IF(OR(G64&lt;=0,G64&lt;&gt;INT(G64),MOD(G64,100)&lt;&gt;0),"违规：实际股数须为100股整数倍",IF(G64&gt;N64,"违规：实际股数超过风险或金字塔上限",IF(AND(B64&gt;1,G64&gt;SUMIFS($G$2:$G$1001,$A$2:$A$1001,A64,$B$2:$B$1001,B64-1)),"违规：加仓股数须逐次不增加",IF(Q64&gt;F64,"违规：止损风险超过本次预算","通过")))))))))))))))</f>
        <v/>
      </c>
    </row>
    <row r="65" customFormat="false" ht="15" hidden="false" customHeight="false" outlineLevel="0" collapsed="false">
      <c r="A65" s="20"/>
      <c r="B65" s="21"/>
      <c r="C65" s="22"/>
      <c r="D65" s="23"/>
      <c r="E65" s="23"/>
      <c r="F65" s="23"/>
      <c r="G65" s="21"/>
      <c r="H65" s="24" t="str">
        <f aca="false">IF(OR(A65="",D65="",G65=""),"",D65*G65)</f>
        <v/>
      </c>
      <c r="I65" s="25" t="str">
        <f aca="false">IF(OR(A65="",B65=""),"",IFERROR(LOOKUP(2,1/(单次交易!$A$2:$A$201=A65),单次交易!$H$2:$H$201),0)+SUMIFS($G$2:$G$1001,$A$2:$A$1001,A65,$B$2:$B$1001,"&lt;"&amp;B65))</f>
        <v/>
      </c>
      <c r="J65" s="24" t="str">
        <f aca="false">IF(OR(A65="",B65=""),"",IFERROR(LOOKUP(2,1/(单次交易!$A$2:$A$201=A65),单次交易!$E$2:$E$201)*LOOKUP(2,1/(单次交易!$A$2:$A$201=A65),单次交易!$H$2:$H$201),0)+SUMIFS($H$2:$H$1001,$A$2:$A$1001,A65,$B$2:$B$1001,"&lt;"&amp;B65))</f>
        <v/>
      </c>
      <c r="K65" s="24" t="str">
        <f aca="false">IF(OR(E65="",I65="",J65=""),"",MAX(E65*I65-J65,0))</f>
        <v/>
      </c>
      <c r="L65" s="25" t="str">
        <f aca="false">IF(OR(D65="",E65="",F65="",D65&lt;=E65),"",FLOOR((F65+K65)/(D65-E65),100))</f>
        <v/>
      </c>
      <c r="M65" s="25" t="str">
        <f aca="false">IF(OR(A65="",B65="",L65=""),"",IF(B65=1,L65,IFERROR(SUMIFS($G$2:$G$1001,$A$2:$A$1001,A65,$B$2:$B$1001,B65-1),0)))</f>
        <v/>
      </c>
      <c r="N65" s="25" t="str">
        <f aca="false">IF(OR(L65="",M65=""),"",MIN(L65,M65))</f>
        <v/>
      </c>
      <c r="O65" s="25" t="str">
        <f aca="false">IF(OR(I65="",G65=""),"",I65+G65)</f>
        <v/>
      </c>
      <c r="P65" s="24" t="str">
        <f aca="false">IF(OR(O65="",O65=0),"",(J65+H65)/O65)</f>
        <v/>
      </c>
      <c r="Q65" s="24" t="str">
        <f aca="false">IF(OR(O65="",E65=""),"",MAX(J65+H65-E65*O65,0))</f>
        <v/>
      </c>
      <c r="R65" s="26" t="str">
        <f aca="false">IF(A65="","",IF(COUNTIF(_TradeIds,A65)=0,"违规：交易编号不存在",IF(OR(B65="",B65&lt;1,B65&gt;5,B65&lt;&gt;INT(B65)),"违规：加仓序号须为1到5的整数",IF(COUNTIFS($A$2:$A$1001,A65,$B$2:$B$1001,B65)&gt;1,"违规：同一交易的加仓序号重复",IF(OR(D65="",E65="",F65=""),"计划不完整：请填写加仓价、新止损价和风险预算",IF(OR(D65&lt;=0,E65&lt;=0,F65&lt;=0,D65&lt;=E65),"违规：加仓价必须高于新止损价，金额须大于0",IF(AND(B65&gt;1,COUNTIFS($A$2:$A$1001,A65,$B$2:$B$1001,B65-1,$G$2:$G$1001,"&gt;0")=0),"违规：须先完成上一次加仓",IF(AND(B65&gt;1,E65&lt;SUMIFS($E$2:$E$1001,$A$2:$A$1001,A65,$B$2:$B$1001,B65-1)),"违规：新止损价不得低于上一次",IF(AND(B65&gt;1,F65&gt;SUMIFS($F$2:$F$1001,$A$2:$A$1001,A65,$B$2:$B$1001,B65-1)),"违规：风险预算须逐次不增加",IF(OR(_LockStatus="已锁仓",_LockStatus="解锁信息不完整"),"违规：锁仓期间禁止加仓",IF(G65="","计划可执行：建议股数见N列",IF(OR(G65&lt;=0,G65&lt;&gt;INT(G65),MOD(G65,100)&lt;&gt;0),"违规：实际股数须为100股整数倍",IF(G65&gt;N65,"违规：实际股数超过风险或金字塔上限",IF(AND(B65&gt;1,G65&gt;SUMIFS($G$2:$G$1001,$A$2:$A$1001,A65,$B$2:$B$1001,B65-1)),"违规：加仓股数须逐次不增加",IF(Q65&gt;F65,"违规：止损风险超过本次预算","通过")))))))))))))))</f>
        <v/>
      </c>
    </row>
    <row r="66" customFormat="false" ht="15" hidden="false" customHeight="false" outlineLevel="0" collapsed="false">
      <c r="A66" s="20"/>
      <c r="B66" s="21"/>
      <c r="C66" s="22"/>
      <c r="D66" s="23"/>
      <c r="E66" s="23"/>
      <c r="F66" s="23"/>
      <c r="G66" s="21"/>
      <c r="H66" s="24" t="str">
        <f aca="false">IF(OR(A66="",D66="",G66=""),"",D66*G66)</f>
        <v/>
      </c>
      <c r="I66" s="25" t="str">
        <f aca="false">IF(OR(A66="",B66=""),"",IFERROR(LOOKUP(2,1/(单次交易!$A$2:$A$201=A66),单次交易!$H$2:$H$201),0)+SUMIFS($G$2:$G$1001,$A$2:$A$1001,A66,$B$2:$B$1001,"&lt;"&amp;B66))</f>
        <v/>
      </c>
      <c r="J66" s="24" t="str">
        <f aca="false">IF(OR(A66="",B66=""),"",IFERROR(LOOKUP(2,1/(单次交易!$A$2:$A$201=A66),单次交易!$E$2:$E$201)*LOOKUP(2,1/(单次交易!$A$2:$A$201=A66),单次交易!$H$2:$H$201),0)+SUMIFS($H$2:$H$1001,$A$2:$A$1001,A66,$B$2:$B$1001,"&lt;"&amp;B66))</f>
        <v/>
      </c>
      <c r="K66" s="24" t="str">
        <f aca="false">IF(OR(E66="",I66="",J66=""),"",MAX(E66*I66-J66,0))</f>
        <v/>
      </c>
      <c r="L66" s="25" t="str">
        <f aca="false">IF(OR(D66="",E66="",F66="",D66&lt;=E66),"",FLOOR((F66+K66)/(D66-E66),100))</f>
        <v/>
      </c>
      <c r="M66" s="25" t="str">
        <f aca="false">IF(OR(A66="",B66="",L66=""),"",IF(B66=1,L66,IFERROR(SUMIFS($G$2:$G$1001,$A$2:$A$1001,A66,$B$2:$B$1001,B66-1),0)))</f>
        <v/>
      </c>
      <c r="N66" s="25" t="str">
        <f aca="false">IF(OR(L66="",M66=""),"",MIN(L66,M66))</f>
        <v/>
      </c>
      <c r="O66" s="25" t="str">
        <f aca="false">IF(OR(I66="",G66=""),"",I66+G66)</f>
        <v/>
      </c>
      <c r="P66" s="24" t="str">
        <f aca="false">IF(OR(O66="",O66=0),"",(J66+H66)/O66)</f>
        <v/>
      </c>
      <c r="Q66" s="24" t="str">
        <f aca="false">IF(OR(O66="",E66=""),"",MAX(J66+H66-E66*O66,0))</f>
        <v/>
      </c>
      <c r="R66" s="26" t="str">
        <f aca="false">IF(A66="","",IF(COUNTIF(_TradeIds,A66)=0,"违规：交易编号不存在",IF(OR(B66="",B66&lt;1,B66&gt;5,B66&lt;&gt;INT(B66)),"违规：加仓序号须为1到5的整数",IF(COUNTIFS($A$2:$A$1001,A66,$B$2:$B$1001,B66)&gt;1,"违规：同一交易的加仓序号重复",IF(OR(D66="",E66="",F66=""),"计划不完整：请填写加仓价、新止损价和风险预算",IF(OR(D66&lt;=0,E66&lt;=0,F66&lt;=0,D66&lt;=E66),"违规：加仓价必须高于新止损价，金额须大于0",IF(AND(B66&gt;1,COUNTIFS($A$2:$A$1001,A66,$B$2:$B$1001,B66-1,$G$2:$G$1001,"&gt;0")=0),"违规：须先完成上一次加仓",IF(AND(B66&gt;1,E66&lt;SUMIFS($E$2:$E$1001,$A$2:$A$1001,A66,$B$2:$B$1001,B66-1)),"违规：新止损价不得低于上一次",IF(AND(B66&gt;1,F66&gt;SUMIFS($F$2:$F$1001,$A$2:$A$1001,A66,$B$2:$B$1001,B66-1)),"违规：风险预算须逐次不增加",IF(OR(_LockStatus="已锁仓",_LockStatus="解锁信息不完整"),"违规：锁仓期间禁止加仓",IF(G66="","计划可执行：建议股数见N列",IF(OR(G66&lt;=0,G66&lt;&gt;INT(G66),MOD(G66,100)&lt;&gt;0),"违规：实际股数须为100股整数倍",IF(G66&gt;N66,"违规：实际股数超过风险或金字塔上限",IF(AND(B66&gt;1,G66&gt;SUMIFS($G$2:$G$1001,$A$2:$A$1001,A66,$B$2:$B$1001,B66-1)),"违规：加仓股数须逐次不增加",IF(Q66&gt;F66,"违规：止损风险超过本次预算","通过")))))))))))))))</f>
        <v/>
      </c>
    </row>
    <row r="67" customFormat="false" ht="15" hidden="false" customHeight="false" outlineLevel="0" collapsed="false">
      <c r="A67" s="20"/>
      <c r="B67" s="21"/>
      <c r="C67" s="22"/>
      <c r="D67" s="23"/>
      <c r="E67" s="23"/>
      <c r="F67" s="23"/>
      <c r="G67" s="21"/>
      <c r="H67" s="24" t="str">
        <f aca="false">IF(OR(A67="",D67="",G67=""),"",D67*G67)</f>
        <v/>
      </c>
      <c r="I67" s="25" t="str">
        <f aca="false">IF(OR(A67="",B67=""),"",IFERROR(LOOKUP(2,1/(单次交易!$A$2:$A$201=A67),单次交易!$H$2:$H$201),0)+SUMIFS($G$2:$G$1001,$A$2:$A$1001,A67,$B$2:$B$1001,"&lt;"&amp;B67))</f>
        <v/>
      </c>
      <c r="J67" s="24" t="str">
        <f aca="false">IF(OR(A67="",B67=""),"",IFERROR(LOOKUP(2,1/(单次交易!$A$2:$A$201=A67),单次交易!$E$2:$E$201)*LOOKUP(2,1/(单次交易!$A$2:$A$201=A67),单次交易!$H$2:$H$201),0)+SUMIFS($H$2:$H$1001,$A$2:$A$1001,A67,$B$2:$B$1001,"&lt;"&amp;B67))</f>
        <v/>
      </c>
      <c r="K67" s="24" t="str">
        <f aca="false">IF(OR(E67="",I67="",J67=""),"",MAX(E67*I67-J67,0))</f>
        <v/>
      </c>
      <c r="L67" s="25" t="str">
        <f aca="false">IF(OR(D67="",E67="",F67="",D67&lt;=E67),"",FLOOR((F67+K67)/(D67-E67),100))</f>
        <v/>
      </c>
      <c r="M67" s="25" t="str">
        <f aca="false">IF(OR(A67="",B67="",L67=""),"",IF(B67=1,L67,IFERROR(SUMIFS($G$2:$G$1001,$A$2:$A$1001,A67,$B$2:$B$1001,B67-1),0)))</f>
        <v/>
      </c>
      <c r="N67" s="25" t="str">
        <f aca="false">IF(OR(L67="",M67=""),"",MIN(L67,M67))</f>
        <v/>
      </c>
      <c r="O67" s="25" t="str">
        <f aca="false">IF(OR(I67="",G67=""),"",I67+G67)</f>
        <v/>
      </c>
      <c r="P67" s="24" t="str">
        <f aca="false">IF(OR(O67="",O67=0),"",(J67+H67)/O67)</f>
        <v/>
      </c>
      <c r="Q67" s="24" t="str">
        <f aca="false">IF(OR(O67="",E67=""),"",MAX(J67+H67-E67*O67,0))</f>
        <v/>
      </c>
      <c r="R67" s="26" t="str">
        <f aca="false">IF(A67="","",IF(COUNTIF(_TradeIds,A67)=0,"违规：交易编号不存在",IF(OR(B67="",B67&lt;1,B67&gt;5,B67&lt;&gt;INT(B67)),"违规：加仓序号须为1到5的整数",IF(COUNTIFS($A$2:$A$1001,A67,$B$2:$B$1001,B67)&gt;1,"违规：同一交易的加仓序号重复",IF(OR(D67="",E67="",F67=""),"计划不完整：请填写加仓价、新止损价和风险预算",IF(OR(D67&lt;=0,E67&lt;=0,F67&lt;=0,D67&lt;=E67),"违规：加仓价必须高于新止损价，金额须大于0",IF(AND(B67&gt;1,COUNTIFS($A$2:$A$1001,A67,$B$2:$B$1001,B67-1,$G$2:$G$1001,"&gt;0")=0),"违规：须先完成上一次加仓",IF(AND(B67&gt;1,E67&lt;SUMIFS($E$2:$E$1001,$A$2:$A$1001,A67,$B$2:$B$1001,B67-1)),"违规：新止损价不得低于上一次",IF(AND(B67&gt;1,F67&gt;SUMIFS($F$2:$F$1001,$A$2:$A$1001,A67,$B$2:$B$1001,B67-1)),"违规：风险预算须逐次不增加",IF(OR(_LockStatus="已锁仓",_LockStatus="解锁信息不完整"),"违规：锁仓期间禁止加仓",IF(G67="","计划可执行：建议股数见N列",IF(OR(G67&lt;=0,G67&lt;&gt;INT(G67),MOD(G67,100)&lt;&gt;0),"违规：实际股数须为100股整数倍",IF(G67&gt;N67,"违规：实际股数超过风险或金字塔上限",IF(AND(B67&gt;1,G67&gt;SUMIFS($G$2:$G$1001,$A$2:$A$1001,A67,$B$2:$B$1001,B67-1)),"违规：加仓股数须逐次不增加",IF(Q67&gt;F67,"违规：止损风险超过本次预算","通过")))))))))))))))</f>
        <v/>
      </c>
    </row>
    <row r="68" customFormat="false" ht="15" hidden="false" customHeight="false" outlineLevel="0" collapsed="false">
      <c r="A68" s="20"/>
      <c r="B68" s="21"/>
      <c r="C68" s="22"/>
      <c r="D68" s="23"/>
      <c r="E68" s="23"/>
      <c r="F68" s="23"/>
      <c r="G68" s="21"/>
      <c r="H68" s="24" t="str">
        <f aca="false">IF(OR(A68="",D68="",G68=""),"",D68*G68)</f>
        <v/>
      </c>
      <c r="I68" s="25" t="str">
        <f aca="false">IF(OR(A68="",B68=""),"",IFERROR(LOOKUP(2,1/(单次交易!$A$2:$A$201=A68),单次交易!$H$2:$H$201),0)+SUMIFS($G$2:$G$1001,$A$2:$A$1001,A68,$B$2:$B$1001,"&lt;"&amp;B68))</f>
        <v/>
      </c>
      <c r="J68" s="24" t="str">
        <f aca="false">IF(OR(A68="",B68=""),"",IFERROR(LOOKUP(2,1/(单次交易!$A$2:$A$201=A68),单次交易!$E$2:$E$201)*LOOKUP(2,1/(单次交易!$A$2:$A$201=A68),单次交易!$H$2:$H$201),0)+SUMIFS($H$2:$H$1001,$A$2:$A$1001,A68,$B$2:$B$1001,"&lt;"&amp;B68))</f>
        <v/>
      </c>
      <c r="K68" s="24" t="str">
        <f aca="false">IF(OR(E68="",I68="",J68=""),"",MAX(E68*I68-J68,0))</f>
        <v/>
      </c>
      <c r="L68" s="25" t="str">
        <f aca="false">IF(OR(D68="",E68="",F68="",D68&lt;=E68),"",FLOOR((F68+K68)/(D68-E68),100))</f>
        <v/>
      </c>
      <c r="M68" s="25" t="str">
        <f aca="false">IF(OR(A68="",B68="",L68=""),"",IF(B68=1,L68,IFERROR(SUMIFS($G$2:$G$1001,$A$2:$A$1001,A68,$B$2:$B$1001,B68-1),0)))</f>
        <v/>
      </c>
      <c r="N68" s="25" t="str">
        <f aca="false">IF(OR(L68="",M68=""),"",MIN(L68,M68))</f>
        <v/>
      </c>
      <c r="O68" s="25" t="str">
        <f aca="false">IF(OR(I68="",G68=""),"",I68+G68)</f>
        <v/>
      </c>
      <c r="P68" s="24" t="str">
        <f aca="false">IF(OR(O68="",O68=0),"",(J68+H68)/O68)</f>
        <v/>
      </c>
      <c r="Q68" s="24" t="str">
        <f aca="false">IF(OR(O68="",E68=""),"",MAX(J68+H68-E68*O68,0))</f>
        <v/>
      </c>
      <c r="R68" s="26" t="str">
        <f aca="false">IF(A68="","",IF(COUNTIF(_TradeIds,A68)=0,"违规：交易编号不存在",IF(OR(B68="",B68&lt;1,B68&gt;5,B68&lt;&gt;INT(B68)),"违规：加仓序号须为1到5的整数",IF(COUNTIFS($A$2:$A$1001,A68,$B$2:$B$1001,B68)&gt;1,"违规：同一交易的加仓序号重复",IF(OR(D68="",E68="",F68=""),"计划不完整：请填写加仓价、新止损价和风险预算",IF(OR(D68&lt;=0,E68&lt;=0,F68&lt;=0,D68&lt;=E68),"违规：加仓价必须高于新止损价，金额须大于0",IF(AND(B68&gt;1,COUNTIFS($A$2:$A$1001,A68,$B$2:$B$1001,B68-1,$G$2:$G$1001,"&gt;0")=0),"违规：须先完成上一次加仓",IF(AND(B68&gt;1,E68&lt;SUMIFS($E$2:$E$1001,$A$2:$A$1001,A68,$B$2:$B$1001,B68-1)),"违规：新止损价不得低于上一次",IF(AND(B68&gt;1,F68&gt;SUMIFS($F$2:$F$1001,$A$2:$A$1001,A68,$B$2:$B$1001,B68-1)),"违规：风险预算须逐次不增加",IF(OR(_LockStatus="已锁仓",_LockStatus="解锁信息不完整"),"违规：锁仓期间禁止加仓",IF(G68="","计划可执行：建议股数见N列",IF(OR(G68&lt;=0,G68&lt;&gt;INT(G68),MOD(G68,100)&lt;&gt;0),"违规：实际股数须为100股整数倍",IF(G68&gt;N68,"违规：实际股数超过风险或金字塔上限",IF(AND(B68&gt;1,G68&gt;SUMIFS($G$2:$G$1001,$A$2:$A$1001,A68,$B$2:$B$1001,B68-1)),"违规：加仓股数须逐次不增加",IF(Q68&gt;F68,"违规：止损风险超过本次预算","通过")))))))))))))))</f>
        <v/>
      </c>
    </row>
    <row r="69" customFormat="false" ht="15" hidden="false" customHeight="false" outlineLevel="0" collapsed="false">
      <c r="A69" s="20"/>
      <c r="B69" s="21"/>
      <c r="C69" s="22"/>
      <c r="D69" s="23"/>
      <c r="E69" s="23"/>
      <c r="F69" s="23"/>
      <c r="G69" s="21"/>
      <c r="H69" s="24" t="str">
        <f aca="false">IF(OR(A69="",D69="",G69=""),"",D69*G69)</f>
        <v/>
      </c>
      <c r="I69" s="25" t="str">
        <f aca="false">IF(OR(A69="",B69=""),"",IFERROR(LOOKUP(2,1/(单次交易!$A$2:$A$201=A69),单次交易!$H$2:$H$201),0)+SUMIFS($G$2:$G$1001,$A$2:$A$1001,A69,$B$2:$B$1001,"&lt;"&amp;B69))</f>
        <v/>
      </c>
      <c r="J69" s="24" t="str">
        <f aca="false">IF(OR(A69="",B69=""),"",IFERROR(LOOKUP(2,1/(单次交易!$A$2:$A$201=A69),单次交易!$E$2:$E$201)*LOOKUP(2,1/(单次交易!$A$2:$A$201=A69),单次交易!$H$2:$H$201),0)+SUMIFS($H$2:$H$1001,$A$2:$A$1001,A69,$B$2:$B$1001,"&lt;"&amp;B69))</f>
        <v/>
      </c>
      <c r="K69" s="24" t="str">
        <f aca="false">IF(OR(E69="",I69="",J69=""),"",MAX(E69*I69-J69,0))</f>
        <v/>
      </c>
      <c r="L69" s="25" t="str">
        <f aca="false">IF(OR(D69="",E69="",F69="",D69&lt;=E69),"",FLOOR((F69+K69)/(D69-E69),100))</f>
        <v/>
      </c>
      <c r="M69" s="25" t="str">
        <f aca="false">IF(OR(A69="",B69="",L69=""),"",IF(B69=1,L69,IFERROR(SUMIFS($G$2:$G$1001,$A$2:$A$1001,A69,$B$2:$B$1001,B69-1),0)))</f>
        <v/>
      </c>
      <c r="N69" s="25" t="str">
        <f aca="false">IF(OR(L69="",M69=""),"",MIN(L69,M69))</f>
        <v/>
      </c>
      <c r="O69" s="25" t="str">
        <f aca="false">IF(OR(I69="",G69=""),"",I69+G69)</f>
        <v/>
      </c>
      <c r="P69" s="24" t="str">
        <f aca="false">IF(OR(O69="",O69=0),"",(J69+H69)/O69)</f>
        <v/>
      </c>
      <c r="Q69" s="24" t="str">
        <f aca="false">IF(OR(O69="",E69=""),"",MAX(J69+H69-E69*O69,0))</f>
        <v/>
      </c>
      <c r="R69" s="26" t="str">
        <f aca="false">IF(A69="","",IF(COUNTIF(_TradeIds,A69)=0,"违规：交易编号不存在",IF(OR(B69="",B69&lt;1,B69&gt;5,B69&lt;&gt;INT(B69)),"违规：加仓序号须为1到5的整数",IF(COUNTIFS($A$2:$A$1001,A69,$B$2:$B$1001,B69)&gt;1,"违规：同一交易的加仓序号重复",IF(OR(D69="",E69="",F69=""),"计划不完整：请填写加仓价、新止损价和风险预算",IF(OR(D69&lt;=0,E69&lt;=0,F69&lt;=0,D69&lt;=E69),"违规：加仓价必须高于新止损价，金额须大于0",IF(AND(B69&gt;1,COUNTIFS($A$2:$A$1001,A69,$B$2:$B$1001,B69-1,$G$2:$G$1001,"&gt;0")=0),"违规：须先完成上一次加仓",IF(AND(B69&gt;1,E69&lt;SUMIFS($E$2:$E$1001,$A$2:$A$1001,A69,$B$2:$B$1001,B69-1)),"违规：新止损价不得低于上一次",IF(AND(B69&gt;1,F69&gt;SUMIFS($F$2:$F$1001,$A$2:$A$1001,A69,$B$2:$B$1001,B69-1)),"违规：风险预算须逐次不增加",IF(OR(_LockStatus="已锁仓",_LockStatus="解锁信息不完整"),"违规：锁仓期间禁止加仓",IF(G69="","计划可执行：建议股数见N列",IF(OR(G69&lt;=0,G69&lt;&gt;INT(G69),MOD(G69,100)&lt;&gt;0),"违规：实际股数须为100股整数倍",IF(G69&gt;N69,"违规：实际股数超过风险或金字塔上限",IF(AND(B69&gt;1,G69&gt;SUMIFS($G$2:$G$1001,$A$2:$A$1001,A69,$B$2:$B$1001,B69-1)),"违规：加仓股数须逐次不增加",IF(Q69&gt;F69,"违规：止损风险超过本次预算","通过")))))))))))))))</f>
        <v/>
      </c>
    </row>
    <row r="70" customFormat="false" ht="15" hidden="false" customHeight="false" outlineLevel="0" collapsed="false">
      <c r="A70" s="20"/>
      <c r="B70" s="21"/>
      <c r="C70" s="22"/>
      <c r="D70" s="23"/>
      <c r="E70" s="23"/>
      <c r="F70" s="23"/>
      <c r="G70" s="21"/>
      <c r="H70" s="24" t="str">
        <f aca="false">IF(OR(A70="",D70="",G70=""),"",D70*G70)</f>
        <v/>
      </c>
      <c r="I70" s="25" t="str">
        <f aca="false">IF(OR(A70="",B70=""),"",IFERROR(LOOKUP(2,1/(单次交易!$A$2:$A$201=A70),单次交易!$H$2:$H$201),0)+SUMIFS($G$2:$G$1001,$A$2:$A$1001,A70,$B$2:$B$1001,"&lt;"&amp;B70))</f>
        <v/>
      </c>
      <c r="J70" s="24" t="str">
        <f aca="false">IF(OR(A70="",B70=""),"",IFERROR(LOOKUP(2,1/(单次交易!$A$2:$A$201=A70),单次交易!$E$2:$E$201)*LOOKUP(2,1/(单次交易!$A$2:$A$201=A70),单次交易!$H$2:$H$201),0)+SUMIFS($H$2:$H$1001,$A$2:$A$1001,A70,$B$2:$B$1001,"&lt;"&amp;B70))</f>
        <v/>
      </c>
      <c r="K70" s="24" t="str">
        <f aca="false">IF(OR(E70="",I70="",J70=""),"",MAX(E70*I70-J70,0))</f>
        <v/>
      </c>
      <c r="L70" s="25" t="str">
        <f aca="false">IF(OR(D70="",E70="",F70="",D70&lt;=E70),"",FLOOR((F70+K70)/(D70-E70),100))</f>
        <v/>
      </c>
      <c r="M70" s="25" t="str">
        <f aca="false">IF(OR(A70="",B70="",L70=""),"",IF(B70=1,L70,IFERROR(SUMIFS($G$2:$G$1001,$A$2:$A$1001,A70,$B$2:$B$1001,B70-1),0)))</f>
        <v/>
      </c>
      <c r="N70" s="25" t="str">
        <f aca="false">IF(OR(L70="",M70=""),"",MIN(L70,M70))</f>
        <v/>
      </c>
      <c r="O70" s="25" t="str">
        <f aca="false">IF(OR(I70="",G70=""),"",I70+G70)</f>
        <v/>
      </c>
      <c r="P70" s="24" t="str">
        <f aca="false">IF(OR(O70="",O70=0),"",(J70+H70)/O70)</f>
        <v/>
      </c>
      <c r="Q70" s="24" t="str">
        <f aca="false">IF(OR(O70="",E70=""),"",MAX(J70+H70-E70*O70,0))</f>
        <v/>
      </c>
      <c r="R70" s="26" t="str">
        <f aca="false">IF(A70="","",IF(COUNTIF(_TradeIds,A70)=0,"违规：交易编号不存在",IF(OR(B70="",B70&lt;1,B70&gt;5,B70&lt;&gt;INT(B70)),"违规：加仓序号须为1到5的整数",IF(COUNTIFS($A$2:$A$1001,A70,$B$2:$B$1001,B70)&gt;1,"违规：同一交易的加仓序号重复",IF(OR(D70="",E70="",F70=""),"计划不完整：请填写加仓价、新止损价和风险预算",IF(OR(D70&lt;=0,E70&lt;=0,F70&lt;=0,D70&lt;=E70),"违规：加仓价必须高于新止损价，金额须大于0",IF(AND(B70&gt;1,COUNTIFS($A$2:$A$1001,A70,$B$2:$B$1001,B70-1,$G$2:$G$1001,"&gt;0")=0),"违规：须先完成上一次加仓",IF(AND(B70&gt;1,E70&lt;SUMIFS($E$2:$E$1001,$A$2:$A$1001,A70,$B$2:$B$1001,B70-1)),"违规：新止损价不得低于上一次",IF(AND(B70&gt;1,F70&gt;SUMIFS($F$2:$F$1001,$A$2:$A$1001,A70,$B$2:$B$1001,B70-1)),"违规：风险预算须逐次不增加",IF(OR(_LockStatus="已锁仓",_LockStatus="解锁信息不完整"),"违规：锁仓期间禁止加仓",IF(G70="","计划可执行：建议股数见N列",IF(OR(G70&lt;=0,G70&lt;&gt;INT(G70),MOD(G70,100)&lt;&gt;0),"违规：实际股数须为100股整数倍",IF(G70&gt;N70,"违规：实际股数超过风险或金字塔上限",IF(AND(B70&gt;1,G70&gt;SUMIFS($G$2:$G$1001,$A$2:$A$1001,A70,$B$2:$B$1001,B70-1)),"违规：加仓股数须逐次不增加",IF(Q70&gt;F70,"违规：止损风险超过本次预算","通过")))))))))))))))</f>
        <v/>
      </c>
    </row>
    <row r="71" customFormat="false" ht="15" hidden="false" customHeight="false" outlineLevel="0" collapsed="false">
      <c r="A71" s="20"/>
      <c r="B71" s="21"/>
      <c r="C71" s="22"/>
      <c r="D71" s="23"/>
      <c r="E71" s="23"/>
      <c r="F71" s="23"/>
      <c r="G71" s="21"/>
      <c r="H71" s="24" t="str">
        <f aca="false">IF(OR(A71="",D71="",G71=""),"",D71*G71)</f>
        <v/>
      </c>
      <c r="I71" s="25" t="str">
        <f aca="false">IF(OR(A71="",B71=""),"",IFERROR(LOOKUP(2,1/(单次交易!$A$2:$A$201=A71),单次交易!$H$2:$H$201),0)+SUMIFS($G$2:$G$1001,$A$2:$A$1001,A71,$B$2:$B$1001,"&lt;"&amp;B71))</f>
        <v/>
      </c>
      <c r="J71" s="24" t="str">
        <f aca="false">IF(OR(A71="",B71=""),"",IFERROR(LOOKUP(2,1/(单次交易!$A$2:$A$201=A71),单次交易!$E$2:$E$201)*LOOKUP(2,1/(单次交易!$A$2:$A$201=A71),单次交易!$H$2:$H$201),0)+SUMIFS($H$2:$H$1001,$A$2:$A$1001,A71,$B$2:$B$1001,"&lt;"&amp;B71))</f>
        <v/>
      </c>
      <c r="K71" s="24" t="str">
        <f aca="false">IF(OR(E71="",I71="",J71=""),"",MAX(E71*I71-J71,0))</f>
        <v/>
      </c>
      <c r="L71" s="25" t="str">
        <f aca="false">IF(OR(D71="",E71="",F71="",D71&lt;=E71),"",FLOOR((F71+K71)/(D71-E71),100))</f>
        <v/>
      </c>
      <c r="M71" s="25" t="str">
        <f aca="false">IF(OR(A71="",B71="",L71=""),"",IF(B71=1,L71,IFERROR(SUMIFS($G$2:$G$1001,$A$2:$A$1001,A71,$B$2:$B$1001,B71-1),0)))</f>
        <v/>
      </c>
      <c r="N71" s="25" t="str">
        <f aca="false">IF(OR(L71="",M71=""),"",MIN(L71,M71))</f>
        <v/>
      </c>
      <c r="O71" s="25" t="str">
        <f aca="false">IF(OR(I71="",G71=""),"",I71+G71)</f>
        <v/>
      </c>
      <c r="P71" s="24" t="str">
        <f aca="false">IF(OR(O71="",O71=0),"",(J71+H71)/O71)</f>
        <v/>
      </c>
      <c r="Q71" s="24" t="str">
        <f aca="false">IF(OR(O71="",E71=""),"",MAX(J71+H71-E71*O71,0))</f>
        <v/>
      </c>
      <c r="R71" s="26" t="str">
        <f aca="false">IF(A71="","",IF(COUNTIF(_TradeIds,A71)=0,"违规：交易编号不存在",IF(OR(B71="",B71&lt;1,B71&gt;5,B71&lt;&gt;INT(B71)),"违规：加仓序号须为1到5的整数",IF(COUNTIFS($A$2:$A$1001,A71,$B$2:$B$1001,B71)&gt;1,"违规：同一交易的加仓序号重复",IF(OR(D71="",E71="",F71=""),"计划不完整：请填写加仓价、新止损价和风险预算",IF(OR(D71&lt;=0,E71&lt;=0,F71&lt;=0,D71&lt;=E71),"违规：加仓价必须高于新止损价，金额须大于0",IF(AND(B71&gt;1,COUNTIFS($A$2:$A$1001,A71,$B$2:$B$1001,B71-1,$G$2:$G$1001,"&gt;0")=0),"违规：须先完成上一次加仓",IF(AND(B71&gt;1,E71&lt;SUMIFS($E$2:$E$1001,$A$2:$A$1001,A71,$B$2:$B$1001,B71-1)),"违规：新止损价不得低于上一次",IF(AND(B71&gt;1,F71&gt;SUMIFS($F$2:$F$1001,$A$2:$A$1001,A71,$B$2:$B$1001,B71-1)),"违规：风险预算须逐次不增加",IF(OR(_LockStatus="已锁仓",_LockStatus="解锁信息不完整"),"违规：锁仓期间禁止加仓",IF(G71="","计划可执行：建议股数见N列",IF(OR(G71&lt;=0,G71&lt;&gt;INT(G71),MOD(G71,100)&lt;&gt;0),"违规：实际股数须为100股整数倍",IF(G71&gt;N71,"违规：实际股数超过风险或金字塔上限",IF(AND(B71&gt;1,G71&gt;SUMIFS($G$2:$G$1001,$A$2:$A$1001,A71,$B$2:$B$1001,B71-1)),"违规：加仓股数须逐次不增加",IF(Q71&gt;F71,"违规：止损风险超过本次预算","通过")))))))))))))))</f>
        <v/>
      </c>
    </row>
    <row r="72" customFormat="false" ht="15" hidden="false" customHeight="false" outlineLevel="0" collapsed="false">
      <c r="A72" s="20"/>
      <c r="B72" s="21"/>
      <c r="C72" s="22"/>
      <c r="D72" s="23"/>
      <c r="E72" s="23"/>
      <c r="F72" s="23"/>
      <c r="G72" s="21"/>
      <c r="H72" s="24" t="str">
        <f aca="false">IF(OR(A72="",D72="",G72=""),"",D72*G72)</f>
        <v/>
      </c>
      <c r="I72" s="25" t="str">
        <f aca="false">IF(OR(A72="",B72=""),"",IFERROR(LOOKUP(2,1/(单次交易!$A$2:$A$201=A72),单次交易!$H$2:$H$201),0)+SUMIFS($G$2:$G$1001,$A$2:$A$1001,A72,$B$2:$B$1001,"&lt;"&amp;B72))</f>
        <v/>
      </c>
      <c r="J72" s="24" t="str">
        <f aca="false">IF(OR(A72="",B72=""),"",IFERROR(LOOKUP(2,1/(单次交易!$A$2:$A$201=A72),单次交易!$E$2:$E$201)*LOOKUP(2,1/(单次交易!$A$2:$A$201=A72),单次交易!$H$2:$H$201),0)+SUMIFS($H$2:$H$1001,$A$2:$A$1001,A72,$B$2:$B$1001,"&lt;"&amp;B72))</f>
        <v/>
      </c>
      <c r="K72" s="24" t="str">
        <f aca="false">IF(OR(E72="",I72="",J72=""),"",MAX(E72*I72-J72,0))</f>
        <v/>
      </c>
      <c r="L72" s="25" t="str">
        <f aca="false">IF(OR(D72="",E72="",F72="",D72&lt;=E72),"",FLOOR((F72+K72)/(D72-E72),100))</f>
        <v/>
      </c>
      <c r="M72" s="25" t="str">
        <f aca="false">IF(OR(A72="",B72="",L72=""),"",IF(B72=1,L72,IFERROR(SUMIFS($G$2:$G$1001,$A$2:$A$1001,A72,$B$2:$B$1001,B72-1),0)))</f>
        <v/>
      </c>
      <c r="N72" s="25" t="str">
        <f aca="false">IF(OR(L72="",M72=""),"",MIN(L72,M72))</f>
        <v/>
      </c>
      <c r="O72" s="25" t="str">
        <f aca="false">IF(OR(I72="",G72=""),"",I72+G72)</f>
        <v/>
      </c>
      <c r="P72" s="24" t="str">
        <f aca="false">IF(OR(O72="",O72=0),"",(J72+H72)/O72)</f>
        <v/>
      </c>
      <c r="Q72" s="24" t="str">
        <f aca="false">IF(OR(O72="",E72=""),"",MAX(J72+H72-E72*O72,0))</f>
        <v/>
      </c>
      <c r="R72" s="26" t="str">
        <f aca="false">IF(A72="","",IF(COUNTIF(_TradeIds,A72)=0,"违规：交易编号不存在",IF(OR(B72="",B72&lt;1,B72&gt;5,B72&lt;&gt;INT(B72)),"违规：加仓序号须为1到5的整数",IF(COUNTIFS($A$2:$A$1001,A72,$B$2:$B$1001,B72)&gt;1,"违规：同一交易的加仓序号重复",IF(OR(D72="",E72="",F72=""),"计划不完整：请填写加仓价、新止损价和风险预算",IF(OR(D72&lt;=0,E72&lt;=0,F72&lt;=0,D72&lt;=E72),"违规：加仓价必须高于新止损价，金额须大于0",IF(AND(B72&gt;1,COUNTIFS($A$2:$A$1001,A72,$B$2:$B$1001,B72-1,$G$2:$G$1001,"&gt;0")=0),"违规：须先完成上一次加仓",IF(AND(B72&gt;1,E72&lt;SUMIFS($E$2:$E$1001,$A$2:$A$1001,A72,$B$2:$B$1001,B72-1)),"违规：新止损价不得低于上一次",IF(AND(B72&gt;1,F72&gt;SUMIFS($F$2:$F$1001,$A$2:$A$1001,A72,$B$2:$B$1001,B72-1)),"违规：风险预算须逐次不增加",IF(OR(_LockStatus="已锁仓",_LockStatus="解锁信息不完整"),"违规：锁仓期间禁止加仓",IF(G72="","计划可执行：建议股数见N列",IF(OR(G72&lt;=0,G72&lt;&gt;INT(G72),MOD(G72,100)&lt;&gt;0),"违规：实际股数须为100股整数倍",IF(G72&gt;N72,"违规：实际股数超过风险或金字塔上限",IF(AND(B72&gt;1,G72&gt;SUMIFS($G$2:$G$1001,$A$2:$A$1001,A72,$B$2:$B$1001,B72-1)),"违规：加仓股数须逐次不增加",IF(Q72&gt;F72,"违规：止损风险超过本次预算","通过")))))))))))))))</f>
        <v/>
      </c>
    </row>
    <row r="73" customFormat="false" ht="15" hidden="false" customHeight="false" outlineLevel="0" collapsed="false">
      <c r="A73" s="20"/>
      <c r="B73" s="21"/>
      <c r="C73" s="22"/>
      <c r="D73" s="23"/>
      <c r="E73" s="23"/>
      <c r="F73" s="23"/>
      <c r="G73" s="21"/>
      <c r="H73" s="24" t="str">
        <f aca="false">IF(OR(A73="",D73="",G73=""),"",D73*G73)</f>
        <v/>
      </c>
      <c r="I73" s="25" t="str">
        <f aca="false">IF(OR(A73="",B73=""),"",IFERROR(LOOKUP(2,1/(单次交易!$A$2:$A$201=A73),单次交易!$H$2:$H$201),0)+SUMIFS($G$2:$G$1001,$A$2:$A$1001,A73,$B$2:$B$1001,"&lt;"&amp;B73))</f>
        <v/>
      </c>
      <c r="J73" s="24" t="str">
        <f aca="false">IF(OR(A73="",B73=""),"",IFERROR(LOOKUP(2,1/(单次交易!$A$2:$A$201=A73),单次交易!$E$2:$E$201)*LOOKUP(2,1/(单次交易!$A$2:$A$201=A73),单次交易!$H$2:$H$201),0)+SUMIFS($H$2:$H$1001,$A$2:$A$1001,A73,$B$2:$B$1001,"&lt;"&amp;B73))</f>
        <v/>
      </c>
      <c r="K73" s="24" t="str">
        <f aca="false">IF(OR(E73="",I73="",J73=""),"",MAX(E73*I73-J73,0))</f>
        <v/>
      </c>
      <c r="L73" s="25" t="str">
        <f aca="false">IF(OR(D73="",E73="",F73="",D73&lt;=E73),"",FLOOR((F73+K73)/(D73-E73),100))</f>
        <v/>
      </c>
      <c r="M73" s="25" t="str">
        <f aca="false">IF(OR(A73="",B73="",L73=""),"",IF(B73=1,L73,IFERROR(SUMIFS($G$2:$G$1001,$A$2:$A$1001,A73,$B$2:$B$1001,B73-1),0)))</f>
        <v/>
      </c>
      <c r="N73" s="25" t="str">
        <f aca="false">IF(OR(L73="",M73=""),"",MIN(L73,M73))</f>
        <v/>
      </c>
      <c r="O73" s="25" t="str">
        <f aca="false">IF(OR(I73="",G73=""),"",I73+G73)</f>
        <v/>
      </c>
      <c r="P73" s="24" t="str">
        <f aca="false">IF(OR(O73="",O73=0),"",(J73+H73)/O73)</f>
        <v/>
      </c>
      <c r="Q73" s="24" t="str">
        <f aca="false">IF(OR(O73="",E73=""),"",MAX(J73+H73-E73*O73,0))</f>
        <v/>
      </c>
      <c r="R73" s="26" t="str">
        <f aca="false">IF(A73="","",IF(COUNTIF(_TradeIds,A73)=0,"违规：交易编号不存在",IF(OR(B73="",B73&lt;1,B73&gt;5,B73&lt;&gt;INT(B73)),"违规：加仓序号须为1到5的整数",IF(COUNTIFS($A$2:$A$1001,A73,$B$2:$B$1001,B73)&gt;1,"违规：同一交易的加仓序号重复",IF(OR(D73="",E73="",F73=""),"计划不完整：请填写加仓价、新止损价和风险预算",IF(OR(D73&lt;=0,E73&lt;=0,F73&lt;=0,D73&lt;=E73),"违规：加仓价必须高于新止损价，金额须大于0",IF(AND(B73&gt;1,COUNTIFS($A$2:$A$1001,A73,$B$2:$B$1001,B73-1,$G$2:$G$1001,"&gt;0")=0),"违规：须先完成上一次加仓",IF(AND(B73&gt;1,E73&lt;SUMIFS($E$2:$E$1001,$A$2:$A$1001,A73,$B$2:$B$1001,B73-1)),"违规：新止损价不得低于上一次",IF(AND(B73&gt;1,F73&gt;SUMIFS($F$2:$F$1001,$A$2:$A$1001,A73,$B$2:$B$1001,B73-1)),"违规：风险预算须逐次不增加",IF(OR(_LockStatus="已锁仓",_LockStatus="解锁信息不完整"),"违规：锁仓期间禁止加仓",IF(G73="","计划可执行：建议股数见N列",IF(OR(G73&lt;=0,G73&lt;&gt;INT(G73),MOD(G73,100)&lt;&gt;0),"违规：实际股数须为100股整数倍",IF(G73&gt;N73,"违规：实际股数超过风险或金字塔上限",IF(AND(B73&gt;1,G73&gt;SUMIFS($G$2:$G$1001,$A$2:$A$1001,A73,$B$2:$B$1001,B73-1)),"违规：加仓股数须逐次不增加",IF(Q73&gt;F73,"违规：止损风险超过本次预算","通过")))))))))))))))</f>
        <v/>
      </c>
    </row>
    <row r="74" customFormat="false" ht="15" hidden="false" customHeight="false" outlineLevel="0" collapsed="false">
      <c r="A74" s="20"/>
      <c r="B74" s="21"/>
      <c r="C74" s="22"/>
      <c r="D74" s="23"/>
      <c r="E74" s="23"/>
      <c r="F74" s="23"/>
      <c r="G74" s="21"/>
      <c r="H74" s="24" t="str">
        <f aca="false">IF(OR(A74="",D74="",G74=""),"",D74*G74)</f>
        <v/>
      </c>
      <c r="I74" s="25" t="str">
        <f aca="false">IF(OR(A74="",B74=""),"",IFERROR(LOOKUP(2,1/(单次交易!$A$2:$A$201=A74),单次交易!$H$2:$H$201),0)+SUMIFS($G$2:$G$1001,$A$2:$A$1001,A74,$B$2:$B$1001,"&lt;"&amp;B74))</f>
        <v/>
      </c>
      <c r="J74" s="24" t="str">
        <f aca="false">IF(OR(A74="",B74=""),"",IFERROR(LOOKUP(2,1/(单次交易!$A$2:$A$201=A74),单次交易!$E$2:$E$201)*LOOKUP(2,1/(单次交易!$A$2:$A$201=A74),单次交易!$H$2:$H$201),0)+SUMIFS($H$2:$H$1001,$A$2:$A$1001,A74,$B$2:$B$1001,"&lt;"&amp;B74))</f>
        <v/>
      </c>
      <c r="K74" s="24" t="str">
        <f aca="false">IF(OR(E74="",I74="",J74=""),"",MAX(E74*I74-J74,0))</f>
        <v/>
      </c>
      <c r="L74" s="25" t="str">
        <f aca="false">IF(OR(D74="",E74="",F74="",D74&lt;=E74),"",FLOOR((F74+K74)/(D74-E74),100))</f>
        <v/>
      </c>
      <c r="M74" s="25" t="str">
        <f aca="false">IF(OR(A74="",B74="",L74=""),"",IF(B74=1,L74,IFERROR(SUMIFS($G$2:$G$1001,$A$2:$A$1001,A74,$B$2:$B$1001,B74-1),0)))</f>
        <v/>
      </c>
      <c r="N74" s="25" t="str">
        <f aca="false">IF(OR(L74="",M74=""),"",MIN(L74,M74))</f>
        <v/>
      </c>
      <c r="O74" s="25" t="str">
        <f aca="false">IF(OR(I74="",G74=""),"",I74+G74)</f>
        <v/>
      </c>
      <c r="P74" s="24" t="str">
        <f aca="false">IF(OR(O74="",O74=0),"",(J74+H74)/O74)</f>
        <v/>
      </c>
      <c r="Q74" s="24" t="str">
        <f aca="false">IF(OR(O74="",E74=""),"",MAX(J74+H74-E74*O74,0))</f>
        <v/>
      </c>
      <c r="R74" s="26" t="str">
        <f aca="false">IF(A74="","",IF(COUNTIF(_TradeIds,A74)=0,"违规：交易编号不存在",IF(OR(B74="",B74&lt;1,B74&gt;5,B74&lt;&gt;INT(B74)),"违规：加仓序号须为1到5的整数",IF(COUNTIFS($A$2:$A$1001,A74,$B$2:$B$1001,B74)&gt;1,"违规：同一交易的加仓序号重复",IF(OR(D74="",E74="",F74=""),"计划不完整：请填写加仓价、新止损价和风险预算",IF(OR(D74&lt;=0,E74&lt;=0,F74&lt;=0,D74&lt;=E74),"违规：加仓价必须高于新止损价，金额须大于0",IF(AND(B74&gt;1,COUNTIFS($A$2:$A$1001,A74,$B$2:$B$1001,B74-1,$G$2:$G$1001,"&gt;0")=0),"违规：须先完成上一次加仓",IF(AND(B74&gt;1,E74&lt;SUMIFS($E$2:$E$1001,$A$2:$A$1001,A74,$B$2:$B$1001,B74-1)),"违规：新止损价不得低于上一次",IF(AND(B74&gt;1,F74&gt;SUMIFS($F$2:$F$1001,$A$2:$A$1001,A74,$B$2:$B$1001,B74-1)),"违规：风险预算须逐次不增加",IF(OR(_LockStatus="已锁仓",_LockStatus="解锁信息不完整"),"违规：锁仓期间禁止加仓",IF(G74="","计划可执行：建议股数见N列",IF(OR(G74&lt;=0,G74&lt;&gt;INT(G74),MOD(G74,100)&lt;&gt;0),"违规：实际股数须为100股整数倍",IF(G74&gt;N74,"违规：实际股数超过风险或金字塔上限",IF(AND(B74&gt;1,G74&gt;SUMIFS($G$2:$G$1001,$A$2:$A$1001,A74,$B$2:$B$1001,B74-1)),"违规：加仓股数须逐次不增加",IF(Q74&gt;F74,"违规：止损风险超过本次预算","通过")))))))))))))))</f>
        <v/>
      </c>
    </row>
    <row r="75" customFormat="false" ht="15" hidden="false" customHeight="false" outlineLevel="0" collapsed="false">
      <c r="A75" s="20"/>
      <c r="B75" s="21"/>
      <c r="C75" s="22"/>
      <c r="D75" s="23"/>
      <c r="E75" s="23"/>
      <c r="F75" s="23"/>
      <c r="G75" s="21"/>
      <c r="H75" s="24" t="str">
        <f aca="false">IF(OR(A75="",D75="",G75=""),"",D75*G75)</f>
        <v/>
      </c>
      <c r="I75" s="25" t="str">
        <f aca="false">IF(OR(A75="",B75=""),"",IFERROR(LOOKUP(2,1/(单次交易!$A$2:$A$201=A75),单次交易!$H$2:$H$201),0)+SUMIFS($G$2:$G$1001,$A$2:$A$1001,A75,$B$2:$B$1001,"&lt;"&amp;B75))</f>
        <v/>
      </c>
      <c r="J75" s="24" t="str">
        <f aca="false">IF(OR(A75="",B75=""),"",IFERROR(LOOKUP(2,1/(单次交易!$A$2:$A$201=A75),单次交易!$E$2:$E$201)*LOOKUP(2,1/(单次交易!$A$2:$A$201=A75),单次交易!$H$2:$H$201),0)+SUMIFS($H$2:$H$1001,$A$2:$A$1001,A75,$B$2:$B$1001,"&lt;"&amp;B75))</f>
        <v/>
      </c>
      <c r="K75" s="24" t="str">
        <f aca="false">IF(OR(E75="",I75="",J75=""),"",MAX(E75*I75-J75,0))</f>
        <v/>
      </c>
      <c r="L75" s="25" t="str">
        <f aca="false">IF(OR(D75="",E75="",F75="",D75&lt;=E75),"",FLOOR((F75+K75)/(D75-E75),100))</f>
        <v/>
      </c>
      <c r="M75" s="25" t="str">
        <f aca="false">IF(OR(A75="",B75="",L75=""),"",IF(B75=1,L75,IFERROR(SUMIFS($G$2:$G$1001,$A$2:$A$1001,A75,$B$2:$B$1001,B75-1),0)))</f>
        <v/>
      </c>
      <c r="N75" s="25" t="str">
        <f aca="false">IF(OR(L75="",M75=""),"",MIN(L75,M75))</f>
        <v/>
      </c>
      <c r="O75" s="25" t="str">
        <f aca="false">IF(OR(I75="",G75=""),"",I75+G75)</f>
        <v/>
      </c>
      <c r="P75" s="24" t="str">
        <f aca="false">IF(OR(O75="",O75=0),"",(J75+H75)/O75)</f>
        <v/>
      </c>
      <c r="Q75" s="24" t="str">
        <f aca="false">IF(OR(O75="",E75=""),"",MAX(J75+H75-E75*O75,0))</f>
        <v/>
      </c>
      <c r="R75" s="26" t="str">
        <f aca="false">IF(A75="","",IF(COUNTIF(_TradeIds,A75)=0,"违规：交易编号不存在",IF(OR(B75="",B75&lt;1,B75&gt;5,B75&lt;&gt;INT(B75)),"违规：加仓序号须为1到5的整数",IF(COUNTIFS($A$2:$A$1001,A75,$B$2:$B$1001,B75)&gt;1,"违规：同一交易的加仓序号重复",IF(OR(D75="",E75="",F75=""),"计划不完整：请填写加仓价、新止损价和风险预算",IF(OR(D75&lt;=0,E75&lt;=0,F75&lt;=0,D75&lt;=E75),"违规：加仓价必须高于新止损价，金额须大于0",IF(AND(B75&gt;1,COUNTIFS($A$2:$A$1001,A75,$B$2:$B$1001,B75-1,$G$2:$G$1001,"&gt;0")=0),"违规：须先完成上一次加仓",IF(AND(B75&gt;1,E75&lt;SUMIFS($E$2:$E$1001,$A$2:$A$1001,A75,$B$2:$B$1001,B75-1)),"违规：新止损价不得低于上一次",IF(AND(B75&gt;1,F75&gt;SUMIFS($F$2:$F$1001,$A$2:$A$1001,A75,$B$2:$B$1001,B75-1)),"违规：风险预算须逐次不增加",IF(OR(_LockStatus="已锁仓",_LockStatus="解锁信息不完整"),"违规：锁仓期间禁止加仓",IF(G75="","计划可执行：建议股数见N列",IF(OR(G75&lt;=0,G75&lt;&gt;INT(G75),MOD(G75,100)&lt;&gt;0),"违规：实际股数须为100股整数倍",IF(G75&gt;N75,"违规：实际股数超过风险或金字塔上限",IF(AND(B75&gt;1,G75&gt;SUMIFS($G$2:$G$1001,$A$2:$A$1001,A75,$B$2:$B$1001,B75-1)),"违规：加仓股数须逐次不增加",IF(Q75&gt;F75,"违规：止损风险超过本次预算","通过")))))))))))))))</f>
        <v/>
      </c>
    </row>
    <row r="76" customFormat="false" ht="15" hidden="false" customHeight="false" outlineLevel="0" collapsed="false">
      <c r="A76" s="20"/>
      <c r="B76" s="21"/>
      <c r="C76" s="22"/>
      <c r="D76" s="23"/>
      <c r="E76" s="23"/>
      <c r="F76" s="23"/>
      <c r="G76" s="21"/>
      <c r="H76" s="24" t="str">
        <f aca="false">IF(OR(A76="",D76="",G76=""),"",D76*G76)</f>
        <v/>
      </c>
      <c r="I76" s="25" t="str">
        <f aca="false">IF(OR(A76="",B76=""),"",IFERROR(LOOKUP(2,1/(单次交易!$A$2:$A$201=A76),单次交易!$H$2:$H$201),0)+SUMIFS($G$2:$G$1001,$A$2:$A$1001,A76,$B$2:$B$1001,"&lt;"&amp;B76))</f>
        <v/>
      </c>
      <c r="J76" s="24" t="str">
        <f aca="false">IF(OR(A76="",B76=""),"",IFERROR(LOOKUP(2,1/(单次交易!$A$2:$A$201=A76),单次交易!$E$2:$E$201)*LOOKUP(2,1/(单次交易!$A$2:$A$201=A76),单次交易!$H$2:$H$201),0)+SUMIFS($H$2:$H$1001,$A$2:$A$1001,A76,$B$2:$B$1001,"&lt;"&amp;B76))</f>
        <v/>
      </c>
      <c r="K76" s="24" t="str">
        <f aca="false">IF(OR(E76="",I76="",J76=""),"",MAX(E76*I76-J76,0))</f>
        <v/>
      </c>
      <c r="L76" s="25" t="str">
        <f aca="false">IF(OR(D76="",E76="",F76="",D76&lt;=E76),"",FLOOR((F76+K76)/(D76-E76),100))</f>
        <v/>
      </c>
      <c r="M76" s="25" t="str">
        <f aca="false">IF(OR(A76="",B76="",L76=""),"",IF(B76=1,L76,IFERROR(SUMIFS($G$2:$G$1001,$A$2:$A$1001,A76,$B$2:$B$1001,B76-1),0)))</f>
        <v/>
      </c>
      <c r="N76" s="25" t="str">
        <f aca="false">IF(OR(L76="",M76=""),"",MIN(L76,M76))</f>
        <v/>
      </c>
      <c r="O76" s="25" t="str">
        <f aca="false">IF(OR(I76="",G76=""),"",I76+G76)</f>
        <v/>
      </c>
      <c r="P76" s="24" t="str">
        <f aca="false">IF(OR(O76="",O76=0),"",(J76+H76)/O76)</f>
        <v/>
      </c>
      <c r="Q76" s="24" t="str">
        <f aca="false">IF(OR(O76="",E76=""),"",MAX(J76+H76-E76*O76,0))</f>
        <v/>
      </c>
      <c r="R76" s="26" t="str">
        <f aca="false">IF(A76="","",IF(COUNTIF(_TradeIds,A76)=0,"违规：交易编号不存在",IF(OR(B76="",B76&lt;1,B76&gt;5,B76&lt;&gt;INT(B76)),"违规：加仓序号须为1到5的整数",IF(COUNTIFS($A$2:$A$1001,A76,$B$2:$B$1001,B76)&gt;1,"违规：同一交易的加仓序号重复",IF(OR(D76="",E76="",F76=""),"计划不完整：请填写加仓价、新止损价和风险预算",IF(OR(D76&lt;=0,E76&lt;=0,F76&lt;=0,D76&lt;=E76),"违规：加仓价必须高于新止损价，金额须大于0",IF(AND(B76&gt;1,COUNTIFS($A$2:$A$1001,A76,$B$2:$B$1001,B76-1,$G$2:$G$1001,"&gt;0")=0),"违规：须先完成上一次加仓",IF(AND(B76&gt;1,E76&lt;SUMIFS($E$2:$E$1001,$A$2:$A$1001,A76,$B$2:$B$1001,B76-1)),"违规：新止损价不得低于上一次",IF(AND(B76&gt;1,F76&gt;SUMIFS($F$2:$F$1001,$A$2:$A$1001,A76,$B$2:$B$1001,B76-1)),"违规：风险预算须逐次不增加",IF(OR(_LockStatus="已锁仓",_LockStatus="解锁信息不完整"),"违规：锁仓期间禁止加仓",IF(G76="","计划可执行：建议股数见N列",IF(OR(G76&lt;=0,G76&lt;&gt;INT(G76),MOD(G76,100)&lt;&gt;0),"违规：实际股数须为100股整数倍",IF(G76&gt;N76,"违规：实际股数超过风险或金字塔上限",IF(AND(B76&gt;1,G76&gt;SUMIFS($G$2:$G$1001,$A$2:$A$1001,A76,$B$2:$B$1001,B76-1)),"违规：加仓股数须逐次不增加",IF(Q76&gt;F76,"违规：止损风险超过本次预算","通过")))))))))))))))</f>
        <v/>
      </c>
    </row>
    <row r="77" customFormat="false" ht="15" hidden="false" customHeight="false" outlineLevel="0" collapsed="false">
      <c r="A77" s="20"/>
      <c r="B77" s="21"/>
      <c r="C77" s="22"/>
      <c r="D77" s="23"/>
      <c r="E77" s="23"/>
      <c r="F77" s="23"/>
      <c r="G77" s="21"/>
      <c r="H77" s="24" t="str">
        <f aca="false">IF(OR(A77="",D77="",G77=""),"",D77*G77)</f>
        <v/>
      </c>
      <c r="I77" s="25" t="str">
        <f aca="false">IF(OR(A77="",B77=""),"",IFERROR(LOOKUP(2,1/(单次交易!$A$2:$A$201=A77),单次交易!$H$2:$H$201),0)+SUMIFS($G$2:$G$1001,$A$2:$A$1001,A77,$B$2:$B$1001,"&lt;"&amp;B77))</f>
        <v/>
      </c>
      <c r="J77" s="24" t="str">
        <f aca="false">IF(OR(A77="",B77=""),"",IFERROR(LOOKUP(2,1/(单次交易!$A$2:$A$201=A77),单次交易!$E$2:$E$201)*LOOKUP(2,1/(单次交易!$A$2:$A$201=A77),单次交易!$H$2:$H$201),0)+SUMIFS($H$2:$H$1001,$A$2:$A$1001,A77,$B$2:$B$1001,"&lt;"&amp;B77))</f>
        <v/>
      </c>
      <c r="K77" s="24" t="str">
        <f aca="false">IF(OR(E77="",I77="",J77=""),"",MAX(E77*I77-J77,0))</f>
        <v/>
      </c>
      <c r="L77" s="25" t="str">
        <f aca="false">IF(OR(D77="",E77="",F77="",D77&lt;=E77),"",FLOOR((F77+K77)/(D77-E77),100))</f>
        <v/>
      </c>
      <c r="M77" s="25" t="str">
        <f aca="false">IF(OR(A77="",B77="",L77=""),"",IF(B77=1,L77,IFERROR(SUMIFS($G$2:$G$1001,$A$2:$A$1001,A77,$B$2:$B$1001,B77-1),0)))</f>
        <v/>
      </c>
      <c r="N77" s="25" t="str">
        <f aca="false">IF(OR(L77="",M77=""),"",MIN(L77,M77))</f>
        <v/>
      </c>
      <c r="O77" s="25" t="str">
        <f aca="false">IF(OR(I77="",G77=""),"",I77+G77)</f>
        <v/>
      </c>
      <c r="P77" s="24" t="str">
        <f aca="false">IF(OR(O77="",O77=0),"",(J77+H77)/O77)</f>
        <v/>
      </c>
      <c r="Q77" s="24" t="str">
        <f aca="false">IF(OR(O77="",E77=""),"",MAX(J77+H77-E77*O77,0))</f>
        <v/>
      </c>
      <c r="R77" s="26" t="str">
        <f aca="false">IF(A77="","",IF(COUNTIF(_TradeIds,A77)=0,"违规：交易编号不存在",IF(OR(B77="",B77&lt;1,B77&gt;5,B77&lt;&gt;INT(B77)),"违规：加仓序号须为1到5的整数",IF(COUNTIFS($A$2:$A$1001,A77,$B$2:$B$1001,B77)&gt;1,"违规：同一交易的加仓序号重复",IF(OR(D77="",E77="",F77=""),"计划不完整：请填写加仓价、新止损价和风险预算",IF(OR(D77&lt;=0,E77&lt;=0,F77&lt;=0,D77&lt;=E77),"违规：加仓价必须高于新止损价，金额须大于0",IF(AND(B77&gt;1,COUNTIFS($A$2:$A$1001,A77,$B$2:$B$1001,B77-1,$G$2:$G$1001,"&gt;0")=0),"违规：须先完成上一次加仓",IF(AND(B77&gt;1,E77&lt;SUMIFS($E$2:$E$1001,$A$2:$A$1001,A77,$B$2:$B$1001,B77-1)),"违规：新止损价不得低于上一次",IF(AND(B77&gt;1,F77&gt;SUMIFS($F$2:$F$1001,$A$2:$A$1001,A77,$B$2:$B$1001,B77-1)),"违规：风险预算须逐次不增加",IF(OR(_LockStatus="已锁仓",_LockStatus="解锁信息不完整"),"违规：锁仓期间禁止加仓",IF(G77="","计划可执行：建议股数见N列",IF(OR(G77&lt;=0,G77&lt;&gt;INT(G77),MOD(G77,100)&lt;&gt;0),"违规：实际股数须为100股整数倍",IF(G77&gt;N77,"违规：实际股数超过风险或金字塔上限",IF(AND(B77&gt;1,G77&gt;SUMIFS($G$2:$G$1001,$A$2:$A$1001,A77,$B$2:$B$1001,B77-1)),"违规：加仓股数须逐次不增加",IF(Q77&gt;F77,"违规：止损风险超过本次预算","通过")))))))))))))))</f>
        <v/>
      </c>
    </row>
    <row r="78" customFormat="false" ht="15" hidden="false" customHeight="false" outlineLevel="0" collapsed="false">
      <c r="A78" s="20"/>
      <c r="B78" s="21"/>
      <c r="C78" s="22"/>
      <c r="D78" s="23"/>
      <c r="E78" s="23"/>
      <c r="F78" s="23"/>
      <c r="G78" s="21"/>
      <c r="H78" s="24" t="str">
        <f aca="false">IF(OR(A78="",D78="",G78=""),"",D78*G78)</f>
        <v/>
      </c>
      <c r="I78" s="25" t="str">
        <f aca="false">IF(OR(A78="",B78=""),"",IFERROR(LOOKUP(2,1/(单次交易!$A$2:$A$201=A78),单次交易!$H$2:$H$201),0)+SUMIFS($G$2:$G$1001,$A$2:$A$1001,A78,$B$2:$B$1001,"&lt;"&amp;B78))</f>
        <v/>
      </c>
      <c r="J78" s="24" t="str">
        <f aca="false">IF(OR(A78="",B78=""),"",IFERROR(LOOKUP(2,1/(单次交易!$A$2:$A$201=A78),单次交易!$E$2:$E$201)*LOOKUP(2,1/(单次交易!$A$2:$A$201=A78),单次交易!$H$2:$H$201),0)+SUMIFS($H$2:$H$1001,$A$2:$A$1001,A78,$B$2:$B$1001,"&lt;"&amp;B78))</f>
        <v/>
      </c>
      <c r="K78" s="24" t="str">
        <f aca="false">IF(OR(E78="",I78="",J78=""),"",MAX(E78*I78-J78,0))</f>
        <v/>
      </c>
      <c r="L78" s="25" t="str">
        <f aca="false">IF(OR(D78="",E78="",F78="",D78&lt;=E78),"",FLOOR((F78+K78)/(D78-E78),100))</f>
        <v/>
      </c>
      <c r="M78" s="25" t="str">
        <f aca="false">IF(OR(A78="",B78="",L78=""),"",IF(B78=1,L78,IFERROR(SUMIFS($G$2:$G$1001,$A$2:$A$1001,A78,$B$2:$B$1001,B78-1),0)))</f>
        <v/>
      </c>
      <c r="N78" s="25" t="str">
        <f aca="false">IF(OR(L78="",M78=""),"",MIN(L78,M78))</f>
        <v/>
      </c>
      <c r="O78" s="25" t="str">
        <f aca="false">IF(OR(I78="",G78=""),"",I78+G78)</f>
        <v/>
      </c>
      <c r="P78" s="24" t="str">
        <f aca="false">IF(OR(O78="",O78=0),"",(J78+H78)/O78)</f>
        <v/>
      </c>
      <c r="Q78" s="24" t="str">
        <f aca="false">IF(OR(O78="",E78=""),"",MAX(J78+H78-E78*O78,0))</f>
        <v/>
      </c>
      <c r="R78" s="26" t="str">
        <f aca="false">IF(A78="","",IF(COUNTIF(_TradeIds,A78)=0,"违规：交易编号不存在",IF(OR(B78="",B78&lt;1,B78&gt;5,B78&lt;&gt;INT(B78)),"违规：加仓序号须为1到5的整数",IF(COUNTIFS($A$2:$A$1001,A78,$B$2:$B$1001,B78)&gt;1,"违规：同一交易的加仓序号重复",IF(OR(D78="",E78="",F78=""),"计划不完整：请填写加仓价、新止损价和风险预算",IF(OR(D78&lt;=0,E78&lt;=0,F78&lt;=0,D78&lt;=E78),"违规：加仓价必须高于新止损价，金额须大于0",IF(AND(B78&gt;1,COUNTIFS($A$2:$A$1001,A78,$B$2:$B$1001,B78-1,$G$2:$G$1001,"&gt;0")=0),"违规：须先完成上一次加仓",IF(AND(B78&gt;1,E78&lt;SUMIFS($E$2:$E$1001,$A$2:$A$1001,A78,$B$2:$B$1001,B78-1)),"违规：新止损价不得低于上一次",IF(AND(B78&gt;1,F78&gt;SUMIFS($F$2:$F$1001,$A$2:$A$1001,A78,$B$2:$B$1001,B78-1)),"违规：风险预算须逐次不增加",IF(OR(_LockStatus="已锁仓",_LockStatus="解锁信息不完整"),"违规：锁仓期间禁止加仓",IF(G78="","计划可执行：建议股数见N列",IF(OR(G78&lt;=0,G78&lt;&gt;INT(G78),MOD(G78,100)&lt;&gt;0),"违规：实际股数须为100股整数倍",IF(G78&gt;N78,"违规：实际股数超过风险或金字塔上限",IF(AND(B78&gt;1,G78&gt;SUMIFS($G$2:$G$1001,$A$2:$A$1001,A78,$B$2:$B$1001,B78-1)),"违规：加仓股数须逐次不增加",IF(Q78&gt;F78,"违规：止损风险超过本次预算","通过")))))))))))))))</f>
        <v/>
      </c>
    </row>
    <row r="79" customFormat="false" ht="15" hidden="false" customHeight="false" outlineLevel="0" collapsed="false">
      <c r="A79" s="20"/>
      <c r="B79" s="21"/>
      <c r="C79" s="22"/>
      <c r="D79" s="23"/>
      <c r="E79" s="23"/>
      <c r="F79" s="23"/>
      <c r="G79" s="21"/>
      <c r="H79" s="24" t="str">
        <f aca="false">IF(OR(A79="",D79="",G79=""),"",D79*G79)</f>
        <v/>
      </c>
      <c r="I79" s="25" t="str">
        <f aca="false">IF(OR(A79="",B79=""),"",IFERROR(LOOKUP(2,1/(单次交易!$A$2:$A$201=A79),单次交易!$H$2:$H$201),0)+SUMIFS($G$2:$G$1001,$A$2:$A$1001,A79,$B$2:$B$1001,"&lt;"&amp;B79))</f>
        <v/>
      </c>
      <c r="J79" s="24" t="str">
        <f aca="false">IF(OR(A79="",B79=""),"",IFERROR(LOOKUP(2,1/(单次交易!$A$2:$A$201=A79),单次交易!$E$2:$E$201)*LOOKUP(2,1/(单次交易!$A$2:$A$201=A79),单次交易!$H$2:$H$201),0)+SUMIFS($H$2:$H$1001,$A$2:$A$1001,A79,$B$2:$B$1001,"&lt;"&amp;B79))</f>
        <v/>
      </c>
      <c r="K79" s="24" t="str">
        <f aca="false">IF(OR(E79="",I79="",J79=""),"",MAX(E79*I79-J79,0))</f>
        <v/>
      </c>
      <c r="L79" s="25" t="str">
        <f aca="false">IF(OR(D79="",E79="",F79="",D79&lt;=E79),"",FLOOR((F79+K79)/(D79-E79),100))</f>
        <v/>
      </c>
      <c r="M79" s="25" t="str">
        <f aca="false">IF(OR(A79="",B79="",L79=""),"",IF(B79=1,L79,IFERROR(SUMIFS($G$2:$G$1001,$A$2:$A$1001,A79,$B$2:$B$1001,B79-1),0)))</f>
        <v/>
      </c>
      <c r="N79" s="25" t="str">
        <f aca="false">IF(OR(L79="",M79=""),"",MIN(L79,M79))</f>
        <v/>
      </c>
      <c r="O79" s="25" t="str">
        <f aca="false">IF(OR(I79="",G79=""),"",I79+G79)</f>
        <v/>
      </c>
      <c r="P79" s="24" t="str">
        <f aca="false">IF(OR(O79="",O79=0),"",(J79+H79)/O79)</f>
        <v/>
      </c>
      <c r="Q79" s="24" t="str">
        <f aca="false">IF(OR(O79="",E79=""),"",MAX(J79+H79-E79*O79,0))</f>
        <v/>
      </c>
      <c r="R79" s="26" t="str">
        <f aca="false">IF(A79="","",IF(COUNTIF(_TradeIds,A79)=0,"违规：交易编号不存在",IF(OR(B79="",B79&lt;1,B79&gt;5,B79&lt;&gt;INT(B79)),"违规：加仓序号须为1到5的整数",IF(COUNTIFS($A$2:$A$1001,A79,$B$2:$B$1001,B79)&gt;1,"违规：同一交易的加仓序号重复",IF(OR(D79="",E79="",F79=""),"计划不完整：请填写加仓价、新止损价和风险预算",IF(OR(D79&lt;=0,E79&lt;=0,F79&lt;=0,D79&lt;=E79),"违规：加仓价必须高于新止损价，金额须大于0",IF(AND(B79&gt;1,COUNTIFS($A$2:$A$1001,A79,$B$2:$B$1001,B79-1,$G$2:$G$1001,"&gt;0")=0),"违规：须先完成上一次加仓",IF(AND(B79&gt;1,E79&lt;SUMIFS($E$2:$E$1001,$A$2:$A$1001,A79,$B$2:$B$1001,B79-1)),"违规：新止损价不得低于上一次",IF(AND(B79&gt;1,F79&gt;SUMIFS($F$2:$F$1001,$A$2:$A$1001,A79,$B$2:$B$1001,B79-1)),"违规：风险预算须逐次不增加",IF(OR(_LockStatus="已锁仓",_LockStatus="解锁信息不完整"),"违规：锁仓期间禁止加仓",IF(G79="","计划可执行：建议股数见N列",IF(OR(G79&lt;=0,G79&lt;&gt;INT(G79),MOD(G79,100)&lt;&gt;0),"违规：实际股数须为100股整数倍",IF(G79&gt;N79,"违规：实际股数超过风险或金字塔上限",IF(AND(B79&gt;1,G79&gt;SUMIFS($G$2:$G$1001,$A$2:$A$1001,A79,$B$2:$B$1001,B79-1)),"违规：加仓股数须逐次不增加",IF(Q79&gt;F79,"违规：止损风险超过本次预算","通过")))))))))))))))</f>
        <v/>
      </c>
    </row>
    <row r="80" customFormat="false" ht="15" hidden="false" customHeight="false" outlineLevel="0" collapsed="false">
      <c r="A80" s="20"/>
      <c r="B80" s="21"/>
      <c r="C80" s="22"/>
      <c r="D80" s="23"/>
      <c r="E80" s="23"/>
      <c r="F80" s="23"/>
      <c r="G80" s="21"/>
      <c r="H80" s="24" t="str">
        <f aca="false">IF(OR(A80="",D80="",G80=""),"",D80*G80)</f>
        <v/>
      </c>
      <c r="I80" s="25" t="str">
        <f aca="false">IF(OR(A80="",B80=""),"",IFERROR(LOOKUP(2,1/(单次交易!$A$2:$A$201=A80),单次交易!$H$2:$H$201),0)+SUMIFS($G$2:$G$1001,$A$2:$A$1001,A80,$B$2:$B$1001,"&lt;"&amp;B80))</f>
        <v/>
      </c>
      <c r="J80" s="24" t="str">
        <f aca="false">IF(OR(A80="",B80=""),"",IFERROR(LOOKUP(2,1/(单次交易!$A$2:$A$201=A80),单次交易!$E$2:$E$201)*LOOKUP(2,1/(单次交易!$A$2:$A$201=A80),单次交易!$H$2:$H$201),0)+SUMIFS($H$2:$H$1001,$A$2:$A$1001,A80,$B$2:$B$1001,"&lt;"&amp;B80))</f>
        <v/>
      </c>
      <c r="K80" s="24" t="str">
        <f aca="false">IF(OR(E80="",I80="",J80=""),"",MAX(E80*I80-J80,0))</f>
        <v/>
      </c>
      <c r="L80" s="25" t="str">
        <f aca="false">IF(OR(D80="",E80="",F80="",D80&lt;=E80),"",FLOOR((F80+K80)/(D80-E80),100))</f>
        <v/>
      </c>
      <c r="M80" s="25" t="str">
        <f aca="false">IF(OR(A80="",B80="",L80=""),"",IF(B80=1,L80,IFERROR(SUMIFS($G$2:$G$1001,$A$2:$A$1001,A80,$B$2:$B$1001,B80-1),0)))</f>
        <v/>
      </c>
      <c r="N80" s="25" t="str">
        <f aca="false">IF(OR(L80="",M80=""),"",MIN(L80,M80))</f>
        <v/>
      </c>
      <c r="O80" s="25" t="str">
        <f aca="false">IF(OR(I80="",G80=""),"",I80+G80)</f>
        <v/>
      </c>
      <c r="P80" s="24" t="str">
        <f aca="false">IF(OR(O80="",O80=0),"",(J80+H80)/O80)</f>
        <v/>
      </c>
      <c r="Q80" s="24" t="str">
        <f aca="false">IF(OR(O80="",E80=""),"",MAX(J80+H80-E80*O80,0))</f>
        <v/>
      </c>
      <c r="R80" s="26" t="str">
        <f aca="false">IF(A80="","",IF(COUNTIF(_TradeIds,A80)=0,"违规：交易编号不存在",IF(OR(B80="",B80&lt;1,B80&gt;5,B80&lt;&gt;INT(B80)),"违规：加仓序号须为1到5的整数",IF(COUNTIFS($A$2:$A$1001,A80,$B$2:$B$1001,B80)&gt;1,"违规：同一交易的加仓序号重复",IF(OR(D80="",E80="",F80=""),"计划不完整：请填写加仓价、新止损价和风险预算",IF(OR(D80&lt;=0,E80&lt;=0,F80&lt;=0,D80&lt;=E80),"违规：加仓价必须高于新止损价，金额须大于0",IF(AND(B80&gt;1,COUNTIFS($A$2:$A$1001,A80,$B$2:$B$1001,B80-1,$G$2:$G$1001,"&gt;0")=0),"违规：须先完成上一次加仓",IF(AND(B80&gt;1,E80&lt;SUMIFS($E$2:$E$1001,$A$2:$A$1001,A80,$B$2:$B$1001,B80-1)),"违规：新止损价不得低于上一次",IF(AND(B80&gt;1,F80&gt;SUMIFS($F$2:$F$1001,$A$2:$A$1001,A80,$B$2:$B$1001,B80-1)),"违规：风险预算须逐次不增加",IF(OR(_LockStatus="已锁仓",_LockStatus="解锁信息不完整"),"违规：锁仓期间禁止加仓",IF(G80="","计划可执行：建议股数见N列",IF(OR(G80&lt;=0,G80&lt;&gt;INT(G80),MOD(G80,100)&lt;&gt;0),"违规：实际股数须为100股整数倍",IF(G80&gt;N80,"违规：实际股数超过风险或金字塔上限",IF(AND(B80&gt;1,G80&gt;SUMIFS($G$2:$G$1001,$A$2:$A$1001,A80,$B$2:$B$1001,B80-1)),"违规：加仓股数须逐次不增加",IF(Q80&gt;F80,"违规：止损风险超过本次预算","通过")))))))))))))))</f>
        <v/>
      </c>
    </row>
    <row r="81" customFormat="false" ht="15" hidden="false" customHeight="false" outlineLevel="0" collapsed="false">
      <c r="A81" s="20"/>
      <c r="B81" s="21"/>
      <c r="C81" s="22"/>
      <c r="D81" s="23"/>
      <c r="E81" s="23"/>
      <c r="F81" s="23"/>
      <c r="G81" s="21"/>
      <c r="H81" s="24" t="str">
        <f aca="false">IF(OR(A81="",D81="",G81=""),"",D81*G81)</f>
        <v/>
      </c>
      <c r="I81" s="25" t="str">
        <f aca="false">IF(OR(A81="",B81=""),"",IFERROR(LOOKUP(2,1/(单次交易!$A$2:$A$201=A81),单次交易!$H$2:$H$201),0)+SUMIFS($G$2:$G$1001,$A$2:$A$1001,A81,$B$2:$B$1001,"&lt;"&amp;B81))</f>
        <v/>
      </c>
      <c r="J81" s="24" t="str">
        <f aca="false">IF(OR(A81="",B81=""),"",IFERROR(LOOKUP(2,1/(单次交易!$A$2:$A$201=A81),单次交易!$E$2:$E$201)*LOOKUP(2,1/(单次交易!$A$2:$A$201=A81),单次交易!$H$2:$H$201),0)+SUMIFS($H$2:$H$1001,$A$2:$A$1001,A81,$B$2:$B$1001,"&lt;"&amp;B81))</f>
        <v/>
      </c>
      <c r="K81" s="24" t="str">
        <f aca="false">IF(OR(E81="",I81="",J81=""),"",MAX(E81*I81-J81,0))</f>
        <v/>
      </c>
      <c r="L81" s="25" t="str">
        <f aca="false">IF(OR(D81="",E81="",F81="",D81&lt;=E81),"",FLOOR((F81+K81)/(D81-E81),100))</f>
        <v/>
      </c>
      <c r="M81" s="25" t="str">
        <f aca="false">IF(OR(A81="",B81="",L81=""),"",IF(B81=1,L81,IFERROR(SUMIFS($G$2:$G$1001,$A$2:$A$1001,A81,$B$2:$B$1001,B81-1),0)))</f>
        <v/>
      </c>
      <c r="N81" s="25" t="str">
        <f aca="false">IF(OR(L81="",M81=""),"",MIN(L81,M81))</f>
        <v/>
      </c>
      <c r="O81" s="25" t="str">
        <f aca="false">IF(OR(I81="",G81=""),"",I81+G81)</f>
        <v/>
      </c>
      <c r="P81" s="24" t="str">
        <f aca="false">IF(OR(O81="",O81=0),"",(J81+H81)/O81)</f>
        <v/>
      </c>
      <c r="Q81" s="24" t="str">
        <f aca="false">IF(OR(O81="",E81=""),"",MAX(J81+H81-E81*O81,0))</f>
        <v/>
      </c>
      <c r="R81" s="26" t="str">
        <f aca="false">IF(A81="","",IF(COUNTIF(_TradeIds,A81)=0,"违规：交易编号不存在",IF(OR(B81="",B81&lt;1,B81&gt;5,B81&lt;&gt;INT(B81)),"违规：加仓序号须为1到5的整数",IF(COUNTIFS($A$2:$A$1001,A81,$B$2:$B$1001,B81)&gt;1,"违规：同一交易的加仓序号重复",IF(OR(D81="",E81="",F81=""),"计划不完整：请填写加仓价、新止损价和风险预算",IF(OR(D81&lt;=0,E81&lt;=0,F81&lt;=0,D81&lt;=E81),"违规：加仓价必须高于新止损价，金额须大于0",IF(AND(B81&gt;1,COUNTIFS($A$2:$A$1001,A81,$B$2:$B$1001,B81-1,$G$2:$G$1001,"&gt;0")=0),"违规：须先完成上一次加仓",IF(AND(B81&gt;1,E81&lt;SUMIFS($E$2:$E$1001,$A$2:$A$1001,A81,$B$2:$B$1001,B81-1)),"违规：新止损价不得低于上一次",IF(AND(B81&gt;1,F81&gt;SUMIFS($F$2:$F$1001,$A$2:$A$1001,A81,$B$2:$B$1001,B81-1)),"违规：风险预算须逐次不增加",IF(OR(_LockStatus="已锁仓",_LockStatus="解锁信息不完整"),"违规：锁仓期间禁止加仓",IF(G81="","计划可执行：建议股数见N列",IF(OR(G81&lt;=0,G81&lt;&gt;INT(G81),MOD(G81,100)&lt;&gt;0),"违规：实际股数须为100股整数倍",IF(G81&gt;N81,"违规：实际股数超过风险或金字塔上限",IF(AND(B81&gt;1,G81&gt;SUMIFS($G$2:$G$1001,$A$2:$A$1001,A81,$B$2:$B$1001,B81-1)),"违规：加仓股数须逐次不增加",IF(Q81&gt;F81,"违规：止损风险超过本次预算","通过")))))))))))))))</f>
        <v/>
      </c>
    </row>
    <row r="82" customFormat="false" ht="15" hidden="false" customHeight="false" outlineLevel="0" collapsed="false">
      <c r="A82" s="20"/>
      <c r="B82" s="21"/>
      <c r="C82" s="22"/>
      <c r="D82" s="23"/>
      <c r="E82" s="23"/>
      <c r="F82" s="23"/>
      <c r="G82" s="21"/>
      <c r="H82" s="24" t="str">
        <f aca="false">IF(OR(A82="",D82="",G82=""),"",D82*G82)</f>
        <v/>
      </c>
      <c r="I82" s="25" t="str">
        <f aca="false">IF(OR(A82="",B82=""),"",IFERROR(LOOKUP(2,1/(单次交易!$A$2:$A$201=A82),单次交易!$H$2:$H$201),0)+SUMIFS($G$2:$G$1001,$A$2:$A$1001,A82,$B$2:$B$1001,"&lt;"&amp;B82))</f>
        <v/>
      </c>
      <c r="J82" s="24" t="str">
        <f aca="false">IF(OR(A82="",B82=""),"",IFERROR(LOOKUP(2,1/(单次交易!$A$2:$A$201=A82),单次交易!$E$2:$E$201)*LOOKUP(2,1/(单次交易!$A$2:$A$201=A82),单次交易!$H$2:$H$201),0)+SUMIFS($H$2:$H$1001,$A$2:$A$1001,A82,$B$2:$B$1001,"&lt;"&amp;B82))</f>
        <v/>
      </c>
      <c r="K82" s="24" t="str">
        <f aca="false">IF(OR(E82="",I82="",J82=""),"",MAX(E82*I82-J82,0))</f>
        <v/>
      </c>
      <c r="L82" s="25" t="str">
        <f aca="false">IF(OR(D82="",E82="",F82="",D82&lt;=E82),"",FLOOR((F82+K82)/(D82-E82),100))</f>
        <v/>
      </c>
      <c r="M82" s="25" t="str">
        <f aca="false">IF(OR(A82="",B82="",L82=""),"",IF(B82=1,L82,IFERROR(SUMIFS($G$2:$G$1001,$A$2:$A$1001,A82,$B$2:$B$1001,B82-1),0)))</f>
        <v/>
      </c>
      <c r="N82" s="25" t="str">
        <f aca="false">IF(OR(L82="",M82=""),"",MIN(L82,M82))</f>
        <v/>
      </c>
      <c r="O82" s="25" t="str">
        <f aca="false">IF(OR(I82="",G82=""),"",I82+G82)</f>
        <v/>
      </c>
      <c r="P82" s="24" t="str">
        <f aca="false">IF(OR(O82="",O82=0),"",(J82+H82)/O82)</f>
        <v/>
      </c>
      <c r="Q82" s="24" t="str">
        <f aca="false">IF(OR(O82="",E82=""),"",MAX(J82+H82-E82*O82,0))</f>
        <v/>
      </c>
      <c r="R82" s="26" t="str">
        <f aca="false">IF(A82="","",IF(COUNTIF(_TradeIds,A82)=0,"违规：交易编号不存在",IF(OR(B82="",B82&lt;1,B82&gt;5,B82&lt;&gt;INT(B82)),"违规：加仓序号须为1到5的整数",IF(COUNTIFS($A$2:$A$1001,A82,$B$2:$B$1001,B82)&gt;1,"违规：同一交易的加仓序号重复",IF(OR(D82="",E82="",F82=""),"计划不完整：请填写加仓价、新止损价和风险预算",IF(OR(D82&lt;=0,E82&lt;=0,F82&lt;=0,D82&lt;=E82),"违规：加仓价必须高于新止损价，金额须大于0",IF(AND(B82&gt;1,COUNTIFS($A$2:$A$1001,A82,$B$2:$B$1001,B82-1,$G$2:$G$1001,"&gt;0")=0),"违规：须先完成上一次加仓",IF(AND(B82&gt;1,E82&lt;SUMIFS($E$2:$E$1001,$A$2:$A$1001,A82,$B$2:$B$1001,B82-1)),"违规：新止损价不得低于上一次",IF(AND(B82&gt;1,F82&gt;SUMIFS($F$2:$F$1001,$A$2:$A$1001,A82,$B$2:$B$1001,B82-1)),"违规：风险预算须逐次不增加",IF(OR(_LockStatus="已锁仓",_LockStatus="解锁信息不完整"),"违规：锁仓期间禁止加仓",IF(G82="","计划可执行：建议股数见N列",IF(OR(G82&lt;=0,G82&lt;&gt;INT(G82),MOD(G82,100)&lt;&gt;0),"违规：实际股数须为100股整数倍",IF(G82&gt;N82,"违规：实际股数超过风险或金字塔上限",IF(AND(B82&gt;1,G82&gt;SUMIFS($G$2:$G$1001,$A$2:$A$1001,A82,$B$2:$B$1001,B82-1)),"违规：加仓股数须逐次不增加",IF(Q82&gt;F82,"违规：止损风险超过本次预算","通过")))))))))))))))</f>
        <v/>
      </c>
    </row>
    <row r="83" customFormat="false" ht="15" hidden="false" customHeight="false" outlineLevel="0" collapsed="false">
      <c r="A83" s="20"/>
      <c r="B83" s="21"/>
      <c r="C83" s="22"/>
      <c r="D83" s="23"/>
      <c r="E83" s="23"/>
      <c r="F83" s="23"/>
      <c r="G83" s="21"/>
      <c r="H83" s="24" t="str">
        <f aca="false">IF(OR(A83="",D83="",G83=""),"",D83*G83)</f>
        <v/>
      </c>
      <c r="I83" s="25" t="str">
        <f aca="false">IF(OR(A83="",B83=""),"",IFERROR(LOOKUP(2,1/(单次交易!$A$2:$A$201=A83),单次交易!$H$2:$H$201),0)+SUMIFS($G$2:$G$1001,$A$2:$A$1001,A83,$B$2:$B$1001,"&lt;"&amp;B83))</f>
        <v/>
      </c>
      <c r="J83" s="24" t="str">
        <f aca="false">IF(OR(A83="",B83=""),"",IFERROR(LOOKUP(2,1/(单次交易!$A$2:$A$201=A83),单次交易!$E$2:$E$201)*LOOKUP(2,1/(单次交易!$A$2:$A$201=A83),单次交易!$H$2:$H$201),0)+SUMIFS($H$2:$H$1001,$A$2:$A$1001,A83,$B$2:$B$1001,"&lt;"&amp;B83))</f>
        <v/>
      </c>
      <c r="K83" s="24" t="str">
        <f aca="false">IF(OR(E83="",I83="",J83=""),"",MAX(E83*I83-J83,0))</f>
        <v/>
      </c>
      <c r="L83" s="25" t="str">
        <f aca="false">IF(OR(D83="",E83="",F83="",D83&lt;=E83),"",FLOOR((F83+K83)/(D83-E83),100))</f>
        <v/>
      </c>
      <c r="M83" s="25" t="str">
        <f aca="false">IF(OR(A83="",B83="",L83=""),"",IF(B83=1,L83,IFERROR(SUMIFS($G$2:$G$1001,$A$2:$A$1001,A83,$B$2:$B$1001,B83-1),0)))</f>
        <v/>
      </c>
      <c r="N83" s="25" t="str">
        <f aca="false">IF(OR(L83="",M83=""),"",MIN(L83,M83))</f>
        <v/>
      </c>
      <c r="O83" s="25" t="str">
        <f aca="false">IF(OR(I83="",G83=""),"",I83+G83)</f>
        <v/>
      </c>
      <c r="P83" s="24" t="str">
        <f aca="false">IF(OR(O83="",O83=0),"",(J83+H83)/O83)</f>
        <v/>
      </c>
      <c r="Q83" s="24" t="str">
        <f aca="false">IF(OR(O83="",E83=""),"",MAX(J83+H83-E83*O83,0))</f>
        <v/>
      </c>
      <c r="R83" s="26" t="str">
        <f aca="false">IF(A83="","",IF(COUNTIF(_TradeIds,A83)=0,"违规：交易编号不存在",IF(OR(B83="",B83&lt;1,B83&gt;5,B83&lt;&gt;INT(B83)),"违规：加仓序号须为1到5的整数",IF(COUNTIFS($A$2:$A$1001,A83,$B$2:$B$1001,B83)&gt;1,"违规：同一交易的加仓序号重复",IF(OR(D83="",E83="",F83=""),"计划不完整：请填写加仓价、新止损价和风险预算",IF(OR(D83&lt;=0,E83&lt;=0,F83&lt;=0,D83&lt;=E83),"违规：加仓价必须高于新止损价，金额须大于0",IF(AND(B83&gt;1,COUNTIFS($A$2:$A$1001,A83,$B$2:$B$1001,B83-1,$G$2:$G$1001,"&gt;0")=0),"违规：须先完成上一次加仓",IF(AND(B83&gt;1,E83&lt;SUMIFS($E$2:$E$1001,$A$2:$A$1001,A83,$B$2:$B$1001,B83-1)),"违规：新止损价不得低于上一次",IF(AND(B83&gt;1,F83&gt;SUMIFS($F$2:$F$1001,$A$2:$A$1001,A83,$B$2:$B$1001,B83-1)),"违规：风险预算须逐次不增加",IF(OR(_LockStatus="已锁仓",_LockStatus="解锁信息不完整"),"违规：锁仓期间禁止加仓",IF(G83="","计划可执行：建议股数见N列",IF(OR(G83&lt;=0,G83&lt;&gt;INT(G83),MOD(G83,100)&lt;&gt;0),"违规：实际股数须为100股整数倍",IF(G83&gt;N83,"违规：实际股数超过风险或金字塔上限",IF(AND(B83&gt;1,G83&gt;SUMIFS($G$2:$G$1001,$A$2:$A$1001,A83,$B$2:$B$1001,B83-1)),"违规：加仓股数须逐次不增加",IF(Q83&gt;F83,"违规：止损风险超过本次预算","通过")))))))))))))))</f>
        <v/>
      </c>
    </row>
    <row r="84" customFormat="false" ht="15" hidden="false" customHeight="false" outlineLevel="0" collapsed="false">
      <c r="A84" s="20"/>
      <c r="B84" s="21"/>
      <c r="C84" s="22"/>
      <c r="D84" s="23"/>
      <c r="E84" s="23"/>
      <c r="F84" s="23"/>
      <c r="G84" s="21"/>
      <c r="H84" s="24" t="str">
        <f aca="false">IF(OR(A84="",D84="",G84=""),"",D84*G84)</f>
        <v/>
      </c>
      <c r="I84" s="25" t="str">
        <f aca="false">IF(OR(A84="",B84=""),"",IFERROR(LOOKUP(2,1/(单次交易!$A$2:$A$201=A84),单次交易!$H$2:$H$201),0)+SUMIFS($G$2:$G$1001,$A$2:$A$1001,A84,$B$2:$B$1001,"&lt;"&amp;B84))</f>
        <v/>
      </c>
      <c r="J84" s="24" t="str">
        <f aca="false">IF(OR(A84="",B84=""),"",IFERROR(LOOKUP(2,1/(单次交易!$A$2:$A$201=A84),单次交易!$E$2:$E$201)*LOOKUP(2,1/(单次交易!$A$2:$A$201=A84),单次交易!$H$2:$H$201),0)+SUMIFS($H$2:$H$1001,$A$2:$A$1001,A84,$B$2:$B$1001,"&lt;"&amp;B84))</f>
        <v/>
      </c>
      <c r="K84" s="24" t="str">
        <f aca="false">IF(OR(E84="",I84="",J84=""),"",MAX(E84*I84-J84,0))</f>
        <v/>
      </c>
      <c r="L84" s="25" t="str">
        <f aca="false">IF(OR(D84="",E84="",F84="",D84&lt;=E84),"",FLOOR((F84+K84)/(D84-E84),100))</f>
        <v/>
      </c>
      <c r="M84" s="25" t="str">
        <f aca="false">IF(OR(A84="",B84="",L84=""),"",IF(B84=1,L84,IFERROR(SUMIFS($G$2:$G$1001,$A$2:$A$1001,A84,$B$2:$B$1001,B84-1),0)))</f>
        <v/>
      </c>
      <c r="N84" s="25" t="str">
        <f aca="false">IF(OR(L84="",M84=""),"",MIN(L84,M84))</f>
        <v/>
      </c>
      <c r="O84" s="25" t="str">
        <f aca="false">IF(OR(I84="",G84=""),"",I84+G84)</f>
        <v/>
      </c>
      <c r="P84" s="24" t="str">
        <f aca="false">IF(OR(O84="",O84=0),"",(J84+H84)/O84)</f>
        <v/>
      </c>
      <c r="Q84" s="24" t="str">
        <f aca="false">IF(OR(O84="",E84=""),"",MAX(J84+H84-E84*O84,0))</f>
        <v/>
      </c>
      <c r="R84" s="26" t="str">
        <f aca="false">IF(A84="","",IF(COUNTIF(_TradeIds,A84)=0,"违规：交易编号不存在",IF(OR(B84="",B84&lt;1,B84&gt;5,B84&lt;&gt;INT(B84)),"违规：加仓序号须为1到5的整数",IF(COUNTIFS($A$2:$A$1001,A84,$B$2:$B$1001,B84)&gt;1,"违规：同一交易的加仓序号重复",IF(OR(D84="",E84="",F84=""),"计划不完整：请填写加仓价、新止损价和风险预算",IF(OR(D84&lt;=0,E84&lt;=0,F84&lt;=0,D84&lt;=E84),"违规：加仓价必须高于新止损价，金额须大于0",IF(AND(B84&gt;1,COUNTIFS($A$2:$A$1001,A84,$B$2:$B$1001,B84-1,$G$2:$G$1001,"&gt;0")=0),"违规：须先完成上一次加仓",IF(AND(B84&gt;1,E84&lt;SUMIFS($E$2:$E$1001,$A$2:$A$1001,A84,$B$2:$B$1001,B84-1)),"违规：新止损价不得低于上一次",IF(AND(B84&gt;1,F84&gt;SUMIFS($F$2:$F$1001,$A$2:$A$1001,A84,$B$2:$B$1001,B84-1)),"违规：风险预算须逐次不增加",IF(OR(_LockStatus="已锁仓",_LockStatus="解锁信息不完整"),"违规：锁仓期间禁止加仓",IF(G84="","计划可执行：建议股数见N列",IF(OR(G84&lt;=0,G84&lt;&gt;INT(G84),MOD(G84,100)&lt;&gt;0),"违规：实际股数须为100股整数倍",IF(G84&gt;N84,"违规：实际股数超过风险或金字塔上限",IF(AND(B84&gt;1,G84&gt;SUMIFS($G$2:$G$1001,$A$2:$A$1001,A84,$B$2:$B$1001,B84-1)),"违规：加仓股数须逐次不增加",IF(Q84&gt;F84,"违规：止损风险超过本次预算","通过")))))))))))))))</f>
        <v/>
      </c>
    </row>
    <row r="85" customFormat="false" ht="15" hidden="false" customHeight="false" outlineLevel="0" collapsed="false">
      <c r="A85" s="20"/>
      <c r="B85" s="21"/>
      <c r="C85" s="22"/>
      <c r="D85" s="23"/>
      <c r="E85" s="23"/>
      <c r="F85" s="23"/>
      <c r="G85" s="21"/>
      <c r="H85" s="24" t="str">
        <f aca="false">IF(OR(A85="",D85="",G85=""),"",D85*G85)</f>
        <v/>
      </c>
      <c r="I85" s="25" t="str">
        <f aca="false">IF(OR(A85="",B85=""),"",IFERROR(LOOKUP(2,1/(单次交易!$A$2:$A$201=A85),单次交易!$H$2:$H$201),0)+SUMIFS($G$2:$G$1001,$A$2:$A$1001,A85,$B$2:$B$1001,"&lt;"&amp;B85))</f>
        <v/>
      </c>
      <c r="J85" s="24" t="str">
        <f aca="false">IF(OR(A85="",B85=""),"",IFERROR(LOOKUP(2,1/(单次交易!$A$2:$A$201=A85),单次交易!$E$2:$E$201)*LOOKUP(2,1/(单次交易!$A$2:$A$201=A85),单次交易!$H$2:$H$201),0)+SUMIFS($H$2:$H$1001,$A$2:$A$1001,A85,$B$2:$B$1001,"&lt;"&amp;B85))</f>
        <v/>
      </c>
      <c r="K85" s="24" t="str">
        <f aca="false">IF(OR(E85="",I85="",J85=""),"",MAX(E85*I85-J85,0))</f>
        <v/>
      </c>
      <c r="L85" s="25" t="str">
        <f aca="false">IF(OR(D85="",E85="",F85="",D85&lt;=E85),"",FLOOR((F85+K85)/(D85-E85),100))</f>
        <v/>
      </c>
      <c r="M85" s="25" t="str">
        <f aca="false">IF(OR(A85="",B85="",L85=""),"",IF(B85=1,L85,IFERROR(SUMIFS($G$2:$G$1001,$A$2:$A$1001,A85,$B$2:$B$1001,B85-1),0)))</f>
        <v/>
      </c>
      <c r="N85" s="25" t="str">
        <f aca="false">IF(OR(L85="",M85=""),"",MIN(L85,M85))</f>
        <v/>
      </c>
      <c r="O85" s="25" t="str">
        <f aca="false">IF(OR(I85="",G85=""),"",I85+G85)</f>
        <v/>
      </c>
      <c r="P85" s="24" t="str">
        <f aca="false">IF(OR(O85="",O85=0),"",(J85+H85)/O85)</f>
        <v/>
      </c>
      <c r="Q85" s="24" t="str">
        <f aca="false">IF(OR(O85="",E85=""),"",MAX(J85+H85-E85*O85,0))</f>
        <v/>
      </c>
      <c r="R85" s="26" t="str">
        <f aca="false">IF(A85="","",IF(COUNTIF(_TradeIds,A85)=0,"违规：交易编号不存在",IF(OR(B85="",B85&lt;1,B85&gt;5,B85&lt;&gt;INT(B85)),"违规：加仓序号须为1到5的整数",IF(COUNTIFS($A$2:$A$1001,A85,$B$2:$B$1001,B85)&gt;1,"违规：同一交易的加仓序号重复",IF(OR(D85="",E85="",F85=""),"计划不完整：请填写加仓价、新止损价和风险预算",IF(OR(D85&lt;=0,E85&lt;=0,F85&lt;=0,D85&lt;=E85),"违规：加仓价必须高于新止损价，金额须大于0",IF(AND(B85&gt;1,COUNTIFS($A$2:$A$1001,A85,$B$2:$B$1001,B85-1,$G$2:$G$1001,"&gt;0")=0),"违规：须先完成上一次加仓",IF(AND(B85&gt;1,E85&lt;SUMIFS($E$2:$E$1001,$A$2:$A$1001,A85,$B$2:$B$1001,B85-1)),"违规：新止损价不得低于上一次",IF(AND(B85&gt;1,F85&gt;SUMIFS($F$2:$F$1001,$A$2:$A$1001,A85,$B$2:$B$1001,B85-1)),"违规：风险预算须逐次不增加",IF(OR(_LockStatus="已锁仓",_LockStatus="解锁信息不完整"),"违规：锁仓期间禁止加仓",IF(G85="","计划可执行：建议股数见N列",IF(OR(G85&lt;=0,G85&lt;&gt;INT(G85),MOD(G85,100)&lt;&gt;0),"违规：实际股数须为100股整数倍",IF(G85&gt;N85,"违规：实际股数超过风险或金字塔上限",IF(AND(B85&gt;1,G85&gt;SUMIFS($G$2:$G$1001,$A$2:$A$1001,A85,$B$2:$B$1001,B85-1)),"违规：加仓股数须逐次不增加",IF(Q85&gt;F85,"违规：止损风险超过本次预算","通过")))))))))))))))</f>
        <v/>
      </c>
    </row>
    <row r="86" customFormat="false" ht="15" hidden="false" customHeight="false" outlineLevel="0" collapsed="false">
      <c r="A86" s="20"/>
      <c r="B86" s="21"/>
      <c r="C86" s="22"/>
      <c r="D86" s="23"/>
      <c r="E86" s="23"/>
      <c r="F86" s="23"/>
      <c r="G86" s="21"/>
      <c r="H86" s="24" t="str">
        <f aca="false">IF(OR(A86="",D86="",G86=""),"",D86*G86)</f>
        <v/>
      </c>
      <c r="I86" s="25" t="str">
        <f aca="false">IF(OR(A86="",B86=""),"",IFERROR(LOOKUP(2,1/(单次交易!$A$2:$A$201=A86),单次交易!$H$2:$H$201),0)+SUMIFS($G$2:$G$1001,$A$2:$A$1001,A86,$B$2:$B$1001,"&lt;"&amp;B86))</f>
        <v/>
      </c>
      <c r="J86" s="24" t="str">
        <f aca="false">IF(OR(A86="",B86=""),"",IFERROR(LOOKUP(2,1/(单次交易!$A$2:$A$201=A86),单次交易!$E$2:$E$201)*LOOKUP(2,1/(单次交易!$A$2:$A$201=A86),单次交易!$H$2:$H$201),0)+SUMIFS($H$2:$H$1001,$A$2:$A$1001,A86,$B$2:$B$1001,"&lt;"&amp;B86))</f>
        <v/>
      </c>
      <c r="K86" s="24" t="str">
        <f aca="false">IF(OR(E86="",I86="",J86=""),"",MAX(E86*I86-J86,0))</f>
        <v/>
      </c>
      <c r="L86" s="25" t="str">
        <f aca="false">IF(OR(D86="",E86="",F86="",D86&lt;=E86),"",FLOOR((F86+K86)/(D86-E86),100))</f>
        <v/>
      </c>
      <c r="M86" s="25" t="str">
        <f aca="false">IF(OR(A86="",B86="",L86=""),"",IF(B86=1,L86,IFERROR(SUMIFS($G$2:$G$1001,$A$2:$A$1001,A86,$B$2:$B$1001,B86-1),0)))</f>
        <v/>
      </c>
      <c r="N86" s="25" t="str">
        <f aca="false">IF(OR(L86="",M86=""),"",MIN(L86,M86))</f>
        <v/>
      </c>
      <c r="O86" s="25" t="str">
        <f aca="false">IF(OR(I86="",G86=""),"",I86+G86)</f>
        <v/>
      </c>
      <c r="P86" s="24" t="str">
        <f aca="false">IF(OR(O86="",O86=0),"",(J86+H86)/O86)</f>
        <v/>
      </c>
      <c r="Q86" s="24" t="str">
        <f aca="false">IF(OR(O86="",E86=""),"",MAX(J86+H86-E86*O86,0))</f>
        <v/>
      </c>
      <c r="R86" s="26" t="str">
        <f aca="false">IF(A86="","",IF(COUNTIF(_TradeIds,A86)=0,"违规：交易编号不存在",IF(OR(B86="",B86&lt;1,B86&gt;5,B86&lt;&gt;INT(B86)),"违规：加仓序号须为1到5的整数",IF(COUNTIFS($A$2:$A$1001,A86,$B$2:$B$1001,B86)&gt;1,"违规：同一交易的加仓序号重复",IF(OR(D86="",E86="",F86=""),"计划不完整：请填写加仓价、新止损价和风险预算",IF(OR(D86&lt;=0,E86&lt;=0,F86&lt;=0,D86&lt;=E86),"违规：加仓价必须高于新止损价，金额须大于0",IF(AND(B86&gt;1,COUNTIFS($A$2:$A$1001,A86,$B$2:$B$1001,B86-1,$G$2:$G$1001,"&gt;0")=0),"违规：须先完成上一次加仓",IF(AND(B86&gt;1,E86&lt;SUMIFS($E$2:$E$1001,$A$2:$A$1001,A86,$B$2:$B$1001,B86-1)),"违规：新止损价不得低于上一次",IF(AND(B86&gt;1,F86&gt;SUMIFS($F$2:$F$1001,$A$2:$A$1001,A86,$B$2:$B$1001,B86-1)),"违规：风险预算须逐次不增加",IF(OR(_LockStatus="已锁仓",_LockStatus="解锁信息不完整"),"违规：锁仓期间禁止加仓",IF(G86="","计划可执行：建议股数见N列",IF(OR(G86&lt;=0,G86&lt;&gt;INT(G86),MOD(G86,100)&lt;&gt;0),"违规：实际股数须为100股整数倍",IF(G86&gt;N86,"违规：实际股数超过风险或金字塔上限",IF(AND(B86&gt;1,G86&gt;SUMIFS($G$2:$G$1001,$A$2:$A$1001,A86,$B$2:$B$1001,B86-1)),"违规：加仓股数须逐次不增加",IF(Q86&gt;F86,"违规：止损风险超过本次预算","通过")))))))))))))))</f>
        <v/>
      </c>
    </row>
    <row r="87" customFormat="false" ht="15" hidden="false" customHeight="false" outlineLevel="0" collapsed="false">
      <c r="A87" s="20"/>
      <c r="B87" s="21"/>
      <c r="C87" s="22"/>
      <c r="D87" s="23"/>
      <c r="E87" s="23"/>
      <c r="F87" s="23"/>
      <c r="G87" s="21"/>
      <c r="H87" s="24" t="str">
        <f aca="false">IF(OR(A87="",D87="",G87=""),"",D87*G87)</f>
        <v/>
      </c>
      <c r="I87" s="25" t="str">
        <f aca="false">IF(OR(A87="",B87=""),"",IFERROR(LOOKUP(2,1/(单次交易!$A$2:$A$201=A87),单次交易!$H$2:$H$201),0)+SUMIFS($G$2:$G$1001,$A$2:$A$1001,A87,$B$2:$B$1001,"&lt;"&amp;B87))</f>
        <v/>
      </c>
      <c r="J87" s="24" t="str">
        <f aca="false">IF(OR(A87="",B87=""),"",IFERROR(LOOKUP(2,1/(单次交易!$A$2:$A$201=A87),单次交易!$E$2:$E$201)*LOOKUP(2,1/(单次交易!$A$2:$A$201=A87),单次交易!$H$2:$H$201),0)+SUMIFS($H$2:$H$1001,$A$2:$A$1001,A87,$B$2:$B$1001,"&lt;"&amp;B87))</f>
        <v/>
      </c>
      <c r="K87" s="24" t="str">
        <f aca="false">IF(OR(E87="",I87="",J87=""),"",MAX(E87*I87-J87,0))</f>
        <v/>
      </c>
      <c r="L87" s="25" t="str">
        <f aca="false">IF(OR(D87="",E87="",F87="",D87&lt;=E87),"",FLOOR((F87+K87)/(D87-E87),100))</f>
        <v/>
      </c>
      <c r="M87" s="25" t="str">
        <f aca="false">IF(OR(A87="",B87="",L87=""),"",IF(B87=1,L87,IFERROR(SUMIFS($G$2:$G$1001,$A$2:$A$1001,A87,$B$2:$B$1001,B87-1),0)))</f>
        <v/>
      </c>
      <c r="N87" s="25" t="str">
        <f aca="false">IF(OR(L87="",M87=""),"",MIN(L87,M87))</f>
        <v/>
      </c>
      <c r="O87" s="25" t="str">
        <f aca="false">IF(OR(I87="",G87=""),"",I87+G87)</f>
        <v/>
      </c>
      <c r="P87" s="24" t="str">
        <f aca="false">IF(OR(O87="",O87=0),"",(J87+H87)/O87)</f>
        <v/>
      </c>
      <c r="Q87" s="24" t="str">
        <f aca="false">IF(OR(O87="",E87=""),"",MAX(J87+H87-E87*O87,0))</f>
        <v/>
      </c>
      <c r="R87" s="26" t="str">
        <f aca="false">IF(A87="","",IF(COUNTIF(_TradeIds,A87)=0,"违规：交易编号不存在",IF(OR(B87="",B87&lt;1,B87&gt;5,B87&lt;&gt;INT(B87)),"违规：加仓序号须为1到5的整数",IF(COUNTIFS($A$2:$A$1001,A87,$B$2:$B$1001,B87)&gt;1,"违规：同一交易的加仓序号重复",IF(OR(D87="",E87="",F87=""),"计划不完整：请填写加仓价、新止损价和风险预算",IF(OR(D87&lt;=0,E87&lt;=0,F87&lt;=0,D87&lt;=E87),"违规：加仓价必须高于新止损价，金额须大于0",IF(AND(B87&gt;1,COUNTIFS($A$2:$A$1001,A87,$B$2:$B$1001,B87-1,$G$2:$G$1001,"&gt;0")=0),"违规：须先完成上一次加仓",IF(AND(B87&gt;1,E87&lt;SUMIFS($E$2:$E$1001,$A$2:$A$1001,A87,$B$2:$B$1001,B87-1)),"违规：新止损价不得低于上一次",IF(AND(B87&gt;1,F87&gt;SUMIFS($F$2:$F$1001,$A$2:$A$1001,A87,$B$2:$B$1001,B87-1)),"违规：风险预算须逐次不增加",IF(OR(_LockStatus="已锁仓",_LockStatus="解锁信息不完整"),"违规：锁仓期间禁止加仓",IF(G87="","计划可执行：建议股数见N列",IF(OR(G87&lt;=0,G87&lt;&gt;INT(G87),MOD(G87,100)&lt;&gt;0),"违规：实际股数须为100股整数倍",IF(G87&gt;N87,"违规：实际股数超过风险或金字塔上限",IF(AND(B87&gt;1,G87&gt;SUMIFS($G$2:$G$1001,$A$2:$A$1001,A87,$B$2:$B$1001,B87-1)),"违规：加仓股数须逐次不增加",IF(Q87&gt;F87,"违规：止损风险超过本次预算","通过")))))))))))))))</f>
        <v/>
      </c>
    </row>
    <row r="88" customFormat="false" ht="15" hidden="false" customHeight="false" outlineLevel="0" collapsed="false">
      <c r="A88" s="20"/>
      <c r="B88" s="21"/>
      <c r="C88" s="22"/>
      <c r="D88" s="23"/>
      <c r="E88" s="23"/>
      <c r="F88" s="23"/>
      <c r="G88" s="21"/>
      <c r="H88" s="24" t="str">
        <f aca="false">IF(OR(A88="",D88="",G88=""),"",D88*G88)</f>
        <v/>
      </c>
      <c r="I88" s="25" t="str">
        <f aca="false">IF(OR(A88="",B88=""),"",IFERROR(LOOKUP(2,1/(单次交易!$A$2:$A$201=A88),单次交易!$H$2:$H$201),0)+SUMIFS($G$2:$G$1001,$A$2:$A$1001,A88,$B$2:$B$1001,"&lt;"&amp;B88))</f>
        <v/>
      </c>
      <c r="J88" s="24" t="str">
        <f aca="false">IF(OR(A88="",B88=""),"",IFERROR(LOOKUP(2,1/(单次交易!$A$2:$A$201=A88),单次交易!$E$2:$E$201)*LOOKUP(2,1/(单次交易!$A$2:$A$201=A88),单次交易!$H$2:$H$201),0)+SUMIFS($H$2:$H$1001,$A$2:$A$1001,A88,$B$2:$B$1001,"&lt;"&amp;B88))</f>
        <v/>
      </c>
      <c r="K88" s="24" t="str">
        <f aca="false">IF(OR(E88="",I88="",J88=""),"",MAX(E88*I88-J88,0))</f>
        <v/>
      </c>
      <c r="L88" s="25" t="str">
        <f aca="false">IF(OR(D88="",E88="",F88="",D88&lt;=E88),"",FLOOR((F88+K88)/(D88-E88),100))</f>
        <v/>
      </c>
      <c r="M88" s="25" t="str">
        <f aca="false">IF(OR(A88="",B88="",L88=""),"",IF(B88=1,L88,IFERROR(SUMIFS($G$2:$G$1001,$A$2:$A$1001,A88,$B$2:$B$1001,B88-1),0)))</f>
        <v/>
      </c>
      <c r="N88" s="25" t="str">
        <f aca="false">IF(OR(L88="",M88=""),"",MIN(L88,M88))</f>
        <v/>
      </c>
      <c r="O88" s="25" t="str">
        <f aca="false">IF(OR(I88="",G88=""),"",I88+G88)</f>
        <v/>
      </c>
      <c r="P88" s="24" t="str">
        <f aca="false">IF(OR(O88="",O88=0),"",(J88+H88)/O88)</f>
        <v/>
      </c>
      <c r="Q88" s="24" t="str">
        <f aca="false">IF(OR(O88="",E88=""),"",MAX(J88+H88-E88*O88,0))</f>
        <v/>
      </c>
      <c r="R88" s="26" t="str">
        <f aca="false">IF(A88="","",IF(COUNTIF(_TradeIds,A88)=0,"违规：交易编号不存在",IF(OR(B88="",B88&lt;1,B88&gt;5,B88&lt;&gt;INT(B88)),"违规：加仓序号须为1到5的整数",IF(COUNTIFS($A$2:$A$1001,A88,$B$2:$B$1001,B88)&gt;1,"违规：同一交易的加仓序号重复",IF(OR(D88="",E88="",F88=""),"计划不完整：请填写加仓价、新止损价和风险预算",IF(OR(D88&lt;=0,E88&lt;=0,F88&lt;=0,D88&lt;=E88),"违规：加仓价必须高于新止损价，金额须大于0",IF(AND(B88&gt;1,COUNTIFS($A$2:$A$1001,A88,$B$2:$B$1001,B88-1,$G$2:$G$1001,"&gt;0")=0),"违规：须先完成上一次加仓",IF(AND(B88&gt;1,E88&lt;SUMIFS($E$2:$E$1001,$A$2:$A$1001,A88,$B$2:$B$1001,B88-1)),"违规：新止损价不得低于上一次",IF(AND(B88&gt;1,F88&gt;SUMIFS($F$2:$F$1001,$A$2:$A$1001,A88,$B$2:$B$1001,B88-1)),"违规：风险预算须逐次不增加",IF(OR(_LockStatus="已锁仓",_LockStatus="解锁信息不完整"),"违规：锁仓期间禁止加仓",IF(G88="","计划可执行：建议股数见N列",IF(OR(G88&lt;=0,G88&lt;&gt;INT(G88),MOD(G88,100)&lt;&gt;0),"违规：实际股数须为100股整数倍",IF(G88&gt;N88,"违规：实际股数超过风险或金字塔上限",IF(AND(B88&gt;1,G88&gt;SUMIFS($G$2:$G$1001,$A$2:$A$1001,A88,$B$2:$B$1001,B88-1)),"违规：加仓股数须逐次不增加",IF(Q88&gt;F88,"违规：止损风险超过本次预算","通过")))))))))))))))</f>
        <v/>
      </c>
    </row>
    <row r="89" customFormat="false" ht="15" hidden="false" customHeight="false" outlineLevel="0" collapsed="false">
      <c r="A89" s="20"/>
      <c r="B89" s="21"/>
      <c r="C89" s="22"/>
      <c r="D89" s="23"/>
      <c r="E89" s="23"/>
      <c r="F89" s="23"/>
      <c r="G89" s="21"/>
      <c r="H89" s="24" t="str">
        <f aca="false">IF(OR(A89="",D89="",G89=""),"",D89*G89)</f>
        <v/>
      </c>
      <c r="I89" s="25" t="str">
        <f aca="false">IF(OR(A89="",B89=""),"",IFERROR(LOOKUP(2,1/(单次交易!$A$2:$A$201=A89),单次交易!$H$2:$H$201),0)+SUMIFS($G$2:$G$1001,$A$2:$A$1001,A89,$B$2:$B$1001,"&lt;"&amp;B89))</f>
        <v/>
      </c>
      <c r="J89" s="24" t="str">
        <f aca="false">IF(OR(A89="",B89=""),"",IFERROR(LOOKUP(2,1/(单次交易!$A$2:$A$201=A89),单次交易!$E$2:$E$201)*LOOKUP(2,1/(单次交易!$A$2:$A$201=A89),单次交易!$H$2:$H$201),0)+SUMIFS($H$2:$H$1001,$A$2:$A$1001,A89,$B$2:$B$1001,"&lt;"&amp;B89))</f>
        <v/>
      </c>
      <c r="K89" s="24" t="str">
        <f aca="false">IF(OR(E89="",I89="",J89=""),"",MAX(E89*I89-J89,0))</f>
        <v/>
      </c>
      <c r="L89" s="25" t="str">
        <f aca="false">IF(OR(D89="",E89="",F89="",D89&lt;=E89),"",FLOOR((F89+K89)/(D89-E89),100))</f>
        <v/>
      </c>
      <c r="M89" s="25" t="str">
        <f aca="false">IF(OR(A89="",B89="",L89=""),"",IF(B89=1,L89,IFERROR(SUMIFS($G$2:$G$1001,$A$2:$A$1001,A89,$B$2:$B$1001,B89-1),0)))</f>
        <v/>
      </c>
      <c r="N89" s="25" t="str">
        <f aca="false">IF(OR(L89="",M89=""),"",MIN(L89,M89))</f>
        <v/>
      </c>
      <c r="O89" s="25" t="str">
        <f aca="false">IF(OR(I89="",G89=""),"",I89+G89)</f>
        <v/>
      </c>
      <c r="P89" s="24" t="str">
        <f aca="false">IF(OR(O89="",O89=0),"",(J89+H89)/O89)</f>
        <v/>
      </c>
      <c r="Q89" s="24" t="str">
        <f aca="false">IF(OR(O89="",E89=""),"",MAX(J89+H89-E89*O89,0))</f>
        <v/>
      </c>
      <c r="R89" s="26" t="str">
        <f aca="false">IF(A89="","",IF(COUNTIF(_TradeIds,A89)=0,"违规：交易编号不存在",IF(OR(B89="",B89&lt;1,B89&gt;5,B89&lt;&gt;INT(B89)),"违规：加仓序号须为1到5的整数",IF(COUNTIFS($A$2:$A$1001,A89,$B$2:$B$1001,B89)&gt;1,"违规：同一交易的加仓序号重复",IF(OR(D89="",E89="",F89=""),"计划不完整：请填写加仓价、新止损价和风险预算",IF(OR(D89&lt;=0,E89&lt;=0,F89&lt;=0,D89&lt;=E89),"违规：加仓价必须高于新止损价，金额须大于0",IF(AND(B89&gt;1,COUNTIFS($A$2:$A$1001,A89,$B$2:$B$1001,B89-1,$G$2:$G$1001,"&gt;0")=0),"违规：须先完成上一次加仓",IF(AND(B89&gt;1,E89&lt;SUMIFS($E$2:$E$1001,$A$2:$A$1001,A89,$B$2:$B$1001,B89-1)),"违规：新止损价不得低于上一次",IF(AND(B89&gt;1,F89&gt;SUMIFS($F$2:$F$1001,$A$2:$A$1001,A89,$B$2:$B$1001,B89-1)),"违规：风险预算须逐次不增加",IF(OR(_LockStatus="已锁仓",_LockStatus="解锁信息不完整"),"违规：锁仓期间禁止加仓",IF(G89="","计划可执行：建议股数见N列",IF(OR(G89&lt;=0,G89&lt;&gt;INT(G89),MOD(G89,100)&lt;&gt;0),"违规：实际股数须为100股整数倍",IF(G89&gt;N89,"违规：实际股数超过风险或金字塔上限",IF(AND(B89&gt;1,G89&gt;SUMIFS($G$2:$G$1001,$A$2:$A$1001,A89,$B$2:$B$1001,B89-1)),"违规：加仓股数须逐次不增加",IF(Q89&gt;F89,"违规：止损风险超过本次预算","通过")))))))))))))))</f>
        <v/>
      </c>
    </row>
    <row r="90" customFormat="false" ht="15" hidden="false" customHeight="false" outlineLevel="0" collapsed="false">
      <c r="A90" s="20"/>
      <c r="B90" s="21"/>
      <c r="C90" s="22"/>
      <c r="D90" s="23"/>
      <c r="E90" s="23"/>
      <c r="F90" s="23"/>
      <c r="G90" s="21"/>
      <c r="H90" s="24" t="str">
        <f aca="false">IF(OR(A90="",D90="",G90=""),"",D90*G90)</f>
        <v/>
      </c>
      <c r="I90" s="25" t="str">
        <f aca="false">IF(OR(A90="",B90=""),"",IFERROR(LOOKUP(2,1/(单次交易!$A$2:$A$201=A90),单次交易!$H$2:$H$201),0)+SUMIFS($G$2:$G$1001,$A$2:$A$1001,A90,$B$2:$B$1001,"&lt;"&amp;B90))</f>
        <v/>
      </c>
      <c r="J90" s="24" t="str">
        <f aca="false">IF(OR(A90="",B90=""),"",IFERROR(LOOKUP(2,1/(单次交易!$A$2:$A$201=A90),单次交易!$E$2:$E$201)*LOOKUP(2,1/(单次交易!$A$2:$A$201=A90),单次交易!$H$2:$H$201),0)+SUMIFS($H$2:$H$1001,$A$2:$A$1001,A90,$B$2:$B$1001,"&lt;"&amp;B90))</f>
        <v/>
      </c>
      <c r="K90" s="24" t="str">
        <f aca="false">IF(OR(E90="",I90="",J90=""),"",MAX(E90*I90-J90,0))</f>
        <v/>
      </c>
      <c r="L90" s="25" t="str">
        <f aca="false">IF(OR(D90="",E90="",F90="",D90&lt;=E90),"",FLOOR((F90+K90)/(D90-E90),100))</f>
        <v/>
      </c>
      <c r="M90" s="25" t="str">
        <f aca="false">IF(OR(A90="",B90="",L90=""),"",IF(B90=1,L90,IFERROR(SUMIFS($G$2:$G$1001,$A$2:$A$1001,A90,$B$2:$B$1001,B90-1),0)))</f>
        <v/>
      </c>
      <c r="N90" s="25" t="str">
        <f aca="false">IF(OR(L90="",M90=""),"",MIN(L90,M90))</f>
        <v/>
      </c>
      <c r="O90" s="25" t="str">
        <f aca="false">IF(OR(I90="",G90=""),"",I90+G90)</f>
        <v/>
      </c>
      <c r="P90" s="24" t="str">
        <f aca="false">IF(OR(O90="",O90=0),"",(J90+H90)/O90)</f>
        <v/>
      </c>
      <c r="Q90" s="24" t="str">
        <f aca="false">IF(OR(O90="",E90=""),"",MAX(J90+H90-E90*O90,0))</f>
        <v/>
      </c>
      <c r="R90" s="26" t="str">
        <f aca="false">IF(A90="","",IF(COUNTIF(_TradeIds,A90)=0,"违规：交易编号不存在",IF(OR(B90="",B90&lt;1,B90&gt;5,B90&lt;&gt;INT(B90)),"违规：加仓序号须为1到5的整数",IF(COUNTIFS($A$2:$A$1001,A90,$B$2:$B$1001,B90)&gt;1,"违规：同一交易的加仓序号重复",IF(OR(D90="",E90="",F90=""),"计划不完整：请填写加仓价、新止损价和风险预算",IF(OR(D90&lt;=0,E90&lt;=0,F90&lt;=0,D90&lt;=E90),"违规：加仓价必须高于新止损价，金额须大于0",IF(AND(B90&gt;1,COUNTIFS($A$2:$A$1001,A90,$B$2:$B$1001,B90-1,$G$2:$G$1001,"&gt;0")=0),"违规：须先完成上一次加仓",IF(AND(B90&gt;1,E90&lt;SUMIFS($E$2:$E$1001,$A$2:$A$1001,A90,$B$2:$B$1001,B90-1)),"违规：新止损价不得低于上一次",IF(AND(B90&gt;1,F90&gt;SUMIFS($F$2:$F$1001,$A$2:$A$1001,A90,$B$2:$B$1001,B90-1)),"违规：风险预算须逐次不增加",IF(OR(_LockStatus="已锁仓",_LockStatus="解锁信息不完整"),"违规：锁仓期间禁止加仓",IF(G90="","计划可执行：建议股数见N列",IF(OR(G90&lt;=0,G90&lt;&gt;INT(G90),MOD(G90,100)&lt;&gt;0),"违规：实际股数须为100股整数倍",IF(G90&gt;N90,"违规：实际股数超过风险或金字塔上限",IF(AND(B90&gt;1,G90&gt;SUMIFS($G$2:$G$1001,$A$2:$A$1001,A90,$B$2:$B$1001,B90-1)),"违规：加仓股数须逐次不增加",IF(Q90&gt;F90,"违规：止损风险超过本次预算","通过")))))))))))))))</f>
        <v/>
      </c>
    </row>
    <row r="91" customFormat="false" ht="15" hidden="false" customHeight="false" outlineLevel="0" collapsed="false">
      <c r="A91" s="20"/>
      <c r="B91" s="21"/>
      <c r="C91" s="22"/>
      <c r="D91" s="23"/>
      <c r="E91" s="23"/>
      <c r="F91" s="23"/>
      <c r="G91" s="21"/>
      <c r="H91" s="24" t="str">
        <f aca="false">IF(OR(A91="",D91="",G91=""),"",D91*G91)</f>
        <v/>
      </c>
      <c r="I91" s="25" t="str">
        <f aca="false">IF(OR(A91="",B91=""),"",IFERROR(LOOKUP(2,1/(单次交易!$A$2:$A$201=A91),单次交易!$H$2:$H$201),0)+SUMIFS($G$2:$G$1001,$A$2:$A$1001,A91,$B$2:$B$1001,"&lt;"&amp;B91))</f>
        <v/>
      </c>
      <c r="J91" s="24" t="str">
        <f aca="false">IF(OR(A91="",B91=""),"",IFERROR(LOOKUP(2,1/(单次交易!$A$2:$A$201=A91),单次交易!$E$2:$E$201)*LOOKUP(2,1/(单次交易!$A$2:$A$201=A91),单次交易!$H$2:$H$201),0)+SUMIFS($H$2:$H$1001,$A$2:$A$1001,A91,$B$2:$B$1001,"&lt;"&amp;B91))</f>
        <v/>
      </c>
      <c r="K91" s="24" t="str">
        <f aca="false">IF(OR(E91="",I91="",J91=""),"",MAX(E91*I91-J91,0))</f>
        <v/>
      </c>
      <c r="L91" s="25" t="str">
        <f aca="false">IF(OR(D91="",E91="",F91="",D91&lt;=E91),"",FLOOR((F91+K91)/(D91-E91),100))</f>
        <v/>
      </c>
      <c r="M91" s="25" t="str">
        <f aca="false">IF(OR(A91="",B91="",L91=""),"",IF(B91=1,L91,IFERROR(SUMIFS($G$2:$G$1001,$A$2:$A$1001,A91,$B$2:$B$1001,B91-1),0)))</f>
        <v/>
      </c>
      <c r="N91" s="25" t="str">
        <f aca="false">IF(OR(L91="",M91=""),"",MIN(L91,M91))</f>
        <v/>
      </c>
      <c r="O91" s="25" t="str">
        <f aca="false">IF(OR(I91="",G91=""),"",I91+G91)</f>
        <v/>
      </c>
      <c r="P91" s="24" t="str">
        <f aca="false">IF(OR(O91="",O91=0),"",(J91+H91)/O91)</f>
        <v/>
      </c>
      <c r="Q91" s="24" t="str">
        <f aca="false">IF(OR(O91="",E91=""),"",MAX(J91+H91-E91*O91,0))</f>
        <v/>
      </c>
      <c r="R91" s="26" t="str">
        <f aca="false">IF(A91="","",IF(COUNTIF(_TradeIds,A91)=0,"违规：交易编号不存在",IF(OR(B91="",B91&lt;1,B91&gt;5,B91&lt;&gt;INT(B91)),"违规：加仓序号须为1到5的整数",IF(COUNTIFS($A$2:$A$1001,A91,$B$2:$B$1001,B91)&gt;1,"违规：同一交易的加仓序号重复",IF(OR(D91="",E91="",F91=""),"计划不完整：请填写加仓价、新止损价和风险预算",IF(OR(D91&lt;=0,E91&lt;=0,F91&lt;=0,D91&lt;=E91),"违规：加仓价必须高于新止损价，金额须大于0",IF(AND(B91&gt;1,COUNTIFS($A$2:$A$1001,A91,$B$2:$B$1001,B91-1,$G$2:$G$1001,"&gt;0")=0),"违规：须先完成上一次加仓",IF(AND(B91&gt;1,E91&lt;SUMIFS($E$2:$E$1001,$A$2:$A$1001,A91,$B$2:$B$1001,B91-1)),"违规：新止损价不得低于上一次",IF(AND(B91&gt;1,F91&gt;SUMIFS($F$2:$F$1001,$A$2:$A$1001,A91,$B$2:$B$1001,B91-1)),"违规：风险预算须逐次不增加",IF(OR(_LockStatus="已锁仓",_LockStatus="解锁信息不完整"),"违规：锁仓期间禁止加仓",IF(G91="","计划可执行：建议股数见N列",IF(OR(G91&lt;=0,G91&lt;&gt;INT(G91),MOD(G91,100)&lt;&gt;0),"违规：实际股数须为100股整数倍",IF(G91&gt;N91,"违规：实际股数超过风险或金字塔上限",IF(AND(B91&gt;1,G91&gt;SUMIFS($G$2:$G$1001,$A$2:$A$1001,A91,$B$2:$B$1001,B91-1)),"违规：加仓股数须逐次不增加",IF(Q91&gt;F91,"违规：止损风险超过本次预算","通过")))))))))))))))</f>
        <v/>
      </c>
    </row>
    <row r="92" customFormat="false" ht="15" hidden="false" customHeight="false" outlineLevel="0" collapsed="false">
      <c r="A92" s="20"/>
      <c r="B92" s="21"/>
      <c r="C92" s="22"/>
      <c r="D92" s="23"/>
      <c r="E92" s="23"/>
      <c r="F92" s="23"/>
      <c r="G92" s="21"/>
      <c r="H92" s="24" t="str">
        <f aca="false">IF(OR(A92="",D92="",G92=""),"",D92*G92)</f>
        <v/>
      </c>
      <c r="I92" s="25" t="str">
        <f aca="false">IF(OR(A92="",B92=""),"",IFERROR(LOOKUP(2,1/(单次交易!$A$2:$A$201=A92),单次交易!$H$2:$H$201),0)+SUMIFS($G$2:$G$1001,$A$2:$A$1001,A92,$B$2:$B$1001,"&lt;"&amp;B92))</f>
        <v/>
      </c>
      <c r="J92" s="24" t="str">
        <f aca="false">IF(OR(A92="",B92=""),"",IFERROR(LOOKUP(2,1/(单次交易!$A$2:$A$201=A92),单次交易!$E$2:$E$201)*LOOKUP(2,1/(单次交易!$A$2:$A$201=A92),单次交易!$H$2:$H$201),0)+SUMIFS($H$2:$H$1001,$A$2:$A$1001,A92,$B$2:$B$1001,"&lt;"&amp;B92))</f>
        <v/>
      </c>
      <c r="K92" s="24" t="str">
        <f aca="false">IF(OR(E92="",I92="",J92=""),"",MAX(E92*I92-J92,0))</f>
        <v/>
      </c>
      <c r="L92" s="25" t="str">
        <f aca="false">IF(OR(D92="",E92="",F92="",D92&lt;=E92),"",FLOOR((F92+K92)/(D92-E92),100))</f>
        <v/>
      </c>
      <c r="M92" s="25" t="str">
        <f aca="false">IF(OR(A92="",B92="",L92=""),"",IF(B92=1,L92,IFERROR(SUMIFS($G$2:$G$1001,$A$2:$A$1001,A92,$B$2:$B$1001,B92-1),0)))</f>
        <v/>
      </c>
      <c r="N92" s="25" t="str">
        <f aca="false">IF(OR(L92="",M92=""),"",MIN(L92,M92))</f>
        <v/>
      </c>
      <c r="O92" s="25" t="str">
        <f aca="false">IF(OR(I92="",G92=""),"",I92+G92)</f>
        <v/>
      </c>
      <c r="P92" s="24" t="str">
        <f aca="false">IF(OR(O92="",O92=0),"",(J92+H92)/O92)</f>
        <v/>
      </c>
      <c r="Q92" s="24" t="str">
        <f aca="false">IF(OR(O92="",E92=""),"",MAX(J92+H92-E92*O92,0))</f>
        <v/>
      </c>
      <c r="R92" s="26" t="str">
        <f aca="false">IF(A92="","",IF(COUNTIF(_TradeIds,A92)=0,"违规：交易编号不存在",IF(OR(B92="",B92&lt;1,B92&gt;5,B92&lt;&gt;INT(B92)),"违规：加仓序号须为1到5的整数",IF(COUNTIFS($A$2:$A$1001,A92,$B$2:$B$1001,B92)&gt;1,"违规：同一交易的加仓序号重复",IF(OR(D92="",E92="",F92=""),"计划不完整：请填写加仓价、新止损价和风险预算",IF(OR(D92&lt;=0,E92&lt;=0,F92&lt;=0,D92&lt;=E92),"违规：加仓价必须高于新止损价，金额须大于0",IF(AND(B92&gt;1,COUNTIFS($A$2:$A$1001,A92,$B$2:$B$1001,B92-1,$G$2:$G$1001,"&gt;0")=0),"违规：须先完成上一次加仓",IF(AND(B92&gt;1,E92&lt;SUMIFS($E$2:$E$1001,$A$2:$A$1001,A92,$B$2:$B$1001,B92-1)),"违规：新止损价不得低于上一次",IF(AND(B92&gt;1,F92&gt;SUMIFS($F$2:$F$1001,$A$2:$A$1001,A92,$B$2:$B$1001,B92-1)),"违规：风险预算须逐次不增加",IF(OR(_LockStatus="已锁仓",_LockStatus="解锁信息不完整"),"违规：锁仓期间禁止加仓",IF(G92="","计划可执行：建议股数见N列",IF(OR(G92&lt;=0,G92&lt;&gt;INT(G92),MOD(G92,100)&lt;&gt;0),"违规：实际股数须为100股整数倍",IF(G92&gt;N92,"违规：实际股数超过风险或金字塔上限",IF(AND(B92&gt;1,G92&gt;SUMIFS($G$2:$G$1001,$A$2:$A$1001,A92,$B$2:$B$1001,B92-1)),"违规：加仓股数须逐次不增加",IF(Q92&gt;F92,"违规：止损风险超过本次预算","通过")))))))))))))))</f>
        <v/>
      </c>
    </row>
    <row r="93" customFormat="false" ht="15" hidden="false" customHeight="false" outlineLevel="0" collapsed="false">
      <c r="A93" s="20"/>
      <c r="B93" s="21"/>
      <c r="C93" s="22"/>
      <c r="D93" s="23"/>
      <c r="E93" s="23"/>
      <c r="F93" s="23"/>
      <c r="G93" s="21"/>
      <c r="H93" s="24" t="str">
        <f aca="false">IF(OR(A93="",D93="",G93=""),"",D93*G93)</f>
        <v/>
      </c>
      <c r="I93" s="25" t="str">
        <f aca="false">IF(OR(A93="",B93=""),"",IFERROR(LOOKUP(2,1/(单次交易!$A$2:$A$201=A93),单次交易!$H$2:$H$201),0)+SUMIFS($G$2:$G$1001,$A$2:$A$1001,A93,$B$2:$B$1001,"&lt;"&amp;B93))</f>
        <v/>
      </c>
      <c r="J93" s="24" t="str">
        <f aca="false">IF(OR(A93="",B93=""),"",IFERROR(LOOKUP(2,1/(单次交易!$A$2:$A$201=A93),单次交易!$E$2:$E$201)*LOOKUP(2,1/(单次交易!$A$2:$A$201=A93),单次交易!$H$2:$H$201),0)+SUMIFS($H$2:$H$1001,$A$2:$A$1001,A93,$B$2:$B$1001,"&lt;"&amp;B93))</f>
        <v/>
      </c>
      <c r="K93" s="24" t="str">
        <f aca="false">IF(OR(E93="",I93="",J93=""),"",MAX(E93*I93-J93,0))</f>
        <v/>
      </c>
      <c r="L93" s="25" t="str">
        <f aca="false">IF(OR(D93="",E93="",F93="",D93&lt;=E93),"",FLOOR((F93+K93)/(D93-E93),100))</f>
        <v/>
      </c>
      <c r="M93" s="25" t="str">
        <f aca="false">IF(OR(A93="",B93="",L93=""),"",IF(B93=1,L93,IFERROR(SUMIFS($G$2:$G$1001,$A$2:$A$1001,A93,$B$2:$B$1001,B93-1),0)))</f>
        <v/>
      </c>
      <c r="N93" s="25" t="str">
        <f aca="false">IF(OR(L93="",M93=""),"",MIN(L93,M93))</f>
        <v/>
      </c>
      <c r="O93" s="25" t="str">
        <f aca="false">IF(OR(I93="",G93=""),"",I93+G93)</f>
        <v/>
      </c>
      <c r="P93" s="24" t="str">
        <f aca="false">IF(OR(O93="",O93=0),"",(J93+H93)/O93)</f>
        <v/>
      </c>
      <c r="Q93" s="24" t="str">
        <f aca="false">IF(OR(O93="",E93=""),"",MAX(J93+H93-E93*O93,0))</f>
        <v/>
      </c>
      <c r="R93" s="26" t="str">
        <f aca="false">IF(A93="","",IF(COUNTIF(_TradeIds,A93)=0,"违规：交易编号不存在",IF(OR(B93="",B93&lt;1,B93&gt;5,B93&lt;&gt;INT(B93)),"违规：加仓序号须为1到5的整数",IF(COUNTIFS($A$2:$A$1001,A93,$B$2:$B$1001,B93)&gt;1,"违规：同一交易的加仓序号重复",IF(OR(D93="",E93="",F93=""),"计划不完整：请填写加仓价、新止损价和风险预算",IF(OR(D93&lt;=0,E93&lt;=0,F93&lt;=0,D93&lt;=E93),"违规：加仓价必须高于新止损价，金额须大于0",IF(AND(B93&gt;1,COUNTIFS($A$2:$A$1001,A93,$B$2:$B$1001,B93-1,$G$2:$G$1001,"&gt;0")=0),"违规：须先完成上一次加仓",IF(AND(B93&gt;1,E93&lt;SUMIFS($E$2:$E$1001,$A$2:$A$1001,A93,$B$2:$B$1001,B93-1)),"违规：新止损价不得低于上一次",IF(AND(B93&gt;1,F93&gt;SUMIFS($F$2:$F$1001,$A$2:$A$1001,A93,$B$2:$B$1001,B93-1)),"违规：风险预算须逐次不增加",IF(OR(_LockStatus="已锁仓",_LockStatus="解锁信息不完整"),"违规：锁仓期间禁止加仓",IF(G93="","计划可执行：建议股数见N列",IF(OR(G93&lt;=0,G93&lt;&gt;INT(G93),MOD(G93,100)&lt;&gt;0),"违规：实际股数须为100股整数倍",IF(G93&gt;N93,"违规：实际股数超过风险或金字塔上限",IF(AND(B93&gt;1,G93&gt;SUMIFS($G$2:$G$1001,$A$2:$A$1001,A93,$B$2:$B$1001,B93-1)),"违规：加仓股数须逐次不增加",IF(Q93&gt;F93,"违规：止损风险超过本次预算","通过")))))))))))))))</f>
        <v/>
      </c>
    </row>
    <row r="94" customFormat="false" ht="15" hidden="false" customHeight="false" outlineLevel="0" collapsed="false">
      <c r="A94" s="20"/>
      <c r="B94" s="21"/>
      <c r="C94" s="22"/>
      <c r="D94" s="23"/>
      <c r="E94" s="23"/>
      <c r="F94" s="23"/>
      <c r="G94" s="21"/>
      <c r="H94" s="24" t="str">
        <f aca="false">IF(OR(A94="",D94="",G94=""),"",D94*G94)</f>
        <v/>
      </c>
      <c r="I94" s="25" t="str">
        <f aca="false">IF(OR(A94="",B94=""),"",IFERROR(LOOKUP(2,1/(单次交易!$A$2:$A$201=A94),单次交易!$H$2:$H$201),0)+SUMIFS($G$2:$G$1001,$A$2:$A$1001,A94,$B$2:$B$1001,"&lt;"&amp;B94))</f>
        <v/>
      </c>
      <c r="J94" s="24" t="str">
        <f aca="false">IF(OR(A94="",B94=""),"",IFERROR(LOOKUP(2,1/(单次交易!$A$2:$A$201=A94),单次交易!$E$2:$E$201)*LOOKUP(2,1/(单次交易!$A$2:$A$201=A94),单次交易!$H$2:$H$201),0)+SUMIFS($H$2:$H$1001,$A$2:$A$1001,A94,$B$2:$B$1001,"&lt;"&amp;B94))</f>
        <v/>
      </c>
      <c r="K94" s="24" t="str">
        <f aca="false">IF(OR(E94="",I94="",J94=""),"",MAX(E94*I94-J94,0))</f>
        <v/>
      </c>
      <c r="L94" s="25" t="str">
        <f aca="false">IF(OR(D94="",E94="",F94="",D94&lt;=E94),"",FLOOR((F94+K94)/(D94-E94),100))</f>
        <v/>
      </c>
      <c r="M94" s="25" t="str">
        <f aca="false">IF(OR(A94="",B94="",L94=""),"",IF(B94=1,L94,IFERROR(SUMIFS($G$2:$G$1001,$A$2:$A$1001,A94,$B$2:$B$1001,B94-1),0)))</f>
        <v/>
      </c>
      <c r="N94" s="25" t="str">
        <f aca="false">IF(OR(L94="",M94=""),"",MIN(L94,M94))</f>
        <v/>
      </c>
      <c r="O94" s="25" t="str">
        <f aca="false">IF(OR(I94="",G94=""),"",I94+G94)</f>
        <v/>
      </c>
      <c r="P94" s="24" t="str">
        <f aca="false">IF(OR(O94="",O94=0),"",(J94+H94)/O94)</f>
        <v/>
      </c>
      <c r="Q94" s="24" t="str">
        <f aca="false">IF(OR(O94="",E94=""),"",MAX(J94+H94-E94*O94,0))</f>
        <v/>
      </c>
      <c r="R94" s="26" t="str">
        <f aca="false">IF(A94="","",IF(COUNTIF(_TradeIds,A94)=0,"违规：交易编号不存在",IF(OR(B94="",B94&lt;1,B94&gt;5,B94&lt;&gt;INT(B94)),"违规：加仓序号须为1到5的整数",IF(COUNTIFS($A$2:$A$1001,A94,$B$2:$B$1001,B94)&gt;1,"违规：同一交易的加仓序号重复",IF(OR(D94="",E94="",F94=""),"计划不完整：请填写加仓价、新止损价和风险预算",IF(OR(D94&lt;=0,E94&lt;=0,F94&lt;=0,D94&lt;=E94),"违规：加仓价必须高于新止损价，金额须大于0",IF(AND(B94&gt;1,COUNTIFS($A$2:$A$1001,A94,$B$2:$B$1001,B94-1,$G$2:$G$1001,"&gt;0")=0),"违规：须先完成上一次加仓",IF(AND(B94&gt;1,E94&lt;SUMIFS($E$2:$E$1001,$A$2:$A$1001,A94,$B$2:$B$1001,B94-1)),"违规：新止损价不得低于上一次",IF(AND(B94&gt;1,F94&gt;SUMIFS($F$2:$F$1001,$A$2:$A$1001,A94,$B$2:$B$1001,B94-1)),"违规：风险预算须逐次不增加",IF(OR(_LockStatus="已锁仓",_LockStatus="解锁信息不完整"),"违规：锁仓期间禁止加仓",IF(G94="","计划可执行：建议股数见N列",IF(OR(G94&lt;=0,G94&lt;&gt;INT(G94),MOD(G94,100)&lt;&gt;0),"违规：实际股数须为100股整数倍",IF(G94&gt;N94,"违规：实际股数超过风险或金字塔上限",IF(AND(B94&gt;1,G94&gt;SUMIFS($G$2:$G$1001,$A$2:$A$1001,A94,$B$2:$B$1001,B94-1)),"违规：加仓股数须逐次不增加",IF(Q94&gt;F94,"违规：止损风险超过本次预算","通过")))))))))))))))</f>
        <v/>
      </c>
    </row>
    <row r="95" customFormat="false" ht="15" hidden="false" customHeight="false" outlineLevel="0" collapsed="false">
      <c r="A95" s="20"/>
      <c r="B95" s="21"/>
      <c r="C95" s="22"/>
      <c r="D95" s="23"/>
      <c r="E95" s="23"/>
      <c r="F95" s="23"/>
      <c r="G95" s="21"/>
      <c r="H95" s="24" t="str">
        <f aca="false">IF(OR(A95="",D95="",G95=""),"",D95*G95)</f>
        <v/>
      </c>
      <c r="I95" s="25" t="str">
        <f aca="false">IF(OR(A95="",B95=""),"",IFERROR(LOOKUP(2,1/(单次交易!$A$2:$A$201=A95),单次交易!$H$2:$H$201),0)+SUMIFS($G$2:$G$1001,$A$2:$A$1001,A95,$B$2:$B$1001,"&lt;"&amp;B95))</f>
        <v/>
      </c>
      <c r="J95" s="24" t="str">
        <f aca="false">IF(OR(A95="",B95=""),"",IFERROR(LOOKUP(2,1/(单次交易!$A$2:$A$201=A95),单次交易!$E$2:$E$201)*LOOKUP(2,1/(单次交易!$A$2:$A$201=A95),单次交易!$H$2:$H$201),0)+SUMIFS($H$2:$H$1001,$A$2:$A$1001,A95,$B$2:$B$1001,"&lt;"&amp;B95))</f>
        <v/>
      </c>
      <c r="K95" s="24" t="str">
        <f aca="false">IF(OR(E95="",I95="",J95=""),"",MAX(E95*I95-J95,0))</f>
        <v/>
      </c>
      <c r="L95" s="25" t="str">
        <f aca="false">IF(OR(D95="",E95="",F95="",D95&lt;=E95),"",FLOOR((F95+K95)/(D95-E95),100))</f>
        <v/>
      </c>
      <c r="M95" s="25" t="str">
        <f aca="false">IF(OR(A95="",B95="",L95=""),"",IF(B95=1,L95,IFERROR(SUMIFS($G$2:$G$1001,$A$2:$A$1001,A95,$B$2:$B$1001,B95-1),0)))</f>
        <v/>
      </c>
      <c r="N95" s="25" t="str">
        <f aca="false">IF(OR(L95="",M95=""),"",MIN(L95,M95))</f>
        <v/>
      </c>
      <c r="O95" s="25" t="str">
        <f aca="false">IF(OR(I95="",G95=""),"",I95+G95)</f>
        <v/>
      </c>
      <c r="P95" s="24" t="str">
        <f aca="false">IF(OR(O95="",O95=0),"",(J95+H95)/O95)</f>
        <v/>
      </c>
      <c r="Q95" s="24" t="str">
        <f aca="false">IF(OR(O95="",E95=""),"",MAX(J95+H95-E95*O95,0))</f>
        <v/>
      </c>
      <c r="R95" s="26" t="str">
        <f aca="false">IF(A95="","",IF(COUNTIF(_TradeIds,A95)=0,"违规：交易编号不存在",IF(OR(B95="",B95&lt;1,B95&gt;5,B95&lt;&gt;INT(B95)),"违规：加仓序号须为1到5的整数",IF(COUNTIFS($A$2:$A$1001,A95,$B$2:$B$1001,B95)&gt;1,"违规：同一交易的加仓序号重复",IF(OR(D95="",E95="",F95=""),"计划不完整：请填写加仓价、新止损价和风险预算",IF(OR(D95&lt;=0,E95&lt;=0,F95&lt;=0,D95&lt;=E95),"违规：加仓价必须高于新止损价，金额须大于0",IF(AND(B95&gt;1,COUNTIFS($A$2:$A$1001,A95,$B$2:$B$1001,B95-1,$G$2:$G$1001,"&gt;0")=0),"违规：须先完成上一次加仓",IF(AND(B95&gt;1,E95&lt;SUMIFS($E$2:$E$1001,$A$2:$A$1001,A95,$B$2:$B$1001,B95-1)),"违规：新止损价不得低于上一次",IF(AND(B95&gt;1,F95&gt;SUMIFS($F$2:$F$1001,$A$2:$A$1001,A95,$B$2:$B$1001,B95-1)),"违规：风险预算须逐次不增加",IF(OR(_LockStatus="已锁仓",_LockStatus="解锁信息不完整"),"违规：锁仓期间禁止加仓",IF(G95="","计划可执行：建议股数见N列",IF(OR(G95&lt;=0,G95&lt;&gt;INT(G95),MOD(G95,100)&lt;&gt;0),"违规：实际股数须为100股整数倍",IF(G95&gt;N95,"违规：实际股数超过风险或金字塔上限",IF(AND(B95&gt;1,G95&gt;SUMIFS($G$2:$G$1001,$A$2:$A$1001,A95,$B$2:$B$1001,B95-1)),"违规：加仓股数须逐次不增加",IF(Q95&gt;F95,"违规：止损风险超过本次预算","通过")))))))))))))))</f>
        <v/>
      </c>
    </row>
    <row r="96" customFormat="false" ht="15" hidden="false" customHeight="false" outlineLevel="0" collapsed="false">
      <c r="A96" s="20"/>
      <c r="B96" s="21"/>
      <c r="C96" s="22"/>
      <c r="D96" s="23"/>
      <c r="E96" s="23"/>
      <c r="F96" s="23"/>
      <c r="G96" s="21"/>
      <c r="H96" s="24" t="str">
        <f aca="false">IF(OR(A96="",D96="",G96=""),"",D96*G96)</f>
        <v/>
      </c>
      <c r="I96" s="25" t="str">
        <f aca="false">IF(OR(A96="",B96=""),"",IFERROR(LOOKUP(2,1/(单次交易!$A$2:$A$201=A96),单次交易!$H$2:$H$201),0)+SUMIFS($G$2:$G$1001,$A$2:$A$1001,A96,$B$2:$B$1001,"&lt;"&amp;B96))</f>
        <v/>
      </c>
      <c r="J96" s="24" t="str">
        <f aca="false">IF(OR(A96="",B96=""),"",IFERROR(LOOKUP(2,1/(单次交易!$A$2:$A$201=A96),单次交易!$E$2:$E$201)*LOOKUP(2,1/(单次交易!$A$2:$A$201=A96),单次交易!$H$2:$H$201),0)+SUMIFS($H$2:$H$1001,$A$2:$A$1001,A96,$B$2:$B$1001,"&lt;"&amp;B96))</f>
        <v/>
      </c>
      <c r="K96" s="24" t="str">
        <f aca="false">IF(OR(E96="",I96="",J96=""),"",MAX(E96*I96-J96,0))</f>
        <v/>
      </c>
      <c r="L96" s="25" t="str">
        <f aca="false">IF(OR(D96="",E96="",F96="",D96&lt;=E96),"",FLOOR((F96+K96)/(D96-E96),100))</f>
        <v/>
      </c>
      <c r="M96" s="25" t="str">
        <f aca="false">IF(OR(A96="",B96="",L96=""),"",IF(B96=1,L96,IFERROR(SUMIFS($G$2:$G$1001,$A$2:$A$1001,A96,$B$2:$B$1001,B96-1),0)))</f>
        <v/>
      </c>
      <c r="N96" s="25" t="str">
        <f aca="false">IF(OR(L96="",M96=""),"",MIN(L96,M96))</f>
        <v/>
      </c>
      <c r="O96" s="25" t="str">
        <f aca="false">IF(OR(I96="",G96=""),"",I96+G96)</f>
        <v/>
      </c>
      <c r="P96" s="24" t="str">
        <f aca="false">IF(OR(O96="",O96=0),"",(J96+H96)/O96)</f>
        <v/>
      </c>
      <c r="Q96" s="24" t="str">
        <f aca="false">IF(OR(O96="",E96=""),"",MAX(J96+H96-E96*O96,0))</f>
        <v/>
      </c>
      <c r="R96" s="26" t="str">
        <f aca="false">IF(A96="","",IF(COUNTIF(_TradeIds,A96)=0,"违规：交易编号不存在",IF(OR(B96="",B96&lt;1,B96&gt;5,B96&lt;&gt;INT(B96)),"违规：加仓序号须为1到5的整数",IF(COUNTIFS($A$2:$A$1001,A96,$B$2:$B$1001,B96)&gt;1,"违规：同一交易的加仓序号重复",IF(OR(D96="",E96="",F96=""),"计划不完整：请填写加仓价、新止损价和风险预算",IF(OR(D96&lt;=0,E96&lt;=0,F96&lt;=0,D96&lt;=E96),"违规：加仓价必须高于新止损价，金额须大于0",IF(AND(B96&gt;1,COUNTIFS($A$2:$A$1001,A96,$B$2:$B$1001,B96-1,$G$2:$G$1001,"&gt;0")=0),"违规：须先完成上一次加仓",IF(AND(B96&gt;1,E96&lt;SUMIFS($E$2:$E$1001,$A$2:$A$1001,A96,$B$2:$B$1001,B96-1)),"违规：新止损价不得低于上一次",IF(AND(B96&gt;1,F96&gt;SUMIFS($F$2:$F$1001,$A$2:$A$1001,A96,$B$2:$B$1001,B96-1)),"违规：风险预算须逐次不增加",IF(OR(_LockStatus="已锁仓",_LockStatus="解锁信息不完整"),"违规：锁仓期间禁止加仓",IF(G96="","计划可执行：建议股数见N列",IF(OR(G96&lt;=0,G96&lt;&gt;INT(G96),MOD(G96,100)&lt;&gt;0),"违规：实际股数须为100股整数倍",IF(G96&gt;N96,"违规：实际股数超过风险或金字塔上限",IF(AND(B96&gt;1,G96&gt;SUMIFS($G$2:$G$1001,$A$2:$A$1001,A96,$B$2:$B$1001,B96-1)),"违规：加仓股数须逐次不增加",IF(Q96&gt;F96,"违规：止损风险超过本次预算","通过")))))))))))))))</f>
        <v/>
      </c>
    </row>
    <row r="97" customFormat="false" ht="15" hidden="false" customHeight="false" outlineLevel="0" collapsed="false">
      <c r="A97" s="20"/>
      <c r="B97" s="21"/>
      <c r="C97" s="22"/>
      <c r="D97" s="23"/>
      <c r="E97" s="23"/>
      <c r="F97" s="23"/>
      <c r="G97" s="21"/>
      <c r="H97" s="24" t="str">
        <f aca="false">IF(OR(A97="",D97="",G97=""),"",D97*G97)</f>
        <v/>
      </c>
      <c r="I97" s="25" t="str">
        <f aca="false">IF(OR(A97="",B97=""),"",IFERROR(LOOKUP(2,1/(单次交易!$A$2:$A$201=A97),单次交易!$H$2:$H$201),0)+SUMIFS($G$2:$G$1001,$A$2:$A$1001,A97,$B$2:$B$1001,"&lt;"&amp;B97))</f>
        <v/>
      </c>
      <c r="J97" s="24" t="str">
        <f aca="false">IF(OR(A97="",B97=""),"",IFERROR(LOOKUP(2,1/(单次交易!$A$2:$A$201=A97),单次交易!$E$2:$E$201)*LOOKUP(2,1/(单次交易!$A$2:$A$201=A97),单次交易!$H$2:$H$201),0)+SUMIFS($H$2:$H$1001,$A$2:$A$1001,A97,$B$2:$B$1001,"&lt;"&amp;B97))</f>
        <v/>
      </c>
      <c r="K97" s="24" t="str">
        <f aca="false">IF(OR(E97="",I97="",J97=""),"",MAX(E97*I97-J97,0))</f>
        <v/>
      </c>
      <c r="L97" s="25" t="str">
        <f aca="false">IF(OR(D97="",E97="",F97="",D97&lt;=E97),"",FLOOR((F97+K97)/(D97-E97),100))</f>
        <v/>
      </c>
      <c r="M97" s="25" t="str">
        <f aca="false">IF(OR(A97="",B97="",L97=""),"",IF(B97=1,L97,IFERROR(SUMIFS($G$2:$G$1001,$A$2:$A$1001,A97,$B$2:$B$1001,B97-1),0)))</f>
        <v/>
      </c>
      <c r="N97" s="25" t="str">
        <f aca="false">IF(OR(L97="",M97=""),"",MIN(L97,M97))</f>
        <v/>
      </c>
      <c r="O97" s="25" t="str">
        <f aca="false">IF(OR(I97="",G97=""),"",I97+G97)</f>
        <v/>
      </c>
      <c r="P97" s="24" t="str">
        <f aca="false">IF(OR(O97="",O97=0),"",(J97+H97)/O97)</f>
        <v/>
      </c>
      <c r="Q97" s="24" t="str">
        <f aca="false">IF(OR(O97="",E97=""),"",MAX(J97+H97-E97*O97,0))</f>
        <v/>
      </c>
      <c r="R97" s="26" t="str">
        <f aca="false">IF(A97="","",IF(COUNTIF(_TradeIds,A97)=0,"违规：交易编号不存在",IF(OR(B97="",B97&lt;1,B97&gt;5,B97&lt;&gt;INT(B97)),"违规：加仓序号须为1到5的整数",IF(COUNTIFS($A$2:$A$1001,A97,$B$2:$B$1001,B97)&gt;1,"违规：同一交易的加仓序号重复",IF(OR(D97="",E97="",F97=""),"计划不完整：请填写加仓价、新止损价和风险预算",IF(OR(D97&lt;=0,E97&lt;=0,F97&lt;=0,D97&lt;=E97),"违规：加仓价必须高于新止损价，金额须大于0",IF(AND(B97&gt;1,COUNTIFS($A$2:$A$1001,A97,$B$2:$B$1001,B97-1,$G$2:$G$1001,"&gt;0")=0),"违规：须先完成上一次加仓",IF(AND(B97&gt;1,E97&lt;SUMIFS($E$2:$E$1001,$A$2:$A$1001,A97,$B$2:$B$1001,B97-1)),"违规：新止损价不得低于上一次",IF(AND(B97&gt;1,F97&gt;SUMIFS($F$2:$F$1001,$A$2:$A$1001,A97,$B$2:$B$1001,B97-1)),"违规：风险预算须逐次不增加",IF(OR(_LockStatus="已锁仓",_LockStatus="解锁信息不完整"),"违规：锁仓期间禁止加仓",IF(G97="","计划可执行：建议股数见N列",IF(OR(G97&lt;=0,G97&lt;&gt;INT(G97),MOD(G97,100)&lt;&gt;0),"违规：实际股数须为100股整数倍",IF(G97&gt;N97,"违规：实际股数超过风险或金字塔上限",IF(AND(B97&gt;1,G97&gt;SUMIFS($G$2:$G$1001,$A$2:$A$1001,A97,$B$2:$B$1001,B97-1)),"违规：加仓股数须逐次不增加",IF(Q97&gt;F97,"违规：止损风险超过本次预算","通过")))))))))))))))</f>
        <v/>
      </c>
    </row>
    <row r="98" customFormat="false" ht="15" hidden="false" customHeight="false" outlineLevel="0" collapsed="false">
      <c r="A98" s="20"/>
      <c r="B98" s="21"/>
      <c r="C98" s="22"/>
      <c r="D98" s="23"/>
      <c r="E98" s="23"/>
      <c r="F98" s="23"/>
      <c r="G98" s="21"/>
      <c r="H98" s="24" t="str">
        <f aca="false">IF(OR(A98="",D98="",G98=""),"",D98*G98)</f>
        <v/>
      </c>
      <c r="I98" s="25" t="str">
        <f aca="false">IF(OR(A98="",B98=""),"",IFERROR(LOOKUP(2,1/(单次交易!$A$2:$A$201=A98),单次交易!$H$2:$H$201),0)+SUMIFS($G$2:$G$1001,$A$2:$A$1001,A98,$B$2:$B$1001,"&lt;"&amp;B98))</f>
        <v/>
      </c>
      <c r="J98" s="24" t="str">
        <f aca="false">IF(OR(A98="",B98=""),"",IFERROR(LOOKUP(2,1/(单次交易!$A$2:$A$201=A98),单次交易!$E$2:$E$201)*LOOKUP(2,1/(单次交易!$A$2:$A$201=A98),单次交易!$H$2:$H$201),0)+SUMIFS($H$2:$H$1001,$A$2:$A$1001,A98,$B$2:$B$1001,"&lt;"&amp;B98))</f>
        <v/>
      </c>
      <c r="K98" s="24" t="str">
        <f aca="false">IF(OR(E98="",I98="",J98=""),"",MAX(E98*I98-J98,0))</f>
        <v/>
      </c>
      <c r="L98" s="25" t="str">
        <f aca="false">IF(OR(D98="",E98="",F98="",D98&lt;=E98),"",FLOOR((F98+K98)/(D98-E98),100))</f>
        <v/>
      </c>
      <c r="M98" s="25" t="str">
        <f aca="false">IF(OR(A98="",B98="",L98=""),"",IF(B98=1,L98,IFERROR(SUMIFS($G$2:$G$1001,$A$2:$A$1001,A98,$B$2:$B$1001,B98-1),0)))</f>
        <v/>
      </c>
      <c r="N98" s="25" t="str">
        <f aca="false">IF(OR(L98="",M98=""),"",MIN(L98,M98))</f>
        <v/>
      </c>
      <c r="O98" s="25" t="str">
        <f aca="false">IF(OR(I98="",G98=""),"",I98+G98)</f>
        <v/>
      </c>
      <c r="P98" s="24" t="str">
        <f aca="false">IF(OR(O98="",O98=0),"",(J98+H98)/O98)</f>
        <v/>
      </c>
      <c r="Q98" s="24" t="str">
        <f aca="false">IF(OR(O98="",E98=""),"",MAX(J98+H98-E98*O98,0))</f>
        <v/>
      </c>
      <c r="R98" s="26" t="str">
        <f aca="false">IF(A98="","",IF(COUNTIF(_TradeIds,A98)=0,"违规：交易编号不存在",IF(OR(B98="",B98&lt;1,B98&gt;5,B98&lt;&gt;INT(B98)),"违规：加仓序号须为1到5的整数",IF(COUNTIFS($A$2:$A$1001,A98,$B$2:$B$1001,B98)&gt;1,"违规：同一交易的加仓序号重复",IF(OR(D98="",E98="",F98=""),"计划不完整：请填写加仓价、新止损价和风险预算",IF(OR(D98&lt;=0,E98&lt;=0,F98&lt;=0,D98&lt;=E98),"违规：加仓价必须高于新止损价，金额须大于0",IF(AND(B98&gt;1,COUNTIFS($A$2:$A$1001,A98,$B$2:$B$1001,B98-1,$G$2:$G$1001,"&gt;0")=0),"违规：须先完成上一次加仓",IF(AND(B98&gt;1,E98&lt;SUMIFS($E$2:$E$1001,$A$2:$A$1001,A98,$B$2:$B$1001,B98-1)),"违规：新止损价不得低于上一次",IF(AND(B98&gt;1,F98&gt;SUMIFS($F$2:$F$1001,$A$2:$A$1001,A98,$B$2:$B$1001,B98-1)),"违规：风险预算须逐次不增加",IF(OR(_LockStatus="已锁仓",_LockStatus="解锁信息不完整"),"违规：锁仓期间禁止加仓",IF(G98="","计划可执行：建议股数见N列",IF(OR(G98&lt;=0,G98&lt;&gt;INT(G98),MOD(G98,100)&lt;&gt;0),"违规：实际股数须为100股整数倍",IF(G98&gt;N98,"违规：实际股数超过风险或金字塔上限",IF(AND(B98&gt;1,G98&gt;SUMIFS($G$2:$G$1001,$A$2:$A$1001,A98,$B$2:$B$1001,B98-1)),"违规：加仓股数须逐次不增加",IF(Q98&gt;F98,"违规：止损风险超过本次预算","通过")))))))))))))))</f>
        <v/>
      </c>
    </row>
    <row r="99" customFormat="false" ht="15" hidden="false" customHeight="false" outlineLevel="0" collapsed="false">
      <c r="A99" s="20"/>
      <c r="B99" s="21"/>
      <c r="C99" s="22"/>
      <c r="D99" s="23"/>
      <c r="E99" s="23"/>
      <c r="F99" s="23"/>
      <c r="G99" s="21"/>
      <c r="H99" s="24" t="str">
        <f aca="false">IF(OR(A99="",D99="",G99=""),"",D99*G99)</f>
        <v/>
      </c>
      <c r="I99" s="25" t="str">
        <f aca="false">IF(OR(A99="",B99=""),"",IFERROR(LOOKUP(2,1/(单次交易!$A$2:$A$201=A99),单次交易!$H$2:$H$201),0)+SUMIFS($G$2:$G$1001,$A$2:$A$1001,A99,$B$2:$B$1001,"&lt;"&amp;B99))</f>
        <v/>
      </c>
      <c r="J99" s="24" t="str">
        <f aca="false">IF(OR(A99="",B99=""),"",IFERROR(LOOKUP(2,1/(单次交易!$A$2:$A$201=A99),单次交易!$E$2:$E$201)*LOOKUP(2,1/(单次交易!$A$2:$A$201=A99),单次交易!$H$2:$H$201),0)+SUMIFS($H$2:$H$1001,$A$2:$A$1001,A99,$B$2:$B$1001,"&lt;"&amp;B99))</f>
        <v/>
      </c>
      <c r="K99" s="24" t="str">
        <f aca="false">IF(OR(E99="",I99="",J99=""),"",MAX(E99*I99-J99,0))</f>
        <v/>
      </c>
      <c r="L99" s="25" t="str">
        <f aca="false">IF(OR(D99="",E99="",F99="",D99&lt;=E99),"",FLOOR((F99+K99)/(D99-E99),100))</f>
        <v/>
      </c>
      <c r="M99" s="25" t="str">
        <f aca="false">IF(OR(A99="",B99="",L99=""),"",IF(B99=1,L99,IFERROR(SUMIFS($G$2:$G$1001,$A$2:$A$1001,A99,$B$2:$B$1001,B99-1),0)))</f>
        <v/>
      </c>
      <c r="N99" s="25" t="str">
        <f aca="false">IF(OR(L99="",M99=""),"",MIN(L99,M99))</f>
        <v/>
      </c>
      <c r="O99" s="25" t="str">
        <f aca="false">IF(OR(I99="",G99=""),"",I99+G99)</f>
        <v/>
      </c>
      <c r="P99" s="24" t="str">
        <f aca="false">IF(OR(O99="",O99=0),"",(J99+H99)/O99)</f>
        <v/>
      </c>
      <c r="Q99" s="24" t="str">
        <f aca="false">IF(OR(O99="",E99=""),"",MAX(J99+H99-E99*O99,0))</f>
        <v/>
      </c>
      <c r="R99" s="26" t="str">
        <f aca="false">IF(A99="","",IF(COUNTIF(_TradeIds,A99)=0,"违规：交易编号不存在",IF(OR(B99="",B99&lt;1,B99&gt;5,B99&lt;&gt;INT(B99)),"违规：加仓序号须为1到5的整数",IF(COUNTIFS($A$2:$A$1001,A99,$B$2:$B$1001,B99)&gt;1,"违规：同一交易的加仓序号重复",IF(OR(D99="",E99="",F99=""),"计划不完整：请填写加仓价、新止损价和风险预算",IF(OR(D99&lt;=0,E99&lt;=0,F99&lt;=0,D99&lt;=E99),"违规：加仓价必须高于新止损价，金额须大于0",IF(AND(B99&gt;1,COUNTIFS($A$2:$A$1001,A99,$B$2:$B$1001,B99-1,$G$2:$G$1001,"&gt;0")=0),"违规：须先完成上一次加仓",IF(AND(B99&gt;1,E99&lt;SUMIFS($E$2:$E$1001,$A$2:$A$1001,A99,$B$2:$B$1001,B99-1)),"违规：新止损价不得低于上一次",IF(AND(B99&gt;1,F99&gt;SUMIFS($F$2:$F$1001,$A$2:$A$1001,A99,$B$2:$B$1001,B99-1)),"违规：风险预算须逐次不增加",IF(OR(_LockStatus="已锁仓",_LockStatus="解锁信息不完整"),"违规：锁仓期间禁止加仓",IF(G99="","计划可执行：建议股数见N列",IF(OR(G99&lt;=0,G99&lt;&gt;INT(G99),MOD(G99,100)&lt;&gt;0),"违规：实际股数须为100股整数倍",IF(G99&gt;N99,"违规：实际股数超过风险或金字塔上限",IF(AND(B99&gt;1,G99&gt;SUMIFS($G$2:$G$1001,$A$2:$A$1001,A99,$B$2:$B$1001,B99-1)),"违规：加仓股数须逐次不增加",IF(Q99&gt;F99,"违规：止损风险超过本次预算","通过")))))))))))))))</f>
        <v/>
      </c>
    </row>
    <row r="100" customFormat="false" ht="15" hidden="false" customHeight="false" outlineLevel="0" collapsed="false">
      <c r="A100" s="20"/>
      <c r="B100" s="21"/>
      <c r="C100" s="22"/>
      <c r="D100" s="23"/>
      <c r="E100" s="23"/>
      <c r="F100" s="23"/>
      <c r="G100" s="21"/>
      <c r="H100" s="24" t="str">
        <f aca="false">IF(OR(A100="",D100="",G100=""),"",D100*G100)</f>
        <v/>
      </c>
      <c r="I100" s="25" t="str">
        <f aca="false">IF(OR(A100="",B100=""),"",IFERROR(LOOKUP(2,1/(单次交易!$A$2:$A$201=A100),单次交易!$H$2:$H$201),0)+SUMIFS($G$2:$G$1001,$A$2:$A$1001,A100,$B$2:$B$1001,"&lt;"&amp;B100))</f>
        <v/>
      </c>
      <c r="J100" s="24" t="str">
        <f aca="false">IF(OR(A100="",B100=""),"",IFERROR(LOOKUP(2,1/(单次交易!$A$2:$A$201=A100),单次交易!$E$2:$E$201)*LOOKUP(2,1/(单次交易!$A$2:$A$201=A100),单次交易!$H$2:$H$201),0)+SUMIFS($H$2:$H$1001,$A$2:$A$1001,A100,$B$2:$B$1001,"&lt;"&amp;B100))</f>
        <v/>
      </c>
      <c r="K100" s="24" t="str">
        <f aca="false">IF(OR(E100="",I100="",J100=""),"",MAX(E100*I100-J100,0))</f>
        <v/>
      </c>
      <c r="L100" s="25" t="str">
        <f aca="false">IF(OR(D100="",E100="",F100="",D100&lt;=E100),"",FLOOR((F100+K100)/(D100-E100),100))</f>
        <v/>
      </c>
      <c r="M100" s="25" t="str">
        <f aca="false">IF(OR(A100="",B100="",L100=""),"",IF(B100=1,L100,IFERROR(SUMIFS($G$2:$G$1001,$A$2:$A$1001,A100,$B$2:$B$1001,B100-1),0)))</f>
        <v/>
      </c>
      <c r="N100" s="25" t="str">
        <f aca="false">IF(OR(L100="",M100=""),"",MIN(L100,M100))</f>
        <v/>
      </c>
      <c r="O100" s="25" t="str">
        <f aca="false">IF(OR(I100="",G100=""),"",I100+G100)</f>
        <v/>
      </c>
      <c r="P100" s="24" t="str">
        <f aca="false">IF(OR(O100="",O100=0),"",(J100+H100)/O100)</f>
        <v/>
      </c>
      <c r="Q100" s="24" t="str">
        <f aca="false">IF(OR(O100="",E100=""),"",MAX(J100+H100-E100*O100,0))</f>
        <v/>
      </c>
      <c r="R100" s="26" t="str">
        <f aca="false">IF(A100="","",IF(COUNTIF(_TradeIds,A100)=0,"违规：交易编号不存在",IF(OR(B100="",B100&lt;1,B100&gt;5,B100&lt;&gt;INT(B100)),"违规：加仓序号须为1到5的整数",IF(COUNTIFS($A$2:$A$1001,A100,$B$2:$B$1001,B100)&gt;1,"违规：同一交易的加仓序号重复",IF(OR(D100="",E100="",F100=""),"计划不完整：请填写加仓价、新止损价和风险预算",IF(OR(D100&lt;=0,E100&lt;=0,F100&lt;=0,D100&lt;=E100),"违规：加仓价必须高于新止损价，金额须大于0",IF(AND(B100&gt;1,COUNTIFS($A$2:$A$1001,A100,$B$2:$B$1001,B100-1,$G$2:$G$1001,"&gt;0")=0),"违规：须先完成上一次加仓",IF(AND(B100&gt;1,E100&lt;SUMIFS($E$2:$E$1001,$A$2:$A$1001,A100,$B$2:$B$1001,B100-1)),"违规：新止损价不得低于上一次",IF(AND(B100&gt;1,F100&gt;SUMIFS($F$2:$F$1001,$A$2:$A$1001,A100,$B$2:$B$1001,B100-1)),"违规：风险预算须逐次不增加",IF(OR(_LockStatus="已锁仓",_LockStatus="解锁信息不完整"),"违规：锁仓期间禁止加仓",IF(G100="","计划可执行：建议股数见N列",IF(OR(G100&lt;=0,G100&lt;&gt;INT(G100),MOD(G100,100)&lt;&gt;0),"违规：实际股数须为100股整数倍",IF(G100&gt;N100,"违规：实际股数超过风险或金字塔上限",IF(AND(B100&gt;1,G100&gt;SUMIFS($G$2:$G$1001,$A$2:$A$1001,A100,$B$2:$B$1001,B100-1)),"违规：加仓股数须逐次不增加",IF(Q100&gt;F100,"违规：止损风险超过本次预算","通过")))))))))))))))</f>
        <v/>
      </c>
    </row>
    <row r="101" customFormat="false" ht="15" hidden="false" customHeight="false" outlineLevel="0" collapsed="false">
      <c r="A101" s="20"/>
      <c r="B101" s="21"/>
      <c r="C101" s="22"/>
      <c r="D101" s="23"/>
      <c r="E101" s="23"/>
      <c r="F101" s="23"/>
      <c r="G101" s="21"/>
      <c r="H101" s="24" t="str">
        <f aca="false">IF(OR(A101="",D101="",G101=""),"",D101*G101)</f>
        <v/>
      </c>
      <c r="I101" s="25" t="str">
        <f aca="false">IF(OR(A101="",B101=""),"",IFERROR(LOOKUP(2,1/(单次交易!$A$2:$A$201=A101),单次交易!$H$2:$H$201),0)+SUMIFS($G$2:$G$1001,$A$2:$A$1001,A101,$B$2:$B$1001,"&lt;"&amp;B101))</f>
        <v/>
      </c>
      <c r="J101" s="24" t="str">
        <f aca="false">IF(OR(A101="",B101=""),"",IFERROR(LOOKUP(2,1/(单次交易!$A$2:$A$201=A101),单次交易!$E$2:$E$201)*LOOKUP(2,1/(单次交易!$A$2:$A$201=A101),单次交易!$H$2:$H$201),0)+SUMIFS($H$2:$H$1001,$A$2:$A$1001,A101,$B$2:$B$1001,"&lt;"&amp;B101))</f>
        <v/>
      </c>
      <c r="K101" s="24" t="str">
        <f aca="false">IF(OR(E101="",I101="",J101=""),"",MAX(E101*I101-J101,0))</f>
        <v/>
      </c>
      <c r="L101" s="25" t="str">
        <f aca="false">IF(OR(D101="",E101="",F101="",D101&lt;=E101),"",FLOOR((F101+K101)/(D101-E101),100))</f>
        <v/>
      </c>
      <c r="M101" s="25" t="str">
        <f aca="false">IF(OR(A101="",B101="",L101=""),"",IF(B101=1,L101,IFERROR(SUMIFS($G$2:$G$1001,$A$2:$A$1001,A101,$B$2:$B$1001,B101-1),0)))</f>
        <v/>
      </c>
      <c r="N101" s="25" t="str">
        <f aca="false">IF(OR(L101="",M101=""),"",MIN(L101,M101))</f>
        <v/>
      </c>
      <c r="O101" s="25" t="str">
        <f aca="false">IF(OR(I101="",G101=""),"",I101+G101)</f>
        <v/>
      </c>
      <c r="P101" s="24" t="str">
        <f aca="false">IF(OR(O101="",O101=0),"",(J101+H101)/O101)</f>
        <v/>
      </c>
      <c r="Q101" s="24" t="str">
        <f aca="false">IF(OR(O101="",E101=""),"",MAX(J101+H101-E101*O101,0))</f>
        <v/>
      </c>
      <c r="R101" s="26" t="str">
        <f aca="false">IF(A101="","",IF(COUNTIF(_TradeIds,A101)=0,"违规：交易编号不存在",IF(OR(B101="",B101&lt;1,B101&gt;5,B101&lt;&gt;INT(B101)),"违规：加仓序号须为1到5的整数",IF(COUNTIFS($A$2:$A$1001,A101,$B$2:$B$1001,B101)&gt;1,"违规：同一交易的加仓序号重复",IF(OR(D101="",E101="",F101=""),"计划不完整：请填写加仓价、新止损价和风险预算",IF(OR(D101&lt;=0,E101&lt;=0,F101&lt;=0,D101&lt;=E101),"违规：加仓价必须高于新止损价，金额须大于0",IF(AND(B101&gt;1,COUNTIFS($A$2:$A$1001,A101,$B$2:$B$1001,B101-1,$G$2:$G$1001,"&gt;0")=0),"违规：须先完成上一次加仓",IF(AND(B101&gt;1,E101&lt;SUMIFS($E$2:$E$1001,$A$2:$A$1001,A101,$B$2:$B$1001,B101-1)),"违规：新止损价不得低于上一次",IF(AND(B101&gt;1,F101&gt;SUMIFS($F$2:$F$1001,$A$2:$A$1001,A101,$B$2:$B$1001,B101-1)),"违规：风险预算须逐次不增加",IF(OR(_LockStatus="已锁仓",_LockStatus="解锁信息不完整"),"违规：锁仓期间禁止加仓",IF(G101="","计划可执行：建议股数见N列",IF(OR(G101&lt;=0,G101&lt;&gt;INT(G101),MOD(G101,100)&lt;&gt;0),"违规：实际股数须为100股整数倍",IF(G101&gt;N101,"违规：实际股数超过风险或金字塔上限",IF(AND(B101&gt;1,G101&gt;SUMIFS($G$2:$G$1001,$A$2:$A$1001,A101,$B$2:$B$1001,B101-1)),"违规：加仓股数须逐次不增加",IF(Q101&gt;F101,"违规：止损风险超过本次预算","通过")))))))))))))))</f>
        <v/>
      </c>
    </row>
    <row r="102" customFormat="false" ht="15" hidden="false" customHeight="false" outlineLevel="0" collapsed="false">
      <c r="A102" s="20"/>
      <c r="B102" s="21"/>
      <c r="C102" s="22"/>
      <c r="D102" s="23"/>
      <c r="E102" s="23"/>
      <c r="F102" s="23"/>
      <c r="G102" s="21"/>
      <c r="H102" s="24" t="str">
        <f aca="false">IF(OR(A102="",D102="",G102=""),"",D102*G102)</f>
        <v/>
      </c>
      <c r="I102" s="25" t="str">
        <f aca="false">IF(OR(A102="",B102=""),"",IFERROR(LOOKUP(2,1/(单次交易!$A$2:$A$201=A102),单次交易!$H$2:$H$201),0)+SUMIFS($G$2:$G$1001,$A$2:$A$1001,A102,$B$2:$B$1001,"&lt;"&amp;B102))</f>
        <v/>
      </c>
      <c r="J102" s="24" t="str">
        <f aca="false">IF(OR(A102="",B102=""),"",IFERROR(LOOKUP(2,1/(单次交易!$A$2:$A$201=A102),单次交易!$E$2:$E$201)*LOOKUP(2,1/(单次交易!$A$2:$A$201=A102),单次交易!$H$2:$H$201),0)+SUMIFS($H$2:$H$1001,$A$2:$A$1001,A102,$B$2:$B$1001,"&lt;"&amp;B102))</f>
        <v/>
      </c>
      <c r="K102" s="24" t="str">
        <f aca="false">IF(OR(E102="",I102="",J102=""),"",MAX(E102*I102-J102,0))</f>
        <v/>
      </c>
      <c r="L102" s="25" t="str">
        <f aca="false">IF(OR(D102="",E102="",F102="",D102&lt;=E102),"",FLOOR((F102+K102)/(D102-E102),100))</f>
        <v/>
      </c>
      <c r="M102" s="25" t="str">
        <f aca="false">IF(OR(A102="",B102="",L102=""),"",IF(B102=1,L102,IFERROR(SUMIFS($G$2:$G$1001,$A$2:$A$1001,A102,$B$2:$B$1001,B102-1),0)))</f>
        <v/>
      </c>
      <c r="N102" s="25" t="str">
        <f aca="false">IF(OR(L102="",M102=""),"",MIN(L102,M102))</f>
        <v/>
      </c>
      <c r="O102" s="25" t="str">
        <f aca="false">IF(OR(I102="",G102=""),"",I102+G102)</f>
        <v/>
      </c>
      <c r="P102" s="24" t="str">
        <f aca="false">IF(OR(O102="",O102=0),"",(J102+H102)/O102)</f>
        <v/>
      </c>
      <c r="Q102" s="24" t="str">
        <f aca="false">IF(OR(O102="",E102=""),"",MAX(J102+H102-E102*O102,0))</f>
        <v/>
      </c>
      <c r="R102" s="26" t="str">
        <f aca="false">IF(A102="","",IF(COUNTIF(_TradeIds,A102)=0,"违规：交易编号不存在",IF(OR(B102="",B102&lt;1,B102&gt;5,B102&lt;&gt;INT(B102)),"违规：加仓序号须为1到5的整数",IF(COUNTIFS($A$2:$A$1001,A102,$B$2:$B$1001,B102)&gt;1,"违规：同一交易的加仓序号重复",IF(OR(D102="",E102="",F102=""),"计划不完整：请填写加仓价、新止损价和风险预算",IF(OR(D102&lt;=0,E102&lt;=0,F102&lt;=0,D102&lt;=E102),"违规：加仓价必须高于新止损价，金额须大于0",IF(AND(B102&gt;1,COUNTIFS($A$2:$A$1001,A102,$B$2:$B$1001,B102-1,$G$2:$G$1001,"&gt;0")=0),"违规：须先完成上一次加仓",IF(AND(B102&gt;1,E102&lt;SUMIFS($E$2:$E$1001,$A$2:$A$1001,A102,$B$2:$B$1001,B102-1)),"违规：新止损价不得低于上一次",IF(AND(B102&gt;1,F102&gt;SUMIFS($F$2:$F$1001,$A$2:$A$1001,A102,$B$2:$B$1001,B102-1)),"违规：风险预算须逐次不增加",IF(OR(_LockStatus="已锁仓",_LockStatus="解锁信息不完整"),"违规：锁仓期间禁止加仓",IF(G102="","计划可执行：建议股数见N列",IF(OR(G102&lt;=0,G102&lt;&gt;INT(G102),MOD(G102,100)&lt;&gt;0),"违规：实际股数须为100股整数倍",IF(G102&gt;N102,"违规：实际股数超过风险或金字塔上限",IF(AND(B102&gt;1,G102&gt;SUMIFS($G$2:$G$1001,$A$2:$A$1001,A102,$B$2:$B$1001,B102-1)),"违规：加仓股数须逐次不增加",IF(Q102&gt;F102,"违规：止损风险超过本次预算","通过")))))))))))))))</f>
        <v/>
      </c>
    </row>
    <row r="103" customFormat="false" ht="15" hidden="false" customHeight="false" outlineLevel="0" collapsed="false">
      <c r="A103" s="20"/>
      <c r="B103" s="21"/>
      <c r="C103" s="22"/>
      <c r="D103" s="23"/>
      <c r="E103" s="23"/>
      <c r="F103" s="23"/>
      <c r="G103" s="21"/>
      <c r="H103" s="24" t="str">
        <f aca="false">IF(OR(A103="",D103="",G103=""),"",D103*G103)</f>
        <v/>
      </c>
      <c r="I103" s="25" t="str">
        <f aca="false">IF(OR(A103="",B103=""),"",IFERROR(LOOKUP(2,1/(单次交易!$A$2:$A$201=A103),单次交易!$H$2:$H$201),0)+SUMIFS($G$2:$G$1001,$A$2:$A$1001,A103,$B$2:$B$1001,"&lt;"&amp;B103))</f>
        <v/>
      </c>
      <c r="J103" s="24" t="str">
        <f aca="false">IF(OR(A103="",B103=""),"",IFERROR(LOOKUP(2,1/(单次交易!$A$2:$A$201=A103),单次交易!$E$2:$E$201)*LOOKUP(2,1/(单次交易!$A$2:$A$201=A103),单次交易!$H$2:$H$201),0)+SUMIFS($H$2:$H$1001,$A$2:$A$1001,A103,$B$2:$B$1001,"&lt;"&amp;B103))</f>
        <v/>
      </c>
      <c r="K103" s="24" t="str">
        <f aca="false">IF(OR(E103="",I103="",J103=""),"",MAX(E103*I103-J103,0))</f>
        <v/>
      </c>
      <c r="L103" s="25" t="str">
        <f aca="false">IF(OR(D103="",E103="",F103="",D103&lt;=E103),"",FLOOR((F103+K103)/(D103-E103),100))</f>
        <v/>
      </c>
      <c r="M103" s="25" t="str">
        <f aca="false">IF(OR(A103="",B103="",L103=""),"",IF(B103=1,L103,IFERROR(SUMIFS($G$2:$G$1001,$A$2:$A$1001,A103,$B$2:$B$1001,B103-1),0)))</f>
        <v/>
      </c>
      <c r="N103" s="25" t="str">
        <f aca="false">IF(OR(L103="",M103=""),"",MIN(L103,M103))</f>
        <v/>
      </c>
      <c r="O103" s="25" t="str">
        <f aca="false">IF(OR(I103="",G103=""),"",I103+G103)</f>
        <v/>
      </c>
      <c r="P103" s="24" t="str">
        <f aca="false">IF(OR(O103="",O103=0),"",(J103+H103)/O103)</f>
        <v/>
      </c>
      <c r="Q103" s="24" t="str">
        <f aca="false">IF(OR(O103="",E103=""),"",MAX(J103+H103-E103*O103,0))</f>
        <v/>
      </c>
      <c r="R103" s="26" t="str">
        <f aca="false">IF(A103="","",IF(COUNTIF(_TradeIds,A103)=0,"违规：交易编号不存在",IF(OR(B103="",B103&lt;1,B103&gt;5,B103&lt;&gt;INT(B103)),"违规：加仓序号须为1到5的整数",IF(COUNTIFS($A$2:$A$1001,A103,$B$2:$B$1001,B103)&gt;1,"违规：同一交易的加仓序号重复",IF(OR(D103="",E103="",F103=""),"计划不完整：请填写加仓价、新止损价和风险预算",IF(OR(D103&lt;=0,E103&lt;=0,F103&lt;=0,D103&lt;=E103),"违规：加仓价必须高于新止损价，金额须大于0",IF(AND(B103&gt;1,COUNTIFS($A$2:$A$1001,A103,$B$2:$B$1001,B103-1,$G$2:$G$1001,"&gt;0")=0),"违规：须先完成上一次加仓",IF(AND(B103&gt;1,E103&lt;SUMIFS($E$2:$E$1001,$A$2:$A$1001,A103,$B$2:$B$1001,B103-1)),"违规：新止损价不得低于上一次",IF(AND(B103&gt;1,F103&gt;SUMIFS($F$2:$F$1001,$A$2:$A$1001,A103,$B$2:$B$1001,B103-1)),"违规：风险预算须逐次不增加",IF(OR(_LockStatus="已锁仓",_LockStatus="解锁信息不完整"),"违规：锁仓期间禁止加仓",IF(G103="","计划可执行：建议股数见N列",IF(OR(G103&lt;=0,G103&lt;&gt;INT(G103),MOD(G103,100)&lt;&gt;0),"违规：实际股数须为100股整数倍",IF(G103&gt;N103,"违规：实际股数超过风险或金字塔上限",IF(AND(B103&gt;1,G103&gt;SUMIFS($G$2:$G$1001,$A$2:$A$1001,A103,$B$2:$B$1001,B103-1)),"违规：加仓股数须逐次不增加",IF(Q103&gt;F103,"违规：止损风险超过本次预算","通过")))))))))))))))</f>
        <v/>
      </c>
    </row>
    <row r="104" customFormat="false" ht="15" hidden="false" customHeight="false" outlineLevel="0" collapsed="false">
      <c r="A104" s="20"/>
      <c r="B104" s="21"/>
      <c r="C104" s="22"/>
      <c r="D104" s="23"/>
      <c r="E104" s="23"/>
      <c r="F104" s="23"/>
      <c r="G104" s="21"/>
      <c r="H104" s="24" t="str">
        <f aca="false">IF(OR(A104="",D104="",G104=""),"",D104*G104)</f>
        <v/>
      </c>
      <c r="I104" s="25" t="str">
        <f aca="false">IF(OR(A104="",B104=""),"",IFERROR(LOOKUP(2,1/(单次交易!$A$2:$A$201=A104),单次交易!$H$2:$H$201),0)+SUMIFS($G$2:$G$1001,$A$2:$A$1001,A104,$B$2:$B$1001,"&lt;"&amp;B104))</f>
        <v/>
      </c>
      <c r="J104" s="24" t="str">
        <f aca="false">IF(OR(A104="",B104=""),"",IFERROR(LOOKUP(2,1/(单次交易!$A$2:$A$201=A104),单次交易!$E$2:$E$201)*LOOKUP(2,1/(单次交易!$A$2:$A$201=A104),单次交易!$H$2:$H$201),0)+SUMIFS($H$2:$H$1001,$A$2:$A$1001,A104,$B$2:$B$1001,"&lt;"&amp;B104))</f>
        <v/>
      </c>
      <c r="K104" s="24" t="str">
        <f aca="false">IF(OR(E104="",I104="",J104=""),"",MAX(E104*I104-J104,0))</f>
        <v/>
      </c>
      <c r="L104" s="25" t="str">
        <f aca="false">IF(OR(D104="",E104="",F104="",D104&lt;=E104),"",FLOOR((F104+K104)/(D104-E104),100))</f>
        <v/>
      </c>
      <c r="M104" s="25" t="str">
        <f aca="false">IF(OR(A104="",B104="",L104=""),"",IF(B104=1,L104,IFERROR(SUMIFS($G$2:$G$1001,$A$2:$A$1001,A104,$B$2:$B$1001,B104-1),0)))</f>
        <v/>
      </c>
      <c r="N104" s="25" t="str">
        <f aca="false">IF(OR(L104="",M104=""),"",MIN(L104,M104))</f>
        <v/>
      </c>
      <c r="O104" s="25" t="str">
        <f aca="false">IF(OR(I104="",G104=""),"",I104+G104)</f>
        <v/>
      </c>
      <c r="P104" s="24" t="str">
        <f aca="false">IF(OR(O104="",O104=0),"",(J104+H104)/O104)</f>
        <v/>
      </c>
      <c r="Q104" s="24" t="str">
        <f aca="false">IF(OR(O104="",E104=""),"",MAX(J104+H104-E104*O104,0))</f>
        <v/>
      </c>
      <c r="R104" s="26" t="str">
        <f aca="false">IF(A104="","",IF(COUNTIF(_TradeIds,A104)=0,"违规：交易编号不存在",IF(OR(B104="",B104&lt;1,B104&gt;5,B104&lt;&gt;INT(B104)),"违规：加仓序号须为1到5的整数",IF(COUNTIFS($A$2:$A$1001,A104,$B$2:$B$1001,B104)&gt;1,"违规：同一交易的加仓序号重复",IF(OR(D104="",E104="",F104=""),"计划不完整：请填写加仓价、新止损价和风险预算",IF(OR(D104&lt;=0,E104&lt;=0,F104&lt;=0,D104&lt;=E104),"违规：加仓价必须高于新止损价，金额须大于0",IF(AND(B104&gt;1,COUNTIFS($A$2:$A$1001,A104,$B$2:$B$1001,B104-1,$G$2:$G$1001,"&gt;0")=0),"违规：须先完成上一次加仓",IF(AND(B104&gt;1,E104&lt;SUMIFS($E$2:$E$1001,$A$2:$A$1001,A104,$B$2:$B$1001,B104-1)),"违规：新止损价不得低于上一次",IF(AND(B104&gt;1,F104&gt;SUMIFS($F$2:$F$1001,$A$2:$A$1001,A104,$B$2:$B$1001,B104-1)),"违规：风险预算须逐次不增加",IF(OR(_LockStatus="已锁仓",_LockStatus="解锁信息不完整"),"违规：锁仓期间禁止加仓",IF(G104="","计划可执行：建议股数见N列",IF(OR(G104&lt;=0,G104&lt;&gt;INT(G104),MOD(G104,100)&lt;&gt;0),"违规：实际股数须为100股整数倍",IF(G104&gt;N104,"违规：实际股数超过风险或金字塔上限",IF(AND(B104&gt;1,G104&gt;SUMIFS($G$2:$G$1001,$A$2:$A$1001,A104,$B$2:$B$1001,B104-1)),"违规：加仓股数须逐次不增加",IF(Q104&gt;F104,"违规：止损风险超过本次预算","通过")))))))))))))))</f>
        <v/>
      </c>
    </row>
    <row r="105" customFormat="false" ht="15" hidden="false" customHeight="false" outlineLevel="0" collapsed="false">
      <c r="A105" s="20"/>
      <c r="B105" s="21"/>
      <c r="C105" s="22"/>
      <c r="D105" s="23"/>
      <c r="E105" s="23"/>
      <c r="F105" s="23"/>
      <c r="G105" s="21"/>
      <c r="H105" s="24" t="str">
        <f aca="false">IF(OR(A105="",D105="",G105=""),"",D105*G105)</f>
        <v/>
      </c>
      <c r="I105" s="25" t="str">
        <f aca="false">IF(OR(A105="",B105=""),"",IFERROR(LOOKUP(2,1/(单次交易!$A$2:$A$201=A105),单次交易!$H$2:$H$201),0)+SUMIFS($G$2:$G$1001,$A$2:$A$1001,A105,$B$2:$B$1001,"&lt;"&amp;B105))</f>
        <v/>
      </c>
      <c r="J105" s="24" t="str">
        <f aca="false">IF(OR(A105="",B105=""),"",IFERROR(LOOKUP(2,1/(单次交易!$A$2:$A$201=A105),单次交易!$E$2:$E$201)*LOOKUP(2,1/(单次交易!$A$2:$A$201=A105),单次交易!$H$2:$H$201),0)+SUMIFS($H$2:$H$1001,$A$2:$A$1001,A105,$B$2:$B$1001,"&lt;"&amp;B105))</f>
        <v/>
      </c>
      <c r="K105" s="24" t="str">
        <f aca="false">IF(OR(E105="",I105="",J105=""),"",MAX(E105*I105-J105,0))</f>
        <v/>
      </c>
      <c r="L105" s="25" t="str">
        <f aca="false">IF(OR(D105="",E105="",F105="",D105&lt;=E105),"",FLOOR((F105+K105)/(D105-E105),100))</f>
        <v/>
      </c>
      <c r="M105" s="25" t="str">
        <f aca="false">IF(OR(A105="",B105="",L105=""),"",IF(B105=1,L105,IFERROR(SUMIFS($G$2:$G$1001,$A$2:$A$1001,A105,$B$2:$B$1001,B105-1),0)))</f>
        <v/>
      </c>
      <c r="N105" s="25" t="str">
        <f aca="false">IF(OR(L105="",M105=""),"",MIN(L105,M105))</f>
        <v/>
      </c>
      <c r="O105" s="25" t="str">
        <f aca="false">IF(OR(I105="",G105=""),"",I105+G105)</f>
        <v/>
      </c>
      <c r="P105" s="24" t="str">
        <f aca="false">IF(OR(O105="",O105=0),"",(J105+H105)/O105)</f>
        <v/>
      </c>
      <c r="Q105" s="24" t="str">
        <f aca="false">IF(OR(O105="",E105=""),"",MAX(J105+H105-E105*O105,0))</f>
        <v/>
      </c>
      <c r="R105" s="26" t="str">
        <f aca="false">IF(A105="","",IF(COUNTIF(_TradeIds,A105)=0,"违规：交易编号不存在",IF(OR(B105="",B105&lt;1,B105&gt;5,B105&lt;&gt;INT(B105)),"违规：加仓序号须为1到5的整数",IF(COUNTIFS($A$2:$A$1001,A105,$B$2:$B$1001,B105)&gt;1,"违规：同一交易的加仓序号重复",IF(OR(D105="",E105="",F105=""),"计划不完整：请填写加仓价、新止损价和风险预算",IF(OR(D105&lt;=0,E105&lt;=0,F105&lt;=0,D105&lt;=E105),"违规：加仓价必须高于新止损价，金额须大于0",IF(AND(B105&gt;1,COUNTIFS($A$2:$A$1001,A105,$B$2:$B$1001,B105-1,$G$2:$G$1001,"&gt;0")=0),"违规：须先完成上一次加仓",IF(AND(B105&gt;1,E105&lt;SUMIFS($E$2:$E$1001,$A$2:$A$1001,A105,$B$2:$B$1001,B105-1)),"违规：新止损价不得低于上一次",IF(AND(B105&gt;1,F105&gt;SUMIFS($F$2:$F$1001,$A$2:$A$1001,A105,$B$2:$B$1001,B105-1)),"违规：风险预算须逐次不增加",IF(OR(_LockStatus="已锁仓",_LockStatus="解锁信息不完整"),"违规：锁仓期间禁止加仓",IF(G105="","计划可执行：建议股数见N列",IF(OR(G105&lt;=0,G105&lt;&gt;INT(G105),MOD(G105,100)&lt;&gt;0),"违规：实际股数须为100股整数倍",IF(G105&gt;N105,"违规：实际股数超过风险或金字塔上限",IF(AND(B105&gt;1,G105&gt;SUMIFS($G$2:$G$1001,$A$2:$A$1001,A105,$B$2:$B$1001,B105-1)),"违规：加仓股数须逐次不增加",IF(Q105&gt;F105,"违规：止损风险超过本次预算","通过")))))))))))))))</f>
        <v/>
      </c>
    </row>
    <row r="106" customFormat="false" ht="15" hidden="false" customHeight="false" outlineLevel="0" collapsed="false">
      <c r="A106" s="20"/>
      <c r="B106" s="21"/>
      <c r="C106" s="22"/>
      <c r="D106" s="23"/>
      <c r="E106" s="23"/>
      <c r="F106" s="23"/>
      <c r="G106" s="21"/>
      <c r="H106" s="24" t="str">
        <f aca="false">IF(OR(A106="",D106="",G106=""),"",D106*G106)</f>
        <v/>
      </c>
      <c r="I106" s="25" t="str">
        <f aca="false">IF(OR(A106="",B106=""),"",IFERROR(LOOKUP(2,1/(单次交易!$A$2:$A$201=A106),单次交易!$H$2:$H$201),0)+SUMIFS($G$2:$G$1001,$A$2:$A$1001,A106,$B$2:$B$1001,"&lt;"&amp;B106))</f>
        <v/>
      </c>
      <c r="J106" s="24" t="str">
        <f aca="false">IF(OR(A106="",B106=""),"",IFERROR(LOOKUP(2,1/(单次交易!$A$2:$A$201=A106),单次交易!$E$2:$E$201)*LOOKUP(2,1/(单次交易!$A$2:$A$201=A106),单次交易!$H$2:$H$201),0)+SUMIFS($H$2:$H$1001,$A$2:$A$1001,A106,$B$2:$B$1001,"&lt;"&amp;B106))</f>
        <v/>
      </c>
      <c r="K106" s="24" t="str">
        <f aca="false">IF(OR(E106="",I106="",J106=""),"",MAX(E106*I106-J106,0))</f>
        <v/>
      </c>
      <c r="L106" s="25" t="str">
        <f aca="false">IF(OR(D106="",E106="",F106="",D106&lt;=E106),"",FLOOR((F106+K106)/(D106-E106),100))</f>
        <v/>
      </c>
      <c r="M106" s="25" t="str">
        <f aca="false">IF(OR(A106="",B106="",L106=""),"",IF(B106=1,L106,IFERROR(SUMIFS($G$2:$G$1001,$A$2:$A$1001,A106,$B$2:$B$1001,B106-1),0)))</f>
        <v/>
      </c>
      <c r="N106" s="25" t="str">
        <f aca="false">IF(OR(L106="",M106=""),"",MIN(L106,M106))</f>
        <v/>
      </c>
      <c r="O106" s="25" t="str">
        <f aca="false">IF(OR(I106="",G106=""),"",I106+G106)</f>
        <v/>
      </c>
      <c r="P106" s="24" t="str">
        <f aca="false">IF(OR(O106="",O106=0),"",(J106+H106)/O106)</f>
        <v/>
      </c>
      <c r="Q106" s="24" t="str">
        <f aca="false">IF(OR(O106="",E106=""),"",MAX(J106+H106-E106*O106,0))</f>
        <v/>
      </c>
      <c r="R106" s="26" t="str">
        <f aca="false">IF(A106="","",IF(COUNTIF(_TradeIds,A106)=0,"违规：交易编号不存在",IF(OR(B106="",B106&lt;1,B106&gt;5,B106&lt;&gt;INT(B106)),"违规：加仓序号须为1到5的整数",IF(COUNTIFS($A$2:$A$1001,A106,$B$2:$B$1001,B106)&gt;1,"违规：同一交易的加仓序号重复",IF(OR(D106="",E106="",F106=""),"计划不完整：请填写加仓价、新止损价和风险预算",IF(OR(D106&lt;=0,E106&lt;=0,F106&lt;=0,D106&lt;=E106),"违规：加仓价必须高于新止损价，金额须大于0",IF(AND(B106&gt;1,COUNTIFS($A$2:$A$1001,A106,$B$2:$B$1001,B106-1,$G$2:$G$1001,"&gt;0")=0),"违规：须先完成上一次加仓",IF(AND(B106&gt;1,E106&lt;SUMIFS($E$2:$E$1001,$A$2:$A$1001,A106,$B$2:$B$1001,B106-1)),"违规：新止损价不得低于上一次",IF(AND(B106&gt;1,F106&gt;SUMIFS($F$2:$F$1001,$A$2:$A$1001,A106,$B$2:$B$1001,B106-1)),"违规：风险预算须逐次不增加",IF(OR(_LockStatus="已锁仓",_LockStatus="解锁信息不完整"),"违规：锁仓期间禁止加仓",IF(G106="","计划可执行：建议股数见N列",IF(OR(G106&lt;=0,G106&lt;&gt;INT(G106),MOD(G106,100)&lt;&gt;0),"违规：实际股数须为100股整数倍",IF(G106&gt;N106,"违规：实际股数超过风险或金字塔上限",IF(AND(B106&gt;1,G106&gt;SUMIFS($G$2:$G$1001,$A$2:$A$1001,A106,$B$2:$B$1001,B106-1)),"违规：加仓股数须逐次不增加",IF(Q106&gt;F106,"违规：止损风险超过本次预算","通过")))))))))))))))</f>
        <v/>
      </c>
    </row>
    <row r="107" customFormat="false" ht="15" hidden="false" customHeight="false" outlineLevel="0" collapsed="false">
      <c r="A107" s="20"/>
      <c r="B107" s="21"/>
      <c r="C107" s="22"/>
      <c r="D107" s="23"/>
      <c r="E107" s="23"/>
      <c r="F107" s="23"/>
      <c r="G107" s="21"/>
      <c r="H107" s="24" t="str">
        <f aca="false">IF(OR(A107="",D107="",G107=""),"",D107*G107)</f>
        <v/>
      </c>
      <c r="I107" s="25" t="str">
        <f aca="false">IF(OR(A107="",B107=""),"",IFERROR(LOOKUP(2,1/(单次交易!$A$2:$A$201=A107),单次交易!$H$2:$H$201),0)+SUMIFS($G$2:$G$1001,$A$2:$A$1001,A107,$B$2:$B$1001,"&lt;"&amp;B107))</f>
        <v/>
      </c>
      <c r="J107" s="24" t="str">
        <f aca="false">IF(OR(A107="",B107=""),"",IFERROR(LOOKUP(2,1/(单次交易!$A$2:$A$201=A107),单次交易!$E$2:$E$201)*LOOKUP(2,1/(单次交易!$A$2:$A$201=A107),单次交易!$H$2:$H$201),0)+SUMIFS($H$2:$H$1001,$A$2:$A$1001,A107,$B$2:$B$1001,"&lt;"&amp;B107))</f>
        <v/>
      </c>
      <c r="K107" s="24" t="str">
        <f aca="false">IF(OR(E107="",I107="",J107=""),"",MAX(E107*I107-J107,0))</f>
        <v/>
      </c>
      <c r="L107" s="25" t="str">
        <f aca="false">IF(OR(D107="",E107="",F107="",D107&lt;=E107),"",FLOOR((F107+K107)/(D107-E107),100))</f>
        <v/>
      </c>
      <c r="M107" s="25" t="str">
        <f aca="false">IF(OR(A107="",B107="",L107=""),"",IF(B107=1,L107,IFERROR(SUMIFS($G$2:$G$1001,$A$2:$A$1001,A107,$B$2:$B$1001,B107-1),0)))</f>
        <v/>
      </c>
      <c r="N107" s="25" t="str">
        <f aca="false">IF(OR(L107="",M107=""),"",MIN(L107,M107))</f>
        <v/>
      </c>
      <c r="O107" s="25" t="str">
        <f aca="false">IF(OR(I107="",G107=""),"",I107+G107)</f>
        <v/>
      </c>
      <c r="P107" s="24" t="str">
        <f aca="false">IF(OR(O107="",O107=0),"",(J107+H107)/O107)</f>
        <v/>
      </c>
      <c r="Q107" s="24" t="str">
        <f aca="false">IF(OR(O107="",E107=""),"",MAX(J107+H107-E107*O107,0))</f>
        <v/>
      </c>
      <c r="R107" s="26" t="str">
        <f aca="false">IF(A107="","",IF(COUNTIF(_TradeIds,A107)=0,"违规：交易编号不存在",IF(OR(B107="",B107&lt;1,B107&gt;5,B107&lt;&gt;INT(B107)),"违规：加仓序号须为1到5的整数",IF(COUNTIFS($A$2:$A$1001,A107,$B$2:$B$1001,B107)&gt;1,"违规：同一交易的加仓序号重复",IF(OR(D107="",E107="",F107=""),"计划不完整：请填写加仓价、新止损价和风险预算",IF(OR(D107&lt;=0,E107&lt;=0,F107&lt;=0,D107&lt;=E107),"违规：加仓价必须高于新止损价，金额须大于0",IF(AND(B107&gt;1,COUNTIFS($A$2:$A$1001,A107,$B$2:$B$1001,B107-1,$G$2:$G$1001,"&gt;0")=0),"违规：须先完成上一次加仓",IF(AND(B107&gt;1,E107&lt;SUMIFS($E$2:$E$1001,$A$2:$A$1001,A107,$B$2:$B$1001,B107-1)),"违规：新止损价不得低于上一次",IF(AND(B107&gt;1,F107&gt;SUMIFS($F$2:$F$1001,$A$2:$A$1001,A107,$B$2:$B$1001,B107-1)),"违规：风险预算须逐次不增加",IF(OR(_LockStatus="已锁仓",_LockStatus="解锁信息不完整"),"违规：锁仓期间禁止加仓",IF(G107="","计划可执行：建议股数见N列",IF(OR(G107&lt;=0,G107&lt;&gt;INT(G107),MOD(G107,100)&lt;&gt;0),"违规：实际股数须为100股整数倍",IF(G107&gt;N107,"违规：实际股数超过风险或金字塔上限",IF(AND(B107&gt;1,G107&gt;SUMIFS($G$2:$G$1001,$A$2:$A$1001,A107,$B$2:$B$1001,B107-1)),"违规：加仓股数须逐次不增加",IF(Q107&gt;F107,"违规：止损风险超过本次预算","通过")))))))))))))))</f>
        <v/>
      </c>
    </row>
    <row r="108" customFormat="false" ht="15" hidden="false" customHeight="false" outlineLevel="0" collapsed="false">
      <c r="A108" s="20"/>
      <c r="B108" s="21"/>
      <c r="C108" s="22"/>
      <c r="D108" s="23"/>
      <c r="E108" s="23"/>
      <c r="F108" s="23"/>
      <c r="G108" s="21"/>
      <c r="H108" s="24" t="str">
        <f aca="false">IF(OR(A108="",D108="",G108=""),"",D108*G108)</f>
        <v/>
      </c>
      <c r="I108" s="25" t="str">
        <f aca="false">IF(OR(A108="",B108=""),"",IFERROR(LOOKUP(2,1/(单次交易!$A$2:$A$201=A108),单次交易!$H$2:$H$201),0)+SUMIFS($G$2:$G$1001,$A$2:$A$1001,A108,$B$2:$B$1001,"&lt;"&amp;B108))</f>
        <v/>
      </c>
      <c r="J108" s="24" t="str">
        <f aca="false">IF(OR(A108="",B108=""),"",IFERROR(LOOKUP(2,1/(单次交易!$A$2:$A$201=A108),单次交易!$E$2:$E$201)*LOOKUP(2,1/(单次交易!$A$2:$A$201=A108),单次交易!$H$2:$H$201),0)+SUMIFS($H$2:$H$1001,$A$2:$A$1001,A108,$B$2:$B$1001,"&lt;"&amp;B108))</f>
        <v/>
      </c>
      <c r="K108" s="24" t="str">
        <f aca="false">IF(OR(E108="",I108="",J108=""),"",MAX(E108*I108-J108,0))</f>
        <v/>
      </c>
      <c r="L108" s="25" t="str">
        <f aca="false">IF(OR(D108="",E108="",F108="",D108&lt;=E108),"",FLOOR((F108+K108)/(D108-E108),100))</f>
        <v/>
      </c>
      <c r="M108" s="25" t="str">
        <f aca="false">IF(OR(A108="",B108="",L108=""),"",IF(B108=1,L108,IFERROR(SUMIFS($G$2:$G$1001,$A$2:$A$1001,A108,$B$2:$B$1001,B108-1),0)))</f>
        <v/>
      </c>
      <c r="N108" s="25" t="str">
        <f aca="false">IF(OR(L108="",M108=""),"",MIN(L108,M108))</f>
        <v/>
      </c>
      <c r="O108" s="25" t="str">
        <f aca="false">IF(OR(I108="",G108=""),"",I108+G108)</f>
        <v/>
      </c>
      <c r="P108" s="24" t="str">
        <f aca="false">IF(OR(O108="",O108=0),"",(J108+H108)/O108)</f>
        <v/>
      </c>
      <c r="Q108" s="24" t="str">
        <f aca="false">IF(OR(O108="",E108=""),"",MAX(J108+H108-E108*O108,0))</f>
        <v/>
      </c>
      <c r="R108" s="26" t="str">
        <f aca="false">IF(A108="","",IF(COUNTIF(_TradeIds,A108)=0,"违规：交易编号不存在",IF(OR(B108="",B108&lt;1,B108&gt;5,B108&lt;&gt;INT(B108)),"违规：加仓序号须为1到5的整数",IF(COUNTIFS($A$2:$A$1001,A108,$B$2:$B$1001,B108)&gt;1,"违规：同一交易的加仓序号重复",IF(OR(D108="",E108="",F108=""),"计划不完整：请填写加仓价、新止损价和风险预算",IF(OR(D108&lt;=0,E108&lt;=0,F108&lt;=0,D108&lt;=E108),"违规：加仓价必须高于新止损价，金额须大于0",IF(AND(B108&gt;1,COUNTIFS($A$2:$A$1001,A108,$B$2:$B$1001,B108-1,$G$2:$G$1001,"&gt;0")=0),"违规：须先完成上一次加仓",IF(AND(B108&gt;1,E108&lt;SUMIFS($E$2:$E$1001,$A$2:$A$1001,A108,$B$2:$B$1001,B108-1)),"违规：新止损价不得低于上一次",IF(AND(B108&gt;1,F108&gt;SUMIFS($F$2:$F$1001,$A$2:$A$1001,A108,$B$2:$B$1001,B108-1)),"违规：风险预算须逐次不增加",IF(OR(_LockStatus="已锁仓",_LockStatus="解锁信息不完整"),"违规：锁仓期间禁止加仓",IF(G108="","计划可执行：建议股数见N列",IF(OR(G108&lt;=0,G108&lt;&gt;INT(G108),MOD(G108,100)&lt;&gt;0),"违规：实际股数须为100股整数倍",IF(G108&gt;N108,"违规：实际股数超过风险或金字塔上限",IF(AND(B108&gt;1,G108&gt;SUMIFS($G$2:$G$1001,$A$2:$A$1001,A108,$B$2:$B$1001,B108-1)),"违规：加仓股数须逐次不增加",IF(Q108&gt;F108,"违规：止损风险超过本次预算","通过")))))))))))))))</f>
        <v/>
      </c>
    </row>
    <row r="109" customFormat="false" ht="15" hidden="false" customHeight="false" outlineLevel="0" collapsed="false">
      <c r="A109" s="20"/>
      <c r="B109" s="21"/>
      <c r="C109" s="22"/>
      <c r="D109" s="23"/>
      <c r="E109" s="23"/>
      <c r="F109" s="23"/>
      <c r="G109" s="21"/>
      <c r="H109" s="24" t="str">
        <f aca="false">IF(OR(A109="",D109="",G109=""),"",D109*G109)</f>
        <v/>
      </c>
      <c r="I109" s="25" t="str">
        <f aca="false">IF(OR(A109="",B109=""),"",IFERROR(LOOKUP(2,1/(单次交易!$A$2:$A$201=A109),单次交易!$H$2:$H$201),0)+SUMIFS($G$2:$G$1001,$A$2:$A$1001,A109,$B$2:$B$1001,"&lt;"&amp;B109))</f>
        <v/>
      </c>
      <c r="J109" s="24" t="str">
        <f aca="false">IF(OR(A109="",B109=""),"",IFERROR(LOOKUP(2,1/(单次交易!$A$2:$A$201=A109),单次交易!$E$2:$E$201)*LOOKUP(2,1/(单次交易!$A$2:$A$201=A109),单次交易!$H$2:$H$201),0)+SUMIFS($H$2:$H$1001,$A$2:$A$1001,A109,$B$2:$B$1001,"&lt;"&amp;B109))</f>
        <v/>
      </c>
      <c r="K109" s="24" t="str">
        <f aca="false">IF(OR(E109="",I109="",J109=""),"",MAX(E109*I109-J109,0))</f>
        <v/>
      </c>
      <c r="L109" s="25" t="str">
        <f aca="false">IF(OR(D109="",E109="",F109="",D109&lt;=E109),"",FLOOR((F109+K109)/(D109-E109),100))</f>
        <v/>
      </c>
      <c r="M109" s="25" t="str">
        <f aca="false">IF(OR(A109="",B109="",L109=""),"",IF(B109=1,L109,IFERROR(SUMIFS($G$2:$G$1001,$A$2:$A$1001,A109,$B$2:$B$1001,B109-1),0)))</f>
        <v/>
      </c>
      <c r="N109" s="25" t="str">
        <f aca="false">IF(OR(L109="",M109=""),"",MIN(L109,M109))</f>
        <v/>
      </c>
      <c r="O109" s="25" t="str">
        <f aca="false">IF(OR(I109="",G109=""),"",I109+G109)</f>
        <v/>
      </c>
      <c r="P109" s="24" t="str">
        <f aca="false">IF(OR(O109="",O109=0),"",(J109+H109)/O109)</f>
        <v/>
      </c>
      <c r="Q109" s="24" t="str">
        <f aca="false">IF(OR(O109="",E109=""),"",MAX(J109+H109-E109*O109,0))</f>
        <v/>
      </c>
      <c r="R109" s="26" t="str">
        <f aca="false">IF(A109="","",IF(COUNTIF(_TradeIds,A109)=0,"违规：交易编号不存在",IF(OR(B109="",B109&lt;1,B109&gt;5,B109&lt;&gt;INT(B109)),"违规：加仓序号须为1到5的整数",IF(COUNTIFS($A$2:$A$1001,A109,$B$2:$B$1001,B109)&gt;1,"违规：同一交易的加仓序号重复",IF(OR(D109="",E109="",F109=""),"计划不完整：请填写加仓价、新止损价和风险预算",IF(OR(D109&lt;=0,E109&lt;=0,F109&lt;=0,D109&lt;=E109),"违规：加仓价必须高于新止损价，金额须大于0",IF(AND(B109&gt;1,COUNTIFS($A$2:$A$1001,A109,$B$2:$B$1001,B109-1,$G$2:$G$1001,"&gt;0")=0),"违规：须先完成上一次加仓",IF(AND(B109&gt;1,E109&lt;SUMIFS($E$2:$E$1001,$A$2:$A$1001,A109,$B$2:$B$1001,B109-1)),"违规：新止损价不得低于上一次",IF(AND(B109&gt;1,F109&gt;SUMIFS($F$2:$F$1001,$A$2:$A$1001,A109,$B$2:$B$1001,B109-1)),"违规：风险预算须逐次不增加",IF(OR(_LockStatus="已锁仓",_LockStatus="解锁信息不完整"),"违规：锁仓期间禁止加仓",IF(G109="","计划可执行：建议股数见N列",IF(OR(G109&lt;=0,G109&lt;&gt;INT(G109),MOD(G109,100)&lt;&gt;0),"违规：实际股数须为100股整数倍",IF(G109&gt;N109,"违规：实际股数超过风险或金字塔上限",IF(AND(B109&gt;1,G109&gt;SUMIFS($G$2:$G$1001,$A$2:$A$1001,A109,$B$2:$B$1001,B109-1)),"违规：加仓股数须逐次不增加",IF(Q109&gt;F109,"违规：止损风险超过本次预算","通过")))))))))))))))</f>
        <v/>
      </c>
    </row>
    <row r="110" customFormat="false" ht="15" hidden="false" customHeight="false" outlineLevel="0" collapsed="false">
      <c r="A110" s="20"/>
      <c r="B110" s="21"/>
      <c r="C110" s="22"/>
      <c r="D110" s="23"/>
      <c r="E110" s="23"/>
      <c r="F110" s="23"/>
      <c r="G110" s="21"/>
      <c r="H110" s="24" t="str">
        <f aca="false">IF(OR(A110="",D110="",G110=""),"",D110*G110)</f>
        <v/>
      </c>
      <c r="I110" s="25" t="str">
        <f aca="false">IF(OR(A110="",B110=""),"",IFERROR(LOOKUP(2,1/(单次交易!$A$2:$A$201=A110),单次交易!$H$2:$H$201),0)+SUMIFS($G$2:$G$1001,$A$2:$A$1001,A110,$B$2:$B$1001,"&lt;"&amp;B110))</f>
        <v/>
      </c>
      <c r="J110" s="24" t="str">
        <f aca="false">IF(OR(A110="",B110=""),"",IFERROR(LOOKUP(2,1/(单次交易!$A$2:$A$201=A110),单次交易!$E$2:$E$201)*LOOKUP(2,1/(单次交易!$A$2:$A$201=A110),单次交易!$H$2:$H$201),0)+SUMIFS($H$2:$H$1001,$A$2:$A$1001,A110,$B$2:$B$1001,"&lt;"&amp;B110))</f>
        <v/>
      </c>
      <c r="K110" s="24" t="str">
        <f aca="false">IF(OR(E110="",I110="",J110=""),"",MAX(E110*I110-J110,0))</f>
        <v/>
      </c>
      <c r="L110" s="25" t="str">
        <f aca="false">IF(OR(D110="",E110="",F110="",D110&lt;=E110),"",FLOOR((F110+K110)/(D110-E110),100))</f>
        <v/>
      </c>
      <c r="M110" s="25" t="str">
        <f aca="false">IF(OR(A110="",B110="",L110=""),"",IF(B110=1,L110,IFERROR(SUMIFS($G$2:$G$1001,$A$2:$A$1001,A110,$B$2:$B$1001,B110-1),0)))</f>
        <v/>
      </c>
      <c r="N110" s="25" t="str">
        <f aca="false">IF(OR(L110="",M110=""),"",MIN(L110,M110))</f>
        <v/>
      </c>
      <c r="O110" s="25" t="str">
        <f aca="false">IF(OR(I110="",G110=""),"",I110+G110)</f>
        <v/>
      </c>
      <c r="P110" s="24" t="str">
        <f aca="false">IF(OR(O110="",O110=0),"",(J110+H110)/O110)</f>
        <v/>
      </c>
      <c r="Q110" s="24" t="str">
        <f aca="false">IF(OR(O110="",E110=""),"",MAX(J110+H110-E110*O110,0))</f>
        <v/>
      </c>
      <c r="R110" s="26" t="str">
        <f aca="false">IF(A110="","",IF(COUNTIF(_TradeIds,A110)=0,"违规：交易编号不存在",IF(OR(B110="",B110&lt;1,B110&gt;5,B110&lt;&gt;INT(B110)),"违规：加仓序号须为1到5的整数",IF(COUNTIFS($A$2:$A$1001,A110,$B$2:$B$1001,B110)&gt;1,"违规：同一交易的加仓序号重复",IF(OR(D110="",E110="",F110=""),"计划不完整：请填写加仓价、新止损价和风险预算",IF(OR(D110&lt;=0,E110&lt;=0,F110&lt;=0,D110&lt;=E110),"违规：加仓价必须高于新止损价，金额须大于0",IF(AND(B110&gt;1,COUNTIFS($A$2:$A$1001,A110,$B$2:$B$1001,B110-1,$G$2:$G$1001,"&gt;0")=0),"违规：须先完成上一次加仓",IF(AND(B110&gt;1,E110&lt;SUMIFS($E$2:$E$1001,$A$2:$A$1001,A110,$B$2:$B$1001,B110-1)),"违规：新止损价不得低于上一次",IF(AND(B110&gt;1,F110&gt;SUMIFS($F$2:$F$1001,$A$2:$A$1001,A110,$B$2:$B$1001,B110-1)),"违规：风险预算须逐次不增加",IF(OR(_LockStatus="已锁仓",_LockStatus="解锁信息不完整"),"违规：锁仓期间禁止加仓",IF(G110="","计划可执行：建议股数见N列",IF(OR(G110&lt;=0,G110&lt;&gt;INT(G110),MOD(G110,100)&lt;&gt;0),"违规：实际股数须为100股整数倍",IF(G110&gt;N110,"违规：实际股数超过风险或金字塔上限",IF(AND(B110&gt;1,G110&gt;SUMIFS($G$2:$G$1001,$A$2:$A$1001,A110,$B$2:$B$1001,B110-1)),"违规：加仓股数须逐次不增加",IF(Q110&gt;F110,"违规：止损风险超过本次预算","通过")))))))))))))))</f>
        <v/>
      </c>
    </row>
    <row r="111" customFormat="false" ht="15" hidden="false" customHeight="false" outlineLevel="0" collapsed="false">
      <c r="A111" s="20"/>
      <c r="B111" s="21"/>
      <c r="C111" s="22"/>
      <c r="D111" s="23"/>
      <c r="E111" s="23"/>
      <c r="F111" s="23"/>
      <c r="G111" s="21"/>
      <c r="H111" s="24" t="str">
        <f aca="false">IF(OR(A111="",D111="",G111=""),"",D111*G111)</f>
        <v/>
      </c>
      <c r="I111" s="25" t="str">
        <f aca="false">IF(OR(A111="",B111=""),"",IFERROR(LOOKUP(2,1/(单次交易!$A$2:$A$201=A111),单次交易!$H$2:$H$201),0)+SUMIFS($G$2:$G$1001,$A$2:$A$1001,A111,$B$2:$B$1001,"&lt;"&amp;B111))</f>
        <v/>
      </c>
      <c r="J111" s="24" t="str">
        <f aca="false">IF(OR(A111="",B111=""),"",IFERROR(LOOKUP(2,1/(单次交易!$A$2:$A$201=A111),单次交易!$E$2:$E$201)*LOOKUP(2,1/(单次交易!$A$2:$A$201=A111),单次交易!$H$2:$H$201),0)+SUMIFS($H$2:$H$1001,$A$2:$A$1001,A111,$B$2:$B$1001,"&lt;"&amp;B111))</f>
        <v/>
      </c>
      <c r="K111" s="24" t="str">
        <f aca="false">IF(OR(E111="",I111="",J111=""),"",MAX(E111*I111-J111,0))</f>
        <v/>
      </c>
      <c r="L111" s="25" t="str">
        <f aca="false">IF(OR(D111="",E111="",F111="",D111&lt;=E111),"",FLOOR((F111+K111)/(D111-E111),100))</f>
        <v/>
      </c>
      <c r="M111" s="25" t="str">
        <f aca="false">IF(OR(A111="",B111="",L111=""),"",IF(B111=1,L111,IFERROR(SUMIFS($G$2:$G$1001,$A$2:$A$1001,A111,$B$2:$B$1001,B111-1),0)))</f>
        <v/>
      </c>
      <c r="N111" s="25" t="str">
        <f aca="false">IF(OR(L111="",M111=""),"",MIN(L111,M111))</f>
        <v/>
      </c>
      <c r="O111" s="25" t="str">
        <f aca="false">IF(OR(I111="",G111=""),"",I111+G111)</f>
        <v/>
      </c>
      <c r="P111" s="24" t="str">
        <f aca="false">IF(OR(O111="",O111=0),"",(J111+H111)/O111)</f>
        <v/>
      </c>
      <c r="Q111" s="24" t="str">
        <f aca="false">IF(OR(O111="",E111=""),"",MAX(J111+H111-E111*O111,0))</f>
        <v/>
      </c>
      <c r="R111" s="26" t="str">
        <f aca="false">IF(A111="","",IF(COUNTIF(_TradeIds,A111)=0,"违规：交易编号不存在",IF(OR(B111="",B111&lt;1,B111&gt;5,B111&lt;&gt;INT(B111)),"违规：加仓序号须为1到5的整数",IF(COUNTIFS($A$2:$A$1001,A111,$B$2:$B$1001,B111)&gt;1,"违规：同一交易的加仓序号重复",IF(OR(D111="",E111="",F111=""),"计划不完整：请填写加仓价、新止损价和风险预算",IF(OR(D111&lt;=0,E111&lt;=0,F111&lt;=0,D111&lt;=E111),"违规：加仓价必须高于新止损价，金额须大于0",IF(AND(B111&gt;1,COUNTIFS($A$2:$A$1001,A111,$B$2:$B$1001,B111-1,$G$2:$G$1001,"&gt;0")=0),"违规：须先完成上一次加仓",IF(AND(B111&gt;1,E111&lt;SUMIFS($E$2:$E$1001,$A$2:$A$1001,A111,$B$2:$B$1001,B111-1)),"违规：新止损价不得低于上一次",IF(AND(B111&gt;1,F111&gt;SUMIFS($F$2:$F$1001,$A$2:$A$1001,A111,$B$2:$B$1001,B111-1)),"违规：风险预算须逐次不增加",IF(OR(_LockStatus="已锁仓",_LockStatus="解锁信息不完整"),"违规：锁仓期间禁止加仓",IF(G111="","计划可执行：建议股数见N列",IF(OR(G111&lt;=0,G111&lt;&gt;INT(G111),MOD(G111,100)&lt;&gt;0),"违规：实际股数须为100股整数倍",IF(G111&gt;N111,"违规：实际股数超过风险或金字塔上限",IF(AND(B111&gt;1,G111&gt;SUMIFS($G$2:$G$1001,$A$2:$A$1001,A111,$B$2:$B$1001,B111-1)),"违规：加仓股数须逐次不增加",IF(Q111&gt;F111,"违规：止损风险超过本次预算","通过")))))))))))))))</f>
        <v/>
      </c>
    </row>
    <row r="112" customFormat="false" ht="15" hidden="false" customHeight="false" outlineLevel="0" collapsed="false">
      <c r="A112" s="20"/>
      <c r="B112" s="21"/>
      <c r="C112" s="22"/>
      <c r="D112" s="23"/>
      <c r="E112" s="23"/>
      <c r="F112" s="23"/>
      <c r="G112" s="21"/>
      <c r="H112" s="24" t="str">
        <f aca="false">IF(OR(A112="",D112="",G112=""),"",D112*G112)</f>
        <v/>
      </c>
      <c r="I112" s="25" t="str">
        <f aca="false">IF(OR(A112="",B112=""),"",IFERROR(LOOKUP(2,1/(单次交易!$A$2:$A$201=A112),单次交易!$H$2:$H$201),0)+SUMIFS($G$2:$G$1001,$A$2:$A$1001,A112,$B$2:$B$1001,"&lt;"&amp;B112))</f>
        <v/>
      </c>
      <c r="J112" s="24" t="str">
        <f aca="false">IF(OR(A112="",B112=""),"",IFERROR(LOOKUP(2,1/(单次交易!$A$2:$A$201=A112),单次交易!$E$2:$E$201)*LOOKUP(2,1/(单次交易!$A$2:$A$201=A112),单次交易!$H$2:$H$201),0)+SUMIFS($H$2:$H$1001,$A$2:$A$1001,A112,$B$2:$B$1001,"&lt;"&amp;B112))</f>
        <v/>
      </c>
      <c r="K112" s="24" t="str">
        <f aca="false">IF(OR(E112="",I112="",J112=""),"",MAX(E112*I112-J112,0))</f>
        <v/>
      </c>
      <c r="L112" s="25" t="str">
        <f aca="false">IF(OR(D112="",E112="",F112="",D112&lt;=E112),"",FLOOR((F112+K112)/(D112-E112),100))</f>
        <v/>
      </c>
      <c r="M112" s="25" t="str">
        <f aca="false">IF(OR(A112="",B112="",L112=""),"",IF(B112=1,L112,IFERROR(SUMIFS($G$2:$G$1001,$A$2:$A$1001,A112,$B$2:$B$1001,B112-1),0)))</f>
        <v/>
      </c>
      <c r="N112" s="25" t="str">
        <f aca="false">IF(OR(L112="",M112=""),"",MIN(L112,M112))</f>
        <v/>
      </c>
      <c r="O112" s="25" t="str">
        <f aca="false">IF(OR(I112="",G112=""),"",I112+G112)</f>
        <v/>
      </c>
      <c r="P112" s="24" t="str">
        <f aca="false">IF(OR(O112="",O112=0),"",(J112+H112)/O112)</f>
        <v/>
      </c>
      <c r="Q112" s="24" t="str">
        <f aca="false">IF(OR(O112="",E112=""),"",MAX(J112+H112-E112*O112,0))</f>
        <v/>
      </c>
      <c r="R112" s="26" t="str">
        <f aca="false">IF(A112="","",IF(COUNTIF(_TradeIds,A112)=0,"违规：交易编号不存在",IF(OR(B112="",B112&lt;1,B112&gt;5,B112&lt;&gt;INT(B112)),"违规：加仓序号须为1到5的整数",IF(COUNTIFS($A$2:$A$1001,A112,$B$2:$B$1001,B112)&gt;1,"违规：同一交易的加仓序号重复",IF(OR(D112="",E112="",F112=""),"计划不完整：请填写加仓价、新止损价和风险预算",IF(OR(D112&lt;=0,E112&lt;=0,F112&lt;=0,D112&lt;=E112),"违规：加仓价必须高于新止损价，金额须大于0",IF(AND(B112&gt;1,COUNTIFS($A$2:$A$1001,A112,$B$2:$B$1001,B112-1,$G$2:$G$1001,"&gt;0")=0),"违规：须先完成上一次加仓",IF(AND(B112&gt;1,E112&lt;SUMIFS($E$2:$E$1001,$A$2:$A$1001,A112,$B$2:$B$1001,B112-1)),"违规：新止损价不得低于上一次",IF(AND(B112&gt;1,F112&gt;SUMIFS($F$2:$F$1001,$A$2:$A$1001,A112,$B$2:$B$1001,B112-1)),"违规：风险预算须逐次不增加",IF(OR(_LockStatus="已锁仓",_LockStatus="解锁信息不完整"),"违规：锁仓期间禁止加仓",IF(G112="","计划可执行：建议股数见N列",IF(OR(G112&lt;=0,G112&lt;&gt;INT(G112),MOD(G112,100)&lt;&gt;0),"违规：实际股数须为100股整数倍",IF(G112&gt;N112,"违规：实际股数超过风险或金字塔上限",IF(AND(B112&gt;1,G112&gt;SUMIFS($G$2:$G$1001,$A$2:$A$1001,A112,$B$2:$B$1001,B112-1)),"违规：加仓股数须逐次不增加",IF(Q112&gt;F112,"违规：止损风险超过本次预算","通过")))))))))))))))</f>
        <v/>
      </c>
    </row>
    <row r="113" customFormat="false" ht="15" hidden="false" customHeight="false" outlineLevel="0" collapsed="false">
      <c r="A113" s="20"/>
      <c r="B113" s="21"/>
      <c r="C113" s="22"/>
      <c r="D113" s="23"/>
      <c r="E113" s="23"/>
      <c r="F113" s="23"/>
      <c r="G113" s="21"/>
      <c r="H113" s="24" t="str">
        <f aca="false">IF(OR(A113="",D113="",G113=""),"",D113*G113)</f>
        <v/>
      </c>
      <c r="I113" s="25" t="str">
        <f aca="false">IF(OR(A113="",B113=""),"",IFERROR(LOOKUP(2,1/(单次交易!$A$2:$A$201=A113),单次交易!$H$2:$H$201),0)+SUMIFS($G$2:$G$1001,$A$2:$A$1001,A113,$B$2:$B$1001,"&lt;"&amp;B113))</f>
        <v/>
      </c>
      <c r="J113" s="24" t="str">
        <f aca="false">IF(OR(A113="",B113=""),"",IFERROR(LOOKUP(2,1/(单次交易!$A$2:$A$201=A113),单次交易!$E$2:$E$201)*LOOKUP(2,1/(单次交易!$A$2:$A$201=A113),单次交易!$H$2:$H$201),0)+SUMIFS($H$2:$H$1001,$A$2:$A$1001,A113,$B$2:$B$1001,"&lt;"&amp;B113))</f>
        <v/>
      </c>
      <c r="K113" s="24" t="str">
        <f aca="false">IF(OR(E113="",I113="",J113=""),"",MAX(E113*I113-J113,0))</f>
        <v/>
      </c>
      <c r="L113" s="25" t="str">
        <f aca="false">IF(OR(D113="",E113="",F113="",D113&lt;=E113),"",FLOOR((F113+K113)/(D113-E113),100))</f>
        <v/>
      </c>
      <c r="M113" s="25" t="str">
        <f aca="false">IF(OR(A113="",B113="",L113=""),"",IF(B113=1,L113,IFERROR(SUMIFS($G$2:$G$1001,$A$2:$A$1001,A113,$B$2:$B$1001,B113-1),0)))</f>
        <v/>
      </c>
      <c r="N113" s="25" t="str">
        <f aca="false">IF(OR(L113="",M113=""),"",MIN(L113,M113))</f>
        <v/>
      </c>
      <c r="O113" s="25" t="str">
        <f aca="false">IF(OR(I113="",G113=""),"",I113+G113)</f>
        <v/>
      </c>
      <c r="P113" s="24" t="str">
        <f aca="false">IF(OR(O113="",O113=0),"",(J113+H113)/O113)</f>
        <v/>
      </c>
      <c r="Q113" s="24" t="str">
        <f aca="false">IF(OR(O113="",E113=""),"",MAX(J113+H113-E113*O113,0))</f>
        <v/>
      </c>
      <c r="R113" s="26" t="str">
        <f aca="false">IF(A113="","",IF(COUNTIF(_TradeIds,A113)=0,"违规：交易编号不存在",IF(OR(B113="",B113&lt;1,B113&gt;5,B113&lt;&gt;INT(B113)),"违规：加仓序号须为1到5的整数",IF(COUNTIFS($A$2:$A$1001,A113,$B$2:$B$1001,B113)&gt;1,"违规：同一交易的加仓序号重复",IF(OR(D113="",E113="",F113=""),"计划不完整：请填写加仓价、新止损价和风险预算",IF(OR(D113&lt;=0,E113&lt;=0,F113&lt;=0,D113&lt;=E113),"违规：加仓价必须高于新止损价，金额须大于0",IF(AND(B113&gt;1,COUNTIFS($A$2:$A$1001,A113,$B$2:$B$1001,B113-1,$G$2:$G$1001,"&gt;0")=0),"违规：须先完成上一次加仓",IF(AND(B113&gt;1,E113&lt;SUMIFS($E$2:$E$1001,$A$2:$A$1001,A113,$B$2:$B$1001,B113-1)),"违规：新止损价不得低于上一次",IF(AND(B113&gt;1,F113&gt;SUMIFS($F$2:$F$1001,$A$2:$A$1001,A113,$B$2:$B$1001,B113-1)),"违规：风险预算须逐次不增加",IF(OR(_LockStatus="已锁仓",_LockStatus="解锁信息不完整"),"违规：锁仓期间禁止加仓",IF(G113="","计划可执行：建议股数见N列",IF(OR(G113&lt;=0,G113&lt;&gt;INT(G113),MOD(G113,100)&lt;&gt;0),"违规：实际股数须为100股整数倍",IF(G113&gt;N113,"违规：实际股数超过风险或金字塔上限",IF(AND(B113&gt;1,G113&gt;SUMIFS($G$2:$G$1001,$A$2:$A$1001,A113,$B$2:$B$1001,B113-1)),"违规：加仓股数须逐次不增加",IF(Q113&gt;F113,"违规：止损风险超过本次预算","通过")))))))))))))))</f>
        <v/>
      </c>
    </row>
    <row r="114" customFormat="false" ht="15" hidden="false" customHeight="false" outlineLevel="0" collapsed="false">
      <c r="A114" s="20"/>
      <c r="B114" s="21"/>
      <c r="C114" s="22"/>
      <c r="D114" s="23"/>
      <c r="E114" s="23"/>
      <c r="F114" s="23"/>
      <c r="G114" s="21"/>
      <c r="H114" s="24" t="str">
        <f aca="false">IF(OR(A114="",D114="",G114=""),"",D114*G114)</f>
        <v/>
      </c>
      <c r="I114" s="25" t="str">
        <f aca="false">IF(OR(A114="",B114=""),"",IFERROR(LOOKUP(2,1/(单次交易!$A$2:$A$201=A114),单次交易!$H$2:$H$201),0)+SUMIFS($G$2:$G$1001,$A$2:$A$1001,A114,$B$2:$B$1001,"&lt;"&amp;B114))</f>
        <v/>
      </c>
      <c r="J114" s="24" t="str">
        <f aca="false">IF(OR(A114="",B114=""),"",IFERROR(LOOKUP(2,1/(单次交易!$A$2:$A$201=A114),单次交易!$E$2:$E$201)*LOOKUP(2,1/(单次交易!$A$2:$A$201=A114),单次交易!$H$2:$H$201),0)+SUMIFS($H$2:$H$1001,$A$2:$A$1001,A114,$B$2:$B$1001,"&lt;"&amp;B114))</f>
        <v/>
      </c>
      <c r="K114" s="24" t="str">
        <f aca="false">IF(OR(E114="",I114="",J114=""),"",MAX(E114*I114-J114,0))</f>
        <v/>
      </c>
      <c r="L114" s="25" t="str">
        <f aca="false">IF(OR(D114="",E114="",F114="",D114&lt;=E114),"",FLOOR((F114+K114)/(D114-E114),100))</f>
        <v/>
      </c>
      <c r="M114" s="25" t="str">
        <f aca="false">IF(OR(A114="",B114="",L114=""),"",IF(B114=1,L114,IFERROR(SUMIFS($G$2:$G$1001,$A$2:$A$1001,A114,$B$2:$B$1001,B114-1),0)))</f>
        <v/>
      </c>
      <c r="N114" s="25" t="str">
        <f aca="false">IF(OR(L114="",M114=""),"",MIN(L114,M114))</f>
        <v/>
      </c>
      <c r="O114" s="25" t="str">
        <f aca="false">IF(OR(I114="",G114=""),"",I114+G114)</f>
        <v/>
      </c>
      <c r="P114" s="24" t="str">
        <f aca="false">IF(OR(O114="",O114=0),"",(J114+H114)/O114)</f>
        <v/>
      </c>
      <c r="Q114" s="24" t="str">
        <f aca="false">IF(OR(O114="",E114=""),"",MAX(J114+H114-E114*O114,0))</f>
        <v/>
      </c>
      <c r="R114" s="26" t="str">
        <f aca="false">IF(A114="","",IF(COUNTIF(_TradeIds,A114)=0,"违规：交易编号不存在",IF(OR(B114="",B114&lt;1,B114&gt;5,B114&lt;&gt;INT(B114)),"违规：加仓序号须为1到5的整数",IF(COUNTIFS($A$2:$A$1001,A114,$B$2:$B$1001,B114)&gt;1,"违规：同一交易的加仓序号重复",IF(OR(D114="",E114="",F114=""),"计划不完整：请填写加仓价、新止损价和风险预算",IF(OR(D114&lt;=0,E114&lt;=0,F114&lt;=0,D114&lt;=E114),"违规：加仓价必须高于新止损价，金额须大于0",IF(AND(B114&gt;1,COUNTIFS($A$2:$A$1001,A114,$B$2:$B$1001,B114-1,$G$2:$G$1001,"&gt;0")=0),"违规：须先完成上一次加仓",IF(AND(B114&gt;1,E114&lt;SUMIFS($E$2:$E$1001,$A$2:$A$1001,A114,$B$2:$B$1001,B114-1)),"违规：新止损价不得低于上一次",IF(AND(B114&gt;1,F114&gt;SUMIFS($F$2:$F$1001,$A$2:$A$1001,A114,$B$2:$B$1001,B114-1)),"违规：风险预算须逐次不增加",IF(OR(_LockStatus="已锁仓",_LockStatus="解锁信息不完整"),"违规：锁仓期间禁止加仓",IF(G114="","计划可执行：建议股数见N列",IF(OR(G114&lt;=0,G114&lt;&gt;INT(G114),MOD(G114,100)&lt;&gt;0),"违规：实际股数须为100股整数倍",IF(G114&gt;N114,"违规：实际股数超过风险或金字塔上限",IF(AND(B114&gt;1,G114&gt;SUMIFS($G$2:$G$1001,$A$2:$A$1001,A114,$B$2:$B$1001,B114-1)),"违规：加仓股数须逐次不增加",IF(Q114&gt;F114,"违规：止损风险超过本次预算","通过")))))))))))))))</f>
        <v/>
      </c>
    </row>
    <row r="115" customFormat="false" ht="15" hidden="false" customHeight="false" outlineLevel="0" collapsed="false">
      <c r="A115" s="20"/>
      <c r="B115" s="21"/>
      <c r="C115" s="22"/>
      <c r="D115" s="23"/>
      <c r="E115" s="23"/>
      <c r="F115" s="23"/>
      <c r="G115" s="21"/>
      <c r="H115" s="24" t="str">
        <f aca="false">IF(OR(A115="",D115="",G115=""),"",D115*G115)</f>
        <v/>
      </c>
      <c r="I115" s="25" t="str">
        <f aca="false">IF(OR(A115="",B115=""),"",IFERROR(LOOKUP(2,1/(单次交易!$A$2:$A$201=A115),单次交易!$H$2:$H$201),0)+SUMIFS($G$2:$G$1001,$A$2:$A$1001,A115,$B$2:$B$1001,"&lt;"&amp;B115))</f>
        <v/>
      </c>
      <c r="J115" s="24" t="str">
        <f aca="false">IF(OR(A115="",B115=""),"",IFERROR(LOOKUP(2,1/(单次交易!$A$2:$A$201=A115),单次交易!$E$2:$E$201)*LOOKUP(2,1/(单次交易!$A$2:$A$201=A115),单次交易!$H$2:$H$201),0)+SUMIFS($H$2:$H$1001,$A$2:$A$1001,A115,$B$2:$B$1001,"&lt;"&amp;B115))</f>
        <v/>
      </c>
      <c r="K115" s="24" t="str">
        <f aca="false">IF(OR(E115="",I115="",J115=""),"",MAX(E115*I115-J115,0))</f>
        <v/>
      </c>
      <c r="L115" s="25" t="str">
        <f aca="false">IF(OR(D115="",E115="",F115="",D115&lt;=E115),"",FLOOR((F115+K115)/(D115-E115),100))</f>
        <v/>
      </c>
      <c r="M115" s="25" t="str">
        <f aca="false">IF(OR(A115="",B115="",L115=""),"",IF(B115=1,L115,IFERROR(SUMIFS($G$2:$G$1001,$A$2:$A$1001,A115,$B$2:$B$1001,B115-1),0)))</f>
        <v/>
      </c>
      <c r="N115" s="25" t="str">
        <f aca="false">IF(OR(L115="",M115=""),"",MIN(L115,M115))</f>
        <v/>
      </c>
      <c r="O115" s="25" t="str">
        <f aca="false">IF(OR(I115="",G115=""),"",I115+G115)</f>
        <v/>
      </c>
      <c r="P115" s="24" t="str">
        <f aca="false">IF(OR(O115="",O115=0),"",(J115+H115)/O115)</f>
        <v/>
      </c>
      <c r="Q115" s="24" t="str">
        <f aca="false">IF(OR(O115="",E115=""),"",MAX(J115+H115-E115*O115,0))</f>
        <v/>
      </c>
      <c r="R115" s="26" t="str">
        <f aca="false">IF(A115="","",IF(COUNTIF(_TradeIds,A115)=0,"违规：交易编号不存在",IF(OR(B115="",B115&lt;1,B115&gt;5,B115&lt;&gt;INT(B115)),"违规：加仓序号须为1到5的整数",IF(COUNTIFS($A$2:$A$1001,A115,$B$2:$B$1001,B115)&gt;1,"违规：同一交易的加仓序号重复",IF(OR(D115="",E115="",F115=""),"计划不完整：请填写加仓价、新止损价和风险预算",IF(OR(D115&lt;=0,E115&lt;=0,F115&lt;=0,D115&lt;=E115),"违规：加仓价必须高于新止损价，金额须大于0",IF(AND(B115&gt;1,COUNTIFS($A$2:$A$1001,A115,$B$2:$B$1001,B115-1,$G$2:$G$1001,"&gt;0")=0),"违规：须先完成上一次加仓",IF(AND(B115&gt;1,E115&lt;SUMIFS($E$2:$E$1001,$A$2:$A$1001,A115,$B$2:$B$1001,B115-1)),"违规：新止损价不得低于上一次",IF(AND(B115&gt;1,F115&gt;SUMIFS($F$2:$F$1001,$A$2:$A$1001,A115,$B$2:$B$1001,B115-1)),"违规：风险预算须逐次不增加",IF(OR(_LockStatus="已锁仓",_LockStatus="解锁信息不完整"),"违规：锁仓期间禁止加仓",IF(G115="","计划可执行：建议股数见N列",IF(OR(G115&lt;=0,G115&lt;&gt;INT(G115),MOD(G115,100)&lt;&gt;0),"违规：实际股数须为100股整数倍",IF(G115&gt;N115,"违规：实际股数超过风险或金字塔上限",IF(AND(B115&gt;1,G115&gt;SUMIFS($G$2:$G$1001,$A$2:$A$1001,A115,$B$2:$B$1001,B115-1)),"违规：加仓股数须逐次不增加",IF(Q115&gt;F115,"违规：止损风险超过本次预算","通过")))))))))))))))</f>
        <v/>
      </c>
    </row>
    <row r="116" customFormat="false" ht="15" hidden="false" customHeight="false" outlineLevel="0" collapsed="false">
      <c r="A116" s="20"/>
      <c r="B116" s="21"/>
      <c r="C116" s="22"/>
      <c r="D116" s="23"/>
      <c r="E116" s="23"/>
      <c r="F116" s="23"/>
      <c r="G116" s="21"/>
      <c r="H116" s="24" t="str">
        <f aca="false">IF(OR(A116="",D116="",G116=""),"",D116*G116)</f>
        <v/>
      </c>
      <c r="I116" s="25" t="str">
        <f aca="false">IF(OR(A116="",B116=""),"",IFERROR(LOOKUP(2,1/(单次交易!$A$2:$A$201=A116),单次交易!$H$2:$H$201),0)+SUMIFS($G$2:$G$1001,$A$2:$A$1001,A116,$B$2:$B$1001,"&lt;"&amp;B116))</f>
        <v/>
      </c>
      <c r="J116" s="24" t="str">
        <f aca="false">IF(OR(A116="",B116=""),"",IFERROR(LOOKUP(2,1/(单次交易!$A$2:$A$201=A116),单次交易!$E$2:$E$201)*LOOKUP(2,1/(单次交易!$A$2:$A$201=A116),单次交易!$H$2:$H$201),0)+SUMIFS($H$2:$H$1001,$A$2:$A$1001,A116,$B$2:$B$1001,"&lt;"&amp;B116))</f>
        <v/>
      </c>
      <c r="K116" s="24" t="str">
        <f aca="false">IF(OR(E116="",I116="",J116=""),"",MAX(E116*I116-J116,0))</f>
        <v/>
      </c>
      <c r="L116" s="25" t="str">
        <f aca="false">IF(OR(D116="",E116="",F116="",D116&lt;=E116),"",FLOOR((F116+K116)/(D116-E116),100))</f>
        <v/>
      </c>
      <c r="M116" s="25" t="str">
        <f aca="false">IF(OR(A116="",B116="",L116=""),"",IF(B116=1,L116,IFERROR(SUMIFS($G$2:$G$1001,$A$2:$A$1001,A116,$B$2:$B$1001,B116-1),0)))</f>
        <v/>
      </c>
      <c r="N116" s="25" t="str">
        <f aca="false">IF(OR(L116="",M116=""),"",MIN(L116,M116))</f>
        <v/>
      </c>
      <c r="O116" s="25" t="str">
        <f aca="false">IF(OR(I116="",G116=""),"",I116+G116)</f>
        <v/>
      </c>
      <c r="P116" s="24" t="str">
        <f aca="false">IF(OR(O116="",O116=0),"",(J116+H116)/O116)</f>
        <v/>
      </c>
      <c r="Q116" s="24" t="str">
        <f aca="false">IF(OR(O116="",E116=""),"",MAX(J116+H116-E116*O116,0))</f>
        <v/>
      </c>
      <c r="R116" s="26" t="str">
        <f aca="false">IF(A116="","",IF(COUNTIF(_TradeIds,A116)=0,"违规：交易编号不存在",IF(OR(B116="",B116&lt;1,B116&gt;5,B116&lt;&gt;INT(B116)),"违规：加仓序号须为1到5的整数",IF(COUNTIFS($A$2:$A$1001,A116,$B$2:$B$1001,B116)&gt;1,"违规：同一交易的加仓序号重复",IF(OR(D116="",E116="",F116=""),"计划不完整：请填写加仓价、新止损价和风险预算",IF(OR(D116&lt;=0,E116&lt;=0,F116&lt;=0,D116&lt;=E116),"违规：加仓价必须高于新止损价，金额须大于0",IF(AND(B116&gt;1,COUNTIFS($A$2:$A$1001,A116,$B$2:$B$1001,B116-1,$G$2:$G$1001,"&gt;0")=0),"违规：须先完成上一次加仓",IF(AND(B116&gt;1,E116&lt;SUMIFS($E$2:$E$1001,$A$2:$A$1001,A116,$B$2:$B$1001,B116-1)),"违规：新止损价不得低于上一次",IF(AND(B116&gt;1,F116&gt;SUMIFS($F$2:$F$1001,$A$2:$A$1001,A116,$B$2:$B$1001,B116-1)),"违规：风险预算须逐次不增加",IF(OR(_LockStatus="已锁仓",_LockStatus="解锁信息不完整"),"违规：锁仓期间禁止加仓",IF(G116="","计划可执行：建议股数见N列",IF(OR(G116&lt;=0,G116&lt;&gt;INT(G116),MOD(G116,100)&lt;&gt;0),"违规：实际股数须为100股整数倍",IF(G116&gt;N116,"违规：实际股数超过风险或金字塔上限",IF(AND(B116&gt;1,G116&gt;SUMIFS($G$2:$G$1001,$A$2:$A$1001,A116,$B$2:$B$1001,B116-1)),"违规：加仓股数须逐次不增加",IF(Q116&gt;F116,"违规：止损风险超过本次预算","通过")))))))))))))))</f>
        <v/>
      </c>
    </row>
    <row r="117" customFormat="false" ht="15" hidden="false" customHeight="false" outlineLevel="0" collapsed="false">
      <c r="A117" s="20"/>
      <c r="B117" s="21"/>
      <c r="C117" s="22"/>
      <c r="D117" s="23"/>
      <c r="E117" s="23"/>
      <c r="F117" s="23"/>
      <c r="G117" s="21"/>
      <c r="H117" s="24" t="str">
        <f aca="false">IF(OR(A117="",D117="",G117=""),"",D117*G117)</f>
        <v/>
      </c>
      <c r="I117" s="25" t="str">
        <f aca="false">IF(OR(A117="",B117=""),"",IFERROR(LOOKUP(2,1/(单次交易!$A$2:$A$201=A117),单次交易!$H$2:$H$201),0)+SUMIFS($G$2:$G$1001,$A$2:$A$1001,A117,$B$2:$B$1001,"&lt;"&amp;B117))</f>
        <v/>
      </c>
      <c r="J117" s="24" t="str">
        <f aca="false">IF(OR(A117="",B117=""),"",IFERROR(LOOKUP(2,1/(单次交易!$A$2:$A$201=A117),单次交易!$E$2:$E$201)*LOOKUP(2,1/(单次交易!$A$2:$A$201=A117),单次交易!$H$2:$H$201),0)+SUMIFS($H$2:$H$1001,$A$2:$A$1001,A117,$B$2:$B$1001,"&lt;"&amp;B117))</f>
        <v/>
      </c>
      <c r="K117" s="24" t="str">
        <f aca="false">IF(OR(E117="",I117="",J117=""),"",MAX(E117*I117-J117,0))</f>
        <v/>
      </c>
      <c r="L117" s="25" t="str">
        <f aca="false">IF(OR(D117="",E117="",F117="",D117&lt;=E117),"",FLOOR((F117+K117)/(D117-E117),100))</f>
        <v/>
      </c>
      <c r="M117" s="25" t="str">
        <f aca="false">IF(OR(A117="",B117="",L117=""),"",IF(B117=1,L117,IFERROR(SUMIFS($G$2:$G$1001,$A$2:$A$1001,A117,$B$2:$B$1001,B117-1),0)))</f>
        <v/>
      </c>
      <c r="N117" s="25" t="str">
        <f aca="false">IF(OR(L117="",M117=""),"",MIN(L117,M117))</f>
        <v/>
      </c>
      <c r="O117" s="25" t="str">
        <f aca="false">IF(OR(I117="",G117=""),"",I117+G117)</f>
        <v/>
      </c>
      <c r="P117" s="24" t="str">
        <f aca="false">IF(OR(O117="",O117=0),"",(J117+H117)/O117)</f>
        <v/>
      </c>
      <c r="Q117" s="24" t="str">
        <f aca="false">IF(OR(O117="",E117=""),"",MAX(J117+H117-E117*O117,0))</f>
        <v/>
      </c>
      <c r="R117" s="26" t="str">
        <f aca="false">IF(A117="","",IF(COUNTIF(_TradeIds,A117)=0,"违规：交易编号不存在",IF(OR(B117="",B117&lt;1,B117&gt;5,B117&lt;&gt;INT(B117)),"违规：加仓序号须为1到5的整数",IF(COUNTIFS($A$2:$A$1001,A117,$B$2:$B$1001,B117)&gt;1,"违规：同一交易的加仓序号重复",IF(OR(D117="",E117="",F117=""),"计划不完整：请填写加仓价、新止损价和风险预算",IF(OR(D117&lt;=0,E117&lt;=0,F117&lt;=0,D117&lt;=E117),"违规：加仓价必须高于新止损价，金额须大于0",IF(AND(B117&gt;1,COUNTIFS($A$2:$A$1001,A117,$B$2:$B$1001,B117-1,$G$2:$G$1001,"&gt;0")=0),"违规：须先完成上一次加仓",IF(AND(B117&gt;1,E117&lt;SUMIFS($E$2:$E$1001,$A$2:$A$1001,A117,$B$2:$B$1001,B117-1)),"违规：新止损价不得低于上一次",IF(AND(B117&gt;1,F117&gt;SUMIFS($F$2:$F$1001,$A$2:$A$1001,A117,$B$2:$B$1001,B117-1)),"违规：风险预算须逐次不增加",IF(OR(_LockStatus="已锁仓",_LockStatus="解锁信息不完整"),"违规：锁仓期间禁止加仓",IF(G117="","计划可执行：建议股数见N列",IF(OR(G117&lt;=0,G117&lt;&gt;INT(G117),MOD(G117,100)&lt;&gt;0),"违规：实际股数须为100股整数倍",IF(G117&gt;N117,"违规：实际股数超过风险或金字塔上限",IF(AND(B117&gt;1,G117&gt;SUMIFS($G$2:$G$1001,$A$2:$A$1001,A117,$B$2:$B$1001,B117-1)),"违规：加仓股数须逐次不增加",IF(Q117&gt;F117,"违规：止损风险超过本次预算","通过")))))))))))))))</f>
        <v/>
      </c>
    </row>
    <row r="118" customFormat="false" ht="15" hidden="false" customHeight="false" outlineLevel="0" collapsed="false">
      <c r="A118" s="20"/>
      <c r="B118" s="21"/>
      <c r="C118" s="22"/>
      <c r="D118" s="23"/>
      <c r="E118" s="23"/>
      <c r="F118" s="23"/>
      <c r="G118" s="21"/>
      <c r="H118" s="24" t="str">
        <f aca="false">IF(OR(A118="",D118="",G118=""),"",D118*G118)</f>
        <v/>
      </c>
      <c r="I118" s="25" t="str">
        <f aca="false">IF(OR(A118="",B118=""),"",IFERROR(LOOKUP(2,1/(单次交易!$A$2:$A$201=A118),单次交易!$H$2:$H$201),0)+SUMIFS($G$2:$G$1001,$A$2:$A$1001,A118,$B$2:$B$1001,"&lt;"&amp;B118))</f>
        <v/>
      </c>
      <c r="J118" s="24" t="str">
        <f aca="false">IF(OR(A118="",B118=""),"",IFERROR(LOOKUP(2,1/(单次交易!$A$2:$A$201=A118),单次交易!$E$2:$E$201)*LOOKUP(2,1/(单次交易!$A$2:$A$201=A118),单次交易!$H$2:$H$201),0)+SUMIFS($H$2:$H$1001,$A$2:$A$1001,A118,$B$2:$B$1001,"&lt;"&amp;B118))</f>
        <v/>
      </c>
      <c r="K118" s="24" t="str">
        <f aca="false">IF(OR(E118="",I118="",J118=""),"",MAX(E118*I118-J118,0))</f>
        <v/>
      </c>
      <c r="L118" s="25" t="str">
        <f aca="false">IF(OR(D118="",E118="",F118="",D118&lt;=E118),"",FLOOR((F118+K118)/(D118-E118),100))</f>
        <v/>
      </c>
      <c r="M118" s="25" t="str">
        <f aca="false">IF(OR(A118="",B118="",L118=""),"",IF(B118=1,L118,IFERROR(SUMIFS($G$2:$G$1001,$A$2:$A$1001,A118,$B$2:$B$1001,B118-1),0)))</f>
        <v/>
      </c>
      <c r="N118" s="25" t="str">
        <f aca="false">IF(OR(L118="",M118=""),"",MIN(L118,M118))</f>
        <v/>
      </c>
      <c r="O118" s="25" t="str">
        <f aca="false">IF(OR(I118="",G118=""),"",I118+G118)</f>
        <v/>
      </c>
      <c r="P118" s="24" t="str">
        <f aca="false">IF(OR(O118="",O118=0),"",(J118+H118)/O118)</f>
        <v/>
      </c>
      <c r="Q118" s="24" t="str">
        <f aca="false">IF(OR(O118="",E118=""),"",MAX(J118+H118-E118*O118,0))</f>
        <v/>
      </c>
      <c r="R118" s="26" t="str">
        <f aca="false">IF(A118="","",IF(COUNTIF(_TradeIds,A118)=0,"违规：交易编号不存在",IF(OR(B118="",B118&lt;1,B118&gt;5,B118&lt;&gt;INT(B118)),"违规：加仓序号须为1到5的整数",IF(COUNTIFS($A$2:$A$1001,A118,$B$2:$B$1001,B118)&gt;1,"违规：同一交易的加仓序号重复",IF(OR(D118="",E118="",F118=""),"计划不完整：请填写加仓价、新止损价和风险预算",IF(OR(D118&lt;=0,E118&lt;=0,F118&lt;=0,D118&lt;=E118),"违规：加仓价必须高于新止损价，金额须大于0",IF(AND(B118&gt;1,COUNTIFS($A$2:$A$1001,A118,$B$2:$B$1001,B118-1,$G$2:$G$1001,"&gt;0")=0),"违规：须先完成上一次加仓",IF(AND(B118&gt;1,E118&lt;SUMIFS($E$2:$E$1001,$A$2:$A$1001,A118,$B$2:$B$1001,B118-1)),"违规：新止损价不得低于上一次",IF(AND(B118&gt;1,F118&gt;SUMIFS($F$2:$F$1001,$A$2:$A$1001,A118,$B$2:$B$1001,B118-1)),"违规：风险预算须逐次不增加",IF(OR(_LockStatus="已锁仓",_LockStatus="解锁信息不完整"),"违规：锁仓期间禁止加仓",IF(G118="","计划可执行：建议股数见N列",IF(OR(G118&lt;=0,G118&lt;&gt;INT(G118),MOD(G118,100)&lt;&gt;0),"违规：实际股数须为100股整数倍",IF(G118&gt;N118,"违规：实际股数超过风险或金字塔上限",IF(AND(B118&gt;1,G118&gt;SUMIFS($G$2:$G$1001,$A$2:$A$1001,A118,$B$2:$B$1001,B118-1)),"违规：加仓股数须逐次不增加",IF(Q118&gt;F118,"违规：止损风险超过本次预算","通过")))))))))))))))</f>
        <v/>
      </c>
    </row>
    <row r="119" customFormat="false" ht="15" hidden="false" customHeight="false" outlineLevel="0" collapsed="false">
      <c r="A119" s="20"/>
      <c r="B119" s="21"/>
      <c r="C119" s="22"/>
      <c r="D119" s="23"/>
      <c r="E119" s="23"/>
      <c r="F119" s="23"/>
      <c r="G119" s="21"/>
      <c r="H119" s="24" t="str">
        <f aca="false">IF(OR(A119="",D119="",G119=""),"",D119*G119)</f>
        <v/>
      </c>
      <c r="I119" s="25" t="str">
        <f aca="false">IF(OR(A119="",B119=""),"",IFERROR(LOOKUP(2,1/(单次交易!$A$2:$A$201=A119),单次交易!$H$2:$H$201),0)+SUMIFS($G$2:$G$1001,$A$2:$A$1001,A119,$B$2:$B$1001,"&lt;"&amp;B119))</f>
        <v/>
      </c>
      <c r="J119" s="24" t="str">
        <f aca="false">IF(OR(A119="",B119=""),"",IFERROR(LOOKUP(2,1/(单次交易!$A$2:$A$201=A119),单次交易!$E$2:$E$201)*LOOKUP(2,1/(单次交易!$A$2:$A$201=A119),单次交易!$H$2:$H$201),0)+SUMIFS($H$2:$H$1001,$A$2:$A$1001,A119,$B$2:$B$1001,"&lt;"&amp;B119))</f>
        <v/>
      </c>
      <c r="K119" s="24" t="str">
        <f aca="false">IF(OR(E119="",I119="",J119=""),"",MAX(E119*I119-J119,0))</f>
        <v/>
      </c>
      <c r="L119" s="25" t="str">
        <f aca="false">IF(OR(D119="",E119="",F119="",D119&lt;=E119),"",FLOOR((F119+K119)/(D119-E119),100))</f>
        <v/>
      </c>
      <c r="M119" s="25" t="str">
        <f aca="false">IF(OR(A119="",B119="",L119=""),"",IF(B119=1,L119,IFERROR(SUMIFS($G$2:$G$1001,$A$2:$A$1001,A119,$B$2:$B$1001,B119-1),0)))</f>
        <v/>
      </c>
      <c r="N119" s="25" t="str">
        <f aca="false">IF(OR(L119="",M119=""),"",MIN(L119,M119))</f>
        <v/>
      </c>
      <c r="O119" s="25" t="str">
        <f aca="false">IF(OR(I119="",G119=""),"",I119+G119)</f>
        <v/>
      </c>
      <c r="P119" s="24" t="str">
        <f aca="false">IF(OR(O119="",O119=0),"",(J119+H119)/O119)</f>
        <v/>
      </c>
      <c r="Q119" s="24" t="str">
        <f aca="false">IF(OR(O119="",E119=""),"",MAX(J119+H119-E119*O119,0))</f>
        <v/>
      </c>
      <c r="R119" s="26" t="str">
        <f aca="false">IF(A119="","",IF(COUNTIF(_TradeIds,A119)=0,"违规：交易编号不存在",IF(OR(B119="",B119&lt;1,B119&gt;5,B119&lt;&gt;INT(B119)),"违规：加仓序号须为1到5的整数",IF(COUNTIFS($A$2:$A$1001,A119,$B$2:$B$1001,B119)&gt;1,"违规：同一交易的加仓序号重复",IF(OR(D119="",E119="",F119=""),"计划不完整：请填写加仓价、新止损价和风险预算",IF(OR(D119&lt;=0,E119&lt;=0,F119&lt;=0,D119&lt;=E119),"违规：加仓价必须高于新止损价，金额须大于0",IF(AND(B119&gt;1,COUNTIFS($A$2:$A$1001,A119,$B$2:$B$1001,B119-1,$G$2:$G$1001,"&gt;0")=0),"违规：须先完成上一次加仓",IF(AND(B119&gt;1,E119&lt;SUMIFS($E$2:$E$1001,$A$2:$A$1001,A119,$B$2:$B$1001,B119-1)),"违规：新止损价不得低于上一次",IF(AND(B119&gt;1,F119&gt;SUMIFS($F$2:$F$1001,$A$2:$A$1001,A119,$B$2:$B$1001,B119-1)),"违规：风险预算须逐次不增加",IF(OR(_LockStatus="已锁仓",_LockStatus="解锁信息不完整"),"违规：锁仓期间禁止加仓",IF(G119="","计划可执行：建议股数见N列",IF(OR(G119&lt;=0,G119&lt;&gt;INT(G119),MOD(G119,100)&lt;&gt;0),"违规：实际股数须为100股整数倍",IF(G119&gt;N119,"违规：实际股数超过风险或金字塔上限",IF(AND(B119&gt;1,G119&gt;SUMIFS($G$2:$G$1001,$A$2:$A$1001,A119,$B$2:$B$1001,B119-1)),"违规：加仓股数须逐次不增加",IF(Q119&gt;F119,"违规：止损风险超过本次预算","通过")))))))))))))))</f>
        <v/>
      </c>
    </row>
    <row r="120" customFormat="false" ht="15" hidden="false" customHeight="false" outlineLevel="0" collapsed="false">
      <c r="A120" s="20"/>
      <c r="B120" s="21"/>
      <c r="C120" s="22"/>
      <c r="D120" s="23"/>
      <c r="E120" s="23"/>
      <c r="F120" s="23"/>
      <c r="G120" s="21"/>
      <c r="H120" s="24" t="str">
        <f aca="false">IF(OR(A120="",D120="",G120=""),"",D120*G120)</f>
        <v/>
      </c>
      <c r="I120" s="25" t="str">
        <f aca="false">IF(OR(A120="",B120=""),"",IFERROR(LOOKUP(2,1/(单次交易!$A$2:$A$201=A120),单次交易!$H$2:$H$201),0)+SUMIFS($G$2:$G$1001,$A$2:$A$1001,A120,$B$2:$B$1001,"&lt;"&amp;B120))</f>
        <v/>
      </c>
      <c r="J120" s="24" t="str">
        <f aca="false">IF(OR(A120="",B120=""),"",IFERROR(LOOKUP(2,1/(单次交易!$A$2:$A$201=A120),单次交易!$E$2:$E$201)*LOOKUP(2,1/(单次交易!$A$2:$A$201=A120),单次交易!$H$2:$H$201),0)+SUMIFS($H$2:$H$1001,$A$2:$A$1001,A120,$B$2:$B$1001,"&lt;"&amp;B120))</f>
        <v/>
      </c>
      <c r="K120" s="24" t="str">
        <f aca="false">IF(OR(E120="",I120="",J120=""),"",MAX(E120*I120-J120,0))</f>
        <v/>
      </c>
      <c r="L120" s="25" t="str">
        <f aca="false">IF(OR(D120="",E120="",F120="",D120&lt;=E120),"",FLOOR((F120+K120)/(D120-E120),100))</f>
        <v/>
      </c>
      <c r="M120" s="25" t="str">
        <f aca="false">IF(OR(A120="",B120="",L120=""),"",IF(B120=1,L120,IFERROR(SUMIFS($G$2:$G$1001,$A$2:$A$1001,A120,$B$2:$B$1001,B120-1),0)))</f>
        <v/>
      </c>
      <c r="N120" s="25" t="str">
        <f aca="false">IF(OR(L120="",M120=""),"",MIN(L120,M120))</f>
        <v/>
      </c>
      <c r="O120" s="25" t="str">
        <f aca="false">IF(OR(I120="",G120=""),"",I120+G120)</f>
        <v/>
      </c>
      <c r="P120" s="24" t="str">
        <f aca="false">IF(OR(O120="",O120=0),"",(J120+H120)/O120)</f>
        <v/>
      </c>
      <c r="Q120" s="24" t="str">
        <f aca="false">IF(OR(O120="",E120=""),"",MAX(J120+H120-E120*O120,0))</f>
        <v/>
      </c>
      <c r="R120" s="26" t="str">
        <f aca="false">IF(A120="","",IF(COUNTIF(_TradeIds,A120)=0,"违规：交易编号不存在",IF(OR(B120="",B120&lt;1,B120&gt;5,B120&lt;&gt;INT(B120)),"违规：加仓序号须为1到5的整数",IF(COUNTIFS($A$2:$A$1001,A120,$B$2:$B$1001,B120)&gt;1,"违规：同一交易的加仓序号重复",IF(OR(D120="",E120="",F120=""),"计划不完整：请填写加仓价、新止损价和风险预算",IF(OR(D120&lt;=0,E120&lt;=0,F120&lt;=0,D120&lt;=E120),"违规：加仓价必须高于新止损价，金额须大于0",IF(AND(B120&gt;1,COUNTIFS($A$2:$A$1001,A120,$B$2:$B$1001,B120-1,$G$2:$G$1001,"&gt;0")=0),"违规：须先完成上一次加仓",IF(AND(B120&gt;1,E120&lt;SUMIFS($E$2:$E$1001,$A$2:$A$1001,A120,$B$2:$B$1001,B120-1)),"违规：新止损价不得低于上一次",IF(AND(B120&gt;1,F120&gt;SUMIFS($F$2:$F$1001,$A$2:$A$1001,A120,$B$2:$B$1001,B120-1)),"违规：风险预算须逐次不增加",IF(OR(_LockStatus="已锁仓",_LockStatus="解锁信息不完整"),"违规：锁仓期间禁止加仓",IF(G120="","计划可执行：建议股数见N列",IF(OR(G120&lt;=0,G120&lt;&gt;INT(G120),MOD(G120,100)&lt;&gt;0),"违规：实际股数须为100股整数倍",IF(G120&gt;N120,"违规：实际股数超过风险或金字塔上限",IF(AND(B120&gt;1,G120&gt;SUMIFS($G$2:$G$1001,$A$2:$A$1001,A120,$B$2:$B$1001,B120-1)),"违规：加仓股数须逐次不增加",IF(Q120&gt;F120,"违规：止损风险超过本次预算","通过")))))))))))))))</f>
        <v/>
      </c>
    </row>
    <row r="121" customFormat="false" ht="15" hidden="false" customHeight="false" outlineLevel="0" collapsed="false">
      <c r="A121" s="20"/>
      <c r="B121" s="21"/>
      <c r="C121" s="22"/>
      <c r="D121" s="23"/>
      <c r="E121" s="23"/>
      <c r="F121" s="23"/>
      <c r="G121" s="21"/>
      <c r="H121" s="24" t="str">
        <f aca="false">IF(OR(A121="",D121="",G121=""),"",D121*G121)</f>
        <v/>
      </c>
      <c r="I121" s="25" t="str">
        <f aca="false">IF(OR(A121="",B121=""),"",IFERROR(LOOKUP(2,1/(单次交易!$A$2:$A$201=A121),单次交易!$H$2:$H$201),0)+SUMIFS($G$2:$G$1001,$A$2:$A$1001,A121,$B$2:$B$1001,"&lt;"&amp;B121))</f>
        <v/>
      </c>
      <c r="J121" s="24" t="str">
        <f aca="false">IF(OR(A121="",B121=""),"",IFERROR(LOOKUP(2,1/(单次交易!$A$2:$A$201=A121),单次交易!$E$2:$E$201)*LOOKUP(2,1/(单次交易!$A$2:$A$201=A121),单次交易!$H$2:$H$201),0)+SUMIFS($H$2:$H$1001,$A$2:$A$1001,A121,$B$2:$B$1001,"&lt;"&amp;B121))</f>
        <v/>
      </c>
      <c r="K121" s="24" t="str">
        <f aca="false">IF(OR(E121="",I121="",J121=""),"",MAX(E121*I121-J121,0))</f>
        <v/>
      </c>
      <c r="L121" s="25" t="str">
        <f aca="false">IF(OR(D121="",E121="",F121="",D121&lt;=E121),"",FLOOR((F121+K121)/(D121-E121),100))</f>
        <v/>
      </c>
      <c r="M121" s="25" t="str">
        <f aca="false">IF(OR(A121="",B121="",L121=""),"",IF(B121=1,L121,IFERROR(SUMIFS($G$2:$G$1001,$A$2:$A$1001,A121,$B$2:$B$1001,B121-1),0)))</f>
        <v/>
      </c>
      <c r="N121" s="25" t="str">
        <f aca="false">IF(OR(L121="",M121=""),"",MIN(L121,M121))</f>
        <v/>
      </c>
      <c r="O121" s="25" t="str">
        <f aca="false">IF(OR(I121="",G121=""),"",I121+G121)</f>
        <v/>
      </c>
      <c r="P121" s="24" t="str">
        <f aca="false">IF(OR(O121="",O121=0),"",(J121+H121)/O121)</f>
        <v/>
      </c>
      <c r="Q121" s="24" t="str">
        <f aca="false">IF(OR(O121="",E121=""),"",MAX(J121+H121-E121*O121,0))</f>
        <v/>
      </c>
      <c r="R121" s="26" t="str">
        <f aca="false">IF(A121="","",IF(COUNTIF(_TradeIds,A121)=0,"违规：交易编号不存在",IF(OR(B121="",B121&lt;1,B121&gt;5,B121&lt;&gt;INT(B121)),"违规：加仓序号须为1到5的整数",IF(COUNTIFS($A$2:$A$1001,A121,$B$2:$B$1001,B121)&gt;1,"违规：同一交易的加仓序号重复",IF(OR(D121="",E121="",F121=""),"计划不完整：请填写加仓价、新止损价和风险预算",IF(OR(D121&lt;=0,E121&lt;=0,F121&lt;=0,D121&lt;=E121),"违规：加仓价必须高于新止损价，金额须大于0",IF(AND(B121&gt;1,COUNTIFS($A$2:$A$1001,A121,$B$2:$B$1001,B121-1,$G$2:$G$1001,"&gt;0")=0),"违规：须先完成上一次加仓",IF(AND(B121&gt;1,E121&lt;SUMIFS($E$2:$E$1001,$A$2:$A$1001,A121,$B$2:$B$1001,B121-1)),"违规：新止损价不得低于上一次",IF(AND(B121&gt;1,F121&gt;SUMIFS($F$2:$F$1001,$A$2:$A$1001,A121,$B$2:$B$1001,B121-1)),"违规：风险预算须逐次不增加",IF(OR(_LockStatus="已锁仓",_LockStatus="解锁信息不完整"),"违规：锁仓期间禁止加仓",IF(G121="","计划可执行：建议股数见N列",IF(OR(G121&lt;=0,G121&lt;&gt;INT(G121),MOD(G121,100)&lt;&gt;0),"违规：实际股数须为100股整数倍",IF(G121&gt;N121,"违规：实际股数超过风险或金字塔上限",IF(AND(B121&gt;1,G121&gt;SUMIFS($G$2:$G$1001,$A$2:$A$1001,A121,$B$2:$B$1001,B121-1)),"违规：加仓股数须逐次不增加",IF(Q121&gt;F121,"违规：止损风险超过本次预算","通过")))))))))))))))</f>
        <v/>
      </c>
    </row>
    <row r="122" customFormat="false" ht="15" hidden="false" customHeight="false" outlineLevel="0" collapsed="false">
      <c r="A122" s="20"/>
      <c r="B122" s="21"/>
      <c r="C122" s="22"/>
      <c r="D122" s="23"/>
      <c r="E122" s="23"/>
      <c r="F122" s="23"/>
      <c r="G122" s="21"/>
      <c r="H122" s="24" t="str">
        <f aca="false">IF(OR(A122="",D122="",G122=""),"",D122*G122)</f>
        <v/>
      </c>
      <c r="I122" s="25" t="str">
        <f aca="false">IF(OR(A122="",B122=""),"",IFERROR(LOOKUP(2,1/(单次交易!$A$2:$A$201=A122),单次交易!$H$2:$H$201),0)+SUMIFS($G$2:$G$1001,$A$2:$A$1001,A122,$B$2:$B$1001,"&lt;"&amp;B122))</f>
        <v/>
      </c>
      <c r="J122" s="24" t="str">
        <f aca="false">IF(OR(A122="",B122=""),"",IFERROR(LOOKUP(2,1/(单次交易!$A$2:$A$201=A122),单次交易!$E$2:$E$201)*LOOKUP(2,1/(单次交易!$A$2:$A$201=A122),单次交易!$H$2:$H$201),0)+SUMIFS($H$2:$H$1001,$A$2:$A$1001,A122,$B$2:$B$1001,"&lt;"&amp;B122))</f>
        <v/>
      </c>
      <c r="K122" s="24" t="str">
        <f aca="false">IF(OR(E122="",I122="",J122=""),"",MAX(E122*I122-J122,0))</f>
        <v/>
      </c>
      <c r="L122" s="25" t="str">
        <f aca="false">IF(OR(D122="",E122="",F122="",D122&lt;=E122),"",FLOOR((F122+K122)/(D122-E122),100))</f>
        <v/>
      </c>
      <c r="M122" s="25" t="str">
        <f aca="false">IF(OR(A122="",B122="",L122=""),"",IF(B122=1,L122,IFERROR(SUMIFS($G$2:$G$1001,$A$2:$A$1001,A122,$B$2:$B$1001,B122-1),0)))</f>
        <v/>
      </c>
      <c r="N122" s="25" t="str">
        <f aca="false">IF(OR(L122="",M122=""),"",MIN(L122,M122))</f>
        <v/>
      </c>
      <c r="O122" s="25" t="str">
        <f aca="false">IF(OR(I122="",G122=""),"",I122+G122)</f>
        <v/>
      </c>
      <c r="P122" s="24" t="str">
        <f aca="false">IF(OR(O122="",O122=0),"",(J122+H122)/O122)</f>
        <v/>
      </c>
      <c r="Q122" s="24" t="str">
        <f aca="false">IF(OR(O122="",E122=""),"",MAX(J122+H122-E122*O122,0))</f>
        <v/>
      </c>
      <c r="R122" s="26" t="str">
        <f aca="false">IF(A122="","",IF(COUNTIF(_TradeIds,A122)=0,"违规：交易编号不存在",IF(OR(B122="",B122&lt;1,B122&gt;5,B122&lt;&gt;INT(B122)),"违规：加仓序号须为1到5的整数",IF(COUNTIFS($A$2:$A$1001,A122,$B$2:$B$1001,B122)&gt;1,"违规：同一交易的加仓序号重复",IF(OR(D122="",E122="",F122=""),"计划不完整：请填写加仓价、新止损价和风险预算",IF(OR(D122&lt;=0,E122&lt;=0,F122&lt;=0,D122&lt;=E122),"违规：加仓价必须高于新止损价，金额须大于0",IF(AND(B122&gt;1,COUNTIFS($A$2:$A$1001,A122,$B$2:$B$1001,B122-1,$G$2:$G$1001,"&gt;0")=0),"违规：须先完成上一次加仓",IF(AND(B122&gt;1,E122&lt;SUMIFS($E$2:$E$1001,$A$2:$A$1001,A122,$B$2:$B$1001,B122-1)),"违规：新止损价不得低于上一次",IF(AND(B122&gt;1,F122&gt;SUMIFS($F$2:$F$1001,$A$2:$A$1001,A122,$B$2:$B$1001,B122-1)),"违规：风险预算须逐次不增加",IF(OR(_LockStatus="已锁仓",_LockStatus="解锁信息不完整"),"违规：锁仓期间禁止加仓",IF(G122="","计划可执行：建议股数见N列",IF(OR(G122&lt;=0,G122&lt;&gt;INT(G122),MOD(G122,100)&lt;&gt;0),"违规：实际股数须为100股整数倍",IF(G122&gt;N122,"违规：实际股数超过风险或金字塔上限",IF(AND(B122&gt;1,G122&gt;SUMIFS($G$2:$G$1001,$A$2:$A$1001,A122,$B$2:$B$1001,B122-1)),"违规：加仓股数须逐次不增加",IF(Q122&gt;F122,"违规：止损风险超过本次预算","通过")))))))))))))))</f>
        <v/>
      </c>
    </row>
    <row r="123" customFormat="false" ht="15" hidden="false" customHeight="false" outlineLevel="0" collapsed="false">
      <c r="A123" s="20"/>
      <c r="B123" s="21"/>
      <c r="C123" s="22"/>
      <c r="D123" s="23"/>
      <c r="E123" s="23"/>
      <c r="F123" s="23"/>
      <c r="G123" s="21"/>
      <c r="H123" s="24" t="str">
        <f aca="false">IF(OR(A123="",D123="",G123=""),"",D123*G123)</f>
        <v/>
      </c>
      <c r="I123" s="25" t="str">
        <f aca="false">IF(OR(A123="",B123=""),"",IFERROR(LOOKUP(2,1/(单次交易!$A$2:$A$201=A123),单次交易!$H$2:$H$201),0)+SUMIFS($G$2:$G$1001,$A$2:$A$1001,A123,$B$2:$B$1001,"&lt;"&amp;B123))</f>
        <v/>
      </c>
      <c r="J123" s="24" t="str">
        <f aca="false">IF(OR(A123="",B123=""),"",IFERROR(LOOKUP(2,1/(单次交易!$A$2:$A$201=A123),单次交易!$E$2:$E$201)*LOOKUP(2,1/(单次交易!$A$2:$A$201=A123),单次交易!$H$2:$H$201),0)+SUMIFS($H$2:$H$1001,$A$2:$A$1001,A123,$B$2:$B$1001,"&lt;"&amp;B123))</f>
        <v/>
      </c>
      <c r="K123" s="24" t="str">
        <f aca="false">IF(OR(E123="",I123="",J123=""),"",MAX(E123*I123-J123,0))</f>
        <v/>
      </c>
      <c r="L123" s="25" t="str">
        <f aca="false">IF(OR(D123="",E123="",F123="",D123&lt;=E123),"",FLOOR((F123+K123)/(D123-E123),100))</f>
        <v/>
      </c>
      <c r="M123" s="25" t="str">
        <f aca="false">IF(OR(A123="",B123="",L123=""),"",IF(B123=1,L123,IFERROR(SUMIFS($G$2:$G$1001,$A$2:$A$1001,A123,$B$2:$B$1001,B123-1),0)))</f>
        <v/>
      </c>
      <c r="N123" s="25" t="str">
        <f aca="false">IF(OR(L123="",M123=""),"",MIN(L123,M123))</f>
        <v/>
      </c>
      <c r="O123" s="25" t="str">
        <f aca="false">IF(OR(I123="",G123=""),"",I123+G123)</f>
        <v/>
      </c>
      <c r="P123" s="24" t="str">
        <f aca="false">IF(OR(O123="",O123=0),"",(J123+H123)/O123)</f>
        <v/>
      </c>
      <c r="Q123" s="24" t="str">
        <f aca="false">IF(OR(O123="",E123=""),"",MAX(J123+H123-E123*O123,0))</f>
        <v/>
      </c>
      <c r="R123" s="26" t="str">
        <f aca="false">IF(A123="","",IF(COUNTIF(_TradeIds,A123)=0,"违规：交易编号不存在",IF(OR(B123="",B123&lt;1,B123&gt;5,B123&lt;&gt;INT(B123)),"违规：加仓序号须为1到5的整数",IF(COUNTIFS($A$2:$A$1001,A123,$B$2:$B$1001,B123)&gt;1,"违规：同一交易的加仓序号重复",IF(OR(D123="",E123="",F123=""),"计划不完整：请填写加仓价、新止损价和风险预算",IF(OR(D123&lt;=0,E123&lt;=0,F123&lt;=0,D123&lt;=E123),"违规：加仓价必须高于新止损价，金额须大于0",IF(AND(B123&gt;1,COUNTIFS($A$2:$A$1001,A123,$B$2:$B$1001,B123-1,$G$2:$G$1001,"&gt;0")=0),"违规：须先完成上一次加仓",IF(AND(B123&gt;1,E123&lt;SUMIFS($E$2:$E$1001,$A$2:$A$1001,A123,$B$2:$B$1001,B123-1)),"违规：新止损价不得低于上一次",IF(AND(B123&gt;1,F123&gt;SUMIFS($F$2:$F$1001,$A$2:$A$1001,A123,$B$2:$B$1001,B123-1)),"违规：风险预算须逐次不增加",IF(OR(_LockStatus="已锁仓",_LockStatus="解锁信息不完整"),"违规：锁仓期间禁止加仓",IF(G123="","计划可执行：建议股数见N列",IF(OR(G123&lt;=0,G123&lt;&gt;INT(G123),MOD(G123,100)&lt;&gt;0),"违规：实际股数须为100股整数倍",IF(G123&gt;N123,"违规：实际股数超过风险或金字塔上限",IF(AND(B123&gt;1,G123&gt;SUMIFS($G$2:$G$1001,$A$2:$A$1001,A123,$B$2:$B$1001,B123-1)),"违规：加仓股数须逐次不增加",IF(Q123&gt;F123,"违规：止损风险超过本次预算","通过")))))))))))))))</f>
        <v/>
      </c>
    </row>
    <row r="124" customFormat="false" ht="15" hidden="false" customHeight="false" outlineLevel="0" collapsed="false">
      <c r="A124" s="20"/>
      <c r="B124" s="21"/>
      <c r="C124" s="22"/>
      <c r="D124" s="23"/>
      <c r="E124" s="23"/>
      <c r="F124" s="23"/>
      <c r="G124" s="21"/>
      <c r="H124" s="24" t="str">
        <f aca="false">IF(OR(A124="",D124="",G124=""),"",D124*G124)</f>
        <v/>
      </c>
      <c r="I124" s="25" t="str">
        <f aca="false">IF(OR(A124="",B124=""),"",IFERROR(LOOKUP(2,1/(单次交易!$A$2:$A$201=A124),单次交易!$H$2:$H$201),0)+SUMIFS($G$2:$G$1001,$A$2:$A$1001,A124,$B$2:$B$1001,"&lt;"&amp;B124))</f>
        <v/>
      </c>
      <c r="J124" s="24" t="str">
        <f aca="false">IF(OR(A124="",B124=""),"",IFERROR(LOOKUP(2,1/(单次交易!$A$2:$A$201=A124),单次交易!$E$2:$E$201)*LOOKUP(2,1/(单次交易!$A$2:$A$201=A124),单次交易!$H$2:$H$201),0)+SUMIFS($H$2:$H$1001,$A$2:$A$1001,A124,$B$2:$B$1001,"&lt;"&amp;B124))</f>
        <v/>
      </c>
      <c r="K124" s="24" t="str">
        <f aca="false">IF(OR(E124="",I124="",J124=""),"",MAX(E124*I124-J124,0))</f>
        <v/>
      </c>
      <c r="L124" s="25" t="str">
        <f aca="false">IF(OR(D124="",E124="",F124="",D124&lt;=E124),"",FLOOR((F124+K124)/(D124-E124),100))</f>
        <v/>
      </c>
      <c r="M124" s="25" t="str">
        <f aca="false">IF(OR(A124="",B124="",L124=""),"",IF(B124=1,L124,IFERROR(SUMIFS($G$2:$G$1001,$A$2:$A$1001,A124,$B$2:$B$1001,B124-1),0)))</f>
        <v/>
      </c>
      <c r="N124" s="25" t="str">
        <f aca="false">IF(OR(L124="",M124=""),"",MIN(L124,M124))</f>
        <v/>
      </c>
      <c r="O124" s="25" t="str">
        <f aca="false">IF(OR(I124="",G124=""),"",I124+G124)</f>
        <v/>
      </c>
      <c r="P124" s="24" t="str">
        <f aca="false">IF(OR(O124="",O124=0),"",(J124+H124)/O124)</f>
        <v/>
      </c>
      <c r="Q124" s="24" t="str">
        <f aca="false">IF(OR(O124="",E124=""),"",MAX(J124+H124-E124*O124,0))</f>
        <v/>
      </c>
      <c r="R124" s="26" t="str">
        <f aca="false">IF(A124="","",IF(COUNTIF(_TradeIds,A124)=0,"违规：交易编号不存在",IF(OR(B124="",B124&lt;1,B124&gt;5,B124&lt;&gt;INT(B124)),"违规：加仓序号须为1到5的整数",IF(COUNTIFS($A$2:$A$1001,A124,$B$2:$B$1001,B124)&gt;1,"违规：同一交易的加仓序号重复",IF(OR(D124="",E124="",F124=""),"计划不完整：请填写加仓价、新止损价和风险预算",IF(OR(D124&lt;=0,E124&lt;=0,F124&lt;=0,D124&lt;=E124),"违规：加仓价必须高于新止损价，金额须大于0",IF(AND(B124&gt;1,COUNTIFS($A$2:$A$1001,A124,$B$2:$B$1001,B124-1,$G$2:$G$1001,"&gt;0")=0),"违规：须先完成上一次加仓",IF(AND(B124&gt;1,E124&lt;SUMIFS($E$2:$E$1001,$A$2:$A$1001,A124,$B$2:$B$1001,B124-1)),"违规：新止损价不得低于上一次",IF(AND(B124&gt;1,F124&gt;SUMIFS($F$2:$F$1001,$A$2:$A$1001,A124,$B$2:$B$1001,B124-1)),"违规：风险预算须逐次不增加",IF(OR(_LockStatus="已锁仓",_LockStatus="解锁信息不完整"),"违规：锁仓期间禁止加仓",IF(G124="","计划可执行：建议股数见N列",IF(OR(G124&lt;=0,G124&lt;&gt;INT(G124),MOD(G124,100)&lt;&gt;0),"违规：实际股数须为100股整数倍",IF(G124&gt;N124,"违规：实际股数超过风险或金字塔上限",IF(AND(B124&gt;1,G124&gt;SUMIFS($G$2:$G$1001,$A$2:$A$1001,A124,$B$2:$B$1001,B124-1)),"违规：加仓股数须逐次不增加",IF(Q124&gt;F124,"违规：止损风险超过本次预算","通过")))))))))))))))</f>
        <v/>
      </c>
    </row>
    <row r="125" customFormat="false" ht="15" hidden="false" customHeight="false" outlineLevel="0" collapsed="false">
      <c r="A125" s="20"/>
      <c r="B125" s="21"/>
      <c r="C125" s="22"/>
      <c r="D125" s="23"/>
      <c r="E125" s="23"/>
      <c r="F125" s="23"/>
      <c r="G125" s="21"/>
      <c r="H125" s="24" t="str">
        <f aca="false">IF(OR(A125="",D125="",G125=""),"",D125*G125)</f>
        <v/>
      </c>
      <c r="I125" s="25" t="str">
        <f aca="false">IF(OR(A125="",B125=""),"",IFERROR(LOOKUP(2,1/(单次交易!$A$2:$A$201=A125),单次交易!$H$2:$H$201),0)+SUMIFS($G$2:$G$1001,$A$2:$A$1001,A125,$B$2:$B$1001,"&lt;"&amp;B125))</f>
        <v/>
      </c>
      <c r="J125" s="24" t="str">
        <f aca="false">IF(OR(A125="",B125=""),"",IFERROR(LOOKUP(2,1/(单次交易!$A$2:$A$201=A125),单次交易!$E$2:$E$201)*LOOKUP(2,1/(单次交易!$A$2:$A$201=A125),单次交易!$H$2:$H$201),0)+SUMIFS($H$2:$H$1001,$A$2:$A$1001,A125,$B$2:$B$1001,"&lt;"&amp;B125))</f>
        <v/>
      </c>
      <c r="K125" s="24" t="str">
        <f aca="false">IF(OR(E125="",I125="",J125=""),"",MAX(E125*I125-J125,0))</f>
        <v/>
      </c>
      <c r="L125" s="25" t="str">
        <f aca="false">IF(OR(D125="",E125="",F125="",D125&lt;=E125),"",FLOOR((F125+K125)/(D125-E125),100))</f>
        <v/>
      </c>
      <c r="M125" s="25" t="str">
        <f aca="false">IF(OR(A125="",B125="",L125=""),"",IF(B125=1,L125,IFERROR(SUMIFS($G$2:$G$1001,$A$2:$A$1001,A125,$B$2:$B$1001,B125-1),0)))</f>
        <v/>
      </c>
      <c r="N125" s="25" t="str">
        <f aca="false">IF(OR(L125="",M125=""),"",MIN(L125,M125))</f>
        <v/>
      </c>
      <c r="O125" s="25" t="str">
        <f aca="false">IF(OR(I125="",G125=""),"",I125+G125)</f>
        <v/>
      </c>
      <c r="P125" s="24" t="str">
        <f aca="false">IF(OR(O125="",O125=0),"",(J125+H125)/O125)</f>
        <v/>
      </c>
      <c r="Q125" s="24" t="str">
        <f aca="false">IF(OR(O125="",E125=""),"",MAX(J125+H125-E125*O125,0))</f>
        <v/>
      </c>
      <c r="R125" s="26" t="str">
        <f aca="false">IF(A125="","",IF(COUNTIF(_TradeIds,A125)=0,"违规：交易编号不存在",IF(OR(B125="",B125&lt;1,B125&gt;5,B125&lt;&gt;INT(B125)),"违规：加仓序号须为1到5的整数",IF(COUNTIFS($A$2:$A$1001,A125,$B$2:$B$1001,B125)&gt;1,"违规：同一交易的加仓序号重复",IF(OR(D125="",E125="",F125=""),"计划不完整：请填写加仓价、新止损价和风险预算",IF(OR(D125&lt;=0,E125&lt;=0,F125&lt;=0,D125&lt;=E125),"违规：加仓价必须高于新止损价，金额须大于0",IF(AND(B125&gt;1,COUNTIFS($A$2:$A$1001,A125,$B$2:$B$1001,B125-1,$G$2:$G$1001,"&gt;0")=0),"违规：须先完成上一次加仓",IF(AND(B125&gt;1,E125&lt;SUMIFS($E$2:$E$1001,$A$2:$A$1001,A125,$B$2:$B$1001,B125-1)),"违规：新止损价不得低于上一次",IF(AND(B125&gt;1,F125&gt;SUMIFS($F$2:$F$1001,$A$2:$A$1001,A125,$B$2:$B$1001,B125-1)),"违规：风险预算须逐次不增加",IF(OR(_LockStatus="已锁仓",_LockStatus="解锁信息不完整"),"违规：锁仓期间禁止加仓",IF(G125="","计划可执行：建议股数见N列",IF(OR(G125&lt;=0,G125&lt;&gt;INT(G125),MOD(G125,100)&lt;&gt;0),"违规：实际股数须为100股整数倍",IF(G125&gt;N125,"违规：实际股数超过风险或金字塔上限",IF(AND(B125&gt;1,G125&gt;SUMIFS($G$2:$G$1001,$A$2:$A$1001,A125,$B$2:$B$1001,B125-1)),"违规：加仓股数须逐次不增加",IF(Q125&gt;F125,"违规：止损风险超过本次预算","通过")))))))))))))))</f>
        <v/>
      </c>
    </row>
    <row r="126" customFormat="false" ht="15" hidden="false" customHeight="false" outlineLevel="0" collapsed="false">
      <c r="A126" s="20"/>
      <c r="B126" s="21"/>
      <c r="C126" s="22"/>
      <c r="D126" s="23"/>
      <c r="E126" s="23"/>
      <c r="F126" s="23"/>
      <c r="G126" s="21"/>
      <c r="H126" s="24" t="str">
        <f aca="false">IF(OR(A126="",D126="",G126=""),"",D126*G126)</f>
        <v/>
      </c>
      <c r="I126" s="25" t="str">
        <f aca="false">IF(OR(A126="",B126=""),"",IFERROR(LOOKUP(2,1/(单次交易!$A$2:$A$201=A126),单次交易!$H$2:$H$201),0)+SUMIFS($G$2:$G$1001,$A$2:$A$1001,A126,$B$2:$B$1001,"&lt;"&amp;B126))</f>
        <v/>
      </c>
      <c r="J126" s="24" t="str">
        <f aca="false">IF(OR(A126="",B126=""),"",IFERROR(LOOKUP(2,1/(单次交易!$A$2:$A$201=A126),单次交易!$E$2:$E$201)*LOOKUP(2,1/(单次交易!$A$2:$A$201=A126),单次交易!$H$2:$H$201),0)+SUMIFS($H$2:$H$1001,$A$2:$A$1001,A126,$B$2:$B$1001,"&lt;"&amp;B126))</f>
        <v/>
      </c>
      <c r="K126" s="24" t="str">
        <f aca="false">IF(OR(E126="",I126="",J126=""),"",MAX(E126*I126-J126,0))</f>
        <v/>
      </c>
      <c r="L126" s="25" t="str">
        <f aca="false">IF(OR(D126="",E126="",F126="",D126&lt;=E126),"",FLOOR((F126+K126)/(D126-E126),100))</f>
        <v/>
      </c>
      <c r="M126" s="25" t="str">
        <f aca="false">IF(OR(A126="",B126="",L126=""),"",IF(B126=1,L126,IFERROR(SUMIFS($G$2:$G$1001,$A$2:$A$1001,A126,$B$2:$B$1001,B126-1),0)))</f>
        <v/>
      </c>
      <c r="N126" s="25" t="str">
        <f aca="false">IF(OR(L126="",M126=""),"",MIN(L126,M126))</f>
        <v/>
      </c>
      <c r="O126" s="25" t="str">
        <f aca="false">IF(OR(I126="",G126=""),"",I126+G126)</f>
        <v/>
      </c>
      <c r="P126" s="24" t="str">
        <f aca="false">IF(OR(O126="",O126=0),"",(J126+H126)/O126)</f>
        <v/>
      </c>
      <c r="Q126" s="24" t="str">
        <f aca="false">IF(OR(O126="",E126=""),"",MAX(J126+H126-E126*O126,0))</f>
        <v/>
      </c>
      <c r="R126" s="26" t="str">
        <f aca="false">IF(A126="","",IF(COUNTIF(_TradeIds,A126)=0,"违规：交易编号不存在",IF(OR(B126="",B126&lt;1,B126&gt;5,B126&lt;&gt;INT(B126)),"违规：加仓序号须为1到5的整数",IF(COUNTIFS($A$2:$A$1001,A126,$B$2:$B$1001,B126)&gt;1,"违规：同一交易的加仓序号重复",IF(OR(D126="",E126="",F126=""),"计划不完整：请填写加仓价、新止损价和风险预算",IF(OR(D126&lt;=0,E126&lt;=0,F126&lt;=0,D126&lt;=E126),"违规：加仓价必须高于新止损价，金额须大于0",IF(AND(B126&gt;1,COUNTIFS($A$2:$A$1001,A126,$B$2:$B$1001,B126-1,$G$2:$G$1001,"&gt;0")=0),"违规：须先完成上一次加仓",IF(AND(B126&gt;1,E126&lt;SUMIFS($E$2:$E$1001,$A$2:$A$1001,A126,$B$2:$B$1001,B126-1)),"违规：新止损价不得低于上一次",IF(AND(B126&gt;1,F126&gt;SUMIFS($F$2:$F$1001,$A$2:$A$1001,A126,$B$2:$B$1001,B126-1)),"违规：风险预算须逐次不增加",IF(OR(_LockStatus="已锁仓",_LockStatus="解锁信息不完整"),"违规：锁仓期间禁止加仓",IF(G126="","计划可执行：建议股数见N列",IF(OR(G126&lt;=0,G126&lt;&gt;INT(G126),MOD(G126,100)&lt;&gt;0),"违规：实际股数须为100股整数倍",IF(G126&gt;N126,"违规：实际股数超过风险或金字塔上限",IF(AND(B126&gt;1,G126&gt;SUMIFS($G$2:$G$1001,$A$2:$A$1001,A126,$B$2:$B$1001,B126-1)),"违规：加仓股数须逐次不增加",IF(Q126&gt;F126,"违规：止损风险超过本次预算","通过")))))))))))))))</f>
        <v/>
      </c>
    </row>
    <row r="127" customFormat="false" ht="15" hidden="false" customHeight="false" outlineLevel="0" collapsed="false">
      <c r="A127" s="20"/>
      <c r="B127" s="21"/>
      <c r="C127" s="22"/>
      <c r="D127" s="23"/>
      <c r="E127" s="23"/>
      <c r="F127" s="23"/>
      <c r="G127" s="21"/>
      <c r="H127" s="24" t="str">
        <f aca="false">IF(OR(A127="",D127="",G127=""),"",D127*G127)</f>
        <v/>
      </c>
      <c r="I127" s="25" t="str">
        <f aca="false">IF(OR(A127="",B127=""),"",IFERROR(LOOKUP(2,1/(单次交易!$A$2:$A$201=A127),单次交易!$H$2:$H$201),0)+SUMIFS($G$2:$G$1001,$A$2:$A$1001,A127,$B$2:$B$1001,"&lt;"&amp;B127))</f>
        <v/>
      </c>
      <c r="J127" s="24" t="str">
        <f aca="false">IF(OR(A127="",B127=""),"",IFERROR(LOOKUP(2,1/(单次交易!$A$2:$A$201=A127),单次交易!$E$2:$E$201)*LOOKUP(2,1/(单次交易!$A$2:$A$201=A127),单次交易!$H$2:$H$201),0)+SUMIFS($H$2:$H$1001,$A$2:$A$1001,A127,$B$2:$B$1001,"&lt;"&amp;B127))</f>
        <v/>
      </c>
      <c r="K127" s="24" t="str">
        <f aca="false">IF(OR(E127="",I127="",J127=""),"",MAX(E127*I127-J127,0))</f>
        <v/>
      </c>
      <c r="L127" s="25" t="str">
        <f aca="false">IF(OR(D127="",E127="",F127="",D127&lt;=E127),"",FLOOR((F127+K127)/(D127-E127),100))</f>
        <v/>
      </c>
      <c r="M127" s="25" t="str">
        <f aca="false">IF(OR(A127="",B127="",L127=""),"",IF(B127=1,L127,IFERROR(SUMIFS($G$2:$G$1001,$A$2:$A$1001,A127,$B$2:$B$1001,B127-1),0)))</f>
        <v/>
      </c>
      <c r="N127" s="25" t="str">
        <f aca="false">IF(OR(L127="",M127=""),"",MIN(L127,M127))</f>
        <v/>
      </c>
      <c r="O127" s="25" t="str">
        <f aca="false">IF(OR(I127="",G127=""),"",I127+G127)</f>
        <v/>
      </c>
      <c r="P127" s="24" t="str">
        <f aca="false">IF(OR(O127="",O127=0),"",(J127+H127)/O127)</f>
        <v/>
      </c>
      <c r="Q127" s="24" t="str">
        <f aca="false">IF(OR(O127="",E127=""),"",MAX(J127+H127-E127*O127,0))</f>
        <v/>
      </c>
      <c r="R127" s="26" t="str">
        <f aca="false">IF(A127="","",IF(COUNTIF(_TradeIds,A127)=0,"违规：交易编号不存在",IF(OR(B127="",B127&lt;1,B127&gt;5,B127&lt;&gt;INT(B127)),"违规：加仓序号须为1到5的整数",IF(COUNTIFS($A$2:$A$1001,A127,$B$2:$B$1001,B127)&gt;1,"违规：同一交易的加仓序号重复",IF(OR(D127="",E127="",F127=""),"计划不完整：请填写加仓价、新止损价和风险预算",IF(OR(D127&lt;=0,E127&lt;=0,F127&lt;=0,D127&lt;=E127),"违规：加仓价必须高于新止损价，金额须大于0",IF(AND(B127&gt;1,COUNTIFS($A$2:$A$1001,A127,$B$2:$B$1001,B127-1,$G$2:$G$1001,"&gt;0")=0),"违规：须先完成上一次加仓",IF(AND(B127&gt;1,E127&lt;SUMIFS($E$2:$E$1001,$A$2:$A$1001,A127,$B$2:$B$1001,B127-1)),"违规：新止损价不得低于上一次",IF(AND(B127&gt;1,F127&gt;SUMIFS($F$2:$F$1001,$A$2:$A$1001,A127,$B$2:$B$1001,B127-1)),"违规：风险预算须逐次不增加",IF(OR(_LockStatus="已锁仓",_LockStatus="解锁信息不完整"),"违规：锁仓期间禁止加仓",IF(G127="","计划可执行：建议股数见N列",IF(OR(G127&lt;=0,G127&lt;&gt;INT(G127),MOD(G127,100)&lt;&gt;0),"违规：实际股数须为100股整数倍",IF(G127&gt;N127,"违规：实际股数超过风险或金字塔上限",IF(AND(B127&gt;1,G127&gt;SUMIFS($G$2:$G$1001,$A$2:$A$1001,A127,$B$2:$B$1001,B127-1)),"违规：加仓股数须逐次不增加",IF(Q127&gt;F127,"违规：止损风险超过本次预算","通过")))))))))))))))</f>
        <v/>
      </c>
    </row>
    <row r="128" customFormat="false" ht="15" hidden="false" customHeight="false" outlineLevel="0" collapsed="false">
      <c r="A128" s="20"/>
      <c r="B128" s="21"/>
      <c r="C128" s="22"/>
      <c r="D128" s="23"/>
      <c r="E128" s="23"/>
      <c r="F128" s="23"/>
      <c r="G128" s="21"/>
      <c r="H128" s="24" t="str">
        <f aca="false">IF(OR(A128="",D128="",G128=""),"",D128*G128)</f>
        <v/>
      </c>
      <c r="I128" s="25" t="str">
        <f aca="false">IF(OR(A128="",B128=""),"",IFERROR(LOOKUP(2,1/(单次交易!$A$2:$A$201=A128),单次交易!$H$2:$H$201),0)+SUMIFS($G$2:$G$1001,$A$2:$A$1001,A128,$B$2:$B$1001,"&lt;"&amp;B128))</f>
        <v/>
      </c>
      <c r="J128" s="24" t="str">
        <f aca="false">IF(OR(A128="",B128=""),"",IFERROR(LOOKUP(2,1/(单次交易!$A$2:$A$201=A128),单次交易!$E$2:$E$201)*LOOKUP(2,1/(单次交易!$A$2:$A$201=A128),单次交易!$H$2:$H$201),0)+SUMIFS($H$2:$H$1001,$A$2:$A$1001,A128,$B$2:$B$1001,"&lt;"&amp;B128))</f>
        <v/>
      </c>
      <c r="K128" s="24" t="str">
        <f aca="false">IF(OR(E128="",I128="",J128=""),"",MAX(E128*I128-J128,0))</f>
        <v/>
      </c>
      <c r="L128" s="25" t="str">
        <f aca="false">IF(OR(D128="",E128="",F128="",D128&lt;=E128),"",FLOOR((F128+K128)/(D128-E128),100))</f>
        <v/>
      </c>
      <c r="M128" s="25" t="str">
        <f aca="false">IF(OR(A128="",B128="",L128=""),"",IF(B128=1,L128,IFERROR(SUMIFS($G$2:$G$1001,$A$2:$A$1001,A128,$B$2:$B$1001,B128-1),0)))</f>
        <v/>
      </c>
      <c r="N128" s="25" t="str">
        <f aca="false">IF(OR(L128="",M128=""),"",MIN(L128,M128))</f>
        <v/>
      </c>
      <c r="O128" s="25" t="str">
        <f aca="false">IF(OR(I128="",G128=""),"",I128+G128)</f>
        <v/>
      </c>
      <c r="P128" s="24" t="str">
        <f aca="false">IF(OR(O128="",O128=0),"",(J128+H128)/O128)</f>
        <v/>
      </c>
      <c r="Q128" s="24" t="str">
        <f aca="false">IF(OR(O128="",E128=""),"",MAX(J128+H128-E128*O128,0))</f>
        <v/>
      </c>
      <c r="R128" s="26" t="str">
        <f aca="false">IF(A128="","",IF(COUNTIF(_TradeIds,A128)=0,"违规：交易编号不存在",IF(OR(B128="",B128&lt;1,B128&gt;5,B128&lt;&gt;INT(B128)),"违规：加仓序号须为1到5的整数",IF(COUNTIFS($A$2:$A$1001,A128,$B$2:$B$1001,B128)&gt;1,"违规：同一交易的加仓序号重复",IF(OR(D128="",E128="",F128=""),"计划不完整：请填写加仓价、新止损价和风险预算",IF(OR(D128&lt;=0,E128&lt;=0,F128&lt;=0,D128&lt;=E128),"违规：加仓价必须高于新止损价，金额须大于0",IF(AND(B128&gt;1,COUNTIFS($A$2:$A$1001,A128,$B$2:$B$1001,B128-1,$G$2:$G$1001,"&gt;0")=0),"违规：须先完成上一次加仓",IF(AND(B128&gt;1,E128&lt;SUMIFS($E$2:$E$1001,$A$2:$A$1001,A128,$B$2:$B$1001,B128-1)),"违规：新止损价不得低于上一次",IF(AND(B128&gt;1,F128&gt;SUMIFS($F$2:$F$1001,$A$2:$A$1001,A128,$B$2:$B$1001,B128-1)),"违规：风险预算须逐次不增加",IF(OR(_LockStatus="已锁仓",_LockStatus="解锁信息不完整"),"违规：锁仓期间禁止加仓",IF(G128="","计划可执行：建议股数见N列",IF(OR(G128&lt;=0,G128&lt;&gt;INT(G128),MOD(G128,100)&lt;&gt;0),"违规：实际股数须为100股整数倍",IF(G128&gt;N128,"违规：实际股数超过风险或金字塔上限",IF(AND(B128&gt;1,G128&gt;SUMIFS($G$2:$G$1001,$A$2:$A$1001,A128,$B$2:$B$1001,B128-1)),"违规：加仓股数须逐次不增加",IF(Q128&gt;F128,"违规：止损风险超过本次预算","通过")))))))))))))))</f>
        <v/>
      </c>
    </row>
    <row r="129" customFormat="false" ht="15" hidden="false" customHeight="false" outlineLevel="0" collapsed="false">
      <c r="A129" s="20"/>
      <c r="B129" s="21"/>
      <c r="C129" s="22"/>
      <c r="D129" s="23"/>
      <c r="E129" s="23"/>
      <c r="F129" s="23"/>
      <c r="G129" s="21"/>
      <c r="H129" s="24" t="str">
        <f aca="false">IF(OR(A129="",D129="",G129=""),"",D129*G129)</f>
        <v/>
      </c>
      <c r="I129" s="25" t="str">
        <f aca="false">IF(OR(A129="",B129=""),"",IFERROR(LOOKUP(2,1/(单次交易!$A$2:$A$201=A129),单次交易!$H$2:$H$201),0)+SUMIFS($G$2:$G$1001,$A$2:$A$1001,A129,$B$2:$B$1001,"&lt;"&amp;B129))</f>
        <v/>
      </c>
      <c r="J129" s="24" t="str">
        <f aca="false">IF(OR(A129="",B129=""),"",IFERROR(LOOKUP(2,1/(单次交易!$A$2:$A$201=A129),单次交易!$E$2:$E$201)*LOOKUP(2,1/(单次交易!$A$2:$A$201=A129),单次交易!$H$2:$H$201),0)+SUMIFS($H$2:$H$1001,$A$2:$A$1001,A129,$B$2:$B$1001,"&lt;"&amp;B129))</f>
        <v/>
      </c>
      <c r="K129" s="24" t="str">
        <f aca="false">IF(OR(E129="",I129="",J129=""),"",MAX(E129*I129-J129,0))</f>
        <v/>
      </c>
      <c r="L129" s="25" t="str">
        <f aca="false">IF(OR(D129="",E129="",F129="",D129&lt;=E129),"",FLOOR((F129+K129)/(D129-E129),100))</f>
        <v/>
      </c>
      <c r="M129" s="25" t="str">
        <f aca="false">IF(OR(A129="",B129="",L129=""),"",IF(B129=1,L129,IFERROR(SUMIFS($G$2:$G$1001,$A$2:$A$1001,A129,$B$2:$B$1001,B129-1),0)))</f>
        <v/>
      </c>
      <c r="N129" s="25" t="str">
        <f aca="false">IF(OR(L129="",M129=""),"",MIN(L129,M129))</f>
        <v/>
      </c>
      <c r="O129" s="25" t="str">
        <f aca="false">IF(OR(I129="",G129=""),"",I129+G129)</f>
        <v/>
      </c>
      <c r="P129" s="24" t="str">
        <f aca="false">IF(OR(O129="",O129=0),"",(J129+H129)/O129)</f>
        <v/>
      </c>
      <c r="Q129" s="24" t="str">
        <f aca="false">IF(OR(O129="",E129=""),"",MAX(J129+H129-E129*O129,0))</f>
        <v/>
      </c>
      <c r="R129" s="26" t="str">
        <f aca="false">IF(A129="","",IF(COUNTIF(_TradeIds,A129)=0,"违规：交易编号不存在",IF(OR(B129="",B129&lt;1,B129&gt;5,B129&lt;&gt;INT(B129)),"违规：加仓序号须为1到5的整数",IF(COUNTIFS($A$2:$A$1001,A129,$B$2:$B$1001,B129)&gt;1,"违规：同一交易的加仓序号重复",IF(OR(D129="",E129="",F129=""),"计划不完整：请填写加仓价、新止损价和风险预算",IF(OR(D129&lt;=0,E129&lt;=0,F129&lt;=0,D129&lt;=E129),"违规：加仓价必须高于新止损价，金额须大于0",IF(AND(B129&gt;1,COUNTIFS($A$2:$A$1001,A129,$B$2:$B$1001,B129-1,$G$2:$G$1001,"&gt;0")=0),"违规：须先完成上一次加仓",IF(AND(B129&gt;1,E129&lt;SUMIFS($E$2:$E$1001,$A$2:$A$1001,A129,$B$2:$B$1001,B129-1)),"违规：新止损价不得低于上一次",IF(AND(B129&gt;1,F129&gt;SUMIFS($F$2:$F$1001,$A$2:$A$1001,A129,$B$2:$B$1001,B129-1)),"违规：风险预算须逐次不增加",IF(OR(_LockStatus="已锁仓",_LockStatus="解锁信息不完整"),"违规：锁仓期间禁止加仓",IF(G129="","计划可执行：建议股数见N列",IF(OR(G129&lt;=0,G129&lt;&gt;INT(G129),MOD(G129,100)&lt;&gt;0),"违规：实际股数须为100股整数倍",IF(G129&gt;N129,"违规：实际股数超过风险或金字塔上限",IF(AND(B129&gt;1,G129&gt;SUMIFS($G$2:$G$1001,$A$2:$A$1001,A129,$B$2:$B$1001,B129-1)),"违规：加仓股数须逐次不增加",IF(Q129&gt;F129,"违规：止损风险超过本次预算","通过")))))))))))))))</f>
        <v/>
      </c>
    </row>
    <row r="130" customFormat="false" ht="15" hidden="false" customHeight="false" outlineLevel="0" collapsed="false">
      <c r="A130" s="20"/>
      <c r="B130" s="21"/>
      <c r="C130" s="22"/>
      <c r="D130" s="23"/>
      <c r="E130" s="23"/>
      <c r="F130" s="23"/>
      <c r="G130" s="21"/>
      <c r="H130" s="24" t="str">
        <f aca="false">IF(OR(A130="",D130="",G130=""),"",D130*G130)</f>
        <v/>
      </c>
      <c r="I130" s="25" t="str">
        <f aca="false">IF(OR(A130="",B130=""),"",IFERROR(LOOKUP(2,1/(单次交易!$A$2:$A$201=A130),单次交易!$H$2:$H$201),0)+SUMIFS($G$2:$G$1001,$A$2:$A$1001,A130,$B$2:$B$1001,"&lt;"&amp;B130))</f>
        <v/>
      </c>
      <c r="J130" s="24" t="str">
        <f aca="false">IF(OR(A130="",B130=""),"",IFERROR(LOOKUP(2,1/(单次交易!$A$2:$A$201=A130),单次交易!$E$2:$E$201)*LOOKUP(2,1/(单次交易!$A$2:$A$201=A130),单次交易!$H$2:$H$201),0)+SUMIFS($H$2:$H$1001,$A$2:$A$1001,A130,$B$2:$B$1001,"&lt;"&amp;B130))</f>
        <v/>
      </c>
      <c r="K130" s="24" t="str">
        <f aca="false">IF(OR(E130="",I130="",J130=""),"",MAX(E130*I130-J130,0))</f>
        <v/>
      </c>
      <c r="L130" s="25" t="str">
        <f aca="false">IF(OR(D130="",E130="",F130="",D130&lt;=E130),"",FLOOR((F130+K130)/(D130-E130),100))</f>
        <v/>
      </c>
      <c r="M130" s="25" t="str">
        <f aca="false">IF(OR(A130="",B130="",L130=""),"",IF(B130=1,L130,IFERROR(SUMIFS($G$2:$G$1001,$A$2:$A$1001,A130,$B$2:$B$1001,B130-1),0)))</f>
        <v/>
      </c>
      <c r="N130" s="25" t="str">
        <f aca="false">IF(OR(L130="",M130=""),"",MIN(L130,M130))</f>
        <v/>
      </c>
      <c r="O130" s="25" t="str">
        <f aca="false">IF(OR(I130="",G130=""),"",I130+G130)</f>
        <v/>
      </c>
      <c r="P130" s="24" t="str">
        <f aca="false">IF(OR(O130="",O130=0),"",(J130+H130)/O130)</f>
        <v/>
      </c>
      <c r="Q130" s="24" t="str">
        <f aca="false">IF(OR(O130="",E130=""),"",MAX(J130+H130-E130*O130,0))</f>
        <v/>
      </c>
      <c r="R130" s="26" t="str">
        <f aca="false">IF(A130="","",IF(COUNTIF(_TradeIds,A130)=0,"违规：交易编号不存在",IF(OR(B130="",B130&lt;1,B130&gt;5,B130&lt;&gt;INT(B130)),"违规：加仓序号须为1到5的整数",IF(COUNTIFS($A$2:$A$1001,A130,$B$2:$B$1001,B130)&gt;1,"违规：同一交易的加仓序号重复",IF(OR(D130="",E130="",F130=""),"计划不完整：请填写加仓价、新止损价和风险预算",IF(OR(D130&lt;=0,E130&lt;=0,F130&lt;=0,D130&lt;=E130),"违规：加仓价必须高于新止损价，金额须大于0",IF(AND(B130&gt;1,COUNTIFS($A$2:$A$1001,A130,$B$2:$B$1001,B130-1,$G$2:$G$1001,"&gt;0")=0),"违规：须先完成上一次加仓",IF(AND(B130&gt;1,E130&lt;SUMIFS($E$2:$E$1001,$A$2:$A$1001,A130,$B$2:$B$1001,B130-1)),"违规：新止损价不得低于上一次",IF(AND(B130&gt;1,F130&gt;SUMIFS($F$2:$F$1001,$A$2:$A$1001,A130,$B$2:$B$1001,B130-1)),"违规：风险预算须逐次不增加",IF(OR(_LockStatus="已锁仓",_LockStatus="解锁信息不完整"),"违规：锁仓期间禁止加仓",IF(G130="","计划可执行：建议股数见N列",IF(OR(G130&lt;=0,G130&lt;&gt;INT(G130),MOD(G130,100)&lt;&gt;0),"违规：实际股数须为100股整数倍",IF(G130&gt;N130,"违规：实际股数超过风险或金字塔上限",IF(AND(B130&gt;1,G130&gt;SUMIFS($G$2:$G$1001,$A$2:$A$1001,A130,$B$2:$B$1001,B130-1)),"违规：加仓股数须逐次不增加",IF(Q130&gt;F130,"违规：止损风险超过本次预算","通过")))))))))))))))</f>
        <v/>
      </c>
    </row>
    <row r="131" customFormat="false" ht="15" hidden="false" customHeight="false" outlineLevel="0" collapsed="false">
      <c r="A131" s="20"/>
      <c r="B131" s="21"/>
      <c r="C131" s="22"/>
      <c r="D131" s="23"/>
      <c r="E131" s="23"/>
      <c r="F131" s="23"/>
      <c r="G131" s="21"/>
      <c r="H131" s="24" t="str">
        <f aca="false">IF(OR(A131="",D131="",G131=""),"",D131*G131)</f>
        <v/>
      </c>
      <c r="I131" s="25" t="str">
        <f aca="false">IF(OR(A131="",B131=""),"",IFERROR(LOOKUP(2,1/(单次交易!$A$2:$A$201=A131),单次交易!$H$2:$H$201),0)+SUMIFS($G$2:$G$1001,$A$2:$A$1001,A131,$B$2:$B$1001,"&lt;"&amp;B131))</f>
        <v/>
      </c>
      <c r="J131" s="24" t="str">
        <f aca="false">IF(OR(A131="",B131=""),"",IFERROR(LOOKUP(2,1/(单次交易!$A$2:$A$201=A131),单次交易!$E$2:$E$201)*LOOKUP(2,1/(单次交易!$A$2:$A$201=A131),单次交易!$H$2:$H$201),0)+SUMIFS($H$2:$H$1001,$A$2:$A$1001,A131,$B$2:$B$1001,"&lt;"&amp;B131))</f>
        <v/>
      </c>
      <c r="K131" s="24" t="str">
        <f aca="false">IF(OR(E131="",I131="",J131=""),"",MAX(E131*I131-J131,0))</f>
        <v/>
      </c>
      <c r="L131" s="25" t="str">
        <f aca="false">IF(OR(D131="",E131="",F131="",D131&lt;=E131),"",FLOOR((F131+K131)/(D131-E131),100))</f>
        <v/>
      </c>
      <c r="M131" s="25" t="str">
        <f aca="false">IF(OR(A131="",B131="",L131=""),"",IF(B131=1,L131,IFERROR(SUMIFS($G$2:$G$1001,$A$2:$A$1001,A131,$B$2:$B$1001,B131-1),0)))</f>
        <v/>
      </c>
      <c r="N131" s="25" t="str">
        <f aca="false">IF(OR(L131="",M131=""),"",MIN(L131,M131))</f>
        <v/>
      </c>
      <c r="O131" s="25" t="str">
        <f aca="false">IF(OR(I131="",G131=""),"",I131+G131)</f>
        <v/>
      </c>
      <c r="P131" s="24" t="str">
        <f aca="false">IF(OR(O131="",O131=0),"",(J131+H131)/O131)</f>
        <v/>
      </c>
      <c r="Q131" s="24" t="str">
        <f aca="false">IF(OR(O131="",E131=""),"",MAX(J131+H131-E131*O131,0))</f>
        <v/>
      </c>
      <c r="R131" s="26" t="str">
        <f aca="false">IF(A131="","",IF(COUNTIF(_TradeIds,A131)=0,"违规：交易编号不存在",IF(OR(B131="",B131&lt;1,B131&gt;5,B131&lt;&gt;INT(B131)),"违规：加仓序号须为1到5的整数",IF(COUNTIFS($A$2:$A$1001,A131,$B$2:$B$1001,B131)&gt;1,"违规：同一交易的加仓序号重复",IF(OR(D131="",E131="",F131=""),"计划不完整：请填写加仓价、新止损价和风险预算",IF(OR(D131&lt;=0,E131&lt;=0,F131&lt;=0,D131&lt;=E131),"违规：加仓价必须高于新止损价，金额须大于0",IF(AND(B131&gt;1,COUNTIFS($A$2:$A$1001,A131,$B$2:$B$1001,B131-1,$G$2:$G$1001,"&gt;0")=0),"违规：须先完成上一次加仓",IF(AND(B131&gt;1,E131&lt;SUMIFS($E$2:$E$1001,$A$2:$A$1001,A131,$B$2:$B$1001,B131-1)),"违规：新止损价不得低于上一次",IF(AND(B131&gt;1,F131&gt;SUMIFS($F$2:$F$1001,$A$2:$A$1001,A131,$B$2:$B$1001,B131-1)),"违规：风险预算须逐次不增加",IF(OR(_LockStatus="已锁仓",_LockStatus="解锁信息不完整"),"违规：锁仓期间禁止加仓",IF(G131="","计划可执行：建议股数见N列",IF(OR(G131&lt;=0,G131&lt;&gt;INT(G131),MOD(G131,100)&lt;&gt;0),"违规：实际股数须为100股整数倍",IF(G131&gt;N131,"违规：实际股数超过风险或金字塔上限",IF(AND(B131&gt;1,G131&gt;SUMIFS($G$2:$G$1001,$A$2:$A$1001,A131,$B$2:$B$1001,B131-1)),"违规：加仓股数须逐次不增加",IF(Q131&gt;F131,"违规：止损风险超过本次预算","通过")))))))))))))))</f>
        <v/>
      </c>
    </row>
    <row r="132" customFormat="false" ht="15" hidden="false" customHeight="false" outlineLevel="0" collapsed="false">
      <c r="A132" s="20"/>
      <c r="B132" s="21"/>
      <c r="C132" s="22"/>
      <c r="D132" s="23"/>
      <c r="E132" s="23"/>
      <c r="F132" s="23"/>
      <c r="G132" s="21"/>
      <c r="H132" s="24" t="str">
        <f aca="false">IF(OR(A132="",D132="",G132=""),"",D132*G132)</f>
        <v/>
      </c>
      <c r="I132" s="25" t="str">
        <f aca="false">IF(OR(A132="",B132=""),"",IFERROR(LOOKUP(2,1/(单次交易!$A$2:$A$201=A132),单次交易!$H$2:$H$201),0)+SUMIFS($G$2:$G$1001,$A$2:$A$1001,A132,$B$2:$B$1001,"&lt;"&amp;B132))</f>
        <v/>
      </c>
      <c r="J132" s="24" t="str">
        <f aca="false">IF(OR(A132="",B132=""),"",IFERROR(LOOKUP(2,1/(单次交易!$A$2:$A$201=A132),单次交易!$E$2:$E$201)*LOOKUP(2,1/(单次交易!$A$2:$A$201=A132),单次交易!$H$2:$H$201),0)+SUMIFS($H$2:$H$1001,$A$2:$A$1001,A132,$B$2:$B$1001,"&lt;"&amp;B132))</f>
        <v/>
      </c>
      <c r="K132" s="24" t="str">
        <f aca="false">IF(OR(E132="",I132="",J132=""),"",MAX(E132*I132-J132,0))</f>
        <v/>
      </c>
      <c r="L132" s="25" t="str">
        <f aca="false">IF(OR(D132="",E132="",F132="",D132&lt;=E132),"",FLOOR((F132+K132)/(D132-E132),100))</f>
        <v/>
      </c>
      <c r="M132" s="25" t="str">
        <f aca="false">IF(OR(A132="",B132="",L132=""),"",IF(B132=1,L132,IFERROR(SUMIFS($G$2:$G$1001,$A$2:$A$1001,A132,$B$2:$B$1001,B132-1),0)))</f>
        <v/>
      </c>
      <c r="N132" s="25" t="str">
        <f aca="false">IF(OR(L132="",M132=""),"",MIN(L132,M132))</f>
        <v/>
      </c>
      <c r="O132" s="25" t="str">
        <f aca="false">IF(OR(I132="",G132=""),"",I132+G132)</f>
        <v/>
      </c>
      <c r="P132" s="24" t="str">
        <f aca="false">IF(OR(O132="",O132=0),"",(J132+H132)/O132)</f>
        <v/>
      </c>
      <c r="Q132" s="24" t="str">
        <f aca="false">IF(OR(O132="",E132=""),"",MAX(J132+H132-E132*O132,0))</f>
        <v/>
      </c>
      <c r="R132" s="26" t="str">
        <f aca="false">IF(A132="","",IF(COUNTIF(_TradeIds,A132)=0,"违规：交易编号不存在",IF(OR(B132="",B132&lt;1,B132&gt;5,B132&lt;&gt;INT(B132)),"违规：加仓序号须为1到5的整数",IF(COUNTIFS($A$2:$A$1001,A132,$B$2:$B$1001,B132)&gt;1,"违规：同一交易的加仓序号重复",IF(OR(D132="",E132="",F132=""),"计划不完整：请填写加仓价、新止损价和风险预算",IF(OR(D132&lt;=0,E132&lt;=0,F132&lt;=0,D132&lt;=E132),"违规：加仓价必须高于新止损价，金额须大于0",IF(AND(B132&gt;1,COUNTIFS($A$2:$A$1001,A132,$B$2:$B$1001,B132-1,$G$2:$G$1001,"&gt;0")=0),"违规：须先完成上一次加仓",IF(AND(B132&gt;1,E132&lt;SUMIFS($E$2:$E$1001,$A$2:$A$1001,A132,$B$2:$B$1001,B132-1)),"违规：新止损价不得低于上一次",IF(AND(B132&gt;1,F132&gt;SUMIFS($F$2:$F$1001,$A$2:$A$1001,A132,$B$2:$B$1001,B132-1)),"违规：风险预算须逐次不增加",IF(OR(_LockStatus="已锁仓",_LockStatus="解锁信息不完整"),"违规：锁仓期间禁止加仓",IF(G132="","计划可执行：建议股数见N列",IF(OR(G132&lt;=0,G132&lt;&gt;INT(G132),MOD(G132,100)&lt;&gt;0),"违规：实际股数须为100股整数倍",IF(G132&gt;N132,"违规：实际股数超过风险或金字塔上限",IF(AND(B132&gt;1,G132&gt;SUMIFS($G$2:$G$1001,$A$2:$A$1001,A132,$B$2:$B$1001,B132-1)),"违规：加仓股数须逐次不增加",IF(Q132&gt;F132,"违规：止损风险超过本次预算","通过")))))))))))))))</f>
        <v/>
      </c>
    </row>
    <row r="133" customFormat="false" ht="15" hidden="false" customHeight="false" outlineLevel="0" collapsed="false">
      <c r="A133" s="20"/>
      <c r="B133" s="21"/>
      <c r="C133" s="22"/>
      <c r="D133" s="23"/>
      <c r="E133" s="23"/>
      <c r="F133" s="23"/>
      <c r="G133" s="21"/>
      <c r="H133" s="24" t="str">
        <f aca="false">IF(OR(A133="",D133="",G133=""),"",D133*G133)</f>
        <v/>
      </c>
      <c r="I133" s="25" t="str">
        <f aca="false">IF(OR(A133="",B133=""),"",IFERROR(LOOKUP(2,1/(单次交易!$A$2:$A$201=A133),单次交易!$H$2:$H$201),0)+SUMIFS($G$2:$G$1001,$A$2:$A$1001,A133,$B$2:$B$1001,"&lt;"&amp;B133))</f>
        <v/>
      </c>
      <c r="J133" s="24" t="str">
        <f aca="false">IF(OR(A133="",B133=""),"",IFERROR(LOOKUP(2,1/(单次交易!$A$2:$A$201=A133),单次交易!$E$2:$E$201)*LOOKUP(2,1/(单次交易!$A$2:$A$201=A133),单次交易!$H$2:$H$201),0)+SUMIFS($H$2:$H$1001,$A$2:$A$1001,A133,$B$2:$B$1001,"&lt;"&amp;B133))</f>
        <v/>
      </c>
      <c r="K133" s="24" t="str">
        <f aca="false">IF(OR(E133="",I133="",J133=""),"",MAX(E133*I133-J133,0))</f>
        <v/>
      </c>
      <c r="L133" s="25" t="str">
        <f aca="false">IF(OR(D133="",E133="",F133="",D133&lt;=E133),"",FLOOR((F133+K133)/(D133-E133),100))</f>
        <v/>
      </c>
      <c r="M133" s="25" t="str">
        <f aca="false">IF(OR(A133="",B133="",L133=""),"",IF(B133=1,L133,IFERROR(SUMIFS($G$2:$G$1001,$A$2:$A$1001,A133,$B$2:$B$1001,B133-1),0)))</f>
        <v/>
      </c>
      <c r="N133" s="25" t="str">
        <f aca="false">IF(OR(L133="",M133=""),"",MIN(L133,M133))</f>
        <v/>
      </c>
      <c r="O133" s="25" t="str">
        <f aca="false">IF(OR(I133="",G133=""),"",I133+G133)</f>
        <v/>
      </c>
      <c r="P133" s="24" t="str">
        <f aca="false">IF(OR(O133="",O133=0),"",(J133+H133)/O133)</f>
        <v/>
      </c>
      <c r="Q133" s="24" t="str">
        <f aca="false">IF(OR(O133="",E133=""),"",MAX(J133+H133-E133*O133,0))</f>
        <v/>
      </c>
      <c r="R133" s="26" t="str">
        <f aca="false">IF(A133="","",IF(COUNTIF(_TradeIds,A133)=0,"违规：交易编号不存在",IF(OR(B133="",B133&lt;1,B133&gt;5,B133&lt;&gt;INT(B133)),"违规：加仓序号须为1到5的整数",IF(COUNTIFS($A$2:$A$1001,A133,$B$2:$B$1001,B133)&gt;1,"违规：同一交易的加仓序号重复",IF(OR(D133="",E133="",F133=""),"计划不完整：请填写加仓价、新止损价和风险预算",IF(OR(D133&lt;=0,E133&lt;=0,F133&lt;=0,D133&lt;=E133),"违规：加仓价必须高于新止损价，金额须大于0",IF(AND(B133&gt;1,COUNTIFS($A$2:$A$1001,A133,$B$2:$B$1001,B133-1,$G$2:$G$1001,"&gt;0")=0),"违规：须先完成上一次加仓",IF(AND(B133&gt;1,E133&lt;SUMIFS($E$2:$E$1001,$A$2:$A$1001,A133,$B$2:$B$1001,B133-1)),"违规：新止损价不得低于上一次",IF(AND(B133&gt;1,F133&gt;SUMIFS($F$2:$F$1001,$A$2:$A$1001,A133,$B$2:$B$1001,B133-1)),"违规：风险预算须逐次不增加",IF(OR(_LockStatus="已锁仓",_LockStatus="解锁信息不完整"),"违规：锁仓期间禁止加仓",IF(G133="","计划可执行：建议股数见N列",IF(OR(G133&lt;=0,G133&lt;&gt;INT(G133),MOD(G133,100)&lt;&gt;0),"违规：实际股数须为100股整数倍",IF(G133&gt;N133,"违规：实际股数超过风险或金字塔上限",IF(AND(B133&gt;1,G133&gt;SUMIFS($G$2:$G$1001,$A$2:$A$1001,A133,$B$2:$B$1001,B133-1)),"违规：加仓股数须逐次不增加",IF(Q133&gt;F133,"违规：止损风险超过本次预算","通过")))))))))))))))</f>
        <v/>
      </c>
    </row>
    <row r="134" customFormat="false" ht="15" hidden="false" customHeight="false" outlineLevel="0" collapsed="false">
      <c r="A134" s="20"/>
      <c r="B134" s="21"/>
      <c r="C134" s="22"/>
      <c r="D134" s="23"/>
      <c r="E134" s="23"/>
      <c r="F134" s="23"/>
      <c r="G134" s="21"/>
      <c r="H134" s="24" t="str">
        <f aca="false">IF(OR(A134="",D134="",G134=""),"",D134*G134)</f>
        <v/>
      </c>
      <c r="I134" s="25" t="str">
        <f aca="false">IF(OR(A134="",B134=""),"",IFERROR(LOOKUP(2,1/(单次交易!$A$2:$A$201=A134),单次交易!$H$2:$H$201),0)+SUMIFS($G$2:$G$1001,$A$2:$A$1001,A134,$B$2:$B$1001,"&lt;"&amp;B134))</f>
        <v/>
      </c>
      <c r="J134" s="24" t="str">
        <f aca="false">IF(OR(A134="",B134=""),"",IFERROR(LOOKUP(2,1/(单次交易!$A$2:$A$201=A134),单次交易!$E$2:$E$201)*LOOKUP(2,1/(单次交易!$A$2:$A$201=A134),单次交易!$H$2:$H$201),0)+SUMIFS($H$2:$H$1001,$A$2:$A$1001,A134,$B$2:$B$1001,"&lt;"&amp;B134))</f>
        <v/>
      </c>
      <c r="K134" s="24" t="str">
        <f aca="false">IF(OR(E134="",I134="",J134=""),"",MAX(E134*I134-J134,0))</f>
        <v/>
      </c>
      <c r="L134" s="25" t="str">
        <f aca="false">IF(OR(D134="",E134="",F134="",D134&lt;=E134),"",FLOOR((F134+K134)/(D134-E134),100))</f>
        <v/>
      </c>
      <c r="M134" s="25" t="str">
        <f aca="false">IF(OR(A134="",B134="",L134=""),"",IF(B134=1,L134,IFERROR(SUMIFS($G$2:$G$1001,$A$2:$A$1001,A134,$B$2:$B$1001,B134-1),0)))</f>
        <v/>
      </c>
      <c r="N134" s="25" t="str">
        <f aca="false">IF(OR(L134="",M134=""),"",MIN(L134,M134))</f>
        <v/>
      </c>
      <c r="O134" s="25" t="str">
        <f aca="false">IF(OR(I134="",G134=""),"",I134+G134)</f>
        <v/>
      </c>
      <c r="P134" s="24" t="str">
        <f aca="false">IF(OR(O134="",O134=0),"",(J134+H134)/O134)</f>
        <v/>
      </c>
      <c r="Q134" s="24" t="str">
        <f aca="false">IF(OR(O134="",E134=""),"",MAX(J134+H134-E134*O134,0))</f>
        <v/>
      </c>
      <c r="R134" s="26" t="str">
        <f aca="false">IF(A134="","",IF(COUNTIF(_TradeIds,A134)=0,"违规：交易编号不存在",IF(OR(B134="",B134&lt;1,B134&gt;5,B134&lt;&gt;INT(B134)),"违规：加仓序号须为1到5的整数",IF(COUNTIFS($A$2:$A$1001,A134,$B$2:$B$1001,B134)&gt;1,"违规：同一交易的加仓序号重复",IF(OR(D134="",E134="",F134=""),"计划不完整：请填写加仓价、新止损价和风险预算",IF(OR(D134&lt;=0,E134&lt;=0,F134&lt;=0,D134&lt;=E134),"违规：加仓价必须高于新止损价，金额须大于0",IF(AND(B134&gt;1,COUNTIFS($A$2:$A$1001,A134,$B$2:$B$1001,B134-1,$G$2:$G$1001,"&gt;0")=0),"违规：须先完成上一次加仓",IF(AND(B134&gt;1,E134&lt;SUMIFS($E$2:$E$1001,$A$2:$A$1001,A134,$B$2:$B$1001,B134-1)),"违规：新止损价不得低于上一次",IF(AND(B134&gt;1,F134&gt;SUMIFS($F$2:$F$1001,$A$2:$A$1001,A134,$B$2:$B$1001,B134-1)),"违规：风险预算须逐次不增加",IF(OR(_LockStatus="已锁仓",_LockStatus="解锁信息不完整"),"违规：锁仓期间禁止加仓",IF(G134="","计划可执行：建议股数见N列",IF(OR(G134&lt;=0,G134&lt;&gt;INT(G134),MOD(G134,100)&lt;&gt;0),"违规：实际股数须为100股整数倍",IF(G134&gt;N134,"违规：实际股数超过风险或金字塔上限",IF(AND(B134&gt;1,G134&gt;SUMIFS($G$2:$G$1001,$A$2:$A$1001,A134,$B$2:$B$1001,B134-1)),"违规：加仓股数须逐次不增加",IF(Q134&gt;F134,"违规：止损风险超过本次预算","通过")))))))))))))))</f>
        <v/>
      </c>
    </row>
    <row r="135" customFormat="false" ht="15" hidden="false" customHeight="false" outlineLevel="0" collapsed="false">
      <c r="A135" s="20"/>
      <c r="B135" s="21"/>
      <c r="C135" s="22"/>
      <c r="D135" s="23"/>
      <c r="E135" s="23"/>
      <c r="F135" s="23"/>
      <c r="G135" s="21"/>
      <c r="H135" s="24" t="str">
        <f aca="false">IF(OR(A135="",D135="",G135=""),"",D135*G135)</f>
        <v/>
      </c>
      <c r="I135" s="25" t="str">
        <f aca="false">IF(OR(A135="",B135=""),"",IFERROR(LOOKUP(2,1/(单次交易!$A$2:$A$201=A135),单次交易!$H$2:$H$201),0)+SUMIFS($G$2:$G$1001,$A$2:$A$1001,A135,$B$2:$B$1001,"&lt;"&amp;B135))</f>
        <v/>
      </c>
      <c r="J135" s="24" t="str">
        <f aca="false">IF(OR(A135="",B135=""),"",IFERROR(LOOKUP(2,1/(单次交易!$A$2:$A$201=A135),单次交易!$E$2:$E$201)*LOOKUP(2,1/(单次交易!$A$2:$A$201=A135),单次交易!$H$2:$H$201),0)+SUMIFS($H$2:$H$1001,$A$2:$A$1001,A135,$B$2:$B$1001,"&lt;"&amp;B135))</f>
        <v/>
      </c>
      <c r="K135" s="24" t="str">
        <f aca="false">IF(OR(E135="",I135="",J135=""),"",MAX(E135*I135-J135,0))</f>
        <v/>
      </c>
      <c r="L135" s="25" t="str">
        <f aca="false">IF(OR(D135="",E135="",F135="",D135&lt;=E135),"",FLOOR((F135+K135)/(D135-E135),100))</f>
        <v/>
      </c>
      <c r="M135" s="25" t="str">
        <f aca="false">IF(OR(A135="",B135="",L135=""),"",IF(B135=1,L135,IFERROR(SUMIFS($G$2:$G$1001,$A$2:$A$1001,A135,$B$2:$B$1001,B135-1),0)))</f>
        <v/>
      </c>
      <c r="N135" s="25" t="str">
        <f aca="false">IF(OR(L135="",M135=""),"",MIN(L135,M135))</f>
        <v/>
      </c>
      <c r="O135" s="25" t="str">
        <f aca="false">IF(OR(I135="",G135=""),"",I135+G135)</f>
        <v/>
      </c>
      <c r="P135" s="24" t="str">
        <f aca="false">IF(OR(O135="",O135=0),"",(J135+H135)/O135)</f>
        <v/>
      </c>
      <c r="Q135" s="24" t="str">
        <f aca="false">IF(OR(O135="",E135=""),"",MAX(J135+H135-E135*O135,0))</f>
        <v/>
      </c>
      <c r="R135" s="26" t="str">
        <f aca="false">IF(A135="","",IF(COUNTIF(_TradeIds,A135)=0,"违规：交易编号不存在",IF(OR(B135="",B135&lt;1,B135&gt;5,B135&lt;&gt;INT(B135)),"违规：加仓序号须为1到5的整数",IF(COUNTIFS($A$2:$A$1001,A135,$B$2:$B$1001,B135)&gt;1,"违规：同一交易的加仓序号重复",IF(OR(D135="",E135="",F135=""),"计划不完整：请填写加仓价、新止损价和风险预算",IF(OR(D135&lt;=0,E135&lt;=0,F135&lt;=0,D135&lt;=E135),"违规：加仓价必须高于新止损价，金额须大于0",IF(AND(B135&gt;1,COUNTIFS($A$2:$A$1001,A135,$B$2:$B$1001,B135-1,$G$2:$G$1001,"&gt;0")=0),"违规：须先完成上一次加仓",IF(AND(B135&gt;1,E135&lt;SUMIFS($E$2:$E$1001,$A$2:$A$1001,A135,$B$2:$B$1001,B135-1)),"违规：新止损价不得低于上一次",IF(AND(B135&gt;1,F135&gt;SUMIFS($F$2:$F$1001,$A$2:$A$1001,A135,$B$2:$B$1001,B135-1)),"违规：风险预算须逐次不增加",IF(OR(_LockStatus="已锁仓",_LockStatus="解锁信息不完整"),"违规：锁仓期间禁止加仓",IF(G135="","计划可执行：建议股数见N列",IF(OR(G135&lt;=0,G135&lt;&gt;INT(G135),MOD(G135,100)&lt;&gt;0),"违规：实际股数须为100股整数倍",IF(G135&gt;N135,"违规：实际股数超过风险或金字塔上限",IF(AND(B135&gt;1,G135&gt;SUMIFS($G$2:$G$1001,$A$2:$A$1001,A135,$B$2:$B$1001,B135-1)),"违规：加仓股数须逐次不增加",IF(Q135&gt;F135,"违规：止损风险超过本次预算","通过")))))))))))))))</f>
        <v/>
      </c>
    </row>
    <row r="136" customFormat="false" ht="15" hidden="false" customHeight="false" outlineLevel="0" collapsed="false">
      <c r="A136" s="20"/>
      <c r="B136" s="21"/>
      <c r="C136" s="22"/>
      <c r="D136" s="23"/>
      <c r="E136" s="23"/>
      <c r="F136" s="23"/>
      <c r="G136" s="21"/>
      <c r="H136" s="24" t="str">
        <f aca="false">IF(OR(A136="",D136="",G136=""),"",D136*G136)</f>
        <v/>
      </c>
      <c r="I136" s="25" t="str">
        <f aca="false">IF(OR(A136="",B136=""),"",IFERROR(LOOKUP(2,1/(单次交易!$A$2:$A$201=A136),单次交易!$H$2:$H$201),0)+SUMIFS($G$2:$G$1001,$A$2:$A$1001,A136,$B$2:$B$1001,"&lt;"&amp;B136))</f>
        <v/>
      </c>
      <c r="J136" s="24" t="str">
        <f aca="false">IF(OR(A136="",B136=""),"",IFERROR(LOOKUP(2,1/(单次交易!$A$2:$A$201=A136),单次交易!$E$2:$E$201)*LOOKUP(2,1/(单次交易!$A$2:$A$201=A136),单次交易!$H$2:$H$201),0)+SUMIFS($H$2:$H$1001,$A$2:$A$1001,A136,$B$2:$B$1001,"&lt;"&amp;B136))</f>
        <v/>
      </c>
      <c r="K136" s="24" t="str">
        <f aca="false">IF(OR(E136="",I136="",J136=""),"",MAX(E136*I136-J136,0))</f>
        <v/>
      </c>
      <c r="L136" s="25" t="str">
        <f aca="false">IF(OR(D136="",E136="",F136="",D136&lt;=E136),"",FLOOR((F136+K136)/(D136-E136),100))</f>
        <v/>
      </c>
      <c r="M136" s="25" t="str">
        <f aca="false">IF(OR(A136="",B136="",L136=""),"",IF(B136=1,L136,IFERROR(SUMIFS($G$2:$G$1001,$A$2:$A$1001,A136,$B$2:$B$1001,B136-1),0)))</f>
        <v/>
      </c>
      <c r="N136" s="25" t="str">
        <f aca="false">IF(OR(L136="",M136=""),"",MIN(L136,M136))</f>
        <v/>
      </c>
      <c r="O136" s="25" t="str">
        <f aca="false">IF(OR(I136="",G136=""),"",I136+G136)</f>
        <v/>
      </c>
      <c r="P136" s="24" t="str">
        <f aca="false">IF(OR(O136="",O136=0),"",(J136+H136)/O136)</f>
        <v/>
      </c>
      <c r="Q136" s="24" t="str">
        <f aca="false">IF(OR(O136="",E136=""),"",MAX(J136+H136-E136*O136,0))</f>
        <v/>
      </c>
      <c r="R136" s="26" t="str">
        <f aca="false">IF(A136="","",IF(COUNTIF(_TradeIds,A136)=0,"违规：交易编号不存在",IF(OR(B136="",B136&lt;1,B136&gt;5,B136&lt;&gt;INT(B136)),"违规：加仓序号须为1到5的整数",IF(COUNTIFS($A$2:$A$1001,A136,$B$2:$B$1001,B136)&gt;1,"违规：同一交易的加仓序号重复",IF(OR(D136="",E136="",F136=""),"计划不完整：请填写加仓价、新止损价和风险预算",IF(OR(D136&lt;=0,E136&lt;=0,F136&lt;=0,D136&lt;=E136),"违规：加仓价必须高于新止损价，金额须大于0",IF(AND(B136&gt;1,COUNTIFS($A$2:$A$1001,A136,$B$2:$B$1001,B136-1,$G$2:$G$1001,"&gt;0")=0),"违规：须先完成上一次加仓",IF(AND(B136&gt;1,E136&lt;SUMIFS($E$2:$E$1001,$A$2:$A$1001,A136,$B$2:$B$1001,B136-1)),"违规：新止损价不得低于上一次",IF(AND(B136&gt;1,F136&gt;SUMIFS($F$2:$F$1001,$A$2:$A$1001,A136,$B$2:$B$1001,B136-1)),"违规：风险预算须逐次不增加",IF(OR(_LockStatus="已锁仓",_LockStatus="解锁信息不完整"),"违规：锁仓期间禁止加仓",IF(G136="","计划可执行：建议股数见N列",IF(OR(G136&lt;=0,G136&lt;&gt;INT(G136),MOD(G136,100)&lt;&gt;0),"违规：实际股数须为100股整数倍",IF(G136&gt;N136,"违规：实际股数超过风险或金字塔上限",IF(AND(B136&gt;1,G136&gt;SUMIFS($G$2:$G$1001,$A$2:$A$1001,A136,$B$2:$B$1001,B136-1)),"违规：加仓股数须逐次不增加",IF(Q136&gt;F136,"违规：止损风险超过本次预算","通过")))))))))))))))</f>
        <v/>
      </c>
    </row>
    <row r="137" customFormat="false" ht="15" hidden="false" customHeight="false" outlineLevel="0" collapsed="false">
      <c r="A137" s="20"/>
      <c r="B137" s="21"/>
      <c r="C137" s="22"/>
      <c r="D137" s="23"/>
      <c r="E137" s="23"/>
      <c r="F137" s="23"/>
      <c r="G137" s="21"/>
      <c r="H137" s="24" t="str">
        <f aca="false">IF(OR(A137="",D137="",G137=""),"",D137*G137)</f>
        <v/>
      </c>
      <c r="I137" s="25" t="str">
        <f aca="false">IF(OR(A137="",B137=""),"",IFERROR(LOOKUP(2,1/(单次交易!$A$2:$A$201=A137),单次交易!$H$2:$H$201),0)+SUMIFS($G$2:$G$1001,$A$2:$A$1001,A137,$B$2:$B$1001,"&lt;"&amp;B137))</f>
        <v/>
      </c>
      <c r="J137" s="24" t="str">
        <f aca="false">IF(OR(A137="",B137=""),"",IFERROR(LOOKUP(2,1/(单次交易!$A$2:$A$201=A137),单次交易!$E$2:$E$201)*LOOKUP(2,1/(单次交易!$A$2:$A$201=A137),单次交易!$H$2:$H$201),0)+SUMIFS($H$2:$H$1001,$A$2:$A$1001,A137,$B$2:$B$1001,"&lt;"&amp;B137))</f>
        <v/>
      </c>
      <c r="K137" s="24" t="str">
        <f aca="false">IF(OR(E137="",I137="",J137=""),"",MAX(E137*I137-J137,0))</f>
        <v/>
      </c>
      <c r="L137" s="25" t="str">
        <f aca="false">IF(OR(D137="",E137="",F137="",D137&lt;=E137),"",FLOOR((F137+K137)/(D137-E137),100))</f>
        <v/>
      </c>
      <c r="M137" s="25" t="str">
        <f aca="false">IF(OR(A137="",B137="",L137=""),"",IF(B137=1,L137,IFERROR(SUMIFS($G$2:$G$1001,$A$2:$A$1001,A137,$B$2:$B$1001,B137-1),0)))</f>
        <v/>
      </c>
      <c r="N137" s="25" t="str">
        <f aca="false">IF(OR(L137="",M137=""),"",MIN(L137,M137))</f>
        <v/>
      </c>
      <c r="O137" s="25" t="str">
        <f aca="false">IF(OR(I137="",G137=""),"",I137+G137)</f>
        <v/>
      </c>
      <c r="P137" s="24" t="str">
        <f aca="false">IF(OR(O137="",O137=0),"",(J137+H137)/O137)</f>
        <v/>
      </c>
      <c r="Q137" s="24" t="str">
        <f aca="false">IF(OR(O137="",E137=""),"",MAX(J137+H137-E137*O137,0))</f>
        <v/>
      </c>
      <c r="R137" s="26" t="str">
        <f aca="false">IF(A137="","",IF(COUNTIF(_TradeIds,A137)=0,"违规：交易编号不存在",IF(OR(B137="",B137&lt;1,B137&gt;5,B137&lt;&gt;INT(B137)),"违规：加仓序号须为1到5的整数",IF(COUNTIFS($A$2:$A$1001,A137,$B$2:$B$1001,B137)&gt;1,"违规：同一交易的加仓序号重复",IF(OR(D137="",E137="",F137=""),"计划不完整：请填写加仓价、新止损价和风险预算",IF(OR(D137&lt;=0,E137&lt;=0,F137&lt;=0,D137&lt;=E137),"违规：加仓价必须高于新止损价，金额须大于0",IF(AND(B137&gt;1,COUNTIFS($A$2:$A$1001,A137,$B$2:$B$1001,B137-1,$G$2:$G$1001,"&gt;0")=0),"违规：须先完成上一次加仓",IF(AND(B137&gt;1,E137&lt;SUMIFS($E$2:$E$1001,$A$2:$A$1001,A137,$B$2:$B$1001,B137-1)),"违规：新止损价不得低于上一次",IF(AND(B137&gt;1,F137&gt;SUMIFS($F$2:$F$1001,$A$2:$A$1001,A137,$B$2:$B$1001,B137-1)),"违规：风险预算须逐次不增加",IF(OR(_LockStatus="已锁仓",_LockStatus="解锁信息不完整"),"违规：锁仓期间禁止加仓",IF(G137="","计划可执行：建议股数见N列",IF(OR(G137&lt;=0,G137&lt;&gt;INT(G137),MOD(G137,100)&lt;&gt;0),"违规：实际股数须为100股整数倍",IF(G137&gt;N137,"违规：实际股数超过风险或金字塔上限",IF(AND(B137&gt;1,G137&gt;SUMIFS($G$2:$G$1001,$A$2:$A$1001,A137,$B$2:$B$1001,B137-1)),"违规：加仓股数须逐次不增加",IF(Q137&gt;F137,"违规：止损风险超过本次预算","通过")))))))))))))))</f>
        <v/>
      </c>
    </row>
    <row r="138" customFormat="false" ht="15" hidden="false" customHeight="false" outlineLevel="0" collapsed="false">
      <c r="A138" s="20"/>
      <c r="B138" s="21"/>
      <c r="C138" s="22"/>
      <c r="D138" s="23"/>
      <c r="E138" s="23"/>
      <c r="F138" s="23"/>
      <c r="G138" s="21"/>
      <c r="H138" s="24" t="str">
        <f aca="false">IF(OR(A138="",D138="",G138=""),"",D138*G138)</f>
        <v/>
      </c>
      <c r="I138" s="25" t="str">
        <f aca="false">IF(OR(A138="",B138=""),"",IFERROR(LOOKUP(2,1/(单次交易!$A$2:$A$201=A138),单次交易!$H$2:$H$201),0)+SUMIFS($G$2:$G$1001,$A$2:$A$1001,A138,$B$2:$B$1001,"&lt;"&amp;B138))</f>
        <v/>
      </c>
      <c r="J138" s="24" t="str">
        <f aca="false">IF(OR(A138="",B138=""),"",IFERROR(LOOKUP(2,1/(单次交易!$A$2:$A$201=A138),单次交易!$E$2:$E$201)*LOOKUP(2,1/(单次交易!$A$2:$A$201=A138),单次交易!$H$2:$H$201),0)+SUMIFS($H$2:$H$1001,$A$2:$A$1001,A138,$B$2:$B$1001,"&lt;"&amp;B138))</f>
        <v/>
      </c>
      <c r="K138" s="24" t="str">
        <f aca="false">IF(OR(E138="",I138="",J138=""),"",MAX(E138*I138-J138,0))</f>
        <v/>
      </c>
      <c r="L138" s="25" t="str">
        <f aca="false">IF(OR(D138="",E138="",F138="",D138&lt;=E138),"",FLOOR((F138+K138)/(D138-E138),100))</f>
        <v/>
      </c>
      <c r="M138" s="25" t="str">
        <f aca="false">IF(OR(A138="",B138="",L138=""),"",IF(B138=1,L138,IFERROR(SUMIFS($G$2:$G$1001,$A$2:$A$1001,A138,$B$2:$B$1001,B138-1),0)))</f>
        <v/>
      </c>
      <c r="N138" s="25" t="str">
        <f aca="false">IF(OR(L138="",M138=""),"",MIN(L138,M138))</f>
        <v/>
      </c>
      <c r="O138" s="25" t="str">
        <f aca="false">IF(OR(I138="",G138=""),"",I138+G138)</f>
        <v/>
      </c>
      <c r="P138" s="24" t="str">
        <f aca="false">IF(OR(O138="",O138=0),"",(J138+H138)/O138)</f>
        <v/>
      </c>
      <c r="Q138" s="24" t="str">
        <f aca="false">IF(OR(O138="",E138=""),"",MAX(J138+H138-E138*O138,0))</f>
        <v/>
      </c>
      <c r="R138" s="26" t="str">
        <f aca="false">IF(A138="","",IF(COUNTIF(_TradeIds,A138)=0,"违规：交易编号不存在",IF(OR(B138="",B138&lt;1,B138&gt;5,B138&lt;&gt;INT(B138)),"违规：加仓序号须为1到5的整数",IF(COUNTIFS($A$2:$A$1001,A138,$B$2:$B$1001,B138)&gt;1,"违规：同一交易的加仓序号重复",IF(OR(D138="",E138="",F138=""),"计划不完整：请填写加仓价、新止损价和风险预算",IF(OR(D138&lt;=0,E138&lt;=0,F138&lt;=0,D138&lt;=E138),"违规：加仓价必须高于新止损价，金额须大于0",IF(AND(B138&gt;1,COUNTIFS($A$2:$A$1001,A138,$B$2:$B$1001,B138-1,$G$2:$G$1001,"&gt;0")=0),"违规：须先完成上一次加仓",IF(AND(B138&gt;1,E138&lt;SUMIFS($E$2:$E$1001,$A$2:$A$1001,A138,$B$2:$B$1001,B138-1)),"违规：新止损价不得低于上一次",IF(AND(B138&gt;1,F138&gt;SUMIFS($F$2:$F$1001,$A$2:$A$1001,A138,$B$2:$B$1001,B138-1)),"违规：风险预算须逐次不增加",IF(OR(_LockStatus="已锁仓",_LockStatus="解锁信息不完整"),"违规：锁仓期间禁止加仓",IF(G138="","计划可执行：建议股数见N列",IF(OR(G138&lt;=0,G138&lt;&gt;INT(G138),MOD(G138,100)&lt;&gt;0),"违规：实际股数须为100股整数倍",IF(G138&gt;N138,"违规：实际股数超过风险或金字塔上限",IF(AND(B138&gt;1,G138&gt;SUMIFS($G$2:$G$1001,$A$2:$A$1001,A138,$B$2:$B$1001,B138-1)),"违规：加仓股数须逐次不增加",IF(Q138&gt;F138,"违规：止损风险超过本次预算","通过")))))))))))))))</f>
        <v/>
      </c>
    </row>
    <row r="139" customFormat="false" ht="15" hidden="false" customHeight="false" outlineLevel="0" collapsed="false">
      <c r="A139" s="20"/>
      <c r="B139" s="21"/>
      <c r="C139" s="22"/>
      <c r="D139" s="23"/>
      <c r="E139" s="23"/>
      <c r="F139" s="23"/>
      <c r="G139" s="21"/>
      <c r="H139" s="24" t="str">
        <f aca="false">IF(OR(A139="",D139="",G139=""),"",D139*G139)</f>
        <v/>
      </c>
      <c r="I139" s="25" t="str">
        <f aca="false">IF(OR(A139="",B139=""),"",IFERROR(LOOKUP(2,1/(单次交易!$A$2:$A$201=A139),单次交易!$H$2:$H$201),0)+SUMIFS($G$2:$G$1001,$A$2:$A$1001,A139,$B$2:$B$1001,"&lt;"&amp;B139))</f>
        <v/>
      </c>
      <c r="J139" s="24" t="str">
        <f aca="false">IF(OR(A139="",B139=""),"",IFERROR(LOOKUP(2,1/(单次交易!$A$2:$A$201=A139),单次交易!$E$2:$E$201)*LOOKUP(2,1/(单次交易!$A$2:$A$201=A139),单次交易!$H$2:$H$201),0)+SUMIFS($H$2:$H$1001,$A$2:$A$1001,A139,$B$2:$B$1001,"&lt;"&amp;B139))</f>
        <v/>
      </c>
      <c r="K139" s="24" t="str">
        <f aca="false">IF(OR(E139="",I139="",J139=""),"",MAX(E139*I139-J139,0))</f>
        <v/>
      </c>
      <c r="L139" s="25" t="str">
        <f aca="false">IF(OR(D139="",E139="",F139="",D139&lt;=E139),"",FLOOR((F139+K139)/(D139-E139),100))</f>
        <v/>
      </c>
      <c r="M139" s="25" t="str">
        <f aca="false">IF(OR(A139="",B139="",L139=""),"",IF(B139=1,L139,IFERROR(SUMIFS($G$2:$G$1001,$A$2:$A$1001,A139,$B$2:$B$1001,B139-1),0)))</f>
        <v/>
      </c>
      <c r="N139" s="25" t="str">
        <f aca="false">IF(OR(L139="",M139=""),"",MIN(L139,M139))</f>
        <v/>
      </c>
      <c r="O139" s="25" t="str">
        <f aca="false">IF(OR(I139="",G139=""),"",I139+G139)</f>
        <v/>
      </c>
      <c r="P139" s="24" t="str">
        <f aca="false">IF(OR(O139="",O139=0),"",(J139+H139)/O139)</f>
        <v/>
      </c>
      <c r="Q139" s="24" t="str">
        <f aca="false">IF(OR(O139="",E139=""),"",MAX(J139+H139-E139*O139,0))</f>
        <v/>
      </c>
      <c r="R139" s="26" t="str">
        <f aca="false">IF(A139="","",IF(COUNTIF(_TradeIds,A139)=0,"违规：交易编号不存在",IF(OR(B139="",B139&lt;1,B139&gt;5,B139&lt;&gt;INT(B139)),"违规：加仓序号须为1到5的整数",IF(COUNTIFS($A$2:$A$1001,A139,$B$2:$B$1001,B139)&gt;1,"违规：同一交易的加仓序号重复",IF(OR(D139="",E139="",F139=""),"计划不完整：请填写加仓价、新止损价和风险预算",IF(OR(D139&lt;=0,E139&lt;=0,F139&lt;=0,D139&lt;=E139),"违规：加仓价必须高于新止损价，金额须大于0",IF(AND(B139&gt;1,COUNTIFS($A$2:$A$1001,A139,$B$2:$B$1001,B139-1,$G$2:$G$1001,"&gt;0")=0),"违规：须先完成上一次加仓",IF(AND(B139&gt;1,E139&lt;SUMIFS($E$2:$E$1001,$A$2:$A$1001,A139,$B$2:$B$1001,B139-1)),"违规：新止损价不得低于上一次",IF(AND(B139&gt;1,F139&gt;SUMIFS($F$2:$F$1001,$A$2:$A$1001,A139,$B$2:$B$1001,B139-1)),"违规：风险预算须逐次不增加",IF(OR(_LockStatus="已锁仓",_LockStatus="解锁信息不完整"),"违规：锁仓期间禁止加仓",IF(G139="","计划可执行：建议股数见N列",IF(OR(G139&lt;=0,G139&lt;&gt;INT(G139),MOD(G139,100)&lt;&gt;0),"违规：实际股数须为100股整数倍",IF(G139&gt;N139,"违规：实际股数超过风险或金字塔上限",IF(AND(B139&gt;1,G139&gt;SUMIFS($G$2:$G$1001,$A$2:$A$1001,A139,$B$2:$B$1001,B139-1)),"违规：加仓股数须逐次不增加",IF(Q139&gt;F139,"违规：止损风险超过本次预算","通过")))))))))))))))</f>
        <v/>
      </c>
    </row>
    <row r="140" customFormat="false" ht="15" hidden="false" customHeight="false" outlineLevel="0" collapsed="false">
      <c r="A140" s="20"/>
      <c r="B140" s="21"/>
      <c r="C140" s="22"/>
      <c r="D140" s="23"/>
      <c r="E140" s="23"/>
      <c r="F140" s="23"/>
      <c r="G140" s="21"/>
      <c r="H140" s="24" t="str">
        <f aca="false">IF(OR(A140="",D140="",G140=""),"",D140*G140)</f>
        <v/>
      </c>
      <c r="I140" s="25" t="str">
        <f aca="false">IF(OR(A140="",B140=""),"",IFERROR(LOOKUP(2,1/(单次交易!$A$2:$A$201=A140),单次交易!$H$2:$H$201),0)+SUMIFS($G$2:$G$1001,$A$2:$A$1001,A140,$B$2:$B$1001,"&lt;"&amp;B140))</f>
        <v/>
      </c>
      <c r="J140" s="24" t="str">
        <f aca="false">IF(OR(A140="",B140=""),"",IFERROR(LOOKUP(2,1/(单次交易!$A$2:$A$201=A140),单次交易!$E$2:$E$201)*LOOKUP(2,1/(单次交易!$A$2:$A$201=A140),单次交易!$H$2:$H$201),0)+SUMIFS($H$2:$H$1001,$A$2:$A$1001,A140,$B$2:$B$1001,"&lt;"&amp;B140))</f>
        <v/>
      </c>
      <c r="K140" s="24" t="str">
        <f aca="false">IF(OR(E140="",I140="",J140=""),"",MAX(E140*I140-J140,0))</f>
        <v/>
      </c>
      <c r="L140" s="25" t="str">
        <f aca="false">IF(OR(D140="",E140="",F140="",D140&lt;=E140),"",FLOOR((F140+K140)/(D140-E140),100))</f>
        <v/>
      </c>
      <c r="M140" s="25" t="str">
        <f aca="false">IF(OR(A140="",B140="",L140=""),"",IF(B140=1,L140,IFERROR(SUMIFS($G$2:$G$1001,$A$2:$A$1001,A140,$B$2:$B$1001,B140-1),0)))</f>
        <v/>
      </c>
      <c r="N140" s="25" t="str">
        <f aca="false">IF(OR(L140="",M140=""),"",MIN(L140,M140))</f>
        <v/>
      </c>
      <c r="O140" s="25" t="str">
        <f aca="false">IF(OR(I140="",G140=""),"",I140+G140)</f>
        <v/>
      </c>
      <c r="P140" s="24" t="str">
        <f aca="false">IF(OR(O140="",O140=0),"",(J140+H140)/O140)</f>
        <v/>
      </c>
      <c r="Q140" s="24" t="str">
        <f aca="false">IF(OR(O140="",E140=""),"",MAX(J140+H140-E140*O140,0))</f>
        <v/>
      </c>
      <c r="R140" s="26" t="str">
        <f aca="false">IF(A140="","",IF(COUNTIF(_TradeIds,A140)=0,"违规：交易编号不存在",IF(OR(B140="",B140&lt;1,B140&gt;5,B140&lt;&gt;INT(B140)),"违规：加仓序号须为1到5的整数",IF(COUNTIFS($A$2:$A$1001,A140,$B$2:$B$1001,B140)&gt;1,"违规：同一交易的加仓序号重复",IF(OR(D140="",E140="",F140=""),"计划不完整：请填写加仓价、新止损价和风险预算",IF(OR(D140&lt;=0,E140&lt;=0,F140&lt;=0,D140&lt;=E140),"违规：加仓价必须高于新止损价，金额须大于0",IF(AND(B140&gt;1,COUNTIFS($A$2:$A$1001,A140,$B$2:$B$1001,B140-1,$G$2:$G$1001,"&gt;0")=0),"违规：须先完成上一次加仓",IF(AND(B140&gt;1,E140&lt;SUMIFS($E$2:$E$1001,$A$2:$A$1001,A140,$B$2:$B$1001,B140-1)),"违规：新止损价不得低于上一次",IF(AND(B140&gt;1,F140&gt;SUMIFS($F$2:$F$1001,$A$2:$A$1001,A140,$B$2:$B$1001,B140-1)),"违规：风险预算须逐次不增加",IF(OR(_LockStatus="已锁仓",_LockStatus="解锁信息不完整"),"违规：锁仓期间禁止加仓",IF(G140="","计划可执行：建议股数见N列",IF(OR(G140&lt;=0,G140&lt;&gt;INT(G140),MOD(G140,100)&lt;&gt;0),"违规：实际股数须为100股整数倍",IF(G140&gt;N140,"违规：实际股数超过风险或金字塔上限",IF(AND(B140&gt;1,G140&gt;SUMIFS($G$2:$G$1001,$A$2:$A$1001,A140,$B$2:$B$1001,B140-1)),"违规：加仓股数须逐次不增加",IF(Q140&gt;F140,"违规：止损风险超过本次预算","通过")))))))))))))))</f>
        <v/>
      </c>
    </row>
    <row r="141" customFormat="false" ht="15" hidden="false" customHeight="false" outlineLevel="0" collapsed="false">
      <c r="A141" s="20"/>
      <c r="B141" s="21"/>
      <c r="C141" s="22"/>
      <c r="D141" s="23"/>
      <c r="E141" s="23"/>
      <c r="F141" s="23"/>
      <c r="G141" s="21"/>
      <c r="H141" s="24" t="str">
        <f aca="false">IF(OR(A141="",D141="",G141=""),"",D141*G141)</f>
        <v/>
      </c>
      <c r="I141" s="25" t="str">
        <f aca="false">IF(OR(A141="",B141=""),"",IFERROR(LOOKUP(2,1/(单次交易!$A$2:$A$201=A141),单次交易!$H$2:$H$201),0)+SUMIFS($G$2:$G$1001,$A$2:$A$1001,A141,$B$2:$B$1001,"&lt;"&amp;B141))</f>
        <v/>
      </c>
      <c r="J141" s="24" t="str">
        <f aca="false">IF(OR(A141="",B141=""),"",IFERROR(LOOKUP(2,1/(单次交易!$A$2:$A$201=A141),单次交易!$E$2:$E$201)*LOOKUP(2,1/(单次交易!$A$2:$A$201=A141),单次交易!$H$2:$H$201),0)+SUMIFS($H$2:$H$1001,$A$2:$A$1001,A141,$B$2:$B$1001,"&lt;"&amp;B141))</f>
        <v/>
      </c>
      <c r="K141" s="24" t="str">
        <f aca="false">IF(OR(E141="",I141="",J141=""),"",MAX(E141*I141-J141,0))</f>
        <v/>
      </c>
      <c r="L141" s="25" t="str">
        <f aca="false">IF(OR(D141="",E141="",F141="",D141&lt;=E141),"",FLOOR((F141+K141)/(D141-E141),100))</f>
        <v/>
      </c>
      <c r="M141" s="25" t="str">
        <f aca="false">IF(OR(A141="",B141="",L141=""),"",IF(B141=1,L141,IFERROR(SUMIFS($G$2:$G$1001,$A$2:$A$1001,A141,$B$2:$B$1001,B141-1),0)))</f>
        <v/>
      </c>
      <c r="N141" s="25" t="str">
        <f aca="false">IF(OR(L141="",M141=""),"",MIN(L141,M141))</f>
        <v/>
      </c>
      <c r="O141" s="25" t="str">
        <f aca="false">IF(OR(I141="",G141=""),"",I141+G141)</f>
        <v/>
      </c>
      <c r="P141" s="24" t="str">
        <f aca="false">IF(OR(O141="",O141=0),"",(J141+H141)/O141)</f>
        <v/>
      </c>
      <c r="Q141" s="24" t="str">
        <f aca="false">IF(OR(O141="",E141=""),"",MAX(J141+H141-E141*O141,0))</f>
        <v/>
      </c>
      <c r="R141" s="26" t="str">
        <f aca="false">IF(A141="","",IF(COUNTIF(_TradeIds,A141)=0,"违规：交易编号不存在",IF(OR(B141="",B141&lt;1,B141&gt;5,B141&lt;&gt;INT(B141)),"违规：加仓序号须为1到5的整数",IF(COUNTIFS($A$2:$A$1001,A141,$B$2:$B$1001,B141)&gt;1,"违规：同一交易的加仓序号重复",IF(OR(D141="",E141="",F141=""),"计划不完整：请填写加仓价、新止损价和风险预算",IF(OR(D141&lt;=0,E141&lt;=0,F141&lt;=0,D141&lt;=E141),"违规：加仓价必须高于新止损价，金额须大于0",IF(AND(B141&gt;1,COUNTIFS($A$2:$A$1001,A141,$B$2:$B$1001,B141-1,$G$2:$G$1001,"&gt;0")=0),"违规：须先完成上一次加仓",IF(AND(B141&gt;1,E141&lt;SUMIFS($E$2:$E$1001,$A$2:$A$1001,A141,$B$2:$B$1001,B141-1)),"违规：新止损价不得低于上一次",IF(AND(B141&gt;1,F141&gt;SUMIFS($F$2:$F$1001,$A$2:$A$1001,A141,$B$2:$B$1001,B141-1)),"违规：风险预算须逐次不增加",IF(OR(_LockStatus="已锁仓",_LockStatus="解锁信息不完整"),"违规：锁仓期间禁止加仓",IF(G141="","计划可执行：建议股数见N列",IF(OR(G141&lt;=0,G141&lt;&gt;INT(G141),MOD(G141,100)&lt;&gt;0),"违规：实际股数须为100股整数倍",IF(G141&gt;N141,"违规：实际股数超过风险或金字塔上限",IF(AND(B141&gt;1,G141&gt;SUMIFS($G$2:$G$1001,$A$2:$A$1001,A141,$B$2:$B$1001,B141-1)),"违规：加仓股数须逐次不增加",IF(Q141&gt;F141,"违规：止损风险超过本次预算","通过")))))))))))))))</f>
        <v/>
      </c>
    </row>
    <row r="142" customFormat="false" ht="15" hidden="false" customHeight="false" outlineLevel="0" collapsed="false">
      <c r="A142" s="20"/>
      <c r="B142" s="21"/>
      <c r="C142" s="22"/>
      <c r="D142" s="23"/>
      <c r="E142" s="23"/>
      <c r="F142" s="23"/>
      <c r="G142" s="21"/>
      <c r="H142" s="24" t="str">
        <f aca="false">IF(OR(A142="",D142="",G142=""),"",D142*G142)</f>
        <v/>
      </c>
      <c r="I142" s="25" t="str">
        <f aca="false">IF(OR(A142="",B142=""),"",IFERROR(LOOKUP(2,1/(单次交易!$A$2:$A$201=A142),单次交易!$H$2:$H$201),0)+SUMIFS($G$2:$G$1001,$A$2:$A$1001,A142,$B$2:$B$1001,"&lt;"&amp;B142))</f>
        <v/>
      </c>
      <c r="J142" s="24" t="str">
        <f aca="false">IF(OR(A142="",B142=""),"",IFERROR(LOOKUP(2,1/(单次交易!$A$2:$A$201=A142),单次交易!$E$2:$E$201)*LOOKUP(2,1/(单次交易!$A$2:$A$201=A142),单次交易!$H$2:$H$201),0)+SUMIFS($H$2:$H$1001,$A$2:$A$1001,A142,$B$2:$B$1001,"&lt;"&amp;B142))</f>
        <v/>
      </c>
      <c r="K142" s="24" t="str">
        <f aca="false">IF(OR(E142="",I142="",J142=""),"",MAX(E142*I142-J142,0))</f>
        <v/>
      </c>
      <c r="L142" s="25" t="str">
        <f aca="false">IF(OR(D142="",E142="",F142="",D142&lt;=E142),"",FLOOR((F142+K142)/(D142-E142),100))</f>
        <v/>
      </c>
      <c r="M142" s="25" t="str">
        <f aca="false">IF(OR(A142="",B142="",L142=""),"",IF(B142=1,L142,IFERROR(SUMIFS($G$2:$G$1001,$A$2:$A$1001,A142,$B$2:$B$1001,B142-1),0)))</f>
        <v/>
      </c>
      <c r="N142" s="25" t="str">
        <f aca="false">IF(OR(L142="",M142=""),"",MIN(L142,M142))</f>
        <v/>
      </c>
      <c r="O142" s="25" t="str">
        <f aca="false">IF(OR(I142="",G142=""),"",I142+G142)</f>
        <v/>
      </c>
      <c r="P142" s="24" t="str">
        <f aca="false">IF(OR(O142="",O142=0),"",(J142+H142)/O142)</f>
        <v/>
      </c>
      <c r="Q142" s="24" t="str">
        <f aca="false">IF(OR(O142="",E142=""),"",MAX(J142+H142-E142*O142,0))</f>
        <v/>
      </c>
      <c r="R142" s="26" t="str">
        <f aca="false">IF(A142="","",IF(COUNTIF(_TradeIds,A142)=0,"违规：交易编号不存在",IF(OR(B142="",B142&lt;1,B142&gt;5,B142&lt;&gt;INT(B142)),"违规：加仓序号须为1到5的整数",IF(COUNTIFS($A$2:$A$1001,A142,$B$2:$B$1001,B142)&gt;1,"违规：同一交易的加仓序号重复",IF(OR(D142="",E142="",F142=""),"计划不完整：请填写加仓价、新止损价和风险预算",IF(OR(D142&lt;=0,E142&lt;=0,F142&lt;=0,D142&lt;=E142),"违规：加仓价必须高于新止损价，金额须大于0",IF(AND(B142&gt;1,COUNTIFS($A$2:$A$1001,A142,$B$2:$B$1001,B142-1,$G$2:$G$1001,"&gt;0")=0),"违规：须先完成上一次加仓",IF(AND(B142&gt;1,E142&lt;SUMIFS($E$2:$E$1001,$A$2:$A$1001,A142,$B$2:$B$1001,B142-1)),"违规：新止损价不得低于上一次",IF(AND(B142&gt;1,F142&gt;SUMIFS($F$2:$F$1001,$A$2:$A$1001,A142,$B$2:$B$1001,B142-1)),"违规：风险预算须逐次不增加",IF(OR(_LockStatus="已锁仓",_LockStatus="解锁信息不完整"),"违规：锁仓期间禁止加仓",IF(G142="","计划可执行：建议股数见N列",IF(OR(G142&lt;=0,G142&lt;&gt;INT(G142),MOD(G142,100)&lt;&gt;0),"违规：实际股数须为100股整数倍",IF(G142&gt;N142,"违规：实际股数超过风险或金字塔上限",IF(AND(B142&gt;1,G142&gt;SUMIFS($G$2:$G$1001,$A$2:$A$1001,A142,$B$2:$B$1001,B142-1)),"违规：加仓股数须逐次不增加",IF(Q142&gt;F142,"违规：止损风险超过本次预算","通过")))))))))))))))</f>
        <v/>
      </c>
    </row>
    <row r="143" customFormat="false" ht="15" hidden="false" customHeight="false" outlineLevel="0" collapsed="false">
      <c r="A143" s="20"/>
      <c r="B143" s="21"/>
      <c r="C143" s="22"/>
      <c r="D143" s="23"/>
      <c r="E143" s="23"/>
      <c r="F143" s="23"/>
      <c r="G143" s="21"/>
      <c r="H143" s="24" t="str">
        <f aca="false">IF(OR(A143="",D143="",G143=""),"",D143*G143)</f>
        <v/>
      </c>
      <c r="I143" s="25" t="str">
        <f aca="false">IF(OR(A143="",B143=""),"",IFERROR(LOOKUP(2,1/(单次交易!$A$2:$A$201=A143),单次交易!$H$2:$H$201),0)+SUMIFS($G$2:$G$1001,$A$2:$A$1001,A143,$B$2:$B$1001,"&lt;"&amp;B143))</f>
        <v/>
      </c>
      <c r="J143" s="24" t="str">
        <f aca="false">IF(OR(A143="",B143=""),"",IFERROR(LOOKUP(2,1/(单次交易!$A$2:$A$201=A143),单次交易!$E$2:$E$201)*LOOKUP(2,1/(单次交易!$A$2:$A$201=A143),单次交易!$H$2:$H$201),0)+SUMIFS($H$2:$H$1001,$A$2:$A$1001,A143,$B$2:$B$1001,"&lt;"&amp;B143))</f>
        <v/>
      </c>
      <c r="K143" s="24" t="str">
        <f aca="false">IF(OR(E143="",I143="",J143=""),"",MAX(E143*I143-J143,0))</f>
        <v/>
      </c>
      <c r="L143" s="25" t="str">
        <f aca="false">IF(OR(D143="",E143="",F143="",D143&lt;=E143),"",FLOOR((F143+K143)/(D143-E143),100))</f>
        <v/>
      </c>
      <c r="M143" s="25" t="str">
        <f aca="false">IF(OR(A143="",B143="",L143=""),"",IF(B143=1,L143,IFERROR(SUMIFS($G$2:$G$1001,$A$2:$A$1001,A143,$B$2:$B$1001,B143-1),0)))</f>
        <v/>
      </c>
      <c r="N143" s="25" t="str">
        <f aca="false">IF(OR(L143="",M143=""),"",MIN(L143,M143))</f>
        <v/>
      </c>
      <c r="O143" s="25" t="str">
        <f aca="false">IF(OR(I143="",G143=""),"",I143+G143)</f>
        <v/>
      </c>
      <c r="P143" s="24" t="str">
        <f aca="false">IF(OR(O143="",O143=0),"",(J143+H143)/O143)</f>
        <v/>
      </c>
      <c r="Q143" s="24" t="str">
        <f aca="false">IF(OR(O143="",E143=""),"",MAX(J143+H143-E143*O143,0))</f>
        <v/>
      </c>
      <c r="R143" s="26" t="str">
        <f aca="false">IF(A143="","",IF(COUNTIF(_TradeIds,A143)=0,"违规：交易编号不存在",IF(OR(B143="",B143&lt;1,B143&gt;5,B143&lt;&gt;INT(B143)),"违规：加仓序号须为1到5的整数",IF(COUNTIFS($A$2:$A$1001,A143,$B$2:$B$1001,B143)&gt;1,"违规：同一交易的加仓序号重复",IF(OR(D143="",E143="",F143=""),"计划不完整：请填写加仓价、新止损价和风险预算",IF(OR(D143&lt;=0,E143&lt;=0,F143&lt;=0,D143&lt;=E143),"违规：加仓价必须高于新止损价，金额须大于0",IF(AND(B143&gt;1,COUNTIFS($A$2:$A$1001,A143,$B$2:$B$1001,B143-1,$G$2:$G$1001,"&gt;0")=0),"违规：须先完成上一次加仓",IF(AND(B143&gt;1,E143&lt;SUMIFS($E$2:$E$1001,$A$2:$A$1001,A143,$B$2:$B$1001,B143-1)),"违规：新止损价不得低于上一次",IF(AND(B143&gt;1,F143&gt;SUMIFS($F$2:$F$1001,$A$2:$A$1001,A143,$B$2:$B$1001,B143-1)),"违规：风险预算须逐次不增加",IF(OR(_LockStatus="已锁仓",_LockStatus="解锁信息不完整"),"违规：锁仓期间禁止加仓",IF(G143="","计划可执行：建议股数见N列",IF(OR(G143&lt;=0,G143&lt;&gt;INT(G143),MOD(G143,100)&lt;&gt;0),"违规：实际股数须为100股整数倍",IF(G143&gt;N143,"违规：实际股数超过风险或金字塔上限",IF(AND(B143&gt;1,G143&gt;SUMIFS($G$2:$G$1001,$A$2:$A$1001,A143,$B$2:$B$1001,B143-1)),"违规：加仓股数须逐次不增加",IF(Q143&gt;F143,"违规：止损风险超过本次预算","通过")))))))))))))))</f>
        <v/>
      </c>
    </row>
    <row r="144" customFormat="false" ht="15" hidden="false" customHeight="false" outlineLevel="0" collapsed="false">
      <c r="A144" s="20"/>
      <c r="B144" s="21"/>
      <c r="C144" s="22"/>
      <c r="D144" s="23"/>
      <c r="E144" s="23"/>
      <c r="F144" s="23"/>
      <c r="G144" s="21"/>
      <c r="H144" s="24" t="str">
        <f aca="false">IF(OR(A144="",D144="",G144=""),"",D144*G144)</f>
        <v/>
      </c>
      <c r="I144" s="25" t="str">
        <f aca="false">IF(OR(A144="",B144=""),"",IFERROR(LOOKUP(2,1/(单次交易!$A$2:$A$201=A144),单次交易!$H$2:$H$201),0)+SUMIFS($G$2:$G$1001,$A$2:$A$1001,A144,$B$2:$B$1001,"&lt;"&amp;B144))</f>
        <v/>
      </c>
      <c r="J144" s="24" t="str">
        <f aca="false">IF(OR(A144="",B144=""),"",IFERROR(LOOKUP(2,1/(单次交易!$A$2:$A$201=A144),单次交易!$E$2:$E$201)*LOOKUP(2,1/(单次交易!$A$2:$A$201=A144),单次交易!$H$2:$H$201),0)+SUMIFS($H$2:$H$1001,$A$2:$A$1001,A144,$B$2:$B$1001,"&lt;"&amp;B144))</f>
        <v/>
      </c>
      <c r="K144" s="24" t="str">
        <f aca="false">IF(OR(E144="",I144="",J144=""),"",MAX(E144*I144-J144,0))</f>
        <v/>
      </c>
      <c r="L144" s="25" t="str">
        <f aca="false">IF(OR(D144="",E144="",F144="",D144&lt;=E144),"",FLOOR((F144+K144)/(D144-E144),100))</f>
        <v/>
      </c>
      <c r="M144" s="25" t="str">
        <f aca="false">IF(OR(A144="",B144="",L144=""),"",IF(B144=1,L144,IFERROR(SUMIFS($G$2:$G$1001,$A$2:$A$1001,A144,$B$2:$B$1001,B144-1),0)))</f>
        <v/>
      </c>
      <c r="N144" s="25" t="str">
        <f aca="false">IF(OR(L144="",M144=""),"",MIN(L144,M144))</f>
        <v/>
      </c>
      <c r="O144" s="25" t="str">
        <f aca="false">IF(OR(I144="",G144=""),"",I144+G144)</f>
        <v/>
      </c>
      <c r="P144" s="24" t="str">
        <f aca="false">IF(OR(O144="",O144=0),"",(J144+H144)/O144)</f>
        <v/>
      </c>
      <c r="Q144" s="24" t="str">
        <f aca="false">IF(OR(O144="",E144=""),"",MAX(J144+H144-E144*O144,0))</f>
        <v/>
      </c>
      <c r="R144" s="26" t="str">
        <f aca="false">IF(A144="","",IF(COUNTIF(_TradeIds,A144)=0,"违规：交易编号不存在",IF(OR(B144="",B144&lt;1,B144&gt;5,B144&lt;&gt;INT(B144)),"违规：加仓序号须为1到5的整数",IF(COUNTIFS($A$2:$A$1001,A144,$B$2:$B$1001,B144)&gt;1,"违规：同一交易的加仓序号重复",IF(OR(D144="",E144="",F144=""),"计划不完整：请填写加仓价、新止损价和风险预算",IF(OR(D144&lt;=0,E144&lt;=0,F144&lt;=0,D144&lt;=E144),"违规：加仓价必须高于新止损价，金额须大于0",IF(AND(B144&gt;1,COUNTIFS($A$2:$A$1001,A144,$B$2:$B$1001,B144-1,$G$2:$G$1001,"&gt;0")=0),"违规：须先完成上一次加仓",IF(AND(B144&gt;1,E144&lt;SUMIFS($E$2:$E$1001,$A$2:$A$1001,A144,$B$2:$B$1001,B144-1)),"违规：新止损价不得低于上一次",IF(AND(B144&gt;1,F144&gt;SUMIFS($F$2:$F$1001,$A$2:$A$1001,A144,$B$2:$B$1001,B144-1)),"违规：风险预算须逐次不增加",IF(OR(_LockStatus="已锁仓",_LockStatus="解锁信息不完整"),"违规：锁仓期间禁止加仓",IF(G144="","计划可执行：建议股数见N列",IF(OR(G144&lt;=0,G144&lt;&gt;INT(G144),MOD(G144,100)&lt;&gt;0),"违规：实际股数须为100股整数倍",IF(G144&gt;N144,"违规：实际股数超过风险或金字塔上限",IF(AND(B144&gt;1,G144&gt;SUMIFS($G$2:$G$1001,$A$2:$A$1001,A144,$B$2:$B$1001,B144-1)),"违规：加仓股数须逐次不增加",IF(Q144&gt;F144,"违规：止损风险超过本次预算","通过")))))))))))))))</f>
        <v/>
      </c>
    </row>
    <row r="145" customFormat="false" ht="15" hidden="false" customHeight="false" outlineLevel="0" collapsed="false">
      <c r="A145" s="20"/>
      <c r="B145" s="21"/>
      <c r="C145" s="22"/>
      <c r="D145" s="23"/>
      <c r="E145" s="23"/>
      <c r="F145" s="23"/>
      <c r="G145" s="21"/>
      <c r="H145" s="24" t="str">
        <f aca="false">IF(OR(A145="",D145="",G145=""),"",D145*G145)</f>
        <v/>
      </c>
      <c r="I145" s="25" t="str">
        <f aca="false">IF(OR(A145="",B145=""),"",IFERROR(LOOKUP(2,1/(单次交易!$A$2:$A$201=A145),单次交易!$H$2:$H$201),0)+SUMIFS($G$2:$G$1001,$A$2:$A$1001,A145,$B$2:$B$1001,"&lt;"&amp;B145))</f>
        <v/>
      </c>
      <c r="J145" s="24" t="str">
        <f aca="false">IF(OR(A145="",B145=""),"",IFERROR(LOOKUP(2,1/(单次交易!$A$2:$A$201=A145),单次交易!$E$2:$E$201)*LOOKUP(2,1/(单次交易!$A$2:$A$201=A145),单次交易!$H$2:$H$201),0)+SUMIFS($H$2:$H$1001,$A$2:$A$1001,A145,$B$2:$B$1001,"&lt;"&amp;B145))</f>
        <v/>
      </c>
      <c r="K145" s="24" t="str">
        <f aca="false">IF(OR(E145="",I145="",J145=""),"",MAX(E145*I145-J145,0))</f>
        <v/>
      </c>
      <c r="L145" s="25" t="str">
        <f aca="false">IF(OR(D145="",E145="",F145="",D145&lt;=E145),"",FLOOR((F145+K145)/(D145-E145),100))</f>
        <v/>
      </c>
      <c r="M145" s="25" t="str">
        <f aca="false">IF(OR(A145="",B145="",L145=""),"",IF(B145=1,L145,IFERROR(SUMIFS($G$2:$G$1001,$A$2:$A$1001,A145,$B$2:$B$1001,B145-1),0)))</f>
        <v/>
      </c>
      <c r="N145" s="25" t="str">
        <f aca="false">IF(OR(L145="",M145=""),"",MIN(L145,M145))</f>
        <v/>
      </c>
      <c r="O145" s="25" t="str">
        <f aca="false">IF(OR(I145="",G145=""),"",I145+G145)</f>
        <v/>
      </c>
      <c r="P145" s="24" t="str">
        <f aca="false">IF(OR(O145="",O145=0),"",(J145+H145)/O145)</f>
        <v/>
      </c>
      <c r="Q145" s="24" t="str">
        <f aca="false">IF(OR(O145="",E145=""),"",MAX(J145+H145-E145*O145,0))</f>
        <v/>
      </c>
      <c r="R145" s="26" t="str">
        <f aca="false">IF(A145="","",IF(COUNTIF(_TradeIds,A145)=0,"违规：交易编号不存在",IF(OR(B145="",B145&lt;1,B145&gt;5,B145&lt;&gt;INT(B145)),"违规：加仓序号须为1到5的整数",IF(COUNTIFS($A$2:$A$1001,A145,$B$2:$B$1001,B145)&gt;1,"违规：同一交易的加仓序号重复",IF(OR(D145="",E145="",F145=""),"计划不完整：请填写加仓价、新止损价和风险预算",IF(OR(D145&lt;=0,E145&lt;=0,F145&lt;=0,D145&lt;=E145),"违规：加仓价必须高于新止损价，金额须大于0",IF(AND(B145&gt;1,COUNTIFS($A$2:$A$1001,A145,$B$2:$B$1001,B145-1,$G$2:$G$1001,"&gt;0")=0),"违规：须先完成上一次加仓",IF(AND(B145&gt;1,E145&lt;SUMIFS($E$2:$E$1001,$A$2:$A$1001,A145,$B$2:$B$1001,B145-1)),"违规：新止损价不得低于上一次",IF(AND(B145&gt;1,F145&gt;SUMIFS($F$2:$F$1001,$A$2:$A$1001,A145,$B$2:$B$1001,B145-1)),"违规：风险预算须逐次不增加",IF(OR(_LockStatus="已锁仓",_LockStatus="解锁信息不完整"),"违规：锁仓期间禁止加仓",IF(G145="","计划可执行：建议股数见N列",IF(OR(G145&lt;=0,G145&lt;&gt;INT(G145),MOD(G145,100)&lt;&gt;0),"违规：实际股数须为100股整数倍",IF(G145&gt;N145,"违规：实际股数超过风险或金字塔上限",IF(AND(B145&gt;1,G145&gt;SUMIFS($G$2:$G$1001,$A$2:$A$1001,A145,$B$2:$B$1001,B145-1)),"违规：加仓股数须逐次不增加",IF(Q145&gt;F145,"违规：止损风险超过本次预算","通过")))))))))))))))</f>
        <v/>
      </c>
    </row>
    <row r="146" customFormat="false" ht="15" hidden="false" customHeight="false" outlineLevel="0" collapsed="false">
      <c r="A146" s="20"/>
      <c r="B146" s="21"/>
      <c r="C146" s="22"/>
      <c r="D146" s="23"/>
      <c r="E146" s="23"/>
      <c r="F146" s="23"/>
      <c r="G146" s="21"/>
      <c r="H146" s="24" t="str">
        <f aca="false">IF(OR(A146="",D146="",G146=""),"",D146*G146)</f>
        <v/>
      </c>
      <c r="I146" s="25" t="str">
        <f aca="false">IF(OR(A146="",B146=""),"",IFERROR(LOOKUP(2,1/(单次交易!$A$2:$A$201=A146),单次交易!$H$2:$H$201),0)+SUMIFS($G$2:$G$1001,$A$2:$A$1001,A146,$B$2:$B$1001,"&lt;"&amp;B146))</f>
        <v/>
      </c>
      <c r="J146" s="24" t="str">
        <f aca="false">IF(OR(A146="",B146=""),"",IFERROR(LOOKUP(2,1/(单次交易!$A$2:$A$201=A146),单次交易!$E$2:$E$201)*LOOKUP(2,1/(单次交易!$A$2:$A$201=A146),单次交易!$H$2:$H$201),0)+SUMIFS($H$2:$H$1001,$A$2:$A$1001,A146,$B$2:$B$1001,"&lt;"&amp;B146))</f>
        <v/>
      </c>
      <c r="K146" s="24" t="str">
        <f aca="false">IF(OR(E146="",I146="",J146=""),"",MAX(E146*I146-J146,0))</f>
        <v/>
      </c>
      <c r="L146" s="25" t="str">
        <f aca="false">IF(OR(D146="",E146="",F146="",D146&lt;=E146),"",FLOOR((F146+K146)/(D146-E146),100))</f>
        <v/>
      </c>
      <c r="M146" s="25" t="str">
        <f aca="false">IF(OR(A146="",B146="",L146=""),"",IF(B146=1,L146,IFERROR(SUMIFS($G$2:$G$1001,$A$2:$A$1001,A146,$B$2:$B$1001,B146-1),0)))</f>
        <v/>
      </c>
      <c r="N146" s="25" t="str">
        <f aca="false">IF(OR(L146="",M146=""),"",MIN(L146,M146))</f>
        <v/>
      </c>
      <c r="O146" s="25" t="str">
        <f aca="false">IF(OR(I146="",G146=""),"",I146+G146)</f>
        <v/>
      </c>
      <c r="P146" s="24" t="str">
        <f aca="false">IF(OR(O146="",O146=0),"",(J146+H146)/O146)</f>
        <v/>
      </c>
      <c r="Q146" s="24" t="str">
        <f aca="false">IF(OR(O146="",E146=""),"",MAX(J146+H146-E146*O146,0))</f>
        <v/>
      </c>
      <c r="R146" s="26" t="str">
        <f aca="false">IF(A146="","",IF(COUNTIF(_TradeIds,A146)=0,"违规：交易编号不存在",IF(OR(B146="",B146&lt;1,B146&gt;5,B146&lt;&gt;INT(B146)),"违规：加仓序号须为1到5的整数",IF(COUNTIFS($A$2:$A$1001,A146,$B$2:$B$1001,B146)&gt;1,"违规：同一交易的加仓序号重复",IF(OR(D146="",E146="",F146=""),"计划不完整：请填写加仓价、新止损价和风险预算",IF(OR(D146&lt;=0,E146&lt;=0,F146&lt;=0,D146&lt;=E146),"违规：加仓价必须高于新止损价，金额须大于0",IF(AND(B146&gt;1,COUNTIFS($A$2:$A$1001,A146,$B$2:$B$1001,B146-1,$G$2:$G$1001,"&gt;0")=0),"违规：须先完成上一次加仓",IF(AND(B146&gt;1,E146&lt;SUMIFS($E$2:$E$1001,$A$2:$A$1001,A146,$B$2:$B$1001,B146-1)),"违规：新止损价不得低于上一次",IF(AND(B146&gt;1,F146&gt;SUMIFS($F$2:$F$1001,$A$2:$A$1001,A146,$B$2:$B$1001,B146-1)),"违规：风险预算须逐次不增加",IF(OR(_LockStatus="已锁仓",_LockStatus="解锁信息不完整"),"违规：锁仓期间禁止加仓",IF(G146="","计划可执行：建议股数见N列",IF(OR(G146&lt;=0,G146&lt;&gt;INT(G146),MOD(G146,100)&lt;&gt;0),"违规：实际股数须为100股整数倍",IF(G146&gt;N146,"违规：实际股数超过风险或金字塔上限",IF(AND(B146&gt;1,G146&gt;SUMIFS($G$2:$G$1001,$A$2:$A$1001,A146,$B$2:$B$1001,B146-1)),"违规：加仓股数须逐次不增加",IF(Q146&gt;F146,"违规：止损风险超过本次预算","通过")))))))))))))))</f>
        <v/>
      </c>
    </row>
    <row r="147" customFormat="false" ht="15" hidden="false" customHeight="false" outlineLevel="0" collapsed="false">
      <c r="A147" s="20"/>
      <c r="B147" s="21"/>
      <c r="C147" s="22"/>
      <c r="D147" s="23"/>
      <c r="E147" s="23"/>
      <c r="F147" s="23"/>
      <c r="G147" s="21"/>
      <c r="H147" s="24" t="str">
        <f aca="false">IF(OR(A147="",D147="",G147=""),"",D147*G147)</f>
        <v/>
      </c>
      <c r="I147" s="25" t="str">
        <f aca="false">IF(OR(A147="",B147=""),"",IFERROR(LOOKUP(2,1/(单次交易!$A$2:$A$201=A147),单次交易!$H$2:$H$201),0)+SUMIFS($G$2:$G$1001,$A$2:$A$1001,A147,$B$2:$B$1001,"&lt;"&amp;B147))</f>
        <v/>
      </c>
      <c r="J147" s="24" t="str">
        <f aca="false">IF(OR(A147="",B147=""),"",IFERROR(LOOKUP(2,1/(单次交易!$A$2:$A$201=A147),单次交易!$E$2:$E$201)*LOOKUP(2,1/(单次交易!$A$2:$A$201=A147),单次交易!$H$2:$H$201),0)+SUMIFS($H$2:$H$1001,$A$2:$A$1001,A147,$B$2:$B$1001,"&lt;"&amp;B147))</f>
        <v/>
      </c>
      <c r="K147" s="24" t="str">
        <f aca="false">IF(OR(E147="",I147="",J147=""),"",MAX(E147*I147-J147,0))</f>
        <v/>
      </c>
      <c r="L147" s="25" t="str">
        <f aca="false">IF(OR(D147="",E147="",F147="",D147&lt;=E147),"",FLOOR((F147+K147)/(D147-E147),100))</f>
        <v/>
      </c>
      <c r="M147" s="25" t="str">
        <f aca="false">IF(OR(A147="",B147="",L147=""),"",IF(B147=1,L147,IFERROR(SUMIFS($G$2:$G$1001,$A$2:$A$1001,A147,$B$2:$B$1001,B147-1),0)))</f>
        <v/>
      </c>
      <c r="N147" s="25" t="str">
        <f aca="false">IF(OR(L147="",M147=""),"",MIN(L147,M147))</f>
        <v/>
      </c>
      <c r="O147" s="25" t="str">
        <f aca="false">IF(OR(I147="",G147=""),"",I147+G147)</f>
        <v/>
      </c>
      <c r="P147" s="24" t="str">
        <f aca="false">IF(OR(O147="",O147=0),"",(J147+H147)/O147)</f>
        <v/>
      </c>
      <c r="Q147" s="24" t="str">
        <f aca="false">IF(OR(O147="",E147=""),"",MAX(J147+H147-E147*O147,0))</f>
        <v/>
      </c>
      <c r="R147" s="26" t="str">
        <f aca="false">IF(A147="","",IF(COUNTIF(_TradeIds,A147)=0,"违规：交易编号不存在",IF(OR(B147="",B147&lt;1,B147&gt;5,B147&lt;&gt;INT(B147)),"违规：加仓序号须为1到5的整数",IF(COUNTIFS($A$2:$A$1001,A147,$B$2:$B$1001,B147)&gt;1,"违规：同一交易的加仓序号重复",IF(OR(D147="",E147="",F147=""),"计划不完整：请填写加仓价、新止损价和风险预算",IF(OR(D147&lt;=0,E147&lt;=0,F147&lt;=0,D147&lt;=E147),"违规：加仓价必须高于新止损价，金额须大于0",IF(AND(B147&gt;1,COUNTIFS($A$2:$A$1001,A147,$B$2:$B$1001,B147-1,$G$2:$G$1001,"&gt;0")=0),"违规：须先完成上一次加仓",IF(AND(B147&gt;1,E147&lt;SUMIFS($E$2:$E$1001,$A$2:$A$1001,A147,$B$2:$B$1001,B147-1)),"违规：新止损价不得低于上一次",IF(AND(B147&gt;1,F147&gt;SUMIFS($F$2:$F$1001,$A$2:$A$1001,A147,$B$2:$B$1001,B147-1)),"违规：风险预算须逐次不增加",IF(OR(_LockStatus="已锁仓",_LockStatus="解锁信息不完整"),"违规：锁仓期间禁止加仓",IF(G147="","计划可执行：建议股数见N列",IF(OR(G147&lt;=0,G147&lt;&gt;INT(G147),MOD(G147,100)&lt;&gt;0),"违规：实际股数须为100股整数倍",IF(G147&gt;N147,"违规：实际股数超过风险或金字塔上限",IF(AND(B147&gt;1,G147&gt;SUMIFS($G$2:$G$1001,$A$2:$A$1001,A147,$B$2:$B$1001,B147-1)),"违规：加仓股数须逐次不增加",IF(Q147&gt;F147,"违规：止损风险超过本次预算","通过")))))))))))))))</f>
        <v/>
      </c>
    </row>
    <row r="148" customFormat="false" ht="15" hidden="false" customHeight="false" outlineLevel="0" collapsed="false">
      <c r="A148" s="20"/>
      <c r="B148" s="21"/>
      <c r="C148" s="22"/>
      <c r="D148" s="23"/>
      <c r="E148" s="23"/>
      <c r="F148" s="23"/>
      <c r="G148" s="21"/>
      <c r="H148" s="24" t="str">
        <f aca="false">IF(OR(A148="",D148="",G148=""),"",D148*G148)</f>
        <v/>
      </c>
      <c r="I148" s="25" t="str">
        <f aca="false">IF(OR(A148="",B148=""),"",IFERROR(LOOKUP(2,1/(单次交易!$A$2:$A$201=A148),单次交易!$H$2:$H$201),0)+SUMIFS($G$2:$G$1001,$A$2:$A$1001,A148,$B$2:$B$1001,"&lt;"&amp;B148))</f>
        <v/>
      </c>
      <c r="J148" s="24" t="str">
        <f aca="false">IF(OR(A148="",B148=""),"",IFERROR(LOOKUP(2,1/(单次交易!$A$2:$A$201=A148),单次交易!$E$2:$E$201)*LOOKUP(2,1/(单次交易!$A$2:$A$201=A148),单次交易!$H$2:$H$201),0)+SUMIFS($H$2:$H$1001,$A$2:$A$1001,A148,$B$2:$B$1001,"&lt;"&amp;B148))</f>
        <v/>
      </c>
      <c r="K148" s="24" t="str">
        <f aca="false">IF(OR(E148="",I148="",J148=""),"",MAX(E148*I148-J148,0))</f>
        <v/>
      </c>
      <c r="L148" s="25" t="str">
        <f aca="false">IF(OR(D148="",E148="",F148="",D148&lt;=E148),"",FLOOR((F148+K148)/(D148-E148),100))</f>
        <v/>
      </c>
      <c r="M148" s="25" t="str">
        <f aca="false">IF(OR(A148="",B148="",L148=""),"",IF(B148=1,L148,IFERROR(SUMIFS($G$2:$G$1001,$A$2:$A$1001,A148,$B$2:$B$1001,B148-1),0)))</f>
        <v/>
      </c>
      <c r="N148" s="25" t="str">
        <f aca="false">IF(OR(L148="",M148=""),"",MIN(L148,M148))</f>
        <v/>
      </c>
      <c r="O148" s="25" t="str">
        <f aca="false">IF(OR(I148="",G148=""),"",I148+G148)</f>
        <v/>
      </c>
      <c r="P148" s="24" t="str">
        <f aca="false">IF(OR(O148="",O148=0),"",(J148+H148)/O148)</f>
        <v/>
      </c>
      <c r="Q148" s="24" t="str">
        <f aca="false">IF(OR(O148="",E148=""),"",MAX(J148+H148-E148*O148,0))</f>
        <v/>
      </c>
      <c r="R148" s="26" t="str">
        <f aca="false">IF(A148="","",IF(COUNTIF(_TradeIds,A148)=0,"违规：交易编号不存在",IF(OR(B148="",B148&lt;1,B148&gt;5,B148&lt;&gt;INT(B148)),"违规：加仓序号须为1到5的整数",IF(COUNTIFS($A$2:$A$1001,A148,$B$2:$B$1001,B148)&gt;1,"违规：同一交易的加仓序号重复",IF(OR(D148="",E148="",F148=""),"计划不完整：请填写加仓价、新止损价和风险预算",IF(OR(D148&lt;=0,E148&lt;=0,F148&lt;=0,D148&lt;=E148),"违规：加仓价必须高于新止损价，金额须大于0",IF(AND(B148&gt;1,COUNTIFS($A$2:$A$1001,A148,$B$2:$B$1001,B148-1,$G$2:$G$1001,"&gt;0")=0),"违规：须先完成上一次加仓",IF(AND(B148&gt;1,E148&lt;SUMIFS($E$2:$E$1001,$A$2:$A$1001,A148,$B$2:$B$1001,B148-1)),"违规：新止损价不得低于上一次",IF(AND(B148&gt;1,F148&gt;SUMIFS($F$2:$F$1001,$A$2:$A$1001,A148,$B$2:$B$1001,B148-1)),"违规：风险预算须逐次不增加",IF(OR(_LockStatus="已锁仓",_LockStatus="解锁信息不完整"),"违规：锁仓期间禁止加仓",IF(G148="","计划可执行：建议股数见N列",IF(OR(G148&lt;=0,G148&lt;&gt;INT(G148),MOD(G148,100)&lt;&gt;0),"违规：实际股数须为100股整数倍",IF(G148&gt;N148,"违规：实际股数超过风险或金字塔上限",IF(AND(B148&gt;1,G148&gt;SUMIFS($G$2:$G$1001,$A$2:$A$1001,A148,$B$2:$B$1001,B148-1)),"违规：加仓股数须逐次不增加",IF(Q148&gt;F148,"违规：止损风险超过本次预算","通过")))))))))))))))</f>
        <v/>
      </c>
    </row>
    <row r="149" customFormat="false" ht="15" hidden="false" customHeight="false" outlineLevel="0" collapsed="false">
      <c r="A149" s="20"/>
      <c r="B149" s="21"/>
      <c r="C149" s="22"/>
      <c r="D149" s="23"/>
      <c r="E149" s="23"/>
      <c r="F149" s="23"/>
      <c r="G149" s="21"/>
      <c r="H149" s="24" t="str">
        <f aca="false">IF(OR(A149="",D149="",G149=""),"",D149*G149)</f>
        <v/>
      </c>
      <c r="I149" s="25" t="str">
        <f aca="false">IF(OR(A149="",B149=""),"",IFERROR(LOOKUP(2,1/(单次交易!$A$2:$A$201=A149),单次交易!$H$2:$H$201),0)+SUMIFS($G$2:$G$1001,$A$2:$A$1001,A149,$B$2:$B$1001,"&lt;"&amp;B149))</f>
        <v/>
      </c>
      <c r="J149" s="24" t="str">
        <f aca="false">IF(OR(A149="",B149=""),"",IFERROR(LOOKUP(2,1/(单次交易!$A$2:$A$201=A149),单次交易!$E$2:$E$201)*LOOKUP(2,1/(单次交易!$A$2:$A$201=A149),单次交易!$H$2:$H$201),0)+SUMIFS($H$2:$H$1001,$A$2:$A$1001,A149,$B$2:$B$1001,"&lt;"&amp;B149))</f>
        <v/>
      </c>
      <c r="K149" s="24" t="str">
        <f aca="false">IF(OR(E149="",I149="",J149=""),"",MAX(E149*I149-J149,0))</f>
        <v/>
      </c>
      <c r="L149" s="25" t="str">
        <f aca="false">IF(OR(D149="",E149="",F149="",D149&lt;=E149),"",FLOOR((F149+K149)/(D149-E149),100))</f>
        <v/>
      </c>
      <c r="M149" s="25" t="str">
        <f aca="false">IF(OR(A149="",B149="",L149=""),"",IF(B149=1,L149,IFERROR(SUMIFS($G$2:$G$1001,$A$2:$A$1001,A149,$B$2:$B$1001,B149-1),0)))</f>
        <v/>
      </c>
      <c r="N149" s="25" t="str">
        <f aca="false">IF(OR(L149="",M149=""),"",MIN(L149,M149))</f>
        <v/>
      </c>
      <c r="O149" s="25" t="str">
        <f aca="false">IF(OR(I149="",G149=""),"",I149+G149)</f>
        <v/>
      </c>
      <c r="P149" s="24" t="str">
        <f aca="false">IF(OR(O149="",O149=0),"",(J149+H149)/O149)</f>
        <v/>
      </c>
      <c r="Q149" s="24" t="str">
        <f aca="false">IF(OR(O149="",E149=""),"",MAX(J149+H149-E149*O149,0))</f>
        <v/>
      </c>
      <c r="R149" s="26" t="str">
        <f aca="false">IF(A149="","",IF(COUNTIF(_TradeIds,A149)=0,"违规：交易编号不存在",IF(OR(B149="",B149&lt;1,B149&gt;5,B149&lt;&gt;INT(B149)),"违规：加仓序号须为1到5的整数",IF(COUNTIFS($A$2:$A$1001,A149,$B$2:$B$1001,B149)&gt;1,"违规：同一交易的加仓序号重复",IF(OR(D149="",E149="",F149=""),"计划不完整：请填写加仓价、新止损价和风险预算",IF(OR(D149&lt;=0,E149&lt;=0,F149&lt;=0,D149&lt;=E149),"违规：加仓价必须高于新止损价，金额须大于0",IF(AND(B149&gt;1,COUNTIFS($A$2:$A$1001,A149,$B$2:$B$1001,B149-1,$G$2:$G$1001,"&gt;0")=0),"违规：须先完成上一次加仓",IF(AND(B149&gt;1,E149&lt;SUMIFS($E$2:$E$1001,$A$2:$A$1001,A149,$B$2:$B$1001,B149-1)),"违规：新止损价不得低于上一次",IF(AND(B149&gt;1,F149&gt;SUMIFS($F$2:$F$1001,$A$2:$A$1001,A149,$B$2:$B$1001,B149-1)),"违规：风险预算须逐次不增加",IF(OR(_LockStatus="已锁仓",_LockStatus="解锁信息不完整"),"违规：锁仓期间禁止加仓",IF(G149="","计划可执行：建议股数见N列",IF(OR(G149&lt;=0,G149&lt;&gt;INT(G149),MOD(G149,100)&lt;&gt;0),"违规：实际股数须为100股整数倍",IF(G149&gt;N149,"违规：实际股数超过风险或金字塔上限",IF(AND(B149&gt;1,G149&gt;SUMIFS($G$2:$G$1001,$A$2:$A$1001,A149,$B$2:$B$1001,B149-1)),"违规：加仓股数须逐次不增加",IF(Q149&gt;F149,"违规：止损风险超过本次预算","通过")))))))))))))))</f>
        <v/>
      </c>
    </row>
    <row r="150" customFormat="false" ht="15" hidden="false" customHeight="false" outlineLevel="0" collapsed="false">
      <c r="A150" s="20"/>
      <c r="B150" s="21"/>
      <c r="C150" s="22"/>
      <c r="D150" s="23"/>
      <c r="E150" s="23"/>
      <c r="F150" s="23"/>
      <c r="G150" s="21"/>
      <c r="H150" s="24" t="str">
        <f aca="false">IF(OR(A150="",D150="",G150=""),"",D150*G150)</f>
        <v/>
      </c>
      <c r="I150" s="25" t="str">
        <f aca="false">IF(OR(A150="",B150=""),"",IFERROR(LOOKUP(2,1/(单次交易!$A$2:$A$201=A150),单次交易!$H$2:$H$201),0)+SUMIFS($G$2:$G$1001,$A$2:$A$1001,A150,$B$2:$B$1001,"&lt;"&amp;B150))</f>
        <v/>
      </c>
      <c r="J150" s="24" t="str">
        <f aca="false">IF(OR(A150="",B150=""),"",IFERROR(LOOKUP(2,1/(单次交易!$A$2:$A$201=A150),单次交易!$E$2:$E$201)*LOOKUP(2,1/(单次交易!$A$2:$A$201=A150),单次交易!$H$2:$H$201),0)+SUMIFS($H$2:$H$1001,$A$2:$A$1001,A150,$B$2:$B$1001,"&lt;"&amp;B150))</f>
        <v/>
      </c>
      <c r="K150" s="24" t="str">
        <f aca="false">IF(OR(E150="",I150="",J150=""),"",MAX(E150*I150-J150,0))</f>
        <v/>
      </c>
      <c r="L150" s="25" t="str">
        <f aca="false">IF(OR(D150="",E150="",F150="",D150&lt;=E150),"",FLOOR((F150+K150)/(D150-E150),100))</f>
        <v/>
      </c>
      <c r="M150" s="25" t="str">
        <f aca="false">IF(OR(A150="",B150="",L150=""),"",IF(B150=1,L150,IFERROR(SUMIFS($G$2:$G$1001,$A$2:$A$1001,A150,$B$2:$B$1001,B150-1),0)))</f>
        <v/>
      </c>
      <c r="N150" s="25" t="str">
        <f aca="false">IF(OR(L150="",M150=""),"",MIN(L150,M150))</f>
        <v/>
      </c>
      <c r="O150" s="25" t="str">
        <f aca="false">IF(OR(I150="",G150=""),"",I150+G150)</f>
        <v/>
      </c>
      <c r="P150" s="24" t="str">
        <f aca="false">IF(OR(O150="",O150=0),"",(J150+H150)/O150)</f>
        <v/>
      </c>
      <c r="Q150" s="24" t="str">
        <f aca="false">IF(OR(O150="",E150=""),"",MAX(J150+H150-E150*O150,0))</f>
        <v/>
      </c>
      <c r="R150" s="26" t="str">
        <f aca="false">IF(A150="","",IF(COUNTIF(_TradeIds,A150)=0,"违规：交易编号不存在",IF(OR(B150="",B150&lt;1,B150&gt;5,B150&lt;&gt;INT(B150)),"违规：加仓序号须为1到5的整数",IF(COUNTIFS($A$2:$A$1001,A150,$B$2:$B$1001,B150)&gt;1,"违规：同一交易的加仓序号重复",IF(OR(D150="",E150="",F150=""),"计划不完整：请填写加仓价、新止损价和风险预算",IF(OR(D150&lt;=0,E150&lt;=0,F150&lt;=0,D150&lt;=E150),"违规：加仓价必须高于新止损价，金额须大于0",IF(AND(B150&gt;1,COUNTIFS($A$2:$A$1001,A150,$B$2:$B$1001,B150-1,$G$2:$G$1001,"&gt;0")=0),"违规：须先完成上一次加仓",IF(AND(B150&gt;1,E150&lt;SUMIFS($E$2:$E$1001,$A$2:$A$1001,A150,$B$2:$B$1001,B150-1)),"违规：新止损价不得低于上一次",IF(AND(B150&gt;1,F150&gt;SUMIFS($F$2:$F$1001,$A$2:$A$1001,A150,$B$2:$B$1001,B150-1)),"违规：风险预算须逐次不增加",IF(OR(_LockStatus="已锁仓",_LockStatus="解锁信息不完整"),"违规：锁仓期间禁止加仓",IF(G150="","计划可执行：建议股数见N列",IF(OR(G150&lt;=0,G150&lt;&gt;INT(G150),MOD(G150,100)&lt;&gt;0),"违规：实际股数须为100股整数倍",IF(G150&gt;N150,"违规：实际股数超过风险或金字塔上限",IF(AND(B150&gt;1,G150&gt;SUMIFS($G$2:$G$1001,$A$2:$A$1001,A150,$B$2:$B$1001,B150-1)),"违规：加仓股数须逐次不增加",IF(Q150&gt;F150,"违规：止损风险超过本次预算","通过")))))))))))))))</f>
        <v/>
      </c>
    </row>
    <row r="151" customFormat="false" ht="15" hidden="false" customHeight="false" outlineLevel="0" collapsed="false">
      <c r="A151" s="20"/>
      <c r="B151" s="21"/>
      <c r="C151" s="22"/>
      <c r="D151" s="23"/>
      <c r="E151" s="23"/>
      <c r="F151" s="23"/>
      <c r="G151" s="21"/>
      <c r="H151" s="24" t="str">
        <f aca="false">IF(OR(A151="",D151="",G151=""),"",D151*G151)</f>
        <v/>
      </c>
      <c r="I151" s="25" t="str">
        <f aca="false">IF(OR(A151="",B151=""),"",IFERROR(LOOKUP(2,1/(单次交易!$A$2:$A$201=A151),单次交易!$H$2:$H$201),0)+SUMIFS($G$2:$G$1001,$A$2:$A$1001,A151,$B$2:$B$1001,"&lt;"&amp;B151))</f>
        <v/>
      </c>
      <c r="J151" s="24" t="str">
        <f aca="false">IF(OR(A151="",B151=""),"",IFERROR(LOOKUP(2,1/(单次交易!$A$2:$A$201=A151),单次交易!$E$2:$E$201)*LOOKUP(2,1/(单次交易!$A$2:$A$201=A151),单次交易!$H$2:$H$201),0)+SUMIFS($H$2:$H$1001,$A$2:$A$1001,A151,$B$2:$B$1001,"&lt;"&amp;B151))</f>
        <v/>
      </c>
      <c r="K151" s="24" t="str">
        <f aca="false">IF(OR(E151="",I151="",J151=""),"",MAX(E151*I151-J151,0))</f>
        <v/>
      </c>
      <c r="L151" s="25" t="str">
        <f aca="false">IF(OR(D151="",E151="",F151="",D151&lt;=E151),"",FLOOR((F151+K151)/(D151-E151),100))</f>
        <v/>
      </c>
      <c r="M151" s="25" t="str">
        <f aca="false">IF(OR(A151="",B151="",L151=""),"",IF(B151=1,L151,IFERROR(SUMIFS($G$2:$G$1001,$A$2:$A$1001,A151,$B$2:$B$1001,B151-1),0)))</f>
        <v/>
      </c>
      <c r="N151" s="25" t="str">
        <f aca="false">IF(OR(L151="",M151=""),"",MIN(L151,M151))</f>
        <v/>
      </c>
      <c r="O151" s="25" t="str">
        <f aca="false">IF(OR(I151="",G151=""),"",I151+G151)</f>
        <v/>
      </c>
      <c r="P151" s="24" t="str">
        <f aca="false">IF(OR(O151="",O151=0),"",(J151+H151)/O151)</f>
        <v/>
      </c>
      <c r="Q151" s="24" t="str">
        <f aca="false">IF(OR(O151="",E151=""),"",MAX(J151+H151-E151*O151,0))</f>
        <v/>
      </c>
      <c r="R151" s="26" t="str">
        <f aca="false">IF(A151="","",IF(COUNTIF(_TradeIds,A151)=0,"违规：交易编号不存在",IF(OR(B151="",B151&lt;1,B151&gt;5,B151&lt;&gt;INT(B151)),"违规：加仓序号须为1到5的整数",IF(COUNTIFS($A$2:$A$1001,A151,$B$2:$B$1001,B151)&gt;1,"违规：同一交易的加仓序号重复",IF(OR(D151="",E151="",F151=""),"计划不完整：请填写加仓价、新止损价和风险预算",IF(OR(D151&lt;=0,E151&lt;=0,F151&lt;=0,D151&lt;=E151),"违规：加仓价必须高于新止损价，金额须大于0",IF(AND(B151&gt;1,COUNTIFS($A$2:$A$1001,A151,$B$2:$B$1001,B151-1,$G$2:$G$1001,"&gt;0")=0),"违规：须先完成上一次加仓",IF(AND(B151&gt;1,E151&lt;SUMIFS($E$2:$E$1001,$A$2:$A$1001,A151,$B$2:$B$1001,B151-1)),"违规：新止损价不得低于上一次",IF(AND(B151&gt;1,F151&gt;SUMIFS($F$2:$F$1001,$A$2:$A$1001,A151,$B$2:$B$1001,B151-1)),"违规：风险预算须逐次不增加",IF(OR(_LockStatus="已锁仓",_LockStatus="解锁信息不完整"),"违规：锁仓期间禁止加仓",IF(G151="","计划可执行：建议股数见N列",IF(OR(G151&lt;=0,G151&lt;&gt;INT(G151),MOD(G151,100)&lt;&gt;0),"违规：实际股数须为100股整数倍",IF(G151&gt;N151,"违规：实际股数超过风险或金字塔上限",IF(AND(B151&gt;1,G151&gt;SUMIFS($G$2:$G$1001,$A$2:$A$1001,A151,$B$2:$B$1001,B151-1)),"违规：加仓股数须逐次不增加",IF(Q151&gt;F151,"违规：止损风险超过本次预算","通过")))))))))))))))</f>
        <v/>
      </c>
    </row>
    <row r="152" customFormat="false" ht="15" hidden="false" customHeight="false" outlineLevel="0" collapsed="false">
      <c r="A152" s="20"/>
      <c r="B152" s="21"/>
      <c r="C152" s="22"/>
      <c r="D152" s="23"/>
      <c r="E152" s="23"/>
      <c r="F152" s="23"/>
      <c r="G152" s="21"/>
      <c r="H152" s="24" t="str">
        <f aca="false">IF(OR(A152="",D152="",G152=""),"",D152*G152)</f>
        <v/>
      </c>
      <c r="I152" s="25" t="str">
        <f aca="false">IF(OR(A152="",B152=""),"",IFERROR(LOOKUP(2,1/(单次交易!$A$2:$A$201=A152),单次交易!$H$2:$H$201),0)+SUMIFS($G$2:$G$1001,$A$2:$A$1001,A152,$B$2:$B$1001,"&lt;"&amp;B152))</f>
        <v/>
      </c>
      <c r="J152" s="24" t="str">
        <f aca="false">IF(OR(A152="",B152=""),"",IFERROR(LOOKUP(2,1/(单次交易!$A$2:$A$201=A152),单次交易!$E$2:$E$201)*LOOKUP(2,1/(单次交易!$A$2:$A$201=A152),单次交易!$H$2:$H$201),0)+SUMIFS($H$2:$H$1001,$A$2:$A$1001,A152,$B$2:$B$1001,"&lt;"&amp;B152))</f>
        <v/>
      </c>
      <c r="K152" s="24" t="str">
        <f aca="false">IF(OR(E152="",I152="",J152=""),"",MAX(E152*I152-J152,0))</f>
        <v/>
      </c>
      <c r="L152" s="25" t="str">
        <f aca="false">IF(OR(D152="",E152="",F152="",D152&lt;=E152),"",FLOOR((F152+K152)/(D152-E152),100))</f>
        <v/>
      </c>
      <c r="M152" s="25" t="str">
        <f aca="false">IF(OR(A152="",B152="",L152=""),"",IF(B152=1,L152,IFERROR(SUMIFS($G$2:$G$1001,$A$2:$A$1001,A152,$B$2:$B$1001,B152-1),0)))</f>
        <v/>
      </c>
      <c r="N152" s="25" t="str">
        <f aca="false">IF(OR(L152="",M152=""),"",MIN(L152,M152))</f>
        <v/>
      </c>
      <c r="O152" s="25" t="str">
        <f aca="false">IF(OR(I152="",G152=""),"",I152+G152)</f>
        <v/>
      </c>
      <c r="P152" s="24" t="str">
        <f aca="false">IF(OR(O152="",O152=0),"",(J152+H152)/O152)</f>
        <v/>
      </c>
      <c r="Q152" s="24" t="str">
        <f aca="false">IF(OR(O152="",E152=""),"",MAX(J152+H152-E152*O152,0))</f>
        <v/>
      </c>
      <c r="R152" s="26" t="str">
        <f aca="false">IF(A152="","",IF(COUNTIF(_TradeIds,A152)=0,"违规：交易编号不存在",IF(OR(B152="",B152&lt;1,B152&gt;5,B152&lt;&gt;INT(B152)),"违规：加仓序号须为1到5的整数",IF(COUNTIFS($A$2:$A$1001,A152,$B$2:$B$1001,B152)&gt;1,"违规：同一交易的加仓序号重复",IF(OR(D152="",E152="",F152=""),"计划不完整：请填写加仓价、新止损价和风险预算",IF(OR(D152&lt;=0,E152&lt;=0,F152&lt;=0,D152&lt;=E152),"违规：加仓价必须高于新止损价，金额须大于0",IF(AND(B152&gt;1,COUNTIFS($A$2:$A$1001,A152,$B$2:$B$1001,B152-1,$G$2:$G$1001,"&gt;0")=0),"违规：须先完成上一次加仓",IF(AND(B152&gt;1,E152&lt;SUMIFS($E$2:$E$1001,$A$2:$A$1001,A152,$B$2:$B$1001,B152-1)),"违规：新止损价不得低于上一次",IF(AND(B152&gt;1,F152&gt;SUMIFS($F$2:$F$1001,$A$2:$A$1001,A152,$B$2:$B$1001,B152-1)),"违规：风险预算须逐次不增加",IF(OR(_LockStatus="已锁仓",_LockStatus="解锁信息不完整"),"违规：锁仓期间禁止加仓",IF(G152="","计划可执行：建议股数见N列",IF(OR(G152&lt;=0,G152&lt;&gt;INT(G152),MOD(G152,100)&lt;&gt;0),"违规：实际股数须为100股整数倍",IF(G152&gt;N152,"违规：实际股数超过风险或金字塔上限",IF(AND(B152&gt;1,G152&gt;SUMIFS($G$2:$G$1001,$A$2:$A$1001,A152,$B$2:$B$1001,B152-1)),"违规：加仓股数须逐次不增加",IF(Q152&gt;F152,"违规：止损风险超过本次预算","通过")))))))))))))))</f>
        <v/>
      </c>
    </row>
    <row r="153" customFormat="false" ht="15" hidden="false" customHeight="false" outlineLevel="0" collapsed="false">
      <c r="A153" s="20"/>
      <c r="B153" s="21"/>
      <c r="C153" s="22"/>
      <c r="D153" s="23"/>
      <c r="E153" s="23"/>
      <c r="F153" s="23"/>
      <c r="G153" s="21"/>
      <c r="H153" s="24" t="str">
        <f aca="false">IF(OR(A153="",D153="",G153=""),"",D153*G153)</f>
        <v/>
      </c>
      <c r="I153" s="25" t="str">
        <f aca="false">IF(OR(A153="",B153=""),"",IFERROR(LOOKUP(2,1/(单次交易!$A$2:$A$201=A153),单次交易!$H$2:$H$201),0)+SUMIFS($G$2:$G$1001,$A$2:$A$1001,A153,$B$2:$B$1001,"&lt;"&amp;B153))</f>
        <v/>
      </c>
      <c r="J153" s="24" t="str">
        <f aca="false">IF(OR(A153="",B153=""),"",IFERROR(LOOKUP(2,1/(单次交易!$A$2:$A$201=A153),单次交易!$E$2:$E$201)*LOOKUP(2,1/(单次交易!$A$2:$A$201=A153),单次交易!$H$2:$H$201),0)+SUMIFS($H$2:$H$1001,$A$2:$A$1001,A153,$B$2:$B$1001,"&lt;"&amp;B153))</f>
        <v/>
      </c>
      <c r="K153" s="24" t="str">
        <f aca="false">IF(OR(E153="",I153="",J153=""),"",MAX(E153*I153-J153,0))</f>
        <v/>
      </c>
      <c r="L153" s="25" t="str">
        <f aca="false">IF(OR(D153="",E153="",F153="",D153&lt;=E153),"",FLOOR((F153+K153)/(D153-E153),100))</f>
        <v/>
      </c>
      <c r="M153" s="25" t="str">
        <f aca="false">IF(OR(A153="",B153="",L153=""),"",IF(B153=1,L153,IFERROR(SUMIFS($G$2:$G$1001,$A$2:$A$1001,A153,$B$2:$B$1001,B153-1),0)))</f>
        <v/>
      </c>
      <c r="N153" s="25" t="str">
        <f aca="false">IF(OR(L153="",M153=""),"",MIN(L153,M153))</f>
        <v/>
      </c>
      <c r="O153" s="25" t="str">
        <f aca="false">IF(OR(I153="",G153=""),"",I153+G153)</f>
        <v/>
      </c>
      <c r="P153" s="24" t="str">
        <f aca="false">IF(OR(O153="",O153=0),"",(J153+H153)/O153)</f>
        <v/>
      </c>
      <c r="Q153" s="24" t="str">
        <f aca="false">IF(OR(O153="",E153=""),"",MAX(J153+H153-E153*O153,0))</f>
        <v/>
      </c>
      <c r="R153" s="26" t="str">
        <f aca="false">IF(A153="","",IF(COUNTIF(_TradeIds,A153)=0,"违规：交易编号不存在",IF(OR(B153="",B153&lt;1,B153&gt;5,B153&lt;&gt;INT(B153)),"违规：加仓序号须为1到5的整数",IF(COUNTIFS($A$2:$A$1001,A153,$B$2:$B$1001,B153)&gt;1,"违规：同一交易的加仓序号重复",IF(OR(D153="",E153="",F153=""),"计划不完整：请填写加仓价、新止损价和风险预算",IF(OR(D153&lt;=0,E153&lt;=0,F153&lt;=0,D153&lt;=E153),"违规：加仓价必须高于新止损价，金额须大于0",IF(AND(B153&gt;1,COUNTIFS($A$2:$A$1001,A153,$B$2:$B$1001,B153-1,$G$2:$G$1001,"&gt;0")=0),"违规：须先完成上一次加仓",IF(AND(B153&gt;1,E153&lt;SUMIFS($E$2:$E$1001,$A$2:$A$1001,A153,$B$2:$B$1001,B153-1)),"违规：新止损价不得低于上一次",IF(AND(B153&gt;1,F153&gt;SUMIFS($F$2:$F$1001,$A$2:$A$1001,A153,$B$2:$B$1001,B153-1)),"违规：风险预算须逐次不增加",IF(OR(_LockStatus="已锁仓",_LockStatus="解锁信息不完整"),"违规：锁仓期间禁止加仓",IF(G153="","计划可执行：建议股数见N列",IF(OR(G153&lt;=0,G153&lt;&gt;INT(G153),MOD(G153,100)&lt;&gt;0),"违规：实际股数须为100股整数倍",IF(G153&gt;N153,"违规：实际股数超过风险或金字塔上限",IF(AND(B153&gt;1,G153&gt;SUMIFS($G$2:$G$1001,$A$2:$A$1001,A153,$B$2:$B$1001,B153-1)),"违规：加仓股数须逐次不增加",IF(Q153&gt;F153,"违规：止损风险超过本次预算","通过")))))))))))))))</f>
        <v/>
      </c>
    </row>
    <row r="154" customFormat="false" ht="15" hidden="false" customHeight="false" outlineLevel="0" collapsed="false">
      <c r="A154" s="20"/>
      <c r="B154" s="21"/>
      <c r="C154" s="22"/>
      <c r="D154" s="23"/>
      <c r="E154" s="23"/>
      <c r="F154" s="23"/>
      <c r="G154" s="21"/>
      <c r="H154" s="24" t="str">
        <f aca="false">IF(OR(A154="",D154="",G154=""),"",D154*G154)</f>
        <v/>
      </c>
      <c r="I154" s="25" t="str">
        <f aca="false">IF(OR(A154="",B154=""),"",IFERROR(LOOKUP(2,1/(单次交易!$A$2:$A$201=A154),单次交易!$H$2:$H$201),0)+SUMIFS($G$2:$G$1001,$A$2:$A$1001,A154,$B$2:$B$1001,"&lt;"&amp;B154))</f>
        <v/>
      </c>
      <c r="J154" s="24" t="str">
        <f aca="false">IF(OR(A154="",B154=""),"",IFERROR(LOOKUP(2,1/(单次交易!$A$2:$A$201=A154),单次交易!$E$2:$E$201)*LOOKUP(2,1/(单次交易!$A$2:$A$201=A154),单次交易!$H$2:$H$201),0)+SUMIFS($H$2:$H$1001,$A$2:$A$1001,A154,$B$2:$B$1001,"&lt;"&amp;B154))</f>
        <v/>
      </c>
      <c r="K154" s="24" t="str">
        <f aca="false">IF(OR(E154="",I154="",J154=""),"",MAX(E154*I154-J154,0))</f>
        <v/>
      </c>
      <c r="L154" s="25" t="str">
        <f aca="false">IF(OR(D154="",E154="",F154="",D154&lt;=E154),"",FLOOR((F154+K154)/(D154-E154),100))</f>
        <v/>
      </c>
      <c r="M154" s="25" t="str">
        <f aca="false">IF(OR(A154="",B154="",L154=""),"",IF(B154=1,L154,IFERROR(SUMIFS($G$2:$G$1001,$A$2:$A$1001,A154,$B$2:$B$1001,B154-1),0)))</f>
        <v/>
      </c>
      <c r="N154" s="25" t="str">
        <f aca="false">IF(OR(L154="",M154=""),"",MIN(L154,M154))</f>
        <v/>
      </c>
      <c r="O154" s="25" t="str">
        <f aca="false">IF(OR(I154="",G154=""),"",I154+G154)</f>
        <v/>
      </c>
      <c r="P154" s="24" t="str">
        <f aca="false">IF(OR(O154="",O154=0),"",(J154+H154)/O154)</f>
        <v/>
      </c>
      <c r="Q154" s="24" t="str">
        <f aca="false">IF(OR(O154="",E154=""),"",MAX(J154+H154-E154*O154,0))</f>
        <v/>
      </c>
      <c r="R154" s="26" t="str">
        <f aca="false">IF(A154="","",IF(COUNTIF(_TradeIds,A154)=0,"违规：交易编号不存在",IF(OR(B154="",B154&lt;1,B154&gt;5,B154&lt;&gt;INT(B154)),"违规：加仓序号须为1到5的整数",IF(COUNTIFS($A$2:$A$1001,A154,$B$2:$B$1001,B154)&gt;1,"违规：同一交易的加仓序号重复",IF(OR(D154="",E154="",F154=""),"计划不完整：请填写加仓价、新止损价和风险预算",IF(OR(D154&lt;=0,E154&lt;=0,F154&lt;=0,D154&lt;=E154),"违规：加仓价必须高于新止损价，金额须大于0",IF(AND(B154&gt;1,COUNTIFS($A$2:$A$1001,A154,$B$2:$B$1001,B154-1,$G$2:$G$1001,"&gt;0")=0),"违规：须先完成上一次加仓",IF(AND(B154&gt;1,E154&lt;SUMIFS($E$2:$E$1001,$A$2:$A$1001,A154,$B$2:$B$1001,B154-1)),"违规：新止损价不得低于上一次",IF(AND(B154&gt;1,F154&gt;SUMIFS($F$2:$F$1001,$A$2:$A$1001,A154,$B$2:$B$1001,B154-1)),"违规：风险预算须逐次不增加",IF(OR(_LockStatus="已锁仓",_LockStatus="解锁信息不完整"),"违规：锁仓期间禁止加仓",IF(G154="","计划可执行：建议股数见N列",IF(OR(G154&lt;=0,G154&lt;&gt;INT(G154),MOD(G154,100)&lt;&gt;0),"违规：实际股数须为100股整数倍",IF(G154&gt;N154,"违规：实际股数超过风险或金字塔上限",IF(AND(B154&gt;1,G154&gt;SUMIFS($G$2:$G$1001,$A$2:$A$1001,A154,$B$2:$B$1001,B154-1)),"违规：加仓股数须逐次不增加",IF(Q154&gt;F154,"违规：止损风险超过本次预算","通过")))))))))))))))</f>
        <v/>
      </c>
    </row>
    <row r="155" customFormat="false" ht="15" hidden="false" customHeight="false" outlineLevel="0" collapsed="false">
      <c r="A155" s="20"/>
      <c r="B155" s="21"/>
      <c r="C155" s="22"/>
      <c r="D155" s="23"/>
      <c r="E155" s="23"/>
      <c r="F155" s="23"/>
      <c r="G155" s="21"/>
      <c r="H155" s="24" t="str">
        <f aca="false">IF(OR(A155="",D155="",G155=""),"",D155*G155)</f>
        <v/>
      </c>
      <c r="I155" s="25" t="str">
        <f aca="false">IF(OR(A155="",B155=""),"",IFERROR(LOOKUP(2,1/(单次交易!$A$2:$A$201=A155),单次交易!$H$2:$H$201),0)+SUMIFS($G$2:$G$1001,$A$2:$A$1001,A155,$B$2:$B$1001,"&lt;"&amp;B155))</f>
        <v/>
      </c>
      <c r="J155" s="24" t="str">
        <f aca="false">IF(OR(A155="",B155=""),"",IFERROR(LOOKUP(2,1/(单次交易!$A$2:$A$201=A155),单次交易!$E$2:$E$201)*LOOKUP(2,1/(单次交易!$A$2:$A$201=A155),单次交易!$H$2:$H$201),0)+SUMIFS($H$2:$H$1001,$A$2:$A$1001,A155,$B$2:$B$1001,"&lt;"&amp;B155))</f>
        <v/>
      </c>
      <c r="K155" s="24" t="str">
        <f aca="false">IF(OR(E155="",I155="",J155=""),"",MAX(E155*I155-J155,0))</f>
        <v/>
      </c>
      <c r="L155" s="25" t="str">
        <f aca="false">IF(OR(D155="",E155="",F155="",D155&lt;=E155),"",FLOOR((F155+K155)/(D155-E155),100))</f>
        <v/>
      </c>
      <c r="M155" s="25" t="str">
        <f aca="false">IF(OR(A155="",B155="",L155=""),"",IF(B155=1,L155,IFERROR(SUMIFS($G$2:$G$1001,$A$2:$A$1001,A155,$B$2:$B$1001,B155-1),0)))</f>
        <v/>
      </c>
      <c r="N155" s="25" t="str">
        <f aca="false">IF(OR(L155="",M155=""),"",MIN(L155,M155))</f>
        <v/>
      </c>
      <c r="O155" s="25" t="str">
        <f aca="false">IF(OR(I155="",G155=""),"",I155+G155)</f>
        <v/>
      </c>
      <c r="P155" s="24" t="str">
        <f aca="false">IF(OR(O155="",O155=0),"",(J155+H155)/O155)</f>
        <v/>
      </c>
      <c r="Q155" s="24" t="str">
        <f aca="false">IF(OR(O155="",E155=""),"",MAX(J155+H155-E155*O155,0))</f>
        <v/>
      </c>
      <c r="R155" s="26" t="str">
        <f aca="false">IF(A155="","",IF(COUNTIF(_TradeIds,A155)=0,"违规：交易编号不存在",IF(OR(B155="",B155&lt;1,B155&gt;5,B155&lt;&gt;INT(B155)),"违规：加仓序号须为1到5的整数",IF(COUNTIFS($A$2:$A$1001,A155,$B$2:$B$1001,B155)&gt;1,"违规：同一交易的加仓序号重复",IF(OR(D155="",E155="",F155=""),"计划不完整：请填写加仓价、新止损价和风险预算",IF(OR(D155&lt;=0,E155&lt;=0,F155&lt;=0,D155&lt;=E155),"违规：加仓价必须高于新止损价，金额须大于0",IF(AND(B155&gt;1,COUNTIFS($A$2:$A$1001,A155,$B$2:$B$1001,B155-1,$G$2:$G$1001,"&gt;0")=0),"违规：须先完成上一次加仓",IF(AND(B155&gt;1,E155&lt;SUMIFS($E$2:$E$1001,$A$2:$A$1001,A155,$B$2:$B$1001,B155-1)),"违规：新止损价不得低于上一次",IF(AND(B155&gt;1,F155&gt;SUMIFS($F$2:$F$1001,$A$2:$A$1001,A155,$B$2:$B$1001,B155-1)),"违规：风险预算须逐次不增加",IF(OR(_LockStatus="已锁仓",_LockStatus="解锁信息不完整"),"违规：锁仓期间禁止加仓",IF(G155="","计划可执行：建议股数见N列",IF(OR(G155&lt;=0,G155&lt;&gt;INT(G155),MOD(G155,100)&lt;&gt;0),"违规：实际股数须为100股整数倍",IF(G155&gt;N155,"违规：实际股数超过风险或金字塔上限",IF(AND(B155&gt;1,G155&gt;SUMIFS($G$2:$G$1001,$A$2:$A$1001,A155,$B$2:$B$1001,B155-1)),"违规：加仓股数须逐次不增加",IF(Q155&gt;F155,"违规：止损风险超过本次预算","通过")))))))))))))))</f>
        <v/>
      </c>
    </row>
    <row r="156" customFormat="false" ht="15" hidden="false" customHeight="false" outlineLevel="0" collapsed="false">
      <c r="A156" s="20"/>
      <c r="B156" s="21"/>
      <c r="C156" s="22"/>
      <c r="D156" s="23"/>
      <c r="E156" s="23"/>
      <c r="F156" s="23"/>
      <c r="G156" s="21"/>
      <c r="H156" s="24" t="str">
        <f aca="false">IF(OR(A156="",D156="",G156=""),"",D156*G156)</f>
        <v/>
      </c>
      <c r="I156" s="25" t="str">
        <f aca="false">IF(OR(A156="",B156=""),"",IFERROR(LOOKUP(2,1/(单次交易!$A$2:$A$201=A156),单次交易!$H$2:$H$201),0)+SUMIFS($G$2:$G$1001,$A$2:$A$1001,A156,$B$2:$B$1001,"&lt;"&amp;B156))</f>
        <v/>
      </c>
      <c r="J156" s="24" t="str">
        <f aca="false">IF(OR(A156="",B156=""),"",IFERROR(LOOKUP(2,1/(单次交易!$A$2:$A$201=A156),单次交易!$E$2:$E$201)*LOOKUP(2,1/(单次交易!$A$2:$A$201=A156),单次交易!$H$2:$H$201),0)+SUMIFS($H$2:$H$1001,$A$2:$A$1001,A156,$B$2:$B$1001,"&lt;"&amp;B156))</f>
        <v/>
      </c>
      <c r="K156" s="24" t="str">
        <f aca="false">IF(OR(E156="",I156="",J156=""),"",MAX(E156*I156-J156,0))</f>
        <v/>
      </c>
      <c r="L156" s="25" t="str">
        <f aca="false">IF(OR(D156="",E156="",F156="",D156&lt;=E156),"",FLOOR((F156+K156)/(D156-E156),100))</f>
        <v/>
      </c>
      <c r="M156" s="25" t="str">
        <f aca="false">IF(OR(A156="",B156="",L156=""),"",IF(B156=1,L156,IFERROR(SUMIFS($G$2:$G$1001,$A$2:$A$1001,A156,$B$2:$B$1001,B156-1),0)))</f>
        <v/>
      </c>
      <c r="N156" s="25" t="str">
        <f aca="false">IF(OR(L156="",M156=""),"",MIN(L156,M156))</f>
        <v/>
      </c>
      <c r="O156" s="25" t="str">
        <f aca="false">IF(OR(I156="",G156=""),"",I156+G156)</f>
        <v/>
      </c>
      <c r="P156" s="24" t="str">
        <f aca="false">IF(OR(O156="",O156=0),"",(J156+H156)/O156)</f>
        <v/>
      </c>
      <c r="Q156" s="24" t="str">
        <f aca="false">IF(OR(O156="",E156=""),"",MAX(J156+H156-E156*O156,0))</f>
        <v/>
      </c>
      <c r="R156" s="26" t="str">
        <f aca="false">IF(A156="","",IF(COUNTIF(_TradeIds,A156)=0,"违规：交易编号不存在",IF(OR(B156="",B156&lt;1,B156&gt;5,B156&lt;&gt;INT(B156)),"违规：加仓序号须为1到5的整数",IF(COUNTIFS($A$2:$A$1001,A156,$B$2:$B$1001,B156)&gt;1,"违规：同一交易的加仓序号重复",IF(OR(D156="",E156="",F156=""),"计划不完整：请填写加仓价、新止损价和风险预算",IF(OR(D156&lt;=0,E156&lt;=0,F156&lt;=0,D156&lt;=E156),"违规：加仓价必须高于新止损价，金额须大于0",IF(AND(B156&gt;1,COUNTIFS($A$2:$A$1001,A156,$B$2:$B$1001,B156-1,$G$2:$G$1001,"&gt;0")=0),"违规：须先完成上一次加仓",IF(AND(B156&gt;1,E156&lt;SUMIFS($E$2:$E$1001,$A$2:$A$1001,A156,$B$2:$B$1001,B156-1)),"违规：新止损价不得低于上一次",IF(AND(B156&gt;1,F156&gt;SUMIFS($F$2:$F$1001,$A$2:$A$1001,A156,$B$2:$B$1001,B156-1)),"违规：风险预算须逐次不增加",IF(OR(_LockStatus="已锁仓",_LockStatus="解锁信息不完整"),"违规：锁仓期间禁止加仓",IF(G156="","计划可执行：建议股数见N列",IF(OR(G156&lt;=0,G156&lt;&gt;INT(G156),MOD(G156,100)&lt;&gt;0),"违规：实际股数须为100股整数倍",IF(G156&gt;N156,"违规：实际股数超过风险或金字塔上限",IF(AND(B156&gt;1,G156&gt;SUMIFS($G$2:$G$1001,$A$2:$A$1001,A156,$B$2:$B$1001,B156-1)),"违规：加仓股数须逐次不增加",IF(Q156&gt;F156,"违规：止损风险超过本次预算","通过")))))))))))))))</f>
        <v/>
      </c>
    </row>
    <row r="157" customFormat="false" ht="15" hidden="false" customHeight="false" outlineLevel="0" collapsed="false">
      <c r="A157" s="20"/>
      <c r="B157" s="21"/>
      <c r="C157" s="22"/>
      <c r="D157" s="23"/>
      <c r="E157" s="23"/>
      <c r="F157" s="23"/>
      <c r="G157" s="21"/>
      <c r="H157" s="24" t="str">
        <f aca="false">IF(OR(A157="",D157="",G157=""),"",D157*G157)</f>
        <v/>
      </c>
      <c r="I157" s="25" t="str">
        <f aca="false">IF(OR(A157="",B157=""),"",IFERROR(LOOKUP(2,1/(单次交易!$A$2:$A$201=A157),单次交易!$H$2:$H$201),0)+SUMIFS($G$2:$G$1001,$A$2:$A$1001,A157,$B$2:$B$1001,"&lt;"&amp;B157))</f>
        <v/>
      </c>
      <c r="J157" s="24" t="str">
        <f aca="false">IF(OR(A157="",B157=""),"",IFERROR(LOOKUP(2,1/(单次交易!$A$2:$A$201=A157),单次交易!$E$2:$E$201)*LOOKUP(2,1/(单次交易!$A$2:$A$201=A157),单次交易!$H$2:$H$201),0)+SUMIFS($H$2:$H$1001,$A$2:$A$1001,A157,$B$2:$B$1001,"&lt;"&amp;B157))</f>
        <v/>
      </c>
      <c r="K157" s="24" t="str">
        <f aca="false">IF(OR(E157="",I157="",J157=""),"",MAX(E157*I157-J157,0))</f>
        <v/>
      </c>
      <c r="L157" s="25" t="str">
        <f aca="false">IF(OR(D157="",E157="",F157="",D157&lt;=E157),"",FLOOR((F157+K157)/(D157-E157),100))</f>
        <v/>
      </c>
      <c r="M157" s="25" t="str">
        <f aca="false">IF(OR(A157="",B157="",L157=""),"",IF(B157=1,L157,IFERROR(SUMIFS($G$2:$G$1001,$A$2:$A$1001,A157,$B$2:$B$1001,B157-1),0)))</f>
        <v/>
      </c>
      <c r="N157" s="25" t="str">
        <f aca="false">IF(OR(L157="",M157=""),"",MIN(L157,M157))</f>
        <v/>
      </c>
      <c r="O157" s="25" t="str">
        <f aca="false">IF(OR(I157="",G157=""),"",I157+G157)</f>
        <v/>
      </c>
      <c r="P157" s="24" t="str">
        <f aca="false">IF(OR(O157="",O157=0),"",(J157+H157)/O157)</f>
        <v/>
      </c>
      <c r="Q157" s="24" t="str">
        <f aca="false">IF(OR(O157="",E157=""),"",MAX(J157+H157-E157*O157,0))</f>
        <v/>
      </c>
      <c r="R157" s="26" t="str">
        <f aca="false">IF(A157="","",IF(COUNTIF(_TradeIds,A157)=0,"违规：交易编号不存在",IF(OR(B157="",B157&lt;1,B157&gt;5,B157&lt;&gt;INT(B157)),"违规：加仓序号须为1到5的整数",IF(COUNTIFS($A$2:$A$1001,A157,$B$2:$B$1001,B157)&gt;1,"违规：同一交易的加仓序号重复",IF(OR(D157="",E157="",F157=""),"计划不完整：请填写加仓价、新止损价和风险预算",IF(OR(D157&lt;=0,E157&lt;=0,F157&lt;=0,D157&lt;=E157),"违规：加仓价必须高于新止损价，金额须大于0",IF(AND(B157&gt;1,COUNTIFS($A$2:$A$1001,A157,$B$2:$B$1001,B157-1,$G$2:$G$1001,"&gt;0")=0),"违规：须先完成上一次加仓",IF(AND(B157&gt;1,E157&lt;SUMIFS($E$2:$E$1001,$A$2:$A$1001,A157,$B$2:$B$1001,B157-1)),"违规：新止损价不得低于上一次",IF(AND(B157&gt;1,F157&gt;SUMIFS($F$2:$F$1001,$A$2:$A$1001,A157,$B$2:$B$1001,B157-1)),"违规：风险预算须逐次不增加",IF(OR(_LockStatus="已锁仓",_LockStatus="解锁信息不完整"),"违规：锁仓期间禁止加仓",IF(G157="","计划可执行：建议股数见N列",IF(OR(G157&lt;=0,G157&lt;&gt;INT(G157),MOD(G157,100)&lt;&gt;0),"违规：实际股数须为100股整数倍",IF(G157&gt;N157,"违规：实际股数超过风险或金字塔上限",IF(AND(B157&gt;1,G157&gt;SUMIFS($G$2:$G$1001,$A$2:$A$1001,A157,$B$2:$B$1001,B157-1)),"违规：加仓股数须逐次不增加",IF(Q157&gt;F157,"违规：止损风险超过本次预算","通过")))))))))))))))</f>
        <v/>
      </c>
    </row>
    <row r="158" customFormat="false" ht="15" hidden="false" customHeight="false" outlineLevel="0" collapsed="false">
      <c r="A158" s="20"/>
      <c r="B158" s="21"/>
      <c r="C158" s="22"/>
      <c r="D158" s="23"/>
      <c r="E158" s="23"/>
      <c r="F158" s="23"/>
      <c r="G158" s="21"/>
      <c r="H158" s="24" t="str">
        <f aca="false">IF(OR(A158="",D158="",G158=""),"",D158*G158)</f>
        <v/>
      </c>
      <c r="I158" s="25" t="str">
        <f aca="false">IF(OR(A158="",B158=""),"",IFERROR(LOOKUP(2,1/(单次交易!$A$2:$A$201=A158),单次交易!$H$2:$H$201),0)+SUMIFS($G$2:$G$1001,$A$2:$A$1001,A158,$B$2:$B$1001,"&lt;"&amp;B158))</f>
        <v/>
      </c>
      <c r="J158" s="24" t="str">
        <f aca="false">IF(OR(A158="",B158=""),"",IFERROR(LOOKUP(2,1/(单次交易!$A$2:$A$201=A158),单次交易!$E$2:$E$201)*LOOKUP(2,1/(单次交易!$A$2:$A$201=A158),单次交易!$H$2:$H$201),0)+SUMIFS($H$2:$H$1001,$A$2:$A$1001,A158,$B$2:$B$1001,"&lt;"&amp;B158))</f>
        <v/>
      </c>
      <c r="K158" s="24" t="str">
        <f aca="false">IF(OR(E158="",I158="",J158=""),"",MAX(E158*I158-J158,0))</f>
        <v/>
      </c>
      <c r="L158" s="25" t="str">
        <f aca="false">IF(OR(D158="",E158="",F158="",D158&lt;=E158),"",FLOOR((F158+K158)/(D158-E158),100))</f>
        <v/>
      </c>
      <c r="M158" s="25" t="str">
        <f aca="false">IF(OR(A158="",B158="",L158=""),"",IF(B158=1,L158,IFERROR(SUMIFS($G$2:$G$1001,$A$2:$A$1001,A158,$B$2:$B$1001,B158-1),0)))</f>
        <v/>
      </c>
      <c r="N158" s="25" t="str">
        <f aca="false">IF(OR(L158="",M158=""),"",MIN(L158,M158))</f>
        <v/>
      </c>
      <c r="O158" s="25" t="str">
        <f aca="false">IF(OR(I158="",G158=""),"",I158+G158)</f>
        <v/>
      </c>
      <c r="P158" s="24" t="str">
        <f aca="false">IF(OR(O158="",O158=0),"",(J158+H158)/O158)</f>
        <v/>
      </c>
      <c r="Q158" s="24" t="str">
        <f aca="false">IF(OR(O158="",E158=""),"",MAX(J158+H158-E158*O158,0))</f>
        <v/>
      </c>
      <c r="R158" s="26" t="str">
        <f aca="false">IF(A158="","",IF(COUNTIF(_TradeIds,A158)=0,"违规：交易编号不存在",IF(OR(B158="",B158&lt;1,B158&gt;5,B158&lt;&gt;INT(B158)),"违规：加仓序号须为1到5的整数",IF(COUNTIFS($A$2:$A$1001,A158,$B$2:$B$1001,B158)&gt;1,"违规：同一交易的加仓序号重复",IF(OR(D158="",E158="",F158=""),"计划不完整：请填写加仓价、新止损价和风险预算",IF(OR(D158&lt;=0,E158&lt;=0,F158&lt;=0,D158&lt;=E158),"违规：加仓价必须高于新止损价，金额须大于0",IF(AND(B158&gt;1,COUNTIFS($A$2:$A$1001,A158,$B$2:$B$1001,B158-1,$G$2:$G$1001,"&gt;0")=0),"违规：须先完成上一次加仓",IF(AND(B158&gt;1,E158&lt;SUMIFS($E$2:$E$1001,$A$2:$A$1001,A158,$B$2:$B$1001,B158-1)),"违规：新止损价不得低于上一次",IF(AND(B158&gt;1,F158&gt;SUMIFS($F$2:$F$1001,$A$2:$A$1001,A158,$B$2:$B$1001,B158-1)),"违规：风险预算须逐次不增加",IF(OR(_LockStatus="已锁仓",_LockStatus="解锁信息不完整"),"违规：锁仓期间禁止加仓",IF(G158="","计划可执行：建议股数见N列",IF(OR(G158&lt;=0,G158&lt;&gt;INT(G158),MOD(G158,100)&lt;&gt;0),"违规：实际股数须为100股整数倍",IF(G158&gt;N158,"违规：实际股数超过风险或金字塔上限",IF(AND(B158&gt;1,G158&gt;SUMIFS($G$2:$G$1001,$A$2:$A$1001,A158,$B$2:$B$1001,B158-1)),"违规：加仓股数须逐次不增加",IF(Q158&gt;F158,"违规：止损风险超过本次预算","通过")))))))))))))))</f>
        <v/>
      </c>
    </row>
    <row r="159" customFormat="false" ht="15" hidden="false" customHeight="false" outlineLevel="0" collapsed="false">
      <c r="A159" s="20"/>
      <c r="B159" s="21"/>
      <c r="C159" s="22"/>
      <c r="D159" s="23"/>
      <c r="E159" s="23"/>
      <c r="F159" s="23"/>
      <c r="G159" s="21"/>
      <c r="H159" s="24" t="str">
        <f aca="false">IF(OR(A159="",D159="",G159=""),"",D159*G159)</f>
        <v/>
      </c>
      <c r="I159" s="25" t="str">
        <f aca="false">IF(OR(A159="",B159=""),"",IFERROR(LOOKUP(2,1/(单次交易!$A$2:$A$201=A159),单次交易!$H$2:$H$201),0)+SUMIFS($G$2:$G$1001,$A$2:$A$1001,A159,$B$2:$B$1001,"&lt;"&amp;B159))</f>
        <v/>
      </c>
      <c r="J159" s="24" t="str">
        <f aca="false">IF(OR(A159="",B159=""),"",IFERROR(LOOKUP(2,1/(单次交易!$A$2:$A$201=A159),单次交易!$E$2:$E$201)*LOOKUP(2,1/(单次交易!$A$2:$A$201=A159),单次交易!$H$2:$H$201),0)+SUMIFS($H$2:$H$1001,$A$2:$A$1001,A159,$B$2:$B$1001,"&lt;"&amp;B159))</f>
        <v/>
      </c>
      <c r="K159" s="24" t="str">
        <f aca="false">IF(OR(E159="",I159="",J159=""),"",MAX(E159*I159-J159,0))</f>
        <v/>
      </c>
      <c r="L159" s="25" t="str">
        <f aca="false">IF(OR(D159="",E159="",F159="",D159&lt;=E159),"",FLOOR((F159+K159)/(D159-E159),100))</f>
        <v/>
      </c>
      <c r="M159" s="25" t="str">
        <f aca="false">IF(OR(A159="",B159="",L159=""),"",IF(B159=1,L159,IFERROR(SUMIFS($G$2:$G$1001,$A$2:$A$1001,A159,$B$2:$B$1001,B159-1),0)))</f>
        <v/>
      </c>
      <c r="N159" s="25" t="str">
        <f aca="false">IF(OR(L159="",M159=""),"",MIN(L159,M159))</f>
        <v/>
      </c>
      <c r="O159" s="25" t="str">
        <f aca="false">IF(OR(I159="",G159=""),"",I159+G159)</f>
        <v/>
      </c>
      <c r="P159" s="24" t="str">
        <f aca="false">IF(OR(O159="",O159=0),"",(J159+H159)/O159)</f>
        <v/>
      </c>
      <c r="Q159" s="24" t="str">
        <f aca="false">IF(OR(O159="",E159=""),"",MAX(J159+H159-E159*O159,0))</f>
        <v/>
      </c>
      <c r="R159" s="26" t="str">
        <f aca="false">IF(A159="","",IF(COUNTIF(_TradeIds,A159)=0,"违规：交易编号不存在",IF(OR(B159="",B159&lt;1,B159&gt;5,B159&lt;&gt;INT(B159)),"违规：加仓序号须为1到5的整数",IF(COUNTIFS($A$2:$A$1001,A159,$B$2:$B$1001,B159)&gt;1,"违规：同一交易的加仓序号重复",IF(OR(D159="",E159="",F159=""),"计划不完整：请填写加仓价、新止损价和风险预算",IF(OR(D159&lt;=0,E159&lt;=0,F159&lt;=0,D159&lt;=E159),"违规：加仓价必须高于新止损价，金额须大于0",IF(AND(B159&gt;1,COUNTIFS($A$2:$A$1001,A159,$B$2:$B$1001,B159-1,$G$2:$G$1001,"&gt;0")=0),"违规：须先完成上一次加仓",IF(AND(B159&gt;1,E159&lt;SUMIFS($E$2:$E$1001,$A$2:$A$1001,A159,$B$2:$B$1001,B159-1)),"违规：新止损价不得低于上一次",IF(AND(B159&gt;1,F159&gt;SUMIFS($F$2:$F$1001,$A$2:$A$1001,A159,$B$2:$B$1001,B159-1)),"违规：风险预算须逐次不增加",IF(OR(_LockStatus="已锁仓",_LockStatus="解锁信息不完整"),"违规：锁仓期间禁止加仓",IF(G159="","计划可执行：建议股数见N列",IF(OR(G159&lt;=0,G159&lt;&gt;INT(G159),MOD(G159,100)&lt;&gt;0),"违规：实际股数须为100股整数倍",IF(G159&gt;N159,"违规：实际股数超过风险或金字塔上限",IF(AND(B159&gt;1,G159&gt;SUMIFS($G$2:$G$1001,$A$2:$A$1001,A159,$B$2:$B$1001,B159-1)),"违规：加仓股数须逐次不增加",IF(Q159&gt;F159,"违规：止损风险超过本次预算","通过")))))))))))))))</f>
        <v/>
      </c>
    </row>
    <row r="160" customFormat="false" ht="15" hidden="false" customHeight="false" outlineLevel="0" collapsed="false">
      <c r="A160" s="20"/>
      <c r="B160" s="21"/>
      <c r="C160" s="22"/>
      <c r="D160" s="23"/>
      <c r="E160" s="23"/>
      <c r="F160" s="23"/>
      <c r="G160" s="21"/>
      <c r="H160" s="24" t="str">
        <f aca="false">IF(OR(A160="",D160="",G160=""),"",D160*G160)</f>
        <v/>
      </c>
      <c r="I160" s="25" t="str">
        <f aca="false">IF(OR(A160="",B160=""),"",IFERROR(LOOKUP(2,1/(单次交易!$A$2:$A$201=A160),单次交易!$H$2:$H$201),0)+SUMIFS($G$2:$G$1001,$A$2:$A$1001,A160,$B$2:$B$1001,"&lt;"&amp;B160))</f>
        <v/>
      </c>
      <c r="J160" s="24" t="str">
        <f aca="false">IF(OR(A160="",B160=""),"",IFERROR(LOOKUP(2,1/(单次交易!$A$2:$A$201=A160),单次交易!$E$2:$E$201)*LOOKUP(2,1/(单次交易!$A$2:$A$201=A160),单次交易!$H$2:$H$201),0)+SUMIFS($H$2:$H$1001,$A$2:$A$1001,A160,$B$2:$B$1001,"&lt;"&amp;B160))</f>
        <v/>
      </c>
      <c r="K160" s="24" t="str">
        <f aca="false">IF(OR(E160="",I160="",J160=""),"",MAX(E160*I160-J160,0))</f>
        <v/>
      </c>
      <c r="L160" s="25" t="str">
        <f aca="false">IF(OR(D160="",E160="",F160="",D160&lt;=E160),"",FLOOR((F160+K160)/(D160-E160),100))</f>
        <v/>
      </c>
      <c r="M160" s="25" t="str">
        <f aca="false">IF(OR(A160="",B160="",L160=""),"",IF(B160=1,L160,IFERROR(SUMIFS($G$2:$G$1001,$A$2:$A$1001,A160,$B$2:$B$1001,B160-1),0)))</f>
        <v/>
      </c>
      <c r="N160" s="25" t="str">
        <f aca="false">IF(OR(L160="",M160=""),"",MIN(L160,M160))</f>
        <v/>
      </c>
      <c r="O160" s="25" t="str">
        <f aca="false">IF(OR(I160="",G160=""),"",I160+G160)</f>
        <v/>
      </c>
      <c r="P160" s="24" t="str">
        <f aca="false">IF(OR(O160="",O160=0),"",(J160+H160)/O160)</f>
        <v/>
      </c>
      <c r="Q160" s="24" t="str">
        <f aca="false">IF(OR(O160="",E160=""),"",MAX(J160+H160-E160*O160,0))</f>
        <v/>
      </c>
      <c r="R160" s="26" t="str">
        <f aca="false">IF(A160="","",IF(COUNTIF(_TradeIds,A160)=0,"违规：交易编号不存在",IF(OR(B160="",B160&lt;1,B160&gt;5,B160&lt;&gt;INT(B160)),"违规：加仓序号须为1到5的整数",IF(COUNTIFS($A$2:$A$1001,A160,$B$2:$B$1001,B160)&gt;1,"违规：同一交易的加仓序号重复",IF(OR(D160="",E160="",F160=""),"计划不完整：请填写加仓价、新止损价和风险预算",IF(OR(D160&lt;=0,E160&lt;=0,F160&lt;=0,D160&lt;=E160),"违规：加仓价必须高于新止损价，金额须大于0",IF(AND(B160&gt;1,COUNTIFS($A$2:$A$1001,A160,$B$2:$B$1001,B160-1,$G$2:$G$1001,"&gt;0")=0),"违规：须先完成上一次加仓",IF(AND(B160&gt;1,E160&lt;SUMIFS($E$2:$E$1001,$A$2:$A$1001,A160,$B$2:$B$1001,B160-1)),"违规：新止损价不得低于上一次",IF(AND(B160&gt;1,F160&gt;SUMIFS($F$2:$F$1001,$A$2:$A$1001,A160,$B$2:$B$1001,B160-1)),"违规：风险预算须逐次不增加",IF(OR(_LockStatus="已锁仓",_LockStatus="解锁信息不完整"),"违规：锁仓期间禁止加仓",IF(G160="","计划可执行：建议股数见N列",IF(OR(G160&lt;=0,G160&lt;&gt;INT(G160),MOD(G160,100)&lt;&gt;0),"违规：实际股数须为100股整数倍",IF(G160&gt;N160,"违规：实际股数超过风险或金字塔上限",IF(AND(B160&gt;1,G160&gt;SUMIFS($G$2:$G$1001,$A$2:$A$1001,A160,$B$2:$B$1001,B160-1)),"违规：加仓股数须逐次不增加",IF(Q160&gt;F160,"违规：止损风险超过本次预算","通过")))))))))))))))</f>
        <v/>
      </c>
    </row>
    <row r="161" customFormat="false" ht="15" hidden="false" customHeight="false" outlineLevel="0" collapsed="false">
      <c r="A161" s="20"/>
      <c r="B161" s="21"/>
      <c r="C161" s="22"/>
      <c r="D161" s="23"/>
      <c r="E161" s="23"/>
      <c r="F161" s="23"/>
      <c r="G161" s="21"/>
      <c r="H161" s="24" t="str">
        <f aca="false">IF(OR(A161="",D161="",G161=""),"",D161*G161)</f>
        <v/>
      </c>
      <c r="I161" s="25" t="str">
        <f aca="false">IF(OR(A161="",B161=""),"",IFERROR(LOOKUP(2,1/(单次交易!$A$2:$A$201=A161),单次交易!$H$2:$H$201),0)+SUMIFS($G$2:$G$1001,$A$2:$A$1001,A161,$B$2:$B$1001,"&lt;"&amp;B161))</f>
        <v/>
      </c>
      <c r="J161" s="24" t="str">
        <f aca="false">IF(OR(A161="",B161=""),"",IFERROR(LOOKUP(2,1/(单次交易!$A$2:$A$201=A161),单次交易!$E$2:$E$201)*LOOKUP(2,1/(单次交易!$A$2:$A$201=A161),单次交易!$H$2:$H$201),0)+SUMIFS($H$2:$H$1001,$A$2:$A$1001,A161,$B$2:$B$1001,"&lt;"&amp;B161))</f>
        <v/>
      </c>
      <c r="K161" s="24" t="str">
        <f aca="false">IF(OR(E161="",I161="",J161=""),"",MAX(E161*I161-J161,0))</f>
        <v/>
      </c>
      <c r="L161" s="25" t="str">
        <f aca="false">IF(OR(D161="",E161="",F161="",D161&lt;=E161),"",FLOOR((F161+K161)/(D161-E161),100))</f>
        <v/>
      </c>
      <c r="M161" s="25" t="str">
        <f aca="false">IF(OR(A161="",B161="",L161=""),"",IF(B161=1,L161,IFERROR(SUMIFS($G$2:$G$1001,$A$2:$A$1001,A161,$B$2:$B$1001,B161-1),0)))</f>
        <v/>
      </c>
      <c r="N161" s="25" t="str">
        <f aca="false">IF(OR(L161="",M161=""),"",MIN(L161,M161))</f>
        <v/>
      </c>
      <c r="O161" s="25" t="str">
        <f aca="false">IF(OR(I161="",G161=""),"",I161+G161)</f>
        <v/>
      </c>
      <c r="P161" s="24" t="str">
        <f aca="false">IF(OR(O161="",O161=0),"",(J161+H161)/O161)</f>
        <v/>
      </c>
      <c r="Q161" s="24" t="str">
        <f aca="false">IF(OR(O161="",E161=""),"",MAX(J161+H161-E161*O161,0))</f>
        <v/>
      </c>
      <c r="R161" s="26" t="str">
        <f aca="false">IF(A161="","",IF(COUNTIF(_TradeIds,A161)=0,"违规：交易编号不存在",IF(OR(B161="",B161&lt;1,B161&gt;5,B161&lt;&gt;INT(B161)),"违规：加仓序号须为1到5的整数",IF(COUNTIFS($A$2:$A$1001,A161,$B$2:$B$1001,B161)&gt;1,"违规：同一交易的加仓序号重复",IF(OR(D161="",E161="",F161=""),"计划不完整：请填写加仓价、新止损价和风险预算",IF(OR(D161&lt;=0,E161&lt;=0,F161&lt;=0,D161&lt;=E161),"违规：加仓价必须高于新止损价，金额须大于0",IF(AND(B161&gt;1,COUNTIFS($A$2:$A$1001,A161,$B$2:$B$1001,B161-1,$G$2:$G$1001,"&gt;0")=0),"违规：须先完成上一次加仓",IF(AND(B161&gt;1,E161&lt;SUMIFS($E$2:$E$1001,$A$2:$A$1001,A161,$B$2:$B$1001,B161-1)),"违规：新止损价不得低于上一次",IF(AND(B161&gt;1,F161&gt;SUMIFS($F$2:$F$1001,$A$2:$A$1001,A161,$B$2:$B$1001,B161-1)),"违规：风险预算须逐次不增加",IF(OR(_LockStatus="已锁仓",_LockStatus="解锁信息不完整"),"违规：锁仓期间禁止加仓",IF(G161="","计划可执行：建议股数见N列",IF(OR(G161&lt;=0,G161&lt;&gt;INT(G161),MOD(G161,100)&lt;&gt;0),"违规：实际股数须为100股整数倍",IF(G161&gt;N161,"违规：实际股数超过风险或金字塔上限",IF(AND(B161&gt;1,G161&gt;SUMIFS($G$2:$G$1001,$A$2:$A$1001,A161,$B$2:$B$1001,B161-1)),"违规：加仓股数须逐次不增加",IF(Q161&gt;F161,"违规：止损风险超过本次预算","通过")))))))))))))))</f>
        <v/>
      </c>
    </row>
    <row r="162" customFormat="false" ht="15" hidden="false" customHeight="false" outlineLevel="0" collapsed="false">
      <c r="A162" s="20"/>
      <c r="B162" s="21"/>
      <c r="C162" s="22"/>
      <c r="D162" s="23"/>
      <c r="E162" s="23"/>
      <c r="F162" s="23"/>
      <c r="G162" s="21"/>
      <c r="H162" s="24" t="str">
        <f aca="false">IF(OR(A162="",D162="",G162=""),"",D162*G162)</f>
        <v/>
      </c>
      <c r="I162" s="25" t="str">
        <f aca="false">IF(OR(A162="",B162=""),"",IFERROR(LOOKUP(2,1/(单次交易!$A$2:$A$201=A162),单次交易!$H$2:$H$201),0)+SUMIFS($G$2:$G$1001,$A$2:$A$1001,A162,$B$2:$B$1001,"&lt;"&amp;B162))</f>
        <v/>
      </c>
      <c r="J162" s="24" t="str">
        <f aca="false">IF(OR(A162="",B162=""),"",IFERROR(LOOKUP(2,1/(单次交易!$A$2:$A$201=A162),单次交易!$E$2:$E$201)*LOOKUP(2,1/(单次交易!$A$2:$A$201=A162),单次交易!$H$2:$H$201),0)+SUMIFS($H$2:$H$1001,$A$2:$A$1001,A162,$B$2:$B$1001,"&lt;"&amp;B162))</f>
        <v/>
      </c>
      <c r="K162" s="24" t="str">
        <f aca="false">IF(OR(E162="",I162="",J162=""),"",MAX(E162*I162-J162,0))</f>
        <v/>
      </c>
      <c r="L162" s="25" t="str">
        <f aca="false">IF(OR(D162="",E162="",F162="",D162&lt;=E162),"",FLOOR((F162+K162)/(D162-E162),100))</f>
        <v/>
      </c>
      <c r="M162" s="25" t="str">
        <f aca="false">IF(OR(A162="",B162="",L162=""),"",IF(B162=1,L162,IFERROR(SUMIFS($G$2:$G$1001,$A$2:$A$1001,A162,$B$2:$B$1001,B162-1),0)))</f>
        <v/>
      </c>
      <c r="N162" s="25" t="str">
        <f aca="false">IF(OR(L162="",M162=""),"",MIN(L162,M162))</f>
        <v/>
      </c>
      <c r="O162" s="25" t="str">
        <f aca="false">IF(OR(I162="",G162=""),"",I162+G162)</f>
        <v/>
      </c>
      <c r="P162" s="24" t="str">
        <f aca="false">IF(OR(O162="",O162=0),"",(J162+H162)/O162)</f>
        <v/>
      </c>
      <c r="Q162" s="24" t="str">
        <f aca="false">IF(OR(O162="",E162=""),"",MAX(J162+H162-E162*O162,0))</f>
        <v/>
      </c>
      <c r="R162" s="26" t="str">
        <f aca="false">IF(A162="","",IF(COUNTIF(_TradeIds,A162)=0,"违规：交易编号不存在",IF(OR(B162="",B162&lt;1,B162&gt;5,B162&lt;&gt;INT(B162)),"违规：加仓序号须为1到5的整数",IF(COUNTIFS($A$2:$A$1001,A162,$B$2:$B$1001,B162)&gt;1,"违规：同一交易的加仓序号重复",IF(OR(D162="",E162="",F162=""),"计划不完整：请填写加仓价、新止损价和风险预算",IF(OR(D162&lt;=0,E162&lt;=0,F162&lt;=0,D162&lt;=E162),"违规：加仓价必须高于新止损价，金额须大于0",IF(AND(B162&gt;1,COUNTIFS($A$2:$A$1001,A162,$B$2:$B$1001,B162-1,$G$2:$G$1001,"&gt;0")=0),"违规：须先完成上一次加仓",IF(AND(B162&gt;1,E162&lt;SUMIFS($E$2:$E$1001,$A$2:$A$1001,A162,$B$2:$B$1001,B162-1)),"违规：新止损价不得低于上一次",IF(AND(B162&gt;1,F162&gt;SUMIFS($F$2:$F$1001,$A$2:$A$1001,A162,$B$2:$B$1001,B162-1)),"违规：风险预算须逐次不增加",IF(OR(_LockStatus="已锁仓",_LockStatus="解锁信息不完整"),"违规：锁仓期间禁止加仓",IF(G162="","计划可执行：建议股数见N列",IF(OR(G162&lt;=0,G162&lt;&gt;INT(G162),MOD(G162,100)&lt;&gt;0),"违规：实际股数须为100股整数倍",IF(G162&gt;N162,"违规：实际股数超过风险或金字塔上限",IF(AND(B162&gt;1,G162&gt;SUMIFS($G$2:$G$1001,$A$2:$A$1001,A162,$B$2:$B$1001,B162-1)),"违规：加仓股数须逐次不增加",IF(Q162&gt;F162,"违规：止损风险超过本次预算","通过")))))))))))))))</f>
        <v/>
      </c>
    </row>
    <row r="163" customFormat="false" ht="15" hidden="false" customHeight="false" outlineLevel="0" collapsed="false">
      <c r="A163" s="20"/>
      <c r="B163" s="21"/>
      <c r="C163" s="22"/>
      <c r="D163" s="23"/>
      <c r="E163" s="23"/>
      <c r="F163" s="23"/>
      <c r="G163" s="21"/>
      <c r="H163" s="24" t="str">
        <f aca="false">IF(OR(A163="",D163="",G163=""),"",D163*G163)</f>
        <v/>
      </c>
      <c r="I163" s="25" t="str">
        <f aca="false">IF(OR(A163="",B163=""),"",IFERROR(LOOKUP(2,1/(单次交易!$A$2:$A$201=A163),单次交易!$H$2:$H$201),0)+SUMIFS($G$2:$G$1001,$A$2:$A$1001,A163,$B$2:$B$1001,"&lt;"&amp;B163))</f>
        <v/>
      </c>
      <c r="J163" s="24" t="str">
        <f aca="false">IF(OR(A163="",B163=""),"",IFERROR(LOOKUP(2,1/(单次交易!$A$2:$A$201=A163),单次交易!$E$2:$E$201)*LOOKUP(2,1/(单次交易!$A$2:$A$201=A163),单次交易!$H$2:$H$201),0)+SUMIFS($H$2:$H$1001,$A$2:$A$1001,A163,$B$2:$B$1001,"&lt;"&amp;B163))</f>
        <v/>
      </c>
      <c r="K163" s="24" t="str">
        <f aca="false">IF(OR(E163="",I163="",J163=""),"",MAX(E163*I163-J163,0))</f>
        <v/>
      </c>
      <c r="L163" s="25" t="str">
        <f aca="false">IF(OR(D163="",E163="",F163="",D163&lt;=E163),"",FLOOR((F163+K163)/(D163-E163),100))</f>
        <v/>
      </c>
      <c r="M163" s="25" t="str">
        <f aca="false">IF(OR(A163="",B163="",L163=""),"",IF(B163=1,L163,IFERROR(SUMIFS($G$2:$G$1001,$A$2:$A$1001,A163,$B$2:$B$1001,B163-1),0)))</f>
        <v/>
      </c>
      <c r="N163" s="25" t="str">
        <f aca="false">IF(OR(L163="",M163=""),"",MIN(L163,M163))</f>
        <v/>
      </c>
      <c r="O163" s="25" t="str">
        <f aca="false">IF(OR(I163="",G163=""),"",I163+G163)</f>
        <v/>
      </c>
      <c r="P163" s="24" t="str">
        <f aca="false">IF(OR(O163="",O163=0),"",(J163+H163)/O163)</f>
        <v/>
      </c>
      <c r="Q163" s="24" t="str">
        <f aca="false">IF(OR(O163="",E163=""),"",MAX(J163+H163-E163*O163,0))</f>
        <v/>
      </c>
      <c r="R163" s="26" t="str">
        <f aca="false">IF(A163="","",IF(COUNTIF(_TradeIds,A163)=0,"违规：交易编号不存在",IF(OR(B163="",B163&lt;1,B163&gt;5,B163&lt;&gt;INT(B163)),"违规：加仓序号须为1到5的整数",IF(COUNTIFS($A$2:$A$1001,A163,$B$2:$B$1001,B163)&gt;1,"违规：同一交易的加仓序号重复",IF(OR(D163="",E163="",F163=""),"计划不完整：请填写加仓价、新止损价和风险预算",IF(OR(D163&lt;=0,E163&lt;=0,F163&lt;=0,D163&lt;=E163),"违规：加仓价必须高于新止损价，金额须大于0",IF(AND(B163&gt;1,COUNTIFS($A$2:$A$1001,A163,$B$2:$B$1001,B163-1,$G$2:$G$1001,"&gt;0")=0),"违规：须先完成上一次加仓",IF(AND(B163&gt;1,E163&lt;SUMIFS($E$2:$E$1001,$A$2:$A$1001,A163,$B$2:$B$1001,B163-1)),"违规：新止损价不得低于上一次",IF(AND(B163&gt;1,F163&gt;SUMIFS($F$2:$F$1001,$A$2:$A$1001,A163,$B$2:$B$1001,B163-1)),"违规：风险预算须逐次不增加",IF(OR(_LockStatus="已锁仓",_LockStatus="解锁信息不完整"),"违规：锁仓期间禁止加仓",IF(G163="","计划可执行：建议股数见N列",IF(OR(G163&lt;=0,G163&lt;&gt;INT(G163),MOD(G163,100)&lt;&gt;0),"违规：实际股数须为100股整数倍",IF(G163&gt;N163,"违规：实际股数超过风险或金字塔上限",IF(AND(B163&gt;1,G163&gt;SUMIFS($G$2:$G$1001,$A$2:$A$1001,A163,$B$2:$B$1001,B163-1)),"违规：加仓股数须逐次不增加",IF(Q163&gt;F163,"违规：止损风险超过本次预算","通过")))))))))))))))</f>
        <v/>
      </c>
    </row>
    <row r="164" customFormat="false" ht="15" hidden="false" customHeight="false" outlineLevel="0" collapsed="false">
      <c r="A164" s="20"/>
      <c r="B164" s="21"/>
      <c r="C164" s="22"/>
      <c r="D164" s="23"/>
      <c r="E164" s="23"/>
      <c r="F164" s="23"/>
      <c r="G164" s="21"/>
      <c r="H164" s="24" t="str">
        <f aca="false">IF(OR(A164="",D164="",G164=""),"",D164*G164)</f>
        <v/>
      </c>
      <c r="I164" s="25" t="str">
        <f aca="false">IF(OR(A164="",B164=""),"",IFERROR(LOOKUP(2,1/(单次交易!$A$2:$A$201=A164),单次交易!$H$2:$H$201),0)+SUMIFS($G$2:$G$1001,$A$2:$A$1001,A164,$B$2:$B$1001,"&lt;"&amp;B164))</f>
        <v/>
      </c>
      <c r="J164" s="24" t="str">
        <f aca="false">IF(OR(A164="",B164=""),"",IFERROR(LOOKUP(2,1/(单次交易!$A$2:$A$201=A164),单次交易!$E$2:$E$201)*LOOKUP(2,1/(单次交易!$A$2:$A$201=A164),单次交易!$H$2:$H$201),0)+SUMIFS($H$2:$H$1001,$A$2:$A$1001,A164,$B$2:$B$1001,"&lt;"&amp;B164))</f>
        <v/>
      </c>
      <c r="K164" s="24" t="str">
        <f aca="false">IF(OR(E164="",I164="",J164=""),"",MAX(E164*I164-J164,0))</f>
        <v/>
      </c>
      <c r="L164" s="25" t="str">
        <f aca="false">IF(OR(D164="",E164="",F164="",D164&lt;=E164),"",FLOOR((F164+K164)/(D164-E164),100))</f>
        <v/>
      </c>
      <c r="M164" s="25" t="str">
        <f aca="false">IF(OR(A164="",B164="",L164=""),"",IF(B164=1,L164,IFERROR(SUMIFS($G$2:$G$1001,$A$2:$A$1001,A164,$B$2:$B$1001,B164-1),0)))</f>
        <v/>
      </c>
      <c r="N164" s="25" t="str">
        <f aca="false">IF(OR(L164="",M164=""),"",MIN(L164,M164))</f>
        <v/>
      </c>
      <c r="O164" s="25" t="str">
        <f aca="false">IF(OR(I164="",G164=""),"",I164+G164)</f>
        <v/>
      </c>
      <c r="P164" s="24" t="str">
        <f aca="false">IF(OR(O164="",O164=0),"",(J164+H164)/O164)</f>
        <v/>
      </c>
      <c r="Q164" s="24" t="str">
        <f aca="false">IF(OR(O164="",E164=""),"",MAX(J164+H164-E164*O164,0))</f>
        <v/>
      </c>
      <c r="R164" s="26" t="str">
        <f aca="false">IF(A164="","",IF(COUNTIF(_TradeIds,A164)=0,"违规：交易编号不存在",IF(OR(B164="",B164&lt;1,B164&gt;5,B164&lt;&gt;INT(B164)),"违规：加仓序号须为1到5的整数",IF(COUNTIFS($A$2:$A$1001,A164,$B$2:$B$1001,B164)&gt;1,"违规：同一交易的加仓序号重复",IF(OR(D164="",E164="",F164=""),"计划不完整：请填写加仓价、新止损价和风险预算",IF(OR(D164&lt;=0,E164&lt;=0,F164&lt;=0,D164&lt;=E164),"违规：加仓价必须高于新止损价，金额须大于0",IF(AND(B164&gt;1,COUNTIFS($A$2:$A$1001,A164,$B$2:$B$1001,B164-1,$G$2:$G$1001,"&gt;0")=0),"违规：须先完成上一次加仓",IF(AND(B164&gt;1,E164&lt;SUMIFS($E$2:$E$1001,$A$2:$A$1001,A164,$B$2:$B$1001,B164-1)),"违规：新止损价不得低于上一次",IF(AND(B164&gt;1,F164&gt;SUMIFS($F$2:$F$1001,$A$2:$A$1001,A164,$B$2:$B$1001,B164-1)),"违规：风险预算须逐次不增加",IF(OR(_LockStatus="已锁仓",_LockStatus="解锁信息不完整"),"违规：锁仓期间禁止加仓",IF(G164="","计划可执行：建议股数见N列",IF(OR(G164&lt;=0,G164&lt;&gt;INT(G164),MOD(G164,100)&lt;&gt;0),"违规：实际股数须为100股整数倍",IF(G164&gt;N164,"违规：实际股数超过风险或金字塔上限",IF(AND(B164&gt;1,G164&gt;SUMIFS($G$2:$G$1001,$A$2:$A$1001,A164,$B$2:$B$1001,B164-1)),"违规：加仓股数须逐次不增加",IF(Q164&gt;F164,"违规：止损风险超过本次预算","通过")))))))))))))))</f>
        <v/>
      </c>
    </row>
    <row r="165" customFormat="false" ht="15" hidden="false" customHeight="false" outlineLevel="0" collapsed="false">
      <c r="A165" s="20"/>
      <c r="B165" s="21"/>
      <c r="C165" s="22"/>
      <c r="D165" s="23"/>
      <c r="E165" s="23"/>
      <c r="F165" s="23"/>
      <c r="G165" s="21"/>
      <c r="H165" s="24" t="str">
        <f aca="false">IF(OR(A165="",D165="",G165=""),"",D165*G165)</f>
        <v/>
      </c>
      <c r="I165" s="25" t="str">
        <f aca="false">IF(OR(A165="",B165=""),"",IFERROR(LOOKUP(2,1/(单次交易!$A$2:$A$201=A165),单次交易!$H$2:$H$201),0)+SUMIFS($G$2:$G$1001,$A$2:$A$1001,A165,$B$2:$B$1001,"&lt;"&amp;B165))</f>
        <v/>
      </c>
      <c r="J165" s="24" t="str">
        <f aca="false">IF(OR(A165="",B165=""),"",IFERROR(LOOKUP(2,1/(单次交易!$A$2:$A$201=A165),单次交易!$E$2:$E$201)*LOOKUP(2,1/(单次交易!$A$2:$A$201=A165),单次交易!$H$2:$H$201),0)+SUMIFS($H$2:$H$1001,$A$2:$A$1001,A165,$B$2:$B$1001,"&lt;"&amp;B165))</f>
        <v/>
      </c>
      <c r="K165" s="24" t="str">
        <f aca="false">IF(OR(E165="",I165="",J165=""),"",MAX(E165*I165-J165,0))</f>
        <v/>
      </c>
      <c r="L165" s="25" t="str">
        <f aca="false">IF(OR(D165="",E165="",F165="",D165&lt;=E165),"",FLOOR((F165+K165)/(D165-E165),100))</f>
        <v/>
      </c>
      <c r="M165" s="25" t="str">
        <f aca="false">IF(OR(A165="",B165="",L165=""),"",IF(B165=1,L165,IFERROR(SUMIFS($G$2:$G$1001,$A$2:$A$1001,A165,$B$2:$B$1001,B165-1),0)))</f>
        <v/>
      </c>
      <c r="N165" s="25" t="str">
        <f aca="false">IF(OR(L165="",M165=""),"",MIN(L165,M165))</f>
        <v/>
      </c>
      <c r="O165" s="25" t="str">
        <f aca="false">IF(OR(I165="",G165=""),"",I165+G165)</f>
        <v/>
      </c>
      <c r="P165" s="24" t="str">
        <f aca="false">IF(OR(O165="",O165=0),"",(J165+H165)/O165)</f>
        <v/>
      </c>
      <c r="Q165" s="24" t="str">
        <f aca="false">IF(OR(O165="",E165=""),"",MAX(J165+H165-E165*O165,0))</f>
        <v/>
      </c>
      <c r="R165" s="26" t="str">
        <f aca="false">IF(A165="","",IF(COUNTIF(_TradeIds,A165)=0,"违规：交易编号不存在",IF(OR(B165="",B165&lt;1,B165&gt;5,B165&lt;&gt;INT(B165)),"违规：加仓序号须为1到5的整数",IF(COUNTIFS($A$2:$A$1001,A165,$B$2:$B$1001,B165)&gt;1,"违规：同一交易的加仓序号重复",IF(OR(D165="",E165="",F165=""),"计划不完整：请填写加仓价、新止损价和风险预算",IF(OR(D165&lt;=0,E165&lt;=0,F165&lt;=0,D165&lt;=E165),"违规：加仓价必须高于新止损价，金额须大于0",IF(AND(B165&gt;1,COUNTIFS($A$2:$A$1001,A165,$B$2:$B$1001,B165-1,$G$2:$G$1001,"&gt;0")=0),"违规：须先完成上一次加仓",IF(AND(B165&gt;1,E165&lt;SUMIFS($E$2:$E$1001,$A$2:$A$1001,A165,$B$2:$B$1001,B165-1)),"违规：新止损价不得低于上一次",IF(AND(B165&gt;1,F165&gt;SUMIFS($F$2:$F$1001,$A$2:$A$1001,A165,$B$2:$B$1001,B165-1)),"违规：风险预算须逐次不增加",IF(OR(_LockStatus="已锁仓",_LockStatus="解锁信息不完整"),"违规：锁仓期间禁止加仓",IF(G165="","计划可执行：建议股数见N列",IF(OR(G165&lt;=0,G165&lt;&gt;INT(G165),MOD(G165,100)&lt;&gt;0),"违规：实际股数须为100股整数倍",IF(G165&gt;N165,"违规：实际股数超过风险或金字塔上限",IF(AND(B165&gt;1,G165&gt;SUMIFS($G$2:$G$1001,$A$2:$A$1001,A165,$B$2:$B$1001,B165-1)),"违规：加仓股数须逐次不增加",IF(Q165&gt;F165,"违规：止损风险超过本次预算","通过")))))))))))))))</f>
        <v/>
      </c>
    </row>
    <row r="166" customFormat="false" ht="15" hidden="false" customHeight="false" outlineLevel="0" collapsed="false">
      <c r="A166" s="20"/>
      <c r="B166" s="21"/>
      <c r="C166" s="22"/>
      <c r="D166" s="23"/>
      <c r="E166" s="23"/>
      <c r="F166" s="23"/>
      <c r="G166" s="21"/>
      <c r="H166" s="24" t="str">
        <f aca="false">IF(OR(A166="",D166="",G166=""),"",D166*G166)</f>
        <v/>
      </c>
      <c r="I166" s="25" t="str">
        <f aca="false">IF(OR(A166="",B166=""),"",IFERROR(LOOKUP(2,1/(单次交易!$A$2:$A$201=A166),单次交易!$H$2:$H$201),0)+SUMIFS($G$2:$G$1001,$A$2:$A$1001,A166,$B$2:$B$1001,"&lt;"&amp;B166))</f>
        <v/>
      </c>
      <c r="J166" s="24" t="str">
        <f aca="false">IF(OR(A166="",B166=""),"",IFERROR(LOOKUP(2,1/(单次交易!$A$2:$A$201=A166),单次交易!$E$2:$E$201)*LOOKUP(2,1/(单次交易!$A$2:$A$201=A166),单次交易!$H$2:$H$201),0)+SUMIFS($H$2:$H$1001,$A$2:$A$1001,A166,$B$2:$B$1001,"&lt;"&amp;B166))</f>
        <v/>
      </c>
      <c r="K166" s="24" t="str">
        <f aca="false">IF(OR(E166="",I166="",J166=""),"",MAX(E166*I166-J166,0))</f>
        <v/>
      </c>
      <c r="L166" s="25" t="str">
        <f aca="false">IF(OR(D166="",E166="",F166="",D166&lt;=E166),"",FLOOR((F166+K166)/(D166-E166),100))</f>
        <v/>
      </c>
      <c r="M166" s="25" t="str">
        <f aca="false">IF(OR(A166="",B166="",L166=""),"",IF(B166=1,L166,IFERROR(SUMIFS($G$2:$G$1001,$A$2:$A$1001,A166,$B$2:$B$1001,B166-1),0)))</f>
        <v/>
      </c>
      <c r="N166" s="25" t="str">
        <f aca="false">IF(OR(L166="",M166=""),"",MIN(L166,M166))</f>
        <v/>
      </c>
      <c r="O166" s="25" t="str">
        <f aca="false">IF(OR(I166="",G166=""),"",I166+G166)</f>
        <v/>
      </c>
      <c r="P166" s="24" t="str">
        <f aca="false">IF(OR(O166="",O166=0),"",(J166+H166)/O166)</f>
        <v/>
      </c>
      <c r="Q166" s="24" t="str">
        <f aca="false">IF(OR(O166="",E166=""),"",MAX(J166+H166-E166*O166,0))</f>
        <v/>
      </c>
      <c r="R166" s="26" t="str">
        <f aca="false">IF(A166="","",IF(COUNTIF(_TradeIds,A166)=0,"违规：交易编号不存在",IF(OR(B166="",B166&lt;1,B166&gt;5,B166&lt;&gt;INT(B166)),"违规：加仓序号须为1到5的整数",IF(COUNTIFS($A$2:$A$1001,A166,$B$2:$B$1001,B166)&gt;1,"违规：同一交易的加仓序号重复",IF(OR(D166="",E166="",F166=""),"计划不完整：请填写加仓价、新止损价和风险预算",IF(OR(D166&lt;=0,E166&lt;=0,F166&lt;=0,D166&lt;=E166),"违规：加仓价必须高于新止损价，金额须大于0",IF(AND(B166&gt;1,COUNTIFS($A$2:$A$1001,A166,$B$2:$B$1001,B166-1,$G$2:$G$1001,"&gt;0")=0),"违规：须先完成上一次加仓",IF(AND(B166&gt;1,E166&lt;SUMIFS($E$2:$E$1001,$A$2:$A$1001,A166,$B$2:$B$1001,B166-1)),"违规：新止损价不得低于上一次",IF(AND(B166&gt;1,F166&gt;SUMIFS($F$2:$F$1001,$A$2:$A$1001,A166,$B$2:$B$1001,B166-1)),"违规：风险预算须逐次不增加",IF(OR(_LockStatus="已锁仓",_LockStatus="解锁信息不完整"),"违规：锁仓期间禁止加仓",IF(G166="","计划可执行：建议股数见N列",IF(OR(G166&lt;=0,G166&lt;&gt;INT(G166),MOD(G166,100)&lt;&gt;0),"违规：实际股数须为100股整数倍",IF(G166&gt;N166,"违规：实际股数超过风险或金字塔上限",IF(AND(B166&gt;1,G166&gt;SUMIFS($G$2:$G$1001,$A$2:$A$1001,A166,$B$2:$B$1001,B166-1)),"违规：加仓股数须逐次不增加",IF(Q166&gt;F166,"违规：止损风险超过本次预算","通过")))))))))))))))</f>
        <v/>
      </c>
    </row>
    <row r="167" customFormat="false" ht="15" hidden="false" customHeight="false" outlineLevel="0" collapsed="false">
      <c r="A167" s="20"/>
      <c r="B167" s="21"/>
      <c r="C167" s="22"/>
      <c r="D167" s="23"/>
      <c r="E167" s="23"/>
      <c r="F167" s="23"/>
      <c r="G167" s="21"/>
      <c r="H167" s="24" t="str">
        <f aca="false">IF(OR(A167="",D167="",G167=""),"",D167*G167)</f>
        <v/>
      </c>
      <c r="I167" s="25" t="str">
        <f aca="false">IF(OR(A167="",B167=""),"",IFERROR(LOOKUP(2,1/(单次交易!$A$2:$A$201=A167),单次交易!$H$2:$H$201),0)+SUMIFS($G$2:$G$1001,$A$2:$A$1001,A167,$B$2:$B$1001,"&lt;"&amp;B167))</f>
        <v/>
      </c>
      <c r="J167" s="24" t="str">
        <f aca="false">IF(OR(A167="",B167=""),"",IFERROR(LOOKUP(2,1/(单次交易!$A$2:$A$201=A167),单次交易!$E$2:$E$201)*LOOKUP(2,1/(单次交易!$A$2:$A$201=A167),单次交易!$H$2:$H$201),0)+SUMIFS($H$2:$H$1001,$A$2:$A$1001,A167,$B$2:$B$1001,"&lt;"&amp;B167))</f>
        <v/>
      </c>
      <c r="K167" s="24" t="str">
        <f aca="false">IF(OR(E167="",I167="",J167=""),"",MAX(E167*I167-J167,0))</f>
        <v/>
      </c>
      <c r="L167" s="25" t="str">
        <f aca="false">IF(OR(D167="",E167="",F167="",D167&lt;=E167),"",FLOOR((F167+K167)/(D167-E167),100))</f>
        <v/>
      </c>
      <c r="M167" s="25" t="str">
        <f aca="false">IF(OR(A167="",B167="",L167=""),"",IF(B167=1,L167,IFERROR(SUMIFS($G$2:$G$1001,$A$2:$A$1001,A167,$B$2:$B$1001,B167-1),0)))</f>
        <v/>
      </c>
      <c r="N167" s="25" t="str">
        <f aca="false">IF(OR(L167="",M167=""),"",MIN(L167,M167))</f>
        <v/>
      </c>
      <c r="O167" s="25" t="str">
        <f aca="false">IF(OR(I167="",G167=""),"",I167+G167)</f>
        <v/>
      </c>
      <c r="P167" s="24" t="str">
        <f aca="false">IF(OR(O167="",O167=0),"",(J167+H167)/O167)</f>
        <v/>
      </c>
      <c r="Q167" s="24" t="str">
        <f aca="false">IF(OR(O167="",E167=""),"",MAX(J167+H167-E167*O167,0))</f>
        <v/>
      </c>
      <c r="R167" s="26" t="str">
        <f aca="false">IF(A167="","",IF(COUNTIF(_TradeIds,A167)=0,"违规：交易编号不存在",IF(OR(B167="",B167&lt;1,B167&gt;5,B167&lt;&gt;INT(B167)),"违规：加仓序号须为1到5的整数",IF(COUNTIFS($A$2:$A$1001,A167,$B$2:$B$1001,B167)&gt;1,"违规：同一交易的加仓序号重复",IF(OR(D167="",E167="",F167=""),"计划不完整：请填写加仓价、新止损价和风险预算",IF(OR(D167&lt;=0,E167&lt;=0,F167&lt;=0,D167&lt;=E167),"违规：加仓价必须高于新止损价，金额须大于0",IF(AND(B167&gt;1,COUNTIFS($A$2:$A$1001,A167,$B$2:$B$1001,B167-1,$G$2:$G$1001,"&gt;0")=0),"违规：须先完成上一次加仓",IF(AND(B167&gt;1,E167&lt;SUMIFS($E$2:$E$1001,$A$2:$A$1001,A167,$B$2:$B$1001,B167-1)),"违规：新止损价不得低于上一次",IF(AND(B167&gt;1,F167&gt;SUMIFS($F$2:$F$1001,$A$2:$A$1001,A167,$B$2:$B$1001,B167-1)),"违规：风险预算须逐次不增加",IF(OR(_LockStatus="已锁仓",_LockStatus="解锁信息不完整"),"违规：锁仓期间禁止加仓",IF(G167="","计划可执行：建议股数见N列",IF(OR(G167&lt;=0,G167&lt;&gt;INT(G167),MOD(G167,100)&lt;&gt;0),"违规：实际股数须为100股整数倍",IF(G167&gt;N167,"违规：实际股数超过风险或金字塔上限",IF(AND(B167&gt;1,G167&gt;SUMIFS($G$2:$G$1001,$A$2:$A$1001,A167,$B$2:$B$1001,B167-1)),"违规：加仓股数须逐次不增加",IF(Q167&gt;F167,"违规：止损风险超过本次预算","通过")))))))))))))))</f>
        <v/>
      </c>
    </row>
    <row r="168" customFormat="false" ht="15" hidden="false" customHeight="false" outlineLevel="0" collapsed="false">
      <c r="A168" s="20"/>
      <c r="B168" s="21"/>
      <c r="C168" s="22"/>
      <c r="D168" s="23"/>
      <c r="E168" s="23"/>
      <c r="F168" s="23"/>
      <c r="G168" s="21"/>
      <c r="H168" s="24" t="str">
        <f aca="false">IF(OR(A168="",D168="",G168=""),"",D168*G168)</f>
        <v/>
      </c>
      <c r="I168" s="25" t="str">
        <f aca="false">IF(OR(A168="",B168=""),"",IFERROR(LOOKUP(2,1/(单次交易!$A$2:$A$201=A168),单次交易!$H$2:$H$201),0)+SUMIFS($G$2:$G$1001,$A$2:$A$1001,A168,$B$2:$B$1001,"&lt;"&amp;B168))</f>
        <v/>
      </c>
      <c r="J168" s="24" t="str">
        <f aca="false">IF(OR(A168="",B168=""),"",IFERROR(LOOKUP(2,1/(单次交易!$A$2:$A$201=A168),单次交易!$E$2:$E$201)*LOOKUP(2,1/(单次交易!$A$2:$A$201=A168),单次交易!$H$2:$H$201),0)+SUMIFS($H$2:$H$1001,$A$2:$A$1001,A168,$B$2:$B$1001,"&lt;"&amp;B168))</f>
        <v/>
      </c>
      <c r="K168" s="24" t="str">
        <f aca="false">IF(OR(E168="",I168="",J168=""),"",MAX(E168*I168-J168,0))</f>
        <v/>
      </c>
      <c r="L168" s="25" t="str">
        <f aca="false">IF(OR(D168="",E168="",F168="",D168&lt;=E168),"",FLOOR((F168+K168)/(D168-E168),100))</f>
        <v/>
      </c>
      <c r="M168" s="25" t="str">
        <f aca="false">IF(OR(A168="",B168="",L168=""),"",IF(B168=1,L168,IFERROR(SUMIFS($G$2:$G$1001,$A$2:$A$1001,A168,$B$2:$B$1001,B168-1),0)))</f>
        <v/>
      </c>
      <c r="N168" s="25" t="str">
        <f aca="false">IF(OR(L168="",M168=""),"",MIN(L168,M168))</f>
        <v/>
      </c>
      <c r="O168" s="25" t="str">
        <f aca="false">IF(OR(I168="",G168=""),"",I168+G168)</f>
        <v/>
      </c>
      <c r="P168" s="24" t="str">
        <f aca="false">IF(OR(O168="",O168=0),"",(J168+H168)/O168)</f>
        <v/>
      </c>
      <c r="Q168" s="24" t="str">
        <f aca="false">IF(OR(O168="",E168=""),"",MAX(J168+H168-E168*O168,0))</f>
        <v/>
      </c>
      <c r="R168" s="26" t="str">
        <f aca="false">IF(A168="","",IF(COUNTIF(_TradeIds,A168)=0,"违规：交易编号不存在",IF(OR(B168="",B168&lt;1,B168&gt;5,B168&lt;&gt;INT(B168)),"违规：加仓序号须为1到5的整数",IF(COUNTIFS($A$2:$A$1001,A168,$B$2:$B$1001,B168)&gt;1,"违规：同一交易的加仓序号重复",IF(OR(D168="",E168="",F168=""),"计划不完整：请填写加仓价、新止损价和风险预算",IF(OR(D168&lt;=0,E168&lt;=0,F168&lt;=0,D168&lt;=E168),"违规：加仓价必须高于新止损价，金额须大于0",IF(AND(B168&gt;1,COUNTIFS($A$2:$A$1001,A168,$B$2:$B$1001,B168-1,$G$2:$G$1001,"&gt;0")=0),"违规：须先完成上一次加仓",IF(AND(B168&gt;1,E168&lt;SUMIFS($E$2:$E$1001,$A$2:$A$1001,A168,$B$2:$B$1001,B168-1)),"违规：新止损价不得低于上一次",IF(AND(B168&gt;1,F168&gt;SUMIFS($F$2:$F$1001,$A$2:$A$1001,A168,$B$2:$B$1001,B168-1)),"违规：风险预算须逐次不增加",IF(OR(_LockStatus="已锁仓",_LockStatus="解锁信息不完整"),"违规：锁仓期间禁止加仓",IF(G168="","计划可执行：建议股数见N列",IF(OR(G168&lt;=0,G168&lt;&gt;INT(G168),MOD(G168,100)&lt;&gt;0),"违规：实际股数须为100股整数倍",IF(G168&gt;N168,"违规：实际股数超过风险或金字塔上限",IF(AND(B168&gt;1,G168&gt;SUMIFS($G$2:$G$1001,$A$2:$A$1001,A168,$B$2:$B$1001,B168-1)),"违规：加仓股数须逐次不增加",IF(Q168&gt;F168,"违规：止损风险超过本次预算","通过")))))))))))))))</f>
        <v/>
      </c>
    </row>
    <row r="169" customFormat="false" ht="15" hidden="false" customHeight="false" outlineLevel="0" collapsed="false">
      <c r="A169" s="20"/>
      <c r="B169" s="21"/>
      <c r="C169" s="22"/>
      <c r="D169" s="23"/>
      <c r="E169" s="23"/>
      <c r="F169" s="23"/>
      <c r="G169" s="21"/>
      <c r="H169" s="24" t="str">
        <f aca="false">IF(OR(A169="",D169="",G169=""),"",D169*G169)</f>
        <v/>
      </c>
      <c r="I169" s="25" t="str">
        <f aca="false">IF(OR(A169="",B169=""),"",IFERROR(LOOKUP(2,1/(单次交易!$A$2:$A$201=A169),单次交易!$H$2:$H$201),0)+SUMIFS($G$2:$G$1001,$A$2:$A$1001,A169,$B$2:$B$1001,"&lt;"&amp;B169))</f>
        <v/>
      </c>
      <c r="J169" s="24" t="str">
        <f aca="false">IF(OR(A169="",B169=""),"",IFERROR(LOOKUP(2,1/(单次交易!$A$2:$A$201=A169),单次交易!$E$2:$E$201)*LOOKUP(2,1/(单次交易!$A$2:$A$201=A169),单次交易!$H$2:$H$201),0)+SUMIFS($H$2:$H$1001,$A$2:$A$1001,A169,$B$2:$B$1001,"&lt;"&amp;B169))</f>
        <v/>
      </c>
      <c r="K169" s="24" t="str">
        <f aca="false">IF(OR(E169="",I169="",J169=""),"",MAX(E169*I169-J169,0))</f>
        <v/>
      </c>
      <c r="L169" s="25" t="str">
        <f aca="false">IF(OR(D169="",E169="",F169="",D169&lt;=E169),"",FLOOR((F169+K169)/(D169-E169),100))</f>
        <v/>
      </c>
      <c r="M169" s="25" t="str">
        <f aca="false">IF(OR(A169="",B169="",L169=""),"",IF(B169=1,L169,IFERROR(SUMIFS($G$2:$G$1001,$A$2:$A$1001,A169,$B$2:$B$1001,B169-1),0)))</f>
        <v/>
      </c>
      <c r="N169" s="25" t="str">
        <f aca="false">IF(OR(L169="",M169=""),"",MIN(L169,M169))</f>
        <v/>
      </c>
      <c r="O169" s="25" t="str">
        <f aca="false">IF(OR(I169="",G169=""),"",I169+G169)</f>
        <v/>
      </c>
      <c r="P169" s="24" t="str">
        <f aca="false">IF(OR(O169="",O169=0),"",(J169+H169)/O169)</f>
        <v/>
      </c>
      <c r="Q169" s="24" t="str">
        <f aca="false">IF(OR(O169="",E169=""),"",MAX(J169+H169-E169*O169,0))</f>
        <v/>
      </c>
      <c r="R169" s="26" t="str">
        <f aca="false">IF(A169="","",IF(COUNTIF(_TradeIds,A169)=0,"违规：交易编号不存在",IF(OR(B169="",B169&lt;1,B169&gt;5,B169&lt;&gt;INT(B169)),"违规：加仓序号须为1到5的整数",IF(COUNTIFS($A$2:$A$1001,A169,$B$2:$B$1001,B169)&gt;1,"违规：同一交易的加仓序号重复",IF(OR(D169="",E169="",F169=""),"计划不完整：请填写加仓价、新止损价和风险预算",IF(OR(D169&lt;=0,E169&lt;=0,F169&lt;=0,D169&lt;=E169),"违规：加仓价必须高于新止损价，金额须大于0",IF(AND(B169&gt;1,COUNTIFS($A$2:$A$1001,A169,$B$2:$B$1001,B169-1,$G$2:$G$1001,"&gt;0")=0),"违规：须先完成上一次加仓",IF(AND(B169&gt;1,E169&lt;SUMIFS($E$2:$E$1001,$A$2:$A$1001,A169,$B$2:$B$1001,B169-1)),"违规：新止损价不得低于上一次",IF(AND(B169&gt;1,F169&gt;SUMIFS($F$2:$F$1001,$A$2:$A$1001,A169,$B$2:$B$1001,B169-1)),"违规：风险预算须逐次不增加",IF(OR(_LockStatus="已锁仓",_LockStatus="解锁信息不完整"),"违规：锁仓期间禁止加仓",IF(G169="","计划可执行：建议股数见N列",IF(OR(G169&lt;=0,G169&lt;&gt;INT(G169),MOD(G169,100)&lt;&gt;0),"违规：实际股数须为100股整数倍",IF(G169&gt;N169,"违规：实际股数超过风险或金字塔上限",IF(AND(B169&gt;1,G169&gt;SUMIFS($G$2:$G$1001,$A$2:$A$1001,A169,$B$2:$B$1001,B169-1)),"违规：加仓股数须逐次不增加",IF(Q169&gt;F169,"违规：止损风险超过本次预算","通过")))))))))))))))</f>
        <v/>
      </c>
    </row>
    <row r="170" customFormat="false" ht="15" hidden="false" customHeight="false" outlineLevel="0" collapsed="false">
      <c r="A170" s="20"/>
      <c r="B170" s="21"/>
      <c r="C170" s="22"/>
      <c r="D170" s="23"/>
      <c r="E170" s="23"/>
      <c r="F170" s="23"/>
      <c r="G170" s="21"/>
      <c r="H170" s="24" t="str">
        <f aca="false">IF(OR(A170="",D170="",G170=""),"",D170*G170)</f>
        <v/>
      </c>
      <c r="I170" s="25" t="str">
        <f aca="false">IF(OR(A170="",B170=""),"",IFERROR(LOOKUP(2,1/(单次交易!$A$2:$A$201=A170),单次交易!$H$2:$H$201),0)+SUMIFS($G$2:$G$1001,$A$2:$A$1001,A170,$B$2:$B$1001,"&lt;"&amp;B170))</f>
        <v/>
      </c>
      <c r="J170" s="24" t="str">
        <f aca="false">IF(OR(A170="",B170=""),"",IFERROR(LOOKUP(2,1/(单次交易!$A$2:$A$201=A170),单次交易!$E$2:$E$201)*LOOKUP(2,1/(单次交易!$A$2:$A$201=A170),单次交易!$H$2:$H$201),0)+SUMIFS($H$2:$H$1001,$A$2:$A$1001,A170,$B$2:$B$1001,"&lt;"&amp;B170))</f>
        <v/>
      </c>
      <c r="K170" s="24" t="str">
        <f aca="false">IF(OR(E170="",I170="",J170=""),"",MAX(E170*I170-J170,0))</f>
        <v/>
      </c>
      <c r="L170" s="25" t="str">
        <f aca="false">IF(OR(D170="",E170="",F170="",D170&lt;=E170),"",FLOOR((F170+K170)/(D170-E170),100))</f>
        <v/>
      </c>
      <c r="M170" s="25" t="str">
        <f aca="false">IF(OR(A170="",B170="",L170=""),"",IF(B170=1,L170,IFERROR(SUMIFS($G$2:$G$1001,$A$2:$A$1001,A170,$B$2:$B$1001,B170-1),0)))</f>
        <v/>
      </c>
      <c r="N170" s="25" t="str">
        <f aca="false">IF(OR(L170="",M170=""),"",MIN(L170,M170))</f>
        <v/>
      </c>
      <c r="O170" s="25" t="str">
        <f aca="false">IF(OR(I170="",G170=""),"",I170+G170)</f>
        <v/>
      </c>
      <c r="P170" s="24" t="str">
        <f aca="false">IF(OR(O170="",O170=0),"",(J170+H170)/O170)</f>
        <v/>
      </c>
      <c r="Q170" s="24" t="str">
        <f aca="false">IF(OR(O170="",E170=""),"",MAX(J170+H170-E170*O170,0))</f>
        <v/>
      </c>
      <c r="R170" s="26" t="str">
        <f aca="false">IF(A170="","",IF(COUNTIF(_TradeIds,A170)=0,"违规：交易编号不存在",IF(OR(B170="",B170&lt;1,B170&gt;5,B170&lt;&gt;INT(B170)),"违规：加仓序号须为1到5的整数",IF(COUNTIFS($A$2:$A$1001,A170,$B$2:$B$1001,B170)&gt;1,"违规：同一交易的加仓序号重复",IF(OR(D170="",E170="",F170=""),"计划不完整：请填写加仓价、新止损价和风险预算",IF(OR(D170&lt;=0,E170&lt;=0,F170&lt;=0,D170&lt;=E170),"违规：加仓价必须高于新止损价，金额须大于0",IF(AND(B170&gt;1,COUNTIFS($A$2:$A$1001,A170,$B$2:$B$1001,B170-1,$G$2:$G$1001,"&gt;0")=0),"违规：须先完成上一次加仓",IF(AND(B170&gt;1,E170&lt;SUMIFS($E$2:$E$1001,$A$2:$A$1001,A170,$B$2:$B$1001,B170-1)),"违规：新止损价不得低于上一次",IF(AND(B170&gt;1,F170&gt;SUMIFS($F$2:$F$1001,$A$2:$A$1001,A170,$B$2:$B$1001,B170-1)),"违规：风险预算须逐次不增加",IF(OR(_LockStatus="已锁仓",_LockStatus="解锁信息不完整"),"违规：锁仓期间禁止加仓",IF(G170="","计划可执行：建议股数见N列",IF(OR(G170&lt;=0,G170&lt;&gt;INT(G170),MOD(G170,100)&lt;&gt;0),"违规：实际股数须为100股整数倍",IF(G170&gt;N170,"违规：实际股数超过风险或金字塔上限",IF(AND(B170&gt;1,G170&gt;SUMIFS($G$2:$G$1001,$A$2:$A$1001,A170,$B$2:$B$1001,B170-1)),"违规：加仓股数须逐次不增加",IF(Q170&gt;F170,"违规：止损风险超过本次预算","通过")))))))))))))))</f>
        <v/>
      </c>
    </row>
    <row r="171" customFormat="false" ht="15" hidden="false" customHeight="false" outlineLevel="0" collapsed="false">
      <c r="A171" s="20"/>
      <c r="B171" s="21"/>
      <c r="C171" s="22"/>
      <c r="D171" s="23"/>
      <c r="E171" s="23"/>
      <c r="F171" s="23"/>
      <c r="G171" s="21"/>
      <c r="H171" s="24" t="str">
        <f aca="false">IF(OR(A171="",D171="",G171=""),"",D171*G171)</f>
        <v/>
      </c>
      <c r="I171" s="25" t="str">
        <f aca="false">IF(OR(A171="",B171=""),"",IFERROR(LOOKUP(2,1/(单次交易!$A$2:$A$201=A171),单次交易!$H$2:$H$201),0)+SUMIFS($G$2:$G$1001,$A$2:$A$1001,A171,$B$2:$B$1001,"&lt;"&amp;B171))</f>
        <v/>
      </c>
      <c r="J171" s="24" t="str">
        <f aca="false">IF(OR(A171="",B171=""),"",IFERROR(LOOKUP(2,1/(单次交易!$A$2:$A$201=A171),单次交易!$E$2:$E$201)*LOOKUP(2,1/(单次交易!$A$2:$A$201=A171),单次交易!$H$2:$H$201),0)+SUMIFS($H$2:$H$1001,$A$2:$A$1001,A171,$B$2:$B$1001,"&lt;"&amp;B171))</f>
        <v/>
      </c>
      <c r="K171" s="24" t="str">
        <f aca="false">IF(OR(E171="",I171="",J171=""),"",MAX(E171*I171-J171,0))</f>
        <v/>
      </c>
      <c r="L171" s="25" t="str">
        <f aca="false">IF(OR(D171="",E171="",F171="",D171&lt;=E171),"",FLOOR((F171+K171)/(D171-E171),100))</f>
        <v/>
      </c>
      <c r="M171" s="25" t="str">
        <f aca="false">IF(OR(A171="",B171="",L171=""),"",IF(B171=1,L171,IFERROR(SUMIFS($G$2:$G$1001,$A$2:$A$1001,A171,$B$2:$B$1001,B171-1),0)))</f>
        <v/>
      </c>
      <c r="N171" s="25" t="str">
        <f aca="false">IF(OR(L171="",M171=""),"",MIN(L171,M171))</f>
        <v/>
      </c>
      <c r="O171" s="25" t="str">
        <f aca="false">IF(OR(I171="",G171=""),"",I171+G171)</f>
        <v/>
      </c>
      <c r="P171" s="24" t="str">
        <f aca="false">IF(OR(O171="",O171=0),"",(J171+H171)/O171)</f>
        <v/>
      </c>
      <c r="Q171" s="24" t="str">
        <f aca="false">IF(OR(O171="",E171=""),"",MAX(J171+H171-E171*O171,0))</f>
        <v/>
      </c>
      <c r="R171" s="26" t="str">
        <f aca="false">IF(A171="","",IF(COUNTIF(_TradeIds,A171)=0,"违规：交易编号不存在",IF(OR(B171="",B171&lt;1,B171&gt;5,B171&lt;&gt;INT(B171)),"违规：加仓序号须为1到5的整数",IF(COUNTIFS($A$2:$A$1001,A171,$B$2:$B$1001,B171)&gt;1,"违规：同一交易的加仓序号重复",IF(OR(D171="",E171="",F171=""),"计划不完整：请填写加仓价、新止损价和风险预算",IF(OR(D171&lt;=0,E171&lt;=0,F171&lt;=0,D171&lt;=E171),"违规：加仓价必须高于新止损价，金额须大于0",IF(AND(B171&gt;1,COUNTIFS($A$2:$A$1001,A171,$B$2:$B$1001,B171-1,$G$2:$G$1001,"&gt;0")=0),"违规：须先完成上一次加仓",IF(AND(B171&gt;1,E171&lt;SUMIFS($E$2:$E$1001,$A$2:$A$1001,A171,$B$2:$B$1001,B171-1)),"违规：新止损价不得低于上一次",IF(AND(B171&gt;1,F171&gt;SUMIFS($F$2:$F$1001,$A$2:$A$1001,A171,$B$2:$B$1001,B171-1)),"违规：风险预算须逐次不增加",IF(OR(_LockStatus="已锁仓",_LockStatus="解锁信息不完整"),"违规：锁仓期间禁止加仓",IF(G171="","计划可执行：建议股数见N列",IF(OR(G171&lt;=0,G171&lt;&gt;INT(G171),MOD(G171,100)&lt;&gt;0),"违规：实际股数须为100股整数倍",IF(G171&gt;N171,"违规：实际股数超过风险或金字塔上限",IF(AND(B171&gt;1,G171&gt;SUMIFS($G$2:$G$1001,$A$2:$A$1001,A171,$B$2:$B$1001,B171-1)),"违规：加仓股数须逐次不增加",IF(Q171&gt;F171,"违规：止损风险超过本次预算","通过")))))))))))))))</f>
        <v/>
      </c>
    </row>
    <row r="172" customFormat="false" ht="15" hidden="false" customHeight="false" outlineLevel="0" collapsed="false">
      <c r="A172" s="20"/>
      <c r="B172" s="21"/>
      <c r="C172" s="22"/>
      <c r="D172" s="23"/>
      <c r="E172" s="23"/>
      <c r="F172" s="23"/>
      <c r="G172" s="21"/>
      <c r="H172" s="24" t="str">
        <f aca="false">IF(OR(A172="",D172="",G172=""),"",D172*G172)</f>
        <v/>
      </c>
      <c r="I172" s="25" t="str">
        <f aca="false">IF(OR(A172="",B172=""),"",IFERROR(LOOKUP(2,1/(单次交易!$A$2:$A$201=A172),单次交易!$H$2:$H$201),0)+SUMIFS($G$2:$G$1001,$A$2:$A$1001,A172,$B$2:$B$1001,"&lt;"&amp;B172))</f>
        <v/>
      </c>
      <c r="J172" s="24" t="str">
        <f aca="false">IF(OR(A172="",B172=""),"",IFERROR(LOOKUP(2,1/(单次交易!$A$2:$A$201=A172),单次交易!$E$2:$E$201)*LOOKUP(2,1/(单次交易!$A$2:$A$201=A172),单次交易!$H$2:$H$201),0)+SUMIFS($H$2:$H$1001,$A$2:$A$1001,A172,$B$2:$B$1001,"&lt;"&amp;B172))</f>
        <v/>
      </c>
      <c r="K172" s="24" t="str">
        <f aca="false">IF(OR(E172="",I172="",J172=""),"",MAX(E172*I172-J172,0))</f>
        <v/>
      </c>
      <c r="L172" s="25" t="str">
        <f aca="false">IF(OR(D172="",E172="",F172="",D172&lt;=E172),"",FLOOR((F172+K172)/(D172-E172),100))</f>
        <v/>
      </c>
      <c r="M172" s="25" t="str">
        <f aca="false">IF(OR(A172="",B172="",L172=""),"",IF(B172=1,L172,IFERROR(SUMIFS($G$2:$G$1001,$A$2:$A$1001,A172,$B$2:$B$1001,B172-1),0)))</f>
        <v/>
      </c>
      <c r="N172" s="25" t="str">
        <f aca="false">IF(OR(L172="",M172=""),"",MIN(L172,M172))</f>
        <v/>
      </c>
      <c r="O172" s="25" t="str">
        <f aca="false">IF(OR(I172="",G172=""),"",I172+G172)</f>
        <v/>
      </c>
      <c r="P172" s="24" t="str">
        <f aca="false">IF(OR(O172="",O172=0),"",(J172+H172)/O172)</f>
        <v/>
      </c>
      <c r="Q172" s="24" t="str">
        <f aca="false">IF(OR(O172="",E172=""),"",MAX(J172+H172-E172*O172,0))</f>
        <v/>
      </c>
      <c r="R172" s="26" t="str">
        <f aca="false">IF(A172="","",IF(COUNTIF(_TradeIds,A172)=0,"违规：交易编号不存在",IF(OR(B172="",B172&lt;1,B172&gt;5,B172&lt;&gt;INT(B172)),"违规：加仓序号须为1到5的整数",IF(COUNTIFS($A$2:$A$1001,A172,$B$2:$B$1001,B172)&gt;1,"违规：同一交易的加仓序号重复",IF(OR(D172="",E172="",F172=""),"计划不完整：请填写加仓价、新止损价和风险预算",IF(OR(D172&lt;=0,E172&lt;=0,F172&lt;=0,D172&lt;=E172),"违规：加仓价必须高于新止损价，金额须大于0",IF(AND(B172&gt;1,COUNTIFS($A$2:$A$1001,A172,$B$2:$B$1001,B172-1,$G$2:$G$1001,"&gt;0")=0),"违规：须先完成上一次加仓",IF(AND(B172&gt;1,E172&lt;SUMIFS($E$2:$E$1001,$A$2:$A$1001,A172,$B$2:$B$1001,B172-1)),"违规：新止损价不得低于上一次",IF(AND(B172&gt;1,F172&gt;SUMIFS($F$2:$F$1001,$A$2:$A$1001,A172,$B$2:$B$1001,B172-1)),"违规：风险预算须逐次不增加",IF(OR(_LockStatus="已锁仓",_LockStatus="解锁信息不完整"),"违规：锁仓期间禁止加仓",IF(G172="","计划可执行：建议股数见N列",IF(OR(G172&lt;=0,G172&lt;&gt;INT(G172),MOD(G172,100)&lt;&gt;0),"违规：实际股数须为100股整数倍",IF(G172&gt;N172,"违规：实际股数超过风险或金字塔上限",IF(AND(B172&gt;1,G172&gt;SUMIFS($G$2:$G$1001,$A$2:$A$1001,A172,$B$2:$B$1001,B172-1)),"违规：加仓股数须逐次不增加",IF(Q172&gt;F172,"违规：止损风险超过本次预算","通过")))))))))))))))</f>
        <v/>
      </c>
    </row>
    <row r="173" customFormat="false" ht="15" hidden="false" customHeight="false" outlineLevel="0" collapsed="false">
      <c r="A173" s="20"/>
      <c r="B173" s="21"/>
      <c r="C173" s="22"/>
      <c r="D173" s="23"/>
      <c r="E173" s="23"/>
      <c r="F173" s="23"/>
      <c r="G173" s="21"/>
      <c r="H173" s="24" t="str">
        <f aca="false">IF(OR(A173="",D173="",G173=""),"",D173*G173)</f>
        <v/>
      </c>
      <c r="I173" s="25" t="str">
        <f aca="false">IF(OR(A173="",B173=""),"",IFERROR(LOOKUP(2,1/(单次交易!$A$2:$A$201=A173),单次交易!$H$2:$H$201),0)+SUMIFS($G$2:$G$1001,$A$2:$A$1001,A173,$B$2:$B$1001,"&lt;"&amp;B173))</f>
        <v/>
      </c>
      <c r="J173" s="24" t="str">
        <f aca="false">IF(OR(A173="",B173=""),"",IFERROR(LOOKUP(2,1/(单次交易!$A$2:$A$201=A173),单次交易!$E$2:$E$201)*LOOKUP(2,1/(单次交易!$A$2:$A$201=A173),单次交易!$H$2:$H$201),0)+SUMIFS($H$2:$H$1001,$A$2:$A$1001,A173,$B$2:$B$1001,"&lt;"&amp;B173))</f>
        <v/>
      </c>
      <c r="K173" s="24" t="str">
        <f aca="false">IF(OR(E173="",I173="",J173=""),"",MAX(E173*I173-J173,0))</f>
        <v/>
      </c>
      <c r="L173" s="25" t="str">
        <f aca="false">IF(OR(D173="",E173="",F173="",D173&lt;=E173),"",FLOOR((F173+K173)/(D173-E173),100))</f>
        <v/>
      </c>
      <c r="M173" s="25" t="str">
        <f aca="false">IF(OR(A173="",B173="",L173=""),"",IF(B173=1,L173,IFERROR(SUMIFS($G$2:$G$1001,$A$2:$A$1001,A173,$B$2:$B$1001,B173-1),0)))</f>
        <v/>
      </c>
      <c r="N173" s="25" t="str">
        <f aca="false">IF(OR(L173="",M173=""),"",MIN(L173,M173))</f>
        <v/>
      </c>
      <c r="O173" s="25" t="str">
        <f aca="false">IF(OR(I173="",G173=""),"",I173+G173)</f>
        <v/>
      </c>
      <c r="P173" s="24" t="str">
        <f aca="false">IF(OR(O173="",O173=0),"",(J173+H173)/O173)</f>
        <v/>
      </c>
      <c r="Q173" s="24" t="str">
        <f aca="false">IF(OR(O173="",E173=""),"",MAX(J173+H173-E173*O173,0))</f>
        <v/>
      </c>
      <c r="R173" s="26" t="str">
        <f aca="false">IF(A173="","",IF(COUNTIF(_TradeIds,A173)=0,"违规：交易编号不存在",IF(OR(B173="",B173&lt;1,B173&gt;5,B173&lt;&gt;INT(B173)),"违规：加仓序号须为1到5的整数",IF(COUNTIFS($A$2:$A$1001,A173,$B$2:$B$1001,B173)&gt;1,"违规：同一交易的加仓序号重复",IF(OR(D173="",E173="",F173=""),"计划不完整：请填写加仓价、新止损价和风险预算",IF(OR(D173&lt;=0,E173&lt;=0,F173&lt;=0,D173&lt;=E173),"违规：加仓价必须高于新止损价，金额须大于0",IF(AND(B173&gt;1,COUNTIFS($A$2:$A$1001,A173,$B$2:$B$1001,B173-1,$G$2:$G$1001,"&gt;0")=0),"违规：须先完成上一次加仓",IF(AND(B173&gt;1,E173&lt;SUMIFS($E$2:$E$1001,$A$2:$A$1001,A173,$B$2:$B$1001,B173-1)),"违规：新止损价不得低于上一次",IF(AND(B173&gt;1,F173&gt;SUMIFS($F$2:$F$1001,$A$2:$A$1001,A173,$B$2:$B$1001,B173-1)),"违规：风险预算须逐次不增加",IF(OR(_LockStatus="已锁仓",_LockStatus="解锁信息不完整"),"违规：锁仓期间禁止加仓",IF(G173="","计划可执行：建议股数见N列",IF(OR(G173&lt;=0,G173&lt;&gt;INT(G173),MOD(G173,100)&lt;&gt;0),"违规：实际股数须为100股整数倍",IF(G173&gt;N173,"违规：实际股数超过风险或金字塔上限",IF(AND(B173&gt;1,G173&gt;SUMIFS($G$2:$G$1001,$A$2:$A$1001,A173,$B$2:$B$1001,B173-1)),"违规：加仓股数须逐次不增加",IF(Q173&gt;F173,"违规：止损风险超过本次预算","通过")))))))))))))))</f>
        <v/>
      </c>
    </row>
    <row r="174" customFormat="false" ht="15" hidden="false" customHeight="false" outlineLevel="0" collapsed="false">
      <c r="A174" s="20"/>
      <c r="B174" s="21"/>
      <c r="C174" s="22"/>
      <c r="D174" s="23"/>
      <c r="E174" s="23"/>
      <c r="F174" s="23"/>
      <c r="G174" s="21"/>
      <c r="H174" s="24" t="str">
        <f aca="false">IF(OR(A174="",D174="",G174=""),"",D174*G174)</f>
        <v/>
      </c>
      <c r="I174" s="25" t="str">
        <f aca="false">IF(OR(A174="",B174=""),"",IFERROR(LOOKUP(2,1/(单次交易!$A$2:$A$201=A174),单次交易!$H$2:$H$201),0)+SUMIFS($G$2:$G$1001,$A$2:$A$1001,A174,$B$2:$B$1001,"&lt;"&amp;B174))</f>
        <v/>
      </c>
      <c r="J174" s="24" t="str">
        <f aca="false">IF(OR(A174="",B174=""),"",IFERROR(LOOKUP(2,1/(单次交易!$A$2:$A$201=A174),单次交易!$E$2:$E$201)*LOOKUP(2,1/(单次交易!$A$2:$A$201=A174),单次交易!$H$2:$H$201),0)+SUMIFS($H$2:$H$1001,$A$2:$A$1001,A174,$B$2:$B$1001,"&lt;"&amp;B174))</f>
        <v/>
      </c>
      <c r="K174" s="24" t="str">
        <f aca="false">IF(OR(E174="",I174="",J174=""),"",MAX(E174*I174-J174,0))</f>
        <v/>
      </c>
      <c r="L174" s="25" t="str">
        <f aca="false">IF(OR(D174="",E174="",F174="",D174&lt;=E174),"",FLOOR((F174+K174)/(D174-E174),100))</f>
        <v/>
      </c>
      <c r="M174" s="25" t="str">
        <f aca="false">IF(OR(A174="",B174="",L174=""),"",IF(B174=1,L174,IFERROR(SUMIFS($G$2:$G$1001,$A$2:$A$1001,A174,$B$2:$B$1001,B174-1),0)))</f>
        <v/>
      </c>
      <c r="N174" s="25" t="str">
        <f aca="false">IF(OR(L174="",M174=""),"",MIN(L174,M174))</f>
        <v/>
      </c>
      <c r="O174" s="25" t="str">
        <f aca="false">IF(OR(I174="",G174=""),"",I174+G174)</f>
        <v/>
      </c>
      <c r="P174" s="24" t="str">
        <f aca="false">IF(OR(O174="",O174=0),"",(J174+H174)/O174)</f>
        <v/>
      </c>
      <c r="Q174" s="24" t="str">
        <f aca="false">IF(OR(O174="",E174=""),"",MAX(J174+H174-E174*O174,0))</f>
        <v/>
      </c>
      <c r="R174" s="26" t="str">
        <f aca="false">IF(A174="","",IF(COUNTIF(_TradeIds,A174)=0,"违规：交易编号不存在",IF(OR(B174="",B174&lt;1,B174&gt;5,B174&lt;&gt;INT(B174)),"违规：加仓序号须为1到5的整数",IF(COUNTIFS($A$2:$A$1001,A174,$B$2:$B$1001,B174)&gt;1,"违规：同一交易的加仓序号重复",IF(OR(D174="",E174="",F174=""),"计划不完整：请填写加仓价、新止损价和风险预算",IF(OR(D174&lt;=0,E174&lt;=0,F174&lt;=0,D174&lt;=E174),"违规：加仓价必须高于新止损价，金额须大于0",IF(AND(B174&gt;1,COUNTIFS($A$2:$A$1001,A174,$B$2:$B$1001,B174-1,$G$2:$G$1001,"&gt;0")=0),"违规：须先完成上一次加仓",IF(AND(B174&gt;1,E174&lt;SUMIFS($E$2:$E$1001,$A$2:$A$1001,A174,$B$2:$B$1001,B174-1)),"违规：新止损价不得低于上一次",IF(AND(B174&gt;1,F174&gt;SUMIFS($F$2:$F$1001,$A$2:$A$1001,A174,$B$2:$B$1001,B174-1)),"违规：风险预算须逐次不增加",IF(OR(_LockStatus="已锁仓",_LockStatus="解锁信息不完整"),"违规：锁仓期间禁止加仓",IF(G174="","计划可执行：建议股数见N列",IF(OR(G174&lt;=0,G174&lt;&gt;INT(G174),MOD(G174,100)&lt;&gt;0),"违规：实际股数须为100股整数倍",IF(G174&gt;N174,"违规：实际股数超过风险或金字塔上限",IF(AND(B174&gt;1,G174&gt;SUMIFS($G$2:$G$1001,$A$2:$A$1001,A174,$B$2:$B$1001,B174-1)),"违规：加仓股数须逐次不增加",IF(Q174&gt;F174,"违规：止损风险超过本次预算","通过")))))))))))))))</f>
        <v/>
      </c>
    </row>
    <row r="175" customFormat="false" ht="15" hidden="false" customHeight="false" outlineLevel="0" collapsed="false">
      <c r="A175" s="20"/>
      <c r="B175" s="21"/>
      <c r="C175" s="22"/>
      <c r="D175" s="23"/>
      <c r="E175" s="23"/>
      <c r="F175" s="23"/>
      <c r="G175" s="21"/>
      <c r="H175" s="24" t="str">
        <f aca="false">IF(OR(A175="",D175="",G175=""),"",D175*G175)</f>
        <v/>
      </c>
      <c r="I175" s="25" t="str">
        <f aca="false">IF(OR(A175="",B175=""),"",IFERROR(LOOKUP(2,1/(单次交易!$A$2:$A$201=A175),单次交易!$H$2:$H$201),0)+SUMIFS($G$2:$G$1001,$A$2:$A$1001,A175,$B$2:$B$1001,"&lt;"&amp;B175))</f>
        <v/>
      </c>
      <c r="J175" s="24" t="str">
        <f aca="false">IF(OR(A175="",B175=""),"",IFERROR(LOOKUP(2,1/(单次交易!$A$2:$A$201=A175),单次交易!$E$2:$E$201)*LOOKUP(2,1/(单次交易!$A$2:$A$201=A175),单次交易!$H$2:$H$201),0)+SUMIFS($H$2:$H$1001,$A$2:$A$1001,A175,$B$2:$B$1001,"&lt;"&amp;B175))</f>
        <v/>
      </c>
      <c r="K175" s="24" t="str">
        <f aca="false">IF(OR(E175="",I175="",J175=""),"",MAX(E175*I175-J175,0))</f>
        <v/>
      </c>
      <c r="L175" s="25" t="str">
        <f aca="false">IF(OR(D175="",E175="",F175="",D175&lt;=E175),"",FLOOR((F175+K175)/(D175-E175),100))</f>
        <v/>
      </c>
      <c r="M175" s="25" t="str">
        <f aca="false">IF(OR(A175="",B175="",L175=""),"",IF(B175=1,L175,IFERROR(SUMIFS($G$2:$G$1001,$A$2:$A$1001,A175,$B$2:$B$1001,B175-1),0)))</f>
        <v/>
      </c>
      <c r="N175" s="25" t="str">
        <f aca="false">IF(OR(L175="",M175=""),"",MIN(L175,M175))</f>
        <v/>
      </c>
      <c r="O175" s="25" t="str">
        <f aca="false">IF(OR(I175="",G175=""),"",I175+G175)</f>
        <v/>
      </c>
      <c r="P175" s="24" t="str">
        <f aca="false">IF(OR(O175="",O175=0),"",(J175+H175)/O175)</f>
        <v/>
      </c>
      <c r="Q175" s="24" t="str">
        <f aca="false">IF(OR(O175="",E175=""),"",MAX(J175+H175-E175*O175,0))</f>
        <v/>
      </c>
      <c r="R175" s="26" t="str">
        <f aca="false">IF(A175="","",IF(COUNTIF(_TradeIds,A175)=0,"违规：交易编号不存在",IF(OR(B175="",B175&lt;1,B175&gt;5,B175&lt;&gt;INT(B175)),"违规：加仓序号须为1到5的整数",IF(COUNTIFS($A$2:$A$1001,A175,$B$2:$B$1001,B175)&gt;1,"违规：同一交易的加仓序号重复",IF(OR(D175="",E175="",F175=""),"计划不完整：请填写加仓价、新止损价和风险预算",IF(OR(D175&lt;=0,E175&lt;=0,F175&lt;=0,D175&lt;=E175),"违规：加仓价必须高于新止损价，金额须大于0",IF(AND(B175&gt;1,COUNTIFS($A$2:$A$1001,A175,$B$2:$B$1001,B175-1,$G$2:$G$1001,"&gt;0")=0),"违规：须先完成上一次加仓",IF(AND(B175&gt;1,E175&lt;SUMIFS($E$2:$E$1001,$A$2:$A$1001,A175,$B$2:$B$1001,B175-1)),"违规：新止损价不得低于上一次",IF(AND(B175&gt;1,F175&gt;SUMIFS($F$2:$F$1001,$A$2:$A$1001,A175,$B$2:$B$1001,B175-1)),"违规：风险预算须逐次不增加",IF(OR(_LockStatus="已锁仓",_LockStatus="解锁信息不完整"),"违规：锁仓期间禁止加仓",IF(G175="","计划可执行：建议股数见N列",IF(OR(G175&lt;=0,G175&lt;&gt;INT(G175),MOD(G175,100)&lt;&gt;0),"违规：实际股数须为100股整数倍",IF(G175&gt;N175,"违规：实际股数超过风险或金字塔上限",IF(AND(B175&gt;1,G175&gt;SUMIFS($G$2:$G$1001,$A$2:$A$1001,A175,$B$2:$B$1001,B175-1)),"违规：加仓股数须逐次不增加",IF(Q175&gt;F175,"违规：止损风险超过本次预算","通过")))))))))))))))</f>
        <v/>
      </c>
    </row>
    <row r="176" customFormat="false" ht="15" hidden="false" customHeight="false" outlineLevel="0" collapsed="false">
      <c r="A176" s="20"/>
      <c r="B176" s="21"/>
      <c r="C176" s="22"/>
      <c r="D176" s="23"/>
      <c r="E176" s="23"/>
      <c r="F176" s="23"/>
      <c r="G176" s="21"/>
      <c r="H176" s="24" t="str">
        <f aca="false">IF(OR(A176="",D176="",G176=""),"",D176*G176)</f>
        <v/>
      </c>
      <c r="I176" s="25" t="str">
        <f aca="false">IF(OR(A176="",B176=""),"",IFERROR(LOOKUP(2,1/(单次交易!$A$2:$A$201=A176),单次交易!$H$2:$H$201),0)+SUMIFS($G$2:$G$1001,$A$2:$A$1001,A176,$B$2:$B$1001,"&lt;"&amp;B176))</f>
        <v/>
      </c>
      <c r="J176" s="24" t="str">
        <f aca="false">IF(OR(A176="",B176=""),"",IFERROR(LOOKUP(2,1/(单次交易!$A$2:$A$201=A176),单次交易!$E$2:$E$201)*LOOKUP(2,1/(单次交易!$A$2:$A$201=A176),单次交易!$H$2:$H$201),0)+SUMIFS($H$2:$H$1001,$A$2:$A$1001,A176,$B$2:$B$1001,"&lt;"&amp;B176))</f>
        <v/>
      </c>
      <c r="K176" s="24" t="str">
        <f aca="false">IF(OR(E176="",I176="",J176=""),"",MAX(E176*I176-J176,0))</f>
        <v/>
      </c>
      <c r="L176" s="25" t="str">
        <f aca="false">IF(OR(D176="",E176="",F176="",D176&lt;=E176),"",FLOOR((F176+K176)/(D176-E176),100))</f>
        <v/>
      </c>
      <c r="M176" s="25" t="str">
        <f aca="false">IF(OR(A176="",B176="",L176=""),"",IF(B176=1,L176,IFERROR(SUMIFS($G$2:$G$1001,$A$2:$A$1001,A176,$B$2:$B$1001,B176-1),0)))</f>
        <v/>
      </c>
      <c r="N176" s="25" t="str">
        <f aca="false">IF(OR(L176="",M176=""),"",MIN(L176,M176))</f>
        <v/>
      </c>
      <c r="O176" s="25" t="str">
        <f aca="false">IF(OR(I176="",G176=""),"",I176+G176)</f>
        <v/>
      </c>
      <c r="P176" s="24" t="str">
        <f aca="false">IF(OR(O176="",O176=0),"",(J176+H176)/O176)</f>
        <v/>
      </c>
      <c r="Q176" s="24" t="str">
        <f aca="false">IF(OR(O176="",E176=""),"",MAX(J176+H176-E176*O176,0))</f>
        <v/>
      </c>
      <c r="R176" s="26" t="str">
        <f aca="false">IF(A176="","",IF(COUNTIF(_TradeIds,A176)=0,"违规：交易编号不存在",IF(OR(B176="",B176&lt;1,B176&gt;5,B176&lt;&gt;INT(B176)),"违规：加仓序号须为1到5的整数",IF(COUNTIFS($A$2:$A$1001,A176,$B$2:$B$1001,B176)&gt;1,"违规：同一交易的加仓序号重复",IF(OR(D176="",E176="",F176=""),"计划不完整：请填写加仓价、新止损价和风险预算",IF(OR(D176&lt;=0,E176&lt;=0,F176&lt;=0,D176&lt;=E176),"违规：加仓价必须高于新止损价，金额须大于0",IF(AND(B176&gt;1,COUNTIFS($A$2:$A$1001,A176,$B$2:$B$1001,B176-1,$G$2:$G$1001,"&gt;0")=0),"违规：须先完成上一次加仓",IF(AND(B176&gt;1,E176&lt;SUMIFS($E$2:$E$1001,$A$2:$A$1001,A176,$B$2:$B$1001,B176-1)),"违规：新止损价不得低于上一次",IF(AND(B176&gt;1,F176&gt;SUMIFS($F$2:$F$1001,$A$2:$A$1001,A176,$B$2:$B$1001,B176-1)),"违规：风险预算须逐次不增加",IF(OR(_LockStatus="已锁仓",_LockStatus="解锁信息不完整"),"违规：锁仓期间禁止加仓",IF(G176="","计划可执行：建议股数见N列",IF(OR(G176&lt;=0,G176&lt;&gt;INT(G176),MOD(G176,100)&lt;&gt;0),"违规：实际股数须为100股整数倍",IF(G176&gt;N176,"违规：实际股数超过风险或金字塔上限",IF(AND(B176&gt;1,G176&gt;SUMIFS($G$2:$G$1001,$A$2:$A$1001,A176,$B$2:$B$1001,B176-1)),"违规：加仓股数须逐次不增加",IF(Q176&gt;F176,"违规：止损风险超过本次预算","通过")))))))))))))))</f>
        <v/>
      </c>
    </row>
    <row r="177" customFormat="false" ht="15" hidden="false" customHeight="false" outlineLevel="0" collapsed="false">
      <c r="A177" s="20"/>
      <c r="B177" s="21"/>
      <c r="C177" s="22"/>
      <c r="D177" s="23"/>
      <c r="E177" s="23"/>
      <c r="F177" s="23"/>
      <c r="G177" s="21"/>
      <c r="H177" s="24" t="str">
        <f aca="false">IF(OR(A177="",D177="",G177=""),"",D177*G177)</f>
        <v/>
      </c>
      <c r="I177" s="25" t="str">
        <f aca="false">IF(OR(A177="",B177=""),"",IFERROR(LOOKUP(2,1/(单次交易!$A$2:$A$201=A177),单次交易!$H$2:$H$201),0)+SUMIFS($G$2:$G$1001,$A$2:$A$1001,A177,$B$2:$B$1001,"&lt;"&amp;B177))</f>
        <v/>
      </c>
      <c r="J177" s="24" t="str">
        <f aca="false">IF(OR(A177="",B177=""),"",IFERROR(LOOKUP(2,1/(单次交易!$A$2:$A$201=A177),单次交易!$E$2:$E$201)*LOOKUP(2,1/(单次交易!$A$2:$A$201=A177),单次交易!$H$2:$H$201),0)+SUMIFS($H$2:$H$1001,$A$2:$A$1001,A177,$B$2:$B$1001,"&lt;"&amp;B177))</f>
        <v/>
      </c>
      <c r="K177" s="24" t="str">
        <f aca="false">IF(OR(E177="",I177="",J177=""),"",MAX(E177*I177-J177,0))</f>
        <v/>
      </c>
      <c r="L177" s="25" t="str">
        <f aca="false">IF(OR(D177="",E177="",F177="",D177&lt;=E177),"",FLOOR((F177+K177)/(D177-E177),100))</f>
        <v/>
      </c>
      <c r="M177" s="25" t="str">
        <f aca="false">IF(OR(A177="",B177="",L177=""),"",IF(B177=1,L177,IFERROR(SUMIFS($G$2:$G$1001,$A$2:$A$1001,A177,$B$2:$B$1001,B177-1),0)))</f>
        <v/>
      </c>
      <c r="N177" s="25" t="str">
        <f aca="false">IF(OR(L177="",M177=""),"",MIN(L177,M177))</f>
        <v/>
      </c>
      <c r="O177" s="25" t="str">
        <f aca="false">IF(OR(I177="",G177=""),"",I177+G177)</f>
        <v/>
      </c>
      <c r="P177" s="24" t="str">
        <f aca="false">IF(OR(O177="",O177=0),"",(J177+H177)/O177)</f>
        <v/>
      </c>
      <c r="Q177" s="24" t="str">
        <f aca="false">IF(OR(O177="",E177=""),"",MAX(J177+H177-E177*O177,0))</f>
        <v/>
      </c>
      <c r="R177" s="26" t="str">
        <f aca="false">IF(A177="","",IF(COUNTIF(_TradeIds,A177)=0,"违规：交易编号不存在",IF(OR(B177="",B177&lt;1,B177&gt;5,B177&lt;&gt;INT(B177)),"违规：加仓序号须为1到5的整数",IF(COUNTIFS($A$2:$A$1001,A177,$B$2:$B$1001,B177)&gt;1,"违规：同一交易的加仓序号重复",IF(OR(D177="",E177="",F177=""),"计划不完整：请填写加仓价、新止损价和风险预算",IF(OR(D177&lt;=0,E177&lt;=0,F177&lt;=0,D177&lt;=E177),"违规：加仓价必须高于新止损价，金额须大于0",IF(AND(B177&gt;1,COUNTIFS($A$2:$A$1001,A177,$B$2:$B$1001,B177-1,$G$2:$G$1001,"&gt;0")=0),"违规：须先完成上一次加仓",IF(AND(B177&gt;1,E177&lt;SUMIFS($E$2:$E$1001,$A$2:$A$1001,A177,$B$2:$B$1001,B177-1)),"违规：新止损价不得低于上一次",IF(AND(B177&gt;1,F177&gt;SUMIFS($F$2:$F$1001,$A$2:$A$1001,A177,$B$2:$B$1001,B177-1)),"违规：风险预算须逐次不增加",IF(OR(_LockStatus="已锁仓",_LockStatus="解锁信息不完整"),"违规：锁仓期间禁止加仓",IF(G177="","计划可执行：建议股数见N列",IF(OR(G177&lt;=0,G177&lt;&gt;INT(G177),MOD(G177,100)&lt;&gt;0),"违规：实际股数须为100股整数倍",IF(G177&gt;N177,"违规：实际股数超过风险或金字塔上限",IF(AND(B177&gt;1,G177&gt;SUMIFS($G$2:$G$1001,$A$2:$A$1001,A177,$B$2:$B$1001,B177-1)),"违规：加仓股数须逐次不增加",IF(Q177&gt;F177,"违规：止损风险超过本次预算","通过")))))))))))))))</f>
        <v/>
      </c>
    </row>
    <row r="178" customFormat="false" ht="15" hidden="false" customHeight="false" outlineLevel="0" collapsed="false">
      <c r="A178" s="20"/>
      <c r="B178" s="21"/>
      <c r="C178" s="22"/>
      <c r="D178" s="23"/>
      <c r="E178" s="23"/>
      <c r="F178" s="23"/>
      <c r="G178" s="21"/>
      <c r="H178" s="24" t="str">
        <f aca="false">IF(OR(A178="",D178="",G178=""),"",D178*G178)</f>
        <v/>
      </c>
      <c r="I178" s="25" t="str">
        <f aca="false">IF(OR(A178="",B178=""),"",IFERROR(LOOKUP(2,1/(单次交易!$A$2:$A$201=A178),单次交易!$H$2:$H$201),0)+SUMIFS($G$2:$G$1001,$A$2:$A$1001,A178,$B$2:$B$1001,"&lt;"&amp;B178))</f>
        <v/>
      </c>
      <c r="J178" s="24" t="str">
        <f aca="false">IF(OR(A178="",B178=""),"",IFERROR(LOOKUP(2,1/(单次交易!$A$2:$A$201=A178),单次交易!$E$2:$E$201)*LOOKUP(2,1/(单次交易!$A$2:$A$201=A178),单次交易!$H$2:$H$201),0)+SUMIFS($H$2:$H$1001,$A$2:$A$1001,A178,$B$2:$B$1001,"&lt;"&amp;B178))</f>
        <v/>
      </c>
      <c r="K178" s="24" t="str">
        <f aca="false">IF(OR(E178="",I178="",J178=""),"",MAX(E178*I178-J178,0))</f>
        <v/>
      </c>
      <c r="L178" s="25" t="str">
        <f aca="false">IF(OR(D178="",E178="",F178="",D178&lt;=E178),"",FLOOR((F178+K178)/(D178-E178),100))</f>
        <v/>
      </c>
      <c r="M178" s="25" t="str">
        <f aca="false">IF(OR(A178="",B178="",L178=""),"",IF(B178=1,L178,IFERROR(SUMIFS($G$2:$G$1001,$A$2:$A$1001,A178,$B$2:$B$1001,B178-1),0)))</f>
        <v/>
      </c>
      <c r="N178" s="25" t="str">
        <f aca="false">IF(OR(L178="",M178=""),"",MIN(L178,M178))</f>
        <v/>
      </c>
      <c r="O178" s="25" t="str">
        <f aca="false">IF(OR(I178="",G178=""),"",I178+G178)</f>
        <v/>
      </c>
      <c r="P178" s="24" t="str">
        <f aca="false">IF(OR(O178="",O178=0),"",(J178+H178)/O178)</f>
        <v/>
      </c>
      <c r="Q178" s="24" t="str">
        <f aca="false">IF(OR(O178="",E178=""),"",MAX(J178+H178-E178*O178,0))</f>
        <v/>
      </c>
      <c r="R178" s="26" t="str">
        <f aca="false">IF(A178="","",IF(COUNTIF(_TradeIds,A178)=0,"违规：交易编号不存在",IF(OR(B178="",B178&lt;1,B178&gt;5,B178&lt;&gt;INT(B178)),"违规：加仓序号须为1到5的整数",IF(COUNTIFS($A$2:$A$1001,A178,$B$2:$B$1001,B178)&gt;1,"违规：同一交易的加仓序号重复",IF(OR(D178="",E178="",F178=""),"计划不完整：请填写加仓价、新止损价和风险预算",IF(OR(D178&lt;=0,E178&lt;=0,F178&lt;=0,D178&lt;=E178),"违规：加仓价必须高于新止损价，金额须大于0",IF(AND(B178&gt;1,COUNTIFS($A$2:$A$1001,A178,$B$2:$B$1001,B178-1,$G$2:$G$1001,"&gt;0")=0),"违规：须先完成上一次加仓",IF(AND(B178&gt;1,E178&lt;SUMIFS($E$2:$E$1001,$A$2:$A$1001,A178,$B$2:$B$1001,B178-1)),"违规：新止损价不得低于上一次",IF(AND(B178&gt;1,F178&gt;SUMIFS($F$2:$F$1001,$A$2:$A$1001,A178,$B$2:$B$1001,B178-1)),"违规：风险预算须逐次不增加",IF(OR(_LockStatus="已锁仓",_LockStatus="解锁信息不完整"),"违规：锁仓期间禁止加仓",IF(G178="","计划可执行：建议股数见N列",IF(OR(G178&lt;=0,G178&lt;&gt;INT(G178),MOD(G178,100)&lt;&gt;0),"违规：实际股数须为100股整数倍",IF(G178&gt;N178,"违规：实际股数超过风险或金字塔上限",IF(AND(B178&gt;1,G178&gt;SUMIFS($G$2:$G$1001,$A$2:$A$1001,A178,$B$2:$B$1001,B178-1)),"违规：加仓股数须逐次不增加",IF(Q178&gt;F178,"违规：止损风险超过本次预算","通过")))))))))))))))</f>
        <v/>
      </c>
    </row>
    <row r="179" customFormat="false" ht="15" hidden="false" customHeight="false" outlineLevel="0" collapsed="false">
      <c r="A179" s="20"/>
      <c r="B179" s="21"/>
      <c r="C179" s="22"/>
      <c r="D179" s="23"/>
      <c r="E179" s="23"/>
      <c r="F179" s="23"/>
      <c r="G179" s="21"/>
      <c r="H179" s="24" t="str">
        <f aca="false">IF(OR(A179="",D179="",G179=""),"",D179*G179)</f>
        <v/>
      </c>
      <c r="I179" s="25" t="str">
        <f aca="false">IF(OR(A179="",B179=""),"",IFERROR(LOOKUP(2,1/(单次交易!$A$2:$A$201=A179),单次交易!$H$2:$H$201),0)+SUMIFS($G$2:$G$1001,$A$2:$A$1001,A179,$B$2:$B$1001,"&lt;"&amp;B179))</f>
        <v/>
      </c>
      <c r="J179" s="24" t="str">
        <f aca="false">IF(OR(A179="",B179=""),"",IFERROR(LOOKUP(2,1/(单次交易!$A$2:$A$201=A179),单次交易!$E$2:$E$201)*LOOKUP(2,1/(单次交易!$A$2:$A$201=A179),单次交易!$H$2:$H$201),0)+SUMIFS($H$2:$H$1001,$A$2:$A$1001,A179,$B$2:$B$1001,"&lt;"&amp;B179))</f>
        <v/>
      </c>
      <c r="K179" s="24" t="str">
        <f aca="false">IF(OR(E179="",I179="",J179=""),"",MAX(E179*I179-J179,0))</f>
        <v/>
      </c>
      <c r="L179" s="25" t="str">
        <f aca="false">IF(OR(D179="",E179="",F179="",D179&lt;=E179),"",FLOOR((F179+K179)/(D179-E179),100))</f>
        <v/>
      </c>
      <c r="M179" s="25" t="str">
        <f aca="false">IF(OR(A179="",B179="",L179=""),"",IF(B179=1,L179,IFERROR(SUMIFS($G$2:$G$1001,$A$2:$A$1001,A179,$B$2:$B$1001,B179-1),0)))</f>
        <v/>
      </c>
      <c r="N179" s="25" t="str">
        <f aca="false">IF(OR(L179="",M179=""),"",MIN(L179,M179))</f>
        <v/>
      </c>
      <c r="O179" s="25" t="str">
        <f aca="false">IF(OR(I179="",G179=""),"",I179+G179)</f>
        <v/>
      </c>
      <c r="P179" s="24" t="str">
        <f aca="false">IF(OR(O179="",O179=0),"",(J179+H179)/O179)</f>
        <v/>
      </c>
      <c r="Q179" s="24" t="str">
        <f aca="false">IF(OR(O179="",E179=""),"",MAX(J179+H179-E179*O179,0))</f>
        <v/>
      </c>
      <c r="R179" s="26" t="str">
        <f aca="false">IF(A179="","",IF(COUNTIF(_TradeIds,A179)=0,"违规：交易编号不存在",IF(OR(B179="",B179&lt;1,B179&gt;5,B179&lt;&gt;INT(B179)),"违规：加仓序号须为1到5的整数",IF(COUNTIFS($A$2:$A$1001,A179,$B$2:$B$1001,B179)&gt;1,"违规：同一交易的加仓序号重复",IF(OR(D179="",E179="",F179=""),"计划不完整：请填写加仓价、新止损价和风险预算",IF(OR(D179&lt;=0,E179&lt;=0,F179&lt;=0,D179&lt;=E179),"违规：加仓价必须高于新止损价，金额须大于0",IF(AND(B179&gt;1,COUNTIFS($A$2:$A$1001,A179,$B$2:$B$1001,B179-1,$G$2:$G$1001,"&gt;0")=0),"违规：须先完成上一次加仓",IF(AND(B179&gt;1,E179&lt;SUMIFS($E$2:$E$1001,$A$2:$A$1001,A179,$B$2:$B$1001,B179-1)),"违规：新止损价不得低于上一次",IF(AND(B179&gt;1,F179&gt;SUMIFS($F$2:$F$1001,$A$2:$A$1001,A179,$B$2:$B$1001,B179-1)),"违规：风险预算须逐次不增加",IF(OR(_LockStatus="已锁仓",_LockStatus="解锁信息不完整"),"违规：锁仓期间禁止加仓",IF(G179="","计划可执行：建议股数见N列",IF(OR(G179&lt;=0,G179&lt;&gt;INT(G179),MOD(G179,100)&lt;&gt;0),"违规：实际股数须为100股整数倍",IF(G179&gt;N179,"违规：实际股数超过风险或金字塔上限",IF(AND(B179&gt;1,G179&gt;SUMIFS($G$2:$G$1001,$A$2:$A$1001,A179,$B$2:$B$1001,B179-1)),"违规：加仓股数须逐次不增加",IF(Q179&gt;F179,"违规：止损风险超过本次预算","通过")))))))))))))))</f>
        <v/>
      </c>
    </row>
    <row r="180" customFormat="false" ht="15" hidden="false" customHeight="false" outlineLevel="0" collapsed="false">
      <c r="A180" s="20"/>
      <c r="B180" s="21"/>
      <c r="C180" s="22"/>
      <c r="D180" s="23"/>
      <c r="E180" s="23"/>
      <c r="F180" s="23"/>
      <c r="G180" s="21"/>
      <c r="H180" s="24" t="str">
        <f aca="false">IF(OR(A180="",D180="",G180=""),"",D180*G180)</f>
        <v/>
      </c>
      <c r="I180" s="25" t="str">
        <f aca="false">IF(OR(A180="",B180=""),"",IFERROR(LOOKUP(2,1/(单次交易!$A$2:$A$201=A180),单次交易!$H$2:$H$201),0)+SUMIFS($G$2:$G$1001,$A$2:$A$1001,A180,$B$2:$B$1001,"&lt;"&amp;B180))</f>
        <v/>
      </c>
      <c r="J180" s="24" t="str">
        <f aca="false">IF(OR(A180="",B180=""),"",IFERROR(LOOKUP(2,1/(单次交易!$A$2:$A$201=A180),单次交易!$E$2:$E$201)*LOOKUP(2,1/(单次交易!$A$2:$A$201=A180),单次交易!$H$2:$H$201),0)+SUMIFS($H$2:$H$1001,$A$2:$A$1001,A180,$B$2:$B$1001,"&lt;"&amp;B180))</f>
        <v/>
      </c>
      <c r="K180" s="24" t="str">
        <f aca="false">IF(OR(E180="",I180="",J180=""),"",MAX(E180*I180-J180,0))</f>
        <v/>
      </c>
      <c r="L180" s="25" t="str">
        <f aca="false">IF(OR(D180="",E180="",F180="",D180&lt;=E180),"",FLOOR((F180+K180)/(D180-E180),100))</f>
        <v/>
      </c>
      <c r="M180" s="25" t="str">
        <f aca="false">IF(OR(A180="",B180="",L180=""),"",IF(B180=1,L180,IFERROR(SUMIFS($G$2:$G$1001,$A$2:$A$1001,A180,$B$2:$B$1001,B180-1),0)))</f>
        <v/>
      </c>
      <c r="N180" s="25" t="str">
        <f aca="false">IF(OR(L180="",M180=""),"",MIN(L180,M180))</f>
        <v/>
      </c>
      <c r="O180" s="25" t="str">
        <f aca="false">IF(OR(I180="",G180=""),"",I180+G180)</f>
        <v/>
      </c>
      <c r="P180" s="24" t="str">
        <f aca="false">IF(OR(O180="",O180=0),"",(J180+H180)/O180)</f>
        <v/>
      </c>
      <c r="Q180" s="24" t="str">
        <f aca="false">IF(OR(O180="",E180=""),"",MAX(J180+H180-E180*O180,0))</f>
        <v/>
      </c>
      <c r="R180" s="26" t="str">
        <f aca="false">IF(A180="","",IF(COUNTIF(_TradeIds,A180)=0,"违规：交易编号不存在",IF(OR(B180="",B180&lt;1,B180&gt;5,B180&lt;&gt;INT(B180)),"违规：加仓序号须为1到5的整数",IF(COUNTIFS($A$2:$A$1001,A180,$B$2:$B$1001,B180)&gt;1,"违规：同一交易的加仓序号重复",IF(OR(D180="",E180="",F180=""),"计划不完整：请填写加仓价、新止损价和风险预算",IF(OR(D180&lt;=0,E180&lt;=0,F180&lt;=0,D180&lt;=E180),"违规：加仓价必须高于新止损价，金额须大于0",IF(AND(B180&gt;1,COUNTIFS($A$2:$A$1001,A180,$B$2:$B$1001,B180-1,$G$2:$G$1001,"&gt;0")=0),"违规：须先完成上一次加仓",IF(AND(B180&gt;1,E180&lt;SUMIFS($E$2:$E$1001,$A$2:$A$1001,A180,$B$2:$B$1001,B180-1)),"违规：新止损价不得低于上一次",IF(AND(B180&gt;1,F180&gt;SUMIFS($F$2:$F$1001,$A$2:$A$1001,A180,$B$2:$B$1001,B180-1)),"违规：风险预算须逐次不增加",IF(OR(_LockStatus="已锁仓",_LockStatus="解锁信息不完整"),"违规：锁仓期间禁止加仓",IF(G180="","计划可执行：建议股数见N列",IF(OR(G180&lt;=0,G180&lt;&gt;INT(G180),MOD(G180,100)&lt;&gt;0),"违规：实际股数须为100股整数倍",IF(G180&gt;N180,"违规：实际股数超过风险或金字塔上限",IF(AND(B180&gt;1,G180&gt;SUMIFS($G$2:$G$1001,$A$2:$A$1001,A180,$B$2:$B$1001,B180-1)),"违规：加仓股数须逐次不增加",IF(Q180&gt;F180,"违规：止损风险超过本次预算","通过")))))))))))))))</f>
        <v/>
      </c>
    </row>
    <row r="181" customFormat="false" ht="15" hidden="false" customHeight="false" outlineLevel="0" collapsed="false">
      <c r="A181" s="20"/>
      <c r="B181" s="21"/>
      <c r="C181" s="22"/>
      <c r="D181" s="23"/>
      <c r="E181" s="23"/>
      <c r="F181" s="23"/>
      <c r="G181" s="21"/>
      <c r="H181" s="24" t="str">
        <f aca="false">IF(OR(A181="",D181="",G181=""),"",D181*G181)</f>
        <v/>
      </c>
      <c r="I181" s="25" t="str">
        <f aca="false">IF(OR(A181="",B181=""),"",IFERROR(LOOKUP(2,1/(单次交易!$A$2:$A$201=A181),单次交易!$H$2:$H$201),0)+SUMIFS($G$2:$G$1001,$A$2:$A$1001,A181,$B$2:$B$1001,"&lt;"&amp;B181))</f>
        <v/>
      </c>
      <c r="J181" s="24" t="str">
        <f aca="false">IF(OR(A181="",B181=""),"",IFERROR(LOOKUP(2,1/(单次交易!$A$2:$A$201=A181),单次交易!$E$2:$E$201)*LOOKUP(2,1/(单次交易!$A$2:$A$201=A181),单次交易!$H$2:$H$201),0)+SUMIFS($H$2:$H$1001,$A$2:$A$1001,A181,$B$2:$B$1001,"&lt;"&amp;B181))</f>
        <v/>
      </c>
      <c r="K181" s="24" t="str">
        <f aca="false">IF(OR(E181="",I181="",J181=""),"",MAX(E181*I181-J181,0))</f>
        <v/>
      </c>
      <c r="L181" s="25" t="str">
        <f aca="false">IF(OR(D181="",E181="",F181="",D181&lt;=E181),"",FLOOR((F181+K181)/(D181-E181),100))</f>
        <v/>
      </c>
      <c r="M181" s="25" t="str">
        <f aca="false">IF(OR(A181="",B181="",L181=""),"",IF(B181=1,L181,IFERROR(SUMIFS($G$2:$G$1001,$A$2:$A$1001,A181,$B$2:$B$1001,B181-1),0)))</f>
        <v/>
      </c>
      <c r="N181" s="25" t="str">
        <f aca="false">IF(OR(L181="",M181=""),"",MIN(L181,M181))</f>
        <v/>
      </c>
      <c r="O181" s="25" t="str">
        <f aca="false">IF(OR(I181="",G181=""),"",I181+G181)</f>
        <v/>
      </c>
      <c r="P181" s="24" t="str">
        <f aca="false">IF(OR(O181="",O181=0),"",(J181+H181)/O181)</f>
        <v/>
      </c>
      <c r="Q181" s="24" t="str">
        <f aca="false">IF(OR(O181="",E181=""),"",MAX(J181+H181-E181*O181,0))</f>
        <v/>
      </c>
      <c r="R181" s="26" t="str">
        <f aca="false">IF(A181="","",IF(COUNTIF(_TradeIds,A181)=0,"违规：交易编号不存在",IF(OR(B181="",B181&lt;1,B181&gt;5,B181&lt;&gt;INT(B181)),"违规：加仓序号须为1到5的整数",IF(COUNTIFS($A$2:$A$1001,A181,$B$2:$B$1001,B181)&gt;1,"违规：同一交易的加仓序号重复",IF(OR(D181="",E181="",F181=""),"计划不完整：请填写加仓价、新止损价和风险预算",IF(OR(D181&lt;=0,E181&lt;=0,F181&lt;=0,D181&lt;=E181),"违规：加仓价必须高于新止损价，金额须大于0",IF(AND(B181&gt;1,COUNTIFS($A$2:$A$1001,A181,$B$2:$B$1001,B181-1,$G$2:$G$1001,"&gt;0")=0),"违规：须先完成上一次加仓",IF(AND(B181&gt;1,E181&lt;SUMIFS($E$2:$E$1001,$A$2:$A$1001,A181,$B$2:$B$1001,B181-1)),"违规：新止损价不得低于上一次",IF(AND(B181&gt;1,F181&gt;SUMIFS($F$2:$F$1001,$A$2:$A$1001,A181,$B$2:$B$1001,B181-1)),"违规：风险预算须逐次不增加",IF(OR(_LockStatus="已锁仓",_LockStatus="解锁信息不完整"),"违规：锁仓期间禁止加仓",IF(G181="","计划可执行：建议股数见N列",IF(OR(G181&lt;=0,G181&lt;&gt;INT(G181),MOD(G181,100)&lt;&gt;0),"违规：实际股数须为100股整数倍",IF(G181&gt;N181,"违规：实际股数超过风险或金字塔上限",IF(AND(B181&gt;1,G181&gt;SUMIFS($G$2:$G$1001,$A$2:$A$1001,A181,$B$2:$B$1001,B181-1)),"违规：加仓股数须逐次不增加",IF(Q181&gt;F181,"违规：止损风险超过本次预算","通过")))))))))))))))</f>
        <v/>
      </c>
    </row>
    <row r="182" customFormat="false" ht="15" hidden="false" customHeight="false" outlineLevel="0" collapsed="false">
      <c r="A182" s="20"/>
      <c r="B182" s="21"/>
      <c r="C182" s="22"/>
      <c r="D182" s="23"/>
      <c r="E182" s="23"/>
      <c r="F182" s="23"/>
      <c r="G182" s="21"/>
      <c r="H182" s="24" t="str">
        <f aca="false">IF(OR(A182="",D182="",G182=""),"",D182*G182)</f>
        <v/>
      </c>
      <c r="I182" s="25" t="str">
        <f aca="false">IF(OR(A182="",B182=""),"",IFERROR(LOOKUP(2,1/(单次交易!$A$2:$A$201=A182),单次交易!$H$2:$H$201),0)+SUMIFS($G$2:$G$1001,$A$2:$A$1001,A182,$B$2:$B$1001,"&lt;"&amp;B182))</f>
        <v/>
      </c>
      <c r="J182" s="24" t="str">
        <f aca="false">IF(OR(A182="",B182=""),"",IFERROR(LOOKUP(2,1/(单次交易!$A$2:$A$201=A182),单次交易!$E$2:$E$201)*LOOKUP(2,1/(单次交易!$A$2:$A$201=A182),单次交易!$H$2:$H$201),0)+SUMIFS($H$2:$H$1001,$A$2:$A$1001,A182,$B$2:$B$1001,"&lt;"&amp;B182))</f>
        <v/>
      </c>
      <c r="K182" s="24" t="str">
        <f aca="false">IF(OR(E182="",I182="",J182=""),"",MAX(E182*I182-J182,0))</f>
        <v/>
      </c>
      <c r="L182" s="25" t="str">
        <f aca="false">IF(OR(D182="",E182="",F182="",D182&lt;=E182),"",FLOOR((F182+K182)/(D182-E182),100))</f>
        <v/>
      </c>
      <c r="M182" s="25" t="str">
        <f aca="false">IF(OR(A182="",B182="",L182=""),"",IF(B182=1,L182,IFERROR(SUMIFS($G$2:$G$1001,$A$2:$A$1001,A182,$B$2:$B$1001,B182-1),0)))</f>
        <v/>
      </c>
      <c r="N182" s="25" t="str">
        <f aca="false">IF(OR(L182="",M182=""),"",MIN(L182,M182))</f>
        <v/>
      </c>
      <c r="O182" s="25" t="str">
        <f aca="false">IF(OR(I182="",G182=""),"",I182+G182)</f>
        <v/>
      </c>
      <c r="P182" s="24" t="str">
        <f aca="false">IF(OR(O182="",O182=0),"",(J182+H182)/O182)</f>
        <v/>
      </c>
      <c r="Q182" s="24" t="str">
        <f aca="false">IF(OR(O182="",E182=""),"",MAX(J182+H182-E182*O182,0))</f>
        <v/>
      </c>
      <c r="R182" s="26" t="str">
        <f aca="false">IF(A182="","",IF(COUNTIF(_TradeIds,A182)=0,"违规：交易编号不存在",IF(OR(B182="",B182&lt;1,B182&gt;5,B182&lt;&gt;INT(B182)),"违规：加仓序号须为1到5的整数",IF(COUNTIFS($A$2:$A$1001,A182,$B$2:$B$1001,B182)&gt;1,"违规：同一交易的加仓序号重复",IF(OR(D182="",E182="",F182=""),"计划不完整：请填写加仓价、新止损价和风险预算",IF(OR(D182&lt;=0,E182&lt;=0,F182&lt;=0,D182&lt;=E182),"违规：加仓价必须高于新止损价，金额须大于0",IF(AND(B182&gt;1,COUNTIFS($A$2:$A$1001,A182,$B$2:$B$1001,B182-1,$G$2:$G$1001,"&gt;0")=0),"违规：须先完成上一次加仓",IF(AND(B182&gt;1,E182&lt;SUMIFS($E$2:$E$1001,$A$2:$A$1001,A182,$B$2:$B$1001,B182-1)),"违规：新止损价不得低于上一次",IF(AND(B182&gt;1,F182&gt;SUMIFS($F$2:$F$1001,$A$2:$A$1001,A182,$B$2:$B$1001,B182-1)),"违规：风险预算须逐次不增加",IF(OR(_LockStatus="已锁仓",_LockStatus="解锁信息不完整"),"违规：锁仓期间禁止加仓",IF(G182="","计划可执行：建议股数见N列",IF(OR(G182&lt;=0,G182&lt;&gt;INT(G182),MOD(G182,100)&lt;&gt;0),"违规：实际股数须为100股整数倍",IF(G182&gt;N182,"违规：实际股数超过风险或金字塔上限",IF(AND(B182&gt;1,G182&gt;SUMIFS($G$2:$G$1001,$A$2:$A$1001,A182,$B$2:$B$1001,B182-1)),"违规：加仓股数须逐次不增加",IF(Q182&gt;F182,"违规：止损风险超过本次预算","通过")))))))))))))))</f>
        <v/>
      </c>
    </row>
    <row r="183" customFormat="false" ht="15" hidden="false" customHeight="false" outlineLevel="0" collapsed="false">
      <c r="A183" s="20"/>
      <c r="B183" s="21"/>
      <c r="C183" s="22"/>
      <c r="D183" s="23"/>
      <c r="E183" s="23"/>
      <c r="F183" s="23"/>
      <c r="G183" s="21"/>
      <c r="H183" s="24" t="str">
        <f aca="false">IF(OR(A183="",D183="",G183=""),"",D183*G183)</f>
        <v/>
      </c>
      <c r="I183" s="25" t="str">
        <f aca="false">IF(OR(A183="",B183=""),"",IFERROR(LOOKUP(2,1/(单次交易!$A$2:$A$201=A183),单次交易!$H$2:$H$201),0)+SUMIFS($G$2:$G$1001,$A$2:$A$1001,A183,$B$2:$B$1001,"&lt;"&amp;B183))</f>
        <v/>
      </c>
      <c r="J183" s="24" t="str">
        <f aca="false">IF(OR(A183="",B183=""),"",IFERROR(LOOKUP(2,1/(单次交易!$A$2:$A$201=A183),单次交易!$E$2:$E$201)*LOOKUP(2,1/(单次交易!$A$2:$A$201=A183),单次交易!$H$2:$H$201),0)+SUMIFS($H$2:$H$1001,$A$2:$A$1001,A183,$B$2:$B$1001,"&lt;"&amp;B183))</f>
        <v/>
      </c>
      <c r="K183" s="24" t="str">
        <f aca="false">IF(OR(E183="",I183="",J183=""),"",MAX(E183*I183-J183,0))</f>
        <v/>
      </c>
      <c r="L183" s="25" t="str">
        <f aca="false">IF(OR(D183="",E183="",F183="",D183&lt;=E183),"",FLOOR((F183+K183)/(D183-E183),100))</f>
        <v/>
      </c>
      <c r="M183" s="25" t="str">
        <f aca="false">IF(OR(A183="",B183="",L183=""),"",IF(B183=1,L183,IFERROR(SUMIFS($G$2:$G$1001,$A$2:$A$1001,A183,$B$2:$B$1001,B183-1),0)))</f>
        <v/>
      </c>
      <c r="N183" s="25" t="str">
        <f aca="false">IF(OR(L183="",M183=""),"",MIN(L183,M183))</f>
        <v/>
      </c>
      <c r="O183" s="25" t="str">
        <f aca="false">IF(OR(I183="",G183=""),"",I183+G183)</f>
        <v/>
      </c>
      <c r="P183" s="24" t="str">
        <f aca="false">IF(OR(O183="",O183=0),"",(J183+H183)/O183)</f>
        <v/>
      </c>
      <c r="Q183" s="24" t="str">
        <f aca="false">IF(OR(O183="",E183=""),"",MAX(J183+H183-E183*O183,0))</f>
        <v/>
      </c>
      <c r="R183" s="26" t="str">
        <f aca="false">IF(A183="","",IF(COUNTIF(_TradeIds,A183)=0,"违规：交易编号不存在",IF(OR(B183="",B183&lt;1,B183&gt;5,B183&lt;&gt;INT(B183)),"违规：加仓序号须为1到5的整数",IF(COUNTIFS($A$2:$A$1001,A183,$B$2:$B$1001,B183)&gt;1,"违规：同一交易的加仓序号重复",IF(OR(D183="",E183="",F183=""),"计划不完整：请填写加仓价、新止损价和风险预算",IF(OR(D183&lt;=0,E183&lt;=0,F183&lt;=0,D183&lt;=E183),"违规：加仓价必须高于新止损价，金额须大于0",IF(AND(B183&gt;1,COUNTIFS($A$2:$A$1001,A183,$B$2:$B$1001,B183-1,$G$2:$G$1001,"&gt;0")=0),"违规：须先完成上一次加仓",IF(AND(B183&gt;1,E183&lt;SUMIFS($E$2:$E$1001,$A$2:$A$1001,A183,$B$2:$B$1001,B183-1)),"违规：新止损价不得低于上一次",IF(AND(B183&gt;1,F183&gt;SUMIFS($F$2:$F$1001,$A$2:$A$1001,A183,$B$2:$B$1001,B183-1)),"违规：风险预算须逐次不增加",IF(OR(_LockStatus="已锁仓",_LockStatus="解锁信息不完整"),"违规：锁仓期间禁止加仓",IF(G183="","计划可执行：建议股数见N列",IF(OR(G183&lt;=0,G183&lt;&gt;INT(G183),MOD(G183,100)&lt;&gt;0),"违规：实际股数须为100股整数倍",IF(G183&gt;N183,"违规：实际股数超过风险或金字塔上限",IF(AND(B183&gt;1,G183&gt;SUMIFS($G$2:$G$1001,$A$2:$A$1001,A183,$B$2:$B$1001,B183-1)),"违规：加仓股数须逐次不增加",IF(Q183&gt;F183,"违规：止损风险超过本次预算","通过")))))))))))))))</f>
        <v/>
      </c>
    </row>
    <row r="184" customFormat="false" ht="15" hidden="false" customHeight="false" outlineLevel="0" collapsed="false">
      <c r="A184" s="20"/>
      <c r="B184" s="21"/>
      <c r="C184" s="22"/>
      <c r="D184" s="23"/>
      <c r="E184" s="23"/>
      <c r="F184" s="23"/>
      <c r="G184" s="21"/>
      <c r="H184" s="24" t="str">
        <f aca="false">IF(OR(A184="",D184="",G184=""),"",D184*G184)</f>
        <v/>
      </c>
      <c r="I184" s="25" t="str">
        <f aca="false">IF(OR(A184="",B184=""),"",IFERROR(LOOKUP(2,1/(单次交易!$A$2:$A$201=A184),单次交易!$H$2:$H$201),0)+SUMIFS($G$2:$G$1001,$A$2:$A$1001,A184,$B$2:$B$1001,"&lt;"&amp;B184))</f>
        <v/>
      </c>
      <c r="J184" s="24" t="str">
        <f aca="false">IF(OR(A184="",B184=""),"",IFERROR(LOOKUP(2,1/(单次交易!$A$2:$A$201=A184),单次交易!$E$2:$E$201)*LOOKUP(2,1/(单次交易!$A$2:$A$201=A184),单次交易!$H$2:$H$201),0)+SUMIFS($H$2:$H$1001,$A$2:$A$1001,A184,$B$2:$B$1001,"&lt;"&amp;B184))</f>
        <v/>
      </c>
      <c r="K184" s="24" t="str">
        <f aca="false">IF(OR(E184="",I184="",J184=""),"",MAX(E184*I184-J184,0))</f>
        <v/>
      </c>
      <c r="L184" s="25" t="str">
        <f aca="false">IF(OR(D184="",E184="",F184="",D184&lt;=E184),"",FLOOR((F184+K184)/(D184-E184),100))</f>
        <v/>
      </c>
      <c r="M184" s="25" t="str">
        <f aca="false">IF(OR(A184="",B184="",L184=""),"",IF(B184=1,L184,IFERROR(SUMIFS($G$2:$G$1001,$A$2:$A$1001,A184,$B$2:$B$1001,B184-1),0)))</f>
        <v/>
      </c>
      <c r="N184" s="25" t="str">
        <f aca="false">IF(OR(L184="",M184=""),"",MIN(L184,M184))</f>
        <v/>
      </c>
      <c r="O184" s="25" t="str">
        <f aca="false">IF(OR(I184="",G184=""),"",I184+G184)</f>
        <v/>
      </c>
      <c r="P184" s="24" t="str">
        <f aca="false">IF(OR(O184="",O184=0),"",(J184+H184)/O184)</f>
        <v/>
      </c>
      <c r="Q184" s="24" t="str">
        <f aca="false">IF(OR(O184="",E184=""),"",MAX(J184+H184-E184*O184,0))</f>
        <v/>
      </c>
      <c r="R184" s="26" t="str">
        <f aca="false">IF(A184="","",IF(COUNTIF(_TradeIds,A184)=0,"违规：交易编号不存在",IF(OR(B184="",B184&lt;1,B184&gt;5,B184&lt;&gt;INT(B184)),"违规：加仓序号须为1到5的整数",IF(COUNTIFS($A$2:$A$1001,A184,$B$2:$B$1001,B184)&gt;1,"违规：同一交易的加仓序号重复",IF(OR(D184="",E184="",F184=""),"计划不完整：请填写加仓价、新止损价和风险预算",IF(OR(D184&lt;=0,E184&lt;=0,F184&lt;=0,D184&lt;=E184),"违规：加仓价必须高于新止损价，金额须大于0",IF(AND(B184&gt;1,COUNTIFS($A$2:$A$1001,A184,$B$2:$B$1001,B184-1,$G$2:$G$1001,"&gt;0")=0),"违规：须先完成上一次加仓",IF(AND(B184&gt;1,E184&lt;SUMIFS($E$2:$E$1001,$A$2:$A$1001,A184,$B$2:$B$1001,B184-1)),"违规：新止损价不得低于上一次",IF(AND(B184&gt;1,F184&gt;SUMIFS($F$2:$F$1001,$A$2:$A$1001,A184,$B$2:$B$1001,B184-1)),"违规：风险预算须逐次不增加",IF(OR(_LockStatus="已锁仓",_LockStatus="解锁信息不完整"),"违规：锁仓期间禁止加仓",IF(G184="","计划可执行：建议股数见N列",IF(OR(G184&lt;=0,G184&lt;&gt;INT(G184),MOD(G184,100)&lt;&gt;0),"违规：实际股数须为100股整数倍",IF(G184&gt;N184,"违规：实际股数超过风险或金字塔上限",IF(AND(B184&gt;1,G184&gt;SUMIFS($G$2:$G$1001,$A$2:$A$1001,A184,$B$2:$B$1001,B184-1)),"违规：加仓股数须逐次不增加",IF(Q184&gt;F184,"违规：止损风险超过本次预算","通过")))))))))))))))</f>
        <v/>
      </c>
    </row>
    <row r="185" customFormat="false" ht="15" hidden="false" customHeight="false" outlineLevel="0" collapsed="false">
      <c r="A185" s="20"/>
      <c r="B185" s="21"/>
      <c r="C185" s="22"/>
      <c r="D185" s="23"/>
      <c r="E185" s="23"/>
      <c r="F185" s="23"/>
      <c r="G185" s="21"/>
      <c r="H185" s="24" t="str">
        <f aca="false">IF(OR(A185="",D185="",G185=""),"",D185*G185)</f>
        <v/>
      </c>
      <c r="I185" s="25" t="str">
        <f aca="false">IF(OR(A185="",B185=""),"",IFERROR(LOOKUP(2,1/(单次交易!$A$2:$A$201=A185),单次交易!$H$2:$H$201),0)+SUMIFS($G$2:$G$1001,$A$2:$A$1001,A185,$B$2:$B$1001,"&lt;"&amp;B185))</f>
        <v/>
      </c>
      <c r="J185" s="24" t="str">
        <f aca="false">IF(OR(A185="",B185=""),"",IFERROR(LOOKUP(2,1/(单次交易!$A$2:$A$201=A185),单次交易!$E$2:$E$201)*LOOKUP(2,1/(单次交易!$A$2:$A$201=A185),单次交易!$H$2:$H$201),0)+SUMIFS($H$2:$H$1001,$A$2:$A$1001,A185,$B$2:$B$1001,"&lt;"&amp;B185))</f>
        <v/>
      </c>
      <c r="K185" s="24" t="str">
        <f aca="false">IF(OR(E185="",I185="",J185=""),"",MAX(E185*I185-J185,0))</f>
        <v/>
      </c>
      <c r="L185" s="25" t="str">
        <f aca="false">IF(OR(D185="",E185="",F185="",D185&lt;=E185),"",FLOOR((F185+K185)/(D185-E185),100))</f>
        <v/>
      </c>
      <c r="M185" s="25" t="str">
        <f aca="false">IF(OR(A185="",B185="",L185=""),"",IF(B185=1,L185,IFERROR(SUMIFS($G$2:$G$1001,$A$2:$A$1001,A185,$B$2:$B$1001,B185-1),0)))</f>
        <v/>
      </c>
      <c r="N185" s="25" t="str">
        <f aca="false">IF(OR(L185="",M185=""),"",MIN(L185,M185))</f>
        <v/>
      </c>
      <c r="O185" s="25" t="str">
        <f aca="false">IF(OR(I185="",G185=""),"",I185+G185)</f>
        <v/>
      </c>
      <c r="P185" s="24" t="str">
        <f aca="false">IF(OR(O185="",O185=0),"",(J185+H185)/O185)</f>
        <v/>
      </c>
      <c r="Q185" s="24" t="str">
        <f aca="false">IF(OR(O185="",E185=""),"",MAX(J185+H185-E185*O185,0))</f>
        <v/>
      </c>
      <c r="R185" s="26" t="str">
        <f aca="false">IF(A185="","",IF(COUNTIF(_TradeIds,A185)=0,"违规：交易编号不存在",IF(OR(B185="",B185&lt;1,B185&gt;5,B185&lt;&gt;INT(B185)),"违规：加仓序号须为1到5的整数",IF(COUNTIFS($A$2:$A$1001,A185,$B$2:$B$1001,B185)&gt;1,"违规：同一交易的加仓序号重复",IF(OR(D185="",E185="",F185=""),"计划不完整：请填写加仓价、新止损价和风险预算",IF(OR(D185&lt;=0,E185&lt;=0,F185&lt;=0,D185&lt;=E185),"违规：加仓价必须高于新止损价，金额须大于0",IF(AND(B185&gt;1,COUNTIFS($A$2:$A$1001,A185,$B$2:$B$1001,B185-1,$G$2:$G$1001,"&gt;0")=0),"违规：须先完成上一次加仓",IF(AND(B185&gt;1,E185&lt;SUMIFS($E$2:$E$1001,$A$2:$A$1001,A185,$B$2:$B$1001,B185-1)),"违规：新止损价不得低于上一次",IF(AND(B185&gt;1,F185&gt;SUMIFS($F$2:$F$1001,$A$2:$A$1001,A185,$B$2:$B$1001,B185-1)),"违规：风险预算须逐次不增加",IF(OR(_LockStatus="已锁仓",_LockStatus="解锁信息不完整"),"违规：锁仓期间禁止加仓",IF(G185="","计划可执行：建议股数见N列",IF(OR(G185&lt;=0,G185&lt;&gt;INT(G185),MOD(G185,100)&lt;&gt;0),"违规：实际股数须为100股整数倍",IF(G185&gt;N185,"违规：实际股数超过风险或金字塔上限",IF(AND(B185&gt;1,G185&gt;SUMIFS($G$2:$G$1001,$A$2:$A$1001,A185,$B$2:$B$1001,B185-1)),"违规：加仓股数须逐次不增加",IF(Q185&gt;F185,"违规：止损风险超过本次预算","通过")))))))))))))))</f>
        <v/>
      </c>
    </row>
    <row r="186" customFormat="false" ht="15" hidden="false" customHeight="false" outlineLevel="0" collapsed="false">
      <c r="A186" s="20"/>
      <c r="B186" s="21"/>
      <c r="C186" s="22"/>
      <c r="D186" s="23"/>
      <c r="E186" s="23"/>
      <c r="F186" s="23"/>
      <c r="G186" s="21"/>
      <c r="H186" s="24" t="str">
        <f aca="false">IF(OR(A186="",D186="",G186=""),"",D186*G186)</f>
        <v/>
      </c>
      <c r="I186" s="25" t="str">
        <f aca="false">IF(OR(A186="",B186=""),"",IFERROR(LOOKUP(2,1/(单次交易!$A$2:$A$201=A186),单次交易!$H$2:$H$201),0)+SUMIFS($G$2:$G$1001,$A$2:$A$1001,A186,$B$2:$B$1001,"&lt;"&amp;B186))</f>
        <v/>
      </c>
      <c r="J186" s="24" t="str">
        <f aca="false">IF(OR(A186="",B186=""),"",IFERROR(LOOKUP(2,1/(单次交易!$A$2:$A$201=A186),单次交易!$E$2:$E$201)*LOOKUP(2,1/(单次交易!$A$2:$A$201=A186),单次交易!$H$2:$H$201),0)+SUMIFS($H$2:$H$1001,$A$2:$A$1001,A186,$B$2:$B$1001,"&lt;"&amp;B186))</f>
        <v/>
      </c>
      <c r="K186" s="24" t="str">
        <f aca="false">IF(OR(E186="",I186="",J186=""),"",MAX(E186*I186-J186,0))</f>
        <v/>
      </c>
      <c r="L186" s="25" t="str">
        <f aca="false">IF(OR(D186="",E186="",F186="",D186&lt;=E186),"",FLOOR((F186+K186)/(D186-E186),100))</f>
        <v/>
      </c>
      <c r="M186" s="25" t="str">
        <f aca="false">IF(OR(A186="",B186="",L186=""),"",IF(B186=1,L186,IFERROR(SUMIFS($G$2:$G$1001,$A$2:$A$1001,A186,$B$2:$B$1001,B186-1),0)))</f>
        <v/>
      </c>
      <c r="N186" s="25" t="str">
        <f aca="false">IF(OR(L186="",M186=""),"",MIN(L186,M186))</f>
        <v/>
      </c>
      <c r="O186" s="25" t="str">
        <f aca="false">IF(OR(I186="",G186=""),"",I186+G186)</f>
        <v/>
      </c>
      <c r="P186" s="24" t="str">
        <f aca="false">IF(OR(O186="",O186=0),"",(J186+H186)/O186)</f>
        <v/>
      </c>
      <c r="Q186" s="24" t="str">
        <f aca="false">IF(OR(O186="",E186=""),"",MAX(J186+H186-E186*O186,0))</f>
        <v/>
      </c>
      <c r="R186" s="26" t="str">
        <f aca="false">IF(A186="","",IF(COUNTIF(_TradeIds,A186)=0,"违规：交易编号不存在",IF(OR(B186="",B186&lt;1,B186&gt;5,B186&lt;&gt;INT(B186)),"违规：加仓序号须为1到5的整数",IF(COUNTIFS($A$2:$A$1001,A186,$B$2:$B$1001,B186)&gt;1,"违规：同一交易的加仓序号重复",IF(OR(D186="",E186="",F186=""),"计划不完整：请填写加仓价、新止损价和风险预算",IF(OR(D186&lt;=0,E186&lt;=0,F186&lt;=0,D186&lt;=E186),"违规：加仓价必须高于新止损价，金额须大于0",IF(AND(B186&gt;1,COUNTIFS($A$2:$A$1001,A186,$B$2:$B$1001,B186-1,$G$2:$G$1001,"&gt;0")=0),"违规：须先完成上一次加仓",IF(AND(B186&gt;1,E186&lt;SUMIFS($E$2:$E$1001,$A$2:$A$1001,A186,$B$2:$B$1001,B186-1)),"违规：新止损价不得低于上一次",IF(AND(B186&gt;1,F186&gt;SUMIFS($F$2:$F$1001,$A$2:$A$1001,A186,$B$2:$B$1001,B186-1)),"违规：风险预算须逐次不增加",IF(OR(_LockStatus="已锁仓",_LockStatus="解锁信息不完整"),"违规：锁仓期间禁止加仓",IF(G186="","计划可执行：建议股数见N列",IF(OR(G186&lt;=0,G186&lt;&gt;INT(G186),MOD(G186,100)&lt;&gt;0),"违规：实际股数须为100股整数倍",IF(G186&gt;N186,"违规：实际股数超过风险或金字塔上限",IF(AND(B186&gt;1,G186&gt;SUMIFS($G$2:$G$1001,$A$2:$A$1001,A186,$B$2:$B$1001,B186-1)),"违规：加仓股数须逐次不增加",IF(Q186&gt;F186,"违规：止损风险超过本次预算","通过")))))))))))))))</f>
        <v/>
      </c>
    </row>
    <row r="187" customFormat="false" ht="15" hidden="false" customHeight="false" outlineLevel="0" collapsed="false">
      <c r="A187" s="20"/>
      <c r="B187" s="21"/>
      <c r="C187" s="22"/>
      <c r="D187" s="23"/>
      <c r="E187" s="23"/>
      <c r="F187" s="23"/>
      <c r="G187" s="21"/>
      <c r="H187" s="24" t="str">
        <f aca="false">IF(OR(A187="",D187="",G187=""),"",D187*G187)</f>
        <v/>
      </c>
      <c r="I187" s="25" t="str">
        <f aca="false">IF(OR(A187="",B187=""),"",IFERROR(LOOKUP(2,1/(单次交易!$A$2:$A$201=A187),单次交易!$H$2:$H$201),0)+SUMIFS($G$2:$G$1001,$A$2:$A$1001,A187,$B$2:$B$1001,"&lt;"&amp;B187))</f>
        <v/>
      </c>
      <c r="J187" s="24" t="str">
        <f aca="false">IF(OR(A187="",B187=""),"",IFERROR(LOOKUP(2,1/(单次交易!$A$2:$A$201=A187),单次交易!$E$2:$E$201)*LOOKUP(2,1/(单次交易!$A$2:$A$201=A187),单次交易!$H$2:$H$201),0)+SUMIFS($H$2:$H$1001,$A$2:$A$1001,A187,$B$2:$B$1001,"&lt;"&amp;B187))</f>
        <v/>
      </c>
      <c r="K187" s="24" t="str">
        <f aca="false">IF(OR(E187="",I187="",J187=""),"",MAX(E187*I187-J187,0))</f>
        <v/>
      </c>
      <c r="L187" s="25" t="str">
        <f aca="false">IF(OR(D187="",E187="",F187="",D187&lt;=E187),"",FLOOR((F187+K187)/(D187-E187),100))</f>
        <v/>
      </c>
      <c r="M187" s="25" t="str">
        <f aca="false">IF(OR(A187="",B187="",L187=""),"",IF(B187=1,L187,IFERROR(SUMIFS($G$2:$G$1001,$A$2:$A$1001,A187,$B$2:$B$1001,B187-1),0)))</f>
        <v/>
      </c>
      <c r="N187" s="25" t="str">
        <f aca="false">IF(OR(L187="",M187=""),"",MIN(L187,M187))</f>
        <v/>
      </c>
      <c r="O187" s="25" t="str">
        <f aca="false">IF(OR(I187="",G187=""),"",I187+G187)</f>
        <v/>
      </c>
      <c r="P187" s="24" t="str">
        <f aca="false">IF(OR(O187="",O187=0),"",(J187+H187)/O187)</f>
        <v/>
      </c>
      <c r="Q187" s="24" t="str">
        <f aca="false">IF(OR(O187="",E187=""),"",MAX(J187+H187-E187*O187,0))</f>
        <v/>
      </c>
      <c r="R187" s="26" t="str">
        <f aca="false">IF(A187="","",IF(COUNTIF(_TradeIds,A187)=0,"违规：交易编号不存在",IF(OR(B187="",B187&lt;1,B187&gt;5,B187&lt;&gt;INT(B187)),"违规：加仓序号须为1到5的整数",IF(COUNTIFS($A$2:$A$1001,A187,$B$2:$B$1001,B187)&gt;1,"违规：同一交易的加仓序号重复",IF(OR(D187="",E187="",F187=""),"计划不完整：请填写加仓价、新止损价和风险预算",IF(OR(D187&lt;=0,E187&lt;=0,F187&lt;=0,D187&lt;=E187),"违规：加仓价必须高于新止损价，金额须大于0",IF(AND(B187&gt;1,COUNTIFS($A$2:$A$1001,A187,$B$2:$B$1001,B187-1,$G$2:$G$1001,"&gt;0")=0),"违规：须先完成上一次加仓",IF(AND(B187&gt;1,E187&lt;SUMIFS($E$2:$E$1001,$A$2:$A$1001,A187,$B$2:$B$1001,B187-1)),"违规：新止损价不得低于上一次",IF(AND(B187&gt;1,F187&gt;SUMIFS($F$2:$F$1001,$A$2:$A$1001,A187,$B$2:$B$1001,B187-1)),"违规：风险预算须逐次不增加",IF(OR(_LockStatus="已锁仓",_LockStatus="解锁信息不完整"),"违规：锁仓期间禁止加仓",IF(G187="","计划可执行：建议股数见N列",IF(OR(G187&lt;=0,G187&lt;&gt;INT(G187),MOD(G187,100)&lt;&gt;0),"违规：实际股数须为100股整数倍",IF(G187&gt;N187,"违规：实际股数超过风险或金字塔上限",IF(AND(B187&gt;1,G187&gt;SUMIFS($G$2:$G$1001,$A$2:$A$1001,A187,$B$2:$B$1001,B187-1)),"违规：加仓股数须逐次不增加",IF(Q187&gt;F187,"违规：止损风险超过本次预算","通过")))))))))))))))</f>
        <v/>
      </c>
    </row>
    <row r="188" customFormat="false" ht="15" hidden="false" customHeight="false" outlineLevel="0" collapsed="false">
      <c r="A188" s="20"/>
      <c r="B188" s="21"/>
      <c r="C188" s="22"/>
      <c r="D188" s="23"/>
      <c r="E188" s="23"/>
      <c r="F188" s="23"/>
      <c r="G188" s="21"/>
      <c r="H188" s="24" t="str">
        <f aca="false">IF(OR(A188="",D188="",G188=""),"",D188*G188)</f>
        <v/>
      </c>
      <c r="I188" s="25" t="str">
        <f aca="false">IF(OR(A188="",B188=""),"",IFERROR(LOOKUP(2,1/(单次交易!$A$2:$A$201=A188),单次交易!$H$2:$H$201),0)+SUMIFS($G$2:$G$1001,$A$2:$A$1001,A188,$B$2:$B$1001,"&lt;"&amp;B188))</f>
        <v/>
      </c>
      <c r="J188" s="24" t="str">
        <f aca="false">IF(OR(A188="",B188=""),"",IFERROR(LOOKUP(2,1/(单次交易!$A$2:$A$201=A188),单次交易!$E$2:$E$201)*LOOKUP(2,1/(单次交易!$A$2:$A$201=A188),单次交易!$H$2:$H$201),0)+SUMIFS($H$2:$H$1001,$A$2:$A$1001,A188,$B$2:$B$1001,"&lt;"&amp;B188))</f>
        <v/>
      </c>
      <c r="K188" s="24" t="str">
        <f aca="false">IF(OR(E188="",I188="",J188=""),"",MAX(E188*I188-J188,0))</f>
        <v/>
      </c>
      <c r="L188" s="25" t="str">
        <f aca="false">IF(OR(D188="",E188="",F188="",D188&lt;=E188),"",FLOOR((F188+K188)/(D188-E188),100))</f>
        <v/>
      </c>
      <c r="M188" s="25" t="str">
        <f aca="false">IF(OR(A188="",B188="",L188=""),"",IF(B188=1,L188,IFERROR(SUMIFS($G$2:$G$1001,$A$2:$A$1001,A188,$B$2:$B$1001,B188-1),0)))</f>
        <v/>
      </c>
      <c r="N188" s="25" t="str">
        <f aca="false">IF(OR(L188="",M188=""),"",MIN(L188,M188))</f>
        <v/>
      </c>
      <c r="O188" s="25" t="str">
        <f aca="false">IF(OR(I188="",G188=""),"",I188+G188)</f>
        <v/>
      </c>
      <c r="P188" s="24" t="str">
        <f aca="false">IF(OR(O188="",O188=0),"",(J188+H188)/O188)</f>
        <v/>
      </c>
      <c r="Q188" s="24" t="str">
        <f aca="false">IF(OR(O188="",E188=""),"",MAX(J188+H188-E188*O188,0))</f>
        <v/>
      </c>
      <c r="R188" s="26" t="str">
        <f aca="false">IF(A188="","",IF(COUNTIF(_TradeIds,A188)=0,"违规：交易编号不存在",IF(OR(B188="",B188&lt;1,B188&gt;5,B188&lt;&gt;INT(B188)),"违规：加仓序号须为1到5的整数",IF(COUNTIFS($A$2:$A$1001,A188,$B$2:$B$1001,B188)&gt;1,"违规：同一交易的加仓序号重复",IF(OR(D188="",E188="",F188=""),"计划不完整：请填写加仓价、新止损价和风险预算",IF(OR(D188&lt;=0,E188&lt;=0,F188&lt;=0,D188&lt;=E188),"违规：加仓价必须高于新止损价，金额须大于0",IF(AND(B188&gt;1,COUNTIFS($A$2:$A$1001,A188,$B$2:$B$1001,B188-1,$G$2:$G$1001,"&gt;0")=0),"违规：须先完成上一次加仓",IF(AND(B188&gt;1,E188&lt;SUMIFS($E$2:$E$1001,$A$2:$A$1001,A188,$B$2:$B$1001,B188-1)),"违规：新止损价不得低于上一次",IF(AND(B188&gt;1,F188&gt;SUMIFS($F$2:$F$1001,$A$2:$A$1001,A188,$B$2:$B$1001,B188-1)),"违规：风险预算须逐次不增加",IF(OR(_LockStatus="已锁仓",_LockStatus="解锁信息不完整"),"违规：锁仓期间禁止加仓",IF(G188="","计划可执行：建议股数见N列",IF(OR(G188&lt;=0,G188&lt;&gt;INT(G188),MOD(G188,100)&lt;&gt;0),"违规：实际股数须为100股整数倍",IF(G188&gt;N188,"违规：实际股数超过风险或金字塔上限",IF(AND(B188&gt;1,G188&gt;SUMIFS($G$2:$G$1001,$A$2:$A$1001,A188,$B$2:$B$1001,B188-1)),"违规：加仓股数须逐次不增加",IF(Q188&gt;F188,"违规：止损风险超过本次预算","通过")))))))))))))))</f>
        <v/>
      </c>
    </row>
    <row r="189" customFormat="false" ht="15" hidden="false" customHeight="false" outlineLevel="0" collapsed="false">
      <c r="A189" s="20"/>
      <c r="B189" s="21"/>
      <c r="C189" s="22"/>
      <c r="D189" s="23"/>
      <c r="E189" s="23"/>
      <c r="F189" s="23"/>
      <c r="G189" s="21"/>
      <c r="H189" s="24" t="str">
        <f aca="false">IF(OR(A189="",D189="",G189=""),"",D189*G189)</f>
        <v/>
      </c>
      <c r="I189" s="25" t="str">
        <f aca="false">IF(OR(A189="",B189=""),"",IFERROR(LOOKUP(2,1/(单次交易!$A$2:$A$201=A189),单次交易!$H$2:$H$201),0)+SUMIFS($G$2:$G$1001,$A$2:$A$1001,A189,$B$2:$B$1001,"&lt;"&amp;B189))</f>
        <v/>
      </c>
      <c r="J189" s="24" t="str">
        <f aca="false">IF(OR(A189="",B189=""),"",IFERROR(LOOKUP(2,1/(单次交易!$A$2:$A$201=A189),单次交易!$E$2:$E$201)*LOOKUP(2,1/(单次交易!$A$2:$A$201=A189),单次交易!$H$2:$H$201),0)+SUMIFS($H$2:$H$1001,$A$2:$A$1001,A189,$B$2:$B$1001,"&lt;"&amp;B189))</f>
        <v/>
      </c>
      <c r="K189" s="24" t="str">
        <f aca="false">IF(OR(E189="",I189="",J189=""),"",MAX(E189*I189-J189,0))</f>
        <v/>
      </c>
      <c r="L189" s="25" t="str">
        <f aca="false">IF(OR(D189="",E189="",F189="",D189&lt;=E189),"",FLOOR((F189+K189)/(D189-E189),100))</f>
        <v/>
      </c>
      <c r="M189" s="25" t="str">
        <f aca="false">IF(OR(A189="",B189="",L189=""),"",IF(B189=1,L189,IFERROR(SUMIFS($G$2:$G$1001,$A$2:$A$1001,A189,$B$2:$B$1001,B189-1),0)))</f>
        <v/>
      </c>
      <c r="N189" s="25" t="str">
        <f aca="false">IF(OR(L189="",M189=""),"",MIN(L189,M189))</f>
        <v/>
      </c>
      <c r="O189" s="25" t="str">
        <f aca="false">IF(OR(I189="",G189=""),"",I189+G189)</f>
        <v/>
      </c>
      <c r="P189" s="24" t="str">
        <f aca="false">IF(OR(O189="",O189=0),"",(J189+H189)/O189)</f>
        <v/>
      </c>
      <c r="Q189" s="24" t="str">
        <f aca="false">IF(OR(O189="",E189=""),"",MAX(J189+H189-E189*O189,0))</f>
        <v/>
      </c>
      <c r="R189" s="26" t="str">
        <f aca="false">IF(A189="","",IF(COUNTIF(_TradeIds,A189)=0,"违规：交易编号不存在",IF(OR(B189="",B189&lt;1,B189&gt;5,B189&lt;&gt;INT(B189)),"违规：加仓序号须为1到5的整数",IF(COUNTIFS($A$2:$A$1001,A189,$B$2:$B$1001,B189)&gt;1,"违规：同一交易的加仓序号重复",IF(OR(D189="",E189="",F189=""),"计划不完整：请填写加仓价、新止损价和风险预算",IF(OR(D189&lt;=0,E189&lt;=0,F189&lt;=0,D189&lt;=E189),"违规：加仓价必须高于新止损价，金额须大于0",IF(AND(B189&gt;1,COUNTIFS($A$2:$A$1001,A189,$B$2:$B$1001,B189-1,$G$2:$G$1001,"&gt;0")=0),"违规：须先完成上一次加仓",IF(AND(B189&gt;1,E189&lt;SUMIFS($E$2:$E$1001,$A$2:$A$1001,A189,$B$2:$B$1001,B189-1)),"违规：新止损价不得低于上一次",IF(AND(B189&gt;1,F189&gt;SUMIFS($F$2:$F$1001,$A$2:$A$1001,A189,$B$2:$B$1001,B189-1)),"违规：风险预算须逐次不增加",IF(OR(_LockStatus="已锁仓",_LockStatus="解锁信息不完整"),"违规：锁仓期间禁止加仓",IF(G189="","计划可执行：建议股数见N列",IF(OR(G189&lt;=0,G189&lt;&gt;INT(G189),MOD(G189,100)&lt;&gt;0),"违规：实际股数须为100股整数倍",IF(G189&gt;N189,"违规：实际股数超过风险或金字塔上限",IF(AND(B189&gt;1,G189&gt;SUMIFS($G$2:$G$1001,$A$2:$A$1001,A189,$B$2:$B$1001,B189-1)),"违规：加仓股数须逐次不增加",IF(Q189&gt;F189,"违规：止损风险超过本次预算","通过")))))))))))))))</f>
        <v/>
      </c>
    </row>
    <row r="190" customFormat="false" ht="15" hidden="false" customHeight="false" outlineLevel="0" collapsed="false">
      <c r="A190" s="20"/>
      <c r="B190" s="21"/>
      <c r="C190" s="22"/>
      <c r="D190" s="23"/>
      <c r="E190" s="23"/>
      <c r="F190" s="23"/>
      <c r="G190" s="21"/>
      <c r="H190" s="24" t="str">
        <f aca="false">IF(OR(A190="",D190="",G190=""),"",D190*G190)</f>
        <v/>
      </c>
      <c r="I190" s="25" t="str">
        <f aca="false">IF(OR(A190="",B190=""),"",IFERROR(LOOKUP(2,1/(单次交易!$A$2:$A$201=A190),单次交易!$H$2:$H$201),0)+SUMIFS($G$2:$G$1001,$A$2:$A$1001,A190,$B$2:$B$1001,"&lt;"&amp;B190))</f>
        <v/>
      </c>
      <c r="J190" s="24" t="str">
        <f aca="false">IF(OR(A190="",B190=""),"",IFERROR(LOOKUP(2,1/(单次交易!$A$2:$A$201=A190),单次交易!$E$2:$E$201)*LOOKUP(2,1/(单次交易!$A$2:$A$201=A190),单次交易!$H$2:$H$201),0)+SUMIFS($H$2:$H$1001,$A$2:$A$1001,A190,$B$2:$B$1001,"&lt;"&amp;B190))</f>
        <v/>
      </c>
      <c r="K190" s="24" t="str">
        <f aca="false">IF(OR(E190="",I190="",J190=""),"",MAX(E190*I190-J190,0))</f>
        <v/>
      </c>
      <c r="L190" s="25" t="str">
        <f aca="false">IF(OR(D190="",E190="",F190="",D190&lt;=E190),"",FLOOR((F190+K190)/(D190-E190),100))</f>
        <v/>
      </c>
      <c r="M190" s="25" t="str">
        <f aca="false">IF(OR(A190="",B190="",L190=""),"",IF(B190=1,L190,IFERROR(SUMIFS($G$2:$G$1001,$A$2:$A$1001,A190,$B$2:$B$1001,B190-1),0)))</f>
        <v/>
      </c>
      <c r="N190" s="25" t="str">
        <f aca="false">IF(OR(L190="",M190=""),"",MIN(L190,M190))</f>
        <v/>
      </c>
      <c r="O190" s="25" t="str">
        <f aca="false">IF(OR(I190="",G190=""),"",I190+G190)</f>
        <v/>
      </c>
      <c r="P190" s="24" t="str">
        <f aca="false">IF(OR(O190="",O190=0),"",(J190+H190)/O190)</f>
        <v/>
      </c>
      <c r="Q190" s="24" t="str">
        <f aca="false">IF(OR(O190="",E190=""),"",MAX(J190+H190-E190*O190,0))</f>
        <v/>
      </c>
      <c r="R190" s="26" t="str">
        <f aca="false">IF(A190="","",IF(COUNTIF(_TradeIds,A190)=0,"违规：交易编号不存在",IF(OR(B190="",B190&lt;1,B190&gt;5,B190&lt;&gt;INT(B190)),"违规：加仓序号须为1到5的整数",IF(COUNTIFS($A$2:$A$1001,A190,$B$2:$B$1001,B190)&gt;1,"违规：同一交易的加仓序号重复",IF(OR(D190="",E190="",F190=""),"计划不完整：请填写加仓价、新止损价和风险预算",IF(OR(D190&lt;=0,E190&lt;=0,F190&lt;=0,D190&lt;=E190),"违规：加仓价必须高于新止损价，金额须大于0",IF(AND(B190&gt;1,COUNTIFS($A$2:$A$1001,A190,$B$2:$B$1001,B190-1,$G$2:$G$1001,"&gt;0")=0),"违规：须先完成上一次加仓",IF(AND(B190&gt;1,E190&lt;SUMIFS($E$2:$E$1001,$A$2:$A$1001,A190,$B$2:$B$1001,B190-1)),"违规：新止损价不得低于上一次",IF(AND(B190&gt;1,F190&gt;SUMIFS($F$2:$F$1001,$A$2:$A$1001,A190,$B$2:$B$1001,B190-1)),"违规：风险预算须逐次不增加",IF(OR(_LockStatus="已锁仓",_LockStatus="解锁信息不完整"),"违规：锁仓期间禁止加仓",IF(G190="","计划可执行：建议股数见N列",IF(OR(G190&lt;=0,G190&lt;&gt;INT(G190),MOD(G190,100)&lt;&gt;0),"违规：实际股数须为100股整数倍",IF(G190&gt;N190,"违规：实际股数超过风险或金字塔上限",IF(AND(B190&gt;1,G190&gt;SUMIFS($G$2:$G$1001,$A$2:$A$1001,A190,$B$2:$B$1001,B190-1)),"违规：加仓股数须逐次不增加",IF(Q190&gt;F190,"违规：止损风险超过本次预算","通过")))))))))))))))</f>
        <v/>
      </c>
    </row>
    <row r="191" customFormat="false" ht="15" hidden="false" customHeight="false" outlineLevel="0" collapsed="false">
      <c r="A191" s="20"/>
      <c r="B191" s="21"/>
      <c r="C191" s="22"/>
      <c r="D191" s="23"/>
      <c r="E191" s="23"/>
      <c r="F191" s="23"/>
      <c r="G191" s="21"/>
      <c r="H191" s="24" t="str">
        <f aca="false">IF(OR(A191="",D191="",G191=""),"",D191*G191)</f>
        <v/>
      </c>
      <c r="I191" s="25" t="str">
        <f aca="false">IF(OR(A191="",B191=""),"",IFERROR(LOOKUP(2,1/(单次交易!$A$2:$A$201=A191),单次交易!$H$2:$H$201),0)+SUMIFS($G$2:$G$1001,$A$2:$A$1001,A191,$B$2:$B$1001,"&lt;"&amp;B191))</f>
        <v/>
      </c>
      <c r="J191" s="24" t="str">
        <f aca="false">IF(OR(A191="",B191=""),"",IFERROR(LOOKUP(2,1/(单次交易!$A$2:$A$201=A191),单次交易!$E$2:$E$201)*LOOKUP(2,1/(单次交易!$A$2:$A$201=A191),单次交易!$H$2:$H$201),0)+SUMIFS($H$2:$H$1001,$A$2:$A$1001,A191,$B$2:$B$1001,"&lt;"&amp;B191))</f>
        <v/>
      </c>
      <c r="K191" s="24" t="str">
        <f aca="false">IF(OR(E191="",I191="",J191=""),"",MAX(E191*I191-J191,0))</f>
        <v/>
      </c>
      <c r="L191" s="25" t="str">
        <f aca="false">IF(OR(D191="",E191="",F191="",D191&lt;=E191),"",FLOOR((F191+K191)/(D191-E191),100))</f>
        <v/>
      </c>
      <c r="M191" s="25" t="str">
        <f aca="false">IF(OR(A191="",B191="",L191=""),"",IF(B191=1,L191,IFERROR(SUMIFS($G$2:$G$1001,$A$2:$A$1001,A191,$B$2:$B$1001,B191-1),0)))</f>
        <v/>
      </c>
      <c r="N191" s="25" t="str">
        <f aca="false">IF(OR(L191="",M191=""),"",MIN(L191,M191))</f>
        <v/>
      </c>
      <c r="O191" s="25" t="str">
        <f aca="false">IF(OR(I191="",G191=""),"",I191+G191)</f>
        <v/>
      </c>
      <c r="P191" s="24" t="str">
        <f aca="false">IF(OR(O191="",O191=0),"",(J191+H191)/O191)</f>
        <v/>
      </c>
      <c r="Q191" s="24" t="str">
        <f aca="false">IF(OR(O191="",E191=""),"",MAX(J191+H191-E191*O191,0))</f>
        <v/>
      </c>
      <c r="R191" s="26" t="str">
        <f aca="false">IF(A191="","",IF(COUNTIF(_TradeIds,A191)=0,"违规：交易编号不存在",IF(OR(B191="",B191&lt;1,B191&gt;5,B191&lt;&gt;INT(B191)),"违规：加仓序号须为1到5的整数",IF(COUNTIFS($A$2:$A$1001,A191,$B$2:$B$1001,B191)&gt;1,"违规：同一交易的加仓序号重复",IF(OR(D191="",E191="",F191=""),"计划不完整：请填写加仓价、新止损价和风险预算",IF(OR(D191&lt;=0,E191&lt;=0,F191&lt;=0,D191&lt;=E191),"违规：加仓价必须高于新止损价，金额须大于0",IF(AND(B191&gt;1,COUNTIFS($A$2:$A$1001,A191,$B$2:$B$1001,B191-1,$G$2:$G$1001,"&gt;0")=0),"违规：须先完成上一次加仓",IF(AND(B191&gt;1,E191&lt;SUMIFS($E$2:$E$1001,$A$2:$A$1001,A191,$B$2:$B$1001,B191-1)),"违规：新止损价不得低于上一次",IF(AND(B191&gt;1,F191&gt;SUMIFS($F$2:$F$1001,$A$2:$A$1001,A191,$B$2:$B$1001,B191-1)),"违规：风险预算须逐次不增加",IF(OR(_LockStatus="已锁仓",_LockStatus="解锁信息不完整"),"违规：锁仓期间禁止加仓",IF(G191="","计划可执行：建议股数见N列",IF(OR(G191&lt;=0,G191&lt;&gt;INT(G191),MOD(G191,100)&lt;&gt;0),"违规：实际股数须为100股整数倍",IF(G191&gt;N191,"违规：实际股数超过风险或金字塔上限",IF(AND(B191&gt;1,G191&gt;SUMIFS($G$2:$G$1001,$A$2:$A$1001,A191,$B$2:$B$1001,B191-1)),"违规：加仓股数须逐次不增加",IF(Q191&gt;F191,"违规：止损风险超过本次预算","通过")))))))))))))))</f>
        <v/>
      </c>
    </row>
    <row r="192" customFormat="false" ht="15" hidden="false" customHeight="false" outlineLevel="0" collapsed="false">
      <c r="A192" s="20"/>
      <c r="B192" s="21"/>
      <c r="C192" s="22"/>
      <c r="D192" s="23"/>
      <c r="E192" s="23"/>
      <c r="F192" s="23"/>
      <c r="G192" s="21"/>
      <c r="H192" s="24" t="str">
        <f aca="false">IF(OR(A192="",D192="",G192=""),"",D192*G192)</f>
        <v/>
      </c>
      <c r="I192" s="25" t="str">
        <f aca="false">IF(OR(A192="",B192=""),"",IFERROR(LOOKUP(2,1/(单次交易!$A$2:$A$201=A192),单次交易!$H$2:$H$201),0)+SUMIFS($G$2:$G$1001,$A$2:$A$1001,A192,$B$2:$B$1001,"&lt;"&amp;B192))</f>
        <v/>
      </c>
      <c r="J192" s="24" t="str">
        <f aca="false">IF(OR(A192="",B192=""),"",IFERROR(LOOKUP(2,1/(单次交易!$A$2:$A$201=A192),单次交易!$E$2:$E$201)*LOOKUP(2,1/(单次交易!$A$2:$A$201=A192),单次交易!$H$2:$H$201),0)+SUMIFS($H$2:$H$1001,$A$2:$A$1001,A192,$B$2:$B$1001,"&lt;"&amp;B192))</f>
        <v/>
      </c>
      <c r="K192" s="24" t="str">
        <f aca="false">IF(OR(E192="",I192="",J192=""),"",MAX(E192*I192-J192,0))</f>
        <v/>
      </c>
      <c r="L192" s="25" t="str">
        <f aca="false">IF(OR(D192="",E192="",F192="",D192&lt;=E192),"",FLOOR((F192+K192)/(D192-E192),100))</f>
        <v/>
      </c>
      <c r="M192" s="25" t="str">
        <f aca="false">IF(OR(A192="",B192="",L192=""),"",IF(B192=1,L192,IFERROR(SUMIFS($G$2:$G$1001,$A$2:$A$1001,A192,$B$2:$B$1001,B192-1),0)))</f>
        <v/>
      </c>
      <c r="N192" s="25" t="str">
        <f aca="false">IF(OR(L192="",M192=""),"",MIN(L192,M192))</f>
        <v/>
      </c>
      <c r="O192" s="25" t="str">
        <f aca="false">IF(OR(I192="",G192=""),"",I192+G192)</f>
        <v/>
      </c>
      <c r="P192" s="24" t="str">
        <f aca="false">IF(OR(O192="",O192=0),"",(J192+H192)/O192)</f>
        <v/>
      </c>
      <c r="Q192" s="24" t="str">
        <f aca="false">IF(OR(O192="",E192=""),"",MAX(J192+H192-E192*O192,0))</f>
        <v/>
      </c>
      <c r="R192" s="26" t="str">
        <f aca="false">IF(A192="","",IF(COUNTIF(_TradeIds,A192)=0,"违规：交易编号不存在",IF(OR(B192="",B192&lt;1,B192&gt;5,B192&lt;&gt;INT(B192)),"违规：加仓序号须为1到5的整数",IF(COUNTIFS($A$2:$A$1001,A192,$B$2:$B$1001,B192)&gt;1,"违规：同一交易的加仓序号重复",IF(OR(D192="",E192="",F192=""),"计划不完整：请填写加仓价、新止损价和风险预算",IF(OR(D192&lt;=0,E192&lt;=0,F192&lt;=0,D192&lt;=E192),"违规：加仓价必须高于新止损价，金额须大于0",IF(AND(B192&gt;1,COUNTIFS($A$2:$A$1001,A192,$B$2:$B$1001,B192-1,$G$2:$G$1001,"&gt;0")=0),"违规：须先完成上一次加仓",IF(AND(B192&gt;1,E192&lt;SUMIFS($E$2:$E$1001,$A$2:$A$1001,A192,$B$2:$B$1001,B192-1)),"违规：新止损价不得低于上一次",IF(AND(B192&gt;1,F192&gt;SUMIFS($F$2:$F$1001,$A$2:$A$1001,A192,$B$2:$B$1001,B192-1)),"违规：风险预算须逐次不增加",IF(OR(_LockStatus="已锁仓",_LockStatus="解锁信息不完整"),"违规：锁仓期间禁止加仓",IF(G192="","计划可执行：建议股数见N列",IF(OR(G192&lt;=0,G192&lt;&gt;INT(G192),MOD(G192,100)&lt;&gt;0),"违规：实际股数须为100股整数倍",IF(G192&gt;N192,"违规：实际股数超过风险或金字塔上限",IF(AND(B192&gt;1,G192&gt;SUMIFS($G$2:$G$1001,$A$2:$A$1001,A192,$B$2:$B$1001,B192-1)),"违规：加仓股数须逐次不增加",IF(Q192&gt;F192,"违规：止损风险超过本次预算","通过")))))))))))))))</f>
        <v/>
      </c>
    </row>
    <row r="193" customFormat="false" ht="15" hidden="false" customHeight="false" outlineLevel="0" collapsed="false">
      <c r="A193" s="20"/>
      <c r="B193" s="21"/>
      <c r="C193" s="22"/>
      <c r="D193" s="23"/>
      <c r="E193" s="23"/>
      <c r="F193" s="23"/>
      <c r="G193" s="21"/>
      <c r="H193" s="24" t="str">
        <f aca="false">IF(OR(A193="",D193="",G193=""),"",D193*G193)</f>
        <v/>
      </c>
      <c r="I193" s="25" t="str">
        <f aca="false">IF(OR(A193="",B193=""),"",IFERROR(LOOKUP(2,1/(单次交易!$A$2:$A$201=A193),单次交易!$H$2:$H$201),0)+SUMIFS($G$2:$G$1001,$A$2:$A$1001,A193,$B$2:$B$1001,"&lt;"&amp;B193))</f>
        <v/>
      </c>
      <c r="J193" s="24" t="str">
        <f aca="false">IF(OR(A193="",B193=""),"",IFERROR(LOOKUP(2,1/(单次交易!$A$2:$A$201=A193),单次交易!$E$2:$E$201)*LOOKUP(2,1/(单次交易!$A$2:$A$201=A193),单次交易!$H$2:$H$201),0)+SUMIFS($H$2:$H$1001,$A$2:$A$1001,A193,$B$2:$B$1001,"&lt;"&amp;B193))</f>
        <v/>
      </c>
      <c r="K193" s="24" t="str">
        <f aca="false">IF(OR(E193="",I193="",J193=""),"",MAX(E193*I193-J193,0))</f>
        <v/>
      </c>
      <c r="L193" s="25" t="str">
        <f aca="false">IF(OR(D193="",E193="",F193="",D193&lt;=E193),"",FLOOR((F193+K193)/(D193-E193),100))</f>
        <v/>
      </c>
      <c r="M193" s="25" t="str">
        <f aca="false">IF(OR(A193="",B193="",L193=""),"",IF(B193=1,L193,IFERROR(SUMIFS($G$2:$G$1001,$A$2:$A$1001,A193,$B$2:$B$1001,B193-1),0)))</f>
        <v/>
      </c>
      <c r="N193" s="25" t="str">
        <f aca="false">IF(OR(L193="",M193=""),"",MIN(L193,M193))</f>
        <v/>
      </c>
      <c r="O193" s="25" t="str">
        <f aca="false">IF(OR(I193="",G193=""),"",I193+G193)</f>
        <v/>
      </c>
      <c r="P193" s="24" t="str">
        <f aca="false">IF(OR(O193="",O193=0),"",(J193+H193)/O193)</f>
        <v/>
      </c>
      <c r="Q193" s="24" t="str">
        <f aca="false">IF(OR(O193="",E193=""),"",MAX(J193+H193-E193*O193,0))</f>
        <v/>
      </c>
      <c r="R193" s="26" t="str">
        <f aca="false">IF(A193="","",IF(COUNTIF(_TradeIds,A193)=0,"违规：交易编号不存在",IF(OR(B193="",B193&lt;1,B193&gt;5,B193&lt;&gt;INT(B193)),"违规：加仓序号须为1到5的整数",IF(COUNTIFS($A$2:$A$1001,A193,$B$2:$B$1001,B193)&gt;1,"违规：同一交易的加仓序号重复",IF(OR(D193="",E193="",F193=""),"计划不完整：请填写加仓价、新止损价和风险预算",IF(OR(D193&lt;=0,E193&lt;=0,F193&lt;=0,D193&lt;=E193),"违规：加仓价必须高于新止损价，金额须大于0",IF(AND(B193&gt;1,COUNTIFS($A$2:$A$1001,A193,$B$2:$B$1001,B193-1,$G$2:$G$1001,"&gt;0")=0),"违规：须先完成上一次加仓",IF(AND(B193&gt;1,E193&lt;SUMIFS($E$2:$E$1001,$A$2:$A$1001,A193,$B$2:$B$1001,B193-1)),"违规：新止损价不得低于上一次",IF(AND(B193&gt;1,F193&gt;SUMIFS($F$2:$F$1001,$A$2:$A$1001,A193,$B$2:$B$1001,B193-1)),"违规：风险预算须逐次不增加",IF(OR(_LockStatus="已锁仓",_LockStatus="解锁信息不完整"),"违规：锁仓期间禁止加仓",IF(G193="","计划可执行：建议股数见N列",IF(OR(G193&lt;=0,G193&lt;&gt;INT(G193),MOD(G193,100)&lt;&gt;0),"违规：实际股数须为100股整数倍",IF(G193&gt;N193,"违规：实际股数超过风险或金字塔上限",IF(AND(B193&gt;1,G193&gt;SUMIFS($G$2:$G$1001,$A$2:$A$1001,A193,$B$2:$B$1001,B193-1)),"违规：加仓股数须逐次不增加",IF(Q193&gt;F193,"违规：止损风险超过本次预算","通过")))))))))))))))</f>
        <v/>
      </c>
    </row>
    <row r="194" customFormat="false" ht="15" hidden="false" customHeight="false" outlineLevel="0" collapsed="false">
      <c r="A194" s="20"/>
      <c r="B194" s="21"/>
      <c r="C194" s="22"/>
      <c r="D194" s="23"/>
      <c r="E194" s="23"/>
      <c r="F194" s="23"/>
      <c r="G194" s="21"/>
      <c r="H194" s="24" t="str">
        <f aca="false">IF(OR(A194="",D194="",G194=""),"",D194*G194)</f>
        <v/>
      </c>
      <c r="I194" s="25" t="str">
        <f aca="false">IF(OR(A194="",B194=""),"",IFERROR(LOOKUP(2,1/(单次交易!$A$2:$A$201=A194),单次交易!$H$2:$H$201),0)+SUMIFS($G$2:$G$1001,$A$2:$A$1001,A194,$B$2:$B$1001,"&lt;"&amp;B194))</f>
        <v/>
      </c>
      <c r="J194" s="24" t="str">
        <f aca="false">IF(OR(A194="",B194=""),"",IFERROR(LOOKUP(2,1/(单次交易!$A$2:$A$201=A194),单次交易!$E$2:$E$201)*LOOKUP(2,1/(单次交易!$A$2:$A$201=A194),单次交易!$H$2:$H$201),0)+SUMIFS($H$2:$H$1001,$A$2:$A$1001,A194,$B$2:$B$1001,"&lt;"&amp;B194))</f>
        <v/>
      </c>
      <c r="K194" s="24" t="str">
        <f aca="false">IF(OR(E194="",I194="",J194=""),"",MAX(E194*I194-J194,0))</f>
        <v/>
      </c>
      <c r="L194" s="25" t="str">
        <f aca="false">IF(OR(D194="",E194="",F194="",D194&lt;=E194),"",FLOOR((F194+K194)/(D194-E194),100))</f>
        <v/>
      </c>
      <c r="M194" s="25" t="str">
        <f aca="false">IF(OR(A194="",B194="",L194=""),"",IF(B194=1,L194,IFERROR(SUMIFS($G$2:$G$1001,$A$2:$A$1001,A194,$B$2:$B$1001,B194-1),0)))</f>
        <v/>
      </c>
      <c r="N194" s="25" t="str">
        <f aca="false">IF(OR(L194="",M194=""),"",MIN(L194,M194))</f>
        <v/>
      </c>
      <c r="O194" s="25" t="str">
        <f aca="false">IF(OR(I194="",G194=""),"",I194+G194)</f>
        <v/>
      </c>
      <c r="P194" s="24" t="str">
        <f aca="false">IF(OR(O194="",O194=0),"",(J194+H194)/O194)</f>
        <v/>
      </c>
      <c r="Q194" s="24" t="str">
        <f aca="false">IF(OR(O194="",E194=""),"",MAX(J194+H194-E194*O194,0))</f>
        <v/>
      </c>
      <c r="R194" s="26" t="str">
        <f aca="false">IF(A194="","",IF(COUNTIF(_TradeIds,A194)=0,"违规：交易编号不存在",IF(OR(B194="",B194&lt;1,B194&gt;5,B194&lt;&gt;INT(B194)),"违规：加仓序号须为1到5的整数",IF(COUNTIFS($A$2:$A$1001,A194,$B$2:$B$1001,B194)&gt;1,"违规：同一交易的加仓序号重复",IF(OR(D194="",E194="",F194=""),"计划不完整：请填写加仓价、新止损价和风险预算",IF(OR(D194&lt;=0,E194&lt;=0,F194&lt;=0,D194&lt;=E194),"违规：加仓价必须高于新止损价，金额须大于0",IF(AND(B194&gt;1,COUNTIFS($A$2:$A$1001,A194,$B$2:$B$1001,B194-1,$G$2:$G$1001,"&gt;0")=0),"违规：须先完成上一次加仓",IF(AND(B194&gt;1,E194&lt;SUMIFS($E$2:$E$1001,$A$2:$A$1001,A194,$B$2:$B$1001,B194-1)),"违规：新止损价不得低于上一次",IF(AND(B194&gt;1,F194&gt;SUMIFS($F$2:$F$1001,$A$2:$A$1001,A194,$B$2:$B$1001,B194-1)),"违规：风险预算须逐次不增加",IF(OR(_LockStatus="已锁仓",_LockStatus="解锁信息不完整"),"违规：锁仓期间禁止加仓",IF(G194="","计划可执行：建议股数见N列",IF(OR(G194&lt;=0,G194&lt;&gt;INT(G194),MOD(G194,100)&lt;&gt;0),"违规：实际股数须为100股整数倍",IF(G194&gt;N194,"违规：实际股数超过风险或金字塔上限",IF(AND(B194&gt;1,G194&gt;SUMIFS($G$2:$G$1001,$A$2:$A$1001,A194,$B$2:$B$1001,B194-1)),"违规：加仓股数须逐次不增加",IF(Q194&gt;F194,"违规：止损风险超过本次预算","通过")))))))))))))))</f>
        <v/>
      </c>
    </row>
    <row r="195" customFormat="false" ht="15" hidden="false" customHeight="false" outlineLevel="0" collapsed="false">
      <c r="A195" s="20"/>
      <c r="B195" s="21"/>
      <c r="C195" s="22"/>
      <c r="D195" s="23"/>
      <c r="E195" s="23"/>
      <c r="F195" s="23"/>
      <c r="G195" s="21"/>
      <c r="H195" s="24" t="str">
        <f aca="false">IF(OR(A195="",D195="",G195=""),"",D195*G195)</f>
        <v/>
      </c>
      <c r="I195" s="25" t="str">
        <f aca="false">IF(OR(A195="",B195=""),"",IFERROR(LOOKUP(2,1/(单次交易!$A$2:$A$201=A195),单次交易!$H$2:$H$201),0)+SUMIFS($G$2:$G$1001,$A$2:$A$1001,A195,$B$2:$B$1001,"&lt;"&amp;B195))</f>
        <v/>
      </c>
      <c r="J195" s="24" t="str">
        <f aca="false">IF(OR(A195="",B195=""),"",IFERROR(LOOKUP(2,1/(单次交易!$A$2:$A$201=A195),单次交易!$E$2:$E$201)*LOOKUP(2,1/(单次交易!$A$2:$A$201=A195),单次交易!$H$2:$H$201),0)+SUMIFS($H$2:$H$1001,$A$2:$A$1001,A195,$B$2:$B$1001,"&lt;"&amp;B195))</f>
        <v/>
      </c>
      <c r="K195" s="24" t="str">
        <f aca="false">IF(OR(E195="",I195="",J195=""),"",MAX(E195*I195-J195,0))</f>
        <v/>
      </c>
      <c r="L195" s="25" t="str">
        <f aca="false">IF(OR(D195="",E195="",F195="",D195&lt;=E195),"",FLOOR((F195+K195)/(D195-E195),100))</f>
        <v/>
      </c>
      <c r="M195" s="25" t="str">
        <f aca="false">IF(OR(A195="",B195="",L195=""),"",IF(B195=1,L195,IFERROR(SUMIFS($G$2:$G$1001,$A$2:$A$1001,A195,$B$2:$B$1001,B195-1),0)))</f>
        <v/>
      </c>
      <c r="N195" s="25" t="str">
        <f aca="false">IF(OR(L195="",M195=""),"",MIN(L195,M195))</f>
        <v/>
      </c>
      <c r="O195" s="25" t="str">
        <f aca="false">IF(OR(I195="",G195=""),"",I195+G195)</f>
        <v/>
      </c>
      <c r="P195" s="24" t="str">
        <f aca="false">IF(OR(O195="",O195=0),"",(J195+H195)/O195)</f>
        <v/>
      </c>
      <c r="Q195" s="24" t="str">
        <f aca="false">IF(OR(O195="",E195=""),"",MAX(J195+H195-E195*O195,0))</f>
        <v/>
      </c>
      <c r="R195" s="26" t="str">
        <f aca="false">IF(A195="","",IF(COUNTIF(_TradeIds,A195)=0,"违规：交易编号不存在",IF(OR(B195="",B195&lt;1,B195&gt;5,B195&lt;&gt;INT(B195)),"违规：加仓序号须为1到5的整数",IF(COUNTIFS($A$2:$A$1001,A195,$B$2:$B$1001,B195)&gt;1,"违规：同一交易的加仓序号重复",IF(OR(D195="",E195="",F195=""),"计划不完整：请填写加仓价、新止损价和风险预算",IF(OR(D195&lt;=0,E195&lt;=0,F195&lt;=0,D195&lt;=E195),"违规：加仓价必须高于新止损价，金额须大于0",IF(AND(B195&gt;1,COUNTIFS($A$2:$A$1001,A195,$B$2:$B$1001,B195-1,$G$2:$G$1001,"&gt;0")=0),"违规：须先完成上一次加仓",IF(AND(B195&gt;1,E195&lt;SUMIFS($E$2:$E$1001,$A$2:$A$1001,A195,$B$2:$B$1001,B195-1)),"违规：新止损价不得低于上一次",IF(AND(B195&gt;1,F195&gt;SUMIFS($F$2:$F$1001,$A$2:$A$1001,A195,$B$2:$B$1001,B195-1)),"违规：风险预算须逐次不增加",IF(OR(_LockStatus="已锁仓",_LockStatus="解锁信息不完整"),"违规：锁仓期间禁止加仓",IF(G195="","计划可执行：建议股数见N列",IF(OR(G195&lt;=0,G195&lt;&gt;INT(G195),MOD(G195,100)&lt;&gt;0),"违规：实际股数须为100股整数倍",IF(G195&gt;N195,"违规：实际股数超过风险或金字塔上限",IF(AND(B195&gt;1,G195&gt;SUMIFS($G$2:$G$1001,$A$2:$A$1001,A195,$B$2:$B$1001,B195-1)),"违规：加仓股数须逐次不增加",IF(Q195&gt;F195,"违规：止损风险超过本次预算","通过")))))))))))))))</f>
        <v/>
      </c>
    </row>
    <row r="196" customFormat="false" ht="15" hidden="false" customHeight="false" outlineLevel="0" collapsed="false">
      <c r="A196" s="20"/>
      <c r="B196" s="21"/>
      <c r="C196" s="22"/>
      <c r="D196" s="23"/>
      <c r="E196" s="23"/>
      <c r="F196" s="23"/>
      <c r="G196" s="21"/>
      <c r="H196" s="24" t="str">
        <f aca="false">IF(OR(A196="",D196="",G196=""),"",D196*G196)</f>
        <v/>
      </c>
      <c r="I196" s="25" t="str">
        <f aca="false">IF(OR(A196="",B196=""),"",IFERROR(LOOKUP(2,1/(单次交易!$A$2:$A$201=A196),单次交易!$H$2:$H$201),0)+SUMIFS($G$2:$G$1001,$A$2:$A$1001,A196,$B$2:$B$1001,"&lt;"&amp;B196))</f>
        <v/>
      </c>
      <c r="J196" s="24" t="str">
        <f aca="false">IF(OR(A196="",B196=""),"",IFERROR(LOOKUP(2,1/(单次交易!$A$2:$A$201=A196),单次交易!$E$2:$E$201)*LOOKUP(2,1/(单次交易!$A$2:$A$201=A196),单次交易!$H$2:$H$201),0)+SUMIFS($H$2:$H$1001,$A$2:$A$1001,A196,$B$2:$B$1001,"&lt;"&amp;B196))</f>
        <v/>
      </c>
      <c r="K196" s="24" t="str">
        <f aca="false">IF(OR(E196="",I196="",J196=""),"",MAX(E196*I196-J196,0))</f>
        <v/>
      </c>
      <c r="L196" s="25" t="str">
        <f aca="false">IF(OR(D196="",E196="",F196="",D196&lt;=E196),"",FLOOR((F196+K196)/(D196-E196),100))</f>
        <v/>
      </c>
      <c r="M196" s="25" t="str">
        <f aca="false">IF(OR(A196="",B196="",L196=""),"",IF(B196=1,L196,IFERROR(SUMIFS($G$2:$G$1001,$A$2:$A$1001,A196,$B$2:$B$1001,B196-1),0)))</f>
        <v/>
      </c>
      <c r="N196" s="25" t="str">
        <f aca="false">IF(OR(L196="",M196=""),"",MIN(L196,M196))</f>
        <v/>
      </c>
      <c r="O196" s="25" t="str">
        <f aca="false">IF(OR(I196="",G196=""),"",I196+G196)</f>
        <v/>
      </c>
      <c r="P196" s="24" t="str">
        <f aca="false">IF(OR(O196="",O196=0),"",(J196+H196)/O196)</f>
        <v/>
      </c>
      <c r="Q196" s="24" t="str">
        <f aca="false">IF(OR(O196="",E196=""),"",MAX(J196+H196-E196*O196,0))</f>
        <v/>
      </c>
      <c r="R196" s="26" t="str">
        <f aca="false">IF(A196="","",IF(COUNTIF(_TradeIds,A196)=0,"违规：交易编号不存在",IF(OR(B196="",B196&lt;1,B196&gt;5,B196&lt;&gt;INT(B196)),"违规：加仓序号须为1到5的整数",IF(COUNTIFS($A$2:$A$1001,A196,$B$2:$B$1001,B196)&gt;1,"违规：同一交易的加仓序号重复",IF(OR(D196="",E196="",F196=""),"计划不完整：请填写加仓价、新止损价和风险预算",IF(OR(D196&lt;=0,E196&lt;=0,F196&lt;=0,D196&lt;=E196),"违规：加仓价必须高于新止损价，金额须大于0",IF(AND(B196&gt;1,COUNTIFS($A$2:$A$1001,A196,$B$2:$B$1001,B196-1,$G$2:$G$1001,"&gt;0")=0),"违规：须先完成上一次加仓",IF(AND(B196&gt;1,E196&lt;SUMIFS($E$2:$E$1001,$A$2:$A$1001,A196,$B$2:$B$1001,B196-1)),"违规：新止损价不得低于上一次",IF(AND(B196&gt;1,F196&gt;SUMIFS($F$2:$F$1001,$A$2:$A$1001,A196,$B$2:$B$1001,B196-1)),"违规：风险预算须逐次不增加",IF(OR(_LockStatus="已锁仓",_LockStatus="解锁信息不完整"),"违规：锁仓期间禁止加仓",IF(G196="","计划可执行：建议股数见N列",IF(OR(G196&lt;=0,G196&lt;&gt;INT(G196),MOD(G196,100)&lt;&gt;0),"违规：实际股数须为100股整数倍",IF(G196&gt;N196,"违规：实际股数超过风险或金字塔上限",IF(AND(B196&gt;1,G196&gt;SUMIFS($G$2:$G$1001,$A$2:$A$1001,A196,$B$2:$B$1001,B196-1)),"违规：加仓股数须逐次不增加",IF(Q196&gt;F196,"违规：止损风险超过本次预算","通过")))))))))))))))</f>
        <v/>
      </c>
    </row>
    <row r="197" customFormat="false" ht="15" hidden="false" customHeight="false" outlineLevel="0" collapsed="false">
      <c r="A197" s="20"/>
      <c r="B197" s="21"/>
      <c r="C197" s="22"/>
      <c r="D197" s="23"/>
      <c r="E197" s="23"/>
      <c r="F197" s="23"/>
      <c r="G197" s="21"/>
      <c r="H197" s="24" t="str">
        <f aca="false">IF(OR(A197="",D197="",G197=""),"",D197*G197)</f>
        <v/>
      </c>
      <c r="I197" s="25" t="str">
        <f aca="false">IF(OR(A197="",B197=""),"",IFERROR(LOOKUP(2,1/(单次交易!$A$2:$A$201=A197),单次交易!$H$2:$H$201),0)+SUMIFS($G$2:$G$1001,$A$2:$A$1001,A197,$B$2:$B$1001,"&lt;"&amp;B197))</f>
        <v/>
      </c>
      <c r="J197" s="24" t="str">
        <f aca="false">IF(OR(A197="",B197=""),"",IFERROR(LOOKUP(2,1/(单次交易!$A$2:$A$201=A197),单次交易!$E$2:$E$201)*LOOKUP(2,1/(单次交易!$A$2:$A$201=A197),单次交易!$H$2:$H$201),0)+SUMIFS($H$2:$H$1001,$A$2:$A$1001,A197,$B$2:$B$1001,"&lt;"&amp;B197))</f>
        <v/>
      </c>
      <c r="K197" s="24" t="str">
        <f aca="false">IF(OR(E197="",I197="",J197=""),"",MAX(E197*I197-J197,0))</f>
        <v/>
      </c>
      <c r="L197" s="25" t="str">
        <f aca="false">IF(OR(D197="",E197="",F197="",D197&lt;=E197),"",FLOOR((F197+K197)/(D197-E197),100))</f>
        <v/>
      </c>
      <c r="M197" s="25" t="str">
        <f aca="false">IF(OR(A197="",B197="",L197=""),"",IF(B197=1,L197,IFERROR(SUMIFS($G$2:$G$1001,$A$2:$A$1001,A197,$B$2:$B$1001,B197-1),0)))</f>
        <v/>
      </c>
      <c r="N197" s="25" t="str">
        <f aca="false">IF(OR(L197="",M197=""),"",MIN(L197,M197))</f>
        <v/>
      </c>
      <c r="O197" s="25" t="str">
        <f aca="false">IF(OR(I197="",G197=""),"",I197+G197)</f>
        <v/>
      </c>
      <c r="P197" s="24" t="str">
        <f aca="false">IF(OR(O197="",O197=0),"",(J197+H197)/O197)</f>
        <v/>
      </c>
      <c r="Q197" s="24" t="str">
        <f aca="false">IF(OR(O197="",E197=""),"",MAX(J197+H197-E197*O197,0))</f>
        <v/>
      </c>
      <c r="R197" s="26" t="str">
        <f aca="false">IF(A197="","",IF(COUNTIF(_TradeIds,A197)=0,"违规：交易编号不存在",IF(OR(B197="",B197&lt;1,B197&gt;5,B197&lt;&gt;INT(B197)),"违规：加仓序号须为1到5的整数",IF(COUNTIFS($A$2:$A$1001,A197,$B$2:$B$1001,B197)&gt;1,"违规：同一交易的加仓序号重复",IF(OR(D197="",E197="",F197=""),"计划不完整：请填写加仓价、新止损价和风险预算",IF(OR(D197&lt;=0,E197&lt;=0,F197&lt;=0,D197&lt;=E197),"违规：加仓价必须高于新止损价，金额须大于0",IF(AND(B197&gt;1,COUNTIFS($A$2:$A$1001,A197,$B$2:$B$1001,B197-1,$G$2:$G$1001,"&gt;0")=0),"违规：须先完成上一次加仓",IF(AND(B197&gt;1,E197&lt;SUMIFS($E$2:$E$1001,$A$2:$A$1001,A197,$B$2:$B$1001,B197-1)),"违规：新止损价不得低于上一次",IF(AND(B197&gt;1,F197&gt;SUMIFS($F$2:$F$1001,$A$2:$A$1001,A197,$B$2:$B$1001,B197-1)),"违规：风险预算须逐次不增加",IF(OR(_LockStatus="已锁仓",_LockStatus="解锁信息不完整"),"违规：锁仓期间禁止加仓",IF(G197="","计划可执行：建议股数见N列",IF(OR(G197&lt;=0,G197&lt;&gt;INT(G197),MOD(G197,100)&lt;&gt;0),"违规：实际股数须为100股整数倍",IF(G197&gt;N197,"违规：实际股数超过风险或金字塔上限",IF(AND(B197&gt;1,G197&gt;SUMIFS($G$2:$G$1001,$A$2:$A$1001,A197,$B$2:$B$1001,B197-1)),"违规：加仓股数须逐次不增加",IF(Q197&gt;F197,"违规：止损风险超过本次预算","通过")))))))))))))))</f>
        <v/>
      </c>
    </row>
    <row r="198" customFormat="false" ht="15" hidden="false" customHeight="false" outlineLevel="0" collapsed="false">
      <c r="A198" s="20"/>
      <c r="B198" s="21"/>
      <c r="C198" s="22"/>
      <c r="D198" s="23"/>
      <c r="E198" s="23"/>
      <c r="F198" s="23"/>
      <c r="G198" s="21"/>
      <c r="H198" s="24" t="str">
        <f aca="false">IF(OR(A198="",D198="",G198=""),"",D198*G198)</f>
        <v/>
      </c>
      <c r="I198" s="25" t="str">
        <f aca="false">IF(OR(A198="",B198=""),"",IFERROR(LOOKUP(2,1/(单次交易!$A$2:$A$201=A198),单次交易!$H$2:$H$201),0)+SUMIFS($G$2:$G$1001,$A$2:$A$1001,A198,$B$2:$B$1001,"&lt;"&amp;B198))</f>
        <v/>
      </c>
      <c r="J198" s="24" t="str">
        <f aca="false">IF(OR(A198="",B198=""),"",IFERROR(LOOKUP(2,1/(单次交易!$A$2:$A$201=A198),单次交易!$E$2:$E$201)*LOOKUP(2,1/(单次交易!$A$2:$A$201=A198),单次交易!$H$2:$H$201),0)+SUMIFS($H$2:$H$1001,$A$2:$A$1001,A198,$B$2:$B$1001,"&lt;"&amp;B198))</f>
        <v/>
      </c>
      <c r="K198" s="24" t="str">
        <f aca="false">IF(OR(E198="",I198="",J198=""),"",MAX(E198*I198-J198,0))</f>
        <v/>
      </c>
      <c r="L198" s="25" t="str">
        <f aca="false">IF(OR(D198="",E198="",F198="",D198&lt;=E198),"",FLOOR((F198+K198)/(D198-E198),100))</f>
        <v/>
      </c>
      <c r="M198" s="25" t="str">
        <f aca="false">IF(OR(A198="",B198="",L198=""),"",IF(B198=1,L198,IFERROR(SUMIFS($G$2:$G$1001,$A$2:$A$1001,A198,$B$2:$B$1001,B198-1),0)))</f>
        <v/>
      </c>
      <c r="N198" s="25" t="str">
        <f aca="false">IF(OR(L198="",M198=""),"",MIN(L198,M198))</f>
        <v/>
      </c>
      <c r="O198" s="25" t="str">
        <f aca="false">IF(OR(I198="",G198=""),"",I198+G198)</f>
        <v/>
      </c>
      <c r="P198" s="24" t="str">
        <f aca="false">IF(OR(O198="",O198=0),"",(J198+H198)/O198)</f>
        <v/>
      </c>
      <c r="Q198" s="24" t="str">
        <f aca="false">IF(OR(O198="",E198=""),"",MAX(J198+H198-E198*O198,0))</f>
        <v/>
      </c>
      <c r="R198" s="26" t="str">
        <f aca="false">IF(A198="","",IF(COUNTIF(_TradeIds,A198)=0,"违规：交易编号不存在",IF(OR(B198="",B198&lt;1,B198&gt;5,B198&lt;&gt;INT(B198)),"违规：加仓序号须为1到5的整数",IF(COUNTIFS($A$2:$A$1001,A198,$B$2:$B$1001,B198)&gt;1,"违规：同一交易的加仓序号重复",IF(OR(D198="",E198="",F198=""),"计划不完整：请填写加仓价、新止损价和风险预算",IF(OR(D198&lt;=0,E198&lt;=0,F198&lt;=0,D198&lt;=E198),"违规：加仓价必须高于新止损价，金额须大于0",IF(AND(B198&gt;1,COUNTIFS($A$2:$A$1001,A198,$B$2:$B$1001,B198-1,$G$2:$G$1001,"&gt;0")=0),"违规：须先完成上一次加仓",IF(AND(B198&gt;1,E198&lt;SUMIFS($E$2:$E$1001,$A$2:$A$1001,A198,$B$2:$B$1001,B198-1)),"违规：新止损价不得低于上一次",IF(AND(B198&gt;1,F198&gt;SUMIFS($F$2:$F$1001,$A$2:$A$1001,A198,$B$2:$B$1001,B198-1)),"违规：风险预算须逐次不增加",IF(OR(_LockStatus="已锁仓",_LockStatus="解锁信息不完整"),"违规：锁仓期间禁止加仓",IF(G198="","计划可执行：建议股数见N列",IF(OR(G198&lt;=0,G198&lt;&gt;INT(G198),MOD(G198,100)&lt;&gt;0),"违规：实际股数须为100股整数倍",IF(G198&gt;N198,"违规：实际股数超过风险或金字塔上限",IF(AND(B198&gt;1,G198&gt;SUMIFS($G$2:$G$1001,$A$2:$A$1001,A198,$B$2:$B$1001,B198-1)),"违规：加仓股数须逐次不增加",IF(Q198&gt;F198,"违规：止损风险超过本次预算","通过")))))))))))))))</f>
        <v/>
      </c>
    </row>
    <row r="199" customFormat="false" ht="15" hidden="false" customHeight="false" outlineLevel="0" collapsed="false">
      <c r="A199" s="20"/>
      <c r="B199" s="21"/>
      <c r="C199" s="22"/>
      <c r="D199" s="23"/>
      <c r="E199" s="23"/>
      <c r="F199" s="23"/>
      <c r="G199" s="21"/>
      <c r="H199" s="24" t="str">
        <f aca="false">IF(OR(A199="",D199="",G199=""),"",D199*G199)</f>
        <v/>
      </c>
      <c r="I199" s="25" t="str">
        <f aca="false">IF(OR(A199="",B199=""),"",IFERROR(LOOKUP(2,1/(单次交易!$A$2:$A$201=A199),单次交易!$H$2:$H$201),0)+SUMIFS($G$2:$G$1001,$A$2:$A$1001,A199,$B$2:$B$1001,"&lt;"&amp;B199))</f>
        <v/>
      </c>
      <c r="J199" s="24" t="str">
        <f aca="false">IF(OR(A199="",B199=""),"",IFERROR(LOOKUP(2,1/(单次交易!$A$2:$A$201=A199),单次交易!$E$2:$E$201)*LOOKUP(2,1/(单次交易!$A$2:$A$201=A199),单次交易!$H$2:$H$201),0)+SUMIFS($H$2:$H$1001,$A$2:$A$1001,A199,$B$2:$B$1001,"&lt;"&amp;B199))</f>
        <v/>
      </c>
      <c r="K199" s="24" t="str">
        <f aca="false">IF(OR(E199="",I199="",J199=""),"",MAX(E199*I199-J199,0))</f>
        <v/>
      </c>
      <c r="L199" s="25" t="str">
        <f aca="false">IF(OR(D199="",E199="",F199="",D199&lt;=E199),"",FLOOR((F199+K199)/(D199-E199),100))</f>
        <v/>
      </c>
      <c r="M199" s="25" t="str">
        <f aca="false">IF(OR(A199="",B199="",L199=""),"",IF(B199=1,L199,IFERROR(SUMIFS($G$2:$G$1001,$A$2:$A$1001,A199,$B$2:$B$1001,B199-1),0)))</f>
        <v/>
      </c>
      <c r="N199" s="25" t="str">
        <f aca="false">IF(OR(L199="",M199=""),"",MIN(L199,M199))</f>
        <v/>
      </c>
      <c r="O199" s="25" t="str">
        <f aca="false">IF(OR(I199="",G199=""),"",I199+G199)</f>
        <v/>
      </c>
      <c r="P199" s="24" t="str">
        <f aca="false">IF(OR(O199="",O199=0),"",(J199+H199)/O199)</f>
        <v/>
      </c>
      <c r="Q199" s="24" t="str">
        <f aca="false">IF(OR(O199="",E199=""),"",MAX(J199+H199-E199*O199,0))</f>
        <v/>
      </c>
      <c r="R199" s="26" t="str">
        <f aca="false">IF(A199="","",IF(COUNTIF(_TradeIds,A199)=0,"违规：交易编号不存在",IF(OR(B199="",B199&lt;1,B199&gt;5,B199&lt;&gt;INT(B199)),"违规：加仓序号须为1到5的整数",IF(COUNTIFS($A$2:$A$1001,A199,$B$2:$B$1001,B199)&gt;1,"违规：同一交易的加仓序号重复",IF(OR(D199="",E199="",F199=""),"计划不完整：请填写加仓价、新止损价和风险预算",IF(OR(D199&lt;=0,E199&lt;=0,F199&lt;=0,D199&lt;=E199),"违规：加仓价必须高于新止损价，金额须大于0",IF(AND(B199&gt;1,COUNTIFS($A$2:$A$1001,A199,$B$2:$B$1001,B199-1,$G$2:$G$1001,"&gt;0")=0),"违规：须先完成上一次加仓",IF(AND(B199&gt;1,E199&lt;SUMIFS($E$2:$E$1001,$A$2:$A$1001,A199,$B$2:$B$1001,B199-1)),"违规：新止损价不得低于上一次",IF(AND(B199&gt;1,F199&gt;SUMIFS($F$2:$F$1001,$A$2:$A$1001,A199,$B$2:$B$1001,B199-1)),"违规：风险预算须逐次不增加",IF(OR(_LockStatus="已锁仓",_LockStatus="解锁信息不完整"),"违规：锁仓期间禁止加仓",IF(G199="","计划可执行：建议股数见N列",IF(OR(G199&lt;=0,G199&lt;&gt;INT(G199),MOD(G199,100)&lt;&gt;0),"违规：实际股数须为100股整数倍",IF(G199&gt;N199,"违规：实际股数超过风险或金字塔上限",IF(AND(B199&gt;1,G199&gt;SUMIFS($G$2:$G$1001,$A$2:$A$1001,A199,$B$2:$B$1001,B199-1)),"违规：加仓股数须逐次不增加",IF(Q199&gt;F199,"违规：止损风险超过本次预算","通过")))))))))))))))</f>
        <v/>
      </c>
    </row>
    <row r="200" customFormat="false" ht="15" hidden="false" customHeight="false" outlineLevel="0" collapsed="false">
      <c r="A200" s="20"/>
      <c r="B200" s="21"/>
      <c r="C200" s="22"/>
      <c r="D200" s="23"/>
      <c r="E200" s="23"/>
      <c r="F200" s="23"/>
      <c r="G200" s="21"/>
      <c r="H200" s="24" t="str">
        <f aca="false">IF(OR(A200="",D200="",G200=""),"",D200*G200)</f>
        <v/>
      </c>
      <c r="I200" s="25" t="str">
        <f aca="false">IF(OR(A200="",B200=""),"",IFERROR(LOOKUP(2,1/(单次交易!$A$2:$A$201=A200),单次交易!$H$2:$H$201),0)+SUMIFS($G$2:$G$1001,$A$2:$A$1001,A200,$B$2:$B$1001,"&lt;"&amp;B200))</f>
        <v/>
      </c>
      <c r="J200" s="24" t="str">
        <f aca="false">IF(OR(A200="",B200=""),"",IFERROR(LOOKUP(2,1/(单次交易!$A$2:$A$201=A200),单次交易!$E$2:$E$201)*LOOKUP(2,1/(单次交易!$A$2:$A$201=A200),单次交易!$H$2:$H$201),0)+SUMIFS($H$2:$H$1001,$A$2:$A$1001,A200,$B$2:$B$1001,"&lt;"&amp;B200))</f>
        <v/>
      </c>
      <c r="K200" s="24" t="str">
        <f aca="false">IF(OR(E200="",I200="",J200=""),"",MAX(E200*I200-J200,0))</f>
        <v/>
      </c>
      <c r="L200" s="25" t="str">
        <f aca="false">IF(OR(D200="",E200="",F200="",D200&lt;=E200),"",FLOOR((F200+K200)/(D200-E200),100))</f>
        <v/>
      </c>
      <c r="M200" s="25" t="str">
        <f aca="false">IF(OR(A200="",B200="",L200=""),"",IF(B200=1,L200,IFERROR(SUMIFS($G$2:$G$1001,$A$2:$A$1001,A200,$B$2:$B$1001,B200-1),0)))</f>
        <v/>
      </c>
      <c r="N200" s="25" t="str">
        <f aca="false">IF(OR(L200="",M200=""),"",MIN(L200,M200))</f>
        <v/>
      </c>
      <c r="O200" s="25" t="str">
        <f aca="false">IF(OR(I200="",G200=""),"",I200+G200)</f>
        <v/>
      </c>
      <c r="P200" s="24" t="str">
        <f aca="false">IF(OR(O200="",O200=0),"",(J200+H200)/O200)</f>
        <v/>
      </c>
      <c r="Q200" s="24" t="str">
        <f aca="false">IF(OR(O200="",E200=""),"",MAX(J200+H200-E200*O200,0))</f>
        <v/>
      </c>
      <c r="R200" s="26" t="str">
        <f aca="false">IF(A200="","",IF(COUNTIF(_TradeIds,A200)=0,"违规：交易编号不存在",IF(OR(B200="",B200&lt;1,B200&gt;5,B200&lt;&gt;INT(B200)),"违规：加仓序号须为1到5的整数",IF(COUNTIFS($A$2:$A$1001,A200,$B$2:$B$1001,B200)&gt;1,"违规：同一交易的加仓序号重复",IF(OR(D200="",E200="",F200=""),"计划不完整：请填写加仓价、新止损价和风险预算",IF(OR(D200&lt;=0,E200&lt;=0,F200&lt;=0,D200&lt;=E200),"违规：加仓价必须高于新止损价，金额须大于0",IF(AND(B200&gt;1,COUNTIFS($A$2:$A$1001,A200,$B$2:$B$1001,B200-1,$G$2:$G$1001,"&gt;0")=0),"违规：须先完成上一次加仓",IF(AND(B200&gt;1,E200&lt;SUMIFS($E$2:$E$1001,$A$2:$A$1001,A200,$B$2:$B$1001,B200-1)),"违规：新止损价不得低于上一次",IF(AND(B200&gt;1,F200&gt;SUMIFS($F$2:$F$1001,$A$2:$A$1001,A200,$B$2:$B$1001,B200-1)),"违规：风险预算须逐次不增加",IF(OR(_LockStatus="已锁仓",_LockStatus="解锁信息不完整"),"违规：锁仓期间禁止加仓",IF(G200="","计划可执行：建议股数见N列",IF(OR(G200&lt;=0,G200&lt;&gt;INT(G200),MOD(G200,100)&lt;&gt;0),"违规：实际股数须为100股整数倍",IF(G200&gt;N200,"违规：实际股数超过风险或金字塔上限",IF(AND(B200&gt;1,G200&gt;SUMIFS($G$2:$G$1001,$A$2:$A$1001,A200,$B$2:$B$1001,B200-1)),"违规：加仓股数须逐次不增加",IF(Q200&gt;F200,"违规：止损风险超过本次预算","通过")))))))))))))))</f>
        <v/>
      </c>
    </row>
    <row r="201" customFormat="false" ht="15" hidden="false" customHeight="false" outlineLevel="0" collapsed="false">
      <c r="A201" s="20"/>
      <c r="B201" s="21"/>
      <c r="C201" s="22"/>
      <c r="D201" s="23"/>
      <c r="E201" s="23"/>
      <c r="F201" s="23"/>
      <c r="G201" s="21"/>
      <c r="H201" s="24" t="str">
        <f aca="false">IF(OR(A201="",D201="",G201=""),"",D201*G201)</f>
        <v/>
      </c>
      <c r="I201" s="25" t="str">
        <f aca="false">IF(OR(A201="",B201=""),"",IFERROR(LOOKUP(2,1/(单次交易!$A$2:$A$201=A201),单次交易!$H$2:$H$201),0)+SUMIFS($G$2:$G$1001,$A$2:$A$1001,A201,$B$2:$B$1001,"&lt;"&amp;B201))</f>
        <v/>
      </c>
      <c r="J201" s="24" t="str">
        <f aca="false">IF(OR(A201="",B201=""),"",IFERROR(LOOKUP(2,1/(单次交易!$A$2:$A$201=A201),单次交易!$E$2:$E$201)*LOOKUP(2,1/(单次交易!$A$2:$A$201=A201),单次交易!$H$2:$H$201),0)+SUMIFS($H$2:$H$1001,$A$2:$A$1001,A201,$B$2:$B$1001,"&lt;"&amp;B201))</f>
        <v/>
      </c>
      <c r="K201" s="24" t="str">
        <f aca="false">IF(OR(E201="",I201="",J201=""),"",MAX(E201*I201-J201,0))</f>
        <v/>
      </c>
      <c r="L201" s="25" t="str">
        <f aca="false">IF(OR(D201="",E201="",F201="",D201&lt;=E201),"",FLOOR((F201+K201)/(D201-E201),100))</f>
        <v/>
      </c>
      <c r="M201" s="25" t="str">
        <f aca="false">IF(OR(A201="",B201="",L201=""),"",IF(B201=1,L201,IFERROR(SUMIFS($G$2:$G$1001,$A$2:$A$1001,A201,$B$2:$B$1001,B201-1),0)))</f>
        <v/>
      </c>
      <c r="N201" s="25" t="str">
        <f aca="false">IF(OR(L201="",M201=""),"",MIN(L201,M201))</f>
        <v/>
      </c>
      <c r="O201" s="25" t="str">
        <f aca="false">IF(OR(I201="",G201=""),"",I201+G201)</f>
        <v/>
      </c>
      <c r="P201" s="24" t="str">
        <f aca="false">IF(OR(O201="",O201=0),"",(J201+H201)/O201)</f>
        <v/>
      </c>
      <c r="Q201" s="24" t="str">
        <f aca="false">IF(OR(O201="",E201=""),"",MAX(J201+H201-E201*O201,0))</f>
        <v/>
      </c>
      <c r="R201" s="26" t="str">
        <f aca="false">IF(A201="","",IF(COUNTIF(_TradeIds,A201)=0,"违规：交易编号不存在",IF(OR(B201="",B201&lt;1,B201&gt;5,B201&lt;&gt;INT(B201)),"违规：加仓序号须为1到5的整数",IF(COUNTIFS($A$2:$A$1001,A201,$B$2:$B$1001,B201)&gt;1,"违规：同一交易的加仓序号重复",IF(OR(D201="",E201="",F201=""),"计划不完整：请填写加仓价、新止损价和风险预算",IF(OR(D201&lt;=0,E201&lt;=0,F201&lt;=0,D201&lt;=E201),"违规：加仓价必须高于新止损价，金额须大于0",IF(AND(B201&gt;1,COUNTIFS($A$2:$A$1001,A201,$B$2:$B$1001,B201-1,$G$2:$G$1001,"&gt;0")=0),"违规：须先完成上一次加仓",IF(AND(B201&gt;1,E201&lt;SUMIFS($E$2:$E$1001,$A$2:$A$1001,A201,$B$2:$B$1001,B201-1)),"违规：新止损价不得低于上一次",IF(AND(B201&gt;1,F201&gt;SUMIFS($F$2:$F$1001,$A$2:$A$1001,A201,$B$2:$B$1001,B201-1)),"违规：风险预算须逐次不增加",IF(OR(_LockStatus="已锁仓",_LockStatus="解锁信息不完整"),"违规：锁仓期间禁止加仓",IF(G201="","计划可执行：建议股数见N列",IF(OR(G201&lt;=0,G201&lt;&gt;INT(G201),MOD(G201,100)&lt;&gt;0),"违规：实际股数须为100股整数倍",IF(G201&gt;N201,"违规：实际股数超过风险或金字塔上限",IF(AND(B201&gt;1,G201&gt;SUMIFS($G$2:$G$1001,$A$2:$A$1001,A201,$B$2:$B$1001,B201-1)),"违规：加仓股数须逐次不增加",IF(Q201&gt;F201,"违规：止损风险超过本次预算","通过")))))))))))))))</f>
        <v/>
      </c>
    </row>
    <row r="202" customFormat="false" ht="15" hidden="false" customHeight="false" outlineLevel="0" collapsed="false">
      <c r="A202" s="20"/>
      <c r="B202" s="21"/>
      <c r="C202" s="22"/>
      <c r="D202" s="23"/>
      <c r="E202" s="23"/>
      <c r="F202" s="23"/>
      <c r="G202" s="21"/>
      <c r="H202" s="24" t="str">
        <f aca="false">IF(OR(A202="",D202="",G202=""),"",D202*G202)</f>
        <v/>
      </c>
      <c r="I202" s="25" t="str">
        <f aca="false">IF(OR(A202="",B202=""),"",IFERROR(LOOKUP(2,1/(单次交易!$A$2:$A$201=A202),单次交易!$H$2:$H$201),0)+SUMIFS($G$2:$G$1001,$A$2:$A$1001,A202,$B$2:$B$1001,"&lt;"&amp;B202))</f>
        <v/>
      </c>
      <c r="J202" s="24" t="str">
        <f aca="false">IF(OR(A202="",B202=""),"",IFERROR(LOOKUP(2,1/(单次交易!$A$2:$A$201=A202),单次交易!$E$2:$E$201)*LOOKUP(2,1/(单次交易!$A$2:$A$201=A202),单次交易!$H$2:$H$201),0)+SUMIFS($H$2:$H$1001,$A$2:$A$1001,A202,$B$2:$B$1001,"&lt;"&amp;B202))</f>
        <v/>
      </c>
      <c r="K202" s="24" t="str">
        <f aca="false">IF(OR(E202="",I202="",J202=""),"",MAX(E202*I202-J202,0))</f>
        <v/>
      </c>
      <c r="L202" s="25" t="str">
        <f aca="false">IF(OR(D202="",E202="",F202="",D202&lt;=E202),"",FLOOR((F202+K202)/(D202-E202),100))</f>
        <v/>
      </c>
      <c r="M202" s="25" t="str">
        <f aca="false">IF(OR(A202="",B202="",L202=""),"",IF(B202=1,L202,IFERROR(SUMIFS($G$2:$G$1001,$A$2:$A$1001,A202,$B$2:$B$1001,B202-1),0)))</f>
        <v/>
      </c>
      <c r="N202" s="25" t="str">
        <f aca="false">IF(OR(L202="",M202=""),"",MIN(L202,M202))</f>
        <v/>
      </c>
      <c r="O202" s="25" t="str">
        <f aca="false">IF(OR(I202="",G202=""),"",I202+G202)</f>
        <v/>
      </c>
      <c r="P202" s="24" t="str">
        <f aca="false">IF(OR(O202="",O202=0),"",(J202+H202)/O202)</f>
        <v/>
      </c>
      <c r="Q202" s="24" t="str">
        <f aca="false">IF(OR(O202="",E202=""),"",MAX(J202+H202-E202*O202,0))</f>
        <v/>
      </c>
      <c r="R202" s="26" t="str">
        <f aca="false">IF(A202="","",IF(COUNTIF(_TradeIds,A202)=0,"违规：交易编号不存在",IF(OR(B202="",B202&lt;1,B202&gt;5,B202&lt;&gt;INT(B202)),"违规：加仓序号须为1到5的整数",IF(COUNTIFS($A$2:$A$1001,A202,$B$2:$B$1001,B202)&gt;1,"违规：同一交易的加仓序号重复",IF(OR(D202="",E202="",F202=""),"计划不完整：请填写加仓价、新止损价和风险预算",IF(OR(D202&lt;=0,E202&lt;=0,F202&lt;=0,D202&lt;=E202),"违规：加仓价必须高于新止损价，金额须大于0",IF(AND(B202&gt;1,COUNTIFS($A$2:$A$1001,A202,$B$2:$B$1001,B202-1,$G$2:$G$1001,"&gt;0")=0),"违规：须先完成上一次加仓",IF(AND(B202&gt;1,E202&lt;SUMIFS($E$2:$E$1001,$A$2:$A$1001,A202,$B$2:$B$1001,B202-1)),"违规：新止损价不得低于上一次",IF(AND(B202&gt;1,F202&gt;SUMIFS($F$2:$F$1001,$A$2:$A$1001,A202,$B$2:$B$1001,B202-1)),"违规：风险预算须逐次不增加",IF(OR(_LockStatus="已锁仓",_LockStatus="解锁信息不完整"),"违规：锁仓期间禁止加仓",IF(G202="","计划可执行：建议股数见N列",IF(OR(G202&lt;=0,G202&lt;&gt;INT(G202),MOD(G202,100)&lt;&gt;0),"违规：实际股数须为100股整数倍",IF(G202&gt;N202,"违规：实际股数超过风险或金字塔上限",IF(AND(B202&gt;1,G202&gt;SUMIFS($G$2:$G$1001,$A$2:$A$1001,A202,$B$2:$B$1001,B202-1)),"违规：加仓股数须逐次不增加",IF(Q202&gt;F202,"违规：止损风险超过本次预算","通过")))))))))))))))</f>
        <v/>
      </c>
    </row>
    <row r="203" customFormat="false" ht="15" hidden="false" customHeight="false" outlineLevel="0" collapsed="false">
      <c r="A203" s="20"/>
      <c r="B203" s="21"/>
      <c r="C203" s="22"/>
      <c r="D203" s="23"/>
      <c r="E203" s="23"/>
      <c r="F203" s="23"/>
      <c r="G203" s="21"/>
      <c r="H203" s="24" t="str">
        <f aca="false">IF(OR(A203="",D203="",G203=""),"",D203*G203)</f>
        <v/>
      </c>
      <c r="I203" s="25" t="str">
        <f aca="false">IF(OR(A203="",B203=""),"",IFERROR(LOOKUP(2,1/(单次交易!$A$2:$A$201=A203),单次交易!$H$2:$H$201),0)+SUMIFS($G$2:$G$1001,$A$2:$A$1001,A203,$B$2:$B$1001,"&lt;"&amp;B203))</f>
        <v/>
      </c>
      <c r="J203" s="24" t="str">
        <f aca="false">IF(OR(A203="",B203=""),"",IFERROR(LOOKUP(2,1/(单次交易!$A$2:$A$201=A203),单次交易!$E$2:$E$201)*LOOKUP(2,1/(单次交易!$A$2:$A$201=A203),单次交易!$H$2:$H$201),0)+SUMIFS($H$2:$H$1001,$A$2:$A$1001,A203,$B$2:$B$1001,"&lt;"&amp;B203))</f>
        <v/>
      </c>
      <c r="K203" s="24" t="str">
        <f aca="false">IF(OR(E203="",I203="",J203=""),"",MAX(E203*I203-J203,0))</f>
        <v/>
      </c>
      <c r="L203" s="25" t="str">
        <f aca="false">IF(OR(D203="",E203="",F203="",D203&lt;=E203),"",FLOOR((F203+K203)/(D203-E203),100))</f>
        <v/>
      </c>
      <c r="M203" s="25" t="str">
        <f aca="false">IF(OR(A203="",B203="",L203=""),"",IF(B203=1,L203,IFERROR(SUMIFS($G$2:$G$1001,$A$2:$A$1001,A203,$B$2:$B$1001,B203-1),0)))</f>
        <v/>
      </c>
      <c r="N203" s="25" t="str">
        <f aca="false">IF(OR(L203="",M203=""),"",MIN(L203,M203))</f>
        <v/>
      </c>
      <c r="O203" s="25" t="str">
        <f aca="false">IF(OR(I203="",G203=""),"",I203+G203)</f>
        <v/>
      </c>
      <c r="P203" s="24" t="str">
        <f aca="false">IF(OR(O203="",O203=0),"",(J203+H203)/O203)</f>
        <v/>
      </c>
      <c r="Q203" s="24" t="str">
        <f aca="false">IF(OR(O203="",E203=""),"",MAX(J203+H203-E203*O203,0))</f>
        <v/>
      </c>
      <c r="R203" s="26" t="str">
        <f aca="false">IF(A203="","",IF(COUNTIF(_TradeIds,A203)=0,"违规：交易编号不存在",IF(OR(B203="",B203&lt;1,B203&gt;5,B203&lt;&gt;INT(B203)),"违规：加仓序号须为1到5的整数",IF(COUNTIFS($A$2:$A$1001,A203,$B$2:$B$1001,B203)&gt;1,"违规：同一交易的加仓序号重复",IF(OR(D203="",E203="",F203=""),"计划不完整：请填写加仓价、新止损价和风险预算",IF(OR(D203&lt;=0,E203&lt;=0,F203&lt;=0,D203&lt;=E203),"违规：加仓价必须高于新止损价，金额须大于0",IF(AND(B203&gt;1,COUNTIFS($A$2:$A$1001,A203,$B$2:$B$1001,B203-1,$G$2:$G$1001,"&gt;0")=0),"违规：须先完成上一次加仓",IF(AND(B203&gt;1,E203&lt;SUMIFS($E$2:$E$1001,$A$2:$A$1001,A203,$B$2:$B$1001,B203-1)),"违规：新止损价不得低于上一次",IF(AND(B203&gt;1,F203&gt;SUMIFS($F$2:$F$1001,$A$2:$A$1001,A203,$B$2:$B$1001,B203-1)),"违规：风险预算须逐次不增加",IF(OR(_LockStatus="已锁仓",_LockStatus="解锁信息不完整"),"违规：锁仓期间禁止加仓",IF(G203="","计划可执行：建议股数见N列",IF(OR(G203&lt;=0,G203&lt;&gt;INT(G203),MOD(G203,100)&lt;&gt;0),"违规：实际股数须为100股整数倍",IF(G203&gt;N203,"违规：实际股数超过风险或金字塔上限",IF(AND(B203&gt;1,G203&gt;SUMIFS($G$2:$G$1001,$A$2:$A$1001,A203,$B$2:$B$1001,B203-1)),"违规：加仓股数须逐次不增加",IF(Q203&gt;F203,"违规：止损风险超过本次预算","通过")))))))))))))))</f>
        <v/>
      </c>
    </row>
    <row r="204" customFormat="false" ht="15" hidden="false" customHeight="false" outlineLevel="0" collapsed="false">
      <c r="A204" s="20"/>
      <c r="B204" s="21"/>
      <c r="C204" s="22"/>
      <c r="D204" s="23"/>
      <c r="E204" s="23"/>
      <c r="F204" s="23"/>
      <c r="G204" s="21"/>
      <c r="H204" s="24" t="str">
        <f aca="false">IF(OR(A204="",D204="",G204=""),"",D204*G204)</f>
        <v/>
      </c>
      <c r="I204" s="25" t="str">
        <f aca="false">IF(OR(A204="",B204=""),"",IFERROR(LOOKUP(2,1/(单次交易!$A$2:$A$201=A204),单次交易!$H$2:$H$201),0)+SUMIFS($G$2:$G$1001,$A$2:$A$1001,A204,$B$2:$B$1001,"&lt;"&amp;B204))</f>
        <v/>
      </c>
      <c r="J204" s="24" t="str">
        <f aca="false">IF(OR(A204="",B204=""),"",IFERROR(LOOKUP(2,1/(单次交易!$A$2:$A$201=A204),单次交易!$E$2:$E$201)*LOOKUP(2,1/(单次交易!$A$2:$A$201=A204),单次交易!$H$2:$H$201),0)+SUMIFS($H$2:$H$1001,$A$2:$A$1001,A204,$B$2:$B$1001,"&lt;"&amp;B204))</f>
        <v/>
      </c>
      <c r="K204" s="24" t="str">
        <f aca="false">IF(OR(E204="",I204="",J204=""),"",MAX(E204*I204-J204,0))</f>
        <v/>
      </c>
      <c r="L204" s="25" t="str">
        <f aca="false">IF(OR(D204="",E204="",F204="",D204&lt;=E204),"",FLOOR((F204+K204)/(D204-E204),100))</f>
        <v/>
      </c>
      <c r="M204" s="25" t="str">
        <f aca="false">IF(OR(A204="",B204="",L204=""),"",IF(B204=1,L204,IFERROR(SUMIFS($G$2:$G$1001,$A$2:$A$1001,A204,$B$2:$B$1001,B204-1),0)))</f>
        <v/>
      </c>
      <c r="N204" s="25" t="str">
        <f aca="false">IF(OR(L204="",M204=""),"",MIN(L204,M204))</f>
        <v/>
      </c>
      <c r="O204" s="25" t="str">
        <f aca="false">IF(OR(I204="",G204=""),"",I204+G204)</f>
        <v/>
      </c>
      <c r="P204" s="24" t="str">
        <f aca="false">IF(OR(O204="",O204=0),"",(J204+H204)/O204)</f>
        <v/>
      </c>
      <c r="Q204" s="24" t="str">
        <f aca="false">IF(OR(O204="",E204=""),"",MAX(J204+H204-E204*O204,0))</f>
        <v/>
      </c>
      <c r="R204" s="26" t="str">
        <f aca="false">IF(A204="","",IF(COUNTIF(_TradeIds,A204)=0,"违规：交易编号不存在",IF(OR(B204="",B204&lt;1,B204&gt;5,B204&lt;&gt;INT(B204)),"违规：加仓序号须为1到5的整数",IF(COUNTIFS($A$2:$A$1001,A204,$B$2:$B$1001,B204)&gt;1,"违规：同一交易的加仓序号重复",IF(OR(D204="",E204="",F204=""),"计划不完整：请填写加仓价、新止损价和风险预算",IF(OR(D204&lt;=0,E204&lt;=0,F204&lt;=0,D204&lt;=E204),"违规：加仓价必须高于新止损价，金额须大于0",IF(AND(B204&gt;1,COUNTIFS($A$2:$A$1001,A204,$B$2:$B$1001,B204-1,$G$2:$G$1001,"&gt;0")=0),"违规：须先完成上一次加仓",IF(AND(B204&gt;1,E204&lt;SUMIFS($E$2:$E$1001,$A$2:$A$1001,A204,$B$2:$B$1001,B204-1)),"违规：新止损价不得低于上一次",IF(AND(B204&gt;1,F204&gt;SUMIFS($F$2:$F$1001,$A$2:$A$1001,A204,$B$2:$B$1001,B204-1)),"违规：风险预算须逐次不增加",IF(OR(_LockStatus="已锁仓",_LockStatus="解锁信息不完整"),"违规：锁仓期间禁止加仓",IF(G204="","计划可执行：建议股数见N列",IF(OR(G204&lt;=0,G204&lt;&gt;INT(G204),MOD(G204,100)&lt;&gt;0),"违规：实际股数须为100股整数倍",IF(G204&gt;N204,"违规：实际股数超过风险或金字塔上限",IF(AND(B204&gt;1,G204&gt;SUMIFS($G$2:$G$1001,$A$2:$A$1001,A204,$B$2:$B$1001,B204-1)),"违规：加仓股数须逐次不增加",IF(Q204&gt;F204,"违规：止损风险超过本次预算","通过")))))))))))))))</f>
        <v/>
      </c>
    </row>
    <row r="205" customFormat="false" ht="15" hidden="false" customHeight="false" outlineLevel="0" collapsed="false">
      <c r="A205" s="20"/>
      <c r="B205" s="21"/>
      <c r="C205" s="22"/>
      <c r="D205" s="23"/>
      <c r="E205" s="23"/>
      <c r="F205" s="23"/>
      <c r="G205" s="21"/>
      <c r="H205" s="24" t="str">
        <f aca="false">IF(OR(A205="",D205="",G205=""),"",D205*G205)</f>
        <v/>
      </c>
      <c r="I205" s="25" t="str">
        <f aca="false">IF(OR(A205="",B205=""),"",IFERROR(LOOKUP(2,1/(单次交易!$A$2:$A$201=A205),单次交易!$H$2:$H$201),0)+SUMIFS($G$2:$G$1001,$A$2:$A$1001,A205,$B$2:$B$1001,"&lt;"&amp;B205))</f>
        <v/>
      </c>
      <c r="J205" s="24" t="str">
        <f aca="false">IF(OR(A205="",B205=""),"",IFERROR(LOOKUP(2,1/(单次交易!$A$2:$A$201=A205),单次交易!$E$2:$E$201)*LOOKUP(2,1/(单次交易!$A$2:$A$201=A205),单次交易!$H$2:$H$201),0)+SUMIFS($H$2:$H$1001,$A$2:$A$1001,A205,$B$2:$B$1001,"&lt;"&amp;B205))</f>
        <v/>
      </c>
      <c r="K205" s="24" t="str">
        <f aca="false">IF(OR(E205="",I205="",J205=""),"",MAX(E205*I205-J205,0))</f>
        <v/>
      </c>
      <c r="L205" s="25" t="str">
        <f aca="false">IF(OR(D205="",E205="",F205="",D205&lt;=E205),"",FLOOR((F205+K205)/(D205-E205),100))</f>
        <v/>
      </c>
      <c r="M205" s="25" t="str">
        <f aca="false">IF(OR(A205="",B205="",L205=""),"",IF(B205=1,L205,IFERROR(SUMIFS($G$2:$G$1001,$A$2:$A$1001,A205,$B$2:$B$1001,B205-1),0)))</f>
        <v/>
      </c>
      <c r="N205" s="25" t="str">
        <f aca="false">IF(OR(L205="",M205=""),"",MIN(L205,M205))</f>
        <v/>
      </c>
      <c r="O205" s="25" t="str">
        <f aca="false">IF(OR(I205="",G205=""),"",I205+G205)</f>
        <v/>
      </c>
      <c r="P205" s="24" t="str">
        <f aca="false">IF(OR(O205="",O205=0),"",(J205+H205)/O205)</f>
        <v/>
      </c>
      <c r="Q205" s="24" t="str">
        <f aca="false">IF(OR(O205="",E205=""),"",MAX(J205+H205-E205*O205,0))</f>
        <v/>
      </c>
      <c r="R205" s="26" t="str">
        <f aca="false">IF(A205="","",IF(COUNTIF(_TradeIds,A205)=0,"违规：交易编号不存在",IF(OR(B205="",B205&lt;1,B205&gt;5,B205&lt;&gt;INT(B205)),"违规：加仓序号须为1到5的整数",IF(COUNTIFS($A$2:$A$1001,A205,$B$2:$B$1001,B205)&gt;1,"违规：同一交易的加仓序号重复",IF(OR(D205="",E205="",F205=""),"计划不完整：请填写加仓价、新止损价和风险预算",IF(OR(D205&lt;=0,E205&lt;=0,F205&lt;=0,D205&lt;=E205),"违规：加仓价必须高于新止损价，金额须大于0",IF(AND(B205&gt;1,COUNTIFS($A$2:$A$1001,A205,$B$2:$B$1001,B205-1,$G$2:$G$1001,"&gt;0")=0),"违规：须先完成上一次加仓",IF(AND(B205&gt;1,E205&lt;SUMIFS($E$2:$E$1001,$A$2:$A$1001,A205,$B$2:$B$1001,B205-1)),"违规：新止损价不得低于上一次",IF(AND(B205&gt;1,F205&gt;SUMIFS($F$2:$F$1001,$A$2:$A$1001,A205,$B$2:$B$1001,B205-1)),"违规：风险预算须逐次不增加",IF(OR(_LockStatus="已锁仓",_LockStatus="解锁信息不完整"),"违规：锁仓期间禁止加仓",IF(G205="","计划可执行：建议股数见N列",IF(OR(G205&lt;=0,G205&lt;&gt;INT(G205),MOD(G205,100)&lt;&gt;0),"违规：实际股数须为100股整数倍",IF(G205&gt;N205,"违规：实际股数超过风险或金字塔上限",IF(AND(B205&gt;1,G205&gt;SUMIFS($G$2:$G$1001,$A$2:$A$1001,A205,$B$2:$B$1001,B205-1)),"违规：加仓股数须逐次不增加",IF(Q205&gt;F205,"违规：止损风险超过本次预算","通过")))))))))))))))</f>
        <v/>
      </c>
    </row>
    <row r="206" customFormat="false" ht="15" hidden="false" customHeight="false" outlineLevel="0" collapsed="false">
      <c r="A206" s="20"/>
      <c r="B206" s="21"/>
      <c r="C206" s="22"/>
      <c r="D206" s="23"/>
      <c r="E206" s="23"/>
      <c r="F206" s="23"/>
      <c r="G206" s="21"/>
      <c r="H206" s="24" t="str">
        <f aca="false">IF(OR(A206="",D206="",G206=""),"",D206*G206)</f>
        <v/>
      </c>
      <c r="I206" s="25" t="str">
        <f aca="false">IF(OR(A206="",B206=""),"",IFERROR(LOOKUP(2,1/(单次交易!$A$2:$A$201=A206),单次交易!$H$2:$H$201),0)+SUMIFS($G$2:$G$1001,$A$2:$A$1001,A206,$B$2:$B$1001,"&lt;"&amp;B206))</f>
        <v/>
      </c>
      <c r="J206" s="24" t="str">
        <f aca="false">IF(OR(A206="",B206=""),"",IFERROR(LOOKUP(2,1/(单次交易!$A$2:$A$201=A206),单次交易!$E$2:$E$201)*LOOKUP(2,1/(单次交易!$A$2:$A$201=A206),单次交易!$H$2:$H$201),0)+SUMIFS($H$2:$H$1001,$A$2:$A$1001,A206,$B$2:$B$1001,"&lt;"&amp;B206))</f>
        <v/>
      </c>
      <c r="K206" s="24" t="str">
        <f aca="false">IF(OR(E206="",I206="",J206=""),"",MAX(E206*I206-J206,0))</f>
        <v/>
      </c>
      <c r="L206" s="25" t="str">
        <f aca="false">IF(OR(D206="",E206="",F206="",D206&lt;=E206),"",FLOOR((F206+K206)/(D206-E206),100))</f>
        <v/>
      </c>
      <c r="M206" s="25" t="str">
        <f aca="false">IF(OR(A206="",B206="",L206=""),"",IF(B206=1,L206,IFERROR(SUMIFS($G$2:$G$1001,$A$2:$A$1001,A206,$B$2:$B$1001,B206-1),0)))</f>
        <v/>
      </c>
      <c r="N206" s="25" t="str">
        <f aca="false">IF(OR(L206="",M206=""),"",MIN(L206,M206))</f>
        <v/>
      </c>
      <c r="O206" s="25" t="str">
        <f aca="false">IF(OR(I206="",G206=""),"",I206+G206)</f>
        <v/>
      </c>
      <c r="P206" s="24" t="str">
        <f aca="false">IF(OR(O206="",O206=0),"",(J206+H206)/O206)</f>
        <v/>
      </c>
      <c r="Q206" s="24" t="str">
        <f aca="false">IF(OR(O206="",E206=""),"",MAX(J206+H206-E206*O206,0))</f>
        <v/>
      </c>
      <c r="R206" s="26" t="str">
        <f aca="false">IF(A206="","",IF(COUNTIF(_TradeIds,A206)=0,"违规：交易编号不存在",IF(OR(B206="",B206&lt;1,B206&gt;5,B206&lt;&gt;INT(B206)),"违规：加仓序号须为1到5的整数",IF(COUNTIFS($A$2:$A$1001,A206,$B$2:$B$1001,B206)&gt;1,"违规：同一交易的加仓序号重复",IF(OR(D206="",E206="",F206=""),"计划不完整：请填写加仓价、新止损价和风险预算",IF(OR(D206&lt;=0,E206&lt;=0,F206&lt;=0,D206&lt;=E206),"违规：加仓价必须高于新止损价，金额须大于0",IF(AND(B206&gt;1,COUNTIFS($A$2:$A$1001,A206,$B$2:$B$1001,B206-1,$G$2:$G$1001,"&gt;0")=0),"违规：须先完成上一次加仓",IF(AND(B206&gt;1,E206&lt;SUMIFS($E$2:$E$1001,$A$2:$A$1001,A206,$B$2:$B$1001,B206-1)),"违规：新止损价不得低于上一次",IF(AND(B206&gt;1,F206&gt;SUMIFS($F$2:$F$1001,$A$2:$A$1001,A206,$B$2:$B$1001,B206-1)),"违规：风险预算须逐次不增加",IF(OR(_LockStatus="已锁仓",_LockStatus="解锁信息不完整"),"违规：锁仓期间禁止加仓",IF(G206="","计划可执行：建议股数见N列",IF(OR(G206&lt;=0,G206&lt;&gt;INT(G206),MOD(G206,100)&lt;&gt;0),"违规：实际股数须为100股整数倍",IF(G206&gt;N206,"违规：实际股数超过风险或金字塔上限",IF(AND(B206&gt;1,G206&gt;SUMIFS($G$2:$G$1001,$A$2:$A$1001,A206,$B$2:$B$1001,B206-1)),"违规：加仓股数须逐次不增加",IF(Q206&gt;F206,"违规：止损风险超过本次预算","通过")))))))))))))))</f>
        <v/>
      </c>
    </row>
    <row r="207" customFormat="false" ht="15" hidden="false" customHeight="false" outlineLevel="0" collapsed="false">
      <c r="A207" s="20"/>
      <c r="B207" s="21"/>
      <c r="C207" s="22"/>
      <c r="D207" s="23"/>
      <c r="E207" s="23"/>
      <c r="F207" s="23"/>
      <c r="G207" s="21"/>
      <c r="H207" s="24" t="str">
        <f aca="false">IF(OR(A207="",D207="",G207=""),"",D207*G207)</f>
        <v/>
      </c>
      <c r="I207" s="25" t="str">
        <f aca="false">IF(OR(A207="",B207=""),"",IFERROR(LOOKUP(2,1/(单次交易!$A$2:$A$201=A207),单次交易!$H$2:$H$201),0)+SUMIFS($G$2:$G$1001,$A$2:$A$1001,A207,$B$2:$B$1001,"&lt;"&amp;B207))</f>
        <v/>
      </c>
      <c r="J207" s="24" t="str">
        <f aca="false">IF(OR(A207="",B207=""),"",IFERROR(LOOKUP(2,1/(单次交易!$A$2:$A$201=A207),单次交易!$E$2:$E$201)*LOOKUP(2,1/(单次交易!$A$2:$A$201=A207),单次交易!$H$2:$H$201),0)+SUMIFS($H$2:$H$1001,$A$2:$A$1001,A207,$B$2:$B$1001,"&lt;"&amp;B207))</f>
        <v/>
      </c>
      <c r="K207" s="24" t="str">
        <f aca="false">IF(OR(E207="",I207="",J207=""),"",MAX(E207*I207-J207,0))</f>
        <v/>
      </c>
      <c r="L207" s="25" t="str">
        <f aca="false">IF(OR(D207="",E207="",F207="",D207&lt;=E207),"",FLOOR((F207+K207)/(D207-E207),100))</f>
        <v/>
      </c>
      <c r="M207" s="25" t="str">
        <f aca="false">IF(OR(A207="",B207="",L207=""),"",IF(B207=1,L207,IFERROR(SUMIFS($G$2:$G$1001,$A$2:$A$1001,A207,$B$2:$B$1001,B207-1),0)))</f>
        <v/>
      </c>
      <c r="N207" s="25" t="str">
        <f aca="false">IF(OR(L207="",M207=""),"",MIN(L207,M207))</f>
        <v/>
      </c>
      <c r="O207" s="25" t="str">
        <f aca="false">IF(OR(I207="",G207=""),"",I207+G207)</f>
        <v/>
      </c>
      <c r="P207" s="24" t="str">
        <f aca="false">IF(OR(O207="",O207=0),"",(J207+H207)/O207)</f>
        <v/>
      </c>
      <c r="Q207" s="24" t="str">
        <f aca="false">IF(OR(O207="",E207=""),"",MAX(J207+H207-E207*O207,0))</f>
        <v/>
      </c>
      <c r="R207" s="26" t="str">
        <f aca="false">IF(A207="","",IF(COUNTIF(_TradeIds,A207)=0,"违规：交易编号不存在",IF(OR(B207="",B207&lt;1,B207&gt;5,B207&lt;&gt;INT(B207)),"违规：加仓序号须为1到5的整数",IF(COUNTIFS($A$2:$A$1001,A207,$B$2:$B$1001,B207)&gt;1,"违规：同一交易的加仓序号重复",IF(OR(D207="",E207="",F207=""),"计划不完整：请填写加仓价、新止损价和风险预算",IF(OR(D207&lt;=0,E207&lt;=0,F207&lt;=0,D207&lt;=E207),"违规：加仓价必须高于新止损价，金额须大于0",IF(AND(B207&gt;1,COUNTIFS($A$2:$A$1001,A207,$B$2:$B$1001,B207-1,$G$2:$G$1001,"&gt;0")=0),"违规：须先完成上一次加仓",IF(AND(B207&gt;1,E207&lt;SUMIFS($E$2:$E$1001,$A$2:$A$1001,A207,$B$2:$B$1001,B207-1)),"违规：新止损价不得低于上一次",IF(AND(B207&gt;1,F207&gt;SUMIFS($F$2:$F$1001,$A$2:$A$1001,A207,$B$2:$B$1001,B207-1)),"违规：风险预算须逐次不增加",IF(OR(_LockStatus="已锁仓",_LockStatus="解锁信息不完整"),"违规：锁仓期间禁止加仓",IF(G207="","计划可执行：建议股数见N列",IF(OR(G207&lt;=0,G207&lt;&gt;INT(G207),MOD(G207,100)&lt;&gt;0),"违规：实际股数须为100股整数倍",IF(G207&gt;N207,"违规：实际股数超过风险或金字塔上限",IF(AND(B207&gt;1,G207&gt;SUMIFS($G$2:$G$1001,$A$2:$A$1001,A207,$B$2:$B$1001,B207-1)),"违规：加仓股数须逐次不增加",IF(Q207&gt;F207,"违规：止损风险超过本次预算","通过")))))))))))))))</f>
        <v/>
      </c>
    </row>
    <row r="208" customFormat="false" ht="15" hidden="false" customHeight="false" outlineLevel="0" collapsed="false">
      <c r="A208" s="20"/>
      <c r="B208" s="21"/>
      <c r="C208" s="22"/>
      <c r="D208" s="23"/>
      <c r="E208" s="23"/>
      <c r="F208" s="23"/>
      <c r="G208" s="21"/>
      <c r="H208" s="24" t="str">
        <f aca="false">IF(OR(A208="",D208="",G208=""),"",D208*G208)</f>
        <v/>
      </c>
      <c r="I208" s="25" t="str">
        <f aca="false">IF(OR(A208="",B208=""),"",IFERROR(LOOKUP(2,1/(单次交易!$A$2:$A$201=A208),单次交易!$H$2:$H$201),0)+SUMIFS($G$2:$G$1001,$A$2:$A$1001,A208,$B$2:$B$1001,"&lt;"&amp;B208))</f>
        <v/>
      </c>
      <c r="J208" s="24" t="str">
        <f aca="false">IF(OR(A208="",B208=""),"",IFERROR(LOOKUP(2,1/(单次交易!$A$2:$A$201=A208),单次交易!$E$2:$E$201)*LOOKUP(2,1/(单次交易!$A$2:$A$201=A208),单次交易!$H$2:$H$201),0)+SUMIFS($H$2:$H$1001,$A$2:$A$1001,A208,$B$2:$B$1001,"&lt;"&amp;B208))</f>
        <v/>
      </c>
      <c r="K208" s="24" t="str">
        <f aca="false">IF(OR(E208="",I208="",J208=""),"",MAX(E208*I208-J208,0))</f>
        <v/>
      </c>
      <c r="L208" s="25" t="str">
        <f aca="false">IF(OR(D208="",E208="",F208="",D208&lt;=E208),"",FLOOR((F208+K208)/(D208-E208),100))</f>
        <v/>
      </c>
      <c r="M208" s="25" t="str">
        <f aca="false">IF(OR(A208="",B208="",L208=""),"",IF(B208=1,L208,IFERROR(SUMIFS($G$2:$G$1001,$A$2:$A$1001,A208,$B$2:$B$1001,B208-1),0)))</f>
        <v/>
      </c>
      <c r="N208" s="25" t="str">
        <f aca="false">IF(OR(L208="",M208=""),"",MIN(L208,M208))</f>
        <v/>
      </c>
      <c r="O208" s="25" t="str">
        <f aca="false">IF(OR(I208="",G208=""),"",I208+G208)</f>
        <v/>
      </c>
      <c r="P208" s="24" t="str">
        <f aca="false">IF(OR(O208="",O208=0),"",(J208+H208)/O208)</f>
        <v/>
      </c>
      <c r="Q208" s="24" t="str">
        <f aca="false">IF(OR(O208="",E208=""),"",MAX(J208+H208-E208*O208,0))</f>
        <v/>
      </c>
      <c r="R208" s="26" t="str">
        <f aca="false">IF(A208="","",IF(COUNTIF(_TradeIds,A208)=0,"违规：交易编号不存在",IF(OR(B208="",B208&lt;1,B208&gt;5,B208&lt;&gt;INT(B208)),"违规：加仓序号须为1到5的整数",IF(COUNTIFS($A$2:$A$1001,A208,$B$2:$B$1001,B208)&gt;1,"违规：同一交易的加仓序号重复",IF(OR(D208="",E208="",F208=""),"计划不完整：请填写加仓价、新止损价和风险预算",IF(OR(D208&lt;=0,E208&lt;=0,F208&lt;=0,D208&lt;=E208),"违规：加仓价必须高于新止损价，金额须大于0",IF(AND(B208&gt;1,COUNTIFS($A$2:$A$1001,A208,$B$2:$B$1001,B208-1,$G$2:$G$1001,"&gt;0")=0),"违规：须先完成上一次加仓",IF(AND(B208&gt;1,E208&lt;SUMIFS($E$2:$E$1001,$A$2:$A$1001,A208,$B$2:$B$1001,B208-1)),"违规：新止损价不得低于上一次",IF(AND(B208&gt;1,F208&gt;SUMIFS($F$2:$F$1001,$A$2:$A$1001,A208,$B$2:$B$1001,B208-1)),"违规：风险预算须逐次不增加",IF(OR(_LockStatus="已锁仓",_LockStatus="解锁信息不完整"),"违规：锁仓期间禁止加仓",IF(G208="","计划可执行：建议股数见N列",IF(OR(G208&lt;=0,G208&lt;&gt;INT(G208),MOD(G208,100)&lt;&gt;0),"违规：实际股数须为100股整数倍",IF(G208&gt;N208,"违规：实际股数超过风险或金字塔上限",IF(AND(B208&gt;1,G208&gt;SUMIFS($G$2:$G$1001,$A$2:$A$1001,A208,$B$2:$B$1001,B208-1)),"违规：加仓股数须逐次不增加",IF(Q208&gt;F208,"违规：止损风险超过本次预算","通过")))))))))))))))</f>
        <v/>
      </c>
    </row>
    <row r="209" customFormat="false" ht="15" hidden="false" customHeight="false" outlineLevel="0" collapsed="false">
      <c r="A209" s="20"/>
      <c r="B209" s="21"/>
      <c r="C209" s="22"/>
      <c r="D209" s="23"/>
      <c r="E209" s="23"/>
      <c r="F209" s="23"/>
      <c r="G209" s="21"/>
      <c r="H209" s="24" t="str">
        <f aca="false">IF(OR(A209="",D209="",G209=""),"",D209*G209)</f>
        <v/>
      </c>
      <c r="I209" s="25" t="str">
        <f aca="false">IF(OR(A209="",B209=""),"",IFERROR(LOOKUP(2,1/(单次交易!$A$2:$A$201=A209),单次交易!$H$2:$H$201),0)+SUMIFS($G$2:$G$1001,$A$2:$A$1001,A209,$B$2:$B$1001,"&lt;"&amp;B209))</f>
        <v/>
      </c>
      <c r="J209" s="24" t="str">
        <f aca="false">IF(OR(A209="",B209=""),"",IFERROR(LOOKUP(2,1/(单次交易!$A$2:$A$201=A209),单次交易!$E$2:$E$201)*LOOKUP(2,1/(单次交易!$A$2:$A$201=A209),单次交易!$H$2:$H$201),0)+SUMIFS($H$2:$H$1001,$A$2:$A$1001,A209,$B$2:$B$1001,"&lt;"&amp;B209))</f>
        <v/>
      </c>
      <c r="K209" s="24" t="str">
        <f aca="false">IF(OR(E209="",I209="",J209=""),"",MAX(E209*I209-J209,0))</f>
        <v/>
      </c>
      <c r="L209" s="25" t="str">
        <f aca="false">IF(OR(D209="",E209="",F209="",D209&lt;=E209),"",FLOOR((F209+K209)/(D209-E209),100))</f>
        <v/>
      </c>
      <c r="M209" s="25" t="str">
        <f aca="false">IF(OR(A209="",B209="",L209=""),"",IF(B209=1,L209,IFERROR(SUMIFS($G$2:$G$1001,$A$2:$A$1001,A209,$B$2:$B$1001,B209-1),0)))</f>
        <v/>
      </c>
      <c r="N209" s="25" t="str">
        <f aca="false">IF(OR(L209="",M209=""),"",MIN(L209,M209))</f>
        <v/>
      </c>
      <c r="O209" s="25" t="str">
        <f aca="false">IF(OR(I209="",G209=""),"",I209+G209)</f>
        <v/>
      </c>
      <c r="P209" s="24" t="str">
        <f aca="false">IF(OR(O209="",O209=0),"",(J209+H209)/O209)</f>
        <v/>
      </c>
      <c r="Q209" s="24" t="str">
        <f aca="false">IF(OR(O209="",E209=""),"",MAX(J209+H209-E209*O209,0))</f>
        <v/>
      </c>
      <c r="R209" s="26" t="str">
        <f aca="false">IF(A209="","",IF(COUNTIF(_TradeIds,A209)=0,"违规：交易编号不存在",IF(OR(B209="",B209&lt;1,B209&gt;5,B209&lt;&gt;INT(B209)),"违规：加仓序号须为1到5的整数",IF(COUNTIFS($A$2:$A$1001,A209,$B$2:$B$1001,B209)&gt;1,"违规：同一交易的加仓序号重复",IF(OR(D209="",E209="",F209=""),"计划不完整：请填写加仓价、新止损价和风险预算",IF(OR(D209&lt;=0,E209&lt;=0,F209&lt;=0,D209&lt;=E209),"违规：加仓价必须高于新止损价，金额须大于0",IF(AND(B209&gt;1,COUNTIFS($A$2:$A$1001,A209,$B$2:$B$1001,B209-1,$G$2:$G$1001,"&gt;0")=0),"违规：须先完成上一次加仓",IF(AND(B209&gt;1,E209&lt;SUMIFS($E$2:$E$1001,$A$2:$A$1001,A209,$B$2:$B$1001,B209-1)),"违规：新止损价不得低于上一次",IF(AND(B209&gt;1,F209&gt;SUMIFS($F$2:$F$1001,$A$2:$A$1001,A209,$B$2:$B$1001,B209-1)),"违规：风险预算须逐次不增加",IF(OR(_LockStatus="已锁仓",_LockStatus="解锁信息不完整"),"违规：锁仓期间禁止加仓",IF(G209="","计划可执行：建议股数见N列",IF(OR(G209&lt;=0,G209&lt;&gt;INT(G209),MOD(G209,100)&lt;&gt;0),"违规：实际股数须为100股整数倍",IF(G209&gt;N209,"违规：实际股数超过风险或金字塔上限",IF(AND(B209&gt;1,G209&gt;SUMIFS($G$2:$G$1001,$A$2:$A$1001,A209,$B$2:$B$1001,B209-1)),"违规：加仓股数须逐次不增加",IF(Q209&gt;F209,"违规：止损风险超过本次预算","通过")))))))))))))))</f>
        <v/>
      </c>
    </row>
    <row r="210" customFormat="false" ht="15" hidden="false" customHeight="false" outlineLevel="0" collapsed="false">
      <c r="A210" s="20"/>
      <c r="B210" s="21"/>
      <c r="C210" s="22"/>
      <c r="D210" s="23"/>
      <c r="E210" s="23"/>
      <c r="F210" s="23"/>
      <c r="G210" s="21"/>
      <c r="H210" s="24" t="str">
        <f aca="false">IF(OR(A210="",D210="",G210=""),"",D210*G210)</f>
        <v/>
      </c>
      <c r="I210" s="25" t="str">
        <f aca="false">IF(OR(A210="",B210=""),"",IFERROR(LOOKUP(2,1/(单次交易!$A$2:$A$201=A210),单次交易!$H$2:$H$201),0)+SUMIFS($G$2:$G$1001,$A$2:$A$1001,A210,$B$2:$B$1001,"&lt;"&amp;B210))</f>
        <v/>
      </c>
      <c r="J210" s="24" t="str">
        <f aca="false">IF(OR(A210="",B210=""),"",IFERROR(LOOKUP(2,1/(单次交易!$A$2:$A$201=A210),单次交易!$E$2:$E$201)*LOOKUP(2,1/(单次交易!$A$2:$A$201=A210),单次交易!$H$2:$H$201),0)+SUMIFS($H$2:$H$1001,$A$2:$A$1001,A210,$B$2:$B$1001,"&lt;"&amp;B210))</f>
        <v/>
      </c>
      <c r="K210" s="24" t="str">
        <f aca="false">IF(OR(E210="",I210="",J210=""),"",MAX(E210*I210-J210,0))</f>
        <v/>
      </c>
      <c r="L210" s="25" t="str">
        <f aca="false">IF(OR(D210="",E210="",F210="",D210&lt;=E210),"",FLOOR((F210+K210)/(D210-E210),100))</f>
        <v/>
      </c>
      <c r="M210" s="25" t="str">
        <f aca="false">IF(OR(A210="",B210="",L210=""),"",IF(B210=1,L210,IFERROR(SUMIFS($G$2:$G$1001,$A$2:$A$1001,A210,$B$2:$B$1001,B210-1),0)))</f>
        <v/>
      </c>
      <c r="N210" s="25" t="str">
        <f aca="false">IF(OR(L210="",M210=""),"",MIN(L210,M210))</f>
        <v/>
      </c>
      <c r="O210" s="25" t="str">
        <f aca="false">IF(OR(I210="",G210=""),"",I210+G210)</f>
        <v/>
      </c>
      <c r="P210" s="24" t="str">
        <f aca="false">IF(OR(O210="",O210=0),"",(J210+H210)/O210)</f>
        <v/>
      </c>
      <c r="Q210" s="24" t="str">
        <f aca="false">IF(OR(O210="",E210=""),"",MAX(J210+H210-E210*O210,0))</f>
        <v/>
      </c>
      <c r="R210" s="26" t="str">
        <f aca="false">IF(A210="","",IF(COUNTIF(_TradeIds,A210)=0,"违规：交易编号不存在",IF(OR(B210="",B210&lt;1,B210&gt;5,B210&lt;&gt;INT(B210)),"违规：加仓序号须为1到5的整数",IF(COUNTIFS($A$2:$A$1001,A210,$B$2:$B$1001,B210)&gt;1,"违规：同一交易的加仓序号重复",IF(OR(D210="",E210="",F210=""),"计划不完整：请填写加仓价、新止损价和风险预算",IF(OR(D210&lt;=0,E210&lt;=0,F210&lt;=0,D210&lt;=E210),"违规：加仓价必须高于新止损价，金额须大于0",IF(AND(B210&gt;1,COUNTIFS($A$2:$A$1001,A210,$B$2:$B$1001,B210-1,$G$2:$G$1001,"&gt;0")=0),"违规：须先完成上一次加仓",IF(AND(B210&gt;1,E210&lt;SUMIFS($E$2:$E$1001,$A$2:$A$1001,A210,$B$2:$B$1001,B210-1)),"违规：新止损价不得低于上一次",IF(AND(B210&gt;1,F210&gt;SUMIFS($F$2:$F$1001,$A$2:$A$1001,A210,$B$2:$B$1001,B210-1)),"违规：风险预算须逐次不增加",IF(OR(_LockStatus="已锁仓",_LockStatus="解锁信息不完整"),"违规：锁仓期间禁止加仓",IF(G210="","计划可执行：建议股数见N列",IF(OR(G210&lt;=0,G210&lt;&gt;INT(G210),MOD(G210,100)&lt;&gt;0),"违规：实际股数须为100股整数倍",IF(G210&gt;N210,"违规：实际股数超过风险或金字塔上限",IF(AND(B210&gt;1,G210&gt;SUMIFS($G$2:$G$1001,$A$2:$A$1001,A210,$B$2:$B$1001,B210-1)),"违规：加仓股数须逐次不增加",IF(Q210&gt;F210,"违规：止损风险超过本次预算","通过")))))))))))))))</f>
        <v/>
      </c>
    </row>
    <row r="211" customFormat="false" ht="15" hidden="false" customHeight="false" outlineLevel="0" collapsed="false">
      <c r="A211" s="20"/>
      <c r="B211" s="21"/>
      <c r="C211" s="22"/>
      <c r="D211" s="23"/>
      <c r="E211" s="23"/>
      <c r="F211" s="23"/>
      <c r="G211" s="21"/>
      <c r="H211" s="24" t="str">
        <f aca="false">IF(OR(A211="",D211="",G211=""),"",D211*G211)</f>
        <v/>
      </c>
      <c r="I211" s="25" t="str">
        <f aca="false">IF(OR(A211="",B211=""),"",IFERROR(LOOKUP(2,1/(单次交易!$A$2:$A$201=A211),单次交易!$H$2:$H$201),0)+SUMIFS($G$2:$G$1001,$A$2:$A$1001,A211,$B$2:$B$1001,"&lt;"&amp;B211))</f>
        <v/>
      </c>
      <c r="J211" s="24" t="str">
        <f aca="false">IF(OR(A211="",B211=""),"",IFERROR(LOOKUP(2,1/(单次交易!$A$2:$A$201=A211),单次交易!$E$2:$E$201)*LOOKUP(2,1/(单次交易!$A$2:$A$201=A211),单次交易!$H$2:$H$201),0)+SUMIFS($H$2:$H$1001,$A$2:$A$1001,A211,$B$2:$B$1001,"&lt;"&amp;B211))</f>
        <v/>
      </c>
      <c r="K211" s="24" t="str">
        <f aca="false">IF(OR(E211="",I211="",J211=""),"",MAX(E211*I211-J211,0))</f>
        <v/>
      </c>
      <c r="L211" s="25" t="str">
        <f aca="false">IF(OR(D211="",E211="",F211="",D211&lt;=E211),"",FLOOR((F211+K211)/(D211-E211),100))</f>
        <v/>
      </c>
      <c r="M211" s="25" t="str">
        <f aca="false">IF(OR(A211="",B211="",L211=""),"",IF(B211=1,L211,IFERROR(SUMIFS($G$2:$G$1001,$A$2:$A$1001,A211,$B$2:$B$1001,B211-1),0)))</f>
        <v/>
      </c>
      <c r="N211" s="25" t="str">
        <f aca="false">IF(OR(L211="",M211=""),"",MIN(L211,M211))</f>
        <v/>
      </c>
      <c r="O211" s="25" t="str">
        <f aca="false">IF(OR(I211="",G211=""),"",I211+G211)</f>
        <v/>
      </c>
      <c r="P211" s="24" t="str">
        <f aca="false">IF(OR(O211="",O211=0),"",(J211+H211)/O211)</f>
        <v/>
      </c>
      <c r="Q211" s="24" t="str">
        <f aca="false">IF(OR(O211="",E211=""),"",MAX(J211+H211-E211*O211,0))</f>
        <v/>
      </c>
      <c r="R211" s="26" t="str">
        <f aca="false">IF(A211="","",IF(COUNTIF(_TradeIds,A211)=0,"违规：交易编号不存在",IF(OR(B211="",B211&lt;1,B211&gt;5,B211&lt;&gt;INT(B211)),"违规：加仓序号须为1到5的整数",IF(COUNTIFS($A$2:$A$1001,A211,$B$2:$B$1001,B211)&gt;1,"违规：同一交易的加仓序号重复",IF(OR(D211="",E211="",F211=""),"计划不完整：请填写加仓价、新止损价和风险预算",IF(OR(D211&lt;=0,E211&lt;=0,F211&lt;=0,D211&lt;=E211),"违规：加仓价必须高于新止损价，金额须大于0",IF(AND(B211&gt;1,COUNTIFS($A$2:$A$1001,A211,$B$2:$B$1001,B211-1,$G$2:$G$1001,"&gt;0")=0),"违规：须先完成上一次加仓",IF(AND(B211&gt;1,E211&lt;SUMIFS($E$2:$E$1001,$A$2:$A$1001,A211,$B$2:$B$1001,B211-1)),"违规：新止损价不得低于上一次",IF(AND(B211&gt;1,F211&gt;SUMIFS($F$2:$F$1001,$A$2:$A$1001,A211,$B$2:$B$1001,B211-1)),"违规：风险预算须逐次不增加",IF(OR(_LockStatus="已锁仓",_LockStatus="解锁信息不完整"),"违规：锁仓期间禁止加仓",IF(G211="","计划可执行：建议股数见N列",IF(OR(G211&lt;=0,G211&lt;&gt;INT(G211),MOD(G211,100)&lt;&gt;0),"违规：实际股数须为100股整数倍",IF(G211&gt;N211,"违规：实际股数超过风险或金字塔上限",IF(AND(B211&gt;1,G211&gt;SUMIFS($G$2:$G$1001,$A$2:$A$1001,A211,$B$2:$B$1001,B211-1)),"违规：加仓股数须逐次不增加",IF(Q211&gt;F211,"违规：止损风险超过本次预算","通过")))))))))))))))</f>
        <v/>
      </c>
    </row>
    <row r="212" customFormat="false" ht="15" hidden="false" customHeight="false" outlineLevel="0" collapsed="false">
      <c r="A212" s="20"/>
      <c r="B212" s="21"/>
      <c r="C212" s="22"/>
      <c r="D212" s="23"/>
      <c r="E212" s="23"/>
      <c r="F212" s="23"/>
      <c r="G212" s="21"/>
      <c r="H212" s="24" t="str">
        <f aca="false">IF(OR(A212="",D212="",G212=""),"",D212*G212)</f>
        <v/>
      </c>
      <c r="I212" s="25" t="str">
        <f aca="false">IF(OR(A212="",B212=""),"",IFERROR(LOOKUP(2,1/(单次交易!$A$2:$A$201=A212),单次交易!$H$2:$H$201),0)+SUMIFS($G$2:$G$1001,$A$2:$A$1001,A212,$B$2:$B$1001,"&lt;"&amp;B212))</f>
        <v/>
      </c>
      <c r="J212" s="24" t="str">
        <f aca="false">IF(OR(A212="",B212=""),"",IFERROR(LOOKUP(2,1/(单次交易!$A$2:$A$201=A212),单次交易!$E$2:$E$201)*LOOKUP(2,1/(单次交易!$A$2:$A$201=A212),单次交易!$H$2:$H$201),0)+SUMIFS($H$2:$H$1001,$A$2:$A$1001,A212,$B$2:$B$1001,"&lt;"&amp;B212))</f>
        <v/>
      </c>
      <c r="K212" s="24" t="str">
        <f aca="false">IF(OR(E212="",I212="",J212=""),"",MAX(E212*I212-J212,0))</f>
        <v/>
      </c>
      <c r="L212" s="25" t="str">
        <f aca="false">IF(OR(D212="",E212="",F212="",D212&lt;=E212),"",FLOOR((F212+K212)/(D212-E212),100))</f>
        <v/>
      </c>
      <c r="M212" s="25" t="str">
        <f aca="false">IF(OR(A212="",B212="",L212=""),"",IF(B212=1,L212,IFERROR(SUMIFS($G$2:$G$1001,$A$2:$A$1001,A212,$B$2:$B$1001,B212-1),0)))</f>
        <v/>
      </c>
      <c r="N212" s="25" t="str">
        <f aca="false">IF(OR(L212="",M212=""),"",MIN(L212,M212))</f>
        <v/>
      </c>
      <c r="O212" s="25" t="str">
        <f aca="false">IF(OR(I212="",G212=""),"",I212+G212)</f>
        <v/>
      </c>
      <c r="P212" s="24" t="str">
        <f aca="false">IF(OR(O212="",O212=0),"",(J212+H212)/O212)</f>
        <v/>
      </c>
      <c r="Q212" s="24" t="str">
        <f aca="false">IF(OR(O212="",E212=""),"",MAX(J212+H212-E212*O212,0))</f>
        <v/>
      </c>
      <c r="R212" s="26" t="str">
        <f aca="false">IF(A212="","",IF(COUNTIF(_TradeIds,A212)=0,"违规：交易编号不存在",IF(OR(B212="",B212&lt;1,B212&gt;5,B212&lt;&gt;INT(B212)),"违规：加仓序号须为1到5的整数",IF(COUNTIFS($A$2:$A$1001,A212,$B$2:$B$1001,B212)&gt;1,"违规：同一交易的加仓序号重复",IF(OR(D212="",E212="",F212=""),"计划不完整：请填写加仓价、新止损价和风险预算",IF(OR(D212&lt;=0,E212&lt;=0,F212&lt;=0,D212&lt;=E212),"违规：加仓价必须高于新止损价，金额须大于0",IF(AND(B212&gt;1,COUNTIFS($A$2:$A$1001,A212,$B$2:$B$1001,B212-1,$G$2:$G$1001,"&gt;0")=0),"违规：须先完成上一次加仓",IF(AND(B212&gt;1,E212&lt;SUMIFS($E$2:$E$1001,$A$2:$A$1001,A212,$B$2:$B$1001,B212-1)),"违规：新止损价不得低于上一次",IF(AND(B212&gt;1,F212&gt;SUMIFS($F$2:$F$1001,$A$2:$A$1001,A212,$B$2:$B$1001,B212-1)),"违规：风险预算须逐次不增加",IF(OR(_LockStatus="已锁仓",_LockStatus="解锁信息不完整"),"违规：锁仓期间禁止加仓",IF(G212="","计划可执行：建议股数见N列",IF(OR(G212&lt;=0,G212&lt;&gt;INT(G212),MOD(G212,100)&lt;&gt;0),"违规：实际股数须为100股整数倍",IF(G212&gt;N212,"违规：实际股数超过风险或金字塔上限",IF(AND(B212&gt;1,G212&gt;SUMIFS($G$2:$G$1001,$A$2:$A$1001,A212,$B$2:$B$1001,B212-1)),"违规：加仓股数须逐次不增加",IF(Q212&gt;F212,"违规：止损风险超过本次预算","通过")))))))))))))))</f>
        <v/>
      </c>
    </row>
    <row r="213" customFormat="false" ht="15" hidden="false" customHeight="false" outlineLevel="0" collapsed="false">
      <c r="A213" s="20"/>
      <c r="B213" s="21"/>
      <c r="C213" s="22"/>
      <c r="D213" s="23"/>
      <c r="E213" s="23"/>
      <c r="F213" s="23"/>
      <c r="G213" s="21"/>
      <c r="H213" s="24" t="str">
        <f aca="false">IF(OR(A213="",D213="",G213=""),"",D213*G213)</f>
        <v/>
      </c>
      <c r="I213" s="25" t="str">
        <f aca="false">IF(OR(A213="",B213=""),"",IFERROR(LOOKUP(2,1/(单次交易!$A$2:$A$201=A213),单次交易!$H$2:$H$201),0)+SUMIFS($G$2:$G$1001,$A$2:$A$1001,A213,$B$2:$B$1001,"&lt;"&amp;B213))</f>
        <v/>
      </c>
      <c r="J213" s="24" t="str">
        <f aca="false">IF(OR(A213="",B213=""),"",IFERROR(LOOKUP(2,1/(单次交易!$A$2:$A$201=A213),单次交易!$E$2:$E$201)*LOOKUP(2,1/(单次交易!$A$2:$A$201=A213),单次交易!$H$2:$H$201),0)+SUMIFS($H$2:$H$1001,$A$2:$A$1001,A213,$B$2:$B$1001,"&lt;"&amp;B213))</f>
        <v/>
      </c>
      <c r="K213" s="24" t="str">
        <f aca="false">IF(OR(E213="",I213="",J213=""),"",MAX(E213*I213-J213,0))</f>
        <v/>
      </c>
      <c r="L213" s="25" t="str">
        <f aca="false">IF(OR(D213="",E213="",F213="",D213&lt;=E213),"",FLOOR((F213+K213)/(D213-E213),100))</f>
        <v/>
      </c>
      <c r="M213" s="25" t="str">
        <f aca="false">IF(OR(A213="",B213="",L213=""),"",IF(B213=1,L213,IFERROR(SUMIFS($G$2:$G$1001,$A$2:$A$1001,A213,$B$2:$B$1001,B213-1),0)))</f>
        <v/>
      </c>
      <c r="N213" s="25" t="str">
        <f aca="false">IF(OR(L213="",M213=""),"",MIN(L213,M213))</f>
        <v/>
      </c>
      <c r="O213" s="25" t="str">
        <f aca="false">IF(OR(I213="",G213=""),"",I213+G213)</f>
        <v/>
      </c>
      <c r="P213" s="24" t="str">
        <f aca="false">IF(OR(O213="",O213=0),"",(J213+H213)/O213)</f>
        <v/>
      </c>
      <c r="Q213" s="24" t="str">
        <f aca="false">IF(OR(O213="",E213=""),"",MAX(J213+H213-E213*O213,0))</f>
        <v/>
      </c>
      <c r="R213" s="26" t="str">
        <f aca="false">IF(A213="","",IF(COUNTIF(_TradeIds,A213)=0,"违规：交易编号不存在",IF(OR(B213="",B213&lt;1,B213&gt;5,B213&lt;&gt;INT(B213)),"违规：加仓序号须为1到5的整数",IF(COUNTIFS($A$2:$A$1001,A213,$B$2:$B$1001,B213)&gt;1,"违规：同一交易的加仓序号重复",IF(OR(D213="",E213="",F213=""),"计划不完整：请填写加仓价、新止损价和风险预算",IF(OR(D213&lt;=0,E213&lt;=0,F213&lt;=0,D213&lt;=E213),"违规：加仓价必须高于新止损价，金额须大于0",IF(AND(B213&gt;1,COUNTIFS($A$2:$A$1001,A213,$B$2:$B$1001,B213-1,$G$2:$G$1001,"&gt;0")=0),"违规：须先完成上一次加仓",IF(AND(B213&gt;1,E213&lt;SUMIFS($E$2:$E$1001,$A$2:$A$1001,A213,$B$2:$B$1001,B213-1)),"违规：新止损价不得低于上一次",IF(AND(B213&gt;1,F213&gt;SUMIFS($F$2:$F$1001,$A$2:$A$1001,A213,$B$2:$B$1001,B213-1)),"违规：风险预算须逐次不增加",IF(OR(_LockStatus="已锁仓",_LockStatus="解锁信息不完整"),"违规：锁仓期间禁止加仓",IF(G213="","计划可执行：建议股数见N列",IF(OR(G213&lt;=0,G213&lt;&gt;INT(G213),MOD(G213,100)&lt;&gt;0),"违规：实际股数须为100股整数倍",IF(G213&gt;N213,"违规：实际股数超过风险或金字塔上限",IF(AND(B213&gt;1,G213&gt;SUMIFS($G$2:$G$1001,$A$2:$A$1001,A213,$B$2:$B$1001,B213-1)),"违规：加仓股数须逐次不增加",IF(Q213&gt;F213,"违规：止损风险超过本次预算","通过")))))))))))))))</f>
        <v/>
      </c>
    </row>
    <row r="214" customFormat="false" ht="15" hidden="false" customHeight="false" outlineLevel="0" collapsed="false">
      <c r="A214" s="20"/>
      <c r="B214" s="21"/>
      <c r="C214" s="22"/>
      <c r="D214" s="23"/>
      <c r="E214" s="23"/>
      <c r="F214" s="23"/>
      <c r="G214" s="21"/>
      <c r="H214" s="24" t="str">
        <f aca="false">IF(OR(A214="",D214="",G214=""),"",D214*G214)</f>
        <v/>
      </c>
      <c r="I214" s="25" t="str">
        <f aca="false">IF(OR(A214="",B214=""),"",IFERROR(LOOKUP(2,1/(单次交易!$A$2:$A$201=A214),单次交易!$H$2:$H$201),0)+SUMIFS($G$2:$G$1001,$A$2:$A$1001,A214,$B$2:$B$1001,"&lt;"&amp;B214))</f>
        <v/>
      </c>
      <c r="J214" s="24" t="str">
        <f aca="false">IF(OR(A214="",B214=""),"",IFERROR(LOOKUP(2,1/(单次交易!$A$2:$A$201=A214),单次交易!$E$2:$E$201)*LOOKUP(2,1/(单次交易!$A$2:$A$201=A214),单次交易!$H$2:$H$201),0)+SUMIFS($H$2:$H$1001,$A$2:$A$1001,A214,$B$2:$B$1001,"&lt;"&amp;B214))</f>
        <v/>
      </c>
      <c r="K214" s="24" t="str">
        <f aca="false">IF(OR(E214="",I214="",J214=""),"",MAX(E214*I214-J214,0))</f>
        <v/>
      </c>
      <c r="L214" s="25" t="str">
        <f aca="false">IF(OR(D214="",E214="",F214="",D214&lt;=E214),"",FLOOR((F214+K214)/(D214-E214),100))</f>
        <v/>
      </c>
      <c r="M214" s="25" t="str">
        <f aca="false">IF(OR(A214="",B214="",L214=""),"",IF(B214=1,L214,IFERROR(SUMIFS($G$2:$G$1001,$A$2:$A$1001,A214,$B$2:$B$1001,B214-1),0)))</f>
        <v/>
      </c>
      <c r="N214" s="25" t="str">
        <f aca="false">IF(OR(L214="",M214=""),"",MIN(L214,M214))</f>
        <v/>
      </c>
      <c r="O214" s="25" t="str">
        <f aca="false">IF(OR(I214="",G214=""),"",I214+G214)</f>
        <v/>
      </c>
      <c r="P214" s="24" t="str">
        <f aca="false">IF(OR(O214="",O214=0),"",(J214+H214)/O214)</f>
        <v/>
      </c>
      <c r="Q214" s="24" t="str">
        <f aca="false">IF(OR(O214="",E214=""),"",MAX(J214+H214-E214*O214,0))</f>
        <v/>
      </c>
      <c r="R214" s="26" t="str">
        <f aca="false">IF(A214="","",IF(COUNTIF(_TradeIds,A214)=0,"违规：交易编号不存在",IF(OR(B214="",B214&lt;1,B214&gt;5,B214&lt;&gt;INT(B214)),"违规：加仓序号须为1到5的整数",IF(COUNTIFS($A$2:$A$1001,A214,$B$2:$B$1001,B214)&gt;1,"违规：同一交易的加仓序号重复",IF(OR(D214="",E214="",F214=""),"计划不完整：请填写加仓价、新止损价和风险预算",IF(OR(D214&lt;=0,E214&lt;=0,F214&lt;=0,D214&lt;=E214),"违规：加仓价必须高于新止损价，金额须大于0",IF(AND(B214&gt;1,COUNTIFS($A$2:$A$1001,A214,$B$2:$B$1001,B214-1,$G$2:$G$1001,"&gt;0")=0),"违规：须先完成上一次加仓",IF(AND(B214&gt;1,E214&lt;SUMIFS($E$2:$E$1001,$A$2:$A$1001,A214,$B$2:$B$1001,B214-1)),"违规：新止损价不得低于上一次",IF(AND(B214&gt;1,F214&gt;SUMIFS($F$2:$F$1001,$A$2:$A$1001,A214,$B$2:$B$1001,B214-1)),"违规：风险预算须逐次不增加",IF(OR(_LockStatus="已锁仓",_LockStatus="解锁信息不完整"),"违规：锁仓期间禁止加仓",IF(G214="","计划可执行：建议股数见N列",IF(OR(G214&lt;=0,G214&lt;&gt;INT(G214),MOD(G214,100)&lt;&gt;0),"违规：实际股数须为100股整数倍",IF(G214&gt;N214,"违规：实际股数超过风险或金字塔上限",IF(AND(B214&gt;1,G214&gt;SUMIFS($G$2:$G$1001,$A$2:$A$1001,A214,$B$2:$B$1001,B214-1)),"违规：加仓股数须逐次不增加",IF(Q214&gt;F214,"违规：止损风险超过本次预算","通过")))))))))))))))</f>
        <v/>
      </c>
    </row>
    <row r="215" customFormat="false" ht="15" hidden="false" customHeight="false" outlineLevel="0" collapsed="false">
      <c r="A215" s="20"/>
      <c r="B215" s="21"/>
      <c r="C215" s="22"/>
      <c r="D215" s="23"/>
      <c r="E215" s="23"/>
      <c r="F215" s="23"/>
      <c r="G215" s="21"/>
      <c r="H215" s="24" t="str">
        <f aca="false">IF(OR(A215="",D215="",G215=""),"",D215*G215)</f>
        <v/>
      </c>
      <c r="I215" s="25" t="str">
        <f aca="false">IF(OR(A215="",B215=""),"",IFERROR(LOOKUP(2,1/(单次交易!$A$2:$A$201=A215),单次交易!$H$2:$H$201),0)+SUMIFS($G$2:$G$1001,$A$2:$A$1001,A215,$B$2:$B$1001,"&lt;"&amp;B215))</f>
        <v/>
      </c>
      <c r="J215" s="24" t="str">
        <f aca="false">IF(OR(A215="",B215=""),"",IFERROR(LOOKUP(2,1/(单次交易!$A$2:$A$201=A215),单次交易!$E$2:$E$201)*LOOKUP(2,1/(单次交易!$A$2:$A$201=A215),单次交易!$H$2:$H$201),0)+SUMIFS($H$2:$H$1001,$A$2:$A$1001,A215,$B$2:$B$1001,"&lt;"&amp;B215))</f>
        <v/>
      </c>
      <c r="K215" s="24" t="str">
        <f aca="false">IF(OR(E215="",I215="",J215=""),"",MAX(E215*I215-J215,0))</f>
        <v/>
      </c>
      <c r="L215" s="25" t="str">
        <f aca="false">IF(OR(D215="",E215="",F215="",D215&lt;=E215),"",FLOOR((F215+K215)/(D215-E215),100))</f>
        <v/>
      </c>
      <c r="M215" s="25" t="str">
        <f aca="false">IF(OR(A215="",B215="",L215=""),"",IF(B215=1,L215,IFERROR(SUMIFS($G$2:$G$1001,$A$2:$A$1001,A215,$B$2:$B$1001,B215-1),0)))</f>
        <v/>
      </c>
      <c r="N215" s="25" t="str">
        <f aca="false">IF(OR(L215="",M215=""),"",MIN(L215,M215))</f>
        <v/>
      </c>
      <c r="O215" s="25" t="str">
        <f aca="false">IF(OR(I215="",G215=""),"",I215+G215)</f>
        <v/>
      </c>
      <c r="P215" s="24" t="str">
        <f aca="false">IF(OR(O215="",O215=0),"",(J215+H215)/O215)</f>
        <v/>
      </c>
      <c r="Q215" s="24" t="str">
        <f aca="false">IF(OR(O215="",E215=""),"",MAX(J215+H215-E215*O215,0))</f>
        <v/>
      </c>
      <c r="R215" s="26" t="str">
        <f aca="false">IF(A215="","",IF(COUNTIF(_TradeIds,A215)=0,"违规：交易编号不存在",IF(OR(B215="",B215&lt;1,B215&gt;5,B215&lt;&gt;INT(B215)),"违规：加仓序号须为1到5的整数",IF(COUNTIFS($A$2:$A$1001,A215,$B$2:$B$1001,B215)&gt;1,"违规：同一交易的加仓序号重复",IF(OR(D215="",E215="",F215=""),"计划不完整：请填写加仓价、新止损价和风险预算",IF(OR(D215&lt;=0,E215&lt;=0,F215&lt;=0,D215&lt;=E215),"违规：加仓价必须高于新止损价，金额须大于0",IF(AND(B215&gt;1,COUNTIFS($A$2:$A$1001,A215,$B$2:$B$1001,B215-1,$G$2:$G$1001,"&gt;0")=0),"违规：须先完成上一次加仓",IF(AND(B215&gt;1,E215&lt;SUMIFS($E$2:$E$1001,$A$2:$A$1001,A215,$B$2:$B$1001,B215-1)),"违规：新止损价不得低于上一次",IF(AND(B215&gt;1,F215&gt;SUMIFS($F$2:$F$1001,$A$2:$A$1001,A215,$B$2:$B$1001,B215-1)),"违规：风险预算须逐次不增加",IF(OR(_LockStatus="已锁仓",_LockStatus="解锁信息不完整"),"违规：锁仓期间禁止加仓",IF(G215="","计划可执行：建议股数见N列",IF(OR(G215&lt;=0,G215&lt;&gt;INT(G215),MOD(G215,100)&lt;&gt;0),"违规：实际股数须为100股整数倍",IF(G215&gt;N215,"违规：实际股数超过风险或金字塔上限",IF(AND(B215&gt;1,G215&gt;SUMIFS($G$2:$G$1001,$A$2:$A$1001,A215,$B$2:$B$1001,B215-1)),"违规：加仓股数须逐次不增加",IF(Q215&gt;F215,"违规：止损风险超过本次预算","通过")))))))))))))))</f>
        <v/>
      </c>
    </row>
    <row r="216" customFormat="false" ht="15" hidden="false" customHeight="false" outlineLevel="0" collapsed="false">
      <c r="A216" s="20"/>
      <c r="B216" s="21"/>
      <c r="C216" s="22"/>
      <c r="D216" s="23"/>
      <c r="E216" s="23"/>
      <c r="F216" s="23"/>
      <c r="G216" s="21"/>
      <c r="H216" s="24" t="str">
        <f aca="false">IF(OR(A216="",D216="",G216=""),"",D216*G216)</f>
        <v/>
      </c>
      <c r="I216" s="25" t="str">
        <f aca="false">IF(OR(A216="",B216=""),"",IFERROR(LOOKUP(2,1/(单次交易!$A$2:$A$201=A216),单次交易!$H$2:$H$201),0)+SUMIFS($G$2:$G$1001,$A$2:$A$1001,A216,$B$2:$B$1001,"&lt;"&amp;B216))</f>
        <v/>
      </c>
      <c r="J216" s="24" t="str">
        <f aca="false">IF(OR(A216="",B216=""),"",IFERROR(LOOKUP(2,1/(单次交易!$A$2:$A$201=A216),单次交易!$E$2:$E$201)*LOOKUP(2,1/(单次交易!$A$2:$A$201=A216),单次交易!$H$2:$H$201),0)+SUMIFS($H$2:$H$1001,$A$2:$A$1001,A216,$B$2:$B$1001,"&lt;"&amp;B216))</f>
        <v/>
      </c>
      <c r="K216" s="24" t="str">
        <f aca="false">IF(OR(E216="",I216="",J216=""),"",MAX(E216*I216-J216,0))</f>
        <v/>
      </c>
      <c r="L216" s="25" t="str">
        <f aca="false">IF(OR(D216="",E216="",F216="",D216&lt;=E216),"",FLOOR((F216+K216)/(D216-E216),100))</f>
        <v/>
      </c>
      <c r="M216" s="25" t="str">
        <f aca="false">IF(OR(A216="",B216="",L216=""),"",IF(B216=1,L216,IFERROR(SUMIFS($G$2:$G$1001,$A$2:$A$1001,A216,$B$2:$B$1001,B216-1),0)))</f>
        <v/>
      </c>
      <c r="N216" s="25" t="str">
        <f aca="false">IF(OR(L216="",M216=""),"",MIN(L216,M216))</f>
        <v/>
      </c>
      <c r="O216" s="25" t="str">
        <f aca="false">IF(OR(I216="",G216=""),"",I216+G216)</f>
        <v/>
      </c>
      <c r="P216" s="24" t="str">
        <f aca="false">IF(OR(O216="",O216=0),"",(J216+H216)/O216)</f>
        <v/>
      </c>
      <c r="Q216" s="24" t="str">
        <f aca="false">IF(OR(O216="",E216=""),"",MAX(J216+H216-E216*O216,0))</f>
        <v/>
      </c>
      <c r="R216" s="26" t="str">
        <f aca="false">IF(A216="","",IF(COUNTIF(_TradeIds,A216)=0,"违规：交易编号不存在",IF(OR(B216="",B216&lt;1,B216&gt;5,B216&lt;&gt;INT(B216)),"违规：加仓序号须为1到5的整数",IF(COUNTIFS($A$2:$A$1001,A216,$B$2:$B$1001,B216)&gt;1,"违规：同一交易的加仓序号重复",IF(OR(D216="",E216="",F216=""),"计划不完整：请填写加仓价、新止损价和风险预算",IF(OR(D216&lt;=0,E216&lt;=0,F216&lt;=0,D216&lt;=E216),"违规：加仓价必须高于新止损价，金额须大于0",IF(AND(B216&gt;1,COUNTIFS($A$2:$A$1001,A216,$B$2:$B$1001,B216-1,$G$2:$G$1001,"&gt;0")=0),"违规：须先完成上一次加仓",IF(AND(B216&gt;1,E216&lt;SUMIFS($E$2:$E$1001,$A$2:$A$1001,A216,$B$2:$B$1001,B216-1)),"违规：新止损价不得低于上一次",IF(AND(B216&gt;1,F216&gt;SUMIFS($F$2:$F$1001,$A$2:$A$1001,A216,$B$2:$B$1001,B216-1)),"违规：风险预算须逐次不增加",IF(OR(_LockStatus="已锁仓",_LockStatus="解锁信息不完整"),"违规：锁仓期间禁止加仓",IF(G216="","计划可执行：建议股数见N列",IF(OR(G216&lt;=0,G216&lt;&gt;INT(G216),MOD(G216,100)&lt;&gt;0),"违规：实际股数须为100股整数倍",IF(G216&gt;N216,"违规：实际股数超过风险或金字塔上限",IF(AND(B216&gt;1,G216&gt;SUMIFS($G$2:$G$1001,$A$2:$A$1001,A216,$B$2:$B$1001,B216-1)),"违规：加仓股数须逐次不增加",IF(Q216&gt;F216,"违规：止损风险超过本次预算","通过")))))))))))))))</f>
        <v/>
      </c>
    </row>
    <row r="217" customFormat="false" ht="15" hidden="false" customHeight="false" outlineLevel="0" collapsed="false">
      <c r="A217" s="20"/>
      <c r="B217" s="21"/>
      <c r="C217" s="22"/>
      <c r="D217" s="23"/>
      <c r="E217" s="23"/>
      <c r="F217" s="23"/>
      <c r="G217" s="21"/>
      <c r="H217" s="24" t="str">
        <f aca="false">IF(OR(A217="",D217="",G217=""),"",D217*G217)</f>
        <v/>
      </c>
      <c r="I217" s="25" t="str">
        <f aca="false">IF(OR(A217="",B217=""),"",IFERROR(LOOKUP(2,1/(单次交易!$A$2:$A$201=A217),单次交易!$H$2:$H$201),0)+SUMIFS($G$2:$G$1001,$A$2:$A$1001,A217,$B$2:$B$1001,"&lt;"&amp;B217))</f>
        <v/>
      </c>
      <c r="J217" s="24" t="str">
        <f aca="false">IF(OR(A217="",B217=""),"",IFERROR(LOOKUP(2,1/(单次交易!$A$2:$A$201=A217),单次交易!$E$2:$E$201)*LOOKUP(2,1/(单次交易!$A$2:$A$201=A217),单次交易!$H$2:$H$201),0)+SUMIFS($H$2:$H$1001,$A$2:$A$1001,A217,$B$2:$B$1001,"&lt;"&amp;B217))</f>
        <v/>
      </c>
      <c r="K217" s="24" t="str">
        <f aca="false">IF(OR(E217="",I217="",J217=""),"",MAX(E217*I217-J217,0))</f>
        <v/>
      </c>
      <c r="L217" s="25" t="str">
        <f aca="false">IF(OR(D217="",E217="",F217="",D217&lt;=E217),"",FLOOR((F217+K217)/(D217-E217),100))</f>
        <v/>
      </c>
      <c r="M217" s="25" t="str">
        <f aca="false">IF(OR(A217="",B217="",L217=""),"",IF(B217=1,L217,IFERROR(SUMIFS($G$2:$G$1001,$A$2:$A$1001,A217,$B$2:$B$1001,B217-1),0)))</f>
        <v/>
      </c>
      <c r="N217" s="25" t="str">
        <f aca="false">IF(OR(L217="",M217=""),"",MIN(L217,M217))</f>
        <v/>
      </c>
      <c r="O217" s="25" t="str">
        <f aca="false">IF(OR(I217="",G217=""),"",I217+G217)</f>
        <v/>
      </c>
      <c r="P217" s="24" t="str">
        <f aca="false">IF(OR(O217="",O217=0),"",(J217+H217)/O217)</f>
        <v/>
      </c>
      <c r="Q217" s="24" t="str">
        <f aca="false">IF(OR(O217="",E217=""),"",MAX(J217+H217-E217*O217,0))</f>
        <v/>
      </c>
      <c r="R217" s="26" t="str">
        <f aca="false">IF(A217="","",IF(COUNTIF(_TradeIds,A217)=0,"违规：交易编号不存在",IF(OR(B217="",B217&lt;1,B217&gt;5,B217&lt;&gt;INT(B217)),"违规：加仓序号须为1到5的整数",IF(COUNTIFS($A$2:$A$1001,A217,$B$2:$B$1001,B217)&gt;1,"违规：同一交易的加仓序号重复",IF(OR(D217="",E217="",F217=""),"计划不完整：请填写加仓价、新止损价和风险预算",IF(OR(D217&lt;=0,E217&lt;=0,F217&lt;=0,D217&lt;=E217),"违规：加仓价必须高于新止损价，金额须大于0",IF(AND(B217&gt;1,COUNTIFS($A$2:$A$1001,A217,$B$2:$B$1001,B217-1,$G$2:$G$1001,"&gt;0")=0),"违规：须先完成上一次加仓",IF(AND(B217&gt;1,E217&lt;SUMIFS($E$2:$E$1001,$A$2:$A$1001,A217,$B$2:$B$1001,B217-1)),"违规：新止损价不得低于上一次",IF(AND(B217&gt;1,F217&gt;SUMIFS($F$2:$F$1001,$A$2:$A$1001,A217,$B$2:$B$1001,B217-1)),"违规：风险预算须逐次不增加",IF(OR(_LockStatus="已锁仓",_LockStatus="解锁信息不完整"),"违规：锁仓期间禁止加仓",IF(G217="","计划可执行：建议股数见N列",IF(OR(G217&lt;=0,G217&lt;&gt;INT(G217),MOD(G217,100)&lt;&gt;0),"违规：实际股数须为100股整数倍",IF(G217&gt;N217,"违规：实际股数超过风险或金字塔上限",IF(AND(B217&gt;1,G217&gt;SUMIFS($G$2:$G$1001,$A$2:$A$1001,A217,$B$2:$B$1001,B217-1)),"违规：加仓股数须逐次不增加",IF(Q217&gt;F217,"违规：止损风险超过本次预算","通过")))))))))))))))</f>
        <v/>
      </c>
    </row>
    <row r="218" customFormat="false" ht="15" hidden="false" customHeight="false" outlineLevel="0" collapsed="false">
      <c r="A218" s="20"/>
      <c r="B218" s="21"/>
      <c r="C218" s="22"/>
      <c r="D218" s="23"/>
      <c r="E218" s="23"/>
      <c r="F218" s="23"/>
      <c r="G218" s="21"/>
      <c r="H218" s="24" t="str">
        <f aca="false">IF(OR(A218="",D218="",G218=""),"",D218*G218)</f>
        <v/>
      </c>
      <c r="I218" s="25" t="str">
        <f aca="false">IF(OR(A218="",B218=""),"",IFERROR(LOOKUP(2,1/(单次交易!$A$2:$A$201=A218),单次交易!$H$2:$H$201),0)+SUMIFS($G$2:$G$1001,$A$2:$A$1001,A218,$B$2:$B$1001,"&lt;"&amp;B218))</f>
        <v/>
      </c>
      <c r="J218" s="24" t="str">
        <f aca="false">IF(OR(A218="",B218=""),"",IFERROR(LOOKUP(2,1/(单次交易!$A$2:$A$201=A218),单次交易!$E$2:$E$201)*LOOKUP(2,1/(单次交易!$A$2:$A$201=A218),单次交易!$H$2:$H$201),0)+SUMIFS($H$2:$H$1001,$A$2:$A$1001,A218,$B$2:$B$1001,"&lt;"&amp;B218))</f>
        <v/>
      </c>
      <c r="K218" s="24" t="str">
        <f aca="false">IF(OR(E218="",I218="",J218=""),"",MAX(E218*I218-J218,0))</f>
        <v/>
      </c>
      <c r="L218" s="25" t="str">
        <f aca="false">IF(OR(D218="",E218="",F218="",D218&lt;=E218),"",FLOOR((F218+K218)/(D218-E218),100))</f>
        <v/>
      </c>
      <c r="M218" s="25" t="str">
        <f aca="false">IF(OR(A218="",B218="",L218=""),"",IF(B218=1,L218,IFERROR(SUMIFS($G$2:$G$1001,$A$2:$A$1001,A218,$B$2:$B$1001,B218-1),0)))</f>
        <v/>
      </c>
      <c r="N218" s="25" t="str">
        <f aca="false">IF(OR(L218="",M218=""),"",MIN(L218,M218))</f>
        <v/>
      </c>
      <c r="O218" s="25" t="str">
        <f aca="false">IF(OR(I218="",G218=""),"",I218+G218)</f>
        <v/>
      </c>
      <c r="P218" s="24" t="str">
        <f aca="false">IF(OR(O218="",O218=0),"",(J218+H218)/O218)</f>
        <v/>
      </c>
      <c r="Q218" s="24" t="str">
        <f aca="false">IF(OR(O218="",E218=""),"",MAX(J218+H218-E218*O218,0))</f>
        <v/>
      </c>
      <c r="R218" s="26" t="str">
        <f aca="false">IF(A218="","",IF(COUNTIF(_TradeIds,A218)=0,"违规：交易编号不存在",IF(OR(B218="",B218&lt;1,B218&gt;5,B218&lt;&gt;INT(B218)),"违规：加仓序号须为1到5的整数",IF(COUNTIFS($A$2:$A$1001,A218,$B$2:$B$1001,B218)&gt;1,"违规：同一交易的加仓序号重复",IF(OR(D218="",E218="",F218=""),"计划不完整：请填写加仓价、新止损价和风险预算",IF(OR(D218&lt;=0,E218&lt;=0,F218&lt;=0,D218&lt;=E218),"违规：加仓价必须高于新止损价，金额须大于0",IF(AND(B218&gt;1,COUNTIFS($A$2:$A$1001,A218,$B$2:$B$1001,B218-1,$G$2:$G$1001,"&gt;0")=0),"违规：须先完成上一次加仓",IF(AND(B218&gt;1,E218&lt;SUMIFS($E$2:$E$1001,$A$2:$A$1001,A218,$B$2:$B$1001,B218-1)),"违规：新止损价不得低于上一次",IF(AND(B218&gt;1,F218&gt;SUMIFS($F$2:$F$1001,$A$2:$A$1001,A218,$B$2:$B$1001,B218-1)),"违规：风险预算须逐次不增加",IF(OR(_LockStatus="已锁仓",_LockStatus="解锁信息不完整"),"违规：锁仓期间禁止加仓",IF(G218="","计划可执行：建议股数见N列",IF(OR(G218&lt;=0,G218&lt;&gt;INT(G218),MOD(G218,100)&lt;&gt;0),"违规：实际股数须为100股整数倍",IF(G218&gt;N218,"违规：实际股数超过风险或金字塔上限",IF(AND(B218&gt;1,G218&gt;SUMIFS($G$2:$G$1001,$A$2:$A$1001,A218,$B$2:$B$1001,B218-1)),"违规：加仓股数须逐次不增加",IF(Q218&gt;F218,"违规：止损风险超过本次预算","通过")))))))))))))))</f>
        <v/>
      </c>
    </row>
    <row r="219" customFormat="false" ht="15" hidden="false" customHeight="false" outlineLevel="0" collapsed="false">
      <c r="A219" s="20"/>
      <c r="B219" s="21"/>
      <c r="C219" s="22"/>
      <c r="D219" s="23"/>
      <c r="E219" s="23"/>
      <c r="F219" s="23"/>
      <c r="G219" s="21"/>
      <c r="H219" s="24" t="str">
        <f aca="false">IF(OR(A219="",D219="",G219=""),"",D219*G219)</f>
        <v/>
      </c>
      <c r="I219" s="25" t="str">
        <f aca="false">IF(OR(A219="",B219=""),"",IFERROR(LOOKUP(2,1/(单次交易!$A$2:$A$201=A219),单次交易!$H$2:$H$201),0)+SUMIFS($G$2:$G$1001,$A$2:$A$1001,A219,$B$2:$B$1001,"&lt;"&amp;B219))</f>
        <v/>
      </c>
      <c r="J219" s="24" t="str">
        <f aca="false">IF(OR(A219="",B219=""),"",IFERROR(LOOKUP(2,1/(单次交易!$A$2:$A$201=A219),单次交易!$E$2:$E$201)*LOOKUP(2,1/(单次交易!$A$2:$A$201=A219),单次交易!$H$2:$H$201),0)+SUMIFS($H$2:$H$1001,$A$2:$A$1001,A219,$B$2:$B$1001,"&lt;"&amp;B219))</f>
        <v/>
      </c>
      <c r="K219" s="24" t="str">
        <f aca="false">IF(OR(E219="",I219="",J219=""),"",MAX(E219*I219-J219,0))</f>
        <v/>
      </c>
      <c r="L219" s="25" t="str">
        <f aca="false">IF(OR(D219="",E219="",F219="",D219&lt;=E219),"",FLOOR((F219+K219)/(D219-E219),100))</f>
        <v/>
      </c>
      <c r="M219" s="25" t="str">
        <f aca="false">IF(OR(A219="",B219="",L219=""),"",IF(B219=1,L219,IFERROR(SUMIFS($G$2:$G$1001,$A$2:$A$1001,A219,$B$2:$B$1001,B219-1),0)))</f>
        <v/>
      </c>
      <c r="N219" s="25" t="str">
        <f aca="false">IF(OR(L219="",M219=""),"",MIN(L219,M219))</f>
        <v/>
      </c>
      <c r="O219" s="25" t="str">
        <f aca="false">IF(OR(I219="",G219=""),"",I219+G219)</f>
        <v/>
      </c>
      <c r="P219" s="24" t="str">
        <f aca="false">IF(OR(O219="",O219=0),"",(J219+H219)/O219)</f>
        <v/>
      </c>
      <c r="Q219" s="24" t="str">
        <f aca="false">IF(OR(O219="",E219=""),"",MAX(J219+H219-E219*O219,0))</f>
        <v/>
      </c>
      <c r="R219" s="26" t="str">
        <f aca="false">IF(A219="","",IF(COUNTIF(_TradeIds,A219)=0,"违规：交易编号不存在",IF(OR(B219="",B219&lt;1,B219&gt;5,B219&lt;&gt;INT(B219)),"违规：加仓序号须为1到5的整数",IF(COUNTIFS($A$2:$A$1001,A219,$B$2:$B$1001,B219)&gt;1,"违规：同一交易的加仓序号重复",IF(OR(D219="",E219="",F219=""),"计划不完整：请填写加仓价、新止损价和风险预算",IF(OR(D219&lt;=0,E219&lt;=0,F219&lt;=0,D219&lt;=E219),"违规：加仓价必须高于新止损价，金额须大于0",IF(AND(B219&gt;1,COUNTIFS($A$2:$A$1001,A219,$B$2:$B$1001,B219-1,$G$2:$G$1001,"&gt;0")=0),"违规：须先完成上一次加仓",IF(AND(B219&gt;1,E219&lt;SUMIFS($E$2:$E$1001,$A$2:$A$1001,A219,$B$2:$B$1001,B219-1)),"违规：新止损价不得低于上一次",IF(AND(B219&gt;1,F219&gt;SUMIFS($F$2:$F$1001,$A$2:$A$1001,A219,$B$2:$B$1001,B219-1)),"违规：风险预算须逐次不增加",IF(OR(_LockStatus="已锁仓",_LockStatus="解锁信息不完整"),"违规：锁仓期间禁止加仓",IF(G219="","计划可执行：建议股数见N列",IF(OR(G219&lt;=0,G219&lt;&gt;INT(G219),MOD(G219,100)&lt;&gt;0),"违规：实际股数须为100股整数倍",IF(G219&gt;N219,"违规：实际股数超过风险或金字塔上限",IF(AND(B219&gt;1,G219&gt;SUMIFS($G$2:$G$1001,$A$2:$A$1001,A219,$B$2:$B$1001,B219-1)),"违规：加仓股数须逐次不增加",IF(Q219&gt;F219,"违规：止损风险超过本次预算","通过")))))))))))))))</f>
        <v/>
      </c>
    </row>
    <row r="220" customFormat="false" ht="15" hidden="false" customHeight="false" outlineLevel="0" collapsed="false">
      <c r="A220" s="20"/>
      <c r="B220" s="21"/>
      <c r="C220" s="22"/>
      <c r="D220" s="23"/>
      <c r="E220" s="23"/>
      <c r="F220" s="23"/>
      <c r="G220" s="21"/>
      <c r="H220" s="24" t="str">
        <f aca="false">IF(OR(A220="",D220="",G220=""),"",D220*G220)</f>
        <v/>
      </c>
      <c r="I220" s="25" t="str">
        <f aca="false">IF(OR(A220="",B220=""),"",IFERROR(LOOKUP(2,1/(单次交易!$A$2:$A$201=A220),单次交易!$H$2:$H$201),0)+SUMIFS($G$2:$G$1001,$A$2:$A$1001,A220,$B$2:$B$1001,"&lt;"&amp;B220))</f>
        <v/>
      </c>
      <c r="J220" s="24" t="str">
        <f aca="false">IF(OR(A220="",B220=""),"",IFERROR(LOOKUP(2,1/(单次交易!$A$2:$A$201=A220),单次交易!$E$2:$E$201)*LOOKUP(2,1/(单次交易!$A$2:$A$201=A220),单次交易!$H$2:$H$201),0)+SUMIFS($H$2:$H$1001,$A$2:$A$1001,A220,$B$2:$B$1001,"&lt;"&amp;B220))</f>
        <v/>
      </c>
      <c r="K220" s="24" t="str">
        <f aca="false">IF(OR(E220="",I220="",J220=""),"",MAX(E220*I220-J220,0))</f>
        <v/>
      </c>
      <c r="L220" s="25" t="str">
        <f aca="false">IF(OR(D220="",E220="",F220="",D220&lt;=E220),"",FLOOR((F220+K220)/(D220-E220),100))</f>
        <v/>
      </c>
      <c r="M220" s="25" t="str">
        <f aca="false">IF(OR(A220="",B220="",L220=""),"",IF(B220=1,L220,IFERROR(SUMIFS($G$2:$G$1001,$A$2:$A$1001,A220,$B$2:$B$1001,B220-1),0)))</f>
        <v/>
      </c>
      <c r="N220" s="25" t="str">
        <f aca="false">IF(OR(L220="",M220=""),"",MIN(L220,M220))</f>
        <v/>
      </c>
      <c r="O220" s="25" t="str">
        <f aca="false">IF(OR(I220="",G220=""),"",I220+G220)</f>
        <v/>
      </c>
      <c r="P220" s="24" t="str">
        <f aca="false">IF(OR(O220="",O220=0),"",(J220+H220)/O220)</f>
        <v/>
      </c>
      <c r="Q220" s="24" t="str">
        <f aca="false">IF(OR(O220="",E220=""),"",MAX(J220+H220-E220*O220,0))</f>
        <v/>
      </c>
      <c r="R220" s="26" t="str">
        <f aca="false">IF(A220="","",IF(COUNTIF(_TradeIds,A220)=0,"违规：交易编号不存在",IF(OR(B220="",B220&lt;1,B220&gt;5,B220&lt;&gt;INT(B220)),"违规：加仓序号须为1到5的整数",IF(COUNTIFS($A$2:$A$1001,A220,$B$2:$B$1001,B220)&gt;1,"违规：同一交易的加仓序号重复",IF(OR(D220="",E220="",F220=""),"计划不完整：请填写加仓价、新止损价和风险预算",IF(OR(D220&lt;=0,E220&lt;=0,F220&lt;=0,D220&lt;=E220),"违规：加仓价必须高于新止损价，金额须大于0",IF(AND(B220&gt;1,COUNTIFS($A$2:$A$1001,A220,$B$2:$B$1001,B220-1,$G$2:$G$1001,"&gt;0")=0),"违规：须先完成上一次加仓",IF(AND(B220&gt;1,E220&lt;SUMIFS($E$2:$E$1001,$A$2:$A$1001,A220,$B$2:$B$1001,B220-1)),"违规：新止损价不得低于上一次",IF(AND(B220&gt;1,F220&gt;SUMIFS($F$2:$F$1001,$A$2:$A$1001,A220,$B$2:$B$1001,B220-1)),"违规：风险预算须逐次不增加",IF(OR(_LockStatus="已锁仓",_LockStatus="解锁信息不完整"),"违规：锁仓期间禁止加仓",IF(G220="","计划可执行：建议股数见N列",IF(OR(G220&lt;=0,G220&lt;&gt;INT(G220),MOD(G220,100)&lt;&gt;0),"违规：实际股数须为100股整数倍",IF(G220&gt;N220,"违规：实际股数超过风险或金字塔上限",IF(AND(B220&gt;1,G220&gt;SUMIFS($G$2:$G$1001,$A$2:$A$1001,A220,$B$2:$B$1001,B220-1)),"违规：加仓股数须逐次不增加",IF(Q220&gt;F220,"违规：止损风险超过本次预算","通过")))))))))))))))</f>
        <v/>
      </c>
    </row>
    <row r="221" customFormat="false" ht="15" hidden="false" customHeight="false" outlineLevel="0" collapsed="false">
      <c r="A221" s="20"/>
      <c r="B221" s="21"/>
      <c r="C221" s="22"/>
      <c r="D221" s="23"/>
      <c r="E221" s="23"/>
      <c r="F221" s="23"/>
      <c r="G221" s="21"/>
      <c r="H221" s="24" t="str">
        <f aca="false">IF(OR(A221="",D221="",G221=""),"",D221*G221)</f>
        <v/>
      </c>
      <c r="I221" s="25" t="str">
        <f aca="false">IF(OR(A221="",B221=""),"",IFERROR(LOOKUP(2,1/(单次交易!$A$2:$A$201=A221),单次交易!$H$2:$H$201),0)+SUMIFS($G$2:$G$1001,$A$2:$A$1001,A221,$B$2:$B$1001,"&lt;"&amp;B221))</f>
        <v/>
      </c>
      <c r="J221" s="24" t="str">
        <f aca="false">IF(OR(A221="",B221=""),"",IFERROR(LOOKUP(2,1/(单次交易!$A$2:$A$201=A221),单次交易!$E$2:$E$201)*LOOKUP(2,1/(单次交易!$A$2:$A$201=A221),单次交易!$H$2:$H$201),0)+SUMIFS($H$2:$H$1001,$A$2:$A$1001,A221,$B$2:$B$1001,"&lt;"&amp;B221))</f>
        <v/>
      </c>
      <c r="K221" s="24" t="str">
        <f aca="false">IF(OR(E221="",I221="",J221=""),"",MAX(E221*I221-J221,0))</f>
        <v/>
      </c>
      <c r="L221" s="25" t="str">
        <f aca="false">IF(OR(D221="",E221="",F221="",D221&lt;=E221),"",FLOOR((F221+K221)/(D221-E221),100))</f>
        <v/>
      </c>
      <c r="M221" s="25" t="str">
        <f aca="false">IF(OR(A221="",B221="",L221=""),"",IF(B221=1,L221,IFERROR(SUMIFS($G$2:$G$1001,$A$2:$A$1001,A221,$B$2:$B$1001,B221-1),0)))</f>
        <v/>
      </c>
      <c r="N221" s="25" t="str">
        <f aca="false">IF(OR(L221="",M221=""),"",MIN(L221,M221))</f>
        <v/>
      </c>
      <c r="O221" s="25" t="str">
        <f aca="false">IF(OR(I221="",G221=""),"",I221+G221)</f>
        <v/>
      </c>
      <c r="P221" s="24" t="str">
        <f aca="false">IF(OR(O221="",O221=0),"",(J221+H221)/O221)</f>
        <v/>
      </c>
      <c r="Q221" s="24" t="str">
        <f aca="false">IF(OR(O221="",E221=""),"",MAX(J221+H221-E221*O221,0))</f>
        <v/>
      </c>
      <c r="R221" s="26" t="str">
        <f aca="false">IF(A221="","",IF(COUNTIF(_TradeIds,A221)=0,"违规：交易编号不存在",IF(OR(B221="",B221&lt;1,B221&gt;5,B221&lt;&gt;INT(B221)),"违规：加仓序号须为1到5的整数",IF(COUNTIFS($A$2:$A$1001,A221,$B$2:$B$1001,B221)&gt;1,"违规：同一交易的加仓序号重复",IF(OR(D221="",E221="",F221=""),"计划不完整：请填写加仓价、新止损价和风险预算",IF(OR(D221&lt;=0,E221&lt;=0,F221&lt;=0,D221&lt;=E221),"违规：加仓价必须高于新止损价，金额须大于0",IF(AND(B221&gt;1,COUNTIFS($A$2:$A$1001,A221,$B$2:$B$1001,B221-1,$G$2:$G$1001,"&gt;0")=0),"违规：须先完成上一次加仓",IF(AND(B221&gt;1,E221&lt;SUMIFS($E$2:$E$1001,$A$2:$A$1001,A221,$B$2:$B$1001,B221-1)),"违规：新止损价不得低于上一次",IF(AND(B221&gt;1,F221&gt;SUMIFS($F$2:$F$1001,$A$2:$A$1001,A221,$B$2:$B$1001,B221-1)),"违规：风险预算须逐次不增加",IF(OR(_LockStatus="已锁仓",_LockStatus="解锁信息不完整"),"违规：锁仓期间禁止加仓",IF(G221="","计划可执行：建议股数见N列",IF(OR(G221&lt;=0,G221&lt;&gt;INT(G221),MOD(G221,100)&lt;&gt;0),"违规：实际股数须为100股整数倍",IF(G221&gt;N221,"违规：实际股数超过风险或金字塔上限",IF(AND(B221&gt;1,G221&gt;SUMIFS($G$2:$G$1001,$A$2:$A$1001,A221,$B$2:$B$1001,B221-1)),"违规：加仓股数须逐次不增加",IF(Q221&gt;F221,"违规：止损风险超过本次预算","通过")))))))))))))))</f>
        <v/>
      </c>
    </row>
    <row r="222" customFormat="false" ht="15" hidden="false" customHeight="false" outlineLevel="0" collapsed="false">
      <c r="A222" s="20"/>
      <c r="B222" s="21"/>
      <c r="C222" s="22"/>
      <c r="D222" s="23"/>
      <c r="E222" s="23"/>
      <c r="F222" s="23"/>
      <c r="G222" s="21"/>
      <c r="H222" s="24" t="str">
        <f aca="false">IF(OR(A222="",D222="",G222=""),"",D222*G222)</f>
        <v/>
      </c>
      <c r="I222" s="25" t="str">
        <f aca="false">IF(OR(A222="",B222=""),"",IFERROR(LOOKUP(2,1/(单次交易!$A$2:$A$201=A222),单次交易!$H$2:$H$201),0)+SUMIFS($G$2:$G$1001,$A$2:$A$1001,A222,$B$2:$B$1001,"&lt;"&amp;B222))</f>
        <v/>
      </c>
      <c r="J222" s="24" t="str">
        <f aca="false">IF(OR(A222="",B222=""),"",IFERROR(LOOKUP(2,1/(单次交易!$A$2:$A$201=A222),单次交易!$E$2:$E$201)*LOOKUP(2,1/(单次交易!$A$2:$A$201=A222),单次交易!$H$2:$H$201),0)+SUMIFS($H$2:$H$1001,$A$2:$A$1001,A222,$B$2:$B$1001,"&lt;"&amp;B222))</f>
        <v/>
      </c>
      <c r="K222" s="24" t="str">
        <f aca="false">IF(OR(E222="",I222="",J222=""),"",MAX(E222*I222-J222,0))</f>
        <v/>
      </c>
      <c r="L222" s="25" t="str">
        <f aca="false">IF(OR(D222="",E222="",F222="",D222&lt;=E222),"",FLOOR((F222+K222)/(D222-E222),100))</f>
        <v/>
      </c>
      <c r="M222" s="25" t="str">
        <f aca="false">IF(OR(A222="",B222="",L222=""),"",IF(B222=1,L222,IFERROR(SUMIFS($G$2:$G$1001,$A$2:$A$1001,A222,$B$2:$B$1001,B222-1),0)))</f>
        <v/>
      </c>
      <c r="N222" s="25" t="str">
        <f aca="false">IF(OR(L222="",M222=""),"",MIN(L222,M222))</f>
        <v/>
      </c>
      <c r="O222" s="25" t="str">
        <f aca="false">IF(OR(I222="",G222=""),"",I222+G222)</f>
        <v/>
      </c>
      <c r="P222" s="24" t="str">
        <f aca="false">IF(OR(O222="",O222=0),"",(J222+H222)/O222)</f>
        <v/>
      </c>
      <c r="Q222" s="24" t="str">
        <f aca="false">IF(OR(O222="",E222=""),"",MAX(J222+H222-E222*O222,0))</f>
        <v/>
      </c>
      <c r="R222" s="26" t="str">
        <f aca="false">IF(A222="","",IF(COUNTIF(_TradeIds,A222)=0,"违规：交易编号不存在",IF(OR(B222="",B222&lt;1,B222&gt;5,B222&lt;&gt;INT(B222)),"违规：加仓序号须为1到5的整数",IF(COUNTIFS($A$2:$A$1001,A222,$B$2:$B$1001,B222)&gt;1,"违规：同一交易的加仓序号重复",IF(OR(D222="",E222="",F222=""),"计划不完整：请填写加仓价、新止损价和风险预算",IF(OR(D222&lt;=0,E222&lt;=0,F222&lt;=0,D222&lt;=E222),"违规：加仓价必须高于新止损价，金额须大于0",IF(AND(B222&gt;1,COUNTIFS($A$2:$A$1001,A222,$B$2:$B$1001,B222-1,$G$2:$G$1001,"&gt;0")=0),"违规：须先完成上一次加仓",IF(AND(B222&gt;1,E222&lt;SUMIFS($E$2:$E$1001,$A$2:$A$1001,A222,$B$2:$B$1001,B222-1)),"违规：新止损价不得低于上一次",IF(AND(B222&gt;1,F222&gt;SUMIFS($F$2:$F$1001,$A$2:$A$1001,A222,$B$2:$B$1001,B222-1)),"违规：风险预算须逐次不增加",IF(OR(_LockStatus="已锁仓",_LockStatus="解锁信息不完整"),"违规：锁仓期间禁止加仓",IF(G222="","计划可执行：建议股数见N列",IF(OR(G222&lt;=0,G222&lt;&gt;INT(G222),MOD(G222,100)&lt;&gt;0),"违规：实际股数须为100股整数倍",IF(G222&gt;N222,"违规：实际股数超过风险或金字塔上限",IF(AND(B222&gt;1,G222&gt;SUMIFS($G$2:$G$1001,$A$2:$A$1001,A222,$B$2:$B$1001,B222-1)),"违规：加仓股数须逐次不增加",IF(Q222&gt;F222,"违规：止损风险超过本次预算","通过")))))))))))))))</f>
        <v/>
      </c>
    </row>
    <row r="223" customFormat="false" ht="15" hidden="false" customHeight="false" outlineLevel="0" collapsed="false">
      <c r="A223" s="20"/>
      <c r="B223" s="21"/>
      <c r="C223" s="22"/>
      <c r="D223" s="23"/>
      <c r="E223" s="23"/>
      <c r="F223" s="23"/>
      <c r="G223" s="21"/>
      <c r="H223" s="24" t="str">
        <f aca="false">IF(OR(A223="",D223="",G223=""),"",D223*G223)</f>
        <v/>
      </c>
      <c r="I223" s="25" t="str">
        <f aca="false">IF(OR(A223="",B223=""),"",IFERROR(LOOKUP(2,1/(单次交易!$A$2:$A$201=A223),单次交易!$H$2:$H$201),0)+SUMIFS($G$2:$G$1001,$A$2:$A$1001,A223,$B$2:$B$1001,"&lt;"&amp;B223))</f>
        <v/>
      </c>
      <c r="J223" s="24" t="str">
        <f aca="false">IF(OR(A223="",B223=""),"",IFERROR(LOOKUP(2,1/(单次交易!$A$2:$A$201=A223),单次交易!$E$2:$E$201)*LOOKUP(2,1/(单次交易!$A$2:$A$201=A223),单次交易!$H$2:$H$201),0)+SUMIFS($H$2:$H$1001,$A$2:$A$1001,A223,$B$2:$B$1001,"&lt;"&amp;B223))</f>
        <v/>
      </c>
      <c r="K223" s="24" t="str">
        <f aca="false">IF(OR(E223="",I223="",J223=""),"",MAX(E223*I223-J223,0))</f>
        <v/>
      </c>
      <c r="L223" s="25" t="str">
        <f aca="false">IF(OR(D223="",E223="",F223="",D223&lt;=E223),"",FLOOR((F223+K223)/(D223-E223),100))</f>
        <v/>
      </c>
      <c r="M223" s="25" t="str">
        <f aca="false">IF(OR(A223="",B223="",L223=""),"",IF(B223=1,L223,IFERROR(SUMIFS($G$2:$G$1001,$A$2:$A$1001,A223,$B$2:$B$1001,B223-1),0)))</f>
        <v/>
      </c>
      <c r="N223" s="25" t="str">
        <f aca="false">IF(OR(L223="",M223=""),"",MIN(L223,M223))</f>
        <v/>
      </c>
      <c r="O223" s="25" t="str">
        <f aca="false">IF(OR(I223="",G223=""),"",I223+G223)</f>
        <v/>
      </c>
      <c r="P223" s="24" t="str">
        <f aca="false">IF(OR(O223="",O223=0),"",(J223+H223)/O223)</f>
        <v/>
      </c>
      <c r="Q223" s="24" t="str">
        <f aca="false">IF(OR(O223="",E223=""),"",MAX(J223+H223-E223*O223,0))</f>
        <v/>
      </c>
      <c r="R223" s="26" t="str">
        <f aca="false">IF(A223="","",IF(COUNTIF(_TradeIds,A223)=0,"违规：交易编号不存在",IF(OR(B223="",B223&lt;1,B223&gt;5,B223&lt;&gt;INT(B223)),"违规：加仓序号须为1到5的整数",IF(COUNTIFS($A$2:$A$1001,A223,$B$2:$B$1001,B223)&gt;1,"违规：同一交易的加仓序号重复",IF(OR(D223="",E223="",F223=""),"计划不完整：请填写加仓价、新止损价和风险预算",IF(OR(D223&lt;=0,E223&lt;=0,F223&lt;=0,D223&lt;=E223),"违规：加仓价必须高于新止损价，金额须大于0",IF(AND(B223&gt;1,COUNTIFS($A$2:$A$1001,A223,$B$2:$B$1001,B223-1,$G$2:$G$1001,"&gt;0")=0),"违规：须先完成上一次加仓",IF(AND(B223&gt;1,E223&lt;SUMIFS($E$2:$E$1001,$A$2:$A$1001,A223,$B$2:$B$1001,B223-1)),"违规：新止损价不得低于上一次",IF(AND(B223&gt;1,F223&gt;SUMIFS($F$2:$F$1001,$A$2:$A$1001,A223,$B$2:$B$1001,B223-1)),"违规：风险预算须逐次不增加",IF(OR(_LockStatus="已锁仓",_LockStatus="解锁信息不完整"),"违规：锁仓期间禁止加仓",IF(G223="","计划可执行：建议股数见N列",IF(OR(G223&lt;=0,G223&lt;&gt;INT(G223),MOD(G223,100)&lt;&gt;0),"违规：实际股数须为100股整数倍",IF(G223&gt;N223,"违规：实际股数超过风险或金字塔上限",IF(AND(B223&gt;1,G223&gt;SUMIFS($G$2:$G$1001,$A$2:$A$1001,A223,$B$2:$B$1001,B223-1)),"违规：加仓股数须逐次不增加",IF(Q223&gt;F223,"违规：止损风险超过本次预算","通过")))))))))))))))</f>
        <v/>
      </c>
    </row>
    <row r="224" customFormat="false" ht="15" hidden="false" customHeight="false" outlineLevel="0" collapsed="false">
      <c r="A224" s="20"/>
      <c r="B224" s="21"/>
      <c r="C224" s="22"/>
      <c r="D224" s="23"/>
      <c r="E224" s="23"/>
      <c r="F224" s="23"/>
      <c r="G224" s="21"/>
      <c r="H224" s="24" t="str">
        <f aca="false">IF(OR(A224="",D224="",G224=""),"",D224*G224)</f>
        <v/>
      </c>
      <c r="I224" s="25" t="str">
        <f aca="false">IF(OR(A224="",B224=""),"",IFERROR(LOOKUP(2,1/(单次交易!$A$2:$A$201=A224),单次交易!$H$2:$H$201),0)+SUMIFS($G$2:$G$1001,$A$2:$A$1001,A224,$B$2:$B$1001,"&lt;"&amp;B224))</f>
        <v/>
      </c>
      <c r="J224" s="24" t="str">
        <f aca="false">IF(OR(A224="",B224=""),"",IFERROR(LOOKUP(2,1/(单次交易!$A$2:$A$201=A224),单次交易!$E$2:$E$201)*LOOKUP(2,1/(单次交易!$A$2:$A$201=A224),单次交易!$H$2:$H$201),0)+SUMIFS($H$2:$H$1001,$A$2:$A$1001,A224,$B$2:$B$1001,"&lt;"&amp;B224))</f>
        <v/>
      </c>
      <c r="K224" s="24" t="str">
        <f aca="false">IF(OR(E224="",I224="",J224=""),"",MAX(E224*I224-J224,0))</f>
        <v/>
      </c>
      <c r="L224" s="25" t="str">
        <f aca="false">IF(OR(D224="",E224="",F224="",D224&lt;=E224),"",FLOOR((F224+K224)/(D224-E224),100))</f>
        <v/>
      </c>
      <c r="M224" s="25" t="str">
        <f aca="false">IF(OR(A224="",B224="",L224=""),"",IF(B224=1,L224,IFERROR(SUMIFS($G$2:$G$1001,$A$2:$A$1001,A224,$B$2:$B$1001,B224-1),0)))</f>
        <v/>
      </c>
      <c r="N224" s="25" t="str">
        <f aca="false">IF(OR(L224="",M224=""),"",MIN(L224,M224))</f>
        <v/>
      </c>
      <c r="O224" s="25" t="str">
        <f aca="false">IF(OR(I224="",G224=""),"",I224+G224)</f>
        <v/>
      </c>
      <c r="P224" s="24" t="str">
        <f aca="false">IF(OR(O224="",O224=0),"",(J224+H224)/O224)</f>
        <v/>
      </c>
      <c r="Q224" s="24" t="str">
        <f aca="false">IF(OR(O224="",E224=""),"",MAX(J224+H224-E224*O224,0))</f>
        <v/>
      </c>
      <c r="R224" s="26" t="str">
        <f aca="false">IF(A224="","",IF(COUNTIF(_TradeIds,A224)=0,"违规：交易编号不存在",IF(OR(B224="",B224&lt;1,B224&gt;5,B224&lt;&gt;INT(B224)),"违规：加仓序号须为1到5的整数",IF(COUNTIFS($A$2:$A$1001,A224,$B$2:$B$1001,B224)&gt;1,"违规：同一交易的加仓序号重复",IF(OR(D224="",E224="",F224=""),"计划不完整：请填写加仓价、新止损价和风险预算",IF(OR(D224&lt;=0,E224&lt;=0,F224&lt;=0,D224&lt;=E224),"违规：加仓价必须高于新止损价，金额须大于0",IF(AND(B224&gt;1,COUNTIFS($A$2:$A$1001,A224,$B$2:$B$1001,B224-1,$G$2:$G$1001,"&gt;0")=0),"违规：须先完成上一次加仓",IF(AND(B224&gt;1,E224&lt;SUMIFS($E$2:$E$1001,$A$2:$A$1001,A224,$B$2:$B$1001,B224-1)),"违规：新止损价不得低于上一次",IF(AND(B224&gt;1,F224&gt;SUMIFS($F$2:$F$1001,$A$2:$A$1001,A224,$B$2:$B$1001,B224-1)),"违规：风险预算须逐次不增加",IF(OR(_LockStatus="已锁仓",_LockStatus="解锁信息不完整"),"违规：锁仓期间禁止加仓",IF(G224="","计划可执行：建议股数见N列",IF(OR(G224&lt;=0,G224&lt;&gt;INT(G224),MOD(G224,100)&lt;&gt;0),"违规：实际股数须为100股整数倍",IF(G224&gt;N224,"违规：实际股数超过风险或金字塔上限",IF(AND(B224&gt;1,G224&gt;SUMIFS($G$2:$G$1001,$A$2:$A$1001,A224,$B$2:$B$1001,B224-1)),"违规：加仓股数须逐次不增加",IF(Q224&gt;F224,"违规：止损风险超过本次预算","通过")))))))))))))))</f>
        <v/>
      </c>
    </row>
    <row r="225" customFormat="false" ht="15" hidden="false" customHeight="false" outlineLevel="0" collapsed="false">
      <c r="A225" s="20"/>
      <c r="B225" s="21"/>
      <c r="C225" s="22"/>
      <c r="D225" s="23"/>
      <c r="E225" s="23"/>
      <c r="F225" s="23"/>
      <c r="G225" s="21"/>
      <c r="H225" s="24" t="str">
        <f aca="false">IF(OR(A225="",D225="",G225=""),"",D225*G225)</f>
        <v/>
      </c>
      <c r="I225" s="25" t="str">
        <f aca="false">IF(OR(A225="",B225=""),"",IFERROR(LOOKUP(2,1/(单次交易!$A$2:$A$201=A225),单次交易!$H$2:$H$201),0)+SUMIFS($G$2:$G$1001,$A$2:$A$1001,A225,$B$2:$B$1001,"&lt;"&amp;B225))</f>
        <v/>
      </c>
      <c r="J225" s="24" t="str">
        <f aca="false">IF(OR(A225="",B225=""),"",IFERROR(LOOKUP(2,1/(单次交易!$A$2:$A$201=A225),单次交易!$E$2:$E$201)*LOOKUP(2,1/(单次交易!$A$2:$A$201=A225),单次交易!$H$2:$H$201),0)+SUMIFS($H$2:$H$1001,$A$2:$A$1001,A225,$B$2:$B$1001,"&lt;"&amp;B225))</f>
        <v/>
      </c>
      <c r="K225" s="24" t="str">
        <f aca="false">IF(OR(E225="",I225="",J225=""),"",MAX(E225*I225-J225,0))</f>
        <v/>
      </c>
      <c r="L225" s="25" t="str">
        <f aca="false">IF(OR(D225="",E225="",F225="",D225&lt;=E225),"",FLOOR((F225+K225)/(D225-E225),100))</f>
        <v/>
      </c>
      <c r="M225" s="25" t="str">
        <f aca="false">IF(OR(A225="",B225="",L225=""),"",IF(B225=1,L225,IFERROR(SUMIFS($G$2:$G$1001,$A$2:$A$1001,A225,$B$2:$B$1001,B225-1),0)))</f>
        <v/>
      </c>
      <c r="N225" s="25" t="str">
        <f aca="false">IF(OR(L225="",M225=""),"",MIN(L225,M225))</f>
        <v/>
      </c>
      <c r="O225" s="25" t="str">
        <f aca="false">IF(OR(I225="",G225=""),"",I225+G225)</f>
        <v/>
      </c>
      <c r="P225" s="24" t="str">
        <f aca="false">IF(OR(O225="",O225=0),"",(J225+H225)/O225)</f>
        <v/>
      </c>
      <c r="Q225" s="24" t="str">
        <f aca="false">IF(OR(O225="",E225=""),"",MAX(J225+H225-E225*O225,0))</f>
        <v/>
      </c>
      <c r="R225" s="26" t="str">
        <f aca="false">IF(A225="","",IF(COUNTIF(_TradeIds,A225)=0,"违规：交易编号不存在",IF(OR(B225="",B225&lt;1,B225&gt;5,B225&lt;&gt;INT(B225)),"违规：加仓序号须为1到5的整数",IF(COUNTIFS($A$2:$A$1001,A225,$B$2:$B$1001,B225)&gt;1,"违规：同一交易的加仓序号重复",IF(OR(D225="",E225="",F225=""),"计划不完整：请填写加仓价、新止损价和风险预算",IF(OR(D225&lt;=0,E225&lt;=0,F225&lt;=0,D225&lt;=E225),"违规：加仓价必须高于新止损价，金额须大于0",IF(AND(B225&gt;1,COUNTIFS($A$2:$A$1001,A225,$B$2:$B$1001,B225-1,$G$2:$G$1001,"&gt;0")=0),"违规：须先完成上一次加仓",IF(AND(B225&gt;1,E225&lt;SUMIFS($E$2:$E$1001,$A$2:$A$1001,A225,$B$2:$B$1001,B225-1)),"违规：新止损价不得低于上一次",IF(AND(B225&gt;1,F225&gt;SUMIFS($F$2:$F$1001,$A$2:$A$1001,A225,$B$2:$B$1001,B225-1)),"违规：风险预算须逐次不增加",IF(OR(_LockStatus="已锁仓",_LockStatus="解锁信息不完整"),"违规：锁仓期间禁止加仓",IF(G225="","计划可执行：建议股数见N列",IF(OR(G225&lt;=0,G225&lt;&gt;INT(G225),MOD(G225,100)&lt;&gt;0),"违规：实际股数须为100股整数倍",IF(G225&gt;N225,"违规：实际股数超过风险或金字塔上限",IF(AND(B225&gt;1,G225&gt;SUMIFS($G$2:$G$1001,$A$2:$A$1001,A225,$B$2:$B$1001,B225-1)),"违规：加仓股数须逐次不增加",IF(Q225&gt;F225,"违规：止损风险超过本次预算","通过")))))))))))))))</f>
        <v/>
      </c>
    </row>
    <row r="226" customFormat="false" ht="15" hidden="false" customHeight="false" outlineLevel="0" collapsed="false">
      <c r="A226" s="20"/>
      <c r="B226" s="21"/>
      <c r="C226" s="22"/>
      <c r="D226" s="23"/>
      <c r="E226" s="23"/>
      <c r="F226" s="23"/>
      <c r="G226" s="21"/>
      <c r="H226" s="24" t="str">
        <f aca="false">IF(OR(A226="",D226="",G226=""),"",D226*G226)</f>
        <v/>
      </c>
      <c r="I226" s="25" t="str">
        <f aca="false">IF(OR(A226="",B226=""),"",IFERROR(LOOKUP(2,1/(单次交易!$A$2:$A$201=A226),单次交易!$H$2:$H$201),0)+SUMIFS($G$2:$G$1001,$A$2:$A$1001,A226,$B$2:$B$1001,"&lt;"&amp;B226))</f>
        <v/>
      </c>
      <c r="J226" s="24" t="str">
        <f aca="false">IF(OR(A226="",B226=""),"",IFERROR(LOOKUP(2,1/(单次交易!$A$2:$A$201=A226),单次交易!$E$2:$E$201)*LOOKUP(2,1/(单次交易!$A$2:$A$201=A226),单次交易!$H$2:$H$201),0)+SUMIFS($H$2:$H$1001,$A$2:$A$1001,A226,$B$2:$B$1001,"&lt;"&amp;B226))</f>
        <v/>
      </c>
      <c r="K226" s="24" t="str">
        <f aca="false">IF(OR(E226="",I226="",J226=""),"",MAX(E226*I226-J226,0))</f>
        <v/>
      </c>
      <c r="L226" s="25" t="str">
        <f aca="false">IF(OR(D226="",E226="",F226="",D226&lt;=E226),"",FLOOR((F226+K226)/(D226-E226),100))</f>
        <v/>
      </c>
      <c r="M226" s="25" t="str">
        <f aca="false">IF(OR(A226="",B226="",L226=""),"",IF(B226=1,L226,IFERROR(SUMIFS($G$2:$G$1001,$A$2:$A$1001,A226,$B$2:$B$1001,B226-1),0)))</f>
        <v/>
      </c>
      <c r="N226" s="25" t="str">
        <f aca="false">IF(OR(L226="",M226=""),"",MIN(L226,M226))</f>
        <v/>
      </c>
      <c r="O226" s="25" t="str">
        <f aca="false">IF(OR(I226="",G226=""),"",I226+G226)</f>
        <v/>
      </c>
      <c r="P226" s="24" t="str">
        <f aca="false">IF(OR(O226="",O226=0),"",(J226+H226)/O226)</f>
        <v/>
      </c>
      <c r="Q226" s="24" t="str">
        <f aca="false">IF(OR(O226="",E226=""),"",MAX(J226+H226-E226*O226,0))</f>
        <v/>
      </c>
      <c r="R226" s="26" t="str">
        <f aca="false">IF(A226="","",IF(COUNTIF(_TradeIds,A226)=0,"违规：交易编号不存在",IF(OR(B226="",B226&lt;1,B226&gt;5,B226&lt;&gt;INT(B226)),"违规：加仓序号须为1到5的整数",IF(COUNTIFS($A$2:$A$1001,A226,$B$2:$B$1001,B226)&gt;1,"违规：同一交易的加仓序号重复",IF(OR(D226="",E226="",F226=""),"计划不完整：请填写加仓价、新止损价和风险预算",IF(OR(D226&lt;=0,E226&lt;=0,F226&lt;=0,D226&lt;=E226),"违规：加仓价必须高于新止损价，金额须大于0",IF(AND(B226&gt;1,COUNTIFS($A$2:$A$1001,A226,$B$2:$B$1001,B226-1,$G$2:$G$1001,"&gt;0")=0),"违规：须先完成上一次加仓",IF(AND(B226&gt;1,E226&lt;SUMIFS($E$2:$E$1001,$A$2:$A$1001,A226,$B$2:$B$1001,B226-1)),"违规：新止损价不得低于上一次",IF(AND(B226&gt;1,F226&gt;SUMIFS($F$2:$F$1001,$A$2:$A$1001,A226,$B$2:$B$1001,B226-1)),"违规：风险预算须逐次不增加",IF(OR(_LockStatus="已锁仓",_LockStatus="解锁信息不完整"),"违规：锁仓期间禁止加仓",IF(G226="","计划可执行：建议股数见N列",IF(OR(G226&lt;=0,G226&lt;&gt;INT(G226),MOD(G226,100)&lt;&gt;0),"违规：实际股数须为100股整数倍",IF(G226&gt;N226,"违规：实际股数超过风险或金字塔上限",IF(AND(B226&gt;1,G226&gt;SUMIFS($G$2:$G$1001,$A$2:$A$1001,A226,$B$2:$B$1001,B226-1)),"违规：加仓股数须逐次不增加",IF(Q226&gt;F226,"违规：止损风险超过本次预算","通过")))))))))))))))</f>
        <v/>
      </c>
    </row>
    <row r="227" customFormat="false" ht="15" hidden="false" customHeight="false" outlineLevel="0" collapsed="false">
      <c r="A227" s="20"/>
      <c r="B227" s="21"/>
      <c r="C227" s="22"/>
      <c r="D227" s="23"/>
      <c r="E227" s="23"/>
      <c r="F227" s="23"/>
      <c r="G227" s="21"/>
      <c r="H227" s="24" t="str">
        <f aca="false">IF(OR(A227="",D227="",G227=""),"",D227*G227)</f>
        <v/>
      </c>
      <c r="I227" s="25" t="str">
        <f aca="false">IF(OR(A227="",B227=""),"",IFERROR(LOOKUP(2,1/(单次交易!$A$2:$A$201=A227),单次交易!$H$2:$H$201),0)+SUMIFS($G$2:$G$1001,$A$2:$A$1001,A227,$B$2:$B$1001,"&lt;"&amp;B227))</f>
        <v/>
      </c>
      <c r="J227" s="24" t="str">
        <f aca="false">IF(OR(A227="",B227=""),"",IFERROR(LOOKUP(2,1/(单次交易!$A$2:$A$201=A227),单次交易!$E$2:$E$201)*LOOKUP(2,1/(单次交易!$A$2:$A$201=A227),单次交易!$H$2:$H$201),0)+SUMIFS($H$2:$H$1001,$A$2:$A$1001,A227,$B$2:$B$1001,"&lt;"&amp;B227))</f>
        <v/>
      </c>
      <c r="K227" s="24" t="str">
        <f aca="false">IF(OR(E227="",I227="",J227=""),"",MAX(E227*I227-J227,0))</f>
        <v/>
      </c>
      <c r="L227" s="25" t="str">
        <f aca="false">IF(OR(D227="",E227="",F227="",D227&lt;=E227),"",FLOOR((F227+K227)/(D227-E227),100))</f>
        <v/>
      </c>
      <c r="M227" s="25" t="str">
        <f aca="false">IF(OR(A227="",B227="",L227=""),"",IF(B227=1,L227,IFERROR(SUMIFS($G$2:$G$1001,$A$2:$A$1001,A227,$B$2:$B$1001,B227-1),0)))</f>
        <v/>
      </c>
      <c r="N227" s="25" t="str">
        <f aca="false">IF(OR(L227="",M227=""),"",MIN(L227,M227))</f>
        <v/>
      </c>
      <c r="O227" s="25" t="str">
        <f aca="false">IF(OR(I227="",G227=""),"",I227+G227)</f>
        <v/>
      </c>
      <c r="P227" s="24" t="str">
        <f aca="false">IF(OR(O227="",O227=0),"",(J227+H227)/O227)</f>
        <v/>
      </c>
      <c r="Q227" s="24" t="str">
        <f aca="false">IF(OR(O227="",E227=""),"",MAX(J227+H227-E227*O227,0))</f>
        <v/>
      </c>
      <c r="R227" s="26" t="str">
        <f aca="false">IF(A227="","",IF(COUNTIF(_TradeIds,A227)=0,"违规：交易编号不存在",IF(OR(B227="",B227&lt;1,B227&gt;5,B227&lt;&gt;INT(B227)),"违规：加仓序号须为1到5的整数",IF(COUNTIFS($A$2:$A$1001,A227,$B$2:$B$1001,B227)&gt;1,"违规：同一交易的加仓序号重复",IF(OR(D227="",E227="",F227=""),"计划不完整：请填写加仓价、新止损价和风险预算",IF(OR(D227&lt;=0,E227&lt;=0,F227&lt;=0,D227&lt;=E227),"违规：加仓价必须高于新止损价，金额须大于0",IF(AND(B227&gt;1,COUNTIFS($A$2:$A$1001,A227,$B$2:$B$1001,B227-1,$G$2:$G$1001,"&gt;0")=0),"违规：须先完成上一次加仓",IF(AND(B227&gt;1,E227&lt;SUMIFS($E$2:$E$1001,$A$2:$A$1001,A227,$B$2:$B$1001,B227-1)),"违规：新止损价不得低于上一次",IF(AND(B227&gt;1,F227&gt;SUMIFS($F$2:$F$1001,$A$2:$A$1001,A227,$B$2:$B$1001,B227-1)),"违规：风险预算须逐次不增加",IF(OR(_LockStatus="已锁仓",_LockStatus="解锁信息不完整"),"违规：锁仓期间禁止加仓",IF(G227="","计划可执行：建议股数见N列",IF(OR(G227&lt;=0,G227&lt;&gt;INT(G227),MOD(G227,100)&lt;&gt;0),"违规：实际股数须为100股整数倍",IF(G227&gt;N227,"违规：实际股数超过风险或金字塔上限",IF(AND(B227&gt;1,G227&gt;SUMIFS($G$2:$G$1001,$A$2:$A$1001,A227,$B$2:$B$1001,B227-1)),"违规：加仓股数须逐次不增加",IF(Q227&gt;F227,"违规：止损风险超过本次预算","通过")))))))))))))))</f>
        <v/>
      </c>
    </row>
    <row r="228" customFormat="false" ht="15" hidden="false" customHeight="false" outlineLevel="0" collapsed="false">
      <c r="A228" s="20"/>
      <c r="B228" s="21"/>
      <c r="C228" s="22"/>
      <c r="D228" s="23"/>
      <c r="E228" s="23"/>
      <c r="F228" s="23"/>
      <c r="G228" s="21"/>
      <c r="H228" s="24" t="str">
        <f aca="false">IF(OR(A228="",D228="",G228=""),"",D228*G228)</f>
        <v/>
      </c>
      <c r="I228" s="25" t="str">
        <f aca="false">IF(OR(A228="",B228=""),"",IFERROR(LOOKUP(2,1/(单次交易!$A$2:$A$201=A228),单次交易!$H$2:$H$201),0)+SUMIFS($G$2:$G$1001,$A$2:$A$1001,A228,$B$2:$B$1001,"&lt;"&amp;B228))</f>
        <v/>
      </c>
      <c r="J228" s="24" t="str">
        <f aca="false">IF(OR(A228="",B228=""),"",IFERROR(LOOKUP(2,1/(单次交易!$A$2:$A$201=A228),单次交易!$E$2:$E$201)*LOOKUP(2,1/(单次交易!$A$2:$A$201=A228),单次交易!$H$2:$H$201),0)+SUMIFS($H$2:$H$1001,$A$2:$A$1001,A228,$B$2:$B$1001,"&lt;"&amp;B228))</f>
        <v/>
      </c>
      <c r="K228" s="24" t="str">
        <f aca="false">IF(OR(E228="",I228="",J228=""),"",MAX(E228*I228-J228,0))</f>
        <v/>
      </c>
      <c r="L228" s="25" t="str">
        <f aca="false">IF(OR(D228="",E228="",F228="",D228&lt;=E228),"",FLOOR((F228+K228)/(D228-E228),100))</f>
        <v/>
      </c>
      <c r="M228" s="25" t="str">
        <f aca="false">IF(OR(A228="",B228="",L228=""),"",IF(B228=1,L228,IFERROR(SUMIFS($G$2:$G$1001,$A$2:$A$1001,A228,$B$2:$B$1001,B228-1),0)))</f>
        <v/>
      </c>
      <c r="N228" s="25" t="str">
        <f aca="false">IF(OR(L228="",M228=""),"",MIN(L228,M228))</f>
        <v/>
      </c>
      <c r="O228" s="25" t="str">
        <f aca="false">IF(OR(I228="",G228=""),"",I228+G228)</f>
        <v/>
      </c>
      <c r="P228" s="24" t="str">
        <f aca="false">IF(OR(O228="",O228=0),"",(J228+H228)/O228)</f>
        <v/>
      </c>
      <c r="Q228" s="24" t="str">
        <f aca="false">IF(OR(O228="",E228=""),"",MAX(J228+H228-E228*O228,0))</f>
        <v/>
      </c>
      <c r="R228" s="26" t="str">
        <f aca="false">IF(A228="","",IF(COUNTIF(_TradeIds,A228)=0,"违规：交易编号不存在",IF(OR(B228="",B228&lt;1,B228&gt;5,B228&lt;&gt;INT(B228)),"违规：加仓序号须为1到5的整数",IF(COUNTIFS($A$2:$A$1001,A228,$B$2:$B$1001,B228)&gt;1,"违规：同一交易的加仓序号重复",IF(OR(D228="",E228="",F228=""),"计划不完整：请填写加仓价、新止损价和风险预算",IF(OR(D228&lt;=0,E228&lt;=0,F228&lt;=0,D228&lt;=E228),"违规：加仓价必须高于新止损价，金额须大于0",IF(AND(B228&gt;1,COUNTIFS($A$2:$A$1001,A228,$B$2:$B$1001,B228-1,$G$2:$G$1001,"&gt;0")=0),"违规：须先完成上一次加仓",IF(AND(B228&gt;1,E228&lt;SUMIFS($E$2:$E$1001,$A$2:$A$1001,A228,$B$2:$B$1001,B228-1)),"违规：新止损价不得低于上一次",IF(AND(B228&gt;1,F228&gt;SUMIFS($F$2:$F$1001,$A$2:$A$1001,A228,$B$2:$B$1001,B228-1)),"违规：风险预算须逐次不增加",IF(OR(_LockStatus="已锁仓",_LockStatus="解锁信息不完整"),"违规：锁仓期间禁止加仓",IF(G228="","计划可执行：建议股数见N列",IF(OR(G228&lt;=0,G228&lt;&gt;INT(G228),MOD(G228,100)&lt;&gt;0),"违规：实际股数须为100股整数倍",IF(G228&gt;N228,"违规：实际股数超过风险或金字塔上限",IF(AND(B228&gt;1,G228&gt;SUMIFS($G$2:$G$1001,$A$2:$A$1001,A228,$B$2:$B$1001,B228-1)),"违规：加仓股数须逐次不增加",IF(Q228&gt;F228,"违规：止损风险超过本次预算","通过")))))))))))))))</f>
        <v/>
      </c>
    </row>
    <row r="229" customFormat="false" ht="15" hidden="false" customHeight="false" outlineLevel="0" collapsed="false">
      <c r="A229" s="20"/>
      <c r="B229" s="21"/>
      <c r="C229" s="22"/>
      <c r="D229" s="23"/>
      <c r="E229" s="23"/>
      <c r="F229" s="23"/>
      <c r="G229" s="21"/>
      <c r="H229" s="24" t="str">
        <f aca="false">IF(OR(A229="",D229="",G229=""),"",D229*G229)</f>
        <v/>
      </c>
      <c r="I229" s="25" t="str">
        <f aca="false">IF(OR(A229="",B229=""),"",IFERROR(LOOKUP(2,1/(单次交易!$A$2:$A$201=A229),单次交易!$H$2:$H$201),0)+SUMIFS($G$2:$G$1001,$A$2:$A$1001,A229,$B$2:$B$1001,"&lt;"&amp;B229))</f>
        <v/>
      </c>
      <c r="J229" s="24" t="str">
        <f aca="false">IF(OR(A229="",B229=""),"",IFERROR(LOOKUP(2,1/(单次交易!$A$2:$A$201=A229),单次交易!$E$2:$E$201)*LOOKUP(2,1/(单次交易!$A$2:$A$201=A229),单次交易!$H$2:$H$201),0)+SUMIFS($H$2:$H$1001,$A$2:$A$1001,A229,$B$2:$B$1001,"&lt;"&amp;B229))</f>
        <v/>
      </c>
      <c r="K229" s="24" t="str">
        <f aca="false">IF(OR(E229="",I229="",J229=""),"",MAX(E229*I229-J229,0))</f>
        <v/>
      </c>
      <c r="L229" s="25" t="str">
        <f aca="false">IF(OR(D229="",E229="",F229="",D229&lt;=E229),"",FLOOR((F229+K229)/(D229-E229),100))</f>
        <v/>
      </c>
      <c r="M229" s="25" t="str">
        <f aca="false">IF(OR(A229="",B229="",L229=""),"",IF(B229=1,L229,IFERROR(SUMIFS($G$2:$G$1001,$A$2:$A$1001,A229,$B$2:$B$1001,B229-1),0)))</f>
        <v/>
      </c>
      <c r="N229" s="25" t="str">
        <f aca="false">IF(OR(L229="",M229=""),"",MIN(L229,M229))</f>
        <v/>
      </c>
      <c r="O229" s="25" t="str">
        <f aca="false">IF(OR(I229="",G229=""),"",I229+G229)</f>
        <v/>
      </c>
      <c r="P229" s="24" t="str">
        <f aca="false">IF(OR(O229="",O229=0),"",(J229+H229)/O229)</f>
        <v/>
      </c>
      <c r="Q229" s="24" t="str">
        <f aca="false">IF(OR(O229="",E229=""),"",MAX(J229+H229-E229*O229,0))</f>
        <v/>
      </c>
      <c r="R229" s="26" t="str">
        <f aca="false">IF(A229="","",IF(COUNTIF(_TradeIds,A229)=0,"违规：交易编号不存在",IF(OR(B229="",B229&lt;1,B229&gt;5,B229&lt;&gt;INT(B229)),"违规：加仓序号须为1到5的整数",IF(COUNTIFS($A$2:$A$1001,A229,$B$2:$B$1001,B229)&gt;1,"违规：同一交易的加仓序号重复",IF(OR(D229="",E229="",F229=""),"计划不完整：请填写加仓价、新止损价和风险预算",IF(OR(D229&lt;=0,E229&lt;=0,F229&lt;=0,D229&lt;=E229),"违规：加仓价必须高于新止损价，金额须大于0",IF(AND(B229&gt;1,COUNTIFS($A$2:$A$1001,A229,$B$2:$B$1001,B229-1,$G$2:$G$1001,"&gt;0")=0),"违规：须先完成上一次加仓",IF(AND(B229&gt;1,E229&lt;SUMIFS($E$2:$E$1001,$A$2:$A$1001,A229,$B$2:$B$1001,B229-1)),"违规：新止损价不得低于上一次",IF(AND(B229&gt;1,F229&gt;SUMIFS($F$2:$F$1001,$A$2:$A$1001,A229,$B$2:$B$1001,B229-1)),"违规：风险预算须逐次不增加",IF(OR(_LockStatus="已锁仓",_LockStatus="解锁信息不完整"),"违规：锁仓期间禁止加仓",IF(G229="","计划可执行：建议股数见N列",IF(OR(G229&lt;=0,G229&lt;&gt;INT(G229),MOD(G229,100)&lt;&gt;0),"违规：实际股数须为100股整数倍",IF(G229&gt;N229,"违规：实际股数超过风险或金字塔上限",IF(AND(B229&gt;1,G229&gt;SUMIFS($G$2:$G$1001,$A$2:$A$1001,A229,$B$2:$B$1001,B229-1)),"违规：加仓股数须逐次不增加",IF(Q229&gt;F229,"违规：止损风险超过本次预算","通过")))))))))))))))</f>
        <v/>
      </c>
    </row>
    <row r="230" customFormat="false" ht="15" hidden="false" customHeight="false" outlineLevel="0" collapsed="false">
      <c r="A230" s="20"/>
      <c r="B230" s="21"/>
      <c r="C230" s="22"/>
      <c r="D230" s="23"/>
      <c r="E230" s="23"/>
      <c r="F230" s="23"/>
      <c r="G230" s="21"/>
      <c r="H230" s="24" t="str">
        <f aca="false">IF(OR(A230="",D230="",G230=""),"",D230*G230)</f>
        <v/>
      </c>
      <c r="I230" s="25" t="str">
        <f aca="false">IF(OR(A230="",B230=""),"",IFERROR(LOOKUP(2,1/(单次交易!$A$2:$A$201=A230),单次交易!$H$2:$H$201),0)+SUMIFS($G$2:$G$1001,$A$2:$A$1001,A230,$B$2:$B$1001,"&lt;"&amp;B230))</f>
        <v/>
      </c>
      <c r="J230" s="24" t="str">
        <f aca="false">IF(OR(A230="",B230=""),"",IFERROR(LOOKUP(2,1/(单次交易!$A$2:$A$201=A230),单次交易!$E$2:$E$201)*LOOKUP(2,1/(单次交易!$A$2:$A$201=A230),单次交易!$H$2:$H$201),0)+SUMIFS($H$2:$H$1001,$A$2:$A$1001,A230,$B$2:$B$1001,"&lt;"&amp;B230))</f>
        <v/>
      </c>
      <c r="K230" s="24" t="str">
        <f aca="false">IF(OR(E230="",I230="",J230=""),"",MAX(E230*I230-J230,0))</f>
        <v/>
      </c>
      <c r="L230" s="25" t="str">
        <f aca="false">IF(OR(D230="",E230="",F230="",D230&lt;=E230),"",FLOOR((F230+K230)/(D230-E230),100))</f>
        <v/>
      </c>
      <c r="M230" s="25" t="str">
        <f aca="false">IF(OR(A230="",B230="",L230=""),"",IF(B230=1,L230,IFERROR(SUMIFS($G$2:$G$1001,$A$2:$A$1001,A230,$B$2:$B$1001,B230-1),0)))</f>
        <v/>
      </c>
      <c r="N230" s="25" t="str">
        <f aca="false">IF(OR(L230="",M230=""),"",MIN(L230,M230))</f>
        <v/>
      </c>
      <c r="O230" s="25" t="str">
        <f aca="false">IF(OR(I230="",G230=""),"",I230+G230)</f>
        <v/>
      </c>
      <c r="P230" s="24" t="str">
        <f aca="false">IF(OR(O230="",O230=0),"",(J230+H230)/O230)</f>
        <v/>
      </c>
      <c r="Q230" s="24" t="str">
        <f aca="false">IF(OR(O230="",E230=""),"",MAX(J230+H230-E230*O230,0))</f>
        <v/>
      </c>
      <c r="R230" s="26" t="str">
        <f aca="false">IF(A230="","",IF(COUNTIF(_TradeIds,A230)=0,"违规：交易编号不存在",IF(OR(B230="",B230&lt;1,B230&gt;5,B230&lt;&gt;INT(B230)),"违规：加仓序号须为1到5的整数",IF(COUNTIFS($A$2:$A$1001,A230,$B$2:$B$1001,B230)&gt;1,"违规：同一交易的加仓序号重复",IF(OR(D230="",E230="",F230=""),"计划不完整：请填写加仓价、新止损价和风险预算",IF(OR(D230&lt;=0,E230&lt;=0,F230&lt;=0,D230&lt;=E230),"违规：加仓价必须高于新止损价，金额须大于0",IF(AND(B230&gt;1,COUNTIFS($A$2:$A$1001,A230,$B$2:$B$1001,B230-1,$G$2:$G$1001,"&gt;0")=0),"违规：须先完成上一次加仓",IF(AND(B230&gt;1,E230&lt;SUMIFS($E$2:$E$1001,$A$2:$A$1001,A230,$B$2:$B$1001,B230-1)),"违规：新止损价不得低于上一次",IF(AND(B230&gt;1,F230&gt;SUMIFS($F$2:$F$1001,$A$2:$A$1001,A230,$B$2:$B$1001,B230-1)),"违规：风险预算须逐次不增加",IF(OR(_LockStatus="已锁仓",_LockStatus="解锁信息不完整"),"违规：锁仓期间禁止加仓",IF(G230="","计划可执行：建议股数见N列",IF(OR(G230&lt;=0,G230&lt;&gt;INT(G230),MOD(G230,100)&lt;&gt;0),"违规：实际股数须为100股整数倍",IF(G230&gt;N230,"违规：实际股数超过风险或金字塔上限",IF(AND(B230&gt;1,G230&gt;SUMIFS($G$2:$G$1001,$A$2:$A$1001,A230,$B$2:$B$1001,B230-1)),"违规：加仓股数须逐次不增加",IF(Q230&gt;F230,"违规：止损风险超过本次预算","通过")))))))))))))))</f>
        <v/>
      </c>
    </row>
    <row r="231" customFormat="false" ht="15" hidden="false" customHeight="false" outlineLevel="0" collapsed="false">
      <c r="A231" s="20"/>
      <c r="B231" s="21"/>
      <c r="C231" s="22"/>
      <c r="D231" s="23"/>
      <c r="E231" s="23"/>
      <c r="F231" s="23"/>
      <c r="G231" s="21"/>
      <c r="H231" s="24" t="str">
        <f aca="false">IF(OR(A231="",D231="",G231=""),"",D231*G231)</f>
        <v/>
      </c>
      <c r="I231" s="25" t="str">
        <f aca="false">IF(OR(A231="",B231=""),"",IFERROR(LOOKUP(2,1/(单次交易!$A$2:$A$201=A231),单次交易!$H$2:$H$201),0)+SUMIFS($G$2:$G$1001,$A$2:$A$1001,A231,$B$2:$B$1001,"&lt;"&amp;B231))</f>
        <v/>
      </c>
      <c r="J231" s="24" t="str">
        <f aca="false">IF(OR(A231="",B231=""),"",IFERROR(LOOKUP(2,1/(单次交易!$A$2:$A$201=A231),单次交易!$E$2:$E$201)*LOOKUP(2,1/(单次交易!$A$2:$A$201=A231),单次交易!$H$2:$H$201),0)+SUMIFS($H$2:$H$1001,$A$2:$A$1001,A231,$B$2:$B$1001,"&lt;"&amp;B231))</f>
        <v/>
      </c>
      <c r="K231" s="24" t="str">
        <f aca="false">IF(OR(E231="",I231="",J231=""),"",MAX(E231*I231-J231,0))</f>
        <v/>
      </c>
      <c r="L231" s="25" t="str">
        <f aca="false">IF(OR(D231="",E231="",F231="",D231&lt;=E231),"",FLOOR((F231+K231)/(D231-E231),100))</f>
        <v/>
      </c>
      <c r="M231" s="25" t="str">
        <f aca="false">IF(OR(A231="",B231="",L231=""),"",IF(B231=1,L231,IFERROR(SUMIFS($G$2:$G$1001,$A$2:$A$1001,A231,$B$2:$B$1001,B231-1),0)))</f>
        <v/>
      </c>
      <c r="N231" s="25" t="str">
        <f aca="false">IF(OR(L231="",M231=""),"",MIN(L231,M231))</f>
        <v/>
      </c>
      <c r="O231" s="25" t="str">
        <f aca="false">IF(OR(I231="",G231=""),"",I231+G231)</f>
        <v/>
      </c>
      <c r="P231" s="24" t="str">
        <f aca="false">IF(OR(O231="",O231=0),"",(J231+H231)/O231)</f>
        <v/>
      </c>
      <c r="Q231" s="24" t="str">
        <f aca="false">IF(OR(O231="",E231=""),"",MAX(J231+H231-E231*O231,0))</f>
        <v/>
      </c>
      <c r="R231" s="26" t="str">
        <f aca="false">IF(A231="","",IF(COUNTIF(_TradeIds,A231)=0,"违规：交易编号不存在",IF(OR(B231="",B231&lt;1,B231&gt;5,B231&lt;&gt;INT(B231)),"违规：加仓序号须为1到5的整数",IF(COUNTIFS($A$2:$A$1001,A231,$B$2:$B$1001,B231)&gt;1,"违规：同一交易的加仓序号重复",IF(OR(D231="",E231="",F231=""),"计划不完整：请填写加仓价、新止损价和风险预算",IF(OR(D231&lt;=0,E231&lt;=0,F231&lt;=0,D231&lt;=E231),"违规：加仓价必须高于新止损价，金额须大于0",IF(AND(B231&gt;1,COUNTIFS($A$2:$A$1001,A231,$B$2:$B$1001,B231-1,$G$2:$G$1001,"&gt;0")=0),"违规：须先完成上一次加仓",IF(AND(B231&gt;1,E231&lt;SUMIFS($E$2:$E$1001,$A$2:$A$1001,A231,$B$2:$B$1001,B231-1)),"违规：新止损价不得低于上一次",IF(AND(B231&gt;1,F231&gt;SUMIFS($F$2:$F$1001,$A$2:$A$1001,A231,$B$2:$B$1001,B231-1)),"违规：风险预算须逐次不增加",IF(OR(_LockStatus="已锁仓",_LockStatus="解锁信息不完整"),"违规：锁仓期间禁止加仓",IF(G231="","计划可执行：建议股数见N列",IF(OR(G231&lt;=0,G231&lt;&gt;INT(G231),MOD(G231,100)&lt;&gt;0),"违规：实际股数须为100股整数倍",IF(G231&gt;N231,"违规：实际股数超过风险或金字塔上限",IF(AND(B231&gt;1,G231&gt;SUMIFS($G$2:$G$1001,$A$2:$A$1001,A231,$B$2:$B$1001,B231-1)),"违规：加仓股数须逐次不增加",IF(Q231&gt;F231,"违规：止损风险超过本次预算","通过")))))))))))))))</f>
        <v/>
      </c>
    </row>
    <row r="232" customFormat="false" ht="15" hidden="false" customHeight="false" outlineLevel="0" collapsed="false">
      <c r="A232" s="20"/>
      <c r="B232" s="21"/>
      <c r="C232" s="22"/>
      <c r="D232" s="23"/>
      <c r="E232" s="23"/>
      <c r="F232" s="23"/>
      <c r="G232" s="21"/>
      <c r="H232" s="24" t="str">
        <f aca="false">IF(OR(A232="",D232="",G232=""),"",D232*G232)</f>
        <v/>
      </c>
      <c r="I232" s="25" t="str">
        <f aca="false">IF(OR(A232="",B232=""),"",IFERROR(LOOKUP(2,1/(单次交易!$A$2:$A$201=A232),单次交易!$H$2:$H$201),0)+SUMIFS($G$2:$G$1001,$A$2:$A$1001,A232,$B$2:$B$1001,"&lt;"&amp;B232))</f>
        <v/>
      </c>
      <c r="J232" s="24" t="str">
        <f aca="false">IF(OR(A232="",B232=""),"",IFERROR(LOOKUP(2,1/(单次交易!$A$2:$A$201=A232),单次交易!$E$2:$E$201)*LOOKUP(2,1/(单次交易!$A$2:$A$201=A232),单次交易!$H$2:$H$201),0)+SUMIFS($H$2:$H$1001,$A$2:$A$1001,A232,$B$2:$B$1001,"&lt;"&amp;B232))</f>
        <v/>
      </c>
      <c r="K232" s="24" t="str">
        <f aca="false">IF(OR(E232="",I232="",J232=""),"",MAX(E232*I232-J232,0))</f>
        <v/>
      </c>
      <c r="L232" s="25" t="str">
        <f aca="false">IF(OR(D232="",E232="",F232="",D232&lt;=E232),"",FLOOR((F232+K232)/(D232-E232),100))</f>
        <v/>
      </c>
      <c r="M232" s="25" t="str">
        <f aca="false">IF(OR(A232="",B232="",L232=""),"",IF(B232=1,L232,IFERROR(SUMIFS($G$2:$G$1001,$A$2:$A$1001,A232,$B$2:$B$1001,B232-1),0)))</f>
        <v/>
      </c>
      <c r="N232" s="25" t="str">
        <f aca="false">IF(OR(L232="",M232=""),"",MIN(L232,M232))</f>
        <v/>
      </c>
      <c r="O232" s="25" t="str">
        <f aca="false">IF(OR(I232="",G232=""),"",I232+G232)</f>
        <v/>
      </c>
      <c r="P232" s="24" t="str">
        <f aca="false">IF(OR(O232="",O232=0),"",(J232+H232)/O232)</f>
        <v/>
      </c>
      <c r="Q232" s="24" t="str">
        <f aca="false">IF(OR(O232="",E232=""),"",MAX(J232+H232-E232*O232,0))</f>
        <v/>
      </c>
      <c r="R232" s="26" t="str">
        <f aca="false">IF(A232="","",IF(COUNTIF(_TradeIds,A232)=0,"违规：交易编号不存在",IF(OR(B232="",B232&lt;1,B232&gt;5,B232&lt;&gt;INT(B232)),"违规：加仓序号须为1到5的整数",IF(COUNTIFS($A$2:$A$1001,A232,$B$2:$B$1001,B232)&gt;1,"违规：同一交易的加仓序号重复",IF(OR(D232="",E232="",F232=""),"计划不完整：请填写加仓价、新止损价和风险预算",IF(OR(D232&lt;=0,E232&lt;=0,F232&lt;=0,D232&lt;=E232),"违规：加仓价必须高于新止损价，金额须大于0",IF(AND(B232&gt;1,COUNTIFS($A$2:$A$1001,A232,$B$2:$B$1001,B232-1,$G$2:$G$1001,"&gt;0")=0),"违规：须先完成上一次加仓",IF(AND(B232&gt;1,E232&lt;SUMIFS($E$2:$E$1001,$A$2:$A$1001,A232,$B$2:$B$1001,B232-1)),"违规：新止损价不得低于上一次",IF(AND(B232&gt;1,F232&gt;SUMIFS($F$2:$F$1001,$A$2:$A$1001,A232,$B$2:$B$1001,B232-1)),"违规：风险预算须逐次不增加",IF(OR(_LockStatus="已锁仓",_LockStatus="解锁信息不完整"),"违规：锁仓期间禁止加仓",IF(G232="","计划可执行：建议股数见N列",IF(OR(G232&lt;=0,G232&lt;&gt;INT(G232),MOD(G232,100)&lt;&gt;0),"违规：实际股数须为100股整数倍",IF(G232&gt;N232,"违规：实际股数超过风险或金字塔上限",IF(AND(B232&gt;1,G232&gt;SUMIFS($G$2:$G$1001,$A$2:$A$1001,A232,$B$2:$B$1001,B232-1)),"违规：加仓股数须逐次不增加",IF(Q232&gt;F232,"违规：止损风险超过本次预算","通过")))))))))))))))</f>
        <v/>
      </c>
    </row>
    <row r="233" customFormat="false" ht="15" hidden="false" customHeight="false" outlineLevel="0" collapsed="false">
      <c r="A233" s="20"/>
      <c r="B233" s="21"/>
      <c r="C233" s="22"/>
      <c r="D233" s="23"/>
      <c r="E233" s="23"/>
      <c r="F233" s="23"/>
      <c r="G233" s="21"/>
      <c r="H233" s="24" t="str">
        <f aca="false">IF(OR(A233="",D233="",G233=""),"",D233*G233)</f>
        <v/>
      </c>
      <c r="I233" s="25" t="str">
        <f aca="false">IF(OR(A233="",B233=""),"",IFERROR(LOOKUP(2,1/(单次交易!$A$2:$A$201=A233),单次交易!$H$2:$H$201),0)+SUMIFS($G$2:$G$1001,$A$2:$A$1001,A233,$B$2:$B$1001,"&lt;"&amp;B233))</f>
        <v/>
      </c>
      <c r="J233" s="24" t="str">
        <f aca="false">IF(OR(A233="",B233=""),"",IFERROR(LOOKUP(2,1/(单次交易!$A$2:$A$201=A233),单次交易!$E$2:$E$201)*LOOKUP(2,1/(单次交易!$A$2:$A$201=A233),单次交易!$H$2:$H$201),0)+SUMIFS($H$2:$H$1001,$A$2:$A$1001,A233,$B$2:$B$1001,"&lt;"&amp;B233))</f>
        <v/>
      </c>
      <c r="K233" s="24" t="str">
        <f aca="false">IF(OR(E233="",I233="",J233=""),"",MAX(E233*I233-J233,0))</f>
        <v/>
      </c>
      <c r="L233" s="25" t="str">
        <f aca="false">IF(OR(D233="",E233="",F233="",D233&lt;=E233),"",FLOOR((F233+K233)/(D233-E233),100))</f>
        <v/>
      </c>
      <c r="M233" s="25" t="str">
        <f aca="false">IF(OR(A233="",B233="",L233=""),"",IF(B233=1,L233,IFERROR(SUMIFS($G$2:$G$1001,$A$2:$A$1001,A233,$B$2:$B$1001,B233-1),0)))</f>
        <v/>
      </c>
      <c r="N233" s="25" t="str">
        <f aca="false">IF(OR(L233="",M233=""),"",MIN(L233,M233))</f>
        <v/>
      </c>
      <c r="O233" s="25" t="str">
        <f aca="false">IF(OR(I233="",G233=""),"",I233+G233)</f>
        <v/>
      </c>
      <c r="P233" s="24" t="str">
        <f aca="false">IF(OR(O233="",O233=0),"",(J233+H233)/O233)</f>
        <v/>
      </c>
      <c r="Q233" s="24" t="str">
        <f aca="false">IF(OR(O233="",E233=""),"",MAX(J233+H233-E233*O233,0))</f>
        <v/>
      </c>
      <c r="R233" s="26" t="str">
        <f aca="false">IF(A233="","",IF(COUNTIF(_TradeIds,A233)=0,"违规：交易编号不存在",IF(OR(B233="",B233&lt;1,B233&gt;5,B233&lt;&gt;INT(B233)),"违规：加仓序号须为1到5的整数",IF(COUNTIFS($A$2:$A$1001,A233,$B$2:$B$1001,B233)&gt;1,"违规：同一交易的加仓序号重复",IF(OR(D233="",E233="",F233=""),"计划不完整：请填写加仓价、新止损价和风险预算",IF(OR(D233&lt;=0,E233&lt;=0,F233&lt;=0,D233&lt;=E233),"违规：加仓价必须高于新止损价，金额须大于0",IF(AND(B233&gt;1,COUNTIFS($A$2:$A$1001,A233,$B$2:$B$1001,B233-1,$G$2:$G$1001,"&gt;0")=0),"违规：须先完成上一次加仓",IF(AND(B233&gt;1,E233&lt;SUMIFS($E$2:$E$1001,$A$2:$A$1001,A233,$B$2:$B$1001,B233-1)),"违规：新止损价不得低于上一次",IF(AND(B233&gt;1,F233&gt;SUMIFS($F$2:$F$1001,$A$2:$A$1001,A233,$B$2:$B$1001,B233-1)),"违规：风险预算须逐次不增加",IF(OR(_LockStatus="已锁仓",_LockStatus="解锁信息不完整"),"违规：锁仓期间禁止加仓",IF(G233="","计划可执行：建议股数见N列",IF(OR(G233&lt;=0,G233&lt;&gt;INT(G233),MOD(G233,100)&lt;&gt;0),"违规：实际股数须为100股整数倍",IF(G233&gt;N233,"违规：实际股数超过风险或金字塔上限",IF(AND(B233&gt;1,G233&gt;SUMIFS($G$2:$G$1001,$A$2:$A$1001,A233,$B$2:$B$1001,B233-1)),"违规：加仓股数须逐次不增加",IF(Q233&gt;F233,"违规：止损风险超过本次预算","通过")))))))))))))))</f>
        <v/>
      </c>
    </row>
    <row r="234" customFormat="false" ht="15" hidden="false" customHeight="false" outlineLevel="0" collapsed="false">
      <c r="A234" s="20"/>
      <c r="B234" s="21"/>
      <c r="C234" s="22"/>
      <c r="D234" s="23"/>
      <c r="E234" s="23"/>
      <c r="F234" s="23"/>
      <c r="G234" s="21"/>
      <c r="H234" s="24" t="str">
        <f aca="false">IF(OR(A234="",D234="",G234=""),"",D234*G234)</f>
        <v/>
      </c>
      <c r="I234" s="25" t="str">
        <f aca="false">IF(OR(A234="",B234=""),"",IFERROR(LOOKUP(2,1/(单次交易!$A$2:$A$201=A234),单次交易!$H$2:$H$201),0)+SUMIFS($G$2:$G$1001,$A$2:$A$1001,A234,$B$2:$B$1001,"&lt;"&amp;B234))</f>
        <v/>
      </c>
      <c r="J234" s="24" t="str">
        <f aca="false">IF(OR(A234="",B234=""),"",IFERROR(LOOKUP(2,1/(单次交易!$A$2:$A$201=A234),单次交易!$E$2:$E$201)*LOOKUP(2,1/(单次交易!$A$2:$A$201=A234),单次交易!$H$2:$H$201),0)+SUMIFS($H$2:$H$1001,$A$2:$A$1001,A234,$B$2:$B$1001,"&lt;"&amp;B234))</f>
        <v/>
      </c>
      <c r="K234" s="24" t="str">
        <f aca="false">IF(OR(E234="",I234="",J234=""),"",MAX(E234*I234-J234,0))</f>
        <v/>
      </c>
      <c r="L234" s="25" t="str">
        <f aca="false">IF(OR(D234="",E234="",F234="",D234&lt;=E234),"",FLOOR((F234+K234)/(D234-E234),100))</f>
        <v/>
      </c>
      <c r="M234" s="25" t="str">
        <f aca="false">IF(OR(A234="",B234="",L234=""),"",IF(B234=1,L234,IFERROR(SUMIFS($G$2:$G$1001,$A$2:$A$1001,A234,$B$2:$B$1001,B234-1),0)))</f>
        <v/>
      </c>
      <c r="N234" s="25" t="str">
        <f aca="false">IF(OR(L234="",M234=""),"",MIN(L234,M234))</f>
        <v/>
      </c>
      <c r="O234" s="25" t="str">
        <f aca="false">IF(OR(I234="",G234=""),"",I234+G234)</f>
        <v/>
      </c>
      <c r="P234" s="24" t="str">
        <f aca="false">IF(OR(O234="",O234=0),"",(J234+H234)/O234)</f>
        <v/>
      </c>
      <c r="Q234" s="24" t="str">
        <f aca="false">IF(OR(O234="",E234=""),"",MAX(J234+H234-E234*O234,0))</f>
        <v/>
      </c>
      <c r="R234" s="26" t="str">
        <f aca="false">IF(A234="","",IF(COUNTIF(_TradeIds,A234)=0,"违规：交易编号不存在",IF(OR(B234="",B234&lt;1,B234&gt;5,B234&lt;&gt;INT(B234)),"违规：加仓序号须为1到5的整数",IF(COUNTIFS($A$2:$A$1001,A234,$B$2:$B$1001,B234)&gt;1,"违规：同一交易的加仓序号重复",IF(OR(D234="",E234="",F234=""),"计划不完整：请填写加仓价、新止损价和风险预算",IF(OR(D234&lt;=0,E234&lt;=0,F234&lt;=0,D234&lt;=E234),"违规：加仓价必须高于新止损价，金额须大于0",IF(AND(B234&gt;1,COUNTIFS($A$2:$A$1001,A234,$B$2:$B$1001,B234-1,$G$2:$G$1001,"&gt;0")=0),"违规：须先完成上一次加仓",IF(AND(B234&gt;1,E234&lt;SUMIFS($E$2:$E$1001,$A$2:$A$1001,A234,$B$2:$B$1001,B234-1)),"违规：新止损价不得低于上一次",IF(AND(B234&gt;1,F234&gt;SUMIFS($F$2:$F$1001,$A$2:$A$1001,A234,$B$2:$B$1001,B234-1)),"违规：风险预算须逐次不增加",IF(OR(_LockStatus="已锁仓",_LockStatus="解锁信息不完整"),"违规：锁仓期间禁止加仓",IF(G234="","计划可执行：建议股数见N列",IF(OR(G234&lt;=0,G234&lt;&gt;INT(G234),MOD(G234,100)&lt;&gt;0),"违规：实际股数须为100股整数倍",IF(G234&gt;N234,"违规：实际股数超过风险或金字塔上限",IF(AND(B234&gt;1,G234&gt;SUMIFS($G$2:$G$1001,$A$2:$A$1001,A234,$B$2:$B$1001,B234-1)),"违规：加仓股数须逐次不增加",IF(Q234&gt;F234,"违规：止损风险超过本次预算","通过")))))))))))))))</f>
        <v/>
      </c>
    </row>
    <row r="235" customFormat="false" ht="15" hidden="false" customHeight="false" outlineLevel="0" collapsed="false">
      <c r="A235" s="20"/>
      <c r="B235" s="21"/>
      <c r="C235" s="22"/>
      <c r="D235" s="23"/>
      <c r="E235" s="23"/>
      <c r="F235" s="23"/>
      <c r="G235" s="21"/>
      <c r="H235" s="24" t="str">
        <f aca="false">IF(OR(A235="",D235="",G235=""),"",D235*G235)</f>
        <v/>
      </c>
      <c r="I235" s="25" t="str">
        <f aca="false">IF(OR(A235="",B235=""),"",IFERROR(LOOKUP(2,1/(单次交易!$A$2:$A$201=A235),单次交易!$H$2:$H$201),0)+SUMIFS($G$2:$G$1001,$A$2:$A$1001,A235,$B$2:$B$1001,"&lt;"&amp;B235))</f>
        <v/>
      </c>
      <c r="J235" s="24" t="str">
        <f aca="false">IF(OR(A235="",B235=""),"",IFERROR(LOOKUP(2,1/(单次交易!$A$2:$A$201=A235),单次交易!$E$2:$E$201)*LOOKUP(2,1/(单次交易!$A$2:$A$201=A235),单次交易!$H$2:$H$201),0)+SUMIFS($H$2:$H$1001,$A$2:$A$1001,A235,$B$2:$B$1001,"&lt;"&amp;B235))</f>
        <v/>
      </c>
      <c r="K235" s="24" t="str">
        <f aca="false">IF(OR(E235="",I235="",J235=""),"",MAX(E235*I235-J235,0))</f>
        <v/>
      </c>
      <c r="L235" s="25" t="str">
        <f aca="false">IF(OR(D235="",E235="",F235="",D235&lt;=E235),"",FLOOR((F235+K235)/(D235-E235),100))</f>
        <v/>
      </c>
      <c r="M235" s="25" t="str">
        <f aca="false">IF(OR(A235="",B235="",L235=""),"",IF(B235=1,L235,IFERROR(SUMIFS($G$2:$G$1001,$A$2:$A$1001,A235,$B$2:$B$1001,B235-1),0)))</f>
        <v/>
      </c>
      <c r="N235" s="25" t="str">
        <f aca="false">IF(OR(L235="",M235=""),"",MIN(L235,M235))</f>
        <v/>
      </c>
      <c r="O235" s="25" t="str">
        <f aca="false">IF(OR(I235="",G235=""),"",I235+G235)</f>
        <v/>
      </c>
      <c r="P235" s="24" t="str">
        <f aca="false">IF(OR(O235="",O235=0),"",(J235+H235)/O235)</f>
        <v/>
      </c>
      <c r="Q235" s="24" t="str">
        <f aca="false">IF(OR(O235="",E235=""),"",MAX(J235+H235-E235*O235,0))</f>
        <v/>
      </c>
      <c r="R235" s="26" t="str">
        <f aca="false">IF(A235="","",IF(COUNTIF(_TradeIds,A235)=0,"违规：交易编号不存在",IF(OR(B235="",B235&lt;1,B235&gt;5,B235&lt;&gt;INT(B235)),"违规：加仓序号须为1到5的整数",IF(COUNTIFS($A$2:$A$1001,A235,$B$2:$B$1001,B235)&gt;1,"违规：同一交易的加仓序号重复",IF(OR(D235="",E235="",F235=""),"计划不完整：请填写加仓价、新止损价和风险预算",IF(OR(D235&lt;=0,E235&lt;=0,F235&lt;=0,D235&lt;=E235),"违规：加仓价必须高于新止损价，金额须大于0",IF(AND(B235&gt;1,COUNTIFS($A$2:$A$1001,A235,$B$2:$B$1001,B235-1,$G$2:$G$1001,"&gt;0")=0),"违规：须先完成上一次加仓",IF(AND(B235&gt;1,E235&lt;SUMIFS($E$2:$E$1001,$A$2:$A$1001,A235,$B$2:$B$1001,B235-1)),"违规：新止损价不得低于上一次",IF(AND(B235&gt;1,F235&gt;SUMIFS($F$2:$F$1001,$A$2:$A$1001,A235,$B$2:$B$1001,B235-1)),"违规：风险预算须逐次不增加",IF(OR(_LockStatus="已锁仓",_LockStatus="解锁信息不完整"),"违规：锁仓期间禁止加仓",IF(G235="","计划可执行：建议股数见N列",IF(OR(G235&lt;=0,G235&lt;&gt;INT(G235),MOD(G235,100)&lt;&gt;0),"违规：实际股数须为100股整数倍",IF(G235&gt;N235,"违规：实际股数超过风险或金字塔上限",IF(AND(B235&gt;1,G235&gt;SUMIFS($G$2:$G$1001,$A$2:$A$1001,A235,$B$2:$B$1001,B235-1)),"违规：加仓股数须逐次不增加",IF(Q235&gt;F235,"违规：止损风险超过本次预算","通过")))))))))))))))</f>
        <v/>
      </c>
    </row>
    <row r="236" customFormat="false" ht="15" hidden="false" customHeight="false" outlineLevel="0" collapsed="false">
      <c r="A236" s="20"/>
      <c r="B236" s="21"/>
      <c r="C236" s="22"/>
      <c r="D236" s="23"/>
      <c r="E236" s="23"/>
      <c r="F236" s="23"/>
      <c r="G236" s="21"/>
      <c r="H236" s="24" t="str">
        <f aca="false">IF(OR(A236="",D236="",G236=""),"",D236*G236)</f>
        <v/>
      </c>
      <c r="I236" s="25" t="str">
        <f aca="false">IF(OR(A236="",B236=""),"",IFERROR(LOOKUP(2,1/(单次交易!$A$2:$A$201=A236),单次交易!$H$2:$H$201),0)+SUMIFS($G$2:$G$1001,$A$2:$A$1001,A236,$B$2:$B$1001,"&lt;"&amp;B236))</f>
        <v/>
      </c>
      <c r="J236" s="24" t="str">
        <f aca="false">IF(OR(A236="",B236=""),"",IFERROR(LOOKUP(2,1/(单次交易!$A$2:$A$201=A236),单次交易!$E$2:$E$201)*LOOKUP(2,1/(单次交易!$A$2:$A$201=A236),单次交易!$H$2:$H$201),0)+SUMIFS($H$2:$H$1001,$A$2:$A$1001,A236,$B$2:$B$1001,"&lt;"&amp;B236))</f>
        <v/>
      </c>
      <c r="K236" s="24" t="str">
        <f aca="false">IF(OR(E236="",I236="",J236=""),"",MAX(E236*I236-J236,0))</f>
        <v/>
      </c>
      <c r="L236" s="25" t="str">
        <f aca="false">IF(OR(D236="",E236="",F236="",D236&lt;=E236),"",FLOOR((F236+K236)/(D236-E236),100))</f>
        <v/>
      </c>
      <c r="M236" s="25" t="str">
        <f aca="false">IF(OR(A236="",B236="",L236=""),"",IF(B236=1,L236,IFERROR(SUMIFS($G$2:$G$1001,$A$2:$A$1001,A236,$B$2:$B$1001,B236-1),0)))</f>
        <v/>
      </c>
      <c r="N236" s="25" t="str">
        <f aca="false">IF(OR(L236="",M236=""),"",MIN(L236,M236))</f>
        <v/>
      </c>
      <c r="O236" s="25" t="str">
        <f aca="false">IF(OR(I236="",G236=""),"",I236+G236)</f>
        <v/>
      </c>
      <c r="P236" s="24" t="str">
        <f aca="false">IF(OR(O236="",O236=0),"",(J236+H236)/O236)</f>
        <v/>
      </c>
      <c r="Q236" s="24" t="str">
        <f aca="false">IF(OR(O236="",E236=""),"",MAX(J236+H236-E236*O236,0))</f>
        <v/>
      </c>
      <c r="R236" s="26" t="str">
        <f aca="false">IF(A236="","",IF(COUNTIF(_TradeIds,A236)=0,"违规：交易编号不存在",IF(OR(B236="",B236&lt;1,B236&gt;5,B236&lt;&gt;INT(B236)),"违规：加仓序号须为1到5的整数",IF(COUNTIFS($A$2:$A$1001,A236,$B$2:$B$1001,B236)&gt;1,"违规：同一交易的加仓序号重复",IF(OR(D236="",E236="",F236=""),"计划不完整：请填写加仓价、新止损价和风险预算",IF(OR(D236&lt;=0,E236&lt;=0,F236&lt;=0,D236&lt;=E236),"违规：加仓价必须高于新止损价，金额须大于0",IF(AND(B236&gt;1,COUNTIFS($A$2:$A$1001,A236,$B$2:$B$1001,B236-1,$G$2:$G$1001,"&gt;0")=0),"违规：须先完成上一次加仓",IF(AND(B236&gt;1,E236&lt;SUMIFS($E$2:$E$1001,$A$2:$A$1001,A236,$B$2:$B$1001,B236-1)),"违规：新止损价不得低于上一次",IF(AND(B236&gt;1,F236&gt;SUMIFS($F$2:$F$1001,$A$2:$A$1001,A236,$B$2:$B$1001,B236-1)),"违规：风险预算须逐次不增加",IF(OR(_LockStatus="已锁仓",_LockStatus="解锁信息不完整"),"违规：锁仓期间禁止加仓",IF(G236="","计划可执行：建议股数见N列",IF(OR(G236&lt;=0,G236&lt;&gt;INT(G236),MOD(G236,100)&lt;&gt;0),"违规：实际股数须为100股整数倍",IF(G236&gt;N236,"违规：实际股数超过风险或金字塔上限",IF(AND(B236&gt;1,G236&gt;SUMIFS($G$2:$G$1001,$A$2:$A$1001,A236,$B$2:$B$1001,B236-1)),"违规：加仓股数须逐次不增加",IF(Q236&gt;F236,"违规：止损风险超过本次预算","通过")))))))))))))))</f>
        <v/>
      </c>
    </row>
    <row r="237" customFormat="false" ht="15" hidden="false" customHeight="false" outlineLevel="0" collapsed="false">
      <c r="A237" s="20"/>
      <c r="B237" s="21"/>
      <c r="C237" s="22"/>
      <c r="D237" s="23"/>
      <c r="E237" s="23"/>
      <c r="F237" s="23"/>
      <c r="G237" s="21"/>
      <c r="H237" s="24" t="str">
        <f aca="false">IF(OR(A237="",D237="",G237=""),"",D237*G237)</f>
        <v/>
      </c>
      <c r="I237" s="25" t="str">
        <f aca="false">IF(OR(A237="",B237=""),"",IFERROR(LOOKUP(2,1/(单次交易!$A$2:$A$201=A237),单次交易!$H$2:$H$201),0)+SUMIFS($G$2:$G$1001,$A$2:$A$1001,A237,$B$2:$B$1001,"&lt;"&amp;B237))</f>
        <v/>
      </c>
      <c r="J237" s="24" t="str">
        <f aca="false">IF(OR(A237="",B237=""),"",IFERROR(LOOKUP(2,1/(单次交易!$A$2:$A$201=A237),单次交易!$E$2:$E$201)*LOOKUP(2,1/(单次交易!$A$2:$A$201=A237),单次交易!$H$2:$H$201),0)+SUMIFS($H$2:$H$1001,$A$2:$A$1001,A237,$B$2:$B$1001,"&lt;"&amp;B237))</f>
        <v/>
      </c>
      <c r="K237" s="24" t="str">
        <f aca="false">IF(OR(E237="",I237="",J237=""),"",MAX(E237*I237-J237,0))</f>
        <v/>
      </c>
      <c r="L237" s="25" t="str">
        <f aca="false">IF(OR(D237="",E237="",F237="",D237&lt;=E237),"",FLOOR((F237+K237)/(D237-E237),100))</f>
        <v/>
      </c>
      <c r="M237" s="25" t="str">
        <f aca="false">IF(OR(A237="",B237="",L237=""),"",IF(B237=1,L237,IFERROR(SUMIFS($G$2:$G$1001,$A$2:$A$1001,A237,$B$2:$B$1001,B237-1),0)))</f>
        <v/>
      </c>
      <c r="N237" s="25" t="str">
        <f aca="false">IF(OR(L237="",M237=""),"",MIN(L237,M237))</f>
        <v/>
      </c>
      <c r="O237" s="25" t="str">
        <f aca="false">IF(OR(I237="",G237=""),"",I237+G237)</f>
        <v/>
      </c>
      <c r="P237" s="24" t="str">
        <f aca="false">IF(OR(O237="",O237=0),"",(J237+H237)/O237)</f>
        <v/>
      </c>
      <c r="Q237" s="24" t="str">
        <f aca="false">IF(OR(O237="",E237=""),"",MAX(J237+H237-E237*O237,0))</f>
        <v/>
      </c>
      <c r="R237" s="26" t="str">
        <f aca="false">IF(A237="","",IF(COUNTIF(_TradeIds,A237)=0,"违规：交易编号不存在",IF(OR(B237="",B237&lt;1,B237&gt;5,B237&lt;&gt;INT(B237)),"违规：加仓序号须为1到5的整数",IF(COUNTIFS($A$2:$A$1001,A237,$B$2:$B$1001,B237)&gt;1,"违规：同一交易的加仓序号重复",IF(OR(D237="",E237="",F237=""),"计划不完整：请填写加仓价、新止损价和风险预算",IF(OR(D237&lt;=0,E237&lt;=0,F237&lt;=0,D237&lt;=E237),"违规：加仓价必须高于新止损价，金额须大于0",IF(AND(B237&gt;1,COUNTIFS($A$2:$A$1001,A237,$B$2:$B$1001,B237-1,$G$2:$G$1001,"&gt;0")=0),"违规：须先完成上一次加仓",IF(AND(B237&gt;1,E237&lt;SUMIFS($E$2:$E$1001,$A$2:$A$1001,A237,$B$2:$B$1001,B237-1)),"违规：新止损价不得低于上一次",IF(AND(B237&gt;1,F237&gt;SUMIFS($F$2:$F$1001,$A$2:$A$1001,A237,$B$2:$B$1001,B237-1)),"违规：风险预算须逐次不增加",IF(OR(_LockStatus="已锁仓",_LockStatus="解锁信息不完整"),"违规：锁仓期间禁止加仓",IF(G237="","计划可执行：建议股数见N列",IF(OR(G237&lt;=0,G237&lt;&gt;INT(G237),MOD(G237,100)&lt;&gt;0),"违规：实际股数须为100股整数倍",IF(G237&gt;N237,"违规：实际股数超过风险或金字塔上限",IF(AND(B237&gt;1,G237&gt;SUMIFS($G$2:$G$1001,$A$2:$A$1001,A237,$B$2:$B$1001,B237-1)),"违规：加仓股数须逐次不增加",IF(Q237&gt;F237,"违规：止损风险超过本次预算","通过")))))))))))))))</f>
        <v/>
      </c>
    </row>
    <row r="238" customFormat="false" ht="15" hidden="false" customHeight="false" outlineLevel="0" collapsed="false">
      <c r="A238" s="20"/>
      <c r="B238" s="21"/>
      <c r="C238" s="22"/>
      <c r="D238" s="23"/>
      <c r="E238" s="23"/>
      <c r="F238" s="23"/>
      <c r="G238" s="21"/>
      <c r="H238" s="24" t="str">
        <f aca="false">IF(OR(A238="",D238="",G238=""),"",D238*G238)</f>
        <v/>
      </c>
      <c r="I238" s="25" t="str">
        <f aca="false">IF(OR(A238="",B238=""),"",IFERROR(LOOKUP(2,1/(单次交易!$A$2:$A$201=A238),单次交易!$H$2:$H$201),0)+SUMIFS($G$2:$G$1001,$A$2:$A$1001,A238,$B$2:$B$1001,"&lt;"&amp;B238))</f>
        <v/>
      </c>
      <c r="J238" s="24" t="str">
        <f aca="false">IF(OR(A238="",B238=""),"",IFERROR(LOOKUP(2,1/(单次交易!$A$2:$A$201=A238),单次交易!$E$2:$E$201)*LOOKUP(2,1/(单次交易!$A$2:$A$201=A238),单次交易!$H$2:$H$201),0)+SUMIFS($H$2:$H$1001,$A$2:$A$1001,A238,$B$2:$B$1001,"&lt;"&amp;B238))</f>
        <v/>
      </c>
      <c r="K238" s="24" t="str">
        <f aca="false">IF(OR(E238="",I238="",J238=""),"",MAX(E238*I238-J238,0))</f>
        <v/>
      </c>
      <c r="L238" s="25" t="str">
        <f aca="false">IF(OR(D238="",E238="",F238="",D238&lt;=E238),"",FLOOR((F238+K238)/(D238-E238),100))</f>
        <v/>
      </c>
      <c r="M238" s="25" t="str">
        <f aca="false">IF(OR(A238="",B238="",L238=""),"",IF(B238=1,L238,IFERROR(SUMIFS($G$2:$G$1001,$A$2:$A$1001,A238,$B$2:$B$1001,B238-1),0)))</f>
        <v/>
      </c>
      <c r="N238" s="25" t="str">
        <f aca="false">IF(OR(L238="",M238=""),"",MIN(L238,M238))</f>
        <v/>
      </c>
      <c r="O238" s="25" t="str">
        <f aca="false">IF(OR(I238="",G238=""),"",I238+G238)</f>
        <v/>
      </c>
      <c r="P238" s="24" t="str">
        <f aca="false">IF(OR(O238="",O238=0),"",(J238+H238)/O238)</f>
        <v/>
      </c>
      <c r="Q238" s="24" t="str">
        <f aca="false">IF(OR(O238="",E238=""),"",MAX(J238+H238-E238*O238,0))</f>
        <v/>
      </c>
      <c r="R238" s="26" t="str">
        <f aca="false">IF(A238="","",IF(COUNTIF(_TradeIds,A238)=0,"违规：交易编号不存在",IF(OR(B238="",B238&lt;1,B238&gt;5,B238&lt;&gt;INT(B238)),"违规：加仓序号须为1到5的整数",IF(COUNTIFS($A$2:$A$1001,A238,$B$2:$B$1001,B238)&gt;1,"违规：同一交易的加仓序号重复",IF(OR(D238="",E238="",F238=""),"计划不完整：请填写加仓价、新止损价和风险预算",IF(OR(D238&lt;=0,E238&lt;=0,F238&lt;=0,D238&lt;=E238),"违规：加仓价必须高于新止损价，金额须大于0",IF(AND(B238&gt;1,COUNTIFS($A$2:$A$1001,A238,$B$2:$B$1001,B238-1,$G$2:$G$1001,"&gt;0")=0),"违规：须先完成上一次加仓",IF(AND(B238&gt;1,E238&lt;SUMIFS($E$2:$E$1001,$A$2:$A$1001,A238,$B$2:$B$1001,B238-1)),"违规：新止损价不得低于上一次",IF(AND(B238&gt;1,F238&gt;SUMIFS($F$2:$F$1001,$A$2:$A$1001,A238,$B$2:$B$1001,B238-1)),"违规：风险预算须逐次不增加",IF(OR(_LockStatus="已锁仓",_LockStatus="解锁信息不完整"),"违规：锁仓期间禁止加仓",IF(G238="","计划可执行：建议股数见N列",IF(OR(G238&lt;=0,G238&lt;&gt;INT(G238),MOD(G238,100)&lt;&gt;0),"违规：实际股数须为100股整数倍",IF(G238&gt;N238,"违规：实际股数超过风险或金字塔上限",IF(AND(B238&gt;1,G238&gt;SUMIFS($G$2:$G$1001,$A$2:$A$1001,A238,$B$2:$B$1001,B238-1)),"违规：加仓股数须逐次不增加",IF(Q238&gt;F238,"违规：止损风险超过本次预算","通过")))))))))))))))</f>
        <v/>
      </c>
    </row>
    <row r="239" customFormat="false" ht="15" hidden="false" customHeight="false" outlineLevel="0" collapsed="false">
      <c r="A239" s="20"/>
      <c r="B239" s="21"/>
      <c r="C239" s="22"/>
      <c r="D239" s="23"/>
      <c r="E239" s="23"/>
      <c r="F239" s="23"/>
      <c r="G239" s="21"/>
      <c r="H239" s="24" t="str">
        <f aca="false">IF(OR(A239="",D239="",G239=""),"",D239*G239)</f>
        <v/>
      </c>
      <c r="I239" s="25" t="str">
        <f aca="false">IF(OR(A239="",B239=""),"",IFERROR(LOOKUP(2,1/(单次交易!$A$2:$A$201=A239),单次交易!$H$2:$H$201),0)+SUMIFS($G$2:$G$1001,$A$2:$A$1001,A239,$B$2:$B$1001,"&lt;"&amp;B239))</f>
        <v/>
      </c>
      <c r="J239" s="24" t="str">
        <f aca="false">IF(OR(A239="",B239=""),"",IFERROR(LOOKUP(2,1/(单次交易!$A$2:$A$201=A239),单次交易!$E$2:$E$201)*LOOKUP(2,1/(单次交易!$A$2:$A$201=A239),单次交易!$H$2:$H$201),0)+SUMIFS($H$2:$H$1001,$A$2:$A$1001,A239,$B$2:$B$1001,"&lt;"&amp;B239))</f>
        <v/>
      </c>
      <c r="K239" s="24" t="str">
        <f aca="false">IF(OR(E239="",I239="",J239=""),"",MAX(E239*I239-J239,0))</f>
        <v/>
      </c>
      <c r="L239" s="25" t="str">
        <f aca="false">IF(OR(D239="",E239="",F239="",D239&lt;=E239),"",FLOOR((F239+K239)/(D239-E239),100))</f>
        <v/>
      </c>
      <c r="M239" s="25" t="str">
        <f aca="false">IF(OR(A239="",B239="",L239=""),"",IF(B239=1,L239,IFERROR(SUMIFS($G$2:$G$1001,$A$2:$A$1001,A239,$B$2:$B$1001,B239-1),0)))</f>
        <v/>
      </c>
      <c r="N239" s="25" t="str">
        <f aca="false">IF(OR(L239="",M239=""),"",MIN(L239,M239))</f>
        <v/>
      </c>
      <c r="O239" s="25" t="str">
        <f aca="false">IF(OR(I239="",G239=""),"",I239+G239)</f>
        <v/>
      </c>
      <c r="P239" s="24" t="str">
        <f aca="false">IF(OR(O239="",O239=0),"",(J239+H239)/O239)</f>
        <v/>
      </c>
      <c r="Q239" s="24" t="str">
        <f aca="false">IF(OR(O239="",E239=""),"",MAX(J239+H239-E239*O239,0))</f>
        <v/>
      </c>
      <c r="R239" s="26" t="str">
        <f aca="false">IF(A239="","",IF(COUNTIF(_TradeIds,A239)=0,"违规：交易编号不存在",IF(OR(B239="",B239&lt;1,B239&gt;5,B239&lt;&gt;INT(B239)),"违规：加仓序号须为1到5的整数",IF(COUNTIFS($A$2:$A$1001,A239,$B$2:$B$1001,B239)&gt;1,"违规：同一交易的加仓序号重复",IF(OR(D239="",E239="",F239=""),"计划不完整：请填写加仓价、新止损价和风险预算",IF(OR(D239&lt;=0,E239&lt;=0,F239&lt;=0,D239&lt;=E239),"违规：加仓价必须高于新止损价，金额须大于0",IF(AND(B239&gt;1,COUNTIFS($A$2:$A$1001,A239,$B$2:$B$1001,B239-1,$G$2:$G$1001,"&gt;0")=0),"违规：须先完成上一次加仓",IF(AND(B239&gt;1,E239&lt;SUMIFS($E$2:$E$1001,$A$2:$A$1001,A239,$B$2:$B$1001,B239-1)),"违规：新止损价不得低于上一次",IF(AND(B239&gt;1,F239&gt;SUMIFS($F$2:$F$1001,$A$2:$A$1001,A239,$B$2:$B$1001,B239-1)),"违规：风险预算须逐次不增加",IF(OR(_LockStatus="已锁仓",_LockStatus="解锁信息不完整"),"违规：锁仓期间禁止加仓",IF(G239="","计划可执行：建议股数见N列",IF(OR(G239&lt;=0,G239&lt;&gt;INT(G239),MOD(G239,100)&lt;&gt;0),"违规：实际股数须为100股整数倍",IF(G239&gt;N239,"违规：实际股数超过风险或金字塔上限",IF(AND(B239&gt;1,G239&gt;SUMIFS($G$2:$G$1001,$A$2:$A$1001,A239,$B$2:$B$1001,B239-1)),"违规：加仓股数须逐次不增加",IF(Q239&gt;F239,"违规：止损风险超过本次预算","通过")))))))))))))))</f>
        <v/>
      </c>
    </row>
    <row r="240" customFormat="false" ht="15" hidden="false" customHeight="false" outlineLevel="0" collapsed="false">
      <c r="A240" s="20"/>
      <c r="B240" s="21"/>
      <c r="C240" s="22"/>
      <c r="D240" s="23"/>
      <c r="E240" s="23"/>
      <c r="F240" s="23"/>
      <c r="G240" s="21"/>
      <c r="H240" s="24" t="str">
        <f aca="false">IF(OR(A240="",D240="",G240=""),"",D240*G240)</f>
        <v/>
      </c>
      <c r="I240" s="25" t="str">
        <f aca="false">IF(OR(A240="",B240=""),"",IFERROR(LOOKUP(2,1/(单次交易!$A$2:$A$201=A240),单次交易!$H$2:$H$201),0)+SUMIFS($G$2:$G$1001,$A$2:$A$1001,A240,$B$2:$B$1001,"&lt;"&amp;B240))</f>
        <v/>
      </c>
      <c r="J240" s="24" t="str">
        <f aca="false">IF(OR(A240="",B240=""),"",IFERROR(LOOKUP(2,1/(单次交易!$A$2:$A$201=A240),单次交易!$E$2:$E$201)*LOOKUP(2,1/(单次交易!$A$2:$A$201=A240),单次交易!$H$2:$H$201),0)+SUMIFS($H$2:$H$1001,$A$2:$A$1001,A240,$B$2:$B$1001,"&lt;"&amp;B240))</f>
        <v/>
      </c>
      <c r="K240" s="24" t="str">
        <f aca="false">IF(OR(E240="",I240="",J240=""),"",MAX(E240*I240-J240,0))</f>
        <v/>
      </c>
      <c r="L240" s="25" t="str">
        <f aca="false">IF(OR(D240="",E240="",F240="",D240&lt;=E240),"",FLOOR((F240+K240)/(D240-E240),100))</f>
        <v/>
      </c>
      <c r="M240" s="25" t="str">
        <f aca="false">IF(OR(A240="",B240="",L240=""),"",IF(B240=1,L240,IFERROR(SUMIFS($G$2:$G$1001,$A$2:$A$1001,A240,$B$2:$B$1001,B240-1),0)))</f>
        <v/>
      </c>
      <c r="N240" s="25" t="str">
        <f aca="false">IF(OR(L240="",M240=""),"",MIN(L240,M240))</f>
        <v/>
      </c>
      <c r="O240" s="25" t="str">
        <f aca="false">IF(OR(I240="",G240=""),"",I240+G240)</f>
        <v/>
      </c>
      <c r="P240" s="24" t="str">
        <f aca="false">IF(OR(O240="",O240=0),"",(J240+H240)/O240)</f>
        <v/>
      </c>
      <c r="Q240" s="24" t="str">
        <f aca="false">IF(OR(O240="",E240=""),"",MAX(J240+H240-E240*O240,0))</f>
        <v/>
      </c>
      <c r="R240" s="26" t="str">
        <f aca="false">IF(A240="","",IF(COUNTIF(_TradeIds,A240)=0,"违规：交易编号不存在",IF(OR(B240="",B240&lt;1,B240&gt;5,B240&lt;&gt;INT(B240)),"违规：加仓序号须为1到5的整数",IF(COUNTIFS($A$2:$A$1001,A240,$B$2:$B$1001,B240)&gt;1,"违规：同一交易的加仓序号重复",IF(OR(D240="",E240="",F240=""),"计划不完整：请填写加仓价、新止损价和风险预算",IF(OR(D240&lt;=0,E240&lt;=0,F240&lt;=0,D240&lt;=E240),"违规：加仓价必须高于新止损价，金额须大于0",IF(AND(B240&gt;1,COUNTIFS($A$2:$A$1001,A240,$B$2:$B$1001,B240-1,$G$2:$G$1001,"&gt;0")=0),"违规：须先完成上一次加仓",IF(AND(B240&gt;1,E240&lt;SUMIFS($E$2:$E$1001,$A$2:$A$1001,A240,$B$2:$B$1001,B240-1)),"违规：新止损价不得低于上一次",IF(AND(B240&gt;1,F240&gt;SUMIFS($F$2:$F$1001,$A$2:$A$1001,A240,$B$2:$B$1001,B240-1)),"违规：风险预算须逐次不增加",IF(OR(_LockStatus="已锁仓",_LockStatus="解锁信息不完整"),"违规：锁仓期间禁止加仓",IF(G240="","计划可执行：建议股数见N列",IF(OR(G240&lt;=0,G240&lt;&gt;INT(G240),MOD(G240,100)&lt;&gt;0),"违规：实际股数须为100股整数倍",IF(G240&gt;N240,"违规：实际股数超过风险或金字塔上限",IF(AND(B240&gt;1,G240&gt;SUMIFS($G$2:$G$1001,$A$2:$A$1001,A240,$B$2:$B$1001,B240-1)),"违规：加仓股数须逐次不增加",IF(Q240&gt;F240,"违规：止损风险超过本次预算","通过")))))))))))))))</f>
        <v/>
      </c>
    </row>
    <row r="241" customFormat="false" ht="15" hidden="false" customHeight="false" outlineLevel="0" collapsed="false">
      <c r="A241" s="20"/>
      <c r="B241" s="21"/>
      <c r="C241" s="22"/>
      <c r="D241" s="23"/>
      <c r="E241" s="23"/>
      <c r="F241" s="23"/>
      <c r="G241" s="21"/>
      <c r="H241" s="24" t="str">
        <f aca="false">IF(OR(A241="",D241="",G241=""),"",D241*G241)</f>
        <v/>
      </c>
      <c r="I241" s="25" t="str">
        <f aca="false">IF(OR(A241="",B241=""),"",IFERROR(LOOKUP(2,1/(单次交易!$A$2:$A$201=A241),单次交易!$H$2:$H$201),0)+SUMIFS($G$2:$G$1001,$A$2:$A$1001,A241,$B$2:$B$1001,"&lt;"&amp;B241))</f>
        <v/>
      </c>
      <c r="J241" s="24" t="str">
        <f aca="false">IF(OR(A241="",B241=""),"",IFERROR(LOOKUP(2,1/(单次交易!$A$2:$A$201=A241),单次交易!$E$2:$E$201)*LOOKUP(2,1/(单次交易!$A$2:$A$201=A241),单次交易!$H$2:$H$201),0)+SUMIFS($H$2:$H$1001,$A$2:$A$1001,A241,$B$2:$B$1001,"&lt;"&amp;B241))</f>
        <v/>
      </c>
      <c r="K241" s="24" t="str">
        <f aca="false">IF(OR(E241="",I241="",J241=""),"",MAX(E241*I241-J241,0))</f>
        <v/>
      </c>
      <c r="L241" s="25" t="str">
        <f aca="false">IF(OR(D241="",E241="",F241="",D241&lt;=E241),"",FLOOR((F241+K241)/(D241-E241),100))</f>
        <v/>
      </c>
      <c r="M241" s="25" t="str">
        <f aca="false">IF(OR(A241="",B241="",L241=""),"",IF(B241=1,L241,IFERROR(SUMIFS($G$2:$G$1001,$A$2:$A$1001,A241,$B$2:$B$1001,B241-1),0)))</f>
        <v/>
      </c>
      <c r="N241" s="25" t="str">
        <f aca="false">IF(OR(L241="",M241=""),"",MIN(L241,M241))</f>
        <v/>
      </c>
      <c r="O241" s="25" t="str">
        <f aca="false">IF(OR(I241="",G241=""),"",I241+G241)</f>
        <v/>
      </c>
      <c r="P241" s="24" t="str">
        <f aca="false">IF(OR(O241="",O241=0),"",(J241+H241)/O241)</f>
        <v/>
      </c>
      <c r="Q241" s="24" t="str">
        <f aca="false">IF(OR(O241="",E241=""),"",MAX(J241+H241-E241*O241,0))</f>
        <v/>
      </c>
      <c r="R241" s="26" t="str">
        <f aca="false">IF(A241="","",IF(COUNTIF(_TradeIds,A241)=0,"违规：交易编号不存在",IF(OR(B241="",B241&lt;1,B241&gt;5,B241&lt;&gt;INT(B241)),"违规：加仓序号须为1到5的整数",IF(COUNTIFS($A$2:$A$1001,A241,$B$2:$B$1001,B241)&gt;1,"违规：同一交易的加仓序号重复",IF(OR(D241="",E241="",F241=""),"计划不完整：请填写加仓价、新止损价和风险预算",IF(OR(D241&lt;=0,E241&lt;=0,F241&lt;=0,D241&lt;=E241),"违规：加仓价必须高于新止损价，金额须大于0",IF(AND(B241&gt;1,COUNTIFS($A$2:$A$1001,A241,$B$2:$B$1001,B241-1,$G$2:$G$1001,"&gt;0")=0),"违规：须先完成上一次加仓",IF(AND(B241&gt;1,E241&lt;SUMIFS($E$2:$E$1001,$A$2:$A$1001,A241,$B$2:$B$1001,B241-1)),"违规：新止损价不得低于上一次",IF(AND(B241&gt;1,F241&gt;SUMIFS($F$2:$F$1001,$A$2:$A$1001,A241,$B$2:$B$1001,B241-1)),"违规：风险预算须逐次不增加",IF(OR(_LockStatus="已锁仓",_LockStatus="解锁信息不完整"),"违规：锁仓期间禁止加仓",IF(G241="","计划可执行：建议股数见N列",IF(OR(G241&lt;=0,G241&lt;&gt;INT(G241),MOD(G241,100)&lt;&gt;0),"违规：实际股数须为100股整数倍",IF(G241&gt;N241,"违规：实际股数超过风险或金字塔上限",IF(AND(B241&gt;1,G241&gt;SUMIFS($G$2:$G$1001,$A$2:$A$1001,A241,$B$2:$B$1001,B241-1)),"违规：加仓股数须逐次不增加",IF(Q241&gt;F241,"违规：止损风险超过本次预算","通过")))))))))))))))</f>
        <v/>
      </c>
    </row>
    <row r="242" customFormat="false" ht="15" hidden="false" customHeight="false" outlineLevel="0" collapsed="false">
      <c r="A242" s="20"/>
      <c r="B242" s="21"/>
      <c r="C242" s="22"/>
      <c r="D242" s="23"/>
      <c r="E242" s="23"/>
      <c r="F242" s="23"/>
      <c r="G242" s="21"/>
      <c r="H242" s="24" t="str">
        <f aca="false">IF(OR(A242="",D242="",G242=""),"",D242*G242)</f>
        <v/>
      </c>
      <c r="I242" s="25" t="str">
        <f aca="false">IF(OR(A242="",B242=""),"",IFERROR(LOOKUP(2,1/(单次交易!$A$2:$A$201=A242),单次交易!$H$2:$H$201),0)+SUMIFS($G$2:$G$1001,$A$2:$A$1001,A242,$B$2:$B$1001,"&lt;"&amp;B242))</f>
        <v/>
      </c>
      <c r="J242" s="24" t="str">
        <f aca="false">IF(OR(A242="",B242=""),"",IFERROR(LOOKUP(2,1/(单次交易!$A$2:$A$201=A242),单次交易!$E$2:$E$201)*LOOKUP(2,1/(单次交易!$A$2:$A$201=A242),单次交易!$H$2:$H$201),0)+SUMIFS($H$2:$H$1001,$A$2:$A$1001,A242,$B$2:$B$1001,"&lt;"&amp;B242))</f>
        <v/>
      </c>
      <c r="K242" s="24" t="str">
        <f aca="false">IF(OR(E242="",I242="",J242=""),"",MAX(E242*I242-J242,0))</f>
        <v/>
      </c>
      <c r="L242" s="25" t="str">
        <f aca="false">IF(OR(D242="",E242="",F242="",D242&lt;=E242),"",FLOOR((F242+K242)/(D242-E242),100))</f>
        <v/>
      </c>
      <c r="M242" s="25" t="str">
        <f aca="false">IF(OR(A242="",B242="",L242=""),"",IF(B242=1,L242,IFERROR(SUMIFS($G$2:$G$1001,$A$2:$A$1001,A242,$B$2:$B$1001,B242-1),0)))</f>
        <v/>
      </c>
      <c r="N242" s="25" t="str">
        <f aca="false">IF(OR(L242="",M242=""),"",MIN(L242,M242))</f>
        <v/>
      </c>
      <c r="O242" s="25" t="str">
        <f aca="false">IF(OR(I242="",G242=""),"",I242+G242)</f>
        <v/>
      </c>
      <c r="P242" s="24" t="str">
        <f aca="false">IF(OR(O242="",O242=0),"",(J242+H242)/O242)</f>
        <v/>
      </c>
      <c r="Q242" s="24" t="str">
        <f aca="false">IF(OR(O242="",E242=""),"",MAX(J242+H242-E242*O242,0))</f>
        <v/>
      </c>
      <c r="R242" s="26" t="str">
        <f aca="false">IF(A242="","",IF(COUNTIF(_TradeIds,A242)=0,"违规：交易编号不存在",IF(OR(B242="",B242&lt;1,B242&gt;5,B242&lt;&gt;INT(B242)),"违规：加仓序号须为1到5的整数",IF(COUNTIFS($A$2:$A$1001,A242,$B$2:$B$1001,B242)&gt;1,"违规：同一交易的加仓序号重复",IF(OR(D242="",E242="",F242=""),"计划不完整：请填写加仓价、新止损价和风险预算",IF(OR(D242&lt;=0,E242&lt;=0,F242&lt;=0,D242&lt;=E242),"违规：加仓价必须高于新止损价，金额须大于0",IF(AND(B242&gt;1,COUNTIFS($A$2:$A$1001,A242,$B$2:$B$1001,B242-1,$G$2:$G$1001,"&gt;0")=0),"违规：须先完成上一次加仓",IF(AND(B242&gt;1,E242&lt;SUMIFS($E$2:$E$1001,$A$2:$A$1001,A242,$B$2:$B$1001,B242-1)),"违规：新止损价不得低于上一次",IF(AND(B242&gt;1,F242&gt;SUMIFS($F$2:$F$1001,$A$2:$A$1001,A242,$B$2:$B$1001,B242-1)),"违规：风险预算须逐次不增加",IF(OR(_LockStatus="已锁仓",_LockStatus="解锁信息不完整"),"违规：锁仓期间禁止加仓",IF(G242="","计划可执行：建议股数见N列",IF(OR(G242&lt;=0,G242&lt;&gt;INT(G242),MOD(G242,100)&lt;&gt;0),"违规：实际股数须为100股整数倍",IF(G242&gt;N242,"违规：实际股数超过风险或金字塔上限",IF(AND(B242&gt;1,G242&gt;SUMIFS($G$2:$G$1001,$A$2:$A$1001,A242,$B$2:$B$1001,B242-1)),"违规：加仓股数须逐次不增加",IF(Q242&gt;F242,"违规：止损风险超过本次预算","通过")))))))))))))))</f>
        <v/>
      </c>
    </row>
    <row r="243" customFormat="false" ht="15" hidden="false" customHeight="false" outlineLevel="0" collapsed="false">
      <c r="A243" s="20"/>
      <c r="B243" s="21"/>
      <c r="C243" s="22"/>
      <c r="D243" s="23"/>
      <c r="E243" s="23"/>
      <c r="F243" s="23"/>
      <c r="G243" s="21"/>
      <c r="H243" s="24" t="str">
        <f aca="false">IF(OR(A243="",D243="",G243=""),"",D243*G243)</f>
        <v/>
      </c>
      <c r="I243" s="25" t="str">
        <f aca="false">IF(OR(A243="",B243=""),"",IFERROR(LOOKUP(2,1/(单次交易!$A$2:$A$201=A243),单次交易!$H$2:$H$201),0)+SUMIFS($G$2:$G$1001,$A$2:$A$1001,A243,$B$2:$B$1001,"&lt;"&amp;B243))</f>
        <v/>
      </c>
      <c r="J243" s="24" t="str">
        <f aca="false">IF(OR(A243="",B243=""),"",IFERROR(LOOKUP(2,1/(单次交易!$A$2:$A$201=A243),单次交易!$E$2:$E$201)*LOOKUP(2,1/(单次交易!$A$2:$A$201=A243),单次交易!$H$2:$H$201),0)+SUMIFS($H$2:$H$1001,$A$2:$A$1001,A243,$B$2:$B$1001,"&lt;"&amp;B243))</f>
        <v/>
      </c>
      <c r="K243" s="24" t="str">
        <f aca="false">IF(OR(E243="",I243="",J243=""),"",MAX(E243*I243-J243,0))</f>
        <v/>
      </c>
      <c r="L243" s="25" t="str">
        <f aca="false">IF(OR(D243="",E243="",F243="",D243&lt;=E243),"",FLOOR((F243+K243)/(D243-E243),100))</f>
        <v/>
      </c>
      <c r="M243" s="25" t="str">
        <f aca="false">IF(OR(A243="",B243="",L243=""),"",IF(B243=1,L243,IFERROR(SUMIFS($G$2:$G$1001,$A$2:$A$1001,A243,$B$2:$B$1001,B243-1),0)))</f>
        <v/>
      </c>
      <c r="N243" s="25" t="str">
        <f aca="false">IF(OR(L243="",M243=""),"",MIN(L243,M243))</f>
        <v/>
      </c>
      <c r="O243" s="25" t="str">
        <f aca="false">IF(OR(I243="",G243=""),"",I243+G243)</f>
        <v/>
      </c>
      <c r="P243" s="24" t="str">
        <f aca="false">IF(OR(O243="",O243=0),"",(J243+H243)/O243)</f>
        <v/>
      </c>
      <c r="Q243" s="24" t="str">
        <f aca="false">IF(OR(O243="",E243=""),"",MAX(J243+H243-E243*O243,0))</f>
        <v/>
      </c>
      <c r="R243" s="26" t="str">
        <f aca="false">IF(A243="","",IF(COUNTIF(_TradeIds,A243)=0,"违规：交易编号不存在",IF(OR(B243="",B243&lt;1,B243&gt;5,B243&lt;&gt;INT(B243)),"违规：加仓序号须为1到5的整数",IF(COUNTIFS($A$2:$A$1001,A243,$B$2:$B$1001,B243)&gt;1,"违规：同一交易的加仓序号重复",IF(OR(D243="",E243="",F243=""),"计划不完整：请填写加仓价、新止损价和风险预算",IF(OR(D243&lt;=0,E243&lt;=0,F243&lt;=0,D243&lt;=E243),"违规：加仓价必须高于新止损价，金额须大于0",IF(AND(B243&gt;1,COUNTIFS($A$2:$A$1001,A243,$B$2:$B$1001,B243-1,$G$2:$G$1001,"&gt;0")=0),"违规：须先完成上一次加仓",IF(AND(B243&gt;1,E243&lt;SUMIFS($E$2:$E$1001,$A$2:$A$1001,A243,$B$2:$B$1001,B243-1)),"违规：新止损价不得低于上一次",IF(AND(B243&gt;1,F243&gt;SUMIFS($F$2:$F$1001,$A$2:$A$1001,A243,$B$2:$B$1001,B243-1)),"违规：风险预算须逐次不增加",IF(OR(_LockStatus="已锁仓",_LockStatus="解锁信息不完整"),"违规：锁仓期间禁止加仓",IF(G243="","计划可执行：建议股数见N列",IF(OR(G243&lt;=0,G243&lt;&gt;INT(G243),MOD(G243,100)&lt;&gt;0),"违规：实际股数须为100股整数倍",IF(G243&gt;N243,"违规：实际股数超过风险或金字塔上限",IF(AND(B243&gt;1,G243&gt;SUMIFS($G$2:$G$1001,$A$2:$A$1001,A243,$B$2:$B$1001,B243-1)),"违规：加仓股数须逐次不增加",IF(Q243&gt;F243,"违规：止损风险超过本次预算","通过")))))))))))))))</f>
        <v/>
      </c>
    </row>
    <row r="244" customFormat="false" ht="15" hidden="false" customHeight="false" outlineLevel="0" collapsed="false">
      <c r="A244" s="20"/>
      <c r="B244" s="21"/>
      <c r="C244" s="22"/>
      <c r="D244" s="23"/>
      <c r="E244" s="23"/>
      <c r="F244" s="23"/>
      <c r="G244" s="21"/>
      <c r="H244" s="24" t="str">
        <f aca="false">IF(OR(A244="",D244="",G244=""),"",D244*G244)</f>
        <v/>
      </c>
      <c r="I244" s="25" t="str">
        <f aca="false">IF(OR(A244="",B244=""),"",IFERROR(LOOKUP(2,1/(单次交易!$A$2:$A$201=A244),单次交易!$H$2:$H$201),0)+SUMIFS($G$2:$G$1001,$A$2:$A$1001,A244,$B$2:$B$1001,"&lt;"&amp;B244))</f>
        <v/>
      </c>
      <c r="J244" s="24" t="str">
        <f aca="false">IF(OR(A244="",B244=""),"",IFERROR(LOOKUP(2,1/(单次交易!$A$2:$A$201=A244),单次交易!$E$2:$E$201)*LOOKUP(2,1/(单次交易!$A$2:$A$201=A244),单次交易!$H$2:$H$201),0)+SUMIFS($H$2:$H$1001,$A$2:$A$1001,A244,$B$2:$B$1001,"&lt;"&amp;B244))</f>
        <v/>
      </c>
      <c r="K244" s="24" t="str">
        <f aca="false">IF(OR(E244="",I244="",J244=""),"",MAX(E244*I244-J244,0))</f>
        <v/>
      </c>
      <c r="L244" s="25" t="str">
        <f aca="false">IF(OR(D244="",E244="",F244="",D244&lt;=E244),"",FLOOR((F244+K244)/(D244-E244),100))</f>
        <v/>
      </c>
      <c r="M244" s="25" t="str">
        <f aca="false">IF(OR(A244="",B244="",L244=""),"",IF(B244=1,L244,IFERROR(SUMIFS($G$2:$G$1001,$A$2:$A$1001,A244,$B$2:$B$1001,B244-1),0)))</f>
        <v/>
      </c>
      <c r="N244" s="25" t="str">
        <f aca="false">IF(OR(L244="",M244=""),"",MIN(L244,M244))</f>
        <v/>
      </c>
      <c r="O244" s="25" t="str">
        <f aca="false">IF(OR(I244="",G244=""),"",I244+G244)</f>
        <v/>
      </c>
      <c r="P244" s="24" t="str">
        <f aca="false">IF(OR(O244="",O244=0),"",(J244+H244)/O244)</f>
        <v/>
      </c>
      <c r="Q244" s="24" t="str">
        <f aca="false">IF(OR(O244="",E244=""),"",MAX(J244+H244-E244*O244,0))</f>
        <v/>
      </c>
      <c r="R244" s="26" t="str">
        <f aca="false">IF(A244="","",IF(COUNTIF(_TradeIds,A244)=0,"违规：交易编号不存在",IF(OR(B244="",B244&lt;1,B244&gt;5,B244&lt;&gt;INT(B244)),"违规：加仓序号须为1到5的整数",IF(COUNTIFS($A$2:$A$1001,A244,$B$2:$B$1001,B244)&gt;1,"违规：同一交易的加仓序号重复",IF(OR(D244="",E244="",F244=""),"计划不完整：请填写加仓价、新止损价和风险预算",IF(OR(D244&lt;=0,E244&lt;=0,F244&lt;=0,D244&lt;=E244),"违规：加仓价必须高于新止损价，金额须大于0",IF(AND(B244&gt;1,COUNTIFS($A$2:$A$1001,A244,$B$2:$B$1001,B244-1,$G$2:$G$1001,"&gt;0")=0),"违规：须先完成上一次加仓",IF(AND(B244&gt;1,E244&lt;SUMIFS($E$2:$E$1001,$A$2:$A$1001,A244,$B$2:$B$1001,B244-1)),"违规：新止损价不得低于上一次",IF(AND(B244&gt;1,F244&gt;SUMIFS($F$2:$F$1001,$A$2:$A$1001,A244,$B$2:$B$1001,B244-1)),"违规：风险预算须逐次不增加",IF(OR(_LockStatus="已锁仓",_LockStatus="解锁信息不完整"),"违规：锁仓期间禁止加仓",IF(G244="","计划可执行：建议股数见N列",IF(OR(G244&lt;=0,G244&lt;&gt;INT(G244),MOD(G244,100)&lt;&gt;0),"违规：实际股数须为100股整数倍",IF(G244&gt;N244,"违规：实际股数超过风险或金字塔上限",IF(AND(B244&gt;1,G244&gt;SUMIFS($G$2:$G$1001,$A$2:$A$1001,A244,$B$2:$B$1001,B244-1)),"违规：加仓股数须逐次不增加",IF(Q244&gt;F244,"违规：止损风险超过本次预算","通过")))))))))))))))</f>
        <v/>
      </c>
    </row>
    <row r="245" customFormat="false" ht="15" hidden="false" customHeight="false" outlineLevel="0" collapsed="false">
      <c r="A245" s="20"/>
      <c r="B245" s="21"/>
      <c r="C245" s="22"/>
      <c r="D245" s="23"/>
      <c r="E245" s="23"/>
      <c r="F245" s="23"/>
      <c r="G245" s="21"/>
      <c r="H245" s="24" t="str">
        <f aca="false">IF(OR(A245="",D245="",G245=""),"",D245*G245)</f>
        <v/>
      </c>
      <c r="I245" s="25" t="str">
        <f aca="false">IF(OR(A245="",B245=""),"",IFERROR(LOOKUP(2,1/(单次交易!$A$2:$A$201=A245),单次交易!$H$2:$H$201),0)+SUMIFS($G$2:$G$1001,$A$2:$A$1001,A245,$B$2:$B$1001,"&lt;"&amp;B245))</f>
        <v/>
      </c>
      <c r="J245" s="24" t="str">
        <f aca="false">IF(OR(A245="",B245=""),"",IFERROR(LOOKUP(2,1/(单次交易!$A$2:$A$201=A245),单次交易!$E$2:$E$201)*LOOKUP(2,1/(单次交易!$A$2:$A$201=A245),单次交易!$H$2:$H$201),0)+SUMIFS($H$2:$H$1001,$A$2:$A$1001,A245,$B$2:$B$1001,"&lt;"&amp;B245))</f>
        <v/>
      </c>
      <c r="K245" s="24" t="str">
        <f aca="false">IF(OR(E245="",I245="",J245=""),"",MAX(E245*I245-J245,0))</f>
        <v/>
      </c>
      <c r="L245" s="25" t="str">
        <f aca="false">IF(OR(D245="",E245="",F245="",D245&lt;=E245),"",FLOOR((F245+K245)/(D245-E245),100))</f>
        <v/>
      </c>
      <c r="M245" s="25" t="str">
        <f aca="false">IF(OR(A245="",B245="",L245=""),"",IF(B245=1,L245,IFERROR(SUMIFS($G$2:$G$1001,$A$2:$A$1001,A245,$B$2:$B$1001,B245-1),0)))</f>
        <v/>
      </c>
      <c r="N245" s="25" t="str">
        <f aca="false">IF(OR(L245="",M245=""),"",MIN(L245,M245))</f>
        <v/>
      </c>
      <c r="O245" s="25" t="str">
        <f aca="false">IF(OR(I245="",G245=""),"",I245+G245)</f>
        <v/>
      </c>
      <c r="P245" s="24" t="str">
        <f aca="false">IF(OR(O245="",O245=0),"",(J245+H245)/O245)</f>
        <v/>
      </c>
      <c r="Q245" s="24" t="str">
        <f aca="false">IF(OR(O245="",E245=""),"",MAX(J245+H245-E245*O245,0))</f>
        <v/>
      </c>
      <c r="R245" s="26" t="str">
        <f aca="false">IF(A245="","",IF(COUNTIF(_TradeIds,A245)=0,"违规：交易编号不存在",IF(OR(B245="",B245&lt;1,B245&gt;5,B245&lt;&gt;INT(B245)),"违规：加仓序号须为1到5的整数",IF(COUNTIFS($A$2:$A$1001,A245,$B$2:$B$1001,B245)&gt;1,"违规：同一交易的加仓序号重复",IF(OR(D245="",E245="",F245=""),"计划不完整：请填写加仓价、新止损价和风险预算",IF(OR(D245&lt;=0,E245&lt;=0,F245&lt;=0,D245&lt;=E245),"违规：加仓价必须高于新止损价，金额须大于0",IF(AND(B245&gt;1,COUNTIFS($A$2:$A$1001,A245,$B$2:$B$1001,B245-1,$G$2:$G$1001,"&gt;0")=0),"违规：须先完成上一次加仓",IF(AND(B245&gt;1,E245&lt;SUMIFS($E$2:$E$1001,$A$2:$A$1001,A245,$B$2:$B$1001,B245-1)),"违规：新止损价不得低于上一次",IF(AND(B245&gt;1,F245&gt;SUMIFS($F$2:$F$1001,$A$2:$A$1001,A245,$B$2:$B$1001,B245-1)),"违规：风险预算须逐次不增加",IF(OR(_LockStatus="已锁仓",_LockStatus="解锁信息不完整"),"违规：锁仓期间禁止加仓",IF(G245="","计划可执行：建议股数见N列",IF(OR(G245&lt;=0,G245&lt;&gt;INT(G245),MOD(G245,100)&lt;&gt;0),"违规：实际股数须为100股整数倍",IF(G245&gt;N245,"违规：实际股数超过风险或金字塔上限",IF(AND(B245&gt;1,G245&gt;SUMIFS($G$2:$G$1001,$A$2:$A$1001,A245,$B$2:$B$1001,B245-1)),"违规：加仓股数须逐次不增加",IF(Q245&gt;F245,"违规：止损风险超过本次预算","通过")))))))))))))))</f>
        <v/>
      </c>
    </row>
    <row r="246" customFormat="false" ht="15" hidden="false" customHeight="false" outlineLevel="0" collapsed="false">
      <c r="A246" s="20"/>
      <c r="B246" s="21"/>
      <c r="C246" s="22"/>
      <c r="D246" s="23"/>
      <c r="E246" s="23"/>
      <c r="F246" s="23"/>
      <c r="G246" s="21"/>
      <c r="H246" s="24" t="str">
        <f aca="false">IF(OR(A246="",D246="",G246=""),"",D246*G246)</f>
        <v/>
      </c>
      <c r="I246" s="25" t="str">
        <f aca="false">IF(OR(A246="",B246=""),"",IFERROR(LOOKUP(2,1/(单次交易!$A$2:$A$201=A246),单次交易!$H$2:$H$201),0)+SUMIFS($G$2:$G$1001,$A$2:$A$1001,A246,$B$2:$B$1001,"&lt;"&amp;B246))</f>
        <v/>
      </c>
      <c r="J246" s="24" t="str">
        <f aca="false">IF(OR(A246="",B246=""),"",IFERROR(LOOKUP(2,1/(单次交易!$A$2:$A$201=A246),单次交易!$E$2:$E$201)*LOOKUP(2,1/(单次交易!$A$2:$A$201=A246),单次交易!$H$2:$H$201),0)+SUMIFS($H$2:$H$1001,$A$2:$A$1001,A246,$B$2:$B$1001,"&lt;"&amp;B246))</f>
        <v/>
      </c>
      <c r="K246" s="24" t="str">
        <f aca="false">IF(OR(E246="",I246="",J246=""),"",MAX(E246*I246-J246,0))</f>
        <v/>
      </c>
      <c r="L246" s="25" t="str">
        <f aca="false">IF(OR(D246="",E246="",F246="",D246&lt;=E246),"",FLOOR((F246+K246)/(D246-E246),100))</f>
        <v/>
      </c>
      <c r="M246" s="25" t="str">
        <f aca="false">IF(OR(A246="",B246="",L246=""),"",IF(B246=1,L246,IFERROR(SUMIFS($G$2:$G$1001,$A$2:$A$1001,A246,$B$2:$B$1001,B246-1),0)))</f>
        <v/>
      </c>
      <c r="N246" s="25" t="str">
        <f aca="false">IF(OR(L246="",M246=""),"",MIN(L246,M246))</f>
        <v/>
      </c>
      <c r="O246" s="25" t="str">
        <f aca="false">IF(OR(I246="",G246=""),"",I246+G246)</f>
        <v/>
      </c>
      <c r="P246" s="24" t="str">
        <f aca="false">IF(OR(O246="",O246=0),"",(J246+H246)/O246)</f>
        <v/>
      </c>
      <c r="Q246" s="24" t="str">
        <f aca="false">IF(OR(O246="",E246=""),"",MAX(J246+H246-E246*O246,0))</f>
        <v/>
      </c>
      <c r="R246" s="26" t="str">
        <f aca="false">IF(A246="","",IF(COUNTIF(_TradeIds,A246)=0,"违规：交易编号不存在",IF(OR(B246="",B246&lt;1,B246&gt;5,B246&lt;&gt;INT(B246)),"违规：加仓序号须为1到5的整数",IF(COUNTIFS($A$2:$A$1001,A246,$B$2:$B$1001,B246)&gt;1,"违规：同一交易的加仓序号重复",IF(OR(D246="",E246="",F246=""),"计划不完整：请填写加仓价、新止损价和风险预算",IF(OR(D246&lt;=0,E246&lt;=0,F246&lt;=0,D246&lt;=E246),"违规：加仓价必须高于新止损价，金额须大于0",IF(AND(B246&gt;1,COUNTIFS($A$2:$A$1001,A246,$B$2:$B$1001,B246-1,$G$2:$G$1001,"&gt;0")=0),"违规：须先完成上一次加仓",IF(AND(B246&gt;1,E246&lt;SUMIFS($E$2:$E$1001,$A$2:$A$1001,A246,$B$2:$B$1001,B246-1)),"违规：新止损价不得低于上一次",IF(AND(B246&gt;1,F246&gt;SUMIFS($F$2:$F$1001,$A$2:$A$1001,A246,$B$2:$B$1001,B246-1)),"违规：风险预算须逐次不增加",IF(OR(_LockStatus="已锁仓",_LockStatus="解锁信息不完整"),"违规：锁仓期间禁止加仓",IF(G246="","计划可执行：建议股数见N列",IF(OR(G246&lt;=0,G246&lt;&gt;INT(G246),MOD(G246,100)&lt;&gt;0),"违规：实际股数须为100股整数倍",IF(G246&gt;N246,"违规：实际股数超过风险或金字塔上限",IF(AND(B246&gt;1,G246&gt;SUMIFS($G$2:$G$1001,$A$2:$A$1001,A246,$B$2:$B$1001,B246-1)),"违规：加仓股数须逐次不增加",IF(Q246&gt;F246,"违规：止损风险超过本次预算","通过")))))))))))))))</f>
        <v/>
      </c>
    </row>
    <row r="247" customFormat="false" ht="15" hidden="false" customHeight="false" outlineLevel="0" collapsed="false">
      <c r="A247" s="20"/>
      <c r="B247" s="21"/>
      <c r="C247" s="22"/>
      <c r="D247" s="23"/>
      <c r="E247" s="23"/>
      <c r="F247" s="23"/>
      <c r="G247" s="21"/>
      <c r="H247" s="24" t="str">
        <f aca="false">IF(OR(A247="",D247="",G247=""),"",D247*G247)</f>
        <v/>
      </c>
      <c r="I247" s="25" t="str">
        <f aca="false">IF(OR(A247="",B247=""),"",IFERROR(LOOKUP(2,1/(单次交易!$A$2:$A$201=A247),单次交易!$H$2:$H$201),0)+SUMIFS($G$2:$G$1001,$A$2:$A$1001,A247,$B$2:$B$1001,"&lt;"&amp;B247))</f>
        <v/>
      </c>
      <c r="J247" s="24" t="str">
        <f aca="false">IF(OR(A247="",B247=""),"",IFERROR(LOOKUP(2,1/(单次交易!$A$2:$A$201=A247),单次交易!$E$2:$E$201)*LOOKUP(2,1/(单次交易!$A$2:$A$201=A247),单次交易!$H$2:$H$201),0)+SUMIFS($H$2:$H$1001,$A$2:$A$1001,A247,$B$2:$B$1001,"&lt;"&amp;B247))</f>
        <v/>
      </c>
      <c r="K247" s="24" t="str">
        <f aca="false">IF(OR(E247="",I247="",J247=""),"",MAX(E247*I247-J247,0))</f>
        <v/>
      </c>
      <c r="L247" s="25" t="str">
        <f aca="false">IF(OR(D247="",E247="",F247="",D247&lt;=E247),"",FLOOR((F247+K247)/(D247-E247),100))</f>
        <v/>
      </c>
      <c r="M247" s="25" t="str">
        <f aca="false">IF(OR(A247="",B247="",L247=""),"",IF(B247=1,L247,IFERROR(SUMIFS($G$2:$G$1001,$A$2:$A$1001,A247,$B$2:$B$1001,B247-1),0)))</f>
        <v/>
      </c>
      <c r="N247" s="25" t="str">
        <f aca="false">IF(OR(L247="",M247=""),"",MIN(L247,M247))</f>
        <v/>
      </c>
      <c r="O247" s="25" t="str">
        <f aca="false">IF(OR(I247="",G247=""),"",I247+G247)</f>
        <v/>
      </c>
      <c r="P247" s="24" t="str">
        <f aca="false">IF(OR(O247="",O247=0),"",(J247+H247)/O247)</f>
        <v/>
      </c>
      <c r="Q247" s="24" t="str">
        <f aca="false">IF(OR(O247="",E247=""),"",MAX(J247+H247-E247*O247,0))</f>
        <v/>
      </c>
      <c r="R247" s="26" t="str">
        <f aca="false">IF(A247="","",IF(COUNTIF(_TradeIds,A247)=0,"违规：交易编号不存在",IF(OR(B247="",B247&lt;1,B247&gt;5,B247&lt;&gt;INT(B247)),"违规：加仓序号须为1到5的整数",IF(COUNTIFS($A$2:$A$1001,A247,$B$2:$B$1001,B247)&gt;1,"违规：同一交易的加仓序号重复",IF(OR(D247="",E247="",F247=""),"计划不完整：请填写加仓价、新止损价和风险预算",IF(OR(D247&lt;=0,E247&lt;=0,F247&lt;=0,D247&lt;=E247),"违规：加仓价必须高于新止损价，金额须大于0",IF(AND(B247&gt;1,COUNTIFS($A$2:$A$1001,A247,$B$2:$B$1001,B247-1,$G$2:$G$1001,"&gt;0")=0),"违规：须先完成上一次加仓",IF(AND(B247&gt;1,E247&lt;SUMIFS($E$2:$E$1001,$A$2:$A$1001,A247,$B$2:$B$1001,B247-1)),"违规：新止损价不得低于上一次",IF(AND(B247&gt;1,F247&gt;SUMIFS($F$2:$F$1001,$A$2:$A$1001,A247,$B$2:$B$1001,B247-1)),"违规：风险预算须逐次不增加",IF(OR(_LockStatus="已锁仓",_LockStatus="解锁信息不完整"),"违规：锁仓期间禁止加仓",IF(G247="","计划可执行：建议股数见N列",IF(OR(G247&lt;=0,G247&lt;&gt;INT(G247),MOD(G247,100)&lt;&gt;0),"违规：实际股数须为100股整数倍",IF(G247&gt;N247,"违规：实际股数超过风险或金字塔上限",IF(AND(B247&gt;1,G247&gt;SUMIFS($G$2:$G$1001,$A$2:$A$1001,A247,$B$2:$B$1001,B247-1)),"违规：加仓股数须逐次不增加",IF(Q247&gt;F247,"违规：止损风险超过本次预算","通过")))))))))))))))</f>
        <v/>
      </c>
    </row>
    <row r="248" customFormat="false" ht="15" hidden="false" customHeight="false" outlineLevel="0" collapsed="false">
      <c r="A248" s="20"/>
      <c r="B248" s="21"/>
      <c r="C248" s="22"/>
      <c r="D248" s="23"/>
      <c r="E248" s="23"/>
      <c r="F248" s="23"/>
      <c r="G248" s="21"/>
      <c r="H248" s="24" t="str">
        <f aca="false">IF(OR(A248="",D248="",G248=""),"",D248*G248)</f>
        <v/>
      </c>
      <c r="I248" s="25" t="str">
        <f aca="false">IF(OR(A248="",B248=""),"",IFERROR(LOOKUP(2,1/(单次交易!$A$2:$A$201=A248),单次交易!$H$2:$H$201),0)+SUMIFS($G$2:$G$1001,$A$2:$A$1001,A248,$B$2:$B$1001,"&lt;"&amp;B248))</f>
        <v/>
      </c>
      <c r="J248" s="24" t="str">
        <f aca="false">IF(OR(A248="",B248=""),"",IFERROR(LOOKUP(2,1/(单次交易!$A$2:$A$201=A248),单次交易!$E$2:$E$201)*LOOKUP(2,1/(单次交易!$A$2:$A$201=A248),单次交易!$H$2:$H$201),0)+SUMIFS($H$2:$H$1001,$A$2:$A$1001,A248,$B$2:$B$1001,"&lt;"&amp;B248))</f>
        <v/>
      </c>
      <c r="K248" s="24" t="str">
        <f aca="false">IF(OR(E248="",I248="",J248=""),"",MAX(E248*I248-J248,0))</f>
        <v/>
      </c>
      <c r="L248" s="25" t="str">
        <f aca="false">IF(OR(D248="",E248="",F248="",D248&lt;=E248),"",FLOOR((F248+K248)/(D248-E248),100))</f>
        <v/>
      </c>
      <c r="M248" s="25" t="str">
        <f aca="false">IF(OR(A248="",B248="",L248=""),"",IF(B248=1,L248,IFERROR(SUMIFS($G$2:$G$1001,$A$2:$A$1001,A248,$B$2:$B$1001,B248-1),0)))</f>
        <v/>
      </c>
      <c r="N248" s="25" t="str">
        <f aca="false">IF(OR(L248="",M248=""),"",MIN(L248,M248))</f>
        <v/>
      </c>
      <c r="O248" s="25" t="str">
        <f aca="false">IF(OR(I248="",G248=""),"",I248+G248)</f>
        <v/>
      </c>
      <c r="P248" s="24" t="str">
        <f aca="false">IF(OR(O248="",O248=0),"",(J248+H248)/O248)</f>
        <v/>
      </c>
      <c r="Q248" s="24" t="str">
        <f aca="false">IF(OR(O248="",E248=""),"",MAX(J248+H248-E248*O248,0))</f>
        <v/>
      </c>
      <c r="R248" s="26" t="str">
        <f aca="false">IF(A248="","",IF(COUNTIF(_TradeIds,A248)=0,"违规：交易编号不存在",IF(OR(B248="",B248&lt;1,B248&gt;5,B248&lt;&gt;INT(B248)),"违规：加仓序号须为1到5的整数",IF(COUNTIFS($A$2:$A$1001,A248,$B$2:$B$1001,B248)&gt;1,"违规：同一交易的加仓序号重复",IF(OR(D248="",E248="",F248=""),"计划不完整：请填写加仓价、新止损价和风险预算",IF(OR(D248&lt;=0,E248&lt;=0,F248&lt;=0,D248&lt;=E248),"违规：加仓价必须高于新止损价，金额须大于0",IF(AND(B248&gt;1,COUNTIFS($A$2:$A$1001,A248,$B$2:$B$1001,B248-1,$G$2:$G$1001,"&gt;0")=0),"违规：须先完成上一次加仓",IF(AND(B248&gt;1,E248&lt;SUMIFS($E$2:$E$1001,$A$2:$A$1001,A248,$B$2:$B$1001,B248-1)),"违规：新止损价不得低于上一次",IF(AND(B248&gt;1,F248&gt;SUMIFS($F$2:$F$1001,$A$2:$A$1001,A248,$B$2:$B$1001,B248-1)),"违规：风险预算须逐次不增加",IF(OR(_LockStatus="已锁仓",_LockStatus="解锁信息不完整"),"违规：锁仓期间禁止加仓",IF(G248="","计划可执行：建议股数见N列",IF(OR(G248&lt;=0,G248&lt;&gt;INT(G248),MOD(G248,100)&lt;&gt;0),"违规：实际股数须为100股整数倍",IF(G248&gt;N248,"违规：实际股数超过风险或金字塔上限",IF(AND(B248&gt;1,G248&gt;SUMIFS($G$2:$G$1001,$A$2:$A$1001,A248,$B$2:$B$1001,B248-1)),"违规：加仓股数须逐次不增加",IF(Q248&gt;F248,"违规：止损风险超过本次预算","通过")))))))))))))))</f>
        <v/>
      </c>
    </row>
    <row r="249" customFormat="false" ht="15" hidden="false" customHeight="false" outlineLevel="0" collapsed="false">
      <c r="A249" s="20"/>
      <c r="B249" s="21"/>
      <c r="C249" s="22"/>
      <c r="D249" s="23"/>
      <c r="E249" s="23"/>
      <c r="F249" s="23"/>
      <c r="G249" s="21"/>
      <c r="H249" s="24" t="str">
        <f aca="false">IF(OR(A249="",D249="",G249=""),"",D249*G249)</f>
        <v/>
      </c>
      <c r="I249" s="25" t="str">
        <f aca="false">IF(OR(A249="",B249=""),"",IFERROR(LOOKUP(2,1/(单次交易!$A$2:$A$201=A249),单次交易!$H$2:$H$201),0)+SUMIFS($G$2:$G$1001,$A$2:$A$1001,A249,$B$2:$B$1001,"&lt;"&amp;B249))</f>
        <v/>
      </c>
      <c r="J249" s="24" t="str">
        <f aca="false">IF(OR(A249="",B249=""),"",IFERROR(LOOKUP(2,1/(单次交易!$A$2:$A$201=A249),单次交易!$E$2:$E$201)*LOOKUP(2,1/(单次交易!$A$2:$A$201=A249),单次交易!$H$2:$H$201),0)+SUMIFS($H$2:$H$1001,$A$2:$A$1001,A249,$B$2:$B$1001,"&lt;"&amp;B249))</f>
        <v/>
      </c>
      <c r="K249" s="24" t="str">
        <f aca="false">IF(OR(E249="",I249="",J249=""),"",MAX(E249*I249-J249,0))</f>
        <v/>
      </c>
      <c r="L249" s="25" t="str">
        <f aca="false">IF(OR(D249="",E249="",F249="",D249&lt;=E249),"",FLOOR((F249+K249)/(D249-E249),100))</f>
        <v/>
      </c>
      <c r="M249" s="25" t="str">
        <f aca="false">IF(OR(A249="",B249="",L249=""),"",IF(B249=1,L249,IFERROR(SUMIFS($G$2:$G$1001,$A$2:$A$1001,A249,$B$2:$B$1001,B249-1),0)))</f>
        <v/>
      </c>
      <c r="N249" s="25" t="str">
        <f aca="false">IF(OR(L249="",M249=""),"",MIN(L249,M249))</f>
        <v/>
      </c>
      <c r="O249" s="25" t="str">
        <f aca="false">IF(OR(I249="",G249=""),"",I249+G249)</f>
        <v/>
      </c>
      <c r="P249" s="24" t="str">
        <f aca="false">IF(OR(O249="",O249=0),"",(J249+H249)/O249)</f>
        <v/>
      </c>
      <c r="Q249" s="24" t="str">
        <f aca="false">IF(OR(O249="",E249=""),"",MAX(J249+H249-E249*O249,0))</f>
        <v/>
      </c>
      <c r="R249" s="26" t="str">
        <f aca="false">IF(A249="","",IF(COUNTIF(_TradeIds,A249)=0,"违规：交易编号不存在",IF(OR(B249="",B249&lt;1,B249&gt;5,B249&lt;&gt;INT(B249)),"违规：加仓序号须为1到5的整数",IF(COUNTIFS($A$2:$A$1001,A249,$B$2:$B$1001,B249)&gt;1,"违规：同一交易的加仓序号重复",IF(OR(D249="",E249="",F249=""),"计划不完整：请填写加仓价、新止损价和风险预算",IF(OR(D249&lt;=0,E249&lt;=0,F249&lt;=0,D249&lt;=E249),"违规：加仓价必须高于新止损价，金额须大于0",IF(AND(B249&gt;1,COUNTIFS($A$2:$A$1001,A249,$B$2:$B$1001,B249-1,$G$2:$G$1001,"&gt;0")=0),"违规：须先完成上一次加仓",IF(AND(B249&gt;1,E249&lt;SUMIFS($E$2:$E$1001,$A$2:$A$1001,A249,$B$2:$B$1001,B249-1)),"违规：新止损价不得低于上一次",IF(AND(B249&gt;1,F249&gt;SUMIFS($F$2:$F$1001,$A$2:$A$1001,A249,$B$2:$B$1001,B249-1)),"违规：风险预算须逐次不增加",IF(OR(_LockStatus="已锁仓",_LockStatus="解锁信息不完整"),"违规：锁仓期间禁止加仓",IF(G249="","计划可执行：建议股数见N列",IF(OR(G249&lt;=0,G249&lt;&gt;INT(G249),MOD(G249,100)&lt;&gt;0),"违规：实际股数须为100股整数倍",IF(G249&gt;N249,"违规：实际股数超过风险或金字塔上限",IF(AND(B249&gt;1,G249&gt;SUMIFS($G$2:$G$1001,$A$2:$A$1001,A249,$B$2:$B$1001,B249-1)),"违规：加仓股数须逐次不增加",IF(Q249&gt;F249,"违规：止损风险超过本次预算","通过")))))))))))))))</f>
        <v/>
      </c>
    </row>
    <row r="250" customFormat="false" ht="15" hidden="false" customHeight="false" outlineLevel="0" collapsed="false">
      <c r="A250" s="20"/>
      <c r="B250" s="21"/>
      <c r="C250" s="22"/>
      <c r="D250" s="23"/>
      <c r="E250" s="23"/>
      <c r="F250" s="23"/>
      <c r="G250" s="21"/>
      <c r="H250" s="24" t="str">
        <f aca="false">IF(OR(A250="",D250="",G250=""),"",D250*G250)</f>
        <v/>
      </c>
      <c r="I250" s="25" t="str">
        <f aca="false">IF(OR(A250="",B250=""),"",IFERROR(LOOKUP(2,1/(单次交易!$A$2:$A$201=A250),单次交易!$H$2:$H$201),0)+SUMIFS($G$2:$G$1001,$A$2:$A$1001,A250,$B$2:$B$1001,"&lt;"&amp;B250))</f>
        <v/>
      </c>
      <c r="J250" s="24" t="str">
        <f aca="false">IF(OR(A250="",B250=""),"",IFERROR(LOOKUP(2,1/(单次交易!$A$2:$A$201=A250),单次交易!$E$2:$E$201)*LOOKUP(2,1/(单次交易!$A$2:$A$201=A250),单次交易!$H$2:$H$201),0)+SUMIFS($H$2:$H$1001,$A$2:$A$1001,A250,$B$2:$B$1001,"&lt;"&amp;B250))</f>
        <v/>
      </c>
      <c r="K250" s="24" t="str">
        <f aca="false">IF(OR(E250="",I250="",J250=""),"",MAX(E250*I250-J250,0))</f>
        <v/>
      </c>
      <c r="L250" s="25" t="str">
        <f aca="false">IF(OR(D250="",E250="",F250="",D250&lt;=E250),"",FLOOR((F250+K250)/(D250-E250),100))</f>
        <v/>
      </c>
      <c r="M250" s="25" t="str">
        <f aca="false">IF(OR(A250="",B250="",L250=""),"",IF(B250=1,L250,IFERROR(SUMIFS($G$2:$G$1001,$A$2:$A$1001,A250,$B$2:$B$1001,B250-1),0)))</f>
        <v/>
      </c>
      <c r="N250" s="25" t="str">
        <f aca="false">IF(OR(L250="",M250=""),"",MIN(L250,M250))</f>
        <v/>
      </c>
      <c r="O250" s="25" t="str">
        <f aca="false">IF(OR(I250="",G250=""),"",I250+G250)</f>
        <v/>
      </c>
      <c r="P250" s="24" t="str">
        <f aca="false">IF(OR(O250="",O250=0),"",(J250+H250)/O250)</f>
        <v/>
      </c>
      <c r="Q250" s="24" t="str">
        <f aca="false">IF(OR(O250="",E250=""),"",MAX(J250+H250-E250*O250,0))</f>
        <v/>
      </c>
      <c r="R250" s="26" t="str">
        <f aca="false">IF(A250="","",IF(COUNTIF(_TradeIds,A250)=0,"违规：交易编号不存在",IF(OR(B250="",B250&lt;1,B250&gt;5,B250&lt;&gt;INT(B250)),"违规：加仓序号须为1到5的整数",IF(COUNTIFS($A$2:$A$1001,A250,$B$2:$B$1001,B250)&gt;1,"违规：同一交易的加仓序号重复",IF(OR(D250="",E250="",F250=""),"计划不完整：请填写加仓价、新止损价和风险预算",IF(OR(D250&lt;=0,E250&lt;=0,F250&lt;=0,D250&lt;=E250),"违规：加仓价必须高于新止损价，金额须大于0",IF(AND(B250&gt;1,COUNTIFS($A$2:$A$1001,A250,$B$2:$B$1001,B250-1,$G$2:$G$1001,"&gt;0")=0),"违规：须先完成上一次加仓",IF(AND(B250&gt;1,E250&lt;SUMIFS($E$2:$E$1001,$A$2:$A$1001,A250,$B$2:$B$1001,B250-1)),"违规：新止损价不得低于上一次",IF(AND(B250&gt;1,F250&gt;SUMIFS($F$2:$F$1001,$A$2:$A$1001,A250,$B$2:$B$1001,B250-1)),"违规：风险预算须逐次不增加",IF(OR(_LockStatus="已锁仓",_LockStatus="解锁信息不完整"),"违规：锁仓期间禁止加仓",IF(G250="","计划可执行：建议股数见N列",IF(OR(G250&lt;=0,G250&lt;&gt;INT(G250),MOD(G250,100)&lt;&gt;0),"违规：实际股数须为100股整数倍",IF(G250&gt;N250,"违规：实际股数超过风险或金字塔上限",IF(AND(B250&gt;1,G250&gt;SUMIFS($G$2:$G$1001,$A$2:$A$1001,A250,$B$2:$B$1001,B250-1)),"违规：加仓股数须逐次不增加",IF(Q250&gt;F250,"违规：止损风险超过本次预算","通过")))))))))))))))</f>
        <v/>
      </c>
    </row>
    <row r="251" customFormat="false" ht="15" hidden="false" customHeight="false" outlineLevel="0" collapsed="false">
      <c r="A251" s="20"/>
      <c r="B251" s="21"/>
      <c r="C251" s="22"/>
      <c r="D251" s="23"/>
      <c r="E251" s="23"/>
      <c r="F251" s="23"/>
      <c r="G251" s="21"/>
      <c r="H251" s="24" t="str">
        <f aca="false">IF(OR(A251="",D251="",G251=""),"",D251*G251)</f>
        <v/>
      </c>
      <c r="I251" s="25" t="str">
        <f aca="false">IF(OR(A251="",B251=""),"",IFERROR(LOOKUP(2,1/(单次交易!$A$2:$A$201=A251),单次交易!$H$2:$H$201),0)+SUMIFS($G$2:$G$1001,$A$2:$A$1001,A251,$B$2:$B$1001,"&lt;"&amp;B251))</f>
        <v/>
      </c>
      <c r="J251" s="24" t="str">
        <f aca="false">IF(OR(A251="",B251=""),"",IFERROR(LOOKUP(2,1/(单次交易!$A$2:$A$201=A251),单次交易!$E$2:$E$201)*LOOKUP(2,1/(单次交易!$A$2:$A$201=A251),单次交易!$H$2:$H$201),0)+SUMIFS($H$2:$H$1001,$A$2:$A$1001,A251,$B$2:$B$1001,"&lt;"&amp;B251))</f>
        <v/>
      </c>
      <c r="K251" s="24" t="str">
        <f aca="false">IF(OR(E251="",I251="",J251=""),"",MAX(E251*I251-J251,0))</f>
        <v/>
      </c>
      <c r="L251" s="25" t="str">
        <f aca="false">IF(OR(D251="",E251="",F251="",D251&lt;=E251),"",FLOOR((F251+K251)/(D251-E251),100))</f>
        <v/>
      </c>
      <c r="M251" s="25" t="str">
        <f aca="false">IF(OR(A251="",B251="",L251=""),"",IF(B251=1,L251,IFERROR(SUMIFS($G$2:$G$1001,$A$2:$A$1001,A251,$B$2:$B$1001,B251-1),0)))</f>
        <v/>
      </c>
      <c r="N251" s="25" t="str">
        <f aca="false">IF(OR(L251="",M251=""),"",MIN(L251,M251))</f>
        <v/>
      </c>
      <c r="O251" s="25" t="str">
        <f aca="false">IF(OR(I251="",G251=""),"",I251+G251)</f>
        <v/>
      </c>
      <c r="P251" s="24" t="str">
        <f aca="false">IF(OR(O251="",O251=0),"",(J251+H251)/O251)</f>
        <v/>
      </c>
      <c r="Q251" s="24" t="str">
        <f aca="false">IF(OR(O251="",E251=""),"",MAX(J251+H251-E251*O251,0))</f>
        <v/>
      </c>
      <c r="R251" s="26" t="str">
        <f aca="false">IF(A251="","",IF(COUNTIF(_TradeIds,A251)=0,"违规：交易编号不存在",IF(OR(B251="",B251&lt;1,B251&gt;5,B251&lt;&gt;INT(B251)),"违规：加仓序号须为1到5的整数",IF(COUNTIFS($A$2:$A$1001,A251,$B$2:$B$1001,B251)&gt;1,"违规：同一交易的加仓序号重复",IF(OR(D251="",E251="",F251=""),"计划不完整：请填写加仓价、新止损价和风险预算",IF(OR(D251&lt;=0,E251&lt;=0,F251&lt;=0,D251&lt;=E251),"违规：加仓价必须高于新止损价，金额须大于0",IF(AND(B251&gt;1,COUNTIFS($A$2:$A$1001,A251,$B$2:$B$1001,B251-1,$G$2:$G$1001,"&gt;0")=0),"违规：须先完成上一次加仓",IF(AND(B251&gt;1,E251&lt;SUMIFS($E$2:$E$1001,$A$2:$A$1001,A251,$B$2:$B$1001,B251-1)),"违规：新止损价不得低于上一次",IF(AND(B251&gt;1,F251&gt;SUMIFS($F$2:$F$1001,$A$2:$A$1001,A251,$B$2:$B$1001,B251-1)),"违规：风险预算须逐次不增加",IF(OR(_LockStatus="已锁仓",_LockStatus="解锁信息不完整"),"违规：锁仓期间禁止加仓",IF(G251="","计划可执行：建议股数见N列",IF(OR(G251&lt;=0,G251&lt;&gt;INT(G251),MOD(G251,100)&lt;&gt;0),"违规：实际股数须为100股整数倍",IF(G251&gt;N251,"违规：实际股数超过风险或金字塔上限",IF(AND(B251&gt;1,G251&gt;SUMIFS($G$2:$G$1001,$A$2:$A$1001,A251,$B$2:$B$1001,B251-1)),"违规：加仓股数须逐次不增加",IF(Q251&gt;F251,"违规：止损风险超过本次预算","通过")))))))))))))))</f>
        <v/>
      </c>
    </row>
    <row r="252" customFormat="false" ht="15" hidden="false" customHeight="false" outlineLevel="0" collapsed="false">
      <c r="A252" s="20"/>
      <c r="B252" s="21"/>
      <c r="C252" s="22"/>
      <c r="D252" s="23"/>
      <c r="E252" s="23"/>
      <c r="F252" s="23"/>
      <c r="G252" s="21"/>
      <c r="H252" s="24" t="str">
        <f aca="false">IF(OR(A252="",D252="",G252=""),"",D252*G252)</f>
        <v/>
      </c>
      <c r="I252" s="25" t="str">
        <f aca="false">IF(OR(A252="",B252=""),"",IFERROR(LOOKUP(2,1/(单次交易!$A$2:$A$201=A252),单次交易!$H$2:$H$201),0)+SUMIFS($G$2:$G$1001,$A$2:$A$1001,A252,$B$2:$B$1001,"&lt;"&amp;B252))</f>
        <v/>
      </c>
      <c r="J252" s="24" t="str">
        <f aca="false">IF(OR(A252="",B252=""),"",IFERROR(LOOKUP(2,1/(单次交易!$A$2:$A$201=A252),单次交易!$E$2:$E$201)*LOOKUP(2,1/(单次交易!$A$2:$A$201=A252),单次交易!$H$2:$H$201),0)+SUMIFS($H$2:$H$1001,$A$2:$A$1001,A252,$B$2:$B$1001,"&lt;"&amp;B252))</f>
        <v/>
      </c>
      <c r="K252" s="24" t="str">
        <f aca="false">IF(OR(E252="",I252="",J252=""),"",MAX(E252*I252-J252,0))</f>
        <v/>
      </c>
      <c r="L252" s="25" t="str">
        <f aca="false">IF(OR(D252="",E252="",F252="",D252&lt;=E252),"",FLOOR((F252+K252)/(D252-E252),100))</f>
        <v/>
      </c>
      <c r="M252" s="25" t="str">
        <f aca="false">IF(OR(A252="",B252="",L252=""),"",IF(B252=1,L252,IFERROR(SUMIFS($G$2:$G$1001,$A$2:$A$1001,A252,$B$2:$B$1001,B252-1),0)))</f>
        <v/>
      </c>
      <c r="N252" s="25" t="str">
        <f aca="false">IF(OR(L252="",M252=""),"",MIN(L252,M252))</f>
        <v/>
      </c>
      <c r="O252" s="25" t="str">
        <f aca="false">IF(OR(I252="",G252=""),"",I252+G252)</f>
        <v/>
      </c>
      <c r="P252" s="24" t="str">
        <f aca="false">IF(OR(O252="",O252=0),"",(J252+H252)/O252)</f>
        <v/>
      </c>
      <c r="Q252" s="24" t="str">
        <f aca="false">IF(OR(O252="",E252=""),"",MAX(J252+H252-E252*O252,0))</f>
        <v/>
      </c>
      <c r="R252" s="26" t="str">
        <f aca="false">IF(A252="","",IF(COUNTIF(_TradeIds,A252)=0,"违规：交易编号不存在",IF(OR(B252="",B252&lt;1,B252&gt;5,B252&lt;&gt;INT(B252)),"违规：加仓序号须为1到5的整数",IF(COUNTIFS($A$2:$A$1001,A252,$B$2:$B$1001,B252)&gt;1,"违规：同一交易的加仓序号重复",IF(OR(D252="",E252="",F252=""),"计划不完整：请填写加仓价、新止损价和风险预算",IF(OR(D252&lt;=0,E252&lt;=0,F252&lt;=0,D252&lt;=E252),"违规：加仓价必须高于新止损价，金额须大于0",IF(AND(B252&gt;1,COUNTIFS($A$2:$A$1001,A252,$B$2:$B$1001,B252-1,$G$2:$G$1001,"&gt;0")=0),"违规：须先完成上一次加仓",IF(AND(B252&gt;1,E252&lt;SUMIFS($E$2:$E$1001,$A$2:$A$1001,A252,$B$2:$B$1001,B252-1)),"违规：新止损价不得低于上一次",IF(AND(B252&gt;1,F252&gt;SUMIFS($F$2:$F$1001,$A$2:$A$1001,A252,$B$2:$B$1001,B252-1)),"违规：风险预算须逐次不增加",IF(OR(_LockStatus="已锁仓",_LockStatus="解锁信息不完整"),"违规：锁仓期间禁止加仓",IF(G252="","计划可执行：建议股数见N列",IF(OR(G252&lt;=0,G252&lt;&gt;INT(G252),MOD(G252,100)&lt;&gt;0),"违规：实际股数须为100股整数倍",IF(G252&gt;N252,"违规：实际股数超过风险或金字塔上限",IF(AND(B252&gt;1,G252&gt;SUMIFS($G$2:$G$1001,$A$2:$A$1001,A252,$B$2:$B$1001,B252-1)),"违规：加仓股数须逐次不增加",IF(Q252&gt;F252,"违规：止损风险超过本次预算","通过")))))))))))))))</f>
        <v/>
      </c>
    </row>
    <row r="253" customFormat="false" ht="15" hidden="false" customHeight="false" outlineLevel="0" collapsed="false">
      <c r="A253" s="20"/>
      <c r="B253" s="21"/>
      <c r="C253" s="22"/>
      <c r="D253" s="23"/>
      <c r="E253" s="23"/>
      <c r="F253" s="23"/>
      <c r="G253" s="21"/>
      <c r="H253" s="24" t="str">
        <f aca="false">IF(OR(A253="",D253="",G253=""),"",D253*G253)</f>
        <v/>
      </c>
      <c r="I253" s="25" t="str">
        <f aca="false">IF(OR(A253="",B253=""),"",IFERROR(LOOKUP(2,1/(单次交易!$A$2:$A$201=A253),单次交易!$H$2:$H$201),0)+SUMIFS($G$2:$G$1001,$A$2:$A$1001,A253,$B$2:$B$1001,"&lt;"&amp;B253))</f>
        <v/>
      </c>
      <c r="J253" s="24" t="str">
        <f aca="false">IF(OR(A253="",B253=""),"",IFERROR(LOOKUP(2,1/(单次交易!$A$2:$A$201=A253),单次交易!$E$2:$E$201)*LOOKUP(2,1/(单次交易!$A$2:$A$201=A253),单次交易!$H$2:$H$201),0)+SUMIFS($H$2:$H$1001,$A$2:$A$1001,A253,$B$2:$B$1001,"&lt;"&amp;B253))</f>
        <v/>
      </c>
      <c r="K253" s="24" t="str">
        <f aca="false">IF(OR(E253="",I253="",J253=""),"",MAX(E253*I253-J253,0))</f>
        <v/>
      </c>
      <c r="L253" s="25" t="str">
        <f aca="false">IF(OR(D253="",E253="",F253="",D253&lt;=E253),"",FLOOR((F253+K253)/(D253-E253),100))</f>
        <v/>
      </c>
      <c r="M253" s="25" t="str">
        <f aca="false">IF(OR(A253="",B253="",L253=""),"",IF(B253=1,L253,IFERROR(SUMIFS($G$2:$G$1001,$A$2:$A$1001,A253,$B$2:$B$1001,B253-1),0)))</f>
        <v/>
      </c>
      <c r="N253" s="25" t="str">
        <f aca="false">IF(OR(L253="",M253=""),"",MIN(L253,M253))</f>
        <v/>
      </c>
      <c r="O253" s="25" t="str">
        <f aca="false">IF(OR(I253="",G253=""),"",I253+G253)</f>
        <v/>
      </c>
      <c r="P253" s="24" t="str">
        <f aca="false">IF(OR(O253="",O253=0),"",(J253+H253)/O253)</f>
        <v/>
      </c>
      <c r="Q253" s="24" t="str">
        <f aca="false">IF(OR(O253="",E253=""),"",MAX(J253+H253-E253*O253,0))</f>
        <v/>
      </c>
      <c r="R253" s="26" t="str">
        <f aca="false">IF(A253="","",IF(COUNTIF(_TradeIds,A253)=0,"违规：交易编号不存在",IF(OR(B253="",B253&lt;1,B253&gt;5,B253&lt;&gt;INT(B253)),"违规：加仓序号须为1到5的整数",IF(COUNTIFS($A$2:$A$1001,A253,$B$2:$B$1001,B253)&gt;1,"违规：同一交易的加仓序号重复",IF(OR(D253="",E253="",F253=""),"计划不完整：请填写加仓价、新止损价和风险预算",IF(OR(D253&lt;=0,E253&lt;=0,F253&lt;=0,D253&lt;=E253),"违规：加仓价必须高于新止损价，金额须大于0",IF(AND(B253&gt;1,COUNTIFS($A$2:$A$1001,A253,$B$2:$B$1001,B253-1,$G$2:$G$1001,"&gt;0")=0),"违规：须先完成上一次加仓",IF(AND(B253&gt;1,E253&lt;SUMIFS($E$2:$E$1001,$A$2:$A$1001,A253,$B$2:$B$1001,B253-1)),"违规：新止损价不得低于上一次",IF(AND(B253&gt;1,F253&gt;SUMIFS($F$2:$F$1001,$A$2:$A$1001,A253,$B$2:$B$1001,B253-1)),"违规：风险预算须逐次不增加",IF(OR(_LockStatus="已锁仓",_LockStatus="解锁信息不完整"),"违规：锁仓期间禁止加仓",IF(G253="","计划可执行：建议股数见N列",IF(OR(G253&lt;=0,G253&lt;&gt;INT(G253),MOD(G253,100)&lt;&gt;0),"违规：实际股数须为100股整数倍",IF(G253&gt;N253,"违规：实际股数超过风险或金字塔上限",IF(AND(B253&gt;1,G253&gt;SUMIFS($G$2:$G$1001,$A$2:$A$1001,A253,$B$2:$B$1001,B253-1)),"违规：加仓股数须逐次不增加",IF(Q253&gt;F253,"违规：止损风险超过本次预算","通过")))))))))))))))</f>
        <v/>
      </c>
    </row>
    <row r="254" customFormat="false" ht="15" hidden="false" customHeight="false" outlineLevel="0" collapsed="false">
      <c r="A254" s="20"/>
      <c r="B254" s="21"/>
      <c r="C254" s="22"/>
      <c r="D254" s="23"/>
      <c r="E254" s="23"/>
      <c r="F254" s="23"/>
      <c r="G254" s="21"/>
      <c r="H254" s="24" t="str">
        <f aca="false">IF(OR(A254="",D254="",G254=""),"",D254*G254)</f>
        <v/>
      </c>
      <c r="I254" s="25" t="str">
        <f aca="false">IF(OR(A254="",B254=""),"",IFERROR(LOOKUP(2,1/(单次交易!$A$2:$A$201=A254),单次交易!$H$2:$H$201),0)+SUMIFS($G$2:$G$1001,$A$2:$A$1001,A254,$B$2:$B$1001,"&lt;"&amp;B254))</f>
        <v/>
      </c>
      <c r="J254" s="24" t="str">
        <f aca="false">IF(OR(A254="",B254=""),"",IFERROR(LOOKUP(2,1/(单次交易!$A$2:$A$201=A254),单次交易!$E$2:$E$201)*LOOKUP(2,1/(单次交易!$A$2:$A$201=A254),单次交易!$H$2:$H$201),0)+SUMIFS($H$2:$H$1001,$A$2:$A$1001,A254,$B$2:$B$1001,"&lt;"&amp;B254))</f>
        <v/>
      </c>
      <c r="K254" s="24" t="str">
        <f aca="false">IF(OR(E254="",I254="",J254=""),"",MAX(E254*I254-J254,0))</f>
        <v/>
      </c>
      <c r="L254" s="25" t="str">
        <f aca="false">IF(OR(D254="",E254="",F254="",D254&lt;=E254),"",FLOOR((F254+K254)/(D254-E254),100))</f>
        <v/>
      </c>
      <c r="M254" s="25" t="str">
        <f aca="false">IF(OR(A254="",B254="",L254=""),"",IF(B254=1,L254,IFERROR(SUMIFS($G$2:$G$1001,$A$2:$A$1001,A254,$B$2:$B$1001,B254-1),0)))</f>
        <v/>
      </c>
      <c r="N254" s="25" t="str">
        <f aca="false">IF(OR(L254="",M254=""),"",MIN(L254,M254))</f>
        <v/>
      </c>
      <c r="O254" s="25" t="str">
        <f aca="false">IF(OR(I254="",G254=""),"",I254+G254)</f>
        <v/>
      </c>
      <c r="P254" s="24" t="str">
        <f aca="false">IF(OR(O254="",O254=0),"",(J254+H254)/O254)</f>
        <v/>
      </c>
      <c r="Q254" s="24" t="str">
        <f aca="false">IF(OR(O254="",E254=""),"",MAX(J254+H254-E254*O254,0))</f>
        <v/>
      </c>
      <c r="R254" s="26" t="str">
        <f aca="false">IF(A254="","",IF(COUNTIF(_TradeIds,A254)=0,"违规：交易编号不存在",IF(OR(B254="",B254&lt;1,B254&gt;5,B254&lt;&gt;INT(B254)),"违规：加仓序号须为1到5的整数",IF(COUNTIFS($A$2:$A$1001,A254,$B$2:$B$1001,B254)&gt;1,"违规：同一交易的加仓序号重复",IF(OR(D254="",E254="",F254=""),"计划不完整：请填写加仓价、新止损价和风险预算",IF(OR(D254&lt;=0,E254&lt;=0,F254&lt;=0,D254&lt;=E254),"违规：加仓价必须高于新止损价，金额须大于0",IF(AND(B254&gt;1,COUNTIFS($A$2:$A$1001,A254,$B$2:$B$1001,B254-1,$G$2:$G$1001,"&gt;0")=0),"违规：须先完成上一次加仓",IF(AND(B254&gt;1,E254&lt;SUMIFS($E$2:$E$1001,$A$2:$A$1001,A254,$B$2:$B$1001,B254-1)),"违规：新止损价不得低于上一次",IF(AND(B254&gt;1,F254&gt;SUMIFS($F$2:$F$1001,$A$2:$A$1001,A254,$B$2:$B$1001,B254-1)),"违规：风险预算须逐次不增加",IF(OR(_LockStatus="已锁仓",_LockStatus="解锁信息不完整"),"违规：锁仓期间禁止加仓",IF(G254="","计划可执行：建议股数见N列",IF(OR(G254&lt;=0,G254&lt;&gt;INT(G254),MOD(G254,100)&lt;&gt;0),"违规：实际股数须为100股整数倍",IF(G254&gt;N254,"违规：实际股数超过风险或金字塔上限",IF(AND(B254&gt;1,G254&gt;SUMIFS($G$2:$G$1001,$A$2:$A$1001,A254,$B$2:$B$1001,B254-1)),"违规：加仓股数须逐次不增加",IF(Q254&gt;F254,"违规：止损风险超过本次预算","通过")))))))))))))))</f>
        <v/>
      </c>
    </row>
    <row r="255" customFormat="false" ht="15" hidden="false" customHeight="false" outlineLevel="0" collapsed="false">
      <c r="A255" s="20"/>
      <c r="B255" s="21"/>
      <c r="C255" s="22"/>
      <c r="D255" s="23"/>
      <c r="E255" s="23"/>
      <c r="F255" s="23"/>
      <c r="G255" s="21"/>
      <c r="H255" s="24" t="str">
        <f aca="false">IF(OR(A255="",D255="",G255=""),"",D255*G255)</f>
        <v/>
      </c>
      <c r="I255" s="25" t="str">
        <f aca="false">IF(OR(A255="",B255=""),"",IFERROR(LOOKUP(2,1/(单次交易!$A$2:$A$201=A255),单次交易!$H$2:$H$201),0)+SUMIFS($G$2:$G$1001,$A$2:$A$1001,A255,$B$2:$B$1001,"&lt;"&amp;B255))</f>
        <v/>
      </c>
      <c r="J255" s="24" t="str">
        <f aca="false">IF(OR(A255="",B255=""),"",IFERROR(LOOKUP(2,1/(单次交易!$A$2:$A$201=A255),单次交易!$E$2:$E$201)*LOOKUP(2,1/(单次交易!$A$2:$A$201=A255),单次交易!$H$2:$H$201),0)+SUMIFS($H$2:$H$1001,$A$2:$A$1001,A255,$B$2:$B$1001,"&lt;"&amp;B255))</f>
        <v/>
      </c>
      <c r="K255" s="24" t="str">
        <f aca="false">IF(OR(E255="",I255="",J255=""),"",MAX(E255*I255-J255,0))</f>
        <v/>
      </c>
      <c r="L255" s="25" t="str">
        <f aca="false">IF(OR(D255="",E255="",F255="",D255&lt;=E255),"",FLOOR((F255+K255)/(D255-E255),100))</f>
        <v/>
      </c>
      <c r="M255" s="25" t="str">
        <f aca="false">IF(OR(A255="",B255="",L255=""),"",IF(B255=1,L255,IFERROR(SUMIFS($G$2:$G$1001,$A$2:$A$1001,A255,$B$2:$B$1001,B255-1),0)))</f>
        <v/>
      </c>
      <c r="N255" s="25" t="str">
        <f aca="false">IF(OR(L255="",M255=""),"",MIN(L255,M255))</f>
        <v/>
      </c>
      <c r="O255" s="25" t="str">
        <f aca="false">IF(OR(I255="",G255=""),"",I255+G255)</f>
        <v/>
      </c>
      <c r="P255" s="24" t="str">
        <f aca="false">IF(OR(O255="",O255=0),"",(J255+H255)/O255)</f>
        <v/>
      </c>
      <c r="Q255" s="24" t="str">
        <f aca="false">IF(OR(O255="",E255=""),"",MAX(J255+H255-E255*O255,0))</f>
        <v/>
      </c>
      <c r="R255" s="26" t="str">
        <f aca="false">IF(A255="","",IF(COUNTIF(_TradeIds,A255)=0,"违规：交易编号不存在",IF(OR(B255="",B255&lt;1,B255&gt;5,B255&lt;&gt;INT(B255)),"违规：加仓序号须为1到5的整数",IF(COUNTIFS($A$2:$A$1001,A255,$B$2:$B$1001,B255)&gt;1,"违规：同一交易的加仓序号重复",IF(OR(D255="",E255="",F255=""),"计划不完整：请填写加仓价、新止损价和风险预算",IF(OR(D255&lt;=0,E255&lt;=0,F255&lt;=0,D255&lt;=E255),"违规：加仓价必须高于新止损价，金额须大于0",IF(AND(B255&gt;1,COUNTIFS($A$2:$A$1001,A255,$B$2:$B$1001,B255-1,$G$2:$G$1001,"&gt;0")=0),"违规：须先完成上一次加仓",IF(AND(B255&gt;1,E255&lt;SUMIFS($E$2:$E$1001,$A$2:$A$1001,A255,$B$2:$B$1001,B255-1)),"违规：新止损价不得低于上一次",IF(AND(B255&gt;1,F255&gt;SUMIFS($F$2:$F$1001,$A$2:$A$1001,A255,$B$2:$B$1001,B255-1)),"违规：风险预算须逐次不增加",IF(OR(_LockStatus="已锁仓",_LockStatus="解锁信息不完整"),"违规：锁仓期间禁止加仓",IF(G255="","计划可执行：建议股数见N列",IF(OR(G255&lt;=0,G255&lt;&gt;INT(G255),MOD(G255,100)&lt;&gt;0),"违规：实际股数须为100股整数倍",IF(G255&gt;N255,"违规：实际股数超过风险或金字塔上限",IF(AND(B255&gt;1,G255&gt;SUMIFS($G$2:$G$1001,$A$2:$A$1001,A255,$B$2:$B$1001,B255-1)),"违规：加仓股数须逐次不增加",IF(Q255&gt;F255,"违规：止损风险超过本次预算","通过")))))))))))))))</f>
        <v/>
      </c>
    </row>
    <row r="256" customFormat="false" ht="15" hidden="false" customHeight="false" outlineLevel="0" collapsed="false">
      <c r="A256" s="20"/>
      <c r="B256" s="21"/>
      <c r="C256" s="22"/>
      <c r="D256" s="23"/>
      <c r="E256" s="23"/>
      <c r="F256" s="23"/>
      <c r="G256" s="21"/>
      <c r="H256" s="24" t="str">
        <f aca="false">IF(OR(A256="",D256="",G256=""),"",D256*G256)</f>
        <v/>
      </c>
      <c r="I256" s="25" t="str">
        <f aca="false">IF(OR(A256="",B256=""),"",IFERROR(LOOKUP(2,1/(单次交易!$A$2:$A$201=A256),单次交易!$H$2:$H$201),0)+SUMIFS($G$2:$G$1001,$A$2:$A$1001,A256,$B$2:$B$1001,"&lt;"&amp;B256))</f>
        <v/>
      </c>
      <c r="J256" s="24" t="str">
        <f aca="false">IF(OR(A256="",B256=""),"",IFERROR(LOOKUP(2,1/(单次交易!$A$2:$A$201=A256),单次交易!$E$2:$E$201)*LOOKUP(2,1/(单次交易!$A$2:$A$201=A256),单次交易!$H$2:$H$201),0)+SUMIFS($H$2:$H$1001,$A$2:$A$1001,A256,$B$2:$B$1001,"&lt;"&amp;B256))</f>
        <v/>
      </c>
      <c r="K256" s="24" t="str">
        <f aca="false">IF(OR(E256="",I256="",J256=""),"",MAX(E256*I256-J256,0))</f>
        <v/>
      </c>
      <c r="L256" s="25" t="str">
        <f aca="false">IF(OR(D256="",E256="",F256="",D256&lt;=E256),"",FLOOR((F256+K256)/(D256-E256),100))</f>
        <v/>
      </c>
      <c r="M256" s="25" t="str">
        <f aca="false">IF(OR(A256="",B256="",L256=""),"",IF(B256=1,L256,IFERROR(SUMIFS($G$2:$G$1001,$A$2:$A$1001,A256,$B$2:$B$1001,B256-1),0)))</f>
        <v/>
      </c>
      <c r="N256" s="25" t="str">
        <f aca="false">IF(OR(L256="",M256=""),"",MIN(L256,M256))</f>
        <v/>
      </c>
      <c r="O256" s="25" t="str">
        <f aca="false">IF(OR(I256="",G256=""),"",I256+G256)</f>
        <v/>
      </c>
      <c r="P256" s="24" t="str">
        <f aca="false">IF(OR(O256="",O256=0),"",(J256+H256)/O256)</f>
        <v/>
      </c>
      <c r="Q256" s="24" t="str">
        <f aca="false">IF(OR(O256="",E256=""),"",MAX(J256+H256-E256*O256,0))</f>
        <v/>
      </c>
      <c r="R256" s="26" t="str">
        <f aca="false">IF(A256="","",IF(COUNTIF(_TradeIds,A256)=0,"违规：交易编号不存在",IF(OR(B256="",B256&lt;1,B256&gt;5,B256&lt;&gt;INT(B256)),"违规：加仓序号须为1到5的整数",IF(COUNTIFS($A$2:$A$1001,A256,$B$2:$B$1001,B256)&gt;1,"违规：同一交易的加仓序号重复",IF(OR(D256="",E256="",F256=""),"计划不完整：请填写加仓价、新止损价和风险预算",IF(OR(D256&lt;=0,E256&lt;=0,F256&lt;=0,D256&lt;=E256),"违规：加仓价必须高于新止损价，金额须大于0",IF(AND(B256&gt;1,COUNTIFS($A$2:$A$1001,A256,$B$2:$B$1001,B256-1,$G$2:$G$1001,"&gt;0")=0),"违规：须先完成上一次加仓",IF(AND(B256&gt;1,E256&lt;SUMIFS($E$2:$E$1001,$A$2:$A$1001,A256,$B$2:$B$1001,B256-1)),"违规：新止损价不得低于上一次",IF(AND(B256&gt;1,F256&gt;SUMIFS($F$2:$F$1001,$A$2:$A$1001,A256,$B$2:$B$1001,B256-1)),"违规：风险预算须逐次不增加",IF(OR(_LockStatus="已锁仓",_LockStatus="解锁信息不完整"),"违规：锁仓期间禁止加仓",IF(G256="","计划可执行：建议股数见N列",IF(OR(G256&lt;=0,G256&lt;&gt;INT(G256),MOD(G256,100)&lt;&gt;0),"违规：实际股数须为100股整数倍",IF(G256&gt;N256,"违规：实际股数超过风险或金字塔上限",IF(AND(B256&gt;1,G256&gt;SUMIFS($G$2:$G$1001,$A$2:$A$1001,A256,$B$2:$B$1001,B256-1)),"违规：加仓股数须逐次不增加",IF(Q256&gt;F256,"违规：止损风险超过本次预算","通过")))))))))))))))</f>
        <v/>
      </c>
    </row>
    <row r="257" customFormat="false" ht="15" hidden="false" customHeight="false" outlineLevel="0" collapsed="false">
      <c r="A257" s="20"/>
      <c r="B257" s="21"/>
      <c r="C257" s="22"/>
      <c r="D257" s="23"/>
      <c r="E257" s="23"/>
      <c r="F257" s="23"/>
      <c r="G257" s="21"/>
      <c r="H257" s="24" t="str">
        <f aca="false">IF(OR(A257="",D257="",G257=""),"",D257*G257)</f>
        <v/>
      </c>
      <c r="I257" s="25" t="str">
        <f aca="false">IF(OR(A257="",B257=""),"",IFERROR(LOOKUP(2,1/(单次交易!$A$2:$A$201=A257),单次交易!$H$2:$H$201),0)+SUMIFS($G$2:$G$1001,$A$2:$A$1001,A257,$B$2:$B$1001,"&lt;"&amp;B257))</f>
        <v/>
      </c>
      <c r="J257" s="24" t="str">
        <f aca="false">IF(OR(A257="",B257=""),"",IFERROR(LOOKUP(2,1/(单次交易!$A$2:$A$201=A257),单次交易!$E$2:$E$201)*LOOKUP(2,1/(单次交易!$A$2:$A$201=A257),单次交易!$H$2:$H$201),0)+SUMIFS($H$2:$H$1001,$A$2:$A$1001,A257,$B$2:$B$1001,"&lt;"&amp;B257))</f>
        <v/>
      </c>
      <c r="K257" s="24" t="str">
        <f aca="false">IF(OR(E257="",I257="",J257=""),"",MAX(E257*I257-J257,0))</f>
        <v/>
      </c>
      <c r="L257" s="25" t="str">
        <f aca="false">IF(OR(D257="",E257="",F257="",D257&lt;=E257),"",FLOOR((F257+K257)/(D257-E257),100))</f>
        <v/>
      </c>
      <c r="M257" s="25" t="str">
        <f aca="false">IF(OR(A257="",B257="",L257=""),"",IF(B257=1,L257,IFERROR(SUMIFS($G$2:$G$1001,$A$2:$A$1001,A257,$B$2:$B$1001,B257-1),0)))</f>
        <v/>
      </c>
      <c r="N257" s="25" t="str">
        <f aca="false">IF(OR(L257="",M257=""),"",MIN(L257,M257))</f>
        <v/>
      </c>
      <c r="O257" s="25" t="str">
        <f aca="false">IF(OR(I257="",G257=""),"",I257+G257)</f>
        <v/>
      </c>
      <c r="P257" s="24" t="str">
        <f aca="false">IF(OR(O257="",O257=0),"",(J257+H257)/O257)</f>
        <v/>
      </c>
      <c r="Q257" s="24" t="str">
        <f aca="false">IF(OR(O257="",E257=""),"",MAX(J257+H257-E257*O257,0))</f>
        <v/>
      </c>
      <c r="R257" s="26" t="str">
        <f aca="false">IF(A257="","",IF(COUNTIF(_TradeIds,A257)=0,"违规：交易编号不存在",IF(OR(B257="",B257&lt;1,B257&gt;5,B257&lt;&gt;INT(B257)),"违规：加仓序号须为1到5的整数",IF(COUNTIFS($A$2:$A$1001,A257,$B$2:$B$1001,B257)&gt;1,"违规：同一交易的加仓序号重复",IF(OR(D257="",E257="",F257=""),"计划不完整：请填写加仓价、新止损价和风险预算",IF(OR(D257&lt;=0,E257&lt;=0,F257&lt;=0,D257&lt;=E257),"违规：加仓价必须高于新止损价，金额须大于0",IF(AND(B257&gt;1,COUNTIFS($A$2:$A$1001,A257,$B$2:$B$1001,B257-1,$G$2:$G$1001,"&gt;0")=0),"违规：须先完成上一次加仓",IF(AND(B257&gt;1,E257&lt;SUMIFS($E$2:$E$1001,$A$2:$A$1001,A257,$B$2:$B$1001,B257-1)),"违规：新止损价不得低于上一次",IF(AND(B257&gt;1,F257&gt;SUMIFS($F$2:$F$1001,$A$2:$A$1001,A257,$B$2:$B$1001,B257-1)),"违规：风险预算须逐次不增加",IF(OR(_LockStatus="已锁仓",_LockStatus="解锁信息不完整"),"违规：锁仓期间禁止加仓",IF(G257="","计划可执行：建议股数见N列",IF(OR(G257&lt;=0,G257&lt;&gt;INT(G257),MOD(G257,100)&lt;&gt;0),"违规：实际股数须为100股整数倍",IF(G257&gt;N257,"违规：实际股数超过风险或金字塔上限",IF(AND(B257&gt;1,G257&gt;SUMIFS($G$2:$G$1001,$A$2:$A$1001,A257,$B$2:$B$1001,B257-1)),"违规：加仓股数须逐次不增加",IF(Q257&gt;F257,"违规：止损风险超过本次预算","通过")))))))))))))))</f>
        <v/>
      </c>
    </row>
    <row r="258" customFormat="false" ht="15" hidden="false" customHeight="false" outlineLevel="0" collapsed="false">
      <c r="A258" s="20"/>
      <c r="B258" s="21"/>
      <c r="C258" s="22"/>
      <c r="D258" s="23"/>
      <c r="E258" s="23"/>
      <c r="F258" s="23"/>
      <c r="G258" s="21"/>
      <c r="H258" s="24" t="str">
        <f aca="false">IF(OR(A258="",D258="",G258=""),"",D258*G258)</f>
        <v/>
      </c>
      <c r="I258" s="25" t="str">
        <f aca="false">IF(OR(A258="",B258=""),"",IFERROR(LOOKUP(2,1/(单次交易!$A$2:$A$201=A258),单次交易!$H$2:$H$201),0)+SUMIFS($G$2:$G$1001,$A$2:$A$1001,A258,$B$2:$B$1001,"&lt;"&amp;B258))</f>
        <v/>
      </c>
      <c r="J258" s="24" t="str">
        <f aca="false">IF(OR(A258="",B258=""),"",IFERROR(LOOKUP(2,1/(单次交易!$A$2:$A$201=A258),单次交易!$E$2:$E$201)*LOOKUP(2,1/(单次交易!$A$2:$A$201=A258),单次交易!$H$2:$H$201),0)+SUMIFS($H$2:$H$1001,$A$2:$A$1001,A258,$B$2:$B$1001,"&lt;"&amp;B258))</f>
        <v/>
      </c>
      <c r="K258" s="24" t="str">
        <f aca="false">IF(OR(E258="",I258="",J258=""),"",MAX(E258*I258-J258,0))</f>
        <v/>
      </c>
      <c r="L258" s="25" t="str">
        <f aca="false">IF(OR(D258="",E258="",F258="",D258&lt;=E258),"",FLOOR((F258+K258)/(D258-E258),100))</f>
        <v/>
      </c>
      <c r="M258" s="25" t="str">
        <f aca="false">IF(OR(A258="",B258="",L258=""),"",IF(B258=1,L258,IFERROR(SUMIFS($G$2:$G$1001,$A$2:$A$1001,A258,$B$2:$B$1001,B258-1),0)))</f>
        <v/>
      </c>
      <c r="N258" s="25" t="str">
        <f aca="false">IF(OR(L258="",M258=""),"",MIN(L258,M258))</f>
        <v/>
      </c>
      <c r="O258" s="25" t="str">
        <f aca="false">IF(OR(I258="",G258=""),"",I258+G258)</f>
        <v/>
      </c>
      <c r="P258" s="24" t="str">
        <f aca="false">IF(OR(O258="",O258=0),"",(J258+H258)/O258)</f>
        <v/>
      </c>
      <c r="Q258" s="24" t="str">
        <f aca="false">IF(OR(O258="",E258=""),"",MAX(J258+H258-E258*O258,0))</f>
        <v/>
      </c>
      <c r="R258" s="26" t="str">
        <f aca="false">IF(A258="","",IF(COUNTIF(_TradeIds,A258)=0,"违规：交易编号不存在",IF(OR(B258="",B258&lt;1,B258&gt;5,B258&lt;&gt;INT(B258)),"违规：加仓序号须为1到5的整数",IF(COUNTIFS($A$2:$A$1001,A258,$B$2:$B$1001,B258)&gt;1,"违规：同一交易的加仓序号重复",IF(OR(D258="",E258="",F258=""),"计划不完整：请填写加仓价、新止损价和风险预算",IF(OR(D258&lt;=0,E258&lt;=0,F258&lt;=0,D258&lt;=E258),"违规：加仓价必须高于新止损价，金额须大于0",IF(AND(B258&gt;1,COUNTIFS($A$2:$A$1001,A258,$B$2:$B$1001,B258-1,$G$2:$G$1001,"&gt;0")=0),"违规：须先完成上一次加仓",IF(AND(B258&gt;1,E258&lt;SUMIFS($E$2:$E$1001,$A$2:$A$1001,A258,$B$2:$B$1001,B258-1)),"违规：新止损价不得低于上一次",IF(AND(B258&gt;1,F258&gt;SUMIFS($F$2:$F$1001,$A$2:$A$1001,A258,$B$2:$B$1001,B258-1)),"违规：风险预算须逐次不增加",IF(OR(_LockStatus="已锁仓",_LockStatus="解锁信息不完整"),"违规：锁仓期间禁止加仓",IF(G258="","计划可执行：建议股数见N列",IF(OR(G258&lt;=0,G258&lt;&gt;INT(G258),MOD(G258,100)&lt;&gt;0),"违规：实际股数须为100股整数倍",IF(G258&gt;N258,"违规：实际股数超过风险或金字塔上限",IF(AND(B258&gt;1,G258&gt;SUMIFS($G$2:$G$1001,$A$2:$A$1001,A258,$B$2:$B$1001,B258-1)),"违规：加仓股数须逐次不增加",IF(Q258&gt;F258,"违规：止损风险超过本次预算","通过")))))))))))))))</f>
        <v/>
      </c>
    </row>
    <row r="259" customFormat="false" ht="15" hidden="false" customHeight="false" outlineLevel="0" collapsed="false">
      <c r="A259" s="20"/>
      <c r="B259" s="21"/>
      <c r="C259" s="22"/>
      <c r="D259" s="23"/>
      <c r="E259" s="23"/>
      <c r="F259" s="23"/>
      <c r="G259" s="21"/>
      <c r="H259" s="24" t="str">
        <f aca="false">IF(OR(A259="",D259="",G259=""),"",D259*G259)</f>
        <v/>
      </c>
      <c r="I259" s="25" t="str">
        <f aca="false">IF(OR(A259="",B259=""),"",IFERROR(LOOKUP(2,1/(单次交易!$A$2:$A$201=A259),单次交易!$H$2:$H$201),0)+SUMIFS($G$2:$G$1001,$A$2:$A$1001,A259,$B$2:$B$1001,"&lt;"&amp;B259))</f>
        <v/>
      </c>
      <c r="J259" s="24" t="str">
        <f aca="false">IF(OR(A259="",B259=""),"",IFERROR(LOOKUP(2,1/(单次交易!$A$2:$A$201=A259),单次交易!$E$2:$E$201)*LOOKUP(2,1/(单次交易!$A$2:$A$201=A259),单次交易!$H$2:$H$201),0)+SUMIFS($H$2:$H$1001,$A$2:$A$1001,A259,$B$2:$B$1001,"&lt;"&amp;B259))</f>
        <v/>
      </c>
      <c r="K259" s="24" t="str">
        <f aca="false">IF(OR(E259="",I259="",J259=""),"",MAX(E259*I259-J259,0))</f>
        <v/>
      </c>
      <c r="L259" s="25" t="str">
        <f aca="false">IF(OR(D259="",E259="",F259="",D259&lt;=E259),"",FLOOR((F259+K259)/(D259-E259),100))</f>
        <v/>
      </c>
      <c r="M259" s="25" t="str">
        <f aca="false">IF(OR(A259="",B259="",L259=""),"",IF(B259=1,L259,IFERROR(SUMIFS($G$2:$G$1001,$A$2:$A$1001,A259,$B$2:$B$1001,B259-1),0)))</f>
        <v/>
      </c>
      <c r="N259" s="25" t="str">
        <f aca="false">IF(OR(L259="",M259=""),"",MIN(L259,M259))</f>
        <v/>
      </c>
      <c r="O259" s="25" t="str">
        <f aca="false">IF(OR(I259="",G259=""),"",I259+G259)</f>
        <v/>
      </c>
      <c r="P259" s="24" t="str">
        <f aca="false">IF(OR(O259="",O259=0),"",(J259+H259)/O259)</f>
        <v/>
      </c>
      <c r="Q259" s="24" t="str">
        <f aca="false">IF(OR(O259="",E259=""),"",MAX(J259+H259-E259*O259,0))</f>
        <v/>
      </c>
      <c r="R259" s="26" t="str">
        <f aca="false">IF(A259="","",IF(COUNTIF(_TradeIds,A259)=0,"违规：交易编号不存在",IF(OR(B259="",B259&lt;1,B259&gt;5,B259&lt;&gt;INT(B259)),"违规：加仓序号须为1到5的整数",IF(COUNTIFS($A$2:$A$1001,A259,$B$2:$B$1001,B259)&gt;1,"违规：同一交易的加仓序号重复",IF(OR(D259="",E259="",F259=""),"计划不完整：请填写加仓价、新止损价和风险预算",IF(OR(D259&lt;=0,E259&lt;=0,F259&lt;=0,D259&lt;=E259),"违规：加仓价必须高于新止损价，金额须大于0",IF(AND(B259&gt;1,COUNTIFS($A$2:$A$1001,A259,$B$2:$B$1001,B259-1,$G$2:$G$1001,"&gt;0")=0),"违规：须先完成上一次加仓",IF(AND(B259&gt;1,E259&lt;SUMIFS($E$2:$E$1001,$A$2:$A$1001,A259,$B$2:$B$1001,B259-1)),"违规：新止损价不得低于上一次",IF(AND(B259&gt;1,F259&gt;SUMIFS($F$2:$F$1001,$A$2:$A$1001,A259,$B$2:$B$1001,B259-1)),"违规：风险预算须逐次不增加",IF(OR(_LockStatus="已锁仓",_LockStatus="解锁信息不完整"),"违规：锁仓期间禁止加仓",IF(G259="","计划可执行：建议股数见N列",IF(OR(G259&lt;=0,G259&lt;&gt;INT(G259),MOD(G259,100)&lt;&gt;0),"违规：实际股数须为100股整数倍",IF(G259&gt;N259,"违规：实际股数超过风险或金字塔上限",IF(AND(B259&gt;1,G259&gt;SUMIFS($G$2:$G$1001,$A$2:$A$1001,A259,$B$2:$B$1001,B259-1)),"违规：加仓股数须逐次不增加",IF(Q259&gt;F259,"违规：止损风险超过本次预算","通过")))))))))))))))</f>
        <v/>
      </c>
    </row>
    <row r="260" customFormat="false" ht="15" hidden="false" customHeight="false" outlineLevel="0" collapsed="false">
      <c r="A260" s="20"/>
      <c r="B260" s="21"/>
      <c r="C260" s="22"/>
      <c r="D260" s="23"/>
      <c r="E260" s="23"/>
      <c r="F260" s="23"/>
      <c r="G260" s="21"/>
      <c r="H260" s="24" t="str">
        <f aca="false">IF(OR(A260="",D260="",G260=""),"",D260*G260)</f>
        <v/>
      </c>
      <c r="I260" s="25" t="str">
        <f aca="false">IF(OR(A260="",B260=""),"",IFERROR(LOOKUP(2,1/(单次交易!$A$2:$A$201=A260),单次交易!$H$2:$H$201),0)+SUMIFS($G$2:$G$1001,$A$2:$A$1001,A260,$B$2:$B$1001,"&lt;"&amp;B260))</f>
        <v/>
      </c>
      <c r="J260" s="24" t="str">
        <f aca="false">IF(OR(A260="",B260=""),"",IFERROR(LOOKUP(2,1/(单次交易!$A$2:$A$201=A260),单次交易!$E$2:$E$201)*LOOKUP(2,1/(单次交易!$A$2:$A$201=A260),单次交易!$H$2:$H$201),0)+SUMIFS($H$2:$H$1001,$A$2:$A$1001,A260,$B$2:$B$1001,"&lt;"&amp;B260))</f>
        <v/>
      </c>
      <c r="K260" s="24" t="str">
        <f aca="false">IF(OR(E260="",I260="",J260=""),"",MAX(E260*I260-J260,0))</f>
        <v/>
      </c>
      <c r="L260" s="25" t="str">
        <f aca="false">IF(OR(D260="",E260="",F260="",D260&lt;=E260),"",FLOOR((F260+K260)/(D260-E260),100))</f>
        <v/>
      </c>
      <c r="M260" s="25" t="str">
        <f aca="false">IF(OR(A260="",B260="",L260=""),"",IF(B260=1,L260,IFERROR(SUMIFS($G$2:$G$1001,$A$2:$A$1001,A260,$B$2:$B$1001,B260-1),0)))</f>
        <v/>
      </c>
      <c r="N260" s="25" t="str">
        <f aca="false">IF(OR(L260="",M260=""),"",MIN(L260,M260))</f>
        <v/>
      </c>
      <c r="O260" s="25" t="str">
        <f aca="false">IF(OR(I260="",G260=""),"",I260+G260)</f>
        <v/>
      </c>
      <c r="P260" s="24" t="str">
        <f aca="false">IF(OR(O260="",O260=0),"",(J260+H260)/O260)</f>
        <v/>
      </c>
      <c r="Q260" s="24" t="str">
        <f aca="false">IF(OR(O260="",E260=""),"",MAX(J260+H260-E260*O260,0))</f>
        <v/>
      </c>
      <c r="R260" s="26" t="str">
        <f aca="false">IF(A260="","",IF(COUNTIF(_TradeIds,A260)=0,"违规：交易编号不存在",IF(OR(B260="",B260&lt;1,B260&gt;5,B260&lt;&gt;INT(B260)),"违规：加仓序号须为1到5的整数",IF(COUNTIFS($A$2:$A$1001,A260,$B$2:$B$1001,B260)&gt;1,"违规：同一交易的加仓序号重复",IF(OR(D260="",E260="",F260=""),"计划不完整：请填写加仓价、新止损价和风险预算",IF(OR(D260&lt;=0,E260&lt;=0,F260&lt;=0,D260&lt;=E260),"违规：加仓价必须高于新止损价，金额须大于0",IF(AND(B260&gt;1,COUNTIFS($A$2:$A$1001,A260,$B$2:$B$1001,B260-1,$G$2:$G$1001,"&gt;0")=0),"违规：须先完成上一次加仓",IF(AND(B260&gt;1,E260&lt;SUMIFS($E$2:$E$1001,$A$2:$A$1001,A260,$B$2:$B$1001,B260-1)),"违规：新止损价不得低于上一次",IF(AND(B260&gt;1,F260&gt;SUMIFS($F$2:$F$1001,$A$2:$A$1001,A260,$B$2:$B$1001,B260-1)),"违规：风险预算须逐次不增加",IF(OR(_LockStatus="已锁仓",_LockStatus="解锁信息不完整"),"违规：锁仓期间禁止加仓",IF(G260="","计划可执行：建议股数见N列",IF(OR(G260&lt;=0,G260&lt;&gt;INT(G260),MOD(G260,100)&lt;&gt;0),"违规：实际股数须为100股整数倍",IF(G260&gt;N260,"违规：实际股数超过风险或金字塔上限",IF(AND(B260&gt;1,G260&gt;SUMIFS($G$2:$G$1001,$A$2:$A$1001,A260,$B$2:$B$1001,B260-1)),"违规：加仓股数须逐次不增加",IF(Q260&gt;F260,"违规：止损风险超过本次预算","通过")))))))))))))))</f>
        <v/>
      </c>
    </row>
    <row r="261" customFormat="false" ht="15" hidden="false" customHeight="false" outlineLevel="0" collapsed="false">
      <c r="A261" s="20"/>
      <c r="B261" s="21"/>
      <c r="C261" s="22"/>
      <c r="D261" s="23"/>
      <c r="E261" s="23"/>
      <c r="F261" s="23"/>
      <c r="G261" s="21"/>
      <c r="H261" s="24" t="str">
        <f aca="false">IF(OR(A261="",D261="",G261=""),"",D261*G261)</f>
        <v/>
      </c>
      <c r="I261" s="25" t="str">
        <f aca="false">IF(OR(A261="",B261=""),"",IFERROR(LOOKUP(2,1/(单次交易!$A$2:$A$201=A261),单次交易!$H$2:$H$201),0)+SUMIFS($G$2:$G$1001,$A$2:$A$1001,A261,$B$2:$B$1001,"&lt;"&amp;B261))</f>
        <v/>
      </c>
      <c r="J261" s="24" t="str">
        <f aca="false">IF(OR(A261="",B261=""),"",IFERROR(LOOKUP(2,1/(单次交易!$A$2:$A$201=A261),单次交易!$E$2:$E$201)*LOOKUP(2,1/(单次交易!$A$2:$A$201=A261),单次交易!$H$2:$H$201),0)+SUMIFS($H$2:$H$1001,$A$2:$A$1001,A261,$B$2:$B$1001,"&lt;"&amp;B261))</f>
        <v/>
      </c>
      <c r="K261" s="24" t="str">
        <f aca="false">IF(OR(E261="",I261="",J261=""),"",MAX(E261*I261-J261,0))</f>
        <v/>
      </c>
      <c r="L261" s="25" t="str">
        <f aca="false">IF(OR(D261="",E261="",F261="",D261&lt;=E261),"",FLOOR((F261+K261)/(D261-E261),100))</f>
        <v/>
      </c>
      <c r="M261" s="25" t="str">
        <f aca="false">IF(OR(A261="",B261="",L261=""),"",IF(B261=1,L261,IFERROR(SUMIFS($G$2:$G$1001,$A$2:$A$1001,A261,$B$2:$B$1001,B261-1),0)))</f>
        <v/>
      </c>
      <c r="N261" s="25" t="str">
        <f aca="false">IF(OR(L261="",M261=""),"",MIN(L261,M261))</f>
        <v/>
      </c>
      <c r="O261" s="25" t="str">
        <f aca="false">IF(OR(I261="",G261=""),"",I261+G261)</f>
        <v/>
      </c>
      <c r="P261" s="24" t="str">
        <f aca="false">IF(OR(O261="",O261=0),"",(J261+H261)/O261)</f>
        <v/>
      </c>
      <c r="Q261" s="24" t="str">
        <f aca="false">IF(OR(O261="",E261=""),"",MAX(J261+H261-E261*O261,0))</f>
        <v/>
      </c>
      <c r="R261" s="26" t="str">
        <f aca="false">IF(A261="","",IF(COUNTIF(_TradeIds,A261)=0,"违规：交易编号不存在",IF(OR(B261="",B261&lt;1,B261&gt;5,B261&lt;&gt;INT(B261)),"违规：加仓序号须为1到5的整数",IF(COUNTIFS($A$2:$A$1001,A261,$B$2:$B$1001,B261)&gt;1,"违规：同一交易的加仓序号重复",IF(OR(D261="",E261="",F261=""),"计划不完整：请填写加仓价、新止损价和风险预算",IF(OR(D261&lt;=0,E261&lt;=0,F261&lt;=0,D261&lt;=E261),"违规：加仓价必须高于新止损价，金额须大于0",IF(AND(B261&gt;1,COUNTIFS($A$2:$A$1001,A261,$B$2:$B$1001,B261-1,$G$2:$G$1001,"&gt;0")=0),"违规：须先完成上一次加仓",IF(AND(B261&gt;1,E261&lt;SUMIFS($E$2:$E$1001,$A$2:$A$1001,A261,$B$2:$B$1001,B261-1)),"违规：新止损价不得低于上一次",IF(AND(B261&gt;1,F261&gt;SUMIFS($F$2:$F$1001,$A$2:$A$1001,A261,$B$2:$B$1001,B261-1)),"违规：风险预算须逐次不增加",IF(OR(_LockStatus="已锁仓",_LockStatus="解锁信息不完整"),"违规：锁仓期间禁止加仓",IF(G261="","计划可执行：建议股数见N列",IF(OR(G261&lt;=0,G261&lt;&gt;INT(G261),MOD(G261,100)&lt;&gt;0),"违规：实际股数须为100股整数倍",IF(G261&gt;N261,"违规：实际股数超过风险或金字塔上限",IF(AND(B261&gt;1,G261&gt;SUMIFS($G$2:$G$1001,$A$2:$A$1001,A261,$B$2:$B$1001,B261-1)),"违规：加仓股数须逐次不增加",IF(Q261&gt;F261,"违规：止损风险超过本次预算","通过")))))))))))))))</f>
        <v/>
      </c>
    </row>
    <row r="262" customFormat="false" ht="15" hidden="false" customHeight="false" outlineLevel="0" collapsed="false">
      <c r="A262" s="20"/>
      <c r="B262" s="21"/>
      <c r="C262" s="22"/>
      <c r="D262" s="23"/>
      <c r="E262" s="23"/>
      <c r="F262" s="23"/>
      <c r="G262" s="21"/>
      <c r="H262" s="24" t="str">
        <f aca="false">IF(OR(A262="",D262="",G262=""),"",D262*G262)</f>
        <v/>
      </c>
      <c r="I262" s="25" t="str">
        <f aca="false">IF(OR(A262="",B262=""),"",IFERROR(LOOKUP(2,1/(单次交易!$A$2:$A$201=A262),单次交易!$H$2:$H$201),0)+SUMIFS($G$2:$G$1001,$A$2:$A$1001,A262,$B$2:$B$1001,"&lt;"&amp;B262))</f>
        <v/>
      </c>
      <c r="J262" s="24" t="str">
        <f aca="false">IF(OR(A262="",B262=""),"",IFERROR(LOOKUP(2,1/(单次交易!$A$2:$A$201=A262),单次交易!$E$2:$E$201)*LOOKUP(2,1/(单次交易!$A$2:$A$201=A262),单次交易!$H$2:$H$201),0)+SUMIFS($H$2:$H$1001,$A$2:$A$1001,A262,$B$2:$B$1001,"&lt;"&amp;B262))</f>
        <v/>
      </c>
      <c r="K262" s="24" t="str">
        <f aca="false">IF(OR(E262="",I262="",J262=""),"",MAX(E262*I262-J262,0))</f>
        <v/>
      </c>
      <c r="L262" s="25" t="str">
        <f aca="false">IF(OR(D262="",E262="",F262="",D262&lt;=E262),"",FLOOR((F262+K262)/(D262-E262),100))</f>
        <v/>
      </c>
      <c r="M262" s="25" t="str">
        <f aca="false">IF(OR(A262="",B262="",L262=""),"",IF(B262=1,L262,IFERROR(SUMIFS($G$2:$G$1001,$A$2:$A$1001,A262,$B$2:$B$1001,B262-1),0)))</f>
        <v/>
      </c>
      <c r="N262" s="25" t="str">
        <f aca="false">IF(OR(L262="",M262=""),"",MIN(L262,M262))</f>
        <v/>
      </c>
      <c r="O262" s="25" t="str">
        <f aca="false">IF(OR(I262="",G262=""),"",I262+G262)</f>
        <v/>
      </c>
      <c r="P262" s="24" t="str">
        <f aca="false">IF(OR(O262="",O262=0),"",(J262+H262)/O262)</f>
        <v/>
      </c>
      <c r="Q262" s="24" t="str">
        <f aca="false">IF(OR(O262="",E262=""),"",MAX(J262+H262-E262*O262,0))</f>
        <v/>
      </c>
      <c r="R262" s="26" t="str">
        <f aca="false">IF(A262="","",IF(COUNTIF(_TradeIds,A262)=0,"违规：交易编号不存在",IF(OR(B262="",B262&lt;1,B262&gt;5,B262&lt;&gt;INT(B262)),"违规：加仓序号须为1到5的整数",IF(COUNTIFS($A$2:$A$1001,A262,$B$2:$B$1001,B262)&gt;1,"违规：同一交易的加仓序号重复",IF(OR(D262="",E262="",F262=""),"计划不完整：请填写加仓价、新止损价和风险预算",IF(OR(D262&lt;=0,E262&lt;=0,F262&lt;=0,D262&lt;=E262),"违规：加仓价必须高于新止损价，金额须大于0",IF(AND(B262&gt;1,COUNTIFS($A$2:$A$1001,A262,$B$2:$B$1001,B262-1,$G$2:$G$1001,"&gt;0")=0),"违规：须先完成上一次加仓",IF(AND(B262&gt;1,E262&lt;SUMIFS($E$2:$E$1001,$A$2:$A$1001,A262,$B$2:$B$1001,B262-1)),"违规：新止损价不得低于上一次",IF(AND(B262&gt;1,F262&gt;SUMIFS($F$2:$F$1001,$A$2:$A$1001,A262,$B$2:$B$1001,B262-1)),"违规：风险预算须逐次不增加",IF(OR(_LockStatus="已锁仓",_LockStatus="解锁信息不完整"),"违规：锁仓期间禁止加仓",IF(G262="","计划可执行：建议股数见N列",IF(OR(G262&lt;=0,G262&lt;&gt;INT(G262),MOD(G262,100)&lt;&gt;0),"违规：实际股数须为100股整数倍",IF(G262&gt;N262,"违规：实际股数超过风险或金字塔上限",IF(AND(B262&gt;1,G262&gt;SUMIFS($G$2:$G$1001,$A$2:$A$1001,A262,$B$2:$B$1001,B262-1)),"违规：加仓股数须逐次不增加",IF(Q262&gt;F262,"违规：止损风险超过本次预算","通过")))))))))))))))</f>
        <v/>
      </c>
    </row>
    <row r="263" customFormat="false" ht="15" hidden="false" customHeight="false" outlineLevel="0" collapsed="false">
      <c r="A263" s="20"/>
      <c r="B263" s="21"/>
      <c r="C263" s="22"/>
      <c r="D263" s="23"/>
      <c r="E263" s="23"/>
      <c r="F263" s="23"/>
      <c r="G263" s="21"/>
      <c r="H263" s="24" t="str">
        <f aca="false">IF(OR(A263="",D263="",G263=""),"",D263*G263)</f>
        <v/>
      </c>
      <c r="I263" s="25" t="str">
        <f aca="false">IF(OR(A263="",B263=""),"",IFERROR(LOOKUP(2,1/(单次交易!$A$2:$A$201=A263),单次交易!$H$2:$H$201),0)+SUMIFS($G$2:$G$1001,$A$2:$A$1001,A263,$B$2:$B$1001,"&lt;"&amp;B263))</f>
        <v/>
      </c>
      <c r="J263" s="24" t="str">
        <f aca="false">IF(OR(A263="",B263=""),"",IFERROR(LOOKUP(2,1/(单次交易!$A$2:$A$201=A263),单次交易!$E$2:$E$201)*LOOKUP(2,1/(单次交易!$A$2:$A$201=A263),单次交易!$H$2:$H$201),0)+SUMIFS($H$2:$H$1001,$A$2:$A$1001,A263,$B$2:$B$1001,"&lt;"&amp;B263))</f>
        <v/>
      </c>
      <c r="K263" s="24" t="str">
        <f aca="false">IF(OR(E263="",I263="",J263=""),"",MAX(E263*I263-J263,0))</f>
        <v/>
      </c>
      <c r="L263" s="25" t="str">
        <f aca="false">IF(OR(D263="",E263="",F263="",D263&lt;=E263),"",FLOOR((F263+K263)/(D263-E263),100))</f>
        <v/>
      </c>
      <c r="M263" s="25" t="str">
        <f aca="false">IF(OR(A263="",B263="",L263=""),"",IF(B263=1,L263,IFERROR(SUMIFS($G$2:$G$1001,$A$2:$A$1001,A263,$B$2:$B$1001,B263-1),0)))</f>
        <v/>
      </c>
      <c r="N263" s="25" t="str">
        <f aca="false">IF(OR(L263="",M263=""),"",MIN(L263,M263))</f>
        <v/>
      </c>
      <c r="O263" s="25" t="str">
        <f aca="false">IF(OR(I263="",G263=""),"",I263+G263)</f>
        <v/>
      </c>
      <c r="P263" s="24" t="str">
        <f aca="false">IF(OR(O263="",O263=0),"",(J263+H263)/O263)</f>
        <v/>
      </c>
      <c r="Q263" s="24" t="str">
        <f aca="false">IF(OR(O263="",E263=""),"",MAX(J263+H263-E263*O263,0))</f>
        <v/>
      </c>
      <c r="R263" s="26" t="str">
        <f aca="false">IF(A263="","",IF(COUNTIF(_TradeIds,A263)=0,"违规：交易编号不存在",IF(OR(B263="",B263&lt;1,B263&gt;5,B263&lt;&gt;INT(B263)),"违规：加仓序号须为1到5的整数",IF(COUNTIFS($A$2:$A$1001,A263,$B$2:$B$1001,B263)&gt;1,"违规：同一交易的加仓序号重复",IF(OR(D263="",E263="",F263=""),"计划不完整：请填写加仓价、新止损价和风险预算",IF(OR(D263&lt;=0,E263&lt;=0,F263&lt;=0,D263&lt;=E263),"违规：加仓价必须高于新止损价，金额须大于0",IF(AND(B263&gt;1,COUNTIFS($A$2:$A$1001,A263,$B$2:$B$1001,B263-1,$G$2:$G$1001,"&gt;0")=0),"违规：须先完成上一次加仓",IF(AND(B263&gt;1,E263&lt;SUMIFS($E$2:$E$1001,$A$2:$A$1001,A263,$B$2:$B$1001,B263-1)),"违规：新止损价不得低于上一次",IF(AND(B263&gt;1,F263&gt;SUMIFS($F$2:$F$1001,$A$2:$A$1001,A263,$B$2:$B$1001,B263-1)),"违规：风险预算须逐次不增加",IF(OR(_LockStatus="已锁仓",_LockStatus="解锁信息不完整"),"违规：锁仓期间禁止加仓",IF(G263="","计划可执行：建议股数见N列",IF(OR(G263&lt;=0,G263&lt;&gt;INT(G263),MOD(G263,100)&lt;&gt;0),"违规：实际股数须为100股整数倍",IF(G263&gt;N263,"违规：实际股数超过风险或金字塔上限",IF(AND(B263&gt;1,G263&gt;SUMIFS($G$2:$G$1001,$A$2:$A$1001,A263,$B$2:$B$1001,B263-1)),"违规：加仓股数须逐次不增加",IF(Q263&gt;F263,"违规：止损风险超过本次预算","通过")))))))))))))))</f>
        <v/>
      </c>
    </row>
    <row r="264" customFormat="false" ht="15" hidden="false" customHeight="false" outlineLevel="0" collapsed="false">
      <c r="A264" s="20"/>
      <c r="B264" s="21"/>
      <c r="C264" s="22"/>
      <c r="D264" s="23"/>
      <c r="E264" s="23"/>
      <c r="F264" s="23"/>
      <c r="G264" s="21"/>
      <c r="H264" s="24" t="str">
        <f aca="false">IF(OR(A264="",D264="",G264=""),"",D264*G264)</f>
        <v/>
      </c>
      <c r="I264" s="25" t="str">
        <f aca="false">IF(OR(A264="",B264=""),"",IFERROR(LOOKUP(2,1/(单次交易!$A$2:$A$201=A264),单次交易!$H$2:$H$201),0)+SUMIFS($G$2:$G$1001,$A$2:$A$1001,A264,$B$2:$B$1001,"&lt;"&amp;B264))</f>
        <v/>
      </c>
      <c r="J264" s="24" t="str">
        <f aca="false">IF(OR(A264="",B264=""),"",IFERROR(LOOKUP(2,1/(单次交易!$A$2:$A$201=A264),单次交易!$E$2:$E$201)*LOOKUP(2,1/(单次交易!$A$2:$A$201=A264),单次交易!$H$2:$H$201),0)+SUMIFS($H$2:$H$1001,$A$2:$A$1001,A264,$B$2:$B$1001,"&lt;"&amp;B264))</f>
        <v/>
      </c>
      <c r="K264" s="24" t="str">
        <f aca="false">IF(OR(E264="",I264="",J264=""),"",MAX(E264*I264-J264,0))</f>
        <v/>
      </c>
      <c r="L264" s="25" t="str">
        <f aca="false">IF(OR(D264="",E264="",F264="",D264&lt;=E264),"",FLOOR((F264+K264)/(D264-E264),100))</f>
        <v/>
      </c>
      <c r="M264" s="25" t="str">
        <f aca="false">IF(OR(A264="",B264="",L264=""),"",IF(B264=1,L264,IFERROR(SUMIFS($G$2:$G$1001,$A$2:$A$1001,A264,$B$2:$B$1001,B264-1),0)))</f>
        <v/>
      </c>
      <c r="N264" s="25" t="str">
        <f aca="false">IF(OR(L264="",M264=""),"",MIN(L264,M264))</f>
        <v/>
      </c>
      <c r="O264" s="25" t="str">
        <f aca="false">IF(OR(I264="",G264=""),"",I264+G264)</f>
        <v/>
      </c>
      <c r="P264" s="24" t="str">
        <f aca="false">IF(OR(O264="",O264=0),"",(J264+H264)/O264)</f>
        <v/>
      </c>
      <c r="Q264" s="24" t="str">
        <f aca="false">IF(OR(O264="",E264=""),"",MAX(J264+H264-E264*O264,0))</f>
        <v/>
      </c>
      <c r="R264" s="26" t="str">
        <f aca="false">IF(A264="","",IF(COUNTIF(_TradeIds,A264)=0,"违规：交易编号不存在",IF(OR(B264="",B264&lt;1,B264&gt;5,B264&lt;&gt;INT(B264)),"违规：加仓序号须为1到5的整数",IF(COUNTIFS($A$2:$A$1001,A264,$B$2:$B$1001,B264)&gt;1,"违规：同一交易的加仓序号重复",IF(OR(D264="",E264="",F264=""),"计划不完整：请填写加仓价、新止损价和风险预算",IF(OR(D264&lt;=0,E264&lt;=0,F264&lt;=0,D264&lt;=E264),"违规：加仓价必须高于新止损价，金额须大于0",IF(AND(B264&gt;1,COUNTIFS($A$2:$A$1001,A264,$B$2:$B$1001,B264-1,$G$2:$G$1001,"&gt;0")=0),"违规：须先完成上一次加仓",IF(AND(B264&gt;1,E264&lt;SUMIFS($E$2:$E$1001,$A$2:$A$1001,A264,$B$2:$B$1001,B264-1)),"违规：新止损价不得低于上一次",IF(AND(B264&gt;1,F264&gt;SUMIFS($F$2:$F$1001,$A$2:$A$1001,A264,$B$2:$B$1001,B264-1)),"违规：风险预算须逐次不增加",IF(OR(_LockStatus="已锁仓",_LockStatus="解锁信息不完整"),"违规：锁仓期间禁止加仓",IF(G264="","计划可执行：建议股数见N列",IF(OR(G264&lt;=0,G264&lt;&gt;INT(G264),MOD(G264,100)&lt;&gt;0),"违规：实际股数须为100股整数倍",IF(G264&gt;N264,"违规：实际股数超过风险或金字塔上限",IF(AND(B264&gt;1,G264&gt;SUMIFS($G$2:$G$1001,$A$2:$A$1001,A264,$B$2:$B$1001,B264-1)),"违规：加仓股数须逐次不增加",IF(Q264&gt;F264,"违规：止损风险超过本次预算","通过")))))))))))))))</f>
        <v/>
      </c>
    </row>
    <row r="265" customFormat="false" ht="15" hidden="false" customHeight="false" outlineLevel="0" collapsed="false">
      <c r="A265" s="20"/>
      <c r="B265" s="21"/>
      <c r="C265" s="22"/>
      <c r="D265" s="23"/>
      <c r="E265" s="23"/>
      <c r="F265" s="23"/>
      <c r="G265" s="21"/>
      <c r="H265" s="24" t="str">
        <f aca="false">IF(OR(A265="",D265="",G265=""),"",D265*G265)</f>
        <v/>
      </c>
      <c r="I265" s="25" t="str">
        <f aca="false">IF(OR(A265="",B265=""),"",IFERROR(LOOKUP(2,1/(单次交易!$A$2:$A$201=A265),单次交易!$H$2:$H$201),0)+SUMIFS($G$2:$G$1001,$A$2:$A$1001,A265,$B$2:$B$1001,"&lt;"&amp;B265))</f>
        <v/>
      </c>
      <c r="J265" s="24" t="str">
        <f aca="false">IF(OR(A265="",B265=""),"",IFERROR(LOOKUP(2,1/(单次交易!$A$2:$A$201=A265),单次交易!$E$2:$E$201)*LOOKUP(2,1/(单次交易!$A$2:$A$201=A265),单次交易!$H$2:$H$201),0)+SUMIFS($H$2:$H$1001,$A$2:$A$1001,A265,$B$2:$B$1001,"&lt;"&amp;B265))</f>
        <v/>
      </c>
      <c r="K265" s="24" t="str">
        <f aca="false">IF(OR(E265="",I265="",J265=""),"",MAX(E265*I265-J265,0))</f>
        <v/>
      </c>
      <c r="L265" s="25" t="str">
        <f aca="false">IF(OR(D265="",E265="",F265="",D265&lt;=E265),"",FLOOR((F265+K265)/(D265-E265),100))</f>
        <v/>
      </c>
      <c r="M265" s="25" t="str">
        <f aca="false">IF(OR(A265="",B265="",L265=""),"",IF(B265=1,L265,IFERROR(SUMIFS($G$2:$G$1001,$A$2:$A$1001,A265,$B$2:$B$1001,B265-1),0)))</f>
        <v/>
      </c>
      <c r="N265" s="25" t="str">
        <f aca="false">IF(OR(L265="",M265=""),"",MIN(L265,M265))</f>
        <v/>
      </c>
      <c r="O265" s="25" t="str">
        <f aca="false">IF(OR(I265="",G265=""),"",I265+G265)</f>
        <v/>
      </c>
      <c r="P265" s="24" t="str">
        <f aca="false">IF(OR(O265="",O265=0),"",(J265+H265)/O265)</f>
        <v/>
      </c>
      <c r="Q265" s="24" t="str">
        <f aca="false">IF(OR(O265="",E265=""),"",MAX(J265+H265-E265*O265,0))</f>
        <v/>
      </c>
      <c r="R265" s="26" t="str">
        <f aca="false">IF(A265="","",IF(COUNTIF(_TradeIds,A265)=0,"违规：交易编号不存在",IF(OR(B265="",B265&lt;1,B265&gt;5,B265&lt;&gt;INT(B265)),"违规：加仓序号须为1到5的整数",IF(COUNTIFS($A$2:$A$1001,A265,$B$2:$B$1001,B265)&gt;1,"违规：同一交易的加仓序号重复",IF(OR(D265="",E265="",F265=""),"计划不完整：请填写加仓价、新止损价和风险预算",IF(OR(D265&lt;=0,E265&lt;=0,F265&lt;=0,D265&lt;=E265),"违规：加仓价必须高于新止损价，金额须大于0",IF(AND(B265&gt;1,COUNTIFS($A$2:$A$1001,A265,$B$2:$B$1001,B265-1,$G$2:$G$1001,"&gt;0")=0),"违规：须先完成上一次加仓",IF(AND(B265&gt;1,E265&lt;SUMIFS($E$2:$E$1001,$A$2:$A$1001,A265,$B$2:$B$1001,B265-1)),"违规：新止损价不得低于上一次",IF(AND(B265&gt;1,F265&gt;SUMIFS($F$2:$F$1001,$A$2:$A$1001,A265,$B$2:$B$1001,B265-1)),"违规：风险预算须逐次不增加",IF(OR(_LockStatus="已锁仓",_LockStatus="解锁信息不完整"),"违规：锁仓期间禁止加仓",IF(G265="","计划可执行：建议股数见N列",IF(OR(G265&lt;=0,G265&lt;&gt;INT(G265),MOD(G265,100)&lt;&gt;0),"违规：实际股数须为100股整数倍",IF(G265&gt;N265,"违规：实际股数超过风险或金字塔上限",IF(AND(B265&gt;1,G265&gt;SUMIFS($G$2:$G$1001,$A$2:$A$1001,A265,$B$2:$B$1001,B265-1)),"违规：加仓股数须逐次不增加",IF(Q265&gt;F265,"违规：止损风险超过本次预算","通过")))))))))))))))</f>
        <v/>
      </c>
    </row>
    <row r="266" customFormat="false" ht="15" hidden="false" customHeight="false" outlineLevel="0" collapsed="false">
      <c r="A266" s="20"/>
      <c r="B266" s="21"/>
      <c r="C266" s="22"/>
      <c r="D266" s="23"/>
      <c r="E266" s="23"/>
      <c r="F266" s="23"/>
      <c r="G266" s="21"/>
      <c r="H266" s="24" t="str">
        <f aca="false">IF(OR(A266="",D266="",G266=""),"",D266*G266)</f>
        <v/>
      </c>
      <c r="I266" s="25" t="str">
        <f aca="false">IF(OR(A266="",B266=""),"",IFERROR(LOOKUP(2,1/(单次交易!$A$2:$A$201=A266),单次交易!$H$2:$H$201),0)+SUMIFS($G$2:$G$1001,$A$2:$A$1001,A266,$B$2:$B$1001,"&lt;"&amp;B266))</f>
        <v/>
      </c>
      <c r="J266" s="24" t="str">
        <f aca="false">IF(OR(A266="",B266=""),"",IFERROR(LOOKUP(2,1/(单次交易!$A$2:$A$201=A266),单次交易!$E$2:$E$201)*LOOKUP(2,1/(单次交易!$A$2:$A$201=A266),单次交易!$H$2:$H$201),0)+SUMIFS($H$2:$H$1001,$A$2:$A$1001,A266,$B$2:$B$1001,"&lt;"&amp;B266))</f>
        <v/>
      </c>
      <c r="K266" s="24" t="str">
        <f aca="false">IF(OR(E266="",I266="",J266=""),"",MAX(E266*I266-J266,0))</f>
        <v/>
      </c>
      <c r="L266" s="25" t="str">
        <f aca="false">IF(OR(D266="",E266="",F266="",D266&lt;=E266),"",FLOOR((F266+K266)/(D266-E266),100))</f>
        <v/>
      </c>
      <c r="M266" s="25" t="str">
        <f aca="false">IF(OR(A266="",B266="",L266=""),"",IF(B266=1,L266,IFERROR(SUMIFS($G$2:$G$1001,$A$2:$A$1001,A266,$B$2:$B$1001,B266-1),0)))</f>
        <v/>
      </c>
      <c r="N266" s="25" t="str">
        <f aca="false">IF(OR(L266="",M266=""),"",MIN(L266,M266))</f>
        <v/>
      </c>
      <c r="O266" s="25" t="str">
        <f aca="false">IF(OR(I266="",G266=""),"",I266+G266)</f>
        <v/>
      </c>
      <c r="P266" s="24" t="str">
        <f aca="false">IF(OR(O266="",O266=0),"",(J266+H266)/O266)</f>
        <v/>
      </c>
      <c r="Q266" s="24" t="str">
        <f aca="false">IF(OR(O266="",E266=""),"",MAX(J266+H266-E266*O266,0))</f>
        <v/>
      </c>
      <c r="R266" s="26" t="str">
        <f aca="false">IF(A266="","",IF(COUNTIF(_TradeIds,A266)=0,"违规：交易编号不存在",IF(OR(B266="",B266&lt;1,B266&gt;5,B266&lt;&gt;INT(B266)),"违规：加仓序号须为1到5的整数",IF(COUNTIFS($A$2:$A$1001,A266,$B$2:$B$1001,B266)&gt;1,"违规：同一交易的加仓序号重复",IF(OR(D266="",E266="",F266=""),"计划不完整：请填写加仓价、新止损价和风险预算",IF(OR(D266&lt;=0,E266&lt;=0,F266&lt;=0,D266&lt;=E266),"违规：加仓价必须高于新止损价，金额须大于0",IF(AND(B266&gt;1,COUNTIFS($A$2:$A$1001,A266,$B$2:$B$1001,B266-1,$G$2:$G$1001,"&gt;0")=0),"违规：须先完成上一次加仓",IF(AND(B266&gt;1,E266&lt;SUMIFS($E$2:$E$1001,$A$2:$A$1001,A266,$B$2:$B$1001,B266-1)),"违规：新止损价不得低于上一次",IF(AND(B266&gt;1,F266&gt;SUMIFS($F$2:$F$1001,$A$2:$A$1001,A266,$B$2:$B$1001,B266-1)),"违规：风险预算须逐次不增加",IF(OR(_LockStatus="已锁仓",_LockStatus="解锁信息不完整"),"违规：锁仓期间禁止加仓",IF(G266="","计划可执行：建议股数见N列",IF(OR(G266&lt;=0,G266&lt;&gt;INT(G266),MOD(G266,100)&lt;&gt;0),"违规：实际股数须为100股整数倍",IF(G266&gt;N266,"违规：实际股数超过风险或金字塔上限",IF(AND(B266&gt;1,G266&gt;SUMIFS($G$2:$G$1001,$A$2:$A$1001,A266,$B$2:$B$1001,B266-1)),"违规：加仓股数须逐次不增加",IF(Q266&gt;F266,"违规：止损风险超过本次预算","通过")))))))))))))))</f>
        <v/>
      </c>
    </row>
    <row r="267" customFormat="false" ht="15" hidden="false" customHeight="false" outlineLevel="0" collapsed="false">
      <c r="A267" s="20"/>
      <c r="B267" s="21"/>
      <c r="C267" s="22"/>
      <c r="D267" s="23"/>
      <c r="E267" s="23"/>
      <c r="F267" s="23"/>
      <c r="G267" s="21"/>
      <c r="H267" s="24" t="str">
        <f aca="false">IF(OR(A267="",D267="",G267=""),"",D267*G267)</f>
        <v/>
      </c>
      <c r="I267" s="25" t="str">
        <f aca="false">IF(OR(A267="",B267=""),"",IFERROR(LOOKUP(2,1/(单次交易!$A$2:$A$201=A267),单次交易!$H$2:$H$201),0)+SUMIFS($G$2:$G$1001,$A$2:$A$1001,A267,$B$2:$B$1001,"&lt;"&amp;B267))</f>
        <v/>
      </c>
      <c r="J267" s="24" t="str">
        <f aca="false">IF(OR(A267="",B267=""),"",IFERROR(LOOKUP(2,1/(单次交易!$A$2:$A$201=A267),单次交易!$E$2:$E$201)*LOOKUP(2,1/(单次交易!$A$2:$A$201=A267),单次交易!$H$2:$H$201),0)+SUMIFS($H$2:$H$1001,$A$2:$A$1001,A267,$B$2:$B$1001,"&lt;"&amp;B267))</f>
        <v/>
      </c>
      <c r="K267" s="24" t="str">
        <f aca="false">IF(OR(E267="",I267="",J267=""),"",MAX(E267*I267-J267,0))</f>
        <v/>
      </c>
      <c r="L267" s="25" t="str">
        <f aca="false">IF(OR(D267="",E267="",F267="",D267&lt;=E267),"",FLOOR((F267+K267)/(D267-E267),100))</f>
        <v/>
      </c>
      <c r="M267" s="25" t="str">
        <f aca="false">IF(OR(A267="",B267="",L267=""),"",IF(B267=1,L267,IFERROR(SUMIFS($G$2:$G$1001,$A$2:$A$1001,A267,$B$2:$B$1001,B267-1),0)))</f>
        <v/>
      </c>
      <c r="N267" s="25" t="str">
        <f aca="false">IF(OR(L267="",M267=""),"",MIN(L267,M267))</f>
        <v/>
      </c>
      <c r="O267" s="25" t="str">
        <f aca="false">IF(OR(I267="",G267=""),"",I267+G267)</f>
        <v/>
      </c>
      <c r="P267" s="24" t="str">
        <f aca="false">IF(OR(O267="",O267=0),"",(J267+H267)/O267)</f>
        <v/>
      </c>
      <c r="Q267" s="24" t="str">
        <f aca="false">IF(OR(O267="",E267=""),"",MAX(J267+H267-E267*O267,0))</f>
        <v/>
      </c>
      <c r="R267" s="26" t="str">
        <f aca="false">IF(A267="","",IF(COUNTIF(_TradeIds,A267)=0,"违规：交易编号不存在",IF(OR(B267="",B267&lt;1,B267&gt;5,B267&lt;&gt;INT(B267)),"违规：加仓序号须为1到5的整数",IF(COUNTIFS($A$2:$A$1001,A267,$B$2:$B$1001,B267)&gt;1,"违规：同一交易的加仓序号重复",IF(OR(D267="",E267="",F267=""),"计划不完整：请填写加仓价、新止损价和风险预算",IF(OR(D267&lt;=0,E267&lt;=0,F267&lt;=0,D267&lt;=E267),"违规：加仓价必须高于新止损价，金额须大于0",IF(AND(B267&gt;1,COUNTIFS($A$2:$A$1001,A267,$B$2:$B$1001,B267-1,$G$2:$G$1001,"&gt;0")=0),"违规：须先完成上一次加仓",IF(AND(B267&gt;1,E267&lt;SUMIFS($E$2:$E$1001,$A$2:$A$1001,A267,$B$2:$B$1001,B267-1)),"违规：新止损价不得低于上一次",IF(AND(B267&gt;1,F267&gt;SUMIFS($F$2:$F$1001,$A$2:$A$1001,A267,$B$2:$B$1001,B267-1)),"违规：风险预算须逐次不增加",IF(OR(_LockStatus="已锁仓",_LockStatus="解锁信息不完整"),"违规：锁仓期间禁止加仓",IF(G267="","计划可执行：建议股数见N列",IF(OR(G267&lt;=0,G267&lt;&gt;INT(G267),MOD(G267,100)&lt;&gt;0),"违规：实际股数须为100股整数倍",IF(G267&gt;N267,"违规：实际股数超过风险或金字塔上限",IF(AND(B267&gt;1,G267&gt;SUMIFS($G$2:$G$1001,$A$2:$A$1001,A267,$B$2:$B$1001,B267-1)),"违规：加仓股数须逐次不增加",IF(Q267&gt;F267,"违规：止损风险超过本次预算","通过")))))))))))))))</f>
        <v/>
      </c>
    </row>
    <row r="268" customFormat="false" ht="15" hidden="false" customHeight="false" outlineLevel="0" collapsed="false">
      <c r="A268" s="20"/>
      <c r="B268" s="21"/>
      <c r="C268" s="22"/>
      <c r="D268" s="23"/>
      <c r="E268" s="23"/>
      <c r="F268" s="23"/>
      <c r="G268" s="21"/>
      <c r="H268" s="24" t="str">
        <f aca="false">IF(OR(A268="",D268="",G268=""),"",D268*G268)</f>
        <v/>
      </c>
      <c r="I268" s="25" t="str">
        <f aca="false">IF(OR(A268="",B268=""),"",IFERROR(LOOKUP(2,1/(单次交易!$A$2:$A$201=A268),单次交易!$H$2:$H$201),0)+SUMIFS($G$2:$G$1001,$A$2:$A$1001,A268,$B$2:$B$1001,"&lt;"&amp;B268))</f>
        <v/>
      </c>
      <c r="J268" s="24" t="str">
        <f aca="false">IF(OR(A268="",B268=""),"",IFERROR(LOOKUP(2,1/(单次交易!$A$2:$A$201=A268),单次交易!$E$2:$E$201)*LOOKUP(2,1/(单次交易!$A$2:$A$201=A268),单次交易!$H$2:$H$201),0)+SUMIFS($H$2:$H$1001,$A$2:$A$1001,A268,$B$2:$B$1001,"&lt;"&amp;B268))</f>
        <v/>
      </c>
      <c r="K268" s="24" t="str">
        <f aca="false">IF(OR(E268="",I268="",J268=""),"",MAX(E268*I268-J268,0))</f>
        <v/>
      </c>
      <c r="L268" s="25" t="str">
        <f aca="false">IF(OR(D268="",E268="",F268="",D268&lt;=E268),"",FLOOR((F268+K268)/(D268-E268),100))</f>
        <v/>
      </c>
      <c r="M268" s="25" t="str">
        <f aca="false">IF(OR(A268="",B268="",L268=""),"",IF(B268=1,L268,IFERROR(SUMIFS($G$2:$G$1001,$A$2:$A$1001,A268,$B$2:$B$1001,B268-1),0)))</f>
        <v/>
      </c>
      <c r="N268" s="25" t="str">
        <f aca="false">IF(OR(L268="",M268=""),"",MIN(L268,M268))</f>
        <v/>
      </c>
      <c r="O268" s="25" t="str">
        <f aca="false">IF(OR(I268="",G268=""),"",I268+G268)</f>
        <v/>
      </c>
      <c r="P268" s="24" t="str">
        <f aca="false">IF(OR(O268="",O268=0),"",(J268+H268)/O268)</f>
        <v/>
      </c>
      <c r="Q268" s="24" t="str">
        <f aca="false">IF(OR(O268="",E268=""),"",MAX(J268+H268-E268*O268,0))</f>
        <v/>
      </c>
      <c r="R268" s="26" t="str">
        <f aca="false">IF(A268="","",IF(COUNTIF(_TradeIds,A268)=0,"违规：交易编号不存在",IF(OR(B268="",B268&lt;1,B268&gt;5,B268&lt;&gt;INT(B268)),"违规：加仓序号须为1到5的整数",IF(COUNTIFS($A$2:$A$1001,A268,$B$2:$B$1001,B268)&gt;1,"违规：同一交易的加仓序号重复",IF(OR(D268="",E268="",F268=""),"计划不完整：请填写加仓价、新止损价和风险预算",IF(OR(D268&lt;=0,E268&lt;=0,F268&lt;=0,D268&lt;=E268),"违规：加仓价必须高于新止损价，金额须大于0",IF(AND(B268&gt;1,COUNTIFS($A$2:$A$1001,A268,$B$2:$B$1001,B268-1,$G$2:$G$1001,"&gt;0")=0),"违规：须先完成上一次加仓",IF(AND(B268&gt;1,E268&lt;SUMIFS($E$2:$E$1001,$A$2:$A$1001,A268,$B$2:$B$1001,B268-1)),"违规：新止损价不得低于上一次",IF(AND(B268&gt;1,F268&gt;SUMIFS($F$2:$F$1001,$A$2:$A$1001,A268,$B$2:$B$1001,B268-1)),"违规：风险预算须逐次不增加",IF(OR(_LockStatus="已锁仓",_LockStatus="解锁信息不完整"),"违规：锁仓期间禁止加仓",IF(G268="","计划可执行：建议股数见N列",IF(OR(G268&lt;=0,G268&lt;&gt;INT(G268),MOD(G268,100)&lt;&gt;0),"违规：实际股数须为100股整数倍",IF(G268&gt;N268,"违规：实际股数超过风险或金字塔上限",IF(AND(B268&gt;1,G268&gt;SUMIFS($G$2:$G$1001,$A$2:$A$1001,A268,$B$2:$B$1001,B268-1)),"违规：加仓股数须逐次不增加",IF(Q268&gt;F268,"违规：止损风险超过本次预算","通过")))))))))))))))</f>
        <v/>
      </c>
    </row>
    <row r="269" customFormat="false" ht="15" hidden="false" customHeight="false" outlineLevel="0" collapsed="false">
      <c r="A269" s="20"/>
      <c r="B269" s="21"/>
      <c r="C269" s="22"/>
      <c r="D269" s="23"/>
      <c r="E269" s="23"/>
      <c r="F269" s="23"/>
      <c r="G269" s="21"/>
      <c r="H269" s="24" t="str">
        <f aca="false">IF(OR(A269="",D269="",G269=""),"",D269*G269)</f>
        <v/>
      </c>
      <c r="I269" s="25" t="str">
        <f aca="false">IF(OR(A269="",B269=""),"",IFERROR(LOOKUP(2,1/(单次交易!$A$2:$A$201=A269),单次交易!$H$2:$H$201),0)+SUMIFS($G$2:$G$1001,$A$2:$A$1001,A269,$B$2:$B$1001,"&lt;"&amp;B269))</f>
        <v/>
      </c>
      <c r="J269" s="24" t="str">
        <f aca="false">IF(OR(A269="",B269=""),"",IFERROR(LOOKUP(2,1/(单次交易!$A$2:$A$201=A269),单次交易!$E$2:$E$201)*LOOKUP(2,1/(单次交易!$A$2:$A$201=A269),单次交易!$H$2:$H$201),0)+SUMIFS($H$2:$H$1001,$A$2:$A$1001,A269,$B$2:$B$1001,"&lt;"&amp;B269))</f>
        <v/>
      </c>
      <c r="K269" s="24" t="str">
        <f aca="false">IF(OR(E269="",I269="",J269=""),"",MAX(E269*I269-J269,0))</f>
        <v/>
      </c>
      <c r="L269" s="25" t="str">
        <f aca="false">IF(OR(D269="",E269="",F269="",D269&lt;=E269),"",FLOOR((F269+K269)/(D269-E269),100))</f>
        <v/>
      </c>
      <c r="M269" s="25" t="str">
        <f aca="false">IF(OR(A269="",B269="",L269=""),"",IF(B269=1,L269,IFERROR(SUMIFS($G$2:$G$1001,$A$2:$A$1001,A269,$B$2:$B$1001,B269-1),0)))</f>
        <v/>
      </c>
      <c r="N269" s="25" t="str">
        <f aca="false">IF(OR(L269="",M269=""),"",MIN(L269,M269))</f>
        <v/>
      </c>
      <c r="O269" s="25" t="str">
        <f aca="false">IF(OR(I269="",G269=""),"",I269+G269)</f>
        <v/>
      </c>
      <c r="P269" s="24" t="str">
        <f aca="false">IF(OR(O269="",O269=0),"",(J269+H269)/O269)</f>
        <v/>
      </c>
      <c r="Q269" s="24" t="str">
        <f aca="false">IF(OR(O269="",E269=""),"",MAX(J269+H269-E269*O269,0))</f>
        <v/>
      </c>
      <c r="R269" s="26" t="str">
        <f aca="false">IF(A269="","",IF(COUNTIF(_TradeIds,A269)=0,"违规：交易编号不存在",IF(OR(B269="",B269&lt;1,B269&gt;5,B269&lt;&gt;INT(B269)),"违规：加仓序号须为1到5的整数",IF(COUNTIFS($A$2:$A$1001,A269,$B$2:$B$1001,B269)&gt;1,"违规：同一交易的加仓序号重复",IF(OR(D269="",E269="",F269=""),"计划不完整：请填写加仓价、新止损价和风险预算",IF(OR(D269&lt;=0,E269&lt;=0,F269&lt;=0,D269&lt;=E269),"违规：加仓价必须高于新止损价，金额须大于0",IF(AND(B269&gt;1,COUNTIFS($A$2:$A$1001,A269,$B$2:$B$1001,B269-1,$G$2:$G$1001,"&gt;0")=0),"违规：须先完成上一次加仓",IF(AND(B269&gt;1,E269&lt;SUMIFS($E$2:$E$1001,$A$2:$A$1001,A269,$B$2:$B$1001,B269-1)),"违规：新止损价不得低于上一次",IF(AND(B269&gt;1,F269&gt;SUMIFS($F$2:$F$1001,$A$2:$A$1001,A269,$B$2:$B$1001,B269-1)),"违规：风险预算须逐次不增加",IF(OR(_LockStatus="已锁仓",_LockStatus="解锁信息不完整"),"违规：锁仓期间禁止加仓",IF(G269="","计划可执行：建议股数见N列",IF(OR(G269&lt;=0,G269&lt;&gt;INT(G269),MOD(G269,100)&lt;&gt;0),"违规：实际股数须为100股整数倍",IF(G269&gt;N269,"违规：实际股数超过风险或金字塔上限",IF(AND(B269&gt;1,G269&gt;SUMIFS($G$2:$G$1001,$A$2:$A$1001,A269,$B$2:$B$1001,B269-1)),"违规：加仓股数须逐次不增加",IF(Q269&gt;F269,"违规：止损风险超过本次预算","通过")))))))))))))))</f>
        <v/>
      </c>
    </row>
    <row r="270" customFormat="false" ht="15" hidden="false" customHeight="false" outlineLevel="0" collapsed="false">
      <c r="A270" s="20"/>
      <c r="B270" s="21"/>
      <c r="C270" s="22"/>
      <c r="D270" s="23"/>
      <c r="E270" s="23"/>
      <c r="F270" s="23"/>
      <c r="G270" s="21"/>
      <c r="H270" s="24" t="str">
        <f aca="false">IF(OR(A270="",D270="",G270=""),"",D270*G270)</f>
        <v/>
      </c>
      <c r="I270" s="25" t="str">
        <f aca="false">IF(OR(A270="",B270=""),"",IFERROR(LOOKUP(2,1/(单次交易!$A$2:$A$201=A270),单次交易!$H$2:$H$201),0)+SUMIFS($G$2:$G$1001,$A$2:$A$1001,A270,$B$2:$B$1001,"&lt;"&amp;B270))</f>
        <v/>
      </c>
      <c r="J270" s="24" t="str">
        <f aca="false">IF(OR(A270="",B270=""),"",IFERROR(LOOKUP(2,1/(单次交易!$A$2:$A$201=A270),单次交易!$E$2:$E$201)*LOOKUP(2,1/(单次交易!$A$2:$A$201=A270),单次交易!$H$2:$H$201),0)+SUMIFS($H$2:$H$1001,$A$2:$A$1001,A270,$B$2:$B$1001,"&lt;"&amp;B270))</f>
        <v/>
      </c>
      <c r="K270" s="24" t="str">
        <f aca="false">IF(OR(E270="",I270="",J270=""),"",MAX(E270*I270-J270,0))</f>
        <v/>
      </c>
      <c r="L270" s="25" t="str">
        <f aca="false">IF(OR(D270="",E270="",F270="",D270&lt;=E270),"",FLOOR((F270+K270)/(D270-E270),100))</f>
        <v/>
      </c>
      <c r="M270" s="25" t="str">
        <f aca="false">IF(OR(A270="",B270="",L270=""),"",IF(B270=1,L270,IFERROR(SUMIFS($G$2:$G$1001,$A$2:$A$1001,A270,$B$2:$B$1001,B270-1),0)))</f>
        <v/>
      </c>
      <c r="N270" s="25" t="str">
        <f aca="false">IF(OR(L270="",M270=""),"",MIN(L270,M270))</f>
        <v/>
      </c>
      <c r="O270" s="25" t="str">
        <f aca="false">IF(OR(I270="",G270=""),"",I270+G270)</f>
        <v/>
      </c>
      <c r="P270" s="24" t="str">
        <f aca="false">IF(OR(O270="",O270=0),"",(J270+H270)/O270)</f>
        <v/>
      </c>
      <c r="Q270" s="24" t="str">
        <f aca="false">IF(OR(O270="",E270=""),"",MAX(J270+H270-E270*O270,0))</f>
        <v/>
      </c>
      <c r="R270" s="26" t="str">
        <f aca="false">IF(A270="","",IF(COUNTIF(_TradeIds,A270)=0,"违规：交易编号不存在",IF(OR(B270="",B270&lt;1,B270&gt;5,B270&lt;&gt;INT(B270)),"违规：加仓序号须为1到5的整数",IF(COUNTIFS($A$2:$A$1001,A270,$B$2:$B$1001,B270)&gt;1,"违规：同一交易的加仓序号重复",IF(OR(D270="",E270="",F270=""),"计划不完整：请填写加仓价、新止损价和风险预算",IF(OR(D270&lt;=0,E270&lt;=0,F270&lt;=0,D270&lt;=E270),"违规：加仓价必须高于新止损价，金额须大于0",IF(AND(B270&gt;1,COUNTIFS($A$2:$A$1001,A270,$B$2:$B$1001,B270-1,$G$2:$G$1001,"&gt;0")=0),"违规：须先完成上一次加仓",IF(AND(B270&gt;1,E270&lt;SUMIFS($E$2:$E$1001,$A$2:$A$1001,A270,$B$2:$B$1001,B270-1)),"违规：新止损价不得低于上一次",IF(AND(B270&gt;1,F270&gt;SUMIFS($F$2:$F$1001,$A$2:$A$1001,A270,$B$2:$B$1001,B270-1)),"违规：风险预算须逐次不增加",IF(OR(_LockStatus="已锁仓",_LockStatus="解锁信息不完整"),"违规：锁仓期间禁止加仓",IF(G270="","计划可执行：建议股数见N列",IF(OR(G270&lt;=0,G270&lt;&gt;INT(G270),MOD(G270,100)&lt;&gt;0),"违规：实际股数须为100股整数倍",IF(G270&gt;N270,"违规：实际股数超过风险或金字塔上限",IF(AND(B270&gt;1,G270&gt;SUMIFS($G$2:$G$1001,$A$2:$A$1001,A270,$B$2:$B$1001,B270-1)),"违规：加仓股数须逐次不增加",IF(Q270&gt;F270,"违规：止损风险超过本次预算","通过")))))))))))))))</f>
        <v/>
      </c>
    </row>
    <row r="271" customFormat="false" ht="15" hidden="false" customHeight="false" outlineLevel="0" collapsed="false">
      <c r="A271" s="20"/>
      <c r="B271" s="21"/>
      <c r="C271" s="22"/>
      <c r="D271" s="23"/>
      <c r="E271" s="23"/>
      <c r="F271" s="23"/>
      <c r="G271" s="21"/>
      <c r="H271" s="24" t="str">
        <f aca="false">IF(OR(A271="",D271="",G271=""),"",D271*G271)</f>
        <v/>
      </c>
      <c r="I271" s="25" t="str">
        <f aca="false">IF(OR(A271="",B271=""),"",IFERROR(LOOKUP(2,1/(单次交易!$A$2:$A$201=A271),单次交易!$H$2:$H$201),0)+SUMIFS($G$2:$G$1001,$A$2:$A$1001,A271,$B$2:$B$1001,"&lt;"&amp;B271))</f>
        <v/>
      </c>
      <c r="J271" s="24" t="str">
        <f aca="false">IF(OR(A271="",B271=""),"",IFERROR(LOOKUP(2,1/(单次交易!$A$2:$A$201=A271),单次交易!$E$2:$E$201)*LOOKUP(2,1/(单次交易!$A$2:$A$201=A271),单次交易!$H$2:$H$201),0)+SUMIFS($H$2:$H$1001,$A$2:$A$1001,A271,$B$2:$B$1001,"&lt;"&amp;B271))</f>
        <v/>
      </c>
      <c r="K271" s="24" t="str">
        <f aca="false">IF(OR(E271="",I271="",J271=""),"",MAX(E271*I271-J271,0))</f>
        <v/>
      </c>
      <c r="L271" s="25" t="str">
        <f aca="false">IF(OR(D271="",E271="",F271="",D271&lt;=E271),"",FLOOR((F271+K271)/(D271-E271),100))</f>
        <v/>
      </c>
      <c r="M271" s="25" t="str">
        <f aca="false">IF(OR(A271="",B271="",L271=""),"",IF(B271=1,L271,IFERROR(SUMIFS($G$2:$G$1001,$A$2:$A$1001,A271,$B$2:$B$1001,B271-1),0)))</f>
        <v/>
      </c>
      <c r="N271" s="25" t="str">
        <f aca="false">IF(OR(L271="",M271=""),"",MIN(L271,M271))</f>
        <v/>
      </c>
      <c r="O271" s="25" t="str">
        <f aca="false">IF(OR(I271="",G271=""),"",I271+G271)</f>
        <v/>
      </c>
      <c r="P271" s="24" t="str">
        <f aca="false">IF(OR(O271="",O271=0),"",(J271+H271)/O271)</f>
        <v/>
      </c>
      <c r="Q271" s="24" t="str">
        <f aca="false">IF(OR(O271="",E271=""),"",MAX(J271+H271-E271*O271,0))</f>
        <v/>
      </c>
      <c r="R271" s="26" t="str">
        <f aca="false">IF(A271="","",IF(COUNTIF(_TradeIds,A271)=0,"违规：交易编号不存在",IF(OR(B271="",B271&lt;1,B271&gt;5,B271&lt;&gt;INT(B271)),"违规：加仓序号须为1到5的整数",IF(COUNTIFS($A$2:$A$1001,A271,$B$2:$B$1001,B271)&gt;1,"违规：同一交易的加仓序号重复",IF(OR(D271="",E271="",F271=""),"计划不完整：请填写加仓价、新止损价和风险预算",IF(OR(D271&lt;=0,E271&lt;=0,F271&lt;=0,D271&lt;=E271),"违规：加仓价必须高于新止损价，金额须大于0",IF(AND(B271&gt;1,COUNTIFS($A$2:$A$1001,A271,$B$2:$B$1001,B271-1,$G$2:$G$1001,"&gt;0")=0),"违规：须先完成上一次加仓",IF(AND(B271&gt;1,E271&lt;SUMIFS($E$2:$E$1001,$A$2:$A$1001,A271,$B$2:$B$1001,B271-1)),"违规：新止损价不得低于上一次",IF(AND(B271&gt;1,F271&gt;SUMIFS($F$2:$F$1001,$A$2:$A$1001,A271,$B$2:$B$1001,B271-1)),"违规：风险预算须逐次不增加",IF(OR(_LockStatus="已锁仓",_LockStatus="解锁信息不完整"),"违规：锁仓期间禁止加仓",IF(G271="","计划可执行：建议股数见N列",IF(OR(G271&lt;=0,G271&lt;&gt;INT(G271),MOD(G271,100)&lt;&gt;0),"违规：实际股数须为100股整数倍",IF(G271&gt;N271,"违规：实际股数超过风险或金字塔上限",IF(AND(B271&gt;1,G271&gt;SUMIFS($G$2:$G$1001,$A$2:$A$1001,A271,$B$2:$B$1001,B271-1)),"违规：加仓股数须逐次不增加",IF(Q271&gt;F271,"违规：止损风险超过本次预算","通过")))))))))))))))</f>
        <v/>
      </c>
    </row>
    <row r="272" customFormat="false" ht="15" hidden="false" customHeight="false" outlineLevel="0" collapsed="false">
      <c r="A272" s="20"/>
      <c r="B272" s="21"/>
      <c r="C272" s="22"/>
      <c r="D272" s="23"/>
      <c r="E272" s="23"/>
      <c r="F272" s="23"/>
      <c r="G272" s="21"/>
      <c r="H272" s="24" t="str">
        <f aca="false">IF(OR(A272="",D272="",G272=""),"",D272*G272)</f>
        <v/>
      </c>
      <c r="I272" s="25" t="str">
        <f aca="false">IF(OR(A272="",B272=""),"",IFERROR(LOOKUP(2,1/(单次交易!$A$2:$A$201=A272),单次交易!$H$2:$H$201),0)+SUMIFS($G$2:$G$1001,$A$2:$A$1001,A272,$B$2:$B$1001,"&lt;"&amp;B272))</f>
        <v/>
      </c>
      <c r="J272" s="24" t="str">
        <f aca="false">IF(OR(A272="",B272=""),"",IFERROR(LOOKUP(2,1/(单次交易!$A$2:$A$201=A272),单次交易!$E$2:$E$201)*LOOKUP(2,1/(单次交易!$A$2:$A$201=A272),单次交易!$H$2:$H$201),0)+SUMIFS($H$2:$H$1001,$A$2:$A$1001,A272,$B$2:$B$1001,"&lt;"&amp;B272))</f>
        <v/>
      </c>
      <c r="K272" s="24" t="str">
        <f aca="false">IF(OR(E272="",I272="",J272=""),"",MAX(E272*I272-J272,0))</f>
        <v/>
      </c>
      <c r="L272" s="25" t="str">
        <f aca="false">IF(OR(D272="",E272="",F272="",D272&lt;=E272),"",FLOOR((F272+K272)/(D272-E272),100))</f>
        <v/>
      </c>
      <c r="M272" s="25" t="str">
        <f aca="false">IF(OR(A272="",B272="",L272=""),"",IF(B272=1,L272,IFERROR(SUMIFS($G$2:$G$1001,$A$2:$A$1001,A272,$B$2:$B$1001,B272-1),0)))</f>
        <v/>
      </c>
      <c r="N272" s="25" t="str">
        <f aca="false">IF(OR(L272="",M272=""),"",MIN(L272,M272))</f>
        <v/>
      </c>
      <c r="O272" s="25" t="str">
        <f aca="false">IF(OR(I272="",G272=""),"",I272+G272)</f>
        <v/>
      </c>
      <c r="P272" s="24" t="str">
        <f aca="false">IF(OR(O272="",O272=0),"",(J272+H272)/O272)</f>
        <v/>
      </c>
      <c r="Q272" s="24" t="str">
        <f aca="false">IF(OR(O272="",E272=""),"",MAX(J272+H272-E272*O272,0))</f>
        <v/>
      </c>
      <c r="R272" s="26" t="str">
        <f aca="false">IF(A272="","",IF(COUNTIF(_TradeIds,A272)=0,"违规：交易编号不存在",IF(OR(B272="",B272&lt;1,B272&gt;5,B272&lt;&gt;INT(B272)),"违规：加仓序号须为1到5的整数",IF(COUNTIFS($A$2:$A$1001,A272,$B$2:$B$1001,B272)&gt;1,"违规：同一交易的加仓序号重复",IF(OR(D272="",E272="",F272=""),"计划不完整：请填写加仓价、新止损价和风险预算",IF(OR(D272&lt;=0,E272&lt;=0,F272&lt;=0,D272&lt;=E272),"违规：加仓价必须高于新止损价，金额须大于0",IF(AND(B272&gt;1,COUNTIFS($A$2:$A$1001,A272,$B$2:$B$1001,B272-1,$G$2:$G$1001,"&gt;0")=0),"违规：须先完成上一次加仓",IF(AND(B272&gt;1,E272&lt;SUMIFS($E$2:$E$1001,$A$2:$A$1001,A272,$B$2:$B$1001,B272-1)),"违规：新止损价不得低于上一次",IF(AND(B272&gt;1,F272&gt;SUMIFS($F$2:$F$1001,$A$2:$A$1001,A272,$B$2:$B$1001,B272-1)),"违规：风险预算须逐次不增加",IF(OR(_LockStatus="已锁仓",_LockStatus="解锁信息不完整"),"违规：锁仓期间禁止加仓",IF(G272="","计划可执行：建议股数见N列",IF(OR(G272&lt;=0,G272&lt;&gt;INT(G272),MOD(G272,100)&lt;&gt;0),"违规：实际股数须为100股整数倍",IF(G272&gt;N272,"违规：实际股数超过风险或金字塔上限",IF(AND(B272&gt;1,G272&gt;SUMIFS($G$2:$G$1001,$A$2:$A$1001,A272,$B$2:$B$1001,B272-1)),"违规：加仓股数须逐次不增加",IF(Q272&gt;F272,"违规：止损风险超过本次预算","通过")))))))))))))))</f>
        <v/>
      </c>
    </row>
    <row r="273" customFormat="false" ht="15" hidden="false" customHeight="false" outlineLevel="0" collapsed="false">
      <c r="A273" s="20"/>
      <c r="B273" s="21"/>
      <c r="C273" s="22"/>
      <c r="D273" s="23"/>
      <c r="E273" s="23"/>
      <c r="F273" s="23"/>
      <c r="G273" s="21"/>
      <c r="H273" s="24" t="str">
        <f aca="false">IF(OR(A273="",D273="",G273=""),"",D273*G273)</f>
        <v/>
      </c>
      <c r="I273" s="25" t="str">
        <f aca="false">IF(OR(A273="",B273=""),"",IFERROR(LOOKUP(2,1/(单次交易!$A$2:$A$201=A273),单次交易!$H$2:$H$201),0)+SUMIFS($G$2:$G$1001,$A$2:$A$1001,A273,$B$2:$B$1001,"&lt;"&amp;B273))</f>
        <v/>
      </c>
      <c r="J273" s="24" t="str">
        <f aca="false">IF(OR(A273="",B273=""),"",IFERROR(LOOKUP(2,1/(单次交易!$A$2:$A$201=A273),单次交易!$E$2:$E$201)*LOOKUP(2,1/(单次交易!$A$2:$A$201=A273),单次交易!$H$2:$H$201),0)+SUMIFS($H$2:$H$1001,$A$2:$A$1001,A273,$B$2:$B$1001,"&lt;"&amp;B273))</f>
        <v/>
      </c>
      <c r="K273" s="24" t="str">
        <f aca="false">IF(OR(E273="",I273="",J273=""),"",MAX(E273*I273-J273,0))</f>
        <v/>
      </c>
      <c r="L273" s="25" t="str">
        <f aca="false">IF(OR(D273="",E273="",F273="",D273&lt;=E273),"",FLOOR((F273+K273)/(D273-E273),100))</f>
        <v/>
      </c>
      <c r="M273" s="25" t="str">
        <f aca="false">IF(OR(A273="",B273="",L273=""),"",IF(B273=1,L273,IFERROR(SUMIFS($G$2:$G$1001,$A$2:$A$1001,A273,$B$2:$B$1001,B273-1),0)))</f>
        <v/>
      </c>
      <c r="N273" s="25" t="str">
        <f aca="false">IF(OR(L273="",M273=""),"",MIN(L273,M273))</f>
        <v/>
      </c>
      <c r="O273" s="25" t="str">
        <f aca="false">IF(OR(I273="",G273=""),"",I273+G273)</f>
        <v/>
      </c>
      <c r="P273" s="24" t="str">
        <f aca="false">IF(OR(O273="",O273=0),"",(J273+H273)/O273)</f>
        <v/>
      </c>
      <c r="Q273" s="24" t="str">
        <f aca="false">IF(OR(O273="",E273=""),"",MAX(J273+H273-E273*O273,0))</f>
        <v/>
      </c>
      <c r="R273" s="26" t="str">
        <f aca="false">IF(A273="","",IF(COUNTIF(_TradeIds,A273)=0,"违规：交易编号不存在",IF(OR(B273="",B273&lt;1,B273&gt;5,B273&lt;&gt;INT(B273)),"违规：加仓序号须为1到5的整数",IF(COUNTIFS($A$2:$A$1001,A273,$B$2:$B$1001,B273)&gt;1,"违规：同一交易的加仓序号重复",IF(OR(D273="",E273="",F273=""),"计划不完整：请填写加仓价、新止损价和风险预算",IF(OR(D273&lt;=0,E273&lt;=0,F273&lt;=0,D273&lt;=E273),"违规：加仓价必须高于新止损价，金额须大于0",IF(AND(B273&gt;1,COUNTIFS($A$2:$A$1001,A273,$B$2:$B$1001,B273-1,$G$2:$G$1001,"&gt;0")=0),"违规：须先完成上一次加仓",IF(AND(B273&gt;1,E273&lt;SUMIFS($E$2:$E$1001,$A$2:$A$1001,A273,$B$2:$B$1001,B273-1)),"违规：新止损价不得低于上一次",IF(AND(B273&gt;1,F273&gt;SUMIFS($F$2:$F$1001,$A$2:$A$1001,A273,$B$2:$B$1001,B273-1)),"违规：风险预算须逐次不增加",IF(OR(_LockStatus="已锁仓",_LockStatus="解锁信息不完整"),"违规：锁仓期间禁止加仓",IF(G273="","计划可执行：建议股数见N列",IF(OR(G273&lt;=0,G273&lt;&gt;INT(G273),MOD(G273,100)&lt;&gt;0),"违规：实际股数须为100股整数倍",IF(G273&gt;N273,"违规：实际股数超过风险或金字塔上限",IF(AND(B273&gt;1,G273&gt;SUMIFS($G$2:$G$1001,$A$2:$A$1001,A273,$B$2:$B$1001,B273-1)),"违规：加仓股数须逐次不增加",IF(Q273&gt;F273,"违规：止损风险超过本次预算","通过")))))))))))))))</f>
        <v/>
      </c>
    </row>
    <row r="274" customFormat="false" ht="15" hidden="false" customHeight="false" outlineLevel="0" collapsed="false">
      <c r="A274" s="20"/>
      <c r="B274" s="21"/>
      <c r="C274" s="22"/>
      <c r="D274" s="23"/>
      <c r="E274" s="23"/>
      <c r="F274" s="23"/>
      <c r="G274" s="21"/>
      <c r="H274" s="24" t="str">
        <f aca="false">IF(OR(A274="",D274="",G274=""),"",D274*G274)</f>
        <v/>
      </c>
      <c r="I274" s="25" t="str">
        <f aca="false">IF(OR(A274="",B274=""),"",IFERROR(LOOKUP(2,1/(单次交易!$A$2:$A$201=A274),单次交易!$H$2:$H$201),0)+SUMIFS($G$2:$G$1001,$A$2:$A$1001,A274,$B$2:$B$1001,"&lt;"&amp;B274))</f>
        <v/>
      </c>
      <c r="J274" s="24" t="str">
        <f aca="false">IF(OR(A274="",B274=""),"",IFERROR(LOOKUP(2,1/(单次交易!$A$2:$A$201=A274),单次交易!$E$2:$E$201)*LOOKUP(2,1/(单次交易!$A$2:$A$201=A274),单次交易!$H$2:$H$201),0)+SUMIFS($H$2:$H$1001,$A$2:$A$1001,A274,$B$2:$B$1001,"&lt;"&amp;B274))</f>
        <v/>
      </c>
      <c r="K274" s="24" t="str">
        <f aca="false">IF(OR(E274="",I274="",J274=""),"",MAX(E274*I274-J274,0))</f>
        <v/>
      </c>
      <c r="L274" s="25" t="str">
        <f aca="false">IF(OR(D274="",E274="",F274="",D274&lt;=E274),"",FLOOR((F274+K274)/(D274-E274),100))</f>
        <v/>
      </c>
      <c r="M274" s="25" t="str">
        <f aca="false">IF(OR(A274="",B274="",L274=""),"",IF(B274=1,L274,IFERROR(SUMIFS($G$2:$G$1001,$A$2:$A$1001,A274,$B$2:$B$1001,B274-1),0)))</f>
        <v/>
      </c>
      <c r="N274" s="25" t="str">
        <f aca="false">IF(OR(L274="",M274=""),"",MIN(L274,M274))</f>
        <v/>
      </c>
      <c r="O274" s="25" t="str">
        <f aca="false">IF(OR(I274="",G274=""),"",I274+G274)</f>
        <v/>
      </c>
      <c r="P274" s="24" t="str">
        <f aca="false">IF(OR(O274="",O274=0),"",(J274+H274)/O274)</f>
        <v/>
      </c>
      <c r="Q274" s="24" t="str">
        <f aca="false">IF(OR(O274="",E274=""),"",MAX(J274+H274-E274*O274,0))</f>
        <v/>
      </c>
      <c r="R274" s="26" t="str">
        <f aca="false">IF(A274="","",IF(COUNTIF(_TradeIds,A274)=0,"违规：交易编号不存在",IF(OR(B274="",B274&lt;1,B274&gt;5,B274&lt;&gt;INT(B274)),"违规：加仓序号须为1到5的整数",IF(COUNTIFS($A$2:$A$1001,A274,$B$2:$B$1001,B274)&gt;1,"违规：同一交易的加仓序号重复",IF(OR(D274="",E274="",F274=""),"计划不完整：请填写加仓价、新止损价和风险预算",IF(OR(D274&lt;=0,E274&lt;=0,F274&lt;=0,D274&lt;=E274),"违规：加仓价必须高于新止损价，金额须大于0",IF(AND(B274&gt;1,COUNTIFS($A$2:$A$1001,A274,$B$2:$B$1001,B274-1,$G$2:$G$1001,"&gt;0")=0),"违规：须先完成上一次加仓",IF(AND(B274&gt;1,E274&lt;SUMIFS($E$2:$E$1001,$A$2:$A$1001,A274,$B$2:$B$1001,B274-1)),"违规：新止损价不得低于上一次",IF(AND(B274&gt;1,F274&gt;SUMIFS($F$2:$F$1001,$A$2:$A$1001,A274,$B$2:$B$1001,B274-1)),"违规：风险预算须逐次不增加",IF(OR(_LockStatus="已锁仓",_LockStatus="解锁信息不完整"),"违规：锁仓期间禁止加仓",IF(G274="","计划可执行：建议股数见N列",IF(OR(G274&lt;=0,G274&lt;&gt;INT(G274),MOD(G274,100)&lt;&gt;0),"违规：实际股数须为100股整数倍",IF(G274&gt;N274,"违规：实际股数超过风险或金字塔上限",IF(AND(B274&gt;1,G274&gt;SUMIFS($G$2:$G$1001,$A$2:$A$1001,A274,$B$2:$B$1001,B274-1)),"违规：加仓股数须逐次不增加",IF(Q274&gt;F274,"违规：止损风险超过本次预算","通过")))))))))))))))</f>
        <v/>
      </c>
    </row>
    <row r="275" customFormat="false" ht="15" hidden="false" customHeight="false" outlineLevel="0" collapsed="false">
      <c r="A275" s="20"/>
      <c r="B275" s="21"/>
      <c r="C275" s="22"/>
      <c r="D275" s="23"/>
      <c r="E275" s="23"/>
      <c r="F275" s="23"/>
      <c r="G275" s="21"/>
      <c r="H275" s="24" t="str">
        <f aca="false">IF(OR(A275="",D275="",G275=""),"",D275*G275)</f>
        <v/>
      </c>
      <c r="I275" s="25" t="str">
        <f aca="false">IF(OR(A275="",B275=""),"",IFERROR(LOOKUP(2,1/(单次交易!$A$2:$A$201=A275),单次交易!$H$2:$H$201),0)+SUMIFS($G$2:$G$1001,$A$2:$A$1001,A275,$B$2:$B$1001,"&lt;"&amp;B275))</f>
        <v/>
      </c>
      <c r="J275" s="24" t="str">
        <f aca="false">IF(OR(A275="",B275=""),"",IFERROR(LOOKUP(2,1/(单次交易!$A$2:$A$201=A275),单次交易!$E$2:$E$201)*LOOKUP(2,1/(单次交易!$A$2:$A$201=A275),单次交易!$H$2:$H$201),0)+SUMIFS($H$2:$H$1001,$A$2:$A$1001,A275,$B$2:$B$1001,"&lt;"&amp;B275))</f>
        <v/>
      </c>
      <c r="K275" s="24" t="str">
        <f aca="false">IF(OR(E275="",I275="",J275=""),"",MAX(E275*I275-J275,0))</f>
        <v/>
      </c>
      <c r="L275" s="25" t="str">
        <f aca="false">IF(OR(D275="",E275="",F275="",D275&lt;=E275),"",FLOOR((F275+K275)/(D275-E275),100))</f>
        <v/>
      </c>
      <c r="M275" s="25" t="str">
        <f aca="false">IF(OR(A275="",B275="",L275=""),"",IF(B275=1,L275,IFERROR(SUMIFS($G$2:$G$1001,$A$2:$A$1001,A275,$B$2:$B$1001,B275-1),0)))</f>
        <v/>
      </c>
      <c r="N275" s="25" t="str">
        <f aca="false">IF(OR(L275="",M275=""),"",MIN(L275,M275))</f>
        <v/>
      </c>
      <c r="O275" s="25" t="str">
        <f aca="false">IF(OR(I275="",G275=""),"",I275+G275)</f>
        <v/>
      </c>
      <c r="P275" s="24" t="str">
        <f aca="false">IF(OR(O275="",O275=0),"",(J275+H275)/O275)</f>
        <v/>
      </c>
      <c r="Q275" s="24" t="str">
        <f aca="false">IF(OR(O275="",E275=""),"",MAX(J275+H275-E275*O275,0))</f>
        <v/>
      </c>
      <c r="R275" s="26" t="str">
        <f aca="false">IF(A275="","",IF(COUNTIF(_TradeIds,A275)=0,"违规：交易编号不存在",IF(OR(B275="",B275&lt;1,B275&gt;5,B275&lt;&gt;INT(B275)),"违规：加仓序号须为1到5的整数",IF(COUNTIFS($A$2:$A$1001,A275,$B$2:$B$1001,B275)&gt;1,"违规：同一交易的加仓序号重复",IF(OR(D275="",E275="",F275=""),"计划不完整：请填写加仓价、新止损价和风险预算",IF(OR(D275&lt;=0,E275&lt;=0,F275&lt;=0,D275&lt;=E275),"违规：加仓价必须高于新止损价，金额须大于0",IF(AND(B275&gt;1,COUNTIFS($A$2:$A$1001,A275,$B$2:$B$1001,B275-1,$G$2:$G$1001,"&gt;0")=0),"违规：须先完成上一次加仓",IF(AND(B275&gt;1,E275&lt;SUMIFS($E$2:$E$1001,$A$2:$A$1001,A275,$B$2:$B$1001,B275-1)),"违规：新止损价不得低于上一次",IF(AND(B275&gt;1,F275&gt;SUMIFS($F$2:$F$1001,$A$2:$A$1001,A275,$B$2:$B$1001,B275-1)),"违规：风险预算须逐次不增加",IF(OR(_LockStatus="已锁仓",_LockStatus="解锁信息不完整"),"违规：锁仓期间禁止加仓",IF(G275="","计划可执行：建议股数见N列",IF(OR(G275&lt;=0,G275&lt;&gt;INT(G275),MOD(G275,100)&lt;&gt;0),"违规：实际股数须为100股整数倍",IF(G275&gt;N275,"违规：实际股数超过风险或金字塔上限",IF(AND(B275&gt;1,G275&gt;SUMIFS($G$2:$G$1001,$A$2:$A$1001,A275,$B$2:$B$1001,B275-1)),"违规：加仓股数须逐次不增加",IF(Q275&gt;F275,"违规：止损风险超过本次预算","通过")))))))))))))))</f>
        <v/>
      </c>
    </row>
    <row r="276" customFormat="false" ht="15" hidden="false" customHeight="false" outlineLevel="0" collapsed="false">
      <c r="A276" s="20"/>
      <c r="B276" s="21"/>
      <c r="C276" s="22"/>
      <c r="D276" s="23"/>
      <c r="E276" s="23"/>
      <c r="F276" s="23"/>
      <c r="G276" s="21"/>
      <c r="H276" s="24" t="str">
        <f aca="false">IF(OR(A276="",D276="",G276=""),"",D276*G276)</f>
        <v/>
      </c>
      <c r="I276" s="25" t="str">
        <f aca="false">IF(OR(A276="",B276=""),"",IFERROR(LOOKUP(2,1/(单次交易!$A$2:$A$201=A276),单次交易!$H$2:$H$201),0)+SUMIFS($G$2:$G$1001,$A$2:$A$1001,A276,$B$2:$B$1001,"&lt;"&amp;B276))</f>
        <v/>
      </c>
      <c r="J276" s="24" t="str">
        <f aca="false">IF(OR(A276="",B276=""),"",IFERROR(LOOKUP(2,1/(单次交易!$A$2:$A$201=A276),单次交易!$E$2:$E$201)*LOOKUP(2,1/(单次交易!$A$2:$A$201=A276),单次交易!$H$2:$H$201),0)+SUMIFS($H$2:$H$1001,$A$2:$A$1001,A276,$B$2:$B$1001,"&lt;"&amp;B276))</f>
        <v/>
      </c>
      <c r="K276" s="24" t="str">
        <f aca="false">IF(OR(E276="",I276="",J276=""),"",MAX(E276*I276-J276,0))</f>
        <v/>
      </c>
      <c r="L276" s="25" t="str">
        <f aca="false">IF(OR(D276="",E276="",F276="",D276&lt;=E276),"",FLOOR((F276+K276)/(D276-E276),100))</f>
        <v/>
      </c>
      <c r="M276" s="25" t="str">
        <f aca="false">IF(OR(A276="",B276="",L276=""),"",IF(B276=1,L276,IFERROR(SUMIFS($G$2:$G$1001,$A$2:$A$1001,A276,$B$2:$B$1001,B276-1),0)))</f>
        <v/>
      </c>
      <c r="N276" s="25" t="str">
        <f aca="false">IF(OR(L276="",M276=""),"",MIN(L276,M276))</f>
        <v/>
      </c>
      <c r="O276" s="25" t="str">
        <f aca="false">IF(OR(I276="",G276=""),"",I276+G276)</f>
        <v/>
      </c>
      <c r="P276" s="24" t="str">
        <f aca="false">IF(OR(O276="",O276=0),"",(J276+H276)/O276)</f>
        <v/>
      </c>
      <c r="Q276" s="24" t="str">
        <f aca="false">IF(OR(O276="",E276=""),"",MAX(J276+H276-E276*O276,0))</f>
        <v/>
      </c>
      <c r="R276" s="26" t="str">
        <f aca="false">IF(A276="","",IF(COUNTIF(_TradeIds,A276)=0,"违规：交易编号不存在",IF(OR(B276="",B276&lt;1,B276&gt;5,B276&lt;&gt;INT(B276)),"违规：加仓序号须为1到5的整数",IF(COUNTIFS($A$2:$A$1001,A276,$B$2:$B$1001,B276)&gt;1,"违规：同一交易的加仓序号重复",IF(OR(D276="",E276="",F276=""),"计划不完整：请填写加仓价、新止损价和风险预算",IF(OR(D276&lt;=0,E276&lt;=0,F276&lt;=0,D276&lt;=E276),"违规：加仓价必须高于新止损价，金额须大于0",IF(AND(B276&gt;1,COUNTIFS($A$2:$A$1001,A276,$B$2:$B$1001,B276-1,$G$2:$G$1001,"&gt;0")=0),"违规：须先完成上一次加仓",IF(AND(B276&gt;1,E276&lt;SUMIFS($E$2:$E$1001,$A$2:$A$1001,A276,$B$2:$B$1001,B276-1)),"违规：新止损价不得低于上一次",IF(AND(B276&gt;1,F276&gt;SUMIFS($F$2:$F$1001,$A$2:$A$1001,A276,$B$2:$B$1001,B276-1)),"违规：风险预算须逐次不增加",IF(OR(_LockStatus="已锁仓",_LockStatus="解锁信息不完整"),"违规：锁仓期间禁止加仓",IF(G276="","计划可执行：建议股数见N列",IF(OR(G276&lt;=0,G276&lt;&gt;INT(G276),MOD(G276,100)&lt;&gt;0),"违规：实际股数须为100股整数倍",IF(G276&gt;N276,"违规：实际股数超过风险或金字塔上限",IF(AND(B276&gt;1,G276&gt;SUMIFS($G$2:$G$1001,$A$2:$A$1001,A276,$B$2:$B$1001,B276-1)),"违规：加仓股数须逐次不增加",IF(Q276&gt;F276,"违规：止损风险超过本次预算","通过")))))))))))))))</f>
        <v/>
      </c>
    </row>
    <row r="277" customFormat="false" ht="15" hidden="false" customHeight="false" outlineLevel="0" collapsed="false">
      <c r="A277" s="20"/>
      <c r="B277" s="21"/>
      <c r="C277" s="22"/>
      <c r="D277" s="23"/>
      <c r="E277" s="23"/>
      <c r="F277" s="23"/>
      <c r="G277" s="21"/>
      <c r="H277" s="24" t="str">
        <f aca="false">IF(OR(A277="",D277="",G277=""),"",D277*G277)</f>
        <v/>
      </c>
      <c r="I277" s="25" t="str">
        <f aca="false">IF(OR(A277="",B277=""),"",IFERROR(LOOKUP(2,1/(单次交易!$A$2:$A$201=A277),单次交易!$H$2:$H$201),0)+SUMIFS($G$2:$G$1001,$A$2:$A$1001,A277,$B$2:$B$1001,"&lt;"&amp;B277))</f>
        <v/>
      </c>
      <c r="J277" s="24" t="str">
        <f aca="false">IF(OR(A277="",B277=""),"",IFERROR(LOOKUP(2,1/(单次交易!$A$2:$A$201=A277),单次交易!$E$2:$E$201)*LOOKUP(2,1/(单次交易!$A$2:$A$201=A277),单次交易!$H$2:$H$201),0)+SUMIFS($H$2:$H$1001,$A$2:$A$1001,A277,$B$2:$B$1001,"&lt;"&amp;B277))</f>
        <v/>
      </c>
      <c r="K277" s="24" t="str">
        <f aca="false">IF(OR(E277="",I277="",J277=""),"",MAX(E277*I277-J277,0))</f>
        <v/>
      </c>
      <c r="L277" s="25" t="str">
        <f aca="false">IF(OR(D277="",E277="",F277="",D277&lt;=E277),"",FLOOR((F277+K277)/(D277-E277),100))</f>
        <v/>
      </c>
      <c r="M277" s="25" t="str">
        <f aca="false">IF(OR(A277="",B277="",L277=""),"",IF(B277=1,L277,IFERROR(SUMIFS($G$2:$G$1001,$A$2:$A$1001,A277,$B$2:$B$1001,B277-1),0)))</f>
        <v/>
      </c>
      <c r="N277" s="25" t="str">
        <f aca="false">IF(OR(L277="",M277=""),"",MIN(L277,M277))</f>
        <v/>
      </c>
      <c r="O277" s="25" t="str">
        <f aca="false">IF(OR(I277="",G277=""),"",I277+G277)</f>
        <v/>
      </c>
      <c r="P277" s="24" t="str">
        <f aca="false">IF(OR(O277="",O277=0),"",(J277+H277)/O277)</f>
        <v/>
      </c>
      <c r="Q277" s="24" t="str">
        <f aca="false">IF(OR(O277="",E277=""),"",MAX(J277+H277-E277*O277,0))</f>
        <v/>
      </c>
      <c r="R277" s="26" t="str">
        <f aca="false">IF(A277="","",IF(COUNTIF(_TradeIds,A277)=0,"违规：交易编号不存在",IF(OR(B277="",B277&lt;1,B277&gt;5,B277&lt;&gt;INT(B277)),"违规：加仓序号须为1到5的整数",IF(COUNTIFS($A$2:$A$1001,A277,$B$2:$B$1001,B277)&gt;1,"违规：同一交易的加仓序号重复",IF(OR(D277="",E277="",F277=""),"计划不完整：请填写加仓价、新止损价和风险预算",IF(OR(D277&lt;=0,E277&lt;=0,F277&lt;=0,D277&lt;=E277),"违规：加仓价必须高于新止损价，金额须大于0",IF(AND(B277&gt;1,COUNTIFS($A$2:$A$1001,A277,$B$2:$B$1001,B277-1,$G$2:$G$1001,"&gt;0")=0),"违规：须先完成上一次加仓",IF(AND(B277&gt;1,E277&lt;SUMIFS($E$2:$E$1001,$A$2:$A$1001,A277,$B$2:$B$1001,B277-1)),"违规：新止损价不得低于上一次",IF(AND(B277&gt;1,F277&gt;SUMIFS($F$2:$F$1001,$A$2:$A$1001,A277,$B$2:$B$1001,B277-1)),"违规：风险预算须逐次不增加",IF(OR(_LockStatus="已锁仓",_LockStatus="解锁信息不完整"),"违规：锁仓期间禁止加仓",IF(G277="","计划可执行：建议股数见N列",IF(OR(G277&lt;=0,G277&lt;&gt;INT(G277),MOD(G277,100)&lt;&gt;0),"违规：实际股数须为100股整数倍",IF(G277&gt;N277,"违规：实际股数超过风险或金字塔上限",IF(AND(B277&gt;1,G277&gt;SUMIFS($G$2:$G$1001,$A$2:$A$1001,A277,$B$2:$B$1001,B277-1)),"违规：加仓股数须逐次不增加",IF(Q277&gt;F277,"违规：止损风险超过本次预算","通过")))))))))))))))</f>
        <v/>
      </c>
    </row>
    <row r="278" customFormat="false" ht="15" hidden="false" customHeight="false" outlineLevel="0" collapsed="false">
      <c r="A278" s="20"/>
      <c r="B278" s="21"/>
      <c r="C278" s="22"/>
      <c r="D278" s="23"/>
      <c r="E278" s="23"/>
      <c r="F278" s="23"/>
      <c r="G278" s="21"/>
      <c r="H278" s="24" t="str">
        <f aca="false">IF(OR(A278="",D278="",G278=""),"",D278*G278)</f>
        <v/>
      </c>
      <c r="I278" s="25" t="str">
        <f aca="false">IF(OR(A278="",B278=""),"",IFERROR(LOOKUP(2,1/(单次交易!$A$2:$A$201=A278),单次交易!$H$2:$H$201),0)+SUMIFS($G$2:$G$1001,$A$2:$A$1001,A278,$B$2:$B$1001,"&lt;"&amp;B278))</f>
        <v/>
      </c>
      <c r="J278" s="24" t="str">
        <f aca="false">IF(OR(A278="",B278=""),"",IFERROR(LOOKUP(2,1/(单次交易!$A$2:$A$201=A278),单次交易!$E$2:$E$201)*LOOKUP(2,1/(单次交易!$A$2:$A$201=A278),单次交易!$H$2:$H$201),0)+SUMIFS($H$2:$H$1001,$A$2:$A$1001,A278,$B$2:$B$1001,"&lt;"&amp;B278))</f>
        <v/>
      </c>
      <c r="K278" s="24" t="str">
        <f aca="false">IF(OR(E278="",I278="",J278=""),"",MAX(E278*I278-J278,0))</f>
        <v/>
      </c>
      <c r="L278" s="25" t="str">
        <f aca="false">IF(OR(D278="",E278="",F278="",D278&lt;=E278),"",FLOOR((F278+K278)/(D278-E278),100))</f>
        <v/>
      </c>
      <c r="M278" s="25" t="str">
        <f aca="false">IF(OR(A278="",B278="",L278=""),"",IF(B278=1,L278,IFERROR(SUMIFS($G$2:$G$1001,$A$2:$A$1001,A278,$B$2:$B$1001,B278-1),0)))</f>
        <v/>
      </c>
      <c r="N278" s="25" t="str">
        <f aca="false">IF(OR(L278="",M278=""),"",MIN(L278,M278))</f>
        <v/>
      </c>
      <c r="O278" s="25" t="str">
        <f aca="false">IF(OR(I278="",G278=""),"",I278+G278)</f>
        <v/>
      </c>
      <c r="P278" s="24" t="str">
        <f aca="false">IF(OR(O278="",O278=0),"",(J278+H278)/O278)</f>
        <v/>
      </c>
      <c r="Q278" s="24" t="str">
        <f aca="false">IF(OR(O278="",E278=""),"",MAX(J278+H278-E278*O278,0))</f>
        <v/>
      </c>
      <c r="R278" s="26" t="str">
        <f aca="false">IF(A278="","",IF(COUNTIF(_TradeIds,A278)=0,"违规：交易编号不存在",IF(OR(B278="",B278&lt;1,B278&gt;5,B278&lt;&gt;INT(B278)),"违规：加仓序号须为1到5的整数",IF(COUNTIFS($A$2:$A$1001,A278,$B$2:$B$1001,B278)&gt;1,"违规：同一交易的加仓序号重复",IF(OR(D278="",E278="",F278=""),"计划不完整：请填写加仓价、新止损价和风险预算",IF(OR(D278&lt;=0,E278&lt;=0,F278&lt;=0,D278&lt;=E278),"违规：加仓价必须高于新止损价，金额须大于0",IF(AND(B278&gt;1,COUNTIFS($A$2:$A$1001,A278,$B$2:$B$1001,B278-1,$G$2:$G$1001,"&gt;0")=0),"违规：须先完成上一次加仓",IF(AND(B278&gt;1,E278&lt;SUMIFS($E$2:$E$1001,$A$2:$A$1001,A278,$B$2:$B$1001,B278-1)),"违规：新止损价不得低于上一次",IF(AND(B278&gt;1,F278&gt;SUMIFS($F$2:$F$1001,$A$2:$A$1001,A278,$B$2:$B$1001,B278-1)),"违规：风险预算须逐次不增加",IF(OR(_LockStatus="已锁仓",_LockStatus="解锁信息不完整"),"违规：锁仓期间禁止加仓",IF(G278="","计划可执行：建议股数见N列",IF(OR(G278&lt;=0,G278&lt;&gt;INT(G278),MOD(G278,100)&lt;&gt;0),"违规：实际股数须为100股整数倍",IF(G278&gt;N278,"违规：实际股数超过风险或金字塔上限",IF(AND(B278&gt;1,G278&gt;SUMIFS($G$2:$G$1001,$A$2:$A$1001,A278,$B$2:$B$1001,B278-1)),"违规：加仓股数须逐次不增加",IF(Q278&gt;F278,"违规：止损风险超过本次预算","通过")))))))))))))))</f>
        <v/>
      </c>
    </row>
    <row r="279" customFormat="false" ht="15" hidden="false" customHeight="false" outlineLevel="0" collapsed="false">
      <c r="A279" s="20"/>
      <c r="B279" s="21"/>
      <c r="C279" s="22"/>
      <c r="D279" s="23"/>
      <c r="E279" s="23"/>
      <c r="F279" s="23"/>
      <c r="G279" s="21"/>
      <c r="H279" s="24" t="str">
        <f aca="false">IF(OR(A279="",D279="",G279=""),"",D279*G279)</f>
        <v/>
      </c>
      <c r="I279" s="25" t="str">
        <f aca="false">IF(OR(A279="",B279=""),"",IFERROR(LOOKUP(2,1/(单次交易!$A$2:$A$201=A279),单次交易!$H$2:$H$201),0)+SUMIFS($G$2:$G$1001,$A$2:$A$1001,A279,$B$2:$B$1001,"&lt;"&amp;B279))</f>
        <v/>
      </c>
      <c r="J279" s="24" t="str">
        <f aca="false">IF(OR(A279="",B279=""),"",IFERROR(LOOKUP(2,1/(单次交易!$A$2:$A$201=A279),单次交易!$E$2:$E$201)*LOOKUP(2,1/(单次交易!$A$2:$A$201=A279),单次交易!$H$2:$H$201),0)+SUMIFS($H$2:$H$1001,$A$2:$A$1001,A279,$B$2:$B$1001,"&lt;"&amp;B279))</f>
        <v/>
      </c>
      <c r="K279" s="24" t="str">
        <f aca="false">IF(OR(E279="",I279="",J279=""),"",MAX(E279*I279-J279,0))</f>
        <v/>
      </c>
      <c r="L279" s="25" t="str">
        <f aca="false">IF(OR(D279="",E279="",F279="",D279&lt;=E279),"",FLOOR((F279+K279)/(D279-E279),100))</f>
        <v/>
      </c>
      <c r="M279" s="25" t="str">
        <f aca="false">IF(OR(A279="",B279="",L279=""),"",IF(B279=1,L279,IFERROR(SUMIFS($G$2:$G$1001,$A$2:$A$1001,A279,$B$2:$B$1001,B279-1),0)))</f>
        <v/>
      </c>
      <c r="N279" s="25" t="str">
        <f aca="false">IF(OR(L279="",M279=""),"",MIN(L279,M279))</f>
        <v/>
      </c>
      <c r="O279" s="25" t="str">
        <f aca="false">IF(OR(I279="",G279=""),"",I279+G279)</f>
        <v/>
      </c>
      <c r="P279" s="24" t="str">
        <f aca="false">IF(OR(O279="",O279=0),"",(J279+H279)/O279)</f>
        <v/>
      </c>
      <c r="Q279" s="24" t="str">
        <f aca="false">IF(OR(O279="",E279=""),"",MAX(J279+H279-E279*O279,0))</f>
        <v/>
      </c>
      <c r="R279" s="26" t="str">
        <f aca="false">IF(A279="","",IF(COUNTIF(_TradeIds,A279)=0,"违规：交易编号不存在",IF(OR(B279="",B279&lt;1,B279&gt;5,B279&lt;&gt;INT(B279)),"违规：加仓序号须为1到5的整数",IF(COUNTIFS($A$2:$A$1001,A279,$B$2:$B$1001,B279)&gt;1,"违规：同一交易的加仓序号重复",IF(OR(D279="",E279="",F279=""),"计划不完整：请填写加仓价、新止损价和风险预算",IF(OR(D279&lt;=0,E279&lt;=0,F279&lt;=0,D279&lt;=E279),"违规：加仓价必须高于新止损价，金额须大于0",IF(AND(B279&gt;1,COUNTIFS($A$2:$A$1001,A279,$B$2:$B$1001,B279-1,$G$2:$G$1001,"&gt;0")=0),"违规：须先完成上一次加仓",IF(AND(B279&gt;1,E279&lt;SUMIFS($E$2:$E$1001,$A$2:$A$1001,A279,$B$2:$B$1001,B279-1)),"违规：新止损价不得低于上一次",IF(AND(B279&gt;1,F279&gt;SUMIFS($F$2:$F$1001,$A$2:$A$1001,A279,$B$2:$B$1001,B279-1)),"违规：风险预算须逐次不增加",IF(OR(_LockStatus="已锁仓",_LockStatus="解锁信息不完整"),"违规：锁仓期间禁止加仓",IF(G279="","计划可执行：建议股数见N列",IF(OR(G279&lt;=0,G279&lt;&gt;INT(G279),MOD(G279,100)&lt;&gt;0),"违规：实际股数须为100股整数倍",IF(G279&gt;N279,"违规：实际股数超过风险或金字塔上限",IF(AND(B279&gt;1,G279&gt;SUMIFS($G$2:$G$1001,$A$2:$A$1001,A279,$B$2:$B$1001,B279-1)),"违规：加仓股数须逐次不增加",IF(Q279&gt;F279,"违规：止损风险超过本次预算","通过")))))))))))))))</f>
        <v/>
      </c>
    </row>
    <row r="280" customFormat="false" ht="15" hidden="false" customHeight="false" outlineLevel="0" collapsed="false">
      <c r="A280" s="20"/>
      <c r="B280" s="21"/>
      <c r="C280" s="22"/>
      <c r="D280" s="23"/>
      <c r="E280" s="23"/>
      <c r="F280" s="23"/>
      <c r="G280" s="21"/>
      <c r="H280" s="24" t="str">
        <f aca="false">IF(OR(A280="",D280="",G280=""),"",D280*G280)</f>
        <v/>
      </c>
      <c r="I280" s="25" t="str">
        <f aca="false">IF(OR(A280="",B280=""),"",IFERROR(LOOKUP(2,1/(单次交易!$A$2:$A$201=A280),单次交易!$H$2:$H$201),0)+SUMIFS($G$2:$G$1001,$A$2:$A$1001,A280,$B$2:$B$1001,"&lt;"&amp;B280))</f>
        <v/>
      </c>
      <c r="J280" s="24" t="str">
        <f aca="false">IF(OR(A280="",B280=""),"",IFERROR(LOOKUP(2,1/(单次交易!$A$2:$A$201=A280),单次交易!$E$2:$E$201)*LOOKUP(2,1/(单次交易!$A$2:$A$201=A280),单次交易!$H$2:$H$201),0)+SUMIFS($H$2:$H$1001,$A$2:$A$1001,A280,$B$2:$B$1001,"&lt;"&amp;B280))</f>
        <v/>
      </c>
      <c r="K280" s="24" t="str">
        <f aca="false">IF(OR(E280="",I280="",J280=""),"",MAX(E280*I280-J280,0))</f>
        <v/>
      </c>
      <c r="L280" s="25" t="str">
        <f aca="false">IF(OR(D280="",E280="",F280="",D280&lt;=E280),"",FLOOR((F280+K280)/(D280-E280),100))</f>
        <v/>
      </c>
      <c r="M280" s="25" t="str">
        <f aca="false">IF(OR(A280="",B280="",L280=""),"",IF(B280=1,L280,IFERROR(SUMIFS($G$2:$G$1001,$A$2:$A$1001,A280,$B$2:$B$1001,B280-1),0)))</f>
        <v/>
      </c>
      <c r="N280" s="25" t="str">
        <f aca="false">IF(OR(L280="",M280=""),"",MIN(L280,M280))</f>
        <v/>
      </c>
      <c r="O280" s="25" t="str">
        <f aca="false">IF(OR(I280="",G280=""),"",I280+G280)</f>
        <v/>
      </c>
      <c r="P280" s="24" t="str">
        <f aca="false">IF(OR(O280="",O280=0),"",(J280+H280)/O280)</f>
        <v/>
      </c>
      <c r="Q280" s="24" t="str">
        <f aca="false">IF(OR(O280="",E280=""),"",MAX(J280+H280-E280*O280,0))</f>
        <v/>
      </c>
      <c r="R280" s="26" t="str">
        <f aca="false">IF(A280="","",IF(COUNTIF(_TradeIds,A280)=0,"违规：交易编号不存在",IF(OR(B280="",B280&lt;1,B280&gt;5,B280&lt;&gt;INT(B280)),"违规：加仓序号须为1到5的整数",IF(COUNTIFS($A$2:$A$1001,A280,$B$2:$B$1001,B280)&gt;1,"违规：同一交易的加仓序号重复",IF(OR(D280="",E280="",F280=""),"计划不完整：请填写加仓价、新止损价和风险预算",IF(OR(D280&lt;=0,E280&lt;=0,F280&lt;=0,D280&lt;=E280),"违规：加仓价必须高于新止损价，金额须大于0",IF(AND(B280&gt;1,COUNTIFS($A$2:$A$1001,A280,$B$2:$B$1001,B280-1,$G$2:$G$1001,"&gt;0")=0),"违规：须先完成上一次加仓",IF(AND(B280&gt;1,E280&lt;SUMIFS($E$2:$E$1001,$A$2:$A$1001,A280,$B$2:$B$1001,B280-1)),"违规：新止损价不得低于上一次",IF(AND(B280&gt;1,F280&gt;SUMIFS($F$2:$F$1001,$A$2:$A$1001,A280,$B$2:$B$1001,B280-1)),"违规：风险预算须逐次不增加",IF(OR(_LockStatus="已锁仓",_LockStatus="解锁信息不完整"),"违规：锁仓期间禁止加仓",IF(G280="","计划可执行：建议股数见N列",IF(OR(G280&lt;=0,G280&lt;&gt;INT(G280),MOD(G280,100)&lt;&gt;0),"违规：实际股数须为100股整数倍",IF(G280&gt;N280,"违规：实际股数超过风险或金字塔上限",IF(AND(B280&gt;1,G280&gt;SUMIFS($G$2:$G$1001,$A$2:$A$1001,A280,$B$2:$B$1001,B280-1)),"违规：加仓股数须逐次不增加",IF(Q280&gt;F280,"违规：止损风险超过本次预算","通过")))))))))))))))</f>
        <v/>
      </c>
    </row>
    <row r="281" customFormat="false" ht="15" hidden="false" customHeight="false" outlineLevel="0" collapsed="false">
      <c r="A281" s="20"/>
      <c r="B281" s="21"/>
      <c r="C281" s="22"/>
      <c r="D281" s="23"/>
      <c r="E281" s="23"/>
      <c r="F281" s="23"/>
      <c r="G281" s="21"/>
      <c r="H281" s="24" t="str">
        <f aca="false">IF(OR(A281="",D281="",G281=""),"",D281*G281)</f>
        <v/>
      </c>
      <c r="I281" s="25" t="str">
        <f aca="false">IF(OR(A281="",B281=""),"",IFERROR(LOOKUP(2,1/(单次交易!$A$2:$A$201=A281),单次交易!$H$2:$H$201),0)+SUMIFS($G$2:$G$1001,$A$2:$A$1001,A281,$B$2:$B$1001,"&lt;"&amp;B281))</f>
        <v/>
      </c>
      <c r="J281" s="24" t="str">
        <f aca="false">IF(OR(A281="",B281=""),"",IFERROR(LOOKUP(2,1/(单次交易!$A$2:$A$201=A281),单次交易!$E$2:$E$201)*LOOKUP(2,1/(单次交易!$A$2:$A$201=A281),单次交易!$H$2:$H$201),0)+SUMIFS($H$2:$H$1001,$A$2:$A$1001,A281,$B$2:$B$1001,"&lt;"&amp;B281))</f>
        <v/>
      </c>
      <c r="K281" s="24" t="str">
        <f aca="false">IF(OR(E281="",I281="",J281=""),"",MAX(E281*I281-J281,0))</f>
        <v/>
      </c>
      <c r="L281" s="25" t="str">
        <f aca="false">IF(OR(D281="",E281="",F281="",D281&lt;=E281),"",FLOOR((F281+K281)/(D281-E281),100))</f>
        <v/>
      </c>
      <c r="M281" s="25" t="str">
        <f aca="false">IF(OR(A281="",B281="",L281=""),"",IF(B281=1,L281,IFERROR(SUMIFS($G$2:$G$1001,$A$2:$A$1001,A281,$B$2:$B$1001,B281-1),0)))</f>
        <v/>
      </c>
      <c r="N281" s="25" t="str">
        <f aca="false">IF(OR(L281="",M281=""),"",MIN(L281,M281))</f>
        <v/>
      </c>
      <c r="O281" s="25" t="str">
        <f aca="false">IF(OR(I281="",G281=""),"",I281+G281)</f>
        <v/>
      </c>
      <c r="P281" s="24" t="str">
        <f aca="false">IF(OR(O281="",O281=0),"",(J281+H281)/O281)</f>
        <v/>
      </c>
      <c r="Q281" s="24" t="str">
        <f aca="false">IF(OR(O281="",E281=""),"",MAX(J281+H281-E281*O281,0))</f>
        <v/>
      </c>
      <c r="R281" s="26" t="str">
        <f aca="false">IF(A281="","",IF(COUNTIF(_TradeIds,A281)=0,"违规：交易编号不存在",IF(OR(B281="",B281&lt;1,B281&gt;5,B281&lt;&gt;INT(B281)),"违规：加仓序号须为1到5的整数",IF(COUNTIFS($A$2:$A$1001,A281,$B$2:$B$1001,B281)&gt;1,"违规：同一交易的加仓序号重复",IF(OR(D281="",E281="",F281=""),"计划不完整：请填写加仓价、新止损价和风险预算",IF(OR(D281&lt;=0,E281&lt;=0,F281&lt;=0,D281&lt;=E281),"违规：加仓价必须高于新止损价，金额须大于0",IF(AND(B281&gt;1,COUNTIFS($A$2:$A$1001,A281,$B$2:$B$1001,B281-1,$G$2:$G$1001,"&gt;0")=0),"违规：须先完成上一次加仓",IF(AND(B281&gt;1,E281&lt;SUMIFS($E$2:$E$1001,$A$2:$A$1001,A281,$B$2:$B$1001,B281-1)),"违规：新止损价不得低于上一次",IF(AND(B281&gt;1,F281&gt;SUMIFS($F$2:$F$1001,$A$2:$A$1001,A281,$B$2:$B$1001,B281-1)),"违规：风险预算须逐次不增加",IF(OR(_LockStatus="已锁仓",_LockStatus="解锁信息不完整"),"违规：锁仓期间禁止加仓",IF(G281="","计划可执行：建议股数见N列",IF(OR(G281&lt;=0,G281&lt;&gt;INT(G281),MOD(G281,100)&lt;&gt;0),"违规：实际股数须为100股整数倍",IF(G281&gt;N281,"违规：实际股数超过风险或金字塔上限",IF(AND(B281&gt;1,G281&gt;SUMIFS($G$2:$G$1001,$A$2:$A$1001,A281,$B$2:$B$1001,B281-1)),"违规：加仓股数须逐次不增加",IF(Q281&gt;F281,"违规：止损风险超过本次预算","通过")))))))))))))))</f>
        <v/>
      </c>
    </row>
    <row r="282" customFormat="false" ht="15" hidden="false" customHeight="false" outlineLevel="0" collapsed="false">
      <c r="A282" s="20"/>
      <c r="B282" s="21"/>
      <c r="C282" s="22"/>
      <c r="D282" s="23"/>
      <c r="E282" s="23"/>
      <c r="F282" s="23"/>
      <c r="G282" s="21"/>
      <c r="H282" s="24" t="str">
        <f aca="false">IF(OR(A282="",D282="",G282=""),"",D282*G282)</f>
        <v/>
      </c>
      <c r="I282" s="25" t="str">
        <f aca="false">IF(OR(A282="",B282=""),"",IFERROR(LOOKUP(2,1/(单次交易!$A$2:$A$201=A282),单次交易!$H$2:$H$201),0)+SUMIFS($G$2:$G$1001,$A$2:$A$1001,A282,$B$2:$B$1001,"&lt;"&amp;B282))</f>
        <v/>
      </c>
      <c r="J282" s="24" t="str">
        <f aca="false">IF(OR(A282="",B282=""),"",IFERROR(LOOKUP(2,1/(单次交易!$A$2:$A$201=A282),单次交易!$E$2:$E$201)*LOOKUP(2,1/(单次交易!$A$2:$A$201=A282),单次交易!$H$2:$H$201),0)+SUMIFS($H$2:$H$1001,$A$2:$A$1001,A282,$B$2:$B$1001,"&lt;"&amp;B282))</f>
        <v/>
      </c>
      <c r="K282" s="24" t="str">
        <f aca="false">IF(OR(E282="",I282="",J282=""),"",MAX(E282*I282-J282,0))</f>
        <v/>
      </c>
      <c r="L282" s="25" t="str">
        <f aca="false">IF(OR(D282="",E282="",F282="",D282&lt;=E282),"",FLOOR((F282+K282)/(D282-E282),100))</f>
        <v/>
      </c>
      <c r="M282" s="25" t="str">
        <f aca="false">IF(OR(A282="",B282="",L282=""),"",IF(B282=1,L282,IFERROR(SUMIFS($G$2:$G$1001,$A$2:$A$1001,A282,$B$2:$B$1001,B282-1),0)))</f>
        <v/>
      </c>
      <c r="N282" s="25" t="str">
        <f aca="false">IF(OR(L282="",M282=""),"",MIN(L282,M282))</f>
        <v/>
      </c>
      <c r="O282" s="25" t="str">
        <f aca="false">IF(OR(I282="",G282=""),"",I282+G282)</f>
        <v/>
      </c>
      <c r="P282" s="24" t="str">
        <f aca="false">IF(OR(O282="",O282=0),"",(J282+H282)/O282)</f>
        <v/>
      </c>
      <c r="Q282" s="24" t="str">
        <f aca="false">IF(OR(O282="",E282=""),"",MAX(J282+H282-E282*O282,0))</f>
        <v/>
      </c>
      <c r="R282" s="26" t="str">
        <f aca="false">IF(A282="","",IF(COUNTIF(_TradeIds,A282)=0,"违规：交易编号不存在",IF(OR(B282="",B282&lt;1,B282&gt;5,B282&lt;&gt;INT(B282)),"违规：加仓序号须为1到5的整数",IF(COUNTIFS($A$2:$A$1001,A282,$B$2:$B$1001,B282)&gt;1,"违规：同一交易的加仓序号重复",IF(OR(D282="",E282="",F282=""),"计划不完整：请填写加仓价、新止损价和风险预算",IF(OR(D282&lt;=0,E282&lt;=0,F282&lt;=0,D282&lt;=E282),"违规：加仓价必须高于新止损价，金额须大于0",IF(AND(B282&gt;1,COUNTIFS($A$2:$A$1001,A282,$B$2:$B$1001,B282-1,$G$2:$G$1001,"&gt;0")=0),"违规：须先完成上一次加仓",IF(AND(B282&gt;1,E282&lt;SUMIFS($E$2:$E$1001,$A$2:$A$1001,A282,$B$2:$B$1001,B282-1)),"违规：新止损价不得低于上一次",IF(AND(B282&gt;1,F282&gt;SUMIFS($F$2:$F$1001,$A$2:$A$1001,A282,$B$2:$B$1001,B282-1)),"违规：风险预算须逐次不增加",IF(OR(_LockStatus="已锁仓",_LockStatus="解锁信息不完整"),"违规：锁仓期间禁止加仓",IF(G282="","计划可执行：建议股数见N列",IF(OR(G282&lt;=0,G282&lt;&gt;INT(G282),MOD(G282,100)&lt;&gt;0),"违规：实际股数须为100股整数倍",IF(G282&gt;N282,"违规：实际股数超过风险或金字塔上限",IF(AND(B282&gt;1,G282&gt;SUMIFS($G$2:$G$1001,$A$2:$A$1001,A282,$B$2:$B$1001,B282-1)),"违规：加仓股数须逐次不增加",IF(Q282&gt;F282,"违规：止损风险超过本次预算","通过")))))))))))))))</f>
        <v/>
      </c>
    </row>
    <row r="283" customFormat="false" ht="15" hidden="false" customHeight="false" outlineLevel="0" collapsed="false">
      <c r="A283" s="20"/>
      <c r="B283" s="21"/>
      <c r="C283" s="22"/>
      <c r="D283" s="23"/>
      <c r="E283" s="23"/>
      <c r="F283" s="23"/>
      <c r="G283" s="21"/>
      <c r="H283" s="24" t="str">
        <f aca="false">IF(OR(A283="",D283="",G283=""),"",D283*G283)</f>
        <v/>
      </c>
      <c r="I283" s="25" t="str">
        <f aca="false">IF(OR(A283="",B283=""),"",IFERROR(LOOKUP(2,1/(单次交易!$A$2:$A$201=A283),单次交易!$H$2:$H$201),0)+SUMIFS($G$2:$G$1001,$A$2:$A$1001,A283,$B$2:$B$1001,"&lt;"&amp;B283))</f>
        <v/>
      </c>
      <c r="J283" s="24" t="str">
        <f aca="false">IF(OR(A283="",B283=""),"",IFERROR(LOOKUP(2,1/(单次交易!$A$2:$A$201=A283),单次交易!$E$2:$E$201)*LOOKUP(2,1/(单次交易!$A$2:$A$201=A283),单次交易!$H$2:$H$201),0)+SUMIFS($H$2:$H$1001,$A$2:$A$1001,A283,$B$2:$B$1001,"&lt;"&amp;B283))</f>
        <v/>
      </c>
      <c r="K283" s="24" t="str">
        <f aca="false">IF(OR(E283="",I283="",J283=""),"",MAX(E283*I283-J283,0))</f>
        <v/>
      </c>
      <c r="L283" s="25" t="str">
        <f aca="false">IF(OR(D283="",E283="",F283="",D283&lt;=E283),"",FLOOR((F283+K283)/(D283-E283),100))</f>
        <v/>
      </c>
      <c r="M283" s="25" t="str">
        <f aca="false">IF(OR(A283="",B283="",L283=""),"",IF(B283=1,L283,IFERROR(SUMIFS($G$2:$G$1001,$A$2:$A$1001,A283,$B$2:$B$1001,B283-1),0)))</f>
        <v/>
      </c>
      <c r="N283" s="25" t="str">
        <f aca="false">IF(OR(L283="",M283=""),"",MIN(L283,M283))</f>
        <v/>
      </c>
      <c r="O283" s="25" t="str">
        <f aca="false">IF(OR(I283="",G283=""),"",I283+G283)</f>
        <v/>
      </c>
      <c r="P283" s="24" t="str">
        <f aca="false">IF(OR(O283="",O283=0),"",(J283+H283)/O283)</f>
        <v/>
      </c>
      <c r="Q283" s="24" t="str">
        <f aca="false">IF(OR(O283="",E283=""),"",MAX(J283+H283-E283*O283,0))</f>
        <v/>
      </c>
      <c r="R283" s="26" t="str">
        <f aca="false">IF(A283="","",IF(COUNTIF(_TradeIds,A283)=0,"违规：交易编号不存在",IF(OR(B283="",B283&lt;1,B283&gt;5,B283&lt;&gt;INT(B283)),"违规：加仓序号须为1到5的整数",IF(COUNTIFS($A$2:$A$1001,A283,$B$2:$B$1001,B283)&gt;1,"违规：同一交易的加仓序号重复",IF(OR(D283="",E283="",F283=""),"计划不完整：请填写加仓价、新止损价和风险预算",IF(OR(D283&lt;=0,E283&lt;=0,F283&lt;=0,D283&lt;=E283),"违规：加仓价必须高于新止损价，金额须大于0",IF(AND(B283&gt;1,COUNTIFS($A$2:$A$1001,A283,$B$2:$B$1001,B283-1,$G$2:$G$1001,"&gt;0")=0),"违规：须先完成上一次加仓",IF(AND(B283&gt;1,E283&lt;SUMIFS($E$2:$E$1001,$A$2:$A$1001,A283,$B$2:$B$1001,B283-1)),"违规：新止损价不得低于上一次",IF(AND(B283&gt;1,F283&gt;SUMIFS($F$2:$F$1001,$A$2:$A$1001,A283,$B$2:$B$1001,B283-1)),"违规：风险预算须逐次不增加",IF(OR(_LockStatus="已锁仓",_LockStatus="解锁信息不完整"),"违规：锁仓期间禁止加仓",IF(G283="","计划可执行：建议股数见N列",IF(OR(G283&lt;=0,G283&lt;&gt;INT(G283),MOD(G283,100)&lt;&gt;0),"违规：实际股数须为100股整数倍",IF(G283&gt;N283,"违规：实际股数超过风险或金字塔上限",IF(AND(B283&gt;1,G283&gt;SUMIFS($G$2:$G$1001,$A$2:$A$1001,A283,$B$2:$B$1001,B283-1)),"违规：加仓股数须逐次不增加",IF(Q283&gt;F283,"违规：止损风险超过本次预算","通过")))))))))))))))</f>
        <v/>
      </c>
    </row>
    <row r="284" customFormat="false" ht="15" hidden="false" customHeight="false" outlineLevel="0" collapsed="false">
      <c r="A284" s="20"/>
      <c r="B284" s="21"/>
      <c r="C284" s="22"/>
      <c r="D284" s="23"/>
      <c r="E284" s="23"/>
      <c r="F284" s="23"/>
      <c r="G284" s="21"/>
      <c r="H284" s="24" t="str">
        <f aca="false">IF(OR(A284="",D284="",G284=""),"",D284*G284)</f>
        <v/>
      </c>
      <c r="I284" s="25" t="str">
        <f aca="false">IF(OR(A284="",B284=""),"",IFERROR(LOOKUP(2,1/(单次交易!$A$2:$A$201=A284),单次交易!$H$2:$H$201),0)+SUMIFS($G$2:$G$1001,$A$2:$A$1001,A284,$B$2:$B$1001,"&lt;"&amp;B284))</f>
        <v/>
      </c>
      <c r="J284" s="24" t="str">
        <f aca="false">IF(OR(A284="",B284=""),"",IFERROR(LOOKUP(2,1/(单次交易!$A$2:$A$201=A284),单次交易!$E$2:$E$201)*LOOKUP(2,1/(单次交易!$A$2:$A$201=A284),单次交易!$H$2:$H$201),0)+SUMIFS($H$2:$H$1001,$A$2:$A$1001,A284,$B$2:$B$1001,"&lt;"&amp;B284))</f>
        <v/>
      </c>
      <c r="K284" s="24" t="str">
        <f aca="false">IF(OR(E284="",I284="",J284=""),"",MAX(E284*I284-J284,0))</f>
        <v/>
      </c>
      <c r="L284" s="25" t="str">
        <f aca="false">IF(OR(D284="",E284="",F284="",D284&lt;=E284),"",FLOOR((F284+K284)/(D284-E284),100))</f>
        <v/>
      </c>
      <c r="M284" s="25" t="str">
        <f aca="false">IF(OR(A284="",B284="",L284=""),"",IF(B284=1,L284,IFERROR(SUMIFS($G$2:$G$1001,$A$2:$A$1001,A284,$B$2:$B$1001,B284-1),0)))</f>
        <v/>
      </c>
      <c r="N284" s="25" t="str">
        <f aca="false">IF(OR(L284="",M284=""),"",MIN(L284,M284))</f>
        <v/>
      </c>
      <c r="O284" s="25" t="str">
        <f aca="false">IF(OR(I284="",G284=""),"",I284+G284)</f>
        <v/>
      </c>
      <c r="P284" s="24" t="str">
        <f aca="false">IF(OR(O284="",O284=0),"",(J284+H284)/O284)</f>
        <v/>
      </c>
      <c r="Q284" s="24" t="str">
        <f aca="false">IF(OR(O284="",E284=""),"",MAX(J284+H284-E284*O284,0))</f>
        <v/>
      </c>
      <c r="R284" s="26" t="str">
        <f aca="false">IF(A284="","",IF(COUNTIF(_TradeIds,A284)=0,"违规：交易编号不存在",IF(OR(B284="",B284&lt;1,B284&gt;5,B284&lt;&gt;INT(B284)),"违规：加仓序号须为1到5的整数",IF(COUNTIFS($A$2:$A$1001,A284,$B$2:$B$1001,B284)&gt;1,"违规：同一交易的加仓序号重复",IF(OR(D284="",E284="",F284=""),"计划不完整：请填写加仓价、新止损价和风险预算",IF(OR(D284&lt;=0,E284&lt;=0,F284&lt;=0,D284&lt;=E284),"违规：加仓价必须高于新止损价，金额须大于0",IF(AND(B284&gt;1,COUNTIFS($A$2:$A$1001,A284,$B$2:$B$1001,B284-1,$G$2:$G$1001,"&gt;0")=0),"违规：须先完成上一次加仓",IF(AND(B284&gt;1,E284&lt;SUMIFS($E$2:$E$1001,$A$2:$A$1001,A284,$B$2:$B$1001,B284-1)),"违规：新止损价不得低于上一次",IF(AND(B284&gt;1,F284&gt;SUMIFS($F$2:$F$1001,$A$2:$A$1001,A284,$B$2:$B$1001,B284-1)),"违规：风险预算须逐次不增加",IF(OR(_LockStatus="已锁仓",_LockStatus="解锁信息不完整"),"违规：锁仓期间禁止加仓",IF(G284="","计划可执行：建议股数见N列",IF(OR(G284&lt;=0,G284&lt;&gt;INT(G284),MOD(G284,100)&lt;&gt;0),"违规：实际股数须为100股整数倍",IF(G284&gt;N284,"违规：实际股数超过风险或金字塔上限",IF(AND(B284&gt;1,G284&gt;SUMIFS($G$2:$G$1001,$A$2:$A$1001,A284,$B$2:$B$1001,B284-1)),"违规：加仓股数须逐次不增加",IF(Q284&gt;F284,"违规：止损风险超过本次预算","通过")))))))))))))))</f>
        <v/>
      </c>
    </row>
    <row r="285" customFormat="false" ht="15" hidden="false" customHeight="false" outlineLevel="0" collapsed="false">
      <c r="A285" s="20"/>
      <c r="B285" s="21"/>
      <c r="C285" s="22"/>
      <c r="D285" s="23"/>
      <c r="E285" s="23"/>
      <c r="F285" s="23"/>
      <c r="G285" s="21"/>
      <c r="H285" s="24" t="str">
        <f aca="false">IF(OR(A285="",D285="",G285=""),"",D285*G285)</f>
        <v/>
      </c>
      <c r="I285" s="25" t="str">
        <f aca="false">IF(OR(A285="",B285=""),"",IFERROR(LOOKUP(2,1/(单次交易!$A$2:$A$201=A285),单次交易!$H$2:$H$201),0)+SUMIFS($G$2:$G$1001,$A$2:$A$1001,A285,$B$2:$B$1001,"&lt;"&amp;B285))</f>
        <v/>
      </c>
      <c r="J285" s="24" t="str">
        <f aca="false">IF(OR(A285="",B285=""),"",IFERROR(LOOKUP(2,1/(单次交易!$A$2:$A$201=A285),单次交易!$E$2:$E$201)*LOOKUP(2,1/(单次交易!$A$2:$A$201=A285),单次交易!$H$2:$H$201),0)+SUMIFS($H$2:$H$1001,$A$2:$A$1001,A285,$B$2:$B$1001,"&lt;"&amp;B285))</f>
        <v/>
      </c>
      <c r="K285" s="24" t="str">
        <f aca="false">IF(OR(E285="",I285="",J285=""),"",MAX(E285*I285-J285,0))</f>
        <v/>
      </c>
      <c r="L285" s="25" t="str">
        <f aca="false">IF(OR(D285="",E285="",F285="",D285&lt;=E285),"",FLOOR((F285+K285)/(D285-E285),100))</f>
        <v/>
      </c>
      <c r="M285" s="25" t="str">
        <f aca="false">IF(OR(A285="",B285="",L285=""),"",IF(B285=1,L285,IFERROR(SUMIFS($G$2:$G$1001,$A$2:$A$1001,A285,$B$2:$B$1001,B285-1),0)))</f>
        <v/>
      </c>
      <c r="N285" s="25" t="str">
        <f aca="false">IF(OR(L285="",M285=""),"",MIN(L285,M285))</f>
        <v/>
      </c>
      <c r="O285" s="25" t="str">
        <f aca="false">IF(OR(I285="",G285=""),"",I285+G285)</f>
        <v/>
      </c>
      <c r="P285" s="24" t="str">
        <f aca="false">IF(OR(O285="",O285=0),"",(J285+H285)/O285)</f>
        <v/>
      </c>
      <c r="Q285" s="24" t="str">
        <f aca="false">IF(OR(O285="",E285=""),"",MAX(J285+H285-E285*O285,0))</f>
        <v/>
      </c>
      <c r="R285" s="26" t="str">
        <f aca="false">IF(A285="","",IF(COUNTIF(_TradeIds,A285)=0,"违规：交易编号不存在",IF(OR(B285="",B285&lt;1,B285&gt;5,B285&lt;&gt;INT(B285)),"违规：加仓序号须为1到5的整数",IF(COUNTIFS($A$2:$A$1001,A285,$B$2:$B$1001,B285)&gt;1,"违规：同一交易的加仓序号重复",IF(OR(D285="",E285="",F285=""),"计划不完整：请填写加仓价、新止损价和风险预算",IF(OR(D285&lt;=0,E285&lt;=0,F285&lt;=0,D285&lt;=E285),"违规：加仓价必须高于新止损价，金额须大于0",IF(AND(B285&gt;1,COUNTIFS($A$2:$A$1001,A285,$B$2:$B$1001,B285-1,$G$2:$G$1001,"&gt;0")=0),"违规：须先完成上一次加仓",IF(AND(B285&gt;1,E285&lt;SUMIFS($E$2:$E$1001,$A$2:$A$1001,A285,$B$2:$B$1001,B285-1)),"违规：新止损价不得低于上一次",IF(AND(B285&gt;1,F285&gt;SUMIFS($F$2:$F$1001,$A$2:$A$1001,A285,$B$2:$B$1001,B285-1)),"违规：风险预算须逐次不增加",IF(OR(_LockStatus="已锁仓",_LockStatus="解锁信息不完整"),"违规：锁仓期间禁止加仓",IF(G285="","计划可执行：建议股数见N列",IF(OR(G285&lt;=0,G285&lt;&gt;INT(G285),MOD(G285,100)&lt;&gt;0),"违规：实际股数须为100股整数倍",IF(G285&gt;N285,"违规：实际股数超过风险或金字塔上限",IF(AND(B285&gt;1,G285&gt;SUMIFS($G$2:$G$1001,$A$2:$A$1001,A285,$B$2:$B$1001,B285-1)),"违规：加仓股数须逐次不增加",IF(Q285&gt;F285,"违规：止损风险超过本次预算","通过")))))))))))))))</f>
        <v/>
      </c>
    </row>
    <row r="286" customFormat="false" ht="15" hidden="false" customHeight="false" outlineLevel="0" collapsed="false">
      <c r="A286" s="20"/>
      <c r="B286" s="21"/>
      <c r="C286" s="22"/>
      <c r="D286" s="23"/>
      <c r="E286" s="23"/>
      <c r="F286" s="23"/>
      <c r="G286" s="21"/>
      <c r="H286" s="24" t="str">
        <f aca="false">IF(OR(A286="",D286="",G286=""),"",D286*G286)</f>
        <v/>
      </c>
      <c r="I286" s="25" t="str">
        <f aca="false">IF(OR(A286="",B286=""),"",IFERROR(LOOKUP(2,1/(单次交易!$A$2:$A$201=A286),单次交易!$H$2:$H$201),0)+SUMIFS($G$2:$G$1001,$A$2:$A$1001,A286,$B$2:$B$1001,"&lt;"&amp;B286))</f>
        <v/>
      </c>
      <c r="J286" s="24" t="str">
        <f aca="false">IF(OR(A286="",B286=""),"",IFERROR(LOOKUP(2,1/(单次交易!$A$2:$A$201=A286),单次交易!$E$2:$E$201)*LOOKUP(2,1/(单次交易!$A$2:$A$201=A286),单次交易!$H$2:$H$201),0)+SUMIFS($H$2:$H$1001,$A$2:$A$1001,A286,$B$2:$B$1001,"&lt;"&amp;B286))</f>
        <v/>
      </c>
      <c r="K286" s="24" t="str">
        <f aca="false">IF(OR(E286="",I286="",J286=""),"",MAX(E286*I286-J286,0))</f>
        <v/>
      </c>
      <c r="L286" s="25" t="str">
        <f aca="false">IF(OR(D286="",E286="",F286="",D286&lt;=E286),"",FLOOR((F286+K286)/(D286-E286),100))</f>
        <v/>
      </c>
      <c r="M286" s="25" t="str">
        <f aca="false">IF(OR(A286="",B286="",L286=""),"",IF(B286=1,L286,IFERROR(SUMIFS($G$2:$G$1001,$A$2:$A$1001,A286,$B$2:$B$1001,B286-1),0)))</f>
        <v/>
      </c>
      <c r="N286" s="25" t="str">
        <f aca="false">IF(OR(L286="",M286=""),"",MIN(L286,M286))</f>
        <v/>
      </c>
      <c r="O286" s="25" t="str">
        <f aca="false">IF(OR(I286="",G286=""),"",I286+G286)</f>
        <v/>
      </c>
      <c r="P286" s="24" t="str">
        <f aca="false">IF(OR(O286="",O286=0),"",(J286+H286)/O286)</f>
        <v/>
      </c>
      <c r="Q286" s="24" t="str">
        <f aca="false">IF(OR(O286="",E286=""),"",MAX(J286+H286-E286*O286,0))</f>
        <v/>
      </c>
      <c r="R286" s="26" t="str">
        <f aca="false">IF(A286="","",IF(COUNTIF(_TradeIds,A286)=0,"违规：交易编号不存在",IF(OR(B286="",B286&lt;1,B286&gt;5,B286&lt;&gt;INT(B286)),"违规：加仓序号须为1到5的整数",IF(COUNTIFS($A$2:$A$1001,A286,$B$2:$B$1001,B286)&gt;1,"违规：同一交易的加仓序号重复",IF(OR(D286="",E286="",F286=""),"计划不完整：请填写加仓价、新止损价和风险预算",IF(OR(D286&lt;=0,E286&lt;=0,F286&lt;=0,D286&lt;=E286),"违规：加仓价必须高于新止损价，金额须大于0",IF(AND(B286&gt;1,COUNTIFS($A$2:$A$1001,A286,$B$2:$B$1001,B286-1,$G$2:$G$1001,"&gt;0")=0),"违规：须先完成上一次加仓",IF(AND(B286&gt;1,E286&lt;SUMIFS($E$2:$E$1001,$A$2:$A$1001,A286,$B$2:$B$1001,B286-1)),"违规：新止损价不得低于上一次",IF(AND(B286&gt;1,F286&gt;SUMIFS($F$2:$F$1001,$A$2:$A$1001,A286,$B$2:$B$1001,B286-1)),"违规：风险预算须逐次不增加",IF(OR(_LockStatus="已锁仓",_LockStatus="解锁信息不完整"),"违规：锁仓期间禁止加仓",IF(G286="","计划可执行：建议股数见N列",IF(OR(G286&lt;=0,G286&lt;&gt;INT(G286),MOD(G286,100)&lt;&gt;0),"违规：实际股数须为100股整数倍",IF(G286&gt;N286,"违规：实际股数超过风险或金字塔上限",IF(AND(B286&gt;1,G286&gt;SUMIFS($G$2:$G$1001,$A$2:$A$1001,A286,$B$2:$B$1001,B286-1)),"违规：加仓股数须逐次不增加",IF(Q286&gt;F286,"违规：止损风险超过本次预算","通过")))))))))))))))</f>
        <v/>
      </c>
    </row>
    <row r="287" customFormat="false" ht="15" hidden="false" customHeight="false" outlineLevel="0" collapsed="false">
      <c r="A287" s="20"/>
      <c r="B287" s="21"/>
      <c r="C287" s="22"/>
      <c r="D287" s="23"/>
      <c r="E287" s="23"/>
      <c r="F287" s="23"/>
      <c r="G287" s="21"/>
      <c r="H287" s="24" t="str">
        <f aca="false">IF(OR(A287="",D287="",G287=""),"",D287*G287)</f>
        <v/>
      </c>
      <c r="I287" s="25" t="str">
        <f aca="false">IF(OR(A287="",B287=""),"",IFERROR(LOOKUP(2,1/(单次交易!$A$2:$A$201=A287),单次交易!$H$2:$H$201),0)+SUMIFS($G$2:$G$1001,$A$2:$A$1001,A287,$B$2:$B$1001,"&lt;"&amp;B287))</f>
        <v/>
      </c>
      <c r="J287" s="24" t="str">
        <f aca="false">IF(OR(A287="",B287=""),"",IFERROR(LOOKUP(2,1/(单次交易!$A$2:$A$201=A287),单次交易!$E$2:$E$201)*LOOKUP(2,1/(单次交易!$A$2:$A$201=A287),单次交易!$H$2:$H$201),0)+SUMIFS($H$2:$H$1001,$A$2:$A$1001,A287,$B$2:$B$1001,"&lt;"&amp;B287))</f>
        <v/>
      </c>
      <c r="K287" s="24" t="str">
        <f aca="false">IF(OR(E287="",I287="",J287=""),"",MAX(E287*I287-J287,0))</f>
        <v/>
      </c>
      <c r="L287" s="25" t="str">
        <f aca="false">IF(OR(D287="",E287="",F287="",D287&lt;=E287),"",FLOOR((F287+K287)/(D287-E287),100))</f>
        <v/>
      </c>
      <c r="M287" s="25" t="str">
        <f aca="false">IF(OR(A287="",B287="",L287=""),"",IF(B287=1,L287,IFERROR(SUMIFS($G$2:$G$1001,$A$2:$A$1001,A287,$B$2:$B$1001,B287-1),0)))</f>
        <v/>
      </c>
      <c r="N287" s="25" t="str">
        <f aca="false">IF(OR(L287="",M287=""),"",MIN(L287,M287))</f>
        <v/>
      </c>
      <c r="O287" s="25" t="str">
        <f aca="false">IF(OR(I287="",G287=""),"",I287+G287)</f>
        <v/>
      </c>
      <c r="P287" s="24" t="str">
        <f aca="false">IF(OR(O287="",O287=0),"",(J287+H287)/O287)</f>
        <v/>
      </c>
      <c r="Q287" s="24" t="str">
        <f aca="false">IF(OR(O287="",E287=""),"",MAX(J287+H287-E287*O287,0))</f>
        <v/>
      </c>
      <c r="R287" s="26" t="str">
        <f aca="false">IF(A287="","",IF(COUNTIF(_TradeIds,A287)=0,"违规：交易编号不存在",IF(OR(B287="",B287&lt;1,B287&gt;5,B287&lt;&gt;INT(B287)),"违规：加仓序号须为1到5的整数",IF(COUNTIFS($A$2:$A$1001,A287,$B$2:$B$1001,B287)&gt;1,"违规：同一交易的加仓序号重复",IF(OR(D287="",E287="",F287=""),"计划不完整：请填写加仓价、新止损价和风险预算",IF(OR(D287&lt;=0,E287&lt;=0,F287&lt;=0,D287&lt;=E287),"违规：加仓价必须高于新止损价，金额须大于0",IF(AND(B287&gt;1,COUNTIFS($A$2:$A$1001,A287,$B$2:$B$1001,B287-1,$G$2:$G$1001,"&gt;0")=0),"违规：须先完成上一次加仓",IF(AND(B287&gt;1,E287&lt;SUMIFS($E$2:$E$1001,$A$2:$A$1001,A287,$B$2:$B$1001,B287-1)),"违规：新止损价不得低于上一次",IF(AND(B287&gt;1,F287&gt;SUMIFS($F$2:$F$1001,$A$2:$A$1001,A287,$B$2:$B$1001,B287-1)),"违规：风险预算须逐次不增加",IF(OR(_LockStatus="已锁仓",_LockStatus="解锁信息不完整"),"违规：锁仓期间禁止加仓",IF(G287="","计划可执行：建议股数见N列",IF(OR(G287&lt;=0,G287&lt;&gt;INT(G287),MOD(G287,100)&lt;&gt;0),"违规：实际股数须为100股整数倍",IF(G287&gt;N287,"违规：实际股数超过风险或金字塔上限",IF(AND(B287&gt;1,G287&gt;SUMIFS($G$2:$G$1001,$A$2:$A$1001,A287,$B$2:$B$1001,B287-1)),"违规：加仓股数须逐次不增加",IF(Q287&gt;F287,"违规：止损风险超过本次预算","通过")))))))))))))))</f>
        <v/>
      </c>
    </row>
    <row r="288" customFormat="false" ht="15" hidden="false" customHeight="false" outlineLevel="0" collapsed="false">
      <c r="A288" s="20"/>
      <c r="B288" s="21"/>
      <c r="C288" s="22"/>
      <c r="D288" s="23"/>
      <c r="E288" s="23"/>
      <c r="F288" s="23"/>
      <c r="G288" s="21"/>
      <c r="H288" s="24" t="str">
        <f aca="false">IF(OR(A288="",D288="",G288=""),"",D288*G288)</f>
        <v/>
      </c>
      <c r="I288" s="25" t="str">
        <f aca="false">IF(OR(A288="",B288=""),"",IFERROR(LOOKUP(2,1/(单次交易!$A$2:$A$201=A288),单次交易!$H$2:$H$201),0)+SUMIFS($G$2:$G$1001,$A$2:$A$1001,A288,$B$2:$B$1001,"&lt;"&amp;B288))</f>
        <v/>
      </c>
      <c r="J288" s="24" t="str">
        <f aca="false">IF(OR(A288="",B288=""),"",IFERROR(LOOKUP(2,1/(单次交易!$A$2:$A$201=A288),单次交易!$E$2:$E$201)*LOOKUP(2,1/(单次交易!$A$2:$A$201=A288),单次交易!$H$2:$H$201),0)+SUMIFS($H$2:$H$1001,$A$2:$A$1001,A288,$B$2:$B$1001,"&lt;"&amp;B288))</f>
        <v/>
      </c>
      <c r="K288" s="24" t="str">
        <f aca="false">IF(OR(E288="",I288="",J288=""),"",MAX(E288*I288-J288,0))</f>
        <v/>
      </c>
      <c r="L288" s="25" t="str">
        <f aca="false">IF(OR(D288="",E288="",F288="",D288&lt;=E288),"",FLOOR((F288+K288)/(D288-E288),100))</f>
        <v/>
      </c>
      <c r="M288" s="25" t="str">
        <f aca="false">IF(OR(A288="",B288="",L288=""),"",IF(B288=1,L288,IFERROR(SUMIFS($G$2:$G$1001,$A$2:$A$1001,A288,$B$2:$B$1001,B288-1),0)))</f>
        <v/>
      </c>
      <c r="N288" s="25" t="str">
        <f aca="false">IF(OR(L288="",M288=""),"",MIN(L288,M288))</f>
        <v/>
      </c>
      <c r="O288" s="25" t="str">
        <f aca="false">IF(OR(I288="",G288=""),"",I288+G288)</f>
        <v/>
      </c>
      <c r="P288" s="24" t="str">
        <f aca="false">IF(OR(O288="",O288=0),"",(J288+H288)/O288)</f>
        <v/>
      </c>
      <c r="Q288" s="24" t="str">
        <f aca="false">IF(OR(O288="",E288=""),"",MAX(J288+H288-E288*O288,0))</f>
        <v/>
      </c>
      <c r="R288" s="26" t="str">
        <f aca="false">IF(A288="","",IF(COUNTIF(_TradeIds,A288)=0,"违规：交易编号不存在",IF(OR(B288="",B288&lt;1,B288&gt;5,B288&lt;&gt;INT(B288)),"违规：加仓序号须为1到5的整数",IF(COUNTIFS($A$2:$A$1001,A288,$B$2:$B$1001,B288)&gt;1,"违规：同一交易的加仓序号重复",IF(OR(D288="",E288="",F288=""),"计划不完整：请填写加仓价、新止损价和风险预算",IF(OR(D288&lt;=0,E288&lt;=0,F288&lt;=0,D288&lt;=E288),"违规：加仓价必须高于新止损价，金额须大于0",IF(AND(B288&gt;1,COUNTIFS($A$2:$A$1001,A288,$B$2:$B$1001,B288-1,$G$2:$G$1001,"&gt;0")=0),"违规：须先完成上一次加仓",IF(AND(B288&gt;1,E288&lt;SUMIFS($E$2:$E$1001,$A$2:$A$1001,A288,$B$2:$B$1001,B288-1)),"违规：新止损价不得低于上一次",IF(AND(B288&gt;1,F288&gt;SUMIFS($F$2:$F$1001,$A$2:$A$1001,A288,$B$2:$B$1001,B288-1)),"违规：风险预算须逐次不增加",IF(OR(_LockStatus="已锁仓",_LockStatus="解锁信息不完整"),"违规：锁仓期间禁止加仓",IF(G288="","计划可执行：建议股数见N列",IF(OR(G288&lt;=0,G288&lt;&gt;INT(G288),MOD(G288,100)&lt;&gt;0),"违规：实际股数须为100股整数倍",IF(G288&gt;N288,"违规：实际股数超过风险或金字塔上限",IF(AND(B288&gt;1,G288&gt;SUMIFS($G$2:$G$1001,$A$2:$A$1001,A288,$B$2:$B$1001,B288-1)),"违规：加仓股数须逐次不增加",IF(Q288&gt;F288,"违规：止损风险超过本次预算","通过")))))))))))))))</f>
        <v/>
      </c>
    </row>
    <row r="289" customFormat="false" ht="15" hidden="false" customHeight="false" outlineLevel="0" collapsed="false">
      <c r="A289" s="20"/>
      <c r="B289" s="21"/>
      <c r="C289" s="22"/>
      <c r="D289" s="23"/>
      <c r="E289" s="23"/>
      <c r="F289" s="23"/>
      <c r="G289" s="21"/>
      <c r="H289" s="24" t="str">
        <f aca="false">IF(OR(A289="",D289="",G289=""),"",D289*G289)</f>
        <v/>
      </c>
      <c r="I289" s="25" t="str">
        <f aca="false">IF(OR(A289="",B289=""),"",IFERROR(LOOKUP(2,1/(单次交易!$A$2:$A$201=A289),单次交易!$H$2:$H$201),0)+SUMIFS($G$2:$G$1001,$A$2:$A$1001,A289,$B$2:$B$1001,"&lt;"&amp;B289))</f>
        <v/>
      </c>
      <c r="J289" s="24" t="str">
        <f aca="false">IF(OR(A289="",B289=""),"",IFERROR(LOOKUP(2,1/(单次交易!$A$2:$A$201=A289),单次交易!$E$2:$E$201)*LOOKUP(2,1/(单次交易!$A$2:$A$201=A289),单次交易!$H$2:$H$201),0)+SUMIFS($H$2:$H$1001,$A$2:$A$1001,A289,$B$2:$B$1001,"&lt;"&amp;B289))</f>
        <v/>
      </c>
      <c r="K289" s="24" t="str">
        <f aca="false">IF(OR(E289="",I289="",J289=""),"",MAX(E289*I289-J289,0))</f>
        <v/>
      </c>
      <c r="L289" s="25" t="str">
        <f aca="false">IF(OR(D289="",E289="",F289="",D289&lt;=E289),"",FLOOR((F289+K289)/(D289-E289),100))</f>
        <v/>
      </c>
      <c r="M289" s="25" t="str">
        <f aca="false">IF(OR(A289="",B289="",L289=""),"",IF(B289=1,L289,IFERROR(SUMIFS($G$2:$G$1001,$A$2:$A$1001,A289,$B$2:$B$1001,B289-1),0)))</f>
        <v/>
      </c>
      <c r="N289" s="25" t="str">
        <f aca="false">IF(OR(L289="",M289=""),"",MIN(L289,M289))</f>
        <v/>
      </c>
      <c r="O289" s="25" t="str">
        <f aca="false">IF(OR(I289="",G289=""),"",I289+G289)</f>
        <v/>
      </c>
      <c r="P289" s="24" t="str">
        <f aca="false">IF(OR(O289="",O289=0),"",(J289+H289)/O289)</f>
        <v/>
      </c>
      <c r="Q289" s="24" t="str">
        <f aca="false">IF(OR(O289="",E289=""),"",MAX(J289+H289-E289*O289,0))</f>
        <v/>
      </c>
      <c r="R289" s="26" t="str">
        <f aca="false">IF(A289="","",IF(COUNTIF(_TradeIds,A289)=0,"违规：交易编号不存在",IF(OR(B289="",B289&lt;1,B289&gt;5,B289&lt;&gt;INT(B289)),"违规：加仓序号须为1到5的整数",IF(COUNTIFS($A$2:$A$1001,A289,$B$2:$B$1001,B289)&gt;1,"违规：同一交易的加仓序号重复",IF(OR(D289="",E289="",F289=""),"计划不完整：请填写加仓价、新止损价和风险预算",IF(OR(D289&lt;=0,E289&lt;=0,F289&lt;=0,D289&lt;=E289),"违规：加仓价必须高于新止损价，金额须大于0",IF(AND(B289&gt;1,COUNTIFS($A$2:$A$1001,A289,$B$2:$B$1001,B289-1,$G$2:$G$1001,"&gt;0")=0),"违规：须先完成上一次加仓",IF(AND(B289&gt;1,E289&lt;SUMIFS($E$2:$E$1001,$A$2:$A$1001,A289,$B$2:$B$1001,B289-1)),"违规：新止损价不得低于上一次",IF(AND(B289&gt;1,F289&gt;SUMIFS($F$2:$F$1001,$A$2:$A$1001,A289,$B$2:$B$1001,B289-1)),"违规：风险预算须逐次不增加",IF(OR(_LockStatus="已锁仓",_LockStatus="解锁信息不完整"),"违规：锁仓期间禁止加仓",IF(G289="","计划可执行：建议股数见N列",IF(OR(G289&lt;=0,G289&lt;&gt;INT(G289),MOD(G289,100)&lt;&gt;0),"违规：实际股数须为100股整数倍",IF(G289&gt;N289,"违规：实际股数超过风险或金字塔上限",IF(AND(B289&gt;1,G289&gt;SUMIFS($G$2:$G$1001,$A$2:$A$1001,A289,$B$2:$B$1001,B289-1)),"违规：加仓股数须逐次不增加",IF(Q289&gt;F289,"违规：止损风险超过本次预算","通过")))))))))))))))</f>
        <v/>
      </c>
    </row>
    <row r="290" customFormat="false" ht="15" hidden="false" customHeight="false" outlineLevel="0" collapsed="false">
      <c r="A290" s="20"/>
      <c r="B290" s="21"/>
      <c r="C290" s="22"/>
      <c r="D290" s="23"/>
      <c r="E290" s="23"/>
      <c r="F290" s="23"/>
      <c r="G290" s="21"/>
      <c r="H290" s="24" t="str">
        <f aca="false">IF(OR(A290="",D290="",G290=""),"",D290*G290)</f>
        <v/>
      </c>
      <c r="I290" s="25" t="str">
        <f aca="false">IF(OR(A290="",B290=""),"",IFERROR(LOOKUP(2,1/(单次交易!$A$2:$A$201=A290),单次交易!$H$2:$H$201),0)+SUMIFS($G$2:$G$1001,$A$2:$A$1001,A290,$B$2:$B$1001,"&lt;"&amp;B290))</f>
        <v/>
      </c>
      <c r="J290" s="24" t="str">
        <f aca="false">IF(OR(A290="",B290=""),"",IFERROR(LOOKUP(2,1/(单次交易!$A$2:$A$201=A290),单次交易!$E$2:$E$201)*LOOKUP(2,1/(单次交易!$A$2:$A$201=A290),单次交易!$H$2:$H$201),0)+SUMIFS($H$2:$H$1001,$A$2:$A$1001,A290,$B$2:$B$1001,"&lt;"&amp;B290))</f>
        <v/>
      </c>
      <c r="K290" s="24" t="str">
        <f aca="false">IF(OR(E290="",I290="",J290=""),"",MAX(E290*I290-J290,0))</f>
        <v/>
      </c>
      <c r="L290" s="25" t="str">
        <f aca="false">IF(OR(D290="",E290="",F290="",D290&lt;=E290),"",FLOOR((F290+K290)/(D290-E290),100))</f>
        <v/>
      </c>
      <c r="M290" s="25" t="str">
        <f aca="false">IF(OR(A290="",B290="",L290=""),"",IF(B290=1,L290,IFERROR(SUMIFS($G$2:$G$1001,$A$2:$A$1001,A290,$B$2:$B$1001,B290-1),0)))</f>
        <v/>
      </c>
      <c r="N290" s="25" t="str">
        <f aca="false">IF(OR(L290="",M290=""),"",MIN(L290,M290))</f>
        <v/>
      </c>
      <c r="O290" s="25" t="str">
        <f aca="false">IF(OR(I290="",G290=""),"",I290+G290)</f>
        <v/>
      </c>
      <c r="P290" s="24" t="str">
        <f aca="false">IF(OR(O290="",O290=0),"",(J290+H290)/O290)</f>
        <v/>
      </c>
      <c r="Q290" s="24" t="str">
        <f aca="false">IF(OR(O290="",E290=""),"",MAX(J290+H290-E290*O290,0))</f>
        <v/>
      </c>
      <c r="R290" s="26" t="str">
        <f aca="false">IF(A290="","",IF(COUNTIF(_TradeIds,A290)=0,"违规：交易编号不存在",IF(OR(B290="",B290&lt;1,B290&gt;5,B290&lt;&gt;INT(B290)),"违规：加仓序号须为1到5的整数",IF(COUNTIFS($A$2:$A$1001,A290,$B$2:$B$1001,B290)&gt;1,"违规：同一交易的加仓序号重复",IF(OR(D290="",E290="",F290=""),"计划不完整：请填写加仓价、新止损价和风险预算",IF(OR(D290&lt;=0,E290&lt;=0,F290&lt;=0,D290&lt;=E290),"违规：加仓价必须高于新止损价，金额须大于0",IF(AND(B290&gt;1,COUNTIFS($A$2:$A$1001,A290,$B$2:$B$1001,B290-1,$G$2:$G$1001,"&gt;0")=0),"违规：须先完成上一次加仓",IF(AND(B290&gt;1,E290&lt;SUMIFS($E$2:$E$1001,$A$2:$A$1001,A290,$B$2:$B$1001,B290-1)),"违规：新止损价不得低于上一次",IF(AND(B290&gt;1,F290&gt;SUMIFS($F$2:$F$1001,$A$2:$A$1001,A290,$B$2:$B$1001,B290-1)),"违规：风险预算须逐次不增加",IF(OR(_LockStatus="已锁仓",_LockStatus="解锁信息不完整"),"违规：锁仓期间禁止加仓",IF(G290="","计划可执行：建议股数见N列",IF(OR(G290&lt;=0,G290&lt;&gt;INT(G290),MOD(G290,100)&lt;&gt;0),"违规：实际股数须为100股整数倍",IF(G290&gt;N290,"违规：实际股数超过风险或金字塔上限",IF(AND(B290&gt;1,G290&gt;SUMIFS($G$2:$G$1001,$A$2:$A$1001,A290,$B$2:$B$1001,B290-1)),"违规：加仓股数须逐次不增加",IF(Q290&gt;F290,"违规：止损风险超过本次预算","通过")))))))))))))))</f>
        <v/>
      </c>
    </row>
    <row r="291" customFormat="false" ht="15" hidden="false" customHeight="false" outlineLevel="0" collapsed="false">
      <c r="A291" s="20"/>
      <c r="B291" s="21"/>
      <c r="C291" s="22"/>
      <c r="D291" s="23"/>
      <c r="E291" s="23"/>
      <c r="F291" s="23"/>
      <c r="G291" s="21"/>
      <c r="H291" s="24" t="str">
        <f aca="false">IF(OR(A291="",D291="",G291=""),"",D291*G291)</f>
        <v/>
      </c>
      <c r="I291" s="25" t="str">
        <f aca="false">IF(OR(A291="",B291=""),"",IFERROR(LOOKUP(2,1/(单次交易!$A$2:$A$201=A291),单次交易!$H$2:$H$201),0)+SUMIFS($G$2:$G$1001,$A$2:$A$1001,A291,$B$2:$B$1001,"&lt;"&amp;B291))</f>
        <v/>
      </c>
      <c r="J291" s="24" t="str">
        <f aca="false">IF(OR(A291="",B291=""),"",IFERROR(LOOKUP(2,1/(单次交易!$A$2:$A$201=A291),单次交易!$E$2:$E$201)*LOOKUP(2,1/(单次交易!$A$2:$A$201=A291),单次交易!$H$2:$H$201),0)+SUMIFS($H$2:$H$1001,$A$2:$A$1001,A291,$B$2:$B$1001,"&lt;"&amp;B291))</f>
        <v/>
      </c>
      <c r="K291" s="24" t="str">
        <f aca="false">IF(OR(E291="",I291="",J291=""),"",MAX(E291*I291-J291,0))</f>
        <v/>
      </c>
      <c r="L291" s="25" t="str">
        <f aca="false">IF(OR(D291="",E291="",F291="",D291&lt;=E291),"",FLOOR((F291+K291)/(D291-E291),100))</f>
        <v/>
      </c>
      <c r="M291" s="25" t="str">
        <f aca="false">IF(OR(A291="",B291="",L291=""),"",IF(B291=1,L291,IFERROR(SUMIFS($G$2:$G$1001,$A$2:$A$1001,A291,$B$2:$B$1001,B291-1),0)))</f>
        <v/>
      </c>
      <c r="N291" s="25" t="str">
        <f aca="false">IF(OR(L291="",M291=""),"",MIN(L291,M291))</f>
        <v/>
      </c>
      <c r="O291" s="25" t="str">
        <f aca="false">IF(OR(I291="",G291=""),"",I291+G291)</f>
        <v/>
      </c>
      <c r="P291" s="24" t="str">
        <f aca="false">IF(OR(O291="",O291=0),"",(J291+H291)/O291)</f>
        <v/>
      </c>
      <c r="Q291" s="24" t="str">
        <f aca="false">IF(OR(O291="",E291=""),"",MAX(J291+H291-E291*O291,0))</f>
        <v/>
      </c>
      <c r="R291" s="26" t="str">
        <f aca="false">IF(A291="","",IF(COUNTIF(_TradeIds,A291)=0,"违规：交易编号不存在",IF(OR(B291="",B291&lt;1,B291&gt;5,B291&lt;&gt;INT(B291)),"违规：加仓序号须为1到5的整数",IF(COUNTIFS($A$2:$A$1001,A291,$B$2:$B$1001,B291)&gt;1,"违规：同一交易的加仓序号重复",IF(OR(D291="",E291="",F291=""),"计划不完整：请填写加仓价、新止损价和风险预算",IF(OR(D291&lt;=0,E291&lt;=0,F291&lt;=0,D291&lt;=E291),"违规：加仓价必须高于新止损价，金额须大于0",IF(AND(B291&gt;1,COUNTIFS($A$2:$A$1001,A291,$B$2:$B$1001,B291-1,$G$2:$G$1001,"&gt;0")=0),"违规：须先完成上一次加仓",IF(AND(B291&gt;1,E291&lt;SUMIFS($E$2:$E$1001,$A$2:$A$1001,A291,$B$2:$B$1001,B291-1)),"违规：新止损价不得低于上一次",IF(AND(B291&gt;1,F291&gt;SUMIFS($F$2:$F$1001,$A$2:$A$1001,A291,$B$2:$B$1001,B291-1)),"违规：风险预算须逐次不增加",IF(OR(_LockStatus="已锁仓",_LockStatus="解锁信息不完整"),"违规：锁仓期间禁止加仓",IF(G291="","计划可执行：建议股数见N列",IF(OR(G291&lt;=0,G291&lt;&gt;INT(G291),MOD(G291,100)&lt;&gt;0),"违规：实际股数须为100股整数倍",IF(G291&gt;N291,"违规：实际股数超过风险或金字塔上限",IF(AND(B291&gt;1,G291&gt;SUMIFS($G$2:$G$1001,$A$2:$A$1001,A291,$B$2:$B$1001,B291-1)),"违规：加仓股数须逐次不增加",IF(Q291&gt;F291,"违规：止损风险超过本次预算","通过")))))))))))))))</f>
        <v/>
      </c>
    </row>
    <row r="292" customFormat="false" ht="15" hidden="false" customHeight="false" outlineLevel="0" collapsed="false">
      <c r="A292" s="20"/>
      <c r="B292" s="21"/>
      <c r="C292" s="22"/>
      <c r="D292" s="23"/>
      <c r="E292" s="23"/>
      <c r="F292" s="23"/>
      <c r="G292" s="21"/>
      <c r="H292" s="24" t="str">
        <f aca="false">IF(OR(A292="",D292="",G292=""),"",D292*G292)</f>
        <v/>
      </c>
      <c r="I292" s="25" t="str">
        <f aca="false">IF(OR(A292="",B292=""),"",IFERROR(LOOKUP(2,1/(单次交易!$A$2:$A$201=A292),单次交易!$H$2:$H$201),0)+SUMIFS($G$2:$G$1001,$A$2:$A$1001,A292,$B$2:$B$1001,"&lt;"&amp;B292))</f>
        <v/>
      </c>
      <c r="J292" s="24" t="str">
        <f aca="false">IF(OR(A292="",B292=""),"",IFERROR(LOOKUP(2,1/(单次交易!$A$2:$A$201=A292),单次交易!$E$2:$E$201)*LOOKUP(2,1/(单次交易!$A$2:$A$201=A292),单次交易!$H$2:$H$201),0)+SUMIFS($H$2:$H$1001,$A$2:$A$1001,A292,$B$2:$B$1001,"&lt;"&amp;B292))</f>
        <v/>
      </c>
      <c r="K292" s="24" t="str">
        <f aca="false">IF(OR(E292="",I292="",J292=""),"",MAX(E292*I292-J292,0))</f>
        <v/>
      </c>
      <c r="L292" s="25" t="str">
        <f aca="false">IF(OR(D292="",E292="",F292="",D292&lt;=E292),"",FLOOR((F292+K292)/(D292-E292),100))</f>
        <v/>
      </c>
      <c r="M292" s="25" t="str">
        <f aca="false">IF(OR(A292="",B292="",L292=""),"",IF(B292=1,L292,IFERROR(SUMIFS($G$2:$G$1001,$A$2:$A$1001,A292,$B$2:$B$1001,B292-1),0)))</f>
        <v/>
      </c>
      <c r="N292" s="25" t="str">
        <f aca="false">IF(OR(L292="",M292=""),"",MIN(L292,M292))</f>
        <v/>
      </c>
      <c r="O292" s="25" t="str">
        <f aca="false">IF(OR(I292="",G292=""),"",I292+G292)</f>
        <v/>
      </c>
      <c r="P292" s="24" t="str">
        <f aca="false">IF(OR(O292="",O292=0),"",(J292+H292)/O292)</f>
        <v/>
      </c>
      <c r="Q292" s="24" t="str">
        <f aca="false">IF(OR(O292="",E292=""),"",MAX(J292+H292-E292*O292,0))</f>
        <v/>
      </c>
      <c r="R292" s="26" t="str">
        <f aca="false">IF(A292="","",IF(COUNTIF(_TradeIds,A292)=0,"违规：交易编号不存在",IF(OR(B292="",B292&lt;1,B292&gt;5,B292&lt;&gt;INT(B292)),"违规：加仓序号须为1到5的整数",IF(COUNTIFS($A$2:$A$1001,A292,$B$2:$B$1001,B292)&gt;1,"违规：同一交易的加仓序号重复",IF(OR(D292="",E292="",F292=""),"计划不完整：请填写加仓价、新止损价和风险预算",IF(OR(D292&lt;=0,E292&lt;=0,F292&lt;=0,D292&lt;=E292),"违规：加仓价必须高于新止损价，金额须大于0",IF(AND(B292&gt;1,COUNTIFS($A$2:$A$1001,A292,$B$2:$B$1001,B292-1,$G$2:$G$1001,"&gt;0")=0),"违规：须先完成上一次加仓",IF(AND(B292&gt;1,E292&lt;SUMIFS($E$2:$E$1001,$A$2:$A$1001,A292,$B$2:$B$1001,B292-1)),"违规：新止损价不得低于上一次",IF(AND(B292&gt;1,F292&gt;SUMIFS($F$2:$F$1001,$A$2:$A$1001,A292,$B$2:$B$1001,B292-1)),"违规：风险预算须逐次不增加",IF(OR(_LockStatus="已锁仓",_LockStatus="解锁信息不完整"),"违规：锁仓期间禁止加仓",IF(G292="","计划可执行：建议股数见N列",IF(OR(G292&lt;=0,G292&lt;&gt;INT(G292),MOD(G292,100)&lt;&gt;0),"违规：实际股数须为100股整数倍",IF(G292&gt;N292,"违规：实际股数超过风险或金字塔上限",IF(AND(B292&gt;1,G292&gt;SUMIFS($G$2:$G$1001,$A$2:$A$1001,A292,$B$2:$B$1001,B292-1)),"违规：加仓股数须逐次不增加",IF(Q292&gt;F292,"违规：止损风险超过本次预算","通过")))))))))))))))</f>
        <v/>
      </c>
    </row>
    <row r="293" customFormat="false" ht="15" hidden="false" customHeight="false" outlineLevel="0" collapsed="false">
      <c r="A293" s="20"/>
      <c r="B293" s="21"/>
      <c r="C293" s="22"/>
      <c r="D293" s="23"/>
      <c r="E293" s="23"/>
      <c r="F293" s="23"/>
      <c r="G293" s="21"/>
      <c r="H293" s="24" t="str">
        <f aca="false">IF(OR(A293="",D293="",G293=""),"",D293*G293)</f>
        <v/>
      </c>
      <c r="I293" s="25" t="str">
        <f aca="false">IF(OR(A293="",B293=""),"",IFERROR(LOOKUP(2,1/(单次交易!$A$2:$A$201=A293),单次交易!$H$2:$H$201),0)+SUMIFS($G$2:$G$1001,$A$2:$A$1001,A293,$B$2:$B$1001,"&lt;"&amp;B293))</f>
        <v/>
      </c>
      <c r="J293" s="24" t="str">
        <f aca="false">IF(OR(A293="",B293=""),"",IFERROR(LOOKUP(2,1/(单次交易!$A$2:$A$201=A293),单次交易!$E$2:$E$201)*LOOKUP(2,1/(单次交易!$A$2:$A$201=A293),单次交易!$H$2:$H$201),0)+SUMIFS($H$2:$H$1001,$A$2:$A$1001,A293,$B$2:$B$1001,"&lt;"&amp;B293))</f>
        <v/>
      </c>
      <c r="K293" s="24" t="str">
        <f aca="false">IF(OR(E293="",I293="",J293=""),"",MAX(E293*I293-J293,0))</f>
        <v/>
      </c>
      <c r="L293" s="25" t="str">
        <f aca="false">IF(OR(D293="",E293="",F293="",D293&lt;=E293),"",FLOOR((F293+K293)/(D293-E293),100))</f>
        <v/>
      </c>
      <c r="M293" s="25" t="str">
        <f aca="false">IF(OR(A293="",B293="",L293=""),"",IF(B293=1,L293,IFERROR(SUMIFS($G$2:$G$1001,$A$2:$A$1001,A293,$B$2:$B$1001,B293-1),0)))</f>
        <v/>
      </c>
      <c r="N293" s="25" t="str">
        <f aca="false">IF(OR(L293="",M293=""),"",MIN(L293,M293))</f>
        <v/>
      </c>
      <c r="O293" s="25" t="str">
        <f aca="false">IF(OR(I293="",G293=""),"",I293+G293)</f>
        <v/>
      </c>
      <c r="P293" s="24" t="str">
        <f aca="false">IF(OR(O293="",O293=0),"",(J293+H293)/O293)</f>
        <v/>
      </c>
      <c r="Q293" s="24" t="str">
        <f aca="false">IF(OR(O293="",E293=""),"",MAX(J293+H293-E293*O293,0))</f>
        <v/>
      </c>
      <c r="R293" s="26" t="str">
        <f aca="false">IF(A293="","",IF(COUNTIF(_TradeIds,A293)=0,"违规：交易编号不存在",IF(OR(B293="",B293&lt;1,B293&gt;5,B293&lt;&gt;INT(B293)),"违规：加仓序号须为1到5的整数",IF(COUNTIFS($A$2:$A$1001,A293,$B$2:$B$1001,B293)&gt;1,"违规：同一交易的加仓序号重复",IF(OR(D293="",E293="",F293=""),"计划不完整：请填写加仓价、新止损价和风险预算",IF(OR(D293&lt;=0,E293&lt;=0,F293&lt;=0,D293&lt;=E293),"违规：加仓价必须高于新止损价，金额须大于0",IF(AND(B293&gt;1,COUNTIFS($A$2:$A$1001,A293,$B$2:$B$1001,B293-1,$G$2:$G$1001,"&gt;0")=0),"违规：须先完成上一次加仓",IF(AND(B293&gt;1,E293&lt;SUMIFS($E$2:$E$1001,$A$2:$A$1001,A293,$B$2:$B$1001,B293-1)),"违规：新止损价不得低于上一次",IF(AND(B293&gt;1,F293&gt;SUMIFS($F$2:$F$1001,$A$2:$A$1001,A293,$B$2:$B$1001,B293-1)),"违规：风险预算须逐次不增加",IF(OR(_LockStatus="已锁仓",_LockStatus="解锁信息不完整"),"违规：锁仓期间禁止加仓",IF(G293="","计划可执行：建议股数见N列",IF(OR(G293&lt;=0,G293&lt;&gt;INT(G293),MOD(G293,100)&lt;&gt;0),"违规：实际股数须为100股整数倍",IF(G293&gt;N293,"违规：实际股数超过风险或金字塔上限",IF(AND(B293&gt;1,G293&gt;SUMIFS($G$2:$G$1001,$A$2:$A$1001,A293,$B$2:$B$1001,B293-1)),"违规：加仓股数须逐次不增加",IF(Q293&gt;F293,"违规：止损风险超过本次预算","通过")))))))))))))))</f>
        <v/>
      </c>
    </row>
    <row r="294" customFormat="false" ht="15" hidden="false" customHeight="false" outlineLevel="0" collapsed="false">
      <c r="A294" s="20"/>
      <c r="B294" s="21"/>
      <c r="C294" s="22"/>
      <c r="D294" s="23"/>
      <c r="E294" s="23"/>
      <c r="F294" s="23"/>
      <c r="G294" s="21"/>
      <c r="H294" s="24" t="str">
        <f aca="false">IF(OR(A294="",D294="",G294=""),"",D294*G294)</f>
        <v/>
      </c>
      <c r="I294" s="25" t="str">
        <f aca="false">IF(OR(A294="",B294=""),"",IFERROR(LOOKUP(2,1/(单次交易!$A$2:$A$201=A294),单次交易!$H$2:$H$201),0)+SUMIFS($G$2:$G$1001,$A$2:$A$1001,A294,$B$2:$B$1001,"&lt;"&amp;B294))</f>
        <v/>
      </c>
      <c r="J294" s="24" t="str">
        <f aca="false">IF(OR(A294="",B294=""),"",IFERROR(LOOKUP(2,1/(单次交易!$A$2:$A$201=A294),单次交易!$E$2:$E$201)*LOOKUP(2,1/(单次交易!$A$2:$A$201=A294),单次交易!$H$2:$H$201),0)+SUMIFS($H$2:$H$1001,$A$2:$A$1001,A294,$B$2:$B$1001,"&lt;"&amp;B294))</f>
        <v/>
      </c>
      <c r="K294" s="24" t="str">
        <f aca="false">IF(OR(E294="",I294="",J294=""),"",MAX(E294*I294-J294,0))</f>
        <v/>
      </c>
      <c r="L294" s="25" t="str">
        <f aca="false">IF(OR(D294="",E294="",F294="",D294&lt;=E294),"",FLOOR((F294+K294)/(D294-E294),100))</f>
        <v/>
      </c>
      <c r="M294" s="25" t="str">
        <f aca="false">IF(OR(A294="",B294="",L294=""),"",IF(B294=1,L294,IFERROR(SUMIFS($G$2:$G$1001,$A$2:$A$1001,A294,$B$2:$B$1001,B294-1),0)))</f>
        <v/>
      </c>
      <c r="N294" s="25" t="str">
        <f aca="false">IF(OR(L294="",M294=""),"",MIN(L294,M294))</f>
        <v/>
      </c>
      <c r="O294" s="25" t="str">
        <f aca="false">IF(OR(I294="",G294=""),"",I294+G294)</f>
        <v/>
      </c>
      <c r="P294" s="24" t="str">
        <f aca="false">IF(OR(O294="",O294=0),"",(J294+H294)/O294)</f>
        <v/>
      </c>
      <c r="Q294" s="24" t="str">
        <f aca="false">IF(OR(O294="",E294=""),"",MAX(J294+H294-E294*O294,0))</f>
        <v/>
      </c>
      <c r="R294" s="26" t="str">
        <f aca="false">IF(A294="","",IF(COUNTIF(_TradeIds,A294)=0,"违规：交易编号不存在",IF(OR(B294="",B294&lt;1,B294&gt;5,B294&lt;&gt;INT(B294)),"违规：加仓序号须为1到5的整数",IF(COUNTIFS($A$2:$A$1001,A294,$B$2:$B$1001,B294)&gt;1,"违规：同一交易的加仓序号重复",IF(OR(D294="",E294="",F294=""),"计划不完整：请填写加仓价、新止损价和风险预算",IF(OR(D294&lt;=0,E294&lt;=0,F294&lt;=0,D294&lt;=E294),"违规：加仓价必须高于新止损价，金额须大于0",IF(AND(B294&gt;1,COUNTIFS($A$2:$A$1001,A294,$B$2:$B$1001,B294-1,$G$2:$G$1001,"&gt;0")=0),"违规：须先完成上一次加仓",IF(AND(B294&gt;1,E294&lt;SUMIFS($E$2:$E$1001,$A$2:$A$1001,A294,$B$2:$B$1001,B294-1)),"违规：新止损价不得低于上一次",IF(AND(B294&gt;1,F294&gt;SUMIFS($F$2:$F$1001,$A$2:$A$1001,A294,$B$2:$B$1001,B294-1)),"违规：风险预算须逐次不增加",IF(OR(_LockStatus="已锁仓",_LockStatus="解锁信息不完整"),"违规：锁仓期间禁止加仓",IF(G294="","计划可执行：建议股数见N列",IF(OR(G294&lt;=0,G294&lt;&gt;INT(G294),MOD(G294,100)&lt;&gt;0),"违规：实际股数须为100股整数倍",IF(G294&gt;N294,"违规：实际股数超过风险或金字塔上限",IF(AND(B294&gt;1,G294&gt;SUMIFS($G$2:$G$1001,$A$2:$A$1001,A294,$B$2:$B$1001,B294-1)),"违规：加仓股数须逐次不增加",IF(Q294&gt;F294,"违规：止损风险超过本次预算","通过")))))))))))))))</f>
        <v/>
      </c>
    </row>
    <row r="295" customFormat="false" ht="15" hidden="false" customHeight="false" outlineLevel="0" collapsed="false">
      <c r="A295" s="20"/>
      <c r="B295" s="21"/>
      <c r="C295" s="22"/>
      <c r="D295" s="23"/>
      <c r="E295" s="23"/>
      <c r="F295" s="23"/>
      <c r="G295" s="21"/>
      <c r="H295" s="24" t="str">
        <f aca="false">IF(OR(A295="",D295="",G295=""),"",D295*G295)</f>
        <v/>
      </c>
      <c r="I295" s="25" t="str">
        <f aca="false">IF(OR(A295="",B295=""),"",IFERROR(LOOKUP(2,1/(单次交易!$A$2:$A$201=A295),单次交易!$H$2:$H$201),0)+SUMIFS($G$2:$G$1001,$A$2:$A$1001,A295,$B$2:$B$1001,"&lt;"&amp;B295))</f>
        <v/>
      </c>
      <c r="J295" s="24" t="str">
        <f aca="false">IF(OR(A295="",B295=""),"",IFERROR(LOOKUP(2,1/(单次交易!$A$2:$A$201=A295),单次交易!$E$2:$E$201)*LOOKUP(2,1/(单次交易!$A$2:$A$201=A295),单次交易!$H$2:$H$201),0)+SUMIFS($H$2:$H$1001,$A$2:$A$1001,A295,$B$2:$B$1001,"&lt;"&amp;B295))</f>
        <v/>
      </c>
      <c r="K295" s="24" t="str">
        <f aca="false">IF(OR(E295="",I295="",J295=""),"",MAX(E295*I295-J295,0))</f>
        <v/>
      </c>
      <c r="L295" s="25" t="str">
        <f aca="false">IF(OR(D295="",E295="",F295="",D295&lt;=E295),"",FLOOR((F295+K295)/(D295-E295),100))</f>
        <v/>
      </c>
      <c r="M295" s="25" t="str">
        <f aca="false">IF(OR(A295="",B295="",L295=""),"",IF(B295=1,L295,IFERROR(SUMIFS($G$2:$G$1001,$A$2:$A$1001,A295,$B$2:$B$1001,B295-1),0)))</f>
        <v/>
      </c>
      <c r="N295" s="25" t="str">
        <f aca="false">IF(OR(L295="",M295=""),"",MIN(L295,M295))</f>
        <v/>
      </c>
      <c r="O295" s="25" t="str">
        <f aca="false">IF(OR(I295="",G295=""),"",I295+G295)</f>
        <v/>
      </c>
      <c r="P295" s="24" t="str">
        <f aca="false">IF(OR(O295="",O295=0),"",(J295+H295)/O295)</f>
        <v/>
      </c>
      <c r="Q295" s="24" t="str">
        <f aca="false">IF(OR(O295="",E295=""),"",MAX(J295+H295-E295*O295,0))</f>
        <v/>
      </c>
      <c r="R295" s="26" t="str">
        <f aca="false">IF(A295="","",IF(COUNTIF(_TradeIds,A295)=0,"违规：交易编号不存在",IF(OR(B295="",B295&lt;1,B295&gt;5,B295&lt;&gt;INT(B295)),"违规：加仓序号须为1到5的整数",IF(COUNTIFS($A$2:$A$1001,A295,$B$2:$B$1001,B295)&gt;1,"违规：同一交易的加仓序号重复",IF(OR(D295="",E295="",F295=""),"计划不完整：请填写加仓价、新止损价和风险预算",IF(OR(D295&lt;=0,E295&lt;=0,F295&lt;=0,D295&lt;=E295),"违规：加仓价必须高于新止损价，金额须大于0",IF(AND(B295&gt;1,COUNTIFS($A$2:$A$1001,A295,$B$2:$B$1001,B295-1,$G$2:$G$1001,"&gt;0")=0),"违规：须先完成上一次加仓",IF(AND(B295&gt;1,E295&lt;SUMIFS($E$2:$E$1001,$A$2:$A$1001,A295,$B$2:$B$1001,B295-1)),"违规：新止损价不得低于上一次",IF(AND(B295&gt;1,F295&gt;SUMIFS($F$2:$F$1001,$A$2:$A$1001,A295,$B$2:$B$1001,B295-1)),"违规：风险预算须逐次不增加",IF(OR(_LockStatus="已锁仓",_LockStatus="解锁信息不完整"),"违规：锁仓期间禁止加仓",IF(G295="","计划可执行：建议股数见N列",IF(OR(G295&lt;=0,G295&lt;&gt;INT(G295),MOD(G295,100)&lt;&gt;0),"违规：实际股数须为100股整数倍",IF(G295&gt;N295,"违规：实际股数超过风险或金字塔上限",IF(AND(B295&gt;1,G295&gt;SUMIFS($G$2:$G$1001,$A$2:$A$1001,A295,$B$2:$B$1001,B295-1)),"违规：加仓股数须逐次不增加",IF(Q295&gt;F295,"违规：止损风险超过本次预算","通过")))))))))))))))</f>
        <v/>
      </c>
    </row>
    <row r="296" customFormat="false" ht="15" hidden="false" customHeight="false" outlineLevel="0" collapsed="false">
      <c r="A296" s="20"/>
      <c r="B296" s="21"/>
      <c r="C296" s="22"/>
      <c r="D296" s="23"/>
      <c r="E296" s="23"/>
      <c r="F296" s="23"/>
      <c r="G296" s="21"/>
      <c r="H296" s="24" t="str">
        <f aca="false">IF(OR(A296="",D296="",G296=""),"",D296*G296)</f>
        <v/>
      </c>
      <c r="I296" s="25" t="str">
        <f aca="false">IF(OR(A296="",B296=""),"",IFERROR(LOOKUP(2,1/(单次交易!$A$2:$A$201=A296),单次交易!$H$2:$H$201),0)+SUMIFS($G$2:$G$1001,$A$2:$A$1001,A296,$B$2:$B$1001,"&lt;"&amp;B296))</f>
        <v/>
      </c>
      <c r="J296" s="24" t="str">
        <f aca="false">IF(OR(A296="",B296=""),"",IFERROR(LOOKUP(2,1/(单次交易!$A$2:$A$201=A296),单次交易!$E$2:$E$201)*LOOKUP(2,1/(单次交易!$A$2:$A$201=A296),单次交易!$H$2:$H$201),0)+SUMIFS($H$2:$H$1001,$A$2:$A$1001,A296,$B$2:$B$1001,"&lt;"&amp;B296))</f>
        <v/>
      </c>
      <c r="K296" s="24" t="str">
        <f aca="false">IF(OR(E296="",I296="",J296=""),"",MAX(E296*I296-J296,0))</f>
        <v/>
      </c>
      <c r="L296" s="25" t="str">
        <f aca="false">IF(OR(D296="",E296="",F296="",D296&lt;=E296),"",FLOOR((F296+K296)/(D296-E296),100))</f>
        <v/>
      </c>
      <c r="M296" s="25" t="str">
        <f aca="false">IF(OR(A296="",B296="",L296=""),"",IF(B296=1,L296,IFERROR(SUMIFS($G$2:$G$1001,$A$2:$A$1001,A296,$B$2:$B$1001,B296-1),0)))</f>
        <v/>
      </c>
      <c r="N296" s="25" t="str">
        <f aca="false">IF(OR(L296="",M296=""),"",MIN(L296,M296))</f>
        <v/>
      </c>
      <c r="O296" s="25" t="str">
        <f aca="false">IF(OR(I296="",G296=""),"",I296+G296)</f>
        <v/>
      </c>
      <c r="P296" s="24" t="str">
        <f aca="false">IF(OR(O296="",O296=0),"",(J296+H296)/O296)</f>
        <v/>
      </c>
      <c r="Q296" s="24" t="str">
        <f aca="false">IF(OR(O296="",E296=""),"",MAX(J296+H296-E296*O296,0))</f>
        <v/>
      </c>
      <c r="R296" s="26" t="str">
        <f aca="false">IF(A296="","",IF(COUNTIF(_TradeIds,A296)=0,"违规：交易编号不存在",IF(OR(B296="",B296&lt;1,B296&gt;5,B296&lt;&gt;INT(B296)),"违规：加仓序号须为1到5的整数",IF(COUNTIFS($A$2:$A$1001,A296,$B$2:$B$1001,B296)&gt;1,"违规：同一交易的加仓序号重复",IF(OR(D296="",E296="",F296=""),"计划不完整：请填写加仓价、新止损价和风险预算",IF(OR(D296&lt;=0,E296&lt;=0,F296&lt;=0,D296&lt;=E296),"违规：加仓价必须高于新止损价，金额须大于0",IF(AND(B296&gt;1,COUNTIFS($A$2:$A$1001,A296,$B$2:$B$1001,B296-1,$G$2:$G$1001,"&gt;0")=0),"违规：须先完成上一次加仓",IF(AND(B296&gt;1,E296&lt;SUMIFS($E$2:$E$1001,$A$2:$A$1001,A296,$B$2:$B$1001,B296-1)),"违规：新止损价不得低于上一次",IF(AND(B296&gt;1,F296&gt;SUMIFS($F$2:$F$1001,$A$2:$A$1001,A296,$B$2:$B$1001,B296-1)),"违规：风险预算须逐次不增加",IF(OR(_LockStatus="已锁仓",_LockStatus="解锁信息不完整"),"违规：锁仓期间禁止加仓",IF(G296="","计划可执行：建议股数见N列",IF(OR(G296&lt;=0,G296&lt;&gt;INT(G296),MOD(G296,100)&lt;&gt;0),"违规：实际股数须为100股整数倍",IF(G296&gt;N296,"违规：实际股数超过风险或金字塔上限",IF(AND(B296&gt;1,G296&gt;SUMIFS($G$2:$G$1001,$A$2:$A$1001,A296,$B$2:$B$1001,B296-1)),"违规：加仓股数须逐次不增加",IF(Q296&gt;F296,"违规：止损风险超过本次预算","通过")))))))))))))))</f>
        <v/>
      </c>
    </row>
    <row r="297" customFormat="false" ht="15" hidden="false" customHeight="false" outlineLevel="0" collapsed="false">
      <c r="A297" s="20"/>
      <c r="B297" s="21"/>
      <c r="C297" s="22"/>
      <c r="D297" s="23"/>
      <c r="E297" s="23"/>
      <c r="F297" s="23"/>
      <c r="G297" s="21"/>
      <c r="H297" s="24" t="str">
        <f aca="false">IF(OR(A297="",D297="",G297=""),"",D297*G297)</f>
        <v/>
      </c>
      <c r="I297" s="25" t="str">
        <f aca="false">IF(OR(A297="",B297=""),"",IFERROR(LOOKUP(2,1/(单次交易!$A$2:$A$201=A297),单次交易!$H$2:$H$201),0)+SUMIFS($G$2:$G$1001,$A$2:$A$1001,A297,$B$2:$B$1001,"&lt;"&amp;B297))</f>
        <v/>
      </c>
      <c r="J297" s="24" t="str">
        <f aca="false">IF(OR(A297="",B297=""),"",IFERROR(LOOKUP(2,1/(单次交易!$A$2:$A$201=A297),单次交易!$E$2:$E$201)*LOOKUP(2,1/(单次交易!$A$2:$A$201=A297),单次交易!$H$2:$H$201),0)+SUMIFS($H$2:$H$1001,$A$2:$A$1001,A297,$B$2:$B$1001,"&lt;"&amp;B297))</f>
        <v/>
      </c>
      <c r="K297" s="24" t="str">
        <f aca="false">IF(OR(E297="",I297="",J297=""),"",MAX(E297*I297-J297,0))</f>
        <v/>
      </c>
      <c r="L297" s="25" t="str">
        <f aca="false">IF(OR(D297="",E297="",F297="",D297&lt;=E297),"",FLOOR((F297+K297)/(D297-E297),100))</f>
        <v/>
      </c>
      <c r="M297" s="25" t="str">
        <f aca="false">IF(OR(A297="",B297="",L297=""),"",IF(B297=1,L297,IFERROR(SUMIFS($G$2:$G$1001,$A$2:$A$1001,A297,$B$2:$B$1001,B297-1),0)))</f>
        <v/>
      </c>
      <c r="N297" s="25" t="str">
        <f aca="false">IF(OR(L297="",M297=""),"",MIN(L297,M297))</f>
        <v/>
      </c>
      <c r="O297" s="25" t="str">
        <f aca="false">IF(OR(I297="",G297=""),"",I297+G297)</f>
        <v/>
      </c>
      <c r="P297" s="24" t="str">
        <f aca="false">IF(OR(O297="",O297=0),"",(J297+H297)/O297)</f>
        <v/>
      </c>
      <c r="Q297" s="24" t="str">
        <f aca="false">IF(OR(O297="",E297=""),"",MAX(J297+H297-E297*O297,0))</f>
        <v/>
      </c>
      <c r="R297" s="26" t="str">
        <f aca="false">IF(A297="","",IF(COUNTIF(_TradeIds,A297)=0,"违规：交易编号不存在",IF(OR(B297="",B297&lt;1,B297&gt;5,B297&lt;&gt;INT(B297)),"违规：加仓序号须为1到5的整数",IF(COUNTIFS($A$2:$A$1001,A297,$B$2:$B$1001,B297)&gt;1,"违规：同一交易的加仓序号重复",IF(OR(D297="",E297="",F297=""),"计划不完整：请填写加仓价、新止损价和风险预算",IF(OR(D297&lt;=0,E297&lt;=0,F297&lt;=0,D297&lt;=E297),"违规：加仓价必须高于新止损价，金额须大于0",IF(AND(B297&gt;1,COUNTIFS($A$2:$A$1001,A297,$B$2:$B$1001,B297-1,$G$2:$G$1001,"&gt;0")=0),"违规：须先完成上一次加仓",IF(AND(B297&gt;1,E297&lt;SUMIFS($E$2:$E$1001,$A$2:$A$1001,A297,$B$2:$B$1001,B297-1)),"违规：新止损价不得低于上一次",IF(AND(B297&gt;1,F297&gt;SUMIFS($F$2:$F$1001,$A$2:$A$1001,A297,$B$2:$B$1001,B297-1)),"违规：风险预算须逐次不增加",IF(OR(_LockStatus="已锁仓",_LockStatus="解锁信息不完整"),"违规：锁仓期间禁止加仓",IF(G297="","计划可执行：建议股数见N列",IF(OR(G297&lt;=0,G297&lt;&gt;INT(G297),MOD(G297,100)&lt;&gt;0),"违规：实际股数须为100股整数倍",IF(G297&gt;N297,"违规：实际股数超过风险或金字塔上限",IF(AND(B297&gt;1,G297&gt;SUMIFS($G$2:$G$1001,$A$2:$A$1001,A297,$B$2:$B$1001,B297-1)),"违规：加仓股数须逐次不增加",IF(Q297&gt;F297,"违规：止损风险超过本次预算","通过")))))))))))))))</f>
        <v/>
      </c>
    </row>
    <row r="298" customFormat="false" ht="15" hidden="false" customHeight="false" outlineLevel="0" collapsed="false">
      <c r="A298" s="20"/>
      <c r="B298" s="21"/>
      <c r="C298" s="22"/>
      <c r="D298" s="23"/>
      <c r="E298" s="23"/>
      <c r="F298" s="23"/>
      <c r="G298" s="21"/>
      <c r="H298" s="24" t="str">
        <f aca="false">IF(OR(A298="",D298="",G298=""),"",D298*G298)</f>
        <v/>
      </c>
      <c r="I298" s="25" t="str">
        <f aca="false">IF(OR(A298="",B298=""),"",IFERROR(LOOKUP(2,1/(单次交易!$A$2:$A$201=A298),单次交易!$H$2:$H$201),0)+SUMIFS($G$2:$G$1001,$A$2:$A$1001,A298,$B$2:$B$1001,"&lt;"&amp;B298))</f>
        <v/>
      </c>
      <c r="J298" s="24" t="str">
        <f aca="false">IF(OR(A298="",B298=""),"",IFERROR(LOOKUP(2,1/(单次交易!$A$2:$A$201=A298),单次交易!$E$2:$E$201)*LOOKUP(2,1/(单次交易!$A$2:$A$201=A298),单次交易!$H$2:$H$201),0)+SUMIFS($H$2:$H$1001,$A$2:$A$1001,A298,$B$2:$B$1001,"&lt;"&amp;B298))</f>
        <v/>
      </c>
      <c r="K298" s="24" t="str">
        <f aca="false">IF(OR(E298="",I298="",J298=""),"",MAX(E298*I298-J298,0))</f>
        <v/>
      </c>
      <c r="L298" s="25" t="str">
        <f aca="false">IF(OR(D298="",E298="",F298="",D298&lt;=E298),"",FLOOR((F298+K298)/(D298-E298),100))</f>
        <v/>
      </c>
      <c r="M298" s="25" t="str">
        <f aca="false">IF(OR(A298="",B298="",L298=""),"",IF(B298=1,L298,IFERROR(SUMIFS($G$2:$G$1001,$A$2:$A$1001,A298,$B$2:$B$1001,B298-1),0)))</f>
        <v/>
      </c>
      <c r="N298" s="25" t="str">
        <f aca="false">IF(OR(L298="",M298=""),"",MIN(L298,M298))</f>
        <v/>
      </c>
      <c r="O298" s="25" t="str">
        <f aca="false">IF(OR(I298="",G298=""),"",I298+G298)</f>
        <v/>
      </c>
      <c r="P298" s="24" t="str">
        <f aca="false">IF(OR(O298="",O298=0),"",(J298+H298)/O298)</f>
        <v/>
      </c>
      <c r="Q298" s="24" t="str">
        <f aca="false">IF(OR(O298="",E298=""),"",MAX(J298+H298-E298*O298,0))</f>
        <v/>
      </c>
      <c r="R298" s="26" t="str">
        <f aca="false">IF(A298="","",IF(COUNTIF(_TradeIds,A298)=0,"违规：交易编号不存在",IF(OR(B298="",B298&lt;1,B298&gt;5,B298&lt;&gt;INT(B298)),"违规：加仓序号须为1到5的整数",IF(COUNTIFS($A$2:$A$1001,A298,$B$2:$B$1001,B298)&gt;1,"违规：同一交易的加仓序号重复",IF(OR(D298="",E298="",F298=""),"计划不完整：请填写加仓价、新止损价和风险预算",IF(OR(D298&lt;=0,E298&lt;=0,F298&lt;=0,D298&lt;=E298),"违规：加仓价必须高于新止损价，金额须大于0",IF(AND(B298&gt;1,COUNTIFS($A$2:$A$1001,A298,$B$2:$B$1001,B298-1,$G$2:$G$1001,"&gt;0")=0),"违规：须先完成上一次加仓",IF(AND(B298&gt;1,E298&lt;SUMIFS($E$2:$E$1001,$A$2:$A$1001,A298,$B$2:$B$1001,B298-1)),"违规：新止损价不得低于上一次",IF(AND(B298&gt;1,F298&gt;SUMIFS($F$2:$F$1001,$A$2:$A$1001,A298,$B$2:$B$1001,B298-1)),"违规：风险预算须逐次不增加",IF(OR(_LockStatus="已锁仓",_LockStatus="解锁信息不完整"),"违规：锁仓期间禁止加仓",IF(G298="","计划可执行：建议股数见N列",IF(OR(G298&lt;=0,G298&lt;&gt;INT(G298),MOD(G298,100)&lt;&gt;0),"违规：实际股数须为100股整数倍",IF(G298&gt;N298,"违规：实际股数超过风险或金字塔上限",IF(AND(B298&gt;1,G298&gt;SUMIFS($G$2:$G$1001,$A$2:$A$1001,A298,$B$2:$B$1001,B298-1)),"违规：加仓股数须逐次不增加",IF(Q298&gt;F298,"违规：止损风险超过本次预算","通过")))))))))))))))</f>
        <v/>
      </c>
    </row>
    <row r="299" customFormat="false" ht="15" hidden="false" customHeight="false" outlineLevel="0" collapsed="false">
      <c r="A299" s="20"/>
      <c r="B299" s="21"/>
      <c r="C299" s="22"/>
      <c r="D299" s="23"/>
      <c r="E299" s="23"/>
      <c r="F299" s="23"/>
      <c r="G299" s="21"/>
      <c r="H299" s="24" t="str">
        <f aca="false">IF(OR(A299="",D299="",G299=""),"",D299*G299)</f>
        <v/>
      </c>
      <c r="I299" s="25" t="str">
        <f aca="false">IF(OR(A299="",B299=""),"",IFERROR(LOOKUP(2,1/(单次交易!$A$2:$A$201=A299),单次交易!$H$2:$H$201),0)+SUMIFS($G$2:$G$1001,$A$2:$A$1001,A299,$B$2:$B$1001,"&lt;"&amp;B299))</f>
        <v/>
      </c>
      <c r="J299" s="24" t="str">
        <f aca="false">IF(OR(A299="",B299=""),"",IFERROR(LOOKUP(2,1/(单次交易!$A$2:$A$201=A299),单次交易!$E$2:$E$201)*LOOKUP(2,1/(单次交易!$A$2:$A$201=A299),单次交易!$H$2:$H$201),0)+SUMIFS($H$2:$H$1001,$A$2:$A$1001,A299,$B$2:$B$1001,"&lt;"&amp;B299))</f>
        <v/>
      </c>
      <c r="K299" s="24" t="str">
        <f aca="false">IF(OR(E299="",I299="",J299=""),"",MAX(E299*I299-J299,0))</f>
        <v/>
      </c>
      <c r="L299" s="25" t="str">
        <f aca="false">IF(OR(D299="",E299="",F299="",D299&lt;=E299),"",FLOOR((F299+K299)/(D299-E299),100))</f>
        <v/>
      </c>
      <c r="M299" s="25" t="str">
        <f aca="false">IF(OR(A299="",B299="",L299=""),"",IF(B299=1,L299,IFERROR(SUMIFS($G$2:$G$1001,$A$2:$A$1001,A299,$B$2:$B$1001,B299-1),0)))</f>
        <v/>
      </c>
      <c r="N299" s="25" t="str">
        <f aca="false">IF(OR(L299="",M299=""),"",MIN(L299,M299))</f>
        <v/>
      </c>
      <c r="O299" s="25" t="str">
        <f aca="false">IF(OR(I299="",G299=""),"",I299+G299)</f>
        <v/>
      </c>
      <c r="P299" s="24" t="str">
        <f aca="false">IF(OR(O299="",O299=0),"",(J299+H299)/O299)</f>
        <v/>
      </c>
      <c r="Q299" s="24" t="str">
        <f aca="false">IF(OR(O299="",E299=""),"",MAX(J299+H299-E299*O299,0))</f>
        <v/>
      </c>
      <c r="R299" s="26" t="str">
        <f aca="false">IF(A299="","",IF(COUNTIF(_TradeIds,A299)=0,"违规：交易编号不存在",IF(OR(B299="",B299&lt;1,B299&gt;5,B299&lt;&gt;INT(B299)),"违规：加仓序号须为1到5的整数",IF(COUNTIFS($A$2:$A$1001,A299,$B$2:$B$1001,B299)&gt;1,"违规：同一交易的加仓序号重复",IF(OR(D299="",E299="",F299=""),"计划不完整：请填写加仓价、新止损价和风险预算",IF(OR(D299&lt;=0,E299&lt;=0,F299&lt;=0,D299&lt;=E299),"违规：加仓价必须高于新止损价，金额须大于0",IF(AND(B299&gt;1,COUNTIFS($A$2:$A$1001,A299,$B$2:$B$1001,B299-1,$G$2:$G$1001,"&gt;0")=0),"违规：须先完成上一次加仓",IF(AND(B299&gt;1,E299&lt;SUMIFS($E$2:$E$1001,$A$2:$A$1001,A299,$B$2:$B$1001,B299-1)),"违规：新止损价不得低于上一次",IF(AND(B299&gt;1,F299&gt;SUMIFS($F$2:$F$1001,$A$2:$A$1001,A299,$B$2:$B$1001,B299-1)),"违规：风险预算须逐次不增加",IF(OR(_LockStatus="已锁仓",_LockStatus="解锁信息不完整"),"违规：锁仓期间禁止加仓",IF(G299="","计划可执行：建议股数见N列",IF(OR(G299&lt;=0,G299&lt;&gt;INT(G299),MOD(G299,100)&lt;&gt;0),"违规：实际股数须为100股整数倍",IF(G299&gt;N299,"违规：实际股数超过风险或金字塔上限",IF(AND(B299&gt;1,G299&gt;SUMIFS($G$2:$G$1001,$A$2:$A$1001,A299,$B$2:$B$1001,B299-1)),"违规：加仓股数须逐次不增加",IF(Q299&gt;F299,"违规：止损风险超过本次预算","通过")))))))))))))))</f>
        <v/>
      </c>
    </row>
    <row r="300" customFormat="false" ht="15" hidden="false" customHeight="false" outlineLevel="0" collapsed="false">
      <c r="A300" s="20"/>
      <c r="B300" s="21"/>
      <c r="C300" s="22"/>
      <c r="D300" s="23"/>
      <c r="E300" s="23"/>
      <c r="F300" s="23"/>
      <c r="G300" s="21"/>
      <c r="H300" s="24" t="str">
        <f aca="false">IF(OR(A300="",D300="",G300=""),"",D300*G300)</f>
        <v/>
      </c>
      <c r="I300" s="25" t="str">
        <f aca="false">IF(OR(A300="",B300=""),"",IFERROR(LOOKUP(2,1/(单次交易!$A$2:$A$201=A300),单次交易!$H$2:$H$201),0)+SUMIFS($G$2:$G$1001,$A$2:$A$1001,A300,$B$2:$B$1001,"&lt;"&amp;B300))</f>
        <v/>
      </c>
      <c r="J300" s="24" t="str">
        <f aca="false">IF(OR(A300="",B300=""),"",IFERROR(LOOKUP(2,1/(单次交易!$A$2:$A$201=A300),单次交易!$E$2:$E$201)*LOOKUP(2,1/(单次交易!$A$2:$A$201=A300),单次交易!$H$2:$H$201),0)+SUMIFS($H$2:$H$1001,$A$2:$A$1001,A300,$B$2:$B$1001,"&lt;"&amp;B300))</f>
        <v/>
      </c>
      <c r="K300" s="24" t="str">
        <f aca="false">IF(OR(E300="",I300="",J300=""),"",MAX(E300*I300-J300,0))</f>
        <v/>
      </c>
      <c r="L300" s="25" t="str">
        <f aca="false">IF(OR(D300="",E300="",F300="",D300&lt;=E300),"",FLOOR((F300+K300)/(D300-E300),100))</f>
        <v/>
      </c>
      <c r="M300" s="25" t="str">
        <f aca="false">IF(OR(A300="",B300="",L300=""),"",IF(B300=1,L300,IFERROR(SUMIFS($G$2:$G$1001,$A$2:$A$1001,A300,$B$2:$B$1001,B300-1),0)))</f>
        <v/>
      </c>
      <c r="N300" s="25" t="str">
        <f aca="false">IF(OR(L300="",M300=""),"",MIN(L300,M300))</f>
        <v/>
      </c>
      <c r="O300" s="25" t="str">
        <f aca="false">IF(OR(I300="",G300=""),"",I300+G300)</f>
        <v/>
      </c>
      <c r="P300" s="24" t="str">
        <f aca="false">IF(OR(O300="",O300=0),"",(J300+H300)/O300)</f>
        <v/>
      </c>
      <c r="Q300" s="24" t="str">
        <f aca="false">IF(OR(O300="",E300=""),"",MAX(J300+H300-E300*O300,0))</f>
        <v/>
      </c>
      <c r="R300" s="26" t="str">
        <f aca="false">IF(A300="","",IF(COUNTIF(_TradeIds,A300)=0,"违规：交易编号不存在",IF(OR(B300="",B300&lt;1,B300&gt;5,B300&lt;&gt;INT(B300)),"违规：加仓序号须为1到5的整数",IF(COUNTIFS($A$2:$A$1001,A300,$B$2:$B$1001,B300)&gt;1,"违规：同一交易的加仓序号重复",IF(OR(D300="",E300="",F300=""),"计划不完整：请填写加仓价、新止损价和风险预算",IF(OR(D300&lt;=0,E300&lt;=0,F300&lt;=0,D300&lt;=E300),"违规：加仓价必须高于新止损价，金额须大于0",IF(AND(B300&gt;1,COUNTIFS($A$2:$A$1001,A300,$B$2:$B$1001,B300-1,$G$2:$G$1001,"&gt;0")=0),"违规：须先完成上一次加仓",IF(AND(B300&gt;1,E300&lt;SUMIFS($E$2:$E$1001,$A$2:$A$1001,A300,$B$2:$B$1001,B300-1)),"违规：新止损价不得低于上一次",IF(AND(B300&gt;1,F300&gt;SUMIFS($F$2:$F$1001,$A$2:$A$1001,A300,$B$2:$B$1001,B300-1)),"违规：风险预算须逐次不增加",IF(OR(_LockStatus="已锁仓",_LockStatus="解锁信息不完整"),"违规：锁仓期间禁止加仓",IF(G300="","计划可执行：建议股数见N列",IF(OR(G300&lt;=0,G300&lt;&gt;INT(G300),MOD(G300,100)&lt;&gt;0),"违规：实际股数须为100股整数倍",IF(G300&gt;N300,"违规：实际股数超过风险或金字塔上限",IF(AND(B300&gt;1,G300&gt;SUMIFS($G$2:$G$1001,$A$2:$A$1001,A300,$B$2:$B$1001,B300-1)),"违规：加仓股数须逐次不增加",IF(Q300&gt;F300,"违规：止损风险超过本次预算","通过")))))))))))))))</f>
        <v/>
      </c>
    </row>
    <row r="301" customFormat="false" ht="15" hidden="false" customHeight="false" outlineLevel="0" collapsed="false">
      <c r="A301" s="20"/>
      <c r="B301" s="21"/>
      <c r="C301" s="22"/>
      <c r="D301" s="23"/>
      <c r="E301" s="23"/>
      <c r="F301" s="23"/>
      <c r="G301" s="21"/>
      <c r="H301" s="24" t="str">
        <f aca="false">IF(OR(A301="",D301="",G301=""),"",D301*G301)</f>
        <v/>
      </c>
      <c r="I301" s="25" t="str">
        <f aca="false">IF(OR(A301="",B301=""),"",IFERROR(LOOKUP(2,1/(单次交易!$A$2:$A$201=A301),单次交易!$H$2:$H$201),0)+SUMIFS($G$2:$G$1001,$A$2:$A$1001,A301,$B$2:$B$1001,"&lt;"&amp;B301))</f>
        <v/>
      </c>
      <c r="J301" s="24" t="str">
        <f aca="false">IF(OR(A301="",B301=""),"",IFERROR(LOOKUP(2,1/(单次交易!$A$2:$A$201=A301),单次交易!$E$2:$E$201)*LOOKUP(2,1/(单次交易!$A$2:$A$201=A301),单次交易!$H$2:$H$201),0)+SUMIFS($H$2:$H$1001,$A$2:$A$1001,A301,$B$2:$B$1001,"&lt;"&amp;B301))</f>
        <v/>
      </c>
      <c r="K301" s="24" t="str">
        <f aca="false">IF(OR(E301="",I301="",J301=""),"",MAX(E301*I301-J301,0))</f>
        <v/>
      </c>
      <c r="L301" s="25" t="str">
        <f aca="false">IF(OR(D301="",E301="",F301="",D301&lt;=E301),"",FLOOR((F301+K301)/(D301-E301),100))</f>
        <v/>
      </c>
      <c r="M301" s="25" t="str">
        <f aca="false">IF(OR(A301="",B301="",L301=""),"",IF(B301=1,L301,IFERROR(SUMIFS($G$2:$G$1001,$A$2:$A$1001,A301,$B$2:$B$1001,B301-1),0)))</f>
        <v/>
      </c>
      <c r="N301" s="25" t="str">
        <f aca="false">IF(OR(L301="",M301=""),"",MIN(L301,M301))</f>
        <v/>
      </c>
      <c r="O301" s="25" t="str">
        <f aca="false">IF(OR(I301="",G301=""),"",I301+G301)</f>
        <v/>
      </c>
      <c r="P301" s="24" t="str">
        <f aca="false">IF(OR(O301="",O301=0),"",(J301+H301)/O301)</f>
        <v/>
      </c>
      <c r="Q301" s="24" t="str">
        <f aca="false">IF(OR(O301="",E301=""),"",MAX(J301+H301-E301*O301,0))</f>
        <v/>
      </c>
      <c r="R301" s="26" t="str">
        <f aca="false">IF(A301="","",IF(COUNTIF(_TradeIds,A301)=0,"违规：交易编号不存在",IF(OR(B301="",B301&lt;1,B301&gt;5,B301&lt;&gt;INT(B301)),"违规：加仓序号须为1到5的整数",IF(COUNTIFS($A$2:$A$1001,A301,$B$2:$B$1001,B301)&gt;1,"违规：同一交易的加仓序号重复",IF(OR(D301="",E301="",F301=""),"计划不完整：请填写加仓价、新止损价和风险预算",IF(OR(D301&lt;=0,E301&lt;=0,F301&lt;=0,D301&lt;=E301),"违规：加仓价必须高于新止损价，金额须大于0",IF(AND(B301&gt;1,COUNTIFS($A$2:$A$1001,A301,$B$2:$B$1001,B301-1,$G$2:$G$1001,"&gt;0")=0),"违规：须先完成上一次加仓",IF(AND(B301&gt;1,E301&lt;SUMIFS($E$2:$E$1001,$A$2:$A$1001,A301,$B$2:$B$1001,B301-1)),"违规：新止损价不得低于上一次",IF(AND(B301&gt;1,F301&gt;SUMIFS($F$2:$F$1001,$A$2:$A$1001,A301,$B$2:$B$1001,B301-1)),"违规：风险预算须逐次不增加",IF(OR(_LockStatus="已锁仓",_LockStatus="解锁信息不完整"),"违规：锁仓期间禁止加仓",IF(G301="","计划可执行：建议股数见N列",IF(OR(G301&lt;=0,G301&lt;&gt;INT(G301),MOD(G301,100)&lt;&gt;0),"违规：实际股数须为100股整数倍",IF(G301&gt;N301,"违规：实际股数超过风险或金字塔上限",IF(AND(B301&gt;1,G301&gt;SUMIFS($G$2:$G$1001,$A$2:$A$1001,A301,$B$2:$B$1001,B301-1)),"违规：加仓股数须逐次不增加",IF(Q301&gt;F301,"违规：止损风险超过本次预算","通过")))))))))))))))</f>
        <v/>
      </c>
    </row>
    <row r="302" customFormat="false" ht="15" hidden="false" customHeight="false" outlineLevel="0" collapsed="false">
      <c r="A302" s="20"/>
      <c r="B302" s="21"/>
      <c r="C302" s="22"/>
      <c r="D302" s="23"/>
      <c r="E302" s="23"/>
      <c r="F302" s="23"/>
      <c r="G302" s="21"/>
      <c r="H302" s="24" t="str">
        <f aca="false">IF(OR(A302="",D302="",G302=""),"",D302*G302)</f>
        <v/>
      </c>
      <c r="I302" s="25" t="str">
        <f aca="false">IF(OR(A302="",B302=""),"",IFERROR(LOOKUP(2,1/(单次交易!$A$2:$A$201=A302),单次交易!$H$2:$H$201),0)+SUMIFS($G$2:$G$1001,$A$2:$A$1001,A302,$B$2:$B$1001,"&lt;"&amp;B302))</f>
        <v/>
      </c>
      <c r="J302" s="24" t="str">
        <f aca="false">IF(OR(A302="",B302=""),"",IFERROR(LOOKUP(2,1/(单次交易!$A$2:$A$201=A302),单次交易!$E$2:$E$201)*LOOKUP(2,1/(单次交易!$A$2:$A$201=A302),单次交易!$H$2:$H$201),0)+SUMIFS($H$2:$H$1001,$A$2:$A$1001,A302,$B$2:$B$1001,"&lt;"&amp;B302))</f>
        <v/>
      </c>
      <c r="K302" s="24" t="str">
        <f aca="false">IF(OR(E302="",I302="",J302=""),"",MAX(E302*I302-J302,0))</f>
        <v/>
      </c>
      <c r="L302" s="25" t="str">
        <f aca="false">IF(OR(D302="",E302="",F302="",D302&lt;=E302),"",FLOOR((F302+K302)/(D302-E302),100))</f>
        <v/>
      </c>
      <c r="M302" s="25" t="str">
        <f aca="false">IF(OR(A302="",B302="",L302=""),"",IF(B302=1,L302,IFERROR(SUMIFS($G$2:$G$1001,$A$2:$A$1001,A302,$B$2:$B$1001,B302-1),0)))</f>
        <v/>
      </c>
      <c r="N302" s="25" t="str">
        <f aca="false">IF(OR(L302="",M302=""),"",MIN(L302,M302))</f>
        <v/>
      </c>
      <c r="O302" s="25" t="str">
        <f aca="false">IF(OR(I302="",G302=""),"",I302+G302)</f>
        <v/>
      </c>
      <c r="P302" s="24" t="str">
        <f aca="false">IF(OR(O302="",O302=0),"",(J302+H302)/O302)</f>
        <v/>
      </c>
      <c r="Q302" s="24" t="str">
        <f aca="false">IF(OR(O302="",E302=""),"",MAX(J302+H302-E302*O302,0))</f>
        <v/>
      </c>
      <c r="R302" s="26" t="str">
        <f aca="false">IF(A302="","",IF(COUNTIF(_TradeIds,A302)=0,"违规：交易编号不存在",IF(OR(B302="",B302&lt;1,B302&gt;5,B302&lt;&gt;INT(B302)),"违规：加仓序号须为1到5的整数",IF(COUNTIFS($A$2:$A$1001,A302,$B$2:$B$1001,B302)&gt;1,"违规：同一交易的加仓序号重复",IF(OR(D302="",E302="",F302=""),"计划不完整：请填写加仓价、新止损价和风险预算",IF(OR(D302&lt;=0,E302&lt;=0,F302&lt;=0,D302&lt;=E302),"违规：加仓价必须高于新止损价，金额须大于0",IF(AND(B302&gt;1,COUNTIFS($A$2:$A$1001,A302,$B$2:$B$1001,B302-1,$G$2:$G$1001,"&gt;0")=0),"违规：须先完成上一次加仓",IF(AND(B302&gt;1,E302&lt;SUMIFS($E$2:$E$1001,$A$2:$A$1001,A302,$B$2:$B$1001,B302-1)),"违规：新止损价不得低于上一次",IF(AND(B302&gt;1,F302&gt;SUMIFS($F$2:$F$1001,$A$2:$A$1001,A302,$B$2:$B$1001,B302-1)),"违规：风险预算须逐次不增加",IF(OR(_LockStatus="已锁仓",_LockStatus="解锁信息不完整"),"违规：锁仓期间禁止加仓",IF(G302="","计划可执行：建议股数见N列",IF(OR(G302&lt;=0,G302&lt;&gt;INT(G302),MOD(G302,100)&lt;&gt;0),"违规：实际股数须为100股整数倍",IF(G302&gt;N302,"违规：实际股数超过风险或金字塔上限",IF(AND(B302&gt;1,G302&gt;SUMIFS($G$2:$G$1001,$A$2:$A$1001,A302,$B$2:$B$1001,B302-1)),"违规：加仓股数须逐次不增加",IF(Q302&gt;F302,"违规：止损风险超过本次预算","通过")))))))))))))))</f>
        <v/>
      </c>
    </row>
    <row r="303" customFormat="false" ht="15" hidden="false" customHeight="false" outlineLevel="0" collapsed="false">
      <c r="A303" s="20"/>
      <c r="B303" s="21"/>
      <c r="C303" s="22"/>
      <c r="D303" s="23"/>
      <c r="E303" s="23"/>
      <c r="F303" s="23"/>
      <c r="G303" s="21"/>
      <c r="H303" s="24" t="str">
        <f aca="false">IF(OR(A303="",D303="",G303=""),"",D303*G303)</f>
        <v/>
      </c>
      <c r="I303" s="25" t="str">
        <f aca="false">IF(OR(A303="",B303=""),"",IFERROR(LOOKUP(2,1/(单次交易!$A$2:$A$201=A303),单次交易!$H$2:$H$201),0)+SUMIFS($G$2:$G$1001,$A$2:$A$1001,A303,$B$2:$B$1001,"&lt;"&amp;B303))</f>
        <v/>
      </c>
      <c r="J303" s="24" t="str">
        <f aca="false">IF(OR(A303="",B303=""),"",IFERROR(LOOKUP(2,1/(单次交易!$A$2:$A$201=A303),单次交易!$E$2:$E$201)*LOOKUP(2,1/(单次交易!$A$2:$A$201=A303),单次交易!$H$2:$H$201),0)+SUMIFS($H$2:$H$1001,$A$2:$A$1001,A303,$B$2:$B$1001,"&lt;"&amp;B303))</f>
        <v/>
      </c>
      <c r="K303" s="24" t="str">
        <f aca="false">IF(OR(E303="",I303="",J303=""),"",MAX(E303*I303-J303,0))</f>
        <v/>
      </c>
      <c r="L303" s="25" t="str">
        <f aca="false">IF(OR(D303="",E303="",F303="",D303&lt;=E303),"",FLOOR((F303+K303)/(D303-E303),100))</f>
        <v/>
      </c>
      <c r="M303" s="25" t="str">
        <f aca="false">IF(OR(A303="",B303="",L303=""),"",IF(B303=1,L303,IFERROR(SUMIFS($G$2:$G$1001,$A$2:$A$1001,A303,$B$2:$B$1001,B303-1),0)))</f>
        <v/>
      </c>
      <c r="N303" s="25" t="str">
        <f aca="false">IF(OR(L303="",M303=""),"",MIN(L303,M303))</f>
        <v/>
      </c>
      <c r="O303" s="25" t="str">
        <f aca="false">IF(OR(I303="",G303=""),"",I303+G303)</f>
        <v/>
      </c>
      <c r="P303" s="24" t="str">
        <f aca="false">IF(OR(O303="",O303=0),"",(J303+H303)/O303)</f>
        <v/>
      </c>
      <c r="Q303" s="24" t="str">
        <f aca="false">IF(OR(O303="",E303=""),"",MAX(J303+H303-E303*O303,0))</f>
        <v/>
      </c>
      <c r="R303" s="26" t="str">
        <f aca="false">IF(A303="","",IF(COUNTIF(_TradeIds,A303)=0,"违规：交易编号不存在",IF(OR(B303="",B303&lt;1,B303&gt;5,B303&lt;&gt;INT(B303)),"违规：加仓序号须为1到5的整数",IF(COUNTIFS($A$2:$A$1001,A303,$B$2:$B$1001,B303)&gt;1,"违规：同一交易的加仓序号重复",IF(OR(D303="",E303="",F303=""),"计划不完整：请填写加仓价、新止损价和风险预算",IF(OR(D303&lt;=0,E303&lt;=0,F303&lt;=0,D303&lt;=E303),"违规：加仓价必须高于新止损价，金额须大于0",IF(AND(B303&gt;1,COUNTIFS($A$2:$A$1001,A303,$B$2:$B$1001,B303-1,$G$2:$G$1001,"&gt;0")=0),"违规：须先完成上一次加仓",IF(AND(B303&gt;1,E303&lt;SUMIFS($E$2:$E$1001,$A$2:$A$1001,A303,$B$2:$B$1001,B303-1)),"违规：新止损价不得低于上一次",IF(AND(B303&gt;1,F303&gt;SUMIFS($F$2:$F$1001,$A$2:$A$1001,A303,$B$2:$B$1001,B303-1)),"违规：风险预算须逐次不增加",IF(OR(_LockStatus="已锁仓",_LockStatus="解锁信息不完整"),"违规：锁仓期间禁止加仓",IF(G303="","计划可执行：建议股数见N列",IF(OR(G303&lt;=0,G303&lt;&gt;INT(G303),MOD(G303,100)&lt;&gt;0),"违规：实际股数须为100股整数倍",IF(G303&gt;N303,"违规：实际股数超过风险或金字塔上限",IF(AND(B303&gt;1,G303&gt;SUMIFS($G$2:$G$1001,$A$2:$A$1001,A303,$B$2:$B$1001,B303-1)),"违规：加仓股数须逐次不增加",IF(Q303&gt;F303,"违规：止损风险超过本次预算","通过")))))))))))))))</f>
        <v/>
      </c>
    </row>
    <row r="304" customFormat="false" ht="15" hidden="false" customHeight="false" outlineLevel="0" collapsed="false">
      <c r="A304" s="20"/>
      <c r="B304" s="21"/>
      <c r="C304" s="22"/>
      <c r="D304" s="23"/>
      <c r="E304" s="23"/>
      <c r="F304" s="23"/>
      <c r="G304" s="21"/>
      <c r="H304" s="24" t="str">
        <f aca="false">IF(OR(A304="",D304="",G304=""),"",D304*G304)</f>
        <v/>
      </c>
      <c r="I304" s="25" t="str">
        <f aca="false">IF(OR(A304="",B304=""),"",IFERROR(LOOKUP(2,1/(单次交易!$A$2:$A$201=A304),单次交易!$H$2:$H$201),0)+SUMIFS($G$2:$G$1001,$A$2:$A$1001,A304,$B$2:$B$1001,"&lt;"&amp;B304))</f>
        <v/>
      </c>
      <c r="J304" s="24" t="str">
        <f aca="false">IF(OR(A304="",B304=""),"",IFERROR(LOOKUP(2,1/(单次交易!$A$2:$A$201=A304),单次交易!$E$2:$E$201)*LOOKUP(2,1/(单次交易!$A$2:$A$201=A304),单次交易!$H$2:$H$201),0)+SUMIFS($H$2:$H$1001,$A$2:$A$1001,A304,$B$2:$B$1001,"&lt;"&amp;B304))</f>
        <v/>
      </c>
      <c r="K304" s="24" t="str">
        <f aca="false">IF(OR(E304="",I304="",J304=""),"",MAX(E304*I304-J304,0))</f>
        <v/>
      </c>
      <c r="L304" s="25" t="str">
        <f aca="false">IF(OR(D304="",E304="",F304="",D304&lt;=E304),"",FLOOR((F304+K304)/(D304-E304),100))</f>
        <v/>
      </c>
      <c r="M304" s="25" t="str">
        <f aca="false">IF(OR(A304="",B304="",L304=""),"",IF(B304=1,L304,IFERROR(SUMIFS($G$2:$G$1001,$A$2:$A$1001,A304,$B$2:$B$1001,B304-1),0)))</f>
        <v/>
      </c>
      <c r="N304" s="25" t="str">
        <f aca="false">IF(OR(L304="",M304=""),"",MIN(L304,M304))</f>
        <v/>
      </c>
      <c r="O304" s="25" t="str">
        <f aca="false">IF(OR(I304="",G304=""),"",I304+G304)</f>
        <v/>
      </c>
      <c r="P304" s="24" t="str">
        <f aca="false">IF(OR(O304="",O304=0),"",(J304+H304)/O304)</f>
        <v/>
      </c>
      <c r="Q304" s="24" t="str">
        <f aca="false">IF(OR(O304="",E304=""),"",MAX(J304+H304-E304*O304,0))</f>
        <v/>
      </c>
      <c r="R304" s="26" t="str">
        <f aca="false">IF(A304="","",IF(COUNTIF(_TradeIds,A304)=0,"违规：交易编号不存在",IF(OR(B304="",B304&lt;1,B304&gt;5,B304&lt;&gt;INT(B304)),"违规：加仓序号须为1到5的整数",IF(COUNTIFS($A$2:$A$1001,A304,$B$2:$B$1001,B304)&gt;1,"违规：同一交易的加仓序号重复",IF(OR(D304="",E304="",F304=""),"计划不完整：请填写加仓价、新止损价和风险预算",IF(OR(D304&lt;=0,E304&lt;=0,F304&lt;=0,D304&lt;=E304),"违规：加仓价必须高于新止损价，金额须大于0",IF(AND(B304&gt;1,COUNTIFS($A$2:$A$1001,A304,$B$2:$B$1001,B304-1,$G$2:$G$1001,"&gt;0")=0),"违规：须先完成上一次加仓",IF(AND(B304&gt;1,E304&lt;SUMIFS($E$2:$E$1001,$A$2:$A$1001,A304,$B$2:$B$1001,B304-1)),"违规：新止损价不得低于上一次",IF(AND(B304&gt;1,F304&gt;SUMIFS($F$2:$F$1001,$A$2:$A$1001,A304,$B$2:$B$1001,B304-1)),"违规：风险预算须逐次不增加",IF(OR(_LockStatus="已锁仓",_LockStatus="解锁信息不完整"),"违规：锁仓期间禁止加仓",IF(G304="","计划可执行：建议股数见N列",IF(OR(G304&lt;=0,G304&lt;&gt;INT(G304),MOD(G304,100)&lt;&gt;0),"违规：实际股数须为100股整数倍",IF(G304&gt;N304,"违规：实际股数超过风险或金字塔上限",IF(AND(B304&gt;1,G304&gt;SUMIFS($G$2:$G$1001,$A$2:$A$1001,A304,$B$2:$B$1001,B304-1)),"违规：加仓股数须逐次不增加",IF(Q304&gt;F304,"违规：止损风险超过本次预算","通过")))))))))))))))</f>
        <v/>
      </c>
    </row>
    <row r="305" customFormat="false" ht="15" hidden="false" customHeight="false" outlineLevel="0" collapsed="false">
      <c r="A305" s="20"/>
      <c r="B305" s="21"/>
      <c r="C305" s="22"/>
      <c r="D305" s="23"/>
      <c r="E305" s="23"/>
      <c r="F305" s="23"/>
      <c r="G305" s="21"/>
      <c r="H305" s="24" t="str">
        <f aca="false">IF(OR(A305="",D305="",G305=""),"",D305*G305)</f>
        <v/>
      </c>
      <c r="I305" s="25" t="str">
        <f aca="false">IF(OR(A305="",B305=""),"",IFERROR(LOOKUP(2,1/(单次交易!$A$2:$A$201=A305),单次交易!$H$2:$H$201),0)+SUMIFS($G$2:$G$1001,$A$2:$A$1001,A305,$B$2:$B$1001,"&lt;"&amp;B305))</f>
        <v/>
      </c>
      <c r="J305" s="24" t="str">
        <f aca="false">IF(OR(A305="",B305=""),"",IFERROR(LOOKUP(2,1/(单次交易!$A$2:$A$201=A305),单次交易!$E$2:$E$201)*LOOKUP(2,1/(单次交易!$A$2:$A$201=A305),单次交易!$H$2:$H$201),0)+SUMIFS($H$2:$H$1001,$A$2:$A$1001,A305,$B$2:$B$1001,"&lt;"&amp;B305))</f>
        <v/>
      </c>
      <c r="K305" s="24" t="str">
        <f aca="false">IF(OR(E305="",I305="",J305=""),"",MAX(E305*I305-J305,0))</f>
        <v/>
      </c>
      <c r="L305" s="25" t="str">
        <f aca="false">IF(OR(D305="",E305="",F305="",D305&lt;=E305),"",FLOOR((F305+K305)/(D305-E305),100))</f>
        <v/>
      </c>
      <c r="M305" s="25" t="str">
        <f aca="false">IF(OR(A305="",B305="",L305=""),"",IF(B305=1,L305,IFERROR(SUMIFS($G$2:$G$1001,$A$2:$A$1001,A305,$B$2:$B$1001,B305-1),0)))</f>
        <v/>
      </c>
      <c r="N305" s="25" t="str">
        <f aca="false">IF(OR(L305="",M305=""),"",MIN(L305,M305))</f>
        <v/>
      </c>
      <c r="O305" s="25" t="str">
        <f aca="false">IF(OR(I305="",G305=""),"",I305+G305)</f>
        <v/>
      </c>
      <c r="P305" s="24" t="str">
        <f aca="false">IF(OR(O305="",O305=0),"",(J305+H305)/O305)</f>
        <v/>
      </c>
      <c r="Q305" s="24" t="str">
        <f aca="false">IF(OR(O305="",E305=""),"",MAX(J305+H305-E305*O305,0))</f>
        <v/>
      </c>
      <c r="R305" s="26" t="str">
        <f aca="false">IF(A305="","",IF(COUNTIF(_TradeIds,A305)=0,"违规：交易编号不存在",IF(OR(B305="",B305&lt;1,B305&gt;5,B305&lt;&gt;INT(B305)),"违规：加仓序号须为1到5的整数",IF(COUNTIFS($A$2:$A$1001,A305,$B$2:$B$1001,B305)&gt;1,"违规：同一交易的加仓序号重复",IF(OR(D305="",E305="",F305=""),"计划不完整：请填写加仓价、新止损价和风险预算",IF(OR(D305&lt;=0,E305&lt;=0,F305&lt;=0,D305&lt;=E305),"违规：加仓价必须高于新止损价，金额须大于0",IF(AND(B305&gt;1,COUNTIFS($A$2:$A$1001,A305,$B$2:$B$1001,B305-1,$G$2:$G$1001,"&gt;0")=0),"违规：须先完成上一次加仓",IF(AND(B305&gt;1,E305&lt;SUMIFS($E$2:$E$1001,$A$2:$A$1001,A305,$B$2:$B$1001,B305-1)),"违规：新止损价不得低于上一次",IF(AND(B305&gt;1,F305&gt;SUMIFS($F$2:$F$1001,$A$2:$A$1001,A305,$B$2:$B$1001,B305-1)),"违规：风险预算须逐次不增加",IF(OR(_LockStatus="已锁仓",_LockStatus="解锁信息不完整"),"违规：锁仓期间禁止加仓",IF(G305="","计划可执行：建议股数见N列",IF(OR(G305&lt;=0,G305&lt;&gt;INT(G305),MOD(G305,100)&lt;&gt;0),"违规：实际股数须为100股整数倍",IF(G305&gt;N305,"违规：实际股数超过风险或金字塔上限",IF(AND(B305&gt;1,G305&gt;SUMIFS($G$2:$G$1001,$A$2:$A$1001,A305,$B$2:$B$1001,B305-1)),"违规：加仓股数须逐次不增加",IF(Q305&gt;F305,"违规：止损风险超过本次预算","通过")))))))))))))))</f>
        <v/>
      </c>
    </row>
    <row r="306" customFormat="false" ht="15" hidden="false" customHeight="false" outlineLevel="0" collapsed="false">
      <c r="A306" s="20"/>
      <c r="B306" s="21"/>
      <c r="C306" s="22"/>
      <c r="D306" s="23"/>
      <c r="E306" s="23"/>
      <c r="F306" s="23"/>
      <c r="G306" s="21"/>
      <c r="H306" s="24" t="str">
        <f aca="false">IF(OR(A306="",D306="",G306=""),"",D306*G306)</f>
        <v/>
      </c>
      <c r="I306" s="25" t="str">
        <f aca="false">IF(OR(A306="",B306=""),"",IFERROR(LOOKUP(2,1/(单次交易!$A$2:$A$201=A306),单次交易!$H$2:$H$201),0)+SUMIFS($G$2:$G$1001,$A$2:$A$1001,A306,$B$2:$B$1001,"&lt;"&amp;B306))</f>
        <v/>
      </c>
      <c r="J306" s="24" t="str">
        <f aca="false">IF(OR(A306="",B306=""),"",IFERROR(LOOKUP(2,1/(单次交易!$A$2:$A$201=A306),单次交易!$E$2:$E$201)*LOOKUP(2,1/(单次交易!$A$2:$A$201=A306),单次交易!$H$2:$H$201),0)+SUMIFS($H$2:$H$1001,$A$2:$A$1001,A306,$B$2:$B$1001,"&lt;"&amp;B306))</f>
        <v/>
      </c>
      <c r="K306" s="24" t="str">
        <f aca="false">IF(OR(E306="",I306="",J306=""),"",MAX(E306*I306-J306,0))</f>
        <v/>
      </c>
      <c r="L306" s="25" t="str">
        <f aca="false">IF(OR(D306="",E306="",F306="",D306&lt;=E306),"",FLOOR((F306+K306)/(D306-E306),100))</f>
        <v/>
      </c>
      <c r="M306" s="25" t="str">
        <f aca="false">IF(OR(A306="",B306="",L306=""),"",IF(B306=1,L306,IFERROR(SUMIFS($G$2:$G$1001,$A$2:$A$1001,A306,$B$2:$B$1001,B306-1),0)))</f>
        <v/>
      </c>
      <c r="N306" s="25" t="str">
        <f aca="false">IF(OR(L306="",M306=""),"",MIN(L306,M306))</f>
        <v/>
      </c>
      <c r="O306" s="25" t="str">
        <f aca="false">IF(OR(I306="",G306=""),"",I306+G306)</f>
        <v/>
      </c>
      <c r="P306" s="24" t="str">
        <f aca="false">IF(OR(O306="",O306=0),"",(J306+H306)/O306)</f>
        <v/>
      </c>
      <c r="Q306" s="24" t="str">
        <f aca="false">IF(OR(O306="",E306=""),"",MAX(J306+H306-E306*O306,0))</f>
        <v/>
      </c>
      <c r="R306" s="26" t="str">
        <f aca="false">IF(A306="","",IF(COUNTIF(_TradeIds,A306)=0,"违规：交易编号不存在",IF(OR(B306="",B306&lt;1,B306&gt;5,B306&lt;&gt;INT(B306)),"违规：加仓序号须为1到5的整数",IF(COUNTIFS($A$2:$A$1001,A306,$B$2:$B$1001,B306)&gt;1,"违规：同一交易的加仓序号重复",IF(OR(D306="",E306="",F306=""),"计划不完整：请填写加仓价、新止损价和风险预算",IF(OR(D306&lt;=0,E306&lt;=0,F306&lt;=0,D306&lt;=E306),"违规：加仓价必须高于新止损价，金额须大于0",IF(AND(B306&gt;1,COUNTIFS($A$2:$A$1001,A306,$B$2:$B$1001,B306-1,$G$2:$G$1001,"&gt;0")=0),"违规：须先完成上一次加仓",IF(AND(B306&gt;1,E306&lt;SUMIFS($E$2:$E$1001,$A$2:$A$1001,A306,$B$2:$B$1001,B306-1)),"违规：新止损价不得低于上一次",IF(AND(B306&gt;1,F306&gt;SUMIFS($F$2:$F$1001,$A$2:$A$1001,A306,$B$2:$B$1001,B306-1)),"违规：风险预算须逐次不增加",IF(OR(_LockStatus="已锁仓",_LockStatus="解锁信息不完整"),"违规：锁仓期间禁止加仓",IF(G306="","计划可执行：建议股数见N列",IF(OR(G306&lt;=0,G306&lt;&gt;INT(G306),MOD(G306,100)&lt;&gt;0),"违规：实际股数须为100股整数倍",IF(G306&gt;N306,"违规：实际股数超过风险或金字塔上限",IF(AND(B306&gt;1,G306&gt;SUMIFS($G$2:$G$1001,$A$2:$A$1001,A306,$B$2:$B$1001,B306-1)),"违规：加仓股数须逐次不增加",IF(Q306&gt;F306,"违规：止损风险超过本次预算","通过")))))))))))))))</f>
        <v/>
      </c>
    </row>
    <row r="307" customFormat="false" ht="15" hidden="false" customHeight="false" outlineLevel="0" collapsed="false">
      <c r="A307" s="20"/>
      <c r="B307" s="21"/>
      <c r="C307" s="22"/>
      <c r="D307" s="23"/>
      <c r="E307" s="23"/>
      <c r="F307" s="23"/>
      <c r="G307" s="21"/>
      <c r="H307" s="24" t="str">
        <f aca="false">IF(OR(A307="",D307="",G307=""),"",D307*G307)</f>
        <v/>
      </c>
      <c r="I307" s="25" t="str">
        <f aca="false">IF(OR(A307="",B307=""),"",IFERROR(LOOKUP(2,1/(单次交易!$A$2:$A$201=A307),单次交易!$H$2:$H$201),0)+SUMIFS($G$2:$G$1001,$A$2:$A$1001,A307,$B$2:$B$1001,"&lt;"&amp;B307))</f>
        <v/>
      </c>
      <c r="J307" s="24" t="str">
        <f aca="false">IF(OR(A307="",B307=""),"",IFERROR(LOOKUP(2,1/(单次交易!$A$2:$A$201=A307),单次交易!$E$2:$E$201)*LOOKUP(2,1/(单次交易!$A$2:$A$201=A307),单次交易!$H$2:$H$201),0)+SUMIFS($H$2:$H$1001,$A$2:$A$1001,A307,$B$2:$B$1001,"&lt;"&amp;B307))</f>
        <v/>
      </c>
      <c r="K307" s="24" t="str">
        <f aca="false">IF(OR(E307="",I307="",J307=""),"",MAX(E307*I307-J307,0))</f>
        <v/>
      </c>
      <c r="L307" s="25" t="str">
        <f aca="false">IF(OR(D307="",E307="",F307="",D307&lt;=E307),"",FLOOR((F307+K307)/(D307-E307),100))</f>
        <v/>
      </c>
      <c r="M307" s="25" t="str">
        <f aca="false">IF(OR(A307="",B307="",L307=""),"",IF(B307=1,L307,IFERROR(SUMIFS($G$2:$G$1001,$A$2:$A$1001,A307,$B$2:$B$1001,B307-1),0)))</f>
        <v/>
      </c>
      <c r="N307" s="25" t="str">
        <f aca="false">IF(OR(L307="",M307=""),"",MIN(L307,M307))</f>
        <v/>
      </c>
      <c r="O307" s="25" t="str">
        <f aca="false">IF(OR(I307="",G307=""),"",I307+G307)</f>
        <v/>
      </c>
      <c r="P307" s="24" t="str">
        <f aca="false">IF(OR(O307="",O307=0),"",(J307+H307)/O307)</f>
        <v/>
      </c>
      <c r="Q307" s="24" t="str">
        <f aca="false">IF(OR(O307="",E307=""),"",MAX(J307+H307-E307*O307,0))</f>
        <v/>
      </c>
      <c r="R307" s="26" t="str">
        <f aca="false">IF(A307="","",IF(COUNTIF(_TradeIds,A307)=0,"违规：交易编号不存在",IF(OR(B307="",B307&lt;1,B307&gt;5,B307&lt;&gt;INT(B307)),"违规：加仓序号须为1到5的整数",IF(COUNTIFS($A$2:$A$1001,A307,$B$2:$B$1001,B307)&gt;1,"违规：同一交易的加仓序号重复",IF(OR(D307="",E307="",F307=""),"计划不完整：请填写加仓价、新止损价和风险预算",IF(OR(D307&lt;=0,E307&lt;=0,F307&lt;=0,D307&lt;=E307),"违规：加仓价必须高于新止损价，金额须大于0",IF(AND(B307&gt;1,COUNTIFS($A$2:$A$1001,A307,$B$2:$B$1001,B307-1,$G$2:$G$1001,"&gt;0")=0),"违规：须先完成上一次加仓",IF(AND(B307&gt;1,E307&lt;SUMIFS($E$2:$E$1001,$A$2:$A$1001,A307,$B$2:$B$1001,B307-1)),"违规：新止损价不得低于上一次",IF(AND(B307&gt;1,F307&gt;SUMIFS($F$2:$F$1001,$A$2:$A$1001,A307,$B$2:$B$1001,B307-1)),"违规：风险预算须逐次不增加",IF(OR(_LockStatus="已锁仓",_LockStatus="解锁信息不完整"),"违规：锁仓期间禁止加仓",IF(G307="","计划可执行：建议股数见N列",IF(OR(G307&lt;=0,G307&lt;&gt;INT(G307),MOD(G307,100)&lt;&gt;0),"违规：实际股数须为100股整数倍",IF(G307&gt;N307,"违规：实际股数超过风险或金字塔上限",IF(AND(B307&gt;1,G307&gt;SUMIFS($G$2:$G$1001,$A$2:$A$1001,A307,$B$2:$B$1001,B307-1)),"违规：加仓股数须逐次不增加",IF(Q307&gt;F307,"违规：止损风险超过本次预算","通过")))))))))))))))</f>
        <v/>
      </c>
    </row>
    <row r="308" customFormat="false" ht="15" hidden="false" customHeight="false" outlineLevel="0" collapsed="false">
      <c r="A308" s="20"/>
      <c r="B308" s="21"/>
      <c r="C308" s="22"/>
      <c r="D308" s="23"/>
      <c r="E308" s="23"/>
      <c r="F308" s="23"/>
      <c r="G308" s="21"/>
      <c r="H308" s="24" t="str">
        <f aca="false">IF(OR(A308="",D308="",G308=""),"",D308*G308)</f>
        <v/>
      </c>
      <c r="I308" s="25" t="str">
        <f aca="false">IF(OR(A308="",B308=""),"",IFERROR(LOOKUP(2,1/(单次交易!$A$2:$A$201=A308),单次交易!$H$2:$H$201),0)+SUMIFS($G$2:$G$1001,$A$2:$A$1001,A308,$B$2:$B$1001,"&lt;"&amp;B308))</f>
        <v/>
      </c>
      <c r="J308" s="24" t="str">
        <f aca="false">IF(OR(A308="",B308=""),"",IFERROR(LOOKUP(2,1/(单次交易!$A$2:$A$201=A308),单次交易!$E$2:$E$201)*LOOKUP(2,1/(单次交易!$A$2:$A$201=A308),单次交易!$H$2:$H$201),0)+SUMIFS($H$2:$H$1001,$A$2:$A$1001,A308,$B$2:$B$1001,"&lt;"&amp;B308))</f>
        <v/>
      </c>
      <c r="K308" s="24" t="str">
        <f aca="false">IF(OR(E308="",I308="",J308=""),"",MAX(E308*I308-J308,0))</f>
        <v/>
      </c>
      <c r="L308" s="25" t="str">
        <f aca="false">IF(OR(D308="",E308="",F308="",D308&lt;=E308),"",FLOOR((F308+K308)/(D308-E308),100))</f>
        <v/>
      </c>
      <c r="M308" s="25" t="str">
        <f aca="false">IF(OR(A308="",B308="",L308=""),"",IF(B308=1,L308,IFERROR(SUMIFS($G$2:$G$1001,$A$2:$A$1001,A308,$B$2:$B$1001,B308-1),0)))</f>
        <v/>
      </c>
      <c r="N308" s="25" t="str">
        <f aca="false">IF(OR(L308="",M308=""),"",MIN(L308,M308))</f>
        <v/>
      </c>
      <c r="O308" s="25" t="str">
        <f aca="false">IF(OR(I308="",G308=""),"",I308+G308)</f>
        <v/>
      </c>
      <c r="P308" s="24" t="str">
        <f aca="false">IF(OR(O308="",O308=0),"",(J308+H308)/O308)</f>
        <v/>
      </c>
      <c r="Q308" s="24" t="str">
        <f aca="false">IF(OR(O308="",E308=""),"",MAX(J308+H308-E308*O308,0))</f>
        <v/>
      </c>
      <c r="R308" s="26" t="str">
        <f aca="false">IF(A308="","",IF(COUNTIF(_TradeIds,A308)=0,"违规：交易编号不存在",IF(OR(B308="",B308&lt;1,B308&gt;5,B308&lt;&gt;INT(B308)),"违规：加仓序号须为1到5的整数",IF(COUNTIFS($A$2:$A$1001,A308,$B$2:$B$1001,B308)&gt;1,"违规：同一交易的加仓序号重复",IF(OR(D308="",E308="",F308=""),"计划不完整：请填写加仓价、新止损价和风险预算",IF(OR(D308&lt;=0,E308&lt;=0,F308&lt;=0,D308&lt;=E308),"违规：加仓价必须高于新止损价，金额须大于0",IF(AND(B308&gt;1,COUNTIFS($A$2:$A$1001,A308,$B$2:$B$1001,B308-1,$G$2:$G$1001,"&gt;0")=0),"违规：须先完成上一次加仓",IF(AND(B308&gt;1,E308&lt;SUMIFS($E$2:$E$1001,$A$2:$A$1001,A308,$B$2:$B$1001,B308-1)),"违规：新止损价不得低于上一次",IF(AND(B308&gt;1,F308&gt;SUMIFS($F$2:$F$1001,$A$2:$A$1001,A308,$B$2:$B$1001,B308-1)),"违规：风险预算须逐次不增加",IF(OR(_LockStatus="已锁仓",_LockStatus="解锁信息不完整"),"违规：锁仓期间禁止加仓",IF(G308="","计划可执行：建议股数见N列",IF(OR(G308&lt;=0,G308&lt;&gt;INT(G308),MOD(G308,100)&lt;&gt;0),"违规：实际股数须为100股整数倍",IF(G308&gt;N308,"违规：实际股数超过风险或金字塔上限",IF(AND(B308&gt;1,G308&gt;SUMIFS($G$2:$G$1001,$A$2:$A$1001,A308,$B$2:$B$1001,B308-1)),"违规：加仓股数须逐次不增加",IF(Q308&gt;F308,"违规：止损风险超过本次预算","通过")))))))))))))))</f>
        <v/>
      </c>
    </row>
    <row r="309" customFormat="false" ht="15" hidden="false" customHeight="false" outlineLevel="0" collapsed="false">
      <c r="A309" s="20"/>
      <c r="B309" s="21"/>
      <c r="C309" s="22"/>
      <c r="D309" s="23"/>
      <c r="E309" s="23"/>
      <c r="F309" s="23"/>
      <c r="G309" s="21"/>
      <c r="H309" s="24" t="str">
        <f aca="false">IF(OR(A309="",D309="",G309=""),"",D309*G309)</f>
        <v/>
      </c>
      <c r="I309" s="25" t="str">
        <f aca="false">IF(OR(A309="",B309=""),"",IFERROR(LOOKUP(2,1/(单次交易!$A$2:$A$201=A309),单次交易!$H$2:$H$201),0)+SUMIFS($G$2:$G$1001,$A$2:$A$1001,A309,$B$2:$B$1001,"&lt;"&amp;B309))</f>
        <v/>
      </c>
      <c r="J309" s="24" t="str">
        <f aca="false">IF(OR(A309="",B309=""),"",IFERROR(LOOKUP(2,1/(单次交易!$A$2:$A$201=A309),单次交易!$E$2:$E$201)*LOOKUP(2,1/(单次交易!$A$2:$A$201=A309),单次交易!$H$2:$H$201),0)+SUMIFS($H$2:$H$1001,$A$2:$A$1001,A309,$B$2:$B$1001,"&lt;"&amp;B309))</f>
        <v/>
      </c>
      <c r="K309" s="24" t="str">
        <f aca="false">IF(OR(E309="",I309="",J309=""),"",MAX(E309*I309-J309,0))</f>
        <v/>
      </c>
      <c r="L309" s="25" t="str">
        <f aca="false">IF(OR(D309="",E309="",F309="",D309&lt;=E309),"",FLOOR((F309+K309)/(D309-E309),100))</f>
        <v/>
      </c>
      <c r="M309" s="25" t="str">
        <f aca="false">IF(OR(A309="",B309="",L309=""),"",IF(B309=1,L309,IFERROR(SUMIFS($G$2:$G$1001,$A$2:$A$1001,A309,$B$2:$B$1001,B309-1),0)))</f>
        <v/>
      </c>
      <c r="N309" s="25" t="str">
        <f aca="false">IF(OR(L309="",M309=""),"",MIN(L309,M309))</f>
        <v/>
      </c>
      <c r="O309" s="25" t="str">
        <f aca="false">IF(OR(I309="",G309=""),"",I309+G309)</f>
        <v/>
      </c>
      <c r="P309" s="24" t="str">
        <f aca="false">IF(OR(O309="",O309=0),"",(J309+H309)/O309)</f>
        <v/>
      </c>
      <c r="Q309" s="24" t="str">
        <f aca="false">IF(OR(O309="",E309=""),"",MAX(J309+H309-E309*O309,0))</f>
        <v/>
      </c>
      <c r="R309" s="26" t="str">
        <f aca="false">IF(A309="","",IF(COUNTIF(_TradeIds,A309)=0,"违规：交易编号不存在",IF(OR(B309="",B309&lt;1,B309&gt;5,B309&lt;&gt;INT(B309)),"违规：加仓序号须为1到5的整数",IF(COUNTIFS($A$2:$A$1001,A309,$B$2:$B$1001,B309)&gt;1,"违规：同一交易的加仓序号重复",IF(OR(D309="",E309="",F309=""),"计划不完整：请填写加仓价、新止损价和风险预算",IF(OR(D309&lt;=0,E309&lt;=0,F309&lt;=0,D309&lt;=E309),"违规：加仓价必须高于新止损价，金额须大于0",IF(AND(B309&gt;1,COUNTIFS($A$2:$A$1001,A309,$B$2:$B$1001,B309-1,$G$2:$G$1001,"&gt;0")=0),"违规：须先完成上一次加仓",IF(AND(B309&gt;1,E309&lt;SUMIFS($E$2:$E$1001,$A$2:$A$1001,A309,$B$2:$B$1001,B309-1)),"违规：新止损价不得低于上一次",IF(AND(B309&gt;1,F309&gt;SUMIFS($F$2:$F$1001,$A$2:$A$1001,A309,$B$2:$B$1001,B309-1)),"违规：风险预算须逐次不增加",IF(OR(_LockStatus="已锁仓",_LockStatus="解锁信息不完整"),"违规：锁仓期间禁止加仓",IF(G309="","计划可执行：建议股数见N列",IF(OR(G309&lt;=0,G309&lt;&gt;INT(G309),MOD(G309,100)&lt;&gt;0),"违规：实际股数须为100股整数倍",IF(G309&gt;N309,"违规：实际股数超过风险或金字塔上限",IF(AND(B309&gt;1,G309&gt;SUMIFS($G$2:$G$1001,$A$2:$A$1001,A309,$B$2:$B$1001,B309-1)),"违规：加仓股数须逐次不增加",IF(Q309&gt;F309,"违规：止损风险超过本次预算","通过")))))))))))))))</f>
        <v/>
      </c>
    </row>
    <row r="310" customFormat="false" ht="15" hidden="false" customHeight="false" outlineLevel="0" collapsed="false">
      <c r="A310" s="20"/>
      <c r="B310" s="21"/>
      <c r="C310" s="22"/>
      <c r="D310" s="23"/>
      <c r="E310" s="23"/>
      <c r="F310" s="23"/>
      <c r="G310" s="21"/>
      <c r="H310" s="24" t="str">
        <f aca="false">IF(OR(A310="",D310="",G310=""),"",D310*G310)</f>
        <v/>
      </c>
      <c r="I310" s="25" t="str">
        <f aca="false">IF(OR(A310="",B310=""),"",IFERROR(LOOKUP(2,1/(单次交易!$A$2:$A$201=A310),单次交易!$H$2:$H$201),0)+SUMIFS($G$2:$G$1001,$A$2:$A$1001,A310,$B$2:$B$1001,"&lt;"&amp;B310))</f>
        <v/>
      </c>
      <c r="J310" s="24" t="str">
        <f aca="false">IF(OR(A310="",B310=""),"",IFERROR(LOOKUP(2,1/(单次交易!$A$2:$A$201=A310),单次交易!$E$2:$E$201)*LOOKUP(2,1/(单次交易!$A$2:$A$201=A310),单次交易!$H$2:$H$201),0)+SUMIFS($H$2:$H$1001,$A$2:$A$1001,A310,$B$2:$B$1001,"&lt;"&amp;B310))</f>
        <v/>
      </c>
      <c r="K310" s="24" t="str">
        <f aca="false">IF(OR(E310="",I310="",J310=""),"",MAX(E310*I310-J310,0))</f>
        <v/>
      </c>
      <c r="L310" s="25" t="str">
        <f aca="false">IF(OR(D310="",E310="",F310="",D310&lt;=E310),"",FLOOR((F310+K310)/(D310-E310),100))</f>
        <v/>
      </c>
      <c r="M310" s="25" t="str">
        <f aca="false">IF(OR(A310="",B310="",L310=""),"",IF(B310=1,L310,IFERROR(SUMIFS($G$2:$G$1001,$A$2:$A$1001,A310,$B$2:$B$1001,B310-1),0)))</f>
        <v/>
      </c>
      <c r="N310" s="25" t="str">
        <f aca="false">IF(OR(L310="",M310=""),"",MIN(L310,M310))</f>
        <v/>
      </c>
      <c r="O310" s="25" t="str">
        <f aca="false">IF(OR(I310="",G310=""),"",I310+G310)</f>
        <v/>
      </c>
      <c r="P310" s="24" t="str">
        <f aca="false">IF(OR(O310="",O310=0),"",(J310+H310)/O310)</f>
        <v/>
      </c>
      <c r="Q310" s="24" t="str">
        <f aca="false">IF(OR(O310="",E310=""),"",MAX(J310+H310-E310*O310,0))</f>
        <v/>
      </c>
      <c r="R310" s="26" t="str">
        <f aca="false">IF(A310="","",IF(COUNTIF(_TradeIds,A310)=0,"违规：交易编号不存在",IF(OR(B310="",B310&lt;1,B310&gt;5,B310&lt;&gt;INT(B310)),"违规：加仓序号须为1到5的整数",IF(COUNTIFS($A$2:$A$1001,A310,$B$2:$B$1001,B310)&gt;1,"违规：同一交易的加仓序号重复",IF(OR(D310="",E310="",F310=""),"计划不完整：请填写加仓价、新止损价和风险预算",IF(OR(D310&lt;=0,E310&lt;=0,F310&lt;=0,D310&lt;=E310),"违规：加仓价必须高于新止损价，金额须大于0",IF(AND(B310&gt;1,COUNTIFS($A$2:$A$1001,A310,$B$2:$B$1001,B310-1,$G$2:$G$1001,"&gt;0")=0),"违规：须先完成上一次加仓",IF(AND(B310&gt;1,E310&lt;SUMIFS($E$2:$E$1001,$A$2:$A$1001,A310,$B$2:$B$1001,B310-1)),"违规：新止损价不得低于上一次",IF(AND(B310&gt;1,F310&gt;SUMIFS($F$2:$F$1001,$A$2:$A$1001,A310,$B$2:$B$1001,B310-1)),"违规：风险预算须逐次不增加",IF(OR(_LockStatus="已锁仓",_LockStatus="解锁信息不完整"),"违规：锁仓期间禁止加仓",IF(G310="","计划可执行：建议股数见N列",IF(OR(G310&lt;=0,G310&lt;&gt;INT(G310),MOD(G310,100)&lt;&gt;0),"违规：实际股数须为100股整数倍",IF(G310&gt;N310,"违规：实际股数超过风险或金字塔上限",IF(AND(B310&gt;1,G310&gt;SUMIFS($G$2:$G$1001,$A$2:$A$1001,A310,$B$2:$B$1001,B310-1)),"违规：加仓股数须逐次不增加",IF(Q310&gt;F310,"违规：止损风险超过本次预算","通过")))))))))))))))</f>
        <v/>
      </c>
    </row>
    <row r="311" customFormat="false" ht="15" hidden="false" customHeight="false" outlineLevel="0" collapsed="false">
      <c r="A311" s="20"/>
      <c r="B311" s="21"/>
      <c r="C311" s="22"/>
      <c r="D311" s="23"/>
      <c r="E311" s="23"/>
      <c r="F311" s="23"/>
      <c r="G311" s="21"/>
      <c r="H311" s="24" t="str">
        <f aca="false">IF(OR(A311="",D311="",G311=""),"",D311*G311)</f>
        <v/>
      </c>
      <c r="I311" s="25" t="str">
        <f aca="false">IF(OR(A311="",B311=""),"",IFERROR(LOOKUP(2,1/(单次交易!$A$2:$A$201=A311),单次交易!$H$2:$H$201),0)+SUMIFS($G$2:$G$1001,$A$2:$A$1001,A311,$B$2:$B$1001,"&lt;"&amp;B311))</f>
        <v/>
      </c>
      <c r="J311" s="24" t="str">
        <f aca="false">IF(OR(A311="",B311=""),"",IFERROR(LOOKUP(2,1/(单次交易!$A$2:$A$201=A311),单次交易!$E$2:$E$201)*LOOKUP(2,1/(单次交易!$A$2:$A$201=A311),单次交易!$H$2:$H$201),0)+SUMIFS($H$2:$H$1001,$A$2:$A$1001,A311,$B$2:$B$1001,"&lt;"&amp;B311))</f>
        <v/>
      </c>
      <c r="K311" s="24" t="str">
        <f aca="false">IF(OR(E311="",I311="",J311=""),"",MAX(E311*I311-J311,0))</f>
        <v/>
      </c>
      <c r="L311" s="25" t="str">
        <f aca="false">IF(OR(D311="",E311="",F311="",D311&lt;=E311),"",FLOOR((F311+K311)/(D311-E311),100))</f>
        <v/>
      </c>
      <c r="M311" s="25" t="str">
        <f aca="false">IF(OR(A311="",B311="",L311=""),"",IF(B311=1,L311,IFERROR(SUMIFS($G$2:$G$1001,$A$2:$A$1001,A311,$B$2:$B$1001,B311-1),0)))</f>
        <v/>
      </c>
      <c r="N311" s="25" t="str">
        <f aca="false">IF(OR(L311="",M311=""),"",MIN(L311,M311))</f>
        <v/>
      </c>
      <c r="O311" s="25" t="str">
        <f aca="false">IF(OR(I311="",G311=""),"",I311+G311)</f>
        <v/>
      </c>
      <c r="P311" s="24" t="str">
        <f aca="false">IF(OR(O311="",O311=0),"",(J311+H311)/O311)</f>
        <v/>
      </c>
      <c r="Q311" s="24" t="str">
        <f aca="false">IF(OR(O311="",E311=""),"",MAX(J311+H311-E311*O311,0))</f>
        <v/>
      </c>
      <c r="R311" s="26" t="str">
        <f aca="false">IF(A311="","",IF(COUNTIF(_TradeIds,A311)=0,"违规：交易编号不存在",IF(OR(B311="",B311&lt;1,B311&gt;5,B311&lt;&gt;INT(B311)),"违规：加仓序号须为1到5的整数",IF(COUNTIFS($A$2:$A$1001,A311,$B$2:$B$1001,B311)&gt;1,"违规：同一交易的加仓序号重复",IF(OR(D311="",E311="",F311=""),"计划不完整：请填写加仓价、新止损价和风险预算",IF(OR(D311&lt;=0,E311&lt;=0,F311&lt;=0,D311&lt;=E311),"违规：加仓价必须高于新止损价，金额须大于0",IF(AND(B311&gt;1,COUNTIFS($A$2:$A$1001,A311,$B$2:$B$1001,B311-1,$G$2:$G$1001,"&gt;0")=0),"违规：须先完成上一次加仓",IF(AND(B311&gt;1,E311&lt;SUMIFS($E$2:$E$1001,$A$2:$A$1001,A311,$B$2:$B$1001,B311-1)),"违规：新止损价不得低于上一次",IF(AND(B311&gt;1,F311&gt;SUMIFS($F$2:$F$1001,$A$2:$A$1001,A311,$B$2:$B$1001,B311-1)),"违规：风险预算须逐次不增加",IF(OR(_LockStatus="已锁仓",_LockStatus="解锁信息不完整"),"违规：锁仓期间禁止加仓",IF(G311="","计划可执行：建议股数见N列",IF(OR(G311&lt;=0,G311&lt;&gt;INT(G311),MOD(G311,100)&lt;&gt;0),"违规：实际股数须为100股整数倍",IF(G311&gt;N311,"违规：实际股数超过风险或金字塔上限",IF(AND(B311&gt;1,G311&gt;SUMIFS($G$2:$G$1001,$A$2:$A$1001,A311,$B$2:$B$1001,B311-1)),"违规：加仓股数须逐次不增加",IF(Q311&gt;F311,"违规：止损风险超过本次预算","通过")))))))))))))))</f>
        <v/>
      </c>
    </row>
    <row r="312" customFormat="false" ht="15" hidden="false" customHeight="false" outlineLevel="0" collapsed="false">
      <c r="A312" s="20"/>
      <c r="B312" s="21"/>
      <c r="C312" s="22"/>
      <c r="D312" s="23"/>
      <c r="E312" s="23"/>
      <c r="F312" s="23"/>
      <c r="G312" s="21"/>
      <c r="H312" s="24" t="str">
        <f aca="false">IF(OR(A312="",D312="",G312=""),"",D312*G312)</f>
        <v/>
      </c>
      <c r="I312" s="25" t="str">
        <f aca="false">IF(OR(A312="",B312=""),"",IFERROR(LOOKUP(2,1/(单次交易!$A$2:$A$201=A312),单次交易!$H$2:$H$201),0)+SUMIFS($G$2:$G$1001,$A$2:$A$1001,A312,$B$2:$B$1001,"&lt;"&amp;B312))</f>
        <v/>
      </c>
      <c r="J312" s="24" t="str">
        <f aca="false">IF(OR(A312="",B312=""),"",IFERROR(LOOKUP(2,1/(单次交易!$A$2:$A$201=A312),单次交易!$E$2:$E$201)*LOOKUP(2,1/(单次交易!$A$2:$A$201=A312),单次交易!$H$2:$H$201),0)+SUMIFS($H$2:$H$1001,$A$2:$A$1001,A312,$B$2:$B$1001,"&lt;"&amp;B312))</f>
        <v/>
      </c>
      <c r="K312" s="24" t="str">
        <f aca="false">IF(OR(E312="",I312="",J312=""),"",MAX(E312*I312-J312,0))</f>
        <v/>
      </c>
      <c r="L312" s="25" t="str">
        <f aca="false">IF(OR(D312="",E312="",F312="",D312&lt;=E312),"",FLOOR((F312+K312)/(D312-E312),100))</f>
        <v/>
      </c>
      <c r="M312" s="25" t="str">
        <f aca="false">IF(OR(A312="",B312="",L312=""),"",IF(B312=1,L312,IFERROR(SUMIFS($G$2:$G$1001,$A$2:$A$1001,A312,$B$2:$B$1001,B312-1),0)))</f>
        <v/>
      </c>
      <c r="N312" s="25" t="str">
        <f aca="false">IF(OR(L312="",M312=""),"",MIN(L312,M312))</f>
        <v/>
      </c>
      <c r="O312" s="25" t="str">
        <f aca="false">IF(OR(I312="",G312=""),"",I312+G312)</f>
        <v/>
      </c>
      <c r="P312" s="24" t="str">
        <f aca="false">IF(OR(O312="",O312=0),"",(J312+H312)/O312)</f>
        <v/>
      </c>
      <c r="Q312" s="24" t="str">
        <f aca="false">IF(OR(O312="",E312=""),"",MAX(J312+H312-E312*O312,0))</f>
        <v/>
      </c>
      <c r="R312" s="26" t="str">
        <f aca="false">IF(A312="","",IF(COUNTIF(_TradeIds,A312)=0,"违规：交易编号不存在",IF(OR(B312="",B312&lt;1,B312&gt;5,B312&lt;&gt;INT(B312)),"违规：加仓序号须为1到5的整数",IF(COUNTIFS($A$2:$A$1001,A312,$B$2:$B$1001,B312)&gt;1,"违规：同一交易的加仓序号重复",IF(OR(D312="",E312="",F312=""),"计划不完整：请填写加仓价、新止损价和风险预算",IF(OR(D312&lt;=0,E312&lt;=0,F312&lt;=0,D312&lt;=E312),"违规：加仓价必须高于新止损价，金额须大于0",IF(AND(B312&gt;1,COUNTIFS($A$2:$A$1001,A312,$B$2:$B$1001,B312-1,$G$2:$G$1001,"&gt;0")=0),"违规：须先完成上一次加仓",IF(AND(B312&gt;1,E312&lt;SUMIFS($E$2:$E$1001,$A$2:$A$1001,A312,$B$2:$B$1001,B312-1)),"违规：新止损价不得低于上一次",IF(AND(B312&gt;1,F312&gt;SUMIFS($F$2:$F$1001,$A$2:$A$1001,A312,$B$2:$B$1001,B312-1)),"违规：风险预算须逐次不增加",IF(OR(_LockStatus="已锁仓",_LockStatus="解锁信息不完整"),"违规：锁仓期间禁止加仓",IF(G312="","计划可执行：建议股数见N列",IF(OR(G312&lt;=0,G312&lt;&gt;INT(G312),MOD(G312,100)&lt;&gt;0),"违规：实际股数须为100股整数倍",IF(G312&gt;N312,"违规：实际股数超过风险或金字塔上限",IF(AND(B312&gt;1,G312&gt;SUMIFS($G$2:$G$1001,$A$2:$A$1001,A312,$B$2:$B$1001,B312-1)),"违规：加仓股数须逐次不增加",IF(Q312&gt;F312,"违规：止损风险超过本次预算","通过")))))))))))))))</f>
        <v/>
      </c>
    </row>
    <row r="313" customFormat="false" ht="15" hidden="false" customHeight="false" outlineLevel="0" collapsed="false">
      <c r="A313" s="20"/>
      <c r="B313" s="21"/>
      <c r="C313" s="22"/>
      <c r="D313" s="23"/>
      <c r="E313" s="23"/>
      <c r="F313" s="23"/>
      <c r="G313" s="21"/>
      <c r="H313" s="24" t="str">
        <f aca="false">IF(OR(A313="",D313="",G313=""),"",D313*G313)</f>
        <v/>
      </c>
      <c r="I313" s="25" t="str">
        <f aca="false">IF(OR(A313="",B313=""),"",IFERROR(LOOKUP(2,1/(单次交易!$A$2:$A$201=A313),单次交易!$H$2:$H$201),0)+SUMIFS($G$2:$G$1001,$A$2:$A$1001,A313,$B$2:$B$1001,"&lt;"&amp;B313))</f>
        <v/>
      </c>
      <c r="J313" s="24" t="str">
        <f aca="false">IF(OR(A313="",B313=""),"",IFERROR(LOOKUP(2,1/(单次交易!$A$2:$A$201=A313),单次交易!$E$2:$E$201)*LOOKUP(2,1/(单次交易!$A$2:$A$201=A313),单次交易!$H$2:$H$201),0)+SUMIFS($H$2:$H$1001,$A$2:$A$1001,A313,$B$2:$B$1001,"&lt;"&amp;B313))</f>
        <v/>
      </c>
      <c r="K313" s="24" t="str">
        <f aca="false">IF(OR(E313="",I313="",J313=""),"",MAX(E313*I313-J313,0))</f>
        <v/>
      </c>
      <c r="L313" s="25" t="str">
        <f aca="false">IF(OR(D313="",E313="",F313="",D313&lt;=E313),"",FLOOR((F313+K313)/(D313-E313),100))</f>
        <v/>
      </c>
      <c r="M313" s="25" t="str">
        <f aca="false">IF(OR(A313="",B313="",L313=""),"",IF(B313=1,L313,IFERROR(SUMIFS($G$2:$G$1001,$A$2:$A$1001,A313,$B$2:$B$1001,B313-1),0)))</f>
        <v/>
      </c>
      <c r="N313" s="25" t="str">
        <f aca="false">IF(OR(L313="",M313=""),"",MIN(L313,M313))</f>
        <v/>
      </c>
      <c r="O313" s="25" t="str">
        <f aca="false">IF(OR(I313="",G313=""),"",I313+G313)</f>
        <v/>
      </c>
      <c r="P313" s="24" t="str">
        <f aca="false">IF(OR(O313="",O313=0),"",(J313+H313)/O313)</f>
        <v/>
      </c>
      <c r="Q313" s="24" t="str">
        <f aca="false">IF(OR(O313="",E313=""),"",MAX(J313+H313-E313*O313,0))</f>
        <v/>
      </c>
      <c r="R313" s="26" t="str">
        <f aca="false">IF(A313="","",IF(COUNTIF(_TradeIds,A313)=0,"违规：交易编号不存在",IF(OR(B313="",B313&lt;1,B313&gt;5,B313&lt;&gt;INT(B313)),"违规：加仓序号须为1到5的整数",IF(COUNTIFS($A$2:$A$1001,A313,$B$2:$B$1001,B313)&gt;1,"违规：同一交易的加仓序号重复",IF(OR(D313="",E313="",F313=""),"计划不完整：请填写加仓价、新止损价和风险预算",IF(OR(D313&lt;=0,E313&lt;=0,F313&lt;=0,D313&lt;=E313),"违规：加仓价必须高于新止损价，金额须大于0",IF(AND(B313&gt;1,COUNTIFS($A$2:$A$1001,A313,$B$2:$B$1001,B313-1,$G$2:$G$1001,"&gt;0")=0),"违规：须先完成上一次加仓",IF(AND(B313&gt;1,E313&lt;SUMIFS($E$2:$E$1001,$A$2:$A$1001,A313,$B$2:$B$1001,B313-1)),"违规：新止损价不得低于上一次",IF(AND(B313&gt;1,F313&gt;SUMIFS($F$2:$F$1001,$A$2:$A$1001,A313,$B$2:$B$1001,B313-1)),"违规：风险预算须逐次不增加",IF(OR(_LockStatus="已锁仓",_LockStatus="解锁信息不完整"),"违规：锁仓期间禁止加仓",IF(G313="","计划可执行：建议股数见N列",IF(OR(G313&lt;=0,G313&lt;&gt;INT(G313),MOD(G313,100)&lt;&gt;0),"违规：实际股数须为100股整数倍",IF(G313&gt;N313,"违规：实际股数超过风险或金字塔上限",IF(AND(B313&gt;1,G313&gt;SUMIFS($G$2:$G$1001,$A$2:$A$1001,A313,$B$2:$B$1001,B313-1)),"违规：加仓股数须逐次不增加",IF(Q313&gt;F313,"违规：止损风险超过本次预算","通过")))))))))))))))</f>
        <v/>
      </c>
    </row>
    <row r="314" customFormat="false" ht="15" hidden="false" customHeight="false" outlineLevel="0" collapsed="false">
      <c r="A314" s="20"/>
      <c r="B314" s="21"/>
      <c r="C314" s="22"/>
      <c r="D314" s="23"/>
      <c r="E314" s="23"/>
      <c r="F314" s="23"/>
      <c r="G314" s="21"/>
      <c r="H314" s="24" t="str">
        <f aca="false">IF(OR(A314="",D314="",G314=""),"",D314*G314)</f>
        <v/>
      </c>
      <c r="I314" s="25" t="str">
        <f aca="false">IF(OR(A314="",B314=""),"",IFERROR(LOOKUP(2,1/(单次交易!$A$2:$A$201=A314),单次交易!$H$2:$H$201),0)+SUMIFS($G$2:$G$1001,$A$2:$A$1001,A314,$B$2:$B$1001,"&lt;"&amp;B314))</f>
        <v/>
      </c>
      <c r="J314" s="24" t="str">
        <f aca="false">IF(OR(A314="",B314=""),"",IFERROR(LOOKUP(2,1/(单次交易!$A$2:$A$201=A314),单次交易!$E$2:$E$201)*LOOKUP(2,1/(单次交易!$A$2:$A$201=A314),单次交易!$H$2:$H$201),0)+SUMIFS($H$2:$H$1001,$A$2:$A$1001,A314,$B$2:$B$1001,"&lt;"&amp;B314))</f>
        <v/>
      </c>
      <c r="K314" s="24" t="str">
        <f aca="false">IF(OR(E314="",I314="",J314=""),"",MAX(E314*I314-J314,0))</f>
        <v/>
      </c>
      <c r="L314" s="25" t="str">
        <f aca="false">IF(OR(D314="",E314="",F314="",D314&lt;=E314),"",FLOOR((F314+K314)/(D314-E314),100))</f>
        <v/>
      </c>
      <c r="M314" s="25" t="str">
        <f aca="false">IF(OR(A314="",B314="",L314=""),"",IF(B314=1,L314,IFERROR(SUMIFS($G$2:$G$1001,$A$2:$A$1001,A314,$B$2:$B$1001,B314-1),0)))</f>
        <v/>
      </c>
      <c r="N314" s="25" t="str">
        <f aca="false">IF(OR(L314="",M314=""),"",MIN(L314,M314))</f>
        <v/>
      </c>
      <c r="O314" s="25" t="str">
        <f aca="false">IF(OR(I314="",G314=""),"",I314+G314)</f>
        <v/>
      </c>
      <c r="P314" s="24" t="str">
        <f aca="false">IF(OR(O314="",O314=0),"",(J314+H314)/O314)</f>
        <v/>
      </c>
      <c r="Q314" s="24" t="str">
        <f aca="false">IF(OR(O314="",E314=""),"",MAX(J314+H314-E314*O314,0))</f>
        <v/>
      </c>
      <c r="R314" s="26" t="str">
        <f aca="false">IF(A314="","",IF(COUNTIF(_TradeIds,A314)=0,"违规：交易编号不存在",IF(OR(B314="",B314&lt;1,B314&gt;5,B314&lt;&gt;INT(B314)),"违规：加仓序号须为1到5的整数",IF(COUNTIFS($A$2:$A$1001,A314,$B$2:$B$1001,B314)&gt;1,"违规：同一交易的加仓序号重复",IF(OR(D314="",E314="",F314=""),"计划不完整：请填写加仓价、新止损价和风险预算",IF(OR(D314&lt;=0,E314&lt;=0,F314&lt;=0,D314&lt;=E314),"违规：加仓价必须高于新止损价，金额须大于0",IF(AND(B314&gt;1,COUNTIFS($A$2:$A$1001,A314,$B$2:$B$1001,B314-1,$G$2:$G$1001,"&gt;0")=0),"违规：须先完成上一次加仓",IF(AND(B314&gt;1,E314&lt;SUMIFS($E$2:$E$1001,$A$2:$A$1001,A314,$B$2:$B$1001,B314-1)),"违规：新止损价不得低于上一次",IF(AND(B314&gt;1,F314&gt;SUMIFS($F$2:$F$1001,$A$2:$A$1001,A314,$B$2:$B$1001,B314-1)),"违规：风险预算须逐次不增加",IF(OR(_LockStatus="已锁仓",_LockStatus="解锁信息不完整"),"违规：锁仓期间禁止加仓",IF(G314="","计划可执行：建议股数见N列",IF(OR(G314&lt;=0,G314&lt;&gt;INT(G314),MOD(G314,100)&lt;&gt;0),"违规：实际股数须为100股整数倍",IF(G314&gt;N314,"违规：实际股数超过风险或金字塔上限",IF(AND(B314&gt;1,G314&gt;SUMIFS($G$2:$G$1001,$A$2:$A$1001,A314,$B$2:$B$1001,B314-1)),"违规：加仓股数须逐次不增加",IF(Q314&gt;F314,"违规：止损风险超过本次预算","通过")))))))))))))))</f>
        <v/>
      </c>
    </row>
    <row r="315" customFormat="false" ht="15" hidden="false" customHeight="false" outlineLevel="0" collapsed="false">
      <c r="A315" s="20"/>
      <c r="B315" s="21"/>
      <c r="C315" s="22"/>
      <c r="D315" s="23"/>
      <c r="E315" s="23"/>
      <c r="F315" s="23"/>
      <c r="G315" s="21"/>
      <c r="H315" s="24" t="str">
        <f aca="false">IF(OR(A315="",D315="",G315=""),"",D315*G315)</f>
        <v/>
      </c>
      <c r="I315" s="25" t="str">
        <f aca="false">IF(OR(A315="",B315=""),"",IFERROR(LOOKUP(2,1/(单次交易!$A$2:$A$201=A315),单次交易!$H$2:$H$201),0)+SUMIFS($G$2:$G$1001,$A$2:$A$1001,A315,$B$2:$B$1001,"&lt;"&amp;B315))</f>
        <v/>
      </c>
      <c r="J315" s="24" t="str">
        <f aca="false">IF(OR(A315="",B315=""),"",IFERROR(LOOKUP(2,1/(单次交易!$A$2:$A$201=A315),单次交易!$E$2:$E$201)*LOOKUP(2,1/(单次交易!$A$2:$A$201=A315),单次交易!$H$2:$H$201),0)+SUMIFS($H$2:$H$1001,$A$2:$A$1001,A315,$B$2:$B$1001,"&lt;"&amp;B315))</f>
        <v/>
      </c>
      <c r="K315" s="24" t="str">
        <f aca="false">IF(OR(E315="",I315="",J315=""),"",MAX(E315*I315-J315,0))</f>
        <v/>
      </c>
      <c r="L315" s="25" t="str">
        <f aca="false">IF(OR(D315="",E315="",F315="",D315&lt;=E315),"",FLOOR((F315+K315)/(D315-E315),100))</f>
        <v/>
      </c>
      <c r="M315" s="25" t="str">
        <f aca="false">IF(OR(A315="",B315="",L315=""),"",IF(B315=1,L315,IFERROR(SUMIFS($G$2:$G$1001,$A$2:$A$1001,A315,$B$2:$B$1001,B315-1),0)))</f>
        <v/>
      </c>
      <c r="N315" s="25" t="str">
        <f aca="false">IF(OR(L315="",M315=""),"",MIN(L315,M315))</f>
        <v/>
      </c>
      <c r="O315" s="25" t="str">
        <f aca="false">IF(OR(I315="",G315=""),"",I315+G315)</f>
        <v/>
      </c>
      <c r="P315" s="24" t="str">
        <f aca="false">IF(OR(O315="",O315=0),"",(J315+H315)/O315)</f>
        <v/>
      </c>
      <c r="Q315" s="24" t="str">
        <f aca="false">IF(OR(O315="",E315=""),"",MAX(J315+H315-E315*O315,0))</f>
        <v/>
      </c>
      <c r="R315" s="26" t="str">
        <f aca="false">IF(A315="","",IF(COUNTIF(_TradeIds,A315)=0,"违规：交易编号不存在",IF(OR(B315="",B315&lt;1,B315&gt;5,B315&lt;&gt;INT(B315)),"违规：加仓序号须为1到5的整数",IF(COUNTIFS($A$2:$A$1001,A315,$B$2:$B$1001,B315)&gt;1,"违规：同一交易的加仓序号重复",IF(OR(D315="",E315="",F315=""),"计划不完整：请填写加仓价、新止损价和风险预算",IF(OR(D315&lt;=0,E315&lt;=0,F315&lt;=0,D315&lt;=E315),"违规：加仓价必须高于新止损价，金额须大于0",IF(AND(B315&gt;1,COUNTIFS($A$2:$A$1001,A315,$B$2:$B$1001,B315-1,$G$2:$G$1001,"&gt;0")=0),"违规：须先完成上一次加仓",IF(AND(B315&gt;1,E315&lt;SUMIFS($E$2:$E$1001,$A$2:$A$1001,A315,$B$2:$B$1001,B315-1)),"违规：新止损价不得低于上一次",IF(AND(B315&gt;1,F315&gt;SUMIFS($F$2:$F$1001,$A$2:$A$1001,A315,$B$2:$B$1001,B315-1)),"违规：风险预算须逐次不增加",IF(OR(_LockStatus="已锁仓",_LockStatus="解锁信息不完整"),"违规：锁仓期间禁止加仓",IF(G315="","计划可执行：建议股数见N列",IF(OR(G315&lt;=0,G315&lt;&gt;INT(G315),MOD(G315,100)&lt;&gt;0),"违规：实际股数须为100股整数倍",IF(G315&gt;N315,"违规：实际股数超过风险或金字塔上限",IF(AND(B315&gt;1,G315&gt;SUMIFS($G$2:$G$1001,$A$2:$A$1001,A315,$B$2:$B$1001,B315-1)),"违规：加仓股数须逐次不增加",IF(Q315&gt;F315,"违规：止损风险超过本次预算","通过")))))))))))))))</f>
        <v/>
      </c>
    </row>
    <row r="316" customFormat="false" ht="15" hidden="false" customHeight="false" outlineLevel="0" collapsed="false">
      <c r="A316" s="20"/>
      <c r="B316" s="21"/>
      <c r="C316" s="22"/>
      <c r="D316" s="23"/>
      <c r="E316" s="23"/>
      <c r="F316" s="23"/>
      <c r="G316" s="21"/>
      <c r="H316" s="24" t="str">
        <f aca="false">IF(OR(A316="",D316="",G316=""),"",D316*G316)</f>
        <v/>
      </c>
      <c r="I316" s="25" t="str">
        <f aca="false">IF(OR(A316="",B316=""),"",IFERROR(LOOKUP(2,1/(单次交易!$A$2:$A$201=A316),单次交易!$H$2:$H$201),0)+SUMIFS($G$2:$G$1001,$A$2:$A$1001,A316,$B$2:$B$1001,"&lt;"&amp;B316))</f>
        <v/>
      </c>
      <c r="J316" s="24" t="str">
        <f aca="false">IF(OR(A316="",B316=""),"",IFERROR(LOOKUP(2,1/(单次交易!$A$2:$A$201=A316),单次交易!$E$2:$E$201)*LOOKUP(2,1/(单次交易!$A$2:$A$201=A316),单次交易!$H$2:$H$201),0)+SUMIFS($H$2:$H$1001,$A$2:$A$1001,A316,$B$2:$B$1001,"&lt;"&amp;B316))</f>
        <v/>
      </c>
      <c r="K316" s="24" t="str">
        <f aca="false">IF(OR(E316="",I316="",J316=""),"",MAX(E316*I316-J316,0))</f>
        <v/>
      </c>
      <c r="L316" s="25" t="str">
        <f aca="false">IF(OR(D316="",E316="",F316="",D316&lt;=E316),"",FLOOR((F316+K316)/(D316-E316),100))</f>
        <v/>
      </c>
      <c r="M316" s="25" t="str">
        <f aca="false">IF(OR(A316="",B316="",L316=""),"",IF(B316=1,L316,IFERROR(SUMIFS($G$2:$G$1001,$A$2:$A$1001,A316,$B$2:$B$1001,B316-1),0)))</f>
        <v/>
      </c>
      <c r="N316" s="25" t="str">
        <f aca="false">IF(OR(L316="",M316=""),"",MIN(L316,M316))</f>
        <v/>
      </c>
      <c r="O316" s="25" t="str">
        <f aca="false">IF(OR(I316="",G316=""),"",I316+G316)</f>
        <v/>
      </c>
      <c r="P316" s="24" t="str">
        <f aca="false">IF(OR(O316="",O316=0),"",(J316+H316)/O316)</f>
        <v/>
      </c>
      <c r="Q316" s="24" t="str">
        <f aca="false">IF(OR(O316="",E316=""),"",MAX(J316+H316-E316*O316,0))</f>
        <v/>
      </c>
      <c r="R316" s="26" t="str">
        <f aca="false">IF(A316="","",IF(COUNTIF(_TradeIds,A316)=0,"违规：交易编号不存在",IF(OR(B316="",B316&lt;1,B316&gt;5,B316&lt;&gt;INT(B316)),"违规：加仓序号须为1到5的整数",IF(COUNTIFS($A$2:$A$1001,A316,$B$2:$B$1001,B316)&gt;1,"违规：同一交易的加仓序号重复",IF(OR(D316="",E316="",F316=""),"计划不完整：请填写加仓价、新止损价和风险预算",IF(OR(D316&lt;=0,E316&lt;=0,F316&lt;=0,D316&lt;=E316),"违规：加仓价必须高于新止损价，金额须大于0",IF(AND(B316&gt;1,COUNTIFS($A$2:$A$1001,A316,$B$2:$B$1001,B316-1,$G$2:$G$1001,"&gt;0")=0),"违规：须先完成上一次加仓",IF(AND(B316&gt;1,E316&lt;SUMIFS($E$2:$E$1001,$A$2:$A$1001,A316,$B$2:$B$1001,B316-1)),"违规：新止损价不得低于上一次",IF(AND(B316&gt;1,F316&gt;SUMIFS($F$2:$F$1001,$A$2:$A$1001,A316,$B$2:$B$1001,B316-1)),"违规：风险预算须逐次不增加",IF(OR(_LockStatus="已锁仓",_LockStatus="解锁信息不完整"),"违规：锁仓期间禁止加仓",IF(G316="","计划可执行：建议股数见N列",IF(OR(G316&lt;=0,G316&lt;&gt;INT(G316),MOD(G316,100)&lt;&gt;0),"违规：实际股数须为100股整数倍",IF(G316&gt;N316,"违规：实际股数超过风险或金字塔上限",IF(AND(B316&gt;1,G316&gt;SUMIFS($G$2:$G$1001,$A$2:$A$1001,A316,$B$2:$B$1001,B316-1)),"违规：加仓股数须逐次不增加",IF(Q316&gt;F316,"违规：止损风险超过本次预算","通过")))))))))))))))</f>
        <v/>
      </c>
    </row>
    <row r="317" customFormat="false" ht="15" hidden="false" customHeight="false" outlineLevel="0" collapsed="false">
      <c r="A317" s="20"/>
      <c r="B317" s="21"/>
      <c r="C317" s="22"/>
      <c r="D317" s="23"/>
      <c r="E317" s="23"/>
      <c r="F317" s="23"/>
      <c r="G317" s="21"/>
      <c r="H317" s="24" t="str">
        <f aca="false">IF(OR(A317="",D317="",G317=""),"",D317*G317)</f>
        <v/>
      </c>
      <c r="I317" s="25" t="str">
        <f aca="false">IF(OR(A317="",B317=""),"",IFERROR(LOOKUP(2,1/(单次交易!$A$2:$A$201=A317),单次交易!$H$2:$H$201),0)+SUMIFS($G$2:$G$1001,$A$2:$A$1001,A317,$B$2:$B$1001,"&lt;"&amp;B317))</f>
        <v/>
      </c>
      <c r="J317" s="24" t="str">
        <f aca="false">IF(OR(A317="",B317=""),"",IFERROR(LOOKUP(2,1/(单次交易!$A$2:$A$201=A317),单次交易!$E$2:$E$201)*LOOKUP(2,1/(单次交易!$A$2:$A$201=A317),单次交易!$H$2:$H$201),0)+SUMIFS($H$2:$H$1001,$A$2:$A$1001,A317,$B$2:$B$1001,"&lt;"&amp;B317))</f>
        <v/>
      </c>
      <c r="K317" s="24" t="str">
        <f aca="false">IF(OR(E317="",I317="",J317=""),"",MAX(E317*I317-J317,0))</f>
        <v/>
      </c>
      <c r="L317" s="25" t="str">
        <f aca="false">IF(OR(D317="",E317="",F317="",D317&lt;=E317),"",FLOOR((F317+K317)/(D317-E317),100))</f>
        <v/>
      </c>
      <c r="M317" s="25" t="str">
        <f aca="false">IF(OR(A317="",B317="",L317=""),"",IF(B317=1,L317,IFERROR(SUMIFS($G$2:$G$1001,$A$2:$A$1001,A317,$B$2:$B$1001,B317-1),0)))</f>
        <v/>
      </c>
      <c r="N317" s="25" t="str">
        <f aca="false">IF(OR(L317="",M317=""),"",MIN(L317,M317))</f>
        <v/>
      </c>
      <c r="O317" s="25" t="str">
        <f aca="false">IF(OR(I317="",G317=""),"",I317+G317)</f>
        <v/>
      </c>
      <c r="P317" s="24" t="str">
        <f aca="false">IF(OR(O317="",O317=0),"",(J317+H317)/O317)</f>
        <v/>
      </c>
      <c r="Q317" s="24" t="str">
        <f aca="false">IF(OR(O317="",E317=""),"",MAX(J317+H317-E317*O317,0))</f>
        <v/>
      </c>
      <c r="R317" s="26" t="str">
        <f aca="false">IF(A317="","",IF(COUNTIF(_TradeIds,A317)=0,"违规：交易编号不存在",IF(OR(B317="",B317&lt;1,B317&gt;5,B317&lt;&gt;INT(B317)),"违规：加仓序号须为1到5的整数",IF(COUNTIFS($A$2:$A$1001,A317,$B$2:$B$1001,B317)&gt;1,"违规：同一交易的加仓序号重复",IF(OR(D317="",E317="",F317=""),"计划不完整：请填写加仓价、新止损价和风险预算",IF(OR(D317&lt;=0,E317&lt;=0,F317&lt;=0,D317&lt;=E317),"违规：加仓价必须高于新止损价，金额须大于0",IF(AND(B317&gt;1,COUNTIFS($A$2:$A$1001,A317,$B$2:$B$1001,B317-1,$G$2:$G$1001,"&gt;0")=0),"违规：须先完成上一次加仓",IF(AND(B317&gt;1,E317&lt;SUMIFS($E$2:$E$1001,$A$2:$A$1001,A317,$B$2:$B$1001,B317-1)),"违规：新止损价不得低于上一次",IF(AND(B317&gt;1,F317&gt;SUMIFS($F$2:$F$1001,$A$2:$A$1001,A317,$B$2:$B$1001,B317-1)),"违规：风险预算须逐次不增加",IF(OR(_LockStatus="已锁仓",_LockStatus="解锁信息不完整"),"违规：锁仓期间禁止加仓",IF(G317="","计划可执行：建议股数见N列",IF(OR(G317&lt;=0,G317&lt;&gt;INT(G317),MOD(G317,100)&lt;&gt;0),"违规：实际股数须为100股整数倍",IF(G317&gt;N317,"违规：实际股数超过风险或金字塔上限",IF(AND(B317&gt;1,G317&gt;SUMIFS($G$2:$G$1001,$A$2:$A$1001,A317,$B$2:$B$1001,B317-1)),"违规：加仓股数须逐次不增加",IF(Q317&gt;F317,"违规：止损风险超过本次预算","通过")))))))))))))))</f>
        <v/>
      </c>
    </row>
    <row r="318" customFormat="false" ht="15" hidden="false" customHeight="false" outlineLevel="0" collapsed="false">
      <c r="A318" s="20"/>
      <c r="B318" s="21"/>
      <c r="C318" s="22"/>
      <c r="D318" s="23"/>
      <c r="E318" s="23"/>
      <c r="F318" s="23"/>
      <c r="G318" s="21"/>
      <c r="H318" s="24" t="str">
        <f aca="false">IF(OR(A318="",D318="",G318=""),"",D318*G318)</f>
        <v/>
      </c>
      <c r="I318" s="25" t="str">
        <f aca="false">IF(OR(A318="",B318=""),"",IFERROR(LOOKUP(2,1/(单次交易!$A$2:$A$201=A318),单次交易!$H$2:$H$201),0)+SUMIFS($G$2:$G$1001,$A$2:$A$1001,A318,$B$2:$B$1001,"&lt;"&amp;B318))</f>
        <v/>
      </c>
      <c r="J318" s="24" t="str">
        <f aca="false">IF(OR(A318="",B318=""),"",IFERROR(LOOKUP(2,1/(单次交易!$A$2:$A$201=A318),单次交易!$E$2:$E$201)*LOOKUP(2,1/(单次交易!$A$2:$A$201=A318),单次交易!$H$2:$H$201),0)+SUMIFS($H$2:$H$1001,$A$2:$A$1001,A318,$B$2:$B$1001,"&lt;"&amp;B318))</f>
        <v/>
      </c>
      <c r="K318" s="24" t="str">
        <f aca="false">IF(OR(E318="",I318="",J318=""),"",MAX(E318*I318-J318,0))</f>
        <v/>
      </c>
      <c r="L318" s="25" t="str">
        <f aca="false">IF(OR(D318="",E318="",F318="",D318&lt;=E318),"",FLOOR((F318+K318)/(D318-E318),100))</f>
        <v/>
      </c>
      <c r="M318" s="25" t="str">
        <f aca="false">IF(OR(A318="",B318="",L318=""),"",IF(B318=1,L318,IFERROR(SUMIFS($G$2:$G$1001,$A$2:$A$1001,A318,$B$2:$B$1001,B318-1),0)))</f>
        <v/>
      </c>
      <c r="N318" s="25" t="str">
        <f aca="false">IF(OR(L318="",M318=""),"",MIN(L318,M318))</f>
        <v/>
      </c>
      <c r="O318" s="25" t="str">
        <f aca="false">IF(OR(I318="",G318=""),"",I318+G318)</f>
        <v/>
      </c>
      <c r="P318" s="24" t="str">
        <f aca="false">IF(OR(O318="",O318=0),"",(J318+H318)/O318)</f>
        <v/>
      </c>
      <c r="Q318" s="24" t="str">
        <f aca="false">IF(OR(O318="",E318=""),"",MAX(J318+H318-E318*O318,0))</f>
        <v/>
      </c>
      <c r="R318" s="26" t="str">
        <f aca="false">IF(A318="","",IF(COUNTIF(_TradeIds,A318)=0,"违规：交易编号不存在",IF(OR(B318="",B318&lt;1,B318&gt;5,B318&lt;&gt;INT(B318)),"违规：加仓序号须为1到5的整数",IF(COUNTIFS($A$2:$A$1001,A318,$B$2:$B$1001,B318)&gt;1,"违规：同一交易的加仓序号重复",IF(OR(D318="",E318="",F318=""),"计划不完整：请填写加仓价、新止损价和风险预算",IF(OR(D318&lt;=0,E318&lt;=0,F318&lt;=0,D318&lt;=E318),"违规：加仓价必须高于新止损价，金额须大于0",IF(AND(B318&gt;1,COUNTIFS($A$2:$A$1001,A318,$B$2:$B$1001,B318-1,$G$2:$G$1001,"&gt;0")=0),"违规：须先完成上一次加仓",IF(AND(B318&gt;1,E318&lt;SUMIFS($E$2:$E$1001,$A$2:$A$1001,A318,$B$2:$B$1001,B318-1)),"违规：新止损价不得低于上一次",IF(AND(B318&gt;1,F318&gt;SUMIFS($F$2:$F$1001,$A$2:$A$1001,A318,$B$2:$B$1001,B318-1)),"违规：风险预算须逐次不增加",IF(OR(_LockStatus="已锁仓",_LockStatus="解锁信息不完整"),"违规：锁仓期间禁止加仓",IF(G318="","计划可执行：建议股数见N列",IF(OR(G318&lt;=0,G318&lt;&gt;INT(G318),MOD(G318,100)&lt;&gt;0),"违规：实际股数须为100股整数倍",IF(G318&gt;N318,"违规：实际股数超过风险或金字塔上限",IF(AND(B318&gt;1,G318&gt;SUMIFS($G$2:$G$1001,$A$2:$A$1001,A318,$B$2:$B$1001,B318-1)),"违规：加仓股数须逐次不增加",IF(Q318&gt;F318,"违规：止损风险超过本次预算","通过")))))))))))))))</f>
        <v/>
      </c>
    </row>
    <row r="319" customFormat="false" ht="15" hidden="false" customHeight="false" outlineLevel="0" collapsed="false">
      <c r="A319" s="20"/>
      <c r="B319" s="21"/>
      <c r="C319" s="22"/>
      <c r="D319" s="23"/>
      <c r="E319" s="23"/>
      <c r="F319" s="23"/>
      <c r="G319" s="21"/>
      <c r="H319" s="24" t="str">
        <f aca="false">IF(OR(A319="",D319="",G319=""),"",D319*G319)</f>
        <v/>
      </c>
      <c r="I319" s="25" t="str">
        <f aca="false">IF(OR(A319="",B319=""),"",IFERROR(LOOKUP(2,1/(单次交易!$A$2:$A$201=A319),单次交易!$H$2:$H$201),0)+SUMIFS($G$2:$G$1001,$A$2:$A$1001,A319,$B$2:$B$1001,"&lt;"&amp;B319))</f>
        <v/>
      </c>
      <c r="J319" s="24" t="str">
        <f aca="false">IF(OR(A319="",B319=""),"",IFERROR(LOOKUP(2,1/(单次交易!$A$2:$A$201=A319),单次交易!$E$2:$E$201)*LOOKUP(2,1/(单次交易!$A$2:$A$201=A319),单次交易!$H$2:$H$201),0)+SUMIFS($H$2:$H$1001,$A$2:$A$1001,A319,$B$2:$B$1001,"&lt;"&amp;B319))</f>
        <v/>
      </c>
      <c r="K319" s="24" t="str">
        <f aca="false">IF(OR(E319="",I319="",J319=""),"",MAX(E319*I319-J319,0))</f>
        <v/>
      </c>
      <c r="L319" s="25" t="str">
        <f aca="false">IF(OR(D319="",E319="",F319="",D319&lt;=E319),"",FLOOR((F319+K319)/(D319-E319),100))</f>
        <v/>
      </c>
      <c r="M319" s="25" t="str">
        <f aca="false">IF(OR(A319="",B319="",L319=""),"",IF(B319=1,L319,IFERROR(SUMIFS($G$2:$G$1001,$A$2:$A$1001,A319,$B$2:$B$1001,B319-1),0)))</f>
        <v/>
      </c>
      <c r="N319" s="25" t="str">
        <f aca="false">IF(OR(L319="",M319=""),"",MIN(L319,M319))</f>
        <v/>
      </c>
      <c r="O319" s="25" t="str">
        <f aca="false">IF(OR(I319="",G319=""),"",I319+G319)</f>
        <v/>
      </c>
      <c r="P319" s="24" t="str">
        <f aca="false">IF(OR(O319="",O319=0),"",(J319+H319)/O319)</f>
        <v/>
      </c>
      <c r="Q319" s="24" t="str">
        <f aca="false">IF(OR(O319="",E319=""),"",MAX(J319+H319-E319*O319,0))</f>
        <v/>
      </c>
      <c r="R319" s="26" t="str">
        <f aca="false">IF(A319="","",IF(COUNTIF(_TradeIds,A319)=0,"违规：交易编号不存在",IF(OR(B319="",B319&lt;1,B319&gt;5,B319&lt;&gt;INT(B319)),"违规：加仓序号须为1到5的整数",IF(COUNTIFS($A$2:$A$1001,A319,$B$2:$B$1001,B319)&gt;1,"违规：同一交易的加仓序号重复",IF(OR(D319="",E319="",F319=""),"计划不完整：请填写加仓价、新止损价和风险预算",IF(OR(D319&lt;=0,E319&lt;=0,F319&lt;=0,D319&lt;=E319),"违规：加仓价必须高于新止损价，金额须大于0",IF(AND(B319&gt;1,COUNTIFS($A$2:$A$1001,A319,$B$2:$B$1001,B319-1,$G$2:$G$1001,"&gt;0")=0),"违规：须先完成上一次加仓",IF(AND(B319&gt;1,E319&lt;SUMIFS($E$2:$E$1001,$A$2:$A$1001,A319,$B$2:$B$1001,B319-1)),"违规：新止损价不得低于上一次",IF(AND(B319&gt;1,F319&gt;SUMIFS($F$2:$F$1001,$A$2:$A$1001,A319,$B$2:$B$1001,B319-1)),"违规：风险预算须逐次不增加",IF(OR(_LockStatus="已锁仓",_LockStatus="解锁信息不完整"),"违规：锁仓期间禁止加仓",IF(G319="","计划可执行：建议股数见N列",IF(OR(G319&lt;=0,G319&lt;&gt;INT(G319),MOD(G319,100)&lt;&gt;0),"违规：实际股数须为100股整数倍",IF(G319&gt;N319,"违规：实际股数超过风险或金字塔上限",IF(AND(B319&gt;1,G319&gt;SUMIFS($G$2:$G$1001,$A$2:$A$1001,A319,$B$2:$B$1001,B319-1)),"违规：加仓股数须逐次不增加",IF(Q319&gt;F319,"违规：止损风险超过本次预算","通过")))))))))))))))</f>
        <v/>
      </c>
    </row>
    <row r="320" customFormat="false" ht="15" hidden="false" customHeight="false" outlineLevel="0" collapsed="false">
      <c r="A320" s="20"/>
      <c r="B320" s="21"/>
      <c r="C320" s="22"/>
      <c r="D320" s="23"/>
      <c r="E320" s="23"/>
      <c r="F320" s="23"/>
      <c r="G320" s="21"/>
      <c r="H320" s="24" t="str">
        <f aca="false">IF(OR(A320="",D320="",G320=""),"",D320*G320)</f>
        <v/>
      </c>
      <c r="I320" s="25" t="str">
        <f aca="false">IF(OR(A320="",B320=""),"",IFERROR(LOOKUP(2,1/(单次交易!$A$2:$A$201=A320),单次交易!$H$2:$H$201),0)+SUMIFS($G$2:$G$1001,$A$2:$A$1001,A320,$B$2:$B$1001,"&lt;"&amp;B320))</f>
        <v/>
      </c>
      <c r="J320" s="24" t="str">
        <f aca="false">IF(OR(A320="",B320=""),"",IFERROR(LOOKUP(2,1/(单次交易!$A$2:$A$201=A320),单次交易!$E$2:$E$201)*LOOKUP(2,1/(单次交易!$A$2:$A$201=A320),单次交易!$H$2:$H$201),0)+SUMIFS($H$2:$H$1001,$A$2:$A$1001,A320,$B$2:$B$1001,"&lt;"&amp;B320))</f>
        <v/>
      </c>
      <c r="K320" s="24" t="str">
        <f aca="false">IF(OR(E320="",I320="",J320=""),"",MAX(E320*I320-J320,0))</f>
        <v/>
      </c>
      <c r="L320" s="25" t="str">
        <f aca="false">IF(OR(D320="",E320="",F320="",D320&lt;=E320),"",FLOOR((F320+K320)/(D320-E320),100))</f>
        <v/>
      </c>
      <c r="M320" s="25" t="str">
        <f aca="false">IF(OR(A320="",B320="",L320=""),"",IF(B320=1,L320,IFERROR(SUMIFS($G$2:$G$1001,$A$2:$A$1001,A320,$B$2:$B$1001,B320-1),0)))</f>
        <v/>
      </c>
      <c r="N320" s="25" t="str">
        <f aca="false">IF(OR(L320="",M320=""),"",MIN(L320,M320))</f>
        <v/>
      </c>
      <c r="O320" s="25" t="str">
        <f aca="false">IF(OR(I320="",G320=""),"",I320+G320)</f>
        <v/>
      </c>
      <c r="P320" s="24" t="str">
        <f aca="false">IF(OR(O320="",O320=0),"",(J320+H320)/O320)</f>
        <v/>
      </c>
      <c r="Q320" s="24" t="str">
        <f aca="false">IF(OR(O320="",E320=""),"",MAX(J320+H320-E320*O320,0))</f>
        <v/>
      </c>
      <c r="R320" s="26" t="str">
        <f aca="false">IF(A320="","",IF(COUNTIF(_TradeIds,A320)=0,"违规：交易编号不存在",IF(OR(B320="",B320&lt;1,B320&gt;5,B320&lt;&gt;INT(B320)),"违规：加仓序号须为1到5的整数",IF(COUNTIFS($A$2:$A$1001,A320,$B$2:$B$1001,B320)&gt;1,"违规：同一交易的加仓序号重复",IF(OR(D320="",E320="",F320=""),"计划不完整：请填写加仓价、新止损价和风险预算",IF(OR(D320&lt;=0,E320&lt;=0,F320&lt;=0,D320&lt;=E320),"违规：加仓价必须高于新止损价，金额须大于0",IF(AND(B320&gt;1,COUNTIFS($A$2:$A$1001,A320,$B$2:$B$1001,B320-1,$G$2:$G$1001,"&gt;0")=0),"违规：须先完成上一次加仓",IF(AND(B320&gt;1,E320&lt;SUMIFS($E$2:$E$1001,$A$2:$A$1001,A320,$B$2:$B$1001,B320-1)),"违规：新止损价不得低于上一次",IF(AND(B320&gt;1,F320&gt;SUMIFS($F$2:$F$1001,$A$2:$A$1001,A320,$B$2:$B$1001,B320-1)),"违规：风险预算须逐次不增加",IF(OR(_LockStatus="已锁仓",_LockStatus="解锁信息不完整"),"违规：锁仓期间禁止加仓",IF(G320="","计划可执行：建议股数见N列",IF(OR(G320&lt;=0,G320&lt;&gt;INT(G320),MOD(G320,100)&lt;&gt;0),"违规：实际股数须为100股整数倍",IF(G320&gt;N320,"违规：实际股数超过风险或金字塔上限",IF(AND(B320&gt;1,G320&gt;SUMIFS($G$2:$G$1001,$A$2:$A$1001,A320,$B$2:$B$1001,B320-1)),"违规：加仓股数须逐次不增加",IF(Q320&gt;F320,"违规：止损风险超过本次预算","通过")))))))))))))))</f>
        <v/>
      </c>
    </row>
    <row r="321" customFormat="false" ht="15" hidden="false" customHeight="false" outlineLevel="0" collapsed="false">
      <c r="A321" s="20"/>
      <c r="B321" s="21"/>
      <c r="C321" s="22"/>
      <c r="D321" s="23"/>
      <c r="E321" s="23"/>
      <c r="F321" s="23"/>
      <c r="G321" s="21"/>
      <c r="H321" s="24" t="str">
        <f aca="false">IF(OR(A321="",D321="",G321=""),"",D321*G321)</f>
        <v/>
      </c>
      <c r="I321" s="25" t="str">
        <f aca="false">IF(OR(A321="",B321=""),"",IFERROR(LOOKUP(2,1/(单次交易!$A$2:$A$201=A321),单次交易!$H$2:$H$201),0)+SUMIFS($G$2:$G$1001,$A$2:$A$1001,A321,$B$2:$B$1001,"&lt;"&amp;B321))</f>
        <v/>
      </c>
      <c r="J321" s="24" t="str">
        <f aca="false">IF(OR(A321="",B321=""),"",IFERROR(LOOKUP(2,1/(单次交易!$A$2:$A$201=A321),单次交易!$E$2:$E$201)*LOOKUP(2,1/(单次交易!$A$2:$A$201=A321),单次交易!$H$2:$H$201),0)+SUMIFS($H$2:$H$1001,$A$2:$A$1001,A321,$B$2:$B$1001,"&lt;"&amp;B321))</f>
        <v/>
      </c>
      <c r="K321" s="24" t="str">
        <f aca="false">IF(OR(E321="",I321="",J321=""),"",MAX(E321*I321-J321,0))</f>
        <v/>
      </c>
      <c r="L321" s="25" t="str">
        <f aca="false">IF(OR(D321="",E321="",F321="",D321&lt;=E321),"",FLOOR((F321+K321)/(D321-E321),100))</f>
        <v/>
      </c>
      <c r="M321" s="25" t="str">
        <f aca="false">IF(OR(A321="",B321="",L321=""),"",IF(B321=1,L321,IFERROR(SUMIFS($G$2:$G$1001,$A$2:$A$1001,A321,$B$2:$B$1001,B321-1),0)))</f>
        <v/>
      </c>
      <c r="N321" s="25" t="str">
        <f aca="false">IF(OR(L321="",M321=""),"",MIN(L321,M321))</f>
        <v/>
      </c>
      <c r="O321" s="25" t="str">
        <f aca="false">IF(OR(I321="",G321=""),"",I321+G321)</f>
        <v/>
      </c>
      <c r="P321" s="24" t="str">
        <f aca="false">IF(OR(O321="",O321=0),"",(J321+H321)/O321)</f>
        <v/>
      </c>
      <c r="Q321" s="24" t="str">
        <f aca="false">IF(OR(O321="",E321=""),"",MAX(J321+H321-E321*O321,0))</f>
        <v/>
      </c>
      <c r="R321" s="26" t="str">
        <f aca="false">IF(A321="","",IF(COUNTIF(_TradeIds,A321)=0,"违规：交易编号不存在",IF(OR(B321="",B321&lt;1,B321&gt;5,B321&lt;&gt;INT(B321)),"违规：加仓序号须为1到5的整数",IF(COUNTIFS($A$2:$A$1001,A321,$B$2:$B$1001,B321)&gt;1,"违规：同一交易的加仓序号重复",IF(OR(D321="",E321="",F321=""),"计划不完整：请填写加仓价、新止损价和风险预算",IF(OR(D321&lt;=0,E321&lt;=0,F321&lt;=0,D321&lt;=E321),"违规：加仓价必须高于新止损价，金额须大于0",IF(AND(B321&gt;1,COUNTIFS($A$2:$A$1001,A321,$B$2:$B$1001,B321-1,$G$2:$G$1001,"&gt;0")=0),"违规：须先完成上一次加仓",IF(AND(B321&gt;1,E321&lt;SUMIFS($E$2:$E$1001,$A$2:$A$1001,A321,$B$2:$B$1001,B321-1)),"违规：新止损价不得低于上一次",IF(AND(B321&gt;1,F321&gt;SUMIFS($F$2:$F$1001,$A$2:$A$1001,A321,$B$2:$B$1001,B321-1)),"违规：风险预算须逐次不增加",IF(OR(_LockStatus="已锁仓",_LockStatus="解锁信息不完整"),"违规：锁仓期间禁止加仓",IF(G321="","计划可执行：建议股数见N列",IF(OR(G321&lt;=0,G321&lt;&gt;INT(G321),MOD(G321,100)&lt;&gt;0),"违规：实际股数须为100股整数倍",IF(G321&gt;N321,"违规：实际股数超过风险或金字塔上限",IF(AND(B321&gt;1,G321&gt;SUMIFS($G$2:$G$1001,$A$2:$A$1001,A321,$B$2:$B$1001,B321-1)),"违规：加仓股数须逐次不增加",IF(Q321&gt;F321,"违规：止损风险超过本次预算","通过")))))))))))))))</f>
        <v/>
      </c>
    </row>
    <row r="322" customFormat="false" ht="15" hidden="false" customHeight="false" outlineLevel="0" collapsed="false">
      <c r="A322" s="20"/>
      <c r="B322" s="21"/>
      <c r="C322" s="22"/>
      <c r="D322" s="23"/>
      <c r="E322" s="23"/>
      <c r="F322" s="23"/>
      <c r="G322" s="21"/>
      <c r="H322" s="24" t="str">
        <f aca="false">IF(OR(A322="",D322="",G322=""),"",D322*G322)</f>
        <v/>
      </c>
      <c r="I322" s="25" t="str">
        <f aca="false">IF(OR(A322="",B322=""),"",IFERROR(LOOKUP(2,1/(单次交易!$A$2:$A$201=A322),单次交易!$H$2:$H$201),0)+SUMIFS($G$2:$G$1001,$A$2:$A$1001,A322,$B$2:$B$1001,"&lt;"&amp;B322))</f>
        <v/>
      </c>
      <c r="J322" s="24" t="str">
        <f aca="false">IF(OR(A322="",B322=""),"",IFERROR(LOOKUP(2,1/(单次交易!$A$2:$A$201=A322),单次交易!$E$2:$E$201)*LOOKUP(2,1/(单次交易!$A$2:$A$201=A322),单次交易!$H$2:$H$201),0)+SUMIFS($H$2:$H$1001,$A$2:$A$1001,A322,$B$2:$B$1001,"&lt;"&amp;B322))</f>
        <v/>
      </c>
      <c r="K322" s="24" t="str">
        <f aca="false">IF(OR(E322="",I322="",J322=""),"",MAX(E322*I322-J322,0))</f>
        <v/>
      </c>
      <c r="L322" s="25" t="str">
        <f aca="false">IF(OR(D322="",E322="",F322="",D322&lt;=E322),"",FLOOR((F322+K322)/(D322-E322),100))</f>
        <v/>
      </c>
      <c r="M322" s="25" t="str">
        <f aca="false">IF(OR(A322="",B322="",L322=""),"",IF(B322=1,L322,IFERROR(SUMIFS($G$2:$G$1001,$A$2:$A$1001,A322,$B$2:$B$1001,B322-1),0)))</f>
        <v/>
      </c>
      <c r="N322" s="25" t="str">
        <f aca="false">IF(OR(L322="",M322=""),"",MIN(L322,M322))</f>
        <v/>
      </c>
      <c r="O322" s="25" t="str">
        <f aca="false">IF(OR(I322="",G322=""),"",I322+G322)</f>
        <v/>
      </c>
      <c r="P322" s="24" t="str">
        <f aca="false">IF(OR(O322="",O322=0),"",(J322+H322)/O322)</f>
        <v/>
      </c>
      <c r="Q322" s="24" t="str">
        <f aca="false">IF(OR(O322="",E322=""),"",MAX(J322+H322-E322*O322,0))</f>
        <v/>
      </c>
      <c r="R322" s="26" t="str">
        <f aca="false">IF(A322="","",IF(COUNTIF(_TradeIds,A322)=0,"违规：交易编号不存在",IF(OR(B322="",B322&lt;1,B322&gt;5,B322&lt;&gt;INT(B322)),"违规：加仓序号须为1到5的整数",IF(COUNTIFS($A$2:$A$1001,A322,$B$2:$B$1001,B322)&gt;1,"违规：同一交易的加仓序号重复",IF(OR(D322="",E322="",F322=""),"计划不完整：请填写加仓价、新止损价和风险预算",IF(OR(D322&lt;=0,E322&lt;=0,F322&lt;=0,D322&lt;=E322),"违规：加仓价必须高于新止损价，金额须大于0",IF(AND(B322&gt;1,COUNTIFS($A$2:$A$1001,A322,$B$2:$B$1001,B322-1,$G$2:$G$1001,"&gt;0")=0),"违规：须先完成上一次加仓",IF(AND(B322&gt;1,E322&lt;SUMIFS($E$2:$E$1001,$A$2:$A$1001,A322,$B$2:$B$1001,B322-1)),"违规：新止损价不得低于上一次",IF(AND(B322&gt;1,F322&gt;SUMIFS($F$2:$F$1001,$A$2:$A$1001,A322,$B$2:$B$1001,B322-1)),"违规：风险预算须逐次不增加",IF(OR(_LockStatus="已锁仓",_LockStatus="解锁信息不完整"),"违规：锁仓期间禁止加仓",IF(G322="","计划可执行：建议股数见N列",IF(OR(G322&lt;=0,G322&lt;&gt;INT(G322),MOD(G322,100)&lt;&gt;0),"违规：实际股数须为100股整数倍",IF(G322&gt;N322,"违规：实际股数超过风险或金字塔上限",IF(AND(B322&gt;1,G322&gt;SUMIFS($G$2:$G$1001,$A$2:$A$1001,A322,$B$2:$B$1001,B322-1)),"违规：加仓股数须逐次不增加",IF(Q322&gt;F322,"违规：止损风险超过本次预算","通过")))))))))))))))</f>
        <v/>
      </c>
    </row>
    <row r="323" customFormat="false" ht="15" hidden="false" customHeight="false" outlineLevel="0" collapsed="false">
      <c r="A323" s="20"/>
      <c r="B323" s="21"/>
      <c r="C323" s="22"/>
      <c r="D323" s="23"/>
      <c r="E323" s="23"/>
      <c r="F323" s="23"/>
      <c r="G323" s="21"/>
      <c r="H323" s="24" t="str">
        <f aca="false">IF(OR(A323="",D323="",G323=""),"",D323*G323)</f>
        <v/>
      </c>
      <c r="I323" s="25" t="str">
        <f aca="false">IF(OR(A323="",B323=""),"",IFERROR(LOOKUP(2,1/(单次交易!$A$2:$A$201=A323),单次交易!$H$2:$H$201),0)+SUMIFS($G$2:$G$1001,$A$2:$A$1001,A323,$B$2:$B$1001,"&lt;"&amp;B323))</f>
        <v/>
      </c>
      <c r="J323" s="24" t="str">
        <f aca="false">IF(OR(A323="",B323=""),"",IFERROR(LOOKUP(2,1/(单次交易!$A$2:$A$201=A323),单次交易!$E$2:$E$201)*LOOKUP(2,1/(单次交易!$A$2:$A$201=A323),单次交易!$H$2:$H$201),0)+SUMIFS($H$2:$H$1001,$A$2:$A$1001,A323,$B$2:$B$1001,"&lt;"&amp;B323))</f>
        <v/>
      </c>
      <c r="K323" s="24" t="str">
        <f aca="false">IF(OR(E323="",I323="",J323=""),"",MAX(E323*I323-J323,0))</f>
        <v/>
      </c>
      <c r="L323" s="25" t="str">
        <f aca="false">IF(OR(D323="",E323="",F323="",D323&lt;=E323),"",FLOOR((F323+K323)/(D323-E323),100))</f>
        <v/>
      </c>
      <c r="M323" s="25" t="str">
        <f aca="false">IF(OR(A323="",B323="",L323=""),"",IF(B323=1,L323,IFERROR(SUMIFS($G$2:$G$1001,$A$2:$A$1001,A323,$B$2:$B$1001,B323-1),0)))</f>
        <v/>
      </c>
      <c r="N323" s="25" t="str">
        <f aca="false">IF(OR(L323="",M323=""),"",MIN(L323,M323))</f>
        <v/>
      </c>
      <c r="O323" s="25" t="str">
        <f aca="false">IF(OR(I323="",G323=""),"",I323+G323)</f>
        <v/>
      </c>
      <c r="P323" s="24" t="str">
        <f aca="false">IF(OR(O323="",O323=0),"",(J323+H323)/O323)</f>
        <v/>
      </c>
      <c r="Q323" s="24" t="str">
        <f aca="false">IF(OR(O323="",E323=""),"",MAX(J323+H323-E323*O323,0))</f>
        <v/>
      </c>
      <c r="R323" s="26" t="str">
        <f aca="false">IF(A323="","",IF(COUNTIF(_TradeIds,A323)=0,"违规：交易编号不存在",IF(OR(B323="",B323&lt;1,B323&gt;5,B323&lt;&gt;INT(B323)),"违规：加仓序号须为1到5的整数",IF(COUNTIFS($A$2:$A$1001,A323,$B$2:$B$1001,B323)&gt;1,"违规：同一交易的加仓序号重复",IF(OR(D323="",E323="",F323=""),"计划不完整：请填写加仓价、新止损价和风险预算",IF(OR(D323&lt;=0,E323&lt;=0,F323&lt;=0,D323&lt;=E323),"违规：加仓价必须高于新止损价，金额须大于0",IF(AND(B323&gt;1,COUNTIFS($A$2:$A$1001,A323,$B$2:$B$1001,B323-1,$G$2:$G$1001,"&gt;0")=0),"违规：须先完成上一次加仓",IF(AND(B323&gt;1,E323&lt;SUMIFS($E$2:$E$1001,$A$2:$A$1001,A323,$B$2:$B$1001,B323-1)),"违规：新止损价不得低于上一次",IF(AND(B323&gt;1,F323&gt;SUMIFS($F$2:$F$1001,$A$2:$A$1001,A323,$B$2:$B$1001,B323-1)),"违规：风险预算须逐次不增加",IF(OR(_LockStatus="已锁仓",_LockStatus="解锁信息不完整"),"违规：锁仓期间禁止加仓",IF(G323="","计划可执行：建议股数见N列",IF(OR(G323&lt;=0,G323&lt;&gt;INT(G323),MOD(G323,100)&lt;&gt;0),"违规：实际股数须为100股整数倍",IF(G323&gt;N323,"违规：实际股数超过风险或金字塔上限",IF(AND(B323&gt;1,G323&gt;SUMIFS($G$2:$G$1001,$A$2:$A$1001,A323,$B$2:$B$1001,B323-1)),"违规：加仓股数须逐次不增加",IF(Q323&gt;F323,"违规：止损风险超过本次预算","通过")))))))))))))))</f>
        <v/>
      </c>
    </row>
    <row r="324" customFormat="false" ht="15" hidden="false" customHeight="false" outlineLevel="0" collapsed="false">
      <c r="A324" s="20"/>
      <c r="B324" s="21"/>
      <c r="C324" s="22"/>
      <c r="D324" s="23"/>
      <c r="E324" s="23"/>
      <c r="F324" s="23"/>
      <c r="G324" s="21"/>
      <c r="H324" s="24" t="str">
        <f aca="false">IF(OR(A324="",D324="",G324=""),"",D324*G324)</f>
        <v/>
      </c>
      <c r="I324" s="25" t="str">
        <f aca="false">IF(OR(A324="",B324=""),"",IFERROR(LOOKUP(2,1/(单次交易!$A$2:$A$201=A324),单次交易!$H$2:$H$201),0)+SUMIFS($G$2:$G$1001,$A$2:$A$1001,A324,$B$2:$B$1001,"&lt;"&amp;B324))</f>
        <v/>
      </c>
      <c r="J324" s="24" t="str">
        <f aca="false">IF(OR(A324="",B324=""),"",IFERROR(LOOKUP(2,1/(单次交易!$A$2:$A$201=A324),单次交易!$E$2:$E$201)*LOOKUP(2,1/(单次交易!$A$2:$A$201=A324),单次交易!$H$2:$H$201),0)+SUMIFS($H$2:$H$1001,$A$2:$A$1001,A324,$B$2:$B$1001,"&lt;"&amp;B324))</f>
        <v/>
      </c>
      <c r="K324" s="24" t="str">
        <f aca="false">IF(OR(E324="",I324="",J324=""),"",MAX(E324*I324-J324,0))</f>
        <v/>
      </c>
      <c r="L324" s="25" t="str">
        <f aca="false">IF(OR(D324="",E324="",F324="",D324&lt;=E324),"",FLOOR((F324+K324)/(D324-E324),100))</f>
        <v/>
      </c>
      <c r="M324" s="25" t="str">
        <f aca="false">IF(OR(A324="",B324="",L324=""),"",IF(B324=1,L324,IFERROR(SUMIFS($G$2:$G$1001,$A$2:$A$1001,A324,$B$2:$B$1001,B324-1),0)))</f>
        <v/>
      </c>
      <c r="N324" s="25" t="str">
        <f aca="false">IF(OR(L324="",M324=""),"",MIN(L324,M324))</f>
        <v/>
      </c>
      <c r="O324" s="25" t="str">
        <f aca="false">IF(OR(I324="",G324=""),"",I324+G324)</f>
        <v/>
      </c>
      <c r="P324" s="24" t="str">
        <f aca="false">IF(OR(O324="",O324=0),"",(J324+H324)/O324)</f>
        <v/>
      </c>
      <c r="Q324" s="24" t="str">
        <f aca="false">IF(OR(O324="",E324=""),"",MAX(J324+H324-E324*O324,0))</f>
        <v/>
      </c>
      <c r="R324" s="26" t="str">
        <f aca="false">IF(A324="","",IF(COUNTIF(_TradeIds,A324)=0,"违规：交易编号不存在",IF(OR(B324="",B324&lt;1,B324&gt;5,B324&lt;&gt;INT(B324)),"违规：加仓序号须为1到5的整数",IF(COUNTIFS($A$2:$A$1001,A324,$B$2:$B$1001,B324)&gt;1,"违规：同一交易的加仓序号重复",IF(OR(D324="",E324="",F324=""),"计划不完整：请填写加仓价、新止损价和风险预算",IF(OR(D324&lt;=0,E324&lt;=0,F324&lt;=0,D324&lt;=E324),"违规：加仓价必须高于新止损价，金额须大于0",IF(AND(B324&gt;1,COUNTIFS($A$2:$A$1001,A324,$B$2:$B$1001,B324-1,$G$2:$G$1001,"&gt;0")=0),"违规：须先完成上一次加仓",IF(AND(B324&gt;1,E324&lt;SUMIFS($E$2:$E$1001,$A$2:$A$1001,A324,$B$2:$B$1001,B324-1)),"违规：新止损价不得低于上一次",IF(AND(B324&gt;1,F324&gt;SUMIFS($F$2:$F$1001,$A$2:$A$1001,A324,$B$2:$B$1001,B324-1)),"违规：风险预算须逐次不增加",IF(OR(_LockStatus="已锁仓",_LockStatus="解锁信息不完整"),"违规：锁仓期间禁止加仓",IF(G324="","计划可执行：建议股数见N列",IF(OR(G324&lt;=0,G324&lt;&gt;INT(G324),MOD(G324,100)&lt;&gt;0),"违规：实际股数须为100股整数倍",IF(G324&gt;N324,"违规：实际股数超过风险或金字塔上限",IF(AND(B324&gt;1,G324&gt;SUMIFS($G$2:$G$1001,$A$2:$A$1001,A324,$B$2:$B$1001,B324-1)),"违规：加仓股数须逐次不增加",IF(Q324&gt;F324,"违规：止损风险超过本次预算","通过")))))))))))))))</f>
        <v/>
      </c>
    </row>
    <row r="325" customFormat="false" ht="15" hidden="false" customHeight="false" outlineLevel="0" collapsed="false">
      <c r="A325" s="20"/>
      <c r="B325" s="21"/>
      <c r="C325" s="22"/>
      <c r="D325" s="23"/>
      <c r="E325" s="23"/>
      <c r="F325" s="23"/>
      <c r="G325" s="21"/>
      <c r="H325" s="24" t="str">
        <f aca="false">IF(OR(A325="",D325="",G325=""),"",D325*G325)</f>
        <v/>
      </c>
      <c r="I325" s="25" t="str">
        <f aca="false">IF(OR(A325="",B325=""),"",IFERROR(LOOKUP(2,1/(单次交易!$A$2:$A$201=A325),单次交易!$H$2:$H$201),0)+SUMIFS($G$2:$G$1001,$A$2:$A$1001,A325,$B$2:$B$1001,"&lt;"&amp;B325))</f>
        <v/>
      </c>
      <c r="J325" s="24" t="str">
        <f aca="false">IF(OR(A325="",B325=""),"",IFERROR(LOOKUP(2,1/(单次交易!$A$2:$A$201=A325),单次交易!$E$2:$E$201)*LOOKUP(2,1/(单次交易!$A$2:$A$201=A325),单次交易!$H$2:$H$201),0)+SUMIFS($H$2:$H$1001,$A$2:$A$1001,A325,$B$2:$B$1001,"&lt;"&amp;B325))</f>
        <v/>
      </c>
      <c r="K325" s="24" t="str">
        <f aca="false">IF(OR(E325="",I325="",J325=""),"",MAX(E325*I325-J325,0))</f>
        <v/>
      </c>
      <c r="L325" s="25" t="str">
        <f aca="false">IF(OR(D325="",E325="",F325="",D325&lt;=E325),"",FLOOR((F325+K325)/(D325-E325),100))</f>
        <v/>
      </c>
      <c r="M325" s="25" t="str">
        <f aca="false">IF(OR(A325="",B325="",L325=""),"",IF(B325=1,L325,IFERROR(SUMIFS($G$2:$G$1001,$A$2:$A$1001,A325,$B$2:$B$1001,B325-1),0)))</f>
        <v/>
      </c>
      <c r="N325" s="25" t="str">
        <f aca="false">IF(OR(L325="",M325=""),"",MIN(L325,M325))</f>
        <v/>
      </c>
      <c r="O325" s="25" t="str">
        <f aca="false">IF(OR(I325="",G325=""),"",I325+G325)</f>
        <v/>
      </c>
      <c r="P325" s="24" t="str">
        <f aca="false">IF(OR(O325="",O325=0),"",(J325+H325)/O325)</f>
        <v/>
      </c>
      <c r="Q325" s="24" t="str">
        <f aca="false">IF(OR(O325="",E325=""),"",MAX(J325+H325-E325*O325,0))</f>
        <v/>
      </c>
      <c r="R325" s="26" t="str">
        <f aca="false">IF(A325="","",IF(COUNTIF(_TradeIds,A325)=0,"违规：交易编号不存在",IF(OR(B325="",B325&lt;1,B325&gt;5,B325&lt;&gt;INT(B325)),"违规：加仓序号须为1到5的整数",IF(COUNTIFS($A$2:$A$1001,A325,$B$2:$B$1001,B325)&gt;1,"违规：同一交易的加仓序号重复",IF(OR(D325="",E325="",F325=""),"计划不完整：请填写加仓价、新止损价和风险预算",IF(OR(D325&lt;=0,E325&lt;=0,F325&lt;=0,D325&lt;=E325),"违规：加仓价必须高于新止损价，金额须大于0",IF(AND(B325&gt;1,COUNTIFS($A$2:$A$1001,A325,$B$2:$B$1001,B325-1,$G$2:$G$1001,"&gt;0")=0),"违规：须先完成上一次加仓",IF(AND(B325&gt;1,E325&lt;SUMIFS($E$2:$E$1001,$A$2:$A$1001,A325,$B$2:$B$1001,B325-1)),"违规：新止损价不得低于上一次",IF(AND(B325&gt;1,F325&gt;SUMIFS($F$2:$F$1001,$A$2:$A$1001,A325,$B$2:$B$1001,B325-1)),"违规：风险预算须逐次不增加",IF(OR(_LockStatus="已锁仓",_LockStatus="解锁信息不完整"),"违规：锁仓期间禁止加仓",IF(G325="","计划可执行：建议股数见N列",IF(OR(G325&lt;=0,G325&lt;&gt;INT(G325),MOD(G325,100)&lt;&gt;0),"违规：实际股数须为100股整数倍",IF(G325&gt;N325,"违规：实际股数超过风险或金字塔上限",IF(AND(B325&gt;1,G325&gt;SUMIFS($G$2:$G$1001,$A$2:$A$1001,A325,$B$2:$B$1001,B325-1)),"违规：加仓股数须逐次不增加",IF(Q325&gt;F325,"违规：止损风险超过本次预算","通过")))))))))))))))</f>
        <v/>
      </c>
    </row>
    <row r="326" customFormat="false" ht="15" hidden="false" customHeight="false" outlineLevel="0" collapsed="false">
      <c r="A326" s="20"/>
      <c r="B326" s="21"/>
      <c r="C326" s="22"/>
      <c r="D326" s="23"/>
      <c r="E326" s="23"/>
      <c r="F326" s="23"/>
      <c r="G326" s="21"/>
      <c r="H326" s="24" t="str">
        <f aca="false">IF(OR(A326="",D326="",G326=""),"",D326*G326)</f>
        <v/>
      </c>
      <c r="I326" s="25" t="str">
        <f aca="false">IF(OR(A326="",B326=""),"",IFERROR(LOOKUP(2,1/(单次交易!$A$2:$A$201=A326),单次交易!$H$2:$H$201),0)+SUMIFS($G$2:$G$1001,$A$2:$A$1001,A326,$B$2:$B$1001,"&lt;"&amp;B326))</f>
        <v/>
      </c>
      <c r="J326" s="24" t="str">
        <f aca="false">IF(OR(A326="",B326=""),"",IFERROR(LOOKUP(2,1/(单次交易!$A$2:$A$201=A326),单次交易!$E$2:$E$201)*LOOKUP(2,1/(单次交易!$A$2:$A$201=A326),单次交易!$H$2:$H$201),0)+SUMIFS($H$2:$H$1001,$A$2:$A$1001,A326,$B$2:$B$1001,"&lt;"&amp;B326))</f>
        <v/>
      </c>
      <c r="K326" s="24" t="str">
        <f aca="false">IF(OR(E326="",I326="",J326=""),"",MAX(E326*I326-J326,0))</f>
        <v/>
      </c>
      <c r="L326" s="25" t="str">
        <f aca="false">IF(OR(D326="",E326="",F326="",D326&lt;=E326),"",FLOOR((F326+K326)/(D326-E326),100))</f>
        <v/>
      </c>
      <c r="M326" s="25" t="str">
        <f aca="false">IF(OR(A326="",B326="",L326=""),"",IF(B326=1,L326,IFERROR(SUMIFS($G$2:$G$1001,$A$2:$A$1001,A326,$B$2:$B$1001,B326-1),0)))</f>
        <v/>
      </c>
      <c r="N326" s="25" t="str">
        <f aca="false">IF(OR(L326="",M326=""),"",MIN(L326,M326))</f>
        <v/>
      </c>
      <c r="O326" s="25" t="str">
        <f aca="false">IF(OR(I326="",G326=""),"",I326+G326)</f>
        <v/>
      </c>
      <c r="P326" s="24" t="str">
        <f aca="false">IF(OR(O326="",O326=0),"",(J326+H326)/O326)</f>
        <v/>
      </c>
      <c r="Q326" s="24" t="str">
        <f aca="false">IF(OR(O326="",E326=""),"",MAX(J326+H326-E326*O326,0))</f>
        <v/>
      </c>
      <c r="R326" s="26" t="str">
        <f aca="false">IF(A326="","",IF(COUNTIF(_TradeIds,A326)=0,"违规：交易编号不存在",IF(OR(B326="",B326&lt;1,B326&gt;5,B326&lt;&gt;INT(B326)),"违规：加仓序号须为1到5的整数",IF(COUNTIFS($A$2:$A$1001,A326,$B$2:$B$1001,B326)&gt;1,"违规：同一交易的加仓序号重复",IF(OR(D326="",E326="",F326=""),"计划不完整：请填写加仓价、新止损价和风险预算",IF(OR(D326&lt;=0,E326&lt;=0,F326&lt;=0,D326&lt;=E326),"违规：加仓价必须高于新止损价，金额须大于0",IF(AND(B326&gt;1,COUNTIFS($A$2:$A$1001,A326,$B$2:$B$1001,B326-1,$G$2:$G$1001,"&gt;0")=0),"违规：须先完成上一次加仓",IF(AND(B326&gt;1,E326&lt;SUMIFS($E$2:$E$1001,$A$2:$A$1001,A326,$B$2:$B$1001,B326-1)),"违规：新止损价不得低于上一次",IF(AND(B326&gt;1,F326&gt;SUMIFS($F$2:$F$1001,$A$2:$A$1001,A326,$B$2:$B$1001,B326-1)),"违规：风险预算须逐次不增加",IF(OR(_LockStatus="已锁仓",_LockStatus="解锁信息不完整"),"违规：锁仓期间禁止加仓",IF(G326="","计划可执行：建议股数见N列",IF(OR(G326&lt;=0,G326&lt;&gt;INT(G326),MOD(G326,100)&lt;&gt;0),"违规：实际股数须为100股整数倍",IF(G326&gt;N326,"违规：实际股数超过风险或金字塔上限",IF(AND(B326&gt;1,G326&gt;SUMIFS($G$2:$G$1001,$A$2:$A$1001,A326,$B$2:$B$1001,B326-1)),"违规：加仓股数须逐次不增加",IF(Q326&gt;F326,"违规：止损风险超过本次预算","通过")))))))))))))))</f>
        <v/>
      </c>
    </row>
    <row r="327" customFormat="false" ht="15" hidden="false" customHeight="false" outlineLevel="0" collapsed="false">
      <c r="A327" s="20"/>
      <c r="B327" s="21"/>
      <c r="C327" s="22"/>
      <c r="D327" s="23"/>
      <c r="E327" s="23"/>
      <c r="F327" s="23"/>
      <c r="G327" s="21"/>
      <c r="H327" s="24" t="str">
        <f aca="false">IF(OR(A327="",D327="",G327=""),"",D327*G327)</f>
        <v/>
      </c>
      <c r="I327" s="25" t="str">
        <f aca="false">IF(OR(A327="",B327=""),"",IFERROR(LOOKUP(2,1/(单次交易!$A$2:$A$201=A327),单次交易!$H$2:$H$201),0)+SUMIFS($G$2:$G$1001,$A$2:$A$1001,A327,$B$2:$B$1001,"&lt;"&amp;B327))</f>
        <v/>
      </c>
      <c r="J327" s="24" t="str">
        <f aca="false">IF(OR(A327="",B327=""),"",IFERROR(LOOKUP(2,1/(单次交易!$A$2:$A$201=A327),单次交易!$E$2:$E$201)*LOOKUP(2,1/(单次交易!$A$2:$A$201=A327),单次交易!$H$2:$H$201),0)+SUMIFS($H$2:$H$1001,$A$2:$A$1001,A327,$B$2:$B$1001,"&lt;"&amp;B327))</f>
        <v/>
      </c>
      <c r="K327" s="24" t="str">
        <f aca="false">IF(OR(E327="",I327="",J327=""),"",MAX(E327*I327-J327,0))</f>
        <v/>
      </c>
      <c r="L327" s="25" t="str">
        <f aca="false">IF(OR(D327="",E327="",F327="",D327&lt;=E327),"",FLOOR((F327+K327)/(D327-E327),100))</f>
        <v/>
      </c>
      <c r="M327" s="25" t="str">
        <f aca="false">IF(OR(A327="",B327="",L327=""),"",IF(B327=1,L327,IFERROR(SUMIFS($G$2:$G$1001,$A$2:$A$1001,A327,$B$2:$B$1001,B327-1),0)))</f>
        <v/>
      </c>
      <c r="N327" s="25" t="str">
        <f aca="false">IF(OR(L327="",M327=""),"",MIN(L327,M327))</f>
        <v/>
      </c>
      <c r="O327" s="25" t="str">
        <f aca="false">IF(OR(I327="",G327=""),"",I327+G327)</f>
        <v/>
      </c>
      <c r="P327" s="24" t="str">
        <f aca="false">IF(OR(O327="",O327=0),"",(J327+H327)/O327)</f>
        <v/>
      </c>
      <c r="Q327" s="24" t="str">
        <f aca="false">IF(OR(O327="",E327=""),"",MAX(J327+H327-E327*O327,0))</f>
        <v/>
      </c>
      <c r="R327" s="26" t="str">
        <f aca="false">IF(A327="","",IF(COUNTIF(_TradeIds,A327)=0,"违规：交易编号不存在",IF(OR(B327="",B327&lt;1,B327&gt;5,B327&lt;&gt;INT(B327)),"违规：加仓序号须为1到5的整数",IF(COUNTIFS($A$2:$A$1001,A327,$B$2:$B$1001,B327)&gt;1,"违规：同一交易的加仓序号重复",IF(OR(D327="",E327="",F327=""),"计划不完整：请填写加仓价、新止损价和风险预算",IF(OR(D327&lt;=0,E327&lt;=0,F327&lt;=0,D327&lt;=E327),"违规：加仓价必须高于新止损价，金额须大于0",IF(AND(B327&gt;1,COUNTIFS($A$2:$A$1001,A327,$B$2:$B$1001,B327-1,$G$2:$G$1001,"&gt;0")=0),"违规：须先完成上一次加仓",IF(AND(B327&gt;1,E327&lt;SUMIFS($E$2:$E$1001,$A$2:$A$1001,A327,$B$2:$B$1001,B327-1)),"违规：新止损价不得低于上一次",IF(AND(B327&gt;1,F327&gt;SUMIFS($F$2:$F$1001,$A$2:$A$1001,A327,$B$2:$B$1001,B327-1)),"违规：风险预算须逐次不增加",IF(OR(_LockStatus="已锁仓",_LockStatus="解锁信息不完整"),"违规：锁仓期间禁止加仓",IF(G327="","计划可执行：建议股数见N列",IF(OR(G327&lt;=0,G327&lt;&gt;INT(G327),MOD(G327,100)&lt;&gt;0),"违规：实际股数须为100股整数倍",IF(G327&gt;N327,"违规：实际股数超过风险或金字塔上限",IF(AND(B327&gt;1,G327&gt;SUMIFS($G$2:$G$1001,$A$2:$A$1001,A327,$B$2:$B$1001,B327-1)),"违规：加仓股数须逐次不增加",IF(Q327&gt;F327,"违规：止损风险超过本次预算","通过")))))))))))))))</f>
        <v/>
      </c>
    </row>
    <row r="328" customFormat="false" ht="15" hidden="false" customHeight="false" outlineLevel="0" collapsed="false">
      <c r="A328" s="20"/>
      <c r="B328" s="21"/>
      <c r="C328" s="22"/>
      <c r="D328" s="23"/>
      <c r="E328" s="23"/>
      <c r="F328" s="23"/>
      <c r="G328" s="21"/>
      <c r="H328" s="24" t="str">
        <f aca="false">IF(OR(A328="",D328="",G328=""),"",D328*G328)</f>
        <v/>
      </c>
      <c r="I328" s="25" t="str">
        <f aca="false">IF(OR(A328="",B328=""),"",IFERROR(LOOKUP(2,1/(单次交易!$A$2:$A$201=A328),单次交易!$H$2:$H$201),0)+SUMIFS($G$2:$G$1001,$A$2:$A$1001,A328,$B$2:$B$1001,"&lt;"&amp;B328))</f>
        <v/>
      </c>
      <c r="J328" s="24" t="str">
        <f aca="false">IF(OR(A328="",B328=""),"",IFERROR(LOOKUP(2,1/(单次交易!$A$2:$A$201=A328),单次交易!$E$2:$E$201)*LOOKUP(2,1/(单次交易!$A$2:$A$201=A328),单次交易!$H$2:$H$201),0)+SUMIFS($H$2:$H$1001,$A$2:$A$1001,A328,$B$2:$B$1001,"&lt;"&amp;B328))</f>
        <v/>
      </c>
      <c r="K328" s="24" t="str">
        <f aca="false">IF(OR(E328="",I328="",J328=""),"",MAX(E328*I328-J328,0))</f>
        <v/>
      </c>
      <c r="L328" s="25" t="str">
        <f aca="false">IF(OR(D328="",E328="",F328="",D328&lt;=E328),"",FLOOR((F328+K328)/(D328-E328),100))</f>
        <v/>
      </c>
      <c r="M328" s="25" t="str">
        <f aca="false">IF(OR(A328="",B328="",L328=""),"",IF(B328=1,L328,IFERROR(SUMIFS($G$2:$G$1001,$A$2:$A$1001,A328,$B$2:$B$1001,B328-1),0)))</f>
        <v/>
      </c>
      <c r="N328" s="25" t="str">
        <f aca="false">IF(OR(L328="",M328=""),"",MIN(L328,M328))</f>
        <v/>
      </c>
      <c r="O328" s="25" t="str">
        <f aca="false">IF(OR(I328="",G328=""),"",I328+G328)</f>
        <v/>
      </c>
      <c r="P328" s="24" t="str">
        <f aca="false">IF(OR(O328="",O328=0),"",(J328+H328)/O328)</f>
        <v/>
      </c>
      <c r="Q328" s="24" t="str">
        <f aca="false">IF(OR(O328="",E328=""),"",MAX(J328+H328-E328*O328,0))</f>
        <v/>
      </c>
      <c r="R328" s="26" t="str">
        <f aca="false">IF(A328="","",IF(COUNTIF(_TradeIds,A328)=0,"违规：交易编号不存在",IF(OR(B328="",B328&lt;1,B328&gt;5,B328&lt;&gt;INT(B328)),"违规：加仓序号须为1到5的整数",IF(COUNTIFS($A$2:$A$1001,A328,$B$2:$B$1001,B328)&gt;1,"违规：同一交易的加仓序号重复",IF(OR(D328="",E328="",F328=""),"计划不完整：请填写加仓价、新止损价和风险预算",IF(OR(D328&lt;=0,E328&lt;=0,F328&lt;=0,D328&lt;=E328),"违规：加仓价必须高于新止损价，金额须大于0",IF(AND(B328&gt;1,COUNTIFS($A$2:$A$1001,A328,$B$2:$B$1001,B328-1,$G$2:$G$1001,"&gt;0")=0),"违规：须先完成上一次加仓",IF(AND(B328&gt;1,E328&lt;SUMIFS($E$2:$E$1001,$A$2:$A$1001,A328,$B$2:$B$1001,B328-1)),"违规：新止损价不得低于上一次",IF(AND(B328&gt;1,F328&gt;SUMIFS($F$2:$F$1001,$A$2:$A$1001,A328,$B$2:$B$1001,B328-1)),"违规：风险预算须逐次不增加",IF(OR(_LockStatus="已锁仓",_LockStatus="解锁信息不完整"),"违规：锁仓期间禁止加仓",IF(G328="","计划可执行：建议股数见N列",IF(OR(G328&lt;=0,G328&lt;&gt;INT(G328),MOD(G328,100)&lt;&gt;0),"违规：实际股数须为100股整数倍",IF(G328&gt;N328,"违规：实际股数超过风险或金字塔上限",IF(AND(B328&gt;1,G328&gt;SUMIFS($G$2:$G$1001,$A$2:$A$1001,A328,$B$2:$B$1001,B328-1)),"违规：加仓股数须逐次不增加",IF(Q328&gt;F328,"违规：止损风险超过本次预算","通过")))))))))))))))</f>
        <v/>
      </c>
    </row>
    <row r="329" customFormat="false" ht="15" hidden="false" customHeight="false" outlineLevel="0" collapsed="false">
      <c r="A329" s="20"/>
      <c r="B329" s="21"/>
      <c r="C329" s="22"/>
      <c r="D329" s="23"/>
      <c r="E329" s="23"/>
      <c r="F329" s="23"/>
      <c r="G329" s="21"/>
      <c r="H329" s="24" t="str">
        <f aca="false">IF(OR(A329="",D329="",G329=""),"",D329*G329)</f>
        <v/>
      </c>
      <c r="I329" s="25" t="str">
        <f aca="false">IF(OR(A329="",B329=""),"",IFERROR(LOOKUP(2,1/(单次交易!$A$2:$A$201=A329),单次交易!$H$2:$H$201),0)+SUMIFS($G$2:$G$1001,$A$2:$A$1001,A329,$B$2:$B$1001,"&lt;"&amp;B329))</f>
        <v/>
      </c>
      <c r="J329" s="24" t="str">
        <f aca="false">IF(OR(A329="",B329=""),"",IFERROR(LOOKUP(2,1/(单次交易!$A$2:$A$201=A329),单次交易!$E$2:$E$201)*LOOKUP(2,1/(单次交易!$A$2:$A$201=A329),单次交易!$H$2:$H$201),0)+SUMIFS($H$2:$H$1001,$A$2:$A$1001,A329,$B$2:$B$1001,"&lt;"&amp;B329))</f>
        <v/>
      </c>
      <c r="K329" s="24" t="str">
        <f aca="false">IF(OR(E329="",I329="",J329=""),"",MAX(E329*I329-J329,0))</f>
        <v/>
      </c>
      <c r="L329" s="25" t="str">
        <f aca="false">IF(OR(D329="",E329="",F329="",D329&lt;=E329),"",FLOOR((F329+K329)/(D329-E329),100))</f>
        <v/>
      </c>
      <c r="M329" s="25" t="str">
        <f aca="false">IF(OR(A329="",B329="",L329=""),"",IF(B329=1,L329,IFERROR(SUMIFS($G$2:$G$1001,$A$2:$A$1001,A329,$B$2:$B$1001,B329-1),0)))</f>
        <v/>
      </c>
      <c r="N329" s="25" t="str">
        <f aca="false">IF(OR(L329="",M329=""),"",MIN(L329,M329))</f>
        <v/>
      </c>
      <c r="O329" s="25" t="str">
        <f aca="false">IF(OR(I329="",G329=""),"",I329+G329)</f>
        <v/>
      </c>
      <c r="P329" s="24" t="str">
        <f aca="false">IF(OR(O329="",O329=0),"",(J329+H329)/O329)</f>
        <v/>
      </c>
      <c r="Q329" s="24" t="str">
        <f aca="false">IF(OR(O329="",E329=""),"",MAX(J329+H329-E329*O329,0))</f>
        <v/>
      </c>
      <c r="R329" s="26" t="str">
        <f aca="false">IF(A329="","",IF(COUNTIF(_TradeIds,A329)=0,"违规：交易编号不存在",IF(OR(B329="",B329&lt;1,B329&gt;5,B329&lt;&gt;INT(B329)),"违规：加仓序号须为1到5的整数",IF(COUNTIFS($A$2:$A$1001,A329,$B$2:$B$1001,B329)&gt;1,"违规：同一交易的加仓序号重复",IF(OR(D329="",E329="",F329=""),"计划不完整：请填写加仓价、新止损价和风险预算",IF(OR(D329&lt;=0,E329&lt;=0,F329&lt;=0,D329&lt;=E329),"违规：加仓价必须高于新止损价，金额须大于0",IF(AND(B329&gt;1,COUNTIFS($A$2:$A$1001,A329,$B$2:$B$1001,B329-1,$G$2:$G$1001,"&gt;0")=0),"违规：须先完成上一次加仓",IF(AND(B329&gt;1,E329&lt;SUMIFS($E$2:$E$1001,$A$2:$A$1001,A329,$B$2:$B$1001,B329-1)),"违规：新止损价不得低于上一次",IF(AND(B329&gt;1,F329&gt;SUMIFS($F$2:$F$1001,$A$2:$A$1001,A329,$B$2:$B$1001,B329-1)),"违规：风险预算须逐次不增加",IF(OR(_LockStatus="已锁仓",_LockStatus="解锁信息不完整"),"违规：锁仓期间禁止加仓",IF(G329="","计划可执行：建议股数见N列",IF(OR(G329&lt;=0,G329&lt;&gt;INT(G329),MOD(G329,100)&lt;&gt;0),"违规：实际股数须为100股整数倍",IF(G329&gt;N329,"违规：实际股数超过风险或金字塔上限",IF(AND(B329&gt;1,G329&gt;SUMIFS($G$2:$G$1001,$A$2:$A$1001,A329,$B$2:$B$1001,B329-1)),"违规：加仓股数须逐次不增加",IF(Q329&gt;F329,"违规：止损风险超过本次预算","通过")))))))))))))))</f>
        <v/>
      </c>
    </row>
    <row r="330" customFormat="false" ht="15" hidden="false" customHeight="false" outlineLevel="0" collapsed="false">
      <c r="A330" s="20"/>
      <c r="B330" s="21"/>
      <c r="C330" s="22"/>
      <c r="D330" s="23"/>
      <c r="E330" s="23"/>
      <c r="F330" s="23"/>
      <c r="G330" s="21"/>
      <c r="H330" s="24" t="str">
        <f aca="false">IF(OR(A330="",D330="",G330=""),"",D330*G330)</f>
        <v/>
      </c>
      <c r="I330" s="25" t="str">
        <f aca="false">IF(OR(A330="",B330=""),"",IFERROR(LOOKUP(2,1/(单次交易!$A$2:$A$201=A330),单次交易!$H$2:$H$201),0)+SUMIFS($G$2:$G$1001,$A$2:$A$1001,A330,$B$2:$B$1001,"&lt;"&amp;B330))</f>
        <v/>
      </c>
      <c r="J330" s="24" t="str">
        <f aca="false">IF(OR(A330="",B330=""),"",IFERROR(LOOKUP(2,1/(单次交易!$A$2:$A$201=A330),单次交易!$E$2:$E$201)*LOOKUP(2,1/(单次交易!$A$2:$A$201=A330),单次交易!$H$2:$H$201),0)+SUMIFS($H$2:$H$1001,$A$2:$A$1001,A330,$B$2:$B$1001,"&lt;"&amp;B330))</f>
        <v/>
      </c>
      <c r="K330" s="24" t="str">
        <f aca="false">IF(OR(E330="",I330="",J330=""),"",MAX(E330*I330-J330,0))</f>
        <v/>
      </c>
      <c r="L330" s="25" t="str">
        <f aca="false">IF(OR(D330="",E330="",F330="",D330&lt;=E330),"",FLOOR((F330+K330)/(D330-E330),100))</f>
        <v/>
      </c>
      <c r="M330" s="25" t="str">
        <f aca="false">IF(OR(A330="",B330="",L330=""),"",IF(B330=1,L330,IFERROR(SUMIFS($G$2:$G$1001,$A$2:$A$1001,A330,$B$2:$B$1001,B330-1),0)))</f>
        <v/>
      </c>
      <c r="N330" s="25" t="str">
        <f aca="false">IF(OR(L330="",M330=""),"",MIN(L330,M330))</f>
        <v/>
      </c>
      <c r="O330" s="25" t="str">
        <f aca="false">IF(OR(I330="",G330=""),"",I330+G330)</f>
        <v/>
      </c>
      <c r="P330" s="24" t="str">
        <f aca="false">IF(OR(O330="",O330=0),"",(J330+H330)/O330)</f>
        <v/>
      </c>
      <c r="Q330" s="24" t="str">
        <f aca="false">IF(OR(O330="",E330=""),"",MAX(J330+H330-E330*O330,0))</f>
        <v/>
      </c>
      <c r="R330" s="26" t="str">
        <f aca="false">IF(A330="","",IF(COUNTIF(_TradeIds,A330)=0,"违规：交易编号不存在",IF(OR(B330="",B330&lt;1,B330&gt;5,B330&lt;&gt;INT(B330)),"违规：加仓序号须为1到5的整数",IF(COUNTIFS($A$2:$A$1001,A330,$B$2:$B$1001,B330)&gt;1,"违规：同一交易的加仓序号重复",IF(OR(D330="",E330="",F330=""),"计划不完整：请填写加仓价、新止损价和风险预算",IF(OR(D330&lt;=0,E330&lt;=0,F330&lt;=0,D330&lt;=E330),"违规：加仓价必须高于新止损价，金额须大于0",IF(AND(B330&gt;1,COUNTIFS($A$2:$A$1001,A330,$B$2:$B$1001,B330-1,$G$2:$G$1001,"&gt;0")=0),"违规：须先完成上一次加仓",IF(AND(B330&gt;1,E330&lt;SUMIFS($E$2:$E$1001,$A$2:$A$1001,A330,$B$2:$B$1001,B330-1)),"违规：新止损价不得低于上一次",IF(AND(B330&gt;1,F330&gt;SUMIFS($F$2:$F$1001,$A$2:$A$1001,A330,$B$2:$B$1001,B330-1)),"违规：风险预算须逐次不增加",IF(OR(_LockStatus="已锁仓",_LockStatus="解锁信息不完整"),"违规：锁仓期间禁止加仓",IF(G330="","计划可执行：建议股数见N列",IF(OR(G330&lt;=0,G330&lt;&gt;INT(G330),MOD(G330,100)&lt;&gt;0),"违规：实际股数须为100股整数倍",IF(G330&gt;N330,"违规：实际股数超过风险或金字塔上限",IF(AND(B330&gt;1,G330&gt;SUMIFS($G$2:$G$1001,$A$2:$A$1001,A330,$B$2:$B$1001,B330-1)),"违规：加仓股数须逐次不增加",IF(Q330&gt;F330,"违规：止损风险超过本次预算","通过")))))))))))))))</f>
        <v/>
      </c>
    </row>
    <row r="331" customFormat="false" ht="15" hidden="false" customHeight="false" outlineLevel="0" collapsed="false">
      <c r="A331" s="20"/>
      <c r="B331" s="21"/>
      <c r="C331" s="22"/>
      <c r="D331" s="23"/>
      <c r="E331" s="23"/>
      <c r="F331" s="23"/>
      <c r="G331" s="21"/>
      <c r="H331" s="24" t="str">
        <f aca="false">IF(OR(A331="",D331="",G331=""),"",D331*G331)</f>
        <v/>
      </c>
      <c r="I331" s="25" t="str">
        <f aca="false">IF(OR(A331="",B331=""),"",IFERROR(LOOKUP(2,1/(单次交易!$A$2:$A$201=A331),单次交易!$H$2:$H$201),0)+SUMIFS($G$2:$G$1001,$A$2:$A$1001,A331,$B$2:$B$1001,"&lt;"&amp;B331))</f>
        <v/>
      </c>
      <c r="J331" s="24" t="str">
        <f aca="false">IF(OR(A331="",B331=""),"",IFERROR(LOOKUP(2,1/(单次交易!$A$2:$A$201=A331),单次交易!$E$2:$E$201)*LOOKUP(2,1/(单次交易!$A$2:$A$201=A331),单次交易!$H$2:$H$201),0)+SUMIFS($H$2:$H$1001,$A$2:$A$1001,A331,$B$2:$B$1001,"&lt;"&amp;B331))</f>
        <v/>
      </c>
      <c r="K331" s="24" t="str">
        <f aca="false">IF(OR(E331="",I331="",J331=""),"",MAX(E331*I331-J331,0))</f>
        <v/>
      </c>
      <c r="L331" s="25" t="str">
        <f aca="false">IF(OR(D331="",E331="",F331="",D331&lt;=E331),"",FLOOR((F331+K331)/(D331-E331),100))</f>
        <v/>
      </c>
      <c r="M331" s="25" t="str">
        <f aca="false">IF(OR(A331="",B331="",L331=""),"",IF(B331=1,L331,IFERROR(SUMIFS($G$2:$G$1001,$A$2:$A$1001,A331,$B$2:$B$1001,B331-1),0)))</f>
        <v/>
      </c>
      <c r="N331" s="25" t="str">
        <f aca="false">IF(OR(L331="",M331=""),"",MIN(L331,M331))</f>
        <v/>
      </c>
      <c r="O331" s="25" t="str">
        <f aca="false">IF(OR(I331="",G331=""),"",I331+G331)</f>
        <v/>
      </c>
      <c r="P331" s="24" t="str">
        <f aca="false">IF(OR(O331="",O331=0),"",(J331+H331)/O331)</f>
        <v/>
      </c>
      <c r="Q331" s="24" t="str">
        <f aca="false">IF(OR(O331="",E331=""),"",MAX(J331+H331-E331*O331,0))</f>
        <v/>
      </c>
      <c r="R331" s="26" t="str">
        <f aca="false">IF(A331="","",IF(COUNTIF(_TradeIds,A331)=0,"违规：交易编号不存在",IF(OR(B331="",B331&lt;1,B331&gt;5,B331&lt;&gt;INT(B331)),"违规：加仓序号须为1到5的整数",IF(COUNTIFS($A$2:$A$1001,A331,$B$2:$B$1001,B331)&gt;1,"违规：同一交易的加仓序号重复",IF(OR(D331="",E331="",F331=""),"计划不完整：请填写加仓价、新止损价和风险预算",IF(OR(D331&lt;=0,E331&lt;=0,F331&lt;=0,D331&lt;=E331),"违规：加仓价必须高于新止损价，金额须大于0",IF(AND(B331&gt;1,COUNTIFS($A$2:$A$1001,A331,$B$2:$B$1001,B331-1,$G$2:$G$1001,"&gt;0")=0),"违规：须先完成上一次加仓",IF(AND(B331&gt;1,E331&lt;SUMIFS($E$2:$E$1001,$A$2:$A$1001,A331,$B$2:$B$1001,B331-1)),"违规：新止损价不得低于上一次",IF(AND(B331&gt;1,F331&gt;SUMIFS($F$2:$F$1001,$A$2:$A$1001,A331,$B$2:$B$1001,B331-1)),"违规：风险预算须逐次不增加",IF(OR(_LockStatus="已锁仓",_LockStatus="解锁信息不完整"),"违规：锁仓期间禁止加仓",IF(G331="","计划可执行：建议股数见N列",IF(OR(G331&lt;=0,G331&lt;&gt;INT(G331),MOD(G331,100)&lt;&gt;0),"违规：实际股数须为100股整数倍",IF(G331&gt;N331,"违规：实际股数超过风险或金字塔上限",IF(AND(B331&gt;1,G331&gt;SUMIFS($G$2:$G$1001,$A$2:$A$1001,A331,$B$2:$B$1001,B331-1)),"违规：加仓股数须逐次不增加",IF(Q331&gt;F331,"违规：止损风险超过本次预算","通过")))))))))))))))</f>
        <v/>
      </c>
    </row>
    <row r="332" customFormat="false" ht="15" hidden="false" customHeight="false" outlineLevel="0" collapsed="false">
      <c r="A332" s="20"/>
      <c r="B332" s="21"/>
      <c r="C332" s="22"/>
      <c r="D332" s="23"/>
      <c r="E332" s="23"/>
      <c r="F332" s="23"/>
      <c r="G332" s="21"/>
      <c r="H332" s="24" t="str">
        <f aca="false">IF(OR(A332="",D332="",G332=""),"",D332*G332)</f>
        <v/>
      </c>
      <c r="I332" s="25" t="str">
        <f aca="false">IF(OR(A332="",B332=""),"",IFERROR(LOOKUP(2,1/(单次交易!$A$2:$A$201=A332),单次交易!$H$2:$H$201),0)+SUMIFS($G$2:$G$1001,$A$2:$A$1001,A332,$B$2:$B$1001,"&lt;"&amp;B332))</f>
        <v/>
      </c>
      <c r="J332" s="24" t="str">
        <f aca="false">IF(OR(A332="",B332=""),"",IFERROR(LOOKUP(2,1/(单次交易!$A$2:$A$201=A332),单次交易!$E$2:$E$201)*LOOKUP(2,1/(单次交易!$A$2:$A$201=A332),单次交易!$H$2:$H$201),0)+SUMIFS($H$2:$H$1001,$A$2:$A$1001,A332,$B$2:$B$1001,"&lt;"&amp;B332))</f>
        <v/>
      </c>
      <c r="K332" s="24" t="str">
        <f aca="false">IF(OR(E332="",I332="",J332=""),"",MAX(E332*I332-J332,0))</f>
        <v/>
      </c>
      <c r="L332" s="25" t="str">
        <f aca="false">IF(OR(D332="",E332="",F332="",D332&lt;=E332),"",FLOOR((F332+K332)/(D332-E332),100))</f>
        <v/>
      </c>
      <c r="M332" s="25" t="str">
        <f aca="false">IF(OR(A332="",B332="",L332=""),"",IF(B332=1,L332,IFERROR(SUMIFS($G$2:$G$1001,$A$2:$A$1001,A332,$B$2:$B$1001,B332-1),0)))</f>
        <v/>
      </c>
      <c r="N332" s="25" t="str">
        <f aca="false">IF(OR(L332="",M332=""),"",MIN(L332,M332))</f>
        <v/>
      </c>
      <c r="O332" s="25" t="str">
        <f aca="false">IF(OR(I332="",G332=""),"",I332+G332)</f>
        <v/>
      </c>
      <c r="P332" s="24" t="str">
        <f aca="false">IF(OR(O332="",O332=0),"",(J332+H332)/O332)</f>
        <v/>
      </c>
      <c r="Q332" s="24" t="str">
        <f aca="false">IF(OR(O332="",E332=""),"",MAX(J332+H332-E332*O332,0))</f>
        <v/>
      </c>
      <c r="R332" s="26" t="str">
        <f aca="false">IF(A332="","",IF(COUNTIF(_TradeIds,A332)=0,"违规：交易编号不存在",IF(OR(B332="",B332&lt;1,B332&gt;5,B332&lt;&gt;INT(B332)),"违规：加仓序号须为1到5的整数",IF(COUNTIFS($A$2:$A$1001,A332,$B$2:$B$1001,B332)&gt;1,"违规：同一交易的加仓序号重复",IF(OR(D332="",E332="",F332=""),"计划不完整：请填写加仓价、新止损价和风险预算",IF(OR(D332&lt;=0,E332&lt;=0,F332&lt;=0,D332&lt;=E332),"违规：加仓价必须高于新止损价，金额须大于0",IF(AND(B332&gt;1,COUNTIFS($A$2:$A$1001,A332,$B$2:$B$1001,B332-1,$G$2:$G$1001,"&gt;0")=0),"违规：须先完成上一次加仓",IF(AND(B332&gt;1,E332&lt;SUMIFS($E$2:$E$1001,$A$2:$A$1001,A332,$B$2:$B$1001,B332-1)),"违规：新止损价不得低于上一次",IF(AND(B332&gt;1,F332&gt;SUMIFS($F$2:$F$1001,$A$2:$A$1001,A332,$B$2:$B$1001,B332-1)),"违规：风险预算须逐次不增加",IF(OR(_LockStatus="已锁仓",_LockStatus="解锁信息不完整"),"违规：锁仓期间禁止加仓",IF(G332="","计划可执行：建议股数见N列",IF(OR(G332&lt;=0,G332&lt;&gt;INT(G332),MOD(G332,100)&lt;&gt;0),"违规：实际股数须为100股整数倍",IF(G332&gt;N332,"违规：实际股数超过风险或金字塔上限",IF(AND(B332&gt;1,G332&gt;SUMIFS($G$2:$G$1001,$A$2:$A$1001,A332,$B$2:$B$1001,B332-1)),"违规：加仓股数须逐次不增加",IF(Q332&gt;F332,"违规：止损风险超过本次预算","通过")))))))))))))))</f>
        <v/>
      </c>
    </row>
    <row r="333" customFormat="false" ht="15" hidden="false" customHeight="false" outlineLevel="0" collapsed="false">
      <c r="A333" s="20"/>
      <c r="B333" s="21"/>
      <c r="C333" s="22"/>
      <c r="D333" s="23"/>
      <c r="E333" s="23"/>
      <c r="F333" s="23"/>
      <c r="G333" s="21"/>
      <c r="H333" s="24" t="str">
        <f aca="false">IF(OR(A333="",D333="",G333=""),"",D333*G333)</f>
        <v/>
      </c>
      <c r="I333" s="25" t="str">
        <f aca="false">IF(OR(A333="",B333=""),"",IFERROR(LOOKUP(2,1/(单次交易!$A$2:$A$201=A333),单次交易!$H$2:$H$201),0)+SUMIFS($G$2:$G$1001,$A$2:$A$1001,A333,$B$2:$B$1001,"&lt;"&amp;B333))</f>
        <v/>
      </c>
      <c r="J333" s="24" t="str">
        <f aca="false">IF(OR(A333="",B333=""),"",IFERROR(LOOKUP(2,1/(单次交易!$A$2:$A$201=A333),单次交易!$E$2:$E$201)*LOOKUP(2,1/(单次交易!$A$2:$A$201=A333),单次交易!$H$2:$H$201),0)+SUMIFS($H$2:$H$1001,$A$2:$A$1001,A333,$B$2:$B$1001,"&lt;"&amp;B333))</f>
        <v/>
      </c>
      <c r="K333" s="24" t="str">
        <f aca="false">IF(OR(E333="",I333="",J333=""),"",MAX(E333*I333-J333,0))</f>
        <v/>
      </c>
      <c r="L333" s="25" t="str">
        <f aca="false">IF(OR(D333="",E333="",F333="",D333&lt;=E333),"",FLOOR((F333+K333)/(D333-E333),100))</f>
        <v/>
      </c>
      <c r="M333" s="25" t="str">
        <f aca="false">IF(OR(A333="",B333="",L333=""),"",IF(B333=1,L333,IFERROR(SUMIFS($G$2:$G$1001,$A$2:$A$1001,A333,$B$2:$B$1001,B333-1),0)))</f>
        <v/>
      </c>
      <c r="N333" s="25" t="str">
        <f aca="false">IF(OR(L333="",M333=""),"",MIN(L333,M333))</f>
        <v/>
      </c>
      <c r="O333" s="25" t="str">
        <f aca="false">IF(OR(I333="",G333=""),"",I333+G333)</f>
        <v/>
      </c>
      <c r="P333" s="24" t="str">
        <f aca="false">IF(OR(O333="",O333=0),"",(J333+H333)/O333)</f>
        <v/>
      </c>
      <c r="Q333" s="24" t="str">
        <f aca="false">IF(OR(O333="",E333=""),"",MAX(J333+H333-E333*O333,0))</f>
        <v/>
      </c>
      <c r="R333" s="26" t="str">
        <f aca="false">IF(A333="","",IF(COUNTIF(_TradeIds,A333)=0,"违规：交易编号不存在",IF(OR(B333="",B333&lt;1,B333&gt;5,B333&lt;&gt;INT(B333)),"违规：加仓序号须为1到5的整数",IF(COUNTIFS($A$2:$A$1001,A333,$B$2:$B$1001,B333)&gt;1,"违规：同一交易的加仓序号重复",IF(OR(D333="",E333="",F333=""),"计划不完整：请填写加仓价、新止损价和风险预算",IF(OR(D333&lt;=0,E333&lt;=0,F333&lt;=0,D333&lt;=E333),"违规：加仓价必须高于新止损价，金额须大于0",IF(AND(B333&gt;1,COUNTIFS($A$2:$A$1001,A333,$B$2:$B$1001,B333-1,$G$2:$G$1001,"&gt;0")=0),"违规：须先完成上一次加仓",IF(AND(B333&gt;1,E333&lt;SUMIFS($E$2:$E$1001,$A$2:$A$1001,A333,$B$2:$B$1001,B333-1)),"违规：新止损价不得低于上一次",IF(AND(B333&gt;1,F333&gt;SUMIFS($F$2:$F$1001,$A$2:$A$1001,A333,$B$2:$B$1001,B333-1)),"违规：风险预算须逐次不增加",IF(OR(_LockStatus="已锁仓",_LockStatus="解锁信息不完整"),"违规：锁仓期间禁止加仓",IF(G333="","计划可执行：建议股数见N列",IF(OR(G333&lt;=0,G333&lt;&gt;INT(G333),MOD(G333,100)&lt;&gt;0),"违规：实际股数须为100股整数倍",IF(G333&gt;N333,"违规：实际股数超过风险或金字塔上限",IF(AND(B333&gt;1,G333&gt;SUMIFS($G$2:$G$1001,$A$2:$A$1001,A333,$B$2:$B$1001,B333-1)),"违规：加仓股数须逐次不增加",IF(Q333&gt;F333,"违规：止损风险超过本次预算","通过")))))))))))))))</f>
        <v/>
      </c>
    </row>
    <row r="334" customFormat="false" ht="15" hidden="false" customHeight="false" outlineLevel="0" collapsed="false">
      <c r="A334" s="20"/>
      <c r="B334" s="21"/>
      <c r="C334" s="22"/>
      <c r="D334" s="23"/>
      <c r="E334" s="23"/>
      <c r="F334" s="23"/>
      <c r="G334" s="21"/>
      <c r="H334" s="24" t="str">
        <f aca="false">IF(OR(A334="",D334="",G334=""),"",D334*G334)</f>
        <v/>
      </c>
      <c r="I334" s="25" t="str">
        <f aca="false">IF(OR(A334="",B334=""),"",IFERROR(LOOKUP(2,1/(单次交易!$A$2:$A$201=A334),单次交易!$H$2:$H$201),0)+SUMIFS($G$2:$G$1001,$A$2:$A$1001,A334,$B$2:$B$1001,"&lt;"&amp;B334))</f>
        <v/>
      </c>
      <c r="J334" s="24" t="str">
        <f aca="false">IF(OR(A334="",B334=""),"",IFERROR(LOOKUP(2,1/(单次交易!$A$2:$A$201=A334),单次交易!$E$2:$E$201)*LOOKUP(2,1/(单次交易!$A$2:$A$201=A334),单次交易!$H$2:$H$201),0)+SUMIFS($H$2:$H$1001,$A$2:$A$1001,A334,$B$2:$B$1001,"&lt;"&amp;B334))</f>
        <v/>
      </c>
      <c r="K334" s="24" t="str">
        <f aca="false">IF(OR(E334="",I334="",J334=""),"",MAX(E334*I334-J334,0))</f>
        <v/>
      </c>
      <c r="L334" s="25" t="str">
        <f aca="false">IF(OR(D334="",E334="",F334="",D334&lt;=E334),"",FLOOR((F334+K334)/(D334-E334),100))</f>
        <v/>
      </c>
      <c r="M334" s="25" t="str">
        <f aca="false">IF(OR(A334="",B334="",L334=""),"",IF(B334=1,L334,IFERROR(SUMIFS($G$2:$G$1001,$A$2:$A$1001,A334,$B$2:$B$1001,B334-1),0)))</f>
        <v/>
      </c>
      <c r="N334" s="25" t="str">
        <f aca="false">IF(OR(L334="",M334=""),"",MIN(L334,M334))</f>
        <v/>
      </c>
      <c r="O334" s="25" t="str">
        <f aca="false">IF(OR(I334="",G334=""),"",I334+G334)</f>
        <v/>
      </c>
      <c r="P334" s="24" t="str">
        <f aca="false">IF(OR(O334="",O334=0),"",(J334+H334)/O334)</f>
        <v/>
      </c>
      <c r="Q334" s="24" t="str">
        <f aca="false">IF(OR(O334="",E334=""),"",MAX(J334+H334-E334*O334,0))</f>
        <v/>
      </c>
      <c r="R334" s="26" t="str">
        <f aca="false">IF(A334="","",IF(COUNTIF(_TradeIds,A334)=0,"违规：交易编号不存在",IF(OR(B334="",B334&lt;1,B334&gt;5,B334&lt;&gt;INT(B334)),"违规：加仓序号须为1到5的整数",IF(COUNTIFS($A$2:$A$1001,A334,$B$2:$B$1001,B334)&gt;1,"违规：同一交易的加仓序号重复",IF(OR(D334="",E334="",F334=""),"计划不完整：请填写加仓价、新止损价和风险预算",IF(OR(D334&lt;=0,E334&lt;=0,F334&lt;=0,D334&lt;=E334),"违规：加仓价必须高于新止损价，金额须大于0",IF(AND(B334&gt;1,COUNTIFS($A$2:$A$1001,A334,$B$2:$B$1001,B334-1,$G$2:$G$1001,"&gt;0")=0),"违规：须先完成上一次加仓",IF(AND(B334&gt;1,E334&lt;SUMIFS($E$2:$E$1001,$A$2:$A$1001,A334,$B$2:$B$1001,B334-1)),"违规：新止损价不得低于上一次",IF(AND(B334&gt;1,F334&gt;SUMIFS($F$2:$F$1001,$A$2:$A$1001,A334,$B$2:$B$1001,B334-1)),"违规：风险预算须逐次不增加",IF(OR(_LockStatus="已锁仓",_LockStatus="解锁信息不完整"),"违规：锁仓期间禁止加仓",IF(G334="","计划可执行：建议股数见N列",IF(OR(G334&lt;=0,G334&lt;&gt;INT(G334),MOD(G334,100)&lt;&gt;0),"违规：实际股数须为100股整数倍",IF(G334&gt;N334,"违规：实际股数超过风险或金字塔上限",IF(AND(B334&gt;1,G334&gt;SUMIFS($G$2:$G$1001,$A$2:$A$1001,A334,$B$2:$B$1001,B334-1)),"违规：加仓股数须逐次不增加",IF(Q334&gt;F334,"违规：止损风险超过本次预算","通过")))))))))))))))</f>
        <v/>
      </c>
    </row>
    <row r="335" customFormat="false" ht="15" hidden="false" customHeight="false" outlineLevel="0" collapsed="false">
      <c r="A335" s="20"/>
      <c r="B335" s="21"/>
      <c r="C335" s="22"/>
      <c r="D335" s="23"/>
      <c r="E335" s="23"/>
      <c r="F335" s="23"/>
      <c r="G335" s="21"/>
      <c r="H335" s="24" t="str">
        <f aca="false">IF(OR(A335="",D335="",G335=""),"",D335*G335)</f>
        <v/>
      </c>
      <c r="I335" s="25" t="str">
        <f aca="false">IF(OR(A335="",B335=""),"",IFERROR(LOOKUP(2,1/(单次交易!$A$2:$A$201=A335),单次交易!$H$2:$H$201),0)+SUMIFS($G$2:$G$1001,$A$2:$A$1001,A335,$B$2:$B$1001,"&lt;"&amp;B335))</f>
        <v/>
      </c>
      <c r="J335" s="24" t="str">
        <f aca="false">IF(OR(A335="",B335=""),"",IFERROR(LOOKUP(2,1/(单次交易!$A$2:$A$201=A335),单次交易!$E$2:$E$201)*LOOKUP(2,1/(单次交易!$A$2:$A$201=A335),单次交易!$H$2:$H$201),0)+SUMIFS($H$2:$H$1001,$A$2:$A$1001,A335,$B$2:$B$1001,"&lt;"&amp;B335))</f>
        <v/>
      </c>
      <c r="K335" s="24" t="str">
        <f aca="false">IF(OR(E335="",I335="",J335=""),"",MAX(E335*I335-J335,0))</f>
        <v/>
      </c>
      <c r="L335" s="25" t="str">
        <f aca="false">IF(OR(D335="",E335="",F335="",D335&lt;=E335),"",FLOOR((F335+K335)/(D335-E335),100))</f>
        <v/>
      </c>
      <c r="M335" s="25" t="str">
        <f aca="false">IF(OR(A335="",B335="",L335=""),"",IF(B335=1,L335,IFERROR(SUMIFS($G$2:$G$1001,$A$2:$A$1001,A335,$B$2:$B$1001,B335-1),0)))</f>
        <v/>
      </c>
      <c r="N335" s="25" t="str">
        <f aca="false">IF(OR(L335="",M335=""),"",MIN(L335,M335))</f>
        <v/>
      </c>
      <c r="O335" s="25" t="str">
        <f aca="false">IF(OR(I335="",G335=""),"",I335+G335)</f>
        <v/>
      </c>
      <c r="P335" s="24" t="str">
        <f aca="false">IF(OR(O335="",O335=0),"",(J335+H335)/O335)</f>
        <v/>
      </c>
      <c r="Q335" s="24" t="str">
        <f aca="false">IF(OR(O335="",E335=""),"",MAX(J335+H335-E335*O335,0))</f>
        <v/>
      </c>
      <c r="R335" s="26" t="str">
        <f aca="false">IF(A335="","",IF(COUNTIF(_TradeIds,A335)=0,"违规：交易编号不存在",IF(OR(B335="",B335&lt;1,B335&gt;5,B335&lt;&gt;INT(B335)),"违规：加仓序号须为1到5的整数",IF(COUNTIFS($A$2:$A$1001,A335,$B$2:$B$1001,B335)&gt;1,"违规：同一交易的加仓序号重复",IF(OR(D335="",E335="",F335=""),"计划不完整：请填写加仓价、新止损价和风险预算",IF(OR(D335&lt;=0,E335&lt;=0,F335&lt;=0,D335&lt;=E335),"违规：加仓价必须高于新止损价，金额须大于0",IF(AND(B335&gt;1,COUNTIFS($A$2:$A$1001,A335,$B$2:$B$1001,B335-1,$G$2:$G$1001,"&gt;0")=0),"违规：须先完成上一次加仓",IF(AND(B335&gt;1,E335&lt;SUMIFS($E$2:$E$1001,$A$2:$A$1001,A335,$B$2:$B$1001,B335-1)),"违规：新止损价不得低于上一次",IF(AND(B335&gt;1,F335&gt;SUMIFS($F$2:$F$1001,$A$2:$A$1001,A335,$B$2:$B$1001,B335-1)),"违规：风险预算须逐次不增加",IF(OR(_LockStatus="已锁仓",_LockStatus="解锁信息不完整"),"违规：锁仓期间禁止加仓",IF(G335="","计划可执行：建议股数见N列",IF(OR(G335&lt;=0,G335&lt;&gt;INT(G335),MOD(G335,100)&lt;&gt;0),"违规：实际股数须为100股整数倍",IF(G335&gt;N335,"违规：实际股数超过风险或金字塔上限",IF(AND(B335&gt;1,G335&gt;SUMIFS($G$2:$G$1001,$A$2:$A$1001,A335,$B$2:$B$1001,B335-1)),"违规：加仓股数须逐次不增加",IF(Q335&gt;F335,"违规：止损风险超过本次预算","通过")))))))))))))))</f>
        <v/>
      </c>
    </row>
    <row r="336" customFormat="false" ht="15" hidden="false" customHeight="false" outlineLevel="0" collapsed="false">
      <c r="A336" s="20"/>
      <c r="B336" s="21"/>
      <c r="C336" s="22"/>
      <c r="D336" s="23"/>
      <c r="E336" s="23"/>
      <c r="F336" s="23"/>
      <c r="G336" s="21"/>
      <c r="H336" s="24" t="str">
        <f aca="false">IF(OR(A336="",D336="",G336=""),"",D336*G336)</f>
        <v/>
      </c>
      <c r="I336" s="25" t="str">
        <f aca="false">IF(OR(A336="",B336=""),"",IFERROR(LOOKUP(2,1/(单次交易!$A$2:$A$201=A336),单次交易!$H$2:$H$201),0)+SUMIFS($G$2:$G$1001,$A$2:$A$1001,A336,$B$2:$B$1001,"&lt;"&amp;B336))</f>
        <v/>
      </c>
      <c r="J336" s="24" t="str">
        <f aca="false">IF(OR(A336="",B336=""),"",IFERROR(LOOKUP(2,1/(单次交易!$A$2:$A$201=A336),单次交易!$E$2:$E$201)*LOOKUP(2,1/(单次交易!$A$2:$A$201=A336),单次交易!$H$2:$H$201),0)+SUMIFS($H$2:$H$1001,$A$2:$A$1001,A336,$B$2:$B$1001,"&lt;"&amp;B336))</f>
        <v/>
      </c>
      <c r="K336" s="24" t="str">
        <f aca="false">IF(OR(E336="",I336="",J336=""),"",MAX(E336*I336-J336,0))</f>
        <v/>
      </c>
      <c r="L336" s="25" t="str">
        <f aca="false">IF(OR(D336="",E336="",F336="",D336&lt;=E336),"",FLOOR((F336+K336)/(D336-E336),100))</f>
        <v/>
      </c>
      <c r="M336" s="25" t="str">
        <f aca="false">IF(OR(A336="",B336="",L336=""),"",IF(B336=1,L336,IFERROR(SUMIFS($G$2:$G$1001,$A$2:$A$1001,A336,$B$2:$B$1001,B336-1),0)))</f>
        <v/>
      </c>
      <c r="N336" s="25" t="str">
        <f aca="false">IF(OR(L336="",M336=""),"",MIN(L336,M336))</f>
        <v/>
      </c>
      <c r="O336" s="25" t="str">
        <f aca="false">IF(OR(I336="",G336=""),"",I336+G336)</f>
        <v/>
      </c>
      <c r="P336" s="24" t="str">
        <f aca="false">IF(OR(O336="",O336=0),"",(J336+H336)/O336)</f>
        <v/>
      </c>
      <c r="Q336" s="24" t="str">
        <f aca="false">IF(OR(O336="",E336=""),"",MAX(J336+H336-E336*O336,0))</f>
        <v/>
      </c>
      <c r="R336" s="26" t="str">
        <f aca="false">IF(A336="","",IF(COUNTIF(_TradeIds,A336)=0,"违规：交易编号不存在",IF(OR(B336="",B336&lt;1,B336&gt;5,B336&lt;&gt;INT(B336)),"违规：加仓序号须为1到5的整数",IF(COUNTIFS($A$2:$A$1001,A336,$B$2:$B$1001,B336)&gt;1,"违规：同一交易的加仓序号重复",IF(OR(D336="",E336="",F336=""),"计划不完整：请填写加仓价、新止损价和风险预算",IF(OR(D336&lt;=0,E336&lt;=0,F336&lt;=0,D336&lt;=E336),"违规：加仓价必须高于新止损价，金额须大于0",IF(AND(B336&gt;1,COUNTIFS($A$2:$A$1001,A336,$B$2:$B$1001,B336-1,$G$2:$G$1001,"&gt;0")=0),"违规：须先完成上一次加仓",IF(AND(B336&gt;1,E336&lt;SUMIFS($E$2:$E$1001,$A$2:$A$1001,A336,$B$2:$B$1001,B336-1)),"违规：新止损价不得低于上一次",IF(AND(B336&gt;1,F336&gt;SUMIFS($F$2:$F$1001,$A$2:$A$1001,A336,$B$2:$B$1001,B336-1)),"违规：风险预算须逐次不增加",IF(OR(_LockStatus="已锁仓",_LockStatus="解锁信息不完整"),"违规：锁仓期间禁止加仓",IF(G336="","计划可执行：建议股数见N列",IF(OR(G336&lt;=0,G336&lt;&gt;INT(G336),MOD(G336,100)&lt;&gt;0),"违规：实际股数须为100股整数倍",IF(G336&gt;N336,"违规：实际股数超过风险或金字塔上限",IF(AND(B336&gt;1,G336&gt;SUMIFS($G$2:$G$1001,$A$2:$A$1001,A336,$B$2:$B$1001,B336-1)),"违规：加仓股数须逐次不增加",IF(Q336&gt;F336,"违规：止损风险超过本次预算","通过")))))))))))))))</f>
        <v/>
      </c>
    </row>
    <row r="337" customFormat="false" ht="15" hidden="false" customHeight="false" outlineLevel="0" collapsed="false">
      <c r="A337" s="20"/>
      <c r="B337" s="21"/>
      <c r="C337" s="22"/>
      <c r="D337" s="23"/>
      <c r="E337" s="23"/>
      <c r="F337" s="23"/>
      <c r="G337" s="21"/>
      <c r="H337" s="24" t="str">
        <f aca="false">IF(OR(A337="",D337="",G337=""),"",D337*G337)</f>
        <v/>
      </c>
      <c r="I337" s="25" t="str">
        <f aca="false">IF(OR(A337="",B337=""),"",IFERROR(LOOKUP(2,1/(单次交易!$A$2:$A$201=A337),单次交易!$H$2:$H$201),0)+SUMIFS($G$2:$G$1001,$A$2:$A$1001,A337,$B$2:$B$1001,"&lt;"&amp;B337))</f>
        <v/>
      </c>
      <c r="J337" s="24" t="str">
        <f aca="false">IF(OR(A337="",B337=""),"",IFERROR(LOOKUP(2,1/(单次交易!$A$2:$A$201=A337),单次交易!$E$2:$E$201)*LOOKUP(2,1/(单次交易!$A$2:$A$201=A337),单次交易!$H$2:$H$201),0)+SUMIFS($H$2:$H$1001,$A$2:$A$1001,A337,$B$2:$B$1001,"&lt;"&amp;B337))</f>
        <v/>
      </c>
      <c r="K337" s="24" t="str">
        <f aca="false">IF(OR(E337="",I337="",J337=""),"",MAX(E337*I337-J337,0))</f>
        <v/>
      </c>
      <c r="L337" s="25" t="str">
        <f aca="false">IF(OR(D337="",E337="",F337="",D337&lt;=E337),"",FLOOR((F337+K337)/(D337-E337),100))</f>
        <v/>
      </c>
      <c r="M337" s="25" t="str">
        <f aca="false">IF(OR(A337="",B337="",L337=""),"",IF(B337=1,L337,IFERROR(SUMIFS($G$2:$G$1001,$A$2:$A$1001,A337,$B$2:$B$1001,B337-1),0)))</f>
        <v/>
      </c>
      <c r="N337" s="25" t="str">
        <f aca="false">IF(OR(L337="",M337=""),"",MIN(L337,M337))</f>
        <v/>
      </c>
      <c r="O337" s="25" t="str">
        <f aca="false">IF(OR(I337="",G337=""),"",I337+G337)</f>
        <v/>
      </c>
      <c r="P337" s="24" t="str">
        <f aca="false">IF(OR(O337="",O337=0),"",(J337+H337)/O337)</f>
        <v/>
      </c>
      <c r="Q337" s="24" t="str">
        <f aca="false">IF(OR(O337="",E337=""),"",MAX(J337+H337-E337*O337,0))</f>
        <v/>
      </c>
      <c r="R337" s="26" t="str">
        <f aca="false">IF(A337="","",IF(COUNTIF(_TradeIds,A337)=0,"违规：交易编号不存在",IF(OR(B337="",B337&lt;1,B337&gt;5,B337&lt;&gt;INT(B337)),"违规：加仓序号须为1到5的整数",IF(COUNTIFS($A$2:$A$1001,A337,$B$2:$B$1001,B337)&gt;1,"违规：同一交易的加仓序号重复",IF(OR(D337="",E337="",F337=""),"计划不完整：请填写加仓价、新止损价和风险预算",IF(OR(D337&lt;=0,E337&lt;=0,F337&lt;=0,D337&lt;=E337),"违规：加仓价必须高于新止损价，金额须大于0",IF(AND(B337&gt;1,COUNTIFS($A$2:$A$1001,A337,$B$2:$B$1001,B337-1,$G$2:$G$1001,"&gt;0")=0),"违规：须先完成上一次加仓",IF(AND(B337&gt;1,E337&lt;SUMIFS($E$2:$E$1001,$A$2:$A$1001,A337,$B$2:$B$1001,B337-1)),"违规：新止损价不得低于上一次",IF(AND(B337&gt;1,F337&gt;SUMIFS($F$2:$F$1001,$A$2:$A$1001,A337,$B$2:$B$1001,B337-1)),"违规：风险预算须逐次不增加",IF(OR(_LockStatus="已锁仓",_LockStatus="解锁信息不完整"),"违规：锁仓期间禁止加仓",IF(G337="","计划可执行：建议股数见N列",IF(OR(G337&lt;=0,G337&lt;&gt;INT(G337),MOD(G337,100)&lt;&gt;0),"违规：实际股数须为100股整数倍",IF(G337&gt;N337,"违规：实际股数超过风险或金字塔上限",IF(AND(B337&gt;1,G337&gt;SUMIFS($G$2:$G$1001,$A$2:$A$1001,A337,$B$2:$B$1001,B337-1)),"违规：加仓股数须逐次不增加",IF(Q337&gt;F337,"违规：止损风险超过本次预算","通过")))))))))))))))</f>
        <v/>
      </c>
    </row>
    <row r="338" customFormat="false" ht="15" hidden="false" customHeight="false" outlineLevel="0" collapsed="false">
      <c r="A338" s="20"/>
      <c r="B338" s="21"/>
      <c r="C338" s="22"/>
      <c r="D338" s="23"/>
      <c r="E338" s="23"/>
      <c r="F338" s="23"/>
      <c r="G338" s="21"/>
      <c r="H338" s="24" t="str">
        <f aca="false">IF(OR(A338="",D338="",G338=""),"",D338*G338)</f>
        <v/>
      </c>
      <c r="I338" s="25" t="str">
        <f aca="false">IF(OR(A338="",B338=""),"",IFERROR(LOOKUP(2,1/(单次交易!$A$2:$A$201=A338),单次交易!$H$2:$H$201),0)+SUMIFS($G$2:$G$1001,$A$2:$A$1001,A338,$B$2:$B$1001,"&lt;"&amp;B338))</f>
        <v/>
      </c>
      <c r="J338" s="24" t="str">
        <f aca="false">IF(OR(A338="",B338=""),"",IFERROR(LOOKUP(2,1/(单次交易!$A$2:$A$201=A338),单次交易!$E$2:$E$201)*LOOKUP(2,1/(单次交易!$A$2:$A$201=A338),单次交易!$H$2:$H$201),0)+SUMIFS($H$2:$H$1001,$A$2:$A$1001,A338,$B$2:$B$1001,"&lt;"&amp;B338))</f>
        <v/>
      </c>
      <c r="K338" s="24" t="str">
        <f aca="false">IF(OR(E338="",I338="",J338=""),"",MAX(E338*I338-J338,0))</f>
        <v/>
      </c>
      <c r="L338" s="25" t="str">
        <f aca="false">IF(OR(D338="",E338="",F338="",D338&lt;=E338),"",FLOOR((F338+K338)/(D338-E338),100))</f>
        <v/>
      </c>
      <c r="M338" s="25" t="str">
        <f aca="false">IF(OR(A338="",B338="",L338=""),"",IF(B338=1,L338,IFERROR(SUMIFS($G$2:$G$1001,$A$2:$A$1001,A338,$B$2:$B$1001,B338-1),0)))</f>
        <v/>
      </c>
      <c r="N338" s="25" t="str">
        <f aca="false">IF(OR(L338="",M338=""),"",MIN(L338,M338))</f>
        <v/>
      </c>
      <c r="O338" s="25" t="str">
        <f aca="false">IF(OR(I338="",G338=""),"",I338+G338)</f>
        <v/>
      </c>
      <c r="P338" s="24" t="str">
        <f aca="false">IF(OR(O338="",O338=0),"",(J338+H338)/O338)</f>
        <v/>
      </c>
      <c r="Q338" s="24" t="str">
        <f aca="false">IF(OR(O338="",E338=""),"",MAX(J338+H338-E338*O338,0))</f>
        <v/>
      </c>
      <c r="R338" s="26" t="str">
        <f aca="false">IF(A338="","",IF(COUNTIF(_TradeIds,A338)=0,"违规：交易编号不存在",IF(OR(B338="",B338&lt;1,B338&gt;5,B338&lt;&gt;INT(B338)),"违规：加仓序号须为1到5的整数",IF(COUNTIFS($A$2:$A$1001,A338,$B$2:$B$1001,B338)&gt;1,"违规：同一交易的加仓序号重复",IF(OR(D338="",E338="",F338=""),"计划不完整：请填写加仓价、新止损价和风险预算",IF(OR(D338&lt;=0,E338&lt;=0,F338&lt;=0,D338&lt;=E338),"违规：加仓价必须高于新止损价，金额须大于0",IF(AND(B338&gt;1,COUNTIFS($A$2:$A$1001,A338,$B$2:$B$1001,B338-1,$G$2:$G$1001,"&gt;0")=0),"违规：须先完成上一次加仓",IF(AND(B338&gt;1,E338&lt;SUMIFS($E$2:$E$1001,$A$2:$A$1001,A338,$B$2:$B$1001,B338-1)),"违规：新止损价不得低于上一次",IF(AND(B338&gt;1,F338&gt;SUMIFS($F$2:$F$1001,$A$2:$A$1001,A338,$B$2:$B$1001,B338-1)),"违规：风险预算须逐次不增加",IF(OR(_LockStatus="已锁仓",_LockStatus="解锁信息不完整"),"违规：锁仓期间禁止加仓",IF(G338="","计划可执行：建议股数见N列",IF(OR(G338&lt;=0,G338&lt;&gt;INT(G338),MOD(G338,100)&lt;&gt;0),"违规：实际股数须为100股整数倍",IF(G338&gt;N338,"违规：实际股数超过风险或金字塔上限",IF(AND(B338&gt;1,G338&gt;SUMIFS($G$2:$G$1001,$A$2:$A$1001,A338,$B$2:$B$1001,B338-1)),"违规：加仓股数须逐次不增加",IF(Q338&gt;F338,"违规：止损风险超过本次预算","通过")))))))))))))))</f>
        <v/>
      </c>
    </row>
    <row r="339" customFormat="false" ht="15" hidden="false" customHeight="false" outlineLevel="0" collapsed="false">
      <c r="A339" s="20"/>
      <c r="B339" s="21"/>
      <c r="C339" s="22"/>
      <c r="D339" s="23"/>
      <c r="E339" s="23"/>
      <c r="F339" s="23"/>
      <c r="G339" s="21"/>
      <c r="H339" s="24" t="str">
        <f aca="false">IF(OR(A339="",D339="",G339=""),"",D339*G339)</f>
        <v/>
      </c>
      <c r="I339" s="25" t="str">
        <f aca="false">IF(OR(A339="",B339=""),"",IFERROR(LOOKUP(2,1/(单次交易!$A$2:$A$201=A339),单次交易!$H$2:$H$201),0)+SUMIFS($G$2:$G$1001,$A$2:$A$1001,A339,$B$2:$B$1001,"&lt;"&amp;B339))</f>
        <v/>
      </c>
      <c r="J339" s="24" t="str">
        <f aca="false">IF(OR(A339="",B339=""),"",IFERROR(LOOKUP(2,1/(单次交易!$A$2:$A$201=A339),单次交易!$E$2:$E$201)*LOOKUP(2,1/(单次交易!$A$2:$A$201=A339),单次交易!$H$2:$H$201),0)+SUMIFS($H$2:$H$1001,$A$2:$A$1001,A339,$B$2:$B$1001,"&lt;"&amp;B339))</f>
        <v/>
      </c>
      <c r="K339" s="24" t="str">
        <f aca="false">IF(OR(E339="",I339="",J339=""),"",MAX(E339*I339-J339,0))</f>
        <v/>
      </c>
      <c r="L339" s="25" t="str">
        <f aca="false">IF(OR(D339="",E339="",F339="",D339&lt;=E339),"",FLOOR((F339+K339)/(D339-E339),100))</f>
        <v/>
      </c>
      <c r="M339" s="25" t="str">
        <f aca="false">IF(OR(A339="",B339="",L339=""),"",IF(B339=1,L339,IFERROR(SUMIFS($G$2:$G$1001,$A$2:$A$1001,A339,$B$2:$B$1001,B339-1),0)))</f>
        <v/>
      </c>
      <c r="N339" s="25" t="str">
        <f aca="false">IF(OR(L339="",M339=""),"",MIN(L339,M339))</f>
        <v/>
      </c>
      <c r="O339" s="25" t="str">
        <f aca="false">IF(OR(I339="",G339=""),"",I339+G339)</f>
        <v/>
      </c>
      <c r="P339" s="24" t="str">
        <f aca="false">IF(OR(O339="",O339=0),"",(J339+H339)/O339)</f>
        <v/>
      </c>
      <c r="Q339" s="24" t="str">
        <f aca="false">IF(OR(O339="",E339=""),"",MAX(J339+H339-E339*O339,0))</f>
        <v/>
      </c>
      <c r="R339" s="26" t="str">
        <f aca="false">IF(A339="","",IF(COUNTIF(_TradeIds,A339)=0,"违规：交易编号不存在",IF(OR(B339="",B339&lt;1,B339&gt;5,B339&lt;&gt;INT(B339)),"违规：加仓序号须为1到5的整数",IF(COUNTIFS($A$2:$A$1001,A339,$B$2:$B$1001,B339)&gt;1,"违规：同一交易的加仓序号重复",IF(OR(D339="",E339="",F339=""),"计划不完整：请填写加仓价、新止损价和风险预算",IF(OR(D339&lt;=0,E339&lt;=0,F339&lt;=0,D339&lt;=E339),"违规：加仓价必须高于新止损价，金额须大于0",IF(AND(B339&gt;1,COUNTIFS($A$2:$A$1001,A339,$B$2:$B$1001,B339-1,$G$2:$G$1001,"&gt;0")=0),"违规：须先完成上一次加仓",IF(AND(B339&gt;1,E339&lt;SUMIFS($E$2:$E$1001,$A$2:$A$1001,A339,$B$2:$B$1001,B339-1)),"违规：新止损价不得低于上一次",IF(AND(B339&gt;1,F339&gt;SUMIFS($F$2:$F$1001,$A$2:$A$1001,A339,$B$2:$B$1001,B339-1)),"违规：风险预算须逐次不增加",IF(OR(_LockStatus="已锁仓",_LockStatus="解锁信息不完整"),"违规：锁仓期间禁止加仓",IF(G339="","计划可执行：建议股数见N列",IF(OR(G339&lt;=0,G339&lt;&gt;INT(G339),MOD(G339,100)&lt;&gt;0),"违规：实际股数须为100股整数倍",IF(G339&gt;N339,"违规：实际股数超过风险或金字塔上限",IF(AND(B339&gt;1,G339&gt;SUMIFS($G$2:$G$1001,$A$2:$A$1001,A339,$B$2:$B$1001,B339-1)),"违规：加仓股数须逐次不增加",IF(Q339&gt;F339,"违规：止损风险超过本次预算","通过")))))))))))))))</f>
        <v/>
      </c>
    </row>
    <row r="340" customFormat="false" ht="15" hidden="false" customHeight="false" outlineLevel="0" collapsed="false">
      <c r="A340" s="20"/>
      <c r="B340" s="21"/>
      <c r="C340" s="22"/>
      <c r="D340" s="23"/>
      <c r="E340" s="23"/>
      <c r="F340" s="23"/>
      <c r="G340" s="21"/>
      <c r="H340" s="24" t="str">
        <f aca="false">IF(OR(A340="",D340="",G340=""),"",D340*G340)</f>
        <v/>
      </c>
      <c r="I340" s="25" t="str">
        <f aca="false">IF(OR(A340="",B340=""),"",IFERROR(LOOKUP(2,1/(单次交易!$A$2:$A$201=A340),单次交易!$H$2:$H$201),0)+SUMIFS($G$2:$G$1001,$A$2:$A$1001,A340,$B$2:$B$1001,"&lt;"&amp;B340))</f>
        <v/>
      </c>
      <c r="J340" s="24" t="str">
        <f aca="false">IF(OR(A340="",B340=""),"",IFERROR(LOOKUP(2,1/(单次交易!$A$2:$A$201=A340),单次交易!$E$2:$E$201)*LOOKUP(2,1/(单次交易!$A$2:$A$201=A340),单次交易!$H$2:$H$201),0)+SUMIFS($H$2:$H$1001,$A$2:$A$1001,A340,$B$2:$B$1001,"&lt;"&amp;B340))</f>
        <v/>
      </c>
      <c r="K340" s="24" t="str">
        <f aca="false">IF(OR(E340="",I340="",J340=""),"",MAX(E340*I340-J340,0))</f>
        <v/>
      </c>
      <c r="L340" s="25" t="str">
        <f aca="false">IF(OR(D340="",E340="",F340="",D340&lt;=E340),"",FLOOR((F340+K340)/(D340-E340),100))</f>
        <v/>
      </c>
      <c r="M340" s="25" t="str">
        <f aca="false">IF(OR(A340="",B340="",L340=""),"",IF(B340=1,L340,IFERROR(SUMIFS($G$2:$G$1001,$A$2:$A$1001,A340,$B$2:$B$1001,B340-1),0)))</f>
        <v/>
      </c>
      <c r="N340" s="25" t="str">
        <f aca="false">IF(OR(L340="",M340=""),"",MIN(L340,M340))</f>
        <v/>
      </c>
      <c r="O340" s="25" t="str">
        <f aca="false">IF(OR(I340="",G340=""),"",I340+G340)</f>
        <v/>
      </c>
      <c r="P340" s="24" t="str">
        <f aca="false">IF(OR(O340="",O340=0),"",(J340+H340)/O340)</f>
        <v/>
      </c>
      <c r="Q340" s="24" t="str">
        <f aca="false">IF(OR(O340="",E340=""),"",MAX(J340+H340-E340*O340,0))</f>
        <v/>
      </c>
      <c r="R340" s="26" t="str">
        <f aca="false">IF(A340="","",IF(COUNTIF(_TradeIds,A340)=0,"违规：交易编号不存在",IF(OR(B340="",B340&lt;1,B340&gt;5,B340&lt;&gt;INT(B340)),"违规：加仓序号须为1到5的整数",IF(COUNTIFS($A$2:$A$1001,A340,$B$2:$B$1001,B340)&gt;1,"违规：同一交易的加仓序号重复",IF(OR(D340="",E340="",F340=""),"计划不完整：请填写加仓价、新止损价和风险预算",IF(OR(D340&lt;=0,E340&lt;=0,F340&lt;=0,D340&lt;=E340),"违规：加仓价必须高于新止损价，金额须大于0",IF(AND(B340&gt;1,COUNTIFS($A$2:$A$1001,A340,$B$2:$B$1001,B340-1,$G$2:$G$1001,"&gt;0")=0),"违规：须先完成上一次加仓",IF(AND(B340&gt;1,E340&lt;SUMIFS($E$2:$E$1001,$A$2:$A$1001,A340,$B$2:$B$1001,B340-1)),"违规：新止损价不得低于上一次",IF(AND(B340&gt;1,F340&gt;SUMIFS($F$2:$F$1001,$A$2:$A$1001,A340,$B$2:$B$1001,B340-1)),"违规：风险预算须逐次不增加",IF(OR(_LockStatus="已锁仓",_LockStatus="解锁信息不完整"),"违规：锁仓期间禁止加仓",IF(G340="","计划可执行：建议股数见N列",IF(OR(G340&lt;=0,G340&lt;&gt;INT(G340),MOD(G340,100)&lt;&gt;0),"违规：实际股数须为100股整数倍",IF(G340&gt;N340,"违规：实际股数超过风险或金字塔上限",IF(AND(B340&gt;1,G340&gt;SUMIFS($G$2:$G$1001,$A$2:$A$1001,A340,$B$2:$B$1001,B340-1)),"违规：加仓股数须逐次不增加",IF(Q340&gt;F340,"违规：止损风险超过本次预算","通过")))))))))))))))</f>
        <v/>
      </c>
    </row>
    <row r="341" customFormat="false" ht="15" hidden="false" customHeight="false" outlineLevel="0" collapsed="false">
      <c r="A341" s="20"/>
      <c r="B341" s="21"/>
      <c r="C341" s="22"/>
      <c r="D341" s="23"/>
      <c r="E341" s="23"/>
      <c r="F341" s="23"/>
      <c r="G341" s="21"/>
      <c r="H341" s="24" t="str">
        <f aca="false">IF(OR(A341="",D341="",G341=""),"",D341*G341)</f>
        <v/>
      </c>
      <c r="I341" s="25" t="str">
        <f aca="false">IF(OR(A341="",B341=""),"",IFERROR(LOOKUP(2,1/(单次交易!$A$2:$A$201=A341),单次交易!$H$2:$H$201),0)+SUMIFS($G$2:$G$1001,$A$2:$A$1001,A341,$B$2:$B$1001,"&lt;"&amp;B341))</f>
        <v/>
      </c>
      <c r="J341" s="24" t="str">
        <f aca="false">IF(OR(A341="",B341=""),"",IFERROR(LOOKUP(2,1/(单次交易!$A$2:$A$201=A341),单次交易!$E$2:$E$201)*LOOKUP(2,1/(单次交易!$A$2:$A$201=A341),单次交易!$H$2:$H$201),0)+SUMIFS($H$2:$H$1001,$A$2:$A$1001,A341,$B$2:$B$1001,"&lt;"&amp;B341))</f>
        <v/>
      </c>
      <c r="K341" s="24" t="str">
        <f aca="false">IF(OR(E341="",I341="",J341=""),"",MAX(E341*I341-J341,0))</f>
        <v/>
      </c>
      <c r="L341" s="25" t="str">
        <f aca="false">IF(OR(D341="",E341="",F341="",D341&lt;=E341),"",FLOOR((F341+K341)/(D341-E341),100))</f>
        <v/>
      </c>
      <c r="M341" s="25" t="str">
        <f aca="false">IF(OR(A341="",B341="",L341=""),"",IF(B341=1,L341,IFERROR(SUMIFS($G$2:$G$1001,$A$2:$A$1001,A341,$B$2:$B$1001,B341-1),0)))</f>
        <v/>
      </c>
      <c r="N341" s="25" t="str">
        <f aca="false">IF(OR(L341="",M341=""),"",MIN(L341,M341))</f>
        <v/>
      </c>
      <c r="O341" s="25" t="str">
        <f aca="false">IF(OR(I341="",G341=""),"",I341+G341)</f>
        <v/>
      </c>
      <c r="P341" s="24" t="str">
        <f aca="false">IF(OR(O341="",O341=0),"",(J341+H341)/O341)</f>
        <v/>
      </c>
      <c r="Q341" s="24" t="str">
        <f aca="false">IF(OR(O341="",E341=""),"",MAX(J341+H341-E341*O341,0))</f>
        <v/>
      </c>
      <c r="R341" s="26" t="str">
        <f aca="false">IF(A341="","",IF(COUNTIF(_TradeIds,A341)=0,"违规：交易编号不存在",IF(OR(B341="",B341&lt;1,B341&gt;5,B341&lt;&gt;INT(B341)),"违规：加仓序号须为1到5的整数",IF(COUNTIFS($A$2:$A$1001,A341,$B$2:$B$1001,B341)&gt;1,"违规：同一交易的加仓序号重复",IF(OR(D341="",E341="",F341=""),"计划不完整：请填写加仓价、新止损价和风险预算",IF(OR(D341&lt;=0,E341&lt;=0,F341&lt;=0,D341&lt;=E341),"违规：加仓价必须高于新止损价，金额须大于0",IF(AND(B341&gt;1,COUNTIFS($A$2:$A$1001,A341,$B$2:$B$1001,B341-1,$G$2:$G$1001,"&gt;0")=0),"违规：须先完成上一次加仓",IF(AND(B341&gt;1,E341&lt;SUMIFS($E$2:$E$1001,$A$2:$A$1001,A341,$B$2:$B$1001,B341-1)),"违规：新止损价不得低于上一次",IF(AND(B341&gt;1,F341&gt;SUMIFS($F$2:$F$1001,$A$2:$A$1001,A341,$B$2:$B$1001,B341-1)),"违规：风险预算须逐次不增加",IF(OR(_LockStatus="已锁仓",_LockStatus="解锁信息不完整"),"违规：锁仓期间禁止加仓",IF(G341="","计划可执行：建议股数见N列",IF(OR(G341&lt;=0,G341&lt;&gt;INT(G341),MOD(G341,100)&lt;&gt;0),"违规：实际股数须为100股整数倍",IF(G341&gt;N341,"违规：实际股数超过风险或金字塔上限",IF(AND(B341&gt;1,G341&gt;SUMIFS($G$2:$G$1001,$A$2:$A$1001,A341,$B$2:$B$1001,B341-1)),"违规：加仓股数须逐次不增加",IF(Q341&gt;F341,"违规：止损风险超过本次预算","通过")))))))))))))))</f>
        <v/>
      </c>
    </row>
    <row r="342" customFormat="false" ht="15" hidden="false" customHeight="false" outlineLevel="0" collapsed="false">
      <c r="A342" s="20"/>
      <c r="B342" s="21"/>
      <c r="C342" s="22"/>
      <c r="D342" s="23"/>
      <c r="E342" s="23"/>
      <c r="F342" s="23"/>
      <c r="G342" s="21"/>
      <c r="H342" s="24" t="str">
        <f aca="false">IF(OR(A342="",D342="",G342=""),"",D342*G342)</f>
        <v/>
      </c>
      <c r="I342" s="25" t="str">
        <f aca="false">IF(OR(A342="",B342=""),"",IFERROR(LOOKUP(2,1/(单次交易!$A$2:$A$201=A342),单次交易!$H$2:$H$201),0)+SUMIFS($G$2:$G$1001,$A$2:$A$1001,A342,$B$2:$B$1001,"&lt;"&amp;B342))</f>
        <v/>
      </c>
      <c r="J342" s="24" t="str">
        <f aca="false">IF(OR(A342="",B342=""),"",IFERROR(LOOKUP(2,1/(单次交易!$A$2:$A$201=A342),单次交易!$E$2:$E$201)*LOOKUP(2,1/(单次交易!$A$2:$A$201=A342),单次交易!$H$2:$H$201),0)+SUMIFS($H$2:$H$1001,$A$2:$A$1001,A342,$B$2:$B$1001,"&lt;"&amp;B342))</f>
        <v/>
      </c>
      <c r="K342" s="24" t="str">
        <f aca="false">IF(OR(E342="",I342="",J342=""),"",MAX(E342*I342-J342,0))</f>
        <v/>
      </c>
      <c r="L342" s="25" t="str">
        <f aca="false">IF(OR(D342="",E342="",F342="",D342&lt;=E342),"",FLOOR((F342+K342)/(D342-E342),100))</f>
        <v/>
      </c>
      <c r="M342" s="25" t="str">
        <f aca="false">IF(OR(A342="",B342="",L342=""),"",IF(B342=1,L342,IFERROR(SUMIFS($G$2:$G$1001,$A$2:$A$1001,A342,$B$2:$B$1001,B342-1),0)))</f>
        <v/>
      </c>
      <c r="N342" s="25" t="str">
        <f aca="false">IF(OR(L342="",M342=""),"",MIN(L342,M342))</f>
        <v/>
      </c>
      <c r="O342" s="25" t="str">
        <f aca="false">IF(OR(I342="",G342=""),"",I342+G342)</f>
        <v/>
      </c>
      <c r="P342" s="24" t="str">
        <f aca="false">IF(OR(O342="",O342=0),"",(J342+H342)/O342)</f>
        <v/>
      </c>
      <c r="Q342" s="24" t="str">
        <f aca="false">IF(OR(O342="",E342=""),"",MAX(J342+H342-E342*O342,0))</f>
        <v/>
      </c>
      <c r="R342" s="26" t="str">
        <f aca="false">IF(A342="","",IF(COUNTIF(_TradeIds,A342)=0,"违规：交易编号不存在",IF(OR(B342="",B342&lt;1,B342&gt;5,B342&lt;&gt;INT(B342)),"违规：加仓序号须为1到5的整数",IF(COUNTIFS($A$2:$A$1001,A342,$B$2:$B$1001,B342)&gt;1,"违规：同一交易的加仓序号重复",IF(OR(D342="",E342="",F342=""),"计划不完整：请填写加仓价、新止损价和风险预算",IF(OR(D342&lt;=0,E342&lt;=0,F342&lt;=0,D342&lt;=E342),"违规：加仓价必须高于新止损价，金额须大于0",IF(AND(B342&gt;1,COUNTIFS($A$2:$A$1001,A342,$B$2:$B$1001,B342-1,$G$2:$G$1001,"&gt;0")=0),"违规：须先完成上一次加仓",IF(AND(B342&gt;1,E342&lt;SUMIFS($E$2:$E$1001,$A$2:$A$1001,A342,$B$2:$B$1001,B342-1)),"违规：新止损价不得低于上一次",IF(AND(B342&gt;1,F342&gt;SUMIFS($F$2:$F$1001,$A$2:$A$1001,A342,$B$2:$B$1001,B342-1)),"违规：风险预算须逐次不增加",IF(OR(_LockStatus="已锁仓",_LockStatus="解锁信息不完整"),"违规：锁仓期间禁止加仓",IF(G342="","计划可执行：建议股数见N列",IF(OR(G342&lt;=0,G342&lt;&gt;INT(G342),MOD(G342,100)&lt;&gt;0),"违规：实际股数须为100股整数倍",IF(G342&gt;N342,"违规：实际股数超过风险或金字塔上限",IF(AND(B342&gt;1,G342&gt;SUMIFS($G$2:$G$1001,$A$2:$A$1001,A342,$B$2:$B$1001,B342-1)),"违规：加仓股数须逐次不增加",IF(Q342&gt;F342,"违规：止损风险超过本次预算","通过")))))))))))))))</f>
        <v/>
      </c>
    </row>
    <row r="343" customFormat="false" ht="15" hidden="false" customHeight="false" outlineLevel="0" collapsed="false">
      <c r="A343" s="20"/>
      <c r="B343" s="21"/>
      <c r="C343" s="22"/>
      <c r="D343" s="23"/>
      <c r="E343" s="23"/>
      <c r="F343" s="23"/>
      <c r="G343" s="21"/>
      <c r="H343" s="24" t="str">
        <f aca="false">IF(OR(A343="",D343="",G343=""),"",D343*G343)</f>
        <v/>
      </c>
      <c r="I343" s="25" t="str">
        <f aca="false">IF(OR(A343="",B343=""),"",IFERROR(LOOKUP(2,1/(单次交易!$A$2:$A$201=A343),单次交易!$H$2:$H$201),0)+SUMIFS($G$2:$G$1001,$A$2:$A$1001,A343,$B$2:$B$1001,"&lt;"&amp;B343))</f>
        <v/>
      </c>
      <c r="J343" s="24" t="str">
        <f aca="false">IF(OR(A343="",B343=""),"",IFERROR(LOOKUP(2,1/(单次交易!$A$2:$A$201=A343),单次交易!$E$2:$E$201)*LOOKUP(2,1/(单次交易!$A$2:$A$201=A343),单次交易!$H$2:$H$201),0)+SUMIFS($H$2:$H$1001,$A$2:$A$1001,A343,$B$2:$B$1001,"&lt;"&amp;B343))</f>
        <v/>
      </c>
      <c r="K343" s="24" t="str">
        <f aca="false">IF(OR(E343="",I343="",J343=""),"",MAX(E343*I343-J343,0))</f>
        <v/>
      </c>
      <c r="L343" s="25" t="str">
        <f aca="false">IF(OR(D343="",E343="",F343="",D343&lt;=E343),"",FLOOR((F343+K343)/(D343-E343),100))</f>
        <v/>
      </c>
      <c r="M343" s="25" t="str">
        <f aca="false">IF(OR(A343="",B343="",L343=""),"",IF(B343=1,L343,IFERROR(SUMIFS($G$2:$G$1001,$A$2:$A$1001,A343,$B$2:$B$1001,B343-1),0)))</f>
        <v/>
      </c>
      <c r="N343" s="25" t="str">
        <f aca="false">IF(OR(L343="",M343=""),"",MIN(L343,M343))</f>
        <v/>
      </c>
      <c r="O343" s="25" t="str">
        <f aca="false">IF(OR(I343="",G343=""),"",I343+G343)</f>
        <v/>
      </c>
      <c r="P343" s="24" t="str">
        <f aca="false">IF(OR(O343="",O343=0),"",(J343+H343)/O343)</f>
        <v/>
      </c>
      <c r="Q343" s="24" t="str">
        <f aca="false">IF(OR(O343="",E343=""),"",MAX(J343+H343-E343*O343,0))</f>
        <v/>
      </c>
      <c r="R343" s="26" t="str">
        <f aca="false">IF(A343="","",IF(COUNTIF(_TradeIds,A343)=0,"违规：交易编号不存在",IF(OR(B343="",B343&lt;1,B343&gt;5,B343&lt;&gt;INT(B343)),"违规：加仓序号须为1到5的整数",IF(COUNTIFS($A$2:$A$1001,A343,$B$2:$B$1001,B343)&gt;1,"违规：同一交易的加仓序号重复",IF(OR(D343="",E343="",F343=""),"计划不完整：请填写加仓价、新止损价和风险预算",IF(OR(D343&lt;=0,E343&lt;=0,F343&lt;=0,D343&lt;=E343),"违规：加仓价必须高于新止损价，金额须大于0",IF(AND(B343&gt;1,COUNTIFS($A$2:$A$1001,A343,$B$2:$B$1001,B343-1,$G$2:$G$1001,"&gt;0")=0),"违规：须先完成上一次加仓",IF(AND(B343&gt;1,E343&lt;SUMIFS($E$2:$E$1001,$A$2:$A$1001,A343,$B$2:$B$1001,B343-1)),"违规：新止损价不得低于上一次",IF(AND(B343&gt;1,F343&gt;SUMIFS($F$2:$F$1001,$A$2:$A$1001,A343,$B$2:$B$1001,B343-1)),"违规：风险预算须逐次不增加",IF(OR(_LockStatus="已锁仓",_LockStatus="解锁信息不完整"),"违规：锁仓期间禁止加仓",IF(G343="","计划可执行：建议股数见N列",IF(OR(G343&lt;=0,G343&lt;&gt;INT(G343),MOD(G343,100)&lt;&gt;0),"违规：实际股数须为100股整数倍",IF(G343&gt;N343,"违规：实际股数超过风险或金字塔上限",IF(AND(B343&gt;1,G343&gt;SUMIFS($G$2:$G$1001,$A$2:$A$1001,A343,$B$2:$B$1001,B343-1)),"违规：加仓股数须逐次不增加",IF(Q343&gt;F343,"违规：止损风险超过本次预算","通过")))))))))))))))</f>
        <v/>
      </c>
    </row>
    <row r="344" customFormat="false" ht="15" hidden="false" customHeight="false" outlineLevel="0" collapsed="false">
      <c r="A344" s="20"/>
      <c r="B344" s="21"/>
      <c r="C344" s="22"/>
      <c r="D344" s="23"/>
      <c r="E344" s="23"/>
      <c r="F344" s="23"/>
      <c r="G344" s="21"/>
      <c r="H344" s="24" t="str">
        <f aca="false">IF(OR(A344="",D344="",G344=""),"",D344*G344)</f>
        <v/>
      </c>
      <c r="I344" s="25" t="str">
        <f aca="false">IF(OR(A344="",B344=""),"",IFERROR(LOOKUP(2,1/(单次交易!$A$2:$A$201=A344),单次交易!$H$2:$H$201),0)+SUMIFS($G$2:$G$1001,$A$2:$A$1001,A344,$B$2:$B$1001,"&lt;"&amp;B344))</f>
        <v/>
      </c>
      <c r="J344" s="24" t="str">
        <f aca="false">IF(OR(A344="",B344=""),"",IFERROR(LOOKUP(2,1/(单次交易!$A$2:$A$201=A344),单次交易!$E$2:$E$201)*LOOKUP(2,1/(单次交易!$A$2:$A$201=A344),单次交易!$H$2:$H$201),0)+SUMIFS($H$2:$H$1001,$A$2:$A$1001,A344,$B$2:$B$1001,"&lt;"&amp;B344))</f>
        <v/>
      </c>
      <c r="K344" s="24" t="str">
        <f aca="false">IF(OR(E344="",I344="",J344=""),"",MAX(E344*I344-J344,0))</f>
        <v/>
      </c>
      <c r="L344" s="25" t="str">
        <f aca="false">IF(OR(D344="",E344="",F344="",D344&lt;=E344),"",FLOOR((F344+K344)/(D344-E344),100))</f>
        <v/>
      </c>
      <c r="M344" s="25" t="str">
        <f aca="false">IF(OR(A344="",B344="",L344=""),"",IF(B344=1,L344,IFERROR(SUMIFS($G$2:$G$1001,$A$2:$A$1001,A344,$B$2:$B$1001,B344-1),0)))</f>
        <v/>
      </c>
      <c r="N344" s="25" t="str">
        <f aca="false">IF(OR(L344="",M344=""),"",MIN(L344,M344))</f>
        <v/>
      </c>
      <c r="O344" s="25" t="str">
        <f aca="false">IF(OR(I344="",G344=""),"",I344+G344)</f>
        <v/>
      </c>
      <c r="P344" s="24" t="str">
        <f aca="false">IF(OR(O344="",O344=0),"",(J344+H344)/O344)</f>
        <v/>
      </c>
      <c r="Q344" s="24" t="str">
        <f aca="false">IF(OR(O344="",E344=""),"",MAX(J344+H344-E344*O344,0))</f>
        <v/>
      </c>
      <c r="R344" s="26" t="str">
        <f aca="false">IF(A344="","",IF(COUNTIF(_TradeIds,A344)=0,"违规：交易编号不存在",IF(OR(B344="",B344&lt;1,B344&gt;5,B344&lt;&gt;INT(B344)),"违规：加仓序号须为1到5的整数",IF(COUNTIFS($A$2:$A$1001,A344,$B$2:$B$1001,B344)&gt;1,"违规：同一交易的加仓序号重复",IF(OR(D344="",E344="",F344=""),"计划不完整：请填写加仓价、新止损价和风险预算",IF(OR(D344&lt;=0,E344&lt;=0,F344&lt;=0,D344&lt;=E344),"违规：加仓价必须高于新止损价，金额须大于0",IF(AND(B344&gt;1,COUNTIFS($A$2:$A$1001,A344,$B$2:$B$1001,B344-1,$G$2:$G$1001,"&gt;0")=0),"违规：须先完成上一次加仓",IF(AND(B344&gt;1,E344&lt;SUMIFS($E$2:$E$1001,$A$2:$A$1001,A344,$B$2:$B$1001,B344-1)),"违规：新止损价不得低于上一次",IF(AND(B344&gt;1,F344&gt;SUMIFS($F$2:$F$1001,$A$2:$A$1001,A344,$B$2:$B$1001,B344-1)),"违规：风险预算须逐次不增加",IF(OR(_LockStatus="已锁仓",_LockStatus="解锁信息不完整"),"违规：锁仓期间禁止加仓",IF(G344="","计划可执行：建议股数见N列",IF(OR(G344&lt;=0,G344&lt;&gt;INT(G344),MOD(G344,100)&lt;&gt;0),"违规：实际股数须为100股整数倍",IF(G344&gt;N344,"违规：实际股数超过风险或金字塔上限",IF(AND(B344&gt;1,G344&gt;SUMIFS($G$2:$G$1001,$A$2:$A$1001,A344,$B$2:$B$1001,B344-1)),"违规：加仓股数须逐次不增加",IF(Q344&gt;F344,"违规：止损风险超过本次预算","通过")))))))))))))))</f>
        <v/>
      </c>
    </row>
    <row r="345" customFormat="false" ht="15" hidden="false" customHeight="false" outlineLevel="0" collapsed="false">
      <c r="A345" s="20"/>
      <c r="B345" s="21"/>
      <c r="C345" s="22"/>
      <c r="D345" s="23"/>
      <c r="E345" s="23"/>
      <c r="F345" s="23"/>
      <c r="G345" s="21"/>
      <c r="H345" s="24" t="str">
        <f aca="false">IF(OR(A345="",D345="",G345=""),"",D345*G345)</f>
        <v/>
      </c>
      <c r="I345" s="25" t="str">
        <f aca="false">IF(OR(A345="",B345=""),"",IFERROR(LOOKUP(2,1/(单次交易!$A$2:$A$201=A345),单次交易!$H$2:$H$201),0)+SUMIFS($G$2:$G$1001,$A$2:$A$1001,A345,$B$2:$B$1001,"&lt;"&amp;B345))</f>
        <v/>
      </c>
      <c r="J345" s="24" t="str">
        <f aca="false">IF(OR(A345="",B345=""),"",IFERROR(LOOKUP(2,1/(单次交易!$A$2:$A$201=A345),单次交易!$E$2:$E$201)*LOOKUP(2,1/(单次交易!$A$2:$A$201=A345),单次交易!$H$2:$H$201),0)+SUMIFS($H$2:$H$1001,$A$2:$A$1001,A345,$B$2:$B$1001,"&lt;"&amp;B345))</f>
        <v/>
      </c>
      <c r="K345" s="24" t="str">
        <f aca="false">IF(OR(E345="",I345="",J345=""),"",MAX(E345*I345-J345,0))</f>
        <v/>
      </c>
      <c r="L345" s="25" t="str">
        <f aca="false">IF(OR(D345="",E345="",F345="",D345&lt;=E345),"",FLOOR((F345+K345)/(D345-E345),100))</f>
        <v/>
      </c>
      <c r="M345" s="25" t="str">
        <f aca="false">IF(OR(A345="",B345="",L345=""),"",IF(B345=1,L345,IFERROR(SUMIFS($G$2:$G$1001,$A$2:$A$1001,A345,$B$2:$B$1001,B345-1),0)))</f>
        <v/>
      </c>
      <c r="N345" s="25" t="str">
        <f aca="false">IF(OR(L345="",M345=""),"",MIN(L345,M345))</f>
        <v/>
      </c>
      <c r="O345" s="25" t="str">
        <f aca="false">IF(OR(I345="",G345=""),"",I345+G345)</f>
        <v/>
      </c>
      <c r="P345" s="24" t="str">
        <f aca="false">IF(OR(O345="",O345=0),"",(J345+H345)/O345)</f>
        <v/>
      </c>
      <c r="Q345" s="24" t="str">
        <f aca="false">IF(OR(O345="",E345=""),"",MAX(J345+H345-E345*O345,0))</f>
        <v/>
      </c>
      <c r="R345" s="26" t="str">
        <f aca="false">IF(A345="","",IF(COUNTIF(_TradeIds,A345)=0,"违规：交易编号不存在",IF(OR(B345="",B345&lt;1,B345&gt;5,B345&lt;&gt;INT(B345)),"违规：加仓序号须为1到5的整数",IF(COUNTIFS($A$2:$A$1001,A345,$B$2:$B$1001,B345)&gt;1,"违规：同一交易的加仓序号重复",IF(OR(D345="",E345="",F345=""),"计划不完整：请填写加仓价、新止损价和风险预算",IF(OR(D345&lt;=0,E345&lt;=0,F345&lt;=0,D345&lt;=E345),"违规：加仓价必须高于新止损价，金额须大于0",IF(AND(B345&gt;1,COUNTIFS($A$2:$A$1001,A345,$B$2:$B$1001,B345-1,$G$2:$G$1001,"&gt;0")=0),"违规：须先完成上一次加仓",IF(AND(B345&gt;1,E345&lt;SUMIFS($E$2:$E$1001,$A$2:$A$1001,A345,$B$2:$B$1001,B345-1)),"违规：新止损价不得低于上一次",IF(AND(B345&gt;1,F345&gt;SUMIFS($F$2:$F$1001,$A$2:$A$1001,A345,$B$2:$B$1001,B345-1)),"违规：风险预算须逐次不增加",IF(OR(_LockStatus="已锁仓",_LockStatus="解锁信息不完整"),"违规：锁仓期间禁止加仓",IF(G345="","计划可执行：建议股数见N列",IF(OR(G345&lt;=0,G345&lt;&gt;INT(G345),MOD(G345,100)&lt;&gt;0),"违规：实际股数须为100股整数倍",IF(G345&gt;N345,"违规：实际股数超过风险或金字塔上限",IF(AND(B345&gt;1,G345&gt;SUMIFS($G$2:$G$1001,$A$2:$A$1001,A345,$B$2:$B$1001,B345-1)),"违规：加仓股数须逐次不增加",IF(Q345&gt;F345,"违规：止损风险超过本次预算","通过")))))))))))))))</f>
        <v/>
      </c>
    </row>
    <row r="346" customFormat="false" ht="15" hidden="false" customHeight="false" outlineLevel="0" collapsed="false">
      <c r="A346" s="20"/>
      <c r="B346" s="21"/>
      <c r="C346" s="22"/>
      <c r="D346" s="23"/>
      <c r="E346" s="23"/>
      <c r="F346" s="23"/>
      <c r="G346" s="21"/>
      <c r="H346" s="24" t="str">
        <f aca="false">IF(OR(A346="",D346="",G346=""),"",D346*G346)</f>
        <v/>
      </c>
      <c r="I346" s="25" t="str">
        <f aca="false">IF(OR(A346="",B346=""),"",IFERROR(LOOKUP(2,1/(单次交易!$A$2:$A$201=A346),单次交易!$H$2:$H$201),0)+SUMIFS($G$2:$G$1001,$A$2:$A$1001,A346,$B$2:$B$1001,"&lt;"&amp;B346))</f>
        <v/>
      </c>
      <c r="J346" s="24" t="str">
        <f aca="false">IF(OR(A346="",B346=""),"",IFERROR(LOOKUP(2,1/(单次交易!$A$2:$A$201=A346),单次交易!$E$2:$E$201)*LOOKUP(2,1/(单次交易!$A$2:$A$201=A346),单次交易!$H$2:$H$201),0)+SUMIFS($H$2:$H$1001,$A$2:$A$1001,A346,$B$2:$B$1001,"&lt;"&amp;B346))</f>
        <v/>
      </c>
      <c r="K346" s="24" t="str">
        <f aca="false">IF(OR(E346="",I346="",J346=""),"",MAX(E346*I346-J346,0))</f>
        <v/>
      </c>
      <c r="L346" s="25" t="str">
        <f aca="false">IF(OR(D346="",E346="",F346="",D346&lt;=E346),"",FLOOR((F346+K346)/(D346-E346),100))</f>
        <v/>
      </c>
      <c r="M346" s="25" t="str">
        <f aca="false">IF(OR(A346="",B346="",L346=""),"",IF(B346=1,L346,IFERROR(SUMIFS($G$2:$G$1001,$A$2:$A$1001,A346,$B$2:$B$1001,B346-1),0)))</f>
        <v/>
      </c>
      <c r="N346" s="25" t="str">
        <f aca="false">IF(OR(L346="",M346=""),"",MIN(L346,M346))</f>
        <v/>
      </c>
      <c r="O346" s="25" t="str">
        <f aca="false">IF(OR(I346="",G346=""),"",I346+G346)</f>
        <v/>
      </c>
      <c r="P346" s="24" t="str">
        <f aca="false">IF(OR(O346="",O346=0),"",(J346+H346)/O346)</f>
        <v/>
      </c>
      <c r="Q346" s="24" t="str">
        <f aca="false">IF(OR(O346="",E346=""),"",MAX(J346+H346-E346*O346,0))</f>
        <v/>
      </c>
      <c r="R346" s="26" t="str">
        <f aca="false">IF(A346="","",IF(COUNTIF(_TradeIds,A346)=0,"违规：交易编号不存在",IF(OR(B346="",B346&lt;1,B346&gt;5,B346&lt;&gt;INT(B346)),"违规：加仓序号须为1到5的整数",IF(COUNTIFS($A$2:$A$1001,A346,$B$2:$B$1001,B346)&gt;1,"违规：同一交易的加仓序号重复",IF(OR(D346="",E346="",F346=""),"计划不完整：请填写加仓价、新止损价和风险预算",IF(OR(D346&lt;=0,E346&lt;=0,F346&lt;=0,D346&lt;=E346),"违规：加仓价必须高于新止损价，金额须大于0",IF(AND(B346&gt;1,COUNTIFS($A$2:$A$1001,A346,$B$2:$B$1001,B346-1,$G$2:$G$1001,"&gt;0")=0),"违规：须先完成上一次加仓",IF(AND(B346&gt;1,E346&lt;SUMIFS($E$2:$E$1001,$A$2:$A$1001,A346,$B$2:$B$1001,B346-1)),"违规：新止损价不得低于上一次",IF(AND(B346&gt;1,F346&gt;SUMIFS($F$2:$F$1001,$A$2:$A$1001,A346,$B$2:$B$1001,B346-1)),"违规：风险预算须逐次不增加",IF(OR(_LockStatus="已锁仓",_LockStatus="解锁信息不完整"),"违规：锁仓期间禁止加仓",IF(G346="","计划可执行：建议股数见N列",IF(OR(G346&lt;=0,G346&lt;&gt;INT(G346),MOD(G346,100)&lt;&gt;0),"违规：实际股数须为100股整数倍",IF(G346&gt;N346,"违规：实际股数超过风险或金字塔上限",IF(AND(B346&gt;1,G346&gt;SUMIFS($G$2:$G$1001,$A$2:$A$1001,A346,$B$2:$B$1001,B346-1)),"违规：加仓股数须逐次不增加",IF(Q346&gt;F346,"违规：止损风险超过本次预算","通过")))))))))))))))</f>
        <v/>
      </c>
    </row>
    <row r="347" customFormat="false" ht="15" hidden="false" customHeight="false" outlineLevel="0" collapsed="false">
      <c r="A347" s="20"/>
      <c r="B347" s="21"/>
      <c r="C347" s="22"/>
      <c r="D347" s="23"/>
      <c r="E347" s="23"/>
      <c r="F347" s="23"/>
      <c r="G347" s="21"/>
      <c r="H347" s="24" t="str">
        <f aca="false">IF(OR(A347="",D347="",G347=""),"",D347*G347)</f>
        <v/>
      </c>
      <c r="I347" s="25" t="str">
        <f aca="false">IF(OR(A347="",B347=""),"",IFERROR(LOOKUP(2,1/(单次交易!$A$2:$A$201=A347),单次交易!$H$2:$H$201),0)+SUMIFS($G$2:$G$1001,$A$2:$A$1001,A347,$B$2:$B$1001,"&lt;"&amp;B347))</f>
        <v/>
      </c>
      <c r="J347" s="24" t="str">
        <f aca="false">IF(OR(A347="",B347=""),"",IFERROR(LOOKUP(2,1/(单次交易!$A$2:$A$201=A347),单次交易!$E$2:$E$201)*LOOKUP(2,1/(单次交易!$A$2:$A$201=A347),单次交易!$H$2:$H$201),0)+SUMIFS($H$2:$H$1001,$A$2:$A$1001,A347,$B$2:$B$1001,"&lt;"&amp;B347))</f>
        <v/>
      </c>
      <c r="K347" s="24" t="str">
        <f aca="false">IF(OR(E347="",I347="",J347=""),"",MAX(E347*I347-J347,0))</f>
        <v/>
      </c>
      <c r="L347" s="25" t="str">
        <f aca="false">IF(OR(D347="",E347="",F347="",D347&lt;=E347),"",FLOOR((F347+K347)/(D347-E347),100))</f>
        <v/>
      </c>
      <c r="M347" s="25" t="str">
        <f aca="false">IF(OR(A347="",B347="",L347=""),"",IF(B347=1,L347,IFERROR(SUMIFS($G$2:$G$1001,$A$2:$A$1001,A347,$B$2:$B$1001,B347-1),0)))</f>
        <v/>
      </c>
      <c r="N347" s="25" t="str">
        <f aca="false">IF(OR(L347="",M347=""),"",MIN(L347,M347))</f>
        <v/>
      </c>
      <c r="O347" s="25" t="str">
        <f aca="false">IF(OR(I347="",G347=""),"",I347+G347)</f>
        <v/>
      </c>
      <c r="P347" s="24" t="str">
        <f aca="false">IF(OR(O347="",O347=0),"",(J347+H347)/O347)</f>
        <v/>
      </c>
      <c r="Q347" s="24" t="str">
        <f aca="false">IF(OR(O347="",E347=""),"",MAX(J347+H347-E347*O347,0))</f>
        <v/>
      </c>
      <c r="R347" s="26" t="str">
        <f aca="false">IF(A347="","",IF(COUNTIF(_TradeIds,A347)=0,"违规：交易编号不存在",IF(OR(B347="",B347&lt;1,B347&gt;5,B347&lt;&gt;INT(B347)),"违规：加仓序号须为1到5的整数",IF(COUNTIFS($A$2:$A$1001,A347,$B$2:$B$1001,B347)&gt;1,"违规：同一交易的加仓序号重复",IF(OR(D347="",E347="",F347=""),"计划不完整：请填写加仓价、新止损价和风险预算",IF(OR(D347&lt;=0,E347&lt;=0,F347&lt;=0,D347&lt;=E347),"违规：加仓价必须高于新止损价，金额须大于0",IF(AND(B347&gt;1,COUNTIFS($A$2:$A$1001,A347,$B$2:$B$1001,B347-1,$G$2:$G$1001,"&gt;0")=0),"违规：须先完成上一次加仓",IF(AND(B347&gt;1,E347&lt;SUMIFS($E$2:$E$1001,$A$2:$A$1001,A347,$B$2:$B$1001,B347-1)),"违规：新止损价不得低于上一次",IF(AND(B347&gt;1,F347&gt;SUMIFS($F$2:$F$1001,$A$2:$A$1001,A347,$B$2:$B$1001,B347-1)),"违规：风险预算须逐次不增加",IF(OR(_LockStatus="已锁仓",_LockStatus="解锁信息不完整"),"违规：锁仓期间禁止加仓",IF(G347="","计划可执行：建议股数见N列",IF(OR(G347&lt;=0,G347&lt;&gt;INT(G347),MOD(G347,100)&lt;&gt;0),"违规：实际股数须为100股整数倍",IF(G347&gt;N347,"违规：实际股数超过风险或金字塔上限",IF(AND(B347&gt;1,G347&gt;SUMIFS($G$2:$G$1001,$A$2:$A$1001,A347,$B$2:$B$1001,B347-1)),"违规：加仓股数须逐次不增加",IF(Q347&gt;F347,"违规：止损风险超过本次预算","通过")))))))))))))))</f>
        <v/>
      </c>
    </row>
    <row r="348" customFormat="false" ht="15" hidden="false" customHeight="false" outlineLevel="0" collapsed="false">
      <c r="A348" s="20"/>
      <c r="B348" s="21"/>
      <c r="C348" s="22"/>
      <c r="D348" s="23"/>
      <c r="E348" s="23"/>
      <c r="F348" s="23"/>
      <c r="G348" s="21"/>
      <c r="H348" s="24" t="str">
        <f aca="false">IF(OR(A348="",D348="",G348=""),"",D348*G348)</f>
        <v/>
      </c>
      <c r="I348" s="25" t="str">
        <f aca="false">IF(OR(A348="",B348=""),"",IFERROR(LOOKUP(2,1/(单次交易!$A$2:$A$201=A348),单次交易!$H$2:$H$201),0)+SUMIFS($G$2:$G$1001,$A$2:$A$1001,A348,$B$2:$B$1001,"&lt;"&amp;B348))</f>
        <v/>
      </c>
      <c r="J348" s="24" t="str">
        <f aca="false">IF(OR(A348="",B348=""),"",IFERROR(LOOKUP(2,1/(单次交易!$A$2:$A$201=A348),单次交易!$E$2:$E$201)*LOOKUP(2,1/(单次交易!$A$2:$A$201=A348),单次交易!$H$2:$H$201),0)+SUMIFS($H$2:$H$1001,$A$2:$A$1001,A348,$B$2:$B$1001,"&lt;"&amp;B348))</f>
        <v/>
      </c>
      <c r="K348" s="24" t="str">
        <f aca="false">IF(OR(E348="",I348="",J348=""),"",MAX(E348*I348-J348,0))</f>
        <v/>
      </c>
      <c r="L348" s="25" t="str">
        <f aca="false">IF(OR(D348="",E348="",F348="",D348&lt;=E348),"",FLOOR((F348+K348)/(D348-E348),100))</f>
        <v/>
      </c>
      <c r="M348" s="25" t="str">
        <f aca="false">IF(OR(A348="",B348="",L348=""),"",IF(B348=1,L348,IFERROR(SUMIFS($G$2:$G$1001,$A$2:$A$1001,A348,$B$2:$B$1001,B348-1),0)))</f>
        <v/>
      </c>
      <c r="N348" s="25" t="str">
        <f aca="false">IF(OR(L348="",M348=""),"",MIN(L348,M348))</f>
        <v/>
      </c>
      <c r="O348" s="25" t="str">
        <f aca="false">IF(OR(I348="",G348=""),"",I348+G348)</f>
        <v/>
      </c>
      <c r="P348" s="24" t="str">
        <f aca="false">IF(OR(O348="",O348=0),"",(J348+H348)/O348)</f>
        <v/>
      </c>
      <c r="Q348" s="24" t="str">
        <f aca="false">IF(OR(O348="",E348=""),"",MAX(J348+H348-E348*O348,0))</f>
        <v/>
      </c>
      <c r="R348" s="26" t="str">
        <f aca="false">IF(A348="","",IF(COUNTIF(_TradeIds,A348)=0,"违规：交易编号不存在",IF(OR(B348="",B348&lt;1,B348&gt;5,B348&lt;&gt;INT(B348)),"违规：加仓序号须为1到5的整数",IF(COUNTIFS($A$2:$A$1001,A348,$B$2:$B$1001,B348)&gt;1,"违规：同一交易的加仓序号重复",IF(OR(D348="",E348="",F348=""),"计划不完整：请填写加仓价、新止损价和风险预算",IF(OR(D348&lt;=0,E348&lt;=0,F348&lt;=0,D348&lt;=E348),"违规：加仓价必须高于新止损价，金额须大于0",IF(AND(B348&gt;1,COUNTIFS($A$2:$A$1001,A348,$B$2:$B$1001,B348-1,$G$2:$G$1001,"&gt;0")=0),"违规：须先完成上一次加仓",IF(AND(B348&gt;1,E348&lt;SUMIFS($E$2:$E$1001,$A$2:$A$1001,A348,$B$2:$B$1001,B348-1)),"违规：新止损价不得低于上一次",IF(AND(B348&gt;1,F348&gt;SUMIFS($F$2:$F$1001,$A$2:$A$1001,A348,$B$2:$B$1001,B348-1)),"违规：风险预算须逐次不增加",IF(OR(_LockStatus="已锁仓",_LockStatus="解锁信息不完整"),"违规：锁仓期间禁止加仓",IF(G348="","计划可执行：建议股数见N列",IF(OR(G348&lt;=0,G348&lt;&gt;INT(G348),MOD(G348,100)&lt;&gt;0),"违规：实际股数须为100股整数倍",IF(G348&gt;N348,"违规：实际股数超过风险或金字塔上限",IF(AND(B348&gt;1,G348&gt;SUMIFS($G$2:$G$1001,$A$2:$A$1001,A348,$B$2:$B$1001,B348-1)),"违规：加仓股数须逐次不增加",IF(Q348&gt;F348,"违规：止损风险超过本次预算","通过")))))))))))))))</f>
        <v/>
      </c>
    </row>
    <row r="349" customFormat="false" ht="15" hidden="false" customHeight="false" outlineLevel="0" collapsed="false">
      <c r="A349" s="20"/>
      <c r="B349" s="21"/>
      <c r="C349" s="22"/>
      <c r="D349" s="23"/>
      <c r="E349" s="23"/>
      <c r="F349" s="23"/>
      <c r="G349" s="21"/>
      <c r="H349" s="24" t="str">
        <f aca="false">IF(OR(A349="",D349="",G349=""),"",D349*G349)</f>
        <v/>
      </c>
      <c r="I349" s="25" t="str">
        <f aca="false">IF(OR(A349="",B349=""),"",IFERROR(LOOKUP(2,1/(单次交易!$A$2:$A$201=A349),单次交易!$H$2:$H$201),0)+SUMIFS($G$2:$G$1001,$A$2:$A$1001,A349,$B$2:$B$1001,"&lt;"&amp;B349))</f>
        <v/>
      </c>
      <c r="J349" s="24" t="str">
        <f aca="false">IF(OR(A349="",B349=""),"",IFERROR(LOOKUP(2,1/(单次交易!$A$2:$A$201=A349),单次交易!$E$2:$E$201)*LOOKUP(2,1/(单次交易!$A$2:$A$201=A349),单次交易!$H$2:$H$201),0)+SUMIFS($H$2:$H$1001,$A$2:$A$1001,A349,$B$2:$B$1001,"&lt;"&amp;B349))</f>
        <v/>
      </c>
      <c r="K349" s="24" t="str">
        <f aca="false">IF(OR(E349="",I349="",J349=""),"",MAX(E349*I349-J349,0))</f>
        <v/>
      </c>
      <c r="L349" s="25" t="str">
        <f aca="false">IF(OR(D349="",E349="",F349="",D349&lt;=E349),"",FLOOR((F349+K349)/(D349-E349),100))</f>
        <v/>
      </c>
      <c r="M349" s="25" t="str">
        <f aca="false">IF(OR(A349="",B349="",L349=""),"",IF(B349=1,L349,IFERROR(SUMIFS($G$2:$G$1001,$A$2:$A$1001,A349,$B$2:$B$1001,B349-1),0)))</f>
        <v/>
      </c>
      <c r="N349" s="25" t="str">
        <f aca="false">IF(OR(L349="",M349=""),"",MIN(L349,M349))</f>
        <v/>
      </c>
      <c r="O349" s="25" t="str">
        <f aca="false">IF(OR(I349="",G349=""),"",I349+G349)</f>
        <v/>
      </c>
      <c r="P349" s="24" t="str">
        <f aca="false">IF(OR(O349="",O349=0),"",(J349+H349)/O349)</f>
        <v/>
      </c>
      <c r="Q349" s="24" t="str">
        <f aca="false">IF(OR(O349="",E349=""),"",MAX(J349+H349-E349*O349,0))</f>
        <v/>
      </c>
      <c r="R349" s="26" t="str">
        <f aca="false">IF(A349="","",IF(COUNTIF(_TradeIds,A349)=0,"违规：交易编号不存在",IF(OR(B349="",B349&lt;1,B349&gt;5,B349&lt;&gt;INT(B349)),"违规：加仓序号须为1到5的整数",IF(COUNTIFS($A$2:$A$1001,A349,$B$2:$B$1001,B349)&gt;1,"违规：同一交易的加仓序号重复",IF(OR(D349="",E349="",F349=""),"计划不完整：请填写加仓价、新止损价和风险预算",IF(OR(D349&lt;=0,E349&lt;=0,F349&lt;=0,D349&lt;=E349),"违规：加仓价必须高于新止损价，金额须大于0",IF(AND(B349&gt;1,COUNTIFS($A$2:$A$1001,A349,$B$2:$B$1001,B349-1,$G$2:$G$1001,"&gt;0")=0),"违规：须先完成上一次加仓",IF(AND(B349&gt;1,E349&lt;SUMIFS($E$2:$E$1001,$A$2:$A$1001,A349,$B$2:$B$1001,B349-1)),"违规：新止损价不得低于上一次",IF(AND(B349&gt;1,F349&gt;SUMIFS($F$2:$F$1001,$A$2:$A$1001,A349,$B$2:$B$1001,B349-1)),"违规：风险预算须逐次不增加",IF(OR(_LockStatus="已锁仓",_LockStatus="解锁信息不完整"),"违规：锁仓期间禁止加仓",IF(G349="","计划可执行：建议股数见N列",IF(OR(G349&lt;=0,G349&lt;&gt;INT(G349),MOD(G349,100)&lt;&gt;0),"违规：实际股数须为100股整数倍",IF(G349&gt;N349,"违规：实际股数超过风险或金字塔上限",IF(AND(B349&gt;1,G349&gt;SUMIFS($G$2:$G$1001,$A$2:$A$1001,A349,$B$2:$B$1001,B349-1)),"违规：加仓股数须逐次不增加",IF(Q349&gt;F349,"违规：止损风险超过本次预算","通过")))))))))))))))</f>
        <v/>
      </c>
    </row>
    <row r="350" customFormat="false" ht="15" hidden="false" customHeight="false" outlineLevel="0" collapsed="false">
      <c r="A350" s="20"/>
      <c r="B350" s="21"/>
      <c r="C350" s="22"/>
      <c r="D350" s="23"/>
      <c r="E350" s="23"/>
      <c r="F350" s="23"/>
      <c r="G350" s="21"/>
      <c r="H350" s="24" t="str">
        <f aca="false">IF(OR(A350="",D350="",G350=""),"",D350*G350)</f>
        <v/>
      </c>
      <c r="I350" s="25" t="str">
        <f aca="false">IF(OR(A350="",B350=""),"",IFERROR(LOOKUP(2,1/(单次交易!$A$2:$A$201=A350),单次交易!$H$2:$H$201),0)+SUMIFS($G$2:$G$1001,$A$2:$A$1001,A350,$B$2:$B$1001,"&lt;"&amp;B350))</f>
        <v/>
      </c>
      <c r="J350" s="24" t="str">
        <f aca="false">IF(OR(A350="",B350=""),"",IFERROR(LOOKUP(2,1/(单次交易!$A$2:$A$201=A350),单次交易!$E$2:$E$201)*LOOKUP(2,1/(单次交易!$A$2:$A$201=A350),单次交易!$H$2:$H$201),0)+SUMIFS($H$2:$H$1001,$A$2:$A$1001,A350,$B$2:$B$1001,"&lt;"&amp;B350))</f>
        <v/>
      </c>
      <c r="K350" s="24" t="str">
        <f aca="false">IF(OR(E350="",I350="",J350=""),"",MAX(E350*I350-J350,0))</f>
        <v/>
      </c>
      <c r="L350" s="25" t="str">
        <f aca="false">IF(OR(D350="",E350="",F350="",D350&lt;=E350),"",FLOOR((F350+K350)/(D350-E350),100))</f>
        <v/>
      </c>
      <c r="M350" s="25" t="str">
        <f aca="false">IF(OR(A350="",B350="",L350=""),"",IF(B350=1,L350,IFERROR(SUMIFS($G$2:$G$1001,$A$2:$A$1001,A350,$B$2:$B$1001,B350-1),0)))</f>
        <v/>
      </c>
      <c r="N350" s="25" t="str">
        <f aca="false">IF(OR(L350="",M350=""),"",MIN(L350,M350))</f>
        <v/>
      </c>
      <c r="O350" s="25" t="str">
        <f aca="false">IF(OR(I350="",G350=""),"",I350+G350)</f>
        <v/>
      </c>
      <c r="P350" s="24" t="str">
        <f aca="false">IF(OR(O350="",O350=0),"",(J350+H350)/O350)</f>
        <v/>
      </c>
      <c r="Q350" s="24" t="str">
        <f aca="false">IF(OR(O350="",E350=""),"",MAX(J350+H350-E350*O350,0))</f>
        <v/>
      </c>
      <c r="R350" s="26" t="str">
        <f aca="false">IF(A350="","",IF(COUNTIF(_TradeIds,A350)=0,"违规：交易编号不存在",IF(OR(B350="",B350&lt;1,B350&gt;5,B350&lt;&gt;INT(B350)),"违规：加仓序号须为1到5的整数",IF(COUNTIFS($A$2:$A$1001,A350,$B$2:$B$1001,B350)&gt;1,"违规：同一交易的加仓序号重复",IF(OR(D350="",E350="",F350=""),"计划不完整：请填写加仓价、新止损价和风险预算",IF(OR(D350&lt;=0,E350&lt;=0,F350&lt;=0,D350&lt;=E350),"违规：加仓价必须高于新止损价，金额须大于0",IF(AND(B350&gt;1,COUNTIFS($A$2:$A$1001,A350,$B$2:$B$1001,B350-1,$G$2:$G$1001,"&gt;0")=0),"违规：须先完成上一次加仓",IF(AND(B350&gt;1,E350&lt;SUMIFS($E$2:$E$1001,$A$2:$A$1001,A350,$B$2:$B$1001,B350-1)),"违规：新止损价不得低于上一次",IF(AND(B350&gt;1,F350&gt;SUMIFS($F$2:$F$1001,$A$2:$A$1001,A350,$B$2:$B$1001,B350-1)),"违规：风险预算须逐次不增加",IF(OR(_LockStatus="已锁仓",_LockStatus="解锁信息不完整"),"违规：锁仓期间禁止加仓",IF(G350="","计划可执行：建议股数见N列",IF(OR(G350&lt;=0,G350&lt;&gt;INT(G350),MOD(G350,100)&lt;&gt;0),"违规：实际股数须为100股整数倍",IF(G350&gt;N350,"违规：实际股数超过风险或金字塔上限",IF(AND(B350&gt;1,G350&gt;SUMIFS($G$2:$G$1001,$A$2:$A$1001,A350,$B$2:$B$1001,B350-1)),"违规：加仓股数须逐次不增加",IF(Q350&gt;F350,"违规：止损风险超过本次预算","通过")))))))))))))))</f>
        <v/>
      </c>
    </row>
    <row r="351" customFormat="false" ht="15" hidden="false" customHeight="false" outlineLevel="0" collapsed="false">
      <c r="A351" s="20"/>
      <c r="B351" s="21"/>
      <c r="C351" s="22"/>
      <c r="D351" s="23"/>
      <c r="E351" s="23"/>
      <c r="F351" s="23"/>
      <c r="G351" s="21"/>
      <c r="H351" s="24" t="str">
        <f aca="false">IF(OR(A351="",D351="",G351=""),"",D351*G351)</f>
        <v/>
      </c>
      <c r="I351" s="25" t="str">
        <f aca="false">IF(OR(A351="",B351=""),"",IFERROR(LOOKUP(2,1/(单次交易!$A$2:$A$201=A351),单次交易!$H$2:$H$201),0)+SUMIFS($G$2:$G$1001,$A$2:$A$1001,A351,$B$2:$B$1001,"&lt;"&amp;B351))</f>
        <v/>
      </c>
      <c r="J351" s="24" t="str">
        <f aca="false">IF(OR(A351="",B351=""),"",IFERROR(LOOKUP(2,1/(单次交易!$A$2:$A$201=A351),单次交易!$E$2:$E$201)*LOOKUP(2,1/(单次交易!$A$2:$A$201=A351),单次交易!$H$2:$H$201),0)+SUMIFS($H$2:$H$1001,$A$2:$A$1001,A351,$B$2:$B$1001,"&lt;"&amp;B351))</f>
        <v/>
      </c>
      <c r="K351" s="24" t="str">
        <f aca="false">IF(OR(E351="",I351="",J351=""),"",MAX(E351*I351-J351,0))</f>
        <v/>
      </c>
      <c r="L351" s="25" t="str">
        <f aca="false">IF(OR(D351="",E351="",F351="",D351&lt;=E351),"",FLOOR((F351+K351)/(D351-E351),100))</f>
        <v/>
      </c>
      <c r="M351" s="25" t="str">
        <f aca="false">IF(OR(A351="",B351="",L351=""),"",IF(B351=1,L351,IFERROR(SUMIFS($G$2:$G$1001,$A$2:$A$1001,A351,$B$2:$B$1001,B351-1),0)))</f>
        <v/>
      </c>
      <c r="N351" s="25" t="str">
        <f aca="false">IF(OR(L351="",M351=""),"",MIN(L351,M351))</f>
        <v/>
      </c>
      <c r="O351" s="25" t="str">
        <f aca="false">IF(OR(I351="",G351=""),"",I351+G351)</f>
        <v/>
      </c>
      <c r="P351" s="24" t="str">
        <f aca="false">IF(OR(O351="",O351=0),"",(J351+H351)/O351)</f>
        <v/>
      </c>
      <c r="Q351" s="24" t="str">
        <f aca="false">IF(OR(O351="",E351=""),"",MAX(J351+H351-E351*O351,0))</f>
        <v/>
      </c>
      <c r="R351" s="26" t="str">
        <f aca="false">IF(A351="","",IF(COUNTIF(_TradeIds,A351)=0,"违规：交易编号不存在",IF(OR(B351="",B351&lt;1,B351&gt;5,B351&lt;&gt;INT(B351)),"违规：加仓序号须为1到5的整数",IF(COUNTIFS($A$2:$A$1001,A351,$B$2:$B$1001,B351)&gt;1,"违规：同一交易的加仓序号重复",IF(OR(D351="",E351="",F351=""),"计划不完整：请填写加仓价、新止损价和风险预算",IF(OR(D351&lt;=0,E351&lt;=0,F351&lt;=0,D351&lt;=E351),"违规：加仓价必须高于新止损价，金额须大于0",IF(AND(B351&gt;1,COUNTIFS($A$2:$A$1001,A351,$B$2:$B$1001,B351-1,$G$2:$G$1001,"&gt;0")=0),"违规：须先完成上一次加仓",IF(AND(B351&gt;1,E351&lt;SUMIFS($E$2:$E$1001,$A$2:$A$1001,A351,$B$2:$B$1001,B351-1)),"违规：新止损价不得低于上一次",IF(AND(B351&gt;1,F351&gt;SUMIFS($F$2:$F$1001,$A$2:$A$1001,A351,$B$2:$B$1001,B351-1)),"违规：风险预算须逐次不增加",IF(OR(_LockStatus="已锁仓",_LockStatus="解锁信息不完整"),"违规：锁仓期间禁止加仓",IF(G351="","计划可执行：建议股数见N列",IF(OR(G351&lt;=0,G351&lt;&gt;INT(G351),MOD(G351,100)&lt;&gt;0),"违规：实际股数须为100股整数倍",IF(G351&gt;N351,"违规：实际股数超过风险或金字塔上限",IF(AND(B351&gt;1,G351&gt;SUMIFS($G$2:$G$1001,$A$2:$A$1001,A351,$B$2:$B$1001,B351-1)),"违规：加仓股数须逐次不增加",IF(Q351&gt;F351,"违规：止损风险超过本次预算","通过")))))))))))))))</f>
        <v/>
      </c>
    </row>
    <row r="352" customFormat="false" ht="15" hidden="false" customHeight="false" outlineLevel="0" collapsed="false">
      <c r="A352" s="20"/>
      <c r="B352" s="21"/>
      <c r="C352" s="22"/>
      <c r="D352" s="23"/>
      <c r="E352" s="23"/>
      <c r="F352" s="23"/>
      <c r="G352" s="21"/>
      <c r="H352" s="24" t="str">
        <f aca="false">IF(OR(A352="",D352="",G352=""),"",D352*G352)</f>
        <v/>
      </c>
      <c r="I352" s="25" t="str">
        <f aca="false">IF(OR(A352="",B352=""),"",IFERROR(LOOKUP(2,1/(单次交易!$A$2:$A$201=A352),单次交易!$H$2:$H$201),0)+SUMIFS($G$2:$G$1001,$A$2:$A$1001,A352,$B$2:$B$1001,"&lt;"&amp;B352))</f>
        <v/>
      </c>
      <c r="J352" s="24" t="str">
        <f aca="false">IF(OR(A352="",B352=""),"",IFERROR(LOOKUP(2,1/(单次交易!$A$2:$A$201=A352),单次交易!$E$2:$E$201)*LOOKUP(2,1/(单次交易!$A$2:$A$201=A352),单次交易!$H$2:$H$201),0)+SUMIFS($H$2:$H$1001,$A$2:$A$1001,A352,$B$2:$B$1001,"&lt;"&amp;B352))</f>
        <v/>
      </c>
      <c r="K352" s="24" t="str">
        <f aca="false">IF(OR(E352="",I352="",J352=""),"",MAX(E352*I352-J352,0))</f>
        <v/>
      </c>
      <c r="L352" s="25" t="str">
        <f aca="false">IF(OR(D352="",E352="",F352="",D352&lt;=E352),"",FLOOR((F352+K352)/(D352-E352),100))</f>
        <v/>
      </c>
      <c r="M352" s="25" t="str">
        <f aca="false">IF(OR(A352="",B352="",L352=""),"",IF(B352=1,L352,IFERROR(SUMIFS($G$2:$G$1001,$A$2:$A$1001,A352,$B$2:$B$1001,B352-1),0)))</f>
        <v/>
      </c>
      <c r="N352" s="25" t="str">
        <f aca="false">IF(OR(L352="",M352=""),"",MIN(L352,M352))</f>
        <v/>
      </c>
      <c r="O352" s="25" t="str">
        <f aca="false">IF(OR(I352="",G352=""),"",I352+G352)</f>
        <v/>
      </c>
      <c r="P352" s="24" t="str">
        <f aca="false">IF(OR(O352="",O352=0),"",(J352+H352)/O352)</f>
        <v/>
      </c>
      <c r="Q352" s="24" t="str">
        <f aca="false">IF(OR(O352="",E352=""),"",MAX(J352+H352-E352*O352,0))</f>
        <v/>
      </c>
      <c r="R352" s="26" t="str">
        <f aca="false">IF(A352="","",IF(COUNTIF(_TradeIds,A352)=0,"违规：交易编号不存在",IF(OR(B352="",B352&lt;1,B352&gt;5,B352&lt;&gt;INT(B352)),"违规：加仓序号须为1到5的整数",IF(COUNTIFS($A$2:$A$1001,A352,$B$2:$B$1001,B352)&gt;1,"违规：同一交易的加仓序号重复",IF(OR(D352="",E352="",F352=""),"计划不完整：请填写加仓价、新止损价和风险预算",IF(OR(D352&lt;=0,E352&lt;=0,F352&lt;=0,D352&lt;=E352),"违规：加仓价必须高于新止损价，金额须大于0",IF(AND(B352&gt;1,COUNTIFS($A$2:$A$1001,A352,$B$2:$B$1001,B352-1,$G$2:$G$1001,"&gt;0")=0),"违规：须先完成上一次加仓",IF(AND(B352&gt;1,E352&lt;SUMIFS($E$2:$E$1001,$A$2:$A$1001,A352,$B$2:$B$1001,B352-1)),"违规：新止损价不得低于上一次",IF(AND(B352&gt;1,F352&gt;SUMIFS($F$2:$F$1001,$A$2:$A$1001,A352,$B$2:$B$1001,B352-1)),"违规：风险预算须逐次不增加",IF(OR(_LockStatus="已锁仓",_LockStatus="解锁信息不完整"),"违规：锁仓期间禁止加仓",IF(G352="","计划可执行：建议股数见N列",IF(OR(G352&lt;=0,G352&lt;&gt;INT(G352),MOD(G352,100)&lt;&gt;0),"违规：实际股数须为100股整数倍",IF(G352&gt;N352,"违规：实际股数超过风险或金字塔上限",IF(AND(B352&gt;1,G352&gt;SUMIFS($G$2:$G$1001,$A$2:$A$1001,A352,$B$2:$B$1001,B352-1)),"违规：加仓股数须逐次不增加",IF(Q352&gt;F352,"违规：止损风险超过本次预算","通过")))))))))))))))</f>
        <v/>
      </c>
    </row>
    <row r="353" customFormat="false" ht="15" hidden="false" customHeight="false" outlineLevel="0" collapsed="false">
      <c r="A353" s="20"/>
      <c r="B353" s="21"/>
      <c r="C353" s="22"/>
      <c r="D353" s="23"/>
      <c r="E353" s="23"/>
      <c r="F353" s="23"/>
      <c r="G353" s="21"/>
      <c r="H353" s="24" t="str">
        <f aca="false">IF(OR(A353="",D353="",G353=""),"",D353*G353)</f>
        <v/>
      </c>
      <c r="I353" s="25" t="str">
        <f aca="false">IF(OR(A353="",B353=""),"",IFERROR(LOOKUP(2,1/(单次交易!$A$2:$A$201=A353),单次交易!$H$2:$H$201),0)+SUMIFS($G$2:$G$1001,$A$2:$A$1001,A353,$B$2:$B$1001,"&lt;"&amp;B353))</f>
        <v/>
      </c>
      <c r="J353" s="24" t="str">
        <f aca="false">IF(OR(A353="",B353=""),"",IFERROR(LOOKUP(2,1/(单次交易!$A$2:$A$201=A353),单次交易!$E$2:$E$201)*LOOKUP(2,1/(单次交易!$A$2:$A$201=A353),单次交易!$H$2:$H$201),0)+SUMIFS($H$2:$H$1001,$A$2:$A$1001,A353,$B$2:$B$1001,"&lt;"&amp;B353))</f>
        <v/>
      </c>
      <c r="K353" s="24" t="str">
        <f aca="false">IF(OR(E353="",I353="",J353=""),"",MAX(E353*I353-J353,0))</f>
        <v/>
      </c>
      <c r="L353" s="25" t="str">
        <f aca="false">IF(OR(D353="",E353="",F353="",D353&lt;=E353),"",FLOOR((F353+K353)/(D353-E353),100))</f>
        <v/>
      </c>
      <c r="M353" s="25" t="str">
        <f aca="false">IF(OR(A353="",B353="",L353=""),"",IF(B353=1,L353,IFERROR(SUMIFS($G$2:$G$1001,$A$2:$A$1001,A353,$B$2:$B$1001,B353-1),0)))</f>
        <v/>
      </c>
      <c r="N353" s="25" t="str">
        <f aca="false">IF(OR(L353="",M353=""),"",MIN(L353,M353))</f>
        <v/>
      </c>
      <c r="O353" s="25" t="str">
        <f aca="false">IF(OR(I353="",G353=""),"",I353+G353)</f>
        <v/>
      </c>
      <c r="P353" s="24" t="str">
        <f aca="false">IF(OR(O353="",O353=0),"",(J353+H353)/O353)</f>
        <v/>
      </c>
      <c r="Q353" s="24" t="str">
        <f aca="false">IF(OR(O353="",E353=""),"",MAX(J353+H353-E353*O353,0))</f>
        <v/>
      </c>
      <c r="R353" s="26" t="str">
        <f aca="false">IF(A353="","",IF(COUNTIF(_TradeIds,A353)=0,"违规：交易编号不存在",IF(OR(B353="",B353&lt;1,B353&gt;5,B353&lt;&gt;INT(B353)),"违规：加仓序号须为1到5的整数",IF(COUNTIFS($A$2:$A$1001,A353,$B$2:$B$1001,B353)&gt;1,"违规：同一交易的加仓序号重复",IF(OR(D353="",E353="",F353=""),"计划不完整：请填写加仓价、新止损价和风险预算",IF(OR(D353&lt;=0,E353&lt;=0,F353&lt;=0,D353&lt;=E353),"违规：加仓价必须高于新止损价，金额须大于0",IF(AND(B353&gt;1,COUNTIFS($A$2:$A$1001,A353,$B$2:$B$1001,B353-1,$G$2:$G$1001,"&gt;0")=0),"违规：须先完成上一次加仓",IF(AND(B353&gt;1,E353&lt;SUMIFS($E$2:$E$1001,$A$2:$A$1001,A353,$B$2:$B$1001,B353-1)),"违规：新止损价不得低于上一次",IF(AND(B353&gt;1,F353&gt;SUMIFS($F$2:$F$1001,$A$2:$A$1001,A353,$B$2:$B$1001,B353-1)),"违规：风险预算须逐次不增加",IF(OR(_LockStatus="已锁仓",_LockStatus="解锁信息不完整"),"违规：锁仓期间禁止加仓",IF(G353="","计划可执行：建议股数见N列",IF(OR(G353&lt;=0,G353&lt;&gt;INT(G353),MOD(G353,100)&lt;&gt;0),"违规：实际股数须为100股整数倍",IF(G353&gt;N353,"违规：实际股数超过风险或金字塔上限",IF(AND(B353&gt;1,G353&gt;SUMIFS($G$2:$G$1001,$A$2:$A$1001,A353,$B$2:$B$1001,B353-1)),"违规：加仓股数须逐次不增加",IF(Q353&gt;F353,"违规：止损风险超过本次预算","通过")))))))))))))))</f>
        <v/>
      </c>
    </row>
    <row r="354" customFormat="false" ht="15" hidden="false" customHeight="false" outlineLevel="0" collapsed="false">
      <c r="A354" s="20"/>
      <c r="B354" s="21"/>
      <c r="C354" s="22"/>
      <c r="D354" s="23"/>
      <c r="E354" s="23"/>
      <c r="F354" s="23"/>
      <c r="G354" s="21"/>
      <c r="H354" s="24" t="str">
        <f aca="false">IF(OR(A354="",D354="",G354=""),"",D354*G354)</f>
        <v/>
      </c>
      <c r="I354" s="25" t="str">
        <f aca="false">IF(OR(A354="",B354=""),"",IFERROR(LOOKUP(2,1/(单次交易!$A$2:$A$201=A354),单次交易!$H$2:$H$201),0)+SUMIFS($G$2:$G$1001,$A$2:$A$1001,A354,$B$2:$B$1001,"&lt;"&amp;B354))</f>
        <v/>
      </c>
      <c r="J354" s="24" t="str">
        <f aca="false">IF(OR(A354="",B354=""),"",IFERROR(LOOKUP(2,1/(单次交易!$A$2:$A$201=A354),单次交易!$E$2:$E$201)*LOOKUP(2,1/(单次交易!$A$2:$A$201=A354),单次交易!$H$2:$H$201),0)+SUMIFS($H$2:$H$1001,$A$2:$A$1001,A354,$B$2:$B$1001,"&lt;"&amp;B354))</f>
        <v/>
      </c>
      <c r="K354" s="24" t="str">
        <f aca="false">IF(OR(E354="",I354="",J354=""),"",MAX(E354*I354-J354,0))</f>
        <v/>
      </c>
      <c r="L354" s="25" t="str">
        <f aca="false">IF(OR(D354="",E354="",F354="",D354&lt;=E354),"",FLOOR((F354+K354)/(D354-E354),100))</f>
        <v/>
      </c>
      <c r="M354" s="25" t="str">
        <f aca="false">IF(OR(A354="",B354="",L354=""),"",IF(B354=1,L354,IFERROR(SUMIFS($G$2:$G$1001,$A$2:$A$1001,A354,$B$2:$B$1001,B354-1),0)))</f>
        <v/>
      </c>
      <c r="N354" s="25" t="str">
        <f aca="false">IF(OR(L354="",M354=""),"",MIN(L354,M354))</f>
        <v/>
      </c>
      <c r="O354" s="25" t="str">
        <f aca="false">IF(OR(I354="",G354=""),"",I354+G354)</f>
        <v/>
      </c>
      <c r="P354" s="24" t="str">
        <f aca="false">IF(OR(O354="",O354=0),"",(J354+H354)/O354)</f>
        <v/>
      </c>
      <c r="Q354" s="24" t="str">
        <f aca="false">IF(OR(O354="",E354=""),"",MAX(J354+H354-E354*O354,0))</f>
        <v/>
      </c>
      <c r="R354" s="26" t="str">
        <f aca="false">IF(A354="","",IF(COUNTIF(_TradeIds,A354)=0,"违规：交易编号不存在",IF(OR(B354="",B354&lt;1,B354&gt;5,B354&lt;&gt;INT(B354)),"违规：加仓序号须为1到5的整数",IF(COUNTIFS($A$2:$A$1001,A354,$B$2:$B$1001,B354)&gt;1,"违规：同一交易的加仓序号重复",IF(OR(D354="",E354="",F354=""),"计划不完整：请填写加仓价、新止损价和风险预算",IF(OR(D354&lt;=0,E354&lt;=0,F354&lt;=0,D354&lt;=E354),"违规：加仓价必须高于新止损价，金额须大于0",IF(AND(B354&gt;1,COUNTIFS($A$2:$A$1001,A354,$B$2:$B$1001,B354-1,$G$2:$G$1001,"&gt;0")=0),"违规：须先完成上一次加仓",IF(AND(B354&gt;1,E354&lt;SUMIFS($E$2:$E$1001,$A$2:$A$1001,A354,$B$2:$B$1001,B354-1)),"违规：新止损价不得低于上一次",IF(AND(B354&gt;1,F354&gt;SUMIFS($F$2:$F$1001,$A$2:$A$1001,A354,$B$2:$B$1001,B354-1)),"违规：风险预算须逐次不增加",IF(OR(_LockStatus="已锁仓",_LockStatus="解锁信息不完整"),"违规：锁仓期间禁止加仓",IF(G354="","计划可执行：建议股数见N列",IF(OR(G354&lt;=0,G354&lt;&gt;INT(G354),MOD(G354,100)&lt;&gt;0),"违规：实际股数须为100股整数倍",IF(G354&gt;N354,"违规：实际股数超过风险或金字塔上限",IF(AND(B354&gt;1,G354&gt;SUMIFS($G$2:$G$1001,$A$2:$A$1001,A354,$B$2:$B$1001,B354-1)),"违规：加仓股数须逐次不增加",IF(Q354&gt;F354,"违规：止损风险超过本次预算","通过")))))))))))))))</f>
        <v/>
      </c>
    </row>
    <row r="355" customFormat="false" ht="15" hidden="false" customHeight="false" outlineLevel="0" collapsed="false">
      <c r="A355" s="20"/>
      <c r="B355" s="21"/>
      <c r="C355" s="22"/>
      <c r="D355" s="23"/>
      <c r="E355" s="23"/>
      <c r="F355" s="23"/>
      <c r="G355" s="21"/>
      <c r="H355" s="24" t="str">
        <f aca="false">IF(OR(A355="",D355="",G355=""),"",D355*G355)</f>
        <v/>
      </c>
      <c r="I355" s="25" t="str">
        <f aca="false">IF(OR(A355="",B355=""),"",IFERROR(LOOKUP(2,1/(单次交易!$A$2:$A$201=A355),单次交易!$H$2:$H$201),0)+SUMIFS($G$2:$G$1001,$A$2:$A$1001,A355,$B$2:$B$1001,"&lt;"&amp;B355))</f>
        <v/>
      </c>
      <c r="J355" s="24" t="str">
        <f aca="false">IF(OR(A355="",B355=""),"",IFERROR(LOOKUP(2,1/(单次交易!$A$2:$A$201=A355),单次交易!$E$2:$E$201)*LOOKUP(2,1/(单次交易!$A$2:$A$201=A355),单次交易!$H$2:$H$201),0)+SUMIFS($H$2:$H$1001,$A$2:$A$1001,A355,$B$2:$B$1001,"&lt;"&amp;B355))</f>
        <v/>
      </c>
      <c r="K355" s="24" t="str">
        <f aca="false">IF(OR(E355="",I355="",J355=""),"",MAX(E355*I355-J355,0))</f>
        <v/>
      </c>
      <c r="L355" s="25" t="str">
        <f aca="false">IF(OR(D355="",E355="",F355="",D355&lt;=E355),"",FLOOR((F355+K355)/(D355-E355),100))</f>
        <v/>
      </c>
      <c r="M355" s="25" t="str">
        <f aca="false">IF(OR(A355="",B355="",L355=""),"",IF(B355=1,L355,IFERROR(SUMIFS($G$2:$G$1001,$A$2:$A$1001,A355,$B$2:$B$1001,B355-1),0)))</f>
        <v/>
      </c>
      <c r="N355" s="25" t="str">
        <f aca="false">IF(OR(L355="",M355=""),"",MIN(L355,M355))</f>
        <v/>
      </c>
      <c r="O355" s="25" t="str">
        <f aca="false">IF(OR(I355="",G355=""),"",I355+G355)</f>
        <v/>
      </c>
      <c r="P355" s="24" t="str">
        <f aca="false">IF(OR(O355="",O355=0),"",(J355+H355)/O355)</f>
        <v/>
      </c>
      <c r="Q355" s="24" t="str">
        <f aca="false">IF(OR(O355="",E355=""),"",MAX(J355+H355-E355*O355,0))</f>
        <v/>
      </c>
      <c r="R355" s="26" t="str">
        <f aca="false">IF(A355="","",IF(COUNTIF(_TradeIds,A355)=0,"违规：交易编号不存在",IF(OR(B355="",B355&lt;1,B355&gt;5,B355&lt;&gt;INT(B355)),"违规：加仓序号须为1到5的整数",IF(COUNTIFS($A$2:$A$1001,A355,$B$2:$B$1001,B355)&gt;1,"违规：同一交易的加仓序号重复",IF(OR(D355="",E355="",F355=""),"计划不完整：请填写加仓价、新止损价和风险预算",IF(OR(D355&lt;=0,E355&lt;=0,F355&lt;=0,D355&lt;=E355),"违规：加仓价必须高于新止损价，金额须大于0",IF(AND(B355&gt;1,COUNTIFS($A$2:$A$1001,A355,$B$2:$B$1001,B355-1,$G$2:$G$1001,"&gt;0")=0),"违规：须先完成上一次加仓",IF(AND(B355&gt;1,E355&lt;SUMIFS($E$2:$E$1001,$A$2:$A$1001,A355,$B$2:$B$1001,B355-1)),"违规：新止损价不得低于上一次",IF(AND(B355&gt;1,F355&gt;SUMIFS($F$2:$F$1001,$A$2:$A$1001,A355,$B$2:$B$1001,B355-1)),"违规：风险预算须逐次不增加",IF(OR(_LockStatus="已锁仓",_LockStatus="解锁信息不完整"),"违规：锁仓期间禁止加仓",IF(G355="","计划可执行：建议股数见N列",IF(OR(G355&lt;=0,G355&lt;&gt;INT(G355),MOD(G355,100)&lt;&gt;0),"违规：实际股数须为100股整数倍",IF(G355&gt;N355,"违规：实际股数超过风险或金字塔上限",IF(AND(B355&gt;1,G355&gt;SUMIFS($G$2:$G$1001,$A$2:$A$1001,A355,$B$2:$B$1001,B355-1)),"违规：加仓股数须逐次不增加",IF(Q355&gt;F355,"违规：止损风险超过本次预算","通过")))))))))))))))</f>
        <v/>
      </c>
    </row>
    <row r="356" customFormat="false" ht="15" hidden="false" customHeight="false" outlineLevel="0" collapsed="false">
      <c r="A356" s="20"/>
      <c r="B356" s="21"/>
      <c r="C356" s="22"/>
      <c r="D356" s="23"/>
      <c r="E356" s="23"/>
      <c r="F356" s="23"/>
      <c r="G356" s="21"/>
      <c r="H356" s="24" t="str">
        <f aca="false">IF(OR(A356="",D356="",G356=""),"",D356*G356)</f>
        <v/>
      </c>
      <c r="I356" s="25" t="str">
        <f aca="false">IF(OR(A356="",B356=""),"",IFERROR(LOOKUP(2,1/(单次交易!$A$2:$A$201=A356),单次交易!$H$2:$H$201),0)+SUMIFS($G$2:$G$1001,$A$2:$A$1001,A356,$B$2:$B$1001,"&lt;"&amp;B356))</f>
        <v/>
      </c>
      <c r="J356" s="24" t="str">
        <f aca="false">IF(OR(A356="",B356=""),"",IFERROR(LOOKUP(2,1/(单次交易!$A$2:$A$201=A356),单次交易!$E$2:$E$201)*LOOKUP(2,1/(单次交易!$A$2:$A$201=A356),单次交易!$H$2:$H$201),0)+SUMIFS($H$2:$H$1001,$A$2:$A$1001,A356,$B$2:$B$1001,"&lt;"&amp;B356))</f>
        <v/>
      </c>
      <c r="K356" s="24" t="str">
        <f aca="false">IF(OR(E356="",I356="",J356=""),"",MAX(E356*I356-J356,0))</f>
        <v/>
      </c>
      <c r="L356" s="25" t="str">
        <f aca="false">IF(OR(D356="",E356="",F356="",D356&lt;=E356),"",FLOOR((F356+K356)/(D356-E356),100))</f>
        <v/>
      </c>
      <c r="M356" s="25" t="str">
        <f aca="false">IF(OR(A356="",B356="",L356=""),"",IF(B356=1,L356,IFERROR(SUMIFS($G$2:$G$1001,$A$2:$A$1001,A356,$B$2:$B$1001,B356-1),0)))</f>
        <v/>
      </c>
      <c r="N356" s="25" t="str">
        <f aca="false">IF(OR(L356="",M356=""),"",MIN(L356,M356))</f>
        <v/>
      </c>
      <c r="O356" s="25" t="str">
        <f aca="false">IF(OR(I356="",G356=""),"",I356+G356)</f>
        <v/>
      </c>
      <c r="P356" s="24" t="str">
        <f aca="false">IF(OR(O356="",O356=0),"",(J356+H356)/O356)</f>
        <v/>
      </c>
      <c r="Q356" s="24" t="str">
        <f aca="false">IF(OR(O356="",E356=""),"",MAX(J356+H356-E356*O356,0))</f>
        <v/>
      </c>
      <c r="R356" s="26" t="str">
        <f aca="false">IF(A356="","",IF(COUNTIF(_TradeIds,A356)=0,"违规：交易编号不存在",IF(OR(B356="",B356&lt;1,B356&gt;5,B356&lt;&gt;INT(B356)),"违规：加仓序号须为1到5的整数",IF(COUNTIFS($A$2:$A$1001,A356,$B$2:$B$1001,B356)&gt;1,"违规：同一交易的加仓序号重复",IF(OR(D356="",E356="",F356=""),"计划不完整：请填写加仓价、新止损价和风险预算",IF(OR(D356&lt;=0,E356&lt;=0,F356&lt;=0,D356&lt;=E356),"违规：加仓价必须高于新止损价，金额须大于0",IF(AND(B356&gt;1,COUNTIFS($A$2:$A$1001,A356,$B$2:$B$1001,B356-1,$G$2:$G$1001,"&gt;0")=0),"违规：须先完成上一次加仓",IF(AND(B356&gt;1,E356&lt;SUMIFS($E$2:$E$1001,$A$2:$A$1001,A356,$B$2:$B$1001,B356-1)),"违规：新止损价不得低于上一次",IF(AND(B356&gt;1,F356&gt;SUMIFS($F$2:$F$1001,$A$2:$A$1001,A356,$B$2:$B$1001,B356-1)),"违规：风险预算须逐次不增加",IF(OR(_LockStatus="已锁仓",_LockStatus="解锁信息不完整"),"违规：锁仓期间禁止加仓",IF(G356="","计划可执行：建议股数见N列",IF(OR(G356&lt;=0,G356&lt;&gt;INT(G356),MOD(G356,100)&lt;&gt;0),"违规：实际股数须为100股整数倍",IF(G356&gt;N356,"违规：实际股数超过风险或金字塔上限",IF(AND(B356&gt;1,G356&gt;SUMIFS($G$2:$G$1001,$A$2:$A$1001,A356,$B$2:$B$1001,B356-1)),"违规：加仓股数须逐次不增加",IF(Q356&gt;F356,"违规：止损风险超过本次预算","通过")))))))))))))))</f>
        <v/>
      </c>
    </row>
    <row r="357" customFormat="false" ht="15" hidden="false" customHeight="false" outlineLevel="0" collapsed="false">
      <c r="A357" s="20"/>
      <c r="B357" s="21"/>
      <c r="C357" s="22"/>
      <c r="D357" s="23"/>
      <c r="E357" s="23"/>
      <c r="F357" s="23"/>
      <c r="G357" s="21"/>
      <c r="H357" s="24" t="str">
        <f aca="false">IF(OR(A357="",D357="",G357=""),"",D357*G357)</f>
        <v/>
      </c>
      <c r="I357" s="25" t="str">
        <f aca="false">IF(OR(A357="",B357=""),"",IFERROR(LOOKUP(2,1/(单次交易!$A$2:$A$201=A357),单次交易!$H$2:$H$201),0)+SUMIFS($G$2:$G$1001,$A$2:$A$1001,A357,$B$2:$B$1001,"&lt;"&amp;B357))</f>
        <v/>
      </c>
      <c r="J357" s="24" t="str">
        <f aca="false">IF(OR(A357="",B357=""),"",IFERROR(LOOKUP(2,1/(单次交易!$A$2:$A$201=A357),单次交易!$E$2:$E$201)*LOOKUP(2,1/(单次交易!$A$2:$A$201=A357),单次交易!$H$2:$H$201),0)+SUMIFS($H$2:$H$1001,$A$2:$A$1001,A357,$B$2:$B$1001,"&lt;"&amp;B357))</f>
        <v/>
      </c>
      <c r="K357" s="24" t="str">
        <f aca="false">IF(OR(E357="",I357="",J357=""),"",MAX(E357*I357-J357,0))</f>
        <v/>
      </c>
      <c r="L357" s="25" t="str">
        <f aca="false">IF(OR(D357="",E357="",F357="",D357&lt;=E357),"",FLOOR((F357+K357)/(D357-E357),100))</f>
        <v/>
      </c>
      <c r="M357" s="25" t="str">
        <f aca="false">IF(OR(A357="",B357="",L357=""),"",IF(B357=1,L357,IFERROR(SUMIFS($G$2:$G$1001,$A$2:$A$1001,A357,$B$2:$B$1001,B357-1),0)))</f>
        <v/>
      </c>
      <c r="N357" s="25" t="str">
        <f aca="false">IF(OR(L357="",M357=""),"",MIN(L357,M357))</f>
        <v/>
      </c>
      <c r="O357" s="25" t="str">
        <f aca="false">IF(OR(I357="",G357=""),"",I357+G357)</f>
        <v/>
      </c>
      <c r="P357" s="24" t="str">
        <f aca="false">IF(OR(O357="",O357=0),"",(J357+H357)/O357)</f>
        <v/>
      </c>
      <c r="Q357" s="24" t="str">
        <f aca="false">IF(OR(O357="",E357=""),"",MAX(J357+H357-E357*O357,0))</f>
        <v/>
      </c>
      <c r="R357" s="26" t="str">
        <f aca="false">IF(A357="","",IF(COUNTIF(_TradeIds,A357)=0,"违规：交易编号不存在",IF(OR(B357="",B357&lt;1,B357&gt;5,B357&lt;&gt;INT(B357)),"违规：加仓序号须为1到5的整数",IF(COUNTIFS($A$2:$A$1001,A357,$B$2:$B$1001,B357)&gt;1,"违规：同一交易的加仓序号重复",IF(OR(D357="",E357="",F357=""),"计划不完整：请填写加仓价、新止损价和风险预算",IF(OR(D357&lt;=0,E357&lt;=0,F357&lt;=0,D357&lt;=E357),"违规：加仓价必须高于新止损价，金额须大于0",IF(AND(B357&gt;1,COUNTIFS($A$2:$A$1001,A357,$B$2:$B$1001,B357-1,$G$2:$G$1001,"&gt;0")=0),"违规：须先完成上一次加仓",IF(AND(B357&gt;1,E357&lt;SUMIFS($E$2:$E$1001,$A$2:$A$1001,A357,$B$2:$B$1001,B357-1)),"违规：新止损价不得低于上一次",IF(AND(B357&gt;1,F357&gt;SUMIFS($F$2:$F$1001,$A$2:$A$1001,A357,$B$2:$B$1001,B357-1)),"违规：风险预算须逐次不增加",IF(OR(_LockStatus="已锁仓",_LockStatus="解锁信息不完整"),"违规：锁仓期间禁止加仓",IF(G357="","计划可执行：建议股数见N列",IF(OR(G357&lt;=0,G357&lt;&gt;INT(G357),MOD(G357,100)&lt;&gt;0),"违规：实际股数须为100股整数倍",IF(G357&gt;N357,"违规：实际股数超过风险或金字塔上限",IF(AND(B357&gt;1,G357&gt;SUMIFS($G$2:$G$1001,$A$2:$A$1001,A357,$B$2:$B$1001,B357-1)),"违规：加仓股数须逐次不增加",IF(Q357&gt;F357,"违规：止损风险超过本次预算","通过")))))))))))))))</f>
        <v/>
      </c>
    </row>
    <row r="358" customFormat="false" ht="15" hidden="false" customHeight="false" outlineLevel="0" collapsed="false">
      <c r="A358" s="20"/>
      <c r="B358" s="21"/>
      <c r="C358" s="22"/>
      <c r="D358" s="23"/>
      <c r="E358" s="23"/>
      <c r="F358" s="23"/>
      <c r="G358" s="21"/>
      <c r="H358" s="24" t="str">
        <f aca="false">IF(OR(A358="",D358="",G358=""),"",D358*G358)</f>
        <v/>
      </c>
      <c r="I358" s="25" t="str">
        <f aca="false">IF(OR(A358="",B358=""),"",IFERROR(LOOKUP(2,1/(单次交易!$A$2:$A$201=A358),单次交易!$H$2:$H$201),0)+SUMIFS($G$2:$G$1001,$A$2:$A$1001,A358,$B$2:$B$1001,"&lt;"&amp;B358))</f>
        <v/>
      </c>
      <c r="J358" s="24" t="str">
        <f aca="false">IF(OR(A358="",B358=""),"",IFERROR(LOOKUP(2,1/(单次交易!$A$2:$A$201=A358),单次交易!$E$2:$E$201)*LOOKUP(2,1/(单次交易!$A$2:$A$201=A358),单次交易!$H$2:$H$201),0)+SUMIFS($H$2:$H$1001,$A$2:$A$1001,A358,$B$2:$B$1001,"&lt;"&amp;B358))</f>
        <v/>
      </c>
      <c r="K358" s="24" t="str">
        <f aca="false">IF(OR(E358="",I358="",J358=""),"",MAX(E358*I358-J358,0))</f>
        <v/>
      </c>
      <c r="L358" s="25" t="str">
        <f aca="false">IF(OR(D358="",E358="",F358="",D358&lt;=E358),"",FLOOR((F358+K358)/(D358-E358),100))</f>
        <v/>
      </c>
      <c r="M358" s="25" t="str">
        <f aca="false">IF(OR(A358="",B358="",L358=""),"",IF(B358=1,L358,IFERROR(SUMIFS($G$2:$G$1001,$A$2:$A$1001,A358,$B$2:$B$1001,B358-1),0)))</f>
        <v/>
      </c>
      <c r="N358" s="25" t="str">
        <f aca="false">IF(OR(L358="",M358=""),"",MIN(L358,M358))</f>
        <v/>
      </c>
      <c r="O358" s="25" t="str">
        <f aca="false">IF(OR(I358="",G358=""),"",I358+G358)</f>
        <v/>
      </c>
      <c r="P358" s="24" t="str">
        <f aca="false">IF(OR(O358="",O358=0),"",(J358+H358)/O358)</f>
        <v/>
      </c>
      <c r="Q358" s="24" t="str">
        <f aca="false">IF(OR(O358="",E358=""),"",MAX(J358+H358-E358*O358,0))</f>
        <v/>
      </c>
      <c r="R358" s="26" t="str">
        <f aca="false">IF(A358="","",IF(COUNTIF(_TradeIds,A358)=0,"违规：交易编号不存在",IF(OR(B358="",B358&lt;1,B358&gt;5,B358&lt;&gt;INT(B358)),"违规：加仓序号须为1到5的整数",IF(COUNTIFS($A$2:$A$1001,A358,$B$2:$B$1001,B358)&gt;1,"违规：同一交易的加仓序号重复",IF(OR(D358="",E358="",F358=""),"计划不完整：请填写加仓价、新止损价和风险预算",IF(OR(D358&lt;=0,E358&lt;=0,F358&lt;=0,D358&lt;=E358),"违规：加仓价必须高于新止损价，金额须大于0",IF(AND(B358&gt;1,COUNTIFS($A$2:$A$1001,A358,$B$2:$B$1001,B358-1,$G$2:$G$1001,"&gt;0")=0),"违规：须先完成上一次加仓",IF(AND(B358&gt;1,E358&lt;SUMIFS($E$2:$E$1001,$A$2:$A$1001,A358,$B$2:$B$1001,B358-1)),"违规：新止损价不得低于上一次",IF(AND(B358&gt;1,F358&gt;SUMIFS($F$2:$F$1001,$A$2:$A$1001,A358,$B$2:$B$1001,B358-1)),"违规：风险预算须逐次不增加",IF(OR(_LockStatus="已锁仓",_LockStatus="解锁信息不完整"),"违规：锁仓期间禁止加仓",IF(G358="","计划可执行：建议股数见N列",IF(OR(G358&lt;=0,G358&lt;&gt;INT(G358),MOD(G358,100)&lt;&gt;0),"违规：实际股数须为100股整数倍",IF(G358&gt;N358,"违规：实际股数超过风险或金字塔上限",IF(AND(B358&gt;1,G358&gt;SUMIFS($G$2:$G$1001,$A$2:$A$1001,A358,$B$2:$B$1001,B358-1)),"违规：加仓股数须逐次不增加",IF(Q358&gt;F358,"违规：止损风险超过本次预算","通过")))))))))))))))</f>
        <v/>
      </c>
    </row>
    <row r="359" customFormat="false" ht="15" hidden="false" customHeight="false" outlineLevel="0" collapsed="false">
      <c r="A359" s="20"/>
      <c r="B359" s="21"/>
      <c r="C359" s="22"/>
      <c r="D359" s="23"/>
      <c r="E359" s="23"/>
      <c r="F359" s="23"/>
      <c r="G359" s="21"/>
      <c r="H359" s="24" t="str">
        <f aca="false">IF(OR(A359="",D359="",G359=""),"",D359*G359)</f>
        <v/>
      </c>
      <c r="I359" s="25" t="str">
        <f aca="false">IF(OR(A359="",B359=""),"",IFERROR(LOOKUP(2,1/(单次交易!$A$2:$A$201=A359),单次交易!$H$2:$H$201),0)+SUMIFS($G$2:$G$1001,$A$2:$A$1001,A359,$B$2:$B$1001,"&lt;"&amp;B359))</f>
        <v/>
      </c>
      <c r="J359" s="24" t="str">
        <f aca="false">IF(OR(A359="",B359=""),"",IFERROR(LOOKUP(2,1/(单次交易!$A$2:$A$201=A359),单次交易!$E$2:$E$201)*LOOKUP(2,1/(单次交易!$A$2:$A$201=A359),单次交易!$H$2:$H$201),0)+SUMIFS($H$2:$H$1001,$A$2:$A$1001,A359,$B$2:$B$1001,"&lt;"&amp;B359))</f>
        <v/>
      </c>
      <c r="K359" s="24" t="str">
        <f aca="false">IF(OR(E359="",I359="",J359=""),"",MAX(E359*I359-J359,0))</f>
        <v/>
      </c>
      <c r="L359" s="25" t="str">
        <f aca="false">IF(OR(D359="",E359="",F359="",D359&lt;=E359),"",FLOOR((F359+K359)/(D359-E359),100))</f>
        <v/>
      </c>
      <c r="M359" s="25" t="str">
        <f aca="false">IF(OR(A359="",B359="",L359=""),"",IF(B359=1,L359,IFERROR(SUMIFS($G$2:$G$1001,$A$2:$A$1001,A359,$B$2:$B$1001,B359-1),0)))</f>
        <v/>
      </c>
      <c r="N359" s="25" t="str">
        <f aca="false">IF(OR(L359="",M359=""),"",MIN(L359,M359))</f>
        <v/>
      </c>
      <c r="O359" s="25" t="str">
        <f aca="false">IF(OR(I359="",G359=""),"",I359+G359)</f>
        <v/>
      </c>
      <c r="P359" s="24" t="str">
        <f aca="false">IF(OR(O359="",O359=0),"",(J359+H359)/O359)</f>
        <v/>
      </c>
      <c r="Q359" s="24" t="str">
        <f aca="false">IF(OR(O359="",E359=""),"",MAX(J359+H359-E359*O359,0))</f>
        <v/>
      </c>
      <c r="R359" s="26" t="str">
        <f aca="false">IF(A359="","",IF(COUNTIF(_TradeIds,A359)=0,"违规：交易编号不存在",IF(OR(B359="",B359&lt;1,B359&gt;5,B359&lt;&gt;INT(B359)),"违规：加仓序号须为1到5的整数",IF(COUNTIFS($A$2:$A$1001,A359,$B$2:$B$1001,B359)&gt;1,"违规：同一交易的加仓序号重复",IF(OR(D359="",E359="",F359=""),"计划不完整：请填写加仓价、新止损价和风险预算",IF(OR(D359&lt;=0,E359&lt;=0,F359&lt;=0,D359&lt;=E359),"违规：加仓价必须高于新止损价，金额须大于0",IF(AND(B359&gt;1,COUNTIFS($A$2:$A$1001,A359,$B$2:$B$1001,B359-1,$G$2:$G$1001,"&gt;0")=0),"违规：须先完成上一次加仓",IF(AND(B359&gt;1,E359&lt;SUMIFS($E$2:$E$1001,$A$2:$A$1001,A359,$B$2:$B$1001,B359-1)),"违规：新止损价不得低于上一次",IF(AND(B359&gt;1,F359&gt;SUMIFS($F$2:$F$1001,$A$2:$A$1001,A359,$B$2:$B$1001,B359-1)),"违规：风险预算须逐次不增加",IF(OR(_LockStatus="已锁仓",_LockStatus="解锁信息不完整"),"违规：锁仓期间禁止加仓",IF(G359="","计划可执行：建议股数见N列",IF(OR(G359&lt;=0,G359&lt;&gt;INT(G359),MOD(G359,100)&lt;&gt;0),"违规：实际股数须为100股整数倍",IF(G359&gt;N359,"违规：实际股数超过风险或金字塔上限",IF(AND(B359&gt;1,G359&gt;SUMIFS($G$2:$G$1001,$A$2:$A$1001,A359,$B$2:$B$1001,B359-1)),"违规：加仓股数须逐次不增加",IF(Q359&gt;F359,"违规：止损风险超过本次预算","通过")))))))))))))))</f>
        <v/>
      </c>
    </row>
    <row r="360" customFormat="false" ht="15" hidden="false" customHeight="false" outlineLevel="0" collapsed="false">
      <c r="A360" s="20"/>
      <c r="B360" s="21"/>
      <c r="C360" s="22"/>
      <c r="D360" s="23"/>
      <c r="E360" s="23"/>
      <c r="F360" s="23"/>
      <c r="G360" s="21"/>
      <c r="H360" s="24" t="str">
        <f aca="false">IF(OR(A360="",D360="",G360=""),"",D360*G360)</f>
        <v/>
      </c>
      <c r="I360" s="25" t="str">
        <f aca="false">IF(OR(A360="",B360=""),"",IFERROR(LOOKUP(2,1/(单次交易!$A$2:$A$201=A360),单次交易!$H$2:$H$201),0)+SUMIFS($G$2:$G$1001,$A$2:$A$1001,A360,$B$2:$B$1001,"&lt;"&amp;B360))</f>
        <v/>
      </c>
      <c r="J360" s="24" t="str">
        <f aca="false">IF(OR(A360="",B360=""),"",IFERROR(LOOKUP(2,1/(单次交易!$A$2:$A$201=A360),单次交易!$E$2:$E$201)*LOOKUP(2,1/(单次交易!$A$2:$A$201=A360),单次交易!$H$2:$H$201),0)+SUMIFS($H$2:$H$1001,$A$2:$A$1001,A360,$B$2:$B$1001,"&lt;"&amp;B360))</f>
        <v/>
      </c>
      <c r="K360" s="24" t="str">
        <f aca="false">IF(OR(E360="",I360="",J360=""),"",MAX(E360*I360-J360,0))</f>
        <v/>
      </c>
      <c r="L360" s="25" t="str">
        <f aca="false">IF(OR(D360="",E360="",F360="",D360&lt;=E360),"",FLOOR((F360+K360)/(D360-E360),100))</f>
        <v/>
      </c>
      <c r="M360" s="25" t="str">
        <f aca="false">IF(OR(A360="",B360="",L360=""),"",IF(B360=1,L360,IFERROR(SUMIFS($G$2:$G$1001,$A$2:$A$1001,A360,$B$2:$B$1001,B360-1),0)))</f>
        <v/>
      </c>
      <c r="N360" s="25" t="str">
        <f aca="false">IF(OR(L360="",M360=""),"",MIN(L360,M360))</f>
        <v/>
      </c>
      <c r="O360" s="25" t="str">
        <f aca="false">IF(OR(I360="",G360=""),"",I360+G360)</f>
        <v/>
      </c>
      <c r="P360" s="24" t="str">
        <f aca="false">IF(OR(O360="",O360=0),"",(J360+H360)/O360)</f>
        <v/>
      </c>
      <c r="Q360" s="24" t="str">
        <f aca="false">IF(OR(O360="",E360=""),"",MAX(J360+H360-E360*O360,0))</f>
        <v/>
      </c>
      <c r="R360" s="26" t="str">
        <f aca="false">IF(A360="","",IF(COUNTIF(_TradeIds,A360)=0,"违规：交易编号不存在",IF(OR(B360="",B360&lt;1,B360&gt;5,B360&lt;&gt;INT(B360)),"违规：加仓序号须为1到5的整数",IF(COUNTIFS($A$2:$A$1001,A360,$B$2:$B$1001,B360)&gt;1,"违规：同一交易的加仓序号重复",IF(OR(D360="",E360="",F360=""),"计划不完整：请填写加仓价、新止损价和风险预算",IF(OR(D360&lt;=0,E360&lt;=0,F360&lt;=0,D360&lt;=E360),"违规：加仓价必须高于新止损价，金额须大于0",IF(AND(B360&gt;1,COUNTIFS($A$2:$A$1001,A360,$B$2:$B$1001,B360-1,$G$2:$G$1001,"&gt;0")=0),"违规：须先完成上一次加仓",IF(AND(B360&gt;1,E360&lt;SUMIFS($E$2:$E$1001,$A$2:$A$1001,A360,$B$2:$B$1001,B360-1)),"违规：新止损价不得低于上一次",IF(AND(B360&gt;1,F360&gt;SUMIFS($F$2:$F$1001,$A$2:$A$1001,A360,$B$2:$B$1001,B360-1)),"违规：风险预算须逐次不增加",IF(OR(_LockStatus="已锁仓",_LockStatus="解锁信息不完整"),"违规：锁仓期间禁止加仓",IF(G360="","计划可执行：建议股数见N列",IF(OR(G360&lt;=0,G360&lt;&gt;INT(G360),MOD(G360,100)&lt;&gt;0),"违规：实际股数须为100股整数倍",IF(G360&gt;N360,"违规：实际股数超过风险或金字塔上限",IF(AND(B360&gt;1,G360&gt;SUMIFS($G$2:$G$1001,$A$2:$A$1001,A360,$B$2:$B$1001,B360-1)),"违规：加仓股数须逐次不增加",IF(Q360&gt;F360,"违规：止损风险超过本次预算","通过")))))))))))))))</f>
        <v/>
      </c>
    </row>
    <row r="361" customFormat="false" ht="15" hidden="false" customHeight="false" outlineLevel="0" collapsed="false">
      <c r="A361" s="20"/>
      <c r="B361" s="21"/>
      <c r="C361" s="22"/>
      <c r="D361" s="23"/>
      <c r="E361" s="23"/>
      <c r="F361" s="23"/>
      <c r="G361" s="21"/>
      <c r="H361" s="24" t="str">
        <f aca="false">IF(OR(A361="",D361="",G361=""),"",D361*G361)</f>
        <v/>
      </c>
      <c r="I361" s="25" t="str">
        <f aca="false">IF(OR(A361="",B361=""),"",IFERROR(LOOKUP(2,1/(单次交易!$A$2:$A$201=A361),单次交易!$H$2:$H$201),0)+SUMIFS($G$2:$G$1001,$A$2:$A$1001,A361,$B$2:$B$1001,"&lt;"&amp;B361))</f>
        <v/>
      </c>
      <c r="J361" s="24" t="str">
        <f aca="false">IF(OR(A361="",B361=""),"",IFERROR(LOOKUP(2,1/(单次交易!$A$2:$A$201=A361),单次交易!$E$2:$E$201)*LOOKUP(2,1/(单次交易!$A$2:$A$201=A361),单次交易!$H$2:$H$201),0)+SUMIFS($H$2:$H$1001,$A$2:$A$1001,A361,$B$2:$B$1001,"&lt;"&amp;B361))</f>
        <v/>
      </c>
      <c r="K361" s="24" t="str">
        <f aca="false">IF(OR(E361="",I361="",J361=""),"",MAX(E361*I361-J361,0))</f>
        <v/>
      </c>
      <c r="L361" s="25" t="str">
        <f aca="false">IF(OR(D361="",E361="",F361="",D361&lt;=E361),"",FLOOR((F361+K361)/(D361-E361),100))</f>
        <v/>
      </c>
      <c r="M361" s="25" t="str">
        <f aca="false">IF(OR(A361="",B361="",L361=""),"",IF(B361=1,L361,IFERROR(SUMIFS($G$2:$G$1001,$A$2:$A$1001,A361,$B$2:$B$1001,B361-1),0)))</f>
        <v/>
      </c>
      <c r="N361" s="25" t="str">
        <f aca="false">IF(OR(L361="",M361=""),"",MIN(L361,M361))</f>
        <v/>
      </c>
      <c r="O361" s="25" t="str">
        <f aca="false">IF(OR(I361="",G361=""),"",I361+G361)</f>
        <v/>
      </c>
      <c r="P361" s="24" t="str">
        <f aca="false">IF(OR(O361="",O361=0),"",(J361+H361)/O361)</f>
        <v/>
      </c>
      <c r="Q361" s="24" t="str">
        <f aca="false">IF(OR(O361="",E361=""),"",MAX(J361+H361-E361*O361,0))</f>
        <v/>
      </c>
      <c r="R361" s="26" t="str">
        <f aca="false">IF(A361="","",IF(COUNTIF(_TradeIds,A361)=0,"违规：交易编号不存在",IF(OR(B361="",B361&lt;1,B361&gt;5,B361&lt;&gt;INT(B361)),"违规：加仓序号须为1到5的整数",IF(COUNTIFS($A$2:$A$1001,A361,$B$2:$B$1001,B361)&gt;1,"违规：同一交易的加仓序号重复",IF(OR(D361="",E361="",F361=""),"计划不完整：请填写加仓价、新止损价和风险预算",IF(OR(D361&lt;=0,E361&lt;=0,F361&lt;=0,D361&lt;=E361),"违规：加仓价必须高于新止损价，金额须大于0",IF(AND(B361&gt;1,COUNTIFS($A$2:$A$1001,A361,$B$2:$B$1001,B361-1,$G$2:$G$1001,"&gt;0")=0),"违规：须先完成上一次加仓",IF(AND(B361&gt;1,E361&lt;SUMIFS($E$2:$E$1001,$A$2:$A$1001,A361,$B$2:$B$1001,B361-1)),"违规：新止损价不得低于上一次",IF(AND(B361&gt;1,F361&gt;SUMIFS($F$2:$F$1001,$A$2:$A$1001,A361,$B$2:$B$1001,B361-1)),"违规：风险预算须逐次不增加",IF(OR(_LockStatus="已锁仓",_LockStatus="解锁信息不完整"),"违规：锁仓期间禁止加仓",IF(G361="","计划可执行：建议股数见N列",IF(OR(G361&lt;=0,G361&lt;&gt;INT(G361),MOD(G361,100)&lt;&gt;0),"违规：实际股数须为100股整数倍",IF(G361&gt;N361,"违规：实际股数超过风险或金字塔上限",IF(AND(B361&gt;1,G361&gt;SUMIFS($G$2:$G$1001,$A$2:$A$1001,A361,$B$2:$B$1001,B361-1)),"违规：加仓股数须逐次不增加",IF(Q361&gt;F361,"违规：止损风险超过本次预算","通过")))))))))))))))</f>
        <v/>
      </c>
    </row>
    <row r="362" customFormat="false" ht="15" hidden="false" customHeight="false" outlineLevel="0" collapsed="false">
      <c r="A362" s="20"/>
      <c r="B362" s="21"/>
      <c r="C362" s="22"/>
      <c r="D362" s="23"/>
      <c r="E362" s="23"/>
      <c r="F362" s="23"/>
      <c r="G362" s="21"/>
      <c r="H362" s="24" t="str">
        <f aca="false">IF(OR(A362="",D362="",G362=""),"",D362*G362)</f>
        <v/>
      </c>
      <c r="I362" s="25" t="str">
        <f aca="false">IF(OR(A362="",B362=""),"",IFERROR(LOOKUP(2,1/(单次交易!$A$2:$A$201=A362),单次交易!$H$2:$H$201),0)+SUMIFS($G$2:$G$1001,$A$2:$A$1001,A362,$B$2:$B$1001,"&lt;"&amp;B362))</f>
        <v/>
      </c>
      <c r="J362" s="24" t="str">
        <f aca="false">IF(OR(A362="",B362=""),"",IFERROR(LOOKUP(2,1/(单次交易!$A$2:$A$201=A362),单次交易!$E$2:$E$201)*LOOKUP(2,1/(单次交易!$A$2:$A$201=A362),单次交易!$H$2:$H$201),0)+SUMIFS($H$2:$H$1001,$A$2:$A$1001,A362,$B$2:$B$1001,"&lt;"&amp;B362))</f>
        <v/>
      </c>
      <c r="K362" s="24" t="str">
        <f aca="false">IF(OR(E362="",I362="",J362=""),"",MAX(E362*I362-J362,0))</f>
        <v/>
      </c>
      <c r="L362" s="25" t="str">
        <f aca="false">IF(OR(D362="",E362="",F362="",D362&lt;=E362),"",FLOOR((F362+K362)/(D362-E362),100))</f>
        <v/>
      </c>
      <c r="M362" s="25" t="str">
        <f aca="false">IF(OR(A362="",B362="",L362=""),"",IF(B362=1,L362,IFERROR(SUMIFS($G$2:$G$1001,$A$2:$A$1001,A362,$B$2:$B$1001,B362-1),0)))</f>
        <v/>
      </c>
      <c r="N362" s="25" t="str">
        <f aca="false">IF(OR(L362="",M362=""),"",MIN(L362,M362))</f>
        <v/>
      </c>
      <c r="O362" s="25" t="str">
        <f aca="false">IF(OR(I362="",G362=""),"",I362+G362)</f>
        <v/>
      </c>
      <c r="P362" s="24" t="str">
        <f aca="false">IF(OR(O362="",O362=0),"",(J362+H362)/O362)</f>
        <v/>
      </c>
      <c r="Q362" s="24" t="str">
        <f aca="false">IF(OR(O362="",E362=""),"",MAX(J362+H362-E362*O362,0))</f>
        <v/>
      </c>
      <c r="R362" s="26" t="str">
        <f aca="false">IF(A362="","",IF(COUNTIF(_TradeIds,A362)=0,"违规：交易编号不存在",IF(OR(B362="",B362&lt;1,B362&gt;5,B362&lt;&gt;INT(B362)),"违规：加仓序号须为1到5的整数",IF(COUNTIFS($A$2:$A$1001,A362,$B$2:$B$1001,B362)&gt;1,"违规：同一交易的加仓序号重复",IF(OR(D362="",E362="",F362=""),"计划不完整：请填写加仓价、新止损价和风险预算",IF(OR(D362&lt;=0,E362&lt;=0,F362&lt;=0,D362&lt;=E362),"违规：加仓价必须高于新止损价，金额须大于0",IF(AND(B362&gt;1,COUNTIFS($A$2:$A$1001,A362,$B$2:$B$1001,B362-1,$G$2:$G$1001,"&gt;0")=0),"违规：须先完成上一次加仓",IF(AND(B362&gt;1,E362&lt;SUMIFS($E$2:$E$1001,$A$2:$A$1001,A362,$B$2:$B$1001,B362-1)),"违规：新止损价不得低于上一次",IF(AND(B362&gt;1,F362&gt;SUMIFS($F$2:$F$1001,$A$2:$A$1001,A362,$B$2:$B$1001,B362-1)),"违规：风险预算须逐次不增加",IF(OR(_LockStatus="已锁仓",_LockStatus="解锁信息不完整"),"违规：锁仓期间禁止加仓",IF(G362="","计划可执行：建议股数见N列",IF(OR(G362&lt;=0,G362&lt;&gt;INT(G362),MOD(G362,100)&lt;&gt;0),"违规：实际股数须为100股整数倍",IF(G362&gt;N362,"违规：实际股数超过风险或金字塔上限",IF(AND(B362&gt;1,G362&gt;SUMIFS($G$2:$G$1001,$A$2:$A$1001,A362,$B$2:$B$1001,B362-1)),"违规：加仓股数须逐次不增加",IF(Q362&gt;F362,"违规：止损风险超过本次预算","通过")))))))))))))))</f>
        <v/>
      </c>
    </row>
    <row r="363" customFormat="false" ht="15" hidden="false" customHeight="false" outlineLevel="0" collapsed="false">
      <c r="A363" s="20"/>
      <c r="B363" s="21"/>
      <c r="C363" s="22"/>
      <c r="D363" s="23"/>
      <c r="E363" s="23"/>
      <c r="F363" s="23"/>
      <c r="G363" s="21"/>
      <c r="H363" s="24" t="str">
        <f aca="false">IF(OR(A363="",D363="",G363=""),"",D363*G363)</f>
        <v/>
      </c>
      <c r="I363" s="25" t="str">
        <f aca="false">IF(OR(A363="",B363=""),"",IFERROR(LOOKUP(2,1/(单次交易!$A$2:$A$201=A363),单次交易!$H$2:$H$201),0)+SUMIFS($G$2:$G$1001,$A$2:$A$1001,A363,$B$2:$B$1001,"&lt;"&amp;B363))</f>
        <v/>
      </c>
      <c r="J363" s="24" t="str">
        <f aca="false">IF(OR(A363="",B363=""),"",IFERROR(LOOKUP(2,1/(单次交易!$A$2:$A$201=A363),单次交易!$E$2:$E$201)*LOOKUP(2,1/(单次交易!$A$2:$A$201=A363),单次交易!$H$2:$H$201),0)+SUMIFS($H$2:$H$1001,$A$2:$A$1001,A363,$B$2:$B$1001,"&lt;"&amp;B363))</f>
        <v/>
      </c>
      <c r="K363" s="24" t="str">
        <f aca="false">IF(OR(E363="",I363="",J363=""),"",MAX(E363*I363-J363,0))</f>
        <v/>
      </c>
      <c r="L363" s="25" t="str">
        <f aca="false">IF(OR(D363="",E363="",F363="",D363&lt;=E363),"",FLOOR((F363+K363)/(D363-E363),100))</f>
        <v/>
      </c>
      <c r="M363" s="25" t="str">
        <f aca="false">IF(OR(A363="",B363="",L363=""),"",IF(B363=1,L363,IFERROR(SUMIFS($G$2:$G$1001,$A$2:$A$1001,A363,$B$2:$B$1001,B363-1),0)))</f>
        <v/>
      </c>
      <c r="N363" s="25" t="str">
        <f aca="false">IF(OR(L363="",M363=""),"",MIN(L363,M363))</f>
        <v/>
      </c>
      <c r="O363" s="25" t="str">
        <f aca="false">IF(OR(I363="",G363=""),"",I363+G363)</f>
        <v/>
      </c>
      <c r="P363" s="24" t="str">
        <f aca="false">IF(OR(O363="",O363=0),"",(J363+H363)/O363)</f>
        <v/>
      </c>
      <c r="Q363" s="24" t="str">
        <f aca="false">IF(OR(O363="",E363=""),"",MAX(J363+H363-E363*O363,0))</f>
        <v/>
      </c>
      <c r="R363" s="26" t="str">
        <f aca="false">IF(A363="","",IF(COUNTIF(_TradeIds,A363)=0,"违规：交易编号不存在",IF(OR(B363="",B363&lt;1,B363&gt;5,B363&lt;&gt;INT(B363)),"违规：加仓序号须为1到5的整数",IF(COUNTIFS($A$2:$A$1001,A363,$B$2:$B$1001,B363)&gt;1,"违规：同一交易的加仓序号重复",IF(OR(D363="",E363="",F363=""),"计划不完整：请填写加仓价、新止损价和风险预算",IF(OR(D363&lt;=0,E363&lt;=0,F363&lt;=0,D363&lt;=E363),"违规：加仓价必须高于新止损价，金额须大于0",IF(AND(B363&gt;1,COUNTIFS($A$2:$A$1001,A363,$B$2:$B$1001,B363-1,$G$2:$G$1001,"&gt;0")=0),"违规：须先完成上一次加仓",IF(AND(B363&gt;1,E363&lt;SUMIFS($E$2:$E$1001,$A$2:$A$1001,A363,$B$2:$B$1001,B363-1)),"违规：新止损价不得低于上一次",IF(AND(B363&gt;1,F363&gt;SUMIFS($F$2:$F$1001,$A$2:$A$1001,A363,$B$2:$B$1001,B363-1)),"违规：风险预算须逐次不增加",IF(OR(_LockStatus="已锁仓",_LockStatus="解锁信息不完整"),"违规：锁仓期间禁止加仓",IF(G363="","计划可执行：建议股数见N列",IF(OR(G363&lt;=0,G363&lt;&gt;INT(G363),MOD(G363,100)&lt;&gt;0),"违规：实际股数须为100股整数倍",IF(G363&gt;N363,"违规：实际股数超过风险或金字塔上限",IF(AND(B363&gt;1,G363&gt;SUMIFS($G$2:$G$1001,$A$2:$A$1001,A363,$B$2:$B$1001,B363-1)),"违规：加仓股数须逐次不增加",IF(Q363&gt;F363,"违规：止损风险超过本次预算","通过")))))))))))))))</f>
        <v/>
      </c>
    </row>
    <row r="364" customFormat="false" ht="15" hidden="false" customHeight="false" outlineLevel="0" collapsed="false">
      <c r="A364" s="20"/>
      <c r="B364" s="21"/>
      <c r="C364" s="22"/>
      <c r="D364" s="23"/>
      <c r="E364" s="23"/>
      <c r="F364" s="23"/>
      <c r="G364" s="21"/>
      <c r="H364" s="24" t="str">
        <f aca="false">IF(OR(A364="",D364="",G364=""),"",D364*G364)</f>
        <v/>
      </c>
      <c r="I364" s="25" t="str">
        <f aca="false">IF(OR(A364="",B364=""),"",IFERROR(LOOKUP(2,1/(单次交易!$A$2:$A$201=A364),单次交易!$H$2:$H$201),0)+SUMIFS($G$2:$G$1001,$A$2:$A$1001,A364,$B$2:$B$1001,"&lt;"&amp;B364))</f>
        <v/>
      </c>
      <c r="J364" s="24" t="str">
        <f aca="false">IF(OR(A364="",B364=""),"",IFERROR(LOOKUP(2,1/(单次交易!$A$2:$A$201=A364),单次交易!$E$2:$E$201)*LOOKUP(2,1/(单次交易!$A$2:$A$201=A364),单次交易!$H$2:$H$201),0)+SUMIFS($H$2:$H$1001,$A$2:$A$1001,A364,$B$2:$B$1001,"&lt;"&amp;B364))</f>
        <v/>
      </c>
      <c r="K364" s="24" t="str">
        <f aca="false">IF(OR(E364="",I364="",J364=""),"",MAX(E364*I364-J364,0))</f>
        <v/>
      </c>
      <c r="L364" s="25" t="str">
        <f aca="false">IF(OR(D364="",E364="",F364="",D364&lt;=E364),"",FLOOR((F364+K364)/(D364-E364),100))</f>
        <v/>
      </c>
      <c r="M364" s="25" t="str">
        <f aca="false">IF(OR(A364="",B364="",L364=""),"",IF(B364=1,L364,IFERROR(SUMIFS($G$2:$G$1001,$A$2:$A$1001,A364,$B$2:$B$1001,B364-1),0)))</f>
        <v/>
      </c>
      <c r="N364" s="25" t="str">
        <f aca="false">IF(OR(L364="",M364=""),"",MIN(L364,M364))</f>
        <v/>
      </c>
      <c r="O364" s="25" t="str">
        <f aca="false">IF(OR(I364="",G364=""),"",I364+G364)</f>
        <v/>
      </c>
      <c r="P364" s="24" t="str">
        <f aca="false">IF(OR(O364="",O364=0),"",(J364+H364)/O364)</f>
        <v/>
      </c>
      <c r="Q364" s="24" t="str">
        <f aca="false">IF(OR(O364="",E364=""),"",MAX(J364+H364-E364*O364,0))</f>
        <v/>
      </c>
      <c r="R364" s="26" t="str">
        <f aca="false">IF(A364="","",IF(COUNTIF(_TradeIds,A364)=0,"违规：交易编号不存在",IF(OR(B364="",B364&lt;1,B364&gt;5,B364&lt;&gt;INT(B364)),"违规：加仓序号须为1到5的整数",IF(COUNTIFS($A$2:$A$1001,A364,$B$2:$B$1001,B364)&gt;1,"违规：同一交易的加仓序号重复",IF(OR(D364="",E364="",F364=""),"计划不完整：请填写加仓价、新止损价和风险预算",IF(OR(D364&lt;=0,E364&lt;=0,F364&lt;=0,D364&lt;=E364),"违规：加仓价必须高于新止损价，金额须大于0",IF(AND(B364&gt;1,COUNTIFS($A$2:$A$1001,A364,$B$2:$B$1001,B364-1,$G$2:$G$1001,"&gt;0")=0),"违规：须先完成上一次加仓",IF(AND(B364&gt;1,E364&lt;SUMIFS($E$2:$E$1001,$A$2:$A$1001,A364,$B$2:$B$1001,B364-1)),"违规：新止损价不得低于上一次",IF(AND(B364&gt;1,F364&gt;SUMIFS($F$2:$F$1001,$A$2:$A$1001,A364,$B$2:$B$1001,B364-1)),"违规：风险预算须逐次不增加",IF(OR(_LockStatus="已锁仓",_LockStatus="解锁信息不完整"),"违规：锁仓期间禁止加仓",IF(G364="","计划可执行：建议股数见N列",IF(OR(G364&lt;=0,G364&lt;&gt;INT(G364),MOD(G364,100)&lt;&gt;0),"违规：实际股数须为100股整数倍",IF(G364&gt;N364,"违规：实际股数超过风险或金字塔上限",IF(AND(B364&gt;1,G364&gt;SUMIFS($G$2:$G$1001,$A$2:$A$1001,A364,$B$2:$B$1001,B364-1)),"违规：加仓股数须逐次不增加",IF(Q364&gt;F364,"违规：止损风险超过本次预算","通过")))))))))))))))</f>
        <v/>
      </c>
    </row>
    <row r="365" customFormat="false" ht="15" hidden="false" customHeight="false" outlineLevel="0" collapsed="false">
      <c r="A365" s="20"/>
      <c r="B365" s="21"/>
      <c r="C365" s="22"/>
      <c r="D365" s="23"/>
      <c r="E365" s="23"/>
      <c r="F365" s="23"/>
      <c r="G365" s="21"/>
      <c r="H365" s="24" t="str">
        <f aca="false">IF(OR(A365="",D365="",G365=""),"",D365*G365)</f>
        <v/>
      </c>
      <c r="I365" s="25" t="str">
        <f aca="false">IF(OR(A365="",B365=""),"",IFERROR(LOOKUP(2,1/(单次交易!$A$2:$A$201=A365),单次交易!$H$2:$H$201),0)+SUMIFS($G$2:$G$1001,$A$2:$A$1001,A365,$B$2:$B$1001,"&lt;"&amp;B365))</f>
        <v/>
      </c>
      <c r="J365" s="24" t="str">
        <f aca="false">IF(OR(A365="",B365=""),"",IFERROR(LOOKUP(2,1/(单次交易!$A$2:$A$201=A365),单次交易!$E$2:$E$201)*LOOKUP(2,1/(单次交易!$A$2:$A$201=A365),单次交易!$H$2:$H$201),0)+SUMIFS($H$2:$H$1001,$A$2:$A$1001,A365,$B$2:$B$1001,"&lt;"&amp;B365))</f>
        <v/>
      </c>
      <c r="K365" s="24" t="str">
        <f aca="false">IF(OR(E365="",I365="",J365=""),"",MAX(E365*I365-J365,0))</f>
        <v/>
      </c>
      <c r="L365" s="25" t="str">
        <f aca="false">IF(OR(D365="",E365="",F365="",D365&lt;=E365),"",FLOOR((F365+K365)/(D365-E365),100))</f>
        <v/>
      </c>
      <c r="M365" s="25" t="str">
        <f aca="false">IF(OR(A365="",B365="",L365=""),"",IF(B365=1,L365,IFERROR(SUMIFS($G$2:$G$1001,$A$2:$A$1001,A365,$B$2:$B$1001,B365-1),0)))</f>
        <v/>
      </c>
      <c r="N365" s="25" t="str">
        <f aca="false">IF(OR(L365="",M365=""),"",MIN(L365,M365))</f>
        <v/>
      </c>
      <c r="O365" s="25" t="str">
        <f aca="false">IF(OR(I365="",G365=""),"",I365+G365)</f>
        <v/>
      </c>
      <c r="P365" s="24" t="str">
        <f aca="false">IF(OR(O365="",O365=0),"",(J365+H365)/O365)</f>
        <v/>
      </c>
      <c r="Q365" s="24" t="str">
        <f aca="false">IF(OR(O365="",E365=""),"",MAX(J365+H365-E365*O365,0))</f>
        <v/>
      </c>
      <c r="R365" s="26" t="str">
        <f aca="false">IF(A365="","",IF(COUNTIF(_TradeIds,A365)=0,"违规：交易编号不存在",IF(OR(B365="",B365&lt;1,B365&gt;5,B365&lt;&gt;INT(B365)),"违规：加仓序号须为1到5的整数",IF(COUNTIFS($A$2:$A$1001,A365,$B$2:$B$1001,B365)&gt;1,"违规：同一交易的加仓序号重复",IF(OR(D365="",E365="",F365=""),"计划不完整：请填写加仓价、新止损价和风险预算",IF(OR(D365&lt;=0,E365&lt;=0,F365&lt;=0,D365&lt;=E365),"违规：加仓价必须高于新止损价，金额须大于0",IF(AND(B365&gt;1,COUNTIFS($A$2:$A$1001,A365,$B$2:$B$1001,B365-1,$G$2:$G$1001,"&gt;0")=0),"违规：须先完成上一次加仓",IF(AND(B365&gt;1,E365&lt;SUMIFS($E$2:$E$1001,$A$2:$A$1001,A365,$B$2:$B$1001,B365-1)),"违规：新止损价不得低于上一次",IF(AND(B365&gt;1,F365&gt;SUMIFS($F$2:$F$1001,$A$2:$A$1001,A365,$B$2:$B$1001,B365-1)),"违规：风险预算须逐次不增加",IF(OR(_LockStatus="已锁仓",_LockStatus="解锁信息不完整"),"违规：锁仓期间禁止加仓",IF(G365="","计划可执行：建议股数见N列",IF(OR(G365&lt;=0,G365&lt;&gt;INT(G365),MOD(G365,100)&lt;&gt;0),"违规：实际股数须为100股整数倍",IF(G365&gt;N365,"违规：实际股数超过风险或金字塔上限",IF(AND(B365&gt;1,G365&gt;SUMIFS($G$2:$G$1001,$A$2:$A$1001,A365,$B$2:$B$1001,B365-1)),"违规：加仓股数须逐次不增加",IF(Q365&gt;F365,"违规：止损风险超过本次预算","通过")))))))))))))))</f>
        <v/>
      </c>
    </row>
    <row r="366" customFormat="false" ht="15" hidden="false" customHeight="false" outlineLevel="0" collapsed="false">
      <c r="A366" s="20"/>
      <c r="B366" s="21"/>
      <c r="C366" s="22"/>
      <c r="D366" s="23"/>
      <c r="E366" s="23"/>
      <c r="F366" s="23"/>
      <c r="G366" s="21"/>
      <c r="H366" s="24" t="str">
        <f aca="false">IF(OR(A366="",D366="",G366=""),"",D366*G366)</f>
        <v/>
      </c>
      <c r="I366" s="25" t="str">
        <f aca="false">IF(OR(A366="",B366=""),"",IFERROR(LOOKUP(2,1/(单次交易!$A$2:$A$201=A366),单次交易!$H$2:$H$201),0)+SUMIFS($G$2:$G$1001,$A$2:$A$1001,A366,$B$2:$B$1001,"&lt;"&amp;B366))</f>
        <v/>
      </c>
      <c r="J366" s="24" t="str">
        <f aca="false">IF(OR(A366="",B366=""),"",IFERROR(LOOKUP(2,1/(单次交易!$A$2:$A$201=A366),单次交易!$E$2:$E$201)*LOOKUP(2,1/(单次交易!$A$2:$A$201=A366),单次交易!$H$2:$H$201),0)+SUMIFS($H$2:$H$1001,$A$2:$A$1001,A366,$B$2:$B$1001,"&lt;"&amp;B366))</f>
        <v/>
      </c>
      <c r="K366" s="24" t="str">
        <f aca="false">IF(OR(E366="",I366="",J366=""),"",MAX(E366*I366-J366,0))</f>
        <v/>
      </c>
      <c r="L366" s="25" t="str">
        <f aca="false">IF(OR(D366="",E366="",F366="",D366&lt;=E366),"",FLOOR((F366+K366)/(D366-E366),100))</f>
        <v/>
      </c>
      <c r="M366" s="25" t="str">
        <f aca="false">IF(OR(A366="",B366="",L366=""),"",IF(B366=1,L366,IFERROR(SUMIFS($G$2:$G$1001,$A$2:$A$1001,A366,$B$2:$B$1001,B366-1),0)))</f>
        <v/>
      </c>
      <c r="N366" s="25" t="str">
        <f aca="false">IF(OR(L366="",M366=""),"",MIN(L366,M366))</f>
        <v/>
      </c>
      <c r="O366" s="25" t="str">
        <f aca="false">IF(OR(I366="",G366=""),"",I366+G366)</f>
        <v/>
      </c>
      <c r="P366" s="24" t="str">
        <f aca="false">IF(OR(O366="",O366=0),"",(J366+H366)/O366)</f>
        <v/>
      </c>
      <c r="Q366" s="24" t="str">
        <f aca="false">IF(OR(O366="",E366=""),"",MAX(J366+H366-E366*O366,0))</f>
        <v/>
      </c>
      <c r="R366" s="26" t="str">
        <f aca="false">IF(A366="","",IF(COUNTIF(_TradeIds,A366)=0,"违规：交易编号不存在",IF(OR(B366="",B366&lt;1,B366&gt;5,B366&lt;&gt;INT(B366)),"违规：加仓序号须为1到5的整数",IF(COUNTIFS($A$2:$A$1001,A366,$B$2:$B$1001,B366)&gt;1,"违规：同一交易的加仓序号重复",IF(OR(D366="",E366="",F366=""),"计划不完整：请填写加仓价、新止损价和风险预算",IF(OR(D366&lt;=0,E366&lt;=0,F366&lt;=0,D366&lt;=E366),"违规：加仓价必须高于新止损价，金额须大于0",IF(AND(B366&gt;1,COUNTIFS($A$2:$A$1001,A366,$B$2:$B$1001,B366-1,$G$2:$G$1001,"&gt;0")=0),"违规：须先完成上一次加仓",IF(AND(B366&gt;1,E366&lt;SUMIFS($E$2:$E$1001,$A$2:$A$1001,A366,$B$2:$B$1001,B366-1)),"违规：新止损价不得低于上一次",IF(AND(B366&gt;1,F366&gt;SUMIFS($F$2:$F$1001,$A$2:$A$1001,A366,$B$2:$B$1001,B366-1)),"违规：风险预算须逐次不增加",IF(OR(_LockStatus="已锁仓",_LockStatus="解锁信息不完整"),"违规：锁仓期间禁止加仓",IF(G366="","计划可执行：建议股数见N列",IF(OR(G366&lt;=0,G366&lt;&gt;INT(G366),MOD(G366,100)&lt;&gt;0),"违规：实际股数须为100股整数倍",IF(G366&gt;N366,"违规：实际股数超过风险或金字塔上限",IF(AND(B366&gt;1,G366&gt;SUMIFS($G$2:$G$1001,$A$2:$A$1001,A366,$B$2:$B$1001,B366-1)),"违规：加仓股数须逐次不增加",IF(Q366&gt;F366,"违规：止损风险超过本次预算","通过")))))))))))))))</f>
        <v/>
      </c>
    </row>
    <row r="367" customFormat="false" ht="15" hidden="false" customHeight="false" outlineLevel="0" collapsed="false">
      <c r="A367" s="20"/>
      <c r="B367" s="21"/>
      <c r="C367" s="22"/>
      <c r="D367" s="23"/>
      <c r="E367" s="23"/>
      <c r="F367" s="23"/>
      <c r="G367" s="21"/>
      <c r="H367" s="24" t="str">
        <f aca="false">IF(OR(A367="",D367="",G367=""),"",D367*G367)</f>
        <v/>
      </c>
      <c r="I367" s="25" t="str">
        <f aca="false">IF(OR(A367="",B367=""),"",IFERROR(LOOKUP(2,1/(单次交易!$A$2:$A$201=A367),单次交易!$H$2:$H$201),0)+SUMIFS($G$2:$G$1001,$A$2:$A$1001,A367,$B$2:$B$1001,"&lt;"&amp;B367))</f>
        <v/>
      </c>
      <c r="J367" s="24" t="str">
        <f aca="false">IF(OR(A367="",B367=""),"",IFERROR(LOOKUP(2,1/(单次交易!$A$2:$A$201=A367),单次交易!$E$2:$E$201)*LOOKUP(2,1/(单次交易!$A$2:$A$201=A367),单次交易!$H$2:$H$201),0)+SUMIFS($H$2:$H$1001,$A$2:$A$1001,A367,$B$2:$B$1001,"&lt;"&amp;B367))</f>
        <v/>
      </c>
      <c r="K367" s="24" t="str">
        <f aca="false">IF(OR(E367="",I367="",J367=""),"",MAX(E367*I367-J367,0))</f>
        <v/>
      </c>
      <c r="L367" s="25" t="str">
        <f aca="false">IF(OR(D367="",E367="",F367="",D367&lt;=E367),"",FLOOR((F367+K367)/(D367-E367),100))</f>
        <v/>
      </c>
      <c r="M367" s="25" t="str">
        <f aca="false">IF(OR(A367="",B367="",L367=""),"",IF(B367=1,L367,IFERROR(SUMIFS($G$2:$G$1001,$A$2:$A$1001,A367,$B$2:$B$1001,B367-1),0)))</f>
        <v/>
      </c>
      <c r="N367" s="25" t="str">
        <f aca="false">IF(OR(L367="",M367=""),"",MIN(L367,M367))</f>
        <v/>
      </c>
      <c r="O367" s="25" t="str">
        <f aca="false">IF(OR(I367="",G367=""),"",I367+G367)</f>
        <v/>
      </c>
      <c r="P367" s="24" t="str">
        <f aca="false">IF(OR(O367="",O367=0),"",(J367+H367)/O367)</f>
        <v/>
      </c>
      <c r="Q367" s="24" t="str">
        <f aca="false">IF(OR(O367="",E367=""),"",MAX(J367+H367-E367*O367,0))</f>
        <v/>
      </c>
      <c r="R367" s="26" t="str">
        <f aca="false">IF(A367="","",IF(COUNTIF(_TradeIds,A367)=0,"违规：交易编号不存在",IF(OR(B367="",B367&lt;1,B367&gt;5,B367&lt;&gt;INT(B367)),"违规：加仓序号须为1到5的整数",IF(COUNTIFS($A$2:$A$1001,A367,$B$2:$B$1001,B367)&gt;1,"违规：同一交易的加仓序号重复",IF(OR(D367="",E367="",F367=""),"计划不完整：请填写加仓价、新止损价和风险预算",IF(OR(D367&lt;=0,E367&lt;=0,F367&lt;=0,D367&lt;=E367),"违规：加仓价必须高于新止损价，金额须大于0",IF(AND(B367&gt;1,COUNTIFS($A$2:$A$1001,A367,$B$2:$B$1001,B367-1,$G$2:$G$1001,"&gt;0")=0),"违规：须先完成上一次加仓",IF(AND(B367&gt;1,E367&lt;SUMIFS($E$2:$E$1001,$A$2:$A$1001,A367,$B$2:$B$1001,B367-1)),"违规：新止损价不得低于上一次",IF(AND(B367&gt;1,F367&gt;SUMIFS($F$2:$F$1001,$A$2:$A$1001,A367,$B$2:$B$1001,B367-1)),"违规：风险预算须逐次不增加",IF(OR(_LockStatus="已锁仓",_LockStatus="解锁信息不完整"),"违规：锁仓期间禁止加仓",IF(G367="","计划可执行：建议股数见N列",IF(OR(G367&lt;=0,G367&lt;&gt;INT(G367),MOD(G367,100)&lt;&gt;0),"违规：实际股数须为100股整数倍",IF(G367&gt;N367,"违规：实际股数超过风险或金字塔上限",IF(AND(B367&gt;1,G367&gt;SUMIFS($G$2:$G$1001,$A$2:$A$1001,A367,$B$2:$B$1001,B367-1)),"违规：加仓股数须逐次不增加",IF(Q367&gt;F367,"违规：止损风险超过本次预算","通过")))))))))))))))</f>
        <v/>
      </c>
    </row>
    <row r="368" customFormat="false" ht="15" hidden="false" customHeight="false" outlineLevel="0" collapsed="false">
      <c r="A368" s="20"/>
      <c r="B368" s="21"/>
      <c r="C368" s="22"/>
      <c r="D368" s="23"/>
      <c r="E368" s="23"/>
      <c r="F368" s="23"/>
      <c r="G368" s="21"/>
      <c r="H368" s="24" t="str">
        <f aca="false">IF(OR(A368="",D368="",G368=""),"",D368*G368)</f>
        <v/>
      </c>
      <c r="I368" s="25" t="str">
        <f aca="false">IF(OR(A368="",B368=""),"",IFERROR(LOOKUP(2,1/(单次交易!$A$2:$A$201=A368),单次交易!$H$2:$H$201),0)+SUMIFS($G$2:$G$1001,$A$2:$A$1001,A368,$B$2:$B$1001,"&lt;"&amp;B368))</f>
        <v/>
      </c>
      <c r="J368" s="24" t="str">
        <f aca="false">IF(OR(A368="",B368=""),"",IFERROR(LOOKUP(2,1/(单次交易!$A$2:$A$201=A368),单次交易!$E$2:$E$201)*LOOKUP(2,1/(单次交易!$A$2:$A$201=A368),单次交易!$H$2:$H$201),0)+SUMIFS($H$2:$H$1001,$A$2:$A$1001,A368,$B$2:$B$1001,"&lt;"&amp;B368))</f>
        <v/>
      </c>
      <c r="K368" s="24" t="str">
        <f aca="false">IF(OR(E368="",I368="",J368=""),"",MAX(E368*I368-J368,0))</f>
        <v/>
      </c>
      <c r="L368" s="25" t="str">
        <f aca="false">IF(OR(D368="",E368="",F368="",D368&lt;=E368),"",FLOOR((F368+K368)/(D368-E368),100))</f>
        <v/>
      </c>
      <c r="M368" s="25" t="str">
        <f aca="false">IF(OR(A368="",B368="",L368=""),"",IF(B368=1,L368,IFERROR(SUMIFS($G$2:$G$1001,$A$2:$A$1001,A368,$B$2:$B$1001,B368-1),0)))</f>
        <v/>
      </c>
      <c r="N368" s="25" t="str">
        <f aca="false">IF(OR(L368="",M368=""),"",MIN(L368,M368))</f>
        <v/>
      </c>
      <c r="O368" s="25" t="str">
        <f aca="false">IF(OR(I368="",G368=""),"",I368+G368)</f>
        <v/>
      </c>
      <c r="P368" s="24" t="str">
        <f aca="false">IF(OR(O368="",O368=0),"",(J368+H368)/O368)</f>
        <v/>
      </c>
      <c r="Q368" s="24" t="str">
        <f aca="false">IF(OR(O368="",E368=""),"",MAX(J368+H368-E368*O368,0))</f>
        <v/>
      </c>
      <c r="R368" s="26" t="str">
        <f aca="false">IF(A368="","",IF(COUNTIF(_TradeIds,A368)=0,"违规：交易编号不存在",IF(OR(B368="",B368&lt;1,B368&gt;5,B368&lt;&gt;INT(B368)),"违规：加仓序号须为1到5的整数",IF(COUNTIFS($A$2:$A$1001,A368,$B$2:$B$1001,B368)&gt;1,"违规：同一交易的加仓序号重复",IF(OR(D368="",E368="",F368=""),"计划不完整：请填写加仓价、新止损价和风险预算",IF(OR(D368&lt;=0,E368&lt;=0,F368&lt;=0,D368&lt;=E368),"违规：加仓价必须高于新止损价，金额须大于0",IF(AND(B368&gt;1,COUNTIFS($A$2:$A$1001,A368,$B$2:$B$1001,B368-1,$G$2:$G$1001,"&gt;0")=0),"违规：须先完成上一次加仓",IF(AND(B368&gt;1,E368&lt;SUMIFS($E$2:$E$1001,$A$2:$A$1001,A368,$B$2:$B$1001,B368-1)),"违规：新止损价不得低于上一次",IF(AND(B368&gt;1,F368&gt;SUMIFS($F$2:$F$1001,$A$2:$A$1001,A368,$B$2:$B$1001,B368-1)),"违规：风险预算须逐次不增加",IF(OR(_LockStatus="已锁仓",_LockStatus="解锁信息不完整"),"违规：锁仓期间禁止加仓",IF(G368="","计划可执行：建议股数见N列",IF(OR(G368&lt;=0,G368&lt;&gt;INT(G368),MOD(G368,100)&lt;&gt;0),"违规：实际股数须为100股整数倍",IF(G368&gt;N368,"违规：实际股数超过风险或金字塔上限",IF(AND(B368&gt;1,G368&gt;SUMIFS($G$2:$G$1001,$A$2:$A$1001,A368,$B$2:$B$1001,B368-1)),"违规：加仓股数须逐次不增加",IF(Q368&gt;F368,"违规：止损风险超过本次预算","通过")))))))))))))))</f>
        <v/>
      </c>
    </row>
    <row r="369" customFormat="false" ht="15" hidden="false" customHeight="false" outlineLevel="0" collapsed="false">
      <c r="A369" s="20"/>
      <c r="B369" s="21"/>
      <c r="C369" s="22"/>
      <c r="D369" s="23"/>
      <c r="E369" s="23"/>
      <c r="F369" s="23"/>
      <c r="G369" s="21"/>
      <c r="H369" s="24" t="str">
        <f aca="false">IF(OR(A369="",D369="",G369=""),"",D369*G369)</f>
        <v/>
      </c>
      <c r="I369" s="25" t="str">
        <f aca="false">IF(OR(A369="",B369=""),"",IFERROR(LOOKUP(2,1/(单次交易!$A$2:$A$201=A369),单次交易!$H$2:$H$201),0)+SUMIFS($G$2:$G$1001,$A$2:$A$1001,A369,$B$2:$B$1001,"&lt;"&amp;B369))</f>
        <v/>
      </c>
      <c r="J369" s="24" t="str">
        <f aca="false">IF(OR(A369="",B369=""),"",IFERROR(LOOKUP(2,1/(单次交易!$A$2:$A$201=A369),单次交易!$E$2:$E$201)*LOOKUP(2,1/(单次交易!$A$2:$A$201=A369),单次交易!$H$2:$H$201),0)+SUMIFS($H$2:$H$1001,$A$2:$A$1001,A369,$B$2:$B$1001,"&lt;"&amp;B369))</f>
        <v/>
      </c>
      <c r="K369" s="24" t="str">
        <f aca="false">IF(OR(E369="",I369="",J369=""),"",MAX(E369*I369-J369,0))</f>
        <v/>
      </c>
      <c r="L369" s="25" t="str">
        <f aca="false">IF(OR(D369="",E369="",F369="",D369&lt;=E369),"",FLOOR((F369+K369)/(D369-E369),100))</f>
        <v/>
      </c>
      <c r="M369" s="25" t="str">
        <f aca="false">IF(OR(A369="",B369="",L369=""),"",IF(B369=1,L369,IFERROR(SUMIFS($G$2:$G$1001,$A$2:$A$1001,A369,$B$2:$B$1001,B369-1),0)))</f>
        <v/>
      </c>
      <c r="N369" s="25" t="str">
        <f aca="false">IF(OR(L369="",M369=""),"",MIN(L369,M369))</f>
        <v/>
      </c>
      <c r="O369" s="25" t="str">
        <f aca="false">IF(OR(I369="",G369=""),"",I369+G369)</f>
        <v/>
      </c>
      <c r="P369" s="24" t="str">
        <f aca="false">IF(OR(O369="",O369=0),"",(J369+H369)/O369)</f>
        <v/>
      </c>
      <c r="Q369" s="24" t="str">
        <f aca="false">IF(OR(O369="",E369=""),"",MAX(J369+H369-E369*O369,0))</f>
        <v/>
      </c>
      <c r="R369" s="26" t="str">
        <f aca="false">IF(A369="","",IF(COUNTIF(_TradeIds,A369)=0,"违规：交易编号不存在",IF(OR(B369="",B369&lt;1,B369&gt;5,B369&lt;&gt;INT(B369)),"违规：加仓序号须为1到5的整数",IF(COUNTIFS($A$2:$A$1001,A369,$B$2:$B$1001,B369)&gt;1,"违规：同一交易的加仓序号重复",IF(OR(D369="",E369="",F369=""),"计划不完整：请填写加仓价、新止损价和风险预算",IF(OR(D369&lt;=0,E369&lt;=0,F369&lt;=0,D369&lt;=E369),"违规：加仓价必须高于新止损价，金额须大于0",IF(AND(B369&gt;1,COUNTIFS($A$2:$A$1001,A369,$B$2:$B$1001,B369-1,$G$2:$G$1001,"&gt;0")=0),"违规：须先完成上一次加仓",IF(AND(B369&gt;1,E369&lt;SUMIFS($E$2:$E$1001,$A$2:$A$1001,A369,$B$2:$B$1001,B369-1)),"违规：新止损价不得低于上一次",IF(AND(B369&gt;1,F369&gt;SUMIFS($F$2:$F$1001,$A$2:$A$1001,A369,$B$2:$B$1001,B369-1)),"违规：风险预算须逐次不增加",IF(OR(_LockStatus="已锁仓",_LockStatus="解锁信息不完整"),"违规：锁仓期间禁止加仓",IF(G369="","计划可执行：建议股数见N列",IF(OR(G369&lt;=0,G369&lt;&gt;INT(G369),MOD(G369,100)&lt;&gt;0),"违规：实际股数须为100股整数倍",IF(G369&gt;N369,"违规：实际股数超过风险或金字塔上限",IF(AND(B369&gt;1,G369&gt;SUMIFS($G$2:$G$1001,$A$2:$A$1001,A369,$B$2:$B$1001,B369-1)),"违规：加仓股数须逐次不增加",IF(Q369&gt;F369,"违规：止损风险超过本次预算","通过")))))))))))))))</f>
        <v/>
      </c>
    </row>
    <row r="370" customFormat="false" ht="15" hidden="false" customHeight="false" outlineLevel="0" collapsed="false">
      <c r="A370" s="20"/>
      <c r="B370" s="21"/>
      <c r="C370" s="22"/>
      <c r="D370" s="23"/>
      <c r="E370" s="23"/>
      <c r="F370" s="23"/>
      <c r="G370" s="21"/>
      <c r="H370" s="24" t="str">
        <f aca="false">IF(OR(A370="",D370="",G370=""),"",D370*G370)</f>
        <v/>
      </c>
      <c r="I370" s="25" t="str">
        <f aca="false">IF(OR(A370="",B370=""),"",IFERROR(LOOKUP(2,1/(单次交易!$A$2:$A$201=A370),单次交易!$H$2:$H$201),0)+SUMIFS($G$2:$G$1001,$A$2:$A$1001,A370,$B$2:$B$1001,"&lt;"&amp;B370))</f>
        <v/>
      </c>
      <c r="J370" s="24" t="str">
        <f aca="false">IF(OR(A370="",B370=""),"",IFERROR(LOOKUP(2,1/(单次交易!$A$2:$A$201=A370),单次交易!$E$2:$E$201)*LOOKUP(2,1/(单次交易!$A$2:$A$201=A370),单次交易!$H$2:$H$201),0)+SUMIFS($H$2:$H$1001,$A$2:$A$1001,A370,$B$2:$B$1001,"&lt;"&amp;B370))</f>
        <v/>
      </c>
      <c r="K370" s="24" t="str">
        <f aca="false">IF(OR(E370="",I370="",J370=""),"",MAX(E370*I370-J370,0))</f>
        <v/>
      </c>
      <c r="L370" s="25" t="str">
        <f aca="false">IF(OR(D370="",E370="",F370="",D370&lt;=E370),"",FLOOR((F370+K370)/(D370-E370),100))</f>
        <v/>
      </c>
      <c r="M370" s="25" t="str">
        <f aca="false">IF(OR(A370="",B370="",L370=""),"",IF(B370=1,L370,IFERROR(SUMIFS($G$2:$G$1001,$A$2:$A$1001,A370,$B$2:$B$1001,B370-1),0)))</f>
        <v/>
      </c>
      <c r="N370" s="25" t="str">
        <f aca="false">IF(OR(L370="",M370=""),"",MIN(L370,M370))</f>
        <v/>
      </c>
      <c r="O370" s="25" t="str">
        <f aca="false">IF(OR(I370="",G370=""),"",I370+G370)</f>
        <v/>
      </c>
      <c r="P370" s="24" t="str">
        <f aca="false">IF(OR(O370="",O370=0),"",(J370+H370)/O370)</f>
        <v/>
      </c>
      <c r="Q370" s="24" t="str">
        <f aca="false">IF(OR(O370="",E370=""),"",MAX(J370+H370-E370*O370,0))</f>
        <v/>
      </c>
      <c r="R370" s="26" t="str">
        <f aca="false">IF(A370="","",IF(COUNTIF(_TradeIds,A370)=0,"违规：交易编号不存在",IF(OR(B370="",B370&lt;1,B370&gt;5,B370&lt;&gt;INT(B370)),"违规：加仓序号须为1到5的整数",IF(COUNTIFS($A$2:$A$1001,A370,$B$2:$B$1001,B370)&gt;1,"违规：同一交易的加仓序号重复",IF(OR(D370="",E370="",F370=""),"计划不完整：请填写加仓价、新止损价和风险预算",IF(OR(D370&lt;=0,E370&lt;=0,F370&lt;=0,D370&lt;=E370),"违规：加仓价必须高于新止损价，金额须大于0",IF(AND(B370&gt;1,COUNTIFS($A$2:$A$1001,A370,$B$2:$B$1001,B370-1,$G$2:$G$1001,"&gt;0")=0),"违规：须先完成上一次加仓",IF(AND(B370&gt;1,E370&lt;SUMIFS($E$2:$E$1001,$A$2:$A$1001,A370,$B$2:$B$1001,B370-1)),"违规：新止损价不得低于上一次",IF(AND(B370&gt;1,F370&gt;SUMIFS($F$2:$F$1001,$A$2:$A$1001,A370,$B$2:$B$1001,B370-1)),"违规：风险预算须逐次不增加",IF(OR(_LockStatus="已锁仓",_LockStatus="解锁信息不完整"),"违规：锁仓期间禁止加仓",IF(G370="","计划可执行：建议股数见N列",IF(OR(G370&lt;=0,G370&lt;&gt;INT(G370),MOD(G370,100)&lt;&gt;0),"违规：实际股数须为100股整数倍",IF(G370&gt;N370,"违规：实际股数超过风险或金字塔上限",IF(AND(B370&gt;1,G370&gt;SUMIFS($G$2:$G$1001,$A$2:$A$1001,A370,$B$2:$B$1001,B370-1)),"违规：加仓股数须逐次不增加",IF(Q370&gt;F370,"违规：止损风险超过本次预算","通过")))))))))))))))</f>
        <v/>
      </c>
    </row>
    <row r="371" customFormat="false" ht="15" hidden="false" customHeight="false" outlineLevel="0" collapsed="false">
      <c r="A371" s="20"/>
      <c r="B371" s="21"/>
      <c r="C371" s="22"/>
      <c r="D371" s="23"/>
      <c r="E371" s="23"/>
      <c r="F371" s="23"/>
      <c r="G371" s="21"/>
      <c r="H371" s="24" t="str">
        <f aca="false">IF(OR(A371="",D371="",G371=""),"",D371*G371)</f>
        <v/>
      </c>
      <c r="I371" s="25" t="str">
        <f aca="false">IF(OR(A371="",B371=""),"",IFERROR(LOOKUP(2,1/(单次交易!$A$2:$A$201=A371),单次交易!$H$2:$H$201),0)+SUMIFS($G$2:$G$1001,$A$2:$A$1001,A371,$B$2:$B$1001,"&lt;"&amp;B371))</f>
        <v/>
      </c>
      <c r="J371" s="24" t="str">
        <f aca="false">IF(OR(A371="",B371=""),"",IFERROR(LOOKUP(2,1/(单次交易!$A$2:$A$201=A371),单次交易!$E$2:$E$201)*LOOKUP(2,1/(单次交易!$A$2:$A$201=A371),单次交易!$H$2:$H$201),0)+SUMIFS($H$2:$H$1001,$A$2:$A$1001,A371,$B$2:$B$1001,"&lt;"&amp;B371))</f>
        <v/>
      </c>
      <c r="K371" s="24" t="str">
        <f aca="false">IF(OR(E371="",I371="",J371=""),"",MAX(E371*I371-J371,0))</f>
        <v/>
      </c>
      <c r="L371" s="25" t="str">
        <f aca="false">IF(OR(D371="",E371="",F371="",D371&lt;=E371),"",FLOOR((F371+K371)/(D371-E371),100))</f>
        <v/>
      </c>
      <c r="M371" s="25" t="str">
        <f aca="false">IF(OR(A371="",B371="",L371=""),"",IF(B371=1,L371,IFERROR(SUMIFS($G$2:$G$1001,$A$2:$A$1001,A371,$B$2:$B$1001,B371-1),0)))</f>
        <v/>
      </c>
      <c r="N371" s="25" t="str">
        <f aca="false">IF(OR(L371="",M371=""),"",MIN(L371,M371))</f>
        <v/>
      </c>
      <c r="O371" s="25" t="str">
        <f aca="false">IF(OR(I371="",G371=""),"",I371+G371)</f>
        <v/>
      </c>
      <c r="P371" s="24" t="str">
        <f aca="false">IF(OR(O371="",O371=0),"",(J371+H371)/O371)</f>
        <v/>
      </c>
      <c r="Q371" s="24" t="str">
        <f aca="false">IF(OR(O371="",E371=""),"",MAX(J371+H371-E371*O371,0))</f>
        <v/>
      </c>
      <c r="R371" s="26" t="str">
        <f aca="false">IF(A371="","",IF(COUNTIF(_TradeIds,A371)=0,"违规：交易编号不存在",IF(OR(B371="",B371&lt;1,B371&gt;5,B371&lt;&gt;INT(B371)),"违规：加仓序号须为1到5的整数",IF(COUNTIFS($A$2:$A$1001,A371,$B$2:$B$1001,B371)&gt;1,"违规：同一交易的加仓序号重复",IF(OR(D371="",E371="",F371=""),"计划不完整：请填写加仓价、新止损价和风险预算",IF(OR(D371&lt;=0,E371&lt;=0,F371&lt;=0,D371&lt;=E371),"违规：加仓价必须高于新止损价，金额须大于0",IF(AND(B371&gt;1,COUNTIFS($A$2:$A$1001,A371,$B$2:$B$1001,B371-1,$G$2:$G$1001,"&gt;0")=0),"违规：须先完成上一次加仓",IF(AND(B371&gt;1,E371&lt;SUMIFS($E$2:$E$1001,$A$2:$A$1001,A371,$B$2:$B$1001,B371-1)),"违规：新止损价不得低于上一次",IF(AND(B371&gt;1,F371&gt;SUMIFS($F$2:$F$1001,$A$2:$A$1001,A371,$B$2:$B$1001,B371-1)),"违规：风险预算须逐次不增加",IF(OR(_LockStatus="已锁仓",_LockStatus="解锁信息不完整"),"违规：锁仓期间禁止加仓",IF(G371="","计划可执行：建议股数见N列",IF(OR(G371&lt;=0,G371&lt;&gt;INT(G371),MOD(G371,100)&lt;&gt;0),"违规：实际股数须为100股整数倍",IF(G371&gt;N371,"违规：实际股数超过风险或金字塔上限",IF(AND(B371&gt;1,G371&gt;SUMIFS($G$2:$G$1001,$A$2:$A$1001,A371,$B$2:$B$1001,B371-1)),"违规：加仓股数须逐次不增加",IF(Q371&gt;F371,"违规：止损风险超过本次预算","通过")))))))))))))))</f>
        <v/>
      </c>
    </row>
    <row r="372" customFormat="false" ht="15" hidden="false" customHeight="false" outlineLevel="0" collapsed="false">
      <c r="A372" s="20"/>
      <c r="B372" s="21"/>
      <c r="C372" s="22"/>
      <c r="D372" s="23"/>
      <c r="E372" s="23"/>
      <c r="F372" s="23"/>
      <c r="G372" s="21"/>
      <c r="H372" s="24" t="str">
        <f aca="false">IF(OR(A372="",D372="",G372=""),"",D372*G372)</f>
        <v/>
      </c>
      <c r="I372" s="25" t="str">
        <f aca="false">IF(OR(A372="",B372=""),"",IFERROR(LOOKUP(2,1/(单次交易!$A$2:$A$201=A372),单次交易!$H$2:$H$201),0)+SUMIFS($G$2:$G$1001,$A$2:$A$1001,A372,$B$2:$B$1001,"&lt;"&amp;B372))</f>
        <v/>
      </c>
      <c r="J372" s="24" t="str">
        <f aca="false">IF(OR(A372="",B372=""),"",IFERROR(LOOKUP(2,1/(单次交易!$A$2:$A$201=A372),单次交易!$E$2:$E$201)*LOOKUP(2,1/(单次交易!$A$2:$A$201=A372),单次交易!$H$2:$H$201),0)+SUMIFS($H$2:$H$1001,$A$2:$A$1001,A372,$B$2:$B$1001,"&lt;"&amp;B372))</f>
        <v/>
      </c>
      <c r="K372" s="24" t="str">
        <f aca="false">IF(OR(E372="",I372="",J372=""),"",MAX(E372*I372-J372,0))</f>
        <v/>
      </c>
      <c r="L372" s="25" t="str">
        <f aca="false">IF(OR(D372="",E372="",F372="",D372&lt;=E372),"",FLOOR((F372+K372)/(D372-E372),100))</f>
        <v/>
      </c>
      <c r="M372" s="25" t="str">
        <f aca="false">IF(OR(A372="",B372="",L372=""),"",IF(B372=1,L372,IFERROR(SUMIFS($G$2:$G$1001,$A$2:$A$1001,A372,$B$2:$B$1001,B372-1),0)))</f>
        <v/>
      </c>
      <c r="N372" s="25" t="str">
        <f aca="false">IF(OR(L372="",M372=""),"",MIN(L372,M372))</f>
        <v/>
      </c>
      <c r="O372" s="25" t="str">
        <f aca="false">IF(OR(I372="",G372=""),"",I372+G372)</f>
        <v/>
      </c>
      <c r="P372" s="24" t="str">
        <f aca="false">IF(OR(O372="",O372=0),"",(J372+H372)/O372)</f>
        <v/>
      </c>
      <c r="Q372" s="24" t="str">
        <f aca="false">IF(OR(O372="",E372=""),"",MAX(J372+H372-E372*O372,0))</f>
        <v/>
      </c>
      <c r="R372" s="26" t="str">
        <f aca="false">IF(A372="","",IF(COUNTIF(_TradeIds,A372)=0,"违规：交易编号不存在",IF(OR(B372="",B372&lt;1,B372&gt;5,B372&lt;&gt;INT(B372)),"违规：加仓序号须为1到5的整数",IF(COUNTIFS($A$2:$A$1001,A372,$B$2:$B$1001,B372)&gt;1,"违规：同一交易的加仓序号重复",IF(OR(D372="",E372="",F372=""),"计划不完整：请填写加仓价、新止损价和风险预算",IF(OR(D372&lt;=0,E372&lt;=0,F372&lt;=0,D372&lt;=E372),"违规：加仓价必须高于新止损价，金额须大于0",IF(AND(B372&gt;1,COUNTIFS($A$2:$A$1001,A372,$B$2:$B$1001,B372-1,$G$2:$G$1001,"&gt;0")=0),"违规：须先完成上一次加仓",IF(AND(B372&gt;1,E372&lt;SUMIFS($E$2:$E$1001,$A$2:$A$1001,A372,$B$2:$B$1001,B372-1)),"违规：新止损价不得低于上一次",IF(AND(B372&gt;1,F372&gt;SUMIFS($F$2:$F$1001,$A$2:$A$1001,A372,$B$2:$B$1001,B372-1)),"违规：风险预算须逐次不增加",IF(OR(_LockStatus="已锁仓",_LockStatus="解锁信息不完整"),"违规：锁仓期间禁止加仓",IF(G372="","计划可执行：建议股数见N列",IF(OR(G372&lt;=0,G372&lt;&gt;INT(G372),MOD(G372,100)&lt;&gt;0),"违规：实际股数须为100股整数倍",IF(G372&gt;N372,"违规：实际股数超过风险或金字塔上限",IF(AND(B372&gt;1,G372&gt;SUMIFS($G$2:$G$1001,$A$2:$A$1001,A372,$B$2:$B$1001,B372-1)),"违规：加仓股数须逐次不增加",IF(Q372&gt;F372,"违规：止损风险超过本次预算","通过")))))))))))))))</f>
        <v/>
      </c>
    </row>
    <row r="373" customFormat="false" ht="15" hidden="false" customHeight="false" outlineLevel="0" collapsed="false">
      <c r="A373" s="20"/>
      <c r="B373" s="21"/>
      <c r="C373" s="22"/>
      <c r="D373" s="23"/>
      <c r="E373" s="23"/>
      <c r="F373" s="23"/>
      <c r="G373" s="21"/>
      <c r="H373" s="24" t="str">
        <f aca="false">IF(OR(A373="",D373="",G373=""),"",D373*G373)</f>
        <v/>
      </c>
      <c r="I373" s="25" t="str">
        <f aca="false">IF(OR(A373="",B373=""),"",IFERROR(LOOKUP(2,1/(单次交易!$A$2:$A$201=A373),单次交易!$H$2:$H$201),0)+SUMIFS($G$2:$G$1001,$A$2:$A$1001,A373,$B$2:$B$1001,"&lt;"&amp;B373))</f>
        <v/>
      </c>
      <c r="J373" s="24" t="str">
        <f aca="false">IF(OR(A373="",B373=""),"",IFERROR(LOOKUP(2,1/(单次交易!$A$2:$A$201=A373),单次交易!$E$2:$E$201)*LOOKUP(2,1/(单次交易!$A$2:$A$201=A373),单次交易!$H$2:$H$201),0)+SUMIFS($H$2:$H$1001,$A$2:$A$1001,A373,$B$2:$B$1001,"&lt;"&amp;B373))</f>
        <v/>
      </c>
      <c r="K373" s="24" t="str">
        <f aca="false">IF(OR(E373="",I373="",J373=""),"",MAX(E373*I373-J373,0))</f>
        <v/>
      </c>
      <c r="L373" s="25" t="str">
        <f aca="false">IF(OR(D373="",E373="",F373="",D373&lt;=E373),"",FLOOR((F373+K373)/(D373-E373),100))</f>
        <v/>
      </c>
      <c r="M373" s="25" t="str">
        <f aca="false">IF(OR(A373="",B373="",L373=""),"",IF(B373=1,L373,IFERROR(SUMIFS($G$2:$G$1001,$A$2:$A$1001,A373,$B$2:$B$1001,B373-1),0)))</f>
        <v/>
      </c>
      <c r="N373" s="25" t="str">
        <f aca="false">IF(OR(L373="",M373=""),"",MIN(L373,M373))</f>
        <v/>
      </c>
      <c r="O373" s="25" t="str">
        <f aca="false">IF(OR(I373="",G373=""),"",I373+G373)</f>
        <v/>
      </c>
      <c r="P373" s="24" t="str">
        <f aca="false">IF(OR(O373="",O373=0),"",(J373+H373)/O373)</f>
        <v/>
      </c>
      <c r="Q373" s="24" t="str">
        <f aca="false">IF(OR(O373="",E373=""),"",MAX(J373+H373-E373*O373,0))</f>
        <v/>
      </c>
      <c r="R373" s="26" t="str">
        <f aca="false">IF(A373="","",IF(COUNTIF(_TradeIds,A373)=0,"违规：交易编号不存在",IF(OR(B373="",B373&lt;1,B373&gt;5,B373&lt;&gt;INT(B373)),"违规：加仓序号须为1到5的整数",IF(COUNTIFS($A$2:$A$1001,A373,$B$2:$B$1001,B373)&gt;1,"违规：同一交易的加仓序号重复",IF(OR(D373="",E373="",F373=""),"计划不完整：请填写加仓价、新止损价和风险预算",IF(OR(D373&lt;=0,E373&lt;=0,F373&lt;=0,D373&lt;=E373),"违规：加仓价必须高于新止损价，金额须大于0",IF(AND(B373&gt;1,COUNTIFS($A$2:$A$1001,A373,$B$2:$B$1001,B373-1,$G$2:$G$1001,"&gt;0")=0),"违规：须先完成上一次加仓",IF(AND(B373&gt;1,E373&lt;SUMIFS($E$2:$E$1001,$A$2:$A$1001,A373,$B$2:$B$1001,B373-1)),"违规：新止损价不得低于上一次",IF(AND(B373&gt;1,F373&gt;SUMIFS($F$2:$F$1001,$A$2:$A$1001,A373,$B$2:$B$1001,B373-1)),"违规：风险预算须逐次不增加",IF(OR(_LockStatus="已锁仓",_LockStatus="解锁信息不完整"),"违规：锁仓期间禁止加仓",IF(G373="","计划可执行：建议股数见N列",IF(OR(G373&lt;=0,G373&lt;&gt;INT(G373),MOD(G373,100)&lt;&gt;0),"违规：实际股数须为100股整数倍",IF(G373&gt;N373,"违规：实际股数超过风险或金字塔上限",IF(AND(B373&gt;1,G373&gt;SUMIFS($G$2:$G$1001,$A$2:$A$1001,A373,$B$2:$B$1001,B373-1)),"违规：加仓股数须逐次不增加",IF(Q373&gt;F373,"违规：止损风险超过本次预算","通过")))))))))))))))</f>
        <v/>
      </c>
    </row>
    <row r="374" customFormat="false" ht="15" hidden="false" customHeight="false" outlineLevel="0" collapsed="false">
      <c r="A374" s="20"/>
      <c r="B374" s="21"/>
      <c r="C374" s="22"/>
      <c r="D374" s="23"/>
      <c r="E374" s="23"/>
      <c r="F374" s="23"/>
      <c r="G374" s="21"/>
      <c r="H374" s="24" t="str">
        <f aca="false">IF(OR(A374="",D374="",G374=""),"",D374*G374)</f>
        <v/>
      </c>
      <c r="I374" s="25" t="str">
        <f aca="false">IF(OR(A374="",B374=""),"",IFERROR(LOOKUP(2,1/(单次交易!$A$2:$A$201=A374),单次交易!$H$2:$H$201),0)+SUMIFS($G$2:$G$1001,$A$2:$A$1001,A374,$B$2:$B$1001,"&lt;"&amp;B374))</f>
        <v/>
      </c>
      <c r="J374" s="24" t="str">
        <f aca="false">IF(OR(A374="",B374=""),"",IFERROR(LOOKUP(2,1/(单次交易!$A$2:$A$201=A374),单次交易!$E$2:$E$201)*LOOKUP(2,1/(单次交易!$A$2:$A$201=A374),单次交易!$H$2:$H$201),0)+SUMIFS($H$2:$H$1001,$A$2:$A$1001,A374,$B$2:$B$1001,"&lt;"&amp;B374))</f>
        <v/>
      </c>
      <c r="K374" s="24" t="str">
        <f aca="false">IF(OR(E374="",I374="",J374=""),"",MAX(E374*I374-J374,0))</f>
        <v/>
      </c>
      <c r="L374" s="25" t="str">
        <f aca="false">IF(OR(D374="",E374="",F374="",D374&lt;=E374),"",FLOOR((F374+K374)/(D374-E374),100))</f>
        <v/>
      </c>
      <c r="M374" s="25" t="str">
        <f aca="false">IF(OR(A374="",B374="",L374=""),"",IF(B374=1,L374,IFERROR(SUMIFS($G$2:$G$1001,$A$2:$A$1001,A374,$B$2:$B$1001,B374-1),0)))</f>
        <v/>
      </c>
      <c r="N374" s="25" t="str">
        <f aca="false">IF(OR(L374="",M374=""),"",MIN(L374,M374))</f>
        <v/>
      </c>
      <c r="O374" s="25" t="str">
        <f aca="false">IF(OR(I374="",G374=""),"",I374+G374)</f>
        <v/>
      </c>
      <c r="P374" s="24" t="str">
        <f aca="false">IF(OR(O374="",O374=0),"",(J374+H374)/O374)</f>
        <v/>
      </c>
      <c r="Q374" s="24" t="str">
        <f aca="false">IF(OR(O374="",E374=""),"",MAX(J374+H374-E374*O374,0))</f>
        <v/>
      </c>
      <c r="R374" s="26" t="str">
        <f aca="false">IF(A374="","",IF(COUNTIF(_TradeIds,A374)=0,"违规：交易编号不存在",IF(OR(B374="",B374&lt;1,B374&gt;5,B374&lt;&gt;INT(B374)),"违规：加仓序号须为1到5的整数",IF(COUNTIFS($A$2:$A$1001,A374,$B$2:$B$1001,B374)&gt;1,"违规：同一交易的加仓序号重复",IF(OR(D374="",E374="",F374=""),"计划不完整：请填写加仓价、新止损价和风险预算",IF(OR(D374&lt;=0,E374&lt;=0,F374&lt;=0,D374&lt;=E374),"违规：加仓价必须高于新止损价，金额须大于0",IF(AND(B374&gt;1,COUNTIFS($A$2:$A$1001,A374,$B$2:$B$1001,B374-1,$G$2:$G$1001,"&gt;0")=0),"违规：须先完成上一次加仓",IF(AND(B374&gt;1,E374&lt;SUMIFS($E$2:$E$1001,$A$2:$A$1001,A374,$B$2:$B$1001,B374-1)),"违规：新止损价不得低于上一次",IF(AND(B374&gt;1,F374&gt;SUMIFS($F$2:$F$1001,$A$2:$A$1001,A374,$B$2:$B$1001,B374-1)),"违规：风险预算须逐次不增加",IF(OR(_LockStatus="已锁仓",_LockStatus="解锁信息不完整"),"违规：锁仓期间禁止加仓",IF(G374="","计划可执行：建议股数见N列",IF(OR(G374&lt;=0,G374&lt;&gt;INT(G374),MOD(G374,100)&lt;&gt;0),"违规：实际股数须为100股整数倍",IF(G374&gt;N374,"违规：实际股数超过风险或金字塔上限",IF(AND(B374&gt;1,G374&gt;SUMIFS($G$2:$G$1001,$A$2:$A$1001,A374,$B$2:$B$1001,B374-1)),"违规：加仓股数须逐次不增加",IF(Q374&gt;F374,"违规：止损风险超过本次预算","通过")))))))))))))))</f>
        <v/>
      </c>
    </row>
    <row r="375" customFormat="false" ht="15" hidden="false" customHeight="false" outlineLevel="0" collapsed="false">
      <c r="A375" s="20"/>
      <c r="B375" s="21"/>
      <c r="C375" s="22"/>
      <c r="D375" s="23"/>
      <c r="E375" s="23"/>
      <c r="F375" s="23"/>
      <c r="G375" s="21"/>
      <c r="H375" s="24" t="str">
        <f aca="false">IF(OR(A375="",D375="",G375=""),"",D375*G375)</f>
        <v/>
      </c>
      <c r="I375" s="25" t="str">
        <f aca="false">IF(OR(A375="",B375=""),"",IFERROR(LOOKUP(2,1/(单次交易!$A$2:$A$201=A375),单次交易!$H$2:$H$201),0)+SUMIFS($G$2:$G$1001,$A$2:$A$1001,A375,$B$2:$B$1001,"&lt;"&amp;B375))</f>
        <v/>
      </c>
      <c r="J375" s="24" t="str">
        <f aca="false">IF(OR(A375="",B375=""),"",IFERROR(LOOKUP(2,1/(单次交易!$A$2:$A$201=A375),单次交易!$E$2:$E$201)*LOOKUP(2,1/(单次交易!$A$2:$A$201=A375),单次交易!$H$2:$H$201),0)+SUMIFS($H$2:$H$1001,$A$2:$A$1001,A375,$B$2:$B$1001,"&lt;"&amp;B375))</f>
        <v/>
      </c>
      <c r="K375" s="24" t="str">
        <f aca="false">IF(OR(E375="",I375="",J375=""),"",MAX(E375*I375-J375,0))</f>
        <v/>
      </c>
      <c r="L375" s="25" t="str">
        <f aca="false">IF(OR(D375="",E375="",F375="",D375&lt;=E375),"",FLOOR((F375+K375)/(D375-E375),100))</f>
        <v/>
      </c>
      <c r="M375" s="25" t="str">
        <f aca="false">IF(OR(A375="",B375="",L375=""),"",IF(B375=1,L375,IFERROR(SUMIFS($G$2:$G$1001,$A$2:$A$1001,A375,$B$2:$B$1001,B375-1),0)))</f>
        <v/>
      </c>
      <c r="N375" s="25" t="str">
        <f aca="false">IF(OR(L375="",M375=""),"",MIN(L375,M375))</f>
        <v/>
      </c>
      <c r="O375" s="25" t="str">
        <f aca="false">IF(OR(I375="",G375=""),"",I375+G375)</f>
        <v/>
      </c>
      <c r="P375" s="24" t="str">
        <f aca="false">IF(OR(O375="",O375=0),"",(J375+H375)/O375)</f>
        <v/>
      </c>
      <c r="Q375" s="24" t="str">
        <f aca="false">IF(OR(O375="",E375=""),"",MAX(J375+H375-E375*O375,0))</f>
        <v/>
      </c>
      <c r="R375" s="26" t="str">
        <f aca="false">IF(A375="","",IF(COUNTIF(_TradeIds,A375)=0,"违规：交易编号不存在",IF(OR(B375="",B375&lt;1,B375&gt;5,B375&lt;&gt;INT(B375)),"违规：加仓序号须为1到5的整数",IF(COUNTIFS($A$2:$A$1001,A375,$B$2:$B$1001,B375)&gt;1,"违规：同一交易的加仓序号重复",IF(OR(D375="",E375="",F375=""),"计划不完整：请填写加仓价、新止损价和风险预算",IF(OR(D375&lt;=0,E375&lt;=0,F375&lt;=0,D375&lt;=E375),"违规：加仓价必须高于新止损价，金额须大于0",IF(AND(B375&gt;1,COUNTIFS($A$2:$A$1001,A375,$B$2:$B$1001,B375-1,$G$2:$G$1001,"&gt;0")=0),"违规：须先完成上一次加仓",IF(AND(B375&gt;1,E375&lt;SUMIFS($E$2:$E$1001,$A$2:$A$1001,A375,$B$2:$B$1001,B375-1)),"违规：新止损价不得低于上一次",IF(AND(B375&gt;1,F375&gt;SUMIFS($F$2:$F$1001,$A$2:$A$1001,A375,$B$2:$B$1001,B375-1)),"违规：风险预算须逐次不增加",IF(OR(_LockStatus="已锁仓",_LockStatus="解锁信息不完整"),"违规：锁仓期间禁止加仓",IF(G375="","计划可执行：建议股数见N列",IF(OR(G375&lt;=0,G375&lt;&gt;INT(G375),MOD(G375,100)&lt;&gt;0),"违规：实际股数须为100股整数倍",IF(G375&gt;N375,"违规：实际股数超过风险或金字塔上限",IF(AND(B375&gt;1,G375&gt;SUMIFS($G$2:$G$1001,$A$2:$A$1001,A375,$B$2:$B$1001,B375-1)),"违规：加仓股数须逐次不增加",IF(Q375&gt;F375,"违规：止损风险超过本次预算","通过")))))))))))))))</f>
        <v/>
      </c>
    </row>
    <row r="376" customFormat="false" ht="15" hidden="false" customHeight="false" outlineLevel="0" collapsed="false">
      <c r="A376" s="20"/>
      <c r="B376" s="21"/>
      <c r="C376" s="22"/>
      <c r="D376" s="23"/>
      <c r="E376" s="23"/>
      <c r="F376" s="23"/>
      <c r="G376" s="21"/>
      <c r="H376" s="24" t="str">
        <f aca="false">IF(OR(A376="",D376="",G376=""),"",D376*G376)</f>
        <v/>
      </c>
      <c r="I376" s="25" t="str">
        <f aca="false">IF(OR(A376="",B376=""),"",IFERROR(LOOKUP(2,1/(单次交易!$A$2:$A$201=A376),单次交易!$H$2:$H$201),0)+SUMIFS($G$2:$G$1001,$A$2:$A$1001,A376,$B$2:$B$1001,"&lt;"&amp;B376))</f>
        <v/>
      </c>
      <c r="J376" s="24" t="str">
        <f aca="false">IF(OR(A376="",B376=""),"",IFERROR(LOOKUP(2,1/(单次交易!$A$2:$A$201=A376),单次交易!$E$2:$E$201)*LOOKUP(2,1/(单次交易!$A$2:$A$201=A376),单次交易!$H$2:$H$201),0)+SUMIFS($H$2:$H$1001,$A$2:$A$1001,A376,$B$2:$B$1001,"&lt;"&amp;B376))</f>
        <v/>
      </c>
      <c r="K376" s="24" t="str">
        <f aca="false">IF(OR(E376="",I376="",J376=""),"",MAX(E376*I376-J376,0))</f>
        <v/>
      </c>
      <c r="L376" s="25" t="str">
        <f aca="false">IF(OR(D376="",E376="",F376="",D376&lt;=E376),"",FLOOR((F376+K376)/(D376-E376),100))</f>
        <v/>
      </c>
      <c r="M376" s="25" t="str">
        <f aca="false">IF(OR(A376="",B376="",L376=""),"",IF(B376=1,L376,IFERROR(SUMIFS($G$2:$G$1001,$A$2:$A$1001,A376,$B$2:$B$1001,B376-1),0)))</f>
        <v/>
      </c>
      <c r="N376" s="25" t="str">
        <f aca="false">IF(OR(L376="",M376=""),"",MIN(L376,M376))</f>
        <v/>
      </c>
      <c r="O376" s="25" t="str">
        <f aca="false">IF(OR(I376="",G376=""),"",I376+G376)</f>
        <v/>
      </c>
      <c r="P376" s="24" t="str">
        <f aca="false">IF(OR(O376="",O376=0),"",(J376+H376)/O376)</f>
        <v/>
      </c>
      <c r="Q376" s="24" t="str">
        <f aca="false">IF(OR(O376="",E376=""),"",MAX(J376+H376-E376*O376,0))</f>
        <v/>
      </c>
      <c r="R376" s="26" t="str">
        <f aca="false">IF(A376="","",IF(COUNTIF(_TradeIds,A376)=0,"违规：交易编号不存在",IF(OR(B376="",B376&lt;1,B376&gt;5,B376&lt;&gt;INT(B376)),"违规：加仓序号须为1到5的整数",IF(COUNTIFS($A$2:$A$1001,A376,$B$2:$B$1001,B376)&gt;1,"违规：同一交易的加仓序号重复",IF(OR(D376="",E376="",F376=""),"计划不完整：请填写加仓价、新止损价和风险预算",IF(OR(D376&lt;=0,E376&lt;=0,F376&lt;=0,D376&lt;=E376),"违规：加仓价必须高于新止损价，金额须大于0",IF(AND(B376&gt;1,COUNTIFS($A$2:$A$1001,A376,$B$2:$B$1001,B376-1,$G$2:$G$1001,"&gt;0")=0),"违规：须先完成上一次加仓",IF(AND(B376&gt;1,E376&lt;SUMIFS($E$2:$E$1001,$A$2:$A$1001,A376,$B$2:$B$1001,B376-1)),"违规：新止损价不得低于上一次",IF(AND(B376&gt;1,F376&gt;SUMIFS($F$2:$F$1001,$A$2:$A$1001,A376,$B$2:$B$1001,B376-1)),"违规：风险预算须逐次不增加",IF(OR(_LockStatus="已锁仓",_LockStatus="解锁信息不完整"),"违规：锁仓期间禁止加仓",IF(G376="","计划可执行：建议股数见N列",IF(OR(G376&lt;=0,G376&lt;&gt;INT(G376),MOD(G376,100)&lt;&gt;0),"违规：实际股数须为100股整数倍",IF(G376&gt;N376,"违规：实际股数超过风险或金字塔上限",IF(AND(B376&gt;1,G376&gt;SUMIFS($G$2:$G$1001,$A$2:$A$1001,A376,$B$2:$B$1001,B376-1)),"违规：加仓股数须逐次不增加",IF(Q376&gt;F376,"违规：止损风险超过本次预算","通过")))))))))))))))</f>
        <v/>
      </c>
    </row>
    <row r="377" customFormat="false" ht="15" hidden="false" customHeight="false" outlineLevel="0" collapsed="false">
      <c r="A377" s="20"/>
      <c r="B377" s="21"/>
      <c r="C377" s="22"/>
      <c r="D377" s="23"/>
      <c r="E377" s="23"/>
      <c r="F377" s="23"/>
      <c r="G377" s="21"/>
      <c r="H377" s="24" t="str">
        <f aca="false">IF(OR(A377="",D377="",G377=""),"",D377*G377)</f>
        <v/>
      </c>
      <c r="I377" s="25" t="str">
        <f aca="false">IF(OR(A377="",B377=""),"",IFERROR(LOOKUP(2,1/(单次交易!$A$2:$A$201=A377),单次交易!$H$2:$H$201),0)+SUMIFS($G$2:$G$1001,$A$2:$A$1001,A377,$B$2:$B$1001,"&lt;"&amp;B377))</f>
        <v/>
      </c>
      <c r="J377" s="24" t="str">
        <f aca="false">IF(OR(A377="",B377=""),"",IFERROR(LOOKUP(2,1/(单次交易!$A$2:$A$201=A377),单次交易!$E$2:$E$201)*LOOKUP(2,1/(单次交易!$A$2:$A$201=A377),单次交易!$H$2:$H$201),0)+SUMIFS($H$2:$H$1001,$A$2:$A$1001,A377,$B$2:$B$1001,"&lt;"&amp;B377))</f>
        <v/>
      </c>
      <c r="K377" s="24" t="str">
        <f aca="false">IF(OR(E377="",I377="",J377=""),"",MAX(E377*I377-J377,0))</f>
        <v/>
      </c>
      <c r="L377" s="25" t="str">
        <f aca="false">IF(OR(D377="",E377="",F377="",D377&lt;=E377),"",FLOOR((F377+K377)/(D377-E377),100))</f>
        <v/>
      </c>
      <c r="M377" s="25" t="str">
        <f aca="false">IF(OR(A377="",B377="",L377=""),"",IF(B377=1,L377,IFERROR(SUMIFS($G$2:$G$1001,$A$2:$A$1001,A377,$B$2:$B$1001,B377-1),0)))</f>
        <v/>
      </c>
      <c r="N377" s="25" t="str">
        <f aca="false">IF(OR(L377="",M377=""),"",MIN(L377,M377))</f>
        <v/>
      </c>
      <c r="O377" s="25" t="str">
        <f aca="false">IF(OR(I377="",G377=""),"",I377+G377)</f>
        <v/>
      </c>
      <c r="P377" s="24" t="str">
        <f aca="false">IF(OR(O377="",O377=0),"",(J377+H377)/O377)</f>
        <v/>
      </c>
      <c r="Q377" s="24" t="str">
        <f aca="false">IF(OR(O377="",E377=""),"",MAX(J377+H377-E377*O377,0))</f>
        <v/>
      </c>
      <c r="R377" s="26" t="str">
        <f aca="false">IF(A377="","",IF(COUNTIF(_TradeIds,A377)=0,"违规：交易编号不存在",IF(OR(B377="",B377&lt;1,B377&gt;5,B377&lt;&gt;INT(B377)),"违规：加仓序号须为1到5的整数",IF(COUNTIFS($A$2:$A$1001,A377,$B$2:$B$1001,B377)&gt;1,"违规：同一交易的加仓序号重复",IF(OR(D377="",E377="",F377=""),"计划不完整：请填写加仓价、新止损价和风险预算",IF(OR(D377&lt;=0,E377&lt;=0,F377&lt;=0,D377&lt;=E377),"违规：加仓价必须高于新止损价，金额须大于0",IF(AND(B377&gt;1,COUNTIFS($A$2:$A$1001,A377,$B$2:$B$1001,B377-1,$G$2:$G$1001,"&gt;0")=0),"违规：须先完成上一次加仓",IF(AND(B377&gt;1,E377&lt;SUMIFS($E$2:$E$1001,$A$2:$A$1001,A377,$B$2:$B$1001,B377-1)),"违规：新止损价不得低于上一次",IF(AND(B377&gt;1,F377&gt;SUMIFS($F$2:$F$1001,$A$2:$A$1001,A377,$B$2:$B$1001,B377-1)),"违规：风险预算须逐次不增加",IF(OR(_LockStatus="已锁仓",_LockStatus="解锁信息不完整"),"违规：锁仓期间禁止加仓",IF(G377="","计划可执行：建议股数见N列",IF(OR(G377&lt;=0,G377&lt;&gt;INT(G377),MOD(G377,100)&lt;&gt;0),"违规：实际股数须为100股整数倍",IF(G377&gt;N377,"违规：实际股数超过风险或金字塔上限",IF(AND(B377&gt;1,G377&gt;SUMIFS($G$2:$G$1001,$A$2:$A$1001,A377,$B$2:$B$1001,B377-1)),"违规：加仓股数须逐次不增加",IF(Q377&gt;F377,"违规：止损风险超过本次预算","通过")))))))))))))))</f>
        <v/>
      </c>
    </row>
    <row r="378" customFormat="false" ht="15" hidden="false" customHeight="false" outlineLevel="0" collapsed="false">
      <c r="A378" s="20"/>
      <c r="B378" s="21"/>
      <c r="C378" s="22"/>
      <c r="D378" s="23"/>
      <c r="E378" s="23"/>
      <c r="F378" s="23"/>
      <c r="G378" s="21"/>
      <c r="H378" s="24" t="str">
        <f aca="false">IF(OR(A378="",D378="",G378=""),"",D378*G378)</f>
        <v/>
      </c>
      <c r="I378" s="25" t="str">
        <f aca="false">IF(OR(A378="",B378=""),"",IFERROR(LOOKUP(2,1/(单次交易!$A$2:$A$201=A378),单次交易!$H$2:$H$201),0)+SUMIFS($G$2:$G$1001,$A$2:$A$1001,A378,$B$2:$B$1001,"&lt;"&amp;B378))</f>
        <v/>
      </c>
      <c r="J378" s="24" t="str">
        <f aca="false">IF(OR(A378="",B378=""),"",IFERROR(LOOKUP(2,1/(单次交易!$A$2:$A$201=A378),单次交易!$E$2:$E$201)*LOOKUP(2,1/(单次交易!$A$2:$A$201=A378),单次交易!$H$2:$H$201),0)+SUMIFS($H$2:$H$1001,$A$2:$A$1001,A378,$B$2:$B$1001,"&lt;"&amp;B378))</f>
        <v/>
      </c>
      <c r="K378" s="24" t="str">
        <f aca="false">IF(OR(E378="",I378="",J378=""),"",MAX(E378*I378-J378,0))</f>
        <v/>
      </c>
      <c r="L378" s="25" t="str">
        <f aca="false">IF(OR(D378="",E378="",F378="",D378&lt;=E378),"",FLOOR((F378+K378)/(D378-E378),100))</f>
        <v/>
      </c>
      <c r="M378" s="25" t="str">
        <f aca="false">IF(OR(A378="",B378="",L378=""),"",IF(B378=1,L378,IFERROR(SUMIFS($G$2:$G$1001,$A$2:$A$1001,A378,$B$2:$B$1001,B378-1),0)))</f>
        <v/>
      </c>
      <c r="N378" s="25" t="str">
        <f aca="false">IF(OR(L378="",M378=""),"",MIN(L378,M378))</f>
        <v/>
      </c>
      <c r="O378" s="25" t="str">
        <f aca="false">IF(OR(I378="",G378=""),"",I378+G378)</f>
        <v/>
      </c>
      <c r="P378" s="24" t="str">
        <f aca="false">IF(OR(O378="",O378=0),"",(J378+H378)/O378)</f>
        <v/>
      </c>
      <c r="Q378" s="24" t="str">
        <f aca="false">IF(OR(O378="",E378=""),"",MAX(J378+H378-E378*O378,0))</f>
        <v/>
      </c>
      <c r="R378" s="26" t="str">
        <f aca="false">IF(A378="","",IF(COUNTIF(_TradeIds,A378)=0,"违规：交易编号不存在",IF(OR(B378="",B378&lt;1,B378&gt;5,B378&lt;&gt;INT(B378)),"违规：加仓序号须为1到5的整数",IF(COUNTIFS($A$2:$A$1001,A378,$B$2:$B$1001,B378)&gt;1,"违规：同一交易的加仓序号重复",IF(OR(D378="",E378="",F378=""),"计划不完整：请填写加仓价、新止损价和风险预算",IF(OR(D378&lt;=0,E378&lt;=0,F378&lt;=0,D378&lt;=E378),"违规：加仓价必须高于新止损价，金额须大于0",IF(AND(B378&gt;1,COUNTIFS($A$2:$A$1001,A378,$B$2:$B$1001,B378-1,$G$2:$G$1001,"&gt;0")=0),"违规：须先完成上一次加仓",IF(AND(B378&gt;1,E378&lt;SUMIFS($E$2:$E$1001,$A$2:$A$1001,A378,$B$2:$B$1001,B378-1)),"违规：新止损价不得低于上一次",IF(AND(B378&gt;1,F378&gt;SUMIFS($F$2:$F$1001,$A$2:$A$1001,A378,$B$2:$B$1001,B378-1)),"违规：风险预算须逐次不增加",IF(OR(_LockStatus="已锁仓",_LockStatus="解锁信息不完整"),"违规：锁仓期间禁止加仓",IF(G378="","计划可执行：建议股数见N列",IF(OR(G378&lt;=0,G378&lt;&gt;INT(G378),MOD(G378,100)&lt;&gt;0),"违规：实际股数须为100股整数倍",IF(G378&gt;N378,"违规：实际股数超过风险或金字塔上限",IF(AND(B378&gt;1,G378&gt;SUMIFS($G$2:$G$1001,$A$2:$A$1001,A378,$B$2:$B$1001,B378-1)),"违规：加仓股数须逐次不增加",IF(Q378&gt;F378,"违规：止损风险超过本次预算","通过")))))))))))))))</f>
        <v/>
      </c>
    </row>
    <row r="379" customFormat="false" ht="15" hidden="false" customHeight="false" outlineLevel="0" collapsed="false">
      <c r="A379" s="20"/>
      <c r="B379" s="21"/>
      <c r="C379" s="22"/>
      <c r="D379" s="23"/>
      <c r="E379" s="23"/>
      <c r="F379" s="23"/>
      <c r="G379" s="21"/>
      <c r="H379" s="24" t="str">
        <f aca="false">IF(OR(A379="",D379="",G379=""),"",D379*G379)</f>
        <v/>
      </c>
      <c r="I379" s="25" t="str">
        <f aca="false">IF(OR(A379="",B379=""),"",IFERROR(LOOKUP(2,1/(单次交易!$A$2:$A$201=A379),单次交易!$H$2:$H$201),0)+SUMIFS($G$2:$G$1001,$A$2:$A$1001,A379,$B$2:$B$1001,"&lt;"&amp;B379))</f>
        <v/>
      </c>
      <c r="J379" s="24" t="str">
        <f aca="false">IF(OR(A379="",B379=""),"",IFERROR(LOOKUP(2,1/(单次交易!$A$2:$A$201=A379),单次交易!$E$2:$E$201)*LOOKUP(2,1/(单次交易!$A$2:$A$201=A379),单次交易!$H$2:$H$201),0)+SUMIFS($H$2:$H$1001,$A$2:$A$1001,A379,$B$2:$B$1001,"&lt;"&amp;B379))</f>
        <v/>
      </c>
      <c r="K379" s="24" t="str">
        <f aca="false">IF(OR(E379="",I379="",J379=""),"",MAX(E379*I379-J379,0))</f>
        <v/>
      </c>
      <c r="L379" s="25" t="str">
        <f aca="false">IF(OR(D379="",E379="",F379="",D379&lt;=E379),"",FLOOR((F379+K379)/(D379-E379),100))</f>
        <v/>
      </c>
      <c r="M379" s="25" t="str">
        <f aca="false">IF(OR(A379="",B379="",L379=""),"",IF(B379=1,L379,IFERROR(SUMIFS($G$2:$G$1001,$A$2:$A$1001,A379,$B$2:$B$1001,B379-1),0)))</f>
        <v/>
      </c>
      <c r="N379" s="25" t="str">
        <f aca="false">IF(OR(L379="",M379=""),"",MIN(L379,M379))</f>
        <v/>
      </c>
      <c r="O379" s="25" t="str">
        <f aca="false">IF(OR(I379="",G379=""),"",I379+G379)</f>
        <v/>
      </c>
      <c r="P379" s="24" t="str">
        <f aca="false">IF(OR(O379="",O379=0),"",(J379+H379)/O379)</f>
        <v/>
      </c>
      <c r="Q379" s="24" t="str">
        <f aca="false">IF(OR(O379="",E379=""),"",MAX(J379+H379-E379*O379,0))</f>
        <v/>
      </c>
      <c r="R379" s="26" t="str">
        <f aca="false">IF(A379="","",IF(COUNTIF(_TradeIds,A379)=0,"违规：交易编号不存在",IF(OR(B379="",B379&lt;1,B379&gt;5,B379&lt;&gt;INT(B379)),"违规：加仓序号须为1到5的整数",IF(COUNTIFS($A$2:$A$1001,A379,$B$2:$B$1001,B379)&gt;1,"违规：同一交易的加仓序号重复",IF(OR(D379="",E379="",F379=""),"计划不完整：请填写加仓价、新止损价和风险预算",IF(OR(D379&lt;=0,E379&lt;=0,F379&lt;=0,D379&lt;=E379),"违规：加仓价必须高于新止损价，金额须大于0",IF(AND(B379&gt;1,COUNTIFS($A$2:$A$1001,A379,$B$2:$B$1001,B379-1,$G$2:$G$1001,"&gt;0")=0),"违规：须先完成上一次加仓",IF(AND(B379&gt;1,E379&lt;SUMIFS($E$2:$E$1001,$A$2:$A$1001,A379,$B$2:$B$1001,B379-1)),"违规：新止损价不得低于上一次",IF(AND(B379&gt;1,F379&gt;SUMIFS($F$2:$F$1001,$A$2:$A$1001,A379,$B$2:$B$1001,B379-1)),"违规：风险预算须逐次不增加",IF(OR(_LockStatus="已锁仓",_LockStatus="解锁信息不完整"),"违规：锁仓期间禁止加仓",IF(G379="","计划可执行：建议股数见N列",IF(OR(G379&lt;=0,G379&lt;&gt;INT(G379),MOD(G379,100)&lt;&gt;0),"违规：实际股数须为100股整数倍",IF(G379&gt;N379,"违规：实际股数超过风险或金字塔上限",IF(AND(B379&gt;1,G379&gt;SUMIFS($G$2:$G$1001,$A$2:$A$1001,A379,$B$2:$B$1001,B379-1)),"违规：加仓股数须逐次不增加",IF(Q379&gt;F379,"违规：止损风险超过本次预算","通过")))))))))))))))</f>
        <v/>
      </c>
    </row>
    <row r="380" customFormat="false" ht="15" hidden="false" customHeight="false" outlineLevel="0" collapsed="false">
      <c r="A380" s="20"/>
      <c r="B380" s="21"/>
      <c r="C380" s="22"/>
      <c r="D380" s="23"/>
      <c r="E380" s="23"/>
      <c r="F380" s="23"/>
      <c r="G380" s="21"/>
      <c r="H380" s="24" t="str">
        <f aca="false">IF(OR(A380="",D380="",G380=""),"",D380*G380)</f>
        <v/>
      </c>
      <c r="I380" s="25" t="str">
        <f aca="false">IF(OR(A380="",B380=""),"",IFERROR(LOOKUP(2,1/(单次交易!$A$2:$A$201=A380),单次交易!$H$2:$H$201),0)+SUMIFS($G$2:$G$1001,$A$2:$A$1001,A380,$B$2:$B$1001,"&lt;"&amp;B380))</f>
        <v/>
      </c>
      <c r="J380" s="24" t="str">
        <f aca="false">IF(OR(A380="",B380=""),"",IFERROR(LOOKUP(2,1/(单次交易!$A$2:$A$201=A380),单次交易!$E$2:$E$201)*LOOKUP(2,1/(单次交易!$A$2:$A$201=A380),单次交易!$H$2:$H$201),0)+SUMIFS($H$2:$H$1001,$A$2:$A$1001,A380,$B$2:$B$1001,"&lt;"&amp;B380))</f>
        <v/>
      </c>
      <c r="K380" s="24" t="str">
        <f aca="false">IF(OR(E380="",I380="",J380=""),"",MAX(E380*I380-J380,0))</f>
        <v/>
      </c>
      <c r="L380" s="25" t="str">
        <f aca="false">IF(OR(D380="",E380="",F380="",D380&lt;=E380),"",FLOOR((F380+K380)/(D380-E380),100))</f>
        <v/>
      </c>
      <c r="M380" s="25" t="str">
        <f aca="false">IF(OR(A380="",B380="",L380=""),"",IF(B380=1,L380,IFERROR(SUMIFS($G$2:$G$1001,$A$2:$A$1001,A380,$B$2:$B$1001,B380-1),0)))</f>
        <v/>
      </c>
      <c r="N380" s="25" t="str">
        <f aca="false">IF(OR(L380="",M380=""),"",MIN(L380,M380))</f>
        <v/>
      </c>
      <c r="O380" s="25" t="str">
        <f aca="false">IF(OR(I380="",G380=""),"",I380+G380)</f>
        <v/>
      </c>
      <c r="P380" s="24" t="str">
        <f aca="false">IF(OR(O380="",O380=0),"",(J380+H380)/O380)</f>
        <v/>
      </c>
      <c r="Q380" s="24" t="str">
        <f aca="false">IF(OR(O380="",E380=""),"",MAX(J380+H380-E380*O380,0))</f>
        <v/>
      </c>
      <c r="R380" s="26" t="str">
        <f aca="false">IF(A380="","",IF(COUNTIF(_TradeIds,A380)=0,"违规：交易编号不存在",IF(OR(B380="",B380&lt;1,B380&gt;5,B380&lt;&gt;INT(B380)),"违规：加仓序号须为1到5的整数",IF(COUNTIFS($A$2:$A$1001,A380,$B$2:$B$1001,B380)&gt;1,"违规：同一交易的加仓序号重复",IF(OR(D380="",E380="",F380=""),"计划不完整：请填写加仓价、新止损价和风险预算",IF(OR(D380&lt;=0,E380&lt;=0,F380&lt;=0,D380&lt;=E380),"违规：加仓价必须高于新止损价，金额须大于0",IF(AND(B380&gt;1,COUNTIFS($A$2:$A$1001,A380,$B$2:$B$1001,B380-1,$G$2:$G$1001,"&gt;0")=0),"违规：须先完成上一次加仓",IF(AND(B380&gt;1,E380&lt;SUMIFS($E$2:$E$1001,$A$2:$A$1001,A380,$B$2:$B$1001,B380-1)),"违规：新止损价不得低于上一次",IF(AND(B380&gt;1,F380&gt;SUMIFS($F$2:$F$1001,$A$2:$A$1001,A380,$B$2:$B$1001,B380-1)),"违规：风险预算须逐次不增加",IF(OR(_LockStatus="已锁仓",_LockStatus="解锁信息不完整"),"违规：锁仓期间禁止加仓",IF(G380="","计划可执行：建议股数见N列",IF(OR(G380&lt;=0,G380&lt;&gt;INT(G380),MOD(G380,100)&lt;&gt;0),"违规：实际股数须为100股整数倍",IF(G380&gt;N380,"违规：实际股数超过风险或金字塔上限",IF(AND(B380&gt;1,G380&gt;SUMIFS($G$2:$G$1001,$A$2:$A$1001,A380,$B$2:$B$1001,B380-1)),"违规：加仓股数须逐次不增加",IF(Q380&gt;F380,"违规：止损风险超过本次预算","通过")))))))))))))))</f>
        <v/>
      </c>
    </row>
    <row r="381" customFormat="false" ht="15" hidden="false" customHeight="false" outlineLevel="0" collapsed="false">
      <c r="A381" s="20"/>
      <c r="B381" s="21"/>
      <c r="C381" s="22"/>
      <c r="D381" s="23"/>
      <c r="E381" s="23"/>
      <c r="F381" s="23"/>
      <c r="G381" s="21"/>
      <c r="H381" s="24" t="str">
        <f aca="false">IF(OR(A381="",D381="",G381=""),"",D381*G381)</f>
        <v/>
      </c>
      <c r="I381" s="25" t="str">
        <f aca="false">IF(OR(A381="",B381=""),"",IFERROR(LOOKUP(2,1/(单次交易!$A$2:$A$201=A381),单次交易!$H$2:$H$201),0)+SUMIFS($G$2:$G$1001,$A$2:$A$1001,A381,$B$2:$B$1001,"&lt;"&amp;B381))</f>
        <v/>
      </c>
      <c r="J381" s="24" t="str">
        <f aca="false">IF(OR(A381="",B381=""),"",IFERROR(LOOKUP(2,1/(单次交易!$A$2:$A$201=A381),单次交易!$E$2:$E$201)*LOOKUP(2,1/(单次交易!$A$2:$A$201=A381),单次交易!$H$2:$H$201),0)+SUMIFS($H$2:$H$1001,$A$2:$A$1001,A381,$B$2:$B$1001,"&lt;"&amp;B381))</f>
        <v/>
      </c>
      <c r="K381" s="24" t="str">
        <f aca="false">IF(OR(E381="",I381="",J381=""),"",MAX(E381*I381-J381,0))</f>
        <v/>
      </c>
      <c r="L381" s="25" t="str">
        <f aca="false">IF(OR(D381="",E381="",F381="",D381&lt;=E381),"",FLOOR((F381+K381)/(D381-E381),100))</f>
        <v/>
      </c>
      <c r="M381" s="25" t="str">
        <f aca="false">IF(OR(A381="",B381="",L381=""),"",IF(B381=1,L381,IFERROR(SUMIFS($G$2:$G$1001,$A$2:$A$1001,A381,$B$2:$B$1001,B381-1),0)))</f>
        <v/>
      </c>
      <c r="N381" s="25" t="str">
        <f aca="false">IF(OR(L381="",M381=""),"",MIN(L381,M381))</f>
        <v/>
      </c>
      <c r="O381" s="25" t="str">
        <f aca="false">IF(OR(I381="",G381=""),"",I381+G381)</f>
        <v/>
      </c>
      <c r="P381" s="24" t="str">
        <f aca="false">IF(OR(O381="",O381=0),"",(J381+H381)/O381)</f>
        <v/>
      </c>
      <c r="Q381" s="24" t="str">
        <f aca="false">IF(OR(O381="",E381=""),"",MAX(J381+H381-E381*O381,0))</f>
        <v/>
      </c>
      <c r="R381" s="26" t="str">
        <f aca="false">IF(A381="","",IF(COUNTIF(_TradeIds,A381)=0,"违规：交易编号不存在",IF(OR(B381="",B381&lt;1,B381&gt;5,B381&lt;&gt;INT(B381)),"违规：加仓序号须为1到5的整数",IF(COUNTIFS($A$2:$A$1001,A381,$B$2:$B$1001,B381)&gt;1,"违规：同一交易的加仓序号重复",IF(OR(D381="",E381="",F381=""),"计划不完整：请填写加仓价、新止损价和风险预算",IF(OR(D381&lt;=0,E381&lt;=0,F381&lt;=0,D381&lt;=E381),"违规：加仓价必须高于新止损价，金额须大于0",IF(AND(B381&gt;1,COUNTIFS($A$2:$A$1001,A381,$B$2:$B$1001,B381-1,$G$2:$G$1001,"&gt;0")=0),"违规：须先完成上一次加仓",IF(AND(B381&gt;1,E381&lt;SUMIFS($E$2:$E$1001,$A$2:$A$1001,A381,$B$2:$B$1001,B381-1)),"违规：新止损价不得低于上一次",IF(AND(B381&gt;1,F381&gt;SUMIFS($F$2:$F$1001,$A$2:$A$1001,A381,$B$2:$B$1001,B381-1)),"违规：风险预算须逐次不增加",IF(OR(_LockStatus="已锁仓",_LockStatus="解锁信息不完整"),"违规：锁仓期间禁止加仓",IF(G381="","计划可执行：建议股数见N列",IF(OR(G381&lt;=0,G381&lt;&gt;INT(G381),MOD(G381,100)&lt;&gt;0),"违规：实际股数须为100股整数倍",IF(G381&gt;N381,"违规：实际股数超过风险或金字塔上限",IF(AND(B381&gt;1,G381&gt;SUMIFS($G$2:$G$1001,$A$2:$A$1001,A381,$B$2:$B$1001,B381-1)),"违规：加仓股数须逐次不增加",IF(Q381&gt;F381,"违规：止损风险超过本次预算","通过")))))))))))))))</f>
        <v/>
      </c>
    </row>
    <row r="382" customFormat="false" ht="15" hidden="false" customHeight="false" outlineLevel="0" collapsed="false">
      <c r="A382" s="20"/>
      <c r="B382" s="21"/>
      <c r="C382" s="22"/>
      <c r="D382" s="23"/>
      <c r="E382" s="23"/>
      <c r="F382" s="23"/>
      <c r="G382" s="21"/>
      <c r="H382" s="24" t="str">
        <f aca="false">IF(OR(A382="",D382="",G382=""),"",D382*G382)</f>
        <v/>
      </c>
      <c r="I382" s="25" t="str">
        <f aca="false">IF(OR(A382="",B382=""),"",IFERROR(LOOKUP(2,1/(单次交易!$A$2:$A$201=A382),单次交易!$H$2:$H$201),0)+SUMIFS($G$2:$G$1001,$A$2:$A$1001,A382,$B$2:$B$1001,"&lt;"&amp;B382))</f>
        <v/>
      </c>
      <c r="J382" s="24" t="str">
        <f aca="false">IF(OR(A382="",B382=""),"",IFERROR(LOOKUP(2,1/(单次交易!$A$2:$A$201=A382),单次交易!$E$2:$E$201)*LOOKUP(2,1/(单次交易!$A$2:$A$201=A382),单次交易!$H$2:$H$201),0)+SUMIFS($H$2:$H$1001,$A$2:$A$1001,A382,$B$2:$B$1001,"&lt;"&amp;B382))</f>
        <v/>
      </c>
      <c r="K382" s="24" t="str">
        <f aca="false">IF(OR(E382="",I382="",J382=""),"",MAX(E382*I382-J382,0))</f>
        <v/>
      </c>
      <c r="L382" s="25" t="str">
        <f aca="false">IF(OR(D382="",E382="",F382="",D382&lt;=E382),"",FLOOR((F382+K382)/(D382-E382),100))</f>
        <v/>
      </c>
      <c r="M382" s="25" t="str">
        <f aca="false">IF(OR(A382="",B382="",L382=""),"",IF(B382=1,L382,IFERROR(SUMIFS($G$2:$G$1001,$A$2:$A$1001,A382,$B$2:$B$1001,B382-1),0)))</f>
        <v/>
      </c>
      <c r="N382" s="25" t="str">
        <f aca="false">IF(OR(L382="",M382=""),"",MIN(L382,M382))</f>
        <v/>
      </c>
      <c r="O382" s="25" t="str">
        <f aca="false">IF(OR(I382="",G382=""),"",I382+G382)</f>
        <v/>
      </c>
      <c r="P382" s="24" t="str">
        <f aca="false">IF(OR(O382="",O382=0),"",(J382+H382)/O382)</f>
        <v/>
      </c>
      <c r="Q382" s="24" t="str">
        <f aca="false">IF(OR(O382="",E382=""),"",MAX(J382+H382-E382*O382,0))</f>
        <v/>
      </c>
      <c r="R382" s="26" t="str">
        <f aca="false">IF(A382="","",IF(COUNTIF(_TradeIds,A382)=0,"违规：交易编号不存在",IF(OR(B382="",B382&lt;1,B382&gt;5,B382&lt;&gt;INT(B382)),"违规：加仓序号须为1到5的整数",IF(COUNTIFS($A$2:$A$1001,A382,$B$2:$B$1001,B382)&gt;1,"违规：同一交易的加仓序号重复",IF(OR(D382="",E382="",F382=""),"计划不完整：请填写加仓价、新止损价和风险预算",IF(OR(D382&lt;=0,E382&lt;=0,F382&lt;=0,D382&lt;=E382),"违规：加仓价必须高于新止损价，金额须大于0",IF(AND(B382&gt;1,COUNTIFS($A$2:$A$1001,A382,$B$2:$B$1001,B382-1,$G$2:$G$1001,"&gt;0")=0),"违规：须先完成上一次加仓",IF(AND(B382&gt;1,E382&lt;SUMIFS($E$2:$E$1001,$A$2:$A$1001,A382,$B$2:$B$1001,B382-1)),"违规：新止损价不得低于上一次",IF(AND(B382&gt;1,F382&gt;SUMIFS($F$2:$F$1001,$A$2:$A$1001,A382,$B$2:$B$1001,B382-1)),"违规：风险预算须逐次不增加",IF(OR(_LockStatus="已锁仓",_LockStatus="解锁信息不完整"),"违规：锁仓期间禁止加仓",IF(G382="","计划可执行：建议股数见N列",IF(OR(G382&lt;=0,G382&lt;&gt;INT(G382),MOD(G382,100)&lt;&gt;0),"违规：实际股数须为100股整数倍",IF(G382&gt;N382,"违规：实际股数超过风险或金字塔上限",IF(AND(B382&gt;1,G382&gt;SUMIFS($G$2:$G$1001,$A$2:$A$1001,A382,$B$2:$B$1001,B382-1)),"违规：加仓股数须逐次不增加",IF(Q382&gt;F382,"违规：止损风险超过本次预算","通过")))))))))))))))</f>
        <v/>
      </c>
    </row>
    <row r="383" customFormat="false" ht="15" hidden="false" customHeight="false" outlineLevel="0" collapsed="false">
      <c r="A383" s="20"/>
      <c r="B383" s="21"/>
      <c r="C383" s="22"/>
      <c r="D383" s="23"/>
      <c r="E383" s="23"/>
      <c r="F383" s="23"/>
      <c r="G383" s="21"/>
      <c r="H383" s="24" t="str">
        <f aca="false">IF(OR(A383="",D383="",G383=""),"",D383*G383)</f>
        <v/>
      </c>
      <c r="I383" s="25" t="str">
        <f aca="false">IF(OR(A383="",B383=""),"",IFERROR(LOOKUP(2,1/(单次交易!$A$2:$A$201=A383),单次交易!$H$2:$H$201),0)+SUMIFS($G$2:$G$1001,$A$2:$A$1001,A383,$B$2:$B$1001,"&lt;"&amp;B383))</f>
        <v/>
      </c>
      <c r="J383" s="24" t="str">
        <f aca="false">IF(OR(A383="",B383=""),"",IFERROR(LOOKUP(2,1/(单次交易!$A$2:$A$201=A383),单次交易!$E$2:$E$201)*LOOKUP(2,1/(单次交易!$A$2:$A$201=A383),单次交易!$H$2:$H$201),0)+SUMIFS($H$2:$H$1001,$A$2:$A$1001,A383,$B$2:$B$1001,"&lt;"&amp;B383))</f>
        <v/>
      </c>
      <c r="K383" s="24" t="str">
        <f aca="false">IF(OR(E383="",I383="",J383=""),"",MAX(E383*I383-J383,0))</f>
        <v/>
      </c>
      <c r="L383" s="25" t="str">
        <f aca="false">IF(OR(D383="",E383="",F383="",D383&lt;=E383),"",FLOOR((F383+K383)/(D383-E383),100))</f>
        <v/>
      </c>
      <c r="M383" s="25" t="str">
        <f aca="false">IF(OR(A383="",B383="",L383=""),"",IF(B383=1,L383,IFERROR(SUMIFS($G$2:$G$1001,$A$2:$A$1001,A383,$B$2:$B$1001,B383-1),0)))</f>
        <v/>
      </c>
      <c r="N383" s="25" t="str">
        <f aca="false">IF(OR(L383="",M383=""),"",MIN(L383,M383))</f>
        <v/>
      </c>
      <c r="O383" s="25" t="str">
        <f aca="false">IF(OR(I383="",G383=""),"",I383+G383)</f>
        <v/>
      </c>
      <c r="P383" s="24" t="str">
        <f aca="false">IF(OR(O383="",O383=0),"",(J383+H383)/O383)</f>
        <v/>
      </c>
      <c r="Q383" s="24" t="str">
        <f aca="false">IF(OR(O383="",E383=""),"",MAX(J383+H383-E383*O383,0))</f>
        <v/>
      </c>
      <c r="R383" s="26" t="str">
        <f aca="false">IF(A383="","",IF(COUNTIF(_TradeIds,A383)=0,"违规：交易编号不存在",IF(OR(B383="",B383&lt;1,B383&gt;5,B383&lt;&gt;INT(B383)),"违规：加仓序号须为1到5的整数",IF(COUNTIFS($A$2:$A$1001,A383,$B$2:$B$1001,B383)&gt;1,"违规：同一交易的加仓序号重复",IF(OR(D383="",E383="",F383=""),"计划不完整：请填写加仓价、新止损价和风险预算",IF(OR(D383&lt;=0,E383&lt;=0,F383&lt;=0,D383&lt;=E383),"违规：加仓价必须高于新止损价，金额须大于0",IF(AND(B383&gt;1,COUNTIFS($A$2:$A$1001,A383,$B$2:$B$1001,B383-1,$G$2:$G$1001,"&gt;0")=0),"违规：须先完成上一次加仓",IF(AND(B383&gt;1,E383&lt;SUMIFS($E$2:$E$1001,$A$2:$A$1001,A383,$B$2:$B$1001,B383-1)),"违规：新止损价不得低于上一次",IF(AND(B383&gt;1,F383&gt;SUMIFS($F$2:$F$1001,$A$2:$A$1001,A383,$B$2:$B$1001,B383-1)),"违规：风险预算须逐次不增加",IF(OR(_LockStatus="已锁仓",_LockStatus="解锁信息不完整"),"违规：锁仓期间禁止加仓",IF(G383="","计划可执行：建议股数见N列",IF(OR(G383&lt;=0,G383&lt;&gt;INT(G383),MOD(G383,100)&lt;&gt;0),"违规：实际股数须为100股整数倍",IF(G383&gt;N383,"违规：实际股数超过风险或金字塔上限",IF(AND(B383&gt;1,G383&gt;SUMIFS($G$2:$G$1001,$A$2:$A$1001,A383,$B$2:$B$1001,B383-1)),"违规：加仓股数须逐次不增加",IF(Q383&gt;F383,"违规：止损风险超过本次预算","通过")))))))))))))))</f>
        <v/>
      </c>
    </row>
    <row r="384" customFormat="false" ht="15" hidden="false" customHeight="false" outlineLevel="0" collapsed="false">
      <c r="A384" s="20"/>
      <c r="B384" s="21"/>
      <c r="C384" s="22"/>
      <c r="D384" s="23"/>
      <c r="E384" s="23"/>
      <c r="F384" s="23"/>
      <c r="G384" s="21"/>
      <c r="H384" s="24" t="str">
        <f aca="false">IF(OR(A384="",D384="",G384=""),"",D384*G384)</f>
        <v/>
      </c>
      <c r="I384" s="25" t="str">
        <f aca="false">IF(OR(A384="",B384=""),"",IFERROR(LOOKUP(2,1/(单次交易!$A$2:$A$201=A384),单次交易!$H$2:$H$201),0)+SUMIFS($G$2:$G$1001,$A$2:$A$1001,A384,$B$2:$B$1001,"&lt;"&amp;B384))</f>
        <v/>
      </c>
      <c r="J384" s="24" t="str">
        <f aca="false">IF(OR(A384="",B384=""),"",IFERROR(LOOKUP(2,1/(单次交易!$A$2:$A$201=A384),单次交易!$E$2:$E$201)*LOOKUP(2,1/(单次交易!$A$2:$A$201=A384),单次交易!$H$2:$H$201),0)+SUMIFS($H$2:$H$1001,$A$2:$A$1001,A384,$B$2:$B$1001,"&lt;"&amp;B384))</f>
        <v/>
      </c>
      <c r="K384" s="24" t="str">
        <f aca="false">IF(OR(E384="",I384="",J384=""),"",MAX(E384*I384-J384,0))</f>
        <v/>
      </c>
      <c r="L384" s="25" t="str">
        <f aca="false">IF(OR(D384="",E384="",F384="",D384&lt;=E384),"",FLOOR((F384+K384)/(D384-E384),100))</f>
        <v/>
      </c>
      <c r="M384" s="25" t="str">
        <f aca="false">IF(OR(A384="",B384="",L384=""),"",IF(B384=1,L384,IFERROR(SUMIFS($G$2:$G$1001,$A$2:$A$1001,A384,$B$2:$B$1001,B384-1),0)))</f>
        <v/>
      </c>
      <c r="N384" s="25" t="str">
        <f aca="false">IF(OR(L384="",M384=""),"",MIN(L384,M384))</f>
        <v/>
      </c>
      <c r="O384" s="25" t="str">
        <f aca="false">IF(OR(I384="",G384=""),"",I384+G384)</f>
        <v/>
      </c>
      <c r="P384" s="24" t="str">
        <f aca="false">IF(OR(O384="",O384=0),"",(J384+H384)/O384)</f>
        <v/>
      </c>
      <c r="Q384" s="24" t="str">
        <f aca="false">IF(OR(O384="",E384=""),"",MAX(J384+H384-E384*O384,0))</f>
        <v/>
      </c>
      <c r="R384" s="26" t="str">
        <f aca="false">IF(A384="","",IF(COUNTIF(_TradeIds,A384)=0,"违规：交易编号不存在",IF(OR(B384="",B384&lt;1,B384&gt;5,B384&lt;&gt;INT(B384)),"违规：加仓序号须为1到5的整数",IF(COUNTIFS($A$2:$A$1001,A384,$B$2:$B$1001,B384)&gt;1,"违规：同一交易的加仓序号重复",IF(OR(D384="",E384="",F384=""),"计划不完整：请填写加仓价、新止损价和风险预算",IF(OR(D384&lt;=0,E384&lt;=0,F384&lt;=0,D384&lt;=E384),"违规：加仓价必须高于新止损价，金额须大于0",IF(AND(B384&gt;1,COUNTIFS($A$2:$A$1001,A384,$B$2:$B$1001,B384-1,$G$2:$G$1001,"&gt;0")=0),"违规：须先完成上一次加仓",IF(AND(B384&gt;1,E384&lt;SUMIFS($E$2:$E$1001,$A$2:$A$1001,A384,$B$2:$B$1001,B384-1)),"违规：新止损价不得低于上一次",IF(AND(B384&gt;1,F384&gt;SUMIFS($F$2:$F$1001,$A$2:$A$1001,A384,$B$2:$B$1001,B384-1)),"违规：风险预算须逐次不增加",IF(OR(_LockStatus="已锁仓",_LockStatus="解锁信息不完整"),"违规：锁仓期间禁止加仓",IF(G384="","计划可执行：建议股数见N列",IF(OR(G384&lt;=0,G384&lt;&gt;INT(G384),MOD(G384,100)&lt;&gt;0),"违规：实际股数须为100股整数倍",IF(G384&gt;N384,"违规：实际股数超过风险或金字塔上限",IF(AND(B384&gt;1,G384&gt;SUMIFS($G$2:$G$1001,$A$2:$A$1001,A384,$B$2:$B$1001,B384-1)),"违规：加仓股数须逐次不增加",IF(Q384&gt;F384,"违规：止损风险超过本次预算","通过")))))))))))))))</f>
        <v/>
      </c>
    </row>
    <row r="385" customFormat="false" ht="15" hidden="false" customHeight="false" outlineLevel="0" collapsed="false">
      <c r="A385" s="20"/>
      <c r="B385" s="21"/>
      <c r="C385" s="22"/>
      <c r="D385" s="23"/>
      <c r="E385" s="23"/>
      <c r="F385" s="23"/>
      <c r="G385" s="21"/>
      <c r="H385" s="24" t="str">
        <f aca="false">IF(OR(A385="",D385="",G385=""),"",D385*G385)</f>
        <v/>
      </c>
      <c r="I385" s="25" t="str">
        <f aca="false">IF(OR(A385="",B385=""),"",IFERROR(LOOKUP(2,1/(单次交易!$A$2:$A$201=A385),单次交易!$H$2:$H$201),0)+SUMIFS($G$2:$G$1001,$A$2:$A$1001,A385,$B$2:$B$1001,"&lt;"&amp;B385))</f>
        <v/>
      </c>
      <c r="J385" s="24" t="str">
        <f aca="false">IF(OR(A385="",B385=""),"",IFERROR(LOOKUP(2,1/(单次交易!$A$2:$A$201=A385),单次交易!$E$2:$E$201)*LOOKUP(2,1/(单次交易!$A$2:$A$201=A385),单次交易!$H$2:$H$201),0)+SUMIFS($H$2:$H$1001,$A$2:$A$1001,A385,$B$2:$B$1001,"&lt;"&amp;B385))</f>
        <v/>
      </c>
      <c r="K385" s="24" t="str">
        <f aca="false">IF(OR(E385="",I385="",J385=""),"",MAX(E385*I385-J385,0))</f>
        <v/>
      </c>
      <c r="L385" s="25" t="str">
        <f aca="false">IF(OR(D385="",E385="",F385="",D385&lt;=E385),"",FLOOR((F385+K385)/(D385-E385),100))</f>
        <v/>
      </c>
      <c r="M385" s="25" t="str">
        <f aca="false">IF(OR(A385="",B385="",L385=""),"",IF(B385=1,L385,IFERROR(SUMIFS($G$2:$G$1001,$A$2:$A$1001,A385,$B$2:$B$1001,B385-1),0)))</f>
        <v/>
      </c>
      <c r="N385" s="25" t="str">
        <f aca="false">IF(OR(L385="",M385=""),"",MIN(L385,M385))</f>
        <v/>
      </c>
      <c r="O385" s="25" t="str">
        <f aca="false">IF(OR(I385="",G385=""),"",I385+G385)</f>
        <v/>
      </c>
      <c r="P385" s="24" t="str">
        <f aca="false">IF(OR(O385="",O385=0),"",(J385+H385)/O385)</f>
        <v/>
      </c>
      <c r="Q385" s="24" t="str">
        <f aca="false">IF(OR(O385="",E385=""),"",MAX(J385+H385-E385*O385,0))</f>
        <v/>
      </c>
      <c r="R385" s="26" t="str">
        <f aca="false">IF(A385="","",IF(COUNTIF(_TradeIds,A385)=0,"违规：交易编号不存在",IF(OR(B385="",B385&lt;1,B385&gt;5,B385&lt;&gt;INT(B385)),"违规：加仓序号须为1到5的整数",IF(COUNTIFS($A$2:$A$1001,A385,$B$2:$B$1001,B385)&gt;1,"违规：同一交易的加仓序号重复",IF(OR(D385="",E385="",F385=""),"计划不完整：请填写加仓价、新止损价和风险预算",IF(OR(D385&lt;=0,E385&lt;=0,F385&lt;=0,D385&lt;=E385),"违规：加仓价必须高于新止损价，金额须大于0",IF(AND(B385&gt;1,COUNTIFS($A$2:$A$1001,A385,$B$2:$B$1001,B385-1,$G$2:$G$1001,"&gt;0")=0),"违规：须先完成上一次加仓",IF(AND(B385&gt;1,E385&lt;SUMIFS($E$2:$E$1001,$A$2:$A$1001,A385,$B$2:$B$1001,B385-1)),"违规：新止损价不得低于上一次",IF(AND(B385&gt;1,F385&gt;SUMIFS($F$2:$F$1001,$A$2:$A$1001,A385,$B$2:$B$1001,B385-1)),"违规：风险预算须逐次不增加",IF(OR(_LockStatus="已锁仓",_LockStatus="解锁信息不完整"),"违规：锁仓期间禁止加仓",IF(G385="","计划可执行：建议股数见N列",IF(OR(G385&lt;=0,G385&lt;&gt;INT(G385),MOD(G385,100)&lt;&gt;0),"违规：实际股数须为100股整数倍",IF(G385&gt;N385,"违规：实际股数超过风险或金字塔上限",IF(AND(B385&gt;1,G385&gt;SUMIFS($G$2:$G$1001,$A$2:$A$1001,A385,$B$2:$B$1001,B385-1)),"违规：加仓股数须逐次不增加",IF(Q385&gt;F385,"违规：止损风险超过本次预算","通过")))))))))))))))</f>
        <v/>
      </c>
    </row>
    <row r="386" customFormat="false" ht="15" hidden="false" customHeight="false" outlineLevel="0" collapsed="false">
      <c r="A386" s="20"/>
      <c r="B386" s="21"/>
      <c r="C386" s="22"/>
      <c r="D386" s="23"/>
      <c r="E386" s="23"/>
      <c r="F386" s="23"/>
      <c r="G386" s="21"/>
      <c r="H386" s="24" t="str">
        <f aca="false">IF(OR(A386="",D386="",G386=""),"",D386*G386)</f>
        <v/>
      </c>
      <c r="I386" s="25" t="str">
        <f aca="false">IF(OR(A386="",B386=""),"",IFERROR(LOOKUP(2,1/(单次交易!$A$2:$A$201=A386),单次交易!$H$2:$H$201),0)+SUMIFS($G$2:$G$1001,$A$2:$A$1001,A386,$B$2:$B$1001,"&lt;"&amp;B386))</f>
        <v/>
      </c>
      <c r="J386" s="24" t="str">
        <f aca="false">IF(OR(A386="",B386=""),"",IFERROR(LOOKUP(2,1/(单次交易!$A$2:$A$201=A386),单次交易!$E$2:$E$201)*LOOKUP(2,1/(单次交易!$A$2:$A$201=A386),单次交易!$H$2:$H$201),0)+SUMIFS($H$2:$H$1001,$A$2:$A$1001,A386,$B$2:$B$1001,"&lt;"&amp;B386))</f>
        <v/>
      </c>
      <c r="K386" s="24" t="str">
        <f aca="false">IF(OR(E386="",I386="",J386=""),"",MAX(E386*I386-J386,0))</f>
        <v/>
      </c>
      <c r="L386" s="25" t="str">
        <f aca="false">IF(OR(D386="",E386="",F386="",D386&lt;=E386),"",FLOOR((F386+K386)/(D386-E386),100))</f>
        <v/>
      </c>
      <c r="M386" s="25" t="str">
        <f aca="false">IF(OR(A386="",B386="",L386=""),"",IF(B386=1,L386,IFERROR(SUMIFS($G$2:$G$1001,$A$2:$A$1001,A386,$B$2:$B$1001,B386-1),0)))</f>
        <v/>
      </c>
      <c r="N386" s="25" t="str">
        <f aca="false">IF(OR(L386="",M386=""),"",MIN(L386,M386))</f>
        <v/>
      </c>
      <c r="O386" s="25" t="str">
        <f aca="false">IF(OR(I386="",G386=""),"",I386+G386)</f>
        <v/>
      </c>
      <c r="P386" s="24" t="str">
        <f aca="false">IF(OR(O386="",O386=0),"",(J386+H386)/O386)</f>
        <v/>
      </c>
      <c r="Q386" s="24" t="str">
        <f aca="false">IF(OR(O386="",E386=""),"",MAX(J386+H386-E386*O386,0))</f>
        <v/>
      </c>
      <c r="R386" s="26" t="str">
        <f aca="false">IF(A386="","",IF(COUNTIF(_TradeIds,A386)=0,"违规：交易编号不存在",IF(OR(B386="",B386&lt;1,B386&gt;5,B386&lt;&gt;INT(B386)),"违规：加仓序号须为1到5的整数",IF(COUNTIFS($A$2:$A$1001,A386,$B$2:$B$1001,B386)&gt;1,"违规：同一交易的加仓序号重复",IF(OR(D386="",E386="",F386=""),"计划不完整：请填写加仓价、新止损价和风险预算",IF(OR(D386&lt;=0,E386&lt;=0,F386&lt;=0,D386&lt;=E386),"违规：加仓价必须高于新止损价，金额须大于0",IF(AND(B386&gt;1,COUNTIFS($A$2:$A$1001,A386,$B$2:$B$1001,B386-1,$G$2:$G$1001,"&gt;0")=0),"违规：须先完成上一次加仓",IF(AND(B386&gt;1,E386&lt;SUMIFS($E$2:$E$1001,$A$2:$A$1001,A386,$B$2:$B$1001,B386-1)),"违规：新止损价不得低于上一次",IF(AND(B386&gt;1,F386&gt;SUMIFS($F$2:$F$1001,$A$2:$A$1001,A386,$B$2:$B$1001,B386-1)),"违规：风险预算须逐次不增加",IF(OR(_LockStatus="已锁仓",_LockStatus="解锁信息不完整"),"违规：锁仓期间禁止加仓",IF(G386="","计划可执行：建议股数见N列",IF(OR(G386&lt;=0,G386&lt;&gt;INT(G386),MOD(G386,100)&lt;&gt;0),"违规：实际股数须为100股整数倍",IF(G386&gt;N386,"违规：实际股数超过风险或金字塔上限",IF(AND(B386&gt;1,G386&gt;SUMIFS($G$2:$G$1001,$A$2:$A$1001,A386,$B$2:$B$1001,B386-1)),"违规：加仓股数须逐次不增加",IF(Q386&gt;F386,"违规：止损风险超过本次预算","通过")))))))))))))))</f>
        <v/>
      </c>
    </row>
    <row r="387" customFormat="false" ht="15" hidden="false" customHeight="false" outlineLevel="0" collapsed="false">
      <c r="A387" s="20"/>
      <c r="B387" s="21"/>
      <c r="C387" s="22"/>
      <c r="D387" s="23"/>
      <c r="E387" s="23"/>
      <c r="F387" s="23"/>
      <c r="G387" s="21"/>
      <c r="H387" s="24" t="str">
        <f aca="false">IF(OR(A387="",D387="",G387=""),"",D387*G387)</f>
        <v/>
      </c>
      <c r="I387" s="25" t="str">
        <f aca="false">IF(OR(A387="",B387=""),"",IFERROR(LOOKUP(2,1/(单次交易!$A$2:$A$201=A387),单次交易!$H$2:$H$201),0)+SUMIFS($G$2:$G$1001,$A$2:$A$1001,A387,$B$2:$B$1001,"&lt;"&amp;B387))</f>
        <v/>
      </c>
      <c r="J387" s="24" t="str">
        <f aca="false">IF(OR(A387="",B387=""),"",IFERROR(LOOKUP(2,1/(单次交易!$A$2:$A$201=A387),单次交易!$E$2:$E$201)*LOOKUP(2,1/(单次交易!$A$2:$A$201=A387),单次交易!$H$2:$H$201),0)+SUMIFS($H$2:$H$1001,$A$2:$A$1001,A387,$B$2:$B$1001,"&lt;"&amp;B387))</f>
        <v/>
      </c>
      <c r="K387" s="24" t="str">
        <f aca="false">IF(OR(E387="",I387="",J387=""),"",MAX(E387*I387-J387,0))</f>
        <v/>
      </c>
      <c r="L387" s="25" t="str">
        <f aca="false">IF(OR(D387="",E387="",F387="",D387&lt;=E387),"",FLOOR((F387+K387)/(D387-E387),100))</f>
        <v/>
      </c>
      <c r="M387" s="25" t="str">
        <f aca="false">IF(OR(A387="",B387="",L387=""),"",IF(B387=1,L387,IFERROR(SUMIFS($G$2:$G$1001,$A$2:$A$1001,A387,$B$2:$B$1001,B387-1),0)))</f>
        <v/>
      </c>
      <c r="N387" s="25" t="str">
        <f aca="false">IF(OR(L387="",M387=""),"",MIN(L387,M387))</f>
        <v/>
      </c>
      <c r="O387" s="25" t="str">
        <f aca="false">IF(OR(I387="",G387=""),"",I387+G387)</f>
        <v/>
      </c>
      <c r="P387" s="24" t="str">
        <f aca="false">IF(OR(O387="",O387=0),"",(J387+H387)/O387)</f>
        <v/>
      </c>
      <c r="Q387" s="24" t="str">
        <f aca="false">IF(OR(O387="",E387=""),"",MAX(J387+H387-E387*O387,0))</f>
        <v/>
      </c>
      <c r="R387" s="26" t="str">
        <f aca="false">IF(A387="","",IF(COUNTIF(_TradeIds,A387)=0,"违规：交易编号不存在",IF(OR(B387="",B387&lt;1,B387&gt;5,B387&lt;&gt;INT(B387)),"违规：加仓序号须为1到5的整数",IF(COUNTIFS($A$2:$A$1001,A387,$B$2:$B$1001,B387)&gt;1,"违规：同一交易的加仓序号重复",IF(OR(D387="",E387="",F387=""),"计划不完整：请填写加仓价、新止损价和风险预算",IF(OR(D387&lt;=0,E387&lt;=0,F387&lt;=0,D387&lt;=E387),"违规：加仓价必须高于新止损价，金额须大于0",IF(AND(B387&gt;1,COUNTIFS($A$2:$A$1001,A387,$B$2:$B$1001,B387-1,$G$2:$G$1001,"&gt;0")=0),"违规：须先完成上一次加仓",IF(AND(B387&gt;1,E387&lt;SUMIFS($E$2:$E$1001,$A$2:$A$1001,A387,$B$2:$B$1001,B387-1)),"违规：新止损价不得低于上一次",IF(AND(B387&gt;1,F387&gt;SUMIFS($F$2:$F$1001,$A$2:$A$1001,A387,$B$2:$B$1001,B387-1)),"违规：风险预算须逐次不增加",IF(OR(_LockStatus="已锁仓",_LockStatus="解锁信息不完整"),"违规：锁仓期间禁止加仓",IF(G387="","计划可执行：建议股数见N列",IF(OR(G387&lt;=0,G387&lt;&gt;INT(G387),MOD(G387,100)&lt;&gt;0),"违规：实际股数须为100股整数倍",IF(G387&gt;N387,"违规：实际股数超过风险或金字塔上限",IF(AND(B387&gt;1,G387&gt;SUMIFS($G$2:$G$1001,$A$2:$A$1001,A387,$B$2:$B$1001,B387-1)),"违规：加仓股数须逐次不增加",IF(Q387&gt;F387,"违规：止损风险超过本次预算","通过")))))))))))))))</f>
        <v/>
      </c>
    </row>
    <row r="388" customFormat="false" ht="15" hidden="false" customHeight="false" outlineLevel="0" collapsed="false">
      <c r="A388" s="20"/>
      <c r="B388" s="21"/>
      <c r="C388" s="22"/>
      <c r="D388" s="23"/>
      <c r="E388" s="23"/>
      <c r="F388" s="23"/>
      <c r="G388" s="21"/>
      <c r="H388" s="24" t="str">
        <f aca="false">IF(OR(A388="",D388="",G388=""),"",D388*G388)</f>
        <v/>
      </c>
      <c r="I388" s="25" t="str">
        <f aca="false">IF(OR(A388="",B388=""),"",IFERROR(LOOKUP(2,1/(单次交易!$A$2:$A$201=A388),单次交易!$H$2:$H$201),0)+SUMIFS($G$2:$G$1001,$A$2:$A$1001,A388,$B$2:$B$1001,"&lt;"&amp;B388))</f>
        <v/>
      </c>
      <c r="J388" s="24" t="str">
        <f aca="false">IF(OR(A388="",B388=""),"",IFERROR(LOOKUP(2,1/(单次交易!$A$2:$A$201=A388),单次交易!$E$2:$E$201)*LOOKUP(2,1/(单次交易!$A$2:$A$201=A388),单次交易!$H$2:$H$201),0)+SUMIFS($H$2:$H$1001,$A$2:$A$1001,A388,$B$2:$B$1001,"&lt;"&amp;B388))</f>
        <v/>
      </c>
      <c r="K388" s="24" t="str">
        <f aca="false">IF(OR(E388="",I388="",J388=""),"",MAX(E388*I388-J388,0))</f>
        <v/>
      </c>
      <c r="L388" s="25" t="str">
        <f aca="false">IF(OR(D388="",E388="",F388="",D388&lt;=E388),"",FLOOR((F388+K388)/(D388-E388),100))</f>
        <v/>
      </c>
      <c r="M388" s="25" t="str">
        <f aca="false">IF(OR(A388="",B388="",L388=""),"",IF(B388=1,L388,IFERROR(SUMIFS($G$2:$G$1001,$A$2:$A$1001,A388,$B$2:$B$1001,B388-1),0)))</f>
        <v/>
      </c>
      <c r="N388" s="25" t="str">
        <f aca="false">IF(OR(L388="",M388=""),"",MIN(L388,M388))</f>
        <v/>
      </c>
      <c r="O388" s="25" t="str">
        <f aca="false">IF(OR(I388="",G388=""),"",I388+G388)</f>
        <v/>
      </c>
      <c r="P388" s="24" t="str">
        <f aca="false">IF(OR(O388="",O388=0),"",(J388+H388)/O388)</f>
        <v/>
      </c>
      <c r="Q388" s="24" t="str">
        <f aca="false">IF(OR(O388="",E388=""),"",MAX(J388+H388-E388*O388,0))</f>
        <v/>
      </c>
      <c r="R388" s="26" t="str">
        <f aca="false">IF(A388="","",IF(COUNTIF(_TradeIds,A388)=0,"违规：交易编号不存在",IF(OR(B388="",B388&lt;1,B388&gt;5,B388&lt;&gt;INT(B388)),"违规：加仓序号须为1到5的整数",IF(COUNTIFS($A$2:$A$1001,A388,$B$2:$B$1001,B388)&gt;1,"违规：同一交易的加仓序号重复",IF(OR(D388="",E388="",F388=""),"计划不完整：请填写加仓价、新止损价和风险预算",IF(OR(D388&lt;=0,E388&lt;=0,F388&lt;=0,D388&lt;=E388),"违规：加仓价必须高于新止损价，金额须大于0",IF(AND(B388&gt;1,COUNTIFS($A$2:$A$1001,A388,$B$2:$B$1001,B388-1,$G$2:$G$1001,"&gt;0")=0),"违规：须先完成上一次加仓",IF(AND(B388&gt;1,E388&lt;SUMIFS($E$2:$E$1001,$A$2:$A$1001,A388,$B$2:$B$1001,B388-1)),"违规：新止损价不得低于上一次",IF(AND(B388&gt;1,F388&gt;SUMIFS($F$2:$F$1001,$A$2:$A$1001,A388,$B$2:$B$1001,B388-1)),"违规：风险预算须逐次不增加",IF(OR(_LockStatus="已锁仓",_LockStatus="解锁信息不完整"),"违规：锁仓期间禁止加仓",IF(G388="","计划可执行：建议股数见N列",IF(OR(G388&lt;=0,G388&lt;&gt;INT(G388),MOD(G388,100)&lt;&gt;0),"违规：实际股数须为100股整数倍",IF(G388&gt;N388,"违规：实际股数超过风险或金字塔上限",IF(AND(B388&gt;1,G388&gt;SUMIFS($G$2:$G$1001,$A$2:$A$1001,A388,$B$2:$B$1001,B388-1)),"违规：加仓股数须逐次不增加",IF(Q388&gt;F388,"违规：止损风险超过本次预算","通过")))))))))))))))</f>
        <v/>
      </c>
    </row>
    <row r="389" customFormat="false" ht="15" hidden="false" customHeight="false" outlineLevel="0" collapsed="false">
      <c r="A389" s="20"/>
      <c r="B389" s="21"/>
      <c r="C389" s="22"/>
      <c r="D389" s="23"/>
      <c r="E389" s="23"/>
      <c r="F389" s="23"/>
      <c r="G389" s="21"/>
      <c r="H389" s="24" t="str">
        <f aca="false">IF(OR(A389="",D389="",G389=""),"",D389*G389)</f>
        <v/>
      </c>
      <c r="I389" s="25" t="str">
        <f aca="false">IF(OR(A389="",B389=""),"",IFERROR(LOOKUP(2,1/(单次交易!$A$2:$A$201=A389),单次交易!$H$2:$H$201),0)+SUMIFS($G$2:$G$1001,$A$2:$A$1001,A389,$B$2:$B$1001,"&lt;"&amp;B389))</f>
        <v/>
      </c>
      <c r="J389" s="24" t="str">
        <f aca="false">IF(OR(A389="",B389=""),"",IFERROR(LOOKUP(2,1/(单次交易!$A$2:$A$201=A389),单次交易!$E$2:$E$201)*LOOKUP(2,1/(单次交易!$A$2:$A$201=A389),单次交易!$H$2:$H$201),0)+SUMIFS($H$2:$H$1001,$A$2:$A$1001,A389,$B$2:$B$1001,"&lt;"&amp;B389))</f>
        <v/>
      </c>
      <c r="K389" s="24" t="str">
        <f aca="false">IF(OR(E389="",I389="",J389=""),"",MAX(E389*I389-J389,0))</f>
        <v/>
      </c>
      <c r="L389" s="25" t="str">
        <f aca="false">IF(OR(D389="",E389="",F389="",D389&lt;=E389),"",FLOOR((F389+K389)/(D389-E389),100))</f>
        <v/>
      </c>
      <c r="M389" s="25" t="str">
        <f aca="false">IF(OR(A389="",B389="",L389=""),"",IF(B389=1,L389,IFERROR(SUMIFS($G$2:$G$1001,$A$2:$A$1001,A389,$B$2:$B$1001,B389-1),0)))</f>
        <v/>
      </c>
      <c r="N389" s="25" t="str">
        <f aca="false">IF(OR(L389="",M389=""),"",MIN(L389,M389))</f>
        <v/>
      </c>
      <c r="O389" s="25" t="str">
        <f aca="false">IF(OR(I389="",G389=""),"",I389+G389)</f>
        <v/>
      </c>
      <c r="P389" s="24" t="str">
        <f aca="false">IF(OR(O389="",O389=0),"",(J389+H389)/O389)</f>
        <v/>
      </c>
      <c r="Q389" s="24" t="str">
        <f aca="false">IF(OR(O389="",E389=""),"",MAX(J389+H389-E389*O389,0))</f>
        <v/>
      </c>
      <c r="R389" s="26" t="str">
        <f aca="false">IF(A389="","",IF(COUNTIF(_TradeIds,A389)=0,"违规：交易编号不存在",IF(OR(B389="",B389&lt;1,B389&gt;5,B389&lt;&gt;INT(B389)),"违规：加仓序号须为1到5的整数",IF(COUNTIFS($A$2:$A$1001,A389,$B$2:$B$1001,B389)&gt;1,"违规：同一交易的加仓序号重复",IF(OR(D389="",E389="",F389=""),"计划不完整：请填写加仓价、新止损价和风险预算",IF(OR(D389&lt;=0,E389&lt;=0,F389&lt;=0,D389&lt;=E389),"违规：加仓价必须高于新止损价，金额须大于0",IF(AND(B389&gt;1,COUNTIFS($A$2:$A$1001,A389,$B$2:$B$1001,B389-1,$G$2:$G$1001,"&gt;0")=0),"违规：须先完成上一次加仓",IF(AND(B389&gt;1,E389&lt;SUMIFS($E$2:$E$1001,$A$2:$A$1001,A389,$B$2:$B$1001,B389-1)),"违规：新止损价不得低于上一次",IF(AND(B389&gt;1,F389&gt;SUMIFS($F$2:$F$1001,$A$2:$A$1001,A389,$B$2:$B$1001,B389-1)),"违规：风险预算须逐次不增加",IF(OR(_LockStatus="已锁仓",_LockStatus="解锁信息不完整"),"违规：锁仓期间禁止加仓",IF(G389="","计划可执行：建议股数见N列",IF(OR(G389&lt;=0,G389&lt;&gt;INT(G389),MOD(G389,100)&lt;&gt;0),"违规：实际股数须为100股整数倍",IF(G389&gt;N389,"违规：实际股数超过风险或金字塔上限",IF(AND(B389&gt;1,G389&gt;SUMIFS($G$2:$G$1001,$A$2:$A$1001,A389,$B$2:$B$1001,B389-1)),"违规：加仓股数须逐次不增加",IF(Q389&gt;F389,"违规：止损风险超过本次预算","通过")))))))))))))))</f>
        <v/>
      </c>
    </row>
    <row r="390" customFormat="false" ht="15" hidden="false" customHeight="false" outlineLevel="0" collapsed="false">
      <c r="A390" s="20"/>
      <c r="B390" s="21"/>
      <c r="C390" s="22"/>
      <c r="D390" s="23"/>
      <c r="E390" s="23"/>
      <c r="F390" s="23"/>
      <c r="G390" s="21"/>
      <c r="H390" s="24" t="str">
        <f aca="false">IF(OR(A390="",D390="",G390=""),"",D390*G390)</f>
        <v/>
      </c>
      <c r="I390" s="25" t="str">
        <f aca="false">IF(OR(A390="",B390=""),"",IFERROR(LOOKUP(2,1/(单次交易!$A$2:$A$201=A390),单次交易!$H$2:$H$201),0)+SUMIFS($G$2:$G$1001,$A$2:$A$1001,A390,$B$2:$B$1001,"&lt;"&amp;B390))</f>
        <v/>
      </c>
      <c r="J390" s="24" t="str">
        <f aca="false">IF(OR(A390="",B390=""),"",IFERROR(LOOKUP(2,1/(单次交易!$A$2:$A$201=A390),单次交易!$E$2:$E$201)*LOOKUP(2,1/(单次交易!$A$2:$A$201=A390),单次交易!$H$2:$H$201),0)+SUMIFS($H$2:$H$1001,$A$2:$A$1001,A390,$B$2:$B$1001,"&lt;"&amp;B390))</f>
        <v/>
      </c>
      <c r="K390" s="24" t="str">
        <f aca="false">IF(OR(E390="",I390="",J390=""),"",MAX(E390*I390-J390,0))</f>
        <v/>
      </c>
      <c r="L390" s="25" t="str">
        <f aca="false">IF(OR(D390="",E390="",F390="",D390&lt;=E390),"",FLOOR((F390+K390)/(D390-E390),100))</f>
        <v/>
      </c>
      <c r="M390" s="25" t="str">
        <f aca="false">IF(OR(A390="",B390="",L390=""),"",IF(B390=1,L390,IFERROR(SUMIFS($G$2:$G$1001,$A$2:$A$1001,A390,$B$2:$B$1001,B390-1),0)))</f>
        <v/>
      </c>
      <c r="N390" s="25" t="str">
        <f aca="false">IF(OR(L390="",M390=""),"",MIN(L390,M390))</f>
        <v/>
      </c>
      <c r="O390" s="25" t="str">
        <f aca="false">IF(OR(I390="",G390=""),"",I390+G390)</f>
        <v/>
      </c>
      <c r="P390" s="24" t="str">
        <f aca="false">IF(OR(O390="",O390=0),"",(J390+H390)/O390)</f>
        <v/>
      </c>
      <c r="Q390" s="24" t="str">
        <f aca="false">IF(OR(O390="",E390=""),"",MAX(J390+H390-E390*O390,0))</f>
        <v/>
      </c>
      <c r="R390" s="26" t="str">
        <f aca="false">IF(A390="","",IF(COUNTIF(_TradeIds,A390)=0,"违规：交易编号不存在",IF(OR(B390="",B390&lt;1,B390&gt;5,B390&lt;&gt;INT(B390)),"违规：加仓序号须为1到5的整数",IF(COUNTIFS($A$2:$A$1001,A390,$B$2:$B$1001,B390)&gt;1,"违规：同一交易的加仓序号重复",IF(OR(D390="",E390="",F390=""),"计划不完整：请填写加仓价、新止损价和风险预算",IF(OR(D390&lt;=0,E390&lt;=0,F390&lt;=0,D390&lt;=E390),"违规：加仓价必须高于新止损价，金额须大于0",IF(AND(B390&gt;1,COUNTIFS($A$2:$A$1001,A390,$B$2:$B$1001,B390-1,$G$2:$G$1001,"&gt;0")=0),"违规：须先完成上一次加仓",IF(AND(B390&gt;1,E390&lt;SUMIFS($E$2:$E$1001,$A$2:$A$1001,A390,$B$2:$B$1001,B390-1)),"违规：新止损价不得低于上一次",IF(AND(B390&gt;1,F390&gt;SUMIFS($F$2:$F$1001,$A$2:$A$1001,A390,$B$2:$B$1001,B390-1)),"违规：风险预算须逐次不增加",IF(OR(_LockStatus="已锁仓",_LockStatus="解锁信息不完整"),"违规：锁仓期间禁止加仓",IF(G390="","计划可执行：建议股数见N列",IF(OR(G390&lt;=0,G390&lt;&gt;INT(G390),MOD(G390,100)&lt;&gt;0),"违规：实际股数须为100股整数倍",IF(G390&gt;N390,"违规：实际股数超过风险或金字塔上限",IF(AND(B390&gt;1,G390&gt;SUMIFS($G$2:$G$1001,$A$2:$A$1001,A390,$B$2:$B$1001,B390-1)),"违规：加仓股数须逐次不增加",IF(Q390&gt;F390,"违规：止损风险超过本次预算","通过")))))))))))))))</f>
        <v/>
      </c>
    </row>
    <row r="391" customFormat="false" ht="15" hidden="false" customHeight="false" outlineLevel="0" collapsed="false">
      <c r="A391" s="20"/>
      <c r="B391" s="21"/>
      <c r="C391" s="22"/>
      <c r="D391" s="23"/>
      <c r="E391" s="23"/>
      <c r="F391" s="23"/>
      <c r="G391" s="21"/>
      <c r="H391" s="24" t="str">
        <f aca="false">IF(OR(A391="",D391="",G391=""),"",D391*G391)</f>
        <v/>
      </c>
      <c r="I391" s="25" t="str">
        <f aca="false">IF(OR(A391="",B391=""),"",IFERROR(LOOKUP(2,1/(单次交易!$A$2:$A$201=A391),单次交易!$H$2:$H$201),0)+SUMIFS($G$2:$G$1001,$A$2:$A$1001,A391,$B$2:$B$1001,"&lt;"&amp;B391))</f>
        <v/>
      </c>
      <c r="J391" s="24" t="str">
        <f aca="false">IF(OR(A391="",B391=""),"",IFERROR(LOOKUP(2,1/(单次交易!$A$2:$A$201=A391),单次交易!$E$2:$E$201)*LOOKUP(2,1/(单次交易!$A$2:$A$201=A391),单次交易!$H$2:$H$201),0)+SUMIFS($H$2:$H$1001,$A$2:$A$1001,A391,$B$2:$B$1001,"&lt;"&amp;B391))</f>
        <v/>
      </c>
      <c r="K391" s="24" t="str">
        <f aca="false">IF(OR(E391="",I391="",J391=""),"",MAX(E391*I391-J391,0))</f>
        <v/>
      </c>
      <c r="L391" s="25" t="str">
        <f aca="false">IF(OR(D391="",E391="",F391="",D391&lt;=E391),"",FLOOR((F391+K391)/(D391-E391),100))</f>
        <v/>
      </c>
      <c r="M391" s="25" t="str">
        <f aca="false">IF(OR(A391="",B391="",L391=""),"",IF(B391=1,L391,IFERROR(SUMIFS($G$2:$G$1001,$A$2:$A$1001,A391,$B$2:$B$1001,B391-1),0)))</f>
        <v/>
      </c>
      <c r="N391" s="25" t="str">
        <f aca="false">IF(OR(L391="",M391=""),"",MIN(L391,M391))</f>
        <v/>
      </c>
      <c r="O391" s="25" t="str">
        <f aca="false">IF(OR(I391="",G391=""),"",I391+G391)</f>
        <v/>
      </c>
      <c r="P391" s="24" t="str">
        <f aca="false">IF(OR(O391="",O391=0),"",(J391+H391)/O391)</f>
        <v/>
      </c>
      <c r="Q391" s="24" t="str">
        <f aca="false">IF(OR(O391="",E391=""),"",MAX(J391+H391-E391*O391,0))</f>
        <v/>
      </c>
      <c r="R391" s="26" t="str">
        <f aca="false">IF(A391="","",IF(COUNTIF(_TradeIds,A391)=0,"违规：交易编号不存在",IF(OR(B391="",B391&lt;1,B391&gt;5,B391&lt;&gt;INT(B391)),"违规：加仓序号须为1到5的整数",IF(COUNTIFS($A$2:$A$1001,A391,$B$2:$B$1001,B391)&gt;1,"违规：同一交易的加仓序号重复",IF(OR(D391="",E391="",F391=""),"计划不完整：请填写加仓价、新止损价和风险预算",IF(OR(D391&lt;=0,E391&lt;=0,F391&lt;=0,D391&lt;=E391),"违规：加仓价必须高于新止损价，金额须大于0",IF(AND(B391&gt;1,COUNTIFS($A$2:$A$1001,A391,$B$2:$B$1001,B391-1,$G$2:$G$1001,"&gt;0")=0),"违规：须先完成上一次加仓",IF(AND(B391&gt;1,E391&lt;SUMIFS($E$2:$E$1001,$A$2:$A$1001,A391,$B$2:$B$1001,B391-1)),"违规：新止损价不得低于上一次",IF(AND(B391&gt;1,F391&gt;SUMIFS($F$2:$F$1001,$A$2:$A$1001,A391,$B$2:$B$1001,B391-1)),"违规：风险预算须逐次不增加",IF(OR(_LockStatus="已锁仓",_LockStatus="解锁信息不完整"),"违规：锁仓期间禁止加仓",IF(G391="","计划可执行：建议股数见N列",IF(OR(G391&lt;=0,G391&lt;&gt;INT(G391),MOD(G391,100)&lt;&gt;0),"违规：实际股数须为100股整数倍",IF(G391&gt;N391,"违规：实际股数超过风险或金字塔上限",IF(AND(B391&gt;1,G391&gt;SUMIFS($G$2:$G$1001,$A$2:$A$1001,A391,$B$2:$B$1001,B391-1)),"违规：加仓股数须逐次不增加",IF(Q391&gt;F391,"违规：止损风险超过本次预算","通过")))))))))))))))</f>
        <v/>
      </c>
    </row>
    <row r="392" customFormat="false" ht="15" hidden="false" customHeight="false" outlineLevel="0" collapsed="false">
      <c r="A392" s="20"/>
      <c r="B392" s="21"/>
      <c r="C392" s="22"/>
      <c r="D392" s="23"/>
      <c r="E392" s="23"/>
      <c r="F392" s="23"/>
      <c r="G392" s="21"/>
      <c r="H392" s="24" t="str">
        <f aca="false">IF(OR(A392="",D392="",G392=""),"",D392*G392)</f>
        <v/>
      </c>
      <c r="I392" s="25" t="str">
        <f aca="false">IF(OR(A392="",B392=""),"",IFERROR(LOOKUP(2,1/(单次交易!$A$2:$A$201=A392),单次交易!$H$2:$H$201),0)+SUMIFS($G$2:$G$1001,$A$2:$A$1001,A392,$B$2:$B$1001,"&lt;"&amp;B392))</f>
        <v/>
      </c>
      <c r="J392" s="24" t="str">
        <f aca="false">IF(OR(A392="",B392=""),"",IFERROR(LOOKUP(2,1/(单次交易!$A$2:$A$201=A392),单次交易!$E$2:$E$201)*LOOKUP(2,1/(单次交易!$A$2:$A$201=A392),单次交易!$H$2:$H$201),0)+SUMIFS($H$2:$H$1001,$A$2:$A$1001,A392,$B$2:$B$1001,"&lt;"&amp;B392))</f>
        <v/>
      </c>
      <c r="K392" s="24" t="str">
        <f aca="false">IF(OR(E392="",I392="",J392=""),"",MAX(E392*I392-J392,0))</f>
        <v/>
      </c>
      <c r="L392" s="25" t="str">
        <f aca="false">IF(OR(D392="",E392="",F392="",D392&lt;=E392),"",FLOOR((F392+K392)/(D392-E392),100))</f>
        <v/>
      </c>
      <c r="M392" s="25" t="str">
        <f aca="false">IF(OR(A392="",B392="",L392=""),"",IF(B392=1,L392,IFERROR(SUMIFS($G$2:$G$1001,$A$2:$A$1001,A392,$B$2:$B$1001,B392-1),0)))</f>
        <v/>
      </c>
      <c r="N392" s="25" t="str">
        <f aca="false">IF(OR(L392="",M392=""),"",MIN(L392,M392))</f>
        <v/>
      </c>
      <c r="O392" s="25" t="str">
        <f aca="false">IF(OR(I392="",G392=""),"",I392+G392)</f>
        <v/>
      </c>
      <c r="P392" s="24" t="str">
        <f aca="false">IF(OR(O392="",O392=0),"",(J392+H392)/O392)</f>
        <v/>
      </c>
      <c r="Q392" s="24" t="str">
        <f aca="false">IF(OR(O392="",E392=""),"",MAX(J392+H392-E392*O392,0))</f>
        <v/>
      </c>
      <c r="R392" s="26" t="str">
        <f aca="false">IF(A392="","",IF(COUNTIF(_TradeIds,A392)=0,"违规：交易编号不存在",IF(OR(B392="",B392&lt;1,B392&gt;5,B392&lt;&gt;INT(B392)),"违规：加仓序号须为1到5的整数",IF(COUNTIFS($A$2:$A$1001,A392,$B$2:$B$1001,B392)&gt;1,"违规：同一交易的加仓序号重复",IF(OR(D392="",E392="",F392=""),"计划不完整：请填写加仓价、新止损价和风险预算",IF(OR(D392&lt;=0,E392&lt;=0,F392&lt;=0,D392&lt;=E392),"违规：加仓价必须高于新止损价，金额须大于0",IF(AND(B392&gt;1,COUNTIFS($A$2:$A$1001,A392,$B$2:$B$1001,B392-1,$G$2:$G$1001,"&gt;0")=0),"违规：须先完成上一次加仓",IF(AND(B392&gt;1,E392&lt;SUMIFS($E$2:$E$1001,$A$2:$A$1001,A392,$B$2:$B$1001,B392-1)),"违规：新止损价不得低于上一次",IF(AND(B392&gt;1,F392&gt;SUMIFS($F$2:$F$1001,$A$2:$A$1001,A392,$B$2:$B$1001,B392-1)),"违规：风险预算须逐次不增加",IF(OR(_LockStatus="已锁仓",_LockStatus="解锁信息不完整"),"违规：锁仓期间禁止加仓",IF(G392="","计划可执行：建议股数见N列",IF(OR(G392&lt;=0,G392&lt;&gt;INT(G392),MOD(G392,100)&lt;&gt;0),"违规：实际股数须为100股整数倍",IF(G392&gt;N392,"违规：实际股数超过风险或金字塔上限",IF(AND(B392&gt;1,G392&gt;SUMIFS($G$2:$G$1001,$A$2:$A$1001,A392,$B$2:$B$1001,B392-1)),"违规：加仓股数须逐次不增加",IF(Q392&gt;F392,"违规：止损风险超过本次预算","通过")))))))))))))))</f>
        <v/>
      </c>
    </row>
    <row r="393" customFormat="false" ht="15" hidden="false" customHeight="false" outlineLevel="0" collapsed="false">
      <c r="A393" s="20"/>
      <c r="B393" s="21"/>
      <c r="C393" s="22"/>
      <c r="D393" s="23"/>
      <c r="E393" s="23"/>
      <c r="F393" s="23"/>
      <c r="G393" s="21"/>
      <c r="H393" s="24" t="str">
        <f aca="false">IF(OR(A393="",D393="",G393=""),"",D393*G393)</f>
        <v/>
      </c>
      <c r="I393" s="25" t="str">
        <f aca="false">IF(OR(A393="",B393=""),"",IFERROR(LOOKUP(2,1/(单次交易!$A$2:$A$201=A393),单次交易!$H$2:$H$201),0)+SUMIFS($G$2:$G$1001,$A$2:$A$1001,A393,$B$2:$B$1001,"&lt;"&amp;B393))</f>
        <v/>
      </c>
      <c r="J393" s="24" t="str">
        <f aca="false">IF(OR(A393="",B393=""),"",IFERROR(LOOKUP(2,1/(单次交易!$A$2:$A$201=A393),单次交易!$E$2:$E$201)*LOOKUP(2,1/(单次交易!$A$2:$A$201=A393),单次交易!$H$2:$H$201),0)+SUMIFS($H$2:$H$1001,$A$2:$A$1001,A393,$B$2:$B$1001,"&lt;"&amp;B393))</f>
        <v/>
      </c>
      <c r="K393" s="24" t="str">
        <f aca="false">IF(OR(E393="",I393="",J393=""),"",MAX(E393*I393-J393,0))</f>
        <v/>
      </c>
      <c r="L393" s="25" t="str">
        <f aca="false">IF(OR(D393="",E393="",F393="",D393&lt;=E393),"",FLOOR((F393+K393)/(D393-E393),100))</f>
        <v/>
      </c>
      <c r="M393" s="25" t="str">
        <f aca="false">IF(OR(A393="",B393="",L393=""),"",IF(B393=1,L393,IFERROR(SUMIFS($G$2:$G$1001,$A$2:$A$1001,A393,$B$2:$B$1001,B393-1),0)))</f>
        <v/>
      </c>
      <c r="N393" s="25" t="str">
        <f aca="false">IF(OR(L393="",M393=""),"",MIN(L393,M393))</f>
        <v/>
      </c>
      <c r="O393" s="25" t="str">
        <f aca="false">IF(OR(I393="",G393=""),"",I393+G393)</f>
        <v/>
      </c>
      <c r="P393" s="24" t="str">
        <f aca="false">IF(OR(O393="",O393=0),"",(J393+H393)/O393)</f>
        <v/>
      </c>
      <c r="Q393" s="24" t="str">
        <f aca="false">IF(OR(O393="",E393=""),"",MAX(J393+H393-E393*O393,0))</f>
        <v/>
      </c>
      <c r="R393" s="26" t="str">
        <f aca="false">IF(A393="","",IF(COUNTIF(_TradeIds,A393)=0,"违规：交易编号不存在",IF(OR(B393="",B393&lt;1,B393&gt;5,B393&lt;&gt;INT(B393)),"违规：加仓序号须为1到5的整数",IF(COUNTIFS($A$2:$A$1001,A393,$B$2:$B$1001,B393)&gt;1,"违规：同一交易的加仓序号重复",IF(OR(D393="",E393="",F393=""),"计划不完整：请填写加仓价、新止损价和风险预算",IF(OR(D393&lt;=0,E393&lt;=0,F393&lt;=0,D393&lt;=E393),"违规：加仓价必须高于新止损价，金额须大于0",IF(AND(B393&gt;1,COUNTIFS($A$2:$A$1001,A393,$B$2:$B$1001,B393-1,$G$2:$G$1001,"&gt;0")=0),"违规：须先完成上一次加仓",IF(AND(B393&gt;1,E393&lt;SUMIFS($E$2:$E$1001,$A$2:$A$1001,A393,$B$2:$B$1001,B393-1)),"违规：新止损价不得低于上一次",IF(AND(B393&gt;1,F393&gt;SUMIFS($F$2:$F$1001,$A$2:$A$1001,A393,$B$2:$B$1001,B393-1)),"违规：风险预算须逐次不增加",IF(OR(_LockStatus="已锁仓",_LockStatus="解锁信息不完整"),"违规：锁仓期间禁止加仓",IF(G393="","计划可执行：建议股数见N列",IF(OR(G393&lt;=0,G393&lt;&gt;INT(G393),MOD(G393,100)&lt;&gt;0),"违规：实际股数须为100股整数倍",IF(G393&gt;N393,"违规：实际股数超过风险或金字塔上限",IF(AND(B393&gt;1,G393&gt;SUMIFS($G$2:$G$1001,$A$2:$A$1001,A393,$B$2:$B$1001,B393-1)),"违规：加仓股数须逐次不增加",IF(Q393&gt;F393,"违规：止损风险超过本次预算","通过")))))))))))))))</f>
        <v/>
      </c>
    </row>
    <row r="394" customFormat="false" ht="15" hidden="false" customHeight="false" outlineLevel="0" collapsed="false">
      <c r="A394" s="20"/>
      <c r="B394" s="21"/>
      <c r="C394" s="22"/>
      <c r="D394" s="23"/>
      <c r="E394" s="23"/>
      <c r="F394" s="23"/>
      <c r="G394" s="21"/>
      <c r="H394" s="24" t="str">
        <f aca="false">IF(OR(A394="",D394="",G394=""),"",D394*G394)</f>
        <v/>
      </c>
      <c r="I394" s="25" t="str">
        <f aca="false">IF(OR(A394="",B394=""),"",IFERROR(LOOKUP(2,1/(单次交易!$A$2:$A$201=A394),单次交易!$H$2:$H$201),0)+SUMIFS($G$2:$G$1001,$A$2:$A$1001,A394,$B$2:$B$1001,"&lt;"&amp;B394))</f>
        <v/>
      </c>
      <c r="J394" s="24" t="str">
        <f aca="false">IF(OR(A394="",B394=""),"",IFERROR(LOOKUP(2,1/(单次交易!$A$2:$A$201=A394),单次交易!$E$2:$E$201)*LOOKUP(2,1/(单次交易!$A$2:$A$201=A394),单次交易!$H$2:$H$201),0)+SUMIFS($H$2:$H$1001,$A$2:$A$1001,A394,$B$2:$B$1001,"&lt;"&amp;B394))</f>
        <v/>
      </c>
      <c r="K394" s="24" t="str">
        <f aca="false">IF(OR(E394="",I394="",J394=""),"",MAX(E394*I394-J394,0))</f>
        <v/>
      </c>
      <c r="L394" s="25" t="str">
        <f aca="false">IF(OR(D394="",E394="",F394="",D394&lt;=E394),"",FLOOR((F394+K394)/(D394-E394),100))</f>
        <v/>
      </c>
      <c r="M394" s="25" t="str">
        <f aca="false">IF(OR(A394="",B394="",L394=""),"",IF(B394=1,L394,IFERROR(SUMIFS($G$2:$G$1001,$A$2:$A$1001,A394,$B$2:$B$1001,B394-1),0)))</f>
        <v/>
      </c>
      <c r="N394" s="25" t="str">
        <f aca="false">IF(OR(L394="",M394=""),"",MIN(L394,M394))</f>
        <v/>
      </c>
      <c r="O394" s="25" t="str">
        <f aca="false">IF(OR(I394="",G394=""),"",I394+G394)</f>
        <v/>
      </c>
      <c r="P394" s="24" t="str">
        <f aca="false">IF(OR(O394="",O394=0),"",(J394+H394)/O394)</f>
        <v/>
      </c>
      <c r="Q394" s="24" t="str">
        <f aca="false">IF(OR(O394="",E394=""),"",MAX(J394+H394-E394*O394,0))</f>
        <v/>
      </c>
      <c r="R394" s="26" t="str">
        <f aca="false">IF(A394="","",IF(COUNTIF(_TradeIds,A394)=0,"违规：交易编号不存在",IF(OR(B394="",B394&lt;1,B394&gt;5,B394&lt;&gt;INT(B394)),"违规：加仓序号须为1到5的整数",IF(COUNTIFS($A$2:$A$1001,A394,$B$2:$B$1001,B394)&gt;1,"违规：同一交易的加仓序号重复",IF(OR(D394="",E394="",F394=""),"计划不完整：请填写加仓价、新止损价和风险预算",IF(OR(D394&lt;=0,E394&lt;=0,F394&lt;=0,D394&lt;=E394),"违规：加仓价必须高于新止损价，金额须大于0",IF(AND(B394&gt;1,COUNTIFS($A$2:$A$1001,A394,$B$2:$B$1001,B394-1,$G$2:$G$1001,"&gt;0")=0),"违规：须先完成上一次加仓",IF(AND(B394&gt;1,E394&lt;SUMIFS($E$2:$E$1001,$A$2:$A$1001,A394,$B$2:$B$1001,B394-1)),"违规：新止损价不得低于上一次",IF(AND(B394&gt;1,F394&gt;SUMIFS($F$2:$F$1001,$A$2:$A$1001,A394,$B$2:$B$1001,B394-1)),"违规：风险预算须逐次不增加",IF(OR(_LockStatus="已锁仓",_LockStatus="解锁信息不完整"),"违规：锁仓期间禁止加仓",IF(G394="","计划可执行：建议股数见N列",IF(OR(G394&lt;=0,G394&lt;&gt;INT(G394),MOD(G394,100)&lt;&gt;0),"违规：实际股数须为100股整数倍",IF(G394&gt;N394,"违规：实际股数超过风险或金字塔上限",IF(AND(B394&gt;1,G394&gt;SUMIFS($G$2:$G$1001,$A$2:$A$1001,A394,$B$2:$B$1001,B394-1)),"违规：加仓股数须逐次不增加",IF(Q394&gt;F394,"违规：止损风险超过本次预算","通过")))))))))))))))</f>
        <v/>
      </c>
    </row>
    <row r="395" customFormat="false" ht="15" hidden="false" customHeight="false" outlineLevel="0" collapsed="false">
      <c r="A395" s="20"/>
      <c r="B395" s="21"/>
      <c r="C395" s="22"/>
      <c r="D395" s="23"/>
      <c r="E395" s="23"/>
      <c r="F395" s="23"/>
      <c r="G395" s="21"/>
      <c r="H395" s="24" t="str">
        <f aca="false">IF(OR(A395="",D395="",G395=""),"",D395*G395)</f>
        <v/>
      </c>
      <c r="I395" s="25" t="str">
        <f aca="false">IF(OR(A395="",B395=""),"",IFERROR(LOOKUP(2,1/(单次交易!$A$2:$A$201=A395),单次交易!$H$2:$H$201),0)+SUMIFS($G$2:$G$1001,$A$2:$A$1001,A395,$B$2:$B$1001,"&lt;"&amp;B395))</f>
        <v/>
      </c>
      <c r="J395" s="24" t="str">
        <f aca="false">IF(OR(A395="",B395=""),"",IFERROR(LOOKUP(2,1/(单次交易!$A$2:$A$201=A395),单次交易!$E$2:$E$201)*LOOKUP(2,1/(单次交易!$A$2:$A$201=A395),单次交易!$H$2:$H$201),0)+SUMIFS($H$2:$H$1001,$A$2:$A$1001,A395,$B$2:$B$1001,"&lt;"&amp;B395))</f>
        <v/>
      </c>
      <c r="K395" s="24" t="str">
        <f aca="false">IF(OR(E395="",I395="",J395=""),"",MAX(E395*I395-J395,0))</f>
        <v/>
      </c>
      <c r="L395" s="25" t="str">
        <f aca="false">IF(OR(D395="",E395="",F395="",D395&lt;=E395),"",FLOOR((F395+K395)/(D395-E395),100))</f>
        <v/>
      </c>
      <c r="M395" s="25" t="str">
        <f aca="false">IF(OR(A395="",B395="",L395=""),"",IF(B395=1,L395,IFERROR(SUMIFS($G$2:$G$1001,$A$2:$A$1001,A395,$B$2:$B$1001,B395-1),0)))</f>
        <v/>
      </c>
      <c r="N395" s="25" t="str">
        <f aca="false">IF(OR(L395="",M395=""),"",MIN(L395,M395))</f>
        <v/>
      </c>
      <c r="O395" s="25" t="str">
        <f aca="false">IF(OR(I395="",G395=""),"",I395+G395)</f>
        <v/>
      </c>
      <c r="P395" s="24" t="str">
        <f aca="false">IF(OR(O395="",O395=0),"",(J395+H395)/O395)</f>
        <v/>
      </c>
      <c r="Q395" s="24" t="str">
        <f aca="false">IF(OR(O395="",E395=""),"",MAX(J395+H395-E395*O395,0))</f>
        <v/>
      </c>
      <c r="R395" s="26" t="str">
        <f aca="false">IF(A395="","",IF(COUNTIF(_TradeIds,A395)=0,"违规：交易编号不存在",IF(OR(B395="",B395&lt;1,B395&gt;5,B395&lt;&gt;INT(B395)),"违规：加仓序号须为1到5的整数",IF(COUNTIFS($A$2:$A$1001,A395,$B$2:$B$1001,B395)&gt;1,"违规：同一交易的加仓序号重复",IF(OR(D395="",E395="",F395=""),"计划不完整：请填写加仓价、新止损价和风险预算",IF(OR(D395&lt;=0,E395&lt;=0,F395&lt;=0,D395&lt;=E395),"违规：加仓价必须高于新止损价，金额须大于0",IF(AND(B395&gt;1,COUNTIFS($A$2:$A$1001,A395,$B$2:$B$1001,B395-1,$G$2:$G$1001,"&gt;0")=0),"违规：须先完成上一次加仓",IF(AND(B395&gt;1,E395&lt;SUMIFS($E$2:$E$1001,$A$2:$A$1001,A395,$B$2:$B$1001,B395-1)),"违规：新止损价不得低于上一次",IF(AND(B395&gt;1,F395&gt;SUMIFS($F$2:$F$1001,$A$2:$A$1001,A395,$B$2:$B$1001,B395-1)),"违规：风险预算须逐次不增加",IF(OR(_LockStatus="已锁仓",_LockStatus="解锁信息不完整"),"违规：锁仓期间禁止加仓",IF(G395="","计划可执行：建议股数见N列",IF(OR(G395&lt;=0,G395&lt;&gt;INT(G395),MOD(G395,100)&lt;&gt;0),"违规：实际股数须为100股整数倍",IF(G395&gt;N395,"违规：实际股数超过风险或金字塔上限",IF(AND(B395&gt;1,G395&gt;SUMIFS($G$2:$G$1001,$A$2:$A$1001,A395,$B$2:$B$1001,B395-1)),"违规：加仓股数须逐次不增加",IF(Q395&gt;F395,"违规：止损风险超过本次预算","通过")))))))))))))))</f>
        <v/>
      </c>
    </row>
    <row r="396" customFormat="false" ht="15" hidden="false" customHeight="false" outlineLevel="0" collapsed="false">
      <c r="A396" s="20"/>
      <c r="B396" s="21"/>
      <c r="C396" s="22"/>
      <c r="D396" s="23"/>
      <c r="E396" s="23"/>
      <c r="F396" s="23"/>
      <c r="G396" s="21"/>
      <c r="H396" s="24" t="str">
        <f aca="false">IF(OR(A396="",D396="",G396=""),"",D396*G396)</f>
        <v/>
      </c>
      <c r="I396" s="25" t="str">
        <f aca="false">IF(OR(A396="",B396=""),"",IFERROR(LOOKUP(2,1/(单次交易!$A$2:$A$201=A396),单次交易!$H$2:$H$201),0)+SUMIFS($G$2:$G$1001,$A$2:$A$1001,A396,$B$2:$B$1001,"&lt;"&amp;B396))</f>
        <v/>
      </c>
      <c r="J396" s="24" t="str">
        <f aca="false">IF(OR(A396="",B396=""),"",IFERROR(LOOKUP(2,1/(单次交易!$A$2:$A$201=A396),单次交易!$E$2:$E$201)*LOOKUP(2,1/(单次交易!$A$2:$A$201=A396),单次交易!$H$2:$H$201),0)+SUMIFS($H$2:$H$1001,$A$2:$A$1001,A396,$B$2:$B$1001,"&lt;"&amp;B396))</f>
        <v/>
      </c>
      <c r="K396" s="24" t="str">
        <f aca="false">IF(OR(E396="",I396="",J396=""),"",MAX(E396*I396-J396,0))</f>
        <v/>
      </c>
      <c r="L396" s="25" t="str">
        <f aca="false">IF(OR(D396="",E396="",F396="",D396&lt;=E396),"",FLOOR((F396+K396)/(D396-E396),100))</f>
        <v/>
      </c>
      <c r="M396" s="25" t="str">
        <f aca="false">IF(OR(A396="",B396="",L396=""),"",IF(B396=1,L396,IFERROR(SUMIFS($G$2:$G$1001,$A$2:$A$1001,A396,$B$2:$B$1001,B396-1),0)))</f>
        <v/>
      </c>
      <c r="N396" s="25" t="str">
        <f aca="false">IF(OR(L396="",M396=""),"",MIN(L396,M396))</f>
        <v/>
      </c>
      <c r="O396" s="25" t="str">
        <f aca="false">IF(OR(I396="",G396=""),"",I396+G396)</f>
        <v/>
      </c>
      <c r="P396" s="24" t="str">
        <f aca="false">IF(OR(O396="",O396=0),"",(J396+H396)/O396)</f>
        <v/>
      </c>
      <c r="Q396" s="24" t="str">
        <f aca="false">IF(OR(O396="",E396=""),"",MAX(J396+H396-E396*O396,0))</f>
        <v/>
      </c>
      <c r="R396" s="26" t="str">
        <f aca="false">IF(A396="","",IF(COUNTIF(_TradeIds,A396)=0,"违规：交易编号不存在",IF(OR(B396="",B396&lt;1,B396&gt;5,B396&lt;&gt;INT(B396)),"违规：加仓序号须为1到5的整数",IF(COUNTIFS($A$2:$A$1001,A396,$B$2:$B$1001,B396)&gt;1,"违规：同一交易的加仓序号重复",IF(OR(D396="",E396="",F396=""),"计划不完整：请填写加仓价、新止损价和风险预算",IF(OR(D396&lt;=0,E396&lt;=0,F396&lt;=0,D396&lt;=E396),"违规：加仓价必须高于新止损价，金额须大于0",IF(AND(B396&gt;1,COUNTIFS($A$2:$A$1001,A396,$B$2:$B$1001,B396-1,$G$2:$G$1001,"&gt;0")=0),"违规：须先完成上一次加仓",IF(AND(B396&gt;1,E396&lt;SUMIFS($E$2:$E$1001,$A$2:$A$1001,A396,$B$2:$B$1001,B396-1)),"违规：新止损价不得低于上一次",IF(AND(B396&gt;1,F396&gt;SUMIFS($F$2:$F$1001,$A$2:$A$1001,A396,$B$2:$B$1001,B396-1)),"违规：风险预算须逐次不增加",IF(OR(_LockStatus="已锁仓",_LockStatus="解锁信息不完整"),"违规：锁仓期间禁止加仓",IF(G396="","计划可执行：建议股数见N列",IF(OR(G396&lt;=0,G396&lt;&gt;INT(G396),MOD(G396,100)&lt;&gt;0),"违规：实际股数须为100股整数倍",IF(G396&gt;N396,"违规：实际股数超过风险或金字塔上限",IF(AND(B396&gt;1,G396&gt;SUMIFS($G$2:$G$1001,$A$2:$A$1001,A396,$B$2:$B$1001,B396-1)),"违规：加仓股数须逐次不增加",IF(Q396&gt;F396,"违规：止损风险超过本次预算","通过")))))))))))))))</f>
        <v/>
      </c>
    </row>
    <row r="397" customFormat="false" ht="15" hidden="false" customHeight="false" outlineLevel="0" collapsed="false">
      <c r="A397" s="20"/>
      <c r="B397" s="21"/>
      <c r="C397" s="22"/>
      <c r="D397" s="23"/>
      <c r="E397" s="23"/>
      <c r="F397" s="23"/>
      <c r="G397" s="21"/>
      <c r="H397" s="24" t="str">
        <f aca="false">IF(OR(A397="",D397="",G397=""),"",D397*G397)</f>
        <v/>
      </c>
      <c r="I397" s="25" t="str">
        <f aca="false">IF(OR(A397="",B397=""),"",IFERROR(LOOKUP(2,1/(单次交易!$A$2:$A$201=A397),单次交易!$H$2:$H$201),0)+SUMIFS($G$2:$G$1001,$A$2:$A$1001,A397,$B$2:$B$1001,"&lt;"&amp;B397))</f>
        <v/>
      </c>
      <c r="J397" s="24" t="str">
        <f aca="false">IF(OR(A397="",B397=""),"",IFERROR(LOOKUP(2,1/(单次交易!$A$2:$A$201=A397),单次交易!$E$2:$E$201)*LOOKUP(2,1/(单次交易!$A$2:$A$201=A397),单次交易!$H$2:$H$201),0)+SUMIFS($H$2:$H$1001,$A$2:$A$1001,A397,$B$2:$B$1001,"&lt;"&amp;B397))</f>
        <v/>
      </c>
      <c r="K397" s="24" t="str">
        <f aca="false">IF(OR(E397="",I397="",J397=""),"",MAX(E397*I397-J397,0))</f>
        <v/>
      </c>
      <c r="L397" s="25" t="str">
        <f aca="false">IF(OR(D397="",E397="",F397="",D397&lt;=E397),"",FLOOR((F397+K397)/(D397-E397),100))</f>
        <v/>
      </c>
      <c r="M397" s="25" t="str">
        <f aca="false">IF(OR(A397="",B397="",L397=""),"",IF(B397=1,L397,IFERROR(SUMIFS($G$2:$G$1001,$A$2:$A$1001,A397,$B$2:$B$1001,B397-1),0)))</f>
        <v/>
      </c>
      <c r="N397" s="25" t="str">
        <f aca="false">IF(OR(L397="",M397=""),"",MIN(L397,M397))</f>
        <v/>
      </c>
      <c r="O397" s="25" t="str">
        <f aca="false">IF(OR(I397="",G397=""),"",I397+G397)</f>
        <v/>
      </c>
      <c r="P397" s="24" t="str">
        <f aca="false">IF(OR(O397="",O397=0),"",(J397+H397)/O397)</f>
        <v/>
      </c>
      <c r="Q397" s="24" t="str">
        <f aca="false">IF(OR(O397="",E397=""),"",MAX(J397+H397-E397*O397,0))</f>
        <v/>
      </c>
      <c r="R397" s="26" t="str">
        <f aca="false">IF(A397="","",IF(COUNTIF(_TradeIds,A397)=0,"违规：交易编号不存在",IF(OR(B397="",B397&lt;1,B397&gt;5,B397&lt;&gt;INT(B397)),"违规：加仓序号须为1到5的整数",IF(COUNTIFS($A$2:$A$1001,A397,$B$2:$B$1001,B397)&gt;1,"违规：同一交易的加仓序号重复",IF(OR(D397="",E397="",F397=""),"计划不完整：请填写加仓价、新止损价和风险预算",IF(OR(D397&lt;=0,E397&lt;=0,F397&lt;=0,D397&lt;=E397),"违规：加仓价必须高于新止损价，金额须大于0",IF(AND(B397&gt;1,COUNTIFS($A$2:$A$1001,A397,$B$2:$B$1001,B397-1,$G$2:$G$1001,"&gt;0")=0),"违规：须先完成上一次加仓",IF(AND(B397&gt;1,E397&lt;SUMIFS($E$2:$E$1001,$A$2:$A$1001,A397,$B$2:$B$1001,B397-1)),"违规：新止损价不得低于上一次",IF(AND(B397&gt;1,F397&gt;SUMIFS($F$2:$F$1001,$A$2:$A$1001,A397,$B$2:$B$1001,B397-1)),"违规：风险预算须逐次不增加",IF(OR(_LockStatus="已锁仓",_LockStatus="解锁信息不完整"),"违规：锁仓期间禁止加仓",IF(G397="","计划可执行：建议股数见N列",IF(OR(G397&lt;=0,G397&lt;&gt;INT(G397),MOD(G397,100)&lt;&gt;0),"违规：实际股数须为100股整数倍",IF(G397&gt;N397,"违规：实际股数超过风险或金字塔上限",IF(AND(B397&gt;1,G397&gt;SUMIFS($G$2:$G$1001,$A$2:$A$1001,A397,$B$2:$B$1001,B397-1)),"违规：加仓股数须逐次不增加",IF(Q397&gt;F397,"违规：止损风险超过本次预算","通过")))))))))))))))</f>
        <v/>
      </c>
    </row>
    <row r="398" customFormat="false" ht="15" hidden="false" customHeight="false" outlineLevel="0" collapsed="false">
      <c r="A398" s="20"/>
      <c r="B398" s="21"/>
      <c r="C398" s="22"/>
      <c r="D398" s="23"/>
      <c r="E398" s="23"/>
      <c r="F398" s="23"/>
      <c r="G398" s="21"/>
      <c r="H398" s="24" t="str">
        <f aca="false">IF(OR(A398="",D398="",G398=""),"",D398*G398)</f>
        <v/>
      </c>
      <c r="I398" s="25" t="str">
        <f aca="false">IF(OR(A398="",B398=""),"",IFERROR(LOOKUP(2,1/(单次交易!$A$2:$A$201=A398),单次交易!$H$2:$H$201),0)+SUMIFS($G$2:$G$1001,$A$2:$A$1001,A398,$B$2:$B$1001,"&lt;"&amp;B398))</f>
        <v/>
      </c>
      <c r="J398" s="24" t="str">
        <f aca="false">IF(OR(A398="",B398=""),"",IFERROR(LOOKUP(2,1/(单次交易!$A$2:$A$201=A398),单次交易!$E$2:$E$201)*LOOKUP(2,1/(单次交易!$A$2:$A$201=A398),单次交易!$H$2:$H$201),0)+SUMIFS($H$2:$H$1001,$A$2:$A$1001,A398,$B$2:$B$1001,"&lt;"&amp;B398))</f>
        <v/>
      </c>
      <c r="K398" s="24" t="str">
        <f aca="false">IF(OR(E398="",I398="",J398=""),"",MAX(E398*I398-J398,0))</f>
        <v/>
      </c>
      <c r="L398" s="25" t="str">
        <f aca="false">IF(OR(D398="",E398="",F398="",D398&lt;=E398),"",FLOOR((F398+K398)/(D398-E398),100))</f>
        <v/>
      </c>
      <c r="M398" s="25" t="str">
        <f aca="false">IF(OR(A398="",B398="",L398=""),"",IF(B398=1,L398,IFERROR(SUMIFS($G$2:$G$1001,$A$2:$A$1001,A398,$B$2:$B$1001,B398-1),0)))</f>
        <v/>
      </c>
      <c r="N398" s="25" t="str">
        <f aca="false">IF(OR(L398="",M398=""),"",MIN(L398,M398))</f>
        <v/>
      </c>
      <c r="O398" s="25" t="str">
        <f aca="false">IF(OR(I398="",G398=""),"",I398+G398)</f>
        <v/>
      </c>
      <c r="P398" s="24" t="str">
        <f aca="false">IF(OR(O398="",O398=0),"",(J398+H398)/O398)</f>
        <v/>
      </c>
      <c r="Q398" s="24" t="str">
        <f aca="false">IF(OR(O398="",E398=""),"",MAX(J398+H398-E398*O398,0))</f>
        <v/>
      </c>
      <c r="R398" s="26" t="str">
        <f aca="false">IF(A398="","",IF(COUNTIF(_TradeIds,A398)=0,"违规：交易编号不存在",IF(OR(B398="",B398&lt;1,B398&gt;5,B398&lt;&gt;INT(B398)),"违规：加仓序号须为1到5的整数",IF(COUNTIFS($A$2:$A$1001,A398,$B$2:$B$1001,B398)&gt;1,"违规：同一交易的加仓序号重复",IF(OR(D398="",E398="",F398=""),"计划不完整：请填写加仓价、新止损价和风险预算",IF(OR(D398&lt;=0,E398&lt;=0,F398&lt;=0,D398&lt;=E398),"违规：加仓价必须高于新止损价，金额须大于0",IF(AND(B398&gt;1,COUNTIFS($A$2:$A$1001,A398,$B$2:$B$1001,B398-1,$G$2:$G$1001,"&gt;0")=0),"违规：须先完成上一次加仓",IF(AND(B398&gt;1,E398&lt;SUMIFS($E$2:$E$1001,$A$2:$A$1001,A398,$B$2:$B$1001,B398-1)),"违规：新止损价不得低于上一次",IF(AND(B398&gt;1,F398&gt;SUMIFS($F$2:$F$1001,$A$2:$A$1001,A398,$B$2:$B$1001,B398-1)),"违规：风险预算须逐次不增加",IF(OR(_LockStatus="已锁仓",_LockStatus="解锁信息不完整"),"违规：锁仓期间禁止加仓",IF(G398="","计划可执行：建议股数见N列",IF(OR(G398&lt;=0,G398&lt;&gt;INT(G398),MOD(G398,100)&lt;&gt;0),"违规：实际股数须为100股整数倍",IF(G398&gt;N398,"违规：实际股数超过风险或金字塔上限",IF(AND(B398&gt;1,G398&gt;SUMIFS($G$2:$G$1001,$A$2:$A$1001,A398,$B$2:$B$1001,B398-1)),"违规：加仓股数须逐次不增加",IF(Q398&gt;F398,"违规：止损风险超过本次预算","通过")))))))))))))))</f>
        <v/>
      </c>
    </row>
    <row r="399" customFormat="false" ht="15" hidden="false" customHeight="false" outlineLevel="0" collapsed="false">
      <c r="A399" s="20"/>
      <c r="B399" s="21"/>
      <c r="C399" s="22"/>
      <c r="D399" s="23"/>
      <c r="E399" s="23"/>
      <c r="F399" s="23"/>
      <c r="G399" s="21"/>
      <c r="H399" s="24" t="str">
        <f aca="false">IF(OR(A399="",D399="",G399=""),"",D399*G399)</f>
        <v/>
      </c>
      <c r="I399" s="25" t="str">
        <f aca="false">IF(OR(A399="",B399=""),"",IFERROR(LOOKUP(2,1/(单次交易!$A$2:$A$201=A399),单次交易!$H$2:$H$201),0)+SUMIFS($G$2:$G$1001,$A$2:$A$1001,A399,$B$2:$B$1001,"&lt;"&amp;B399))</f>
        <v/>
      </c>
      <c r="J399" s="24" t="str">
        <f aca="false">IF(OR(A399="",B399=""),"",IFERROR(LOOKUP(2,1/(单次交易!$A$2:$A$201=A399),单次交易!$E$2:$E$201)*LOOKUP(2,1/(单次交易!$A$2:$A$201=A399),单次交易!$H$2:$H$201),0)+SUMIFS($H$2:$H$1001,$A$2:$A$1001,A399,$B$2:$B$1001,"&lt;"&amp;B399))</f>
        <v/>
      </c>
      <c r="K399" s="24" t="str">
        <f aca="false">IF(OR(E399="",I399="",J399=""),"",MAX(E399*I399-J399,0))</f>
        <v/>
      </c>
      <c r="L399" s="25" t="str">
        <f aca="false">IF(OR(D399="",E399="",F399="",D399&lt;=E399),"",FLOOR((F399+K399)/(D399-E399),100))</f>
        <v/>
      </c>
      <c r="M399" s="25" t="str">
        <f aca="false">IF(OR(A399="",B399="",L399=""),"",IF(B399=1,L399,IFERROR(SUMIFS($G$2:$G$1001,$A$2:$A$1001,A399,$B$2:$B$1001,B399-1),0)))</f>
        <v/>
      </c>
      <c r="N399" s="25" t="str">
        <f aca="false">IF(OR(L399="",M399=""),"",MIN(L399,M399))</f>
        <v/>
      </c>
      <c r="O399" s="25" t="str">
        <f aca="false">IF(OR(I399="",G399=""),"",I399+G399)</f>
        <v/>
      </c>
      <c r="P399" s="24" t="str">
        <f aca="false">IF(OR(O399="",O399=0),"",(J399+H399)/O399)</f>
        <v/>
      </c>
      <c r="Q399" s="24" t="str">
        <f aca="false">IF(OR(O399="",E399=""),"",MAX(J399+H399-E399*O399,0))</f>
        <v/>
      </c>
      <c r="R399" s="26" t="str">
        <f aca="false">IF(A399="","",IF(COUNTIF(_TradeIds,A399)=0,"违规：交易编号不存在",IF(OR(B399="",B399&lt;1,B399&gt;5,B399&lt;&gt;INT(B399)),"违规：加仓序号须为1到5的整数",IF(COUNTIFS($A$2:$A$1001,A399,$B$2:$B$1001,B399)&gt;1,"违规：同一交易的加仓序号重复",IF(OR(D399="",E399="",F399=""),"计划不完整：请填写加仓价、新止损价和风险预算",IF(OR(D399&lt;=0,E399&lt;=0,F399&lt;=0,D399&lt;=E399),"违规：加仓价必须高于新止损价，金额须大于0",IF(AND(B399&gt;1,COUNTIFS($A$2:$A$1001,A399,$B$2:$B$1001,B399-1,$G$2:$G$1001,"&gt;0")=0),"违规：须先完成上一次加仓",IF(AND(B399&gt;1,E399&lt;SUMIFS($E$2:$E$1001,$A$2:$A$1001,A399,$B$2:$B$1001,B399-1)),"违规：新止损价不得低于上一次",IF(AND(B399&gt;1,F399&gt;SUMIFS($F$2:$F$1001,$A$2:$A$1001,A399,$B$2:$B$1001,B399-1)),"违规：风险预算须逐次不增加",IF(OR(_LockStatus="已锁仓",_LockStatus="解锁信息不完整"),"违规：锁仓期间禁止加仓",IF(G399="","计划可执行：建议股数见N列",IF(OR(G399&lt;=0,G399&lt;&gt;INT(G399),MOD(G399,100)&lt;&gt;0),"违规：实际股数须为100股整数倍",IF(G399&gt;N399,"违规：实际股数超过风险或金字塔上限",IF(AND(B399&gt;1,G399&gt;SUMIFS($G$2:$G$1001,$A$2:$A$1001,A399,$B$2:$B$1001,B399-1)),"违规：加仓股数须逐次不增加",IF(Q399&gt;F399,"违规：止损风险超过本次预算","通过")))))))))))))))</f>
        <v/>
      </c>
    </row>
    <row r="400" customFormat="false" ht="15" hidden="false" customHeight="false" outlineLevel="0" collapsed="false">
      <c r="A400" s="20"/>
      <c r="B400" s="21"/>
      <c r="C400" s="22"/>
      <c r="D400" s="23"/>
      <c r="E400" s="23"/>
      <c r="F400" s="23"/>
      <c r="G400" s="21"/>
      <c r="H400" s="24" t="str">
        <f aca="false">IF(OR(A400="",D400="",G400=""),"",D400*G400)</f>
        <v/>
      </c>
      <c r="I400" s="25" t="str">
        <f aca="false">IF(OR(A400="",B400=""),"",IFERROR(LOOKUP(2,1/(单次交易!$A$2:$A$201=A400),单次交易!$H$2:$H$201),0)+SUMIFS($G$2:$G$1001,$A$2:$A$1001,A400,$B$2:$B$1001,"&lt;"&amp;B400))</f>
        <v/>
      </c>
      <c r="J400" s="24" t="str">
        <f aca="false">IF(OR(A400="",B400=""),"",IFERROR(LOOKUP(2,1/(单次交易!$A$2:$A$201=A400),单次交易!$E$2:$E$201)*LOOKUP(2,1/(单次交易!$A$2:$A$201=A400),单次交易!$H$2:$H$201),0)+SUMIFS($H$2:$H$1001,$A$2:$A$1001,A400,$B$2:$B$1001,"&lt;"&amp;B400))</f>
        <v/>
      </c>
      <c r="K400" s="24" t="str">
        <f aca="false">IF(OR(E400="",I400="",J400=""),"",MAX(E400*I400-J400,0))</f>
        <v/>
      </c>
      <c r="L400" s="25" t="str">
        <f aca="false">IF(OR(D400="",E400="",F400="",D400&lt;=E400),"",FLOOR((F400+K400)/(D400-E400),100))</f>
        <v/>
      </c>
      <c r="M400" s="25" t="str">
        <f aca="false">IF(OR(A400="",B400="",L400=""),"",IF(B400=1,L400,IFERROR(SUMIFS($G$2:$G$1001,$A$2:$A$1001,A400,$B$2:$B$1001,B400-1),0)))</f>
        <v/>
      </c>
      <c r="N400" s="25" t="str">
        <f aca="false">IF(OR(L400="",M400=""),"",MIN(L400,M400))</f>
        <v/>
      </c>
      <c r="O400" s="25" t="str">
        <f aca="false">IF(OR(I400="",G400=""),"",I400+G400)</f>
        <v/>
      </c>
      <c r="P400" s="24" t="str">
        <f aca="false">IF(OR(O400="",O400=0),"",(J400+H400)/O400)</f>
        <v/>
      </c>
      <c r="Q400" s="24" t="str">
        <f aca="false">IF(OR(O400="",E400=""),"",MAX(J400+H400-E400*O400,0))</f>
        <v/>
      </c>
      <c r="R400" s="26" t="str">
        <f aca="false">IF(A400="","",IF(COUNTIF(_TradeIds,A400)=0,"违规：交易编号不存在",IF(OR(B400="",B400&lt;1,B400&gt;5,B400&lt;&gt;INT(B400)),"违规：加仓序号须为1到5的整数",IF(COUNTIFS($A$2:$A$1001,A400,$B$2:$B$1001,B400)&gt;1,"违规：同一交易的加仓序号重复",IF(OR(D400="",E400="",F400=""),"计划不完整：请填写加仓价、新止损价和风险预算",IF(OR(D400&lt;=0,E400&lt;=0,F400&lt;=0,D400&lt;=E400),"违规：加仓价必须高于新止损价，金额须大于0",IF(AND(B400&gt;1,COUNTIFS($A$2:$A$1001,A400,$B$2:$B$1001,B400-1,$G$2:$G$1001,"&gt;0")=0),"违规：须先完成上一次加仓",IF(AND(B400&gt;1,E400&lt;SUMIFS($E$2:$E$1001,$A$2:$A$1001,A400,$B$2:$B$1001,B400-1)),"违规：新止损价不得低于上一次",IF(AND(B400&gt;1,F400&gt;SUMIFS($F$2:$F$1001,$A$2:$A$1001,A400,$B$2:$B$1001,B400-1)),"违规：风险预算须逐次不增加",IF(OR(_LockStatus="已锁仓",_LockStatus="解锁信息不完整"),"违规：锁仓期间禁止加仓",IF(G400="","计划可执行：建议股数见N列",IF(OR(G400&lt;=0,G400&lt;&gt;INT(G400),MOD(G400,100)&lt;&gt;0),"违规：实际股数须为100股整数倍",IF(G400&gt;N400,"违规：实际股数超过风险或金字塔上限",IF(AND(B400&gt;1,G400&gt;SUMIFS($G$2:$G$1001,$A$2:$A$1001,A400,$B$2:$B$1001,B400-1)),"违规：加仓股数须逐次不增加",IF(Q400&gt;F400,"违规：止损风险超过本次预算","通过")))))))))))))))</f>
        <v/>
      </c>
    </row>
    <row r="401" customFormat="false" ht="15" hidden="false" customHeight="false" outlineLevel="0" collapsed="false">
      <c r="A401" s="20"/>
      <c r="B401" s="21"/>
      <c r="C401" s="22"/>
      <c r="D401" s="23"/>
      <c r="E401" s="23"/>
      <c r="F401" s="23"/>
      <c r="G401" s="21"/>
      <c r="H401" s="24" t="str">
        <f aca="false">IF(OR(A401="",D401="",G401=""),"",D401*G401)</f>
        <v/>
      </c>
      <c r="I401" s="25" t="str">
        <f aca="false">IF(OR(A401="",B401=""),"",IFERROR(LOOKUP(2,1/(单次交易!$A$2:$A$201=A401),单次交易!$H$2:$H$201),0)+SUMIFS($G$2:$G$1001,$A$2:$A$1001,A401,$B$2:$B$1001,"&lt;"&amp;B401))</f>
        <v/>
      </c>
      <c r="J401" s="24" t="str">
        <f aca="false">IF(OR(A401="",B401=""),"",IFERROR(LOOKUP(2,1/(单次交易!$A$2:$A$201=A401),单次交易!$E$2:$E$201)*LOOKUP(2,1/(单次交易!$A$2:$A$201=A401),单次交易!$H$2:$H$201),0)+SUMIFS($H$2:$H$1001,$A$2:$A$1001,A401,$B$2:$B$1001,"&lt;"&amp;B401))</f>
        <v/>
      </c>
      <c r="K401" s="24" t="str">
        <f aca="false">IF(OR(E401="",I401="",J401=""),"",MAX(E401*I401-J401,0))</f>
        <v/>
      </c>
      <c r="L401" s="25" t="str">
        <f aca="false">IF(OR(D401="",E401="",F401="",D401&lt;=E401),"",FLOOR((F401+K401)/(D401-E401),100))</f>
        <v/>
      </c>
      <c r="M401" s="25" t="str">
        <f aca="false">IF(OR(A401="",B401="",L401=""),"",IF(B401=1,L401,IFERROR(SUMIFS($G$2:$G$1001,$A$2:$A$1001,A401,$B$2:$B$1001,B401-1),0)))</f>
        <v/>
      </c>
      <c r="N401" s="25" t="str">
        <f aca="false">IF(OR(L401="",M401=""),"",MIN(L401,M401))</f>
        <v/>
      </c>
      <c r="O401" s="25" t="str">
        <f aca="false">IF(OR(I401="",G401=""),"",I401+G401)</f>
        <v/>
      </c>
      <c r="P401" s="24" t="str">
        <f aca="false">IF(OR(O401="",O401=0),"",(J401+H401)/O401)</f>
        <v/>
      </c>
      <c r="Q401" s="24" t="str">
        <f aca="false">IF(OR(O401="",E401=""),"",MAX(J401+H401-E401*O401,0))</f>
        <v/>
      </c>
      <c r="R401" s="26" t="str">
        <f aca="false">IF(A401="","",IF(COUNTIF(_TradeIds,A401)=0,"违规：交易编号不存在",IF(OR(B401="",B401&lt;1,B401&gt;5,B401&lt;&gt;INT(B401)),"违规：加仓序号须为1到5的整数",IF(COUNTIFS($A$2:$A$1001,A401,$B$2:$B$1001,B401)&gt;1,"违规：同一交易的加仓序号重复",IF(OR(D401="",E401="",F401=""),"计划不完整：请填写加仓价、新止损价和风险预算",IF(OR(D401&lt;=0,E401&lt;=0,F401&lt;=0,D401&lt;=E401),"违规：加仓价必须高于新止损价，金额须大于0",IF(AND(B401&gt;1,COUNTIFS($A$2:$A$1001,A401,$B$2:$B$1001,B401-1,$G$2:$G$1001,"&gt;0")=0),"违规：须先完成上一次加仓",IF(AND(B401&gt;1,E401&lt;SUMIFS($E$2:$E$1001,$A$2:$A$1001,A401,$B$2:$B$1001,B401-1)),"违规：新止损价不得低于上一次",IF(AND(B401&gt;1,F401&gt;SUMIFS($F$2:$F$1001,$A$2:$A$1001,A401,$B$2:$B$1001,B401-1)),"违规：风险预算须逐次不增加",IF(OR(_LockStatus="已锁仓",_LockStatus="解锁信息不完整"),"违规：锁仓期间禁止加仓",IF(G401="","计划可执行：建议股数见N列",IF(OR(G401&lt;=0,G401&lt;&gt;INT(G401),MOD(G401,100)&lt;&gt;0),"违规：实际股数须为100股整数倍",IF(G401&gt;N401,"违规：实际股数超过风险或金字塔上限",IF(AND(B401&gt;1,G401&gt;SUMIFS($G$2:$G$1001,$A$2:$A$1001,A401,$B$2:$B$1001,B401-1)),"违规：加仓股数须逐次不增加",IF(Q401&gt;F401,"违规：止损风险超过本次预算","通过")))))))))))))))</f>
        <v/>
      </c>
    </row>
    <row r="402" customFormat="false" ht="15" hidden="false" customHeight="false" outlineLevel="0" collapsed="false">
      <c r="A402" s="20"/>
      <c r="B402" s="21"/>
      <c r="C402" s="22"/>
      <c r="D402" s="23"/>
      <c r="E402" s="23"/>
      <c r="F402" s="23"/>
      <c r="G402" s="21"/>
      <c r="H402" s="24" t="str">
        <f aca="false">IF(OR(A402="",D402="",G402=""),"",D402*G402)</f>
        <v/>
      </c>
      <c r="I402" s="25" t="str">
        <f aca="false">IF(OR(A402="",B402=""),"",IFERROR(LOOKUP(2,1/(单次交易!$A$2:$A$201=A402),单次交易!$H$2:$H$201),0)+SUMIFS($G$2:$G$1001,$A$2:$A$1001,A402,$B$2:$B$1001,"&lt;"&amp;B402))</f>
        <v/>
      </c>
      <c r="J402" s="24" t="str">
        <f aca="false">IF(OR(A402="",B402=""),"",IFERROR(LOOKUP(2,1/(单次交易!$A$2:$A$201=A402),单次交易!$E$2:$E$201)*LOOKUP(2,1/(单次交易!$A$2:$A$201=A402),单次交易!$H$2:$H$201),0)+SUMIFS($H$2:$H$1001,$A$2:$A$1001,A402,$B$2:$B$1001,"&lt;"&amp;B402))</f>
        <v/>
      </c>
      <c r="K402" s="24" t="str">
        <f aca="false">IF(OR(E402="",I402="",J402=""),"",MAX(E402*I402-J402,0))</f>
        <v/>
      </c>
      <c r="L402" s="25" t="str">
        <f aca="false">IF(OR(D402="",E402="",F402="",D402&lt;=E402),"",FLOOR((F402+K402)/(D402-E402),100))</f>
        <v/>
      </c>
      <c r="M402" s="25" t="str">
        <f aca="false">IF(OR(A402="",B402="",L402=""),"",IF(B402=1,L402,IFERROR(SUMIFS($G$2:$G$1001,$A$2:$A$1001,A402,$B$2:$B$1001,B402-1),0)))</f>
        <v/>
      </c>
      <c r="N402" s="25" t="str">
        <f aca="false">IF(OR(L402="",M402=""),"",MIN(L402,M402))</f>
        <v/>
      </c>
      <c r="O402" s="25" t="str">
        <f aca="false">IF(OR(I402="",G402=""),"",I402+G402)</f>
        <v/>
      </c>
      <c r="P402" s="24" t="str">
        <f aca="false">IF(OR(O402="",O402=0),"",(J402+H402)/O402)</f>
        <v/>
      </c>
      <c r="Q402" s="24" t="str">
        <f aca="false">IF(OR(O402="",E402=""),"",MAX(J402+H402-E402*O402,0))</f>
        <v/>
      </c>
      <c r="R402" s="26" t="str">
        <f aca="false">IF(A402="","",IF(COUNTIF(_TradeIds,A402)=0,"违规：交易编号不存在",IF(OR(B402="",B402&lt;1,B402&gt;5,B402&lt;&gt;INT(B402)),"违规：加仓序号须为1到5的整数",IF(COUNTIFS($A$2:$A$1001,A402,$B$2:$B$1001,B402)&gt;1,"违规：同一交易的加仓序号重复",IF(OR(D402="",E402="",F402=""),"计划不完整：请填写加仓价、新止损价和风险预算",IF(OR(D402&lt;=0,E402&lt;=0,F402&lt;=0,D402&lt;=E402),"违规：加仓价必须高于新止损价，金额须大于0",IF(AND(B402&gt;1,COUNTIFS($A$2:$A$1001,A402,$B$2:$B$1001,B402-1,$G$2:$G$1001,"&gt;0")=0),"违规：须先完成上一次加仓",IF(AND(B402&gt;1,E402&lt;SUMIFS($E$2:$E$1001,$A$2:$A$1001,A402,$B$2:$B$1001,B402-1)),"违规：新止损价不得低于上一次",IF(AND(B402&gt;1,F402&gt;SUMIFS($F$2:$F$1001,$A$2:$A$1001,A402,$B$2:$B$1001,B402-1)),"违规：风险预算须逐次不增加",IF(OR(_LockStatus="已锁仓",_LockStatus="解锁信息不完整"),"违规：锁仓期间禁止加仓",IF(G402="","计划可执行：建议股数见N列",IF(OR(G402&lt;=0,G402&lt;&gt;INT(G402),MOD(G402,100)&lt;&gt;0),"违规：实际股数须为100股整数倍",IF(G402&gt;N402,"违规：实际股数超过风险或金字塔上限",IF(AND(B402&gt;1,G402&gt;SUMIFS($G$2:$G$1001,$A$2:$A$1001,A402,$B$2:$B$1001,B402-1)),"违规：加仓股数须逐次不增加",IF(Q402&gt;F402,"违规：止损风险超过本次预算","通过")))))))))))))))</f>
        <v/>
      </c>
    </row>
    <row r="403" customFormat="false" ht="15" hidden="false" customHeight="false" outlineLevel="0" collapsed="false">
      <c r="A403" s="20"/>
      <c r="B403" s="21"/>
      <c r="C403" s="22"/>
      <c r="D403" s="23"/>
      <c r="E403" s="23"/>
      <c r="F403" s="23"/>
      <c r="G403" s="21"/>
      <c r="H403" s="24" t="str">
        <f aca="false">IF(OR(A403="",D403="",G403=""),"",D403*G403)</f>
        <v/>
      </c>
      <c r="I403" s="25" t="str">
        <f aca="false">IF(OR(A403="",B403=""),"",IFERROR(LOOKUP(2,1/(单次交易!$A$2:$A$201=A403),单次交易!$H$2:$H$201),0)+SUMIFS($G$2:$G$1001,$A$2:$A$1001,A403,$B$2:$B$1001,"&lt;"&amp;B403))</f>
        <v/>
      </c>
      <c r="J403" s="24" t="str">
        <f aca="false">IF(OR(A403="",B403=""),"",IFERROR(LOOKUP(2,1/(单次交易!$A$2:$A$201=A403),单次交易!$E$2:$E$201)*LOOKUP(2,1/(单次交易!$A$2:$A$201=A403),单次交易!$H$2:$H$201),0)+SUMIFS($H$2:$H$1001,$A$2:$A$1001,A403,$B$2:$B$1001,"&lt;"&amp;B403))</f>
        <v/>
      </c>
      <c r="K403" s="24" t="str">
        <f aca="false">IF(OR(E403="",I403="",J403=""),"",MAX(E403*I403-J403,0))</f>
        <v/>
      </c>
      <c r="L403" s="25" t="str">
        <f aca="false">IF(OR(D403="",E403="",F403="",D403&lt;=E403),"",FLOOR((F403+K403)/(D403-E403),100))</f>
        <v/>
      </c>
      <c r="M403" s="25" t="str">
        <f aca="false">IF(OR(A403="",B403="",L403=""),"",IF(B403=1,L403,IFERROR(SUMIFS($G$2:$G$1001,$A$2:$A$1001,A403,$B$2:$B$1001,B403-1),0)))</f>
        <v/>
      </c>
      <c r="N403" s="25" t="str">
        <f aca="false">IF(OR(L403="",M403=""),"",MIN(L403,M403))</f>
        <v/>
      </c>
      <c r="O403" s="25" t="str">
        <f aca="false">IF(OR(I403="",G403=""),"",I403+G403)</f>
        <v/>
      </c>
      <c r="P403" s="24" t="str">
        <f aca="false">IF(OR(O403="",O403=0),"",(J403+H403)/O403)</f>
        <v/>
      </c>
      <c r="Q403" s="24" t="str">
        <f aca="false">IF(OR(O403="",E403=""),"",MAX(J403+H403-E403*O403,0))</f>
        <v/>
      </c>
      <c r="R403" s="26" t="str">
        <f aca="false">IF(A403="","",IF(COUNTIF(_TradeIds,A403)=0,"违规：交易编号不存在",IF(OR(B403="",B403&lt;1,B403&gt;5,B403&lt;&gt;INT(B403)),"违规：加仓序号须为1到5的整数",IF(COUNTIFS($A$2:$A$1001,A403,$B$2:$B$1001,B403)&gt;1,"违规：同一交易的加仓序号重复",IF(OR(D403="",E403="",F403=""),"计划不完整：请填写加仓价、新止损价和风险预算",IF(OR(D403&lt;=0,E403&lt;=0,F403&lt;=0,D403&lt;=E403),"违规：加仓价必须高于新止损价，金额须大于0",IF(AND(B403&gt;1,COUNTIFS($A$2:$A$1001,A403,$B$2:$B$1001,B403-1,$G$2:$G$1001,"&gt;0")=0),"违规：须先完成上一次加仓",IF(AND(B403&gt;1,E403&lt;SUMIFS($E$2:$E$1001,$A$2:$A$1001,A403,$B$2:$B$1001,B403-1)),"违规：新止损价不得低于上一次",IF(AND(B403&gt;1,F403&gt;SUMIFS($F$2:$F$1001,$A$2:$A$1001,A403,$B$2:$B$1001,B403-1)),"违规：风险预算须逐次不增加",IF(OR(_LockStatus="已锁仓",_LockStatus="解锁信息不完整"),"违规：锁仓期间禁止加仓",IF(G403="","计划可执行：建议股数见N列",IF(OR(G403&lt;=0,G403&lt;&gt;INT(G403),MOD(G403,100)&lt;&gt;0),"违规：实际股数须为100股整数倍",IF(G403&gt;N403,"违规：实际股数超过风险或金字塔上限",IF(AND(B403&gt;1,G403&gt;SUMIFS($G$2:$G$1001,$A$2:$A$1001,A403,$B$2:$B$1001,B403-1)),"违规：加仓股数须逐次不增加",IF(Q403&gt;F403,"违规：止损风险超过本次预算","通过")))))))))))))))</f>
        <v/>
      </c>
    </row>
    <row r="404" customFormat="false" ht="15" hidden="false" customHeight="false" outlineLevel="0" collapsed="false">
      <c r="A404" s="20"/>
      <c r="B404" s="21"/>
      <c r="C404" s="22"/>
      <c r="D404" s="23"/>
      <c r="E404" s="23"/>
      <c r="F404" s="23"/>
      <c r="G404" s="21"/>
      <c r="H404" s="24" t="str">
        <f aca="false">IF(OR(A404="",D404="",G404=""),"",D404*G404)</f>
        <v/>
      </c>
      <c r="I404" s="25" t="str">
        <f aca="false">IF(OR(A404="",B404=""),"",IFERROR(LOOKUP(2,1/(单次交易!$A$2:$A$201=A404),单次交易!$H$2:$H$201),0)+SUMIFS($G$2:$G$1001,$A$2:$A$1001,A404,$B$2:$B$1001,"&lt;"&amp;B404))</f>
        <v/>
      </c>
      <c r="J404" s="24" t="str">
        <f aca="false">IF(OR(A404="",B404=""),"",IFERROR(LOOKUP(2,1/(单次交易!$A$2:$A$201=A404),单次交易!$E$2:$E$201)*LOOKUP(2,1/(单次交易!$A$2:$A$201=A404),单次交易!$H$2:$H$201),0)+SUMIFS($H$2:$H$1001,$A$2:$A$1001,A404,$B$2:$B$1001,"&lt;"&amp;B404))</f>
        <v/>
      </c>
      <c r="K404" s="24" t="str">
        <f aca="false">IF(OR(E404="",I404="",J404=""),"",MAX(E404*I404-J404,0))</f>
        <v/>
      </c>
      <c r="L404" s="25" t="str">
        <f aca="false">IF(OR(D404="",E404="",F404="",D404&lt;=E404),"",FLOOR((F404+K404)/(D404-E404),100))</f>
        <v/>
      </c>
      <c r="M404" s="25" t="str">
        <f aca="false">IF(OR(A404="",B404="",L404=""),"",IF(B404=1,L404,IFERROR(SUMIFS($G$2:$G$1001,$A$2:$A$1001,A404,$B$2:$B$1001,B404-1),0)))</f>
        <v/>
      </c>
      <c r="N404" s="25" t="str">
        <f aca="false">IF(OR(L404="",M404=""),"",MIN(L404,M404))</f>
        <v/>
      </c>
      <c r="O404" s="25" t="str">
        <f aca="false">IF(OR(I404="",G404=""),"",I404+G404)</f>
        <v/>
      </c>
      <c r="P404" s="24" t="str">
        <f aca="false">IF(OR(O404="",O404=0),"",(J404+H404)/O404)</f>
        <v/>
      </c>
      <c r="Q404" s="24" t="str">
        <f aca="false">IF(OR(O404="",E404=""),"",MAX(J404+H404-E404*O404,0))</f>
        <v/>
      </c>
      <c r="R404" s="26" t="str">
        <f aca="false">IF(A404="","",IF(COUNTIF(_TradeIds,A404)=0,"违规：交易编号不存在",IF(OR(B404="",B404&lt;1,B404&gt;5,B404&lt;&gt;INT(B404)),"违规：加仓序号须为1到5的整数",IF(COUNTIFS($A$2:$A$1001,A404,$B$2:$B$1001,B404)&gt;1,"违规：同一交易的加仓序号重复",IF(OR(D404="",E404="",F404=""),"计划不完整：请填写加仓价、新止损价和风险预算",IF(OR(D404&lt;=0,E404&lt;=0,F404&lt;=0,D404&lt;=E404),"违规：加仓价必须高于新止损价，金额须大于0",IF(AND(B404&gt;1,COUNTIFS($A$2:$A$1001,A404,$B$2:$B$1001,B404-1,$G$2:$G$1001,"&gt;0")=0),"违规：须先完成上一次加仓",IF(AND(B404&gt;1,E404&lt;SUMIFS($E$2:$E$1001,$A$2:$A$1001,A404,$B$2:$B$1001,B404-1)),"违规：新止损价不得低于上一次",IF(AND(B404&gt;1,F404&gt;SUMIFS($F$2:$F$1001,$A$2:$A$1001,A404,$B$2:$B$1001,B404-1)),"违规：风险预算须逐次不增加",IF(OR(_LockStatus="已锁仓",_LockStatus="解锁信息不完整"),"违规：锁仓期间禁止加仓",IF(G404="","计划可执行：建议股数见N列",IF(OR(G404&lt;=0,G404&lt;&gt;INT(G404),MOD(G404,100)&lt;&gt;0),"违规：实际股数须为100股整数倍",IF(G404&gt;N404,"违规：实际股数超过风险或金字塔上限",IF(AND(B404&gt;1,G404&gt;SUMIFS($G$2:$G$1001,$A$2:$A$1001,A404,$B$2:$B$1001,B404-1)),"违规：加仓股数须逐次不增加",IF(Q404&gt;F404,"违规：止损风险超过本次预算","通过")))))))))))))))</f>
        <v/>
      </c>
    </row>
    <row r="405" customFormat="false" ht="15" hidden="false" customHeight="false" outlineLevel="0" collapsed="false">
      <c r="A405" s="20"/>
      <c r="B405" s="21"/>
      <c r="C405" s="22"/>
      <c r="D405" s="23"/>
      <c r="E405" s="23"/>
      <c r="F405" s="23"/>
      <c r="G405" s="21"/>
      <c r="H405" s="24" t="str">
        <f aca="false">IF(OR(A405="",D405="",G405=""),"",D405*G405)</f>
        <v/>
      </c>
      <c r="I405" s="25" t="str">
        <f aca="false">IF(OR(A405="",B405=""),"",IFERROR(LOOKUP(2,1/(单次交易!$A$2:$A$201=A405),单次交易!$H$2:$H$201),0)+SUMIFS($G$2:$G$1001,$A$2:$A$1001,A405,$B$2:$B$1001,"&lt;"&amp;B405))</f>
        <v/>
      </c>
      <c r="J405" s="24" t="str">
        <f aca="false">IF(OR(A405="",B405=""),"",IFERROR(LOOKUP(2,1/(单次交易!$A$2:$A$201=A405),单次交易!$E$2:$E$201)*LOOKUP(2,1/(单次交易!$A$2:$A$201=A405),单次交易!$H$2:$H$201),0)+SUMIFS($H$2:$H$1001,$A$2:$A$1001,A405,$B$2:$B$1001,"&lt;"&amp;B405))</f>
        <v/>
      </c>
      <c r="K405" s="24" t="str">
        <f aca="false">IF(OR(E405="",I405="",J405=""),"",MAX(E405*I405-J405,0))</f>
        <v/>
      </c>
      <c r="L405" s="25" t="str">
        <f aca="false">IF(OR(D405="",E405="",F405="",D405&lt;=E405),"",FLOOR((F405+K405)/(D405-E405),100))</f>
        <v/>
      </c>
      <c r="M405" s="25" t="str">
        <f aca="false">IF(OR(A405="",B405="",L405=""),"",IF(B405=1,L405,IFERROR(SUMIFS($G$2:$G$1001,$A$2:$A$1001,A405,$B$2:$B$1001,B405-1),0)))</f>
        <v/>
      </c>
      <c r="N405" s="25" t="str">
        <f aca="false">IF(OR(L405="",M405=""),"",MIN(L405,M405))</f>
        <v/>
      </c>
      <c r="O405" s="25" t="str">
        <f aca="false">IF(OR(I405="",G405=""),"",I405+G405)</f>
        <v/>
      </c>
      <c r="P405" s="24" t="str">
        <f aca="false">IF(OR(O405="",O405=0),"",(J405+H405)/O405)</f>
        <v/>
      </c>
      <c r="Q405" s="24" t="str">
        <f aca="false">IF(OR(O405="",E405=""),"",MAX(J405+H405-E405*O405,0))</f>
        <v/>
      </c>
      <c r="R405" s="26" t="str">
        <f aca="false">IF(A405="","",IF(COUNTIF(_TradeIds,A405)=0,"违规：交易编号不存在",IF(OR(B405="",B405&lt;1,B405&gt;5,B405&lt;&gt;INT(B405)),"违规：加仓序号须为1到5的整数",IF(COUNTIFS($A$2:$A$1001,A405,$B$2:$B$1001,B405)&gt;1,"违规：同一交易的加仓序号重复",IF(OR(D405="",E405="",F405=""),"计划不完整：请填写加仓价、新止损价和风险预算",IF(OR(D405&lt;=0,E405&lt;=0,F405&lt;=0,D405&lt;=E405),"违规：加仓价必须高于新止损价，金额须大于0",IF(AND(B405&gt;1,COUNTIFS($A$2:$A$1001,A405,$B$2:$B$1001,B405-1,$G$2:$G$1001,"&gt;0")=0),"违规：须先完成上一次加仓",IF(AND(B405&gt;1,E405&lt;SUMIFS($E$2:$E$1001,$A$2:$A$1001,A405,$B$2:$B$1001,B405-1)),"违规：新止损价不得低于上一次",IF(AND(B405&gt;1,F405&gt;SUMIFS($F$2:$F$1001,$A$2:$A$1001,A405,$B$2:$B$1001,B405-1)),"违规：风险预算须逐次不增加",IF(OR(_LockStatus="已锁仓",_LockStatus="解锁信息不完整"),"违规：锁仓期间禁止加仓",IF(G405="","计划可执行：建议股数见N列",IF(OR(G405&lt;=0,G405&lt;&gt;INT(G405),MOD(G405,100)&lt;&gt;0),"违规：实际股数须为100股整数倍",IF(G405&gt;N405,"违规：实际股数超过风险或金字塔上限",IF(AND(B405&gt;1,G405&gt;SUMIFS($G$2:$G$1001,$A$2:$A$1001,A405,$B$2:$B$1001,B405-1)),"违规：加仓股数须逐次不增加",IF(Q405&gt;F405,"违规：止损风险超过本次预算","通过")))))))))))))))</f>
        <v/>
      </c>
    </row>
    <row r="406" customFormat="false" ht="15" hidden="false" customHeight="false" outlineLevel="0" collapsed="false">
      <c r="A406" s="20"/>
      <c r="B406" s="21"/>
      <c r="C406" s="22"/>
      <c r="D406" s="23"/>
      <c r="E406" s="23"/>
      <c r="F406" s="23"/>
      <c r="G406" s="21"/>
      <c r="H406" s="24" t="str">
        <f aca="false">IF(OR(A406="",D406="",G406=""),"",D406*G406)</f>
        <v/>
      </c>
      <c r="I406" s="25" t="str">
        <f aca="false">IF(OR(A406="",B406=""),"",IFERROR(LOOKUP(2,1/(单次交易!$A$2:$A$201=A406),单次交易!$H$2:$H$201),0)+SUMIFS($G$2:$G$1001,$A$2:$A$1001,A406,$B$2:$B$1001,"&lt;"&amp;B406))</f>
        <v/>
      </c>
      <c r="J406" s="24" t="str">
        <f aca="false">IF(OR(A406="",B406=""),"",IFERROR(LOOKUP(2,1/(单次交易!$A$2:$A$201=A406),单次交易!$E$2:$E$201)*LOOKUP(2,1/(单次交易!$A$2:$A$201=A406),单次交易!$H$2:$H$201),0)+SUMIFS($H$2:$H$1001,$A$2:$A$1001,A406,$B$2:$B$1001,"&lt;"&amp;B406))</f>
        <v/>
      </c>
      <c r="K406" s="24" t="str">
        <f aca="false">IF(OR(E406="",I406="",J406=""),"",MAX(E406*I406-J406,0))</f>
        <v/>
      </c>
      <c r="L406" s="25" t="str">
        <f aca="false">IF(OR(D406="",E406="",F406="",D406&lt;=E406),"",FLOOR((F406+K406)/(D406-E406),100))</f>
        <v/>
      </c>
      <c r="M406" s="25" t="str">
        <f aca="false">IF(OR(A406="",B406="",L406=""),"",IF(B406=1,L406,IFERROR(SUMIFS($G$2:$G$1001,$A$2:$A$1001,A406,$B$2:$B$1001,B406-1),0)))</f>
        <v/>
      </c>
      <c r="N406" s="25" t="str">
        <f aca="false">IF(OR(L406="",M406=""),"",MIN(L406,M406))</f>
        <v/>
      </c>
      <c r="O406" s="25" t="str">
        <f aca="false">IF(OR(I406="",G406=""),"",I406+G406)</f>
        <v/>
      </c>
      <c r="P406" s="24" t="str">
        <f aca="false">IF(OR(O406="",O406=0),"",(J406+H406)/O406)</f>
        <v/>
      </c>
      <c r="Q406" s="24" t="str">
        <f aca="false">IF(OR(O406="",E406=""),"",MAX(J406+H406-E406*O406,0))</f>
        <v/>
      </c>
      <c r="R406" s="26" t="str">
        <f aca="false">IF(A406="","",IF(COUNTIF(_TradeIds,A406)=0,"违规：交易编号不存在",IF(OR(B406="",B406&lt;1,B406&gt;5,B406&lt;&gt;INT(B406)),"违规：加仓序号须为1到5的整数",IF(COUNTIFS($A$2:$A$1001,A406,$B$2:$B$1001,B406)&gt;1,"违规：同一交易的加仓序号重复",IF(OR(D406="",E406="",F406=""),"计划不完整：请填写加仓价、新止损价和风险预算",IF(OR(D406&lt;=0,E406&lt;=0,F406&lt;=0,D406&lt;=E406),"违规：加仓价必须高于新止损价，金额须大于0",IF(AND(B406&gt;1,COUNTIFS($A$2:$A$1001,A406,$B$2:$B$1001,B406-1,$G$2:$G$1001,"&gt;0")=0),"违规：须先完成上一次加仓",IF(AND(B406&gt;1,E406&lt;SUMIFS($E$2:$E$1001,$A$2:$A$1001,A406,$B$2:$B$1001,B406-1)),"违规：新止损价不得低于上一次",IF(AND(B406&gt;1,F406&gt;SUMIFS($F$2:$F$1001,$A$2:$A$1001,A406,$B$2:$B$1001,B406-1)),"违规：风险预算须逐次不增加",IF(OR(_LockStatus="已锁仓",_LockStatus="解锁信息不完整"),"违规：锁仓期间禁止加仓",IF(G406="","计划可执行：建议股数见N列",IF(OR(G406&lt;=0,G406&lt;&gt;INT(G406),MOD(G406,100)&lt;&gt;0),"违规：实际股数须为100股整数倍",IF(G406&gt;N406,"违规：实际股数超过风险或金字塔上限",IF(AND(B406&gt;1,G406&gt;SUMIFS($G$2:$G$1001,$A$2:$A$1001,A406,$B$2:$B$1001,B406-1)),"违规：加仓股数须逐次不增加",IF(Q406&gt;F406,"违规：止损风险超过本次预算","通过")))))))))))))))</f>
        <v/>
      </c>
    </row>
    <row r="407" customFormat="false" ht="15" hidden="false" customHeight="false" outlineLevel="0" collapsed="false">
      <c r="A407" s="20"/>
      <c r="B407" s="21"/>
      <c r="C407" s="22"/>
      <c r="D407" s="23"/>
      <c r="E407" s="23"/>
      <c r="F407" s="23"/>
      <c r="G407" s="21"/>
      <c r="H407" s="24" t="str">
        <f aca="false">IF(OR(A407="",D407="",G407=""),"",D407*G407)</f>
        <v/>
      </c>
      <c r="I407" s="25" t="str">
        <f aca="false">IF(OR(A407="",B407=""),"",IFERROR(LOOKUP(2,1/(单次交易!$A$2:$A$201=A407),单次交易!$H$2:$H$201),0)+SUMIFS($G$2:$G$1001,$A$2:$A$1001,A407,$B$2:$B$1001,"&lt;"&amp;B407))</f>
        <v/>
      </c>
      <c r="J407" s="24" t="str">
        <f aca="false">IF(OR(A407="",B407=""),"",IFERROR(LOOKUP(2,1/(单次交易!$A$2:$A$201=A407),单次交易!$E$2:$E$201)*LOOKUP(2,1/(单次交易!$A$2:$A$201=A407),单次交易!$H$2:$H$201),0)+SUMIFS($H$2:$H$1001,$A$2:$A$1001,A407,$B$2:$B$1001,"&lt;"&amp;B407))</f>
        <v/>
      </c>
      <c r="K407" s="24" t="str">
        <f aca="false">IF(OR(E407="",I407="",J407=""),"",MAX(E407*I407-J407,0))</f>
        <v/>
      </c>
      <c r="L407" s="25" t="str">
        <f aca="false">IF(OR(D407="",E407="",F407="",D407&lt;=E407),"",FLOOR((F407+K407)/(D407-E407),100))</f>
        <v/>
      </c>
      <c r="M407" s="25" t="str">
        <f aca="false">IF(OR(A407="",B407="",L407=""),"",IF(B407=1,L407,IFERROR(SUMIFS($G$2:$G$1001,$A$2:$A$1001,A407,$B$2:$B$1001,B407-1),0)))</f>
        <v/>
      </c>
      <c r="N407" s="25" t="str">
        <f aca="false">IF(OR(L407="",M407=""),"",MIN(L407,M407))</f>
        <v/>
      </c>
      <c r="O407" s="25" t="str">
        <f aca="false">IF(OR(I407="",G407=""),"",I407+G407)</f>
        <v/>
      </c>
      <c r="P407" s="24" t="str">
        <f aca="false">IF(OR(O407="",O407=0),"",(J407+H407)/O407)</f>
        <v/>
      </c>
      <c r="Q407" s="24" t="str">
        <f aca="false">IF(OR(O407="",E407=""),"",MAX(J407+H407-E407*O407,0))</f>
        <v/>
      </c>
      <c r="R407" s="26" t="str">
        <f aca="false">IF(A407="","",IF(COUNTIF(_TradeIds,A407)=0,"违规：交易编号不存在",IF(OR(B407="",B407&lt;1,B407&gt;5,B407&lt;&gt;INT(B407)),"违规：加仓序号须为1到5的整数",IF(COUNTIFS($A$2:$A$1001,A407,$B$2:$B$1001,B407)&gt;1,"违规：同一交易的加仓序号重复",IF(OR(D407="",E407="",F407=""),"计划不完整：请填写加仓价、新止损价和风险预算",IF(OR(D407&lt;=0,E407&lt;=0,F407&lt;=0,D407&lt;=E407),"违规：加仓价必须高于新止损价，金额须大于0",IF(AND(B407&gt;1,COUNTIFS($A$2:$A$1001,A407,$B$2:$B$1001,B407-1,$G$2:$G$1001,"&gt;0")=0),"违规：须先完成上一次加仓",IF(AND(B407&gt;1,E407&lt;SUMIFS($E$2:$E$1001,$A$2:$A$1001,A407,$B$2:$B$1001,B407-1)),"违规：新止损价不得低于上一次",IF(AND(B407&gt;1,F407&gt;SUMIFS($F$2:$F$1001,$A$2:$A$1001,A407,$B$2:$B$1001,B407-1)),"违规：风险预算须逐次不增加",IF(OR(_LockStatus="已锁仓",_LockStatus="解锁信息不完整"),"违规：锁仓期间禁止加仓",IF(G407="","计划可执行：建议股数见N列",IF(OR(G407&lt;=0,G407&lt;&gt;INT(G407),MOD(G407,100)&lt;&gt;0),"违规：实际股数须为100股整数倍",IF(G407&gt;N407,"违规：实际股数超过风险或金字塔上限",IF(AND(B407&gt;1,G407&gt;SUMIFS($G$2:$G$1001,$A$2:$A$1001,A407,$B$2:$B$1001,B407-1)),"违规：加仓股数须逐次不增加",IF(Q407&gt;F407,"违规：止损风险超过本次预算","通过")))))))))))))))</f>
        <v/>
      </c>
    </row>
    <row r="408" customFormat="false" ht="15" hidden="false" customHeight="false" outlineLevel="0" collapsed="false">
      <c r="A408" s="20"/>
      <c r="B408" s="21"/>
      <c r="C408" s="22"/>
      <c r="D408" s="23"/>
      <c r="E408" s="23"/>
      <c r="F408" s="23"/>
      <c r="G408" s="21"/>
      <c r="H408" s="24" t="str">
        <f aca="false">IF(OR(A408="",D408="",G408=""),"",D408*G408)</f>
        <v/>
      </c>
      <c r="I408" s="25" t="str">
        <f aca="false">IF(OR(A408="",B408=""),"",IFERROR(LOOKUP(2,1/(单次交易!$A$2:$A$201=A408),单次交易!$H$2:$H$201),0)+SUMIFS($G$2:$G$1001,$A$2:$A$1001,A408,$B$2:$B$1001,"&lt;"&amp;B408))</f>
        <v/>
      </c>
      <c r="J408" s="24" t="str">
        <f aca="false">IF(OR(A408="",B408=""),"",IFERROR(LOOKUP(2,1/(单次交易!$A$2:$A$201=A408),单次交易!$E$2:$E$201)*LOOKUP(2,1/(单次交易!$A$2:$A$201=A408),单次交易!$H$2:$H$201),0)+SUMIFS($H$2:$H$1001,$A$2:$A$1001,A408,$B$2:$B$1001,"&lt;"&amp;B408))</f>
        <v/>
      </c>
      <c r="K408" s="24" t="str">
        <f aca="false">IF(OR(E408="",I408="",J408=""),"",MAX(E408*I408-J408,0))</f>
        <v/>
      </c>
      <c r="L408" s="25" t="str">
        <f aca="false">IF(OR(D408="",E408="",F408="",D408&lt;=E408),"",FLOOR((F408+K408)/(D408-E408),100))</f>
        <v/>
      </c>
      <c r="M408" s="25" t="str">
        <f aca="false">IF(OR(A408="",B408="",L408=""),"",IF(B408=1,L408,IFERROR(SUMIFS($G$2:$G$1001,$A$2:$A$1001,A408,$B$2:$B$1001,B408-1),0)))</f>
        <v/>
      </c>
      <c r="N408" s="25" t="str">
        <f aca="false">IF(OR(L408="",M408=""),"",MIN(L408,M408))</f>
        <v/>
      </c>
      <c r="O408" s="25" t="str">
        <f aca="false">IF(OR(I408="",G408=""),"",I408+G408)</f>
        <v/>
      </c>
      <c r="P408" s="24" t="str">
        <f aca="false">IF(OR(O408="",O408=0),"",(J408+H408)/O408)</f>
        <v/>
      </c>
      <c r="Q408" s="24" t="str">
        <f aca="false">IF(OR(O408="",E408=""),"",MAX(J408+H408-E408*O408,0))</f>
        <v/>
      </c>
      <c r="R408" s="26" t="str">
        <f aca="false">IF(A408="","",IF(COUNTIF(_TradeIds,A408)=0,"违规：交易编号不存在",IF(OR(B408="",B408&lt;1,B408&gt;5,B408&lt;&gt;INT(B408)),"违规：加仓序号须为1到5的整数",IF(COUNTIFS($A$2:$A$1001,A408,$B$2:$B$1001,B408)&gt;1,"违规：同一交易的加仓序号重复",IF(OR(D408="",E408="",F408=""),"计划不完整：请填写加仓价、新止损价和风险预算",IF(OR(D408&lt;=0,E408&lt;=0,F408&lt;=0,D408&lt;=E408),"违规：加仓价必须高于新止损价，金额须大于0",IF(AND(B408&gt;1,COUNTIFS($A$2:$A$1001,A408,$B$2:$B$1001,B408-1,$G$2:$G$1001,"&gt;0")=0),"违规：须先完成上一次加仓",IF(AND(B408&gt;1,E408&lt;SUMIFS($E$2:$E$1001,$A$2:$A$1001,A408,$B$2:$B$1001,B408-1)),"违规：新止损价不得低于上一次",IF(AND(B408&gt;1,F408&gt;SUMIFS($F$2:$F$1001,$A$2:$A$1001,A408,$B$2:$B$1001,B408-1)),"违规：风险预算须逐次不增加",IF(OR(_LockStatus="已锁仓",_LockStatus="解锁信息不完整"),"违规：锁仓期间禁止加仓",IF(G408="","计划可执行：建议股数见N列",IF(OR(G408&lt;=0,G408&lt;&gt;INT(G408),MOD(G408,100)&lt;&gt;0),"违规：实际股数须为100股整数倍",IF(G408&gt;N408,"违规：实际股数超过风险或金字塔上限",IF(AND(B408&gt;1,G408&gt;SUMIFS($G$2:$G$1001,$A$2:$A$1001,A408,$B$2:$B$1001,B408-1)),"违规：加仓股数须逐次不增加",IF(Q408&gt;F408,"违规：止损风险超过本次预算","通过")))))))))))))))</f>
        <v/>
      </c>
    </row>
    <row r="409" customFormat="false" ht="15" hidden="false" customHeight="false" outlineLevel="0" collapsed="false">
      <c r="A409" s="20"/>
      <c r="B409" s="21"/>
      <c r="C409" s="22"/>
      <c r="D409" s="23"/>
      <c r="E409" s="23"/>
      <c r="F409" s="23"/>
      <c r="G409" s="21"/>
      <c r="H409" s="24" t="str">
        <f aca="false">IF(OR(A409="",D409="",G409=""),"",D409*G409)</f>
        <v/>
      </c>
      <c r="I409" s="25" t="str">
        <f aca="false">IF(OR(A409="",B409=""),"",IFERROR(LOOKUP(2,1/(单次交易!$A$2:$A$201=A409),单次交易!$H$2:$H$201),0)+SUMIFS($G$2:$G$1001,$A$2:$A$1001,A409,$B$2:$B$1001,"&lt;"&amp;B409))</f>
        <v/>
      </c>
      <c r="J409" s="24" t="str">
        <f aca="false">IF(OR(A409="",B409=""),"",IFERROR(LOOKUP(2,1/(单次交易!$A$2:$A$201=A409),单次交易!$E$2:$E$201)*LOOKUP(2,1/(单次交易!$A$2:$A$201=A409),单次交易!$H$2:$H$201),0)+SUMIFS($H$2:$H$1001,$A$2:$A$1001,A409,$B$2:$B$1001,"&lt;"&amp;B409))</f>
        <v/>
      </c>
      <c r="K409" s="24" t="str">
        <f aca="false">IF(OR(E409="",I409="",J409=""),"",MAX(E409*I409-J409,0))</f>
        <v/>
      </c>
      <c r="L409" s="25" t="str">
        <f aca="false">IF(OR(D409="",E409="",F409="",D409&lt;=E409),"",FLOOR((F409+K409)/(D409-E409),100))</f>
        <v/>
      </c>
      <c r="M409" s="25" t="str">
        <f aca="false">IF(OR(A409="",B409="",L409=""),"",IF(B409=1,L409,IFERROR(SUMIFS($G$2:$G$1001,$A$2:$A$1001,A409,$B$2:$B$1001,B409-1),0)))</f>
        <v/>
      </c>
      <c r="N409" s="25" t="str">
        <f aca="false">IF(OR(L409="",M409=""),"",MIN(L409,M409))</f>
        <v/>
      </c>
      <c r="O409" s="25" t="str">
        <f aca="false">IF(OR(I409="",G409=""),"",I409+G409)</f>
        <v/>
      </c>
      <c r="P409" s="24" t="str">
        <f aca="false">IF(OR(O409="",O409=0),"",(J409+H409)/O409)</f>
        <v/>
      </c>
      <c r="Q409" s="24" t="str">
        <f aca="false">IF(OR(O409="",E409=""),"",MAX(J409+H409-E409*O409,0))</f>
        <v/>
      </c>
      <c r="R409" s="26" t="str">
        <f aca="false">IF(A409="","",IF(COUNTIF(_TradeIds,A409)=0,"违规：交易编号不存在",IF(OR(B409="",B409&lt;1,B409&gt;5,B409&lt;&gt;INT(B409)),"违规：加仓序号须为1到5的整数",IF(COUNTIFS($A$2:$A$1001,A409,$B$2:$B$1001,B409)&gt;1,"违规：同一交易的加仓序号重复",IF(OR(D409="",E409="",F409=""),"计划不完整：请填写加仓价、新止损价和风险预算",IF(OR(D409&lt;=0,E409&lt;=0,F409&lt;=0,D409&lt;=E409),"违规：加仓价必须高于新止损价，金额须大于0",IF(AND(B409&gt;1,COUNTIFS($A$2:$A$1001,A409,$B$2:$B$1001,B409-1,$G$2:$G$1001,"&gt;0")=0),"违规：须先完成上一次加仓",IF(AND(B409&gt;1,E409&lt;SUMIFS($E$2:$E$1001,$A$2:$A$1001,A409,$B$2:$B$1001,B409-1)),"违规：新止损价不得低于上一次",IF(AND(B409&gt;1,F409&gt;SUMIFS($F$2:$F$1001,$A$2:$A$1001,A409,$B$2:$B$1001,B409-1)),"违规：风险预算须逐次不增加",IF(OR(_LockStatus="已锁仓",_LockStatus="解锁信息不完整"),"违规：锁仓期间禁止加仓",IF(G409="","计划可执行：建议股数见N列",IF(OR(G409&lt;=0,G409&lt;&gt;INT(G409),MOD(G409,100)&lt;&gt;0),"违规：实际股数须为100股整数倍",IF(G409&gt;N409,"违规：实际股数超过风险或金字塔上限",IF(AND(B409&gt;1,G409&gt;SUMIFS($G$2:$G$1001,$A$2:$A$1001,A409,$B$2:$B$1001,B409-1)),"违规：加仓股数须逐次不增加",IF(Q409&gt;F409,"违规：止损风险超过本次预算","通过")))))))))))))))</f>
        <v/>
      </c>
    </row>
    <row r="410" customFormat="false" ht="15" hidden="false" customHeight="false" outlineLevel="0" collapsed="false">
      <c r="A410" s="20"/>
      <c r="B410" s="21"/>
      <c r="C410" s="22"/>
      <c r="D410" s="23"/>
      <c r="E410" s="23"/>
      <c r="F410" s="23"/>
      <c r="G410" s="21"/>
      <c r="H410" s="24" t="str">
        <f aca="false">IF(OR(A410="",D410="",G410=""),"",D410*G410)</f>
        <v/>
      </c>
      <c r="I410" s="25" t="str">
        <f aca="false">IF(OR(A410="",B410=""),"",IFERROR(LOOKUP(2,1/(单次交易!$A$2:$A$201=A410),单次交易!$H$2:$H$201),0)+SUMIFS($G$2:$G$1001,$A$2:$A$1001,A410,$B$2:$B$1001,"&lt;"&amp;B410))</f>
        <v/>
      </c>
      <c r="J410" s="24" t="str">
        <f aca="false">IF(OR(A410="",B410=""),"",IFERROR(LOOKUP(2,1/(单次交易!$A$2:$A$201=A410),单次交易!$E$2:$E$201)*LOOKUP(2,1/(单次交易!$A$2:$A$201=A410),单次交易!$H$2:$H$201),0)+SUMIFS($H$2:$H$1001,$A$2:$A$1001,A410,$B$2:$B$1001,"&lt;"&amp;B410))</f>
        <v/>
      </c>
      <c r="K410" s="24" t="str">
        <f aca="false">IF(OR(E410="",I410="",J410=""),"",MAX(E410*I410-J410,0))</f>
        <v/>
      </c>
      <c r="L410" s="25" t="str">
        <f aca="false">IF(OR(D410="",E410="",F410="",D410&lt;=E410),"",FLOOR((F410+K410)/(D410-E410),100))</f>
        <v/>
      </c>
      <c r="M410" s="25" t="str">
        <f aca="false">IF(OR(A410="",B410="",L410=""),"",IF(B410=1,L410,IFERROR(SUMIFS($G$2:$G$1001,$A$2:$A$1001,A410,$B$2:$B$1001,B410-1),0)))</f>
        <v/>
      </c>
      <c r="N410" s="25" t="str">
        <f aca="false">IF(OR(L410="",M410=""),"",MIN(L410,M410))</f>
        <v/>
      </c>
      <c r="O410" s="25" t="str">
        <f aca="false">IF(OR(I410="",G410=""),"",I410+G410)</f>
        <v/>
      </c>
      <c r="P410" s="24" t="str">
        <f aca="false">IF(OR(O410="",O410=0),"",(J410+H410)/O410)</f>
        <v/>
      </c>
      <c r="Q410" s="24" t="str">
        <f aca="false">IF(OR(O410="",E410=""),"",MAX(J410+H410-E410*O410,0))</f>
        <v/>
      </c>
      <c r="R410" s="26" t="str">
        <f aca="false">IF(A410="","",IF(COUNTIF(_TradeIds,A410)=0,"违规：交易编号不存在",IF(OR(B410="",B410&lt;1,B410&gt;5,B410&lt;&gt;INT(B410)),"违规：加仓序号须为1到5的整数",IF(COUNTIFS($A$2:$A$1001,A410,$B$2:$B$1001,B410)&gt;1,"违规：同一交易的加仓序号重复",IF(OR(D410="",E410="",F410=""),"计划不完整：请填写加仓价、新止损价和风险预算",IF(OR(D410&lt;=0,E410&lt;=0,F410&lt;=0,D410&lt;=E410),"违规：加仓价必须高于新止损价，金额须大于0",IF(AND(B410&gt;1,COUNTIFS($A$2:$A$1001,A410,$B$2:$B$1001,B410-1,$G$2:$G$1001,"&gt;0")=0),"违规：须先完成上一次加仓",IF(AND(B410&gt;1,E410&lt;SUMIFS($E$2:$E$1001,$A$2:$A$1001,A410,$B$2:$B$1001,B410-1)),"违规：新止损价不得低于上一次",IF(AND(B410&gt;1,F410&gt;SUMIFS($F$2:$F$1001,$A$2:$A$1001,A410,$B$2:$B$1001,B410-1)),"违规：风险预算须逐次不增加",IF(OR(_LockStatus="已锁仓",_LockStatus="解锁信息不完整"),"违规：锁仓期间禁止加仓",IF(G410="","计划可执行：建议股数见N列",IF(OR(G410&lt;=0,G410&lt;&gt;INT(G410),MOD(G410,100)&lt;&gt;0),"违规：实际股数须为100股整数倍",IF(G410&gt;N410,"违规：实际股数超过风险或金字塔上限",IF(AND(B410&gt;1,G410&gt;SUMIFS($G$2:$G$1001,$A$2:$A$1001,A410,$B$2:$B$1001,B410-1)),"违规：加仓股数须逐次不增加",IF(Q410&gt;F410,"违规：止损风险超过本次预算","通过")))))))))))))))</f>
        <v/>
      </c>
    </row>
    <row r="411" customFormat="false" ht="15" hidden="false" customHeight="false" outlineLevel="0" collapsed="false">
      <c r="A411" s="20"/>
      <c r="B411" s="21"/>
      <c r="C411" s="22"/>
      <c r="D411" s="23"/>
      <c r="E411" s="23"/>
      <c r="F411" s="23"/>
      <c r="G411" s="21"/>
      <c r="H411" s="24" t="str">
        <f aca="false">IF(OR(A411="",D411="",G411=""),"",D411*G411)</f>
        <v/>
      </c>
      <c r="I411" s="25" t="str">
        <f aca="false">IF(OR(A411="",B411=""),"",IFERROR(LOOKUP(2,1/(单次交易!$A$2:$A$201=A411),单次交易!$H$2:$H$201),0)+SUMIFS($G$2:$G$1001,$A$2:$A$1001,A411,$B$2:$B$1001,"&lt;"&amp;B411))</f>
        <v/>
      </c>
      <c r="J411" s="24" t="str">
        <f aca="false">IF(OR(A411="",B411=""),"",IFERROR(LOOKUP(2,1/(单次交易!$A$2:$A$201=A411),单次交易!$E$2:$E$201)*LOOKUP(2,1/(单次交易!$A$2:$A$201=A411),单次交易!$H$2:$H$201),0)+SUMIFS($H$2:$H$1001,$A$2:$A$1001,A411,$B$2:$B$1001,"&lt;"&amp;B411))</f>
        <v/>
      </c>
      <c r="K411" s="24" t="str">
        <f aca="false">IF(OR(E411="",I411="",J411=""),"",MAX(E411*I411-J411,0))</f>
        <v/>
      </c>
      <c r="L411" s="25" t="str">
        <f aca="false">IF(OR(D411="",E411="",F411="",D411&lt;=E411),"",FLOOR((F411+K411)/(D411-E411),100))</f>
        <v/>
      </c>
      <c r="M411" s="25" t="str">
        <f aca="false">IF(OR(A411="",B411="",L411=""),"",IF(B411=1,L411,IFERROR(SUMIFS($G$2:$G$1001,$A$2:$A$1001,A411,$B$2:$B$1001,B411-1),0)))</f>
        <v/>
      </c>
      <c r="N411" s="25" t="str">
        <f aca="false">IF(OR(L411="",M411=""),"",MIN(L411,M411))</f>
        <v/>
      </c>
      <c r="O411" s="25" t="str">
        <f aca="false">IF(OR(I411="",G411=""),"",I411+G411)</f>
        <v/>
      </c>
      <c r="P411" s="24" t="str">
        <f aca="false">IF(OR(O411="",O411=0),"",(J411+H411)/O411)</f>
        <v/>
      </c>
      <c r="Q411" s="24" t="str">
        <f aca="false">IF(OR(O411="",E411=""),"",MAX(J411+H411-E411*O411,0))</f>
        <v/>
      </c>
      <c r="R411" s="26" t="str">
        <f aca="false">IF(A411="","",IF(COUNTIF(_TradeIds,A411)=0,"违规：交易编号不存在",IF(OR(B411="",B411&lt;1,B411&gt;5,B411&lt;&gt;INT(B411)),"违规：加仓序号须为1到5的整数",IF(COUNTIFS($A$2:$A$1001,A411,$B$2:$B$1001,B411)&gt;1,"违规：同一交易的加仓序号重复",IF(OR(D411="",E411="",F411=""),"计划不完整：请填写加仓价、新止损价和风险预算",IF(OR(D411&lt;=0,E411&lt;=0,F411&lt;=0,D411&lt;=E411),"违规：加仓价必须高于新止损价，金额须大于0",IF(AND(B411&gt;1,COUNTIFS($A$2:$A$1001,A411,$B$2:$B$1001,B411-1,$G$2:$G$1001,"&gt;0")=0),"违规：须先完成上一次加仓",IF(AND(B411&gt;1,E411&lt;SUMIFS($E$2:$E$1001,$A$2:$A$1001,A411,$B$2:$B$1001,B411-1)),"违规：新止损价不得低于上一次",IF(AND(B411&gt;1,F411&gt;SUMIFS($F$2:$F$1001,$A$2:$A$1001,A411,$B$2:$B$1001,B411-1)),"违规：风险预算须逐次不增加",IF(OR(_LockStatus="已锁仓",_LockStatus="解锁信息不完整"),"违规：锁仓期间禁止加仓",IF(G411="","计划可执行：建议股数见N列",IF(OR(G411&lt;=0,G411&lt;&gt;INT(G411),MOD(G411,100)&lt;&gt;0),"违规：实际股数须为100股整数倍",IF(G411&gt;N411,"违规：实际股数超过风险或金字塔上限",IF(AND(B411&gt;1,G411&gt;SUMIFS($G$2:$G$1001,$A$2:$A$1001,A411,$B$2:$B$1001,B411-1)),"违规：加仓股数须逐次不增加",IF(Q411&gt;F411,"违规：止损风险超过本次预算","通过")))))))))))))))</f>
        <v/>
      </c>
    </row>
    <row r="412" customFormat="false" ht="15" hidden="false" customHeight="false" outlineLevel="0" collapsed="false">
      <c r="A412" s="20"/>
      <c r="B412" s="21"/>
      <c r="C412" s="22"/>
      <c r="D412" s="23"/>
      <c r="E412" s="23"/>
      <c r="F412" s="23"/>
      <c r="G412" s="21"/>
      <c r="H412" s="24" t="str">
        <f aca="false">IF(OR(A412="",D412="",G412=""),"",D412*G412)</f>
        <v/>
      </c>
      <c r="I412" s="25" t="str">
        <f aca="false">IF(OR(A412="",B412=""),"",IFERROR(LOOKUP(2,1/(单次交易!$A$2:$A$201=A412),单次交易!$H$2:$H$201),0)+SUMIFS($G$2:$G$1001,$A$2:$A$1001,A412,$B$2:$B$1001,"&lt;"&amp;B412))</f>
        <v/>
      </c>
      <c r="J412" s="24" t="str">
        <f aca="false">IF(OR(A412="",B412=""),"",IFERROR(LOOKUP(2,1/(单次交易!$A$2:$A$201=A412),单次交易!$E$2:$E$201)*LOOKUP(2,1/(单次交易!$A$2:$A$201=A412),单次交易!$H$2:$H$201),0)+SUMIFS($H$2:$H$1001,$A$2:$A$1001,A412,$B$2:$B$1001,"&lt;"&amp;B412))</f>
        <v/>
      </c>
      <c r="K412" s="24" t="str">
        <f aca="false">IF(OR(E412="",I412="",J412=""),"",MAX(E412*I412-J412,0))</f>
        <v/>
      </c>
      <c r="L412" s="25" t="str">
        <f aca="false">IF(OR(D412="",E412="",F412="",D412&lt;=E412),"",FLOOR((F412+K412)/(D412-E412),100))</f>
        <v/>
      </c>
      <c r="M412" s="25" t="str">
        <f aca="false">IF(OR(A412="",B412="",L412=""),"",IF(B412=1,L412,IFERROR(SUMIFS($G$2:$G$1001,$A$2:$A$1001,A412,$B$2:$B$1001,B412-1),0)))</f>
        <v/>
      </c>
      <c r="N412" s="25" t="str">
        <f aca="false">IF(OR(L412="",M412=""),"",MIN(L412,M412))</f>
        <v/>
      </c>
      <c r="O412" s="25" t="str">
        <f aca="false">IF(OR(I412="",G412=""),"",I412+G412)</f>
        <v/>
      </c>
      <c r="P412" s="24" t="str">
        <f aca="false">IF(OR(O412="",O412=0),"",(J412+H412)/O412)</f>
        <v/>
      </c>
      <c r="Q412" s="24" t="str">
        <f aca="false">IF(OR(O412="",E412=""),"",MAX(J412+H412-E412*O412,0))</f>
        <v/>
      </c>
      <c r="R412" s="26" t="str">
        <f aca="false">IF(A412="","",IF(COUNTIF(_TradeIds,A412)=0,"违规：交易编号不存在",IF(OR(B412="",B412&lt;1,B412&gt;5,B412&lt;&gt;INT(B412)),"违规：加仓序号须为1到5的整数",IF(COUNTIFS($A$2:$A$1001,A412,$B$2:$B$1001,B412)&gt;1,"违规：同一交易的加仓序号重复",IF(OR(D412="",E412="",F412=""),"计划不完整：请填写加仓价、新止损价和风险预算",IF(OR(D412&lt;=0,E412&lt;=0,F412&lt;=0,D412&lt;=E412),"违规：加仓价必须高于新止损价，金额须大于0",IF(AND(B412&gt;1,COUNTIFS($A$2:$A$1001,A412,$B$2:$B$1001,B412-1,$G$2:$G$1001,"&gt;0")=0),"违规：须先完成上一次加仓",IF(AND(B412&gt;1,E412&lt;SUMIFS($E$2:$E$1001,$A$2:$A$1001,A412,$B$2:$B$1001,B412-1)),"违规：新止损价不得低于上一次",IF(AND(B412&gt;1,F412&gt;SUMIFS($F$2:$F$1001,$A$2:$A$1001,A412,$B$2:$B$1001,B412-1)),"违规：风险预算须逐次不增加",IF(OR(_LockStatus="已锁仓",_LockStatus="解锁信息不完整"),"违规：锁仓期间禁止加仓",IF(G412="","计划可执行：建议股数见N列",IF(OR(G412&lt;=0,G412&lt;&gt;INT(G412),MOD(G412,100)&lt;&gt;0),"违规：实际股数须为100股整数倍",IF(G412&gt;N412,"违规：实际股数超过风险或金字塔上限",IF(AND(B412&gt;1,G412&gt;SUMIFS($G$2:$G$1001,$A$2:$A$1001,A412,$B$2:$B$1001,B412-1)),"违规：加仓股数须逐次不增加",IF(Q412&gt;F412,"违规：止损风险超过本次预算","通过")))))))))))))))</f>
        <v/>
      </c>
    </row>
    <row r="413" customFormat="false" ht="15" hidden="false" customHeight="false" outlineLevel="0" collapsed="false">
      <c r="A413" s="20"/>
      <c r="B413" s="21"/>
      <c r="C413" s="22"/>
      <c r="D413" s="23"/>
      <c r="E413" s="23"/>
      <c r="F413" s="23"/>
      <c r="G413" s="21"/>
      <c r="H413" s="24" t="str">
        <f aca="false">IF(OR(A413="",D413="",G413=""),"",D413*G413)</f>
        <v/>
      </c>
      <c r="I413" s="25" t="str">
        <f aca="false">IF(OR(A413="",B413=""),"",IFERROR(LOOKUP(2,1/(单次交易!$A$2:$A$201=A413),单次交易!$H$2:$H$201),0)+SUMIFS($G$2:$G$1001,$A$2:$A$1001,A413,$B$2:$B$1001,"&lt;"&amp;B413))</f>
        <v/>
      </c>
      <c r="J413" s="24" t="str">
        <f aca="false">IF(OR(A413="",B413=""),"",IFERROR(LOOKUP(2,1/(单次交易!$A$2:$A$201=A413),单次交易!$E$2:$E$201)*LOOKUP(2,1/(单次交易!$A$2:$A$201=A413),单次交易!$H$2:$H$201),0)+SUMIFS($H$2:$H$1001,$A$2:$A$1001,A413,$B$2:$B$1001,"&lt;"&amp;B413))</f>
        <v/>
      </c>
      <c r="K413" s="24" t="str">
        <f aca="false">IF(OR(E413="",I413="",J413=""),"",MAX(E413*I413-J413,0))</f>
        <v/>
      </c>
      <c r="L413" s="25" t="str">
        <f aca="false">IF(OR(D413="",E413="",F413="",D413&lt;=E413),"",FLOOR((F413+K413)/(D413-E413),100))</f>
        <v/>
      </c>
      <c r="M413" s="25" t="str">
        <f aca="false">IF(OR(A413="",B413="",L413=""),"",IF(B413=1,L413,IFERROR(SUMIFS($G$2:$G$1001,$A$2:$A$1001,A413,$B$2:$B$1001,B413-1),0)))</f>
        <v/>
      </c>
      <c r="N413" s="25" t="str">
        <f aca="false">IF(OR(L413="",M413=""),"",MIN(L413,M413))</f>
        <v/>
      </c>
      <c r="O413" s="25" t="str">
        <f aca="false">IF(OR(I413="",G413=""),"",I413+G413)</f>
        <v/>
      </c>
      <c r="P413" s="24" t="str">
        <f aca="false">IF(OR(O413="",O413=0),"",(J413+H413)/O413)</f>
        <v/>
      </c>
      <c r="Q413" s="24" t="str">
        <f aca="false">IF(OR(O413="",E413=""),"",MAX(J413+H413-E413*O413,0))</f>
        <v/>
      </c>
      <c r="R413" s="26" t="str">
        <f aca="false">IF(A413="","",IF(COUNTIF(_TradeIds,A413)=0,"违规：交易编号不存在",IF(OR(B413="",B413&lt;1,B413&gt;5,B413&lt;&gt;INT(B413)),"违规：加仓序号须为1到5的整数",IF(COUNTIFS($A$2:$A$1001,A413,$B$2:$B$1001,B413)&gt;1,"违规：同一交易的加仓序号重复",IF(OR(D413="",E413="",F413=""),"计划不完整：请填写加仓价、新止损价和风险预算",IF(OR(D413&lt;=0,E413&lt;=0,F413&lt;=0,D413&lt;=E413),"违规：加仓价必须高于新止损价，金额须大于0",IF(AND(B413&gt;1,COUNTIFS($A$2:$A$1001,A413,$B$2:$B$1001,B413-1,$G$2:$G$1001,"&gt;0")=0),"违规：须先完成上一次加仓",IF(AND(B413&gt;1,E413&lt;SUMIFS($E$2:$E$1001,$A$2:$A$1001,A413,$B$2:$B$1001,B413-1)),"违规：新止损价不得低于上一次",IF(AND(B413&gt;1,F413&gt;SUMIFS($F$2:$F$1001,$A$2:$A$1001,A413,$B$2:$B$1001,B413-1)),"违规：风险预算须逐次不增加",IF(OR(_LockStatus="已锁仓",_LockStatus="解锁信息不完整"),"违规：锁仓期间禁止加仓",IF(G413="","计划可执行：建议股数见N列",IF(OR(G413&lt;=0,G413&lt;&gt;INT(G413),MOD(G413,100)&lt;&gt;0),"违规：实际股数须为100股整数倍",IF(G413&gt;N413,"违规：实际股数超过风险或金字塔上限",IF(AND(B413&gt;1,G413&gt;SUMIFS($G$2:$G$1001,$A$2:$A$1001,A413,$B$2:$B$1001,B413-1)),"违规：加仓股数须逐次不增加",IF(Q413&gt;F413,"违规：止损风险超过本次预算","通过")))))))))))))))</f>
        <v/>
      </c>
    </row>
    <row r="414" customFormat="false" ht="15" hidden="false" customHeight="false" outlineLevel="0" collapsed="false">
      <c r="A414" s="20"/>
      <c r="B414" s="21"/>
      <c r="C414" s="22"/>
      <c r="D414" s="23"/>
      <c r="E414" s="23"/>
      <c r="F414" s="23"/>
      <c r="G414" s="21"/>
      <c r="H414" s="24" t="str">
        <f aca="false">IF(OR(A414="",D414="",G414=""),"",D414*G414)</f>
        <v/>
      </c>
      <c r="I414" s="25" t="str">
        <f aca="false">IF(OR(A414="",B414=""),"",IFERROR(LOOKUP(2,1/(单次交易!$A$2:$A$201=A414),单次交易!$H$2:$H$201),0)+SUMIFS($G$2:$G$1001,$A$2:$A$1001,A414,$B$2:$B$1001,"&lt;"&amp;B414))</f>
        <v/>
      </c>
      <c r="J414" s="24" t="str">
        <f aca="false">IF(OR(A414="",B414=""),"",IFERROR(LOOKUP(2,1/(单次交易!$A$2:$A$201=A414),单次交易!$E$2:$E$201)*LOOKUP(2,1/(单次交易!$A$2:$A$201=A414),单次交易!$H$2:$H$201),0)+SUMIFS($H$2:$H$1001,$A$2:$A$1001,A414,$B$2:$B$1001,"&lt;"&amp;B414))</f>
        <v/>
      </c>
      <c r="K414" s="24" t="str">
        <f aca="false">IF(OR(E414="",I414="",J414=""),"",MAX(E414*I414-J414,0))</f>
        <v/>
      </c>
      <c r="L414" s="25" t="str">
        <f aca="false">IF(OR(D414="",E414="",F414="",D414&lt;=E414),"",FLOOR((F414+K414)/(D414-E414),100))</f>
        <v/>
      </c>
      <c r="M414" s="25" t="str">
        <f aca="false">IF(OR(A414="",B414="",L414=""),"",IF(B414=1,L414,IFERROR(SUMIFS($G$2:$G$1001,$A$2:$A$1001,A414,$B$2:$B$1001,B414-1),0)))</f>
        <v/>
      </c>
      <c r="N414" s="25" t="str">
        <f aca="false">IF(OR(L414="",M414=""),"",MIN(L414,M414))</f>
        <v/>
      </c>
      <c r="O414" s="25" t="str">
        <f aca="false">IF(OR(I414="",G414=""),"",I414+G414)</f>
        <v/>
      </c>
      <c r="P414" s="24" t="str">
        <f aca="false">IF(OR(O414="",O414=0),"",(J414+H414)/O414)</f>
        <v/>
      </c>
      <c r="Q414" s="24" t="str">
        <f aca="false">IF(OR(O414="",E414=""),"",MAX(J414+H414-E414*O414,0))</f>
        <v/>
      </c>
      <c r="R414" s="26" t="str">
        <f aca="false">IF(A414="","",IF(COUNTIF(_TradeIds,A414)=0,"违规：交易编号不存在",IF(OR(B414="",B414&lt;1,B414&gt;5,B414&lt;&gt;INT(B414)),"违规：加仓序号须为1到5的整数",IF(COUNTIFS($A$2:$A$1001,A414,$B$2:$B$1001,B414)&gt;1,"违规：同一交易的加仓序号重复",IF(OR(D414="",E414="",F414=""),"计划不完整：请填写加仓价、新止损价和风险预算",IF(OR(D414&lt;=0,E414&lt;=0,F414&lt;=0,D414&lt;=E414),"违规：加仓价必须高于新止损价，金额须大于0",IF(AND(B414&gt;1,COUNTIFS($A$2:$A$1001,A414,$B$2:$B$1001,B414-1,$G$2:$G$1001,"&gt;0")=0),"违规：须先完成上一次加仓",IF(AND(B414&gt;1,E414&lt;SUMIFS($E$2:$E$1001,$A$2:$A$1001,A414,$B$2:$B$1001,B414-1)),"违规：新止损价不得低于上一次",IF(AND(B414&gt;1,F414&gt;SUMIFS($F$2:$F$1001,$A$2:$A$1001,A414,$B$2:$B$1001,B414-1)),"违规：风险预算须逐次不增加",IF(OR(_LockStatus="已锁仓",_LockStatus="解锁信息不完整"),"违规：锁仓期间禁止加仓",IF(G414="","计划可执行：建议股数见N列",IF(OR(G414&lt;=0,G414&lt;&gt;INT(G414),MOD(G414,100)&lt;&gt;0),"违规：实际股数须为100股整数倍",IF(G414&gt;N414,"违规：实际股数超过风险或金字塔上限",IF(AND(B414&gt;1,G414&gt;SUMIFS($G$2:$G$1001,$A$2:$A$1001,A414,$B$2:$B$1001,B414-1)),"违规：加仓股数须逐次不增加",IF(Q414&gt;F414,"违规：止损风险超过本次预算","通过")))))))))))))))</f>
        <v/>
      </c>
    </row>
    <row r="415" customFormat="false" ht="15" hidden="false" customHeight="false" outlineLevel="0" collapsed="false">
      <c r="A415" s="20"/>
      <c r="B415" s="21"/>
      <c r="C415" s="22"/>
      <c r="D415" s="23"/>
      <c r="E415" s="23"/>
      <c r="F415" s="23"/>
      <c r="G415" s="21"/>
      <c r="H415" s="24" t="str">
        <f aca="false">IF(OR(A415="",D415="",G415=""),"",D415*G415)</f>
        <v/>
      </c>
      <c r="I415" s="25" t="str">
        <f aca="false">IF(OR(A415="",B415=""),"",IFERROR(LOOKUP(2,1/(单次交易!$A$2:$A$201=A415),单次交易!$H$2:$H$201),0)+SUMIFS($G$2:$G$1001,$A$2:$A$1001,A415,$B$2:$B$1001,"&lt;"&amp;B415))</f>
        <v/>
      </c>
      <c r="J415" s="24" t="str">
        <f aca="false">IF(OR(A415="",B415=""),"",IFERROR(LOOKUP(2,1/(单次交易!$A$2:$A$201=A415),单次交易!$E$2:$E$201)*LOOKUP(2,1/(单次交易!$A$2:$A$201=A415),单次交易!$H$2:$H$201),0)+SUMIFS($H$2:$H$1001,$A$2:$A$1001,A415,$B$2:$B$1001,"&lt;"&amp;B415))</f>
        <v/>
      </c>
      <c r="K415" s="24" t="str">
        <f aca="false">IF(OR(E415="",I415="",J415=""),"",MAX(E415*I415-J415,0))</f>
        <v/>
      </c>
      <c r="L415" s="25" t="str">
        <f aca="false">IF(OR(D415="",E415="",F415="",D415&lt;=E415),"",FLOOR((F415+K415)/(D415-E415),100))</f>
        <v/>
      </c>
      <c r="M415" s="25" t="str">
        <f aca="false">IF(OR(A415="",B415="",L415=""),"",IF(B415=1,L415,IFERROR(SUMIFS($G$2:$G$1001,$A$2:$A$1001,A415,$B$2:$B$1001,B415-1),0)))</f>
        <v/>
      </c>
      <c r="N415" s="25" t="str">
        <f aca="false">IF(OR(L415="",M415=""),"",MIN(L415,M415))</f>
        <v/>
      </c>
      <c r="O415" s="25" t="str">
        <f aca="false">IF(OR(I415="",G415=""),"",I415+G415)</f>
        <v/>
      </c>
      <c r="P415" s="24" t="str">
        <f aca="false">IF(OR(O415="",O415=0),"",(J415+H415)/O415)</f>
        <v/>
      </c>
      <c r="Q415" s="24" t="str">
        <f aca="false">IF(OR(O415="",E415=""),"",MAX(J415+H415-E415*O415,0))</f>
        <v/>
      </c>
      <c r="R415" s="26" t="str">
        <f aca="false">IF(A415="","",IF(COUNTIF(_TradeIds,A415)=0,"违规：交易编号不存在",IF(OR(B415="",B415&lt;1,B415&gt;5,B415&lt;&gt;INT(B415)),"违规：加仓序号须为1到5的整数",IF(COUNTIFS($A$2:$A$1001,A415,$B$2:$B$1001,B415)&gt;1,"违规：同一交易的加仓序号重复",IF(OR(D415="",E415="",F415=""),"计划不完整：请填写加仓价、新止损价和风险预算",IF(OR(D415&lt;=0,E415&lt;=0,F415&lt;=0,D415&lt;=E415),"违规：加仓价必须高于新止损价，金额须大于0",IF(AND(B415&gt;1,COUNTIFS($A$2:$A$1001,A415,$B$2:$B$1001,B415-1,$G$2:$G$1001,"&gt;0")=0),"违规：须先完成上一次加仓",IF(AND(B415&gt;1,E415&lt;SUMIFS($E$2:$E$1001,$A$2:$A$1001,A415,$B$2:$B$1001,B415-1)),"违规：新止损价不得低于上一次",IF(AND(B415&gt;1,F415&gt;SUMIFS($F$2:$F$1001,$A$2:$A$1001,A415,$B$2:$B$1001,B415-1)),"违规：风险预算须逐次不增加",IF(OR(_LockStatus="已锁仓",_LockStatus="解锁信息不完整"),"违规：锁仓期间禁止加仓",IF(G415="","计划可执行：建议股数见N列",IF(OR(G415&lt;=0,G415&lt;&gt;INT(G415),MOD(G415,100)&lt;&gt;0),"违规：实际股数须为100股整数倍",IF(G415&gt;N415,"违规：实际股数超过风险或金字塔上限",IF(AND(B415&gt;1,G415&gt;SUMIFS($G$2:$G$1001,$A$2:$A$1001,A415,$B$2:$B$1001,B415-1)),"违规：加仓股数须逐次不增加",IF(Q415&gt;F415,"违规：止损风险超过本次预算","通过")))))))))))))))</f>
        <v/>
      </c>
    </row>
    <row r="416" customFormat="false" ht="15" hidden="false" customHeight="false" outlineLevel="0" collapsed="false">
      <c r="A416" s="20"/>
      <c r="B416" s="21"/>
      <c r="C416" s="22"/>
      <c r="D416" s="23"/>
      <c r="E416" s="23"/>
      <c r="F416" s="23"/>
      <c r="G416" s="21"/>
      <c r="H416" s="24" t="str">
        <f aca="false">IF(OR(A416="",D416="",G416=""),"",D416*G416)</f>
        <v/>
      </c>
      <c r="I416" s="25" t="str">
        <f aca="false">IF(OR(A416="",B416=""),"",IFERROR(LOOKUP(2,1/(单次交易!$A$2:$A$201=A416),单次交易!$H$2:$H$201),0)+SUMIFS($G$2:$G$1001,$A$2:$A$1001,A416,$B$2:$B$1001,"&lt;"&amp;B416))</f>
        <v/>
      </c>
      <c r="J416" s="24" t="str">
        <f aca="false">IF(OR(A416="",B416=""),"",IFERROR(LOOKUP(2,1/(单次交易!$A$2:$A$201=A416),单次交易!$E$2:$E$201)*LOOKUP(2,1/(单次交易!$A$2:$A$201=A416),单次交易!$H$2:$H$201),0)+SUMIFS($H$2:$H$1001,$A$2:$A$1001,A416,$B$2:$B$1001,"&lt;"&amp;B416))</f>
        <v/>
      </c>
      <c r="K416" s="24" t="str">
        <f aca="false">IF(OR(E416="",I416="",J416=""),"",MAX(E416*I416-J416,0))</f>
        <v/>
      </c>
      <c r="L416" s="25" t="str">
        <f aca="false">IF(OR(D416="",E416="",F416="",D416&lt;=E416),"",FLOOR((F416+K416)/(D416-E416),100))</f>
        <v/>
      </c>
      <c r="M416" s="25" t="str">
        <f aca="false">IF(OR(A416="",B416="",L416=""),"",IF(B416=1,L416,IFERROR(SUMIFS($G$2:$G$1001,$A$2:$A$1001,A416,$B$2:$B$1001,B416-1),0)))</f>
        <v/>
      </c>
      <c r="N416" s="25" t="str">
        <f aca="false">IF(OR(L416="",M416=""),"",MIN(L416,M416))</f>
        <v/>
      </c>
      <c r="O416" s="25" t="str">
        <f aca="false">IF(OR(I416="",G416=""),"",I416+G416)</f>
        <v/>
      </c>
      <c r="P416" s="24" t="str">
        <f aca="false">IF(OR(O416="",O416=0),"",(J416+H416)/O416)</f>
        <v/>
      </c>
      <c r="Q416" s="24" t="str">
        <f aca="false">IF(OR(O416="",E416=""),"",MAX(J416+H416-E416*O416,0))</f>
        <v/>
      </c>
      <c r="R416" s="26" t="str">
        <f aca="false">IF(A416="","",IF(COUNTIF(_TradeIds,A416)=0,"违规：交易编号不存在",IF(OR(B416="",B416&lt;1,B416&gt;5,B416&lt;&gt;INT(B416)),"违规：加仓序号须为1到5的整数",IF(COUNTIFS($A$2:$A$1001,A416,$B$2:$B$1001,B416)&gt;1,"违规：同一交易的加仓序号重复",IF(OR(D416="",E416="",F416=""),"计划不完整：请填写加仓价、新止损价和风险预算",IF(OR(D416&lt;=0,E416&lt;=0,F416&lt;=0,D416&lt;=E416),"违规：加仓价必须高于新止损价，金额须大于0",IF(AND(B416&gt;1,COUNTIFS($A$2:$A$1001,A416,$B$2:$B$1001,B416-1,$G$2:$G$1001,"&gt;0")=0),"违规：须先完成上一次加仓",IF(AND(B416&gt;1,E416&lt;SUMIFS($E$2:$E$1001,$A$2:$A$1001,A416,$B$2:$B$1001,B416-1)),"违规：新止损价不得低于上一次",IF(AND(B416&gt;1,F416&gt;SUMIFS($F$2:$F$1001,$A$2:$A$1001,A416,$B$2:$B$1001,B416-1)),"违规：风险预算须逐次不增加",IF(OR(_LockStatus="已锁仓",_LockStatus="解锁信息不完整"),"违规：锁仓期间禁止加仓",IF(G416="","计划可执行：建议股数见N列",IF(OR(G416&lt;=0,G416&lt;&gt;INT(G416),MOD(G416,100)&lt;&gt;0),"违规：实际股数须为100股整数倍",IF(G416&gt;N416,"违规：实际股数超过风险或金字塔上限",IF(AND(B416&gt;1,G416&gt;SUMIFS($G$2:$G$1001,$A$2:$A$1001,A416,$B$2:$B$1001,B416-1)),"违规：加仓股数须逐次不增加",IF(Q416&gt;F416,"违规：止损风险超过本次预算","通过")))))))))))))))</f>
        <v/>
      </c>
    </row>
    <row r="417" customFormat="false" ht="15" hidden="false" customHeight="false" outlineLevel="0" collapsed="false">
      <c r="A417" s="20"/>
      <c r="B417" s="21"/>
      <c r="C417" s="22"/>
      <c r="D417" s="23"/>
      <c r="E417" s="23"/>
      <c r="F417" s="23"/>
      <c r="G417" s="21"/>
      <c r="H417" s="24" t="str">
        <f aca="false">IF(OR(A417="",D417="",G417=""),"",D417*G417)</f>
        <v/>
      </c>
      <c r="I417" s="25" t="str">
        <f aca="false">IF(OR(A417="",B417=""),"",IFERROR(LOOKUP(2,1/(单次交易!$A$2:$A$201=A417),单次交易!$H$2:$H$201),0)+SUMIFS($G$2:$G$1001,$A$2:$A$1001,A417,$B$2:$B$1001,"&lt;"&amp;B417))</f>
        <v/>
      </c>
      <c r="J417" s="24" t="str">
        <f aca="false">IF(OR(A417="",B417=""),"",IFERROR(LOOKUP(2,1/(单次交易!$A$2:$A$201=A417),单次交易!$E$2:$E$201)*LOOKUP(2,1/(单次交易!$A$2:$A$201=A417),单次交易!$H$2:$H$201),0)+SUMIFS($H$2:$H$1001,$A$2:$A$1001,A417,$B$2:$B$1001,"&lt;"&amp;B417))</f>
        <v/>
      </c>
      <c r="K417" s="24" t="str">
        <f aca="false">IF(OR(E417="",I417="",J417=""),"",MAX(E417*I417-J417,0))</f>
        <v/>
      </c>
      <c r="L417" s="25" t="str">
        <f aca="false">IF(OR(D417="",E417="",F417="",D417&lt;=E417),"",FLOOR((F417+K417)/(D417-E417),100))</f>
        <v/>
      </c>
      <c r="M417" s="25" t="str">
        <f aca="false">IF(OR(A417="",B417="",L417=""),"",IF(B417=1,L417,IFERROR(SUMIFS($G$2:$G$1001,$A$2:$A$1001,A417,$B$2:$B$1001,B417-1),0)))</f>
        <v/>
      </c>
      <c r="N417" s="25" t="str">
        <f aca="false">IF(OR(L417="",M417=""),"",MIN(L417,M417))</f>
        <v/>
      </c>
      <c r="O417" s="25" t="str">
        <f aca="false">IF(OR(I417="",G417=""),"",I417+G417)</f>
        <v/>
      </c>
      <c r="P417" s="24" t="str">
        <f aca="false">IF(OR(O417="",O417=0),"",(J417+H417)/O417)</f>
        <v/>
      </c>
      <c r="Q417" s="24" t="str">
        <f aca="false">IF(OR(O417="",E417=""),"",MAX(J417+H417-E417*O417,0))</f>
        <v/>
      </c>
      <c r="R417" s="26" t="str">
        <f aca="false">IF(A417="","",IF(COUNTIF(_TradeIds,A417)=0,"违规：交易编号不存在",IF(OR(B417="",B417&lt;1,B417&gt;5,B417&lt;&gt;INT(B417)),"违规：加仓序号须为1到5的整数",IF(COUNTIFS($A$2:$A$1001,A417,$B$2:$B$1001,B417)&gt;1,"违规：同一交易的加仓序号重复",IF(OR(D417="",E417="",F417=""),"计划不完整：请填写加仓价、新止损价和风险预算",IF(OR(D417&lt;=0,E417&lt;=0,F417&lt;=0,D417&lt;=E417),"违规：加仓价必须高于新止损价，金额须大于0",IF(AND(B417&gt;1,COUNTIFS($A$2:$A$1001,A417,$B$2:$B$1001,B417-1,$G$2:$G$1001,"&gt;0")=0),"违规：须先完成上一次加仓",IF(AND(B417&gt;1,E417&lt;SUMIFS($E$2:$E$1001,$A$2:$A$1001,A417,$B$2:$B$1001,B417-1)),"违规：新止损价不得低于上一次",IF(AND(B417&gt;1,F417&gt;SUMIFS($F$2:$F$1001,$A$2:$A$1001,A417,$B$2:$B$1001,B417-1)),"违规：风险预算须逐次不增加",IF(OR(_LockStatus="已锁仓",_LockStatus="解锁信息不完整"),"违规：锁仓期间禁止加仓",IF(G417="","计划可执行：建议股数见N列",IF(OR(G417&lt;=0,G417&lt;&gt;INT(G417),MOD(G417,100)&lt;&gt;0),"违规：实际股数须为100股整数倍",IF(G417&gt;N417,"违规：实际股数超过风险或金字塔上限",IF(AND(B417&gt;1,G417&gt;SUMIFS($G$2:$G$1001,$A$2:$A$1001,A417,$B$2:$B$1001,B417-1)),"违规：加仓股数须逐次不增加",IF(Q417&gt;F417,"违规：止损风险超过本次预算","通过")))))))))))))))</f>
        <v/>
      </c>
    </row>
    <row r="418" customFormat="false" ht="15" hidden="false" customHeight="false" outlineLevel="0" collapsed="false">
      <c r="A418" s="20"/>
      <c r="B418" s="21"/>
      <c r="C418" s="22"/>
      <c r="D418" s="23"/>
      <c r="E418" s="23"/>
      <c r="F418" s="23"/>
      <c r="G418" s="21"/>
      <c r="H418" s="24" t="str">
        <f aca="false">IF(OR(A418="",D418="",G418=""),"",D418*G418)</f>
        <v/>
      </c>
      <c r="I418" s="25" t="str">
        <f aca="false">IF(OR(A418="",B418=""),"",IFERROR(LOOKUP(2,1/(单次交易!$A$2:$A$201=A418),单次交易!$H$2:$H$201),0)+SUMIFS($G$2:$G$1001,$A$2:$A$1001,A418,$B$2:$B$1001,"&lt;"&amp;B418))</f>
        <v/>
      </c>
      <c r="J418" s="24" t="str">
        <f aca="false">IF(OR(A418="",B418=""),"",IFERROR(LOOKUP(2,1/(单次交易!$A$2:$A$201=A418),单次交易!$E$2:$E$201)*LOOKUP(2,1/(单次交易!$A$2:$A$201=A418),单次交易!$H$2:$H$201),0)+SUMIFS($H$2:$H$1001,$A$2:$A$1001,A418,$B$2:$B$1001,"&lt;"&amp;B418))</f>
        <v/>
      </c>
      <c r="K418" s="24" t="str">
        <f aca="false">IF(OR(E418="",I418="",J418=""),"",MAX(E418*I418-J418,0))</f>
        <v/>
      </c>
      <c r="L418" s="25" t="str">
        <f aca="false">IF(OR(D418="",E418="",F418="",D418&lt;=E418),"",FLOOR((F418+K418)/(D418-E418),100))</f>
        <v/>
      </c>
      <c r="M418" s="25" t="str">
        <f aca="false">IF(OR(A418="",B418="",L418=""),"",IF(B418=1,L418,IFERROR(SUMIFS($G$2:$G$1001,$A$2:$A$1001,A418,$B$2:$B$1001,B418-1),0)))</f>
        <v/>
      </c>
      <c r="N418" s="25" t="str">
        <f aca="false">IF(OR(L418="",M418=""),"",MIN(L418,M418))</f>
        <v/>
      </c>
      <c r="O418" s="25" t="str">
        <f aca="false">IF(OR(I418="",G418=""),"",I418+G418)</f>
        <v/>
      </c>
      <c r="P418" s="24" t="str">
        <f aca="false">IF(OR(O418="",O418=0),"",(J418+H418)/O418)</f>
        <v/>
      </c>
      <c r="Q418" s="24" t="str">
        <f aca="false">IF(OR(O418="",E418=""),"",MAX(J418+H418-E418*O418,0))</f>
        <v/>
      </c>
      <c r="R418" s="26" t="str">
        <f aca="false">IF(A418="","",IF(COUNTIF(_TradeIds,A418)=0,"违规：交易编号不存在",IF(OR(B418="",B418&lt;1,B418&gt;5,B418&lt;&gt;INT(B418)),"违规：加仓序号须为1到5的整数",IF(COUNTIFS($A$2:$A$1001,A418,$B$2:$B$1001,B418)&gt;1,"违规：同一交易的加仓序号重复",IF(OR(D418="",E418="",F418=""),"计划不完整：请填写加仓价、新止损价和风险预算",IF(OR(D418&lt;=0,E418&lt;=0,F418&lt;=0,D418&lt;=E418),"违规：加仓价必须高于新止损价，金额须大于0",IF(AND(B418&gt;1,COUNTIFS($A$2:$A$1001,A418,$B$2:$B$1001,B418-1,$G$2:$G$1001,"&gt;0")=0),"违规：须先完成上一次加仓",IF(AND(B418&gt;1,E418&lt;SUMIFS($E$2:$E$1001,$A$2:$A$1001,A418,$B$2:$B$1001,B418-1)),"违规：新止损价不得低于上一次",IF(AND(B418&gt;1,F418&gt;SUMIFS($F$2:$F$1001,$A$2:$A$1001,A418,$B$2:$B$1001,B418-1)),"违规：风险预算须逐次不增加",IF(OR(_LockStatus="已锁仓",_LockStatus="解锁信息不完整"),"违规：锁仓期间禁止加仓",IF(G418="","计划可执行：建议股数见N列",IF(OR(G418&lt;=0,G418&lt;&gt;INT(G418),MOD(G418,100)&lt;&gt;0),"违规：实际股数须为100股整数倍",IF(G418&gt;N418,"违规：实际股数超过风险或金字塔上限",IF(AND(B418&gt;1,G418&gt;SUMIFS($G$2:$G$1001,$A$2:$A$1001,A418,$B$2:$B$1001,B418-1)),"违规：加仓股数须逐次不增加",IF(Q418&gt;F418,"违规：止损风险超过本次预算","通过")))))))))))))))</f>
        <v/>
      </c>
    </row>
    <row r="419" customFormat="false" ht="15" hidden="false" customHeight="false" outlineLevel="0" collapsed="false">
      <c r="A419" s="20"/>
      <c r="B419" s="21"/>
      <c r="C419" s="22"/>
      <c r="D419" s="23"/>
      <c r="E419" s="23"/>
      <c r="F419" s="23"/>
      <c r="G419" s="21"/>
      <c r="H419" s="24" t="str">
        <f aca="false">IF(OR(A419="",D419="",G419=""),"",D419*G419)</f>
        <v/>
      </c>
      <c r="I419" s="25" t="str">
        <f aca="false">IF(OR(A419="",B419=""),"",IFERROR(LOOKUP(2,1/(单次交易!$A$2:$A$201=A419),单次交易!$H$2:$H$201),0)+SUMIFS($G$2:$G$1001,$A$2:$A$1001,A419,$B$2:$B$1001,"&lt;"&amp;B419))</f>
        <v/>
      </c>
      <c r="J419" s="24" t="str">
        <f aca="false">IF(OR(A419="",B419=""),"",IFERROR(LOOKUP(2,1/(单次交易!$A$2:$A$201=A419),单次交易!$E$2:$E$201)*LOOKUP(2,1/(单次交易!$A$2:$A$201=A419),单次交易!$H$2:$H$201),0)+SUMIFS($H$2:$H$1001,$A$2:$A$1001,A419,$B$2:$B$1001,"&lt;"&amp;B419))</f>
        <v/>
      </c>
      <c r="K419" s="24" t="str">
        <f aca="false">IF(OR(E419="",I419="",J419=""),"",MAX(E419*I419-J419,0))</f>
        <v/>
      </c>
      <c r="L419" s="25" t="str">
        <f aca="false">IF(OR(D419="",E419="",F419="",D419&lt;=E419),"",FLOOR((F419+K419)/(D419-E419),100))</f>
        <v/>
      </c>
      <c r="M419" s="25" t="str">
        <f aca="false">IF(OR(A419="",B419="",L419=""),"",IF(B419=1,L419,IFERROR(SUMIFS($G$2:$G$1001,$A$2:$A$1001,A419,$B$2:$B$1001,B419-1),0)))</f>
        <v/>
      </c>
      <c r="N419" s="25" t="str">
        <f aca="false">IF(OR(L419="",M419=""),"",MIN(L419,M419))</f>
        <v/>
      </c>
      <c r="O419" s="25" t="str">
        <f aca="false">IF(OR(I419="",G419=""),"",I419+G419)</f>
        <v/>
      </c>
      <c r="P419" s="24" t="str">
        <f aca="false">IF(OR(O419="",O419=0),"",(J419+H419)/O419)</f>
        <v/>
      </c>
      <c r="Q419" s="24" t="str">
        <f aca="false">IF(OR(O419="",E419=""),"",MAX(J419+H419-E419*O419,0))</f>
        <v/>
      </c>
      <c r="R419" s="26" t="str">
        <f aca="false">IF(A419="","",IF(COUNTIF(_TradeIds,A419)=0,"违规：交易编号不存在",IF(OR(B419="",B419&lt;1,B419&gt;5,B419&lt;&gt;INT(B419)),"违规：加仓序号须为1到5的整数",IF(COUNTIFS($A$2:$A$1001,A419,$B$2:$B$1001,B419)&gt;1,"违规：同一交易的加仓序号重复",IF(OR(D419="",E419="",F419=""),"计划不完整：请填写加仓价、新止损价和风险预算",IF(OR(D419&lt;=0,E419&lt;=0,F419&lt;=0,D419&lt;=E419),"违规：加仓价必须高于新止损价，金额须大于0",IF(AND(B419&gt;1,COUNTIFS($A$2:$A$1001,A419,$B$2:$B$1001,B419-1,$G$2:$G$1001,"&gt;0")=0),"违规：须先完成上一次加仓",IF(AND(B419&gt;1,E419&lt;SUMIFS($E$2:$E$1001,$A$2:$A$1001,A419,$B$2:$B$1001,B419-1)),"违规：新止损价不得低于上一次",IF(AND(B419&gt;1,F419&gt;SUMIFS($F$2:$F$1001,$A$2:$A$1001,A419,$B$2:$B$1001,B419-1)),"违规：风险预算须逐次不增加",IF(OR(_LockStatus="已锁仓",_LockStatus="解锁信息不完整"),"违规：锁仓期间禁止加仓",IF(G419="","计划可执行：建议股数见N列",IF(OR(G419&lt;=0,G419&lt;&gt;INT(G419),MOD(G419,100)&lt;&gt;0),"违规：实际股数须为100股整数倍",IF(G419&gt;N419,"违规：实际股数超过风险或金字塔上限",IF(AND(B419&gt;1,G419&gt;SUMIFS($G$2:$G$1001,$A$2:$A$1001,A419,$B$2:$B$1001,B419-1)),"违规：加仓股数须逐次不增加",IF(Q419&gt;F419,"违规：止损风险超过本次预算","通过")))))))))))))))</f>
        <v/>
      </c>
    </row>
    <row r="420" customFormat="false" ht="15" hidden="false" customHeight="false" outlineLevel="0" collapsed="false">
      <c r="A420" s="20"/>
      <c r="B420" s="21"/>
      <c r="C420" s="22"/>
      <c r="D420" s="23"/>
      <c r="E420" s="23"/>
      <c r="F420" s="23"/>
      <c r="G420" s="21"/>
      <c r="H420" s="24" t="str">
        <f aca="false">IF(OR(A420="",D420="",G420=""),"",D420*G420)</f>
        <v/>
      </c>
      <c r="I420" s="25" t="str">
        <f aca="false">IF(OR(A420="",B420=""),"",IFERROR(LOOKUP(2,1/(单次交易!$A$2:$A$201=A420),单次交易!$H$2:$H$201),0)+SUMIFS($G$2:$G$1001,$A$2:$A$1001,A420,$B$2:$B$1001,"&lt;"&amp;B420))</f>
        <v/>
      </c>
      <c r="J420" s="24" t="str">
        <f aca="false">IF(OR(A420="",B420=""),"",IFERROR(LOOKUP(2,1/(单次交易!$A$2:$A$201=A420),单次交易!$E$2:$E$201)*LOOKUP(2,1/(单次交易!$A$2:$A$201=A420),单次交易!$H$2:$H$201),0)+SUMIFS($H$2:$H$1001,$A$2:$A$1001,A420,$B$2:$B$1001,"&lt;"&amp;B420))</f>
        <v/>
      </c>
      <c r="K420" s="24" t="str">
        <f aca="false">IF(OR(E420="",I420="",J420=""),"",MAX(E420*I420-J420,0))</f>
        <v/>
      </c>
      <c r="L420" s="25" t="str">
        <f aca="false">IF(OR(D420="",E420="",F420="",D420&lt;=E420),"",FLOOR((F420+K420)/(D420-E420),100))</f>
        <v/>
      </c>
      <c r="M420" s="25" t="str">
        <f aca="false">IF(OR(A420="",B420="",L420=""),"",IF(B420=1,L420,IFERROR(SUMIFS($G$2:$G$1001,$A$2:$A$1001,A420,$B$2:$B$1001,B420-1),0)))</f>
        <v/>
      </c>
      <c r="N420" s="25" t="str">
        <f aca="false">IF(OR(L420="",M420=""),"",MIN(L420,M420))</f>
        <v/>
      </c>
      <c r="O420" s="25" t="str">
        <f aca="false">IF(OR(I420="",G420=""),"",I420+G420)</f>
        <v/>
      </c>
      <c r="P420" s="24" t="str">
        <f aca="false">IF(OR(O420="",O420=0),"",(J420+H420)/O420)</f>
        <v/>
      </c>
      <c r="Q420" s="24" t="str">
        <f aca="false">IF(OR(O420="",E420=""),"",MAX(J420+H420-E420*O420,0))</f>
        <v/>
      </c>
      <c r="R420" s="26" t="str">
        <f aca="false">IF(A420="","",IF(COUNTIF(_TradeIds,A420)=0,"违规：交易编号不存在",IF(OR(B420="",B420&lt;1,B420&gt;5,B420&lt;&gt;INT(B420)),"违规：加仓序号须为1到5的整数",IF(COUNTIFS($A$2:$A$1001,A420,$B$2:$B$1001,B420)&gt;1,"违规：同一交易的加仓序号重复",IF(OR(D420="",E420="",F420=""),"计划不完整：请填写加仓价、新止损价和风险预算",IF(OR(D420&lt;=0,E420&lt;=0,F420&lt;=0,D420&lt;=E420),"违规：加仓价必须高于新止损价，金额须大于0",IF(AND(B420&gt;1,COUNTIFS($A$2:$A$1001,A420,$B$2:$B$1001,B420-1,$G$2:$G$1001,"&gt;0")=0),"违规：须先完成上一次加仓",IF(AND(B420&gt;1,E420&lt;SUMIFS($E$2:$E$1001,$A$2:$A$1001,A420,$B$2:$B$1001,B420-1)),"违规：新止损价不得低于上一次",IF(AND(B420&gt;1,F420&gt;SUMIFS($F$2:$F$1001,$A$2:$A$1001,A420,$B$2:$B$1001,B420-1)),"违规：风险预算须逐次不增加",IF(OR(_LockStatus="已锁仓",_LockStatus="解锁信息不完整"),"违规：锁仓期间禁止加仓",IF(G420="","计划可执行：建议股数见N列",IF(OR(G420&lt;=0,G420&lt;&gt;INT(G420),MOD(G420,100)&lt;&gt;0),"违规：实际股数须为100股整数倍",IF(G420&gt;N420,"违规：实际股数超过风险或金字塔上限",IF(AND(B420&gt;1,G420&gt;SUMIFS($G$2:$G$1001,$A$2:$A$1001,A420,$B$2:$B$1001,B420-1)),"违规：加仓股数须逐次不增加",IF(Q420&gt;F420,"违规：止损风险超过本次预算","通过")))))))))))))))</f>
        <v/>
      </c>
    </row>
    <row r="421" customFormat="false" ht="15" hidden="false" customHeight="false" outlineLevel="0" collapsed="false">
      <c r="A421" s="20"/>
      <c r="B421" s="21"/>
      <c r="C421" s="22"/>
      <c r="D421" s="23"/>
      <c r="E421" s="23"/>
      <c r="F421" s="23"/>
      <c r="G421" s="21"/>
      <c r="H421" s="24" t="str">
        <f aca="false">IF(OR(A421="",D421="",G421=""),"",D421*G421)</f>
        <v/>
      </c>
      <c r="I421" s="25" t="str">
        <f aca="false">IF(OR(A421="",B421=""),"",IFERROR(LOOKUP(2,1/(单次交易!$A$2:$A$201=A421),单次交易!$H$2:$H$201),0)+SUMIFS($G$2:$G$1001,$A$2:$A$1001,A421,$B$2:$B$1001,"&lt;"&amp;B421))</f>
        <v/>
      </c>
      <c r="J421" s="24" t="str">
        <f aca="false">IF(OR(A421="",B421=""),"",IFERROR(LOOKUP(2,1/(单次交易!$A$2:$A$201=A421),单次交易!$E$2:$E$201)*LOOKUP(2,1/(单次交易!$A$2:$A$201=A421),单次交易!$H$2:$H$201),0)+SUMIFS($H$2:$H$1001,$A$2:$A$1001,A421,$B$2:$B$1001,"&lt;"&amp;B421))</f>
        <v/>
      </c>
      <c r="K421" s="24" t="str">
        <f aca="false">IF(OR(E421="",I421="",J421=""),"",MAX(E421*I421-J421,0))</f>
        <v/>
      </c>
      <c r="L421" s="25" t="str">
        <f aca="false">IF(OR(D421="",E421="",F421="",D421&lt;=E421),"",FLOOR((F421+K421)/(D421-E421),100))</f>
        <v/>
      </c>
      <c r="M421" s="25" t="str">
        <f aca="false">IF(OR(A421="",B421="",L421=""),"",IF(B421=1,L421,IFERROR(SUMIFS($G$2:$G$1001,$A$2:$A$1001,A421,$B$2:$B$1001,B421-1),0)))</f>
        <v/>
      </c>
      <c r="N421" s="25" t="str">
        <f aca="false">IF(OR(L421="",M421=""),"",MIN(L421,M421))</f>
        <v/>
      </c>
      <c r="O421" s="25" t="str">
        <f aca="false">IF(OR(I421="",G421=""),"",I421+G421)</f>
        <v/>
      </c>
      <c r="P421" s="24" t="str">
        <f aca="false">IF(OR(O421="",O421=0),"",(J421+H421)/O421)</f>
        <v/>
      </c>
      <c r="Q421" s="24" t="str">
        <f aca="false">IF(OR(O421="",E421=""),"",MAX(J421+H421-E421*O421,0))</f>
        <v/>
      </c>
      <c r="R421" s="26" t="str">
        <f aca="false">IF(A421="","",IF(COUNTIF(_TradeIds,A421)=0,"违规：交易编号不存在",IF(OR(B421="",B421&lt;1,B421&gt;5,B421&lt;&gt;INT(B421)),"违规：加仓序号须为1到5的整数",IF(COUNTIFS($A$2:$A$1001,A421,$B$2:$B$1001,B421)&gt;1,"违规：同一交易的加仓序号重复",IF(OR(D421="",E421="",F421=""),"计划不完整：请填写加仓价、新止损价和风险预算",IF(OR(D421&lt;=0,E421&lt;=0,F421&lt;=0,D421&lt;=E421),"违规：加仓价必须高于新止损价，金额须大于0",IF(AND(B421&gt;1,COUNTIFS($A$2:$A$1001,A421,$B$2:$B$1001,B421-1,$G$2:$G$1001,"&gt;0")=0),"违规：须先完成上一次加仓",IF(AND(B421&gt;1,E421&lt;SUMIFS($E$2:$E$1001,$A$2:$A$1001,A421,$B$2:$B$1001,B421-1)),"违规：新止损价不得低于上一次",IF(AND(B421&gt;1,F421&gt;SUMIFS($F$2:$F$1001,$A$2:$A$1001,A421,$B$2:$B$1001,B421-1)),"违规：风险预算须逐次不增加",IF(OR(_LockStatus="已锁仓",_LockStatus="解锁信息不完整"),"违规：锁仓期间禁止加仓",IF(G421="","计划可执行：建议股数见N列",IF(OR(G421&lt;=0,G421&lt;&gt;INT(G421),MOD(G421,100)&lt;&gt;0),"违规：实际股数须为100股整数倍",IF(G421&gt;N421,"违规：实际股数超过风险或金字塔上限",IF(AND(B421&gt;1,G421&gt;SUMIFS($G$2:$G$1001,$A$2:$A$1001,A421,$B$2:$B$1001,B421-1)),"违规：加仓股数须逐次不增加",IF(Q421&gt;F421,"违规：止损风险超过本次预算","通过")))))))))))))))</f>
        <v/>
      </c>
    </row>
    <row r="422" customFormat="false" ht="15" hidden="false" customHeight="false" outlineLevel="0" collapsed="false">
      <c r="A422" s="20"/>
      <c r="B422" s="21"/>
      <c r="C422" s="22"/>
      <c r="D422" s="23"/>
      <c r="E422" s="23"/>
      <c r="F422" s="23"/>
      <c r="G422" s="21"/>
      <c r="H422" s="24" t="str">
        <f aca="false">IF(OR(A422="",D422="",G422=""),"",D422*G422)</f>
        <v/>
      </c>
      <c r="I422" s="25" t="str">
        <f aca="false">IF(OR(A422="",B422=""),"",IFERROR(LOOKUP(2,1/(单次交易!$A$2:$A$201=A422),单次交易!$H$2:$H$201),0)+SUMIFS($G$2:$G$1001,$A$2:$A$1001,A422,$B$2:$B$1001,"&lt;"&amp;B422))</f>
        <v/>
      </c>
      <c r="J422" s="24" t="str">
        <f aca="false">IF(OR(A422="",B422=""),"",IFERROR(LOOKUP(2,1/(单次交易!$A$2:$A$201=A422),单次交易!$E$2:$E$201)*LOOKUP(2,1/(单次交易!$A$2:$A$201=A422),单次交易!$H$2:$H$201),0)+SUMIFS($H$2:$H$1001,$A$2:$A$1001,A422,$B$2:$B$1001,"&lt;"&amp;B422))</f>
        <v/>
      </c>
      <c r="K422" s="24" t="str">
        <f aca="false">IF(OR(E422="",I422="",J422=""),"",MAX(E422*I422-J422,0))</f>
        <v/>
      </c>
      <c r="L422" s="25" t="str">
        <f aca="false">IF(OR(D422="",E422="",F422="",D422&lt;=E422),"",FLOOR((F422+K422)/(D422-E422),100))</f>
        <v/>
      </c>
      <c r="M422" s="25" t="str">
        <f aca="false">IF(OR(A422="",B422="",L422=""),"",IF(B422=1,L422,IFERROR(SUMIFS($G$2:$G$1001,$A$2:$A$1001,A422,$B$2:$B$1001,B422-1),0)))</f>
        <v/>
      </c>
      <c r="N422" s="25" t="str">
        <f aca="false">IF(OR(L422="",M422=""),"",MIN(L422,M422))</f>
        <v/>
      </c>
      <c r="O422" s="25" t="str">
        <f aca="false">IF(OR(I422="",G422=""),"",I422+G422)</f>
        <v/>
      </c>
      <c r="P422" s="24" t="str">
        <f aca="false">IF(OR(O422="",O422=0),"",(J422+H422)/O422)</f>
        <v/>
      </c>
      <c r="Q422" s="24" t="str">
        <f aca="false">IF(OR(O422="",E422=""),"",MAX(J422+H422-E422*O422,0))</f>
        <v/>
      </c>
      <c r="R422" s="26" t="str">
        <f aca="false">IF(A422="","",IF(COUNTIF(_TradeIds,A422)=0,"违规：交易编号不存在",IF(OR(B422="",B422&lt;1,B422&gt;5,B422&lt;&gt;INT(B422)),"违规：加仓序号须为1到5的整数",IF(COUNTIFS($A$2:$A$1001,A422,$B$2:$B$1001,B422)&gt;1,"违规：同一交易的加仓序号重复",IF(OR(D422="",E422="",F422=""),"计划不完整：请填写加仓价、新止损价和风险预算",IF(OR(D422&lt;=0,E422&lt;=0,F422&lt;=0,D422&lt;=E422),"违规：加仓价必须高于新止损价，金额须大于0",IF(AND(B422&gt;1,COUNTIFS($A$2:$A$1001,A422,$B$2:$B$1001,B422-1,$G$2:$G$1001,"&gt;0")=0),"违规：须先完成上一次加仓",IF(AND(B422&gt;1,E422&lt;SUMIFS($E$2:$E$1001,$A$2:$A$1001,A422,$B$2:$B$1001,B422-1)),"违规：新止损价不得低于上一次",IF(AND(B422&gt;1,F422&gt;SUMIFS($F$2:$F$1001,$A$2:$A$1001,A422,$B$2:$B$1001,B422-1)),"违规：风险预算须逐次不增加",IF(OR(_LockStatus="已锁仓",_LockStatus="解锁信息不完整"),"违规：锁仓期间禁止加仓",IF(G422="","计划可执行：建议股数见N列",IF(OR(G422&lt;=0,G422&lt;&gt;INT(G422),MOD(G422,100)&lt;&gt;0),"违规：实际股数须为100股整数倍",IF(G422&gt;N422,"违规：实际股数超过风险或金字塔上限",IF(AND(B422&gt;1,G422&gt;SUMIFS($G$2:$G$1001,$A$2:$A$1001,A422,$B$2:$B$1001,B422-1)),"违规：加仓股数须逐次不增加",IF(Q422&gt;F422,"违规：止损风险超过本次预算","通过")))))))))))))))</f>
        <v/>
      </c>
    </row>
    <row r="423" customFormat="false" ht="15" hidden="false" customHeight="false" outlineLevel="0" collapsed="false">
      <c r="A423" s="20"/>
      <c r="B423" s="21"/>
      <c r="C423" s="22"/>
      <c r="D423" s="23"/>
      <c r="E423" s="23"/>
      <c r="F423" s="23"/>
      <c r="G423" s="21"/>
      <c r="H423" s="24" t="str">
        <f aca="false">IF(OR(A423="",D423="",G423=""),"",D423*G423)</f>
        <v/>
      </c>
      <c r="I423" s="25" t="str">
        <f aca="false">IF(OR(A423="",B423=""),"",IFERROR(LOOKUP(2,1/(单次交易!$A$2:$A$201=A423),单次交易!$H$2:$H$201),0)+SUMIFS($G$2:$G$1001,$A$2:$A$1001,A423,$B$2:$B$1001,"&lt;"&amp;B423))</f>
        <v/>
      </c>
      <c r="J423" s="24" t="str">
        <f aca="false">IF(OR(A423="",B423=""),"",IFERROR(LOOKUP(2,1/(单次交易!$A$2:$A$201=A423),单次交易!$E$2:$E$201)*LOOKUP(2,1/(单次交易!$A$2:$A$201=A423),单次交易!$H$2:$H$201),0)+SUMIFS($H$2:$H$1001,$A$2:$A$1001,A423,$B$2:$B$1001,"&lt;"&amp;B423))</f>
        <v/>
      </c>
      <c r="K423" s="24" t="str">
        <f aca="false">IF(OR(E423="",I423="",J423=""),"",MAX(E423*I423-J423,0))</f>
        <v/>
      </c>
      <c r="L423" s="25" t="str">
        <f aca="false">IF(OR(D423="",E423="",F423="",D423&lt;=E423),"",FLOOR((F423+K423)/(D423-E423),100))</f>
        <v/>
      </c>
      <c r="M423" s="25" t="str">
        <f aca="false">IF(OR(A423="",B423="",L423=""),"",IF(B423=1,L423,IFERROR(SUMIFS($G$2:$G$1001,$A$2:$A$1001,A423,$B$2:$B$1001,B423-1),0)))</f>
        <v/>
      </c>
      <c r="N423" s="25" t="str">
        <f aca="false">IF(OR(L423="",M423=""),"",MIN(L423,M423))</f>
        <v/>
      </c>
      <c r="O423" s="25" t="str">
        <f aca="false">IF(OR(I423="",G423=""),"",I423+G423)</f>
        <v/>
      </c>
      <c r="P423" s="24" t="str">
        <f aca="false">IF(OR(O423="",O423=0),"",(J423+H423)/O423)</f>
        <v/>
      </c>
      <c r="Q423" s="24" t="str">
        <f aca="false">IF(OR(O423="",E423=""),"",MAX(J423+H423-E423*O423,0))</f>
        <v/>
      </c>
      <c r="R423" s="26" t="str">
        <f aca="false">IF(A423="","",IF(COUNTIF(_TradeIds,A423)=0,"违规：交易编号不存在",IF(OR(B423="",B423&lt;1,B423&gt;5,B423&lt;&gt;INT(B423)),"违规：加仓序号须为1到5的整数",IF(COUNTIFS($A$2:$A$1001,A423,$B$2:$B$1001,B423)&gt;1,"违规：同一交易的加仓序号重复",IF(OR(D423="",E423="",F423=""),"计划不完整：请填写加仓价、新止损价和风险预算",IF(OR(D423&lt;=0,E423&lt;=0,F423&lt;=0,D423&lt;=E423),"违规：加仓价必须高于新止损价，金额须大于0",IF(AND(B423&gt;1,COUNTIFS($A$2:$A$1001,A423,$B$2:$B$1001,B423-1,$G$2:$G$1001,"&gt;0")=0),"违规：须先完成上一次加仓",IF(AND(B423&gt;1,E423&lt;SUMIFS($E$2:$E$1001,$A$2:$A$1001,A423,$B$2:$B$1001,B423-1)),"违规：新止损价不得低于上一次",IF(AND(B423&gt;1,F423&gt;SUMIFS($F$2:$F$1001,$A$2:$A$1001,A423,$B$2:$B$1001,B423-1)),"违规：风险预算须逐次不增加",IF(OR(_LockStatus="已锁仓",_LockStatus="解锁信息不完整"),"违规：锁仓期间禁止加仓",IF(G423="","计划可执行：建议股数见N列",IF(OR(G423&lt;=0,G423&lt;&gt;INT(G423),MOD(G423,100)&lt;&gt;0),"违规：实际股数须为100股整数倍",IF(G423&gt;N423,"违规：实际股数超过风险或金字塔上限",IF(AND(B423&gt;1,G423&gt;SUMIFS($G$2:$G$1001,$A$2:$A$1001,A423,$B$2:$B$1001,B423-1)),"违规：加仓股数须逐次不增加",IF(Q423&gt;F423,"违规：止损风险超过本次预算","通过")))))))))))))))</f>
        <v/>
      </c>
    </row>
    <row r="424" customFormat="false" ht="15" hidden="false" customHeight="false" outlineLevel="0" collapsed="false">
      <c r="A424" s="20"/>
      <c r="B424" s="21"/>
      <c r="C424" s="22"/>
      <c r="D424" s="23"/>
      <c r="E424" s="23"/>
      <c r="F424" s="23"/>
      <c r="G424" s="21"/>
      <c r="H424" s="24" t="str">
        <f aca="false">IF(OR(A424="",D424="",G424=""),"",D424*G424)</f>
        <v/>
      </c>
      <c r="I424" s="25" t="str">
        <f aca="false">IF(OR(A424="",B424=""),"",IFERROR(LOOKUP(2,1/(单次交易!$A$2:$A$201=A424),单次交易!$H$2:$H$201),0)+SUMIFS($G$2:$G$1001,$A$2:$A$1001,A424,$B$2:$B$1001,"&lt;"&amp;B424))</f>
        <v/>
      </c>
      <c r="J424" s="24" t="str">
        <f aca="false">IF(OR(A424="",B424=""),"",IFERROR(LOOKUP(2,1/(单次交易!$A$2:$A$201=A424),单次交易!$E$2:$E$201)*LOOKUP(2,1/(单次交易!$A$2:$A$201=A424),单次交易!$H$2:$H$201),0)+SUMIFS($H$2:$H$1001,$A$2:$A$1001,A424,$B$2:$B$1001,"&lt;"&amp;B424))</f>
        <v/>
      </c>
      <c r="K424" s="24" t="str">
        <f aca="false">IF(OR(E424="",I424="",J424=""),"",MAX(E424*I424-J424,0))</f>
        <v/>
      </c>
      <c r="L424" s="25" t="str">
        <f aca="false">IF(OR(D424="",E424="",F424="",D424&lt;=E424),"",FLOOR((F424+K424)/(D424-E424),100))</f>
        <v/>
      </c>
      <c r="M424" s="25" t="str">
        <f aca="false">IF(OR(A424="",B424="",L424=""),"",IF(B424=1,L424,IFERROR(SUMIFS($G$2:$G$1001,$A$2:$A$1001,A424,$B$2:$B$1001,B424-1),0)))</f>
        <v/>
      </c>
      <c r="N424" s="25" t="str">
        <f aca="false">IF(OR(L424="",M424=""),"",MIN(L424,M424))</f>
        <v/>
      </c>
      <c r="O424" s="25" t="str">
        <f aca="false">IF(OR(I424="",G424=""),"",I424+G424)</f>
        <v/>
      </c>
      <c r="P424" s="24" t="str">
        <f aca="false">IF(OR(O424="",O424=0),"",(J424+H424)/O424)</f>
        <v/>
      </c>
      <c r="Q424" s="24" t="str">
        <f aca="false">IF(OR(O424="",E424=""),"",MAX(J424+H424-E424*O424,0))</f>
        <v/>
      </c>
      <c r="R424" s="26" t="str">
        <f aca="false">IF(A424="","",IF(COUNTIF(_TradeIds,A424)=0,"违规：交易编号不存在",IF(OR(B424="",B424&lt;1,B424&gt;5,B424&lt;&gt;INT(B424)),"违规：加仓序号须为1到5的整数",IF(COUNTIFS($A$2:$A$1001,A424,$B$2:$B$1001,B424)&gt;1,"违规：同一交易的加仓序号重复",IF(OR(D424="",E424="",F424=""),"计划不完整：请填写加仓价、新止损价和风险预算",IF(OR(D424&lt;=0,E424&lt;=0,F424&lt;=0,D424&lt;=E424),"违规：加仓价必须高于新止损价，金额须大于0",IF(AND(B424&gt;1,COUNTIFS($A$2:$A$1001,A424,$B$2:$B$1001,B424-1,$G$2:$G$1001,"&gt;0")=0),"违规：须先完成上一次加仓",IF(AND(B424&gt;1,E424&lt;SUMIFS($E$2:$E$1001,$A$2:$A$1001,A424,$B$2:$B$1001,B424-1)),"违规：新止损价不得低于上一次",IF(AND(B424&gt;1,F424&gt;SUMIFS($F$2:$F$1001,$A$2:$A$1001,A424,$B$2:$B$1001,B424-1)),"违规：风险预算须逐次不增加",IF(OR(_LockStatus="已锁仓",_LockStatus="解锁信息不完整"),"违规：锁仓期间禁止加仓",IF(G424="","计划可执行：建议股数见N列",IF(OR(G424&lt;=0,G424&lt;&gt;INT(G424),MOD(G424,100)&lt;&gt;0),"违规：实际股数须为100股整数倍",IF(G424&gt;N424,"违规：实际股数超过风险或金字塔上限",IF(AND(B424&gt;1,G424&gt;SUMIFS($G$2:$G$1001,$A$2:$A$1001,A424,$B$2:$B$1001,B424-1)),"违规：加仓股数须逐次不增加",IF(Q424&gt;F424,"违规：止损风险超过本次预算","通过")))))))))))))))</f>
        <v/>
      </c>
    </row>
    <row r="425" customFormat="false" ht="15" hidden="false" customHeight="false" outlineLevel="0" collapsed="false">
      <c r="A425" s="20"/>
      <c r="B425" s="21"/>
      <c r="C425" s="22"/>
      <c r="D425" s="23"/>
      <c r="E425" s="23"/>
      <c r="F425" s="23"/>
      <c r="G425" s="21"/>
      <c r="H425" s="24" t="str">
        <f aca="false">IF(OR(A425="",D425="",G425=""),"",D425*G425)</f>
        <v/>
      </c>
      <c r="I425" s="25" t="str">
        <f aca="false">IF(OR(A425="",B425=""),"",IFERROR(LOOKUP(2,1/(单次交易!$A$2:$A$201=A425),单次交易!$H$2:$H$201),0)+SUMIFS($G$2:$G$1001,$A$2:$A$1001,A425,$B$2:$B$1001,"&lt;"&amp;B425))</f>
        <v/>
      </c>
      <c r="J425" s="24" t="str">
        <f aca="false">IF(OR(A425="",B425=""),"",IFERROR(LOOKUP(2,1/(单次交易!$A$2:$A$201=A425),单次交易!$E$2:$E$201)*LOOKUP(2,1/(单次交易!$A$2:$A$201=A425),单次交易!$H$2:$H$201),0)+SUMIFS($H$2:$H$1001,$A$2:$A$1001,A425,$B$2:$B$1001,"&lt;"&amp;B425))</f>
        <v/>
      </c>
      <c r="K425" s="24" t="str">
        <f aca="false">IF(OR(E425="",I425="",J425=""),"",MAX(E425*I425-J425,0))</f>
        <v/>
      </c>
      <c r="L425" s="25" t="str">
        <f aca="false">IF(OR(D425="",E425="",F425="",D425&lt;=E425),"",FLOOR((F425+K425)/(D425-E425),100))</f>
        <v/>
      </c>
      <c r="M425" s="25" t="str">
        <f aca="false">IF(OR(A425="",B425="",L425=""),"",IF(B425=1,L425,IFERROR(SUMIFS($G$2:$G$1001,$A$2:$A$1001,A425,$B$2:$B$1001,B425-1),0)))</f>
        <v/>
      </c>
      <c r="N425" s="25" t="str">
        <f aca="false">IF(OR(L425="",M425=""),"",MIN(L425,M425))</f>
        <v/>
      </c>
      <c r="O425" s="25" t="str">
        <f aca="false">IF(OR(I425="",G425=""),"",I425+G425)</f>
        <v/>
      </c>
      <c r="P425" s="24" t="str">
        <f aca="false">IF(OR(O425="",O425=0),"",(J425+H425)/O425)</f>
        <v/>
      </c>
      <c r="Q425" s="24" t="str">
        <f aca="false">IF(OR(O425="",E425=""),"",MAX(J425+H425-E425*O425,0))</f>
        <v/>
      </c>
      <c r="R425" s="26" t="str">
        <f aca="false">IF(A425="","",IF(COUNTIF(_TradeIds,A425)=0,"违规：交易编号不存在",IF(OR(B425="",B425&lt;1,B425&gt;5,B425&lt;&gt;INT(B425)),"违规：加仓序号须为1到5的整数",IF(COUNTIFS($A$2:$A$1001,A425,$B$2:$B$1001,B425)&gt;1,"违规：同一交易的加仓序号重复",IF(OR(D425="",E425="",F425=""),"计划不完整：请填写加仓价、新止损价和风险预算",IF(OR(D425&lt;=0,E425&lt;=0,F425&lt;=0,D425&lt;=E425),"违规：加仓价必须高于新止损价，金额须大于0",IF(AND(B425&gt;1,COUNTIFS($A$2:$A$1001,A425,$B$2:$B$1001,B425-1,$G$2:$G$1001,"&gt;0")=0),"违规：须先完成上一次加仓",IF(AND(B425&gt;1,E425&lt;SUMIFS($E$2:$E$1001,$A$2:$A$1001,A425,$B$2:$B$1001,B425-1)),"违规：新止损价不得低于上一次",IF(AND(B425&gt;1,F425&gt;SUMIFS($F$2:$F$1001,$A$2:$A$1001,A425,$B$2:$B$1001,B425-1)),"违规：风险预算须逐次不增加",IF(OR(_LockStatus="已锁仓",_LockStatus="解锁信息不完整"),"违规：锁仓期间禁止加仓",IF(G425="","计划可执行：建议股数见N列",IF(OR(G425&lt;=0,G425&lt;&gt;INT(G425),MOD(G425,100)&lt;&gt;0),"违规：实际股数须为100股整数倍",IF(G425&gt;N425,"违规：实际股数超过风险或金字塔上限",IF(AND(B425&gt;1,G425&gt;SUMIFS($G$2:$G$1001,$A$2:$A$1001,A425,$B$2:$B$1001,B425-1)),"违规：加仓股数须逐次不增加",IF(Q425&gt;F425,"违规：止损风险超过本次预算","通过")))))))))))))))</f>
        <v/>
      </c>
    </row>
    <row r="426" customFormat="false" ht="15" hidden="false" customHeight="false" outlineLevel="0" collapsed="false">
      <c r="A426" s="20"/>
      <c r="B426" s="21"/>
      <c r="C426" s="22"/>
      <c r="D426" s="23"/>
      <c r="E426" s="23"/>
      <c r="F426" s="23"/>
      <c r="G426" s="21"/>
      <c r="H426" s="24" t="str">
        <f aca="false">IF(OR(A426="",D426="",G426=""),"",D426*G426)</f>
        <v/>
      </c>
      <c r="I426" s="25" t="str">
        <f aca="false">IF(OR(A426="",B426=""),"",IFERROR(LOOKUP(2,1/(单次交易!$A$2:$A$201=A426),单次交易!$H$2:$H$201),0)+SUMIFS($G$2:$G$1001,$A$2:$A$1001,A426,$B$2:$B$1001,"&lt;"&amp;B426))</f>
        <v/>
      </c>
      <c r="J426" s="24" t="str">
        <f aca="false">IF(OR(A426="",B426=""),"",IFERROR(LOOKUP(2,1/(单次交易!$A$2:$A$201=A426),单次交易!$E$2:$E$201)*LOOKUP(2,1/(单次交易!$A$2:$A$201=A426),单次交易!$H$2:$H$201),0)+SUMIFS($H$2:$H$1001,$A$2:$A$1001,A426,$B$2:$B$1001,"&lt;"&amp;B426))</f>
        <v/>
      </c>
      <c r="K426" s="24" t="str">
        <f aca="false">IF(OR(E426="",I426="",J426=""),"",MAX(E426*I426-J426,0))</f>
        <v/>
      </c>
      <c r="L426" s="25" t="str">
        <f aca="false">IF(OR(D426="",E426="",F426="",D426&lt;=E426),"",FLOOR((F426+K426)/(D426-E426),100))</f>
        <v/>
      </c>
      <c r="M426" s="25" t="str">
        <f aca="false">IF(OR(A426="",B426="",L426=""),"",IF(B426=1,L426,IFERROR(SUMIFS($G$2:$G$1001,$A$2:$A$1001,A426,$B$2:$B$1001,B426-1),0)))</f>
        <v/>
      </c>
      <c r="N426" s="25" t="str">
        <f aca="false">IF(OR(L426="",M426=""),"",MIN(L426,M426))</f>
        <v/>
      </c>
      <c r="O426" s="25" t="str">
        <f aca="false">IF(OR(I426="",G426=""),"",I426+G426)</f>
        <v/>
      </c>
      <c r="P426" s="24" t="str">
        <f aca="false">IF(OR(O426="",O426=0),"",(J426+H426)/O426)</f>
        <v/>
      </c>
      <c r="Q426" s="24" t="str">
        <f aca="false">IF(OR(O426="",E426=""),"",MAX(J426+H426-E426*O426,0))</f>
        <v/>
      </c>
      <c r="R426" s="26" t="str">
        <f aca="false">IF(A426="","",IF(COUNTIF(_TradeIds,A426)=0,"违规：交易编号不存在",IF(OR(B426="",B426&lt;1,B426&gt;5,B426&lt;&gt;INT(B426)),"违规：加仓序号须为1到5的整数",IF(COUNTIFS($A$2:$A$1001,A426,$B$2:$B$1001,B426)&gt;1,"违规：同一交易的加仓序号重复",IF(OR(D426="",E426="",F426=""),"计划不完整：请填写加仓价、新止损价和风险预算",IF(OR(D426&lt;=0,E426&lt;=0,F426&lt;=0,D426&lt;=E426),"违规：加仓价必须高于新止损价，金额须大于0",IF(AND(B426&gt;1,COUNTIFS($A$2:$A$1001,A426,$B$2:$B$1001,B426-1,$G$2:$G$1001,"&gt;0")=0),"违规：须先完成上一次加仓",IF(AND(B426&gt;1,E426&lt;SUMIFS($E$2:$E$1001,$A$2:$A$1001,A426,$B$2:$B$1001,B426-1)),"违规：新止损价不得低于上一次",IF(AND(B426&gt;1,F426&gt;SUMIFS($F$2:$F$1001,$A$2:$A$1001,A426,$B$2:$B$1001,B426-1)),"违规：风险预算须逐次不增加",IF(OR(_LockStatus="已锁仓",_LockStatus="解锁信息不完整"),"违规：锁仓期间禁止加仓",IF(G426="","计划可执行：建议股数见N列",IF(OR(G426&lt;=0,G426&lt;&gt;INT(G426),MOD(G426,100)&lt;&gt;0),"违规：实际股数须为100股整数倍",IF(G426&gt;N426,"违规：实际股数超过风险或金字塔上限",IF(AND(B426&gt;1,G426&gt;SUMIFS($G$2:$G$1001,$A$2:$A$1001,A426,$B$2:$B$1001,B426-1)),"违规：加仓股数须逐次不增加",IF(Q426&gt;F426,"违规：止损风险超过本次预算","通过")))))))))))))))</f>
        <v/>
      </c>
    </row>
    <row r="427" customFormat="false" ht="15" hidden="false" customHeight="false" outlineLevel="0" collapsed="false">
      <c r="A427" s="20"/>
      <c r="B427" s="21"/>
      <c r="C427" s="22"/>
      <c r="D427" s="23"/>
      <c r="E427" s="23"/>
      <c r="F427" s="23"/>
      <c r="G427" s="21"/>
      <c r="H427" s="24" t="str">
        <f aca="false">IF(OR(A427="",D427="",G427=""),"",D427*G427)</f>
        <v/>
      </c>
      <c r="I427" s="25" t="str">
        <f aca="false">IF(OR(A427="",B427=""),"",IFERROR(LOOKUP(2,1/(单次交易!$A$2:$A$201=A427),单次交易!$H$2:$H$201),0)+SUMIFS($G$2:$G$1001,$A$2:$A$1001,A427,$B$2:$B$1001,"&lt;"&amp;B427))</f>
        <v/>
      </c>
      <c r="J427" s="24" t="str">
        <f aca="false">IF(OR(A427="",B427=""),"",IFERROR(LOOKUP(2,1/(单次交易!$A$2:$A$201=A427),单次交易!$E$2:$E$201)*LOOKUP(2,1/(单次交易!$A$2:$A$201=A427),单次交易!$H$2:$H$201),0)+SUMIFS($H$2:$H$1001,$A$2:$A$1001,A427,$B$2:$B$1001,"&lt;"&amp;B427))</f>
        <v/>
      </c>
      <c r="K427" s="24" t="str">
        <f aca="false">IF(OR(E427="",I427="",J427=""),"",MAX(E427*I427-J427,0))</f>
        <v/>
      </c>
      <c r="L427" s="25" t="str">
        <f aca="false">IF(OR(D427="",E427="",F427="",D427&lt;=E427),"",FLOOR((F427+K427)/(D427-E427),100))</f>
        <v/>
      </c>
      <c r="M427" s="25" t="str">
        <f aca="false">IF(OR(A427="",B427="",L427=""),"",IF(B427=1,L427,IFERROR(SUMIFS($G$2:$G$1001,$A$2:$A$1001,A427,$B$2:$B$1001,B427-1),0)))</f>
        <v/>
      </c>
      <c r="N427" s="25" t="str">
        <f aca="false">IF(OR(L427="",M427=""),"",MIN(L427,M427))</f>
        <v/>
      </c>
      <c r="O427" s="25" t="str">
        <f aca="false">IF(OR(I427="",G427=""),"",I427+G427)</f>
        <v/>
      </c>
      <c r="P427" s="24" t="str">
        <f aca="false">IF(OR(O427="",O427=0),"",(J427+H427)/O427)</f>
        <v/>
      </c>
      <c r="Q427" s="24" t="str">
        <f aca="false">IF(OR(O427="",E427=""),"",MAX(J427+H427-E427*O427,0))</f>
        <v/>
      </c>
      <c r="R427" s="26" t="str">
        <f aca="false">IF(A427="","",IF(COUNTIF(_TradeIds,A427)=0,"违规：交易编号不存在",IF(OR(B427="",B427&lt;1,B427&gt;5,B427&lt;&gt;INT(B427)),"违规：加仓序号须为1到5的整数",IF(COUNTIFS($A$2:$A$1001,A427,$B$2:$B$1001,B427)&gt;1,"违规：同一交易的加仓序号重复",IF(OR(D427="",E427="",F427=""),"计划不完整：请填写加仓价、新止损价和风险预算",IF(OR(D427&lt;=0,E427&lt;=0,F427&lt;=0,D427&lt;=E427),"违规：加仓价必须高于新止损价，金额须大于0",IF(AND(B427&gt;1,COUNTIFS($A$2:$A$1001,A427,$B$2:$B$1001,B427-1,$G$2:$G$1001,"&gt;0")=0),"违规：须先完成上一次加仓",IF(AND(B427&gt;1,E427&lt;SUMIFS($E$2:$E$1001,$A$2:$A$1001,A427,$B$2:$B$1001,B427-1)),"违规：新止损价不得低于上一次",IF(AND(B427&gt;1,F427&gt;SUMIFS($F$2:$F$1001,$A$2:$A$1001,A427,$B$2:$B$1001,B427-1)),"违规：风险预算须逐次不增加",IF(OR(_LockStatus="已锁仓",_LockStatus="解锁信息不完整"),"违规：锁仓期间禁止加仓",IF(G427="","计划可执行：建议股数见N列",IF(OR(G427&lt;=0,G427&lt;&gt;INT(G427),MOD(G427,100)&lt;&gt;0),"违规：实际股数须为100股整数倍",IF(G427&gt;N427,"违规：实际股数超过风险或金字塔上限",IF(AND(B427&gt;1,G427&gt;SUMIFS($G$2:$G$1001,$A$2:$A$1001,A427,$B$2:$B$1001,B427-1)),"违规：加仓股数须逐次不增加",IF(Q427&gt;F427,"违规：止损风险超过本次预算","通过")))))))))))))))</f>
        <v/>
      </c>
    </row>
    <row r="428" customFormat="false" ht="15" hidden="false" customHeight="false" outlineLevel="0" collapsed="false">
      <c r="A428" s="20"/>
      <c r="B428" s="21"/>
      <c r="C428" s="22"/>
      <c r="D428" s="23"/>
      <c r="E428" s="23"/>
      <c r="F428" s="23"/>
      <c r="G428" s="21"/>
      <c r="H428" s="24" t="str">
        <f aca="false">IF(OR(A428="",D428="",G428=""),"",D428*G428)</f>
        <v/>
      </c>
      <c r="I428" s="25" t="str">
        <f aca="false">IF(OR(A428="",B428=""),"",IFERROR(LOOKUP(2,1/(单次交易!$A$2:$A$201=A428),单次交易!$H$2:$H$201),0)+SUMIFS($G$2:$G$1001,$A$2:$A$1001,A428,$B$2:$B$1001,"&lt;"&amp;B428))</f>
        <v/>
      </c>
      <c r="J428" s="24" t="str">
        <f aca="false">IF(OR(A428="",B428=""),"",IFERROR(LOOKUP(2,1/(单次交易!$A$2:$A$201=A428),单次交易!$E$2:$E$201)*LOOKUP(2,1/(单次交易!$A$2:$A$201=A428),单次交易!$H$2:$H$201),0)+SUMIFS($H$2:$H$1001,$A$2:$A$1001,A428,$B$2:$B$1001,"&lt;"&amp;B428))</f>
        <v/>
      </c>
      <c r="K428" s="24" t="str">
        <f aca="false">IF(OR(E428="",I428="",J428=""),"",MAX(E428*I428-J428,0))</f>
        <v/>
      </c>
      <c r="L428" s="25" t="str">
        <f aca="false">IF(OR(D428="",E428="",F428="",D428&lt;=E428),"",FLOOR((F428+K428)/(D428-E428),100))</f>
        <v/>
      </c>
      <c r="M428" s="25" t="str">
        <f aca="false">IF(OR(A428="",B428="",L428=""),"",IF(B428=1,L428,IFERROR(SUMIFS($G$2:$G$1001,$A$2:$A$1001,A428,$B$2:$B$1001,B428-1),0)))</f>
        <v/>
      </c>
      <c r="N428" s="25" t="str">
        <f aca="false">IF(OR(L428="",M428=""),"",MIN(L428,M428))</f>
        <v/>
      </c>
      <c r="O428" s="25" t="str">
        <f aca="false">IF(OR(I428="",G428=""),"",I428+G428)</f>
        <v/>
      </c>
      <c r="P428" s="24" t="str">
        <f aca="false">IF(OR(O428="",O428=0),"",(J428+H428)/O428)</f>
        <v/>
      </c>
      <c r="Q428" s="24" t="str">
        <f aca="false">IF(OR(O428="",E428=""),"",MAX(J428+H428-E428*O428,0))</f>
        <v/>
      </c>
      <c r="R428" s="26" t="str">
        <f aca="false">IF(A428="","",IF(COUNTIF(_TradeIds,A428)=0,"违规：交易编号不存在",IF(OR(B428="",B428&lt;1,B428&gt;5,B428&lt;&gt;INT(B428)),"违规：加仓序号须为1到5的整数",IF(COUNTIFS($A$2:$A$1001,A428,$B$2:$B$1001,B428)&gt;1,"违规：同一交易的加仓序号重复",IF(OR(D428="",E428="",F428=""),"计划不完整：请填写加仓价、新止损价和风险预算",IF(OR(D428&lt;=0,E428&lt;=0,F428&lt;=0,D428&lt;=E428),"违规：加仓价必须高于新止损价，金额须大于0",IF(AND(B428&gt;1,COUNTIFS($A$2:$A$1001,A428,$B$2:$B$1001,B428-1,$G$2:$G$1001,"&gt;0")=0),"违规：须先完成上一次加仓",IF(AND(B428&gt;1,E428&lt;SUMIFS($E$2:$E$1001,$A$2:$A$1001,A428,$B$2:$B$1001,B428-1)),"违规：新止损价不得低于上一次",IF(AND(B428&gt;1,F428&gt;SUMIFS($F$2:$F$1001,$A$2:$A$1001,A428,$B$2:$B$1001,B428-1)),"违规：风险预算须逐次不增加",IF(OR(_LockStatus="已锁仓",_LockStatus="解锁信息不完整"),"违规：锁仓期间禁止加仓",IF(G428="","计划可执行：建议股数见N列",IF(OR(G428&lt;=0,G428&lt;&gt;INT(G428),MOD(G428,100)&lt;&gt;0),"违规：实际股数须为100股整数倍",IF(G428&gt;N428,"违规：实际股数超过风险或金字塔上限",IF(AND(B428&gt;1,G428&gt;SUMIFS($G$2:$G$1001,$A$2:$A$1001,A428,$B$2:$B$1001,B428-1)),"违规：加仓股数须逐次不增加",IF(Q428&gt;F428,"违规：止损风险超过本次预算","通过")))))))))))))))</f>
        <v/>
      </c>
    </row>
    <row r="429" customFormat="false" ht="15" hidden="false" customHeight="false" outlineLevel="0" collapsed="false">
      <c r="A429" s="20"/>
      <c r="B429" s="21"/>
      <c r="C429" s="22"/>
      <c r="D429" s="23"/>
      <c r="E429" s="23"/>
      <c r="F429" s="23"/>
      <c r="G429" s="21"/>
      <c r="H429" s="24" t="str">
        <f aca="false">IF(OR(A429="",D429="",G429=""),"",D429*G429)</f>
        <v/>
      </c>
      <c r="I429" s="25" t="str">
        <f aca="false">IF(OR(A429="",B429=""),"",IFERROR(LOOKUP(2,1/(单次交易!$A$2:$A$201=A429),单次交易!$H$2:$H$201),0)+SUMIFS($G$2:$G$1001,$A$2:$A$1001,A429,$B$2:$B$1001,"&lt;"&amp;B429))</f>
        <v/>
      </c>
      <c r="J429" s="24" t="str">
        <f aca="false">IF(OR(A429="",B429=""),"",IFERROR(LOOKUP(2,1/(单次交易!$A$2:$A$201=A429),单次交易!$E$2:$E$201)*LOOKUP(2,1/(单次交易!$A$2:$A$201=A429),单次交易!$H$2:$H$201),0)+SUMIFS($H$2:$H$1001,$A$2:$A$1001,A429,$B$2:$B$1001,"&lt;"&amp;B429))</f>
        <v/>
      </c>
      <c r="K429" s="24" t="str">
        <f aca="false">IF(OR(E429="",I429="",J429=""),"",MAX(E429*I429-J429,0))</f>
        <v/>
      </c>
      <c r="L429" s="25" t="str">
        <f aca="false">IF(OR(D429="",E429="",F429="",D429&lt;=E429),"",FLOOR((F429+K429)/(D429-E429),100))</f>
        <v/>
      </c>
      <c r="M429" s="25" t="str">
        <f aca="false">IF(OR(A429="",B429="",L429=""),"",IF(B429=1,L429,IFERROR(SUMIFS($G$2:$G$1001,$A$2:$A$1001,A429,$B$2:$B$1001,B429-1),0)))</f>
        <v/>
      </c>
      <c r="N429" s="25" t="str">
        <f aca="false">IF(OR(L429="",M429=""),"",MIN(L429,M429))</f>
        <v/>
      </c>
      <c r="O429" s="25" t="str">
        <f aca="false">IF(OR(I429="",G429=""),"",I429+G429)</f>
        <v/>
      </c>
      <c r="P429" s="24" t="str">
        <f aca="false">IF(OR(O429="",O429=0),"",(J429+H429)/O429)</f>
        <v/>
      </c>
      <c r="Q429" s="24" t="str">
        <f aca="false">IF(OR(O429="",E429=""),"",MAX(J429+H429-E429*O429,0))</f>
        <v/>
      </c>
      <c r="R429" s="26" t="str">
        <f aca="false">IF(A429="","",IF(COUNTIF(_TradeIds,A429)=0,"违规：交易编号不存在",IF(OR(B429="",B429&lt;1,B429&gt;5,B429&lt;&gt;INT(B429)),"违规：加仓序号须为1到5的整数",IF(COUNTIFS($A$2:$A$1001,A429,$B$2:$B$1001,B429)&gt;1,"违规：同一交易的加仓序号重复",IF(OR(D429="",E429="",F429=""),"计划不完整：请填写加仓价、新止损价和风险预算",IF(OR(D429&lt;=0,E429&lt;=0,F429&lt;=0,D429&lt;=E429),"违规：加仓价必须高于新止损价，金额须大于0",IF(AND(B429&gt;1,COUNTIFS($A$2:$A$1001,A429,$B$2:$B$1001,B429-1,$G$2:$G$1001,"&gt;0")=0),"违规：须先完成上一次加仓",IF(AND(B429&gt;1,E429&lt;SUMIFS($E$2:$E$1001,$A$2:$A$1001,A429,$B$2:$B$1001,B429-1)),"违规：新止损价不得低于上一次",IF(AND(B429&gt;1,F429&gt;SUMIFS($F$2:$F$1001,$A$2:$A$1001,A429,$B$2:$B$1001,B429-1)),"违规：风险预算须逐次不增加",IF(OR(_LockStatus="已锁仓",_LockStatus="解锁信息不完整"),"违规：锁仓期间禁止加仓",IF(G429="","计划可执行：建议股数见N列",IF(OR(G429&lt;=0,G429&lt;&gt;INT(G429),MOD(G429,100)&lt;&gt;0),"违规：实际股数须为100股整数倍",IF(G429&gt;N429,"违规：实际股数超过风险或金字塔上限",IF(AND(B429&gt;1,G429&gt;SUMIFS($G$2:$G$1001,$A$2:$A$1001,A429,$B$2:$B$1001,B429-1)),"违规：加仓股数须逐次不增加",IF(Q429&gt;F429,"违规：止损风险超过本次预算","通过")))))))))))))))</f>
        <v/>
      </c>
    </row>
    <row r="430" customFormat="false" ht="15" hidden="false" customHeight="false" outlineLevel="0" collapsed="false">
      <c r="A430" s="20"/>
      <c r="B430" s="21"/>
      <c r="C430" s="22"/>
      <c r="D430" s="23"/>
      <c r="E430" s="23"/>
      <c r="F430" s="23"/>
      <c r="G430" s="21"/>
      <c r="H430" s="24" t="str">
        <f aca="false">IF(OR(A430="",D430="",G430=""),"",D430*G430)</f>
        <v/>
      </c>
      <c r="I430" s="25" t="str">
        <f aca="false">IF(OR(A430="",B430=""),"",IFERROR(LOOKUP(2,1/(单次交易!$A$2:$A$201=A430),单次交易!$H$2:$H$201),0)+SUMIFS($G$2:$G$1001,$A$2:$A$1001,A430,$B$2:$B$1001,"&lt;"&amp;B430))</f>
        <v/>
      </c>
      <c r="J430" s="24" t="str">
        <f aca="false">IF(OR(A430="",B430=""),"",IFERROR(LOOKUP(2,1/(单次交易!$A$2:$A$201=A430),单次交易!$E$2:$E$201)*LOOKUP(2,1/(单次交易!$A$2:$A$201=A430),单次交易!$H$2:$H$201),0)+SUMIFS($H$2:$H$1001,$A$2:$A$1001,A430,$B$2:$B$1001,"&lt;"&amp;B430))</f>
        <v/>
      </c>
      <c r="K430" s="24" t="str">
        <f aca="false">IF(OR(E430="",I430="",J430=""),"",MAX(E430*I430-J430,0))</f>
        <v/>
      </c>
      <c r="L430" s="25" t="str">
        <f aca="false">IF(OR(D430="",E430="",F430="",D430&lt;=E430),"",FLOOR((F430+K430)/(D430-E430),100))</f>
        <v/>
      </c>
      <c r="M430" s="25" t="str">
        <f aca="false">IF(OR(A430="",B430="",L430=""),"",IF(B430=1,L430,IFERROR(SUMIFS($G$2:$G$1001,$A$2:$A$1001,A430,$B$2:$B$1001,B430-1),0)))</f>
        <v/>
      </c>
      <c r="N430" s="25" t="str">
        <f aca="false">IF(OR(L430="",M430=""),"",MIN(L430,M430))</f>
        <v/>
      </c>
      <c r="O430" s="25" t="str">
        <f aca="false">IF(OR(I430="",G430=""),"",I430+G430)</f>
        <v/>
      </c>
      <c r="P430" s="24" t="str">
        <f aca="false">IF(OR(O430="",O430=0),"",(J430+H430)/O430)</f>
        <v/>
      </c>
      <c r="Q430" s="24" t="str">
        <f aca="false">IF(OR(O430="",E430=""),"",MAX(J430+H430-E430*O430,0))</f>
        <v/>
      </c>
      <c r="R430" s="26" t="str">
        <f aca="false">IF(A430="","",IF(COUNTIF(_TradeIds,A430)=0,"违规：交易编号不存在",IF(OR(B430="",B430&lt;1,B430&gt;5,B430&lt;&gt;INT(B430)),"违规：加仓序号须为1到5的整数",IF(COUNTIFS($A$2:$A$1001,A430,$B$2:$B$1001,B430)&gt;1,"违规：同一交易的加仓序号重复",IF(OR(D430="",E430="",F430=""),"计划不完整：请填写加仓价、新止损价和风险预算",IF(OR(D430&lt;=0,E430&lt;=0,F430&lt;=0,D430&lt;=E430),"违规：加仓价必须高于新止损价，金额须大于0",IF(AND(B430&gt;1,COUNTIFS($A$2:$A$1001,A430,$B$2:$B$1001,B430-1,$G$2:$G$1001,"&gt;0")=0),"违规：须先完成上一次加仓",IF(AND(B430&gt;1,E430&lt;SUMIFS($E$2:$E$1001,$A$2:$A$1001,A430,$B$2:$B$1001,B430-1)),"违规：新止损价不得低于上一次",IF(AND(B430&gt;1,F430&gt;SUMIFS($F$2:$F$1001,$A$2:$A$1001,A430,$B$2:$B$1001,B430-1)),"违规：风险预算须逐次不增加",IF(OR(_LockStatus="已锁仓",_LockStatus="解锁信息不完整"),"违规：锁仓期间禁止加仓",IF(G430="","计划可执行：建议股数见N列",IF(OR(G430&lt;=0,G430&lt;&gt;INT(G430),MOD(G430,100)&lt;&gt;0),"违规：实际股数须为100股整数倍",IF(G430&gt;N430,"违规：实际股数超过风险或金字塔上限",IF(AND(B430&gt;1,G430&gt;SUMIFS($G$2:$G$1001,$A$2:$A$1001,A430,$B$2:$B$1001,B430-1)),"违规：加仓股数须逐次不增加",IF(Q430&gt;F430,"违规：止损风险超过本次预算","通过")))))))))))))))</f>
        <v/>
      </c>
    </row>
    <row r="431" customFormat="false" ht="15" hidden="false" customHeight="false" outlineLevel="0" collapsed="false">
      <c r="A431" s="20"/>
      <c r="B431" s="21"/>
      <c r="C431" s="22"/>
      <c r="D431" s="23"/>
      <c r="E431" s="23"/>
      <c r="F431" s="23"/>
      <c r="G431" s="21"/>
      <c r="H431" s="24" t="str">
        <f aca="false">IF(OR(A431="",D431="",G431=""),"",D431*G431)</f>
        <v/>
      </c>
      <c r="I431" s="25" t="str">
        <f aca="false">IF(OR(A431="",B431=""),"",IFERROR(LOOKUP(2,1/(单次交易!$A$2:$A$201=A431),单次交易!$H$2:$H$201),0)+SUMIFS($G$2:$G$1001,$A$2:$A$1001,A431,$B$2:$B$1001,"&lt;"&amp;B431))</f>
        <v/>
      </c>
      <c r="J431" s="24" t="str">
        <f aca="false">IF(OR(A431="",B431=""),"",IFERROR(LOOKUP(2,1/(单次交易!$A$2:$A$201=A431),单次交易!$E$2:$E$201)*LOOKUP(2,1/(单次交易!$A$2:$A$201=A431),单次交易!$H$2:$H$201),0)+SUMIFS($H$2:$H$1001,$A$2:$A$1001,A431,$B$2:$B$1001,"&lt;"&amp;B431))</f>
        <v/>
      </c>
      <c r="K431" s="24" t="str">
        <f aca="false">IF(OR(E431="",I431="",J431=""),"",MAX(E431*I431-J431,0))</f>
        <v/>
      </c>
      <c r="L431" s="25" t="str">
        <f aca="false">IF(OR(D431="",E431="",F431="",D431&lt;=E431),"",FLOOR((F431+K431)/(D431-E431),100))</f>
        <v/>
      </c>
      <c r="M431" s="25" t="str">
        <f aca="false">IF(OR(A431="",B431="",L431=""),"",IF(B431=1,L431,IFERROR(SUMIFS($G$2:$G$1001,$A$2:$A$1001,A431,$B$2:$B$1001,B431-1),0)))</f>
        <v/>
      </c>
      <c r="N431" s="25" t="str">
        <f aca="false">IF(OR(L431="",M431=""),"",MIN(L431,M431))</f>
        <v/>
      </c>
      <c r="O431" s="25" t="str">
        <f aca="false">IF(OR(I431="",G431=""),"",I431+G431)</f>
        <v/>
      </c>
      <c r="P431" s="24" t="str">
        <f aca="false">IF(OR(O431="",O431=0),"",(J431+H431)/O431)</f>
        <v/>
      </c>
      <c r="Q431" s="24" t="str">
        <f aca="false">IF(OR(O431="",E431=""),"",MAX(J431+H431-E431*O431,0))</f>
        <v/>
      </c>
      <c r="R431" s="26" t="str">
        <f aca="false">IF(A431="","",IF(COUNTIF(_TradeIds,A431)=0,"违规：交易编号不存在",IF(OR(B431="",B431&lt;1,B431&gt;5,B431&lt;&gt;INT(B431)),"违规：加仓序号须为1到5的整数",IF(COUNTIFS($A$2:$A$1001,A431,$B$2:$B$1001,B431)&gt;1,"违规：同一交易的加仓序号重复",IF(OR(D431="",E431="",F431=""),"计划不完整：请填写加仓价、新止损价和风险预算",IF(OR(D431&lt;=0,E431&lt;=0,F431&lt;=0,D431&lt;=E431),"违规：加仓价必须高于新止损价，金额须大于0",IF(AND(B431&gt;1,COUNTIFS($A$2:$A$1001,A431,$B$2:$B$1001,B431-1,$G$2:$G$1001,"&gt;0")=0),"违规：须先完成上一次加仓",IF(AND(B431&gt;1,E431&lt;SUMIFS($E$2:$E$1001,$A$2:$A$1001,A431,$B$2:$B$1001,B431-1)),"违规：新止损价不得低于上一次",IF(AND(B431&gt;1,F431&gt;SUMIFS($F$2:$F$1001,$A$2:$A$1001,A431,$B$2:$B$1001,B431-1)),"违规：风险预算须逐次不增加",IF(OR(_LockStatus="已锁仓",_LockStatus="解锁信息不完整"),"违规：锁仓期间禁止加仓",IF(G431="","计划可执行：建议股数见N列",IF(OR(G431&lt;=0,G431&lt;&gt;INT(G431),MOD(G431,100)&lt;&gt;0),"违规：实际股数须为100股整数倍",IF(G431&gt;N431,"违规：实际股数超过风险或金字塔上限",IF(AND(B431&gt;1,G431&gt;SUMIFS($G$2:$G$1001,$A$2:$A$1001,A431,$B$2:$B$1001,B431-1)),"违规：加仓股数须逐次不增加",IF(Q431&gt;F431,"违规：止损风险超过本次预算","通过")))))))))))))))</f>
        <v/>
      </c>
    </row>
    <row r="432" customFormat="false" ht="15" hidden="false" customHeight="false" outlineLevel="0" collapsed="false">
      <c r="A432" s="20"/>
      <c r="B432" s="21"/>
      <c r="C432" s="22"/>
      <c r="D432" s="23"/>
      <c r="E432" s="23"/>
      <c r="F432" s="23"/>
      <c r="G432" s="21"/>
      <c r="H432" s="24" t="str">
        <f aca="false">IF(OR(A432="",D432="",G432=""),"",D432*G432)</f>
        <v/>
      </c>
      <c r="I432" s="25" t="str">
        <f aca="false">IF(OR(A432="",B432=""),"",IFERROR(LOOKUP(2,1/(单次交易!$A$2:$A$201=A432),单次交易!$H$2:$H$201),0)+SUMIFS($G$2:$G$1001,$A$2:$A$1001,A432,$B$2:$B$1001,"&lt;"&amp;B432))</f>
        <v/>
      </c>
      <c r="J432" s="24" t="str">
        <f aca="false">IF(OR(A432="",B432=""),"",IFERROR(LOOKUP(2,1/(单次交易!$A$2:$A$201=A432),单次交易!$E$2:$E$201)*LOOKUP(2,1/(单次交易!$A$2:$A$201=A432),单次交易!$H$2:$H$201),0)+SUMIFS($H$2:$H$1001,$A$2:$A$1001,A432,$B$2:$B$1001,"&lt;"&amp;B432))</f>
        <v/>
      </c>
      <c r="K432" s="24" t="str">
        <f aca="false">IF(OR(E432="",I432="",J432=""),"",MAX(E432*I432-J432,0))</f>
        <v/>
      </c>
      <c r="L432" s="25" t="str">
        <f aca="false">IF(OR(D432="",E432="",F432="",D432&lt;=E432),"",FLOOR((F432+K432)/(D432-E432),100))</f>
        <v/>
      </c>
      <c r="M432" s="25" t="str">
        <f aca="false">IF(OR(A432="",B432="",L432=""),"",IF(B432=1,L432,IFERROR(SUMIFS($G$2:$G$1001,$A$2:$A$1001,A432,$B$2:$B$1001,B432-1),0)))</f>
        <v/>
      </c>
      <c r="N432" s="25" t="str">
        <f aca="false">IF(OR(L432="",M432=""),"",MIN(L432,M432))</f>
        <v/>
      </c>
      <c r="O432" s="25" t="str">
        <f aca="false">IF(OR(I432="",G432=""),"",I432+G432)</f>
        <v/>
      </c>
      <c r="P432" s="24" t="str">
        <f aca="false">IF(OR(O432="",O432=0),"",(J432+H432)/O432)</f>
        <v/>
      </c>
      <c r="Q432" s="24" t="str">
        <f aca="false">IF(OR(O432="",E432=""),"",MAX(J432+H432-E432*O432,0))</f>
        <v/>
      </c>
      <c r="R432" s="26" t="str">
        <f aca="false">IF(A432="","",IF(COUNTIF(_TradeIds,A432)=0,"违规：交易编号不存在",IF(OR(B432="",B432&lt;1,B432&gt;5,B432&lt;&gt;INT(B432)),"违规：加仓序号须为1到5的整数",IF(COUNTIFS($A$2:$A$1001,A432,$B$2:$B$1001,B432)&gt;1,"违规：同一交易的加仓序号重复",IF(OR(D432="",E432="",F432=""),"计划不完整：请填写加仓价、新止损价和风险预算",IF(OR(D432&lt;=0,E432&lt;=0,F432&lt;=0,D432&lt;=E432),"违规：加仓价必须高于新止损价，金额须大于0",IF(AND(B432&gt;1,COUNTIFS($A$2:$A$1001,A432,$B$2:$B$1001,B432-1,$G$2:$G$1001,"&gt;0")=0),"违规：须先完成上一次加仓",IF(AND(B432&gt;1,E432&lt;SUMIFS($E$2:$E$1001,$A$2:$A$1001,A432,$B$2:$B$1001,B432-1)),"违规：新止损价不得低于上一次",IF(AND(B432&gt;1,F432&gt;SUMIFS($F$2:$F$1001,$A$2:$A$1001,A432,$B$2:$B$1001,B432-1)),"违规：风险预算须逐次不增加",IF(OR(_LockStatus="已锁仓",_LockStatus="解锁信息不完整"),"违规：锁仓期间禁止加仓",IF(G432="","计划可执行：建议股数见N列",IF(OR(G432&lt;=0,G432&lt;&gt;INT(G432),MOD(G432,100)&lt;&gt;0),"违规：实际股数须为100股整数倍",IF(G432&gt;N432,"违规：实际股数超过风险或金字塔上限",IF(AND(B432&gt;1,G432&gt;SUMIFS($G$2:$G$1001,$A$2:$A$1001,A432,$B$2:$B$1001,B432-1)),"违规：加仓股数须逐次不增加",IF(Q432&gt;F432,"违规：止损风险超过本次预算","通过")))))))))))))))</f>
        <v/>
      </c>
    </row>
    <row r="433" customFormat="false" ht="15" hidden="false" customHeight="false" outlineLevel="0" collapsed="false">
      <c r="A433" s="20"/>
      <c r="B433" s="21"/>
      <c r="C433" s="22"/>
      <c r="D433" s="23"/>
      <c r="E433" s="23"/>
      <c r="F433" s="23"/>
      <c r="G433" s="21"/>
      <c r="H433" s="24" t="str">
        <f aca="false">IF(OR(A433="",D433="",G433=""),"",D433*G433)</f>
        <v/>
      </c>
      <c r="I433" s="25" t="str">
        <f aca="false">IF(OR(A433="",B433=""),"",IFERROR(LOOKUP(2,1/(单次交易!$A$2:$A$201=A433),单次交易!$H$2:$H$201),0)+SUMIFS($G$2:$G$1001,$A$2:$A$1001,A433,$B$2:$B$1001,"&lt;"&amp;B433))</f>
        <v/>
      </c>
      <c r="J433" s="24" t="str">
        <f aca="false">IF(OR(A433="",B433=""),"",IFERROR(LOOKUP(2,1/(单次交易!$A$2:$A$201=A433),单次交易!$E$2:$E$201)*LOOKUP(2,1/(单次交易!$A$2:$A$201=A433),单次交易!$H$2:$H$201),0)+SUMIFS($H$2:$H$1001,$A$2:$A$1001,A433,$B$2:$B$1001,"&lt;"&amp;B433))</f>
        <v/>
      </c>
      <c r="K433" s="24" t="str">
        <f aca="false">IF(OR(E433="",I433="",J433=""),"",MAX(E433*I433-J433,0))</f>
        <v/>
      </c>
      <c r="L433" s="25" t="str">
        <f aca="false">IF(OR(D433="",E433="",F433="",D433&lt;=E433),"",FLOOR((F433+K433)/(D433-E433),100))</f>
        <v/>
      </c>
      <c r="M433" s="25" t="str">
        <f aca="false">IF(OR(A433="",B433="",L433=""),"",IF(B433=1,L433,IFERROR(SUMIFS($G$2:$G$1001,$A$2:$A$1001,A433,$B$2:$B$1001,B433-1),0)))</f>
        <v/>
      </c>
      <c r="N433" s="25" t="str">
        <f aca="false">IF(OR(L433="",M433=""),"",MIN(L433,M433))</f>
        <v/>
      </c>
      <c r="O433" s="25" t="str">
        <f aca="false">IF(OR(I433="",G433=""),"",I433+G433)</f>
        <v/>
      </c>
      <c r="P433" s="24" t="str">
        <f aca="false">IF(OR(O433="",O433=0),"",(J433+H433)/O433)</f>
        <v/>
      </c>
      <c r="Q433" s="24" t="str">
        <f aca="false">IF(OR(O433="",E433=""),"",MAX(J433+H433-E433*O433,0))</f>
        <v/>
      </c>
      <c r="R433" s="26" t="str">
        <f aca="false">IF(A433="","",IF(COUNTIF(_TradeIds,A433)=0,"违规：交易编号不存在",IF(OR(B433="",B433&lt;1,B433&gt;5,B433&lt;&gt;INT(B433)),"违规：加仓序号须为1到5的整数",IF(COUNTIFS($A$2:$A$1001,A433,$B$2:$B$1001,B433)&gt;1,"违规：同一交易的加仓序号重复",IF(OR(D433="",E433="",F433=""),"计划不完整：请填写加仓价、新止损价和风险预算",IF(OR(D433&lt;=0,E433&lt;=0,F433&lt;=0,D433&lt;=E433),"违规：加仓价必须高于新止损价，金额须大于0",IF(AND(B433&gt;1,COUNTIFS($A$2:$A$1001,A433,$B$2:$B$1001,B433-1,$G$2:$G$1001,"&gt;0")=0),"违规：须先完成上一次加仓",IF(AND(B433&gt;1,E433&lt;SUMIFS($E$2:$E$1001,$A$2:$A$1001,A433,$B$2:$B$1001,B433-1)),"违规：新止损价不得低于上一次",IF(AND(B433&gt;1,F433&gt;SUMIFS($F$2:$F$1001,$A$2:$A$1001,A433,$B$2:$B$1001,B433-1)),"违规：风险预算须逐次不增加",IF(OR(_LockStatus="已锁仓",_LockStatus="解锁信息不完整"),"违规：锁仓期间禁止加仓",IF(G433="","计划可执行：建议股数见N列",IF(OR(G433&lt;=0,G433&lt;&gt;INT(G433),MOD(G433,100)&lt;&gt;0),"违规：实际股数须为100股整数倍",IF(G433&gt;N433,"违规：实际股数超过风险或金字塔上限",IF(AND(B433&gt;1,G433&gt;SUMIFS($G$2:$G$1001,$A$2:$A$1001,A433,$B$2:$B$1001,B433-1)),"违规：加仓股数须逐次不增加",IF(Q433&gt;F433,"违规：止损风险超过本次预算","通过")))))))))))))))</f>
        <v/>
      </c>
    </row>
    <row r="434" customFormat="false" ht="15" hidden="false" customHeight="false" outlineLevel="0" collapsed="false">
      <c r="A434" s="20"/>
      <c r="B434" s="21"/>
      <c r="C434" s="22"/>
      <c r="D434" s="23"/>
      <c r="E434" s="23"/>
      <c r="F434" s="23"/>
      <c r="G434" s="21"/>
      <c r="H434" s="24" t="str">
        <f aca="false">IF(OR(A434="",D434="",G434=""),"",D434*G434)</f>
        <v/>
      </c>
      <c r="I434" s="25" t="str">
        <f aca="false">IF(OR(A434="",B434=""),"",IFERROR(LOOKUP(2,1/(单次交易!$A$2:$A$201=A434),单次交易!$H$2:$H$201),0)+SUMIFS($G$2:$G$1001,$A$2:$A$1001,A434,$B$2:$B$1001,"&lt;"&amp;B434))</f>
        <v/>
      </c>
      <c r="J434" s="24" t="str">
        <f aca="false">IF(OR(A434="",B434=""),"",IFERROR(LOOKUP(2,1/(单次交易!$A$2:$A$201=A434),单次交易!$E$2:$E$201)*LOOKUP(2,1/(单次交易!$A$2:$A$201=A434),单次交易!$H$2:$H$201),0)+SUMIFS($H$2:$H$1001,$A$2:$A$1001,A434,$B$2:$B$1001,"&lt;"&amp;B434))</f>
        <v/>
      </c>
      <c r="K434" s="24" t="str">
        <f aca="false">IF(OR(E434="",I434="",J434=""),"",MAX(E434*I434-J434,0))</f>
        <v/>
      </c>
      <c r="L434" s="25" t="str">
        <f aca="false">IF(OR(D434="",E434="",F434="",D434&lt;=E434),"",FLOOR((F434+K434)/(D434-E434),100))</f>
        <v/>
      </c>
      <c r="M434" s="25" t="str">
        <f aca="false">IF(OR(A434="",B434="",L434=""),"",IF(B434=1,L434,IFERROR(SUMIFS($G$2:$G$1001,$A$2:$A$1001,A434,$B$2:$B$1001,B434-1),0)))</f>
        <v/>
      </c>
      <c r="N434" s="25" t="str">
        <f aca="false">IF(OR(L434="",M434=""),"",MIN(L434,M434))</f>
        <v/>
      </c>
      <c r="O434" s="25" t="str">
        <f aca="false">IF(OR(I434="",G434=""),"",I434+G434)</f>
        <v/>
      </c>
      <c r="P434" s="24" t="str">
        <f aca="false">IF(OR(O434="",O434=0),"",(J434+H434)/O434)</f>
        <v/>
      </c>
      <c r="Q434" s="24" t="str">
        <f aca="false">IF(OR(O434="",E434=""),"",MAX(J434+H434-E434*O434,0))</f>
        <v/>
      </c>
      <c r="R434" s="26" t="str">
        <f aca="false">IF(A434="","",IF(COUNTIF(_TradeIds,A434)=0,"违规：交易编号不存在",IF(OR(B434="",B434&lt;1,B434&gt;5,B434&lt;&gt;INT(B434)),"违规：加仓序号须为1到5的整数",IF(COUNTIFS($A$2:$A$1001,A434,$B$2:$B$1001,B434)&gt;1,"违规：同一交易的加仓序号重复",IF(OR(D434="",E434="",F434=""),"计划不完整：请填写加仓价、新止损价和风险预算",IF(OR(D434&lt;=0,E434&lt;=0,F434&lt;=0,D434&lt;=E434),"违规：加仓价必须高于新止损价，金额须大于0",IF(AND(B434&gt;1,COUNTIFS($A$2:$A$1001,A434,$B$2:$B$1001,B434-1,$G$2:$G$1001,"&gt;0")=0),"违规：须先完成上一次加仓",IF(AND(B434&gt;1,E434&lt;SUMIFS($E$2:$E$1001,$A$2:$A$1001,A434,$B$2:$B$1001,B434-1)),"违规：新止损价不得低于上一次",IF(AND(B434&gt;1,F434&gt;SUMIFS($F$2:$F$1001,$A$2:$A$1001,A434,$B$2:$B$1001,B434-1)),"违规：风险预算须逐次不增加",IF(OR(_LockStatus="已锁仓",_LockStatus="解锁信息不完整"),"违规：锁仓期间禁止加仓",IF(G434="","计划可执行：建议股数见N列",IF(OR(G434&lt;=0,G434&lt;&gt;INT(G434),MOD(G434,100)&lt;&gt;0),"违规：实际股数须为100股整数倍",IF(G434&gt;N434,"违规：实际股数超过风险或金字塔上限",IF(AND(B434&gt;1,G434&gt;SUMIFS($G$2:$G$1001,$A$2:$A$1001,A434,$B$2:$B$1001,B434-1)),"违规：加仓股数须逐次不增加",IF(Q434&gt;F434,"违规：止损风险超过本次预算","通过")))))))))))))))</f>
        <v/>
      </c>
    </row>
    <row r="435" customFormat="false" ht="15" hidden="false" customHeight="false" outlineLevel="0" collapsed="false">
      <c r="A435" s="20"/>
      <c r="B435" s="21"/>
      <c r="C435" s="22"/>
      <c r="D435" s="23"/>
      <c r="E435" s="23"/>
      <c r="F435" s="23"/>
      <c r="G435" s="21"/>
      <c r="H435" s="24" t="str">
        <f aca="false">IF(OR(A435="",D435="",G435=""),"",D435*G435)</f>
        <v/>
      </c>
      <c r="I435" s="25" t="str">
        <f aca="false">IF(OR(A435="",B435=""),"",IFERROR(LOOKUP(2,1/(单次交易!$A$2:$A$201=A435),单次交易!$H$2:$H$201),0)+SUMIFS($G$2:$G$1001,$A$2:$A$1001,A435,$B$2:$B$1001,"&lt;"&amp;B435))</f>
        <v/>
      </c>
      <c r="J435" s="24" t="str">
        <f aca="false">IF(OR(A435="",B435=""),"",IFERROR(LOOKUP(2,1/(单次交易!$A$2:$A$201=A435),单次交易!$E$2:$E$201)*LOOKUP(2,1/(单次交易!$A$2:$A$201=A435),单次交易!$H$2:$H$201),0)+SUMIFS($H$2:$H$1001,$A$2:$A$1001,A435,$B$2:$B$1001,"&lt;"&amp;B435))</f>
        <v/>
      </c>
      <c r="K435" s="24" t="str">
        <f aca="false">IF(OR(E435="",I435="",J435=""),"",MAX(E435*I435-J435,0))</f>
        <v/>
      </c>
      <c r="L435" s="25" t="str">
        <f aca="false">IF(OR(D435="",E435="",F435="",D435&lt;=E435),"",FLOOR((F435+K435)/(D435-E435),100))</f>
        <v/>
      </c>
      <c r="M435" s="25" t="str">
        <f aca="false">IF(OR(A435="",B435="",L435=""),"",IF(B435=1,L435,IFERROR(SUMIFS($G$2:$G$1001,$A$2:$A$1001,A435,$B$2:$B$1001,B435-1),0)))</f>
        <v/>
      </c>
      <c r="N435" s="25" t="str">
        <f aca="false">IF(OR(L435="",M435=""),"",MIN(L435,M435))</f>
        <v/>
      </c>
      <c r="O435" s="25" t="str">
        <f aca="false">IF(OR(I435="",G435=""),"",I435+G435)</f>
        <v/>
      </c>
      <c r="P435" s="24" t="str">
        <f aca="false">IF(OR(O435="",O435=0),"",(J435+H435)/O435)</f>
        <v/>
      </c>
      <c r="Q435" s="24" t="str">
        <f aca="false">IF(OR(O435="",E435=""),"",MAX(J435+H435-E435*O435,0))</f>
        <v/>
      </c>
      <c r="R435" s="26" t="str">
        <f aca="false">IF(A435="","",IF(COUNTIF(_TradeIds,A435)=0,"违规：交易编号不存在",IF(OR(B435="",B435&lt;1,B435&gt;5,B435&lt;&gt;INT(B435)),"违规：加仓序号须为1到5的整数",IF(COUNTIFS($A$2:$A$1001,A435,$B$2:$B$1001,B435)&gt;1,"违规：同一交易的加仓序号重复",IF(OR(D435="",E435="",F435=""),"计划不完整：请填写加仓价、新止损价和风险预算",IF(OR(D435&lt;=0,E435&lt;=0,F435&lt;=0,D435&lt;=E435),"违规：加仓价必须高于新止损价，金额须大于0",IF(AND(B435&gt;1,COUNTIFS($A$2:$A$1001,A435,$B$2:$B$1001,B435-1,$G$2:$G$1001,"&gt;0")=0),"违规：须先完成上一次加仓",IF(AND(B435&gt;1,E435&lt;SUMIFS($E$2:$E$1001,$A$2:$A$1001,A435,$B$2:$B$1001,B435-1)),"违规：新止损价不得低于上一次",IF(AND(B435&gt;1,F435&gt;SUMIFS($F$2:$F$1001,$A$2:$A$1001,A435,$B$2:$B$1001,B435-1)),"违规：风险预算须逐次不增加",IF(OR(_LockStatus="已锁仓",_LockStatus="解锁信息不完整"),"违规：锁仓期间禁止加仓",IF(G435="","计划可执行：建议股数见N列",IF(OR(G435&lt;=0,G435&lt;&gt;INT(G435),MOD(G435,100)&lt;&gt;0),"违规：实际股数须为100股整数倍",IF(G435&gt;N435,"违规：实际股数超过风险或金字塔上限",IF(AND(B435&gt;1,G435&gt;SUMIFS($G$2:$G$1001,$A$2:$A$1001,A435,$B$2:$B$1001,B435-1)),"违规：加仓股数须逐次不增加",IF(Q435&gt;F435,"违规：止损风险超过本次预算","通过")))))))))))))))</f>
        <v/>
      </c>
    </row>
    <row r="436" customFormat="false" ht="15" hidden="false" customHeight="false" outlineLevel="0" collapsed="false">
      <c r="A436" s="20"/>
      <c r="B436" s="21"/>
      <c r="C436" s="22"/>
      <c r="D436" s="23"/>
      <c r="E436" s="23"/>
      <c r="F436" s="23"/>
      <c r="G436" s="21"/>
      <c r="H436" s="24" t="str">
        <f aca="false">IF(OR(A436="",D436="",G436=""),"",D436*G436)</f>
        <v/>
      </c>
      <c r="I436" s="25" t="str">
        <f aca="false">IF(OR(A436="",B436=""),"",IFERROR(LOOKUP(2,1/(单次交易!$A$2:$A$201=A436),单次交易!$H$2:$H$201),0)+SUMIFS($G$2:$G$1001,$A$2:$A$1001,A436,$B$2:$B$1001,"&lt;"&amp;B436))</f>
        <v/>
      </c>
      <c r="J436" s="24" t="str">
        <f aca="false">IF(OR(A436="",B436=""),"",IFERROR(LOOKUP(2,1/(单次交易!$A$2:$A$201=A436),单次交易!$E$2:$E$201)*LOOKUP(2,1/(单次交易!$A$2:$A$201=A436),单次交易!$H$2:$H$201),0)+SUMIFS($H$2:$H$1001,$A$2:$A$1001,A436,$B$2:$B$1001,"&lt;"&amp;B436))</f>
        <v/>
      </c>
      <c r="K436" s="24" t="str">
        <f aca="false">IF(OR(E436="",I436="",J436=""),"",MAX(E436*I436-J436,0))</f>
        <v/>
      </c>
      <c r="L436" s="25" t="str">
        <f aca="false">IF(OR(D436="",E436="",F436="",D436&lt;=E436),"",FLOOR((F436+K436)/(D436-E436),100))</f>
        <v/>
      </c>
      <c r="M436" s="25" t="str">
        <f aca="false">IF(OR(A436="",B436="",L436=""),"",IF(B436=1,L436,IFERROR(SUMIFS($G$2:$G$1001,$A$2:$A$1001,A436,$B$2:$B$1001,B436-1),0)))</f>
        <v/>
      </c>
      <c r="N436" s="25" t="str">
        <f aca="false">IF(OR(L436="",M436=""),"",MIN(L436,M436))</f>
        <v/>
      </c>
      <c r="O436" s="25" t="str">
        <f aca="false">IF(OR(I436="",G436=""),"",I436+G436)</f>
        <v/>
      </c>
      <c r="P436" s="24" t="str">
        <f aca="false">IF(OR(O436="",O436=0),"",(J436+H436)/O436)</f>
        <v/>
      </c>
      <c r="Q436" s="24" t="str">
        <f aca="false">IF(OR(O436="",E436=""),"",MAX(J436+H436-E436*O436,0))</f>
        <v/>
      </c>
      <c r="R436" s="26" t="str">
        <f aca="false">IF(A436="","",IF(COUNTIF(_TradeIds,A436)=0,"违规：交易编号不存在",IF(OR(B436="",B436&lt;1,B436&gt;5,B436&lt;&gt;INT(B436)),"违规：加仓序号须为1到5的整数",IF(COUNTIFS($A$2:$A$1001,A436,$B$2:$B$1001,B436)&gt;1,"违规：同一交易的加仓序号重复",IF(OR(D436="",E436="",F436=""),"计划不完整：请填写加仓价、新止损价和风险预算",IF(OR(D436&lt;=0,E436&lt;=0,F436&lt;=0,D436&lt;=E436),"违规：加仓价必须高于新止损价，金额须大于0",IF(AND(B436&gt;1,COUNTIFS($A$2:$A$1001,A436,$B$2:$B$1001,B436-1,$G$2:$G$1001,"&gt;0")=0),"违规：须先完成上一次加仓",IF(AND(B436&gt;1,E436&lt;SUMIFS($E$2:$E$1001,$A$2:$A$1001,A436,$B$2:$B$1001,B436-1)),"违规：新止损价不得低于上一次",IF(AND(B436&gt;1,F436&gt;SUMIFS($F$2:$F$1001,$A$2:$A$1001,A436,$B$2:$B$1001,B436-1)),"违规：风险预算须逐次不增加",IF(OR(_LockStatus="已锁仓",_LockStatus="解锁信息不完整"),"违规：锁仓期间禁止加仓",IF(G436="","计划可执行：建议股数见N列",IF(OR(G436&lt;=0,G436&lt;&gt;INT(G436),MOD(G436,100)&lt;&gt;0),"违规：实际股数须为100股整数倍",IF(G436&gt;N436,"违规：实际股数超过风险或金字塔上限",IF(AND(B436&gt;1,G436&gt;SUMIFS($G$2:$G$1001,$A$2:$A$1001,A436,$B$2:$B$1001,B436-1)),"违规：加仓股数须逐次不增加",IF(Q436&gt;F436,"违规：止损风险超过本次预算","通过")))))))))))))))</f>
        <v/>
      </c>
    </row>
    <row r="437" customFormat="false" ht="15" hidden="false" customHeight="false" outlineLevel="0" collapsed="false">
      <c r="A437" s="20"/>
      <c r="B437" s="21"/>
      <c r="C437" s="22"/>
      <c r="D437" s="23"/>
      <c r="E437" s="23"/>
      <c r="F437" s="23"/>
      <c r="G437" s="21"/>
      <c r="H437" s="24" t="str">
        <f aca="false">IF(OR(A437="",D437="",G437=""),"",D437*G437)</f>
        <v/>
      </c>
      <c r="I437" s="25" t="str">
        <f aca="false">IF(OR(A437="",B437=""),"",IFERROR(LOOKUP(2,1/(单次交易!$A$2:$A$201=A437),单次交易!$H$2:$H$201),0)+SUMIFS($G$2:$G$1001,$A$2:$A$1001,A437,$B$2:$B$1001,"&lt;"&amp;B437))</f>
        <v/>
      </c>
      <c r="J437" s="24" t="str">
        <f aca="false">IF(OR(A437="",B437=""),"",IFERROR(LOOKUP(2,1/(单次交易!$A$2:$A$201=A437),单次交易!$E$2:$E$201)*LOOKUP(2,1/(单次交易!$A$2:$A$201=A437),单次交易!$H$2:$H$201),0)+SUMIFS($H$2:$H$1001,$A$2:$A$1001,A437,$B$2:$B$1001,"&lt;"&amp;B437))</f>
        <v/>
      </c>
      <c r="K437" s="24" t="str">
        <f aca="false">IF(OR(E437="",I437="",J437=""),"",MAX(E437*I437-J437,0))</f>
        <v/>
      </c>
      <c r="L437" s="25" t="str">
        <f aca="false">IF(OR(D437="",E437="",F437="",D437&lt;=E437),"",FLOOR((F437+K437)/(D437-E437),100))</f>
        <v/>
      </c>
      <c r="M437" s="25" t="str">
        <f aca="false">IF(OR(A437="",B437="",L437=""),"",IF(B437=1,L437,IFERROR(SUMIFS($G$2:$G$1001,$A$2:$A$1001,A437,$B$2:$B$1001,B437-1),0)))</f>
        <v/>
      </c>
      <c r="N437" s="25" t="str">
        <f aca="false">IF(OR(L437="",M437=""),"",MIN(L437,M437))</f>
        <v/>
      </c>
      <c r="O437" s="25" t="str">
        <f aca="false">IF(OR(I437="",G437=""),"",I437+G437)</f>
        <v/>
      </c>
      <c r="P437" s="24" t="str">
        <f aca="false">IF(OR(O437="",O437=0),"",(J437+H437)/O437)</f>
        <v/>
      </c>
      <c r="Q437" s="24" t="str">
        <f aca="false">IF(OR(O437="",E437=""),"",MAX(J437+H437-E437*O437,0))</f>
        <v/>
      </c>
      <c r="R437" s="26" t="str">
        <f aca="false">IF(A437="","",IF(COUNTIF(_TradeIds,A437)=0,"违规：交易编号不存在",IF(OR(B437="",B437&lt;1,B437&gt;5,B437&lt;&gt;INT(B437)),"违规：加仓序号须为1到5的整数",IF(COUNTIFS($A$2:$A$1001,A437,$B$2:$B$1001,B437)&gt;1,"违规：同一交易的加仓序号重复",IF(OR(D437="",E437="",F437=""),"计划不完整：请填写加仓价、新止损价和风险预算",IF(OR(D437&lt;=0,E437&lt;=0,F437&lt;=0,D437&lt;=E437),"违规：加仓价必须高于新止损价，金额须大于0",IF(AND(B437&gt;1,COUNTIFS($A$2:$A$1001,A437,$B$2:$B$1001,B437-1,$G$2:$G$1001,"&gt;0")=0),"违规：须先完成上一次加仓",IF(AND(B437&gt;1,E437&lt;SUMIFS($E$2:$E$1001,$A$2:$A$1001,A437,$B$2:$B$1001,B437-1)),"违规：新止损价不得低于上一次",IF(AND(B437&gt;1,F437&gt;SUMIFS($F$2:$F$1001,$A$2:$A$1001,A437,$B$2:$B$1001,B437-1)),"违规：风险预算须逐次不增加",IF(OR(_LockStatus="已锁仓",_LockStatus="解锁信息不完整"),"违规：锁仓期间禁止加仓",IF(G437="","计划可执行：建议股数见N列",IF(OR(G437&lt;=0,G437&lt;&gt;INT(G437),MOD(G437,100)&lt;&gt;0),"违规：实际股数须为100股整数倍",IF(G437&gt;N437,"违规：实际股数超过风险或金字塔上限",IF(AND(B437&gt;1,G437&gt;SUMIFS($G$2:$G$1001,$A$2:$A$1001,A437,$B$2:$B$1001,B437-1)),"违规：加仓股数须逐次不增加",IF(Q437&gt;F437,"违规：止损风险超过本次预算","通过")))))))))))))))</f>
        <v/>
      </c>
    </row>
    <row r="438" customFormat="false" ht="15" hidden="false" customHeight="false" outlineLevel="0" collapsed="false">
      <c r="A438" s="20"/>
      <c r="B438" s="21"/>
      <c r="C438" s="22"/>
      <c r="D438" s="23"/>
      <c r="E438" s="23"/>
      <c r="F438" s="23"/>
      <c r="G438" s="21"/>
      <c r="H438" s="24" t="str">
        <f aca="false">IF(OR(A438="",D438="",G438=""),"",D438*G438)</f>
        <v/>
      </c>
      <c r="I438" s="25" t="str">
        <f aca="false">IF(OR(A438="",B438=""),"",IFERROR(LOOKUP(2,1/(单次交易!$A$2:$A$201=A438),单次交易!$H$2:$H$201),0)+SUMIFS($G$2:$G$1001,$A$2:$A$1001,A438,$B$2:$B$1001,"&lt;"&amp;B438))</f>
        <v/>
      </c>
      <c r="J438" s="24" t="str">
        <f aca="false">IF(OR(A438="",B438=""),"",IFERROR(LOOKUP(2,1/(单次交易!$A$2:$A$201=A438),单次交易!$E$2:$E$201)*LOOKUP(2,1/(单次交易!$A$2:$A$201=A438),单次交易!$H$2:$H$201),0)+SUMIFS($H$2:$H$1001,$A$2:$A$1001,A438,$B$2:$B$1001,"&lt;"&amp;B438))</f>
        <v/>
      </c>
      <c r="K438" s="24" t="str">
        <f aca="false">IF(OR(E438="",I438="",J438=""),"",MAX(E438*I438-J438,0))</f>
        <v/>
      </c>
      <c r="L438" s="25" t="str">
        <f aca="false">IF(OR(D438="",E438="",F438="",D438&lt;=E438),"",FLOOR((F438+K438)/(D438-E438),100))</f>
        <v/>
      </c>
      <c r="M438" s="25" t="str">
        <f aca="false">IF(OR(A438="",B438="",L438=""),"",IF(B438=1,L438,IFERROR(SUMIFS($G$2:$G$1001,$A$2:$A$1001,A438,$B$2:$B$1001,B438-1),0)))</f>
        <v/>
      </c>
      <c r="N438" s="25" t="str">
        <f aca="false">IF(OR(L438="",M438=""),"",MIN(L438,M438))</f>
        <v/>
      </c>
      <c r="O438" s="25" t="str">
        <f aca="false">IF(OR(I438="",G438=""),"",I438+G438)</f>
        <v/>
      </c>
      <c r="P438" s="24" t="str">
        <f aca="false">IF(OR(O438="",O438=0),"",(J438+H438)/O438)</f>
        <v/>
      </c>
      <c r="Q438" s="24" t="str">
        <f aca="false">IF(OR(O438="",E438=""),"",MAX(J438+H438-E438*O438,0))</f>
        <v/>
      </c>
      <c r="R438" s="26" t="str">
        <f aca="false">IF(A438="","",IF(COUNTIF(_TradeIds,A438)=0,"违规：交易编号不存在",IF(OR(B438="",B438&lt;1,B438&gt;5,B438&lt;&gt;INT(B438)),"违规：加仓序号须为1到5的整数",IF(COUNTIFS($A$2:$A$1001,A438,$B$2:$B$1001,B438)&gt;1,"违规：同一交易的加仓序号重复",IF(OR(D438="",E438="",F438=""),"计划不完整：请填写加仓价、新止损价和风险预算",IF(OR(D438&lt;=0,E438&lt;=0,F438&lt;=0,D438&lt;=E438),"违规：加仓价必须高于新止损价，金额须大于0",IF(AND(B438&gt;1,COUNTIFS($A$2:$A$1001,A438,$B$2:$B$1001,B438-1,$G$2:$G$1001,"&gt;0")=0),"违规：须先完成上一次加仓",IF(AND(B438&gt;1,E438&lt;SUMIFS($E$2:$E$1001,$A$2:$A$1001,A438,$B$2:$B$1001,B438-1)),"违规：新止损价不得低于上一次",IF(AND(B438&gt;1,F438&gt;SUMIFS($F$2:$F$1001,$A$2:$A$1001,A438,$B$2:$B$1001,B438-1)),"违规：风险预算须逐次不增加",IF(OR(_LockStatus="已锁仓",_LockStatus="解锁信息不完整"),"违规：锁仓期间禁止加仓",IF(G438="","计划可执行：建议股数见N列",IF(OR(G438&lt;=0,G438&lt;&gt;INT(G438),MOD(G438,100)&lt;&gt;0),"违规：实际股数须为100股整数倍",IF(G438&gt;N438,"违规：实际股数超过风险或金字塔上限",IF(AND(B438&gt;1,G438&gt;SUMIFS($G$2:$G$1001,$A$2:$A$1001,A438,$B$2:$B$1001,B438-1)),"违规：加仓股数须逐次不增加",IF(Q438&gt;F438,"违规：止损风险超过本次预算","通过")))))))))))))))</f>
        <v/>
      </c>
    </row>
    <row r="439" customFormat="false" ht="15" hidden="false" customHeight="false" outlineLevel="0" collapsed="false">
      <c r="A439" s="20"/>
      <c r="B439" s="21"/>
      <c r="C439" s="22"/>
      <c r="D439" s="23"/>
      <c r="E439" s="23"/>
      <c r="F439" s="23"/>
      <c r="G439" s="21"/>
      <c r="H439" s="24" t="str">
        <f aca="false">IF(OR(A439="",D439="",G439=""),"",D439*G439)</f>
        <v/>
      </c>
      <c r="I439" s="25" t="str">
        <f aca="false">IF(OR(A439="",B439=""),"",IFERROR(LOOKUP(2,1/(单次交易!$A$2:$A$201=A439),单次交易!$H$2:$H$201),0)+SUMIFS($G$2:$G$1001,$A$2:$A$1001,A439,$B$2:$B$1001,"&lt;"&amp;B439))</f>
        <v/>
      </c>
      <c r="J439" s="24" t="str">
        <f aca="false">IF(OR(A439="",B439=""),"",IFERROR(LOOKUP(2,1/(单次交易!$A$2:$A$201=A439),单次交易!$E$2:$E$201)*LOOKUP(2,1/(单次交易!$A$2:$A$201=A439),单次交易!$H$2:$H$201),0)+SUMIFS($H$2:$H$1001,$A$2:$A$1001,A439,$B$2:$B$1001,"&lt;"&amp;B439))</f>
        <v/>
      </c>
      <c r="K439" s="24" t="str">
        <f aca="false">IF(OR(E439="",I439="",J439=""),"",MAX(E439*I439-J439,0))</f>
        <v/>
      </c>
      <c r="L439" s="25" t="str">
        <f aca="false">IF(OR(D439="",E439="",F439="",D439&lt;=E439),"",FLOOR((F439+K439)/(D439-E439),100))</f>
        <v/>
      </c>
      <c r="M439" s="25" t="str">
        <f aca="false">IF(OR(A439="",B439="",L439=""),"",IF(B439=1,L439,IFERROR(SUMIFS($G$2:$G$1001,$A$2:$A$1001,A439,$B$2:$B$1001,B439-1),0)))</f>
        <v/>
      </c>
      <c r="N439" s="25" t="str">
        <f aca="false">IF(OR(L439="",M439=""),"",MIN(L439,M439))</f>
        <v/>
      </c>
      <c r="O439" s="25" t="str">
        <f aca="false">IF(OR(I439="",G439=""),"",I439+G439)</f>
        <v/>
      </c>
      <c r="P439" s="24" t="str">
        <f aca="false">IF(OR(O439="",O439=0),"",(J439+H439)/O439)</f>
        <v/>
      </c>
      <c r="Q439" s="24" t="str">
        <f aca="false">IF(OR(O439="",E439=""),"",MAX(J439+H439-E439*O439,0))</f>
        <v/>
      </c>
      <c r="R439" s="26" t="str">
        <f aca="false">IF(A439="","",IF(COUNTIF(_TradeIds,A439)=0,"违规：交易编号不存在",IF(OR(B439="",B439&lt;1,B439&gt;5,B439&lt;&gt;INT(B439)),"违规：加仓序号须为1到5的整数",IF(COUNTIFS($A$2:$A$1001,A439,$B$2:$B$1001,B439)&gt;1,"违规：同一交易的加仓序号重复",IF(OR(D439="",E439="",F439=""),"计划不完整：请填写加仓价、新止损价和风险预算",IF(OR(D439&lt;=0,E439&lt;=0,F439&lt;=0,D439&lt;=E439),"违规：加仓价必须高于新止损价，金额须大于0",IF(AND(B439&gt;1,COUNTIFS($A$2:$A$1001,A439,$B$2:$B$1001,B439-1,$G$2:$G$1001,"&gt;0")=0),"违规：须先完成上一次加仓",IF(AND(B439&gt;1,E439&lt;SUMIFS($E$2:$E$1001,$A$2:$A$1001,A439,$B$2:$B$1001,B439-1)),"违规：新止损价不得低于上一次",IF(AND(B439&gt;1,F439&gt;SUMIFS($F$2:$F$1001,$A$2:$A$1001,A439,$B$2:$B$1001,B439-1)),"违规：风险预算须逐次不增加",IF(OR(_LockStatus="已锁仓",_LockStatus="解锁信息不完整"),"违规：锁仓期间禁止加仓",IF(G439="","计划可执行：建议股数见N列",IF(OR(G439&lt;=0,G439&lt;&gt;INT(G439),MOD(G439,100)&lt;&gt;0),"违规：实际股数须为100股整数倍",IF(G439&gt;N439,"违规：实际股数超过风险或金字塔上限",IF(AND(B439&gt;1,G439&gt;SUMIFS($G$2:$G$1001,$A$2:$A$1001,A439,$B$2:$B$1001,B439-1)),"违规：加仓股数须逐次不增加",IF(Q439&gt;F439,"违规：止损风险超过本次预算","通过")))))))))))))))</f>
        <v/>
      </c>
    </row>
    <row r="440" customFormat="false" ht="15" hidden="false" customHeight="false" outlineLevel="0" collapsed="false">
      <c r="A440" s="20"/>
      <c r="B440" s="21"/>
      <c r="C440" s="22"/>
      <c r="D440" s="23"/>
      <c r="E440" s="23"/>
      <c r="F440" s="23"/>
      <c r="G440" s="21"/>
      <c r="H440" s="24" t="str">
        <f aca="false">IF(OR(A440="",D440="",G440=""),"",D440*G440)</f>
        <v/>
      </c>
      <c r="I440" s="25" t="str">
        <f aca="false">IF(OR(A440="",B440=""),"",IFERROR(LOOKUP(2,1/(单次交易!$A$2:$A$201=A440),单次交易!$H$2:$H$201),0)+SUMIFS($G$2:$G$1001,$A$2:$A$1001,A440,$B$2:$B$1001,"&lt;"&amp;B440))</f>
        <v/>
      </c>
      <c r="J440" s="24" t="str">
        <f aca="false">IF(OR(A440="",B440=""),"",IFERROR(LOOKUP(2,1/(单次交易!$A$2:$A$201=A440),单次交易!$E$2:$E$201)*LOOKUP(2,1/(单次交易!$A$2:$A$201=A440),单次交易!$H$2:$H$201),0)+SUMIFS($H$2:$H$1001,$A$2:$A$1001,A440,$B$2:$B$1001,"&lt;"&amp;B440))</f>
        <v/>
      </c>
      <c r="K440" s="24" t="str">
        <f aca="false">IF(OR(E440="",I440="",J440=""),"",MAX(E440*I440-J440,0))</f>
        <v/>
      </c>
      <c r="L440" s="25" t="str">
        <f aca="false">IF(OR(D440="",E440="",F440="",D440&lt;=E440),"",FLOOR((F440+K440)/(D440-E440),100))</f>
        <v/>
      </c>
      <c r="M440" s="25" t="str">
        <f aca="false">IF(OR(A440="",B440="",L440=""),"",IF(B440=1,L440,IFERROR(SUMIFS($G$2:$G$1001,$A$2:$A$1001,A440,$B$2:$B$1001,B440-1),0)))</f>
        <v/>
      </c>
      <c r="N440" s="25" t="str">
        <f aca="false">IF(OR(L440="",M440=""),"",MIN(L440,M440))</f>
        <v/>
      </c>
      <c r="O440" s="25" t="str">
        <f aca="false">IF(OR(I440="",G440=""),"",I440+G440)</f>
        <v/>
      </c>
      <c r="P440" s="24" t="str">
        <f aca="false">IF(OR(O440="",O440=0),"",(J440+H440)/O440)</f>
        <v/>
      </c>
      <c r="Q440" s="24" t="str">
        <f aca="false">IF(OR(O440="",E440=""),"",MAX(J440+H440-E440*O440,0))</f>
        <v/>
      </c>
      <c r="R440" s="26" t="str">
        <f aca="false">IF(A440="","",IF(COUNTIF(_TradeIds,A440)=0,"违规：交易编号不存在",IF(OR(B440="",B440&lt;1,B440&gt;5,B440&lt;&gt;INT(B440)),"违规：加仓序号须为1到5的整数",IF(COUNTIFS($A$2:$A$1001,A440,$B$2:$B$1001,B440)&gt;1,"违规：同一交易的加仓序号重复",IF(OR(D440="",E440="",F440=""),"计划不完整：请填写加仓价、新止损价和风险预算",IF(OR(D440&lt;=0,E440&lt;=0,F440&lt;=0,D440&lt;=E440),"违规：加仓价必须高于新止损价，金额须大于0",IF(AND(B440&gt;1,COUNTIFS($A$2:$A$1001,A440,$B$2:$B$1001,B440-1,$G$2:$G$1001,"&gt;0")=0),"违规：须先完成上一次加仓",IF(AND(B440&gt;1,E440&lt;SUMIFS($E$2:$E$1001,$A$2:$A$1001,A440,$B$2:$B$1001,B440-1)),"违规：新止损价不得低于上一次",IF(AND(B440&gt;1,F440&gt;SUMIFS($F$2:$F$1001,$A$2:$A$1001,A440,$B$2:$B$1001,B440-1)),"违规：风险预算须逐次不增加",IF(OR(_LockStatus="已锁仓",_LockStatus="解锁信息不完整"),"违规：锁仓期间禁止加仓",IF(G440="","计划可执行：建议股数见N列",IF(OR(G440&lt;=0,G440&lt;&gt;INT(G440),MOD(G440,100)&lt;&gt;0),"违规：实际股数须为100股整数倍",IF(G440&gt;N440,"违规：实际股数超过风险或金字塔上限",IF(AND(B440&gt;1,G440&gt;SUMIFS($G$2:$G$1001,$A$2:$A$1001,A440,$B$2:$B$1001,B440-1)),"违规：加仓股数须逐次不增加",IF(Q440&gt;F440,"违规：止损风险超过本次预算","通过")))))))))))))))</f>
        <v/>
      </c>
    </row>
    <row r="441" customFormat="false" ht="15" hidden="false" customHeight="false" outlineLevel="0" collapsed="false">
      <c r="A441" s="20"/>
      <c r="B441" s="21"/>
      <c r="C441" s="22"/>
      <c r="D441" s="23"/>
      <c r="E441" s="23"/>
      <c r="F441" s="23"/>
      <c r="G441" s="21"/>
      <c r="H441" s="24" t="str">
        <f aca="false">IF(OR(A441="",D441="",G441=""),"",D441*G441)</f>
        <v/>
      </c>
      <c r="I441" s="25" t="str">
        <f aca="false">IF(OR(A441="",B441=""),"",IFERROR(LOOKUP(2,1/(单次交易!$A$2:$A$201=A441),单次交易!$H$2:$H$201),0)+SUMIFS($G$2:$G$1001,$A$2:$A$1001,A441,$B$2:$B$1001,"&lt;"&amp;B441))</f>
        <v/>
      </c>
      <c r="J441" s="24" t="str">
        <f aca="false">IF(OR(A441="",B441=""),"",IFERROR(LOOKUP(2,1/(单次交易!$A$2:$A$201=A441),单次交易!$E$2:$E$201)*LOOKUP(2,1/(单次交易!$A$2:$A$201=A441),单次交易!$H$2:$H$201),0)+SUMIFS($H$2:$H$1001,$A$2:$A$1001,A441,$B$2:$B$1001,"&lt;"&amp;B441))</f>
        <v/>
      </c>
      <c r="K441" s="24" t="str">
        <f aca="false">IF(OR(E441="",I441="",J441=""),"",MAX(E441*I441-J441,0))</f>
        <v/>
      </c>
      <c r="L441" s="25" t="str">
        <f aca="false">IF(OR(D441="",E441="",F441="",D441&lt;=E441),"",FLOOR((F441+K441)/(D441-E441),100))</f>
        <v/>
      </c>
      <c r="M441" s="25" t="str">
        <f aca="false">IF(OR(A441="",B441="",L441=""),"",IF(B441=1,L441,IFERROR(SUMIFS($G$2:$G$1001,$A$2:$A$1001,A441,$B$2:$B$1001,B441-1),0)))</f>
        <v/>
      </c>
      <c r="N441" s="25" t="str">
        <f aca="false">IF(OR(L441="",M441=""),"",MIN(L441,M441))</f>
        <v/>
      </c>
      <c r="O441" s="25" t="str">
        <f aca="false">IF(OR(I441="",G441=""),"",I441+G441)</f>
        <v/>
      </c>
      <c r="P441" s="24" t="str">
        <f aca="false">IF(OR(O441="",O441=0),"",(J441+H441)/O441)</f>
        <v/>
      </c>
      <c r="Q441" s="24" t="str">
        <f aca="false">IF(OR(O441="",E441=""),"",MAX(J441+H441-E441*O441,0))</f>
        <v/>
      </c>
      <c r="R441" s="26" t="str">
        <f aca="false">IF(A441="","",IF(COUNTIF(_TradeIds,A441)=0,"违规：交易编号不存在",IF(OR(B441="",B441&lt;1,B441&gt;5,B441&lt;&gt;INT(B441)),"违规：加仓序号须为1到5的整数",IF(COUNTIFS($A$2:$A$1001,A441,$B$2:$B$1001,B441)&gt;1,"违规：同一交易的加仓序号重复",IF(OR(D441="",E441="",F441=""),"计划不完整：请填写加仓价、新止损价和风险预算",IF(OR(D441&lt;=0,E441&lt;=0,F441&lt;=0,D441&lt;=E441),"违规：加仓价必须高于新止损价，金额须大于0",IF(AND(B441&gt;1,COUNTIFS($A$2:$A$1001,A441,$B$2:$B$1001,B441-1,$G$2:$G$1001,"&gt;0")=0),"违规：须先完成上一次加仓",IF(AND(B441&gt;1,E441&lt;SUMIFS($E$2:$E$1001,$A$2:$A$1001,A441,$B$2:$B$1001,B441-1)),"违规：新止损价不得低于上一次",IF(AND(B441&gt;1,F441&gt;SUMIFS($F$2:$F$1001,$A$2:$A$1001,A441,$B$2:$B$1001,B441-1)),"违规：风险预算须逐次不增加",IF(OR(_LockStatus="已锁仓",_LockStatus="解锁信息不完整"),"违规：锁仓期间禁止加仓",IF(G441="","计划可执行：建议股数见N列",IF(OR(G441&lt;=0,G441&lt;&gt;INT(G441),MOD(G441,100)&lt;&gt;0),"违规：实际股数须为100股整数倍",IF(G441&gt;N441,"违规：实际股数超过风险或金字塔上限",IF(AND(B441&gt;1,G441&gt;SUMIFS($G$2:$G$1001,$A$2:$A$1001,A441,$B$2:$B$1001,B441-1)),"违规：加仓股数须逐次不增加",IF(Q441&gt;F441,"违规：止损风险超过本次预算","通过")))))))))))))))</f>
        <v/>
      </c>
    </row>
    <row r="442" customFormat="false" ht="15" hidden="false" customHeight="false" outlineLevel="0" collapsed="false">
      <c r="A442" s="20"/>
      <c r="B442" s="21"/>
      <c r="C442" s="22"/>
      <c r="D442" s="23"/>
      <c r="E442" s="23"/>
      <c r="F442" s="23"/>
      <c r="G442" s="21"/>
      <c r="H442" s="24" t="str">
        <f aca="false">IF(OR(A442="",D442="",G442=""),"",D442*G442)</f>
        <v/>
      </c>
      <c r="I442" s="25" t="str">
        <f aca="false">IF(OR(A442="",B442=""),"",IFERROR(LOOKUP(2,1/(单次交易!$A$2:$A$201=A442),单次交易!$H$2:$H$201),0)+SUMIFS($G$2:$G$1001,$A$2:$A$1001,A442,$B$2:$B$1001,"&lt;"&amp;B442))</f>
        <v/>
      </c>
      <c r="J442" s="24" t="str">
        <f aca="false">IF(OR(A442="",B442=""),"",IFERROR(LOOKUP(2,1/(单次交易!$A$2:$A$201=A442),单次交易!$E$2:$E$201)*LOOKUP(2,1/(单次交易!$A$2:$A$201=A442),单次交易!$H$2:$H$201),0)+SUMIFS($H$2:$H$1001,$A$2:$A$1001,A442,$B$2:$B$1001,"&lt;"&amp;B442))</f>
        <v/>
      </c>
      <c r="K442" s="24" t="str">
        <f aca="false">IF(OR(E442="",I442="",J442=""),"",MAX(E442*I442-J442,0))</f>
        <v/>
      </c>
      <c r="L442" s="25" t="str">
        <f aca="false">IF(OR(D442="",E442="",F442="",D442&lt;=E442),"",FLOOR((F442+K442)/(D442-E442),100))</f>
        <v/>
      </c>
      <c r="M442" s="25" t="str">
        <f aca="false">IF(OR(A442="",B442="",L442=""),"",IF(B442=1,L442,IFERROR(SUMIFS($G$2:$G$1001,$A$2:$A$1001,A442,$B$2:$B$1001,B442-1),0)))</f>
        <v/>
      </c>
      <c r="N442" s="25" t="str">
        <f aca="false">IF(OR(L442="",M442=""),"",MIN(L442,M442))</f>
        <v/>
      </c>
      <c r="O442" s="25" t="str">
        <f aca="false">IF(OR(I442="",G442=""),"",I442+G442)</f>
        <v/>
      </c>
      <c r="P442" s="24" t="str">
        <f aca="false">IF(OR(O442="",O442=0),"",(J442+H442)/O442)</f>
        <v/>
      </c>
      <c r="Q442" s="24" t="str">
        <f aca="false">IF(OR(O442="",E442=""),"",MAX(J442+H442-E442*O442,0))</f>
        <v/>
      </c>
      <c r="R442" s="26" t="str">
        <f aca="false">IF(A442="","",IF(COUNTIF(_TradeIds,A442)=0,"违规：交易编号不存在",IF(OR(B442="",B442&lt;1,B442&gt;5,B442&lt;&gt;INT(B442)),"违规：加仓序号须为1到5的整数",IF(COUNTIFS($A$2:$A$1001,A442,$B$2:$B$1001,B442)&gt;1,"违规：同一交易的加仓序号重复",IF(OR(D442="",E442="",F442=""),"计划不完整：请填写加仓价、新止损价和风险预算",IF(OR(D442&lt;=0,E442&lt;=0,F442&lt;=0,D442&lt;=E442),"违规：加仓价必须高于新止损价，金额须大于0",IF(AND(B442&gt;1,COUNTIFS($A$2:$A$1001,A442,$B$2:$B$1001,B442-1,$G$2:$G$1001,"&gt;0")=0),"违规：须先完成上一次加仓",IF(AND(B442&gt;1,E442&lt;SUMIFS($E$2:$E$1001,$A$2:$A$1001,A442,$B$2:$B$1001,B442-1)),"违规：新止损价不得低于上一次",IF(AND(B442&gt;1,F442&gt;SUMIFS($F$2:$F$1001,$A$2:$A$1001,A442,$B$2:$B$1001,B442-1)),"违规：风险预算须逐次不增加",IF(OR(_LockStatus="已锁仓",_LockStatus="解锁信息不完整"),"违规：锁仓期间禁止加仓",IF(G442="","计划可执行：建议股数见N列",IF(OR(G442&lt;=0,G442&lt;&gt;INT(G442),MOD(G442,100)&lt;&gt;0),"违规：实际股数须为100股整数倍",IF(G442&gt;N442,"违规：实际股数超过风险或金字塔上限",IF(AND(B442&gt;1,G442&gt;SUMIFS($G$2:$G$1001,$A$2:$A$1001,A442,$B$2:$B$1001,B442-1)),"违规：加仓股数须逐次不增加",IF(Q442&gt;F442,"违规：止损风险超过本次预算","通过")))))))))))))))</f>
        <v/>
      </c>
    </row>
    <row r="443" customFormat="false" ht="15" hidden="false" customHeight="false" outlineLevel="0" collapsed="false">
      <c r="A443" s="20"/>
      <c r="B443" s="21"/>
      <c r="C443" s="22"/>
      <c r="D443" s="23"/>
      <c r="E443" s="23"/>
      <c r="F443" s="23"/>
      <c r="G443" s="21"/>
      <c r="H443" s="24" t="str">
        <f aca="false">IF(OR(A443="",D443="",G443=""),"",D443*G443)</f>
        <v/>
      </c>
      <c r="I443" s="25" t="str">
        <f aca="false">IF(OR(A443="",B443=""),"",IFERROR(LOOKUP(2,1/(单次交易!$A$2:$A$201=A443),单次交易!$H$2:$H$201),0)+SUMIFS($G$2:$G$1001,$A$2:$A$1001,A443,$B$2:$B$1001,"&lt;"&amp;B443))</f>
        <v/>
      </c>
      <c r="J443" s="24" t="str">
        <f aca="false">IF(OR(A443="",B443=""),"",IFERROR(LOOKUP(2,1/(单次交易!$A$2:$A$201=A443),单次交易!$E$2:$E$201)*LOOKUP(2,1/(单次交易!$A$2:$A$201=A443),单次交易!$H$2:$H$201),0)+SUMIFS($H$2:$H$1001,$A$2:$A$1001,A443,$B$2:$B$1001,"&lt;"&amp;B443))</f>
        <v/>
      </c>
      <c r="K443" s="24" t="str">
        <f aca="false">IF(OR(E443="",I443="",J443=""),"",MAX(E443*I443-J443,0))</f>
        <v/>
      </c>
      <c r="L443" s="25" t="str">
        <f aca="false">IF(OR(D443="",E443="",F443="",D443&lt;=E443),"",FLOOR((F443+K443)/(D443-E443),100))</f>
        <v/>
      </c>
      <c r="M443" s="25" t="str">
        <f aca="false">IF(OR(A443="",B443="",L443=""),"",IF(B443=1,L443,IFERROR(SUMIFS($G$2:$G$1001,$A$2:$A$1001,A443,$B$2:$B$1001,B443-1),0)))</f>
        <v/>
      </c>
      <c r="N443" s="25" t="str">
        <f aca="false">IF(OR(L443="",M443=""),"",MIN(L443,M443))</f>
        <v/>
      </c>
      <c r="O443" s="25" t="str">
        <f aca="false">IF(OR(I443="",G443=""),"",I443+G443)</f>
        <v/>
      </c>
      <c r="P443" s="24" t="str">
        <f aca="false">IF(OR(O443="",O443=0),"",(J443+H443)/O443)</f>
        <v/>
      </c>
      <c r="Q443" s="24" t="str">
        <f aca="false">IF(OR(O443="",E443=""),"",MAX(J443+H443-E443*O443,0))</f>
        <v/>
      </c>
      <c r="R443" s="26" t="str">
        <f aca="false">IF(A443="","",IF(COUNTIF(_TradeIds,A443)=0,"违规：交易编号不存在",IF(OR(B443="",B443&lt;1,B443&gt;5,B443&lt;&gt;INT(B443)),"违规：加仓序号须为1到5的整数",IF(COUNTIFS($A$2:$A$1001,A443,$B$2:$B$1001,B443)&gt;1,"违规：同一交易的加仓序号重复",IF(OR(D443="",E443="",F443=""),"计划不完整：请填写加仓价、新止损价和风险预算",IF(OR(D443&lt;=0,E443&lt;=0,F443&lt;=0,D443&lt;=E443),"违规：加仓价必须高于新止损价，金额须大于0",IF(AND(B443&gt;1,COUNTIFS($A$2:$A$1001,A443,$B$2:$B$1001,B443-1,$G$2:$G$1001,"&gt;0")=0),"违规：须先完成上一次加仓",IF(AND(B443&gt;1,E443&lt;SUMIFS($E$2:$E$1001,$A$2:$A$1001,A443,$B$2:$B$1001,B443-1)),"违规：新止损价不得低于上一次",IF(AND(B443&gt;1,F443&gt;SUMIFS($F$2:$F$1001,$A$2:$A$1001,A443,$B$2:$B$1001,B443-1)),"违规：风险预算须逐次不增加",IF(OR(_LockStatus="已锁仓",_LockStatus="解锁信息不完整"),"违规：锁仓期间禁止加仓",IF(G443="","计划可执行：建议股数见N列",IF(OR(G443&lt;=0,G443&lt;&gt;INT(G443),MOD(G443,100)&lt;&gt;0),"违规：实际股数须为100股整数倍",IF(G443&gt;N443,"违规：实际股数超过风险或金字塔上限",IF(AND(B443&gt;1,G443&gt;SUMIFS($G$2:$G$1001,$A$2:$A$1001,A443,$B$2:$B$1001,B443-1)),"违规：加仓股数须逐次不增加",IF(Q443&gt;F443,"违规：止损风险超过本次预算","通过")))))))))))))))</f>
        <v/>
      </c>
    </row>
    <row r="444" customFormat="false" ht="15" hidden="false" customHeight="false" outlineLevel="0" collapsed="false">
      <c r="A444" s="20"/>
      <c r="B444" s="21"/>
      <c r="C444" s="22"/>
      <c r="D444" s="23"/>
      <c r="E444" s="23"/>
      <c r="F444" s="23"/>
      <c r="G444" s="21"/>
      <c r="H444" s="24" t="str">
        <f aca="false">IF(OR(A444="",D444="",G444=""),"",D444*G444)</f>
        <v/>
      </c>
      <c r="I444" s="25" t="str">
        <f aca="false">IF(OR(A444="",B444=""),"",IFERROR(LOOKUP(2,1/(单次交易!$A$2:$A$201=A444),单次交易!$H$2:$H$201),0)+SUMIFS($G$2:$G$1001,$A$2:$A$1001,A444,$B$2:$B$1001,"&lt;"&amp;B444))</f>
        <v/>
      </c>
      <c r="J444" s="24" t="str">
        <f aca="false">IF(OR(A444="",B444=""),"",IFERROR(LOOKUP(2,1/(单次交易!$A$2:$A$201=A444),单次交易!$E$2:$E$201)*LOOKUP(2,1/(单次交易!$A$2:$A$201=A444),单次交易!$H$2:$H$201),0)+SUMIFS($H$2:$H$1001,$A$2:$A$1001,A444,$B$2:$B$1001,"&lt;"&amp;B444))</f>
        <v/>
      </c>
      <c r="K444" s="24" t="str">
        <f aca="false">IF(OR(E444="",I444="",J444=""),"",MAX(E444*I444-J444,0))</f>
        <v/>
      </c>
      <c r="L444" s="25" t="str">
        <f aca="false">IF(OR(D444="",E444="",F444="",D444&lt;=E444),"",FLOOR((F444+K444)/(D444-E444),100))</f>
        <v/>
      </c>
      <c r="M444" s="25" t="str">
        <f aca="false">IF(OR(A444="",B444="",L444=""),"",IF(B444=1,L444,IFERROR(SUMIFS($G$2:$G$1001,$A$2:$A$1001,A444,$B$2:$B$1001,B444-1),0)))</f>
        <v/>
      </c>
      <c r="N444" s="25" t="str">
        <f aca="false">IF(OR(L444="",M444=""),"",MIN(L444,M444))</f>
        <v/>
      </c>
      <c r="O444" s="25" t="str">
        <f aca="false">IF(OR(I444="",G444=""),"",I444+G444)</f>
        <v/>
      </c>
      <c r="P444" s="24" t="str">
        <f aca="false">IF(OR(O444="",O444=0),"",(J444+H444)/O444)</f>
        <v/>
      </c>
      <c r="Q444" s="24" t="str">
        <f aca="false">IF(OR(O444="",E444=""),"",MAX(J444+H444-E444*O444,0))</f>
        <v/>
      </c>
      <c r="R444" s="26" t="str">
        <f aca="false">IF(A444="","",IF(COUNTIF(_TradeIds,A444)=0,"违规：交易编号不存在",IF(OR(B444="",B444&lt;1,B444&gt;5,B444&lt;&gt;INT(B444)),"违规：加仓序号须为1到5的整数",IF(COUNTIFS($A$2:$A$1001,A444,$B$2:$B$1001,B444)&gt;1,"违规：同一交易的加仓序号重复",IF(OR(D444="",E444="",F444=""),"计划不完整：请填写加仓价、新止损价和风险预算",IF(OR(D444&lt;=0,E444&lt;=0,F444&lt;=0,D444&lt;=E444),"违规：加仓价必须高于新止损价，金额须大于0",IF(AND(B444&gt;1,COUNTIFS($A$2:$A$1001,A444,$B$2:$B$1001,B444-1,$G$2:$G$1001,"&gt;0")=0),"违规：须先完成上一次加仓",IF(AND(B444&gt;1,E444&lt;SUMIFS($E$2:$E$1001,$A$2:$A$1001,A444,$B$2:$B$1001,B444-1)),"违规：新止损价不得低于上一次",IF(AND(B444&gt;1,F444&gt;SUMIFS($F$2:$F$1001,$A$2:$A$1001,A444,$B$2:$B$1001,B444-1)),"违规：风险预算须逐次不增加",IF(OR(_LockStatus="已锁仓",_LockStatus="解锁信息不完整"),"违规：锁仓期间禁止加仓",IF(G444="","计划可执行：建议股数见N列",IF(OR(G444&lt;=0,G444&lt;&gt;INT(G444),MOD(G444,100)&lt;&gt;0),"违规：实际股数须为100股整数倍",IF(G444&gt;N444,"违规：实际股数超过风险或金字塔上限",IF(AND(B444&gt;1,G444&gt;SUMIFS($G$2:$G$1001,$A$2:$A$1001,A444,$B$2:$B$1001,B444-1)),"违规：加仓股数须逐次不增加",IF(Q444&gt;F444,"违规：止损风险超过本次预算","通过")))))))))))))))</f>
        <v/>
      </c>
    </row>
    <row r="445" customFormat="false" ht="15" hidden="false" customHeight="false" outlineLevel="0" collapsed="false">
      <c r="A445" s="20"/>
      <c r="B445" s="21"/>
      <c r="C445" s="22"/>
      <c r="D445" s="23"/>
      <c r="E445" s="23"/>
      <c r="F445" s="23"/>
      <c r="G445" s="21"/>
      <c r="H445" s="24" t="str">
        <f aca="false">IF(OR(A445="",D445="",G445=""),"",D445*G445)</f>
        <v/>
      </c>
      <c r="I445" s="25" t="str">
        <f aca="false">IF(OR(A445="",B445=""),"",IFERROR(LOOKUP(2,1/(单次交易!$A$2:$A$201=A445),单次交易!$H$2:$H$201),0)+SUMIFS($G$2:$G$1001,$A$2:$A$1001,A445,$B$2:$B$1001,"&lt;"&amp;B445))</f>
        <v/>
      </c>
      <c r="J445" s="24" t="str">
        <f aca="false">IF(OR(A445="",B445=""),"",IFERROR(LOOKUP(2,1/(单次交易!$A$2:$A$201=A445),单次交易!$E$2:$E$201)*LOOKUP(2,1/(单次交易!$A$2:$A$201=A445),单次交易!$H$2:$H$201),0)+SUMIFS($H$2:$H$1001,$A$2:$A$1001,A445,$B$2:$B$1001,"&lt;"&amp;B445))</f>
        <v/>
      </c>
      <c r="K445" s="24" t="str">
        <f aca="false">IF(OR(E445="",I445="",J445=""),"",MAX(E445*I445-J445,0))</f>
        <v/>
      </c>
      <c r="L445" s="25" t="str">
        <f aca="false">IF(OR(D445="",E445="",F445="",D445&lt;=E445),"",FLOOR((F445+K445)/(D445-E445),100))</f>
        <v/>
      </c>
      <c r="M445" s="25" t="str">
        <f aca="false">IF(OR(A445="",B445="",L445=""),"",IF(B445=1,L445,IFERROR(SUMIFS($G$2:$G$1001,$A$2:$A$1001,A445,$B$2:$B$1001,B445-1),0)))</f>
        <v/>
      </c>
      <c r="N445" s="25" t="str">
        <f aca="false">IF(OR(L445="",M445=""),"",MIN(L445,M445))</f>
        <v/>
      </c>
      <c r="O445" s="25" t="str">
        <f aca="false">IF(OR(I445="",G445=""),"",I445+G445)</f>
        <v/>
      </c>
      <c r="P445" s="24" t="str">
        <f aca="false">IF(OR(O445="",O445=0),"",(J445+H445)/O445)</f>
        <v/>
      </c>
      <c r="Q445" s="24" t="str">
        <f aca="false">IF(OR(O445="",E445=""),"",MAX(J445+H445-E445*O445,0))</f>
        <v/>
      </c>
      <c r="R445" s="26" t="str">
        <f aca="false">IF(A445="","",IF(COUNTIF(_TradeIds,A445)=0,"违规：交易编号不存在",IF(OR(B445="",B445&lt;1,B445&gt;5,B445&lt;&gt;INT(B445)),"违规：加仓序号须为1到5的整数",IF(COUNTIFS($A$2:$A$1001,A445,$B$2:$B$1001,B445)&gt;1,"违规：同一交易的加仓序号重复",IF(OR(D445="",E445="",F445=""),"计划不完整：请填写加仓价、新止损价和风险预算",IF(OR(D445&lt;=0,E445&lt;=0,F445&lt;=0,D445&lt;=E445),"违规：加仓价必须高于新止损价，金额须大于0",IF(AND(B445&gt;1,COUNTIFS($A$2:$A$1001,A445,$B$2:$B$1001,B445-1,$G$2:$G$1001,"&gt;0")=0),"违规：须先完成上一次加仓",IF(AND(B445&gt;1,E445&lt;SUMIFS($E$2:$E$1001,$A$2:$A$1001,A445,$B$2:$B$1001,B445-1)),"违规：新止损价不得低于上一次",IF(AND(B445&gt;1,F445&gt;SUMIFS($F$2:$F$1001,$A$2:$A$1001,A445,$B$2:$B$1001,B445-1)),"违规：风险预算须逐次不增加",IF(OR(_LockStatus="已锁仓",_LockStatus="解锁信息不完整"),"违规：锁仓期间禁止加仓",IF(G445="","计划可执行：建议股数见N列",IF(OR(G445&lt;=0,G445&lt;&gt;INT(G445),MOD(G445,100)&lt;&gt;0),"违规：实际股数须为100股整数倍",IF(G445&gt;N445,"违规：实际股数超过风险或金字塔上限",IF(AND(B445&gt;1,G445&gt;SUMIFS($G$2:$G$1001,$A$2:$A$1001,A445,$B$2:$B$1001,B445-1)),"违规：加仓股数须逐次不增加",IF(Q445&gt;F445,"违规：止损风险超过本次预算","通过")))))))))))))))</f>
        <v/>
      </c>
    </row>
    <row r="446" customFormat="false" ht="15" hidden="false" customHeight="false" outlineLevel="0" collapsed="false">
      <c r="A446" s="20"/>
      <c r="B446" s="21"/>
      <c r="C446" s="22"/>
      <c r="D446" s="23"/>
      <c r="E446" s="23"/>
      <c r="F446" s="23"/>
      <c r="G446" s="21"/>
      <c r="H446" s="24" t="str">
        <f aca="false">IF(OR(A446="",D446="",G446=""),"",D446*G446)</f>
        <v/>
      </c>
      <c r="I446" s="25" t="str">
        <f aca="false">IF(OR(A446="",B446=""),"",IFERROR(LOOKUP(2,1/(单次交易!$A$2:$A$201=A446),单次交易!$H$2:$H$201),0)+SUMIFS($G$2:$G$1001,$A$2:$A$1001,A446,$B$2:$B$1001,"&lt;"&amp;B446))</f>
        <v/>
      </c>
      <c r="J446" s="24" t="str">
        <f aca="false">IF(OR(A446="",B446=""),"",IFERROR(LOOKUP(2,1/(单次交易!$A$2:$A$201=A446),单次交易!$E$2:$E$201)*LOOKUP(2,1/(单次交易!$A$2:$A$201=A446),单次交易!$H$2:$H$201),0)+SUMIFS($H$2:$H$1001,$A$2:$A$1001,A446,$B$2:$B$1001,"&lt;"&amp;B446))</f>
        <v/>
      </c>
      <c r="K446" s="24" t="str">
        <f aca="false">IF(OR(E446="",I446="",J446=""),"",MAX(E446*I446-J446,0))</f>
        <v/>
      </c>
      <c r="L446" s="25" t="str">
        <f aca="false">IF(OR(D446="",E446="",F446="",D446&lt;=E446),"",FLOOR((F446+K446)/(D446-E446),100))</f>
        <v/>
      </c>
      <c r="M446" s="25" t="str">
        <f aca="false">IF(OR(A446="",B446="",L446=""),"",IF(B446=1,L446,IFERROR(SUMIFS($G$2:$G$1001,$A$2:$A$1001,A446,$B$2:$B$1001,B446-1),0)))</f>
        <v/>
      </c>
      <c r="N446" s="25" t="str">
        <f aca="false">IF(OR(L446="",M446=""),"",MIN(L446,M446))</f>
        <v/>
      </c>
      <c r="O446" s="25" t="str">
        <f aca="false">IF(OR(I446="",G446=""),"",I446+G446)</f>
        <v/>
      </c>
      <c r="P446" s="24" t="str">
        <f aca="false">IF(OR(O446="",O446=0),"",(J446+H446)/O446)</f>
        <v/>
      </c>
      <c r="Q446" s="24" t="str">
        <f aca="false">IF(OR(O446="",E446=""),"",MAX(J446+H446-E446*O446,0))</f>
        <v/>
      </c>
      <c r="R446" s="26" t="str">
        <f aca="false">IF(A446="","",IF(COUNTIF(_TradeIds,A446)=0,"违规：交易编号不存在",IF(OR(B446="",B446&lt;1,B446&gt;5,B446&lt;&gt;INT(B446)),"违规：加仓序号须为1到5的整数",IF(COUNTIFS($A$2:$A$1001,A446,$B$2:$B$1001,B446)&gt;1,"违规：同一交易的加仓序号重复",IF(OR(D446="",E446="",F446=""),"计划不完整：请填写加仓价、新止损价和风险预算",IF(OR(D446&lt;=0,E446&lt;=0,F446&lt;=0,D446&lt;=E446),"违规：加仓价必须高于新止损价，金额须大于0",IF(AND(B446&gt;1,COUNTIFS($A$2:$A$1001,A446,$B$2:$B$1001,B446-1,$G$2:$G$1001,"&gt;0")=0),"违规：须先完成上一次加仓",IF(AND(B446&gt;1,E446&lt;SUMIFS($E$2:$E$1001,$A$2:$A$1001,A446,$B$2:$B$1001,B446-1)),"违规：新止损价不得低于上一次",IF(AND(B446&gt;1,F446&gt;SUMIFS($F$2:$F$1001,$A$2:$A$1001,A446,$B$2:$B$1001,B446-1)),"违规：风险预算须逐次不增加",IF(OR(_LockStatus="已锁仓",_LockStatus="解锁信息不完整"),"违规：锁仓期间禁止加仓",IF(G446="","计划可执行：建议股数见N列",IF(OR(G446&lt;=0,G446&lt;&gt;INT(G446),MOD(G446,100)&lt;&gt;0),"违规：实际股数须为100股整数倍",IF(G446&gt;N446,"违规：实际股数超过风险或金字塔上限",IF(AND(B446&gt;1,G446&gt;SUMIFS($G$2:$G$1001,$A$2:$A$1001,A446,$B$2:$B$1001,B446-1)),"违规：加仓股数须逐次不增加",IF(Q446&gt;F446,"违规：止损风险超过本次预算","通过")))))))))))))))</f>
        <v/>
      </c>
    </row>
    <row r="447" customFormat="false" ht="15" hidden="false" customHeight="false" outlineLevel="0" collapsed="false">
      <c r="A447" s="20"/>
      <c r="B447" s="21"/>
      <c r="C447" s="22"/>
      <c r="D447" s="23"/>
      <c r="E447" s="23"/>
      <c r="F447" s="23"/>
      <c r="G447" s="21"/>
      <c r="H447" s="24" t="str">
        <f aca="false">IF(OR(A447="",D447="",G447=""),"",D447*G447)</f>
        <v/>
      </c>
      <c r="I447" s="25" t="str">
        <f aca="false">IF(OR(A447="",B447=""),"",IFERROR(LOOKUP(2,1/(单次交易!$A$2:$A$201=A447),单次交易!$H$2:$H$201),0)+SUMIFS($G$2:$G$1001,$A$2:$A$1001,A447,$B$2:$B$1001,"&lt;"&amp;B447))</f>
        <v/>
      </c>
      <c r="J447" s="24" t="str">
        <f aca="false">IF(OR(A447="",B447=""),"",IFERROR(LOOKUP(2,1/(单次交易!$A$2:$A$201=A447),单次交易!$E$2:$E$201)*LOOKUP(2,1/(单次交易!$A$2:$A$201=A447),单次交易!$H$2:$H$201),0)+SUMIFS($H$2:$H$1001,$A$2:$A$1001,A447,$B$2:$B$1001,"&lt;"&amp;B447))</f>
        <v/>
      </c>
      <c r="K447" s="24" t="str">
        <f aca="false">IF(OR(E447="",I447="",J447=""),"",MAX(E447*I447-J447,0))</f>
        <v/>
      </c>
      <c r="L447" s="25" t="str">
        <f aca="false">IF(OR(D447="",E447="",F447="",D447&lt;=E447),"",FLOOR((F447+K447)/(D447-E447),100))</f>
        <v/>
      </c>
      <c r="M447" s="25" t="str">
        <f aca="false">IF(OR(A447="",B447="",L447=""),"",IF(B447=1,L447,IFERROR(SUMIFS($G$2:$G$1001,$A$2:$A$1001,A447,$B$2:$B$1001,B447-1),0)))</f>
        <v/>
      </c>
      <c r="N447" s="25" t="str">
        <f aca="false">IF(OR(L447="",M447=""),"",MIN(L447,M447))</f>
        <v/>
      </c>
      <c r="O447" s="25" t="str">
        <f aca="false">IF(OR(I447="",G447=""),"",I447+G447)</f>
        <v/>
      </c>
      <c r="P447" s="24" t="str">
        <f aca="false">IF(OR(O447="",O447=0),"",(J447+H447)/O447)</f>
        <v/>
      </c>
      <c r="Q447" s="24" t="str">
        <f aca="false">IF(OR(O447="",E447=""),"",MAX(J447+H447-E447*O447,0))</f>
        <v/>
      </c>
      <c r="R447" s="26" t="str">
        <f aca="false">IF(A447="","",IF(COUNTIF(_TradeIds,A447)=0,"违规：交易编号不存在",IF(OR(B447="",B447&lt;1,B447&gt;5,B447&lt;&gt;INT(B447)),"违规：加仓序号须为1到5的整数",IF(COUNTIFS($A$2:$A$1001,A447,$B$2:$B$1001,B447)&gt;1,"违规：同一交易的加仓序号重复",IF(OR(D447="",E447="",F447=""),"计划不完整：请填写加仓价、新止损价和风险预算",IF(OR(D447&lt;=0,E447&lt;=0,F447&lt;=0,D447&lt;=E447),"违规：加仓价必须高于新止损价，金额须大于0",IF(AND(B447&gt;1,COUNTIFS($A$2:$A$1001,A447,$B$2:$B$1001,B447-1,$G$2:$G$1001,"&gt;0")=0),"违规：须先完成上一次加仓",IF(AND(B447&gt;1,E447&lt;SUMIFS($E$2:$E$1001,$A$2:$A$1001,A447,$B$2:$B$1001,B447-1)),"违规：新止损价不得低于上一次",IF(AND(B447&gt;1,F447&gt;SUMIFS($F$2:$F$1001,$A$2:$A$1001,A447,$B$2:$B$1001,B447-1)),"违规：风险预算须逐次不增加",IF(OR(_LockStatus="已锁仓",_LockStatus="解锁信息不完整"),"违规：锁仓期间禁止加仓",IF(G447="","计划可执行：建议股数见N列",IF(OR(G447&lt;=0,G447&lt;&gt;INT(G447),MOD(G447,100)&lt;&gt;0),"违规：实际股数须为100股整数倍",IF(G447&gt;N447,"违规：实际股数超过风险或金字塔上限",IF(AND(B447&gt;1,G447&gt;SUMIFS($G$2:$G$1001,$A$2:$A$1001,A447,$B$2:$B$1001,B447-1)),"违规：加仓股数须逐次不增加",IF(Q447&gt;F447,"违规：止损风险超过本次预算","通过")))))))))))))))</f>
        <v/>
      </c>
    </row>
    <row r="448" customFormat="false" ht="15" hidden="false" customHeight="false" outlineLevel="0" collapsed="false">
      <c r="A448" s="20"/>
      <c r="B448" s="21"/>
      <c r="C448" s="22"/>
      <c r="D448" s="23"/>
      <c r="E448" s="23"/>
      <c r="F448" s="23"/>
      <c r="G448" s="21"/>
      <c r="H448" s="24" t="str">
        <f aca="false">IF(OR(A448="",D448="",G448=""),"",D448*G448)</f>
        <v/>
      </c>
      <c r="I448" s="25" t="str">
        <f aca="false">IF(OR(A448="",B448=""),"",IFERROR(LOOKUP(2,1/(单次交易!$A$2:$A$201=A448),单次交易!$H$2:$H$201),0)+SUMIFS($G$2:$G$1001,$A$2:$A$1001,A448,$B$2:$B$1001,"&lt;"&amp;B448))</f>
        <v/>
      </c>
      <c r="J448" s="24" t="str">
        <f aca="false">IF(OR(A448="",B448=""),"",IFERROR(LOOKUP(2,1/(单次交易!$A$2:$A$201=A448),单次交易!$E$2:$E$201)*LOOKUP(2,1/(单次交易!$A$2:$A$201=A448),单次交易!$H$2:$H$201),0)+SUMIFS($H$2:$H$1001,$A$2:$A$1001,A448,$B$2:$B$1001,"&lt;"&amp;B448))</f>
        <v/>
      </c>
      <c r="K448" s="24" t="str">
        <f aca="false">IF(OR(E448="",I448="",J448=""),"",MAX(E448*I448-J448,0))</f>
        <v/>
      </c>
      <c r="L448" s="25" t="str">
        <f aca="false">IF(OR(D448="",E448="",F448="",D448&lt;=E448),"",FLOOR((F448+K448)/(D448-E448),100))</f>
        <v/>
      </c>
      <c r="M448" s="25" t="str">
        <f aca="false">IF(OR(A448="",B448="",L448=""),"",IF(B448=1,L448,IFERROR(SUMIFS($G$2:$G$1001,$A$2:$A$1001,A448,$B$2:$B$1001,B448-1),0)))</f>
        <v/>
      </c>
      <c r="N448" s="25" t="str">
        <f aca="false">IF(OR(L448="",M448=""),"",MIN(L448,M448))</f>
        <v/>
      </c>
      <c r="O448" s="25" t="str">
        <f aca="false">IF(OR(I448="",G448=""),"",I448+G448)</f>
        <v/>
      </c>
      <c r="P448" s="24" t="str">
        <f aca="false">IF(OR(O448="",O448=0),"",(J448+H448)/O448)</f>
        <v/>
      </c>
      <c r="Q448" s="24" t="str">
        <f aca="false">IF(OR(O448="",E448=""),"",MAX(J448+H448-E448*O448,0))</f>
        <v/>
      </c>
      <c r="R448" s="26" t="str">
        <f aca="false">IF(A448="","",IF(COUNTIF(_TradeIds,A448)=0,"违规：交易编号不存在",IF(OR(B448="",B448&lt;1,B448&gt;5,B448&lt;&gt;INT(B448)),"违规：加仓序号须为1到5的整数",IF(COUNTIFS($A$2:$A$1001,A448,$B$2:$B$1001,B448)&gt;1,"违规：同一交易的加仓序号重复",IF(OR(D448="",E448="",F448=""),"计划不完整：请填写加仓价、新止损价和风险预算",IF(OR(D448&lt;=0,E448&lt;=0,F448&lt;=0,D448&lt;=E448),"违规：加仓价必须高于新止损价，金额须大于0",IF(AND(B448&gt;1,COUNTIFS($A$2:$A$1001,A448,$B$2:$B$1001,B448-1,$G$2:$G$1001,"&gt;0")=0),"违规：须先完成上一次加仓",IF(AND(B448&gt;1,E448&lt;SUMIFS($E$2:$E$1001,$A$2:$A$1001,A448,$B$2:$B$1001,B448-1)),"违规：新止损价不得低于上一次",IF(AND(B448&gt;1,F448&gt;SUMIFS($F$2:$F$1001,$A$2:$A$1001,A448,$B$2:$B$1001,B448-1)),"违规：风险预算须逐次不增加",IF(OR(_LockStatus="已锁仓",_LockStatus="解锁信息不完整"),"违规：锁仓期间禁止加仓",IF(G448="","计划可执行：建议股数见N列",IF(OR(G448&lt;=0,G448&lt;&gt;INT(G448),MOD(G448,100)&lt;&gt;0),"违规：实际股数须为100股整数倍",IF(G448&gt;N448,"违规：实际股数超过风险或金字塔上限",IF(AND(B448&gt;1,G448&gt;SUMIFS($G$2:$G$1001,$A$2:$A$1001,A448,$B$2:$B$1001,B448-1)),"违规：加仓股数须逐次不增加",IF(Q448&gt;F448,"违规：止损风险超过本次预算","通过")))))))))))))))</f>
        <v/>
      </c>
    </row>
    <row r="449" customFormat="false" ht="15" hidden="false" customHeight="false" outlineLevel="0" collapsed="false">
      <c r="A449" s="20"/>
      <c r="B449" s="21"/>
      <c r="C449" s="22"/>
      <c r="D449" s="23"/>
      <c r="E449" s="23"/>
      <c r="F449" s="23"/>
      <c r="G449" s="21"/>
      <c r="H449" s="24" t="str">
        <f aca="false">IF(OR(A449="",D449="",G449=""),"",D449*G449)</f>
        <v/>
      </c>
      <c r="I449" s="25" t="str">
        <f aca="false">IF(OR(A449="",B449=""),"",IFERROR(LOOKUP(2,1/(单次交易!$A$2:$A$201=A449),单次交易!$H$2:$H$201),0)+SUMIFS($G$2:$G$1001,$A$2:$A$1001,A449,$B$2:$B$1001,"&lt;"&amp;B449))</f>
        <v/>
      </c>
      <c r="J449" s="24" t="str">
        <f aca="false">IF(OR(A449="",B449=""),"",IFERROR(LOOKUP(2,1/(单次交易!$A$2:$A$201=A449),单次交易!$E$2:$E$201)*LOOKUP(2,1/(单次交易!$A$2:$A$201=A449),单次交易!$H$2:$H$201),0)+SUMIFS($H$2:$H$1001,$A$2:$A$1001,A449,$B$2:$B$1001,"&lt;"&amp;B449))</f>
        <v/>
      </c>
      <c r="K449" s="24" t="str">
        <f aca="false">IF(OR(E449="",I449="",J449=""),"",MAX(E449*I449-J449,0))</f>
        <v/>
      </c>
      <c r="L449" s="25" t="str">
        <f aca="false">IF(OR(D449="",E449="",F449="",D449&lt;=E449),"",FLOOR((F449+K449)/(D449-E449),100))</f>
        <v/>
      </c>
      <c r="M449" s="25" t="str">
        <f aca="false">IF(OR(A449="",B449="",L449=""),"",IF(B449=1,L449,IFERROR(SUMIFS($G$2:$G$1001,$A$2:$A$1001,A449,$B$2:$B$1001,B449-1),0)))</f>
        <v/>
      </c>
      <c r="N449" s="25" t="str">
        <f aca="false">IF(OR(L449="",M449=""),"",MIN(L449,M449))</f>
        <v/>
      </c>
      <c r="O449" s="25" t="str">
        <f aca="false">IF(OR(I449="",G449=""),"",I449+G449)</f>
        <v/>
      </c>
      <c r="P449" s="24" t="str">
        <f aca="false">IF(OR(O449="",O449=0),"",(J449+H449)/O449)</f>
        <v/>
      </c>
      <c r="Q449" s="24" t="str">
        <f aca="false">IF(OR(O449="",E449=""),"",MAX(J449+H449-E449*O449,0))</f>
        <v/>
      </c>
      <c r="R449" s="26" t="str">
        <f aca="false">IF(A449="","",IF(COUNTIF(_TradeIds,A449)=0,"违规：交易编号不存在",IF(OR(B449="",B449&lt;1,B449&gt;5,B449&lt;&gt;INT(B449)),"违规：加仓序号须为1到5的整数",IF(COUNTIFS($A$2:$A$1001,A449,$B$2:$B$1001,B449)&gt;1,"违规：同一交易的加仓序号重复",IF(OR(D449="",E449="",F449=""),"计划不完整：请填写加仓价、新止损价和风险预算",IF(OR(D449&lt;=0,E449&lt;=0,F449&lt;=0,D449&lt;=E449),"违规：加仓价必须高于新止损价，金额须大于0",IF(AND(B449&gt;1,COUNTIFS($A$2:$A$1001,A449,$B$2:$B$1001,B449-1,$G$2:$G$1001,"&gt;0")=0),"违规：须先完成上一次加仓",IF(AND(B449&gt;1,E449&lt;SUMIFS($E$2:$E$1001,$A$2:$A$1001,A449,$B$2:$B$1001,B449-1)),"违规：新止损价不得低于上一次",IF(AND(B449&gt;1,F449&gt;SUMIFS($F$2:$F$1001,$A$2:$A$1001,A449,$B$2:$B$1001,B449-1)),"违规：风险预算须逐次不增加",IF(OR(_LockStatus="已锁仓",_LockStatus="解锁信息不完整"),"违规：锁仓期间禁止加仓",IF(G449="","计划可执行：建议股数见N列",IF(OR(G449&lt;=0,G449&lt;&gt;INT(G449),MOD(G449,100)&lt;&gt;0),"违规：实际股数须为100股整数倍",IF(G449&gt;N449,"违规：实际股数超过风险或金字塔上限",IF(AND(B449&gt;1,G449&gt;SUMIFS($G$2:$G$1001,$A$2:$A$1001,A449,$B$2:$B$1001,B449-1)),"违规：加仓股数须逐次不增加",IF(Q449&gt;F449,"违规：止损风险超过本次预算","通过")))))))))))))))</f>
        <v/>
      </c>
    </row>
    <row r="450" customFormat="false" ht="15" hidden="false" customHeight="false" outlineLevel="0" collapsed="false">
      <c r="A450" s="20"/>
      <c r="B450" s="21"/>
      <c r="C450" s="22"/>
      <c r="D450" s="23"/>
      <c r="E450" s="23"/>
      <c r="F450" s="23"/>
      <c r="G450" s="21"/>
      <c r="H450" s="24" t="str">
        <f aca="false">IF(OR(A450="",D450="",G450=""),"",D450*G450)</f>
        <v/>
      </c>
      <c r="I450" s="25" t="str">
        <f aca="false">IF(OR(A450="",B450=""),"",IFERROR(LOOKUP(2,1/(单次交易!$A$2:$A$201=A450),单次交易!$H$2:$H$201),0)+SUMIFS($G$2:$G$1001,$A$2:$A$1001,A450,$B$2:$B$1001,"&lt;"&amp;B450))</f>
        <v/>
      </c>
      <c r="J450" s="24" t="str">
        <f aca="false">IF(OR(A450="",B450=""),"",IFERROR(LOOKUP(2,1/(单次交易!$A$2:$A$201=A450),单次交易!$E$2:$E$201)*LOOKUP(2,1/(单次交易!$A$2:$A$201=A450),单次交易!$H$2:$H$201),0)+SUMIFS($H$2:$H$1001,$A$2:$A$1001,A450,$B$2:$B$1001,"&lt;"&amp;B450))</f>
        <v/>
      </c>
      <c r="K450" s="24" t="str">
        <f aca="false">IF(OR(E450="",I450="",J450=""),"",MAX(E450*I450-J450,0))</f>
        <v/>
      </c>
      <c r="L450" s="25" t="str">
        <f aca="false">IF(OR(D450="",E450="",F450="",D450&lt;=E450),"",FLOOR((F450+K450)/(D450-E450),100))</f>
        <v/>
      </c>
      <c r="M450" s="25" t="str">
        <f aca="false">IF(OR(A450="",B450="",L450=""),"",IF(B450=1,L450,IFERROR(SUMIFS($G$2:$G$1001,$A$2:$A$1001,A450,$B$2:$B$1001,B450-1),0)))</f>
        <v/>
      </c>
      <c r="N450" s="25" t="str">
        <f aca="false">IF(OR(L450="",M450=""),"",MIN(L450,M450))</f>
        <v/>
      </c>
      <c r="O450" s="25" t="str">
        <f aca="false">IF(OR(I450="",G450=""),"",I450+G450)</f>
        <v/>
      </c>
      <c r="P450" s="24" t="str">
        <f aca="false">IF(OR(O450="",O450=0),"",(J450+H450)/O450)</f>
        <v/>
      </c>
      <c r="Q450" s="24" t="str">
        <f aca="false">IF(OR(O450="",E450=""),"",MAX(J450+H450-E450*O450,0))</f>
        <v/>
      </c>
      <c r="R450" s="26" t="str">
        <f aca="false">IF(A450="","",IF(COUNTIF(_TradeIds,A450)=0,"违规：交易编号不存在",IF(OR(B450="",B450&lt;1,B450&gt;5,B450&lt;&gt;INT(B450)),"违规：加仓序号须为1到5的整数",IF(COUNTIFS($A$2:$A$1001,A450,$B$2:$B$1001,B450)&gt;1,"违规：同一交易的加仓序号重复",IF(OR(D450="",E450="",F450=""),"计划不完整：请填写加仓价、新止损价和风险预算",IF(OR(D450&lt;=0,E450&lt;=0,F450&lt;=0,D450&lt;=E450),"违规：加仓价必须高于新止损价，金额须大于0",IF(AND(B450&gt;1,COUNTIFS($A$2:$A$1001,A450,$B$2:$B$1001,B450-1,$G$2:$G$1001,"&gt;0")=0),"违规：须先完成上一次加仓",IF(AND(B450&gt;1,E450&lt;SUMIFS($E$2:$E$1001,$A$2:$A$1001,A450,$B$2:$B$1001,B450-1)),"违规：新止损价不得低于上一次",IF(AND(B450&gt;1,F450&gt;SUMIFS($F$2:$F$1001,$A$2:$A$1001,A450,$B$2:$B$1001,B450-1)),"违规：风险预算须逐次不增加",IF(OR(_LockStatus="已锁仓",_LockStatus="解锁信息不完整"),"违规：锁仓期间禁止加仓",IF(G450="","计划可执行：建议股数见N列",IF(OR(G450&lt;=0,G450&lt;&gt;INT(G450),MOD(G450,100)&lt;&gt;0),"违规：实际股数须为100股整数倍",IF(G450&gt;N450,"违规：实际股数超过风险或金字塔上限",IF(AND(B450&gt;1,G450&gt;SUMIFS($G$2:$G$1001,$A$2:$A$1001,A450,$B$2:$B$1001,B450-1)),"违规：加仓股数须逐次不增加",IF(Q450&gt;F450,"违规：止损风险超过本次预算","通过")))))))))))))))</f>
        <v/>
      </c>
    </row>
    <row r="451" customFormat="false" ht="15" hidden="false" customHeight="false" outlineLevel="0" collapsed="false">
      <c r="A451" s="20"/>
      <c r="B451" s="21"/>
      <c r="C451" s="22"/>
      <c r="D451" s="23"/>
      <c r="E451" s="23"/>
      <c r="F451" s="23"/>
      <c r="G451" s="21"/>
      <c r="H451" s="24" t="str">
        <f aca="false">IF(OR(A451="",D451="",G451=""),"",D451*G451)</f>
        <v/>
      </c>
      <c r="I451" s="25" t="str">
        <f aca="false">IF(OR(A451="",B451=""),"",IFERROR(LOOKUP(2,1/(单次交易!$A$2:$A$201=A451),单次交易!$H$2:$H$201),0)+SUMIFS($G$2:$G$1001,$A$2:$A$1001,A451,$B$2:$B$1001,"&lt;"&amp;B451))</f>
        <v/>
      </c>
      <c r="J451" s="24" t="str">
        <f aca="false">IF(OR(A451="",B451=""),"",IFERROR(LOOKUP(2,1/(单次交易!$A$2:$A$201=A451),单次交易!$E$2:$E$201)*LOOKUP(2,1/(单次交易!$A$2:$A$201=A451),单次交易!$H$2:$H$201),0)+SUMIFS($H$2:$H$1001,$A$2:$A$1001,A451,$B$2:$B$1001,"&lt;"&amp;B451))</f>
        <v/>
      </c>
      <c r="K451" s="24" t="str">
        <f aca="false">IF(OR(E451="",I451="",J451=""),"",MAX(E451*I451-J451,0))</f>
        <v/>
      </c>
      <c r="L451" s="25" t="str">
        <f aca="false">IF(OR(D451="",E451="",F451="",D451&lt;=E451),"",FLOOR((F451+K451)/(D451-E451),100))</f>
        <v/>
      </c>
      <c r="M451" s="25" t="str">
        <f aca="false">IF(OR(A451="",B451="",L451=""),"",IF(B451=1,L451,IFERROR(SUMIFS($G$2:$G$1001,$A$2:$A$1001,A451,$B$2:$B$1001,B451-1),0)))</f>
        <v/>
      </c>
      <c r="N451" s="25" t="str">
        <f aca="false">IF(OR(L451="",M451=""),"",MIN(L451,M451))</f>
        <v/>
      </c>
      <c r="O451" s="25" t="str">
        <f aca="false">IF(OR(I451="",G451=""),"",I451+G451)</f>
        <v/>
      </c>
      <c r="P451" s="24" t="str">
        <f aca="false">IF(OR(O451="",O451=0),"",(J451+H451)/O451)</f>
        <v/>
      </c>
      <c r="Q451" s="24" t="str">
        <f aca="false">IF(OR(O451="",E451=""),"",MAX(J451+H451-E451*O451,0))</f>
        <v/>
      </c>
      <c r="R451" s="26" t="str">
        <f aca="false">IF(A451="","",IF(COUNTIF(_TradeIds,A451)=0,"违规：交易编号不存在",IF(OR(B451="",B451&lt;1,B451&gt;5,B451&lt;&gt;INT(B451)),"违规：加仓序号须为1到5的整数",IF(COUNTIFS($A$2:$A$1001,A451,$B$2:$B$1001,B451)&gt;1,"违规：同一交易的加仓序号重复",IF(OR(D451="",E451="",F451=""),"计划不完整：请填写加仓价、新止损价和风险预算",IF(OR(D451&lt;=0,E451&lt;=0,F451&lt;=0,D451&lt;=E451),"违规：加仓价必须高于新止损价，金额须大于0",IF(AND(B451&gt;1,COUNTIFS($A$2:$A$1001,A451,$B$2:$B$1001,B451-1,$G$2:$G$1001,"&gt;0")=0),"违规：须先完成上一次加仓",IF(AND(B451&gt;1,E451&lt;SUMIFS($E$2:$E$1001,$A$2:$A$1001,A451,$B$2:$B$1001,B451-1)),"违规：新止损价不得低于上一次",IF(AND(B451&gt;1,F451&gt;SUMIFS($F$2:$F$1001,$A$2:$A$1001,A451,$B$2:$B$1001,B451-1)),"违规：风险预算须逐次不增加",IF(OR(_LockStatus="已锁仓",_LockStatus="解锁信息不完整"),"违规：锁仓期间禁止加仓",IF(G451="","计划可执行：建议股数见N列",IF(OR(G451&lt;=0,G451&lt;&gt;INT(G451),MOD(G451,100)&lt;&gt;0),"违规：实际股数须为100股整数倍",IF(G451&gt;N451,"违规：实际股数超过风险或金字塔上限",IF(AND(B451&gt;1,G451&gt;SUMIFS($G$2:$G$1001,$A$2:$A$1001,A451,$B$2:$B$1001,B451-1)),"违规：加仓股数须逐次不增加",IF(Q451&gt;F451,"违规：止损风险超过本次预算","通过")))))))))))))))</f>
        <v/>
      </c>
    </row>
    <row r="452" customFormat="false" ht="15" hidden="false" customHeight="false" outlineLevel="0" collapsed="false">
      <c r="A452" s="20"/>
      <c r="B452" s="21"/>
      <c r="C452" s="22"/>
      <c r="D452" s="23"/>
      <c r="E452" s="23"/>
      <c r="F452" s="23"/>
      <c r="G452" s="21"/>
      <c r="H452" s="24" t="str">
        <f aca="false">IF(OR(A452="",D452="",G452=""),"",D452*G452)</f>
        <v/>
      </c>
      <c r="I452" s="25" t="str">
        <f aca="false">IF(OR(A452="",B452=""),"",IFERROR(LOOKUP(2,1/(单次交易!$A$2:$A$201=A452),单次交易!$H$2:$H$201),0)+SUMIFS($G$2:$G$1001,$A$2:$A$1001,A452,$B$2:$B$1001,"&lt;"&amp;B452))</f>
        <v/>
      </c>
      <c r="J452" s="24" t="str">
        <f aca="false">IF(OR(A452="",B452=""),"",IFERROR(LOOKUP(2,1/(单次交易!$A$2:$A$201=A452),单次交易!$E$2:$E$201)*LOOKUP(2,1/(单次交易!$A$2:$A$201=A452),单次交易!$H$2:$H$201),0)+SUMIFS($H$2:$H$1001,$A$2:$A$1001,A452,$B$2:$B$1001,"&lt;"&amp;B452))</f>
        <v/>
      </c>
      <c r="K452" s="24" t="str">
        <f aca="false">IF(OR(E452="",I452="",J452=""),"",MAX(E452*I452-J452,0))</f>
        <v/>
      </c>
      <c r="L452" s="25" t="str">
        <f aca="false">IF(OR(D452="",E452="",F452="",D452&lt;=E452),"",FLOOR((F452+K452)/(D452-E452),100))</f>
        <v/>
      </c>
      <c r="M452" s="25" t="str">
        <f aca="false">IF(OR(A452="",B452="",L452=""),"",IF(B452=1,L452,IFERROR(SUMIFS($G$2:$G$1001,$A$2:$A$1001,A452,$B$2:$B$1001,B452-1),0)))</f>
        <v/>
      </c>
      <c r="N452" s="25" t="str">
        <f aca="false">IF(OR(L452="",M452=""),"",MIN(L452,M452))</f>
        <v/>
      </c>
      <c r="O452" s="25" t="str">
        <f aca="false">IF(OR(I452="",G452=""),"",I452+G452)</f>
        <v/>
      </c>
      <c r="P452" s="24" t="str">
        <f aca="false">IF(OR(O452="",O452=0),"",(J452+H452)/O452)</f>
        <v/>
      </c>
      <c r="Q452" s="24" t="str">
        <f aca="false">IF(OR(O452="",E452=""),"",MAX(J452+H452-E452*O452,0))</f>
        <v/>
      </c>
      <c r="R452" s="26" t="str">
        <f aca="false">IF(A452="","",IF(COUNTIF(_TradeIds,A452)=0,"违规：交易编号不存在",IF(OR(B452="",B452&lt;1,B452&gt;5,B452&lt;&gt;INT(B452)),"违规：加仓序号须为1到5的整数",IF(COUNTIFS($A$2:$A$1001,A452,$B$2:$B$1001,B452)&gt;1,"违规：同一交易的加仓序号重复",IF(OR(D452="",E452="",F452=""),"计划不完整：请填写加仓价、新止损价和风险预算",IF(OR(D452&lt;=0,E452&lt;=0,F452&lt;=0,D452&lt;=E452),"违规：加仓价必须高于新止损价，金额须大于0",IF(AND(B452&gt;1,COUNTIFS($A$2:$A$1001,A452,$B$2:$B$1001,B452-1,$G$2:$G$1001,"&gt;0")=0),"违规：须先完成上一次加仓",IF(AND(B452&gt;1,E452&lt;SUMIFS($E$2:$E$1001,$A$2:$A$1001,A452,$B$2:$B$1001,B452-1)),"违规：新止损价不得低于上一次",IF(AND(B452&gt;1,F452&gt;SUMIFS($F$2:$F$1001,$A$2:$A$1001,A452,$B$2:$B$1001,B452-1)),"违规：风险预算须逐次不增加",IF(OR(_LockStatus="已锁仓",_LockStatus="解锁信息不完整"),"违规：锁仓期间禁止加仓",IF(G452="","计划可执行：建议股数见N列",IF(OR(G452&lt;=0,G452&lt;&gt;INT(G452),MOD(G452,100)&lt;&gt;0),"违规：实际股数须为100股整数倍",IF(G452&gt;N452,"违规：实际股数超过风险或金字塔上限",IF(AND(B452&gt;1,G452&gt;SUMIFS($G$2:$G$1001,$A$2:$A$1001,A452,$B$2:$B$1001,B452-1)),"违规：加仓股数须逐次不增加",IF(Q452&gt;F452,"违规：止损风险超过本次预算","通过")))))))))))))))</f>
        <v/>
      </c>
    </row>
    <row r="453" customFormat="false" ht="15" hidden="false" customHeight="false" outlineLevel="0" collapsed="false">
      <c r="A453" s="20"/>
      <c r="B453" s="21"/>
      <c r="C453" s="22"/>
      <c r="D453" s="23"/>
      <c r="E453" s="23"/>
      <c r="F453" s="23"/>
      <c r="G453" s="21"/>
      <c r="H453" s="24" t="str">
        <f aca="false">IF(OR(A453="",D453="",G453=""),"",D453*G453)</f>
        <v/>
      </c>
      <c r="I453" s="25" t="str">
        <f aca="false">IF(OR(A453="",B453=""),"",IFERROR(LOOKUP(2,1/(单次交易!$A$2:$A$201=A453),单次交易!$H$2:$H$201),0)+SUMIFS($G$2:$G$1001,$A$2:$A$1001,A453,$B$2:$B$1001,"&lt;"&amp;B453))</f>
        <v/>
      </c>
      <c r="J453" s="24" t="str">
        <f aca="false">IF(OR(A453="",B453=""),"",IFERROR(LOOKUP(2,1/(单次交易!$A$2:$A$201=A453),单次交易!$E$2:$E$201)*LOOKUP(2,1/(单次交易!$A$2:$A$201=A453),单次交易!$H$2:$H$201),0)+SUMIFS($H$2:$H$1001,$A$2:$A$1001,A453,$B$2:$B$1001,"&lt;"&amp;B453))</f>
        <v/>
      </c>
      <c r="K453" s="24" t="str">
        <f aca="false">IF(OR(E453="",I453="",J453=""),"",MAX(E453*I453-J453,0))</f>
        <v/>
      </c>
      <c r="L453" s="25" t="str">
        <f aca="false">IF(OR(D453="",E453="",F453="",D453&lt;=E453),"",FLOOR((F453+K453)/(D453-E453),100))</f>
        <v/>
      </c>
      <c r="M453" s="25" t="str">
        <f aca="false">IF(OR(A453="",B453="",L453=""),"",IF(B453=1,L453,IFERROR(SUMIFS($G$2:$G$1001,$A$2:$A$1001,A453,$B$2:$B$1001,B453-1),0)))</f>
        <v/>
      </c>
      <c r="N453" s="25" t="str">
        <f aca="false">IF(OR(L453="",M453=""),"",MIN(L453,M453))</f>
        <v/>
      </c>
      <c r="O453" s="25" t="str">
        <f aca="false">IF(OR(I453="",G453=""),"",I453+G453)</f>
        <v/>
      </c>
      <c r="P453" s="24" t="str">
        <f aca="false">IF(OR(O453="",O453=0),"",(J453+H453)/O453)</f>
        <v/>
      </c>
      <c r="Q453" s="24" t="str">
        <f aca="false">IF(OR(O453="",E453=""),"",MAX(J453+H453-E453*O453,0))</f>
        <v/>
      </c>
      <c r="R453" s="26" t="str">
        <f aca="false">IF(A453="","",IF(COUNTIF(_TradeIds,A453)=0,"违规：交易编号不存在",IF(OR(B453="",B453&lt;1,B453&gt;5,B453&lt;&gt;INT(B453)),"违规：加仓序号须为1到5的整数",IF(COUNTIFS($A$2:$A$1001,A453,$B$2:$B$1001,B453)&gt;1,"违规：同一交易的加仓序号重复",IF(OR(D453="",E453="",F453=""),"计划不完整：请填写加仓价、新止损价和风险预算",IF(OR(D453&lt;=0,E453&lt;=0,F453&lt;=0,D453&lt;=E453),"违规：加仓价必须高于新止损价，金额须大于0",IF(AND(B453&gt;1,COUNTIFS($A$2:$A$1001,A453,$B$2:$B$1001,B453-1,$G$2:$G$1001,"&gt;0")=0),"违规：须先完成上一次加仓",IF(AND(B453&gt;1,E453&lt;SUMIFS($E$2:$E$1001,$A$2:$A$1001,A453,$B$2:$B$1001,B453-1)),"违规：新止损价不得低于上一次",IF(AND(B453&gt;1,F453&gt;SUMIFS($F$2:$F$1001,$A$2:$A$1001,A453,$B$2:$B$1001,B453-1)),"违规：风险预算须逐次不增加",IF(OR(_LockStatus="已锁仓",_LockStatus="解锁信息不完整"),"违规：锁仓期间禁止加仓",IF(G453="","计划可执行：建议股数见N列",IF(OR(G453&lt;=0,G453&lt;&gt;INT(G453),MOD(G453,100)&lt;&gt;0),"违规：实际股数须为100股整数倍",IF(G453&gt;N453,"违规：实际股数超过风险或金字塔上限",IF(AND(B453&gt;1,G453&gt;SUMIFS($G$2:$G$1001,$A$2:$A$1001,A453,$B$2:$B$1001,B453-1)),"违规：加仓股数须逐次不增加",IF(Q453&gt;F453,"违规：止损风险超过本次预算","通过")))))))))))))))</f>
        <v/>
      </c>
    </row>
    <row r="454" customFormat="false" ht="15" hidden="false" customHeight="false" outlineLevel="0" collapsed="false">
      <c r="A454" s="20"/>
      <c r="B454" s="21"/>
      <c r="C454" s="22"/>
      <c r="D454" s="23"/>
      <c r="E454" s="23"/>
      <c r="F454" s="23"/>
      <c r="G454" s="21"/>
      <c r="H454" s="24" t="str">
        <f aca="false">IF(OR(A454="",D454="",G454=""),"",D454*G454)</f>
        <v/>
      </c>
      <c r="I454" s="25" t="str">
        <f aca="false">IF(OR(A454="",B454=""),"",IFERROR(LOOKUP(2,1/(单次交易!$A$2:$A$201=A454),单次交易!$H$2:$H$201),0)+SUMIFS($G$2:$G$1001,$A$2:$A$1001,A454,$B$2:$B$1001,"&lt;"&amp;B454))</f>
        <v/>
      </c>
      <c r="J454" s="24" t="str">
        <f aca="false">IF(OR(A454="",B454=""),"",IFERROR(LOOKUP(2,1/(单次交易!$A$2:$A$201=A454),单次交易!$E$2:$E$201)*LOOKUP(2,1/(单次交易!$A$2:$A$201=A454),单次交易!$H$2:$H$201),0)+SUMIFS($H$2:$H$1001,$A$2:$A$1001,A454,$B$2:$B$1001,"&lt;"&amp;B454))</f>
        <v/>
      </c>
      <c r="K454" s="24" t="str">
        <f aca="false">IF(OR(E454="",I454="",J454=""),"",MAX(E454*I454-J454,0))</f>
        <v/>
      </c>
      <c r="L454" s="25" t="str">
        <f aca="false">IF(OR(D454="",E454="",F454="",D454&lt;=E454),"",FLOOR((F454+K454)/(D454-E454),100))</f>
        <v/>
      </c>
      <c r="M454" s="25" t="str">
        <f aca="false">IF(OR(A454="",B454="",L454=""),"",IF(B454=1,L454,IFERROR(SUMIFS($G$2:$G$1001,$A$2:$A$1001,A454,$B$2:$B$1001,B454-1),0)))</f>
        <v/>
      </c>
      <c r="N454" s="25" t="str">
        <f aca="false">IF(OR(L454="",M454=""),"",MIN(L454,M454))</f>
        <v/>
      </c>
      <c r="O454" s="25" t="str">
        <f aca="false">IF(OR(I454="",G454=""),"",I454+G454)</f>
        <v/>
      </c>
      <c r="P454" s="24" t="str">
        <f aca="false">IF(OR(O454="",O454=0),"",(J454+H454)/O454)</f>
        <v/>
      </c>
      <c r="Q454" s="24" t="str">
        <f aca="false">IF(OR(O454="",E454=""),"",MAX(J454+H454-E454*O454,0))</f>
        <v/>
      </c>
      <c r="R454" s="26" t="str">
        <f aca="false">IF(A454="","",IF(COUNTIF(_TradeIds,A454)=0,"违规：交易编号不存在",IF(OR(B454="",B454&lt;1,B454&gt;5,B454&lt;&gt;INT(B454)),"违规：加仓序号须为1到5的整数",IF(COUNTIFS($A$2:$A$1001,A454,$B$2:$B$1001,B454)&gt;1,"违规：同一交易的加仓序号重复",IF(OR(D454="",E454="",F454=""),"计划不完整：请填写加仓价、新止损价和风险预算",IF(OR(D454&lt;=0,E454&lt;=0,F454&lt;=0,D454&lt;=E454),"违规：加仓价必须高于新止损价，金额须大于0",IF(AND(B454&gt;1,COUNTIFS($A$2:$A$1001,A454,$B$2:$B$1001,B454-1,$G$2:$G$1001,"&gt;0")=0),"违规：须先完成上一次加仓",IF(AND(B454&gt;1,E454&lt;SUMIFS($E$2:$E$1001,$A$2:$A$1001,A454,$B$2:$B$1001,B454-1)),"违规：新止损价不得低于上一次",IF(AND(B454&gt;1,F454&gt;SUMIFS($F$2:$F$1001,$A$2:$A$1001,A454,$B$2:$B$1001,B454-1)),"违规：风险预算须逐次不增加",IF(OR(_LockStatus="已锁仓",_LockStatus="解锁信息不完整"),"违规：锁仓期间禁止加仓",IF(G454="","计划可执行：建议股数见N列",IF(OR(G454&lt;=0,G454&lt;&gt;INT(G454),MOD(G454,100)&lt;&gt;0),"违规：实际股数须为100股整数倍",IF(G454&gt;N454,"违规：实际股数超过风险或金字塔上限",IF(AND(B454&gt;1,G454&gt;SUMIFS($G$2:$G$1001,$A$2:$A$1001,A454,$B$2:$B$1001,B454-1)),"违规：加仓股数须逐次不增加",IF(Q454&gt;F454,"违规：止损风险超过本次预算","通过")))))))))))))))</f>
        <v/>
      </c>
    </row>
    <row r="455" customFormat="false" ht="15" hidden="false" customHeight="false" outlineLevel="0" collapsed="false">
      <c r="A455" s="20"/>
      <c r="B455" s="21"/>
      <c r="C455" s="22"/>
      <c r="D455" s="23"/>
      <c r="E455" s="23"/>
      <c r="F455" s="23"/>
      <c r="G455" s="21"/>
      <c r="H455" s="24" t="str">
        <f aca="false">IF(OR(A455="",D455="",G455=""),"",D455*G455)</f>
        <v/>
      </c>
      <c r="I455" s="25" t="str">
        <f aca="false">IF(OR(A455="",B455=""),"",IFERROR(LOOKUP(2,1/(单次交易!$A$2:$A$201=A455),单次交易!$H$2:$H$201),0)+SUMIFS($G$2:$G$1001,$A$2:$A$1001,A455,$B$2:$B$1001,"&lt;"&amp;B455))</f>
        <v/>
      </c>
      <c r="J455" s="24" t="str">
        <f aca="false">IF(OR(A455="",B455=""),"",IFERROR(LOOKUP(2,1/(单次交易!$A$2:$A$201=A455),单次交易!$E$2:$E$201)*LOOKUP(2,1/(单次交易!$A$2:$A$201=A455),单次交易!$H$2:$H$201),0)+SUMIFS($H$2:$H$1001,$A$2:$A$1001,A455,$B$2:$B$1001,"&lt;"&amp;B455))</f>
        <v/>
      </c>
      <c r="K455" s="24" t="str">
        <f aca="false">IF(OR(E455="",I455="",J455=""),"",MAX(E455*I455-J455,0))</f>
        <v/>
      </c>
      <c r="L455" s="25" t="str">
        <f aca="false">IF(OR(D455="",E455="",F455="",D455&lt;=E455),"",FLOOR((F455+K455)/(D455-E455),100))</f>
        <v/>
      </c>
      <c r="M455" s="25" t="str">
        <f aca="false">IF(OR(A455="",B455="",L455=""),"",IF(B455=1,L455,IFERROR(SUMIFS($G$2:$G$1001,$A$2:$A$1001,A455,$B$2:$B$1001,B455-1),0)))</f>
        <v/>
      </c>
      <c r="N455" s="25" t="str">
        <f aca="false">IF(OR(L455="",M455=""),"",MIN(L455,M455))</f>
        <v/>
      </c>
      <c r="O455" s="25" t="str">
        <f aca="false">IF(OR(I455="",G455=""),"",I455+G455)</f>
        <v/>
      </c>
      <c r="P455" s="24" t="str">
        <f aca="false">IF(OR(O455="",O455=0),"",(J455+H455)/O455)</f>
        <v/>
      </c>
      <c r="Q455" s="24" t="str">
        <f aca="false">IF(OR(O455="",E455=""),"",MAX(J455+H455-E455*O455,0))</f>
        <v/>
      </c>
      <c r="R455" s="26" t="str">
        <f aca="false">IF(A455="","",IF(COUNTIF(_TradeIds,A455)=0,"违规：交易编号不存在",IF(OR(B455="",B455&lt;1,B455&gt;5,B455&lt;&gt;INT(B455)),"违规：加仓序号须为1到5的整数",IF(COUNTIFS($A$2:$A$1001,A455,$B$2:$B$1001,B455)&gt;1,"违规：同一交易的加仓序号重复",IF(OR(D455="",E455="",F455=""),"计划不完整：请填写加仓价、新止损价和风险预算",IF(OR(D455&lt;=0,E455&lt;=0,F455&lt;=0,D455&lt;=E455),"违规：加仓价必须高于新止损价，金额须大于0",IF(AND(B455&gt;1,COUNTIFS($A$2:$A$1001,A455,$B$2:$B$1001,B455-1,$G$2:$G$1001,"&gt;0")=0),"违规：须先完成上一次加仓",IF(AND(B455&gt;1,E455&lt;SUMIFS($E$2:$E$1001,$A$2:$A$1001,A455,$B$2:$B$1001,B455-1)),"违规：新止损价不得低于上一次",IF(AND(B455&gt;1,F455&gt;SUMIFS($F$2:$F$1001,$A$2:$A$1001,A455,$B$2:$B$1001,B455-1)),"违规：风险预算须逐次不增加",IF(OR(_LockStatus="已锁仓",_LockStatus="解锁信息不完整"),"违规：锁仓期间禁止加仓",IF(G455="","计划可执行：建议股数见N列",IF(OR(G455&lt;=0,G455&lt;&gt;INT(G455),MOD(G455,100)&lt;&gt;0),"违规：实际股数须为100股整数倍",IF(G455&gt;N455,"违规：实际股数超过风险或金字塔上限",IF(AND(B455&gt;1,G455&gt;SUMIFS($G$2:$G$1001,$A$2:$A$1001,A455,$B$2:$B$1001,B455-1)),"违规：加仓股数须逐次不增加",IF(Q455&gt;F455,"违规：止损风险超过本次预算","通过")))))))))))))))</f>
        <v/>
      </c>
    </row>
    <row r="456" customFormat="false" ht="15" hidden="false" customHeight="false" outlineLevel="0" collapsed="false">
      <c r="A456" s="20"/>
      <c r="B456" s="21"/>
      <c r="C456" s="22"/>
      <c r="D456" s="23"/>
      <c r="E456" s="23"/>
      <c r="F456" s="23"/>
      <c r="G456" s="21"/>
      <c r="H456" s="24" t="str">
        <f aca="false">IF(OR(A456="",D456="",G456=""),"",D456*G456)</f>
        <v/>
      </c>
      <c r="I456" s="25" t="str">
        <f aca="false">IF(OR(A456="",B456=""),"",IFERROR(LOOKUP(2,1/(单次交易!$A$2:$A$201=A456),单次交易!$H$2:$H$201),0)+SUMIFS($G$2:$G$1001,$A$2:$A$1001,A456,$B$2:$B$1001,"&lt;"&amp;B456))</f>
        <v/>
      </c>
      <c r="J456" s="24" t="str">
        <f aca="false">IF(OR(A456="",B456=""),"",IFERROR(LOOKUP(2,1/(单次交易!$A$2:$A$201=A456),单次交易!$E$2:$E$201)*LOOKUP(2,1/(单次交易!$A$2:$A$201=A456),单次交易!$H$2:$H$201),0)+SUMIFS($H$2:$H$1001,$A$2:$A$1001,A456,$B$2:$B$1001,"&lt;"&amp;B456))</f>
        <v/>
      </c>
      <c r="K456" s="24" t="str">
        <f aca="false">IF(OR(E456="",I456="",J456=""),"",MAX(E456*I456-J456,0))</f>
        <v/>
      </c>
      <c r="L456" s="25" t="str">
        <f aca="false">IF(OR(D456="",E456="",F456="",D456&lt;=E456),"",FLOOR((F456+K456)/(D456-E456),100))</f>
        <v/>
      </c>
      <c r="M456" s="25" t="str">
        <f aca="false">IF(OR(A456="",B456="",L456=""),"",IF(B456=1,L456,IFERROR(SUMIFS($G$2:$G$1001,$A$2:$A$1001,A456,$B$2:$B$1001,B456-1),0)))</f>
        <v/>
      </c>
      <c r="N456" s="25" t="str">
        <f aca="false">IF(OR(L456="",M456=""),"",MIN(L456,M456))</f>
        <v/>
      </c>
      <c r="O456" s="25" t="str">
        <f aca="false">IF(OR(I456="",G456=""),"",I456+G456)</f>
        <v/>
      </c>
      <c r="P456" s="24" t="str">
        <f aca="false">IF(OR(O456="",O456=0),"",(J456+H456)/O456)</f>
        <v/>
      </c>
      <c r="Q456" s="24" t="str">
        <f aca="false">IF(OR(O456="",E456=""),"",MAX(J456+H456-E456*O456,0))</f>
        <v/>
      </c>
      <c r="R456" s="26" t="str">
        <f aca="false">IF(A456="","",IF(COUNTIF(_TradeIds,A456)=0,"违规：交易编号不存在",IF(OR(B456="",B456&lt;1,B456&gt;5,B456&lt;&gt;INT(B456)),"违规：加仓序号须为1到5的整数",IF(COUNTIFS($A$2:$A$1001,A456,$B$2:$B$1001,B456)&gt;1,"违规：同一交易的加仓序号重复",IF(OR(D456="",E456="",F456=""),"计划不完整：请填写加仓价、新止损价和风险预算",IF(OR(D456&lt;=0,E456&lt;=0,F456&lt;=0,D456&lt;=E456),"违规：加仓价必须高于新止损价，金额须大于0",IF(AND(B456&gt;1,COUNTIFS($A$2:$A$1001,A456,$B$2:$B$1001,B456-1,$G$2:$G$1001,"&gt;0")=0),"违规：须先完成上一次加仓",IF(AND(B456&gt;1,E456&lt;SUMIFS($E$2:$E$1001,$A$2:$A$1001,A456,$B$2:$B$1001,B456-1)),"违规：新止损价不得低于上一次",IF(AND(B456&gt;1,F456&gt;SUMIFS($F$2:$F$1001,$A$2:$A$1001,A456,$B$2:$B$1001,B456-1)),"违规：风险预算须逐次不增加",IF(OR(_LockStatus="已锁仓",_LockStatus="解锁信息不完整"),"违规：锁仓期间禁止加仓",IF(G456="","计划可执行：建议股数见N列",IF(OR(G456&lt;=0,G456&lt;&gt;INT(G456),MOD(G456,100)&lt;&gt;0),"违规：实际股数须为100股整数倍",IF(G456&gt;N456,"违规：实际股数超过风险或金字塔上限",IF(AND(B456&gt;1,G456&gt;SUMIFS($G$2:$G$1001,$A$2:$A$1001,A456,$B$2:$B$1001,B456-1)),"违规：加仓股数须逐次不增加",IF(Q456&gt;F456,"违规：止损风险超过本次预算","通过")))))))))))))))</f>
        <v/>
      </c>
    </row>
    <row r="457" customFormat="false" ht="15" hidden="false" customHeight="false" outlineLevel="0" collapsed="false">
      <c r="A457" s="20"/>
      <c r="B457" s="21"/>
      <c r="C457" s="22"/>
      <c r="D457" s="23"/>
      <c r="E457" s="23"/>
      <c r="F457" s="23"/>
      <c r="G457" s="21"/>
      <c r="H457" s="24" t="str">
        <f aca="false">IF(OR(A457="",D457="",G457=""),"",D457*G457)</f>
        <v/>
      </c>
      <c r="I457" s="25" t="str">
        <f aca="false">IF(OR(A457="",B457=""),"",IFERROR(LOOKUP(2,1/(单次交易!$A$2:$A$201=A457),单次交易!$H$2:$H$201),0)+SUMIFS($G$2:$G$1001,$A$2:$A$1001,A457,$B$2:$B$1001,"&lt;"&amp;B457))</f>
        <v/>
      </c>
      <c r="J457" s="24" t="str">
        <f aca="false">IF(OR(A457="",B457=""),"",IFERROR(LOOKUP(2,1/(单次交易!$A$2:$A$201=A457),单次交易!$E$2:$E$201)*LOOKUP(2,1/(单次交易!$A$2:$A$201=A457),单次交易!$H$2:$H$201),0)+SUMIFS($H$2:$H$1001,$A$2:$A$1001,A457,$B$2:$B$1001,"&lt;"&amp;B457))</f>
        <v/>
      </c>
      <c r="K457" s="24" t="str">
        <f aca="false">IF(OR(E457="",I457="",J457=""),"",MAX(E457*I457-J457,0))</f>
        <v/>
      </c>
      <c r="L457" s="25" t="str">
        <f aca="false">IF(OR(D457="",E457="",F457="",D457&lt;=E457),"",FLOOR((F457+K457)/(D457-E457),100))</f>
        <v/>
      </c>
      <c r="M457" s="25" t="str">
        <f aca="false">IF(OR(A457="",B457="",L457=""),"",IF(B457=1,L457,IFERROR(SUMIFS($G$2:$G$1001,$A$2:$A$1001,A457,$B$2:$B$1001,B457-1),0)))</f>
        <v/>
      </c>
      <c r="N457" s="25" t="str">
        <f aca="false">IF(OR(L457="",M457=""),"",MIN(L457,M457))</f>
        <v/>
      </c>
      <c r="O457" s="25" t="str">
        <f aca="false">IF(OR(I457="",G457=""),"",I457+G457)</f>
        <v/>
      </c>
      <c r="P457" s="24" t="str">
        <f aca="false">IF(OR(O457="",O457=0),"",(J457+H457)/O457)</f>
        <v/>
      </c>
      <c r="Q457" s="24" t="str">
        <f aca="false">IF(OR(O457="",E457=""),"",MAX(J457+H457-E457*O457,0))</f>
        <v/>
      </c>
      <c r="R457" s="26" t="str">
        <f aca="false">IF(A457="","",IF(COUNTIF(_TradeIds,A457)=0,"违规：交易编号不存在",IF(OR(B457="",B457&lt;1,B457&gt;5,B457&lt;&gt;INT(B457)),"违规：加仓序号须为1到5的整数",IF(COUNTIFS($A$2:$A$1001,A457,$B$2:$B$1001,B457)&gt;1,"违规：同一交易的加仓序号重复",IF(OR(D457="",E457="",F457=""),"计划不完整：请填写加仓价、新止损价和风险预算",IF(OR(D457&lt;=0,E457&lt;=0,F457&lt;=0,D457&lt;=E457),"违规：加仓价必须高于新止损价，金额须大于0",IF(AND(B457&gt;1,COUNTIFS($A$2:$A$1001,A457,$B$2:$B$1001,B457-1,$G$2:$G$1001,"&gt;0")=0),"违规：须先完成上一次加仓",IF(AND(B457&gt;1,E457&lt;SUMIFS($E$2:$E$1001,$A$2:$A$1001,A457,$B$2:$B$1001,B457-1)),"违规：新止损价不得低于上一次",IF(AND(B457&gt;1,F457&gt;SUMIFS($F$2:$F$1001,$A$2:$A$1001,A457,$B$2:$B$1001,B457-1)),"违规：风险预算须逐次不增加",IF(OR(_LockStatus="已锁仓",_LockStatus="解锁信息不完整"),"违规：锁仓期间禁止加仓",IF(G457="","计划可执行：建议股数见N列",IF(OR(G457&lt;=0,G457&lt;&gt;INT(G457),MOD(G457,100)&lt;&gt;0),"违规：实际股数须为100股整数倍",IF(G457&gt;N457,"违规：实际股数超过风险或金字塔上限",IF(AND(B457&gt;1,G457&gt;SUMIFS($G$2:$G$1001,$A$2:$A$1001,A457,$B$2:$B$1001,B457-1)),"违规：加仓股数须逐次不增加",IF(Q457&gt;F457,"违规：止损风险超过本次预算","通过")))))))))))))))</f>
        <v/>
      </c>
    </row>
    <row r="458" customFormat="false" ht="15" hidden="false" customHeight="false" outlineLevel="0" collapsed="false">
      <c r="A458" s="20"/>
      <c r="B458" s="21"/>
      <c r="C458" s="22"/>
      <c r="D458" s="23"/>
      <c r="E458" s="23"/>
      <c r="F458" s="23"/>
      <c r="G458" s="21"/>
      <c r="H458" s="24" t="str">
        <f aca="false">IF(OR(A458="",D458="",G458=""),"",D458*G458)</f>
        <v/>
      </c>
      <c r="I458" s="25" t="str">
        <f aca="false">IF(OR(A458="",B458=""),"",IFERROR(LOOKUP(2,1/(单次交易!$A$2:$A$201=A458),单次交易!$H$2:$H$201),0)+SUMIFS($G$2:$G$1001,$A$2:$A$1001,A458,$B$2:$B$1001,"&lt;"&amp;B458))</f>
        <v/>
      </c>
      <c r="J458" s="24" t="str">
        <f aca="false">IF(OR(A458="",B458=""),"",IFERROR(LOOKUP(2,1/(单次交易!$A$2:$A$201=A458),单次交易!$E$2:$E$201)*LOOKUP(2,1/(单次交易!$A$2:$A$201=A458),单次交易!$H$2:$H$201),0)+SUMIFS($H$2:$H$1001,$A$2:$A$1001,A458,$B$2:$B$1001,"&lt;"&amp;B458))</f>
        <v/>
      </c>
      <c r="K458" s="24" t="str">
        <f aca="false">IF(OR(E458="",I458="",J458=""),"",MAX(E458*I458-J458,0))</f>
        <v/>
      </c>
      <c r="L458" s="25" t="str">
        <f aca="false">IF(OR(D458="",E458="",F458="",D458&lt;=E458),"",FLOOR((F458+K458)/(D458-E458),100))</f>
        <v/>
      </c>
      <c r="M458" s="25" t="str">
        <f aca="false">IF(OR(A458="",B458="",L458=""),"",IF(B458=1,L458,IFERROR(SUMIFS($G$2:$G$1001,$A$2:$A$1001,A458,$B$2:$B$1001,B458-1),0)))</f>
        <v/>
      </c>
      <c r="N458" s="25" t="str">
        <f aca="false">IF(OR(L458="",M458=""),"",MIN(L458,M458))</f>
        <v/>
      </c>
      <c r="O458" s="25" t="str">
        <f aca="false">IF(OR(I458="",G458=""),"",I458+G458)</f>
        <v/>
      </c>
      <c r="P458" s="24" t="str">
        <f aca="false">IF(OR(O458="",O458=0),"",(J458+H458)/O458)</f>
        <v/>
      </c>
      <c r="Q458" s="24" t="str">
        <f aca="false">IF(OR(O458="",E458=""),"",MAX(J458+H458-E458*O458,0))</f>
        <v/>
      </c>
      <c r="R458" s="26" t="str">
        <f aca="false">IF(A458="","",IF(COUNTIF(_TradeIds,A458)=0,"违规：交易编号不存在",IF(OR(B458="",B458&lt;1,B458&gt;5,B458&lt;&gt;INT(B458)),"违规：加仓序号须为1到5的整数",IF(COUNTIFS($A$2:$A$1001,A458,$B$2:$B$1001,B458)&gt;1,"违规：同一交易的加仓序号重复",IF(OR(D458="",E458="",F458=""),"计划不完整：请填写加仓价、新止损价和风险预算",IF(OR(D458&lt;=0,E458&lt;=0,F458&lt;=0,D458&lt;=E458),"违规：加仓价必须高于新止损价，金额须大于0",IF(AND(B458&gt;1,COUNTIFS($A$2:$A$1001,A458,$B$2:$B$1001,B458-1,$G$2:$G$1001,"&gt;0")=0),"违规：须先完成上一次加仓",IF(AND(B458&gt;1,E458&lt;SUMIFS($E$2:$E$1001,$A$2:$A$1001,A458,$B$2:$B$1001,B458-1)),"违规：新止损价不得低于上一次",IF(AND(B458&gt;1,F458&gt;SUMIFS($F$2:$F$1001,$A$2:$A$1001,A458,$B$2:$B$1001,B458-1)),"违规：风险预算须逐次不增加",IF(OR(_LockStatus="已锁仓",_LockStatus="解锁信息不完整"),"违规：锁仓期间禁止加仓",IF(G458="","计划可执行：建议股数见N列",IF(OR(G458&lt;=0,G458&lt;&gt;INT(G458),MOD(G458,100)&lt;&gt;0),"违规：实际股数须为100股整数倍",IF(G458&gt;N458,"违规：实际股数超过风险或金字塔上限",IF(AND(B458&gt;1,G458&gt;SUMIFS($G$2:$G$1001,$A$2:$A$1001,A458,$B$2:$B$1001,B458-1)),"违规：加仓股数须逐次不增加",IF(Q458&gt;F458,"违规：止损风险超过本次预算","通过")))))))))))))))</f>
        <v/>
      </c>
    </row>
    <row r="459" customFormat="false" ht="15" hidden="false" customHeight="false" outlineLevel="0" collapsed="false">
      <c r="A459" s="20"/>
      <c r="B459" s="21"/>
      <c r="C459" s="22"/>
      <c r="D459" s="23"/>
      <c r="E459" s="23"/>
      <c r="F459" s="23"/>
      <c r="G459" s="21"/>
      <c r="H459" s="24" t="str">
        <f aca="false">IF(OR(A459="",D459="",G459=""),"",D459*G459)</f>
        <v/>
      </c>
      <c r="I459" s="25" t="str">
        <f aca="false">IF(OR(A459="",B459=""),"",IFERROR(LOOKUP(2,1/(单次交易!$A$2:$A$201=A459),单次交易!$H$2:$H$201),0)+SUMIFS($G$2:$G$1001,$A$2:$A$1001,A459,$B$2:$B$1001,"&lt;"&amp;B459))</f>
        <v/>
      </c>
      <c r="J459" s="24" t="str">
        <f aca="false">IF(OR(A459="",B459=""),"",IFERROR(LOOKUP(2,1/(单次交易!$A$2:$A$201=A459),单次交易!$E$2:$E$201)*LOOKUP(2,1/(单次交易!$A$2:$A$201=A459),单次交易!$H$2:$H$201),0)+SUMIFS($H$2:$H$1001,$A$2:$A$1001,A459,$B$2:$B$1001,"&lt;"&amp;B459))</f>
        <v/>
      </c>
      <c r="K459" s="24" t="str">
        <f aca="false">IF(OR(E459="",I459="",J459=""),"",MAX(E459*I459-J459,0))</f>
        <v/>
      </c>
      <c r="L459" s="25" t="str">
        <f aca="false">IF(OR(D459="",E459="",F459="",D459&lt;=E459),"",FLOOR((F459+K459)/(D459-E459),100))</f>
        <v/>
      </c>
      <c r="M459" s="25" t="str">
        <f aca="false">IF(OR(A459="",B459="",L459=""),"",IF(B459=1,L459,IFERROR(SUMIFS($G$2:$G$1001,$A$2:$A$1001,A459,$B$2:$B$1001,B459-1),0)))</f>
        <v/>
      </c>
      <c r="N459" s="25" t="str">
        <f aca="false">IF(OR(L459="",M459=""),"",MIN(L459,M459))</f>
        <v/>
      </c>
      <c r="O459" s="25" t="str">
        <f aca="false">IF(OR(I459="",G459=""),"",I459+G459)</f>
        <v/>
      </c>
      <c r="P459" s="24" t="str">
        <f aca="false">IF(OR(O459="",O459=0),"",(J459+H459)/O459)</f>
        <v/>
      </c>
      <c r="Q459" s="24" t="str">
        <f aca="false">IF(OR(O459="",E459=""),"",MAX(J459+H459-E459*O459,0))</f>
        <v/>
      </c>
      <c r="R459" s="26" t="str">
        <f aca="false">IF(A459="","",IF(COUNTIF(_TradeIds,A459)=0,"违规：交易编号不存在",IF(OR(B459="",B459&lt;1,B459&gt;5,B459&lt;&gt;INT(B459)),"违规：加仓序号须为1到5的整数",IF(COUNTIFS($A$2:$A$1001,A459,$B$2:$B$1001,B459)&gt;1,"违规：同一交易的加仓序号重复",IF(OR(D459="",E459="",F459=""),"计划不完整：请填写加仓价、新止损价和风险预算",IF(OR(D459&lt;=0,E459&lt;=0,F459&lt;=0,D459&lt;=E459),"违规：加仓价必须高于新止损价，金额须大于0",IF(AND(B459&gt;1,COUNTIFS($A$2:$A$1001,A459,$B$2:$B$1001,B459-1,$G$2:$G$1001,"&gt;0")=0),"违规：须先完成上一次加仓",IF(AND(B459&gt;1,E459&lt;SUMIFS($E$2:$E$1001,$A$2:$A$1001,A459,$B$2:$B$1001,B459-1)),"违规：新止损价不得低于上一次",IF(AND(B459&gt;1,F459&gt;SUMIFS($F$2:$F$1001,$A$2:$A$1001,A459,$B$2:$B$1001,B459-1)),"违规：风险预算须逐次不增加",IF(OR(_LockStatus="已锁仓",_LockStatus="解锁信息不完整"),"违规：锁仓期间禁止加仓",IF(G459="","计划可执行：建议股数见N列",IF(OR(G459&lt;=0,G459&lt;&gt;INT(G459),MOD(G459,100)&lt;&gt;0),"违规：实际股数须为100股整数倍",IF(G459&gt;N459,"违规：实际股数超过风险或金字塔上限",IF(AND(B459&gt;1,G459&gt;SUMIFS($G$2:$G$1001,$A$2:$A$1001,A459,$B$2:$B$1001,B459-1)),"违规：加仓股数须逐次不增加",IF(Q459&gt;F459,"违规：止损风险超过本次预算","通过")))))))))))))))</f>
        <v/>
      </c>
    </row>
    <row r="460" customFormat="false" ht="15" hidden="false" customHeight="false" outlineLevel="0" collapsed="false">
      <c r="A460" s="20"/>
      <c r="B460" s="21"/>
      <c r="C460" s="22"/>
      <c r="D460" s="23"/>
      <c r="E460" s="23"/>
      <c r="F460" s="23"/>
      <c r="G460" s="21"/>
      <c r="H460" s="24" t="str">
        <f aca="false">IF(OR(A460="",D460="",G460=""),"",D460*G460)</f>
        <v/>
      </c>
      <c r="I460" s="25" t="str">
        <f aca="false">IF(OR(A460="",B460=""),"",IFERROR(LOOKUP(2,1/(单次交易!$A$2:$A$201=A460),单次交易!$H$2:$H$201),0)+SUMIFS($G$2:$G$1001,$A$2:$A$1001,A460,$B$2:$B$1001,"&lt;"&amp;B460))</f>
        <v/>
      </c>
      <c r="J460" s="24" t="str">
        <f aca="false">IF(OR(A460="",B460=""),"",IFERROR(LOOKUP(2,1/(单次交易!$A$2:$A$201=A460),单次交易!$E$2:$E$201)*LOOKUP(2,1/(单次交易!$A$2:$A$201=A460),单次交易!$H$2:$H$201),0)+SUMIFS($H$2:$H$1001,$A$2:$A$1001,A460,$B$2:$B$1001,"&lt;"&amp;B460))</f>
        <v/>
      </c>
      <c r="K460" s="24" t="str">
        <f aca="false">IF(OR(E460="",I460="",J460=""),"",MAX(E460*I460-J460,0))</f>
        <v/>
      </c>
      <c r="L460" s="25" t="str">
        <f aca="false">IF(OR(D460="",E460="",F460="",D460&lt;=E460),"",FLOOR((F460+K460)/(D460-E460),100))</f>
        <v/>
      </c>
      <c r="M460" s="25" t="str">
        <f aca="false">IF(OR(A460="",B460="",L460=""),"",IF(B460=1,L460,IFERROR(SUMIFS($G$2:$G$1001,$A$2:$A$1001,A460,$B$2:$B$1001,B460-1),0)))</f>
        <v/>
      </c>
      <c r="N460" s="25" t="str">
        <f aca="false">IF(OR(L460="",M460=""),"",MIN(L460,M460))</f>
        <v/>
      </c>
      <c r="O460" s="25" t="str">
        <f aca="false">IF(OR(I460="",G460=""),"",I460+G460)</f>
        <v/>
      </c>
      <c r="P460" s="24" t="str">
        <f aca="false">IF(OR(O460="",O460=0),"",(J460+H460)/O460)</f>
        <v/>
      </c>
      <c r="Q460" s="24" t="str">
        <f aca="false">IF(OR(O460="",E460=""),"",MAX(J460+H460-E460*O460,0))</f>
        <v/>
      </c>
      <c r="R460" s="26" t="str">
        <f aca="false">IF(A460="","",IF(COUNTIF(_TradeIds,A460)=0,"违规：交易编号不存在",IF(OR(B460="",B460&lt;1,B460&gt;5,B460&lt;&gt;INT(B460)),"违规：加仓序号须为1到5的整数",IF(COUNTIFS($A$2:$A$1001,A460,$B$2:$B$1001,B460)&gt;1,"违规：同一交易的加仓序号重复",IF(OR(D460="",E460="",F460=""),"计划不完整：请填写加仓价、新止损价和风险预算",IF(OR(D460&lt;=0,E460&lt;=0,F460&lt;=0,D460&lt;=E460),"违规：加仓价必须高于新止损价，金额须大于0",IF(AND(B460&gt;1,COUNTIFS($A$2:$A$1001,A460,$B$2:$B$1001,B460-1,$G$2:$G$1001,"&gt;0")=0),"违规：须先完成上一次加仓",IF(AND(B460&gt;1,E460&lt;SUMIFS($E$2:$E$1001,$A$2:$A$1001,A460,$B$2:$B$1001,B460-1)),"违规：新止损价不得低于上一次",IF(AND(B460&gt;1,F460&gt;SUMIFS($F$2:$F$1001,$A$2:$A$1001,A460,$B$2:$B$1001,B460-1)),"违规：风险预算须逐次不增加",IF(OR(_LockStatus="已锁仓",_LockStatus="解锁信息不完整"),"违规：锁仓期间禁止加仓",IF(G460="","计划可执行：建议股数见N列",IF(OR(G460&lt;=0,G460&lt;&gt;INT(G460),MOD(G460,100)&lt;&gt;0),"违规：实际股数须为100股整数倍",IF(G460&gt;N460,"违规：实际股数超过风险或金字塔上限",IF(AND(B460&gt;1,G460&gt;SUMIFS($G$2:$G$1001,$A$2:$A$1001,A460,$B$2:$B$1001,B460-1)),"违规：加仓股数须逐次不增加",IF(Q460&gt;F460,"违规：止损风险超过本次预算","通过")))))))))))))))</f>
        <v/>
      </c>
    </row>
    <row r="461" customFormat="false" ht="15" hidden="false" customHeight="false" outlineLevel="0" collapsed="false">
      <c r="A461" s="20"/>
      <c r="B461" s="21"/>
      <c r="C461" s="22"/>
      <c r="D461" s="23"/>
      <c r="E461" s="23"/>
      <c r="F461" s="23"/>
      <c r="G461" s="21"/>
      <c r="H461" s="24" t="str">
        <f aca="false">IF(OR(A461="",D461="",G461=""),"",D461*G461)</f>
        <v/>
      </c>
      <c r="I461" s="25" t="str">
        <f aca="false">IF(OR(A461="",B461=""),"",IFERROR(LOOKUP(2,1/(单次交易!$A$2:$A$201=A461),单次交易!$H$2:$H$201),0)+SUMIFS($G$2:$G$1001,$A$2:$A$1001,A461,$B$2:$B$1001,"&lt;"&amp;B461))</f>
        <v/>
      </c>
      <c r="J461" s="24" t="str">
        <f aca="false">IF(OR(A461="",B461=""),"",IFERROR(LOOKUP(2,1/(单次交易!$A$2:$A$201=A461),单次交易!$E$2:$E$201)*LOOKUP(2,1/(单次交易!$A$2:$A$201=A461),单次交易!$H$2:$H$201),0)+SUMIFS($H$2:$H$1001,$A$2:$A$1001,A461,$B$2:$B$1001,"&lt;"&amp;B461))</f>
        <v/>
      </c>
      <c r="K461" s="24" t="str">
        <f aca="false">IF(OR(E461="",I461="",J461=""),"",MAX(E461*I461-J461,0))</f>
        <v/>
      </c>
      <c r="L461" s="25" t="str">
        <f aca="false">IF(OR(D461="",E461="",F461="",D461&lt;=E461),"",FLOOR((F461+K461)/(D461-E461),100))</f>
        <v/>
      </c>
      <c r="M461" s="25" t="str">
        <f aca="false">IF(OR(A461="",B461="",L461=""),"",IF(B461=1,L461,IFERROR(SUMIFS($G$2:$G$1001,$A$2:$A$1001,A461,$B$2:$B$1001,B461-1),0)))</f>
        <v/>
      </c>
      <c r="N461" s="25" t="str">
        <f aca="false">IF(OR(L461="",M461=""),"",MIN(L461,M461))</f>
        <v/>
      </c>
      <c r="O461" s="25" t="str">
        <f aca="false">IF(OR(I461="",G461=""),"",I461+G461)</f>
        <v/>
      </c>
      <c r="P461" s="24" t="str">
        <f aca="false">IF(OR(O461="",O461=0),"",(J461+H461)/O461)</f>
        <v/>
      </c>
      <c r="Q461" s="24" t="str">
        <f aca="false">IF(OR(O461="",E461=""),"",MAX(J461+H461-E461*O461,0))</f>
        <v/>
      </c>
      <c r="R461" s="26" t="str">
        <f aca="false">IF(A461="","",IF(COUNTIF(_TradeIds,A461)=0,"违规：交易编号不存在",IF(OR(B461="",B461&lt;1,B461&gt;5,B461&lt;&gt;INT(B461)),"违规：加仓序号须为1到5的整数",IF(COUNTIFS($A$2:$A$1001,A461,$B$2:$B$1001,B461)&gt;1,"违规：同一交易的加仓序号重复",IF(OR(D461="",E461="",F461=""),"计划不完整：请填写加仓价、新止损价和风险预算",IF(OR(D461&lt;=0,E461&lt;=0,F461&lt;=0,D461&lt;=E461),"违规：加仓价必须高于新止损价，金额须大于0",IF(AND(B461&gt;1,COUNTIFS($A$2:$A$1001,A461,$B$2:$B$1001,B461-1,$G$2:$G$1001,"&gt;0")=0),"违规：须先完成上一次加仓",IF(AND(B461&gt;1,E461&lt;SUMIFS($E$2:$E$1001,$A$2:$A$1001,A461,$B$2:$B$1001,B461-1)),"违规：新止损价不得低于上一次",IF(AND(B461&gt;1,F461&gt;SUMIFS($F$2:$F$1001,$A$2:$A$1001,A461,$B$2:$B$1001,B461-1)),"违规：风险预算须逐次不增加",IF(OR(_LockStatus="已锁仓",_LockStatus="解锁信息不完整"),"违规：锁仓期间禁止加仓",IF(G461="","计划可执行：建议股数见N列",IF(OR(G461&lt;=0,G461&lt;&gt;INT(G461),MOD(G461,100)&lt;&gt;0),"违规：实际股数须为100股整数倍",IF(G461&gt;N461,"违规：实际股数超过风险或金字塔上限",IF(AND(B461&gt;1,G461&gt;SUMIFS($G$2:$G$1001,$A$2:$A$1001,A461,$B$2:$B$1001,B461-1)),"违规：加仓股数须逐次不增加",IF(Q461&gt;F461,"违规：止损风险超过本次预算","通过")))))))))))))))</f>
        <v/>
      </c>
    </row>
    <row r="462" customFormat="false" ht="15" hidden="false" customHeight="false" outlineLevel="0" collapsed="false">
      <c r="A462" s="20"/>
      <c r="B462" s="21"/>
      <c r="C462" s="22"/>
      <c r="D462" s="23"/>
      <c r="E462" s="23"/>
      <c r="F462" s="23"/>
      <c r="G462" s="21"/>
      <c r="H462" s="24" t="str">
        <f aca="false">IF(OR(A462="",D462="",G462=""),"",D462*G462)</f>
        <v/>
      </c>
      <c r="I462" s="25" t="str">
        <f aca="false">IF(OR(A462="",B462=""),"",IFERROR(LOOKUP(2,1/(单次交易!$A$2:$A$201=A462),单次交易!$H$2:$H$201),0)+SUMIFS($G$2:$G$1001,$A$2:$A$1001,A462,$B$2:$B$1001,"&lt;"&amp;B462))</f>
        <v/>
      </c>
      <c r="J462" s="24" t="str">
        <f aca="false">IF(OR(A462="",B462=""),"",IFERROR(LOOKUP(2,1/(单次交易!$A$2:$A$201=A462),单次交易!$E$2:$E$201)*LOOKUP(2,1/(单次交易!$A$2:$A$201=A462),单次交易!$H$2:$H$201),0)+SUMIFS($H$2:$H$1001,$A$2:$A$1001,A462,$B$2:$B$1001,"&lt;"&amp;B462))</f>
        <v/>
      </c>
      <c r="K462" s="24" t="str">
        <f aca="false">IF(OR(E462="",I462="",J462=""),"",MAX(E462*I462-J462,0))</f>
        <v/>
      </c>
      <c r="L462" s="25" t="str">
        <f aca="false">IF(OR(D462="",E462="",F462="",D462&lt;=E462),"",FLOOR((F462+K462)/(D462-E462),100))</f>
        <v/>
      </c>
      <c r="M462" s="25" t="str">
        <f aca="false">IF(OR(A462="",B462="",L462=""),"",IF(B462=1,L462,IFERROR(SUMIFS($G$2:$G$1001,$A$2:$A$1001,A462,$B$2:$B$1001,B462-1),0)))</f>
        <v/>
      </c>
      <c r="N462" s="25" t="str">
        <f aca="false">IF(OR(L462="",M462=""),"",MIN(L462,M462))</f>
        <v/>
      </c>
      <c r="O462" s="25" t="str">
        <f aca="false">IF(OR(I462="",G462=""),"",I462+G462)</f>
        <v/>
      </c>
      <c r="P462" s="24" t="str">
        <f aca="false">IF(OR(O462="",O462=0),"",(J462+H462)/O462)</f>
        <v/>
      </c>
      <c r="Q462" s="24" t="str">
        <f aca="false">IF(OR(O462="",E462=""),"",MAX(J462+H462-E462*O462,0))</f>
        <v/>
      </c>
      <c r="R462" s="26" t="str">
        <f aca="false">IF(A462="","",IF(COUNTIF(_TradeIds,A462)=0,"违规：交易编号不存在",IF(OR(B462="",B462&lt;1,B462&gt;5,B462&lt;&gt;INT(B462)),"违规：加仓序号须为1到5的整数",IF(COUNTIFS($A$2:$A$1001,A462,$B$2:$B$1001,B462)&gt;1,"违规：同一交易的加仓序号重复",IF(OR(D462="",E462="",F462=""),"计划不完整：请填写加仓价、新止损价和风险预算",IF(OR(D462&lt;=0,E462&lt;=0,F462&lt;=0,D462&lt;=E462),"违规：加仓价必须高于新止损价，金额须大于0",IF(AND(B462&gt;1,COUNTIFS($A$2:$A$1001,A462,$B$2:$B$1001,B462-1,$G$2:$G$1001,"&gt;0")=0),"违规：须先完成上一次加仓",IF(AND(B462&gt;1,E462&lt;SUMIFS($E$2:$E$1001,$A$2:$A$1001,A462,$B$2:$B$1001,B462-1)),"违规：新止损价不得低于上一次",IF(AND(B462&gt;1,F462&gt;SUMIFS($F$2:$F$1001,$A$2:$A$1001,A462,$B$2:$B$1001,B462-1)),"违规：风险预算须逐次不增加",IF(OR(_LockStatus="已锁仓",_LockStatus="解锁信息不完整"),"违规：锁仓期间禁止加仓",IF(G462="","计划可执行：建议股数见N列",IF(OR(G462&lt;=0,G462&lt;&gt;INT(G462),MOD(G462,100)&lt;&gt;0),"违规：实际股数须为100股整数倍",IF(G462&gt;N462,"违规：实际股数超过风险或金字塔上限",IF(AND(B462&gt;1,G462&gt;SUMIFS($G$2:$G$1001,$A$2:$A$1001,A462,$B$2:$B$1001,B462-1)),"违规：加仓股数须逐次不增加",IF(Q462&gt;F462,"违规：止损风险超过本次预算","通过")))))))))))))))</f>
        <v/>
      </c>
    </row>
    <row r="463" customFormat="false" ht="15" hidden="false" customHeight="false" outlineLevel="0" collapsed="false">
      <c r="A463" s="20"/>
      <c r="B463" s="21"/>
      <c r="C463" s="22"/>
      <c r="D463" s="23"/>
      <c r="E463" s="23"/>
      <c r="F463" s="23"/>
      <c r="G463" s="21"/>
      <c r="H463" s="24" t="str">
        <f aca="false">IF(OR(A463="",D463="",G463=""),"",D463*G463)</f>
        <v/>
      </c>
      <c r="I463" s="25" t="str">
        <f aca="false">IF(OR(A463="",B463=""),"",IFERROR(LOOKUP(2,1/(单次交易!$A$2:$A$201=A463),单次交易!$H$2:$H$201),0)+SUMIFS($G$2:$G$1001,$A$2:$A$1001,A463,$B$2:$B$1001,"&lt;"&amp;B463))</f>
        <v/>
      </c>
      <c r="J463" s="24" t="str">
        <f aca="false">IF(OR(A463="",B463=""),"",IFERROR(LOOKUP(2,1/(单次交易!$A$2:$A$201=A463),单次交易!$E$2:$E$201)*LOOKUP(2,1/(单次交易!$A$2:$A$201=A463),单次交易!$H$2:$H$201),0)+SUMIFS($H$2:$H$1001,$A$2:$A$1001,A463,$B$2:$B$1001,"&lt;"&amp;B463))</f>
        <v/>
      </c>
      <c r="K463" s="24" t="str">
        <f aca="false">IF(OR(E463="",I463="",J463=""),"",MAX(E463*I463-J463,0))</f>
        <v/>
      </c>
      <c r="L463" s="25" t="str">
        <f aca="false">IF(OR(D463="",E463="",F463="",D463&lt;=E463),"",FLOOR((F463+K463)/(D463-E463),100))</f>
        <v/>
      </c>
      <c r="M463" s="25" t="str">
        <f aca="false">IF(OR(A463="",B463="",L463=""),"",IF(B463=1,L463,IFERROR(SUMIFS($G$2:$G$1001,$A$2:$A$1001,A463,$B$2:$B$1001,B463-1),0)))</f>
        <v/>
      </c>
      <c r="N463" s="25" t="str">
        <f aca="false">IF(OR(L463="",M463=""),"",MIN(L463,M463))</f>
        <v/>
      </c>
      <c r="O463" s="25" t="str">
        <f aca="false">IF(OR(I463="",G463=""),"",I463+G463)</f>
        <v/>
      </c>
      <c r="P463" s="24" t="str">
        <f aca="false">IF(OR(O463="",O463=0),"",(J463+H463)/O463)</f>
        <v/>
      </c>
      <c r="Q463" s="24" t="str">
        <f aca="false">IF(OR(O463="",E463=""),"",MAX(J463+H463-E463*O463,0))</f>
        <v/>
      </c>
      <c r="R463" s="26" t="str">
        <f aca="false">IF(A463="","",IF(COUNTIF(_TradeIds,A463)=0,"违规：交易编号不存在",IF(OR(B463="",B463&lt;1,B463&gt;5,B463&lt;&gt;INT(B463)),"违规：加仓序号须为1到5的整数",IF(COUNTIFS($A$2:$A$1001,A463,$B$2:$B$1001,B463)&gt;1,"违规：同一交易的加仓序号重复",IF(OR(D463="",E463="",F463=""),"计划不完整：请填写加仓价、新止损价和风险预算",IF(OR(D463&lt;=0,E463&lt;=0,F463&lt;=0,D463&lt;=E463),"违规：加仓价必须高于新止损价，金额须大于0",IF(AND(B463&gt;1,COUNTIFS($A$2:$A$1001,A463,$B$2:$B$1001,B463-1,$G$2:$G$1001,"&gt;0")=0),"违规：须先完成上一次加仓",IF(AND(B463&gt;1,E463&lt;SUMIFS($E$2:$E$1001,$A$2:$A$1001,A463,$B$2:$B$1001,B463-1)),"违规：新止损价不得低于上一次",IF(AND(B463&gt;1,F463&gt;SUMIFS($F$2:$F$1001,$A$2:$A$1001,A463,$B$2:$B$1001,B463-1)),"违规：风险预算须逐次不增加",IF(OR(_LockStatus="已锁仓",_LockStatus="解锁信息不完整"),"违规：锁仓期间禁止加仓",IF(G463="","计划可执行：建议股数见N列",IF(OR(G463&lt;=0,G463&lt;&gt;INT(G463),MOD(G463,100)&lt;&gt;0),"违规：实际股数须为100股整数倍",IF(G463&gt;N463,"违规：实际股数超过风险或金字塔上限",IF(AND(B463&gt;1,G463&gt;SUMIFS($G$2:$G$1001,$A$2:$A$1001,A463,$B$2:$B$1001,B463-1)),"违规：加仓股数须逐次不增加",IF(Q463&gt;F463,"违规：止损风险超过本次预算","通过")))))))))))))))</f>
        <v/>
      </c>
    </row>
    <row r="464" customFormat="false" ht="15" hidden="false" customHeight="false" outlineLevel="0" collapsed="false">
      <c r="A464" s="20"/>
      <c r="B464" s="21"/>
      <c r="C464" s="22"/>
      <c r="D464" s="23"/>
      <c r="E464" s="23"/>
      <c r="F464" s="23"/>
      <c r="G464" s="21"/>
      <c r="H464" s="24" t="str">
        <f aca="false">IF(OR(A464="",D464="",G464=""),"",D464*G464)</f>
        <v/>
      </c>
      <c r="I464" s="25" t="str">
        <f aca="false">IF(OR(A464="",B464=""),"",IFERROR(LOOKUP(2,1/(单次交易!$A$2:$A$201=A464),单次交易!$H$2:$H$201),0)+SUMIFS($G$2:$G$1001,$A$2:$A$1001,A464,$B$2:$B$1001,"&lt;"&amp;B464))</f>
        <v/>
      </c>
      <c r="J464" s="24" t="str">
        <f aca="false">IF(OR(A464="",B464=""),"",IFERROR(LOOKUP(2,1/(单次交易!$A$2:$A$201=A464),单次交易!$E$2:$E$201)*LOOKUP(2,1/(单次交易!$A$2:$A$201=A464),单次交易!$H$2:$H$201),0)+SUMIFS($H$2:$H$1001,$A$2:$A$1001,A464,$B$2:$B$1001,"&lt;"&amp;B464))</f>
        <v/>
      </c>
      <c r="K464" s="24" t="str">
        <f aca="false">IF(OR(E464="",I464="",J464=""),"",MAX(E464*I464-J464,0))</f>
        <v/>
      </c>
      <c r="L464" s="25" t="str">
        <f aca="false">IF(OR(D464="",E464="",F464="",D464&lt;=E464),"",FLOOR((F464+K464)/(D464-E464),100))</f>
        <v/>
      </c>
      <c r="M464" s="25" t="str">
        <f aca="false">IF(OR(A464="",B464="",L464=""),"",IF(B464=1,L464,IFERROR(SUMIFS($G$2:$G$1001,$A$2:$A$1001,A464,$B$2:$B$1001,B464-1),0)))</f>
        <v/>
      </c>
      <c r="N464" s="25" t="str">
        <f aca="false">IF(OR(L464="",M464=""),"",MIN(L464,M464))</f>
        <v/>
      </c>
      <c r="O464" s="25" t="str">
        <f aca="false">IF(OR(I464="",G464=""),"",I464+G464)</f>
        <v/>
      </c>
      <c r="P464" s="24" t="str">
        <f aca="false">IF(OR(O464="",O464=0),"",(J464+H464)/O464)</f>
        <v/>
      </c>
      <c r="Q464" s="24" t="str">
        <f aca="false">IF(OR(O464="",E464=""),"",MAX(J464+H464-E464*O464,0))</f>
        <v/>
      </c>
      <c r="R464" s="26" t="str">
        <f aca="false">IF(A464="","",IF(COUNTIF(_TradeIds,A464)=0,"违规：交易编号不存在",IF(OR(B464="",B464&lt;1,B464&gt;5,B464&lt;&gt;INT(B464)),"违规：加仓序号须为1到5的整数",IF(COUNTIFS($A$2:$A$1001,A464,$B$2:$B$1001,B464)&gt;1,"违规：同一交易的加仓序号重复",IF(OR(D464="",E464="",F464=""),"计划不完整：请填写加仓价、新止损价和风险预算",IF(OR(D464&lt;=0,E464&lt;=0,F464&lt;=0,D464&lt;=E464),"违规：加仓价必须高于新止损价，金额须大于0",IF(AND(B464&gt;1,COUNTIFS($A$2:$A$1001,A464,$B$2:$B$1001,B464-1,$G$2:$G$1001,"&gt;0")=0),"违规：须先完成上一次加仓",IF(AND(B464&gt;1,E464&lt;SUMIFS($E$2:$E$1001,$A$2:$A$1001,A464,$B$2:$B$1001,B464-1)),"违规：新止损价不得低于上一次",IF(AND(B464&gt;1,F464&gt;SUMIFS($F$2:$F$1001,$A$2:$A$1001,A464,$B$2:$B$1001,B464-1)),"违规：风险预算须逐次不增加",IF(OR(_LockStatus="已锁仓",_LockStatus="解锁信息不完整"),"违规：锁仓期间禁止加仓",IF(G464="","计划可执行：建议股数见N列",IF(OR(G464&lt;=0,G464&lt;&gt;INT(G464),MOD(G464,100)&lt;&gt;0),"违规：实际股数须为100股整数倍",IF(G464&gt;N464,"违规：实际股数超过风险或金字塔上限",IF(AND(B464&gt;1,G464&gt;SUMIFS($G$2:$G$1001,$A$2:$A$1001,A464,$B$2:$B$1001,B464-1)),"违规：加仓股数须逐次不增加",IF(Q464&gt;F464,"违规：止损风险超过本次预算","通过")))))))))))))))</f>
        <v/>
      </c>
    </row>
    <row r="465" customFormat="false" ht="15" hidden="false" customHeight="false" outlineLevel="0" collapsed="false">
      <c r="A465" s="20"/>
      <c r="B465" s="21"/>
      <c r="C465" s="22"/>
      <c r="D465" s="23"/>
      <c r="E465" s="23"/>
      <c r="F465" s="23"/>
      <c r="G465" s="21"/>
      <c r="H465" s="24" t="str">
        <f aca="false">IF(OR(A465="",D465="",G465=""),"",D465*G465)</f>
        <v/>
      </c>
      <c r="I465" s="25" t="str">
        <f aca="false">IF(OR(A465="",B465=""),"",IFERROR(LOOKUP(2,1/(单次交易!$A$2:$A$201=A465),单次交易!$H$2:$H$201),0)+SUMIFS($G$2:$G$1001,$A$2:$A$1001,A465,$B$2:$B$1001,"&lt;"&amp;B465))</f>
        <v/>
      </c>
      <c r="J465" s="24" t="str">
        <f aca="false">IF(OR(A465="",B465=""),"",IFERROR(LOOKUP(2,1/(单次交易!$A$2:$A$201=A465),单次交易!$E$2:$E$201)*LOOKUP(2,1/(单次交易!$A$2:$A$201=A465),单次交易!$H$2:$H$201),0)+SUMIFS($H$2:$H$1001,$A$2:$A$1001,A465,$B$2:$B$1001,"&lt;"&amp;B465))</f>
        <v/>
      </c>
      <c r="K465" s="24" t="str">
        <f aca="false">IF(OR(E465="",I465="",J465=""),"",MAX(E465*I465-J465,0))</f>
        <v/>
      </c>
      <c r="L465" s="25" t="str">
        <f aca="false">IF(OR(D465="",E465="",F465="",D465&lt;=E465),"",FLOOR((F465+K465)/(D465-E465),100))</f>
        <v/>
      </c>
      <c r="M465" s="25" t="str">
        <f aca="false">IF(OR(A465="",B465="",L465=""),"",IF(B465=1,L465,IFERROR(SUMIFS($G$2:$G$1001,$A$2:$A$1001,A465,$B$2:$B$1001,B465-1),0)))</f>
        <v/>
      </c>
      <c r="N465" s="25" t="str">
        <f aca="false">IF(OR(L465="",M465=""),"",MIN(L465,M465))</f>
        <v/>
      </c>
      <c r="O465" s="25" t="str">
        <f aca="false">IF(OR(I465="",G465=""),"",I465+G465)</f>
        <v/>
      </c>
      <c r="P465" s="24" t="str">
        <f aca="false">IF(OR(O465="",O465=0),"",(J465+H465)/O465)</f>
        <v/>
      </c>
      <c r="Q465" s="24" t="str">
        <f aca="false">IF(OR(O465="",E465=""),"",MAX(J465+H465-E465*O465,0))</f>
        <v/>
      </c>
      <c r="R465" s="26" t="str">
        <f aca="false">IF(A465="","",IF(COUNTIF(_TradeIds,A465)=0,"违规：交易编号不存在",IF(OR(B465="",B465&lt;1,B465&gt;5,B465&lt;&gt;INT(B465)),"违规：加仓序号须为1到5的整数",IF(COUNTIFS($A$2:$A$1001,A465,$B$2:$B$1001,B465)&gt;1,"违规：同一交易的加仓序号重复",IF(OR(D465="",E465="",F465=""),"计划不完整：请填写加仓价、新止损价和风险预算",IF(OR(D465&lt;=0,E465&lt;=0,F465&lt;=0,D465&lt;=E465),"违规：加仓价必须高于新止损价，金额须大于0",IF(AND(B465&gt;1,COUNTIFS($A$2:$A$1001,A465,$B$2:$B$1001,B465-1,$G$2:$G$1001,"&gt;0")=0),"违规：须先完成上一次加仓",IF(AND(B465&gt;1,E465&lt;SUMIFS($E$2:$E$1001,$A$2:$A$1001,A465,$B$2:$B$1001,B465-1)),"违规：新止损价不得低于上一次",IF(AND(B465&gt;1,F465&gt;SUMIFS($F$2:$F$1001,$A$2:$A$1001,A465,$B$2:$B$1001,B465-1)),"违规：风险预算须逐次不增加",IF(OR(_LockStatus="已锁仓",_LockStatus="解锁信息不完整"),"违规：锁仓期间禁止加仓",IF(G465="","计划可执行：建议股数见N列",IF(OR(G465&lt;=0,G465&lt;&gt;INT(G465),MOD(G465,100)&lt;&gt;0),"违规：实际股数须为100股整数倍",IF(G465&gt;N465,"违规：实际股数超过风险或金字塔上限",IF(AND(B465&gt;1,G465&gt;SUMIFS($G$2:$G$1001,$A$2:$A$1001,A465,$B$2:$B$1001,B465-1)),"违规：加仓股数须逐次不增加",IF(Q465&gt;F465,"违规：止损风险超过本次预算","通过")))))))))))))))</f>
        <v/>
      </c>
    </row>
    <row r="466" customFormat="false" ht="15" hidden="false" customHeight="false" outlineLevel="0" collapsed="false">
      <c r="A466" s="20"/>
      <c r="B466" s="21"/>
      <c r="C466" s="22"/>
      <c r="D466" s="23"/>
      <c r="E466" s="23"/>
      <c r="F466" s="23"/>
      <c r="G466" s="21"/>
      <c r="H466" s="24" t="str">
        <f aca="false">IF(OR(A466="",D466="",G466=""),"",D466*G466)</f>
        <v/>
      </c>
      <c r="I466" s="25" t="str">
        <f aca="false">IF(OR(A466="",B466=""),"",IFERROR(LOOKUP(2,1/(单次交易!$A$2:$A$201=A466),单次交易!$H$2:$H$201),0)+SUMIFS($G$2:$G$1001,$A$2:$A$1001,A466,$B$2:$B$1001,"&lt;"&amp;B466))</f>
        <v/>
      </c>
      <c r="J466" s="24" t="str">
        <f aca="false">IF(OR(A466="",B466=""),"",IFERROR(LOOKUP(2,1/(单次交易!$A$2:$A$201=A466),单次交易!$E$2:$E$201)*LOOKUP(2,1/(单次交易!$A$2:$A$201=A466),单次交易!$H$2:$H$201),0)+SUMIFS($H$2:$H$1001,$A$2:$A$1001,A466,$B$2:$B$1001,"&lt;"&amp;B466))</f>
        <v/>
      </c>
      <c r="K466" s="24" t="str">
        <f aca="false">IF(OR(E466="",I466="",J466=""),"",MAX(E466*I466-J466,0))</f>
        <v/>
      </c>
      <c r="L466" s="25" t="str">
        <f aca="false">IF(OR(D466="",E466="",F466="",D466&lt;=E466),"",FLOOR((F466+K466)/(D466-E466),100))</f>
        <v/>
      </c>
      <c r="M466" s="25" t="str">
        <f aca="false">IF(OR(A466="",B466="",L466=""),"",IF(B466=1,L466,IFERROR(SUMIFS($G$2:$G$1001,$A$2:$A$1001,A466,$B$2:$B$1001,B466-1),0)))</f>
        <v/>
      </c>
      <c r="N466" s="25" t="str">
        <f aca="false">IF(OR(L466="",M466=""),"",MIN(L466,M466))</f>
        <v/>
      </c>
      <c r="O466" s="25" t="str">
        <f aca="false">IF(OR(I466="",G466=""),"",I466+G466)</f>
        <v/>
      </c>
      <c r="P466" s="24" t="str">
        <f aca="false">IF(OR(O466="",O466=0),"",(J466+H466)/O466)</f>
        <v/>
      </c>
      <c r="Q466" s="24" t="str">
        <f aca="false">IF(OR(O466="",E466=""),"",MAX(J466+H466-E466*O466,0))</f>
        <v/>
      </c>
      <c r="R466" s="26" t="str">
        <f aca="false">IF(A466="","",IF(COUNTIF(_TradeIds,A466)=0,"违规：交易编号不存在",IF(OR(B466="",B466&lt;1,B466&gt;5,B466&lt;&gt;INT(B466)),"违规：加仓序号须为1到5的整数",IF(COUNTIFS($A$2:$A$1001,A466,$B$2:$B$1001,B466)&gt;1,"违规：同一交易的加仓序号重复",IF(OR(D466="",E466="",F466=""),"计划不完整：请填写加仓价、新止损价和风险预算",IF(OR(D466&lt;=0,E466&lt;=0,F466&lt;=0,D466&lt;=E466),"违规：加仓价必须高于新止损价，金额须大于0",IF(AND(B466&gt;1,COUNTIFS($A$2:$A$1001,A466,$B$2:$B$1001,B466-1,$G$2:$G$1001,"&gt;0")=0),"违规：须先完成上一次加仓",IF(AND(B466&gt;1,E466&lt;SUMIFS($E$2:$E$1001,$A$2:$A$1001,A466,$B$2:$B$1001,B466-1)),"违规：新止损价不得低于上一次",IF(AND(B466&gt;1,F466&gt;SUMIFS($F$2:$F$1001,$A$2:$A$1001,A466,$B$2:$B$1001,B466-1)),"违规：风险预算须逐次不增加",IF(OR(_LockStatus="已锁仓",_LockStatus="解锁信息不完整"),"违规：锁仓期间禁止加仓",IF(G466="","计划可执行：建议股数见N列",IF(OR(G466&lt;=0,G466&lt;&gt;INT(G466),MOD(G466,100)&lt;&gt;0),"违规：实际股数须为100股整数倍",IF(G466&gt;N466,"违规：实际股数超过风险或金字塔上限",IF(AND(B466&gt;1,G466&gt;SUMIFS($G$2:$G$1001,$A$2:$A$1001,A466,$B$2:$B$1001,B466-1)),"违规：加仓股数须逐次不增加",IF(Q466&gt;F466,"违规：止损风险超过本次预算","通过")))))))))))))))</f>
        <v/>
      </c>
    </row>
    <row r="467" customFormat="false" ht="15" hidden="false" customHeight="false" outlineLevel="0" collapsed="false">
      <c r="A467" s="20"/>
      <c r="B467" s="21"/>
      <c r="C467" s="22"/>
      <c r="D467" s="23"/>
      <c r="E467" s="23"/>
      <c r="F467" s="23"/>
      <c r="G467" s="21"/>
      <c r="H467" s="24" t="str">
        <f aca="false">IF(OR(A467="",D467="",G467=""),"",D467*G467)</f>
        <v/>
      </c>
      <c r="I467" s="25" t="str">
        <f aca="false">IF(OR(A467="",B467=""),"",IFERROR(LOOKUP(2,1/(单次交易!$A$2:$A$201=A467),单次交易!$H$2:$H$201),0)+SUMIFS($G$2:$G$1001,$A$2:$A$1001,A467,$B$2:$B$1001,"&lt;"&amp;B467))</f>
        <v/>
      </c>
      <c r="J467" s="24" t="str">
        <f aca="false">IF(OR(A467="",B467=""),"",IFERROR(LOOKUP(2,1/(单次交易!$A$2:$A$201=A467),单次交易!$E$2:$E$201)*LOOKUP(2,1/(单次交易!$A$2:$A$201=A467),单次交易!$H$2:$H$201),0)+SUMIFS($H$2:$H$1001,$A$2:$A$1001,A467,$B$2:$B$1001,"&lt;"&amp;B467))</f>
        <v/>
      </c>
      <c r="K467" s="24" t="str">
        <f aca="false">IF(OR(E467="",I467="",J467=""),"",MAX(E467*I467-J467,0))</f>
        <v/>
      </c>
      <c r="L467" s="25" t="str">
        <f aca="false">IF(OR(D467="",E467="",F467="",D467&lt;=E467),"",FLOOR((F467+K467)/(D467-E467),100))</f>
        <v/>
      </c>
      <c r="M467" s="25" t="str">
        <f aca="false">IF(OR(A467="",B467="",L467=""),"",IF(B467=1,L467,IFERROR(SUMIFS($G$2:$G$1001,$A$2:$A$1001,A467,$B$2:$B$1001,B467-1),0)))</f>
        <v/>
      </c>
      <c r="N467" s="25" t="str">
        <f aca="false">IF(OR(L467="",M467=""),"",MIN(L467,M467))</f>
        <v/>
      </c>
      <c r="O467" s="25" t="str">
        <f aca="false">IF(OR(I467="",G467=""),"",I467+G467)</f>
        <v/>
      </c>
      <c r="P467" s="24" t="str">
        <f aca="false">IF(OR(O467="",O467=0),"",(J467+H467)/O467)</f>
        <v/>
      </c>
      <c r="Q467" s="24" t="str">
        <f aca="false">IF(OR(O467="",E467=""),"",MAX(J467+H467-E467*O467,0))</f>
        <v/>
      </c>
      <c r="R467" s="26" t="str">
        <f aca="false">IF(A467="","",IF(COUNTIF(_TradeIds,A467)=0,"违规：交易编号不存在",IF(OR(B467="",B467&lt;1,B467&gt;5,B467&lt;&gt;INT(B467)),"违规：加仓序号须为1到5的整数",IF(COUNTIFS($A$2:$A$1001,A467,$B$2:$B$1001,B467)&gt;1,"违规：同一交易的加仓序号重复",IF(OR(D467="",E467="",F467=""),"计划不完整：请填写加仓价、新止损价和风险预算",IF(OR(D467&lt;=0,E467&lt;=0,F467&lt;=0,D467&lt;=E467),"违规：加仓价必须高于新止损价，金额须大于0",IF(AND(B467&gt;1,COUNTIFS($A$2:$A$1001,A467,$B$2:$B$1001,B467-1,$G$2:$G$1001,"&gt;0")=0),"违规：须先完成上一次加仓",IF(AND(B467&gt;1,E467&lt;SUMIFS($E$2:$E$1001,$A$2:$A$1001,A467,$B$2:$B$1001,B467-1)),"违规：新止损价不得低于上一次",IF(AND(B467&gt;1,F467&gt;SUMIFS($F$2:$F$1001,$A$2:$A$1001,A467,$B$2:$B$1001,B467-1)),"违规：风险预算须逐次不增加",IF(OR(_LockStatus="已锁仓",_LockStatus="解锁信息不完整"),"违规：锁仓期间禁止加仓",IF(G467="","计划可执行：建议股数见N列",IF(OR(G467&lt;=0,G467&lt;&gt;INT(G467),MOD(G467,100)&lt;&gt;0),"违规：实际股数须为100股整数倍",IF(G467&gt;N467,"违规：实际股数超过风险或金字塔上限",IF(AND(B467&gt;1,G467&gt;SUMIFS($G$2:$G$1001,$A$2:$A$1001,A467,$B$2:$B$1001,B467-1)),"违规：加仓股数须逐次不增加",IF(Q467&gt;F467,"违规：止损风险超过本次预算","通过")))))))))))))))</f>
        <v/>
      </c>
    </row>
    <row r="468" customFormat="false" ht="15" hidden="false" customHeight="false" outlineLevel="0" collapsed="false">
      <c r="A468" s="20"/>
      <c r="B468" s="21"/>
      <c r="C468" s="22"/>
      <c r="D468" s="23"/>
      <c r="E468" s="23"/>
      <c r="F468" s="23"/>
      <c r="G468" s="21"/>
      <c r="H468" s="24" t="str">
        <f aca="false">IF(OR(A468="",D468="",G468=""),"",D468*G468)</f>
        <v/>
      </c>
      <c r="I468" s="25" t="str">
        <f aca="false">IF(OR(A468="",B468=""),"",IFERROR(LOOKUP(2,1/(单次交易!$A$2:$A$201=A468),单次交易!$H$2:$H$201),0)+SUMIFS($G$2:$G$1001,$A$2:$A$1001,A468,$B$2:$B$1001,"&lt;"&amp;B468))</f>
        <v/>
      </c>
      <c r="J468" s="24" t="str">
        <f aca="false">IF(OR(A468="",B468=""),"",IFERROR(LOOKUP(2,1/(单次交易!$A$2:$A$201=A468),单次交易!$E$2:$E$201)*LOOKUP(2,1/(单次交易!$A$2:$A$201=A468),单次交易!$H$2:$H$201),0)+SUMIFS($H$2:$H$1001,$A$2:$A$1001,A468,$B$2:$B$1001,"&lt;"&amp;B468))</f>
        <v/>
      </c>
      <c r="K468" s="24" t="str">
        <f aca="false">IF(OR(E468="",I468="",J468=""),"",MAX(E468*I468-J468,0))</f>
        <v/>
      </c>
      <c r="L468" s="25" t="str">
        <f aca="false">IF(OR(D468="",E468="",F468="",D468&lt;=E468),"",FLOOR((F468+K468)/(D468-E468),100))</f>
        <v/>
      </c>
      <c r="M468" s="25" t="str">
        <f aca="false">IF(OR(A468="",B468="",L468=""),"",IF(B468=1,L468,IFERROR(SUMIFS($G$2:$G$1001,$A$2:$A$1001,A468,$B$2:$B$1001,B468-1),0)))</f>
        <v/>
      </c>
      <c r="N468" s="25" t="str">
        <f aca="false">IF(OR(L468="",M468=""),"",MIN(L468,M468))</f>
        <v/>
      </c>
      <c r="O468" s="25" t="str">
        <f aca="false">IF(OR(I468="",G468=""),"",I468+G468)</f>
        <v/>
      </c>
      <c r="P468" s="24" t="str">
        <f aca="false">IF(OR(O468="",O468=0),"",(J468+H468)/O468)</f>
        <v/>
      </c>
      <c r="Q468" s="24" t="str">
        <f aca="false">IF(OR(O468="",E468=""),"",MAX(J468+H468-E468*O468,0))</f>
        <v/>
      </c>
      <c r="R468" s="26" t="str">
        <f aca="false">IF(A468="","",IF(COUNTIF(_TradeIds,A468)=0,"违规：交易编号不存在",IF(OR(B468="",B468&lt;1,B468&gt;5,B468&lt;&gt;INT(B468)),"违规：加仓序号须为1到5的整数",IF(COUNTIFS($A$2:$A$1001,A468,$B$2:$B$1001,B468)&gt;1,"违规：同一交易的加仓序号重复",IF(OR(D468="",E468="",F468=""),"计划不完整：请填写加仓价、新止损价和风险预算",IF(OR(D468&lt;=0,E468&lt;=0,F468&lt;=0,D468&lt;=E468),"违规：加仓价必须高于新止损价，金额须大于0",IF(AND(B468&gt;1,COUNTIFS($A$2:$A$1001,A468,$B$2:$B$1001,B468-1,$G$2:$G$1001,"&gt;0")=0),"违规：须先完成上一次加仓",IF(AND(B468&gt;1,E468&lt;SUMIFS($E$2:$E$1001,$A$2:$A$1001,A468,$B$2:$B$1001,B468-1)),"违规：新止损价不得低于上一次",IF(AND(B468&gt;1,F468&gt;SUMIFS($F$2:$F$1001,$A$2:$A$1001,A468,$B$2:$B$1001,B468-1)),"违规：风险预算须逐次不增加",IF(OR(_LockStatus="已锁仓",_LockStatus="解锁信息不完整"),"违规：锁仓期间禁止加仓",IF(G468="","计划可执行：建议股数见N列",IF(OR(G468&lt;=0,G468&lt;&gt;INT(G468),MOD(G468,100)&lt;&gt;0),"违规：实际股数须为100股整数倍",IF(G468&gt;N468,"违规：实际股数超过风险或金字塔上限",IF(AND(B468&gt;1,G468&gt;SUMIFS($G$2:$G$1001,$A$2:$A$1001,A468,$B$2:$B$1001,B468-1)),"违规：加仓股数须逐次不增加",IF(Q468&gt;F468,"违规：止损风险超过本次预算","通过")))))))))))))))</f>
        <v/>
      </c>
    </row>
    <row r="469" customFormat="false" ht="15" hidden="false" customHeight="false" outlineLevel="0" collapsed="false">
      <c r="A469" s="20"/>
      <c r="B469" s="21"/>
      <c r="C469" s="22"/>
      <c r="D469" s="23"/>
      <c r="E469" s="23"/>
      <c r="F469" s="23"/>
      <c r="G469" s="21"/>
      <c r="H469" s="24" t="str">
        <f aca="false">IF(OR(A469="",D469="",G469=""),"",D469*G469)</f>
        <v/>
      </c>
      <c r="I469" s="25" t="str">
        <f aca="false">IF(OR(A469="",B469=""),"",IFERROR(LOOKUP(2,1/(单次交易!$A$2:$A$201=A469),单次交易!$H$2:$H$201),0)+SUMIFS($G$2:$G$1001,$A$2:$A$1001,A469,$B$2:$B$1001,"&lt;"&amp;B469))</f>
        <v/>
      </c>
      <c r="J469" s="24" t="str">
        <f aca="false">IF(OR(A469="",B469=""),"",IFERROR(LOOKUP(2,1/(单次交易!$A$2:$A$201=A469),单次交易!$E$2:$E$201)*LOOKUP(2,1/(单次交易!$A$2:$A$201=A469),单次交易!$H$2:$H$201),0)+SUMIFS($H$2:$H$1001,$A$2:$A$1001,A469,$B$2:$B$1001,"&lt;"&amp;B469))</f>
        <v/>
      </c>
      <c r="K469" s="24" t="str">
        <f aca="false">IF(OR(E469="",I469="",J469=""),"",MAX(E469*I469-J469,0))</f>
        <v/>
      </c>
      <c r="L469" s="25" t="str">
        <f aca="false">IF(OR(D469="",E469="",F469="",D469&lt;=E469),"",FLOOR((F469+K469)/(D469-E469),100))</f>
        <v/>
      </c>
      <c r="M469" s="25" t="str">
        <f aca="false">IF(OR(A469="",B469="",L469=""),"",IF(B469=1,L469,IFERROR(SUMIFS($G$2:$G$1001,$A$2:$A$1001,A469,$B$2:$B$1001,B469-1),0)))</f>
        <v/>
      </c>
      <c r="N469" s="25" t="str">
        <f aca="false">IF(OR(L469="",M469=""),"",MIN(L469,M469))</f>
        <v/>
      </c>
      <c r="O469" s="25" t="str">
        <f aca="false">IF(OR(I469="",G469=""),"",I469+G469)</f>
        <v/>
      </c>
      <c r="P469" s="24" t="str">
        <f aca="false">IF(OR(O469="",O469=0),"",(J469+H469)/O469)</f>
        <v/>
      </c>
      <c r="Q469" s="24" t="str">
        <f aca="false">IF(OR(O469="",E469=""),"",MAX(J469+H469-E469*O469,0))</f>
        <v/>
      </c>
      <c r="R469" s="26" t="str">
        <f aca="false">IF(A469="","",IF(COUNTIF(_TradeIds,A469)=0,"违规：交易编号不存在",IF(OR(B469="",B469&lt;1,B469&gt;5,B469&lt;&gt;INT(B469)),"违规：加仓序号须为1到5的整数",IF(COUNTIFS($A$2:$A$1001,A469,$B$2:$B$1001,B469)&gt;1,"违规：同一交易的加仓序号重复",IF(OR(D469="",E469="",F469=""),"计划不完整：请填写加仓价、新止损价和风险预算",IF(OR(D469&lt;=0,E469&lt;=0,F469&lt;=0,D469&lt;=E469),"违规：加仓价必须高于新止损价，金额须大于0",IF(AND(B469&gt;1,COUNTIFS($A$2:$A$1001,A469,$B$2:$B$1001,B469-1,$G$2:$G$1001,"&gt;0")=0),"违规：须先完成上一次加仓",IF(AND(B469&gt;1,E469&lt;SUMIFS($E$2:$E$1001,$A$2:$A$1001,A469,$B$2:$B$1001,B469-1)),"违规：新止损价不得低于上一次",IF(AND(B469&gt;1,F469&gt;SUMIFS($F$2:$F$1001,$A$2:$A$1001,A469,$B$2:$B$1001,B469-1)),"违规：风险预算须逐次不增加",IF(OR(_LockStatus="已锁仓",_LockStatus="解锁信息不完整"),"违规：锁仓期间禁止加仓",IF(G469="","计划可执行：建议股数见N列",IF(OR(G469&lt;=0,G469&lt;&gt;INT(G469),MOD(G469,100)&lt;&gt;0),"违规：实际股数须为100股整数倍",IF(G469&gt;N469,"违规：实际股数超过风险或金字塔上限",IF(AND(B469&gt;1,G469&gt;SUMIFS($G$2:$G$1001,$A$2:$A$1001,A469,$B$2:$B$1001,B469-1)),"违规：加仓股数须逐次不增加",IF(Q469&gt;F469,"违规：止损风险超过本次预算","通过")))))))))))))))</f>
        <v/>
      </c>
    </row>
    <row r="470" customFormat="false" ht="15" hidden="false" customHeight="false" outlineLevel="0" collapsed="false">
      <c r="A470" s="20"/>
      <c r="B470" s="21"/>
      <c r="C470" s="22"/>
      <c r="D470" s="23"/>
      <c r="E470" s="23"/>
      <c r="F470" s="23"/>
      <c r="G470" s="21"/>
      <c r="H470" s="24" t="str">
        <f aca="false">IF(OR(A470="",D470="",G470=""),"",D470*G470)</f>
        <v/>
      </c>
      <c r="I470" s="25" t="str">
        <f aca="false">IF(OR(A470="",B470=""),"",IFERROR(LOOKUP(2,1/(单次交易!$A$2:$A$201=A470),单次交易!$H$2:$H$201),0)+SUMIFS($G$2:$G$1001,$A$2:$A$1001,A470,$B$2:$B$1001,"&lt;"&amp;B470))</f>
        <v/>
      </c>
      <c r="J470" s="24" t="str">
        <f aca="false">IF(OR(A470="",B470=""),"",IFERROR(LOOKUP(2,1/(单次交易!$A$2:$A$201=A470),单次交易!$E$2:$E$201)*LOOKUP(2,1/(单次交易!$A$2:$A$201=A470),单次交易!$H$2:$H$201),0)+SUMIFS($H$2:$H$1001,$A$2:$A$1001,A470,$B$2:$B$1001,"&lt;"&amp;B470))</f>
        <v/>
      </c>
      <c r="K470" s="24" t="str">
        <f aca="false">IF(OR(E470="",I470="",J470=""),"",MAX(E470*I470-J470,0))</f>
        <v/>
      </c>
      <c r="L470" s="25" t="str">
        <f aca="false">IF(OR(D470="",E470="",F470="",D470&lt;=E470),"",FLOOR((F470+K470)/(D470-E470),100))</f>
        <v/>
      </c>
      <c r="M470" s="25" t="str">
        <f aca="false">IF(OR(A470="",B470="",L470=""),"",IF(B470=1,L470,IFERROR(SUMIFS($G$2:$G$1001,$A$2:$A$1001,A470,$B$2:$B$1001,B470-1),0)))</f>
        <v/>
      </c>
      <c r="N470" s="25" t="str">
        <f aca="false">IF(OR(L470="",M470=""),"",MIN(L470,M470))</f>
        <v/>
      </c>
      <c r="O470" s="25" t="str">
        <f aca="false">IF(OR(I470="",G470=""),"",I470+G470)</f>
        <v/>
      </c>
      <c r="P470" s="24" t="str">
        <f aca="false">IF(OR(O470="",O470=0),"",(J470+H470)/O470)</f>
        <v/>
      </c>
      <c r="Q470" s="24" t="str">
        <f aca="false">IF(OR(O470="",E470=""),"",MAX(J470+H470-E470*O470,0))</f>
        <v/>
      </c>
      <c r="R470" s="26" t="str">
        <f aca="false">IF(A470="","",IF(COUNTIF(_TradeIds,A470)=0,"违规：交易编号不存在",IF(OR(B470="",B470&lt;1,B470&gt;5,B470&lt;&gt;INT(B470)),"违规：加仓序号须为1到5的整数",IF(COUNTIFS($A$2:$A$1001,A470,$B$2:$B$1001,B470)&gt;1,"违规：同一交易的加仓序号重复",IF(OR(D470="",E470="",F470=""),"计划不完整：请填写加仓价、新止损价和风险预算",IF(OR(D470&lt;=0,E470&lt;=0,F470&lt;=0,D470&lt;=E470),"违规：加仓价必须高于新止损价，金额须大于0",IF(AND(B470&gt;1,COUNTIFS($A$2:$A$1001,A470,$B$2:$B$1001,B470-1,$G$2:$G$1001,"&gt;0")=0),"违规：须先完成上一次加仓",IF(AND(B470&gt;1,E470&lt;SUMIFS($E$2:$E$1001,$A$2:$A$1001,A470,$B$2:$B$1001,B470-1)),"违规：新止损价不得低于上一次",IF(AND(B470&gt;1,F470&gt;SUMIFS($F$2:$F$1001,$A$2:$A$1001,A470,$B$2:$B$1001,B470-1)),"违规：风险预算须逐次不增加",IF(OR(_LockStatus="已锁仓",_LockStatus="解锁信息不完整"),"违规：锁仓期间禁止加仓",IF(G470="","计划可执行：建议股数见N列",IF(OR(G470&lt;=0,G470&lt;&gt;INT(G470),MOD(G470,100)&lt;&gt;0),"违规：实际股数须为100股整数倍",IF(G470&gt;N470,"违规：实际股数超过风险或金字塔上限",IF(AND(B470&gt;1,G470&gt;SUMIFS($G$2:$G$1001,$A$2:$A$1001,A470,$B$2:$B$1001,B470-1)),"违规：加仓股数须逐次不增加",IF(Q470&gt;F470,"违规：止损风险超过本次预算","通过")))))))))))))))</f>
        <v/>
      </c>
    </row>
    <row r="471" customFormat="false" ht="15" hidden="false" customHeight="false" outlineLevel="0" collapsed="false">
      <c r="A471" s="20"/>
      <c r="B471" s="21"/>
      <c r="C471" s="22"/>
      <c r="D471" s="23"/>
      <c r="E471" s="23"/>
      <c r="F471" s="23"/>
      <c r="G471" s="21"/>
      <c r="H471" s="24" t="str">
        <f aca="false">IF(OR(A471="",D471="",G471=""),"",D471*G471)</f>
        <v/>
      </c>
      <c r="I471" s="25" t="str">
        <f aca="false">IF(OR(A471="",B471=""),"",IFERROR(LOOKUP(2,1/(单次交易!$A$2:$A$201=A471),单次交易!$H$2:$H$201),0)+SUMIFS($G$2:$G$1001,$A$2:$A$1001,A471,$B$2:$B$1001,"&lt;"&amp;B471))</f>
        <v/>
      </c>
      <c r="J471" s="24" t="str">
        <f aca="false">IF(OR(A471="",B471=""),"",IFERROR(LOOKUP(2,1/(单次交易!$A$2:$A$201=A471),单次交易!$E$2:$E$201)*LOOKUP(2,1/(单次交易!$A$2:$A$201=A471),单次交易!$H$2:$H$201),0)+SUMIFS($H$2:$H$1001,$A$2:$A$1001,A471,$B$2:$B$1001,"&lt;"&amp;B471))</f>
        <v/>
      </c>
      <c r="K471" s="24" t="str">
        <f aca="false">IF(OR(E471="",I471="",J471=""),"",MAX(E471*I471-J471,0))</f>
        <v/>
      </c>
      <c r="L471" s="25" t="str">
        <f aca="false">IF(OR(D471="",E471="",F471="",D471&lt;=E471),"",FLOOR((F471+K471)/(D471-E471),100))</f>
        <v/>
      </c>
      <c r="M471" s="25" t="str">
        <f aca="false">IF(OR(A471="",B471="",L471=""),"",IF(B471=1,L471,IFERROR(SUMIFS($G$2:$G$1001,$A$2:$A$1001,A471,$B$2:$B$1001,B471-1),0)))</f>
        <v/>
      </c>
      <c r="N471" s="25" t="str">
        <f aca="false">IF(OR(L471="",M471=""),"",MIN(L471,M471))</f>
        <v/>
      </c>
      <c r="O471" s="25" t="str">
        <f aca="false">IF(OR(I471="",G471=""),"",I471+G471)</f>
        <v/>
      </c>
      <c r="P471" s="24" t="str">
        <f aca="false">IF(OR(O471="",O471=0),"",(J471+H471)/O471)</f>
        <v/>
      </c>
      <c r="Q471" s="24" t="str">
        <f aca="false">IF(OR(O471="",E471=""),"",MAX(J471+H471-E471*O471,0))</f>
        <v/>
      </c>
      <c r="R471" s="26" t="str">
        <f aca="false">IF(A471="","",IF(COUNTIF(_TradeIds,A471)=0,"违规：交易编号不存在",IF(OR(B471="",B471&lt;1,B471&gt;5,B471&lt;&gt;INT(B471)),"违规：加仓序号须为1到5的整数",IF(COUNTIFS($A$2:$A$1001,A471,$B$2:$B$1001,B471)&gt;1,"违规：同一交易的加仓序号重复",IF(OR(D471="",E471="",F471=""),"计划不完整：请填写加仓价、新止损价和风险预算",IF(OR(D471&lt;=0,E471&lt;=0,F471&lt;=0,D471&lt;=E471),"违规：加仓价必须高于新止损价，金额须大于0",IF(AND(B471&gt;1,COUNTIFS($A$2:$A$1001,A471,$B$2:$B$1001,B471-1,$G$2:$G$1001,"&gt;0")=0),"违规：须先完成上一次加仓",IF(AND(B471&gt;1,E471&lt;SUMIFS($E$2:$E$1001,$A$2:$A$1001,A471,$B$2:$B$1001,B471-1)),"违规：新止损价不得低于上一次",IF(AND(B471&gt;1,F471&gt;SUMIFS($F$2:$F$1001,$A$2:$A$1001,A471,$B$2:$B$1001,B471-1)),"违规：风险预算须逐次不增加",IF(OR(_LockStatus="已锁仓",_LockStatus="解锁信息不完整"),"违规：锁仓期间禁止加仓",IF(G471="","计划可执行：建议股数见N列",IF(OR(G471&lt;=0,G471&lt;&gt;INT(G471),MOD(G471,100)&lt;&gt;0),"违规：实际股数须为100股整数倍",IF(G471&gt;N471,"违规：实际股数超过风险或金字塔上限",IF(AND(B471&gt;1,G471&gt;SUMIFS($G$2:$G$1001,$A$2:$A$1001,A471,$B$2:$B$1001,B471-1)),"违规：加仓股数须逐次不增加",IF(Q471&gt;F471,"违规：止损风险超过本次预算","通过")))))))))))))))</f>
        <v/>
      </c>
    </row>
    <row r="472" customFormat="false" ht="15" hidden="false" customHeight="false" outlineLevel="0" collapsed="false">
      <c r="A472" s="20"/>
      <c r="B472" s="21"/>
      <c r="C472" s="22"/>
      <c r="D472" s="23"/>
      <c r="E472" s="23"/>
      <c r="F472" s="23"/>
      <c r="G472" s="21"/>
      <c r="H472" s="24" t="str">
        <f aca="false">IF(OR(A472="",D472="",G472=""),"",D472*G472)</f>
        <v/>
      </c>
      <c r="I472" s="25" t="str">
        <f aca="false">IF(OR(A472="",B472=""),"",IFERROR(LOOKUP(2,1/(单次交易!$A$2:$A$201=A472),单次交易!$H$2:$H$201),0)+SUMIFS($G$2:$G$1001,$A$2:$A$1001,A472,$B$2:$B$1001,"&lt;"&amp;B472))</f>
        <v/>
      </c>
      <c r="J472" s="24" t="str">
        <f aca="false">IF(OR(A472="",B472=""),"",IFERROR(LOOKUP(2,1/(单次交易!$A$2:$A$201=A472),单次交易!$E$2:$E$201)*LOOKUP(2,1/(单次交易!$A$2:$A$201=A472),单次交易!$H$2:$H$201),0)+SUMIFS($H$2:$H$1001,$A$2:$A$1001,A472,$B$2:$B$1001,"&lt;"&amp;B472))</f>
        <v/>
      </c>
      <c r="K472" s="24" t="str">
        <f aca="false">IF(OR(E472="",I472="",J472=""),"",MAX(E472*I472-J472,0))</f>
        <v/>
      </c>
      <c r="L472" s="25" t="str">
        <f aca="false">IF(OR(D472="",E472="",F472="",D472&lt;=E472),"",FLOOR((F472+K472)/(D472-E472),100))</f>
        <v/>
      </c>
      <c r="M472" s="25" t="str">
        <f aca="false">IF(OR(A472="",B472="",L472=""),"",IF(B472=1,L472,IFERROR(SUMIFS($G$2:$G$1001,$A$2:$A$1001,A472,$B$2:$B$1001,B472-1),0)))</f>
        <v/>
      </c>
      <c r="N472" s="25" t="str">
        <f aca="false">IF(OR(L472="",M472=""),"",MIN(L472,M472))</f>
        <v/>
      </c>
      <c r="O472" s="25" t="str">
        <f aca="false">IF(OR(I472="",G472=""),"",I472+G472)</f>
        <v/>
      </c>
      <c r="P472" s="24" t="str">
        <f aca="false">IF(OR(O472="",O472=0),"",(J472+H472)/O472)</f>
        <v/>
      </c>
      <c r="Q472" s="24" t="str">
        <f aca="false">IF(OR(O472="",E472=""),"",MAX(J472+H472-E472*O472,0))</f>
        <v/>
      </c>
      <c r="R472" s="26" t="str">
        <f aca="false">IF(A472="","",IF(COUNTIF(_TradeIds,A472)=0,"违规：交易编号不存在",IF(OR(B472="",B472&lt;1,B472&gt;5,B472&lt;&gt;INT(B472)),"违规：加仓序号须为1到5的整数",IF(COUNTIFS($A$2:$A$1001,A472,$B$2:$B$1001,B472)&gt;1,"违规：同一交易的加仓序号重复",IF(OR(D472="",E472="",F472=""),"计划不完整：请填写加仓价、新止损价和风险预算",IF(OR(D472&lt;=0,E472&lt;=0,F472&lt;=0,D472&lt;=E472),"违规：加仓价必须高于新止损价，金额须大于0",IF(AND(B472&gt;1,COUNTIFS($A$2:$A$1001,A472,$B$2:$B$1001,B472-1,$G$2:$G$1001,"&gt;0")=0),"违规：须先完成上一次加仓",IF(AND(B472&gt;1,E472&lt;SUMIFS($E$2:$E$1001,$A$2:$A$1001,A472,$B$2:$B$1001,B472-1)),"违规：新止损价不得低于上一次",IF(AND(B472&gt;1,F472&gt;SUMIFS($F$2:$F$1001,$A$2:$A$1001,A472,$B$2:$B$1001,B472-1)),"违规：风险预算须逐次不增加",IF(OR(_LockStatus="已锁仓",_LockStatus="解锁信息不完整"),"违规：锁仓期间禁止加仓",IF(G472="","计划可执行：建议股数见N列",IF(OR(G472&lt;=0,G472&lt;&gt;INT(G472),MOD(G472,100)&lt;&gt;0),"违规：实际股数须为100股整数倍",IF(G472&gt;N472,"违规：实际股数超过风险或金字塔上限",IF(AND(B472&gt;1,G472&gt;SUMIFS($G$2:$G$1001,$A$2:$A$1001,A472,$B$2:$B$1001,B472-1)),"违规：加仓股数须逐次不增加",IF(Q472&gt;F472,"违规：止损风险超过本次预算","通过")))))))))))))))</f>
        <v/>
      </c>
    </row>
    <row r="473" customFormat="false" ht="15" hidden="false" customHeight="false" outlineLevel="0" collapsed="false">
      <c r="A473" s="20"/>
      <c r="B473" s="21"/>
      <c r="C473" s="22"/>
      <c r="D473" s="23"/>
      <c r="E473" s="23"/>
      <c r="F473" s="23"/>
      <c r="G473" s="21"/>
      <c r="H473" s="24" t="str">
        <f aca="false">IF(OR(A473="",D473="",G473=""),"",D473*G473)</f>
        <v/>
      </c>
      <c r="I473" s="25" t="str">
        <f aca="false">IF(OR(A473="",B473=""),"",IFERROR(LOOKUP(2,1/(单次交易!$A$2:$A$201=A473),单次交易!$H$2:$H$201),0)+SUMIFS($G$2:$G$1001,$A$2:$A$1001,A473,$B$2:$B$1001,"&lt;"&amp;B473))</f>
        <v/>
      </c>
      <c r="J473" s="24" t="str">
        <f aca="false">IF(OR(A473="",B473=""),"",IFERROR(LOOKUP(2,1/(单次交易!$A$2:$A$201=A473),单次交易!$E$2:$E$201)*LOOKUP(2,1/(单次交易!$A$2:$A$201=A473),单次交易!$H$2:$H$201),0)+SUMIFS($H$2:$H$1001,$A$2:$A$1001,A473,$B$2:$B$1001,"&lt;"&amp;B473))</f>
        <v/>
      </c>
      <c r="K473" s="24" t="str">
        <f aca="false">IF(OR(E473="",I473="",J473=""),"",MAX(E473*I473-J473,0))</f>
        <v/>
      </c>
      <c r="L473" s="25" t="str">
        <f aca="false">IF(OR(D473="",E473="",F473="",D473&lt;=E473),"",FLOOR((F473+K473)/(D473-E473),100))</f>
        <v/>
      </c>
      <c r="M473" s="25" t="str">
        <f aca="false">IF(OR(A473="",B473="",L473=""),"",IF(B473=1,L473,IFERROR(SUMIFS($G$2:$G$1001,$A$2:$A$1001,A473,$B$2:$B$1001,B473-1),0)))</f>
        <v/>
      </c>
      <c r="N473" s="25" t="str">
        <f aca="false">IF(OR(L473="",M473=""),"",MIN(L473,M473))</f>
        <v/>
      </c>
      <c r="O473" s="25" t="str">
        <f aca="false">IF(OR(I473="",G473=""),"",I473+G473)</f>
        <v/>
      </c>
      <c r="P473" s="24" t="str">
        <f aca="false">IF(OR(O473="",O473=0),"",(J473+H473)/O473)</f>
        <v/>
      </c>
      <c r="Q473" s="24" t="str">
        <f aca="false">IF(OR(O473="",E473=""),"",MAX(J473+H473-E473*O473,0))</f>
        <v/>
      </c>
      <c r="R473" s="26" t="str">
        <f aca="false">IF(A473="","",IF(COUNTIF(_TradeIds,A473)=0,"违规：交易编号不存在",IF(OR(B473="",B473&lt;1,B473&gt;5,B473&lt;&gt;INT(B473)),"违规：加仓序号须为1到5的整数",IF(COUNTIFS($A$2:$A$1001,A473,$B$2:$B$1001,B473)&gt;1,"违规：同一交易的加仓序号重复",IF(OR(D473="",E473="",F473=""),"计划不完整：请填写加仓价、新止损价和风险预算",IF(OR(D473&lt;=0,E473&lt;=0,F473&lt;=0,D473&lt;=E473),"违规：加仓价必须高于新止损价，金额须大于0",IF(AND(B473&gt;1,COUNTIFS($A$2:$A$1001,A473,$B$2:$B$1001,B473-1,$G$2:$G$1001,"&gt;0")=0),"违规：须先完成上一次加仓",IF(AND(B473&gt;1,E473&lt;SUMIFS($E$2:$E$1001,$A$2:$A$1001,A473,$B$2:$B$1001,B473-1)),"违规：新止损价不得低于上一次",IF(AND(B473&gt;1,F473&gt;SUMIFS($F$2:$F$1001,$A$2:$A$1001,A473,$B$2:$B$1001,B473-1)),"违规：风险预算须逐次不增加",IF(OR(_LockStatus="已锁仓",_LockStatus="解锁信息不完整"),"违规：锁仓期间禁止加仓",IF(G473="","计划可执行：建议股数见N列",IF(OR(G473&lt;=0,G473&lt;&gt;INT(G473),MOD(G473,100)&lt;&gt;0),"违规：实际股数须为100股整数倍",IF(G473&gt;N473,"违规：实际股数超过风险或金字塔上限",IF(AND(B473&gt;1,G473&gt;SUMIFS($G$2:$G$1001,$A$2:$A$1001,A473,$B$2:$B$1001,B473-1)),"违规：加仓股数须逐次不增加",IF(Q473&gt;F473,"违规：止损风险超过本次预算","通过")))))))))))))))</f>
        <v/>
      </c>
    </row>
    <row r="474" customFormat="false" ht="15" hidden="false" customHeight="false" outlineLevel="0" collapsed="false">
      <c r="A474" s="20"/>
      <c r="B474" s="21"/>
      <c r="C474" s="22"/>
      <c r="D474" s="23"/>
      <c r="E474" s="23"/>
      <c r="F474" s="23"/>
      <c r="G474" s="21"/>
      <c r="H474" s="24" t="str">
        <f aca="false">IF(OR(A474="",D474="",G474=""),"",D474*G474)</f>
        <v/>
      </c>
      <c r="I474" s="25" t="str">
        <f aca="false">IF(OR(A474="",B474=""),"",IFERROR(LOOKUP(2,1/(单次交易!$A$2:$A$201=A474),单次交易!$H$2:$H$201),0)+SUMIFS($G$2:$G$1001,$A$2:$A$1001,A474,$B$2:$B$1001,"&lt;"&amp;B474))</f>
        <v/>
      </c>
      <c r="J474" s="24" t="str">
        <f aca="false">IF(OR(A474="",B474=""),"",IFERROR(LOOKUP(2,1/(单次交易!$A$2:$A$201=A474),单次交易!$E$2:$E$201)*LOOKUP(2,1/(单次交易!$A$2:$A$201=A474),单次交易!$H$2:$H$201),0)+SUMIFS($H$2:$H$1001,$A$2:$A$1001,A474,$B$2:$B$1001,"&lt;"&amp;B474))</f>
        <v/>
      </c>
      <c r="K474" s="24" t="str">
        <f aca="false">IF(OR(E474="",I474="",J474=""),"",MAX(E474*I474-J474,0))</f>
        <v/>
      </c>
      <c r="L474" s="25" t="str">
        <f aca="false">IF(OR(D474="",E474="",F474="",D474&lt;=E474),"",FLOOR((F474+K474)/(D474-E474),100))</f>
        <v/>
      </c>
      <c r="M474" s="25" t="str">
        <f aca="false">IF(OR(A474="",B474="",L474=""),"",IF(B474=1,L474,IFERROR(SUMIFS($G$2:$G$1001,$A$2:$A$1001,A474,$B$2:$B$1001,B474-1),0)))</f>
        <v/>
      </c>
      <c r="N474" s="25" t="str">
        <f aca="false">IF(OR(L474="",M474=""),"",MIN(L474,M474))</f>
        <v/>
      </c>
      <c r="O474" s="25" t="str">
        <f aca="false">IF(OR(I474="",G474=""),"",I474+G474)</f>
        <v/>
      </c>
      <c r="P474" s="24" t="str">
        <f aca="false">IF(OR(O474="",O474=0),"",(J474+H474)/O474)</f>
        <v/>
      </c>
      <c r="Q474" s="24" t="str">
        <f aca="false">IF(OR(O474="",E474=""),"",MAX(J474+H474-E474*O474,0))</f>
        <v/>
      </c>
      <c r="R474" s="26" t="str">
        <f aca="false">IF(A474="","",IF(COUNTIF(_TradeIds,A474)=0,"违规：交易编号不存在",IF(OR(B474="",B474&lt;1,B474&gt;5,B474&lt;&gt;INT(B474)),"违规：加仓序号须为1到5的整数",IF(COUNTIFS($A$2:$A$1001,A474,$B$2:$B$1001,B474)&gt;1,"违规：同一交易的加仓序号重复",IF(OR(D474="",E474="",F474=""),"计划不完整：请填写加仓价、新止损价和风险预算",IF(OR(D474&lt;=0,E474&lt;=0,F474&lt;=0,D474&lt;=E474),"违规：加仓价必须高于新止损价，金额须大于0",IF(AND(B474&gt;1,COUNTIFS($A$2:$A$1001,A474,$B$2:$B$1001,B474-1,$G$2:$G$1001,"&gt;0")=0),"违规：须先完成上一次加仓",IF(AND(B474&gt;1,E474&lt;SUMIFS($E$2:$E$1001,$A$2:$A$1001,A474,$B$2:$B$1001,B474-1)),"违规：新止损价不得低于上一次",IF(AND(B474&gt;1,F474&gt;SUMIFS($F$2:$F$1001,$A$2:$A$1001,A474,$B$2:$B$1001,B474-1)),"违规：风险预算须逐次不增加",IF(OR(_LockStatus="已锁仓",_LockStatus="解锁信息不完整"),"违规：锁仓期间禁止加仓",IF(G474="","计划可执行：建议股数见N列",IF(OR(G474&lt;=0,G474&lt;&gt;INT(G474),MOD(G474,100)&lt;&gt;0),"违规：实际股数须为100股整数倍",IF(G474&gt;N474,"违规：实际股数超过风险或金字塔上限",IF(AND(B474&gt;1,G474&gt;SUMIFS($G$2:$G$1001,$A$2:$A$1001,A474,$B$2:$B$1001,B474-1)),"违规：加仓股数须逐次不增加",IF(Q474&gt;F474,"违规：止损风险超过本次预算","通过")))))))))))))))</f>
        <v/>
      </c>
    </row>
    <row r="475" customFormat="false" ht="15" hidden="false" customHeight="false" outlineLevel="0" collapsed="false">
      <c r="A475" s="20"/>
      <c r="B475" s="21"/>
      <c r="C475" s="22"/>
      <c r="D475" s="23"/>
      <c r="E475" s="23"/>
      <c r="F475" s="23"/>
      <c r="G475" s="21"/>
      <c r="H475" s="24" t="str">
        <f aca="false">IF(OR(A475="",D475="",G475=""),"",D475*G475)</f>
        <v/>
      </c>
      <c r="I475" s="25" t="str">
        <f aca="false">IF(OR(A475="",B475=""),"",IFERROR(LOOKUP(2,1/(单次交易!$A$2:$A$201=A475),单次交易!$H$2:$H$201),0)+SUMIFS($G$2:$G$1001,$A$2:$A$1001,A475,$B$2:$B$1001,"&lt;"&amp;B475))</f>
        <v/>
      </c>
      <c r="J475" s="24" t="str">
        <f aca="false">IF(OR(A475="",B475=""),"",IFERROR(LOOKUP(2,1/(单次交易!$A$2:$A$201=A475),单次交易!$E$2:$E$201)*LOOKUP(2,1/(单次交易!$A$2:$A$201=A475),单次交易!$H$2:$H$201),0)+SUMIFS($H$2:$H$1001,$A$2:$A$1001,A475,$B$2:$B$1001,"&lt;"&amp;B475))</f>
        <v/>
      </c>
      <c r="K475" s="24" t="str">
        <f aca="false">IF(OR(E475="",I475="",J475=""),"",MAX(E475*I475-J475,0))</f>
        <v/>
      </c>
      <c r="L475" s="25" t="str">
        <f aca="false">IF(OR(D475="",E475="",F475="",D475&lt;=E475),"",FLOOR((F475+K475)/(D475-E475),100))</f>
        <v/>
      </c>
      <c r="M475" s="25" t="str">
        <f aca="false">IF(OR(A475="",B475="",L475=""),"",IF(B475=1,L475,IFERROR(SUMIFS($G$2:$G$1001,$A$2:$A$1001,A475,$B$2:$B$1001,B475-1),0)))</f>
        <v/>
      </c>
      <c r="N475" s="25" t="str">
        <f aca="false">IF(OR(L475="",M475=""),"",MIN(L475,M475))</f>
        <v/>
      </c>
      <c r="O475" s="25" t="str">
        <f aca="false">IF(OR(I475="",G475=""),"",I475+G475)</f>
        <v/>
      </c>
      <c r="P475" s="24" t="str">
        <f aca="false">IF(OR(O475="",O475=0),"",(J475+H475)/O475)</f>
        <v/>
      </c>
      <c r="Q475" s="24" t="str">
        <f aca="false">IF(OR(O475="",E475=""),"",MAX(J475+H475-E475*O475,0))</f>
        <v/>
      </c>
      <c r="R475" s="26" t="str">
        <f aca="false">IF(A475="","",IF(COUNTIF(_TradeIds,A475)=0,"违规：交易编号不存在",IF(OR(B475="",B475&lt;1,B475&gt;5,B475&lt;&gt;INT(B475)),"违规：加仓序号须为1到5的整数",IF(COUNTIFS($A$2:$A$1001,A475,$B$2:$B$1001,B475)&gt;1,"违规：同一交易的加仓序号重复",IF(OR(D475="",E475="",F475=""),"计划不完整：请填写加仓价、新止损价和风险预算",IF(OR(D475&lt;=0,E475&lt;=0,F475&lt;=0,D475&lt;=E475),"违规：加仓价必须高于新止损价，金额须大于0",IF(AND(B475&gt;1,COUNTIFS($A$2:$A$1001,A475,$B$2:$B$1001,B475-1,$G$2:$G$1001,"&gt;0")=0),"违规：须先完成上一次加仓",IF(AND(B475&gt;1,E475&lt;SUMIFS($E$2:$E$1001,$A$2:$A$1001,A475,$B$2:$B$1001,B475-1)),"违规：新止损价不得低于上一次",IF(AND(B475&gt;1,F475&gt;SUMIFS($F$2:$F$1001,$A$2:$A$1001,A475,$B$2:$B$1001,B475-1)),"违规：风险预算须逐次不增加",IF(OR(_LockStatus="已锁仓",_LockStatus="解锁信息不完整"),"违规：锁仓期间禁止加仓",IF(G475="","计划可执行：建议股数见N列",IF(OR(G475&lt;=0,G475&lt;&gt;INT(G475),MOD(G475,100)&lt;&gt;0),"违规：实际股数须为100股整数倍",IF(G475&gt;N475,"违规：实际股数超过风险或金字塔上限",IF(AND(B475&gt;1,G475&gt;SUMIFS($G$2:$G$1001,$A$2:$A$1001,A475,$B$2:$B$1001,B475-1)),"违规：加仓股数须逐次不增加",IF(Q475&gt;F475,"违规：止损风险超过本次预算","通过")))))))))))))))</f>
        <v/>
      </c>
    </row>
    <row r="476" customFormat="false" ht="15" hidden="false" customHeight="false" outlineLevel="0" collapsed="false">
      <c r="A476" s="20"/>
      <c r="B476" s="21"/>
      <c r="C476" s="22"/>
      <c r="D476" s="23"/>
      <c r="E476" s="23"/>
      <c r="F476" s="23"/>
      <c r="G476" s="21"/>
      <c r="H476" s="24" t="str">
        <f aca="false">IF(OR(A476="",D476="",G476=""),"",D476*G476)</f>
        <v/>
      </c>
      <c r="I476" s="25" t="str">
        <f aca="false">IF(OR(A476="",B476=""),"",IFERROR(LOOKUP(2,1/(单次交易!$A$2:$A$201=A476),单次交易!$H$2:$H$201),0)+SUMIFS($G$2:$G$1001,$A$2:$A$1001,A476,$B$2:$B$1001,"&lt;"&amp;B476))</f>
        <v/>
      </c>
      <c r="J476" s="24" t="str">
        <f aca="false">IF(OR(A476="",B476=""),"",IFERROR(LOOKUP(2,1/(单次交易!$A$2:$A$201=A476),单次交易!$E$2:$E$201)*LOOKUP(2,1/(单次交易!$A$2:$A$201=A476),单次交易!$H$2:$H$201),0)+SUMIFS($H$2:$H$1001,$A$2:$A$1001,A476,$B$2:$B$1001,"&lt;"&amp;B476))</f>
        <v/>
      </c>
      <c r="K476" s="24" t="str">
        <f aca="false">IF(OR(E476="",I476="",J476=""),"",MAX(E476*I476-J476,0))</f>
        <v/>
      </c>
      <c r="L476" s="25" t="str">
        <f aca="false">IF(OR(D476="",E476="",F476="",D476&lt;=E476),"",FLOOR((F476+K476)/(D476-E476),100))</f>
        <v/>
      </c>
      <c r="M476" s="25" t="str">
        <f aca="false">IF(OR(A476="",B476="",L476=""),"",IF(B476=1,L476,IFERROR(SUMIFS($G$2:$G$1001,$A$2:$A$1001,A476,$B$2:$B$1001,B476-1),0)))</f>
        <v/>
      </c>
      <c r="N476" s="25" t="str">
        <f aca="false">IF(OR(L476="",M476=""),"",MIN(L476,M476))</f>
        <v/>
      </c>
      <c r="O476" s="25" t="str">
        <f aca="false">IF(OR(I476="",G476=""),"",I476+G476)</f>
        <v/>
      </c>
      <c r="P476" s="24" t="str">
        <f aca="false">IF(OR(O476="",O476=0),"",(J476+H476)/O476)</f>
        <v/>
      </c>
      <c r="Q476" s="24" t="str">
        <f aca="false">IF(OR(O476="",E476=""),"",MAX(J476+H476-E476*O476,0))</f>
        <v/>
      </c>
      <c r="R476" s="26" t="str">
        <f aca="false">IF(A476="","",IF(COUNTIF(_TradeIds,A476)=0,"违规：交易编号不存在",IF(OR(B476="",B476&lt;1,B476&gt;5,B476&lt;&gt;INT(B476)),"违规：加仓序号须为1到5的整数",IF(COUNTIFS($A$2:$A$1001,A476,$B$2:$B$1001,B476)&gt;1,"违规：同一交易的加仓序号重复",IF(OR(D476="",E476="",F476=""),"计划不完整：请填写加仓价、新止损价和风险预算",IF(OR(D476&lt;=0,E476&lt;=0,F476&lt;=0,D476&lt;=E476),"违规：加仓价必须高于新止损价，金额须大于0",IF(AND(B476&gt;1,COUNTIFS($A$2:$A$1001,A476,$B$2:$B$1001,B476-1,$G$2:$G$1001,"&gt;0")=0),"违规：须先完成上一次加仓",IF(AND(B476&gt;1,E476&lt;SUMIFS($E$2:$E$1001,$A$2:$A$1001,A476,$B$2:$B$1001,B476-1)),"违规：新止损价不得低于上一次",IF(AND(B476&gt;1,F476&gt;SUMIFS($F$2:$F$1001,$A$2:$A$1001,A476,$B$2:$B$1001,B476-1)),"违规：风险预算须逐次不增加",IF(OR(_LockStatus="已锁仓",_LockStatus="解锁信息不完整"),"违规：锁仓期间禁止加仓",IF(G476="","计划可执行：建议股数见N列",IF(OR(G476&lt;=0,G476&lt;&gt;INT(G476),MOD(G476,100)&lt;&gt;0),"违规：实际股数须为100股整数倍",IF(G476&gt;N476,"违规：实际股数超过风险或金字塔上限",IF(AND(B476&gt;1,G476&gt;SUMIFS($G$2:$G$1001,$A$2:$A$1001,A476,$B$2:$B$1001,B476-1)),"违规：加仓股数须逐次不增加",IF(Q476&gt;F476,"违规：止损风险超过本次预算","通过")))))))))))))))</f>
        <v/>
      </c>
    </row>
    <row r="477" customFormat="false" ht="15" hidden="false" customHeight="false" outlineLevel="0" collapsed="false">
      <c r="A477" s="20"/>
      <c r="B477" s="21"/>
      <c r="C477" s="22"/>
      <c r="D477" s="23"/>
      <c r="E477" s="23"/>
      <c r="F477" s="23"/>
      <c r="G477" s="21"/>
      <c r="H477" s="24" t="str">
        <f aca="false">IF(OR(A477="",D477="",G477=""),"",D477*G477)</f>
        <v/>
      </c>
      <c r="I477" s="25" t="str">
        <f aca="false">IF(OR(A477="",B477=""),"",IFERROR(LOOKUP(2,1/(单次交易!$A$2:$A$201=A477),单次交易!$H$2:$H$201),0)+SUMIFS($G$2:$G$1001,$A$2:$A$1001,A477,$B$2:$B$1001,"&lt;"&amp;B477))</f>
        <v/>
      </c>
      <c r="J477" s="24" t="str">
        <f aca="false">IF(OR(A477="",B477=""),"",IFERROR(LOOKUP(2,1/(单次交易!$A$2:$A$201=A477),单次交易!$E$2:$E$201)*LOOKUP(2,1/(单次交易!$A$2:$A$201=A477),单次交易!$H$2:$H$201),0)+SUMIFS($H$2:$H$1001,$A$2:$A$1001,A477,$B$2:$B$1001,"&lt;"&amp;B477))</f>
        <v/>
      </c>
      <c r="K477" s="24" t="str">
        <f aca="false">IF(OR(E477="",I477="",J477=""),"",MAX(E477*I477-J477,0))</f>
        <v/>
      </c>
      <c r="L477" s="25" t="str">
        <f aca="false">IF(OR(D477="",E477="",F477="",D477&lt;=E477),"",FLOOR((F477+K477)/(D477-E477),100))</f>
        <v/>
      </c>
      <c r="M477" s="25" t="str">
        <f aca="false">IF(OR(A477="",B477="",L477=""),"",IF(B477=1,L477,IFERROR(SUMIFS($G$2:$G$1001,$A$2:$A$1001,A477,$B$2:$B$1001,B477-1),0)))</f>
        <v/>
      </c>
      <c r="N477" s="25" t="str">
        <f aca="false">IF(OR(L477="",M477=""),"",MIN(L477,M477))</f>
        <v/>
      </c>
      <c r="O477" s="25" t="str">
        <f aca="false">IF(OR(I477="",G477=""),"",I477+G477)</f>
        <v/>
      </c>
      <c r="P477" s="24" t="str">
        <f aca="false">IF(OR(O477="",O477=0),"",(J477+H477)/O477)</f>
        <v/>
      </c>
      <c r="Q477" s="24" t="str">
        <f aca="false">IF(OR(O477="",E477=""),"",MAX(J477+H477-E477*O477,0))</f>
        <v/>
      </c>
      <c r="R477" s="26" t="str">
        <f aca="false">IF(A477="","",IF(COUNTIF(_TradeIds,A477)=0,"违规：交易编号不存在",IF(OR(B477="",B477&lt;1,B477&gt;5,B477&lt;&gt;INT(B477)),"违规：加仓序号须为1到5的整数",IF(COUNTIFS($A$2:$A$1001,A477,$B$2:$B$1001,B477)&gt;1,"违规：同一交易的加仓序号重复",IF(OR(D477="",E477="",F477=""),"计划不完整：请填写加仓价、新止损价和风险预算",IF(OR(D477&lt;=0,E477&lt;=0,F477&lt;=0,D477&lt;=E477),"违规：加仓价必须高于新止损价，金额须大于0",IF(AND(B477&gt;1,COUNTIFS($A$2:$A$1001,A477,$B$2:$B$1001,B477-1,$G$2:$G$1001,"&gt;0")=0),"违规：须先完成上一次加仓",IF(AND(B477&gt;1,E477&lt;SUMIFS($E$2:$E$1001,$A$2:$A$1001,A477,$B$2:$B$1001,B477-1)),"违规：新止损价不得低于上一次",IF(AND(B477&gt;1,F477&gt;SUMIFS($F$2:$F$1001,$A$2:$A$1001,A477,$B$2:$B$1001,B477-1)),"违规：风险预算须逐次不增加",IF(OR(_LockStatus="已锁仓",_LockStatus="解锁信息不完整"),"违规：锁仓期间禁止加仓",IF(G477="","计划可执行：建议股数见N列",IF(OR(G477&lt;=0,G477&lt;&gt;INT(G477),MOD(G477,100)&lt;&gt;0),"违规：实际股数须为100股整数倍",IF(G477&gt;N477,"违规：实际股数超过风险或金字塔上限",IF(AND(B477&gt;1,G477&gt;SUMIFS($G$2:$G$1001,$A$2:$A$1001,A477,$B$2:$B$1001,B477-1)),"违规：加仓股数须逐次不增加",IF(Q477&gt;F477,"违规：止损风险超过本次预算","通过")))))))))))))))</f>
        <v/>
      </c>
    </row>
    <row r="478" customFormat="false" ht="15" hidden="false" customHeight="false" outlineLevel="0" collapsed="false">
      <c r="A478" s="20"/>
      <c r="B478" s="21"/>
      <c r="C478" s="22"/>
      <c r="D478" s="23"/>
      <c r="E478" s="23"/>
      <c r="F478" s="23"/>
      <c r="G478" s="21"/>
      <c r="H478" s="24" t="str">
        <f aca="false">IF(OR(A478="",D478="",G478=""),"",D478*G478)</f>
        <v/>
      </c>
      <c r="I478" s="25" t="str">
        <f aca="false">IF(OR(A478="",B478=""),"",IFERROR(LOOKUP(2,1/(单次交易!$A$2:$A$201=A478),单次交易!$H$2:$H$201),0)+SUMIFS($G$2:$G$1001,$A$2:$A$1001,A478,$B$2:$B$1001,"&lt;"&amp;B478))</f>
        <v/>
      </c>
      <c r="J478" s="24" t="str">
        <f aca="false">IF(OR(A478="",B478=""),"",IFERROR(LOOKUP(2,1/(单次交易!$A$2:$A$201=A478),单次交易!$E$2:$E$201)*LOOKUP(2,1/(单次交易!$A$2:$A$201=A478),单次交易!$H$2:$H$201),0)+SUMIFS($H$2:$H$1001,$A$2:$A$1001,A478,$B$2:$B$1001,"&lt;"&amp;B478))</f>
        <v/>
      </c>
      <c r="K478" s="24" t="str">
        <f aca="false">IF(OR(E478="",I478="",J478=""),"",MAX(E478*I478-J478,0))</f>
        <v/>
      </c>
      <c r="L478" s="25" t="str">
        <f aca="false">IF(OR(D478="",E478="",F478="",D478&lt;=E478),"",FLOOR((F478+K478)/(D478-E478),100))</f>
        <v/>
      </c>
      <c r="M478" s="25" t="str">
        <f aca="false">IF(OR(A478="",B478="",L478=""),"",IF(B478=1,L478,IFERROR(SUMIFS($G$2:$G$1001,$A$2:$A$1001,A478,$B$2:$B$1001,B478-1),0)))</f>
        <v/>
      </c>
      <c r="N478" s="25" t="str">
        <f aca="false">IF(OR(L478="",M478=""),"",MIN(L478,M478))</f>
        <v/>
      </c>
      <c r="O478" s="25" t="str">
        <f aca="false">IF(OR(I478="",G478=""),"",I478+G478)</f>
        <v/>
      </c>
      <c r="P478" s="24" t="str">
        <f aca="false">IF(OR(O478="",O478=0),"",(J478+H478)/O478)</f>
        <v/>
      </c>
      <c r="Q478" s="24" t="str">
        <f aca="false">IF(OR(O478="",E478=""),"",MAX(J478+H478-E478*O478,0))</f>
        <v/>
      </c>
      <c r="R478" s="26" t="str">
        <f aca="false">IF(A478="","",IF(COUNTIF(_TradeIds,A478)=0,"违规：交易编号不存在",IF(OR(B478="",B478&lt;1,B478&gt;5,B478&lt;&gt;INT(B478)),"违规：加仓序号须为1到5的整数",IF(COUNTIFS($A$2:$A$1001,A478,$B$2:$B$1001,B478)&gt;1,"违规：同一交易的加仓序号重复",IF(OR(D478="",E478="",F478=""),"计划不完整：请填写加仓价、新止损价和风险预算",IF(OR(D478&lt;=0,E478&lt;=0,F478&lt;=0,D478&lt;=E478),"违规：加仓价必须高于新止损价，金额须大于0",IF(AND(B478&gt;1,COUNTIFS($A$2:$A$1001,A478,$B$2:$B$1001,B478-1,$G$2:$G$1001,"&gt;0")=0),"违规：须先完成上一次加仓",IF(AND(B478&gt;1,E478&lt;SUMIFS($E$2:$E$1001,$A$2:$A$1001,A478,$B$2:$B$1001,B478-1)),"违规：新止损价不得低于上一次",IF(AND(B478&gt;1,F478&gt;SUMIFS($F$2:$F$1001,$A$2:$A$1001,A478,$B$2:$B$1001,B478-1)),"违规：风险预算须逐次不增加",IF(OR(_LockStatus="已锁仓",_LockStatus="解锁信息不完整"),"违规：锁仓期间禁止加仓",IF(G478="","计划可执行：建议股数见N列",IF(OR(G478&lt;=0,G478&lt;&gt;INT(G478),MOD(G478,100)&lt;&gt;0),"违规：实际股数须为100股整数倍",IF(G478&gt;N478,"违规：实际股数超过风险或金字塔上限",IF(AND(B478&gt;1,G478&gt;SUMIFS($G$2:$G$1001,$A$2:$A$1001,A478,$B$2:$B$1001,B478-1)),"违规：加仓股数须逐次不增加",IF(Q478&gt;F478,"违规：止损风险超过本次预算","通过")))))))))))))))</f>
        <v/>
      </c>
    </row>
    <row r="479" customFormat="false" ht="15" hidden="false" customHeight="false" outlineLevel="0" collapsed="false">
      <c r="A479" s="20"/>
      <c r="B479" s="21"/>
      <c r="C479" s="22"/>
      <c r="D479" s="23"/>
      <c r="E479" s="23"/>
      <c r="F479" s="23"/>
      <c r="G479" s="21"/>
      <c r="H479" s="24" t="str">
        <f aca="false">IF(OR(A479="",D479="",G479=""),"",D479*G479)</f>
        <v/>
      </c>
      <c r="I479" s="25" t="str">
        <f aca="false">IF(OR(A479="",B479=""),"",IFERROR(LOOKUP(2,1/(单次交易!$A$2:$A$201=A479),单次交易!$H$2:$H$201),0)+SUMIFS($G$2:$G$1001,$A$2:$A$1001,A479,$B$2:$B$1001,"&lt;"&amp;B479))</f>
        <v/>
      </c>
      <c r="J479" s="24" t="str">
        <f aca="false">IF(OR(A479="",B479=""),"",IFERROR(LOOKUP(2,1/(单次交易!$A$2:$A$201=A479),单次交易!$E$2:$E$201)*LOOKUP(2,1/(单次交易!$A$2:$A$201=A479),单次交易!$H$2:$H$201),0)+SUMIFS($H$2:$H$1001,$A$2:$A$1001,A479,$B$2:$B$1001,"&lt;"&amp;B479))</f>
        <v/>
      </c>
      <c r="K479" s="24" t="str">
        <f aca="false">IF(OR(E479="",I479="",J479=""),"",MAX(E479*I479-J479,0))</f>
        <v/>
      </c>
      <c r="L479" s="25" t="str">
        <f aca="false">IF(OR(D479="",E479="",F479="",D479&lt;=E479),"",FLOOR((F479+K479)/(D479-E479),100))</f>
        <v/>
      </c>
      <c r="M479" s="25" t="str">
        <f aca="false">IF(OR(A479="",B479="",L479=""),"",IF(B479=1,L479,IFERROR(SUMIFS($G$2:$G$1001,$A$2:$A$1001,A479,$B$2:$B$1001,B479-1),0)))</f>
        <v/>
      </c>
      <c r="N479" s="25" t="str">
        <f aca="false">IF(OR(L479="",M479=""),"",MIN(L479,M479))</f>
        <v/>
      </c>
      <c r="O479" s="25" t="str">
        <f aca="false">IF(OR(I479="",G479=""),"",I479+G479)</f>
        <v/>
      </c>
      <c r="P479" s="24" t="str">
        <f aca="false">IF(OR(O479="",O479=0),"",(J479+H479)/O479)</f>
        <v/>
      </c>
      <c r="Q479" s="24" t="str">
        <f aca="false">IF(OR(O479="",E479=""),"",MAX(J479+H479-E479*O479,0))</f>
        <v/>
      </c>
      <c r="R479" s="26" t="str">
        <f aca="false">IF(A479="","",IF(COUNTIF(_TradeIds,A479)=0,"违规：交易编号不存在",IF(OR(B479="",B479&lt;1,B479&gt;5,B479&lt;&gt;INT(B479)),"违规：加仓序号须为1到5的整数",IF(COUNTIFS($A$2:$A$1001,A479,$B$2:$B$1001,B479)&gt;1,"违规：同一交易的加仓序号重复",IF(OR(D479="",E479="",F479=""),"计划不完整：请填写加仓价、新止损价和风险预算",IF(OR(D479&lt;=0,E479&lt;=0,F479&lt;=0,D479&lt;=E479),"违规：加仓价必须高于新止损价，金额须大于0",IF(AND(B479&gt;1,COUNTIFS($A$2:$A$1001,A479,$B$2:$B$1001,B479-1,$G$2:$G$1001,"&gt;0")=0),"违规：须先完成上一次加仓",IF(AND(B479&gt;1,E479&lt;SUMIFS($E$2:$E$1001,$A$2:$A$1001,A479,$B$2:$B$1001,B479-1)),"违规：新止损价不得低于上一次",IF(AND(B479&gt;1,F479&gt;SUMIFS($F$2:$F$1001,$A$2:$A$1001,A479,$B$2:$B$1001,B479-1)),"违规：风险预算须逐次不增加",IF(OR(_LockStatus="已锁仓",_LockStatus="解锁信息不完整"),"违规：锁仓期间禁止加仓",IF(G479="","计划可执行：建议股数见N列",IF(OR(G479&lt;=0,G479&lt;&gt;INT(G479),MOD(G479,100)&lt;&gt;0),"违规：实际股数须为100股整数倍",IF(G479&gt;N479,"违规：实际股数超过风险或金字塔上限",IF(AND(B479&gt;1,G479&gt;SUMIFS($G$2:$G$1001,$A$2:$A$1001,A479,$B$2:$B$1001,B479-1)),"违规：加仓股数须逐次不增加",IF(Q479&gt;F479,"违规：止损风险超过本次预算","通过")))))))))))))))</f>
        <v/>
      </c>
    </row>
    <row r="480" customFormat="false" ht="15" hidden="false" customHeight="false" outlineLevel="0" collapsed="false">
      <c r="A480" s="20"/>
      <c r="B480" s="21"/>
      <c r="C480" s="22"/>
      <c r="D480" s="23"/>
      <c r="E480" s="23"/>
      <c r="F480" s="23"/>
      <c r="G480" s="21"/>
      <c r="H480" s="24" t="str">
        <f aca="false">IF(OR(A480="",D480="",G480=""),"",D480*G480)</f>
        <v/>
      </c>
      <c r="I480" s="25" t="str">
        <f aca="false">IF(OR(A480="",B480=""),"",IFERROR(LOOKUP(2,1/(单次交易!$A$2:$A$201=A480),单次交易!$H$2:$H$201),0)+SUMIFS($G$2:$G$1001,$A$2:$A$1001,A480,$B$2:$B$1001,"&lt;"&amp;B480))</f>
        <v/>
      </c>
      <c r="J480" s="24" t="str">
        <f aca="false">IF(OR(A480="",B480=""),"",IFERROR(LOOKUP(2,1/(单次交易!$A$2:$A$201=A480),单次交易!$E$2:$E$201)*LOOKUP(2,1/(单次交易!$A$2:$A$201=A480),单次交易!$H$2:$H$201),0)+SUMIFS($H$2:$H$1001,$A$2:$A$1001,A480,$B$2:$B$1001,"&lt;"&amp;B480))</f>
        <v/>
      </c>
      <c r="K480" s="24" t="str">
        <f aca="false">IF(OR(E480="",I480="",J480=""),"",MAX(E480*I480-J480,0))</f>
        <v/>
      </c>
      <c r="L480" s="25" t="str">
        <f aca="false">IF(OR(D480="",E480="",F480="",D480&lt;=E480),"",FLOOR((F480+K480)/(D480-E480),100))</f>
        <v/>
      </c>
      <c r="M480" s="25" t="str">
        <f aca="false">IF(OR(A480="",B480="",L480=""),"",IF(B480=1,L480,IFERROR(SUMIFS($G$2:$G$1001,$A$2:$A$1001,A480,$B$2:$B$1001,B480-1),0)))</f>
        <v/>
      </c>
      <c r="N480" s="25" t="str">
        <f aca="false">IF(OR(L480="",M480=""),"",MIN(L480,M480))</f>
        <v/>
      </c>
      <c r="O480" s="25" t="str">
        <f aca="false">IF(OR(I480="",G480=""),"",I480+G480)</f>
        <v/>
      </c>
      <c r="P480" s="24" t="str">
        <f aca="false">IF(OR(O480="",O480=0),"",(J480+H480)/O480)</f>
        <v/>
      </c>
      <c r="Q480" s="24" t="str">
        <f aca="false">IF(OR(O480="",E480=""),"",MAX(J480+H480-E480*O480,0))</f>
        <v/>
      </c>
      <c r="R480" s="26" t="str">
        <f aca="false">IF(A480="","",IF(COUNTIF(_TradeIds,A480)=0,"违规：交易编号不存在",IF(OR(B480="",B480&lt;1,B480&gt;5,B480&lt;&gt;INT(B480)),"违规：加仓序号须为1到5的整数",IF(COUNTIFS($A$2:$A$1001,A480,$B$2:$B$1001,B480)&gt;1,"违规：同一交易的加仓序号重复",IF(OR(D480="",E480="",F480=""),"计划不完整：请填写加仓价、新止损价和风险预算",IF(OR(D480&lt;=0,E480&lt;=0,F480&lt;=0,D480&lt;=E480),"违规：加仓价必须高于新止损价，金额须大于0",IF(AND(B480&gt;1,COUNTIFS($A$2:$A$1001,A480,$B$2:$B$1001,B480-1,$G$2:$G$1001,"&gt;0")=0),"违规：须先完成上一次加仓",IF(AND(B480&gt;1,E480&lt;SUMIFS($E$2:$E$1001,$A$2:$A$1001,A480,$B$2:$B$1001,B480-1)),"违规：新止损价不得低于上一次",IF(AND(B480&gt;1,F480&gt;SUMIFS($F$2:$F$1001,$A$2:$A$1001,A480,$B$2:$B$1001,B480-1)),"违规：风险预算须逐次不增加",IF(OR(_LockStatus="已锁仓",_LockStatus="解锁信息不完整"),"违规：锁仓期间禁止加仓",IF(G480="","计划可执行：建议股数见N列",IF(OR(G480&lt;=0,G480&lt;&gt;INT(G480),MOD(G480,100)&lt;&gt;0),"违规：实际股数须为100股整数倍",IF(G480&gt;N480,"违规：实际股数超过风险或金字塔上限",IF(AND(B480&gt;1,G480&gt;SUMIFS($G$2:$G$1001,$A$2:$A$1001,A480,$B$2:$B$1001,B480-1)),"违规：加仓股数须逐次不增加",IF(Q480&gt;F480,"违规：止损风险超过本次预算","通过")))))))))))))))</f>
        <v/>
      </c>
    </row>
    <row r="481" customFormat="false" ht="15" hidden="false" customHeight="false" outlineLevel="0" collapsed="false">
      <c r="A481" s="20"/>
      <c r="B481" s="21"/>
      <c r="C481" s="22"/>
      <c r="D481" s="23"/>
      <c r="E481" s="23"/>
      <c r="F481" s="23"/>
      <c r="G481" s="21"/>
      <c r="H481" s="24" t="str">
        <f aca="false">IF(OR(A481="",D481="",G481=""),"",D481*G481)</f>
        <v/>
      </c>
      <c r="I481" s="25" t="str">
        <f aca="false">IF(OR(A481="",B481=""),"",IFERROR(LOOKUP(2,1/(单次交易!$A$2:$A$201=A481),单次交易!$H$2:$H$201),0)+SUMIFS($G$2:$G$1001,$A$2:$A$1001,A481,$B$2:$B$1001,"&lt;"&amp;B481))</f>
        <v/>
      </c>
      <c r="J481" s="24" t="str">
        <f aca="false">IF(OR(A481="",B481=""),"",IFERROR(LOOKUP(2,1/(单次交易!$A$2:$A$201=A481),单次交易!$E$2:$E$201)*LOOKUP(2,1/(单次交易!$A$2:$A$201=A481),单次交易!$H$2:$H$201),0)+SUMIFS($H$2:$H$1001,$A$2:$A$1001,A481,$B$2:$B$1001,"&lt;"&amp;B481))</f>
        <v/>
      </c>
      <c r="K481" s="24" t="str">
        <f aca="false">IF(OR(E481="",I481="",J481=""),"",MAX(E481*I481-J481,0))</f>
        <v/>
      </c>
      <c r="L481" s="25" t="str">
        <f aca="false">IF(OR(D481="",E481="",F481="",D481&lt;=E481),"",FLOOR((F481+K481)/(D481-E481),100))</f>
        <v/>
      </c>
      <c r="M481" s="25" t="str">
        <f aca="false">IF(OR(A481="",B481="",L481=""),"",IF(B481=1,L481,IFERROR(SUMIFS($G$2:$G$1001,$A$2:$A$1001,A481,$B$2:$B$1001,B481-1),0)))</f>
        <v/>
      </c>
      <c r="N481" s="25" t="str">
        <f aca="false">IF(OR(L481="",M481=""),"",MIN(L481,M481))</f>
        <v/>
      </c>
      <c r="O481" s="25" t="str">
        <f aca="false">IF(OR(I481="",G481=""),"",I481+G481)</f>
        <v/>
      </c>
      <c r="P481" s="24" t="str">
        <f aca="false">IF(OR(O481="",O481=0),"",(J481+H481)/O481)</f>
        <v/>
      </c>
      <c r="Q481" s="24" t="str">
        <f aca="false">IF(OR(O481="",E481=""),"",MAX(J481+H481-E481*O481,0))</f>
        <v/>
      </c>
      <c r="R481" s="26" t="str">
        <f aca="false">IF(A481="","",IF(COUNTIF(_TradeIds,A481)=0,"违规：交易编号不存在",IF(OR(B481="",B481&lt;1,B481&gt;5,B481&lt;&gt;INT(B481)),"违规：加仓序号须为1到5的整数",IF(COUNTIFS($A$2:$A$1001,A481,$B$2:$B$1001,B481)&gt;1,"违规：同一交易的加仓序号重复",IF(OR(D481="",E481="",F481=""),"计划不完整：请填写加仓价、新止损价和风险预算",IF(OR(D481&lt;=0,E481&lt;=0,F481&lt;=0,D481&lt;=E481),"违规：加仓价必须高于新止损价，金额须大于0",IF(AND(B481&gt;1,COUNTIFS($A$2:$A$1001,A481,$B$2:$B$1001,B481-1,$G$2:$G$1001,"&gt;0")=0),"违规：须先完成上一次加仓",IF(AND(B481&gt;1,E481&lt;SUMIFS($E$2:$E$1001,$A$2:$A$1001,A481,$B$2:$B$1001,B481-1)),"违规：新止损价不得低于上一次",IF(AND(B481&gt;1,F481&gt;SUMIFS($F$2:$F$1001,$A$2:$A$1001,A481,$B$2:$B$1001,B481-1)),"违规：风险预算须逐次不增加",IF(OR(_LockStatus="已锁仓",_LockStatus="解锁信息不完整"),"违规：锁仓期间禁止加仓",IF(G481="","计划可执行：建议股数见N列",IF(OR(G481&lt;=0,G481&lt;&gt;INT(G481),MOD(G481,100)&lt;&gt;0),"违规：实际股数须为100股整数倍",IF(G481&gt;N481,"违规：实际股数超过风险或金字塔上限",IF(AND(B481&gt;1,G481&gt;SUMIFS($G$2:$G$1001,$A$2:$A$1001,A481,$B$2:$B$1001,B481-1)),"违规：加仓股数须逐次不增加",IF(Q481&gt;F481,"违规：止损风险超过本次预算","通过")))))))))))))))</f>
        <v/>
      </c>
    </row>
    <row r="482" customFormat="false" ht="15" hidden="false" customHeight="false" outlineLevel="0" collapsed="false">
      <c r="A482" s="20"/>
      <c r="B482" s="21"/>
      <c r="C482" s="22"/>
      <c r="D482" s="23"/>
      <c r="E482" s="23"/>
      <c r="F482" s="23"/>
      <c r="G482" s="21"/>
      <c r="H482" s="24" t="str">
        <f aca="false">IF(OR(A482="",D482="",G482=""),"",D482*G482)</f>
        <v/>
      </c>
      <c r="I482" s="25" t="str">
        <f aca="false">IF(OR(A482="",B482=""),"",IFERROR(LOOKUP(2,1/(单次交易!$A$2:$A$201=A482),单次交易!$H$2:$H$201),0)+SUMIFS($G$2:$G$1001,$A$2:$A$1001,A482,$B$2:$B$1001,"&lt;"&amp;B482))</f>
        <v/>
      </c>
      <c r="J482" s="24" t="str">
        <f aca="false">IF(OR(A482="",B482=""),"",IFERROR(LOOKUP(2,1/(单次交易!$A$2:$A$201=A482),单次交易!$E$2:$E$201)*LOOKUP(2,1/(单次交易!$A$2:$A$201=A482),单次交易!$H$2:$H$201),0)+SUMIFS($H$2:$H$1001,$A$2:$A$1001,A482,$B$2:$B$1001,"&lt;"&amp;B482))</f>
        <v/>
      </c>
      <c r="K482" s="24" t="str">
        <f aca="false">IF(OR(E482="",I482="",J482=""),"",MAX(E482*I482-J482,0))</f>
        <v/>
      </c>
      <c r="L482" s="25" t="str">
        <f aca="false">IF(OR(D482="",E482="",F482="",D482&lt;=E482),"",FLOOR((F482+K482)/(D482-E482),100))</f>
        <v/>
      </c>
      <c r="M482" s="25" t="str">
        <f aca="false">IF(OR(A482="",B482="",L482=""),"",IF(B482=1,L482,IFERROR(SUMIFS($G$2:$G$1001,$A$2:$A$1001,A482,$B$2:$B$1001,B482-1),0)))</f>
        <v/>
      </c>
      <c r="N482" s="25" t="str">
        <f aca="false">IF(OR(L482="",M482=""),"",MIN(L482,M482))</f>
        <v/>
      </c>
      <c r="O482" s="25" t="str">
        <f aca="false">IF(OR(I482="",G482=""),"",I482+G482)</f>
        <v/>
      </c>
      <c r="P482" s="24" t="str">
        <f aca="false">IF(OR(O482="",O482=0),"",(J482+H482)/O482)</f>
        <v/>
      </c>
      <c r="Q482" s="24" t="str">
        <f aca="false">IF(OR(O482="",E482=""),"",MAX(J482+H482-E482*O482,0))</f>
        <v/>
      </c>
      <c r="R482" s="26" t="str">
        <f aca="false">IF(A482="","",IF(COUNTIF(_TradeIds,A482)=0,"违规：交易编号不存在",IF(OR(B482="",B482&lt;1,B482&gt;5,B482&lt;&gt;INT(B482)),"违规：加仓序号须为1到5的整数",IF(COUNTIFS($A$2:$A$1001,A482,$B$2:$B$1001,B482)&gt;1,"违规：同一交易的加仓序号重复",IF(OR(D482="",E482="",F482=""),"计划不完整：请填写加仓价、新止损价和风险预算",IF(OR(D482&lt;=0,E482&lt;=0,F482&lt;=0,D482&lt;=E482),"违规：加仓价必须高于新止损价，金额须大于0",IF(AND(B482&gt;1,COUNTIFS($A$2:$A$1001,A482,$B$2:$B$1001,B482-1,$G$2:$G$1001,"&gt;0")=0),"违规：须先完成上一次加仓",IF(AND(B482&gt;1,E482&lt;SUMIFS($E$2:$E$1001,$A$2:$A$1001,A482,$B$2:$B$1001,B482-1)),"违规：新止损价不得低于上一次",IF(AND(B482&gt;1,F482&gt;SUMIFS($F$2:$F$1001,$A$2:$A$1001,A482,$B$2:$B$1001,B482-1)),"违规：风险预算须逐次不增加",IF(OR(_LockStatus="已锁仓",_LockStatus="解锁信息不完整"),"违规：锁仓期间禁止加仓",IF(G482="","计划可执行：建议股数见N列",IF(OR(G482&lt;=0,G482&lt;&gt;INT(G482),MOD(G482,100)&lt;&gt;0),"违规：实际股数须为100股整数倍",IF(G482&gt;N482,"违规：实际股数超过风险或金字塔上限",IF(AND(B482&gt;1,G482&gt;SUMIFS($G$2:$G$1001,$A$2:$A$1001,A482,$B$2:$B$1001,B482-1)),"违规：加仓股数须逐次不增加",IF(Q482&gt;F482,"违规：止损风险超过本次预算","通过")))))))))))))))</f>
        <v/>
      </c>
    </row>
    <row r="483" customFormat="false" ht="15" hidden="false" customHeight="false" outlineLevel="0" collapsed="false">
      <c r="A483" s="20"/>
      <c r="B483" s="21"/>
      <c r="C483" s="22"/>
      <c r="D483" s="23"/>
      <c r="E483" s="23"/>
      <c r="F483" s="23"/>
      <c r="G483" s="21"/>
      <c r="H483" s="24" t="str">
        <f aca="false">IF(OR(A483="",D483="",G483=""),"",D483*G483)</f>
        <v/>
      </c>
      <c r="I483" s="25" t="str">
        <f aca="false">IF(OR(A483="",B483=""),"",IFERROR(LOOKUP(2,1/(单次交易!$A$2:$A$201=A483),单次交易!$H$2:$H$201),0)+SUMIFS($G$2:$G$1001,$A$2:$A$1001,A483,$B$2:$B$1001,"&lt;"&amp;B483))</f>
        <v/>
      </c>
      <c r="J483" s="24" t="str">
        <f aca="false">IF(OR(A483="",B483=""),"",IFERROR(LOOKUP(2,1/(单次交易!$A$2:$A$201=A483),单次交易!$E$2:$E$201)*LOOKUP(2,1/(单次交易!$A$2:$A$201=A483),单次交易!$H$2:$H$201),0)+SUMIFS($H$2:$H$1001,$A$2:$A$1001,A483,$B$2:$B$1001,"&lt;"&amp;B483))</f>
        <v/>
      </c>
      <c r="K483" s="24" t="str">
        <f aca="false">IF(OR(E483="",I483="",J483=""),"",MAX(E483*I483-J483,0))</f>
        <v/>
      </c>
      <c r="L483" s="25" t="str">
        <f aca="false">IF(OR(D483="",E483="",F483="",D483&lt;=E483),"",FLOOR((F483+K483)/(D483-E483),100))</f>
        <v/>
      </c>
      <c r="M483" s="25" t="str">
        <f aca="false">IF(OR(A483="",B483="",L483=""),"",IF(B483=1,L483,IFERROR(SUMIFS($G$2:$G$1001,$A$2:$A$1001,A483,$B$2:$B$1001,B483-1),0)))</f>
        <v/>
      </c>
      <c r="N483" s="25" t="str">
        <f aca="false">IF(OR(L483="",M483=""),"",MIN(L483,M483))</f>
        <v/>
      </c>
      <c r="O483" s="25" t="str">
        <f aca="false">IF(OR(I483="",G483=""),"",I483+G483)</f>
        <v/>
      </c>
      <c r="P483" s="24" t="str">
        <f aca="false">IF(OR(O483="",O483=0),"",(J483+H483)/O483)</f>
        <v/>
      </c>
      <c r="Q483" s="24" t="str">
        <f aca="false">IF(OR(O483="",E483=""),"",MAX(J483+H483-E483*O483,0))</f>
        <v/>
      </c>
      <c r="R483" s="26" t="str">
        <f aca="false">IF(A483="","",IF(COUNTIF(_TradeIds,A483)=0,"违规：交易编号不存在",IF(OR(B483="",B483&lt;1,B483&gt;5,B483&lt;&gt;INT(B483)),"违规：加仓序号须为1到5的整数",IF(COUNTIFS($A$2:$A$1001,A483,$B$2:$B$1001,B483)&gt;1,"违规：同一交易的加仓序号重复",IF(OR(D483="",E483="",F483=""),"计划不完整：请填写加仓价、新止损价和风险预算",IF(OR(D483&lt;=0,E483&lt;=0,F483&lt;=0,D483&lt;=E483),"违规：加仓价必须高于新止损价，金额须大于0",IF(AND(B483&gt;1,COUNTIFS($A$2:$A$1001,A483,$B$2:$B$1001,B483-1,$G$2:$G$1001,"&gt;0")=0),"违规：须先完成上一次加仓",IF(AND(B483&gt;1,E483&lt;SUMIFS($E$2:$E$1001,$A$2:$A$1001,A483,$B$2:$B$1001,B483-1)),"违规：新止损价不得低于上一次",IF(AND(B483&gt;1,F483&gt;SUMIFS($F$2:$F$1001,$A$2:$A$1001,A483,$B$2:$B$1001,B483-1)),"违规：风险预算须逐次不增加",IF(OR(_LockStatus="已锁仓",_LockStatus="解锁信息不完整"),"违规：锁仓期间禁止加仓",IF(G483="","计划可执行：建议股数见N列",IF(OR(G483&lt;=0,G483&lt;&gt;INT(G483),MOD(G483,100)&lt;&gt;0),"违规：实际股数须为100股整数倍",IF(G483&gt;N483,"违规：实际股数超过风险或金字塔上限",IF(AND(B483&gt;1,G483&gt;SUMIFS($G$2:$G$1001,$A$2:$A$1001,A483,$B$2:$B$1001,B483-1)),"违规：加仓股数须逐次不增加",IF(Q483&gt;F483,"违规：止损风险超过本次预算","通过")))))))))))))))</f>
        <v/>
      </c>
    </row>
    <row r="484" customFormat="false" ht="15" hidden="false" customHeight="false" outlineLevel="0" collapsed="false">
      <c r="A484" s="20"/>
      <c r="B484" s="21"/>
      <c r="C484" s="22"/>
      <c r="D484" s="23"/>
      <c r="E484" s="23"/>
      <c r="F484" s="23"/>
      <c r="G484" s="21"/>
      <c r="H484" s="24" t="str">
        <f aca="false">IF(OR(A484="",D484="",G484=""),"",D484*G484)</f>
        <v/>
      </c>
      <c r="I484" s="25" t="str">
        <f aca="false">IF(OR(A484="",B484=""),"",IFERROR(LOOKUP(2,1/(单次交易!$A$2:$A$201=A484),单次交易!$H$2:$H$201),0)+SUMIFS($G$2:$G$1001,$A$2:$A$1001,A484,$B$2:$B$1001,"&lt;"&amp;B484))</f>
        <v/>
      </c>
      <c r="J484" s="24" t="str">
        <f aca="false">IF(OR(A484="",B484=""),"",IFERROR(LOOKUP(2,1/(单次交易!$A$2:$A$201=A484),单次交易!$E$2:$E$201)*LOOKUP(2,1/(单次交易!$A$2:$A$201=A484),单次交易!$H$2:$H$201),0)+SUMIFS($H$2:$H$1001,$A$2:$A$1001,A484,$B$2:$B$1001,"&lt;"&amp;B484))</f>
        <v/>
      </c>
      <c r="K484" s="24" t="str">
        <f aca="false">IF(OR(E484="",I484="",J484=""),"",MAX(E484*I484-J484,0))</f>
        <v/>
      </c>
      <c r="L484" s="25" t="str">
        <f aca="false">IF(OR(D484="",E484="",F484="",D484&lt;=E484),"",FLOOR((F484+K484)/(D484-E484),100))</f>
        <v/>
      </c>
      <c r="M484" s="25" t="str">
        <f aca="false">IF(OR(A484="",B484="",L484=""),"",IF(B484=1,L484,IFERROR(SUMIFS($G$2:$G$1001,$A$2:$A$1001,A484,$B$2:$B$1001,B484-1),0)))</f>
        <v/>
      </c>
      <c r="N484" s="25" t="str">
        <f aca="false">IF(OR(L484="",M484=""),"",MIN(L484,M484))</f>
        <v/>
      </c>
      <c r="O484" s="25" t="str">
        <f aca="false">IF(OR(I484="",G484=""),"",I484+G484)</f>
        <v/>
      </c>
      <c r="P484" s="24" t="str">
        <f aca="false">IF(OR(O484="",O484=0),"",(J484+H484)/O484)</f>
        <v/>
      </c>
      <c r="Q484" s="24" t="str">
        <f aca="false">IF(OR(O484="",E484=""),"",MAX(J484+H484-E484*O484,0))</f>
        <v/>
      </c>
      <c r="R484" s="26" t="str">
        <f aca="false">IF(A484="","",IF(COUNTIF(_TradeIds,A484)=0,"违规：交易编号不存在",IF(OR(B484="",B484&lt;1,B484&gt;5,B484&lt;&gt;INT(B484)),"违规：加仓序号须为1到5的整数",IF(COUNTIFS($A$2:$A$1001,A484,$B$2:$B$1001,B484)&gt;1,"违规：同一交易的加仓序号重复",IF(OR(D484="",E484="",F484=""),"计划不完整：请填写加仓价、新止损价和风险预算",IF(OR(D484&lt;=0,E484&lt;=0,F484&lt;=0,D484&lt;=E484),"违规：加仓价必须高于新止损价，金额须大于0",IF(AND(B484&gt;1,COUNTIFS($A$2:$A$1001,A484,$B$2:$B$1001,B484-1,$G$2:$G$1001,"&gt;0")=0),"违规：须先完成上一次加仓",IF(AND(B484&gt;1,E484&lt;SUMIFS($E$2:$E$1001,$A$2:$A$1001,A484,$B$2:$B$1001,B484-1)),"违规：新止损价不得低于上一次",IF(AND(B484&gt;1,F484&gt;SUMIFS($F$2:$F$1001,$A$2:$A$1001,A484,$B$2:$B$1001,B484-1)),"违规：风险预算须逐次不增加",IF(OR(_LockStatus="已锁仓",_LockStatus="解锁信息不完整"),"违规：锁仓期间禁止加仓",IF(G484="","计划可执行：建议股数见N列",IF(OR(G484&lt;=0,G484&lt;&gt;INT(G484),MOD(G484,100)&lt;&gt;0),"违规：实际股数须为100股整数倍",IF(G484&gt;N484,"违规：实际股数超过风险或金字塔上限",IF(AND(B484&gt;1,G484&gt;SUMIFS($G$2:$G$1001,$A$2:$A$1001,A484,$B$2:$B$1001,B484-1)),"违规：加仓股数须逐次不增加",IF(Q484&gt;F484,"违规：止损风险超过本次预算","通过")))))))))))))))</f>
        <v/>
      </c>
    </row>
    <row r="485" customFormat="false" ht="15" hidden="false" customHeight="false" outlineLevel="0" collapsed="false">
      <c r="A485" s="20"/>
      <c r="B485" s="21"/>
      <c r="C485" s="22"/>
      <c r="D485" s="23"/>
      <c r="E485" s="23"/>
      <c r="F485" s="23"/>
      <c r="G485" s="21"/>
      <c r="H485" s="24" t="str">
        <f aca="false">IF(OR(A485="",D485="",G485=""),"",D485*G485)</f>
        <v/>
      </c>
      <c r="I485" s="25" t="str">
        <f aca="false">IF(OR(A485="",B485=""),"",IFERROR(LOOKUP(2,1/(单次交易!$A$2:$A$201=A485),单次交易!$H$2:$H$201),0)+SUMIFS($G$2:$G$1001,$A$2:$A$1001,A485,$B$2:$B$1001,"&lt;"&amp;B485))</f>
        <v/>
      </c>
      <c r="J485" s="24" t="str">
        <f aca="false">IF(OR(A485="",B485=""),"",IFERROR(LOOKUP(2,1/(单次交易!$A$2:$A$201=A485),单次交易!$E$2:$E$201)*LOOKUP(2,1/(单次交易!$A$2:$A$201=A485),单次交易!$H$2:$H$201),0)+SUMIFS($H$2:$H$1001,$A$2:$A$1001,A485,$B$2:$B$1001,"&lt;"&amp;B485))</f>
        <v/>
      </c>
      <c r="K485" s="24" t="str">
        <f aca="false">IF(OR(E485="",I485="",J485=""),"",MAX(E485*I485-J485,0))</f>
        <v/>
      </c>
      <c r="L485" s="25" t="str">
        <f aca="false">IF(OR(D485="",E485="",F485="",D485&lt;=E485),"",FLOOR((F485+K485)/(D485-E485),100))</f>
        <v/>
      </c>
      <c r="M485" s="25" t="str">
        <f aca="false">IF(OR(A485="",B485="",L485=""),"",IF(B485=1,L485,IFERROR(SUMIFS($G$2:$G$1001,$A$2:$A$1001,A485,$B$2:$B$1001,B485-1),0)))</f>
        <v/>
      </c>
      <c r="N485" s="25" t="str">
        <f aca="false">IF(OR(L485="",M485=""),"",MIN(L485,M485))</f>
        <v/>
      </c>
      <c r="O485" s="25" t="str">
        <f aca="false">IF(OR(I485="",G485=""),"",I485+G485)</f>
        <v/>
      </c>
      <c r="P485" s="24" t="str">
        <f aca="false">IF(OR(O485="",O485=0),"",(J485+H485)/O485)</f>
        <v/>
      </c>
      <c r="Q485" s="24" t="str">
        <f aca="false">IF(OR(O485="",E485=""),"",MAX(J485+H485-E485*O485,0))</f>
        <v/>
      </c>
      <c r="R485" s="26" t="str">
        <f aca="false">IF(A485="","",IF(COUNTIF(_TradeIds,A485)=0,"违规：交易编号不存在",IF(OR(B485="",B485&lt;1,B485&gt;5,B485&lt;&gt;INT(B485)),"违规：加仓序号须为1到5的整数",IF(COUNTIFS($A$2:$A$1001,A485,$B$2:$B$1001,B485)&gt;1,"违规：同一交易的加仓序号重复",IF(OR(D485="",E485="",F485=""),"计划不完整：请填写加仓价、新止损价和风险预算",IF(OR(D485&lt;=0,E485&lt;=0,F485&lt;=0,D485&lt;=E485),"违规：加仓价必须高于新止损价，金额须大于0",IF(AND(B485&gt;1,COUNTIFS($A$2:$A$1001,A485,$B$2:$B$1001,B485-1,$G$2:$G$1001,"&gt;0")=0),"违规：须先完成上一次加仓",IF(AND(B485&gt;1,E485&lt;SUMIFS($E$2:$E$1001,$A$2:$A$1001,A485,$B$2:$B$1001,B485-1)),"违规：新止损价不得低于上一次",IF(AND(B485&gt;1,F485&gt;SUMIFS($F$2:$F$1001,$A$2:$A$1001,A485,$B$2:$B$1001,B485-1)),"违规：风险预算须逐次不增加",IF(OR(_LockStatus="已锁仓",_LockStatus="解锁信息不完整"),"违规：锁仓期间禁止加仓",IF(G485="","计划可执行：建议股数见N列",IF(OR(G485&lt;=0,G485&lt;&gt;INT(G485),MOD(G485,100)&lt;&gt;0),"违规：实际股数须为100股整数倍",IF(G485&gt;N485,"违规：实际股数超过风险或金字塔上限",IF(AND(B485&gt;1,G485&gt;SUMIFS($G$2:$G$1001,$A$2:$A$1001,A485,$B$2:$B$1001,B485-1)),"违规：加仓股数须逐次不增加",IF(Q485&gt;F485,"违规：止损风险超过本次预算","通过")))))))))))))))</f>
        <v/>
      </c>
    </row>
    <row r="486" customFormat="false" ht="15" hidden="false" customHeight="false" outlineLevel="0" collapsed="false">
      <c r="A486" s="20"/>
      <c r="B486" s="21"/>
      <c r="C486" s="22"/>
      <c r="D486" s="23"/>
      <c r="E486" s="23"/>
      <c r="F486" s="23"/>
      <c r="G486" s="21"/>
      <c r="H486" s="24" t="str">
        <f aca="false">IF(OR(A486="",D486="",G486=""),"",D486*G486)</f>
        <v/>
      </c>
      <c r="I486" s="25" t="str">
        <f aca="false">IF(OR(A486="",B486=""),"",IFERROR(LOOKUP(2,1/(单次交易!$A$2:$A$201=A486),单次交易!$H$2:$H$201),0)+SUMIFS($G$2:$G$1001,$A$2:$A$1001,A486,$B$2:$B$1001,"&lt;"&amp;B486))</f>
        <v/>
      </c>
      <c r="J486" s="24" t="str">
        <f aca="false">IF(OR(A486="",B486=""),"",IFERROR(LOOKUP(2,1/(单次交易!$A$2:$A$201=A486),单次交易!$E$2:$E$201)*LOOKUP(2,1/(单次交易!$A$2:$A$201=A486),单次交易!$H$2:$H$201),0)+SUMIFS($H$2:$H$1001,$A$2:$A$1001,A486,$B$2:$B$1001,"&lt;"&amp;B486))</f>
        <v/>
      </c>
      <c r="K486" s="24" t="str">
        <f aca="false">IF(OR(E486="",I486="",J486=""),"",MAX(E486*I486-J486,0))</f>
        <v/>
      </c>
      <c r="L486" s="25" t="str">
        <f aca="false">IF(OR(D486="",E486="",F486="",D486&lt;=E486),"",FLOOR((F486+K486)/(D486-E486),100))</f>
        <v/>
      </c>
      <c r="M486" s="25" t="str">
        <f aca="false">IF(OR(A486="",B486="",L486=""),"",IF(B486=1,L486,IFERROR(SUMIFS($G$2:$G$1001,$A$2:$A$1001,A486,$B$2:$B$1001,B486-1),0)))</f>
        <v/>
      </c>
      <c r="N486" s="25" t="str">
        <f aca="false">IF(OR(L486="",M486=""),"",MIN(L486,M486))</f>
        <v/>
      </c>
      <c r="O486" s="25" t="str">
        <f aca="false">IF(OR(I486="",G486=""),"",I486+G486)</f>
        <v/>
      </c>
      <c r="P486" s="24" t="str">
        <f aca="false">IF(OR(O486="",O486=0),"",(J486+H486)/O486)</f>
        <v/>
      </c>
      <c r="Q486" s="24" t="str">
        <f aca="false">IF(OR(O486="",E486=""),"",MAX(J486+H486-E486*O486,0))</f>
        <v/>
      </c>
      <c r="R486" s="26" t="str">
        <f aca="false">IF(A486="","",IF(COUNTIF(_TradeIds,A486)=0,"违规：交易编号不存在",IF(OR(B486="",B486&lt;1,B486&gt;5,B486&lt;&gt;INT(B486)),"违规：加仓序号须为1到5的整数",IF(COUNTIFS($A$2:$A$1001,A486,$B$2:$B$1001,B486)&gt;1,"违规：同一交易的加仓序号重复",IF(OR(D486="",E486="",F486=""),"计划不完整：请填写加仓价、新止损价和风险预算",IF(OR(D486&lt;=0,E486&lt;=0,F486&lt;=0,D486&lt;=E486),"违规：加仓价必须高于新止损价，金额须大于0",IF(AND(B486&gt;1,COUNTIFS($A$2:$A$1001,A486,$B$2:$B$1001,B486-1,$G$2:$G$1001,"&gt;0")=0),"违规：须先完成上一次加仓",IF(AND(B486&gt;1,E486&lt;SUMIFS($E$2:$E$1001,$A$2:$A$1001,A486,$B$2:$B$1001,B486-1)),"违规：新止损价不得低于上一次",IF(AND(B486&gt;1,F486&gt;SUMIFS($F$2:$F$1001,$A$2:$A$1001,A486,$B$2:$B$1001,B486-1)),"违规：风险预算须逐次不增加",IF(OR(_LockStatus="已锁仓",_LockStatus="解锁信息不完整"),"违规：锁仓期间禁止加仓",IF(G486="","计划可执行：建议股数见N列",IF(OR(G486&lt;=0,G486&lt;&gt;INT(G486),MOD(G486,100)&lt;&gt;0),"违规：实际股数须为100股整数倍",IF(G486&gt;N486,"违规：实际股数超过风险或金字塔上限",IF(AND(B486&gt;1,G486&gt;SUMIFS($G$2:$G$1001,$A$2:$A$1001,A486,$B$2:$B$1001,B486-1)),"违规：加仓股数须逐次不增加",IF(Q486&gt;F486,"违规：止损风险超过本次预算","通过")))))))))))))))</f>
        <v/>
      </c>
    </row>
    <row r="487" customFormat="false" ht="15" hidden="false" customHeight="false" outlineLevel="0" collapsed="false">
      <c r="A487" s="20"/>
      <c r="B487" s="21"/>
      <c r="C487" s="22"/>
      <c r="D487" s="23"/>
      <c r="E487" s="23"/>
      <c r="F487" s="23"/>
      <c r="G487" s="21"/>
      <c r="H487" s="24" t="str">
        <f aca="false">IF(OR(A487="",D487="",G487=""),"",D487*G487)</f>
        <v/>
      </c>
      <c r="I487" s="25" t="str">
        <f aca="false">IF(OR(A487="",B487=""),"",IFERROR(LOOKUP(2,1/(单次交易!$A$2:$A$201=A487),单次交易!$H$2:$H$201),0)+SUMIFS($G$2:$G$1001,$A$2:$A$1001,A487,$B$2:$B$1001,"&lt;"&amp;B487))</f>
        <v/>
      </c>
      <c r="J487" s="24" t="str">
        <f aca="false">IF(OR(A487="",B487=""),"",IFERROR(LOOKUP(2,1/(单次交易!$A$2:$A$201=A487),单次交易!$E$2:$E$201)*LOOKUP(2,1/(单次交易!$A$2:$A$201=A487),单次交易!$H$2:$H$201),0)+SUMIFS($H$2:$H$1001,$A$2:$A$1001,A487,$B$2:$B$1001,"&lt;"&amp;B487))</f>
        <v/>
      </c>
      <c r="K487" s="24" t="str">
        <f aca="false">IF(OR(E487="",I487="",J487=""),"",MAX(E487*I487-J487,0))</f>
        <v/>
      </c>
      <c r="L487" s="25" t="str">
        <f aca="false">IF(OR(D487="",E487="",F487="",D487&lt;=E487),"",FLOOR((F487+K487)/(D487-E487),100))</f>
        <v/>
      </c>
      <c r="M487" s="25" t="str">
        <f aca="false">IF(OR(A487="",B487="",L487=""),"",IF(B487=1,L487,IFERROR(SUMIFS($G$2:$G$1001,$A$2:$A$1001,A487,$B$2:$B$1001,B487-1),0)))</f>
        <v/>
      </c>
      <c r="N487" s="25" t="str">
        <f aca="false">IF(OR(L487="",M487=""),"",MIN(L487,M487))</f>
        <v/>
      </c>
      <c r="O487" s="25" t="str">
        <f aca="false">IF(OR(I487="",G487=""),"",I487+G487)</f>
        <v/>
      </c>
      <c r="P487" s="24" t="str">
        <f aca="false">IF(OR(O487="",O487=0),"",(J487+H487)/O487)</f>
        <v/>
      </c>
      <c r="Q487" s="24" t="str">
        <f aca="false">IF(OR(O487="",E487=""),"",MAX(J487+H487-E487*O487,0))</f>
        <v/>
      </c>
      <c r="R487" s="26" t="str">
        <f aca="false">IF(A487="","",IF(COUNTIF(_TradeIds,A487)=0,"违规：交易编号不存在",IF(OR(B487="",B487&lt;1,B487&gt;5,B487&lt;&gt;INT(B487)),"违规：加仓序号须为1到5的整数",IF(COUNTIFS($A$2:$A$1001,A487,$B$2:$B$1001,B487)&gt;1,"违规：同一交易的加仓序号重复",IF(OR(D487="",E487="",F487=""),"计划不完整：请填写加仓价、新止损价和风险预算",IF(OR(D487&lt;=0,E487&lt;=0,F487&lt;=0,D487&lt;=E487),"违规：加仓价必须高于新止损价，金额须大于0",IF(AND(B487&gt;1,COUNTIFS($A$2:$A$1001,A487,$B$2:$B$1001,B487-1,$G$2:$G$1001,"&gt;0")=0),"违规：须先完成上一次加仓",IF(AND(B487&gt;1,E487&lt;SUMIFS($E$2:$E$1001,$A$2:$A$1001,A487,$B$2:$B$1001,B487-1)),"违规：新止损价不得低于上一次",IF(AND(B487&gt;1,F487&gt;SUMIFS($F$2:$F$1001,$A$2:$A$1001,A487,$B$2:$B$1001,B487-1)),"违规：风险预算须逐次不增加",IF(OR(_LockStatus="已锁仓",_LockStatus="解锁信息不完整"),"违规：锁仓期间禁止加仓",IF(G487="","计划可执行：建议股数见N列",IF(OR(G487&lt;=0,G487&lt;&gt;INT(G487),MOD(G487,100)&lt;&gt;0),"违规：实际股数须为100股整数倍",IF(G487&gt;N487,"违规：实际股数超过风险或金字塔上限",IF(AND(B487&gt;1,G487&gt;SUMIFS($G$2:$G$1001,$A$2:$A$1001,A487,$B$2:$B$1001,B487-1)),"违规：加仓股数须逐次不增加",IF(Q487&gt;F487,"违规：止损风险超过本次预算","通过")))))))))))))))</f>
        <v/>
      </c>
    </row>
    <row r="488" customFormat="false" ht="15" hidden="false" customHeight="false" outlineLevel="0" collapsed="false">
      <c r="A488" s="20"/>
      <c r="B488" s="21"/>
      <c r="C488" s="22"/>
      <c r="D488" s="23"/>
      <c r="E488" s="23"/>
      <c r="F488" s="23"/>
      <c r="G488" s="21"/>
      <c r="H488" s="24" t="str">
        <f aca="false">IF(OR(A488="",D488="",G488=""),"",D488*G488)</f>
        <v/>
      </c>
      <c r="I488" s="25" t="str">
        <f aca="false">IF(OR(A488="",B488=""),"",IFERROR(LOOKUP(2,1/(单次交易!$A$2:$A$201=A488),单次交易!$H$2:$H$201),0)+SUMIFS($G$2:$G$1001,$A$2:$A$1001,A488,$B$2:$B$1001,"&lt;"&amp;B488))</f>
        <v/>
      </c>
      <c r="J488" s="24" t="str">
        <f aca="false">IF(OR(A488="",B488=""),"",IFERROR(LOOKUP(2,1/(单次交易!$A$2:$A$201=A488),单次交易!$E$2:$E$201)*LOOKUP(2,1/(单次交易!$A$2:$A$201=A488),单次交易!$H$2:$H$201),0)+SUMIFS($H$2:$H$1001,$A$2:$A$1001,A488,$B$2:$B$1001,"&lt;"&amp;B488))</f>
        <v/>
      </c>
      <c r="K488" s="24" t="str">
        <f aca="false">IF(OR(E488="",I488="",J488=""),"",MAX(E488*I488-J488,0))</f>
        <v/>
      </c>
      <c r="L488" s="25" t="str">
        <f aca="false">IF(OR(D488="",E488="",F488="",D488&lt;=E488),"",FLOOR((F488+K488)/(D488-E488),100))</f>
        <v/>
      </c>
      <c r="M488" s="25" t="str">
        <f aca="false">IF(OR(A488="",B488="",L488=""),"",IF(B488=1,L488,IFERROR(SUMIFS($G$2:$G$1001,$A$2:$A$1001,A488,$B$2:$B$1001,B488-1),0)))</f>
        <v/>
      </c>
      <c r="N488" s="25" t="str">
        <f aca="false">IF(OR(L488="",M488=""),"",MIN(L488,M488))</f>
        <v/>
      </c>
      <c r="O488" s="25" t="str">
        <f aca="false">IF(OR(I488="",G488=""),"",I488+G488)</f>
        <v/>
      </c>
      <c r="P488" s="24" t="str">
        <f aca="false">IF(OR(O488="",O488=0),"",(J488+H488)/O488)</f>
        <v/>
      </c>
      <c r="Q488" s="24" t="str">
        <f aca="false">IF(OR(O488="",E488=""),"",MAX(J488+H488-E488*O488,0))</f>
        <v/>
      </c>
      <c r="R488" s="26" t="str">
        <f aca="false">IF(A488="","",IF(COUNTIF(_TradeIds,A488)=0,"违规：交易编号不存在",IF(OR(B488="",B488&lt;1,B488&gt;5,B488&lt;&gt;INT(B488)),"违规：加仓序号须为1到5的整数",IF(COUNTIFS($A$2:$A$1001,A488,$B$2:$B$1001,B488)&gt;1,"违规：同一交易的加仓序号重复",IF(OR(D488="",E488="",F488=""),"计划不完整：请填写加仓价、新止损价和风险预算",IF(OR(D488&lt;=0,E488&lt;=0,F488&lt;=0,D488&lt;=E488),"违规：加仓价必须高于新止损价，金额须大于0",IF(AND(B488&gt;1,COUNTIFS($A$2:$A$1001,A488,$B$2:$B$1001,B488-1,$G$2:$G$1001,"&gt;0")=0),"违规：须先完成上一次加仓",IF(AND(B488&gt;1,E488&lt;SUMIFS($E$2:$E$1001,$A$2:$A$1001,A488,$B$2:$B$1001,B488-1)),"违规：新止损价不得低于上一次",IF(AND(B488&gt;1,F488&gt;SUMIFS($F$2:$F$1001,$A$2:$A$1001,A488,$B$2:$B$1001,B488-1)),"违规：风险预算须逐次不增加",IF(OR(_LockStatus="已锁仓",_LockStatus="解锁信息不完整"),"违规：锁仓期间禁止加仓",IF(G488="","计划可执行：建议股数见N列",IF(OR(G488&lt;=0,G488&lt;&gt;INT(G488),MOD(G488,100)&lt;&gt;0),"违规：实际股数须为100股整数倍",IF(G488&gt;N488,"违规：实际股数超过风险或金字塔上限",IF(AND(B488&gt;1,G488&gt;SUMIFS($G$2:$G$1001,$A$2:$A$1001,A488,$B$2:$B$1001,B488-1)),"违规：加仓股数须逐次不增加",IF(Q488&gt;F488,"违规：止损风险超过本次预算","通过")))))))))))))))</f>
        <v/>
      </c>
    </row>
    <row r="489" customFormat="false" ht="15" hidden="false" customHeight="false" outlineLevel="0" collapsed="false">
      <c r="A489" s="20"/>
      <c r="B489" s="21"/>
      <c r="C489" s="22"/>
      <c r="D489" s="23"/>
      <c r="E489" s="23"/>
      <c r="F489" s="23"/>
      <c r="G489" s="21"/>
      <c r="H489" s="24" t="str">
        <f aca="false">IF(OR(A489="",D489="",G489=""),"",D489*G489)</f>
        <v/>
      </c>
      <c r="I489" s="25" t="str">
        <f aca="false">IF(OR(A489="",B489=""),"",IFERROR(LOOKUP(2,1/(单次交易!$A$2:$A$201=A489),单次交易!$H$2:$H$201),0)+SUMIFS($G$2:$G$1001,$A$2:$A$1001,A489,$B$2:$B$1001,"&lt;"&amp;B489))</f>
        <v/>
      </c>
      <c r="J489" s="24" t="str">
        <f aca="false">IF(OR(A489="",B489=""),"",IFERROR(LOOKUP(2,1/(单次交易!$A$2:$A$201=A489),单次交易!$E$2:$E$201)*LOOKUP(2,1/(单次交易!$A$2:$A$201=A489),单次交易!$H$2:$H$201),0)+SUMIFS($H$2:$H$1001,$A$2:$A$1001,A489,$B$2:$B$1001,"&lt;"&amp;B489))</f>
        <v/>
      </c>
      <c r="K489" s="24" t="str">
        <f aca="false">IF(OR(E489="",I489="",J489=""),"",MAX(E489*I489-J489,0))</f>
        <v/>
      </c>
      <c r="L489" s="25" t="str">
        <f aca="false">IF(OR(D489="",E489="",F489="",D489&lt;=E489),"",FLOOR((F489+K489)/(D489-E489),100))</f>
        <v/>
      </c>
      <c r="M489" s="25" t="str">
        <f aca="false">IF(OR(A489="",B489="",L489=""),"",IF(B489=1,L489,IFERROR(SUMIFS($G$2:$G$1001,$A$2:$A$1001,A489,$B$2:$B$1001,B489-1),0)))</f>
        <v/>
      </c>
      <c r="N489" s="25" t="str">
        <f aca="false">IF(OR(L489="",M489=""),"",MIN(L489,M489))</f>
        <v/>
      </c>
      <c r="O489" s="25" t="str">
        <f aca="false">IF(OR(I489="",G489=""),"",I489+G489)</f>
        <v/>
      </c>
      <c r="P489" s="24" t="str">
        <f aca="false">IF(OR(O489="",O489=0),"",(J489+H489)/O489)</f>
        <v/>
      </c>
      <c r="Q489" s="24" t="str">
        <f aca="false">IF(OR(O489="",E489=""),"",MAX(J489+H489-E489*O489,0))</f>
        <v/>
      </c>
      <c r="R489" s="26" t="str">
        <f aca="false">IF(A489="","",IF(COUNTIF(_TradeIds,A489)=0,"违规：交易编号不存在",IF(OR(B489="",B489&lt;1,B489&gt;5,B489&lt;&gt;INT(B489)),"违规：加仓序号须为1到5的整数",IF(COUNTIFS($A$2:$A$1001,A489,$B$2:$B$1001,B489)&gt;1,"违规：同一交易的加仓序号重复",IF(OR(D489="",E489="",F489=""),"计划不完整：请填写加仓价、新止损价和风险预算",IF(OR(D489&lt;=0,E489&lt;=0,F489&lt;=0,D489&lt;=E489),"违规：加仓价必须高于新止损价，金额须大于0",IF(AND(B489&gt;1,COUNTIFS($A$2:$A$1001,A489,$B$2:$B$1001,B489-1,$G$2:$G$1001,"&gt;0")=0),"违规：须先完成上一次加仓",IF(AND(B489&gt;1,E489&lt;SUMIFS($E$2:$E$1001,$A$2:$A$1001,A489,$B$2:$B$1001,B489-1)),"违规：新止损价不得低于上一次",IF(AND(B489&gt;1,F489&gt;SUMIFS($F$2:$F$1001,$A$2:$A$1001,A489,$B$2:$B$1001,B489-1)),"违规：风险预算须逐次不增加",IF(OR(_LockStatus="已锁仓",_LockStatus="解锁信息不完整"),"违规：锁仓期间禁止加仓",IF(G489="","计划可执行：建议股数见N列",IF(OR(G489&lt;=0,G489&lt;&gt;INT(G489),MOD(G489,100)&lt;&gt;0),"违规：实际股数须为100股整数倍",IF(G489&gt;N489,"违规：实际股数超过风险或金字塔上限",IF(AND(B489&gt;1,G489&gt;SUMIFS($G$2:$G$1001,$A$2:$A$1001,A489,$B$2:$B$1001,B489-1)),"违规：加仓股数须逐次不增加",IF(Q489&gt;F489,"违规：止损风险超过本次预算","通过")))))))))))))))</f>
        <v/>
      </c>
    </row>
    <row r="490" customFormat="false" ht="15" hidden="false" customHeight="false" outlineLevel="0" collapsed="false">
      <c r="A490" s="20"/>
      <c r="B490" s="21"/>
      <c r="C490" s="22"/>
      <c r="D490" s="23"/>
      <c r="E490" s="23"/>
      <c r="F490" s="23"/>
      <c r="G490" s="21"/>
      <c r="H490" s="24" t="str">
        <f aca="false">IF(OR(A490="",D490="",G490=""),"",D490*G490)</f>
        <v/>
      </c>
      <c r="I490" s="25" t="str">
        <f aca="false">IF(OR(A490="",B490=""),"",IFERROR(LOOKUP(2,1/(单次交易!$A$2:$A$201=A490),单次交易!$H$2:$H$201),0)+SUMIFS($G$2:$G$1001,$A$2:$A$1001,A490,$B$2:$B$1001,"&lt;"&amp;B490))</f>
        <v/>
      </c>
      <c r="J490" s="24" t="str">
        <f aca="false">IF(OR(A490="",B490=""),"",IFERROR(LOOKUP(2,1/(单次交易!$A$2:$A$201=A490),单次交易!$E$2:$E$201)*LOOKUP(2,1/(单次交易!$A$2:$A$201=A490),单次交易!$H$2:$H$201),0)+SUMIFS($H$2:$H$1001,$A$2:$A$1001,A490,$B$2:$B$1001,"&lt;"&amp;B490))</f>
        <v/>
      </c>
      <c r="K490" s="24" t="str">
        <f aca="false">IF(OR(E490="",I490="",J490=""),"",MAX(E490*I490-J490,0))</f>
        <v/>
      </c>
      <c r="L490" s="25" t="str">
        <f aca="false">IF(OR(D490="",E490="",F490="",D490&lt;=E490),"",FLOOR((F490+K490)/(D490-E490),100))</f>
        <v/>
      </c>
      <c r="M490" s="25" t="str">
        <f aca="false">IF(OR(A490="",B490="",L490=""),"",IF(B490=1,L490,IFERROR(SUMIFS($G$2:$G$1001,$A$2:$A$1001,A490,$B$2:$B$1001,B490-1),0)))</f>
        <v/>
      </c>
      <c r="N490" s="25" t="str">
        <f aca="false">IF(OR(L490="",M490=""),"",MIN(L490,M490))</f>
        <v/>
      </c>
      <c r="O490" s="25" t="str">
        <f aca="false">IF(OR(I490="",G490=""),"",I490+G490)</f>
        <v/>
      </c>
      <c r="P490" s="24" t="str">
        <f aca="false">IF(OR(O490="",O490=0),"",(J490+H490)/O490)</f>
        <v/>
      </c>
      <c r="Q490" s="24" t="str">
        <f aca="false">IF(OR(O490="",E490=""),"",MAX(J490+H490-E490*O490,0))</f>
        <v/>
      </c>
      <c r="R490" s="26" t="str">
        <f aca="false">IF(A490="","",IF(COUNTIF(_TradeIds,A490)=0,"违规：交易编号不存在",IF(OR(B490="",B490&lt;1,B490&gt;5,B490&lt;&gt;INT(B490)),"违规：加仓序号须为1到5的整数",IF(COUNTIFS($A$2:$A$1001,A490,$B$2:$B$1001,B490)&gt;1,"违规：同一交易的加仓序号重复",IF(OR(D490="",E490="",F490=""),"计划不完整：请填写加仓价、新止损价和风险预算",IF(OR(D490&lt;=0,E490&lt;=0,F490&lt;=0,D490&lt;=E490),"违规：加仓价必须高于新止损价，金额须大于0",IF(AND(B490&gt;1,COUNTIFS($A$2:$A$1001,A490,$B$2:$B$1001,B490-1,$G$2:$G$1001,"&gt;0")=0),"违规：须先完成上一次加仓",IF(AND(B490&gt;1,E490&lt;SUMIFS($E$2:$E$1001,$A$2:$A$1001,A490,$B$2:$B$1001,B490-1)),"违规：新止损价不得低于上一次",IF(AND(B490&gt;1,F490&gt;SUMIFS($F$2:$F$1001,$A$2:$A$1001,A490,$B$2:$B$1001,B490-1)),"违规：风险预算须逐次不增加",IF(OR(_LockStatus="已锁仓",_LockStatus="解锁信息不完整"),"违规：锁仓期间禁止加仓",IF(G490="","计划可执行：建议股数见N列",IF(OR(G490&lt;=0,G490&lt;&gt;INT(G490),MOD(G490,100)&lt;&gt;0),"违规：实际股数须为100股整数倍",IF(G490&gt;N490,"违规：实际股数超过风险或金字塔上限",IF(AND(B490&gt;1,G490&gt;SUMIFS($G$2:$G$1001,$A$2:$A$1001,A490,$B$2:$B$1001,B490-1)),"违规：加仓股数须逐次不增加",IF(Q490&gt;F490,"违规：止损风险超过本次预算","通过")))))))))))))))</f>
        <v/>
      </c>
    </row>
    <row r="491" customFormat="false" ht="15" hidden="false" customHeight="false" outlineLevel="0" collapsed="false">
      <c r="A491" s="20"/>
      <c r="B491" s="21"/>
      <c r="C491" s="22"/>
      <c r="D491" s="23"/>
      <c r="E491" s="23"/>
      <c r="F491" s="23"/>
      <c r="G491" s="21"/>
      <c r="H491" s="24" t="str">
        <f aca="false">IF(OR(A491="",D491="",G491=""),"",D491*G491)</f>
        <v/>
      </c>
      <c r="I491" s="25" t="str">
        <f aca="false">IF(OR(A491="",B491=""),"",IFERROR(LOOKUP(2,1/(单次交易!$A$2:$A$201=A491),单次交易!$H$2:$H$201),0)+SUMIFS($G$2:$G$1001,$A$2:$A$1001,A491,$B$2:$B$1001,"&lt;"&amp;B491))</f>
        <v/>
      </c>
      <c r="J491" s="24" t="str">
        <f aca="false">IF(OR(A491="",B491=""),"",IFERROR(LOOKUP(2,1/(单次交易!$A$2:$A$201=A491),单次交易!$E$2:$E$201)*LOOKUP(2,1/(单次交易!$A$2:$A$201=A491),单次交易!$H$2:$H$201),0)+SUMIFS($H$2:$H$1001,$A$2:$A$1001,A491,$B$2:$B$1001,"&lt;"&amp;B491))</f>
        <v/>
      </c>
      <c r="K491" s="24" t="str">
        <f aca="false">IF(OR(E491="",I491="",J491=""),"",MAX(E491*I491-J491,0))</f>
        <v/>
      </c>
      <c r="L491" s="25" t="str">
        <f aca="false">IF(OR(D491="",E491="",F491="",D491&lt;=E491),"",FLOOR((F491+K491)/(D491-E491),100))</f>
        <v/>
      </c>
      <c r="M491" s="25" t="str">
        <f aca="false">IF(OR(A491="",B491="",L491=""),"",IF(B491=1,L491,IFERROR(SUMIFS($G$2:$G$1001,$A$2:$A$1001,A491,$B$2:$B$1001,B491-1),0)))</f>
        <v/>
      </c>
      <c r="N491" s="25" t="str">
        <f aca="false">IF(OR(L491="",M491=""),"",MIN(L491,M491))</f>
        <v/>
      </c>
      <c r="O491" s="25" t="str">
        <f aca="false">IF(OR(I491="",G491=""),"",I491+G491)</f>
        <v/>
      </c>
      <c r="P491" s="24" t="str">
        <f aca="false">IF(OR(O491="",O491=0),"",(J491+H491)/O491)</f>
        <v/>
      </c>
      <c r="Q491" s="24" t="str">
        <f aca="false">IF(OR(O491="",E491=""),"",MAX(J491+H491-E491*O491,0))</f>
        <v/>
      </c>
      <c r="R491" s="26" t="str">
        <f aca="false">IF(A491="","",IF(COUNTIF(_TradeIds,A491)=0,"违规：交易编号不存在",IF(OR(B491="",B491&lt;1,B491&gt;5,B491&lt;&gt;INT(B491)),"违规：加仓序号须为1到5的整数",IF(COUNTIFS($A$2:$A$1001,A491,$B$2:$B$1001,B491)&gt;1,"违规：同一交易的加仓序号重复",IF(OR(D491="",E491="",F491=""),"计划不完整：请填写加仓价、新止损价和风险预算",IF(OR(D491&lt;=0,E491&lt;=0,F491&lt;=0,D491&lt;=E491),"违规：加仓价必须高于新止损价，金额须大于0",IF(AND(B491&gt;1,COUNTIFS($A$2:$A$1001,A491,$B$2:$B$1001,B491-1,$G$2:$G$1001,"&gt;0")=0),"违规：须先完成上一次加仓",IF(AND(B491&gt;1,E491&lt;SUMIFS($E$2:$E$1001,$A$2:$A$1001,A491,$B$2:$B$1001,B491-1)),"违规：新止损价不得低于上一次",IF(AND(B491&gt;1,F491&gt;SUMIFS($F$2:$F$1001,$A$2:$A$1001,A491,$B$2:$B$1001,B491-1)),"违规：风险预算须逐次不增加",IF(OR(_LockStatus="已锁仓",_LockStatus="解锁信息不完整"),"违规：锁仓期间禁止加仓",IF(G491="","计划可执行：建议股数见N列",IF(OR(G491&lt;=0,G491&lt;&gt;INT(G491),MOD(G491,100)&lt;&gt;0),"违规：实际股数须为100股整数倍",IF(G491&gt;N491,"违规：实际股数超过风险或金字塔上限",IF(AND(B491&gt;1,G491&gt;SUMIFS($G$2:$G$1001,$A$2:$A$1001,A491,$B$2:$B$1001,B491-1)),"违规：加仓股数须逐次不增加",IF(Q491&gt;F491,"违规：止损风险超过本次预算","通过")))))))))))))))</f>
        <v/>
      </c>
    </row>
    <row r="492" customFormat="false" ht="15" hidden="false" customHeight="false" outlineLevel="0" collapsed="false">
      <c r="A492" s="20"/>
      <c r="B492" s="21"/>
      <c r="C492" s="22"/>
      <c r="D492" s="23"/>
      <c r="E492" s="23"/>
      <c r="F492" s="23"/>
      <c r="G492" s="21"/>
      <c r="H492" s="24" t="str">
        <f aca="false">IF(OR(A492="",D492="",G492=""),"",D492*G492)</f>
        <v/>
      </c>
      <c r="I492" s="25" t="str">
        <f aca="false">IF(OR(A492="",B492=""),"",IFERROR(LOOKUP(2,1/(单次交易!$A$2:$A$201=A492),单次交易!$H$2:$H$201),0)+SUMIFS($G$2:$G$1001,$A$2:$A$1001,A492,$B$2:$B$1001,"&lt;"&amp;B492))</f>
        <v/>
      </c>
      <c r="J492" s="24" t="str">
        <f aca="false">IF(OR(A492="",B492=""),"",IFERROR(LOOKUP(2,1/(单次交易!$A$2:$A$201=A492),单次交易!$E$2:$E$201)*LOOKUP(2,1/(单次交易!$A$2:$A$201=A492),单次交易!$H$2:$H$201),0)+SUMIFS($H$2:$H$1001,$A$2:$A$1001,A492,$B$2:$B$1001,"&lt;"&amp;B492))</f>
        <v/>
      </c>
      <c r="K492" s="24" t="str">
        <f aca="false">IF(OR(E492="",I492="",J492=""),"",MAX(E492*I492-J492,0))</f>
        <v/>
      </c>
      <c r="L492" s="25" t="str">
        <f aca="false">IF(OR(D492="",E492="",F492="",D492&lt;=E492),"",FLOOR((F492+K492)/(D492-E492),100))</f>
        <v/>
      </c>
      <c r="M492" s="25" t="str">
        <f aca="false">IF(OR(A492="",B492="",L492=""),"",IF(B492=1,L492,IFERROR(SUMIFS($G$2:$G$1001,$A$2:$A$1001,A492,$B$2:$B$1001,B492-1),0)))</f>
        <v/>
      </c>
      <c r="N492" s="25" t="str">
        <f aca="false">IF(OR(L492="",M492=""),"",MIN(L492,M492))</f>
        <v/>
      </c>
      <c r="O492" s="25" t="str">
        <f aca="false">IF(OR(I492="",G492=""),"",I492+G492)</f>
        <v/>
      </c>
      <c r="P492" s="24" t="str">
        <f aca="false">IF(OR(O492="",O492=0),"",(J492+H492)/O492)</f>
        <v/>
      </c>
      <c r="Q492" s="24" t="str">
        <f aca="false">IF(OR(O492="",E492=""),"",MAX(J492+H492-E492*O492,0))</f>
        <v/>
      </c>
      <c r="R492" s="26" t="str">
        <f aca="false">IF(A492="","",IF(COUNTIF(_TradeIds,A492)=0,"违规：交易编号不存在",IF(OR(B492="",B492&lt;1,B492&gt;5,B492&lt;&gt;INT(B492)),"违规：加仓序号须为1到5的整数",IF(COUNTIFS($A$2:$A$1001,A492,$B$2:$B$1001,B492)&gt;1,"违规：同一交易的加仓序号重复",IF(OR(D492="",E492="",F492=""),"计划不完整：请填写加仓价、新止损价和风险预算",IF(OR(D492&lt;=0,E492&lt;=0,F492&lt;=0,D492&lt;=E492),"违规：加仓价必须高于新止损价，金额须大于0",IF(AND(B492&gt;1,COUNTIFS($A$2:$A$1001,A492,$B$2:$B$1001,B492-1,$G$2:$G$1001,"&gt;0")=0),"违规：须先完成上一次加仓",IF(AND(B492&gt;1,E492&lt;SUMIFS($E$2:$E$1001,$A$2:$A$1001,A492,$B$2:$B$1001,B492-1)),"违规：新止损价不得低于上一次",IF(AND(B492&gt;1,F492&gt;SUMIFS($F$2:$F$1001,$A$2:$A$1001,A492,$B$2:$B$1001,B492-1)),"违规：风险预算须逐次不增加",IF(OR(_LockStatus="已锁仓",_LockStatus="解锁信息不完整"),"违规：锁仓期间禁止加仓",IF(G492="","计划可执行：建议股数见N列",IF(OR(G492&lt;=0,G492&lt;&gt;INT(G492),MOD(G492,100)&lt;&gt;0),"违规：实际股数须为100股整数倍",IF(G492&gt;N492,"违规：实际股数超过风险或金字塔上限",IF(AND(B492&gt;1,G492&gt;SUMIFS($G$2:$G$1001,$A$2:$A$1001,A492,$B$2:$B$1001,B492-1)),"违规：加仓股数须逐次不增加",IF(Q492&gt;F492,"违规：止损风险超过本次预算","通过")))))))))))))))</f>
        <v/>
      </c>
    </row>
    <row r="493" customFormat="false" ht="15" hidden="false" customHeight="false" outlineLevel="0" collapsed="false">
      <c r="A493" s="20"/>
      <c r="B493" s="21"/>
      <c r="C493" s="22"/>
      <c r="D493" s="23"/>
      <c r="E493" s="23"/>
      <c r="F493" s="23"/>
      <c r="G493" s="21"/>
      <c r="H493" s="24" t="str">
        <f aca="false">IF(OR(A493="",D493="",G493=""),"",D493*G493)</f>
        <v/>
      </c>
      <c r="I493" s="25" t="str">
        <f aca="false">IF(OR(A493="",B493=""),"",IFERROR(LOOKUP(2,1/(单次交易!$A$2:$A$201=A493),单次交易!$H$2:$H$201),0)+SUMIFS($G$2:$G$1001,$A$2:$A$1001,A493,$B$2:$B$1001,"&lt;"&amp;B493))</f>
        <v/>
      </c>
      <c r="J493" s="24" t="str">
        <f aca="false">IF(OR(A493="",B493=""),"",IFERROR(LOOKUP(2,1/(单次交易!$A$2:$A$201=A493),单次交易!$E$2:$E$201)*LOOKUP(2,1/(单次交易!$A$2:$A$201=A493),单次交易!$H$2:$H$201),0)+SUMIFS($H$2:$H$1001,$A$2:$A$1001,A493,$B$2:$B$1001,"&lt;"&amp;B493))</f>
        <v/>
      </c>
      <c r="K493" s="24" t="str">
        <f aca="false">IF(OR(E493="",I493="",J493=""),"",MAX(E493*I493-J493,0))</f>
        <v/>
      </c>
      <c r="L493" s="25" t="str">
        <f aca="false">IF(OR(D493="",E493="",F493="",D493&lt;=E493),"",FLOOR((F493+K493)/(D493-E493),100))</f>
        <v/>
      </c>
      <c r="M493" s="25" t="str">
        <f aca="false">IF(OR(A493="",B493="",L493=""),"",IF(B493=1,L493,IFERROR(SUMIFS($G$2:$G$1001,$A$2:$A$1001,A493,$B$2:$B$1001,B493-1),0)))</f>
        <v/>
      </c>
      <c r="N493" s="25" t="str">
        <f aca="false">IF(OR(L493="",M493=""),"",MIN(L493,M493))</f>
        <v/>
      </c>
      <c r="O493" s="25" t="str">
        <f aca="false">IF(OR(I493="",G493=""),"",I493+G493)</f>
        <v/>
      </c>
      <c r="P493" s="24" t="str">
        <f aca="false">IF(OR(O493="",O493=0),"",(J493+H493)/O493)</f>
        <v/>
      </c>
      <c r="Q493" s="24" t="str">
        <f aca="false">IF(OR(O493="",E493=""),"",MAX(J493+H493-E493*O493,0))</f>
        <v/>
      </c>
      <c r="R493" s="26" t="str">
        <f aca="false">IF(A493="","",IF(COUNTIF(_TradeIds,A493)=0,"违规：交易编号不存在",IF(OR(B493="",B493&lt;1,B493&gt;5,B493&lt;&gt;INT(B493)),"违规：加仓序号须为1到5的整数",IF(COUNTIFS($A$2:$A$1001,A493,$B$2:$B$1001,B493)&gt;1,"违规：同一交易的加仓序号重复",IF(OR(D493="",E493="",F493=""),"计划不完整：请填写加仓价、新止损价和风险预算",IF(OR(D493&lt;=0,E493&lt;=0,F493&lt;=0,D493&lt;=E493),"违规：加仓价必须高于新止损价，金额须大于0",IF(AND(B493&gt;1,COUNTIFS($A$2:$A$1001,A493,$B$2:$B$1001,B493-1,$G$2:$G$1001,"&gt;0")=0),"违规：须先完成上一次加仓",IF(AND(B493&gt;1,E493&lt;SUMIFS($E$2:$E$1001,$A$2:$A$1001,A493,$B$2:$B$1001,B493-1)),"违规：新止损价不得低于上一次",IF(AND(B493&gt;1,F493&gt;SUMIFS($F$2:$F$1001,$A$2:$A$1001,A493,$B$2:$B$1001,B493-1)),"违规：风险预算须逐次不增加",IF(OR(_LockStatus="已锁仓",_LockStatus="解锁信息不完整"),"违规：锁仓期间禁止加仓",IF(G493="","计划可执行：建议股数见N列",IF(OR(G493&lt;=0,G493&lt;&gt;INT(G493),MOD(G493,100)&lt;&gt;0),"违规：实际股数须为100股整数倍",IF(G493&gt;N493,"违规：实际股数超过风险或金字塔上限",IF(AND(B493&gt;1,G493&gt;SUMIFS($G$2:$G$1001,$A$2:$A$1001,A493,$B$2:$B$1001,B493-1)),"违规：加仓股数须逐次不增加",IF(Q493&gt;F493,"违规：止损风险超过本次预算","通过")))))))))))))))</f>
        <v/>
      </c>
    </row>
    <row r="494" customFormat="false" ht="15" hidden="false" customHeight="false" outlineLevel="0" collapsed="false">
      <c r="A494" s="20"/>
      <c r="B494" s="21"/>
      <c r="C494" s="22"/>
      <c r="D494" s="23"/>
      <c r="E494" s="23"/>
      <c r="F494" s="23"/>
      <c r="G494" s="21"/>
      <c r="H494" s="24" t="str">
        <f aca="false">IF(OR(A494="",D494="",G494=""),"",D494*G494)</f>
        <v/>
      </c>
      <c r="I494" s="25" t="str">
        <f aca="false">IF(OR(A494="",B494=""),"",IFERROR(LOOKUP(2,1/(单次交易!$A$2:$A$201=A494),单次交易!$H$2:$H$201),0)+SUMIFS($G$2:$G$1001,$A$2:$A$1001,A494,$B$2:$B$1001,"&lt;"&amp;B494))</f>
        <v/>
      </c>
      <c r="J494" s="24" t="str">
        <f aca="false">IF(OR(A494="",B494=""),"",IFERROR(LOOKUP(2,1/(单次交易!$A$2:$A$201=A494),单次交易!$E$2:$E$201)*LOOKUP(2,1/(单次交易!$A$2:$A$201=A494),单次交易!$H$2:$H$201),0)+SUMIFS($H$2:$H$1001,$A$2:$A$1001,A494,$B$2:$B$1001,"&lt;"&amp;B494))</f>
        <v/>
      </c>
      <c r="K494" s="24" t="str">
        <f aca="false">IF(OR(E494="",I494="",J494=""),"",MAX(E494*I494-J494,0))</f>
        <v/>
      </c>
      <c r="L494" s="25" t="str">
        <f aca="false">IF(OR(D494="",E494="",F494="",D494&lt;=E494),"",FLOOR((F494+K494)/(D494-E494),100))</f>
        <v/>
      </c>
      <c r="M494" s="25" t="str">
        <f aca="false">IF(OR(A494="",B494="",L494=""),"",IF(B494=1,L494,IFERROR(SUMIFS($G$2:$G$1001,$A$2:$A$1001,A494,$B$2:$B$1001,B494-1),0)))</f>
        <v/>
      </c>
      <c r="N494" s="25" t="str">
        <f aca="false">IF(OR(L494="",M494=""),"",MIN(L494,M494))</f>
        <v/>
      </c>
      <c r="O494" s="25" t="str">
        <f aca="false">IF(OR(I494="",G494=""),"",I494+G494)</f>
        <v/>
      </c>
      <c r="P494" s="24" t="str">
        <f aca="false">IF(OR(O494="",O494=0),"",(J494+H494)/O494)</f>
        <v/>
      </c>
      <c r="Q494" s="24" t="str">
        <f aca="false">IF(OR(O494="",E494=""),"",MAX(J494+H494-E494*O494,0))</f>
        <v/>
      </c>
      <c r="R494" s="26" t="str">
        <f aca="false">IF(A494="","",IF(COUNTIF(_TradeIds,A494)=0,"违规：交易编号不存在",IF(OR(B494="",B494&lt;1,B494&gt;5,B494&lt;&gt;INT(B494)),"违规：加仓序号须为1到5的整数",IF(COUNTIFS($A$2:$A$1001,A494,$B$2:$B$1001,B494)&gt;1,"违规：同一交易的加仓序号重复",IF(OR(D494="",E494="",F494=""),"计划不完整：请填写加仓价、新止损价和风险预算",IF(OR(D494&lt;=0,E494&lt;=0,F494&lt;=0,D494&lt;=E494),"违规：加仓价必须高于新止损价，金额须大于0",IF(AND(B494&gt;1,COUNTIFS($A$2:$A$1001,A494,$B$2:$B$1001,B494-1,$G$2:$G$1001,"&gt;0")=0),"违规：须先完成上一次加仓",IF(AND(B494&gt;1,E494&lt;SUMIFS($E$2:$E$1001,$A$2:$A$1001,A494,$B$2:$B$1001,B494-1)),"违规：新止损价不得低于上一次",IF(AND(B494&gt;1,F494&gt;SUMIFS($F$2:$F$1001,$A$2:$A$1001,A494,$B$2:$B$1001,B494-1)),"违规：风险预算须逐次不增加",IF(OR(_LockStatus="已锁仓",_LockStatus="解锁信息不完整"),"违规：锁仓期间禁止加仓",IF(G494="","计划可执行：建议股数见N列",IF(OR(G494&lt;=0,G494&lt;&gt;INT(G494),MOD(G494,100)&lt;&gt;0),"违规：实际股数须为100股整数倍",IF(G494&gt;N494,"违规：实际股数超过风险或金字塔上限",IF(AND(B494&gt;1,G494&gt;SUMIFS($G$2:$G$1001,$A$2:$A$1001,A494,$B$2:$B$1001,B494-1)),"违规：加仓股数须逐次不增加",IF(Q494&gt;F494,"违规：止损风险超过本次预算","通过")))))))))))))))</f>
        <v/>
      </c>
    </row>
    <row r="495" customFormat="false" ht="15" hidden="false" customHeight="false" outlineLevel="0" collapsed="false">
      <c r="A495" s="20"/>
      <c r="B495" s="21"/>
      <c r="C495" s="22"/>
      <c r="D495" s="23"/>
      <c r="E495" s="23"/>
      <c r="F495" s="23"/>
      <c r="G495" s="21"/>
      <c r="H495" s="24" t="str">
        <f aca="false">IF(OR(A495="",D495="",G495=""),"",D495*G495)</f>
        <v/>
      </c>
      <c r="I495" s="25" t="str">
        <f aca="false">IF(OR(A495="",B495=""),"",IFERROR(LOOKUP(2,1/(单次交易!$A$2:$A$201=A495),单次交易!$H$2:$H$201),0)+SUMIFS($G$2:$G$1001,$A$2:$A$1001,A495,$B$2:$B$1001,"&lt;"&amp;B495))</f>
        <v/>
      </c>
      <c r="J495" s="24" t="str">
        <f aca="false">IF(OR(A495="",B495=""),"",IFERROR(LOOKUP(2,1/(单次交易!$A$2:$A$201=A495),单次交易!$E$2:$E$201)*LOOKUP(2,1/(单次交易!$A$2:$A$201=A495),单次交易!$H$2:$H$201),0)+SUMIFS($H$2:$H$1001,$A$2:$A$1001,A495,$B$2:$B$1001,"&lt;"&amp;B495))</f>
        <v/>
      </c>
      <c r="K495" s="24" t="str">
        <f aca="false">IF(OR(E495="",I495="",J495=""),"",MAX(E495*I495-J495,0))</f>
        <v/>
      </c>
      <c r="L495" s="25" t="str">
        <f aca="false">IF(OR(D495="",E495="",F495="",D495&lt;=E495),"",FLOOR((F495+K495)/(D495-E495),100))</f>
        <v/>
      </c>
      <c r="M495" s="25" t="str">
        <f aca="false">IF(OR(A495="",B495="",L495=""),"",IF(B495=1,L495,IFERROR(SUMIFS($G$2:$G$1001,$A$2:$A$1001,A495,$B$2:$B$1001,B495-1),0)))</f>
        <v/>
      </c>
      <c r="N495" s="25" t="str">
        <f aca="false">IF(OR(L495="",M495=""),"",MIN(L495,M495))</f>
        <v/>
      </c>
      <c r="O495" s="25" t="str">
        <f aca="false">IF(OR(I495="",G495=""),"",I495+G495)</f>
        <v/>
      </c>
      <c r="P495" s="24" t="str">
        <f aca="false">IF(OR(O495="",O495=0),"",(J495+H495)/O495)</f>
        <v/>
      </c>
      <c r="Q495" s="24" t="str">
        <f aca="false">IF(OR(O495="",E495=""),"",MAX(J495+H495-E495*O495,0))</f>
        <v/>
      </c>
      <c r="R495" s="26" t="str">
        <f aca="false">IF(A495="","",IF(COUNTIF(_TradeIds,A495)=0,"违规：交易编号不存在",IF(OR(B495="",B495&lt;1,B495&gt;5,B495&lt;&gt;INT(B495)),"违规：加仓序号须为1到5的整数",IF(COUNTIFS($A$2:$A$1001,A495,$B$2:$B$1001,B495)&gt;1,"违规：同一交易的加仓序号重复",IF(OR(D495="",E495="",F495=""),"计划不完整：请填写加仓价、新止损价和风险预算",IF(OR(D495&lt;=0,E495&lt;=0,F495&lt;=0,D495&lt;=E495),"违规：加仓价必须高于新止损价，金额须大于0",IF(AND(B495&gt;1,COUNTIFS($A$2:$A$1001,A495,$B$2:$B$1001,B495-1,$G$2:$G$1001,"&gt;0")=0),"违规：须先完成上一次加仓",IF(AND(B495&gt;1,E495&lt;SUMIFS($E$2:$E$1001,$A$2:$A$1001,A495,$B$2:$B$1001,B495-1)),"违规：新止损价不得低于上一次",IF(AND(B495&gt;1,F495&gt;SUMIFS($F$2:$F$1001,$A$2:$A$1001,A495,$B$2:$B$1001,B495-1)),"违规：风险预算须逐次不增加",IF(OR(_LockStatus="已锁仓",_LockStatus="解锁信息不完整"),"违规：锁仓期间禁止加仓",IF(G495="","计划可执行：建议股数见N列",IF(OR(G495&lt;=0,G495&lt;&gt;INT(G495),MOD(G495,100)&lt;&gt;0),"违规：实际股数须为100股整数倍",IF(G495&gt;N495,"违规：实际股数超过风险或金字塔上限",IF(AND(B495&gt;1,G495&gt;SUMIFS($G$2:$G$1001,$A$2:$A$1001,A495,$B$2:$B$1001,B495-1)),"违规：加仓股数须逐次不增加",IF(Q495&gt;F495,"违规：止损风险超过本次预算","通过")))))))))))))))</f>
        <v/>
      </c>
    </row>
    <row r="496" customFormat="false" ht="15" hidden="false" customHeight="false" outlineLevel="0" collapsed="false">
      <c r="A496" s="20"/>
      <c r="B496" s="21"/>
      <c r="C496" s="22"/>
      <c r="D496" s="23"/>
      <c r="E496" s="23"/>
      <c r="F496" s="23"/>
      <c r="G496" s="21"/>
      <c r="H496" s="24" t="str">
        <f aca="false">IF(OR(A496="",D496="",G496=""),"",D496*G496)</f>
        <v/>
      </c>
      <c r="I496" s="25" t="str">
        <f aca="false">IF(OR(A496="",B496=""),"",IFERROR(LOOKUP(2,1/(单次交易!$A$2:$A$201=A496),单次交易!$H$2:$H$201),0)+SUMIFS($G$2:$G$1001,$A$2:$A$1001,A496,$B$2:$B$1001,"&lt;"&amp;B496))</f>
        <v/>
      </c>
      <c r="J496" s="24" t="str">
        <f aca="false">IF(OR(A496="",B496=""),"",IFERROR(LOOKUP(2,1/(单次交易!$A$2:$A$201=A496),单次交易!$E$2:$E$201)*LOOKUP(2,1/(单次交易!$A$2:$A$201=A496),单次交易!$H$2:$H$201),0)+SUMIFS($H$2:$H$1001,$A$2:$A$1001,A496,$B$2:$B$1001,"&lt;"&amp;B496))</f>
        <v/>
      </c>
      <c r="K496" s="24" t="str">
        <f aca="false">IF(OR(E496="",I496="",J496=""),"",MAX(E496*I496-J496,0))</f>
        <v/>
      </c>
      <c r="L496" s="25" t="str">
        <f aca="false">IF(OR(D496="",E496="",F496="",D496&lt;=E496),"",FLOOR((F496+K496)/(D496-E496),100))</f>
        <v/>
      </c>
      <c r="M496" s="25" t="str">
        <f aca="false">IF(OR(A496="",B496="",L496=""),"",IF(B496=1,L496,IFERROR(SUMIFS($G$2:$G$1001,$A$2:$A$1001,A496,$B$2:$B$1001,B496-1),0)))</f>
        <v/>
      </c>
      <c r="N496" s="25" t="str">
        <f aca="false">IF(OR(L496="",M496=""),"",MIN(L496,M496))</f>
        <v/>
      </c>
      <c r="O496" s="25" t="str">
        <f aca="false">IF(OR(I496="",G496=""),"",I496+G496)</f>
        <v/>
      </c>
      <c r="P496" s="24" t="str">
        <f aca="false">IF(OR(O496="",O496=0),"",(J496+H496)/O496)</f>
        <v/>
      </c>
      <c r="Q496" s="24" t="str">
        <f aca="false">IF(OR(O496="",E496=""),"",MAX(J496+H496-E496*O496,0))</f>
        <v/>
      </c>
      <c r="R496" s="26" t="str">
        <f aca="false">IF(A496="","",IF(COUNTIF(_TradeIds,A496)=0,"违规：交易编号不存在",IF(OR(B496="",B496&lt;1,B496&gt;5,B496&lt;&gt;INT(B496)),"违规：加仓序号须为1到5的整数",IF(COUNTIFS($A$2:$A$1001,A496,$B$2:$B$1001,B496)&gt;1,"违规：同一交易的加仓序号重复",IF(OR(D496="",E496="",F496=""),"计划不完整：请填写加仓价、新止损价和风险预算",IF(OR(D496&lt;=0,E496&lt;=0,F496&lt;=0,D496&lt;=E496),"违规：加仓价必须高于新止损价，金额须大于0",IF(AND(B496&gt;1,COUNTIFS($A$2:$A$1001,A496,$B$2:$B$1001,B496-1,$G$2:$G$1001,"&gt;0")=0),"违规：须先完成上一次加仓",IF(AND(B496&gt;1,E496&lt;SUMIFS($E$2:$E$1001,$A$2:$A$1001,A496,$B$2:$B$1001,B496-1)),"违规：新止损价不得低于上一次",IF(AND(B496&gt;1,F496&gt;SUMIFS($F$2:$F$1001,$A$2:$A$1001,A496,$B$2:$B$1001,B496-1)),"违规：风险预算须逐次不增加",IF(OR(_LockStatus="已锁仓",_LockStatus="解锁信息不完整"),"违规：锁仓期间禁止加仓",IF(G496="","计划可执行：建议股数见N列",IF(OR(G496&lt;=0,G496&lt;&gt;INT(G496),MOD(G496,100)&lt;&gt;0),"违规：实际股数须为100股整数倍",IF(G496&gt;N496,"违规：实际股数超过风险或金字塔上限",IF(AND(B496&gt;1,G496&gt;SUMIFS($G$2:$G$1001,$A$2:$A$1001,A496,$B$2:$B$1001,B496-1)),"违规：加仓股数须逐次不增加",IF(Q496&gt;F496,"违规：止损风险超过本次预算","通过")))))))))))))))</f>
        <v/>
      </c>
    </row>
    <row r="497" customFormat="false" ht="15" hidden="false" customHeight="false" outlineLevel="0" collapsed="false">
      <c r="A497" s="20"/>
      <c r="B497" s="21"/>
      <c r="C497" s="22"/>
      <c r="D497" s="23"/>
      <c r="E497" s="23"/>
      <c r="F497" s="23"/>
      <c r="G497" s="21"/>
      <c r="H497" s="24" t="str">
        <f aca="false">IF(OR(A497="",D497="",G497=""),"",D497*G497)</f>
        <v/>
      </c>
      <c r="I497" s="25" t="str">
        <f aca="false">IF(OR(A497="",B497=""),"",IFERROR(LOOKUP(2,1/(单次交易!$A$2:$A$201=A497),单次交易!$H$2:$H$201),0)+SUMIFS($G$2:$G$1001,$A$2:$A$1001,A497,$B$2:$B$1001,"&lt;"&amp;B497))</f>
        <v/>
      </c>
      <c r="J497" s="24" t="str">
        <f aca="false">IF(OR(A497="",B497=""),"",IFERROR(LOOKUP(2,1/(单次交易!$A$2:$A$201=A497),单次交易!$E$2:$E$201)*LOOKUP(2,1/(单次交易!$A$2:$A$201=A497),单次交易!$H$2:$H$201),0)+SUMIFS($H$2:$H$1001,$A$2:$A$1001,A497,$B$2:$B$1001,"&lt;"&amp;B497))</f>
        <v/>
      </c>
      <c r="K497" s="24" t="str">
        <f aca="false">IF(OR(E497="",I497="",J497=""),"",MAX(E497*I497-J497,0))</f>
        <v/>
      </c>
      <c r="L497" s="25" t="str">
        <f aca="false">IF(OR(D497="",E497="",F497="",D497&lt;=E497),"",FLOOR((F497+K497)/(D497-E497),100))</f>
        <v/>
      </c>
      <c r="M497" s="25" t="str">
        <f aca="false">IF(OR(A497="",B497="",L497=""),"",IF(B497=1,L497,IFERROR(SUMIFS($G$2:$G$1001,$A$2:$A$1001,A497,$B$2:$B$1001,B497-1),0)))</f>
        <v/>
      </c>
      <c r="N497" s="25" t="str">
        <f aca="false">IF(OR(L497="",M497=""),"",MIN(L497,M497))</f>
        <v/>
      </c>
      <c r="O497" s="25" t="str">
        <f aca="false">IF(OR(I497="",G497=""),"",I497+G497)</f>
        <v/>
      </c>
      <c r="P497" s="24" t="str">
        <f aca="false">IF(OR(O497="",O497=0),"",(J497+H497)/O497)</f>
        <v/>
      </c>
      <c r="Q497" s="24" t="str">
        <f aca="false">IF(OR(O497="",E497=""),"",MAX(J497+H497-E497*O497,0))</f>
        <v/>
      </c>
      <c r="R497" s="26" t="str">
        <f aca="false">IF(A497="","",IF(COUNTIF(_TradeIds,A497)=0,"违规：交易编号不存在",IF(OR(B497="",B497&lt;1,B497&gt;5,B497&lt;&gt;INT(B497)),"违规：加仓序号须为1到5的整数",IF(COUNTIFS($A$2:$A$1001,A497,$B$2:$B$1001,B497)&gt;1,"违规：同一交易的加仓序号重复",IF(OR(D497="",E497="",F497=""),"计划不完整：请填写加仓价、新止损价和风险预算",IF(OR(D497&lt;=0,E497&lt;=0,F497&lt;=0,D497&lt;=E497),"违规：加仓价必须高于新止损价，金额须大于0",IF(AND(B497&gt;1,COUNTIFS($A$2:$A$1001,A497,$B$2:$B$1001,B497-1,$G$2:$G$1001,"&gt;0")=0),"违规：须先完成上一次加仓",IF(AND(B497&gt;1,E497&lt;SUMIFS($E$2:$E$1001,$A$2:$A$1001,A497,$B$2:$B$1001,B497-1)),"违规：新止损价不得低于上一次",IF(AND(B497&gt;1,F497&gt;SUMIFS($F$2:$F$1001,$A$2:$A$1001,A497,$B$2:$B$1001,B497-1)),"违规：风险预算须逐次不增加",IF(OR(_LockStatus="已锁仓",_LockStatus="解锁信息不完整"),"违规：锁仓期间禁止加仓",IF(G497="","计划可执行：建议股数见N列",IF(OR(G497&lt;=0,G497&lt;&gt;INT(G497),MOD(G497,100)&lt;&gt;0),"违规：实际股数须为100股整数倍",IF(G497&gt;N497,"违规：实际股数超过风险或金字塔上限",IF(AND(B497&gt;1,G497&gt;SUMIFS($G$2:$G$1001,$A$2:$A$1001,A497,$B$2:$B$1001,B497-1)),"违规：加仓股数须逐次不增加",IF(Q497&gt;F497,"违规：止损风险超过本次预算","通过")))))))))))))))</f>
        <v/>
      </c>
    </row>
    <row r="498" customFormat="false" ht="15" hidden="false" customHeight="false" outlineLevel="0" collapsed="false">
      <c r="A498" s="20"/>
      <c r="B498" s="21"/>
      <c r="C498" s="22"/>
      <c r="D498" s="23"/>
      <c r="E498" s="23"/>
      <c r="F498" s="23"/>
      <c r="G498" s="21"/>
      <c r="H498" s="24" t="str">
        <f aca="false">IF(OR(A498="",D498="",G498=""),"",D498*G498)</f>
        <v/>
      </c>
      <c r="I498" s="25" t="str">
        <f aca="false">IF(OR(A498="",B498=""),"",IFERROR(LOOKUP(2,1/(单次交易!$A$2:$A$201=A498),单次交易!$H$2:$H$201),0)+SUMIFS($G$2:$G$1001,$A$2:$A$1001,A498,$B$2:$B$1001,"&lt;"&amp;B498))</f>
        <v/>
      </c>
      <c r="J498" s="24" t="str">
        <f aca="false">IF(OR(A498="",B498=""),"",IFERROR(LOOKUP(2,1/(单次交易!$A$2:$A$201=A498),单次交易!$E$2:$E$201)*LOOKUP(2,1/(单次交易!$A$2:$A$201=A498),单次交易!$H$2:$H$201),0)+SUMIFS($H$2:$H$1001,$A$2:$A$1001,A498,$B$2:$B$1001,"&lt;"&amp;B498))</f>
        <v/>
      </c>
      <c r="K498" s="24" t="str">
        <f aca="false">IF(OR(E498="",I498="",J498=""),"",MAX(E498*I498-J498,0))</f>
        <v/>
      </c>
      <c r="L498" s="25" t="str">
        <f aca="false">IF(OR(D498="",E498="",F498="",D498&lt;=E498),"",FLOOR((F498+K498)/(D498-E498),100))</f>
        <v/>
      </c>
      <c r="M498" s="25" t="str">
        <f aca="false">IF(OR(A498="",B498="",L498=""),"",IF(B498=1,L498,IFERROR(SUMIFS($G$2:$G$1001,$A$2:$A$1001,A498,$B$2:$B$1001,B498-1),0)))</f>
        <v/>
      </c>
      <c r="N498" s="25" t="str">
        <f aca="false">IF(OR(L498="",M498=""),"",MIN(L498,M498))</f>
        <v/>
      </c>
      <c r="O498" s="25" t="str">
        <f aca="false">IF(OR(I498="",G498=""),"",I498+G498)</f>
        <v/>
      </c>
      <c r="P498" s="24" t="str">
        <f aca="false">IF(OR(O498="",O498=0),"",(J498+H498)/O498)</f>
        <v/>
      </c>
      <c r="Q498" s="24" t="str">
        <f aca="false">IF(OR(O498="",E498=""),"",MAX(J498+H498-E498*O498,0))</f>
        <v/>
      </c>
      <c r="R498" s="26" t="str">
        <f aca="false">IF(A498="","",IF(COUNTIF(_TradeIds,A498)=0,"违规：交易编号不存在",IF(OR(B498="",B498&lt;1,B498&gt;5,B498&lt;&gt;INT(B498)),"违规：加仓序号须为1到5的整数",IF(COUNTIFS($A$2:$A$1001,A498,$B$2:$B$1001,B498)&gt;1,"违规：同一交易的加仓序号重复",IF(OR(D498="",E498="",F498=""),"计划不完整：请填写加仓价、新止损价和风险预算",IF(OR(D498&lt;=0,E498&lt;=0,F498&lt;=0,D498&lt;=E498),"违规：加仓价必须高于新止损价，金额须大于0",IF(AND(B498&gt;1,COUNTIFS($A$2:$A$1001,A498,$B$2:$B$1001,B498-1,$G$2:$G$1001,"&gt;0")=0),"违规：须先完成上一次加仓",IF(AND(B498&gt;1,E498&lt;SUMIFS($E$2:$E$1001,$A$2:$A$1001,A498,$B$2:$B$1001,B498-1)),"违规：新止损价不得低于上一次",IF(AND(B498&gt;1,F498&gt;SUMIFS($F$2:$F$1001,$A$2:$A$1001,A498,$B$2:$B$1001,B498-1)),"违规：风险预算须逐次不增加",IF(OR(_LockStatus="已锁仓",_LockStatus="解锁信息不完整"),"违规：锁仓期间禁止加仓",IF(G498="","计划可执行：建议股数见N列",IF(OR(G498&lt;=0,G498&lt;&gt;INT(G498),MOD(G498,100)&lt;&gt;0),"违规：实际股数须为100股整数倍",IF(G498&gt;N498,"违规：实际股数超过风险或金字塔上限",IF(AND(B498&gt;1,G498&gt;SUMIFS($G$2:$G$1001,$A$2:$A$1001,A498,$B$2:$B$1001,B498-1)),"违规：加仓股数须逐次不增加",IF(Q498&gt;F498,"违规：止损风险超过本次预算","通过")))))))))))))))</f>
        <v/>
      </c>
    </row>
    <row r="499" customFormat="false" ht="15" hidden="false" customHeight="false" outlineLevel="0" collapsed="false">
      <c r="A499" s="20"/>
      <c r="B499" s="21"/>
      <c r="C499" s="22"/>
      <c r="D499" s="23"/>
      <c r="E499" s="23"/>
      <c r="F499" s="23"/>
      <c r="G499" s="21"/>
      <c r="H499" s="24" t="str">
        <f aca="false">IF(OR(A499="",D499="",G499=""),"",D499*G499)</f>
        <v/>
      </c>
      <c r="I499" s="25" t="str">
        <f aca="false">IF(OR(A499="",B499=""),"",IFERROR(LOOKUP(2,1/(单次交易!$A$2:$A$201=A499),单次交易!$H$2:$H$201),0)+SUMIFS($G$2:$G$1001,$A$2:$A$1001,A499,$B$2:$B$1001,"&lt;"&amp;B499))</f>
        <v/>
      </c>
      <c r="J499" s="24" t="str">
        <f aca="false">IF(OR(A499="",B499=""),"",IFERROR(LOOKUP(2,1/(单次交易!$A$2:$A$201=A499),单次交易!$E$2:$E$201)*LOOKUP(2,1/(单次交易!$A$2:$A$201=A499),单次交易!$H$2:$H$201),0)+SUMIFS($H$2:$H$1001,$A$2:$A$1001,A499,$B$2:$B$1001,"&lt;"&amp;B499))</f>
        <v/>
      </c>
      <c r="K499" s="24" t="str">
        <f aca="false">IF(OR(E499="",I499="",J499=""),"",MAX(E499*I499-J499,0))</f>
        <v/>
      </c>
      <c r="L499" s="25" t="str">
        <f aca="false">IF(OR(D499="",E499="",F499="",D499&lt;=E499),"",FLOOR((F499+K499)/(D499-E499),100))</f>
        <v/>
      </c>
      <c r="M499" s="25" t="str">
        <f aca="false">IF(OR(A499="",B499="",L499=""),"",IF(B499=1,L499,IFERROR(SUMIFS($G$2:$G$1001,$A$2:$A$1001,A499,$B$2:$B$1001,B499-1),0)))</f>
        <v/>
      </c>
      <c r="N499" s="25" t="str">
        <f aca="false">IF(OR(L499="",M499=""),"",MIN(L499,M499))</f>
        <v/>
      </c>
      <c r="O499" s="25" t="str">
        <f aca="false">IF(OR(I499="",G499=""),"",I499+G499)</f>
        <v/>
      </c>
      <c r="P499" s="24" t="str">
        <f aca="false">IF(OR(O499="",O499=0),"",(J499+H499)/O499)</f>
        <v/>
      </c>
      <c r="Q499" s="24" t="str">
        <f aca="false">IF(OR(O499="",E499=""),"",MAX(J499+H499-E499*O499,0))</f>
        <v/>
      </c>
      <c r="R499" s="26" t="str">
        <f aca="false">IF(A499="","",IF(COUNTIF(_TradeIds,A499)=0,"违规：交易编号不存在",IF(OR(B499="",B499&lt;1,B499&gt;5,B499&lt;&gt;INT(B499)),"违规：加仓序号须为1到5的整数",IF(COUNTIFS($A$2:$A$1001,A499,$B$2:$B$1001,B499)&gt;1,"违规：同一交易的加仓序号重复",IF(OR(D499="",E499="",F499=""),"计划不完整：请填写加仓价、新止损价和风险预算",IF(OR(D499&lt;=0,E499&lt;=0,F499&lt;=0,D499&lt;=E499),"违规：加仓价必须高于新止损价，金额须大于0",IF(AND(B499&gt;1,COUNTIFS($A$2:$A$1001,A499,$B$2:$B$1001,B499-1,$G$2:$G$1001,"&gt;0")=0),"违规：须先完成上一次加仓",IF(AND(B499&gt;1,E499&lt;SUMIFS($E$2:$E$1001,$A$2:$A$1001,A499,$B$2:$B$1001,B499-1)),"违规：新止损价不得低于上一次",IF(AND(B499&gt;1,F499&gt;SUMIFS($F$2:$F$1001,$A$2:$A$1001,A499,$B$2:$B$1001,B499-1)),"违规：风险预算须逐次不增加",IF(OR(_LockStatus="已锁仓",_LockStatus="解锁信息不完整"),"违规：锁仓期间禁止加仓",IF(G499="","计划可执行：建议股数见N列",IF(OR(G499&lt;=0,G499&lt;&gt;INT(G499),MOD(G499,100)&lt;&gt;0),"违规：实际股数须为100股整数倍",IF(G499&gt;N499,"违规：实际股数超过风险或金字塔上限",IF(AND(B499&gt;1,G499&gt;SUMIFS($G$2:$G$1001,$A$2:$A$1001,A499,$B$2:$B$1001,B499-1)),"违规：加仓股数须逐次不增加",IF(Q499&gt;F499,"违规：止损风险超过本次预算","通过")))))))))))))))</f>
        <v/>
      </c>
    </row>
    <row r="500" customFormat="false" ht="15" hidden="false" customHeight="false" outlineLevel="0" collapsed="false">
      <c r="A500" s="20"/>
      <c r="B500" s="21"/>
      <c r="C500" s="22"/>
      <c r="D500" s="23"/>
      <c r="E500" s="23"/>
      <c r="F500" s="23"/>
      <c r="G500" s="21"/>
      <c r="H500" s="24" t="str">
        <f aca="false">IF(OR(A500="",D500="",G500=""),"",D500*G500)</f>
        <v/>
      </c>
      <c r="I500" s="25" t="str">
        <f aca="false">IF(OR(A500="",B500=""),"",IFERROR(LOOKUP(2,1/(单次交易!$A$2:$A$201=A500),单次交易!$H$2:$H$201),0)+SUMIFS($G$2:$G$1001,$A$2:$A$1001,A500,$B$2:$B$1001,"&lt;"&amp;B500))</f>
        <v/>
      </c>
      <c r="J500" s="24" t="str">
        <f aca="false">IF(OR(A500="",B500=""),"",IFERROR(LOOKUP(2,1/(单次交易!$A$2:$A$201=A500),单次交易!$E$2:$E$201)*LOOKUP(2,1/(单次交易!$A$2:$A$201=A500),单次交易!$H$2:$H$201),0)+SUMIFS($H$2:$H$1001,$A$2:$A$1001,A500,$B$2:$B$1001,"&lt;"&amp;B500))</f>
        <v/>
      </c>
      <c r="K500" s="24" t="str">
        <f aca="false">IF(OR(E500="",I500="",J500=""),"",MAX(E500*I500-J500,0))</f>
        <v/>
      </c>
      <c r="L500" s="25" t="str">
        <f aca="false">IF(OR(D500="",E500="",F500="",D500&lt;=E500),"",FLOOR((F500+K500)/(D500-E500),100))</f>
        <v/>
      </c>
      <c r="M500" s="25" t="str">
        <f aca="false">IF(OR(A500="",B500="",L500=""),"",IF(B500=1,L500,IFERROR(SUMIFS($G$2:$G$1001,$A$2:$A$1001,A500,$B$2:$B$1001,B500-1),0)))</f>
        <v/>
      </c>
      <c r="N500" s="25" t="str">
        <f aca="false">IF(OR(L500="",M500=""),"",MIN(L500,M500))</f>
        <v/>
      </c>
      <c r="O500" s="25" t="str">
        <f aca="false">IF(OR(I500="",G500=""),"",I500+G500)</f>
        <v/>
      </c>
      <c r="P500" s="24" t="str">
        <f aca="false">IF(OR(O500="",O500=0),"",(J500+H500)/O500)</f>
        <v/>
      </c>
      <c r="Q500" s="24" t="str">
        <f aca="false">IF(OR(O500="",E500=""),"",MAX(J500+H500-E500*O500,0))</f>
        <v/>
      </c>
      <c r="R500" s="26" t="str">
        <f aca="false">IF(A500="","",IF(COUNTIF(_TradeIds,A500)=0,"违规：交易编号不存在",IF(OR(B500="",B500&lt;1,B500&gt;5,B500&lt;&gt;INT(B500)),"违规：加仓序号须为1到5的整数",IF(COUNTIFS($A$2:$A$1001,A500,$B$2:$B$1001,B500)&gt;1,"违规：同一交易的加仓序号重复",IF(OR(D500="",E500="",F500=""),"计划不完整：请填写加仓价、新止损价和风险预算",IF(OR(D500&lt;=0,E500&lt;=0,F500&lt;=0,D500&lt;=E500),"违规：加仓价必须高于新止损价，金额须大于0",IF(AND(B500&gt;1,COUNTIFS($A$2:$A$1001,A500,$B$2:$B$1001,B500-1,$G$2:$G$1001,"&gt;0")=0),"违规：须先完成上一次加仓",IF(AND(B500&gt;1,E500&lt;SUMIFS($E$2:$E$1001,$A$2:$A$1001,A500,$B$2:$B$1001,B500-1)),"违规：新止损价不得低于上一次",IF(AND(B500&gt;1,F500&gt;SUMIFS($F$2:$F$1001,$A$2:$A$1001,A500,$B$2:$B$1001,B500-1)),"违规：风险预算须逐次不增加",IF(OR(_LockStatus="已锁仓",_LockStatus="解锁信息不完整"),"违规：锁仓期间禁止加仓",IF(G500="","计划可执行：建议股数见N列",IF(OR(G500&lt;=0,G500&lt;&gt;INT(G500),MOD(G500,100)&lt;&gt;0),"违规：实际股数须为100股整数倍",IF(G500&gt;N500,"违规：实际股数超过风险或金字塔上限",IF(AND(B500&gt;1,G500&gt;SUMIFS($G$2:$G$1001,$A$2:$A$1001,A500,$B$2:$B$1001,B500-1)),"违规：加仓股数须逐次不增加",IF(Q500&gt;F500,"违规：止损风险超过本次预算","通过")))))))))))))))</f>
        <v/>
      </c>
    </row>
    <row r="501" customFormat="false" ht="15" hidden="false" customHeight="false" outlineLevel="0" collapsed="false">
      <c r="A501" s="20"/>
      <c r="B501" s="21"/>
      <c r="C501" s="22"/>
      <c r="D501" s="23"/>
      <c r="E501" s="23"/>
      <c r="F501" s="23"/>
      <c r="G501" s="21"/>
      <c r="H501" s="24" t="str">
        <f aca="false">IF(OR(A501="",D501="",G501=""),"",D501*G501)</f>
        <v/>
      </c>
      <c r="I501" s="25" t="str">
        <f aca="false">IF(OR(A501="",B501=""),"",IFERROR(LOOKUP(2,1/(单次交易!$A$2:$A$201=A501),单次交易!$H$2:$H$201),0)+SUMIFS($G$2:$G$1001,$A$2:$A$1001,A501,$B$2:$B$1001,"&lt;"&amp;B501))</f>
        <v/>
      </c>
      <c r="J501" s="24" t="str">
        <f aca="false">IF(OR(A501="",B501=""),"",IFERROR(LOOKUP(2,1/(单次交易!$A$2:$A$201=A501),单次交易!$E$2:$E$201)*LOOKUP(2,1/(单次交易!$A$2:$A$201=A501),单次交易!$H$2:$H$201),0)+SUMIFS($H$2:$H$1001,$A$2:$A$1001,A501,$B$2:$B$1001,"&lt;"&amp;B501))</f>
        <v/>
      </c>
      <c r="K501" s="24" t="str">
        <f aca="false">IF(OR(E501="",I501="",J501=""),"",MAX(E501*I501-J501,0))</f>
        <v/>
      </c>
      <c r="L501" s="25" t="str">
        <f aca="false">IF(OR(D501="",E501="",F501="",D501&lt;=E501),"",FLOOR((F501+K501)/(D501-E501),100))</f>
        <v/>
      </c>
      <c r="M501" s="25" t="str">
        <f aca="false">IF(OR(A501="",B501="",L501=""),"",IF(B501=1,L501,IFERROR(SUMIFS($G$2:$G$1001,$A$2:$A$1001,A501,$B$2:$B$1001,B501-1),0)))</f>
        <v/>
      </c>
      <c r="N501" s="25" t="str">
        <f aca="false">IF(OR(L501="",M501=""),"",MIN(L501,M501))</f>
        <v/>
      </c>
      <c r="O501" s="25" t="str">
        <f aca="false">IF(OR(I501="",G501=""),"",I501+G501)</f>
        <v/>
      </c>
      <c r="P501" s="24" t="str">
        <f aca="false">IF(OR(O501="",O501=0),"",(J501+H501)/O501)</f>
        <v/>
      </c>
      <c r="Q501" s="24" t="str">
        <f aca="false">IF(OR(O501="",E501=""),"",MAX(J501+H501-E501*O501,0))</f>
        <v/>
      </c>
      <c r="R501" s="26" t="str">
        <f aca="false">IF(A501="","",IF(COUNTIF(_TradeIds,A501)=0,"违规：交易编号不存在",IF(OR(B501="",B501&lt;1,B501&gt;5,B501&lt;&gt;INT(B501)),"违规：加仓序号须为1到5的整数",IF(COUNTIFS($A$2:$A$1001,A501,$B$2:$B$1001,B501)&gt;1,"违规：同一交易的加仓序号重复",IF(OR(D501="",E501="",F501=""),"计划不完整：请填写加仓价、新止损价和风险预算",IF(OR(D501&lt;=0,E501&lt;=0,F501&lt;=0,D501&lt;=E501),"违规：加仓价必须高于新止损价，金额须大于0",IF(AND(B501&gt;1,COUNTIFS($A$2:$A$1001,A501,$B$2:$B$1001,B501-1,$G$2:$G$1001,"&gt;0")=0),"违规：须先完成上一次加仓",IF(AND(B501&gt;1,E501&lt;SUMIFS($E$2:$E$1001,$A$2:$A$1001,A501,$B$2:$B$1001,B501-1)),"违规：新止损价不得低于上一次",IF(AND(B501&gt;1,F501&gt;SUMIFS($F$2:$F$1001,$A$2:$A$1001,A501,$B$2:$B$1001,B501-1)),"违规：风险预算须逐次不增加",IF(OR(_LockStatus="已锁仓",_LockStatus="解锁信息不完整"),"违规：锁仓期间禁止加仓",IF(G501="","计划可执行：建议股数见N列",IF(OR(G501&lt;=0,G501&lt;&gt;INT(G501),MOD(G501,100)&lt;&gt;0),"违规：实际股数须为100股整数倍",IF(G501&gt;N501,"违规：实际股数超过风险或金字塔上限",IF(AND(B501&gt;1,G501&gt;SUMIFS($G$2:$G$1001,$A$2:$A$1001,A501,$B$2:$B$1001,B501-1)),"违规：加仓股数须逐次不增加",IF(Q501&gt;F501,"违规：止损风险超过本次预算","通过")))))))))))))))</f>
        <v/>
      </c>
    </row>
    <row r="502" customFormat="false" ht="15" hidden="false" customHeight="false" outlineLevel="0" collapsed="false">
      <c r="A502" s="20"/>
      <c r="B502" s="21"/>
      <c r="C502" s="22"/>
      <c r="D502" s="23"/>
      <c r="E502" s="23"/>
      <c r="F502" s="23"/>
      <c r="G502" s="21"/>
      <c r="H502" s="24" t="str">
        <f aca="false">IF(OR(A502="",D502="",G502=""),"",D502*G502)</f>
        <v/>
      </c>
      <c r="I502" s="25" t="str">
        <f aca="false">IF(OR(A502="",B502=""),"",IFERROR(LOOKUP(2,1/(单次交易!$A$2:$A$201=A502),单次交易!$H$2:$H$201),0)+SUMIFS($G$2:$G$1001,$A$2:$A$1001,A502,$B$2:$B$1001,"&lt;"&amp;B502))</f>
        <v/>
      </c>
      <c r="J502" s="24" t="str">
        <f aca="false">IF(OR(A502="",B502=""),"",IFERROR(LOOKUP(2,1/(单次交易!$A$2:$A$201=A502),单次交易!$E$2:$E$201)*LOOKUP(2,1/(单次交易!$A$2:$A$201=A502),单次交易!$H$2:$H$201),0)+SUMIFS($H$2:$H$1001,$A$2:$A$1001,A502,$B$2:$B$1001,"&lt;"&amp;B502))</f>
        <v/>
      </c>
      <c r="K502" s="24" t="str">
        <f aca="false">IF(OR(E502="",I502="",J502=""),"",MAX(E502*I502-J502,0))</f>
        <v/>
      </c>
      <c r="L502" s="25" t="str">
        <f aca="false">IF(OR(D502="",E502="",F502="",D502&lt;=E502),"",FLOOR((F502+K502)/(D502-E502),100))</f>
        <v/>
      </c>
      <c r="M502" s="25" t="str">
        <f aca="false">IF(OR(A502="",B502="",L502=""),"",IF(B502=1,L502,IFERROR(SUMIFS($G$2:$G$1001,$A$2:$A$1001,A502,$B$2:$B$1001,B502-1),0)))</f>
        <v/>
      </c>
      <c r="N502" s="25" t="str">
        <f aca="false">IF(OR(L502="",M502=""),"",MIN(L502,M502))</f>
        <v/>
      </c>
      <c r="O502" s="25" t="str">
        <f aca="false">IF(OR(I502="",G502=""),"",I502+G502)</f>
        <v/>
      </c>
      <c r="P502" s="24" t="str">
        <f aca="false">IF(OR(O502="",O502=0),"",(J502+H502)/O502)</f>
        <v/>
      </c>
      <c r="Q502" s="24" t="str">
        <f aca="false">IF(OR(O502="",E502=""),"",MAX(J502+H502-E502*O502,0))</f>
        <v/>
      </c>
      <c r="R502" s="26" t="str">
        <f aca="false">IF(A502="","",IF(COUNTIF(_TradeIds,A502)=0,"违规：交易编号不存在",IF(OR(B502="",B502&lt;1,B502&gt;5,B502&lt;&gt;INT(B502)),"违规：加仓序号须为1到5的整数",IF(COUNTIFS($A$2:$A$1001,A502,$B$2:$B$1001,B502)&gt;1,"违规：同一交易的加仓序号重复",IF(OR(D502="",E502="",F502=""),"计划不完整：请填写加仓价、新止损价和风险预算",IF(OR(D502&lt;=0,E502&lt;=0,F502&lt;=0,D502&lt;=E502),"违规：加仓价必须高于新止损价，金额须大于0",IF(AND(B502&gt;1,COUNTIFS($A$2:$A$1001,A502,$B$2:$B$1001,B502-1,$G$2:$G$1001,"&gt;0")=0),"违规：须先完成上一次加仓",IF(AND(B502&gt;1,E502&lt;SUMIFS($E$2:$E$1001,$A$2:$A$1001,A502,$B$2:$B$1001,B502-1)),"违规：新止损价不得低于上一次",IF(AND(B502&gt;1,F502&gt;SUMIFS($F$2:$F$1001,$A$2:$A$1001,A502,$B$2:$B$1001,B502-1)),"违规：风险预算须逐次不增加",IF(OR(_LockStatus="已锁仓",_LockStatus="解锁信息不完整"),"违规：锁仓期间禁止加仓",IF(G502="","计划可执行：建议股数见N列",IF(OR(G502&lt;=0,G502&lt;&gt;INT(G502),MOD(G502,100)&lt;&gt;0),"违规：实际股数须为100股整数倍",IF(G502&gt;N502,"违规：实际股数超过风险或金字塔上限",IF(AND(B502&gt;1,G502&gt;SUMIFS($G$2:$G$1001,$A$2:$A$1001,A502,$B$2:$B$1001,B502-1)),"违规：加仓股数须逐次不增加",IF(Q502&gt;F502,"违规：止损风险超过本次预算","通过")))))))))))))))</f>
        <v/>
      </c>
    </row>
    <row r="503" customFormat="false" ht="15" hidden="false" customHeight="false" outlineLevel="0" collapsed="false">
      <c r="A503" s="20"/>
      <c r="B503" s="21"/>
      <c r="C503" s="22"/>
      <c r="D503" s="23"/>
      <c r="E503" s="23"/>
      <c r="F503" s="23"/>
      <c r="G503" s="21"/>
      <c r="H503" s="24" t="str">
        <f aca="false">IF(OR(A503="",D503="",G503=""),"",D503*G503)</f>
        <v/>
      </c>
      <c r="I503" s="25" t="str">
        <f aca="false">IF(OR(A503="",B503=""),"",IFERROR(LOOKUP(2,1/(单次交易!$A$2:$A$201=A503),单次交易!$H$2:$H$201),0)+SUMIFS($G$2:$G$1001,$A$2:$A$1001,A503,$B$2:$B$1001,"&lt;"&amp;B503))</f>
        <v/>
      </c>
      <c r="J503" s="24" t="str">
        <f aca="false">IF(OR(A503="",B503=""),"",IFERROR(LOOKUP(2,1/(单次交易!$A$2:$A$201=A503),单次交易!$E$2:$E$201)*LOOKUP(2,1/(单次交易!$A$2:$A$201=A503),单次交易!$H$2:$H$201),0)+SUMIFS($H$2:$H$1001,$A$2:$A$1001,A503,$B$2:$B$1001,"&lt;"&amp;B503))</f>
        <v/>
      </c>
      <c r="K503" s="24" t="str">
        <f aca="false">IF(OR(E503="",I503="",J503=""),"",MAX(E503*I503-J503,0))</f>
        <v/>
      </c>
      <c r="L503" s="25" t="str">
        <f aca="false">IF(OR(D503="",E503="",F503="",D503&lt;=E503),"",FLOOR((F503+K503)/(D503-E503),100))</f>
        <v/>
      </c>
      <c r="M503" s="25" t="str">
        <f aca="false">IF(OR(A503="",B503="",L503=""),"",IF(B503=1,L503,IFERROR(SUMIFS($G$2:$G$1001,$A$2:$A$1001,A503,$B$2:$B$1001,B503-1),0)))</f>
        <v/>
      </c>
      <c r="N503" s="25" t="str">
        <f aca="false">IF(OR(L503="",M503=""),"",MIN(L503,M503))</f>
        <v/>
      </c>
      <c r="O503" s="25" t="str">
        <f aca="false">IF(OR(I503="",G503=""),"",I503+G503)</f>
        <v/>
      </c>
      <c r="P503" s="24" t="str">
        <f aca="false">IF(OR(O503="",O503=0),"",(J503+H503)/O503)</f>
        <v/>
      </c>
      <c r="Q503" s="24" t="str">
        <f aca="false">IF(OR(O503="",E503=""),"",MAX(J503+H503-E503*O503,0))</f>
        <v/>
      </c>
      <c r="R503" s="26" t="str">
        <f aca="false">IF(A503="","",IF(COUNTIF(_TradeIds,A503)=0,"违规：交易编号不存在",IF(OR(B503="",B503&lt;1,B503&gt;5,B503&lt;&gt;INT(B503)),"违规：加仓序号须为1到5的整数",IF(COUNTIFS($A$2:$A$1001,A503,$B$2:$B$1001,B503)&gt;1,"违规：同一交易的加仓序号重复",IF(OR(D503="",E503="",F503=""),"计划不完整：请填写加仓价、新止损价和风险预算",IF(OR(D503&lt;=0,E503&lt;=0,F503&lt;=0,D503&lt;=E503),"违规：加仓价必须高于新止损价，金额须大于0",IF(AND(B503&gt;1,COUNTIFS($A$2:$A$1001,A503,$B$2:$B$1001,B503-1,$G$2:$G$1001,"&gt;0")=0),"违规：须先完成上一次加仓",IF(AND(B503&gt;1,E503&lt;SUMIFS($E$2:$E$1001,$A$2:$A$1001,A503,$B$2:$B$1001,B503-1)),"违规：新止损价不得低于上一次",IF(AND(B503&gt;1,F503&gt;SUMIFS($F$2:$F$1001,$A$2:$A$1001,A503,$B$2:$B$1001,B503-1)),"违规：风险预算须逐次不增加",IF(OR(_LockStatus="已锁仓",_LockStatus="解锁信息不完整"),"违规：锁仓期间禁止加仓",IF(G503="","计划可执行：建议股数见N列",IF(OR(G503&lt;=0,G503&lt;&gt;INT(G503),MOD(G503,100)&lt;&gt;0),"违规：实际股数须为100股整数倍",IF(G503&gt;N503,"违规：实际股数超过风险或金字塔上限",IF(AND(B503&gt;1,G503&gt;SUMIFS($G$2:$G$1001,$A$2:$A$1001,A503,$B$2:$B$1001,B503-1)),"违规：加仓股数须逐次不增加",IF(Q503&gt;F503,"违规：止损风险超过本次预算","通过")))))))))))))))</f>
        <v/>
      </c>
    </row>
    <row r="504" customFormat="false" ht="15" hidden="false" customHeight="false" outlineLevel="0" collapsed="false">
      <c r="A504" s="20"/>
      <c r="B504" s="21"/>
      <c r="C504" s="22"/>
      <c r="D504" s="23"/>
      <c r="E504" s="23"/>
      <c r="F504" s="23"/>
      <c r="G504" s="21"/>
      <c r="H504" s="24" t="str">
        <f aca="false">IF(OR(A504="",D504="",G504=""),"",D504*G504)</f>
        <v/>
      </c>
      <c r="I504" s="25" t="str">
        <f aca="false">IF(OR(A504="",B504=""),"",IFERROR(LOOKUP(2,1/(单次交易!$A$2:$A$201=A504),单次交易!$H$2:$H$201),0)+SUMIFS($G$2:$G$1001,$A$2:$A$1001,A504,$B$2:$B$1001,"&lt;"&amp;B504))</f>
        <v/>
      </c>
      <c r="J504" s="24" t="str">
        <f aca="false">IF(OR(A504="",B504=""),"",IFERROR(LOOKUP(2,1/(单次交易!$A$2:$A$201=A504),单次交易!$E$2:$E$201)*LOOKUP(2,1/(单次交易!$A$2:$A$201=A504),单次交易!$H$2:$H$201),0)+SUMIFS($H$2:$H$1001,$A$2:$A$1001,A504,$B$2:$B$1001,"&lt;"&amp;B504))</f>
        <v/>
      </c>
      <c r="K504" s="24" t="str">
        <f aca="false">IF(OR(E504="",I504="",J504=""),"",MAX(E504*I504-J504,0))</f>
        <v/>
      </c>
      <c r="L504" s="25" t="str">
        <f aca="false">IF(OR(D504="",E504="",F504="",D504&lt;=E504),"",FLOOR((F504+K504)/(D504-E504),100))</f>
        <v/>
      </c>
      <c r="M504" s="25" t="str">
        <f aca="false">IF(OR(A504="",B504="",L504=""),"",IF(B504=1,L504,IFERROR(SUMIFS($G$2:$G$1001,$A$2:$A$1001,A504,$B$2:$B$1001,B504-1),0)))</f>
        <v/>
      </c>
      <c r="N504" s="25" t="str">
        <f aca="false">IF(OR(L504="",M504=""),"",MIN(L504,M504))</f>
        <v/>
      </c>
      <c r="O504" s="25" t="str">
        <f aca="false">IF(OR(I504="",G504=""),"",I504+G504)</f>
        <v/>
      </c>
      <c r="P504" s="24" t="str">
        <f aca="false">IF(OR(O504="",O504=0),"",(J504+H504)/O504)</f>
        <v/>
      </c>
      <c r="Q504" s="24" t="str">
        <f aca="false">IF(OR(O504="",E504=""),"",MAX(J504+H504-E504*O504,0))</f>
        <v/>
      </c>
      <c r="R504" s="26" t="str">
        <f aca="false">IF(A504="","",IF(COUNTIF(_TradeIds,A504)=0,"违规：交易编号不存在",IF(OR(B504="",B504&lt;1,B504&gt;5,B504&lt;&gt;INT(B504)),"违规：加仓序号须为1到5的整数",IF(COUNTIFS($A$2:$A$1001,A504,$B$2:$B$1001,B504)&gt;1,"违规：同一交易的加仓序号重复",IF(OR(D504="",E504="",F504=""),"计划不完整：请填写加仓价、新止损价和风险预算",IF(OR(D504&lt;=0,E504&lt;=0,F504&lt;=0,D504&lt;=E504),"违规：加仓价必须高于新止损价，金额须大于0",IF(AND(B504&gt;1,COUNTIFS($A$2:$A$1001,A504,$B$2:$B$1001,B504-1,$G$2:$G$1001,"&gt;0")=0),"违规：须先完成上一次加仓",IF(AND(B504&gt;1,E504&lt;SUMIFS($E$2:$E$1001,$A$2:$A$1001,A504,$B$2:$B$1001,B504-1)),"违规：新止损价不得低于上一次",IF(AND(B504&gt;1,F504&gt;SUMIFS($F$2:$F$1001,$A$2:$A$1001,A504,$B$2:$B$1001,B504-1)),"违规：风险预算须逐次不增加",IF(OR(_LockStatus="已锁仓",_LockStatus="解锁信息不完整"),"违规：锁仓期间禁止加仓",IF(G504="","计划可执行：建议股数见N列",IF(OR(G504&lt;=0,G504&lt;&gt;INT(G504),MOD(G504,100)&lt;&gt;0),"违规：实际股数须为100股整数倍",IF(G504&gt;N504,"违规：实际股数超过风险或金字塔上限",IF(AND(B504&gt;1,G504&gt;SUMIFS($G$2:$G$1001,$A$2:$A$1001,A504,$B$2:$B$1001,B504-1)),"违规：加仓股数须逐次不增加",IF(Q504&gt;F504,"违规：止损风险超过本次预算","通过")))))))))))))))</f>
        <v/>
      </c>
    </row>
    <row r="505" customFormat="false" ht="15" hidden="false" customHeight="false" outlineLevel="0" collapsed="false">
      <c r="A505" s="20"/>
      <c r="B505" s="21"/>
      <c r="C505" s="22"/>
      <c r="D505" s="23"/>
      <c r="E505" s="23"/>
      <c r="F505" s="23"/>
      <c r="G505" s="21"/>
      <c r="H505" s="24" t="str">
        <f aca="false">IF(OR(A505="",D505="",G505=""),"",D505*G505)</f>
        <v/>
      </c>
      <c r="I505" s="25" t="str">
        <f aca="false">IF(OR(A505="",B505=""),"",IFERROR(LOOKUP(2,1/(单次交易!$A$2:$A$201=A505),单次交易!$H$2:$H$201),0)+SUMIFS($G$2:$G$1001,$A$2:$A$1001,A505,$B$2:$B$1001,"&lt;"&amp;B505))</f>
        <v/>
      </c>
      <c r="J505" s="24" t="str">
        <f aca="false">IF(OR(A505="",B505=""),"",IFERROR(LOOKUP(2,1/(单次交易!$A$2:$A$201=A505),单次交易!$E$2:$E$201)*LOOKUP(2,1/(单次交易!$A$2:$A$201=A505),单次交易!$H$2:$H$201),0)+SUMIFS($H$2:$H$1001,$A$2:$A$1001,A505,$B$2:$B$1001,"&lt;"&amp;B505))</f>
        <v/>
      </c>
      <c r="K505" s="24" t="str">
        <f aca="false">IF(OR(E505="",I505="",J505=""),"",MAX(E505*I505-J505,0))</f>
        <v/>
      </c>
      <c r="L505" s="25" t="str">
        <f aca="false">IF(OR(D505="",E505="",F505="",D505&lt;=E505),"",FLOOR((F505+K505)/(D505-E505),100))</f>
        <v/>
      </c>
      <c r="M505" s="25" t="str">
        <f aca="false">IF(OR(A505="",B505="",L505=""),"",IF(B505=1,L505,IFERROR(SUMIFS($G$2:$G$1001,$A$2:$A$1001,A505,$B$2:$B$1001,B505-1),0)))</f>
        <v/>
      </c>
      <c r="N505" s="25" t="str">
        <f aca="false">IF(OR(L505="",M505=""),"",MIN(L505,M505))</f>
        <v/>
      </c>
      <c r="O505" s="25" t="str">
        <f aca="false">IF(OR(I505="",G505=""),"",I505+G505)</f>
        <v/>
      </c>
      <c r="P505" s="24" t="str">
        <f aca="false">IF(OR(O505="",O505=0),"",(J505+H505)/O505)</f>
        <v/>
      </c>
      <c r="Q505" s="24" t="str">
        <f aca="false">IF(OR(O505="",E505=""),"",MAX(J505+H505-E505*O505,0))</f>
        <v/>
      </c>
      <c r="R505" s="26" t="str">
        <f aca="false">IF(A505="","",IF(COUNTIF(_TradeIds,A505)=0,"违规：交易编号不存在",IF(OR(B505="",B505&lt;1,B505&gt;5,B505&lt;&gt;INT(B505)),"违规：加仓序号须为1到5的整数",IF(COUNTIFS($A$2:$A$1001,A505,$B$2:$B$1001,B505)&gt;1,"违规：同一交易的加仓序号重复",IF(OR(D505="",E505="",F505=""),"计划不完整：请填写加仓价、新止损价和风险预算",IF(OR(D505&lt;=0,E505&lt;=0,F505&lt;=0,D505&lt;=E505),"违规：加仓价必须高于新止损价，金额须大于0",IF(AND(B505&gt;1,COUNTIFS($A$2:$A$1001,A505,$B$2:$B$1001,B505-1,$G$2:$G$1001,"&gt;0")=0),"违规：须先完成上一次加仓",IF(AND(B505&gt;1,E505&lt;SUMIFS($E$2:$E$1001,$A$2:$A$1001,A505,$B$2:$B$1001,B505-1)),"违规：新止损价不得低于上一次",IF(AND(B505&gt;1,F505&gt;SUMIFS($F$2:$F$1001,$A$2:$A$1001,A505,$B$2:$B$1001,B505-1)),"违规：风险预算须逐次不增加",IF(OR(_LockStatus="已锁仓",_LockStatus="解锁信息不完整"),"违规：锁仓期间禁止加仓",IF(G505="","计划可执行：建议股数见N列",IF(OR(G505&lt;=0,G505&lt;&gt;INT(G505),MOD(G505,100)&lt;&gt;0),"违规：实际股数须为100股整数倍",IF(G505&gt;N505,"违规：实际股数超过风险或金字塔上限",IF(AND(B505&gt;1,G505&gt;SUMIFS($G$2:$G$1001,$A$2:$A$1001,A505,$B$2:$B$1001,B505-1)),"违规：加仓股数须逐次不增加",IF(Q505&gt;F505,"违规：止损风险超过本次预算","通过")))))))))))))))</f>
        <v/>
      </c>
    </row>
    <row r="506" customFormat="false" ht="15" hidden="false" customHeight="false" outlineLevel="0" collapsed="false">
      <c r="A506" s="20"/>
      <c r="B506" s="21"/>
      <c r="C506" s="22"/>
      <c r="D506" s="23"/>
      <c r="E506" s="23"/>
      <c r="F506" s="23"/>
      <c r="G506" s="21"/>
      <c r="H506" s="24" t="str">
        <f aca="false">IF(OR(A506="",D506="",G506=""),"",D506*G506)</f>
        <v/>
      </c>
      <c r="I506" s="25" t="str">
        <f aca="false">IF(OR(A506="",B506=""),"",IFERROR(LOOKUP(2,1/(单次交易!$A$2:$A$201=A506),单次交易!$H$2:$H$201),0)+SUMIFS($G$2:$G$1001,$A$2:$A$1001,A506,$B$2:$B$1001,"&lt;"&amp;B506))</f>
        <v/>
      </c>
      <c r="J506" s="24" t="str">
        <f aca="false">IF(OR(A506="",B506=""),"",IFERROR(LOOKUP(2,1/(单次交易!$A$2:$A$201=A506),单次交易!$E$2:$E$201)*LOOKUP(2,1/(单次交易!$A$2:$A$201=A506),单次交易!$H$2:$H$201),0)+SUMIFS($H$2:$H$1001,$A$2:$A$1001,A506,$B$2:$B$1001,"&lt;"&amp;B506))</f>
        <v/>
      </c>
      <c r="K506" s="24" t="str">
        <f aca="false">IF(OR(E506="",I506="",J506=""),"",MAX(E506*I506-J506,0))</f>
        <v/>
      </c>
      <c r="L506" s="25" t="str">
        <f aca="false">IF(OR(D506="",E506="",F506="",D506&lt;=E506),"",FLOOR((F506+K506)/(D506-E506),100))</f>
        <v/>
      </c>
      <c r="M506" s="25" t="str">
        <f aca="false">IF(OR(A506="",B506="",L506=""),"",IF(B506=1,L506,IFERROR(SUMIFS($G$2:$G$1001,$A$2:$A$1001,A506,$B$2:$B$1001,B506-1),0)))</f>
        <v/>
      </c>
      <c r="N506" s="25" t="str">
        <f aca="false">IF(OR(L506="",M506=""),"",MIN(L506,M506))</f>
        <v/>
      </c>
      <c r="O506" s="25" t="str">
        <f aca="false">IF(OR(I506="",G506=""),"",I506+G506)</f>
        <v/>
      </c>
      <c r="P506" s="24" t="str">
        <f aca="false">IF(OR(O506="",O506=0),"",(J506+H506)/O506)</f>
        <v/>
      </c>
      <c r="Q506" s="24" t="str">
        <f aca="false">IF(OR(O506="",E506=""),"",MAX(J506+H506-E506*O506,0))</f>
        <v/>
      </c>
      <c r="R506" s="26" t="str">
        <f aca="false">IF(A506="","",IF(COUNTIF(_TradeIds,A506)=0,"违规：交易编号不存在",IF(OR(B506="",B506&lt;1,B506&gt;5,B506&lt;&gt;INT(B506)),"违规：加仓序号须为1到5的整数",IF(COUNTIFS($A$2:$A$1001,A506,$B$2:$B$1001,B506)&gt;1,"违规：同一交易的加仓序号重复",IF(OR(D506="",E506="",F506=""),"计划不完整：请填写加仓价、新止损价和风险预算",IF(OR(D506&lt;=0,E506&lt;=0,F506&lt;=0,D506&lt;=E506),"违规：加仓价必须高于新止损价，金额须大于0",IF(AND(B506&gt;1,COUNTIFS($A$2:$A$1001,A506,$B$2:$B$1001,B506-1,$G$2:$G$1001,"&gt;0")=0),"违规：须先完成上一次加仓",IF(AND(B506&gt;1,E506&lt;SUMIFS($E$2:$E$1001,$A$2:$A$1001,A506,$B$2:$B$1001,B506-1)),"违规：新止损价不得低于上一次",IF(AND(B506&gt;1,F506&gt;SUMIFS($F$2:$F$1001,$A$2:$A$1001,A506,$B$2:$B$1001,B506-1)),"违规：风险预算须逐次不增加",IF(OR(_LockStatus="已锁仓",_LockStatus="解锁信息不完整"),"违规：锁仓期间禁止加仓",IF(G506="","计划可执行：建议股数见N列",IF(OR(G506&lt;=0,G506&lt;&gt;INT(G506),MOD(G506,100)&lt;&gt;0),"违规：实际股数须为100股整数倍",IF(G506&gt;N506,"违规：实际股数超过风险或金字塔上限",IF(AND(B506&gt;1,G506&gt;SUMIFS($G$2:$G$1001,$A$2:$A$1001,A506,$B$2:$B$1001,B506-1)),"违规：加仓股数须逐次不增加",IF(Q506&gt;F506,"违规：止损风险超过本次预算","通过")))))))))))))))</f>
        <v/>
      </c>
    </row>
    <row r="507" customFormat="false" ht="15" hidden="false" customHeight="false" outlineLevel="0" collapsed="false">
      <c r="A507" s="20"/>
      <c r="B507" s="21"/>
      <c r="C507" s="22"/>
      <c r="D507" s="23"/>
      <c r="E507" s="23"/>
      <c r="F507" s="23"/>
      <c r="G507" s="21"/>
      <c r="H507" s="24" t="str">
        <f aca="false">IF(OR(A507="",D507="",G507=""),"",D507*G507)</f>
        <v/>
      </c>
      <c r="I507" s="25" t="str">
        <f aca="false">IF(OR(A507="",B507=""),"",IFERROR(LOOKUP(2,1/(单次交易!$A$2:$A$201=A507),单次交易!$H$2:$H$201),0)+SUMIFS($G$2:$G$1001,$A$2:$A$1001,A507,$B$2:$B$1001,"&lt;"&amp;B507))</f>
        <v/>
      </c>
      <c r="J507" s="24" t="str">
        <f aca="false">IF(OR(A507="",B507=""),"",IFERROR(LOOKUP(2,1/(单次交易!$A$2:$A$201=A507),单次交易!$E$2:$E$201)*LOOKUP(2,1/(单次交易!$A$2:$A$201=A507),单次交易!$H$2:$H$201),0)+SUMIFS($H$2:$H$1001,$A$2:$A$1001,A507,$B$2:$B$1001,"&lt;"&amp;B507))</f>
        <v/>
      </c>
      <c r="K507" s="24" t="str">
        <f aca="false">IF(OR(E507="",I507="",J507=""),"",MAX(E507*I507-J507,0))</f>
        <v/>
      </c>
      <c r="L507" s="25" t="str">
        <f aca="false">IF(OR(D507="",E507="",F507="",D507&lt;=E507),"",FLOOR((F507+K507)/(D507-E507),100))</f>
        <v/>
      </c>
      <c r="M507" s="25" t="str">
        <f aca="false">IF(OR(A507="",B507="",L507=""),"",IF(B507=1,L507,IFERROR(SUMIFS($G$2:$G$1001,$A$2:$A$1001,A507,$B$2:$B$1001,B507-1),0)))</f>
        <v/>
      </c>
      <c r="N507" s="25" t="str">
        <f aca="false">IF(OR(L507="",M507=""),"",MIN(L507,M507))</f>
        <v/>
      </c>
      <c r="O507" s="25" t="str">
        <f aca="false">IF(OR(I507="",G507=""),"",I507+G507)</f>
        <v/>
      </c>
      <c r="P507" s="24" t="str">
        <f aca="false">IF(OR(O507="",O507=0),"",(J507+H507)/O507)</f>
        <v/>
      </c>
      <c r="Q507" s="24" t="str">
        <f aca="false">IF(OR(O507="",E507=""),"",MAX(J507+H507-E507*O507,0))</f>
        <v/>
      </c>
      <c r="R507" s="26" t="str">
        <f aca="false">IF(A507="","",IF(COUNTIF(_TradeIds,A507)=0,"违规：交易编号不存在",IF(OR(B507="",B507&lt;1,B507&gt;5,B507&lt;&gt;INT(B507)),"违规：加仓序号须为1到5的整数",IF(COUNTIFS($A$2:$A$1001,A507,$B$2:$B$1001,B507)&gt;1,"违规：同一交易的加仓序号重复",IF(OR(D507="",E507="",F507=""),"计划不完整：请填写加仓价、新止损价和风险预算",IF(OR(D507&lt;=0,E507&lt;=0,F507&lt;=0,D507&lt;=E507),"违规：加仓价必须高于新止损价，金额须大于0",IF(AND(B507&gt;1,COUNTIFS($A$2:$A$1001,A507,$B$2:$B$1001,B507-1,$G$2:$G$1001,"&gt;0")=0),"违规：须先完成上一次加仓",IF(AND(B507&gt;1,E507&lt;SUMIFS($E$2:$E$1001,$A$2:$A$1001,A507,$B$2:$B$1001,B507-1)),"违规：新止损价不得低于上一次",IF(AND(B507&gt;1,F507&gt;SUMIFS($F$2:$F$1001,$A$2:$A$1001,A507,$B$2:$B$1001,B507-1)),"违规：风险预算须逐次不增加",IF(OR(_LockStatus="已锁仓",_LockStatus="解锁信息不完整"),"违规：锁仓期间禁止加仓",IF(G507="","计划可执行：建议股数见N列",IF(OR(G507&lt;=0,G507&lt;&gt;INT(G507),MOD(G507,100)&lt;&gt;0),"违规：实际股数须为100股整数倍",IF(G507&gt;N507,"违规：实际股数超过风险或金字塔上限",IF(AND(B507&gt;1,G507&gt;SUMIFS($G$2:$G$1001,$A$2:$A$1001,A507,$B$2:$B$1001,B507-1)),"违规：加仓股数须逐次不增加",IF(Q507&gt;F507,"违规：止损风险超过本次预算","通过")))))))))))))))</f>
        <v/>
      </c>
    </row>
    <row r="508" customFormat="false" ht="15" hidden="false" customHeight="false" outlineLevel="0" collapsed="false">
      <c r="A508" s="20"/>
      <c r="B508" s="21"/>
      <c r="C508" s="22"/>
      <c r="D508" s="23"/>
      <c r="E508" s="23"/>
      <c r="F508" s="23"/>
      <c r="G508" s="21"/>
      <c r="H508" s="24" t="str">
        <f aca="false">IF(OR(A508="",D508="",G508=""),"",D508*G508)</f>
        <v/>
      </c>
      <c r="I508" s="25" t="str">
        <f aca="false">IF(OR(A508="",B508=""),"",IFERROR(LOOKUP(2,1/(单次交易!$A$2:$A$201=A508),单次交易!$H$2:$H$201),0)+SUMIFS($G$2:$G$1001,$A$2:$A$1001,A508,$B$2:$B$1001,"&lt;"&amp;B508))</f>
        <v/>
      </c>
      <c r="J508" s="24" t="str">
        <f aca="false">IF(OR(A508="",B508=""),"",IFERROR(LOOKUP(2,1/(单次交易!$A$2:$A$201=A508),单次交易!$E$2:$E$201)*LOOKUP(2,1/(单次交易!$A$2:$A$201=A508),单次交易!$H$2:$H$201),0)+SUMIFS($H$2:$H$1001,$A$2:$A$1001,A508,$B$2:$B$1001,"&lt;"&amp;B508))</f>
        <v/>
      </c>
      <c r="K508" s="24" t="str">
        <f aca="false">IF(OR(E508="",I508="",J508=""),"",MAX(E508*I508-J508,0))</f>
        <v/>
      </c>
      <c r="L508" s="25" t="str">
        <f aca="false">IF(OR(D508="",E508="",F508="",D508&lt;=E508),"",FLOOR((F508+K508)/(D508-E508),100))</f>
        <v/>
      </c>
      <c r="M508" s="25" t="str">
        <f aca="false">IF(OR(A508="",B508="",L508=""),"",IF(B508=1,L508,IFERROR(SUMIFS($G$2:$G$1001,$A$2:$A$1001,A508,$B$2:$B$1001,B508-1),0)))</f>
        <v/>
      </c>
      <c r="N508" s="25" t="str">
        <f aca="false">IF(OR(L508="",M508=""),"",MIN(L508,M508))</f>
        <v/>
      </c>
      <c r="O508" s="25" t="str">
        <f aca="false">IF(OR(I508="",G508=""),"",I508+G508)</f>
        <v/>
      </c>
      <c r="P508" s="24" t="str">
        <f aca="false">IF(OR(O508="",O508=0),"",(J508+H508)/O508)</f>
        <v/>
      </c>
      <c r="Q508" s="24" t="str">
        <f aca="false">IF(OR(O508="",E508=""),"",MAX(J508+H508-E508*O508,0))</f>
        <v/>
      </c>
      <c r="R508" s="26" t="str">
        <f aca="false">IF(A508="","",IF(COUNTIF(_TradeIds,A508)=0,"违规：交易编号不存在",IF(OR(B508="",B508&lt;1,B508&gt;5,B508&lt;&gt;INT(B508)),"违规：加仓序号须为1到5的整数",IF(COUNTIFS($A$2:$A$1001,A508,$B$2:$B$1001,B508)&gt;1,"违规：同一交易的加仓序号重复",IF(OR(D508="",E508="",F508=""),"计划不完整：请填写加仓价、新止损价和风险预算",IF(OR(D508&lt;=0,E508&lt;=0,F508&lt;=0,D508&lt;=E508),"违规：加仓价必须高于新止损价，金额须大于0",IF(AND(B508&gt;1,COUNTIFS($A$2:$A$1001,A508,$B$2:$B$1001,B508-1,$G$2:$G$1001,"&gt;0")=0),"违规：须先完成上一次加仓",IF(AND(B508&gt;1,E508&lt;SUMIFS($E$2:$E$1001,$A$2:$A$1001,A508,$B$2:$B$1001,B508-1)),"违规：新止损价不得低于上一次",IF(AND(B508&gt;1,F508&gt;SUMIFS($F$2:$F$1001,$A$2:$A$1001,A508,$B$2:$B$1001,B508-1)),"违规：风险预算须逐次不增加",IF(OR(_LockStatus="已锁仓",_LockStatus="解锁信息不完整"),"违规：锁仓期间禁止加仓",IF(G508="","计划可执行：建议股数见N列",IF(OR(G508&lt;=0,G508&lt;&gt;INT(G508),MOD(G508,100)&lt;&gt;0),"违规：实际股数须为100股整数倍",IF(G508&gt;N508,"违规：实际股数超过风险或金字塔上限",IF(AND(B508&gt;1,G508&gt;SUMIFS($G$2:$G$1001,$A$2:$A$1001,A508,$B$2:$B$1001,B508-1)),"违规：加仓股数须逐次不增加",IF(Q508&gt;F508,"违规：止损风险超过本次预算","通过")))))))))))))))</f>
        <v/>
      </c>
    </row>
    <row r="509" customFormat="false" ht="15" hidden="false" customHeight="false" outlineLevel="0" collapsed="false">
      <c r="A509" s="20"/>
      <c r="B509" s="21"/>
      <c r="C509" s="22"/>
      <c r="D509" s="23"/>
      <c r="E509" s="23"/>
      <c r="F509" s="23"/>
      <c r="G509" s="21"/>
      <c r="H509" s="24" t="str">
        <f aca="false">IF(OR(A509="",D509="",G509=""),"",D509*G509)</f>
        <v/>
      </c>
      <c r="I509" s="25" t="str">
        <f aca="false">IF(OR(A509="",B509=""),"",IFERROR(LOOKUP(2,1/(单次交易!$A$2:$A$201=A509),单次交易!$H$2:$H$201),0)+SUMIFS($G$2:$G$1001,$A$2:$A$1001,A509,$B$2:$B$1001,"&lt;"&amp;B509))</f>
        <v/>
      </c>
      <c r="J509" s="24" t="str">
        <f aca="false">IF(OR(A509="",B509=""),"",IFERROR(LOOKUP(2,1/(单次交易!$A$2:$A$201=A509),单次交易!$E$2:$E$201)*LOOKUP(2,1/(单次交易!$A$2:$A$201=A509),单次交易!$H$2:$H$201),0)+SUMIFS($H$2:$H$1001,$A$2:$A$1001,A509,$B$2:$B$1001,"&lt;"&amp;B509))</f>
        <v/>
      </c>
      <c r="K509" s="24" t="str">
        <f aca="false">IF(OR(E509="",I509="",J509=""),"",MAX(E509*I509-J509,0))</f>
        <v/>
      </c>
      <c r="L509" s="25" t="str">
        <f aca="false">IF(OR(D509="",E509="",F509="",D509&lt;=E509),"",FLOOR((F509+K509)/(D509-E509),100))</f>
        <v/>
      </c>
      <c r="M509" s="25" t="str">
        <f aca="false">IF(OR(A509="",B509="",L509=""),"",IF(B509=1,L509,IFERROR(SUMIFS($G$2:$G$1001,$A$2:$A$1001,A509,$B$2:$B$1001,B509-1),0)))</f>
        <v/>
      </c>
      <c r="N509" s="25" t="str">
        <f aca="false">IF(OR(L509="",M509=""),"",MIN(L509,M509))</f>
        <v/>
      </c>
      <c r="O509" s="25" t="str">
        <f aca="false">IF(OR(I509="",G509=""),"",I509+G509)</f>
        <v/>
      </c>
      <c r="P509" s="24" t="str">
        <f aca="false">IF(OR(O509="",O509=0),"",(J509+H509)/O509)</f>
        <v/>
      </c>
      <c r="Q509" s="24" t="str">
        <f aca="false">IF(OR(O509="",E509=""),"",MAX(J509+H509-E509*O509,0))</f>
        <v/>
      </c>
      <c r="R509" s="26" t="str">
        <f aca="false">IF(A509="","",IF(COUNTIF(_TradeIds,A509)=0,"违规：交易编号不存在",IF(OR(B509="",B509&lt;1,B509&gt;5,B509&lt;&gt;INT(B509)),"违规：加仓序号须为1到5的整数",IF(COUNTIFS($A$2:$A$1001,A509,$B$2:$B$1001,B509)&gt;1,"违规：同一交易的加仓序号重复",IF(OR(D509="",E509="",F509=""),"计划不完整：请填写加仓价、新止损价和风险预算",IF(OR(D509&lt;=0,E509&lt;=0,F509&lt;=0,D509&lt;=E509),"违规：加仓价必须高于新止损价，金额须大于0",IF(AND(B509&gt;1,COUNTIFS($A$2:$A$1001,A509,$B$2:$B$1001,B509-1,$G$2:$G$1001,"&gt;0")=0),"违规：须先完成上一次加仓",IF(AND(B509&gt;1,E509&lt;SUMIFS($E$2:$E$1001,$A$2:$A$1001,A509,$B$2:$B$1001,B509-1)),"违规：新止损价不得低于上一次",IF(AND(B509&gt;1,F509&gt;SUMIFS($F$2:$F$1001,$A$2:$A$1001,A509,$B$2:$B$1001,B509-1)),"违规：风险预算须逐次不增加",IF(OR(_LockStatus="已锁仓",_LockStatus="解锁信息不完整"),"违规：锁仓期间禁止加仓",IF(G509="","计划可执行：建议股数见N列",IF(OR(G509&lt;=0,G509&lt;&gt;INT(G509),MOD(G509,100)&lt;&gt;0),"违规：实际股数须为100股整数倍",IF(G509&gt;N509,"违规：实际股数超过风险或金字塔上限",IF(AND(B509&gt;1,G509&gt;SUMIFS($G$2:$G$1001,$A$2:$A$1001,A509,$B$2:$B$1001,B509-1)),"违规：加仓股数须逐次不增加",IF(Q509&gt;F509,"违规：止损风险超过本次预算","通过")))))))))))))))</f>
        <v/>
      </c>
    </row>
    <row r="510" customFormat="false" ht="15" hidden="false" customHeight="false" outlineLevel="0" collapsed="false">
      <c r="A510" s="20"/>
      <c r="B510" s="21"/>
      <c r="C510" s="22"/>
      <c r="D510" s="23"/>
      <c r="E510" s="23"/>
      <c r="F510" s="23"/>
      <c r="G510" s="21"/>
      <c r="H510" s="24" t="str">
        <f aca="false">IF(OR(A510="",D510="",G510=""),"",D510*G510)</f>
        <v/>
      </c>
      <c r="I510" s="25" t="str">
        <f aca="false">IF(OR(A510="",B510=""),"",IFERROR(LOOKUP(2,1/(单次交易!$A$2:$A$201=A510),单次交易!$H$2:$H$201),0)+SUMIFS($G$2:$G$1001,$A$2:$A$1001,A510,$B$2:$B$1001,"&lt;"&amp;B510))</f>
        <v/>
      </c>
      <c r="J510" s="24" t="str">
        <f aca="false">IF(OR(A510="",B510=""),"",IFERROR(LOOKUP(2,1/(单次交易!$A$2:$A$201=A510),单次交易!$E$2:$E$201)*LOOKUP(2,1/(单次交易!$A$2:$A$201=A510),单次交易!$H$2:$H$201),0)+SUMIFS($H$2:$H$1001,$A$2:$A$1001,A510,$B$2:$B$1001,"&lt;"&amp;B510))</f>
        <v/>
      </c>
      <c r="K510" s="24" t="str">
        <f aca="false">IF(OR(E510="",I510="",J510=""),"",MAX(E510*I510-J510,0))</f>
        <v/>
      </c>
      <c r="L510" s="25" t="str">
        <f aca="false">IF(OR(D510="",E510="",F510="",D510&lt;=E510),"",FLOOR((F510+K510)/(D510-E510),100))</f>
        <v/>
      </c>
      <c r="M510" s="25" t="str">
        <f aca="false">IF(OR(A510="",B510="",L510=""),"",IF(B510=1,L510,IFERROR(SUMIFS($G$2:$G$1001,$A$2:$A$1001,A510,$B$2:$B$1001,B510-1),0)))</f>
        <v/>
      </c>
      <c r="N510" s="25" t="str">
        <f aca="false">IF(OR(L510="",M510=""),"",MIN(L510,M510))</f>
        <v/>
      </c>
      <c r="O510" s="25" t="str">
        <f aca="false">IF(OR(I510="",G510=""),"",I510+G510)</f>
        <v/>
      </c>
      <c r="P510" s="24" t="str">
        <f aca="false">IF(OR(O510="",O510=0),"",(J510+H510)/O510)</f>
        <v/>
      </c>
      <c r="Q510" s="24" t="str">
        <f aca="false">IF(OR(O510="",E510=""),"",MAX(J510+H510-E510*O510,0))</f>
        <v/>
      </c>
      <c r="R510" s="26" t="str">
        <f aca="false">IF(A510="","",IF(COUNTIF(_TradeIds,A510)=0,"违规：交易编号不存在",IF(OR(B510="",B510&lt;1,B510&gt;5,B510&lt;&gt;INT(B510)),"违规：加仓序号须为1到5的整数",IF(COUNTIFS($A$2:$A$1001,A510,$B$2:$B$1001,B510)&gt;1,"违规：同一交易的加仓序号重复",IF(OR(D510="",E510="",F510=""),"计划不完整：请填写加仓价、新止损价和风险预算",IF(OR(D510&lt;=0,E510&lt;=0,F510&lt;=0,D510&lt;=E510),"违规：加仓价必须高于新止损价，金额须大于0",IF(AND(B510&gt;1,COUNTIFS($A$2:$A$1001,A510,$B$2:$B$1001,B510-1,$G$2:$G$1001,"&gt;0")=0),"违规：须先完成上一次加仓",IF(AND(B510&gt;1,E510&lt;SUMIFS($E$2:$E$1001,$A$2:$A$1001,A510,$B$2:$B$1001,B510-1)),"违规：新止损价不得低于上一次",IF(AND(B510&gt;1,F510&gt;SUMIFS($F$2:$F$1001,$A$2:$A$1001,A510,$B$2:$B$1001,B510-1)),"违规：风险预算须逐次不增加",IF(OR(_LockStatus="已锁仓",_LockStatus="解锁信息不完整"),"违规：锁仓期间禁止加仓",IF(G510="","计划可执行：建议股数见N列",IF(OR(G510&lt;=0,G510&lt;&gt;INT(G510),MOD(G510,100)&lt;&gt;0),"违规：实际股数须为100股整数倍",IF(G510&gt;N510,"违规：实际股数超过风险或金字塔上限",IF(AND(B510&gt;1,G510&gt;SUMIFS($G$2:$G$1001,$A$2:$A$1001,A510,$B$2:$B$1001,B510-1)),"违规：加仓股数须逐次不增加",IF(Q510&gt;F510,"违规：止损风险超过本次预算","通过")))))))))))))))</f>
        <v/>
      </c>
    </row>
    <row r="511" customFormat="false" ht="15" hidden="false" customHeight="false" outlineLevel="0" collapsed="false">
      <c r="A511" s="20"/>
      <c r="B511" s="21"/>
      <c r="C511" s="22"/>
      <c r="D511" s="23"/>
      <c r="E511" s="23"/>
      <c r="F511" s="23"/>
      <c r="G511" s="21"/>
      <c r="H511" s="24" t="str">
        <f aca="false">IF(OR(A511="",D511="",G511=""),"",D511*G511)</f>
        <v/>
      </c>
      <c r="I511" s="25" t="str">
        <f aca="false">IF(OR(A511="",B511=""),"",IFERROR(LOOKUP(2,1/(单次交易!$A$2:$A$201=A511),单次交易!$H$2:$H$201),0)+SUMIFS($G$2:$G$1001,$A$2:$A$1001,A511,$B$2:$B$1001,"&lt;"&amp;B511))</f>
        <v/>
      </c>
      <c r="J511" s="24" t="str">
        <f aca="false">IF(OR(A511="",B511=""),"",IFERROR(LOOKUP(2,1/(单次交易!$A$2:$A$201=A511),单次交易!$E$2:$E$201)*LOOKUP(2,1/(单次交易!$A$2:$A$201=A511),单次交易!$H$2:$H$201),0)+SUMIFS($H$2:$H$1001,$A$2:$A$1001,A511,$B$2:$B$1001,"&lt;"&amp;B511))</f>
        <v/>
      </c>
      <c r="K511" s="24" t="str">
        <f aca="false">IF(OR(E511="",I511="",J511=""),"",MAX(E511*I511-J511,0))</f>
        <v/>
      </c>
      <c r="L511" s="25" t="str">
        <f aca="false">IF(OR(D511="",E511="",F511="",D511&lt;=E511),"",FLOOR((F511+K511)/(D511-E511),100))</f>
        <v/>
      </c>
      <c r="M511" s="25" t="str">
        <f aca="false">IF(OR(A511="",B511="",L511=""),"",IF(B511=1,L511,IFERROR(SUMIFS($G$2:$G$1001,$A$2:$A$1001,A511,$B$2:$B$1001,B511-1),0)))</f>
        <v/>
      </c>
      <c r="N511" s="25" t="str">
        <f aca="false">IF(OR(L511="",M511=""),"",MIN(L511,M511))</f>
        <v/>
      </c>
      <c r="O511" s="25" t="str">
        <f aca="false">IF(OR(I511="",G511=""),"",I511+G511)</f>
        <v/>
      </c>
      <c r="P511" s="24" t="str">
        <f aca="false">IF(OR(O511="",O511=0),"",(J511+H511)/O511)</f>
        <v/>
      </c>
      <c r="Q511" s="24" t="str">
        <f aca="false">IF(OR(O511="",E511=""),"",MAX(J511+H511-E511*O511,0))</f>
        <v/>
      </c>
      <c r="R511" s="26" t="str">
        <f aca="false">IF(A511="","",IF(COUNTIF(_TradeIds,A511)=0,"违规：交易编号不存在",IF(OR(B511="",B511&lt;1,B511&gt;5,B511&lt;&gt;INT(B511)),"违规：加仓序号须为1到5的整数",IF(COUNTIFS($A$2:$A$1001,A511,$B$2:$B$1001,B511)&gt;1,"违规：同一交易的加仓序号重复",IF(OR(D511="",E511="",F511=""),"计划不完整：请填写加仓价、新止损价和风险预算",IF(OR(D511&lt;=0,E511&lt;=0,F511&lt;=0,D511&lt;=E511),"违规：加仓价必须高于新止损价，金额须大于0",IF(AND(B511&gt;1,COUNTIFS($A$2:$A$1001,A511,$B$2:$B$1001,B511-1,$G$2:$G$1001,"&gt;0")=0),"违规：须先完成上一次加仓",IF(AND(B511&gt;1,E511&lt;SUMIFS($E$2:$E$1001,$A$2:$A$1001,A511,$B$2:$B$1001,B511-1)),"违规：新止损价不得低于上一次",IF(AND(B511&gt;1,F511&gt;SUMIFS($F$2:$F$1001,$A$2:$A$1001,A511,$B$2:$B$1001,B511-1)),"违规：风险预算须逐次不增加",IF(OR(_LockStatus="已锁仓",_LockStatus="解锁信息不完整"),"违规：锁仓期间禁止加仓",IF(G511="","计划可执行：建议股数见N列",IF(OR(G511&lt;=0,G511&lt;&gt;INT(G511),MOD(G511,100)&lt;&gt;0),"违规：实际股数须为100股整数倍",IF(G511&gt;N511,"违规：实际股数超过风险或金字塔上限",IF(AND(B511&gt;1,G511&gt;SUMIFS($G$2:$G$1001,$A$2:$A$1001,A511,$B$2:$B$1001,B511-1)),"违规：加仓股数须逐次不增加",IF(Q511&gt;F511,"违规：止损风险超过本次预算","通过")))))))))))))))</f>
        <v/>
      </c>
    </row>
    <row r="512" customFormat="false" ht="15" hidden="false" customHeight="false" outlineLevel="0" collapsed="false">
      <c r="A512" s="20"/>
      <c r="B512" s="21"/>
      <c r="C512" s="22"/>
      <c r="D512" s="23"/>
      <c r="E512" s="23"/>
      <c r="F512" s="23"/>
      <c r="G512" s="21"/>
      <c r="H512" s="24" t="str">
        <f aca="false">IF(OR(A512="",D512="",G512=""),"",D512*G512)</f>
        <v/>
      </c>
      <c r="I512" s="25" t="str">
        <f aca="false">IF(OR(A512="",B512=""),"",IFERROR(LOOKUP(2,1/(单次交易!$A$2:$A$201=A512),单次交易!$H$2:$H$201),0)+SUMIFS($G$2:$G$1001,$A$2:$A$1001,A512,$B$2:$B$1001,"&lt;"&amp;B512))</f>
        <v/>
      </c>
      <c r="J512" s="24" t="str">
        <f aca="false">IF(OR(A512="",B512=""),"",IFERROR(LOOKUP(2,1/(单次交易!$A$2:$A$201=A512),单次交易!$E$2:$E$201)*LOOKUP(2,1/(单次交易!$A$2:$A$201=A512),单次交易!$H$2:$H$201),0)+SUMIFS($H$2:$H$1001,$A$2:$A$1001,A512,$B$2:$B$1001,"&lt;"&amp;B512))</f>
        <v/>
      </c>
      <c r="K512" s="24" t="str">
        <f aca="false">IF(OR(E512="",I512="",J512=""),"",MAX(E512*I512-J512,0))</f>
        <v/>
      </c>
      <c r="L512" s="25" t="str">
        <f aca="false">IF(OR(D512="",E512="",F512="",D512&lt;=E512),"",FLOOR((F512+K512)/(D512-E512),100))</f>
        <v/>
      </c>
      <c r="M512" s="25" t="str">
        <f aca="false">IF(OR(A512="",B512="",L512=""),"",IF(B512=1,L512,IFERROR(SUMIFS($G$2:$G$1001,$A$2:$A$1001,A512,$B$2:$B$1001,B512-1),0)))</f>
        <v/>
      </c>
      <c r="N512" s="25" t="str">
        <f aca="false">IF(OR(L512="",M512=""),"",MIN(L512,M512))</f>
        <v/>
      </c>
      <c r="O512" s="25" t="str">
        <f aca="false">IF(OR(I512="",G512=""),"",I512+G512)</f>
        <v/>
      </c>
      <c r="P512" s="24" t="str">
        <f aca="false">IF(OR(O512="",O512=0),"",(J512+H512)/O512)</f>
        <v/>
      </c>
      <c r="Q512" s="24" t="str">
        <f aca="false">IF(OR(O512="",E512=""),"",MAX(J512+H512-E512*O512,0))</f>
        <v/>
      </c>
      <c r="R512" s="26" t="str">
        <f aca="false">IF(A512="","",IF(COUNTIF(_TradeIds,A512)=0,"违规：交易编号不存在",IF(OR(B512="",B512&lt;1,B512&gt;5,B512&lt;&gt;INT(B512)),"违规：加仓序号须为1到5的整数",IF(COUNTIFS($A$2:$A$1001,A512,$B$2:$B$1001,B512)&gt;1,"违规：同一交易的加仓序号重复",IF(OR(D512="",E512="",F512=""),"计划不完整：请填写加仓价、新止损价和风险预算",IF(OR(D512&lt;=0,E512&lt;=0,F512&lt;=0,D512&lt;=E512),"违规：加仓价必须高于新止损价，金额须大于0",IF(AND(B512&gt;1,COUNTIFS($A$2:$A$1001,A512,$B$2:$B$1001,B512-1,$G$2:$G$1001,"&gt;0")=0),"违规：须先完成上一次加仓",IF(AND(B512&gt;1,E512&lt;SUMIFS($E$2:$E$1001,$A$2:$A$1001,A512,$B$2:$B$1001,B512-1)),"违规：新止损价不得低于上一次",IF(AND(B512&gt;1,F512&gt;SUMIFS($F$2:$F$1001,$A$2:$A$1001,A512,$B$2:$B$1001,B512-1)),"违规：风险预算须逐次不增加",IF(OR(_LockStatus="已锁仓",_LockStatus="解锁信息不完整"),"违规：锁仓期间禁止加仓",IF(G512="","计划可执行：建议股数见N列",IF(OR(G512&lt;=0,G512&lt;&gt;INT(G512),MOD(G512,100)&lt;&gt;0),"违规：实际股数须为100股整数倍",IF(G512&gt;N512,"违规：实际股数超过风险或金字塔上限",IF(AND(B512&gt;1,G512&gt;SUMIFS($G$2:$G$1001,$A$2:$A$1001,A512,$B$2:$B$1001,B512-1)),"违规：加仓股数须逐次不增加",IF(Q512&gt;F512,"违规：止损风险超过本次预算","通过")))))))))))))))</f>
        <v/>
      </c>
    </row>
    <row r="513" customFormat="false" ht="15" hidden="false" customHeight="false" outlineLevel="0" collapsed="false">
      <c r="A513" s="20"/>
      <c r="B513" s="21"/>
      <c r="C513" s="22"/>
      <c r="D513" s="23"/>
      <c r="E513" s="23"/>
      <c r="F513" s="23"/>
      <c r="G513" s="21"/>
      <c r="H513" s="24" t="str">
        <f aca="false">IF(OR(A513="",D513="",G513=""),"",D513*G513)</f>
        <v/>
      </c>
      <c r="I513" s="25" t="str">
        <f aca="false">IF(OR(A513="",B513=""),"",IFERROR(LOOKUP(2,1/(单次交易!$A$2:$A$201=A513),单次交易!$H$2:$H$201),0)+SUMIFS($G$2:$G$1001,$A$2:$A$1001,A513,$B$2:$B$1001,"&lt;"&amp;B513))</f>
        <v/>
      </c>
      <c r="J513" s="24" t="str">
        <f aca="false">IF(OR(A513="",B513=""),"",IFERROR(LOOKUP(2,1/(单次交易!$A$2:$A$201=A513),单次交易!$E$2:$E$201)*LOOKUP(2,1/(单次交易!$A$2:$A$201=A513),单次交易!$H$2:$H$201),0)+SUMIFS($H$2:$H$1001,$A$2:$A$1001,A513,$B$2:$B$1001,"&lt;"&amp;B513))</f>
        <v/>
      </c>
      <c r="K513" s="24" t="str">
        <f aca="false">IF(OR(E513="",I513="",J513=""),"",MAX(E513*I513-J513,0))</f>
        <v/>
      </c>
      <c r="L513" s="25" t="str">
        <f aca="false">IF(OR(D513="",E513="",F513="",D513&lt;=E513),"",FLOOR((F513+K513)/(D513-E513),100))</f>
        <v/>
      </c>
      <c r="M513" s="25" t="str">
        <f aca="false">IF(OR(A513="",B513="",L513=""),"",IF(B513=1,L513,IFERROR(SUMIFS($G$2:$G$1001,$A$2:$A$1001,A513,$B$2:$B$1001,B513-1),0)))</f>
        <v/>
      </c>
      <c r="N513" s="25" t="str">
        <f aca="false">IF(OR(L513="",M513=""),"",MIN(L513,M513))</f>
        <v/>
      </c>
      <c r="O513" s="25" t="str">
        <f aca="false">IF(OR(I513="",G513=""),"",I513+G513)</f>
        <v/>
      </c>
      <c r="P513" s="24" t="str">
        <f aca="false">IF(OR(O513="",O513=0),"",(J513+H513)/O513)</f>
        <v/>
      </c>
      <c r="Q513" s="24" t="str">
        <f aca="false">IF(OR(O513="",E513=""),"",MAX(J513+H513-E513*O513,0))</f>
        <v/>
      </c>
      <c r="R513" s="26" t="str">
        <f aca="false">IF(A513="","",IF(COUNTIF(_TradeIds,A513)=0,"违规：交易编号不存在",IF(OR(B513="",B513&lt;1,B513&gt;5,B513&lt;&gt;INT(B513)),"违规：加仓序号须为1到5的整数",IF(COUNTIFS($A$2:$A$1001,A513,$B$2:$B$1001,B513)&gt;1,"违规：同一交易的加仓序号重复",IF(OR(D513="",E513="",F513=""),"计划不完整：请填写加仓价、新止损价和风险预算",IF(OR(D513&lt;=0,E513&lt;=0,F513&lt;=0,D513&lt;=E513),"违规：加仓价必须高于新止损价，金额须大于0",IF(AND(B513&gt;1,COUNTIFS($A$2:$A$1001,A513,$B$2:$B$1001,B513-1,$G$2:$G$1001,"&gt;0")=0),"违规：须先完成上一次加仓",IF(AND(B513&gt;1,E513&lt;SUMIFS($E$2:$E$1001,$A$2:$A$1001,A513,$B$2:$B$1001,B513-1)),"违规：新止损价不得低于上一次",IF(AND(B513&gt;1,F513&gt;SUMIFS($F$2:$F$1001,$A$2:$A$1001,A513,$B$2:$B$1001,B513-1)),"违规：风险预算须逐次不增加",IF(OR(_LockStatus="已锁仓",_LockStatus="解锁信息不完整"),"违规：锁仓期间禁止加仓",IF(G513="","计划可执行：建议股数见N列",IF(OR(G513&lt;=0,G513&lt;&gt;INT(G513),MOD(G513,100)&lt;&gt;0),"违规：实际股数须为100股整数倍",IF(G513&gt;N513,"违规：实际股数超过风险或金字塔上限",IF(AND(B513&gt;1,G513&gt;SUMIFS($G$2:$G$1001,$A$2:$A$1001,A513,$B$2:$B$1001,B513-1)),"违规：加仓股数须逐次不增加",IF(Q513&gt;F513,"违规：止损风险超过本次预算","通过")))))))))))))))</f>
        <v/>
      </c>
    </row>
    <row r="514" customFormat="false" ht="15" hidden="false" customHeight="false" outlineLevel="0" collapsed="false">
      <c r="A514" s="20"/>
      <c r="B514" s="21"/>
      <c r="C514" s="22"/>
      <c r="D514" s="23"/>
      <c r="E514" s="23"/>
      <c r="F514" s="23"/>
      <c r="G514" s="21"/>
      <c r="H514" s="24" t="str">
        <f aca="false">IF(OR(A514="",D514="",G514=""),"",D514*G514)</f>
        <v/>
      </c>
      <c r="I514" s="25" t="str">
        <f aca="false">IF(OR(A514="",B514=""),"",IFERROR(LOOKUP(2,1/(单次交易!$A$2:$A$201=A514),单次交易!$H$2:$H$201),0)+SUMIFS($G$2:$G$1001,$A$2:$A$1001,A514,$B$2:$B$1001,"&lt;"&amp;B514))</f>
        <v/>
      </c>
      <c r="J514" s="24" t="str">
        <f aca="false">IF(OR(A514="",B514=""),"",IFERROR(LOOKUP(2,1/(单次交易!$A$2:$A$201=A514),单次交易!$E$2:$E$201)*LOOKUP(2,1/(单次交易!$A$2:$A$201=A514),单次交易!$H$2:$H$201),0)+SUMIFS($H$2:$H$1001,$A$2:$A$1001,A514,$B$2:$B$1001,"&lt;"&amp;B514))</f>
        <v/>
      </c>
      <c r="K514" s="24" t="str">
        <f aca="false">IF(OR(E514="",I514="",J514=""),"",MAX(E514*I514-J514,0))</f>
        <v/>
      </c>
      <c r="L514" s="25" t="str">
        <f aca="false">IF(OR(D514="",E514="",F514="",D514&lt;=E514),"",FLOOR((F514+K514)/(D514-E514),100))</f>
        <v/>
      </c>
      <c r="M514" s="25" t="str">
        <f aca="false">IF(OR(A514="",B514="",L514=""),"",IF(B514=1,L514,IFERROR(SUMIFS($G$2:$G$1001,$A$2:$A$1001,A514,$B$2:$B$1001,B514-1),0)))</f>
        <v/>
      </c>
      <c r="N514" s="25" t="str">
        <f aca="false">IF(OR(L514="",M514=""),"",MIN(L514,M514))</f>
        <v/>
      </c>
      <c r="O514" s="25" t="str">
        <f aca="false">IF(OR(I514="",G514=""),"",I514+G514)</f>
        <v/>
      </c>
      <c r="P514" s="24" t="str">
        <f aca="false">IF(OR(O514="",O514=0),"",(J514+H514)/O514)</f>
        <v/>
      </c>
      <c r="Q514" s="24" t="str">
        <f aca="false">IF(OR(O514="",E514=""),"",MAX(J514+H514-E514*O514,0))</f>
        <v/>
      </c>
      <c r="R514" s="26" t="str">
        <f aca="false">IF(A514="","",IF(COUNTIF(_TradeIds,A514)=0,"违规：交易编号不存在",IF(OR(B514="",B514&lt;1,B514&gt;5,B514&lt;&gt;INT(B514)),"违规：加仓序号须为1到5的整数",IF(COUNTIFS($A$2:$A$1001,A514,$B$2:$B$1001,B514)&gt;1,"违规：同一交易的加仓序号重复",IF(OR(D514="",E514="",F514=""),"计划不完整：请填写加仓价、新止损价和风险预算",IF(OR(D514&lt;=0,E514&lt;=0,F514&lt;=0,D514&lt;=E514),"违规：加仓价必须高于新止损价，金额须大于0",IF(AND(B514&gt;1,COUNTIFS($A$2:$A$1001,A514,$B$2:$B$1001,B514-1,$G$2:$G$1001,"&gt;0")=0),"违规：须先完成上一次加仓",IF(AND(B514&gt;1,E514&lt;SUMIFS($E$2:$E$1001,$A$2:$A$1001,A514,$B$2:$B$1001,B514-1)),"违规：新止损价不得低于上一次",IF(AND(B514&gt;1,F514&gt;SUMIFS($F$2:$F$1001,$A$2:$A$1001,A514,$B$2:$B$1001,B514-1)),"违规：风险预算须逐次不增加",IF(OR(_LockStatus="已锁仓",_LockStatus="解锁信息不完整"),"违规：锁仓期间禁止加仓",IF(G514="","计划可执行：建议股数见N列",IF(OR(G514&lt;=0,G514&lt;&gt;INT(G514),MOD(G514,100)&lt;&gt;0),"违规：实际股数须为100股整数倍",IF(G514&gt;N514,"违规：实际股数超过风险或金字塔上限",IF(AND(B514&gt;1,G514&gt;SUMIFS($G$2:$G$1001,$A$2:$A$1001,A514,$B$2:$B$1001,B514-1)),"违规：加仓股数须逐次不增加",IF(Q514&gt;F514,"违规：止损风险超过本次预算","通过")))))))))))))))</f>
        <v/>
      </c>
    </row>
    <row r="515" customFormat="false" ht="15" hidden="false" customHeight="false" outlineLevel="0" collapsed="false">
      <c r="A515" s="20"/>
      <c r="B515" s="21"/>
      <c r="C515" s="22"/>
      <c r="D515" s="23"/>
      <c r="E515" s="23"/>
      <c r="F515" s="23"/>
      <c r="G515" s="21"/>
      <c r="H515" s="24" t="str">
        <f aca="false">IF(OR(A515="",D515="",G515=""),"",D515*G515)</f>
        <v/>
      </c>
      <c r="I515" s="25" t="str">
        <f aca="false">IF(OR(A515="",B515=""),"",IFERROR(LOOKUP(2,1/(单次交易!$A$2:$A$201=A515),单次交易!$H$2:$H$201),0)+SUMIFS($G$2:$G$1001,$A$2:$A$1001,A515,$B$2:$B$1001,"&lt;"&amp;B515))</f>
        <v/>
      </c>
      <c r="J515" s="24" t="str">
        <f aca="false">IF(OR(A515="",B515=""),"",IFERROR(LOOKUP(2,1/(单次交易!$A$2:$A$201=A515),单次交易!$E$2:$E$201)*LOOKUP(2,1/(单次交易!$A$2:$A$201=A515),单次交易!$H$2:$H$201),0)+SUMIFS($H$2:$H$1001,$A$2:$A$1001,A515,$B$2:$B$1001,"&lt;"&amp;B515))</f>
        <v/>
      </c>
      <c r="K515" s="24" t="str">
        <f aca="false">IF(OR(E515="",I515="",J515=""),"",MAX(E515*I515-J515,0))</f>
        <v/>
      </c>
      <c r="L515" s="25" t="str">
        <f aca="false">IF(OR(D515="",E515="",F515="",D515&lt;=E515),"",FLOOR((F515+K515)/(D515-E515),100))</f>
        <v/>
      </c>
      <c r="M515" s="25" t="str">
        <f aca="false">IF(OR(A515="",B515="",L515=""),"",IF(B515=1,L515,IFERROR(SUMIFS($G$2:$G$1001,$A$2:$A$1001,A515,$B$2:$B$1001,B515-1),0)))</f>
        <v/>
      </c>
      <c r="N515" s="25" t="str">
        <f aca="false">IF(OR(L515="",M515=""),"",MIN(L515,M515))</f>
        <v/>
      </c>
      <c r="O515" s="25" t="str">
        <f aca="false">IF(OR(I515="",G515=""),"",I515+G515)</f>
        <v/>
      </c>
      <c r="P515" s="24" t="str">
        <f aca="false">IF(OR(O515="",O515=0),"",(J515+H515)/O515)</f>
        <v/>
      </c>
      <c r="Q515" s="24" t="str">
        <f aca="false">IF(OR(O515="",E515=""),"",MAX(J515+H515-E515*O515,0))</f>
        <v/>
      </c>
      <c r="R515" s="26" t="str">
        <f aca="false">IF(A515="","",IF(COUNTIF(_TradeIds,A515)=0,"违规：交易编号不存在",IF(OR(B515="",B515&lt;1,B515&gt;5,B515&lt;&gt;INT(B515)),"违规：加仓序号须为1到5的整数",IF(COUNTIFS($A$2:$A$1001,A515,$B$2:$B$1001,B515)&gt;1,"违规：同一交易的加仓序号重复",IF(OR(D515="",E515="",F515=""),"计划不完整：请填写加仓价、新止损价和风险预算",IF(OR(D515&lt;=0,E515&lt;=0,F515&lt;=0,D515&lt;=E515),"违规：加仓价必须高于新止损价，金额须大于0",IF(AND(B515&gt;1,COUNTIFS($A$2:$A$1001,A515,$B$2:$B$1001,B515-1,$G$2:$G$1001,"&gt;0")=0),"违规：须先完成上一次加仓",IF(AND(B515&gt;1,E515&lt;SUMIFS($E$2:$E$1001,$A$2:$A$1001,A515,$B$2:$B$1001,B515-1)),"违规：新止损价不得低于上一次",IF(AND(B515&gt;1,F515&gt;SUMIFS($F$2:$F$1001,$A$2:$A$1001,A515,$B$2:$B$1001,B515-1)),"违规：风险预算须逐次不增加",IF(OR(_LockStatus="已锁仓",_LockStatus="解锁信息不完整"),"违规：锁仓期间禁止加仓",IF(G515="","计划可执行：建议股数见N列",IF(OR(G515&lt;=0,G515&lt;&gt;INT(G515),MOD(G515,100)&lt;&gt;0),"违规：实际股数须为100股整数倍",IF(G515&gt;N515,"违规：实际股数超过风险或金字塔上限",IF(AND(B515&gt;1,G515&gt;SUMIFS($G$2:$G$1001,$A$2:$A$1001,A515,$B$2:$B$1001,B515-1)),"违规：加仓股数须逐次不增加",IF(Q515&gt;F515,"违规：止损风险超过本次预算","通过")))))))))))))))</f>
        <v/>
      </c>
    </row>
    <row r="516" customFormat="false" ht="15" hidden="false" customHeight="false" outlineLevel="0" collapsed="false">
      <c r="A516" s="20"/>
      <c r="B516" s="21"/>
      <c r="C516" s="22"/>
      <c r="D516" s="23"/>
      <c r="E516" s="23"/>
      <c r="F516" s="23"/>
      <c r="G516" s="21"/>
      <c r="H516" s="24" t="str">
        <f aca="false">IF(OR(A516="",D516="",G516=""),"",D516*G516)</f>
        <v/>
      </c>
      <c r="I516" s="25" t="str">
        <f aca="false">IF(OR(A516="",B516=""),"",IFERROR(LOOKUP(2,1/(单次交易!$A$2:$A$201=A516),单次交易!$H$2:$H$201),0)+SUMIFS($G$2:$G$1001,$A$2:$A$1001,A516,$B$2:$B$1001,"&lt;"&amp;B516))</f>
        <v/>
      </c>
      <c r="J516" s="24" t="str">
        <f aca="false">IF(OR(A516="",B516=""),"",IFERROR(LOOKUP(2,1/(单次交易!$A$2:$A$201=A516),单次交易!$E$2:$E$201)*LOOKUP(2,1/(单次交易!$A$2:$A$201=A516),单次交易!$H$2:$H$201),0)+SUMIFS($H$2:$H$1001,$A$2:$A$1001,A516,$B$2:$B$1001,"&lt;"&amp;B516))</f>
        <v/>
      </c>
      <c r="K516" s="24" t="str">
        <f aca="false">IF(OR(E516="",I516="",J516=""),"",MAX(E516*I516-J516,0))</f>
        <v/>
      </c>
      <c r="L516" s="25" t="str">
        <f aca="false">IF(OR(D516="",E516="",F516="",D516&lt;=E516),"",FLOOR((F516+K516)/(D516-E516),100))</f>
        <v/>
      </c>
      <c r="M516" s="25" t="str">
        <f aca="false">IF(OR(A516="",B516="",L516=""),"",IF(B516=1,L516,IFERROR(SUMIFS($G$2:$G$1001,$A$2:$A$1001,A516,$B$2:$B$1001,B516-1),0)))</f>
        <v/>
      </c>
      <c r="N516" s="25" t="str">
        <f aca="false">IF(OR(L516="",M516=""),"",MIN(L516,M516))</f>
        <v/>
      </c>
      <c r="O516" s="25" t="str">
        <f aca="false">IF(OR(I516="",G516=""),"",I516+G516)</f>
        <v/>
      </c>
      <c r="P516" s="24" t="str">
        <f aca="false">IF(OR(O516="",O516=0),"",(J516+H516)/O516)</f>
        <v/>
      </c>
      <c r="Q516" s="24" t="str">
        <f aca="false">IF(OR(O516="",E516=""),"",MAX(J516+H516-E516*O516,0))</f>
        <v/>
      </c>
      <c r="R516" s="26" t="str">
        <f aca="false">IF(A516="","",IF(COUNTIF(_TradeIds,A516)=0,"违规：交易编号不存在",IF(OR(B516="",B516&lt;1,B516&gt;5,B516&lt;&gt;INT(B516)),"违规：加仓序号须为1到5的整数",IF(COUNTIFS($A$2:$A$1001,A516,$B$2:$B$1001,B516)&gt;1,"违规：同一交易的加仓序号重复",IF(OR(D516="",E516="",F516=""),"计划不完整：请填写加仓价、新止损价和风险预算",IF(OR(D516&lt;=0,E516&lt;=0,F516&lt;=0,D516&lt;=E516),"违规：加仓价必须高于新止损价，金额须大于0",IF(AND(B516&gt;1,COUNTIFS($A$2:$A$1001,A516,$B$2:$B$1001,B516-1,$G$2:$G$1001,"&gt;0")=0),"违规：须先完成上一次加仓",IF(AND(B516&gt;1,E516&lt;SUMIFS($E$2:$E$1001,$A$2:$A$1001,A516,$B$2:$B$1001,B516-1)),"违规：新止损价不得低于上一次",IF(AND(B516&gt;1,F516&gt;SUMIFS($F$2:$F$1001,$A$2:$A$1001,A516,$B$2:$B$1001,B516-1)),"违规：风险预算须逐次不增加",IF(OR(_LockStatus="已锁仓",_LockStatus="解锁信息不完整"),"违规：锁仓期间禁止加仓",IF(G516="","计划可执行：建议股数见N列",IF(OR(G516&lt;=0,G516&lt;&gt;INT(G516),MOD(G516,100)&lt;&gt;0),"违规：实际股数须为100股整数倍",IF(G516&gt;N516,"违规：实际股数超过风险或金字塔上限",IF(AND(B516&gt;1,G516&gt;SUMIFS($G$2:$G$1001,$A$2:$A$1001,A516,$B$2:$B$1001,B516-1)),"违规：加仓股数须逐次不增加",IF(Q516&gt;F516,"违规：止损风险超过本次预算","通过")))))))))))))))</f>
        <v/>
      </c>
    </row>
    <row r="517" customFormat="false" ht="15" hidden="false" customHeight="false" outlineLevel="0" collapsed="false">
      <c r="A517" s="20"/>
      <c r="B517" s="21"/>
      <c r="C517" s="22"/>
      <c r="D517" s="23"/>
      <c r="E517" s="23"/>
      <c r="F517" s="23"/>
      <c r="G517" s="21"/>
      <c r="H517" s="24" t="str">
        <f aca="false">IF(OR(A517="",D517="",G517=""),"",D517*G517)</f>
        <v/>
      </c>
      <c r="I517" s="25" t="str">
        <f aca="false">IF(OR(A517="",B517=""),"",IFERROR(LOOKUP(2,1/(单次交易!$A$2:$A$201=A517),单次交易!$H$2:$H$201),0)+SUMIFS($G$2:$G$1001,$A$2:$A$1001,A517,$B$2:$B$1001,"&lt;"&amp;B517))</f>
        <v/>
      </c>
      <c r="J517" s="24" t="str">
        <f aca="false">IF(OR(A517="",B517=""),"",IFERROR(LOOKUP(2,1/(单次交易!$A$2:$A$201=A517),单次交易!$E$2:$E$201)*LOOKUP(2,1/(单次交易!$A$2:$A$201=A517),单次交易!$H$2:$H$201),0)+SUMIFS($H$2:$H$1001,$A$2:$A$1001,A517,$B$2:$B$1001,"&lt;"&amp;B517))</f>
        <v/>
      </c>
      <c r="K517" s="24" t="str">
        <f aca="false">IF(OR(E517="",I517="",J517=""),"",MAX(E517*I517-J517,0))</f>
        <v/>
      </c>
      <c r="L517" s="25" t="str">
        <f aca="false">IF(OR(D517="",E517="",F517="",D517&lt;=E517),"",FLOOR((F517+K517)/(D517-E517),100))</f>
        <v/>
      </c>
      <c r="M517" s="25" t="str">
        <f aca="false">IF(OR(A517="",B517="",L517=""),"",IF(B517=1,L517,IFERROR(SUMIFS($G$2:$G$1001,$A$2:$A$1001,A517,$B$2:$B$1001,B517-1),0)))</f>
        <v/>
      </c>
      <c r="N517" s="25" t="str">
        <f aca="false">IF(OR(L517="",M517=""),"",MIN(L517,M517))</f>
        <v/>
      </c>
      <c r="O517" s="25" t="str">
        <f aca="false">IF(OR(I517="",G517=""),"",I517+G517)</f>
        <v/>
      </c>
      <c r="P517" s="24" t="str">
        <f aca="false">IF(OR(O517="",O517=0),"",(J517+H517)/O517)</f>
        <v/>
      </c>
      <c r="Q517" s="24" t="str">
        <f aca="false">IF(OR(O517="",E517=""),"",MAX(J517+H517-E517*O517,0))</f>
        <v/>
      </c>
      <c r="R517" s="26" t="str">
        <f aca="false">IF(A517="","",IF(COUNTIF(_TradeIds,A517)=0,"违规：交易编号不存在",IF(OR(B517="",B517&lt;1,B517&gt;5,B517&lt;&gt;INT(B517)),"违规：加仓序号须为1到5的整数",IF(COUNTIFS($A$2:$A$1001,A517,$B$2:$B$1001,B517)&gt;1,"违规：同一交易的加仓序号重复",IF(OR(D517="",E517="",F517=""),"计划不完整：请填写加仓价、新止损价和风险预算",IF(OR(D517&lt;=0,E517&lt;=0,F517&lt;=0,D517&lt;=E517),"违规：加仓价必须高于新止损价，金额须大于0",IF(AND(B517&gt;1,COUNTIFS($A$2:$A$1001,A517,$B$2:$B$1001,B517-1,$G$2:$G$1001,"&gt;0")=0),"违规：须先完成上一次加仓",IF(AND(B517&gt;1,E517&lt;SUMIFS($E$2:$E$1001,$A$2:$A$1001,A517,$B$2:$B$1001,B517-1)),"违规：新止损价不得低于上一次",IF(AND(B517&gt;1,F517&gt;SUMIFS($F$2:$F$1001,$A$2:$A$1001,A517,$B$2:$B$1001,B517-1)),"违规：风险预算须逐次不增加",IF(OR(_LockStatus="已锁仓",_LockStatus="解锁信息不完整"),"违规：锁仓期间禁止加仓",IF(G517="","计划可执行：建议股数见N列",IF(OR(G517&lt;=0,G517&lt;&gt;INT(G517),MOD(G517,100)&lt;&gt;0),"违规：实际股数须为100股整数倍",IF(G517&gt;N517,"违规：实际股数超过风险或金字塔上限",IF(AND(B517&gt;1,G517&gt;SUMIFS($G$2:$G$1001,$A$2:$A$1001,A517,$B$2:$B$1001,B517-1)),"违规：加仓股数须逐次不增加",IF(Q517&gt;F517,"违规：止损风险超过本次预算","通过")))))))))))))))</f>
        <v/>
      </c>
    </row>
    <row r="518" customFormat="false" ht="15" hidden="false" customHeight="false" outlineLevel="0" collapsed="false">
      <c r="A518" s="20"/>
      <c r="B518" s="21"/>
      <c r="C518" s="22"/>
      <c r="D518" s="23"/>
      <c r="E518" s="23"/>
      <c r="F518" s="23"/>
      <c r="G518" s="21"/>
      <c r="H518" s="24" t="str">
        <f aca="false">IF(OR(A518="",D518="",G518=""),"",D518*G518)</f>
        <v/>
      </c>
      <c r="I518" s="25" t="str">
        <f aca="false">IF(OR(A518="",B518=""),"",IFERROR(LOOKUP(2,1/(单次交易!$A$2:$A$201=A518),单次交易!$H$2:$H$201),0)+SUMIFS($G$2:$G$1001,$A$2:$A$1001,A518,$B$2:$B$1001,"&lt;"&amp;B518))</f>
        <v/>
      </c>
      <c r="J518" s="24" t="str">
        <f aca="false">IF(OR(A518="",B518=""),"",IFERROR(LOOKUP(2,1/(单次交易!$A$2:$A$201=A518),单次交易!$E$2:$E$201)*LOOKUP(2,1/(单次交易!$A$2:$A$201=A518),单次交易!$H$2:$H$201),0)+SUMIFS($H$2:$H$1001,$A$2:$A$1001,A518,$B$2:$B$1001,"&lt;"&amp;B518))</f>
        <v/>
      </c>
      <c r="K518" s="24" t="str">
        <f aca="false">IF(OR(E518="",I518="",J518=""),"",MAX(E518*I518-J518,0))</f>
        <v/>
      </c>
      <c r="L518" s="25" t="str">
        <f aca="false">IF(OR(D518="",E518="",F518="",D518&lt;=E518),"",FLOOR((F518+K518)/(D518-E518),100))</f>
        <v/>
      </c>
      <c r="M518" s="25" t="str">
        <f aca="false">IF(OR(A518="",B518="",L518=""),"",IF(B518=1,L518,IFERROR(SUMIFS($G$2:$G$1001,$A$2:$A$1001,A518,$B$2:$B$1001,B518-1),0)))</f>
        <v/>
      </c>
      <c r="N518" s="25" t="str">
        <f aca="false">IF(OR(L518="",M518=""),"",MIN(L518,M518))</f>
        <v/>
      </c>
      <c r="O518" s="25" t="str">
        <f aca="false">IF(OR(I518="",G518=""),"",I518+G518)</f>
        <v/>
      </c>
      <c r="P518" s="24" t="str">
        <f aca="false">IF(OR(O518="",O518=0),"",(J518+H518)/O518)</f>
        <v/>
      </c>
      <c r="Q518" s="24" t="str">
        <f aca="false">IF(OR(O518="",E518=""),"",MAX(J518+H518-E518*O518,0))</f>
        <v/>
      </c>
      <c r="R518" s="26" t="str">
        <f aca="false">IF(A518="","",IF(COUNTIF(_TradeIds,A518)=0,"违规：交易编号不存在",IF(OR(B518="",B518&lt;1,B518&gt;5,B518&lt;&gt;INT(B518)),"违规：加仓序号须为1到5的整数",IF(COUNTIFS($A$2:$A$1001,A518,$B$2:$B$1001,B518)&gt;1,"违规：同一交易的加仓序号重复",IF(OR(D518="",E518="",F518=""),"计划不完整：请填写加仓价、新止损价和风险预算",IF(OR(D518&lt;=0,E518&lt;=0,F518&lt;=0,D518&lt;=E518),"违规：加仓价必须高于新止损价，金额须大于0",IF(AND(B518&gt;1,COUNTIFS($A$2:$A$1001,A518,$B$2:$B$1001,B518-1,$G$2:$G$1001,"&gt;0")=0),"违规：须先完成上一次加仓",IF(AND(B518&gt;1,E518&lt;SUMIFS($E$2:$E$1001,$A$2:$A$1001,A518,$B$2:$B$1001,B518-1)),"违规：新止损价不得低于上一次",IF(AND(B518&gt;1,F518&gt;SUMIFS($F$2:$F$1001,$A$2:$A$1001,A518,$B$2:$B$1001,B518-1)),"违规：风险预算须逐次不增加",IF(OR(_LockStatus="已锁仓",_LockStatus="解锁信息不完整"),"违规：锁仓期间禁止加仓",IF(G518="","计划可执行：建议股数见N列",IF(OR(G518&lt;=0,G518&lt;&gt;INT(G518),MOD(G518,100)&lt;&gt;0),"违规：实际股数须为100股整数倍",IF(G518&gt;N518,"违规：实际股数超过风险或金字塔上限",IF(AND(B518&gt;1,G518&gt;SUMIFS($G$2:$G$1001,$A$2:$A$1001,A518,$B$2:$B$1001,B518-1)),"违规：加仓股数须逐次不增加",IF(Q518&gt;F518,"违规：止损风险超过本次预算","通过")))))))))))))))</f>
        <v/>
      </c>
    </row>
    <row r="519" customFormat="false" ht="15" hidden="false" customHeight="false" outlineLevel="0" collapsed="false">
      <c r="A519" s="20"/>
      <c r="B519" s="21"/>
      <c r="C519" s="22"/>
      <c r="D519" s="23"/>
      <c r="E519" s="23"/>
      <c r="F519" s="23"/>
      <c r="G519" s="21"/>
      <c r="H519" s="24" t="str">
        <f aca="false">IF(OR(A519="",D519="",G519=""),"",D519*G519)</f>
        <v/>
      </c>
      <c r="I519" s="25" t="str">
        <f aca="false">IF(OR(A519="",B519=""),"",IFERROR(LOOKUP(2,1/(单次交易!$A$2:$A$201=A519),单次交易!$H$2:$H$201),0)+SUMIFS($G$2:$G$1001,$A$2:$A$1001,A519,$B$2:$B$1001,"&lt;"&amp;B519))</f>
        <v/>
      </c>
      <c r="J519" s="24" t="str">
        <f aca="false">IF(OR(A519="",B519=""),"",IFERROR(LOOKUP(2,1/(单次交易!$A$2:$A$201=A519),单次交易!$E$2:$E$201)*LOOKUP(2,1/(单次交易!$A$2:$A$201=A519),单次交易!$H$2:$H$201),0)+SUMIFS($H$2:$H$1001,$A$2:$A$1001,A519,$B$2:$B$1001,"&lt;"&amp;B519))</f>
        <v/>
      </c>
      <c r="K519" s="24" t="str">
        <f aca="false">IF(OR(E519="",I519="",J519=""),"",MAX(E519*I519-J519,0))</f>
        <v/>
      </c>
      <c r="L519" s="25" t="str">
        <f aca="false">IF(OR(D519="",E519="",F519="",D519&lt;=E519),"",FLOOR((F519+K519)/(D519-E519),100))</f>
        <v/>
      </c>
      <c r="M519" s="25" t="str">
        <f aca="false">IF(OR(A519="",B519="",L519=""),"",IF(B519=1,L519,IFERROR(SUMIFS($G$2:$G$1001,$A$2:$A$1001,A519,$B$2:$B$1001,B519-1),0)))</f>
        <v/>
      </c>
      <c r="N519" s="25" t="str">
        <f aca="false">IF(OR(L519="",M519=""),"",MIN(L519,M519))</f>
        <v/>
      </c>
      <c r="O519" s="25" t="str">
        <f aca="false">IF(OR(I519="",G519=""),"",I519+G519)</f>
        <v/>
      </c>
      <c r="P519" s="24" t="str">
        <f aca="false">IF(OR(O519="",O519=0),"",(J519+H519)/O519)</f>
        <v/>
      </c>
      <c r="Q519" s="24" t="str">
        <f aca="false">IF(OR(O519="",E519=""),"",MAX(J519+H519-E519*O519,0))</f>
        <v/>
      </c>
      <c r="R519" s="26" t="str">
        <f aca="false">IF(A519="","",IF(COUNTIF(_TradeIds,A519)=0,"违规：交易编号不存在",IF(OR(B519="",B519&lt;1,B519&gt;5,B519&lt;&gt;INT(B519)),"违规：加仓序号须为1到5的整数",IF(COUNTIFS($A$2:$A$1001,A519,$B$2:$B$1001,B519)&gt;1,"违规：同一交易的加仓序号重复",IF(OR(D519="",E519="",F519=""),"计划不完整：请填写加仓价、新止损价和风险预算",IF(OR(D519&lt;=0,E519&lt;=0,F519&lt;=0,D519&lt;=E519),"违规：加仓价必须高于新止损价，金额须大于0",IF(AND(B519&gt;1,COUNTIFS($A$2:$A$1001,A519,$B$2:$B$1001,B519-1,$G$2:$G$1001,"&gt;0")=0),"违规：须先完成上一次加仓",IF(AND(B519&gt;1,E519&lt;SUMIFS($E$2:$E$1001,$A$2:$A$1001,A519,$B$2:$B$1001,B519-1)),"违规：新止损价不得低于上一次",IF(AND(B519&gt;1,F519&gt;SUMIFS($F$2:$F$1001,$A$2:$A$1001,A519,$B$2:$B$1001,B519-1)),"违规：风险预算须逐次不增加",IF(OR(_LockStatus="已锁仓",_LockStatus="解锁信息不完整"),"违规：锁仓期间禁止加仓",IF(G519="","计划可执行：建议股数见N列",IF(OR(G519&lt;=0,G519&lt;&gt;INT(G519),MOD(G519,100)&lt;&gt;0),"违规：实际股数须为100股整数倍",IF(G519&gt;N519,"违规：实际股数超过风险或金字塔上限",IF(AND(B519&gt;1,G519&gt;SUMIFS($G$2:$G$1001,$A$2:$A$1001,A519,$B$2:$B$1001,B519-1)),"违规：加仓股数须逐次不增加",IF(Q519&gt;F519,"违规：止损风险超过本次预算","通过")))))))))))))))</f>
        <v/>
      </c>
    </row>
    <row r="520" customFormat="false" ht="15" hidden="false" customHeight="false" outlineLevel="0" collapsed="false">
      <c r="A520" s="20"/>
      <c r="B520" s="21"/>
      <c r="C520" s="22"/>
      <c r="D520" s="23"/>
      <c r="E520" s="23"/>
      <c r="F520" s="23"/>
      <c r="G520" s="21"/>
      <c r="H520" s="24" t="str">
        <f aca="false">IF(OR(A520="",D520="",G520=""),"",D520*G520)</f>
        <v/>
      </c>
      <c r="I520" s="25" t="str">
        <f aca="false">IF(OR(A520="",B520=""),"",IFERROR(LOOKUP(2,1/(单次交易!$A$2:$A$201=A520),单次交易!$H$2:$H$201),0)+SUMIFS($G$2:$G$1001,$A$2:$A$1001,A520,$B$2:$B$1001,"&lt;"&amp;B520))</f>
        <v/>
      </c>
      <c r="J520" s="24" t="str">
        <f aca="false">IF(OR(A520="",B520=""),"",IFERROR(LOOKUP(2,1/(单次交易!$A$2:$A$201=A520),单次交易!$E$2:$E$201)*LOOKUP(2,1/(单次交易!$A$2:$A$201=A520),单次交易!$H$2:$H$201),0)+SUMIFS($H$2:$H$1001,$A$2:$A$1001,A520,$B$2:$B$1001,"&lt;"&amp;B520))</f>
        <v/>
      </c>
      <c r="K520" s="24" t="str">
        <f aca="false">IF(OR(E520="",I520="",J520=""),"",MAX(E520*I520-J520,0))</f>
        <v/>
      </c>
      <c r="L520" s="25" t="str">
        <f aca="false">IF(OR(D520="",E520="",F520="",D520&lt;=E520),"",FLOOR((F520+K520)/(D520-E520),100))</f>
        <v/>
      </c>
      <c r="M520" s="25" t="str">
        <f aca="false">IF(OR(A520="",B520="",L520=""),"",IF(B520=1,L520,IFERROR(SUMIFS($G$2:$G$1001,$A$2:$A$1001,A520,$B$2:$B$1001,B520-1),0)))</f>
        <v/>
      </c>
      <c r="N520" s="25" t="str">
        <f aca="false">IF(OR(L520="",M520=""),"",MIN(L520,M520))</f>
        <v/>
      </c>
      <c r="O520" s="25" t="str">
        <f aca="false">IF(OR(I520="",G520=""),"",I520+G520)</f>
        <v/>
      </c>
      <c r="P520" s="24" t="str">
        <f aca="false">IF(OR(O520="",O520=0),"",(J520+H520)/O520)</f>
        <v/>
      </c>
      <c r="Q520" s="24" t="str">
        <f aca="false">IF(OR(O520="",E520=""),"",MAX(J520+H520-E520*O520,0))</f>
        <v/>
      </c>
      <c r="R520" s="26" t="str">
        <f aca="false">IF(A520="","",IF(COUNTIF(_TradeIds,A520)=0,"违规：交易编号不存在",IF(OR(B520="",B520&lt;1,B520&gt;5,B520&lt;&gt;INT(B520)),"违规：加仓序号须为1到5的整数",IF(COUNTIFS($A$2:$A$1001,A520,$B$2:$B$1001,B520)&gt;1,"违规：同一交易的加仓序号重复",IF(OR(D520="",E520="",F520=""),"计划不完整：请填写加仓价、新止损价和风险预算",IF(OR(D520&lt;=0,E520&lt;=0,F520&lt;=0,D520&lt;=E520),"违规：加仓价必须高于新止损价，金额须大于0",IF(AND(B520&gt;1,COUNTIFS($A$2:$A$1001,A520,$B$2:$B$1001,B520-1,$G$2:$G$1001,"&gt;0")=0),"违规：须先完成上一次加仓",IF(AND(B520&gt;1,E520&lt;SUMIFS($E$2:$E$1001,$A$2:$A$1001,A520,$B$2:$B$1001,B520-1)),"违规：新止损价不得低于上一次",IF(AND(B520&gt;1,F520&gt;SUMIFS($F$2:$F$1001,$A$2:$A$1001,A520,$B$2:$B$1001,B520-1)),"违规：风险预算须逐次不增加",IF(OR(_LockStatus="已锁仓",_LockStatus="解锁信息不完整"),"违规：锁仓期间禁止加仓",IF(G520="","计划可执行：建议股数见N列",IF(OR(G520&lt;=0,G520&lt;&gt;INT(G520),MOD(G520,100)&lt;&gt;0),"违规：实际股数须为100股整数倍",IF(G520&gt;N520,"违规：实际股数超过风险或金字塔上限",IF(AND(B520&gt;1,G520&gt;SUMIFS($G$2:$G$1001,$A$2:$A$1001,A520,$B$2:$B$1001,B520-1)),"违规：加仓股数须逐次不增加",IF(Q520&gt;F520,"违规：止损风险超过本次预算","通过")))))))))))))))</f>
        <v/>
      </c>
    </row>
    <row r="521" customFormat="false" ht="15" hidden="false" customHeight="false" outlineLevel="0" collapsed="false">
      <c r="A521" s="20"/>
      <c r="B521" s="21"/>
      <c r="C521" s="22"/>
      <c r="D521" s="23"/>
      <c r="E521" s="23"/>
      <c r="F521" s="23"/>
      <c r="G521" s="21"/>
      <c r="H521" s="24" t="str">
        <f aca="false">IF(OR(A521="",D521="",G521=""),"",D521*G521)</f>
        <v/>
      </c>
      <c r="I521" s="25" t="str">
        <f aca="false">IF(OR(A521="",B521=""),"",IFERROR(LOOKUP(2,1/(单次交易!$A$2:$A$201=A521),单次交易!$H$2:$H$201),0)+SUMIFS($G$2:$G$1001,$A$2:$A$1001,A521,$B$2:$B$1001,"&lt;"&amp;B521))</f>
        <v/>
      </c>
      <c r="J521" s="24" t="str">
        <f aca="false">IF(OR(A521="",B521=""),"",IFERROR(LOOKUP(2,1/(单次交易!$A$2:$A$201=A521),单次交易!$E$2:$E$201)*LOOKUP(2,1/(单次交易!$A$2:$A$201=A521),单次交易!$H$2:$H$201),0)+SUMIFS($H$2:$H$1001,$A$2:$A$1001,A521,$B$2:$B$1001,"&lt;"&amp;B521))</f>
        <v/>
      </c>
      <c r="K521" s="24" t="str">
        <f aca="false">IF(OR(E521="",I521="",J521=""),"",MAX(E521*I521-J521,0))</f>
        <v/>
      </c>
      <c r="L521" s="25" t="str">
        <f aca="false">IF(OR(D521="",E521="",F521="",D521&lt;=E521),"",FLOOR((F521+K521)/(D521-E521),100))</f>
        <v/>
      </c>
      <c r="M521" s="25" t="str">
        <f aca="false">IF(OR(A521="",B521="",L521=""),"",IF(B521=1,L521,IFERROR(SUMIFS($G$2:$G$1001,$A$2:$A$1001,A521,$B$2:$B$1001,B521-1),0)))</f>
        <v/>
      </c>
      <c r="N521" s="25" t="str">
        <f aca="false">IF(OR(L521="",M521=""),"",MIN(L521,M521))</f>
        <v/>
      </c>
      <c r="O521" s="25" t="str">
        <f aca="false">IF(OR(I521="",G521=""),"",I521+G521)</f>
        <v/>
      </c>
      <c r="P521" s="24" t="str">
        <f aca="false">IF(OR(O521="",O521=0),"",(J521+H521)/O521)</f>
        <v/>
      </c>
      <c r="Q521" s="24" t="str">
        <f aca="false">IF(OR(O521="",E521=""),"",MAX(J521+H521-E521*O521,0))</f>
        <v/>
      </c>
      <c r="R521" s="26" t="str">
        <f aca="false">IF(A521="","",IF(COUNTIF(_TradeIds,A521)=0,"违规：交易编号不存在",IF(OR(B521="",B521&lt;1,B521&gt;5,B521&lt;&gt;INT(B521)),"违规：加仓序号须为1到5的整数",IF(COUNTIFS($A$2:$A$1001,A521,$B$2:$B$1001,B521)&gt;1,"违规：同一交易的加仓序号重复",IF(OR(D521="",E521="",F521=""),"计划不完整：请填写加仓价、新止损价和风险预算",IF(OR(D521&lt;=0,E521&lt;=0,F521&lt;=0,D521&lt;=E521),"违规：加仓价必须高于新止损价，金额须大于0",IF(AND(B521&gt;1,COUNTIFS($A$2:$A$1001,A521,$B$2:$B$1001,B521-1,$G$2:$G$1001,"&gt;0")=0),"违规：须先完成上一次加仓",IF(AND(B521&gt;1,E521&lt;SUMIFS($E$2:$E$1001,$A$2:$A$1001,A521,$B$2:$B$1001,B521-1)),"违规：新止损价不得低于上一次",IF(AND(B521&gt;1,F521&gt;SUMIFS($F$2:$F$1001,$A$2:$A$1001,A521,$B$2:$B$1001,B521-1)),"违规：风险预算须逐次不增加",IF(OR(_LockStatus="已锁仓",_LockStatus="解锁信息不完整"),"违规：锁仓期间禁止加仓",IF(G521="","计划可执行：建议股数见N列",IF(OR(G521&lt;=0,G521&lt;&gt;INT(G521),MOD(G521,100)&lt;&gt;0),"违规：实际股数须为100股整数倍",IF(G521&gt;N521,"违规：实际股数超过风险或金字塔上限",IF(AND(B521&gt;1,G521&gt;SUMIFS($G$2:$G$1001,$A$2:$A$1001,A521,$B$2:$B$1001,B521-1)),"违规：加仓股数须逐次不增加",IF(Q521&gt;F521,"违规：止损风险超过本次预算","通过")))))))))))))))</f>
        <v/>
      </c>
    </row>
    <row r="522" customFormat="false" ht="15" hidden="false" customHeight="false" outlineLevel="0" collapsed="false">
      <c r="A522" s="20"/>
      <c r="B522" s="21"/>
      <c r="C522" s="22"/>
      <c r="D522" s="23"/>
      <c r="E522" s="23"/>
      <c r="F522" s="23"/>
      <c r="G522" s="21"/>
      <c r="H522" s="24" t="str">
        <f aca="false">IF(OR(A522="",D522="",G522=""),"",D522*G522)</f>
        <v/>
      </c>
      <c r="I522" s="25" t="str">
        <f aca="false">IF(OR(A522="",B522=""),"",IFERROR(LOOKUP(2,1/(单次交易!$A$2:$A$201=A522),单次交易!$H$2:$H$201),0)+SUMIFS($G$2:$G$1001,$A$2:$A$1001,A522,$B$2:$B$1001,"&lt;"&amp;B522))</f>
        <v/>
      </c>
      <c r="J522" s="24" t="str">
        <f aca="false">IF(OR(A522="",B522=""),"",IFERROR(LOOKUP(2,1/(单次交易!$A$2:$A$201=A522),单次交易!$E$2:$E$201)*LOOKUP(2,1/(单次交易!$A$2:$A$201=A522),单次交易!$H$2:$H$201),0)+SUMIFS($H$2:$H$1001,$A$2:$A$1001,A522,$B$2:$B$1001,"&lt;"&amp;B522))</f>
        <v/>
      </c>
      <c r="K522" s="24" t="str">
        <f aca="false">IF(OR(E522="",I522="",J522=""),"",MAX(E522*I522-J522,0))</f>
        <v/>
      </c>
      <c r="L522" s="25" t="str">
        <f aca="false">IF(OR(D522="",E522="",F522="",D522&lt;=E522),"",FLOOR((F522+K522)/(D522-E522),100))</f>
        <v/>
      </c>
      <c r="M522" s="25" t="str">
        <f aca="false">IF(OR(A522="",B522="",L522=""),"",IF(B522=1,L522,IFERROR(SUMIFS($G$2:$G$1001,$A$2:$A$1001,A522,$B$2:$B$1001,B522-1),0)))</f>
        <v/>
      </c>
      <c r="N522" s="25" t="str">
        <f aca="false">IF(OR(L522="",M522=""),"",MIN(L522,M522))</f>
        <v/>
      </c>
      <c r="O522" s="25" t="str">
        <f aca="false">IF(OR(I522="",G522=""),"",I522+G522)</f>
        <v/>
      </c>
      <c r="P522" s="24" t="str">
        <f aca="false">IF(OR(O522="",O522=0),"",(J522+H522)/O522)</f>
        <v/>
      </c>
      <c r="Q522" s="24" t="str">
        <f aca="false">IF(OR(O522="",E522=""),"",MAX(J522+H522-E522*O522,0))</f>
        <v/>
      </c>
      <c r="R522" s="26" t="str">
        <f aca="false">IF(A522="","",IF(COUNTIF(_TradeIds,A522)=0,"违规：交易编号不存在",IF(OR(B522="",B522&lt;1,B522&gt;5,B522&lt;&gt;INT(B522)),"违规：加仓序号须为1到5的整数",IF(COUNTIFS($A$2:$A$1001,A522,$B$2:$B$1001,B522)&gt;1,"违规：同一交易的加仓序号重复",IF(OR(D522="",E522="",F522=""),"计划不完整：请填写加仓价、新止损价和风险预算",IF(OR(D522&lt;=0,E522&lt;=0,F522&lt;=0,D522&lt;=E522),"违规：加仓价必须高于新止损价，金额须大于0",IF(AND(B522&gt;1,COUNTIFS($A$2:$A$1001,A522,$B$2:$B$1001,B522-1,$G$2:$G$1001,"&gt;0")=0),"违规：须先完成上一次加仓",IF(AND(B522&gt;1,E522&lt;SUMIFS($E$2:$E$1001,$A$2:$A$1001,A522,$B$2:$B$1001,B522-1)),"违规：新止损价不得低于上一次",IF(AND(B522&gt;1,F522&gt;SUMIFS($F$2:$F$1001,$A$2:$A$1001,A522,$B$2:$B$1001,B522-1)),"违规：风险预算须逐次不增加",IF(OR(_LockStatus="已锁仓",_LockStatus="解锁信息不完整"),"违规：锁仓期间禁止加仓",IF(G522="","计划可执行：建议股数见N列",IF(OR(G522&lt;=0,G522&lt;&gt;INT(G522),MOD(G522,100)&lt;&gt;0),"违规：实际股数须为100股整数倍",IF(G522&gt;N522,"违规：实际股数超过风险或金字塔上限",IF(AND(B522&gt;1,G522&gt;SUMIFS($G$2:$G$1001,$A$2:$A$1001,A522,$B$2:$B$1001,B522-1)),"违规：加仓股数须逐次不增加",IF(Q522&gt;F522,"违规：止损风险超过本次预算","通过")))))))))))))))</f>
        <v/>
      </c>
    </row>
    <row r="523" customFormat="false" ht="15" hidden="false" customHeight="false" outlineLevel="0" collapsed="false">
      <c r="A523" s="20"/>
      <c r="B523" s="21"/>
      <c r="C523" s="22"/>
      <c r="D523" s="23"/>
      <c r="E523" s="23"/>
      <c r="F523" s="23"/>
      <c r="G523" s="21"/>
      <c r="H523" s="24" t="str">
        <f aca="false">IF(OR(A523="",D523="",G523=""),"",D523*G523)</f>
        <v/>
      </c>
      <c r="I523" s="25" t="str">
        <f aca="false">IF(OR(A523="",B523=""),"",IFERROR(LOOKUP(2,1/(单次交易!$A$2:$A$201=A523),单次交易!$H$2:$H$201),0)+SUMIFS($G$2:$G$1001,$A$2:$A$1001,A523,$B$2:$B$1001,"&lt;"&amp;B523))</f>
        <v/>
      </c>
      <c r="J523" s="24" t="str">
        <f aca="false">IF(OR(A523="",B523=""),"",IFERROR(LOOKUP(2,1/(单次交易!$A$2:$A$201=A523),单次交易!$E$2:$E$201)*LOOKUP(2,1/(单次交易!$A$2:$A$201=A523),单次交易!$H$2:$H$201),0)+SUMIFS($H$2:$H$1001,$A$2:$A$1001,A523,$B$2:$B$1001,"&lt;"&amp;B523))</f>
        <v/>
      </c>
      <c r="K523" s="24" t="str">
        <f aca="false">IF(OR(E523="",I523="",J523=""),"",MAX(E523*I523-J523,0))</f>
        <v/>
      </c>
      <c r="L523" s="25" t="str">
        <f aca="false">IF(OR(D523="",E523="",F523="",D523&lt;=E523),"",FLOOR((F523+K523)/(D523-E523),100))</f>
        <v/>
      </c>
      <c r="M523" s="25" t="str">
        <f aca="false">IF(OR(A523="",B523="",L523=""),"",IF(B523=1,L523,IFERROR(SUMIFS($G$2:$G$1001,$A$2:$A$1001,A523,$B$2:$B$1001,B523-1),0)))</f>
        <v/>
      </c>
      <c r="N523" s="25" t="str">
        <f aca="false">IF(OR(L523="",M523=""),"",MIN(L523,M523))</f>
        <v/>
      </c>
      <c r="O523" s="25" t="str">
        <f aca="false">IF(OR(I523="",G523=""),"",I523+G523)</f>
        <v/>
      </c>
      <c r="P523" s="24" t="str">
        <f aca="false">IF(OR(O523="",O523=0),"",(J523+H523)/O523)</f>
        <v/>
      </c>
      <c r="Q523" s="24" t="str">
        <f aca="false">IF(OR(O523="",E523=""),"",MAX(J523+H523-E523*O523,0))</f>
        <v/>
      </c>
      <c r="R523" s="26" t="str">
        <f aca="false">IF(A523="","",IF(COUNTIF(_TradeIds,A523)=0,"违规：交易编号不存在",IF(OR(B523="",B523&lt;1,B523&gt;5,B523&lt;&gt;INT(B523)),"违规：加仓序号须为1到5的整数",IF(COUNTIFS($A$2:$A$1001,A523,$B$2:$B$1001,B523)&gt;1,"违规：同一交易的加仓序号重复",IF(OR(D523="",E523="",F523=""),"计划不完整：请填写加仓价、新止损价和风险预算",IF(OR(D523&lt;=0,E523&lt;=0,F523&lt;=0,D523&lt;=E523),"违规：加仓价必须高于新止损价，金额须大于0",IF(AND(B523&gt;1,COUNTIFS($A$2:$A$1001,A523,$B$2:$B$1001,B523-1,$G$2:$G$1001,"&gt;0")=0),"违规：须先完成上一次加仓",IF(AND(B523&gt;1,E523&lt;SUMIFS($E$2:$E$1001,$A$2:$A$1001,A523,$B$2:$B$1001,B523-1)),"违规：新止损价不得低于上一次",IF(AND(B523&gt;1,F523&gt;SUMIFS($F$2:$F$1001,$A$2:$A$1001,A523,$B$2:$B$1001,B523-1)),"违规：风险预算须逐次不增加",IF(OR(_LockStatus="已锁仓",_LockStatus="解锁信息不完整"),"违规：锁仓期间禁止加仓",IF(G523="","计划可执行：建议股数见N列",IF(OR(G523&lt;=0,G523&lt;&gt;INT(G523),MOD(G523,100)&lt;&gt;0),"违规：实际股数须为100股整数倍",IF(G523&gt;N523,"违规：实际股数超过风险或金字塔上限",IF(AND(B523&gt;1,G523&gt;SUMIFS($G$2:$G$1001,$A$2:$A$1001,A523,$B$2:$B$1001,B523-1)),"违规：加仓股数须逐次不增加",IF(Q523&gt;F523,"违规：止损风险超过本次预算","通过")))))))))))))))</f>
        <v/>
      </c>
    </row>
    <row r="524" customFormat="false" ht="15" hidden="false" customHeight="false" outlineLevel="0" collapsed="false">
      <c r="A524" s="20"/>
      <c r="B524" s="21"/>
      <c r="C524" s="22"/>
      <c r="D524" s="23"/>
      <c r="E524" s="23"/>
      <c r="F524" s="23"/>
      <c r="G524" s="21"/>
      <c r="H524" s="24" t="str">
        <f aca="false">IF(OR(A524="",D524="",G524=""),"",D524*G524)</f>
        <v/>
      </c>
      <c r="I524" s="25" t="str">
        <f aca="false">IF(OR(A524="",B524=""),"",IFERROR(LOOKUP(2,1/(单次交易!$A$2:$A$201=A524),单次交易!$H$2:$H$201),0)+SUMIFS($G$2:$G$1001,$A$2:$A$1001,A524,$B$2:$B$1001,"&lt;"&amp;B524))</f>
        <v/>
      </c>
      <c r="J524" s="24" t="str">
        <f aca="false">IF(OR(A524="",B524=""),"",IFERROR(LOOKUP(2,1/(单次交易!$A$2:$A$201=A524),单次交易!$E$2:$E$201)*LOOKUP(2,1/(单次交易!$A$2:$A$201=A524),单次交易!$H$2:$H$201),0)+SUMIFS($H$2:$H$1001,$A$2:$A$1001,A524,$B$2:$B$1001,"&lt;"&amp;B524))</f>
        <v/>
      </c>
      <c r="K524" s="24" t="str">
        <f aca="false">IF(OR(E524="",I524="",J524=""),"",MAX(E524*I524-J524,0))</f>
        <v/>
      </c>
      <c r="L524" s="25" t="str">
        <f aca="false">IF(OR(D524="",E524="",F524="",D524&lt;=E524),"",FLOOR((F524+K524)/(D524-E524),100))</f>
        <v/>
      </c>
      <c r="M524" s="25" t="str">
        <f aca="false">IF(OR(A524="",B524="",L524=""),"",IF(B524=1,L524,IFERROR(SUMIFS($G$2:$G$1001,$A$2:$A$1001,A524,$B$2:$B$1001,B524-1),0)))</f>
        <v/>
      </c>
      <c r="N524" s="25" t="str">
        <f aca="false">IF(OR(L524="",M524=""),"",MIN(L524,M524))</f>
        <v/>
      </c>
      <c r="O524" s="25" t="str">
        <f aca="false">IF(OR(I524="",G524=""),"",I524+G524)</f>
        <v/>
      </c>
      <c r="P524" s="24" t="str">
        <f aca="false">IF(OR(O524="",O524=0),"",(J524+H524)/O524)</f>
        <v/>
      </c>
      <c r="Q524" s="24" t="str">
        <f aca="false">IF(OR(O524="",E524=""),"",MAX(J524+H524-E524*O524,0))</f>
        <v/>
      </c>
      <c r="R524" s="26" t="str">
        <f aca="false">IF(A524="","",IF(COUNTIF(_TradeIds,A524)=0,"违规：交易编号不存在",IF(OR(B524="",B524&lt;1,B524&gt;5,B524&lt;&gt;INT(B524)),"违规：加仓序号须为1到5的整数",IF(COUNTIFS($A$2:$A$1001,A524,$B$2:$B$1001,B524)&gt;1,"违规：同一交易的加仓序号重复",IF(OR(D524="",E524="",F524=""),"计划不完整：请填写加仓价、新止损价和风险预算",IF(OR(D524&lt;=0,E524&lt;=0,F524&lt;=0,D524&lt;=E524),"违规：加仓价必须高于新止损价，金额须大于0",IF(AND(B524&gt;1,COUNTIFS($A$2:$A$1001,A524,$B$2:$B$1001,B524-1,$G$2:$G$1001,"&gt;0")=0),"违规：须先完成上一次加仓",IF(AND(B524&gt;1,E524&lt;SUMIFS($E$2:$E$1001,$A$2:$A$1001,A524,$B$2:$B$1001,B524-1)),"违规：新止损价不得低于上一次",IF(AND(B524&gt;1,F524&gt;SUMIFS($F$2:$F$1001,$A$2:$A$1001,A524,$B$2:$B$1001,B524-1)),"违规：风险预算须逐次不增加",IF(OR(_LockStatus="已锁仓",_LockStatus="解锁信息不完整"),"违规：锁仓期间禁止加仓",IF(G524="","计划可执行：建议股数见N列",IF(OR(G524&lt;=0,G524&lt;&gt;INT(G524),MOD(G524,100)&lt;&gt;0),"违规：实际股数须为100股整数倍",IF(G524&gt;N524,"违规：实际股数超过风险或金字塔上限",IF(AND(B524&gt;1,G524&gt;SUMIFS($G$2:$G$1001,$A$2:$A$1001,A524,$B$2:$B$1001,B524-1)),"违规：加仓股数须逐次不增加",IF(Q524&gt;F524,"违规：止损风险超过本次预算","通过")))))))))))))))</f>
        <v/>
      </c>
    </row>
    <row r="525" customFormat="false" ht="15" hidden="false" customHeight="false" outlineLevel="0" collapsed="false">
      <c r="A525" s="20"/>
      <c r="B525" s="21"/>
      <c r="C525" s="22"/>
      <c r="D525" s="23"/>
      <c r="E525" s="23"/>
      <c r="F525" s="23"/>
      <c r="G525" s="21"/>
      <c r="H525" s="24" t="str">
        <f aca="false">IF(OR(A525="",D525="",G525=""),"",D525*G525)</f>
        <v/>
      </c>
      <c r="I525" s="25" t="str">
        <f aca="false">IF(OR(A525="",B525=""),"",IFERROR(LOOKUP(2,1/(单次交易!$A$2:$A$201=A525),单次交易!$H$2:$H$201),0)+SUMIFS($G$2:$G$1001,$A$2:$A$1001,A525,$B$2:$B$1001,"&lt;"&amp;B525))</f>
        <v/>
      </c>
      <c r="J525" s="24" t="str">
        <f aca="false">IF(OR(A525="",B525=""),"",IFERROR(LOOKUP(2,1/(单次交易!$A$2:$A$201=A525),单次交易!$E$2:$E$201)*LOOKUP(2,1/(单次交易!$A$2:$A$201=A525),单次交易!$H$2:$H$201),0)+SUMIFS($H$2:$H$1001,$A$2:$A$1001,A525,$B$2:$B$1001,"&lt;"&amp;B525))</f>
        <v/>
      </c>
      <c r="K525" s="24" t="str">
        <f aca="false">IF(OR(E525="",I525="",J525=""),"",MAX(E525*I525-J525,0))</f>
        <v/>
      </c>
      <c r="L525" s="25" t="str">
        <f aca="false">IF(OR(D525="",E525="",F525="",D525&lt;=E525),"",FLOOR((F525+K525)/(D525-E525),100))</f>
        <v/>
      </c>
      <c r="M525" s="25" t="str">
        <f aca="false">IF(OR(A525="",B525="",L525=""),"",IF(B525=1,L525,IFERROR(SUMIFS($G$2:$G$1001,$A$2:$A$1001,A525,$B$2:$B$1001,B525-1),0)))</f>
        <v/>
      </c>
      <c r="N525" s="25" t="str">
        <f aca="false">IF(OR(L525="",M525=""),"",MIN(L525,M525))</f>
        <v/>
      </c>
      <c r="O525" s="25" t="str">
        <f aca="false">IF(OR(I525="",G525=""),"",I525+G525)</f>
        <v/>
      </c>
      <c r="P525" s="24" t="str">
        <f aca="false">IF(OR(O525="",O525=0),"",(J525+H525)/O525)</f>
        <v/>
      </c>
      <c r="Q525" s="24" t="str">
        <f aca="false">IF(OR(O525="",E525=""),"",MAX(J525+H525-E525*O525,0))</f>
        <v/>
      </c>
      <c r="R525" s="26" t="str">
        <f aca="false">IF(A525="","",IF(COUNTIF(_TradeIds,A525)=0,"违规：交易编号不存在",IF(OR(B525="",B525&lt;1,B525&gt;5,B525&lt;&gt;INT(B525)),"违规：加仓序号须为1到5的整数",IF(COUNTIFS($A$2:$A$1001,A525,$B$2:$B$1001,B525)&gt;1,"违规：同一交易的加仓序号重复",IF(OR(D525="",E525="",F525=""),"计划不完整：请填写加仓价、新止损价和风险预算",IF(OR(D525&lt;=0,E525&lt;=0,F525&lt;=0,D525&lt;=E525),"违规：加仓价必须高于新止损价，金额须大于0",IF(AND(B525&gt;1,COUNTIFS($A$2:$A$1001,A525,$B$2:$B$1001,B525-1,$G$2:$G$1001,"&gt;0")=0),"违规：须先完成上一次加仓",IF(AND(B525&gt;1,E525&lt;SUMIFS($E$2:$E$1001,$A$2:$A$1001,A525,$B$2:$B$1001,B525-1)),"违规：新止损价不得低于上一次",IF(AND(B525&gt;1,F525&gt;SUMIFS($F$2:$F$1001,$A$2:$A$1001,A525,$B$2:$B$1001,B525-1)),"违规：风险预算须逐次不增加",IF(OR(_LockStatus="已锁仓",_LockStatus="解锁信息不完整"),"违规：锁仓期间禁止加仓",IF(G525="","计划可执行：建议股数见N列",IF(OR(G525&lt;=0,G525&lt;&gt;INT(G525),MOD(G525,100)&lt;&gt;0),"违规：实际股数须为100股整数倍",IF(G525&gt;N525,"违规：实际股数超过风险或金字塔上限",IF(AND(B525&gt;1,G525&gt;SUMIFS($G$2:$G$1001,$A$2:$A$1001,A525,$B$2:$B$1001,B525-1)),"违规：加仓股数须逐次不增加",IF(Q525&gt;F525,"违规：止损风险超过本次预算","通过")))))))))))))))</f>
        <v/>
      </c>
    </row>
    <row r="526" customFormat="false" ht="15" hidden="false" customHeight="false" outlineLevel="0" collapsed="false">
      <c r="A526" s="20"/>
      <c r="B526" s="21"/>
      <c r="C526" s="22"/>
      <c r="D526" s="23"/>
      <c r="E526" s="23"/>
      <c r="F526" s="23"/>
      <c r="G526" s="21"/>
      <c r="H526" s="24" t="str">
        <f aca="false">IF(OR(A526="",D526="",G526=""),"",D526*G526)</f>
        <v/>
      </c>
      <c r="I526" s="25" t="str">
        <f aca="false">IF(OR(A526="",B526=""),"",IFERROR(LOOKUP(2,1/(单次交易!$A$2:$A$201=A526),单次交易!$H$2:$H$201),0)+SUMIFS($G$2:$G$1001,$A$2:$A$1001,A526,$B$2:$B$1001,"&lt;"&amp;B526))</f>
        <v/>
      </c>
      <c r="J526" s="24" t="str">
        <f aca="false">IF(OR(A526="",B526=""),"",IFERROR(LOOKUP(2,1/(单次交易!$A$2:$A$201=A526),单次交易!$E$2:$E$201)*LOOKUP(2,1/(单次交易!$A$2:$A$201=A526),单次交易!$H$2:$H$201),0)+SUMIFS($H$2:$H$1001,$A$2:$A$1001,A526,$B$2:$B$1001,"&lt;"&amp;B526))</f>
        <v/>
      </c>
      <c r="K526" s="24" t="str">
        <f aca="false">IF(OR(E526="",I526="",J526=""),"",MAX(E526*I526-J526,0))</f>
        <v/>
      </c>
      <c r="L526" s="25" t="str">
        <f aca="false">IF(OR(D526="",E526="",F526="",D526&lt;=E526),"",FLOOR((F526+K526)/(D526-E526),100))</f>
        <v/>
      </c>
      <c r="M526" s="25" t="str">
        <f aca="false">IF(OR(A526="",B526="",L526=""),"",IF(B526=1,L526,IFERROR(SUMIFS($G$2:$G$1001,$A$2:$A$1001,A526,$B$2:$B$1001,B526-1),0)))</f>
        <v/>
      </c>
      <c r="N526" s="25" t="str">
        <f aca="false">IF(OR(L526="",M526=""),"",MIN(L526,M526))</f>
        <v/>
      </c>
      <c r="O526" s="25" t="str">
        <f aca="false">IF(OR(I526="",G526=""),"",I526+G526)</f>
        <v/>
      </c>
      <c r="P526" s="24" t="str">
        <f aca="false">IF(OR(O526="",O526=0),"",(J526+H526)/O526)</f>
        <v/>
      </c>
      <c r="Q526" s="24" t="str">
        <f aca="false">IF(OR(O526="",E526=""),"",MAX(J526+H526-E526*O526,0))</f>
        <v/>
      </c>
      <c r="R526" s="26" t="str">
        <f aca="false">IF(A526="","",IF(COUNTIF(_TradeIds,A526)=0,"违规：交易编号不存在",IF(OR(B526="",B526&lt;1,B526&gt;5,B526&lt;&gt;INT(B526)),"违规：加仓序号须为1到5的整数",IF(COUNTIFS($A$2:$A$1001,A526,$B$2:$B$1001,B526)&gt;1,"违规：同一交易的加仓序号重复",IF(OR(D526="",E526="",F526=""),"计划不完整：请填写加仓价、新止损价和风险预算",IF(OR(D526&lt;=0,E526&lt;=0,F526&lt;=0,D526&lt;=E526),"违规：加仓价必须高于新止损价，金额须大于0",IF(AND(B526&gt;1,COUNTIFS($A$2:$A$1001,A526,$B$2:$B$1001,B526-1,$G$2:$G$1001,"&gt;0")=0),"违规：须先完成上一次加仓",IF(AND(B526&gt;1,E526&lt;SUMIFS($E$2:$E$1001,$A$2:$A$1001,A526,$B$2:$B$1001,B526-1)),"违规：新止损价不得低于上一次",IF(AND(B526&gt;1,F526&gt;SUMIFS($F$2:$F$1001,$A$2:$A$1001,A526,$B$2:$B$1001,B526-1)),"违规：风险预算须逐次不增加",IF(OR(_LockStatus="已锁仓",_LockStatus="解锁信息不完整"),"违规：锁仓期间禁止加仓",IF(G526="","计划可执行：建议股数见N列",IF(OR(G526&lt;=0,G526&lt;&gt;INT(G526),MOD(G526,100)&lt;&gt;0),"违规：实际股数须为100股整数倍",IF(G526&gt;N526,"违规：实际股数超过风险或金字塔上限",IF(AND(B526&gt;1,G526&gt;SUMIFS($G$2:$G$1001,$A$2:$A$1001,A526,$B$2:$B$1001,B526-1)),"违规：加仓股数须逐次不增加",IF(Q526&gt;F526,"违规：止损风险超过本次预算","通过")))))))))))))))</f>
        <v/>
      </c>
    </row>
    <row r="527" customFormat="false" ht="15" hidden="false" customHeight="false" outlineLevel="0" collapsed="false">
      <c r="A527" s="20"/>
      <c r="B527" s="21"/>
      <c r="C527" s="22"/>
      <c r="D527" s="23"/>
      <c r="E527" s="23"/>
      <c r="F527" s="23"/>
      <c r="G527" s="21"/>
      <c r="H527" s="24" t="str">
        <f aca="false">IF(OR(A527="",D527="",G527=""),"",D527*G527)</f>
        <v/>
      </c>
      <c r="I527" s="25" t="str">
        <f aca="false">IF(OR(A527="",B527=""),"",IFERROR(LOOKUP(2,1/(单次交易!$A$2:$A$201=A527),单次交易!$H$2:$H$201),0)+SUMIFS($G$2:$G$1001,$A$2:$A$1001,A527,$B$2:$B$1001,"&lt;"&amp;B527))</f>
        <v/>
      </c>
      <c r="J527" s="24" t="str">
        <f aca="false">IF(OR(A527="",B527=""),"",IFERROR(LOOKUP(2,1/(单次交易!$A$2:$A$201=A527),单次交易!$E$2:$E$201)*LOOKUP(2,1/(单次交易!$A$2:$A$201=A527),单次交易!$H$2:$H$201),0)+SUMIFS($H$2:$H$1001,$A$2:$A$1001,A527,$B$2:$B$1001,"&lt;"&amp;B527))</f>
        <v/>
      </c>
      <c r="K527" s="24" t="str">
        <f aca="false">IF(OR(E527="",I527="",J527=""),"",MAX(E527*I527-J527,0))</f>
        <v/>
      </c>
      <c r="L527" s="25" t="str">
        <f aca="false">IF(OR(D527="",E527="",F527="",D527&lt;=E527),"",FLOOR((F527+K527)/(D527-E527),100))</f>
        <v/>
      </c>
      <c r="M527" s="25" t="str">
        <f aca="false">IF(OR(A527="",B527="",L527=""),"",IF(B527=1,L527,IFERROR(SUMIFS($G$2:$G$1001,$A$2:$A$1001,A527,$B$2:$B$1001,B527-1),0)))</f>
        <v/>
      </c>
      <c r="N527" s="25" t="str">
        <f aca="false">IF(OR(L527="",M527=""),"",MIN(L527,M527))</f>
        <v/>
      </c>
      <c r="O527" s="25" t="str">
        <f aca="false">IF(OR(I527="",G527=""),"",I527+G527)</f>
        <v/>
      </c>
      <c r="P527" s="24" t="str">
        <f aca="false">IF(OR(O527="",O527=0),"",(J527+H527)/O527)</f>
        <v/>
      </c>
      <c r="Q527" s="24" t="str">
        <f aca="false">IF(OR(O527="",E527=""),"",MAX(J527+H527-E527*O527,0))</f>
        <v/>
      </c>
      <c r="R527" s="26" t="str">
        <f aca="false">IF(A527="","",IF(COUNTIF(_TradeIds,A527)=0,"违规：交易编号不存在",IF(OR(B527="",B527&lt;1,B527&gt;5,B527&lt;&gt;INT(B527)),"违规：加仓序号须为1到5的整数",IF(COUNTIFS($A$2:$A$1001,A527,$B$2:$B$1001,B527)&gt;1,"违规：同一交易的加仓序号重复",IF(OR(D527="",E527="",F527=""),"计划不完整：请填写加仓价、新止损价和风险预算",IF(OR(D527&lt;=0,E527&lt;=0,F527&lt;=0,D527&lt;=E527),"违规：加仓价必须高于新止损价，金额须大于0",IF(AND(B527&gt;1,COUNTIFS($A$2:$A$1001,A527,$B$2:$B$1001,B527-1,$G$2:$G$1001,"&gt;0")=0),"违规：须先完成上一次加仓",IF(AND(B527&gt;1,E527&lt;SUMIFS($E$2:$E$1001,$A$2:$A$1001,A527,$B$2:$B$1001,B527-1)),"违规：新止损价不得低于上一次",IF(AND(B527&gt;1,F527&gt;SUMIFS($F$2:$F$1001,$A$2:$A$1001,A527,$B$2:$B$1001,B527-1)),"违规：风险预算须逐次不增加",IF(OR(_LockStatus="已锁仓",_LockStatus="解锁信息不完整"),"违规：锁仓期间禁止加仓",IF(G527="","计划可执行：建议股数见N列",IF(OR(G527&lt;=0,G527&lt;&gt;INT(G527),MOD(G527,100)&lt;&gt;0),"违规：实际股数须为100股整数倍",IF(G527&gt;N527,"违规：实际股数超过风险或金字塔上限",IF(AND(B527&gt;1,G527&gt;SUMIFS($G$2:$G$1001,$A$2:$A$1001,A527,$B$2:$B$1001,B527-1)),"违规：加仓股数须逐次不增加",IF(Q527&gt;F527,"违规：止损风险超过本次预算","通过")))))))))))))))</f>
        <v/>
      </c>
    </row>
    <row r="528" customFormat="false" ht="15" hidden="false" customHeight="false" outlineLevel="0" collapsed="false">
      <c r="A528" s="20"/>
      <c r="B528" s="21"/>
      <c r="C528" s="22"/>
      <c r="D528" s="23"/>
      <c r="E528" s="23"/>
      <c r="F528" s="23"/>
      <c r="G528" s="21"/>
      <c r="H528" s="24" t="str">
        <f aca="false">IF(OR(A528="",D528="",G528=""),"",D528*G528)</f>
        <v/>
      </c>
      <c r="I528" s="25" t="str">
        <f aca="false">IF(OR(A528="",B528=""),"",IFERROR(LOOKUP(2,1/(单次交易!$A$2:$A$201=A528),单次交易!$H$2:$H$201),0)+SUMIFS($G$2:$G$1001,$A$2:$A$1001,A528,$B$2:$B$1001,"&lt;"&amp;B528))</f>
        <v/>
      </c>
      <c r="J528" s="24" t="str">
        <f aca="false">IF(OR(A528="",B528=""),"",IFERROR(LOOKUP(2,1/(单次交易!$A$2:$A$201=A528),单次交易!$E$2:$E$201)*LOOKUP(2,1/(单次交易!$A$2:$A$201=A528),单次交易!$H$2:$H$201),0)+SUMIFS($H$2:$H$1001,$A$2:$A$1001,A528,$B$2:$B$1001,"&lt;"&amp;B528))</f>
        <v/>
      </c>
      <c r="K528" s="24" t="str">
        <f aca="false">IF(OR(E528="",I528="",J528=""),"",MAX(E528*I528-J528,0))</f>
        <v/>
      </c>
      <c r="L528" s="25" t="str">
        <f aca="false">IF(OR(D528="",E528="",F528="",D528&lt;=E528),"",FLOOR((F528+K528)/(D528-E528),100))</f>
        <v/>
      </c>
      <c r="M528" s="25" t="str">
        <f aca="false">IF(OR(A528="",B528="",L528=""),"",IF(B528=1,L528,IFERROR(SUMIFS($G$2:$G$1001,$A$2:$A$1001,A528,$B$2:$B$1001,B528-1),0)))</f>
        <v/>
      </c>
      <c r="N528" s="25" t="str">
        <f aca="false">IF(OR(L528="",M528=""),"",MIN(L528,M528))</f>
        <v/>
      </c>
      <c r="O528" s="25" t="str">
        <f aca="false">IF(OR(I528="",G528=""),"",I528+G528)</f>
        <v/>
      </c>
      <c r="P528" s="24" t="str">
        <f aca="false">IF(OR(O528="",O528=0),"",(J528+H528)/O528)</f>
        <v/>
      </c>
      <c r="Q528" s="24" t="str">
        <f aca="false">IF(OR(O528="",E528=""),"",MAX(J528+H528-E528*O528,0))</f>
        <v/>
      </c>
      <c r="R528" s="26" t="str">
        <f aca="false">IF(A528="","",IF(COUNTIF(_TradeIds,A528)=0,"违规：交易编号不存在",IF(OR(B528="",B528&lt;1,B528&gt;5,B528&lt;&gt;INT(B528)),"违规：加仓序号须为1到5的整数",IF(COUNTIFS($A$2:$A$1001,A528,$B$2:$B$1001,B528)&gt;1,"违规：同一交易的加仓序号重复",IF(OR(D528="",E528="",F528=""),"计划不完整：请填写加仓价、新止损价和风险预算",IF(OR(D528&lt;=0,E528&lt;=0,F528&lt;=0,D528&lt;=E528),"违规：加仓价必须高于新止损价，金额须大于0",IF(AND(B528&gt;1,COUNTIFS($A$2:$A$1001,A528,$B$2:$B$1001,B528-1,$G$2:$G$1001,"&gt;0")=0),"违规：须先完成上一次加仓",IF(AND(B528&gt;1,E528&lt;SUMIFS($E$2:$E$1001,$A$2:$A$1001,A528,$B$2:$B$1001,B528-1)),"违规：新止损价不得低于上一次",IF(AND(B528&gt;1,F528&gt;SUMIFS($F$2:$F$1001,$A$2:$A$1001,A528,$B$2:$B$1001,B528-1)),"违规：风险预算须逐次不增加",IF(OR(_LockStatus="已锁仓",_LockStatus="解锁信息不完整"),"违规：锁仓期间禁止加仓",IF(G528="","计划可执行：建议股数见N列",IF(OR(G528&lt;=0,G528&lt;&gt;INT(G528),MOD(G528,100)&lt;&gt;0),"违规：实际股数须为100股整数倍",IF(G528&gt;N528,"违规：实际股数超过风险或金字塔上限",IF(AND(B528&gt;1,G528&gt;SUMIFS($G$2:$G$1001,$A$2:$A$1001,A528,$B$2:$B$1001,B528-1)),"违规：加仓股数须逐次不增加",IF(Q528&gt;F528,"违规：止损风险超过本次预算","通过")))))))))))))))</f>
        <v/>
      </c>
    </row>
    <row r="529" customFormat="false" ht="15" hidden="false" customHeight="false" outlineLevel="0" collapsed="false">
      <c r="A529" s="20"/>
      <c r="B529" s="21"/>
      <c r="C529" s="22"/>
      <c r="D529" s="23"/>
      <c r="E529" s="23"/>
      <c r="F529" s="23"/>
      <c r="G529" s="21"/>
      <c r="H529" s="24" t="str">
        <f aca="false">IF(OR(A529="",D529="",G529=""),"",D529*G529)</f>
        <v/>
      </c>
      <c r="I529" s="25" t="str">
        <f aca="false">IF(OR(A529="",B529=""),"",IFERROR(LOOKUP(2,1/(单次交易!$A$2:$A$201=A529),单次交易!$H$2:$H$201),0)+SUMIFS($G$2:$G$1001,$A$2:$A$1001,A529,$B$2:$B$1001,"&lt;"&amp;B529))</f>
        <v/>
      </c>
      <c r="J529" s="24" t="str">
        <f aca="false">IF(OR(A529="",B529=""),"",IFERROR(LOOKUP(2,1/(单次交易!$A$2:$A$201=A529),单次交易!$E$2:$E$201)*LOOKUP(2,1/(单次交易!$A$2:$A$201=A529),单次交易!$H$2:$H$201),0)+SUMIFS($H$2:$H$1001,$A$2:$A$1001,A529,$B$2:$B$1001,"&lt;"&amp;B529))</f>
        <v/>
      </c>
      <c r="K529" s="24" t="str">
        <f aca="false">IF(OR(E529="",I529="",J529=""),"",MAX(E529*I529-J529,0))</f>
        <v/>
      </c>
      <c r="L529" s="25" t="str">
        <f aca="false">IF(OR(D529="",E529="",F529="",D529&lt;=E529),"",FLOOR((F529+K529)/(D529-E529),100))</f>
        <v/>
      </c>
      <c r="M529" s="25" t="str">
        <f aca="false">IF(OR(A529="",B529="",L529=""),"",IF(B529=1,L529,IFERROR(SUMIFS($G$2:$G$1001,$A$2:$A$1001,A529,$B$2:$B$1001,B529-1),0)))</f>
        <v/>
      </c>
      <c r="N529" s="25" t="str">
        <f aca="false">IF(OR(L529="",M529=""),"",MIN(L529,M529))</f>
        <v/>
      </c>
      <c r="O529" s="25" t="str">
        <f aca="false">IF(OR(I529="",G529=""),"",I529+G529)</f>
        <v/>
      </c>
      <c r="P529" s="24" t="str">
        <f aca="false">IF(OR(O529="",O529=0),"",(J529+H529)/O529)</f>
        <v/>
      </c>
      <c r="Q529" s="24" t="str">
        <f aca="false">IF(OR(O529="",E529=""),"",MAX(J529+H529-E529*O529,0))</f>
        <v/>
      </c>
      <c r="R529" s="26" t="str">
        <f aca="false">IF(A529="","",IF(COUNTIF(_TradeIds,A529)=0,"违规：交易编号不存在",IF(OR(B529="",B529&lt;1,B529&gt;5,B529&lt;&gt;INT(B529)),"违规：加仓序号须为1到5的整数",IF(COUNTIFS($A$2:$A$1001,A529,$B$2:$B$1001,B529)&gt;1,"违规：同一交易的加仓序号重复",IF(OR(D529="",E529="",F529=""),"计划不完整：请填写加仓价、新止损价和风险预算",IF(OR(D529&lt;=0,E529&lt;=0,F529&lt;=0,D529&lt;=E529),"违规：加仓价必须高于新止损价，金额须大于0",IF(AND(B529&gt;1,COUNTIFS($A$2:$A$1001,A529,$B$2:$B$1001,B529-1,$G$2:$G$1001,"&gt;0")=0),"违规：须先完成上一次加仓",IF(AND(B529&gt;1,E529&lt;SUMIFS($E$2:$E$1001,$A$2:$A$1001,A529,$B$2:$B$1001,B529-1)),"违规：新止损价不得低于上一次",IF(AND(B529&gt;1,F529&gt;SUMIFS($F$2:$F$1001,$A$2:$A$1001,A529,$B$2:$B$1001,B529-1)),"违规：风险预算须逐次不增加",IF(OR(_LockStatus="已锁仓",_LockStatus="解锁信息不完整"),"违规：锁仓期间禁止加仓",IF(G529="","计划可执行：建议股数见N列",IF(OR(G529&lt;=0,G529&lt;&gt;INT(G529),MOD(G529,100)&lt;&gt;0),"违规：实际股数须为100股整数倍",IF(G529&gt;N529,"违规：实际股数超过风险或金字塔上限",IF(AND(B529&gt;1,G529&gt;SUMIFS($G$2:$G$1001,$A$2:$A$1001,A529,$B$2:$B$1001,B529-1)),"违规：加仓股数须逐次不增加",IF(Q529&gt;F529,"违规：止损风险超过本次预算","通过")))))))))))))))</f>
        <v/>
      </c>
    </row>
    <row r="530" customFormat="false" ht="15" hidden="false" customHeight="false" outlineLevel="0" collapsed="false">
      <c r="A530" s="20"/>
      <c r="B530" s="21"/>
      <c r="C530" s="22"/>
      <c r="D530" s="23"/>
      <c r="E530" s="23"/>
      <c r="F530" s="23"/>
      <c r="G530" s="21"/>
      <c r="H530" s="24" t="str">
        <f aca="false">IF(OR(A530="",D530="",G530=""),"",D530*G530)</f>
        <v/>
      </c>
      <c r="I530" s="25" t="str">
        <f aca="false">IF(OR(A530="",B530=""),"",IFERROR(LOOKUP(2,1/(单次交易!$A$2:$A$201=A530),单次交易!$H$2:$H$201),0)+SUMIFS($G$2:$G$1001,$A$2:$A$1001,A530,$B$2:$B$1001,"&lt;"&amp;B530))</f>
        <v/>
      </c>
      <c r="J530" s="24" t="str">
        <f aca="false">IF(OR(A530="",B530=""),"",IFERROR(LOOKUP(2,1/(单次交易!$A$2:$A$201=A530),单次交易!$E$2:$E$201)*LOOKUP(2,1/(单次交易!$A$2:$A$201=A530),单次交易!$H$2:$H$201),0)+SUMIFS($H$2:$H$1001,$A$2:$A$1001,A530,$B$2:$B$1001,"&lt;"&amp;B530))</f>
        <v/>
      </c>
      <c r="K530" s="24" t="str">
        <f aca="false">IF(OR(E530="",I530="",J530=""),"",MAX(E530*I530-J530,0))</f>
        <v/>
      </c>
      <c r="L530" s="25" t="str">
        <f aca="false">IF(OR(D530="",E530="",F530="",D530&lt;=E530),"",FLOOR((F530+K530)/(D530-E530),100))</f>
        <v/>
      </c>
      <c r="M530" s="25" t="str">
        <f aca="false">IF(OR(A530="",B530="",L530=""),"",IF(B530=1,L530,IFERROR(SUMIFS($G$2:$G$1001,$A$2:$A$1001,A530,$B$2:$B$1001,B530-1),0)))</f>
        <v/>
      </c>
      <c r="N530" s="25" t="str">
        <f aca="false">IF(OR(L530="",M530=""),"",MIN(L530,M530))</f>
        <v/>
      </c>
      <c r="O530" s="25" t="str">
        <f aca="false">IF(OR(I530="",G530=""),"",I530+G530)</f>
        <v/>
      </c>
      <c r="P530" s="24" t="str">
        <f aca="false">IF(OR(O530="",O530=0),"",(J530+H530)/O530)</f>
        <v/>
      </c>
      <c r="Q530" s="24" t="str">
        <f aca="false">IF(OR(O530="",E530=""),"",MAX(J530+H530-E530*O530,0))</f>
        <v/>
      </c>
      <c r="R530" s="26" t="str">
        <f aca="false">IF(A530="","",IF(COUNTIF(_TradeIds,A530)=0,"违规：交易编号不存在",IF(OR(B530="",B530&lt;1,B530&gt;5,B530&lt;&gt;INT(B530)),"违规：加仓序号须为1到5的整数",IF(COUNTIFS($A$2:$A$1001,A530,$B$2:$B$1001,B530)&gt;1,"违规：同一交易的加仓序号重复",IF(OR(D530="",E530="",F530=""),"计划不完整：请填写加仓价、新止损价和风险预算",IF(OR(D530&lt;=0,E530&lt;=0,F530&lt;=0,D530&lt;=E530),"违规：加仓价必须高于新止损价，金额须大于0",IF(AND(B530&gt;1,COUNTIFS($A$2:$A$1001,A530,$B$2:$B$1001,B530-1,$G$2:$G$1001,"&gt;0")=0),"违规：须先完成上一次加仓",IF(AND(B530&gt;1,E530&lt;SUMIFS($E$2:$E$1001,$A$2:$A$1001,A530,$B$2:$B$1001,B530-1)),"违规：新止损价不得低于上一次",IF(AND(B530&gt;1,F530&gt;SUMIFS($F$2:$F$1001,$A$2:$A$1001,A530,$B$2:$B$1001,B530-1)),"违规：风险预算须逐次不增加",IF(OR(_LockStatus="已锁仓",_LockStatus="解锁信息不完整"),"违规：锁仓期间禁止加仓",IF(G530="","计划可执行：建议股数见N列",IF(OR(G530&lt;=0,G530&lt;&gt;INT(G530),MOD(G530,100)&lt;&gt;0),"违规：实际股数须为100股整数倍",IF(G530&gt;N530,"违规：实际股数超过风险或金字塔上限",IF(AND(B530&gt;1,G530&gt;SUMIFS($G$2:$G$1001,$A$2:$A$1001,A530,$B$2:$B$1001,B530-1)),"违规：加仓股数须逐次不增加",IF(Q530&gt;F530,"违规：止损风险超过本次预算","通过")))))))))))))))</f>
        <v/>
      </c>
    </row>
    <row r="531" customFormat="false" ht="15" hidden="false" customHeight="false" outlineLevel="0" collapsed="false">
      <c r="A531" s="20"/>
      <c r="B531" s="21"/>
      <c r="C531" s="22"/>
      <c r="D531" s="23"/>
      <c r="E531" s="23"/>
      <c r="F531" s="23"/>
      <c r="G531" s="21"/>
      <c r="H531" s="24" t="str">
        <f aca="false">IF(OR(A531="",D531="",G531=""),"",D531*G531)</f>
        <v/>
      </c>
      <c r="I531" s="25" t="str">
        <f aca="false">IF(OR(A531="",B531=""),"",IFERROR(LOOKUP(2,1/(单次交易!$A$2:$A$201=A531),单次交易!$H$2:$H$201),0)+SUMIFS($G$2:$G$1001,$A$2:$A$1001,A531,$B$2:$B$1001,"&lt;"&amp;B531))</f>
        <v/>
      </c>
      <c r="J531" s="24" t="str">
        <f aca="false">IF(OR(A531="",B531=""),"",IFERROR(LOOKUP(2,1/(单次交易!$A$2:$A$201=A531),单次交易!$E$2:$E$201)*LOOKUP(2,1/(单次交易!$A$2:$A$201=A531),单次交易!$H$2:$H$201),0)+SUMIFS($H$2:$H$1001,$A$2:$A$1001,A531,$B$2:$B$1001,"&lt;"&amp;B531))</f>
        <v/>
      </c>
      <c r="K531" s="24" t="str">
        <f aca="false">IF(OR(E531="",I531="",J531=""),"",MAX(E531*I531-J531,0))</f>
        <v/>
      </c>
      <c r="L531" s="25" t="str">
        <f aca="false">IF(OR(D531="",E531="",F531="",D531&lt;=E531),"",FLOOR((F531+K531)/(D531-E531),100))</f>
        <v/>
      </c>
      <c r="M531" s="25" t="str">
        <f aca="false">IF(OR(A531="",B531="",L531=""),"",IF(B531=1,L531,IFERROR(SUMIFS($G$2:$G$1001,$A$2:$A$1001,A531,$B$2:$B$1001,B531-1),0)))</f>
        <v/>
      </c>
      <c r="N531" s="25" t="str">
        <f aca="false">IF(OR(L531="",M531=""),"",MIN(L531,M531))</f>
        <v/>
      </c>
      <c r="O531" s="25" t="str">
        <f aca="false">IF(OR(I531="",G531=""),"",I531+G531)</f>
        <v/>
      </c>
      <c r="P531" s="24" t="str">
        <f aca="false">IF(OR(O531="",O531=0),"",(J531+H531)/O531)</f>
        <v/>
      </c>
      <c r="Q531" s="24" t="str">
        <f aca="false">IF(OR(O531="",E531=""),"",MAX(J531+H531-E531*O531,0))</f>
        <v/>
      </c>
      <c r="R531" s="26" t="str">
        <f aca="false">IF(A531="","",IF(COUNTIF(_TradeIds,A531)=0,"违规：交易编号不存在",IF(OR(B531="",B531&lt;1,B531&gt;5,B531&lt;&gt;INT(B531)),"违规：加仓序号须为1到5的整数",IF(COUNTIFS($A$2:$A$1001,A531,$B$2:$B$1001,B531)&gt;1,"违规：同一交易的加仓序号重复",IF(OR(D531="",E531="",F531=""),"计划不完整：请填写加仓价、新止损价和风险预算",IF(OR(D531&lt;=0,E531&lt;=0,F531&lt;=0,D531&lt;=E531),"违规：加仓价必须高于新止损价，金额须大于0",IF(AND(B531&gt;1,COUNTIFS($A$2:$A$1001,A531,$B$2:$B$1001,B531-1,$G$2:$G$1001,"&gt;0")=0),"违规：须先完成上一次加仓",IF(AND(B531&gt;1,E531&lt;SUMIFS($E$2:$E$1001,$A$2:$A$1001,A531,$B$2:$B$1001,B531-1)),"违规：新止损价不得低于上一次",IF(AND(B531&gt;1,F531&gt;SUMIFS($F$2:$F$1001,$A$2:$A$1001,A531,$B$2:$B$1001,B531-1)),"违规：风险预算须逐次不增加",IF(OR(_LockStatus="已锁仓",_LockStatus="解锁信息不完整"),"违规：锁仓期间禁止加仓",IF(G531="","计划可执行：建议股数见N列",IF(OR(G531&lt;=0,G531&lt;&gt;INT(G531),MOD(G531,100)&lt;&gt;0),"违规：实际股数须为100股整数倍",IF(G531&gt;N531,"违规：实际股数超过风险或金字塔上限",IF(AND(B531&gt;1,G531&gt;SUMIFS($G$2:$G$1001,$A$2:$A$1001,A531,$B$2:$B$1001,B531-1)),"违规：加仓股数须逐次不增加",IF(Q531&gt;F531,"违规：止损风险超过本次预算","通过")))))))))))))))</f>
        <v/>
      </c>
    </row>
    <row r="532" customFormat="false" ht="15" hidden="false" customHeight="false" outlineLevel="0" collapsed="false">
      <c r="A532" s="20"/>
      <c r="B532" s="21"/>
      <c r="C532" s="22"/>
      <c r="D532" s="23"/>
      <c r="E532" s="23"/>
      <c r="F532" s="23"/>
      <c r="G532" s="21"/>
      <c r="H532" s="24" t="str">
        <f aca="false">IF(OR(A532="",D532="",G532=""),"",D532*G532)</f>
        <v/>
      </c>
      <c r="I532" s="25" t="str">
        <f aca="false">IF(OR(A532="",B532=""),"",IFERROR(LOOKUP(2,1/(单次交易!$A$2:$A$201=A532),单次交易!$H$2:$H$201),0)+SUMIFS($G$2:$G$1001,$A$2:$A$1001,A532,$B$2:$B$1001,"&lt;"&amp;B532))</f>
        <v/>
      </c>
      <c r="J532" s="24" t="str">
        <f aca="false">IF(OR(A532="",B532=""),"",IFERROR(LOOKUP(2,1/(单次交易!$A$2:$A$201=A532),单次交易!$E$2:$E$201)*LOOKUP(2,1/(单次交易!$A$2:$A$201=A532),单次交易!$H$2:$H$201),0)+SUMIFS($H$2:$H$1001,$A$2:$A$1001,A532,$B$2:$B$1001,"&lt;"&amp;B532))</f>
        <v/>
      </c>
      <c r="K532" s="24" t="str">
        <f aca="false">IF(OR(E532="",I532="",J532=""),"",MAX(E532*I532-J532,0))</f>
        <v/>
      </c>
      <c r="L532" s="25" t="str">
        <f aca="false">IF(OR(D532="",E532="",F532="",D532&lt;=E532),"",FLOOR((F532+K532)/(D532-E532),100))</f>
        <v/>
      </c>
      <c r="M532" s="25" t="str">
        <f aca="false">IF(OR(A532="",B532="",L532=""),"",IF(B532=1,L532,IFERROR(SUMIFS($G$2:$G$1001,$A$2:$A$1001,A532,$B$2:$B$1001,B532-1),0)))</f>
        <v/>
      </c>
      <c r="N532" s="25" t="str">
        <f aca="false">IF(OR(L532="",M532=""),"",MIN(L532,M532))</f>
        <v/>
      </c>
      <c r="O532" s="25" t="str">
        <f aca="false">IF(OR(I532="",G532=""),"",I532+G532)</f>
        <v/>
      </c>
      <c r="P532" s="24" t="str">
        <f aca="false">IF(OR(O532="",O532=0),"",(J532+H532)/O532)</f>
        <v/>
      </c>
      <c r="Q532" s="24" t="str">
        <f aca="false">IF(OR(O532="",E532=""),"",MAX(J532+H532-E532*O532,0))</f>
        <v/>
      </c>
      <c r="R532" s="26" t="str">
        <f aca="false">IF(A532="","",IF(COUNTIF(_TradeIds,A532)=0,"违规：交易编号不存在",IF(OR(B532="",B532&lt;1,B532&gt;5,B532&lt;&gt;INT(B532)),"违规：加仓序号须为1到5的整数",IF(COUNTIFS($A$2:$A$1001,A532,$B$2:$B$1001,B532)&gt;1,"违规：同一交易的加仓序号重复",IF(OR(D532="",E532="",F532=""),"计划不完整：请填写加仓价、新止损价和风险预算",IF(OR(D532&lt;=0,E532&lt;=0,F532&lt;=0,D532&lt;=E532),"违规：加仓价必须高于新止损价，金额须大于0",IF(AND(B532&gt;1,COUNTIFS($A$2:$A$1001,A532,$B$2:$B$1001,B532-1,$G$2:$G$1001,"&gt;0")=0),"违规：须先完成上一次加仓",IF(AND(B532&gt;1,E532&lt;SUMIFS($E$2:$E$1001,$A$2:$A$1001,A532,$B$2:$B$1001,B532-1)),"违规：新止损价不得低于上一次",IF(AND(B532&gt;1,F532&gt;SUMIFS($F$2:$F$1001,$A$2:$A$1001,A532,$B$2:$B$1001,B532-1)),"违规：风险预算须逐次不增加",IF(OR(_LockStatus="已锁仓",_LockStatus="解锁信息不完整"),"违规：锁仓期间禁止加仓",IF(G532="","计划可执行：建议股数见N列",IF(OR(G532&lt;=0,G532&lt;&gt;INT(G532),MOD(G532,100)&lt;&gt;0),"违规：实际股数须为100股整数倍",IF(G532&gt;N532,"违规：实际股数超过风险或金字塔上限",IF(AND(B532&gt;1,G532&gt;SUMIFS($G$2:$G$1001,$A$2:$A$1001,A532,$B$2:$B$1001,B532-1)),"违规：加仓股数须逐次不增加",IF(Q532&gt;F532,"违规：止损风险超过本次预算","通过")))))))))))))))</f>
        <v/>
      </c>
    </row>
    <row r="533" customFormat="false" ht="15" hidden="false" customHeight="false" outlineLevel="0" collapsed="false">
      <c r="A533" s="20"/>
      <c r="B533" s="21"/>
      <c r="C533" s="22"/>
      <c r="D533" s="23"/>
      <c r="E533" s="23"/>
      <c r="F533" s="23"/>
      <c r="G533" s="21"/>
      <c r="H533" s="24" t="str">
        <f aca="false">IF(OR(A533="",D533="",G533=""),"",D533*G533)</f>
        <v/>
      </c>
      <c r="I533" s="25" t="str">
        <f aca="false">IF(OR(A533="",B533=""),"",IFERROR(LOOKUP(2,1/(单次交易!$A$2:$A$201=A533),单次交易!$H$2:$H$201),0)+SUMIFS($G$2:$G$1001,$A$2:$A$1001,A533,$B$2:$B$1001,"&lt;"&amp;B533))</f>
        <v/>
      </c>
      <c r="J533" s="24" t="str">
        <f aca="false">IF(OR(A533="",B533=""),"",IFERROR(LOOKUP(2,1/(单次交易!$A$2:$A$201=A533),单次交易!$E$2:$E$201)*LOOKUP(2,1/(单次交易!$A$2:$A$201=A533),单次交易!$H$2:$H$201),0)+SUMIFS($H$2:$H$1001,$A$2:$A$1001,A533,$B$2:$B$1001,"&lt;"&amp;B533))</f>
        <v/>
      </c>
      <c r="K533" s="24" t="str">
        <f aca="false">IF(OR(E533="",I533="",J533=""),"",MAX(E533*I533-J533,0))</f>
        <v/>
      </c>
      <c r="L533" s="25" t="str">
        <f aca="false">IF(OR(D533="",E533="",F533="",D533&lt;=E533),"",FLOOR((F533+K533)/(D533-E533),100))</f>
        <v/>
      </c>
      <c r="M533" s="25" t="str">
        <f aca="false">IF(OR(A533="",B533="",L533=""),"",IF(B533=1,L533,IFERROR(SUMIFS($G$2:$G$1001,$A$2:$A$1001,A533,$B$2:$B$1001,B533-1),0)))</f>
        <v/>
      </c>
      <c r="N533" s="25" t="str">
        <f aca="false">IF(OR(L533="",M533=""),"",MIN(L533,M533))</f>
        <v/>
      </c>
      <c r="O533" s="25" t="str">
        <f aca="false">IF(OR(I533="",G533=""),"",I533+G533)</f>
        <v/>
      </c>
      <c r="P533" s="24" t="str">
        <f aca="false">IF(OR(O533="",O533=0),"",(J533+H533)/O533)</f>
        <v/>
      </c>
      <c r="Q533" s="24" t="str">
        <f aca="false">IF(OR(O533="",E533=""),"",MAX(J533+H533-E533*O533,0))</f>
        <v/>
      </c>
      <c r="R533" s="26" t="str">
        <f aca="false">IF(A533="","",IF(COUNTIF(_TradeIds,A533)=0,"违规：交易编号不存在",IF(OR(B533="",B533&lt;1,B533&gt;5,B533&lt;&gt;INT(B533)),"违规：加仓序号须为1到5的整数",IF(COUNTIFS($A$2:$A$1001,A533,$B$2:$B$1001,B533)&gt;1,"违规：同一交易的加仓序号重复",IF(OR(D533="",E533="",F533=""),"计划不完整：请填写加仓价、新止损价和风险预算",IF(OR(D533&lt;=0,E533&lt;=0,F533&lt;=0,D533&lt;=E533),"违规：加仓价必须高于新止损价，金额须大于0",IF(AND(B533&gt;1,COUNTIFS($A$2:$A$1001,A533,$B$2:$B$1001,B533-1,$G$2:$G$1001,"&gt;0")=0),"违规：须先完成上一次加仓",IF(AND(B533&gt;1,E533&lt;SUMIFS($E$2:$E$1001,$A$2:$A$1001,A533,$B$2:$B$1001,B533-1)),"违规：新止损价不得低于上一次",IF(AND(B533&gt;1,F533&gt;SUMIFS($F$2:$F$1001,$A$2:$A$1001,A533,$B$2:$B$1001,B533-1)),"违规：风险预算须逐次不增加",IF(OR(_LockStatus="已锁仓",_LockStatus="解锁信息不完整"),"违规：锁仓期间禁止加仓",IF(G533="","计划可执行：建议股数见N列",IF(OR(G533&lt;=0,G533&lt;&gt;INT(G533),MOD(G533,100)&lt;&gt;0),"违规：实际股数须为100股整数倍",IF(G533&gt;N533,"违规：实际股数超过风险或金字塔上限",IF(AND(B533&gt;1,G533&gt;SUMIFS($G$2:$G$1001,$A$2:$A$1001,A533,$B$2:$B$1001,B533-1)),"违规：加仓股数须逐次不增加",IF(Q533&gt;F533,"违规：止损风险超过本次预算","通过")))))))))))))))</f>
        <v/>
      </c>
    </row>
    <row r="534" customFormat="false" ht="15" hidden="false" customHeight="false" outlineLevel="0" collapsed="false">
      <c r="A534" s="20"/>
      <c r="B534" s="21"/>
      <c r="C534" s="22"/>
      <c r="D534" s="23"/>
      <c r="E534" s="23"/>
      <c r="F534" s="23"/>
      <c r="G534" s="21"/>
      <c r="H534" s="24" t="str">
        <f aca="false">IF(OR(A534="",D534="",G534=""),"",D534*G534)</f>
        <v/>
      </c>
      <c r="I534" s="25" t="str">
        <f aca="false">IF(OR(A534="",B534=""),"",IFERROR(LOOKUP(2,1/(单次交易!$A$2:$A$201=A534),单次交易!$H$2:$H$201),0)+SUMIFS($G$2:$G$1001,$A$2:$A$1001,A534,$B$2:$B$1001,"&lt;"&amp;B534))</f>
        <v/>
      </c>
      <c r="J534" s="24" t="str">
        <f aca="false">IF(OR(A534="",B534=""),"",IFERROR(LOOKUP(2,1/(单次交易!$A$2:$A$201=A534),单次交易!$E$2:$E$201)*LOOKUP(2,1/(单次交易!$A$2:$A$201=A534),单次交易!$H$2:$H$201),0)+SUMIFS($H$2:$H$1001,$A$2:$A$1001,A534,$B$2:$B$1001,"&lt;"&amp;B534))</f>
        <v/>
      </c>
      <c r="K534" s="24" t="str">
        <f aca="false">IF(OR(E534="",I534="",J534=""),"",MAX(E534*I534-J534,0))</f>
        <v/>
      </c>
      <c r="L534" s="25" t="str">
        <f aca="false">IF(OR(D534="",E534="",F534="",D534&lt;=E534),"",FLOOR((F534+K534)/(D534-E534),100))</f>
        <v/>
      </c>
      <c r="M534" s="25" t="str">
        <f aca="false">IF(OR(A534="",B534="",L534=""),"",IF(B534=1,L534,IFERROR(SUMIFS($G$2:$G$1001,$A$2:$A$1001,A534,$B$2:$B$1001,B534-1),0)))</f>
        <v/>
      </c>
      <c r="N534" s="25" t="str">
        <f aca="false">IF(OR(L534="",M534=""),"",MIN(L534,M534))</f>
        <v/>
      </c>
      <c r="O534" s="25" t="str">
        <f aca="false">IF(OR(I534="",G534=""),"",I534+G534)</f>
        <v/>
      </c>
      <c r="P534" s="24" t="str">
        <f aca="false">IF(OR(O534="",O534=0),"",(J534+H534)/O534)</f>
        <v/>
      </c>
      <c r="Q534" s="24" t="str">
        <f aca="false">IF(OR(O534="",E534=""),"",MAX(J534+H534-E534*O534,0))</f>
        <v/>
      </c>
      <c r="R534" s="26" t="str">
        <f aca="false">IF(A534="","",IF(COUNTIF(_TradeIds,A534)=0,"违规：交易编号不存在",IF(OR(B534="",B534&lt;1,B534&gt;5,B534&lt;&gt;INT(B534)),"违规：加仓序号须为1到5的整数",IF(COUNTIFS($A$2:$A$1001,A534,$B$2:$B$1001,B534)&gt;1,"违规：同一交易的加仓序号重复",IF(OR(D534="",E534="",F534=""),"计划不完整：请填写加仓价、新止损价和风险预算",IF(OR(D534&lt;=0,E534&lt;=0,F534&lt;=0,D534&lt;=E534),"违规：加仓价必须高于新止损价，金额须大于0",IF(AND(B534&gt;1,COUNTIFS($A$2:$A$1001,A534,$B$2:$B$1001,B534-1,$G$2:$G$1001,"&gt;0")=0),"违规：须先完成上一次加仓",IF(AND(B534&gt;1,E534&lt;SUMIFS($E$2:$E$1001,$A$2:$A$1001,A534,$B$2:$B$1001,B534-1)),"违规：新止损价不得低于上一次",IF(AND(B534&gt;1,F534&gt;SUMIFS($F$2:$F$1001,$A$2:$A$1001,A534,$B$2:$B$1001,B534-1)),"违规：风险预算须逐次不增加",IF(OR(_LockStatus="已锁仓",_LockStatus="解锁信息不完整"),"违规：锁仓期间禁止加仓",IF(G534="","计划可执行：建议股数见N列",IF(OR(G534&lt;=0,G534&lt;&gt;INT(G534),MOD(G534,100)&lt;&gt;0),"违规：实际股数须为100股整数倍",IF(G534&gt;N534,"违规：实际股数超过风险或金字塔上限",IF(AND(B534&gt;1,G534&gt;SUMIFS($G$2:$G$1001,$A$2:$A$1001,A534,$B$2:$B$1001,B534-1)),"违规：加仓股数须逐次不增加",IF(Q534&gt;F534,"违规：止损风险超过本次预算","通过")))))))))))))))</f>
        <v/>
      </c>
    </row>
    <row r="535" customFormat="false" ht="15" hidden="false" customHeight="false" outlineLevel="0" collapsed="false">
      <c r="A535" s="20"/>
      <c r="B535" s="21"/>
      <c r="C535" s="22"/>
      <c r="D535" s="23"/>
      <c r="E535" s="23"/>
      <c r="F535" s="23"/>
      <c r="G535" s="21"/>
      <c r="H535" s="24" t="str">
        <f aca="false">IF(OR(A535="",D535="",G535=""),"",D535*G535)</f>
        <v/>
      </c>
      <c r="I535" s="25" t="str">
        <f aca="false">IF(OR(A535="",B535=""),"",IFERROR(LOOKUP(2,1/(单次交易!$A$2:$A$201=A535),单次交易!$H$2:$H$201),0)+SUMIFS($G$2:$G$1001,$A$2:$A$1001,A535,$B$2:$B$1001,"&lt;"&amp;B535))</f>
        <v/>
      </c>
      <c r="J535" s="24" t="str">
        <f aca="false">IF(OR(A535="",B535=""),"",IFERROR(LOOKUP(2,1/(单次交易!$A$2:$A$201=A535),单次交易!$E$2:$E$201)*LOOKUP(2,1/(单次交易!$A$2:$A$201=A535),单次交易!$H$2:$H$201),0)+SUMIFS($H$2:$H$1001,$A$2:$A$1001,A535,$B$2:$B$1001,"&lt;"&amp;B535))</f>
        <v/>
      </c>
      <c r="K535" s="24" t="str">
        <f aca="false">IF(OR(E535="",I535="",J535=""),"",MAX(E535*I535-J535,0))</f>
        <v/>
      </c>
      <c r="L535" s="25" t="str">
        <f aca="false">IF(OR(D535="",E535="",F535="",D535&lt;=E535),"",FLOOR((F535+K535)/(D535-E535),100))</f>
        <v/>
      </c>
      <c r="M535" s="25" t="str">
        <f aca="false">IF(OR(A535="",B535="",L535=""),"",IF(B535=1,L535,IFERROR(SUMIFS($G$2:$G$1001,$A$2:$A$1001,A535,$B$2:$B$1001,B535-1),0)))</f>
        <v/>
      </c>
      <c r="N535" s="25" t="str">
        <f aca="false">IF(OR(L535="",M535=""),"",MIN(L535,M535))</f>
        <v/>
      </c>
      <c r="O535" s="25" t="str">
        <f aca="false">IF(OR(I535="",G535=""),"",I535+G535)</f>
        <v/>
      </c>
      <c r="P535" s="24" t="str">
        <f aca="false">IF(OR(O535="",O535=0),"",(J535+H535)/O535)</f>
        <v/>
      </c>
      <c r="Q535" s="24" t="str">
        <f aca="false">IF(OR(O535="",E535=""),"",MAX(J535+H535-E535*O535,0))</f>
        <v/>
      </c>
      <c r="R535" s="26" t="str">
        <f aca="false">IF(A535="","",IF(COUNTIF(_TradeIds,A535)=0,"违规：交易编号不存在",IF(OR(B535="",B535&lt;1,B535&gt;5,B535&lt;&gt;INT(B535)),"违规：加仓序号须为1到5的整数",IF(COUNTIFS($A$2:$A$1001,A535,$B$2:$B$1001,B535)&gt;1,"违规：同一交易的加仓序号重复",IF(OR(D535="",E535="",F535=""),"计划不完整：请填写加仓价、新止损价和风险预算",IF(OR(D535&lt;=0,E535&lt;=0,F535&lt;=0,D535&lt;=E535),"违规：加仓价必须高于新止损价，金额须大于0",IF(AND(B535&gt;1,COUNTIFS($A$2:$A$1001,A535,$B$2:$B$1001,B535-1,$G$2:$G$1001,"&gt;0")=0),"违规：须先完成上一次加仓",IF(AND(B535&gt;1,E535&lt;SUMIFS($E$2:$E$1001,$A$2:$A$1001,A535,$B$2:$B$1001,B535-1)),"违规：新止损价不得低于上一次",IF(AND(B535&gt;1,F535&gt;SUMIFS($F$2:$F$1001,$A$2:$A$1001,A535,$B$2:$B$1001,B535-1)),"违规：风险预算须逐次不增加",IF(OR(_LockStatus="已锁仓",_LockStatus="解锁信息不完整"),"违规：锁仓期间禁止加仓",IF(G535="","计划可执行：建议股数见N列",IF(OR(G535&lt;=0,G535&lt;&gt;INT(G535),MOD(G535,100)&lt;&gt;0),"违规：实际股数须为100股整数倍",IF(G535&gt;N535,"违规：实际股数超过风险或金字塔上限",IF(AND(B535&gt;1,G535&gt;SUMIFS($G$2:$G$1001,$A$2:$A$1001,A535,$B$2:$B$1001,B535-1)),"违规：加仓股数须逐次不增加",IF(Q535&gt;F535,"违规：止损风险超过本次预算","通过")))))))))))))))</f>
        <v/>
      </c>
    </row>
    <row r="536" customFormat="false" ht="15" hidden="false" customHeight="false" outlineLevel="0" collapsed="false">
      <c r="A536" s="20"/>
      <c r="B536" s="21"/>
      <c r="C536" s="22"/>
      <c r="D536" s="23"/>
      <c r="E536" s="23"/>
      <c r="F536" s="23"/>
      <c r="G536" s="21"/>
      <c r="H536" s="24" t="str">
        <f aca="false">IF(OR(A536="",D536="",G536=""),"",D536*G536)</f>
        <v/>
      </c>
      <c r="I536" s="25" t="str">
        <f aca="false">IF(OR(A536="",B536=""),"",IFERROR(LOOKUP(2,1/(单次交易!$A$2:$A$201=A536),单次交易!$H$2:$H$201),0)+SUMIFS($G$2:$G$1001,$A$2:$A$1001,A536,$B$2:$B$1001,"&lt;"&amp;B536))</f>
        <v/>
      </c>
      <c r="J536" s="24" t="str">
        <f aca="false">IF(OR(A536="",B536=""),"",IFERROR(LOOKUP(2,1/(单次交易!$A$2:$A$201=A536),单次交易!$E$2:$E$201)*LOOKUP(2,1/(单次交易!$A$2:$A$201=A536),单次交易!$H$2:$H$201),0)+SUMIFS($H$2:$H$1001,$A$2:$A$1001,A536,$B$2:$B$1001,"&lt;"&amp;B536))</f>
        <v/>
      </c>
      <c r="K536" s="24" t="str">
        <f aca="false">IF(OR(E536="",I536="",J536=""),"",MAX(E536*I536-J536,0))</f>
        <v/>
      </c>
      <c r="L536" s="25" t="str">
        <f aca="false">IF(OR(D536="",E536="",F536="",D536&lt;=E536),"",FLOOR((F536+K536)/(D536-E536),100))</f>
        <v/>
      </c>
      <c r="M536" s="25" t="str">
        <f aca="false">IF(OR(A536="",B536="",L536=""),"",IF(B536=1,L536,IFERROR(SUMIFS($G$2:$G$1001,$A$2:$A$1001,A536,$B$2:$B$1001,B536-1),0)))</f>
        <v/>
      </c>
      <c r="N536" s="25" t="str">
        <f aca="false">IF(OR(L536="",M536=""),"",MIN(L536,M536))</f>
        <v/>
      </c>
      <c r="O536" s="25" t="str">
        <f aca="false">IF(OR(I536="",G536=""),"",I536+G536)</f>
        <v/>
      </c>
      <c r="P536" s="24" t="str">
        <f aca="false">IF(OR(O536="",O536=0),"",(J536+H536)/O536)</f>
        <v/>
      </c>
      <c r="Q536" s="24" t="str">
        <f aca="false">IF(OR(O536="",E536=""),"",MAX(J536+H536-E536*O536,0))</f>
        <v/>
      </c>
      <c r="R536" s="26" t="str">
        <f aca="false">IF(A536="","",IF(COUNTIF(_TradeIds,A536)=0,"违规：交易编号不存在",IF(OR(B536="",B536&lt;1,B536&gt;5,B536&lt;&gt;INT(B536)),"违规：加仓序号须为1到5的整数",IF(COUNTIFS($A$2:$A$1001,A536,$B$2:$B$1001,B536)&gt;1,"违规：同一交易的加仓序号重复",IF(OR(D536="",E536="",F536=""),"计划不完整：请填写加仓价、新止损价和风险预算",IF(OR(D536&lt;=0,E536&lt;=0,F536&lt;=0,D536&lt;=E536),"违规：加仓价必须高于新止损价，金额须大于0",IF(AND(B536&gt;1,COUNTIFS($A$2:$A$1001,A536,$B$2:$B$1001,B536-1,$G$2:$G$1001,"&gt;0")=0),"违规：须先完成上一次加仓",IF(AND(B536&gt;1,E536&lt;SUMIFS($E$2:$E$1001,$A$2:$A$1001,A536,$B$2:$B$1001,B536-1)),"违规：新止损价不得低于上一次",IF(AND(B536&gt;1,F536&gt;SUMIFS($F$2:$F$1001,$A$2:$A$1001,A536,$B$2:$B$1001,B536-1)),"违规：风险预算须逐次不增加",IF(OR(_LockStatus="已锁仓",_LockStatus="解锁信息不完整"),"违规：锁仓期间禁止加仓",IF(G536="","计划可执行：建议股数见N列",IF(OR(G536&lt;=0,G536&lt;&gt;INT(G536),MOD(G536,100)&lt;&gt;0),"违规：实际股数须为100股整数倍",IF(G536&gt;N536,"违规：实际股数超过风险或金字塔上限",IF(AND(B536&gt;1,G536&gt;SUMIFS($G$2:$G$1001,$A$2:$A$1001,A536,$B$2:$B$1001,B536-1)),"违规：加仓股数须逐次不增加",IF(Q536&gt;F536,"违规：止损风险超过本次预算","通过")))))))))))))))</f>
        <v/>
      </c>
    </row>
    <row r="537" customFormat="false" ht="15" hidden="false" customHeight="false" outlineLevel="0" collapsed="false">
      <c r="A537" s="20"/>
      <c r="B537" s="21"/>
      <c r="C537" s="22"/>
      <c r="D537" s="23"/>
      <c r="E537" s="23"/>
      <c r="F537" s="23"/>
      <c r="G537" s="21"/>
      <c r="H537" s="24" t="str">
        <f aca="false">IF(OR(A537="",D537="",G537=""),"",D537*G537)</f>
        <v/>
      </c>
      <c r="I537" s="25" t="str">
        <f aca="false">IF(OR(A537="",B537=""),"",IFERROR(LOOKUP(2,1/(单次交易!$A$2:$A$201=A537),单次交易!$H$2:$H$201),0)+SUMIFS($G$2:$G$1001,$A$2:$A$1001,A537,$B$2:$B$1001,"&lt;"&amp;B537))</f>
        <v/>
      </c>
      <c r="J537" s="24" t="str">
        <f aca="false">IF(OR(A537="",B537=""),"",IFERROR(LOOKUP(2,1/(单次交易!$A$2:$A$201=A537),单次交易!$E$2:$E$201)*LOOKUP(2,1/(单次交易!$A$2:$A$201=A537),单次交易!$H$2:$H$201),0)+SUMIFS($H$2:$H$1001,$A$2:$A$1001,A537,$B$2:$B$1001,"&lt;"&amp;B537))</f>
        <v/>
      </c>
      <c r="K537" s="24" t="str">
        <f aca="false">IF(OR(E537="",I537="",J537=""),"",MAX(E537*I537-J537,0))</f>
        <v/>
      </c>
      <c r="L537" s="25" t="str">
        <f aca="false">IF(OR(D537="",E537="",F537="",D537&lt;=E537),"",FLOOR((F537+K537)/(D537-E537),100))</f>
        <v/>
      </c>
      <c r="M537" s="25" t="str">
        <f aca="false">IF(OR(A537="",B537="",L537=""),"",IF(B537=1,L537,IFERROR(SUMIFS($G$2:$G$1001,$A$2:$A$1001,A537,$B$2:$B$1001,B537-1),0)))</f>
        <v/>
      </c>
      <c r="N537" s="25" t="str">
        <f aca="false">IF(OR(L537="",M537=""),"",MIN(L537,M537))</f>
        <v/>
      </c>
      <c r="O537" s="25" t="str">
        <f aca="false">IF(OR(I537="",G537=""),"",I537+G537)</f>
        <v/>
      </c>
      <c r="P537" s="24" t="str">
        <f aca="false">IF(OR(O537="",O537=0),"",(J537+H537)/O537)</f>
        <v/>
      </c>
      <c r="Q537" s="24" t="str">
        <f aca="false">IF(OR(O537="",E537=""),"",MAX(J537+H537-E537*O537,0))</f>
        <v/>
      </c>
      <c r="R537" s="26" t="str">
        <f aca="false">IF(A537="","",IF(COUNTIF(_TradeIds,A537)=0,"违规：交易编号不存在",IF(OR(B537="",B537&lt;1,B537&gt;5,B537&lt;&gt;INT(B537)),"违规：加仓序号须为1到5的整数",IF(COUNTIFS($A$2:$A$1001,A537,$B$2:$B$1001,B537)&gt;1,"违规：同一交易的加仓序号重复",IF(OR(D537="",E537="",F537=""),"计划不完整：请填写加仓价、新止损价和风险预算",IF(OR(D537&lt;=0,E537&lt;=0,F537&lt;=0,D537&lt;=E537),"违规：加仓价必须高于新止损价，金额须大于0",IF(AND(B537&gt;1,COUNTIFS($A$2:$A$1001,A537,$B$2:$B$1001,B537-1,$G$2:$G$1001,"&gt;0")=0),"违规：须先完成上一次加仓",IF(AND(B537&gt;1,E537&lt;SUMIFS($E$2:$E$1001,$A$2:$A$1001,A537,$B$2:$B$1001,B537-1)),"违规：新止损价不得低于上一次",IF(AND(B537&gt;1,F537&gt;SUMIFS($F$2:$F$1001,$A$2:$A$1001,A537,$B$2:$B$1001,B537-1)),"违规：风险预算须逐次不增加",IF(OR(_LockStatus="已锁仓",_LockStatus="解锁信息不完整"),"违规：锁仓期间禁止加仓",IF(G537="","计划可执行：建议股数见N列",IF(OR(G537&lt;=0,G537&lt;&gt;INT(G537),MOD(G537,100)&lt;&gt;0),"违规：实际股数须为100股整数倍",IF(G537&gt;N537,"违规：实际股数超过风险或金字塔上限",IF(AND(B537&gt;1,G537&gt;SUMIFS($G$2:$G$1001,$A$2:$A$1001,A537,$B$2:$B$1001,B537-1)),"违规：加仓股数须逐次不增加",IF(Q537&gt;F537,"违规：止损风险超过本次预算","通过")))))))))))))))</f>
        <v/>
      </c>
    </row>
    <row r="538" customFormat="false" ht="15" hidden="false" customHeight="false" outlineLevel="0" collapsed="false">
      <c r="A538" s="20"/>
      <c r="B538" s="21"/>
      <c r="C538" s="22"/>
      <c r="D538" s="23"/>
      <c r="E538" s="23"/>
      <c r="F538" s="23"/>
      <c r="G538" s="21"/>
      <c r="H538" s="24" t="str">
        <f aca="false">IF(OR(A538="",D538="",G538=""),"",D538*G538)</f>
        <v/>
      </c>
      <c r="I538" s="25" t="str">
        <f aca="false">IF(OR(A538="",B538=""),"",IFERROR(LOOKUP(2,1/(单次交易!$A$2:$A$201=A538),单次交易!$H$2:$H$201),0)+SUMIFS($G$2:$G$1001,$A$2:$A$1001,A538,$B$2:$B$1001,"&lt;"&amp;B538))</f>
        <v/>
      </c>
      <c r="J538" s="24" t="str">
        <f aca="false">IF(OR(A538="",B538=""),"",IFERROR(LOOKUP(2,1/(单次交易!$A$2:$A$201=A538),单次交易!$E$2:$E$201)*LOOKUP(2,1/(单次交易!$A$2:$A$201=A538),单次交易!$H$2:$H$201),0)+SUMIFS($H$2:$H$1001,$A$2:$A$1001,A538,$B$2:$B$1001,"&lt;"&amp;B538))</f>
        <v/>
      </c>
      <c r="K538" s="24" t="str">
        <f aca="false">IF(OR(E538="",I538="",J538=""),"",MAX(E538*I538-J538,0))</f>
        <v/>
      </c>
      <c r="L538" s="25" t="str">
        <f aca="false">IF(OR(D538="",E538="",F538="",D538&lt;=E538),"",FLOOR((F538+K538)/(D538-E538),100))</f>
        <v/>
      </c>
      <c r="M538" s="25" t="str">
        <f aca="false">IF(OR(A538="",B538="",L538=""),"",IF(B538=1,L538,IFERROR(SUMIFS($G$2:$G$1001,$A$2:$A$1001,A538,$B$2:$B$1001,B538-1),0)))</f>
        <v/>
      </c>
      <c r="N538" s="25" t="str">
        <f aca="false">IF(OR(L538="",M538=""),"",MIN(L538,M538))</f>
        <v/>
      </c>
      <c r="O538" s="25" t="str">
        <f aca="false">IF(OR(I538="",G538=""),"",I538+G538)</f>
        <v/>
      </c>
      <c r="P538" s="24" t="str">
        <f aca="false">IF(OR(O538="",O538=0),"",(J538+H538)/O538)</f>
        <v/>
      </c>
      <c r="Q538" s="24" t="str">
        <f aca="false">IF(OR(O538="",E538=""),"",MAX(J538+H538-E538*O538,0))</f>
        <v/>
      </c>
      <c r="R538" s="26" t="str">
        <f aca="false">IF(A538="","",IF(COUNTIF(_TradeIds,A538)=0,"违规：交易编号不存在",IF(OR(B538="",B538&lt;1,B538&gt;5,B538&lt;&gt;INT(B538)),"违规：加仓序号须为1到5的整数",IF(COUNTIFS($A$2:$A$1001,A538,$B$2:$B$1001,B538)&gt;1,"违规：同一交易的加仓序号重复",IF(OR(D538="",E538="",F538=""),"计划不完整：请填写加仓价、新止损价和风险预算",IF(OR(D538&lt;=0,E538&lt;=0,F538&lt;=0,D538&lt;=E538),"违规：加仓价必须高于新止损价，金额须大于0",IF(AND(B538&gt;1,COUNTIFS($A$2:$A$1001,A538,$B$2:$B$1001,B538-1,$G$2:$G$1001,"&gt;0")=0),"违规：须先完成上一次加仓",IF(AND(B538&gt;1,E538&lt;SUMIFS($E$2:$E$1001,$A$2:$A$1001,A538,$B$2:$B$1001,B538-1)),"违规：新止损价不得低于上一次",IF(AND(B538&gt;1,F538&gt;SUMIFS($F$2:$F$1001,$A$2:$A$1001,A538,$B$2:$B$1001,B538-1)),"违规：风险预算须逐次不增加",IF(OR(_LockStatus="已锁仓",_LockStatus="解锁信息不完整"),"违规：锁仓期间禁止加仓",IF(G538="","计划可执行：建议股数见N列",IF(OR(G538&lt;=0,G538&lt;&gt;INT(G538),MOD(G538,100)&lt;&gt;0),"违规：实际股数须为100股整数倍",IF(G538&gt;N538,"违规：实际股数超过风险或金字塔上限",IF(AND(B538&gt;1,G538&gt;SUMIFS($G$2:$G$1001,$A$2:$A$1001,A538,$B$2:$B$1001,B538-1)),"违规：加仓股数须逐次不增加",IF(Q538&gt;F538,"违规：止损风险超过本次预算","通过")))))))))))))))</f>
        <v/>
      </c>
    </row>
    <row r="539" customFormat="false" ht="15" hidden="false" customHeight="false" outlineLevel="0" collapsed="false">
      <c r="A539" s="20"/>
      <c r="B539" s="21"/>
      <c r="C539" s="22"/>
      <c r="D539" s="23"/>
      <c r="E539" s="23"/>
      <c r="F539" s="23"/>
      <c r="G539" s="21"/>
      <c r="H539" s="24" t="str">
        <f aca="false">IF(OR(A539="",D539="",G539=""),"",D539*G539)</f>
        <v/>
      </c>
      <c r="I539" s="25" t="str">
        <f aca="false">IF(OR(A539="",B539=""),"",IFERROR(LOOKUP(2,1/(单次交易!$A$2:$A$201=A539),单次交易!$H$2:$H$201),0)+SUMIFS($G$2:$G$1001,$A$2:$A$1001,A539,$B$2:$B$1001,"&lt;"&amp;B539))</f>
        <v/>
      </c>
      <c r="J539" s="24" t="str">
        <f aca="false">IF(OR(A539="",B539=""),"",IFERROR(LOOKUP(2,1/(单次交易!$A$2:$A$201=A539),单次交易!$E$2:$E$201)*LOOKUP(2,1/(单次交易!$A$2:$A$201=A539),单次交易!$H$2:$H$201),0)+SUMIFS($H$2:$H$1001,$A$2:$A$1001,A539,$B$2:$B$1001,"&lt;"&amp;B539))</f>
        <v/>
      </c>
      <c r="K539" s="24" t="str">
        <f aca="false">IF(OR(E539="",I539="",J539=""),"",MAX(E539*I539-J539,0))</f>
        <v/>
      </c>
      <c r="L539" s="25" t="str">
        <f aca="false">IF(OR(D539="",E539="",F539="",D539&lt;=E539),"",FLOOR((F539+K539)/(D539-E539),100))</f>
        <v/>
      </c>
      <c r="M539" s="25" t="str">
        <f aca="false">IF(OR(A539="",B539="",L539=""),"",IF(B539=1,L539,IFERROR(SUMIFS($G$2:$G$1001,$A$2:$A$1001,A539,$B$2:$B$1001,B539-1),0)))</f>
        <v/>
      </c>
      <c r="N539" s="25" t="str">
        <f aca="false">IF(OR(L539="",M539=""),"",MIN(L539,M539))</f>
        <v/>
      </c>
      <c r="O539" s="25" t="str">
        <f aca="false">IF(OR(I539="",G539=""),"",I539+G539)</f>
        <v/>
      </c>
      <c r="P539" s="24" t="str">
        <f aca="false">IF(OR(O539="",O539=0),"",(J539+H539)/O539)</f>
        <v/>
      </c>
      <c r="Q539" s="24" t="str">
        <f aca="false">IF(OR(O539="",E539=""),"",MAX(J539+H539-E539*O539,0))</f>
        <v/>
      </c>
      <c r="R539" s="26" t="str">
        <f aca="false">IF(A539="","",IF(COUNTIF(_TradeIds,A539)=0,"违规：交易编号不存在",IF(OR(B539="",B539&lt;1,B539&gt;5,B539&lt;&gt;INT(B539)),"违规：加仓序号须为1到5的整数",IF(COUNTIFS($A$2:$A$1001,A539,$B$2:$B$1001,B539)&gt;1,"违规：同一交易的加仓序号重复",IF(OR(D539="",E539="",F539=""),"计划不完整：请填写加仓价、新止损价和风险预算",IF(OR(D539&lt;=0,E539&lt;=0,F539&lt;=0,D539&lt;=E539),"违规：加仓价必须高于新止损价，金额须大于0",IF(AND(B539&gt;1,COUNTIFS($A$2:$A$1001,A539,$B$2:$B$1001,B539-1,$G$2:$G$1001,"&gt;0")=0),"违规：须先完成上一次加仓",IF(AND(B539&gt;1,E539&lt;SUMIFS($E$2:$E$1001,$A$2:$A$1001,A539,$B$2:$B$1001,B539-1)),"违规：新止损价不得低于上一次",IF(AND(B539&gt;1,F539&gt;SUMIFS($F$2:$F$1001,$A$2:$A$1001,A539,$B$2:$B$1001,B539-1)),"违规：风险预算须逐次不增加",IF(OR(_LockStatus="已锁仓",_LockStatus="解锁信息不完整"),"违规：锁仓期间禁止加仓",IF(G539="","计划可执行：建议股数见N列",IF(OR(G539&lt;=0,G539&lt;&gt;INT(G539),MOD(G539,100)&lt;&gt;0),"违规：实际股数须为100股整数倍",IF(G539&gt;N539,"违规：实际股数超过风险或金字塔上限",IF(AND(B539&gt;1,G539&gt;SUMIFS($G$2:$G$1001,$A$2:$A$1001,A539,$B$2:$B$1001,B539-1)),"违规：加仓股数须逐次不增加",IF(Q539&gt;F539,"违规：止损风险超过本次预算","通过")))))))))))))))</f>
        <v/>
      </c>
    </row>
    <row r="540" customFormat="false" ht="15" hidden="false" customHeight="false" outlineLevel="0" collapsed="false">
      <c r="A540" s="20"/>
      <c r="B540" s="21"/>
      <c r="C540" s="22"/>
      <c r="D540" s="23"/>
      <c r="E540" s="23"/>
      <c r="F540" s="23"/>
      <c r="G540" s="21"/>
      <c r="H540" s="24" t="str">
        <f aca="false">IF(OR(A540="",D540="",G540=""),"",D540*G540)</f>
        <v/>
      </c>
      <c r="I540" s="25" t="str">
        <f aca="false">IF(OR(A540="",B540=""),"",IFERROR(LOOKUP(2,1/(单次交易!$A$2:$A$201=A540),单次交易!$H$2:$H$201),0)+SUMIFS($G$2:$G$1001,$A$2:$A$1001,A540,$B$2:$B$1001,"&lt;"&amp;B540))</f>
        <v/>
      </c>
      <c r="J540" s="24" t="str">
        <f aca="false">IF(OR(A540="",B540=""),"",IFERROR(LOOKUP(2,1/(单次交易!$A$2:$A$201=A540),单次交易!$E$2:$E$201)*LOOKUP(2,1/(单次交易!$A$2:$A$201=A540),单次交易!$H$2:$H$201),0)+SUMIFS($H$2:$H$1001,$A$2:$A$1001,A540,$B$2:$B$1001,"&lt;"&amp;B540))</f>
        <v/>
      </c>
      <c r="K540" s="24" t="str">
        <f aca="false">IF(OR(E540="",I540="",J540=""),"",MAX(E540*I540-J540,0))</f>
        <v/>
      </c>
      <c r="L540" s="25" t="str">
        <f aca="false">IF(OR(D540="",E540="",F540="",D540&lt;=E540),"",FLOOR((F540+K540)/(D540-E540),100))</f>
        <v/>
      </c>
      <c r="M540" s="25" t="str">
        <f aca="false">IF(OR(A540="",B540="",L540=""),"",IF(B540=1,L540,IFERROR(SUMIFS($G$2:$G$1001,$A$2:$A$1001,A540,$B$2:$B$1001,B540-1),0)))</f>
        <v/>
      </c>
      <c r="N540" s="25" t="str">
        <f aca="false">IF(OR(L540="",M540=""),"",MIN(L540,M540))</f>
        <v/>
      </c>
      <c r="O540" s="25" t="str">
        <f aca="false">IF(OR(I540="",G540=""),"",I540+G540)</f>
        <v/>
      </c>
      <c r="P540" s="24" t="str">
        <f aca="false">IF(OR(O540="",O540=0),"",(J540+H540)/O540)</f>
        <v/>
      </c>
      <c r="Q540" s="24" t="str">
        <f aca="false">IF(OR(O540="",E540=""),"",MAX(J540+H540-E540*O540,0))</f>
        <v/>
      </c>
      <c r="R540" s="26" t="str">
        <f aca="false">IF(A540="","",IF(COUNTIF(_TradeIds,A540)=0,"违规：交易编号不存在",IF(OR(B540="",B540&lt;1,B540&gt;5,B540&lt;&gt;INT(B540)),"违规：加仓序号须为1到5的整数",IF(COUNTIFS($A$2:$A$1001,A540,$B$2:$B$1001,B540)&gt;1,"违规：同一交易的加仓序号重复",IF(OR(D540="",E540="",F540=""),"计划不完整：请填写加仓价、新止损价和风险预算",IF(OR(D540&lt;=0,E540&lt;=0,F540&lt;=0,D540&lt;=E540),"违规：加仓价必须高于新止损价，金额须大于0",IF(AND(B540&gt;1,COUNTIFS($A$2:$A$1001,A540,$B$2:$B$1001,B540-1,$G$2:$G$1001,"&gt;0")=0),"违规：须先完成上一次加仓",IF(AND(B540&gt;1,E540&lt;SUMIFS($E$2:$E$1001,$A$2:$A$1001,A540,$B$2:$B$1001,B540-1)),"违规：新止损价不得低于上一次",IF(AND(B540&gt;1,F540&gt;SUMIFS($F$2:$F$1001,$A$2:$A$1001,A540,$B$2:$B$1001,B540-1)),"违规：风险预算须逐次不增加",IF(OR(_LockStatus="已锁仓",_LockStatus="解锁信息不完整"),"违规：锁仓期间禁止加仓",IF(G540="","计划可执行：建议股数见N列",IF(OR(G540&lt;=0,G540&lt;&gt;INT(G540),MOD(G540,100)&lt;&gt;0),"违规：实际股数须为100股整数倍",IF(G540&gt;N540,"违规：实际股数超过风险或金字塔上限",IF(AND(B540&gt;1,G540&gt;SUMIFS($G$2:$G$1001,$A$2:$A$1001,A540,$B$2:$B$1001,B540-1)),"违规：加仓股数须逐次不增加",IF(Q540&gt;F540,"违规：止损风险超过本次预算","通过")))))))))))))))</f>
        <v/>
      </c>
    </row>
    <row r="541" customFormat="false" ht="15" hidden="false" customHeight="false" outlineLevel="0" collapsed="false">
      <c r="A541" s="20"/>
      <c r="B541" s="21"/>
      <c r="C541" s="22"/>
      <c r="D541" s="23"/>
      <c r="E541" s="23"/>
      <c r="F541" s="23"/>
      <c r="G541" s="21"/>
      <c r="H541" s="24" t="str">
        <f aca="false">IF(OR(A541="",D541="",G541=""),"",D541*G541)</f>
        <v/>
      </c>
      <c r="I541" s="25" t="str">
        <f aca="false">IF(OR(A541="",B541=""),"",IFERROR(LOOKUP(2,1/(单次交易!$A$2:$A$201=A541),单次交易!$H$2:$H$201),0)+SUMIFS($G$2:$G$1001,$A$2:$A$1001,A541,$B$2:$B$1001,"&lt;"&amp;B541))</f>
        <v/>
      </c>
      <c r="J541" s="24" t="str">
        <f aca="false">IF(OR(A541="",B541=""),"",IFERROR(LOOKUP(2,1/(单次交易!$A$2:$A$201=A541),单次交易!$E$2:$E$201)*LOOKUP(2,1/(单次交易!$A$2:$A$201=A541),单次交易!$H$2:$H$201),0)+SUMIFS($H$2:$H$1001,$A$2:$A$1001,A541,$B$2:$B$1001,"&lt;"&amp;B541))</f>
        <v/>
      </c>
      <c r="K541" s="24" t="str">
        <f aca="false">IF(OR(E541="",I541="",J541=""),"",MAX(E541*I541-J541,0))</f>
        <v/>
      </c>
      <c r="L541" s="25" t="str">
        <f aca="false">IF(OR(D541="",E541="",F541="",D541&lt;=E541),"",FLOOR((F541+K541)/(D541-E541),100))</f>
        <v/>
      </c>
      <c r="M541" s="25" t="str">
        <f aca="false">IF(OR(A541="",B541="",L541=""),"",IF(B541=1,L541,IFERROR(SUMIFS($G$2:$G$1001,$A$2:$A$1001,A541,$B$2:$B$1001,B541-1),0)))</f>
        <v/>
      </c>
      <c r="N541" s="25" t="str">
        <f aca="false">IF(OR(L541="",M541=""),"",MIN(L541,M541))</f>
        <v/>
      </c>
      <c r="O541" s="25" t="str">
        <f aca="false">IF(OR(I541="",G541=""),"",I541+G541)</f>
        <v/>
      </c>
      <c r="P541" s="24" t="str">
        <f aca="false">IF(OR(O541="",O541=0),"",(J541+H541)/O541)</f>
        <v/>
      </c>
      <c r="Q541" s="24" t="str">
        <f aca="false">IF(OR(O541="",E541=""),"",MAX(J541+H541-E541*O541,0))</f>
        <v/>
      </c>
      <c r="R541" s="26" t="str">
        <f aca="false">IF(A541="","",IF(COUNTIF(_TradeIds,A541)=0,"违规：交易编号不存在",IF(OR(B541="",B541&lt;1,B541&gt;5,B541&lt;&gt;INT(B541)),"违规：加仓序号须为1到5的整数",IF(COUNTIFS($A$2:$A$1001,A541,$B$2:$B$1001,B541)&gt;1,"违规：同一交易的加仓序号重复",IF(OR(D541="",E541="",F541=""),"计划不完整：请填写加仓价、新止损价和风险预算",IF(OR(D541&lt;=0,E541&lt;=0,F541&lt;=0,D541&lt;=E541),"违规：加仓价必须高于新止损价，金额须大于0",IF(AND(B541&gt;1,COUNTIFS($A$2:$A$1001,A541,$B$2:$B$1001,B541-1,$G$2:$G$1001,"&gt;0")=0),"违规：须先完成上一次加仓",IF(AND(B541&gt;1,E541&lt;SUMIFS($E$2:$E$1001,$A$2:$A$1001,A541,$B$2:$B$1001,B541-1)),"违规：新止损价不得低于上一次",IF(AND(B541&gt;1,F541&gt;SUMIFS($F$2:$F$1001,$A$2:$A$1001,A541,$B$2:$B$1001,B541-1)),"违规：风险预算须逐次不增加",IF(OR(_LockStatus="已锁仓",_LockStatus="解锁信息不完整"),"违规：锁仓期间禁止加仓",IF(G541="","计划可执行：建议股数见N列",IF(OR(G541&lt;=0,G541&lt;&gt;INT(G541),MOD(G541,100)&lt;&gt;0),"违规：实际股数须为100股整数倍",IF(G541&gt;N541,"违规：实际股数超过风险或金字塔上限",IF(AND(B541&gt;1,G541&gt;SUMIFS($G$2:$G$1001,$A$2:$A$1001,A541,$B$2:$B$1001,B541-1)),"违规：加仓股数须逐次不增加",IF(Q541&gt;F541,"违规：止损风险超过本次预算","通过")))))))))))))))</f>
        <v/>
      </c>
    </row>
    <row r="542" customFormat="false" ht="15" hidden="false" customHeight="false" outlineLevel="0" collapsed="false">
      <c r="A542" s="20"/>
      <c r="B542" s="21"/>
      <c r="C542" s="22"/>
      <c r="D542" s="23"/>
      <c r="E542" s="23"/>
      <c r="F542" s="23"/>
      <c r="G542" s="21"/>
      <c r="H542" s="24" t="str">
        <f aca="false">IF(OR(A542="",D542="",G542=""),"",D542*G542)</f>
        <v/>
      </c>
      <c r="I542" s="25" t="str">
        <f aca="false">IF(OR(A542="",B542=""),"",IFERROR(LOOKUP(2,1/(单次交易!$A$2:$A$201=A542),单次交易!$H$2:$H$201),0)+SUMIFS($G$2:$G$1001,$A$2:$A$1001,A542,$B$2:$B$1001,"&lt;"&amp;B542))</f>
        <v/>
      </c>
      <c r="J542" s="24" t="str">
        <f aca="false">IF(OR(A542="",B542=""),"",IFERROR(LOOKUP(2,1/(单次交易!$A$2:$A$201=A542),单次交易!$E$2:$E$201)*LOOKUP(2,1/(单次交易!$A$2:$A$201=A542),单次交易!$H$2:$H$201),0)+SUMIFS($H$2:$H$1001,$A$2:$A$1001,A542,$B$2:$B$1001,"&lt;"&amp;B542))</f>
        <v/>
      </c>
      <c r="K542" s="24" t="str">
        <f aca="false">IF(OR(E542="",I542="",J542=""),"",MAX(E542*I542-J542,0))</f>
        <v/>
      </c>
      <c r="L542" s="25" t="str">
        <f aca="false">IF(OR(D542="",E542="",F542="",D542&lt;=E542),"",FLOOR((F542+K542)/(D542-E542),100))</f>
        <v/>
      </c>
      <c r="M542" s="25" t="str">
        <f aca="false">IF(OR(A542="",B542="",L542=""),"",IF(B542=1,L542,IFERROR(SUMIFS($G$2:$G$1001,$A$2:$A$1001,A542,$B$2:$B$1001,B542-1),0)))</f>
        <v/>
      </c>
      <c r="N542" s="25" t="str">
        <f aca="false">IF(OR(L542="",M542=""),"",MIN(L542,M542))</f>
        <v/>
      </c>
      <c r="O542" s="25" t="str">
        <f aca="false">IF(OR(I542="",G542=""),"",I542+G542)</f>
        <v/>
      </c>
      <c r="P542" s="24" t="str">
        <f aca="false">IF(OR(O542="",O542=0),"",(J542+H542)/O542)</f>
        <v/>
      </c>
      <c r="Q542" s="24" t="str">
        <f aca="false">IF(OR(O542="",E542=""),"",MAX(J542+H542-E542*O542,0))</f>
        <v/>
      </c>
      <c r="R542" s="26" t="str">
        <f aca="false">IF(A542="","",IF(COUNTIF(_TradeIds,A542)=0,"违规：交易编号不存在",IF(OR(B542="",B542&lt;1,B542&gt;5,B542&lt;&gt;INT(B542)),"违规：加仓序号须为1到5的整数",IF(COUNTIFS($A$2:$A$1001,A542,$B$2:$B$1001,B542)&gt;1,"违规：同一交易的加仓序号重复",IF(OR(D542="",E542="",F542=""),"计划不完整：请填写加仓价、新止损价和风险预算",IF(OR(D542&lt;=0,E542&lt;=0,F542&lt;=0,D542&lt;=E542),"违规：加仓价必须高于新止损价，金额须大于0",IF(AND(B542&gt;1,COUNTIFS($A$2:$A$1001,A542,$B$2:$B$1001,B542-1,$G$2:$G$1001,"&gt;0")=0),"违规：须先完成上一次加仓",IF(AND(B542&gt;1,E542&lt;SUMIFS($E$2:$E$1001,$A$2:$A$1001,A542,$B$2:$B$1001,B542-1)),"违规：新止损价不得低于上一次",IF(AND(B542&gt;1,F542&gt;SUMIFS($F$2:$F$1001,$A$2:$A$1001,A542,$B$2:$B$1001,B542-1)),"违规：风险预算须逐次不增加",IF(OR(_LockStatus="已锁仓",_LockStatus="解锁信息不完整"),"违规：锁仓期间禁止加仓",IF(G542="","计划可执行：建议股数见N列",IF(OR(G542&lt;=0,G542&lt;&gt;INT(G542),MOD(G542,100)&lt;&gt;0),"违规：实际股数须为100股整数倍",IF(G542&gt;N542,"违规：实际股数超过风险或金字塔上限",IF(AND(B542&gt;1,G542&gt;SUMIFS($G$2:$G$1001,$A$2:$A$1001,A542,$B$2:$B$1001,B542-1)),"违规：加仓股数须逐次不增加",IF(Q542&gt;F542,"违规：止损风险超过本次预算","通过")))))))))))))))</f>
        <v/>
      </c>
    </row>
    <row r="543" customFormat="false" ht="15" hidden="false" customHeight="false" outlineLevel="0" collapsed="false">
      <c r="A543" s="20"/>
      <c r="B543" s="21"/>
      <c r="C543" s="22"/>
      <c r="D543" s="23"/>
      <c r="E543" s="23"/>
      <c r="F543" s="23"/>
      <c r="G543" s="21"/>
      <c r="H543" s="24" t="str">
        <f aca="false">IF(OR(A543="",D543="",G543=""),"",D543*G543)</f>
        <v/>
      </c>
      <c r="I543" s="25" t="str">
        <f aca="false">IF(OR(A543="",B543=""),"",IFERROR(LOOKUP(2,1/(单次交易!$A$2:$A$201=A543),单次交易!$H$2:$H$201),0)+SUMIFS($G$2:$G$1001,$A$2:$A$1001,A543,$B$2:$B$1001,"&lt;"&amp;B543))</f>
        <v/>
      </c>
      <c r="J543" s="24" t="str">
        <f aca="false">IF(OR(A543="",B543=""),"",IFERROR(LOOKUP(2,1/(单次交易!$A$2:$A$201=A543),单次交易!$E$2:$E$201)*LOOKUP(2,1/(单次交易!$A$2:$A$201=A543),单次交易!$H$2:$H$201),0)+SUMIFS($H$2:$H$1001,$A$2:$A$1001,A543,$B$2:$B$1001,"&lt;"&amp;B543))</f>
        <v/>
      </c>
      <c r="K543" s="24" t="str">
        <f aca="false">IF(OR(E543="",I543="",J543=""),"",MAX(E543*I543-J543,0))</f>
        <v/>
      </c>
      <c r="L543" s="25" t="str">
        <f aca="false">IF(OR(D543="",E543="",F543="",D543&lt;=E543),"",FLOOR((F543+K543)/(D543-E543),100))</f>
        <v/>
      </c>
      <c r="M543" s="25" t="str">
        <f aca="false">IF(OR(A543="",B543="",L543=""),"",IF(B543=1,L543,IFERROR(SUMIFS($G$2:$G$1001,$A$2:$A$1001,A543,$B$2:$B$1001,B543-1),0)))</f>
        <v/>
      </c>
      <c r="N543" s="25" t="str">
        <f aca="false">IF(OR(L543="",M543=""),"",MIN(L543,M543))</f>
        <v/>
      </c>
      <c r="O543" s="25" t="str">
        <f aca="false">IF(OR(I543="",G543=""),"",I543+G543)</f>
        <v/>
      </c>
      <c r="P543" s="24" t="str">
        <f aca="false">IF(OR(O543="",O543=0),"",(J543+H543)/O543)</f>
        <v/>
      </c>
      <c r="Q543" s="24" t="str">
        <f aca="false">IF(OR(O543="",E543=""),"",MAX(J543+H543-E543*O543,0))</f>
        <v/>
      </c>
      <c r="R543" s="26" t="str">
        <f aca="false">IF(A543="","",IF(COUNTIF(_TradeIds,A543)=0,"违规：交易编号不存在",IF(OR(B543="",B543&lt;1,B543&gt;5,B543&lt;&gt;INT(B543)),"违规：加仓序号须为1到5的整数",IF(COUNTIFS($A$2:$A$1001,A543,$B$2:$B$1001,B543)&gt;1,"违规：同一交易的加仓序号重复",IF(OR(D543="",E543="",F543=""),"计划不完整：请填写加仓价、新止损价和风险预算",IF(OR(D543&lt;=0,E543&lt;=0,F543&lt;=0,D543&lt;=E543),"违规：加仓价必须高于新止损价，金额须大于0",IF(AND(B543&gt;1,COUNTIFS($A$2:$A$1001,A543,$B$2:$B$1001,B543-1,$G$2:$G$1001,"&gt;0")=0),"违规：须先完成上一次加仓",IF(AND(B543&gt;1,E543&lt;SUMIFS($E$2:$E$1001,$A$2:$A$1001,A543,$B$2:$B$1001,B543-1)),"违规：新止损价不得低于上一次",IF(AND(B543&gt;1,F543&gt;SUMIFS($F$2:$F$1001,$A$2:$A$1001,A543,$B$2:$B$1001,B543-1)),"违规：风险预算须逐次不增加",IF(OR(_LockStatus="已锁仓",_LockStatus="解锁信息不完整"),"违规：锁仓期间禁止加仓",IF(G543="","计划可执行：建议股数见N列",IF(OR(G543&lt;=0,G543&lt;&gt;INT(G543),MOD(G543,100)&lt;&gt;0),"违规：实际股数须为100股整数倍",IF(G543&gt;N543,"违规：实际股数超过风险或金字塔上限",IF(AND(B543&gt;1,G543&gt;SUMIFS($G$2:$G$1001,$A$2:$A$1001,A543,$B$2:$B$1001,B543-1)),"违规：加仓股数须逐次不增加",IF(Q543&gt;F543,"违规：止损风险超过本次预算","通过")))))))))))))))</f>
        <v/>
      </c>
    </row>
    <row r="544" customFormat="false" ht="15" hidden="false" customHeight="false" outlineLevel="0" collapsed="false">
      <c r="A544" s="20"/>
      <c r="B544" s="21"/>
      <c r="C544" s="22"/>
      <c r="D544" s="23"/>
      <c r="E544" s="23"/>
      <c r="F544" s="23"/>
      <c r="G544" s="21"/>
      <c r="H544" s="24" t="str">
        <f aca="false">IF(OR(A544="",D544="",G544=""),"",D544*G544)</f>
        <v/>
      </c>
      <c r="I544" s="25" t="str">
        <f aca="false">IF(OR(A544="",B544=""),"",IFERROR(LOOKUP(2,1/(单次交易!$A$2:$A$201=A544),单次交易!$H$2:$H$201),0)+SUMIFS($G$2:$G$1001,$A$2:$A$1001,A544,$B$2:$B$1001,"&lt;"&amp;B544))</f>
        <v/>
      </c>
      <c r="J544" s="24" t="str">
        <f aca="false">IF(OR(A544="",B544=""),"",IFERROR(LOOKUP(2,1/(单次交易!$A$2:$A$201=A544),单次交易!$E$2:$E$201)*LOOKUP(2,1/(单次交易!$A$2:$A$201=A544),单次交易!$H$2:$H$201),0)+SUMIFS($H$2:$H$1001,$A$2:$A$1001,A544,$B$2:$B$1001,"&lt;"&amp;B544))</f>
        <v/>
      </c>
      <c r="K544" s="24" t="str">
        <f aca="false">IF(OR(E544="",I544="",J544=""),"",MAX(E544*I544-J544,0))</f>
        <v/>
      </c>
      <c r="L544" s="25" t="str">
        <f aca="false">IF(OR(D544="",E544="",F544="",D544&lt;=E544),"",FLOOR((F544+K544)/(D544-E544),100))</f>
        <v/>
      </c>
      <c r="M544" s="25" t="str">
        <f aca="false">IF(OR(A544="",B544="",L544=""),"",IF(B544=1,L544,IFERROR(SUMIFS($G$2:$G$1001,$A$2:$A$1001,A544,$B$2:$B$1001,B544-1),0)))</f>
        <v/>
      </c>
      <c r="N544" s="25" t="str">
        <f aca="false">IF(OR(L544="",M544=""),"",MIN(L544,M544))</f>
        <v/>
      </c>
      <c r="O544" s="25" t="str">
        <f aca="false">IF(OR(I544="",G544=""),"",I544+G544)</f>
        <v/>
      </c>
      <c r="P544" s="24" t="str">
        <f aca="false">IF(OR(O544="",O544=0),"",(J544+H544)/O544)</f>
        <v/>
      </c>
      <c r="Q544" s="24" t="str">
        <f aca="false">IF(OR(O544="",E544=""),"",MAX(J544+H544-E544*O544,0))</f>
        <v/>
      </c>
      <c r="R544" s="26" t="str">
        <f aca="false">IF(A544="","",IF(COUNTIF(_TradeIds,A544)=0,"违规：交易编号不存在",IF(OR(B544="",B544&lt;1,B544&gt;5,B544&lt;&gt;INT(B544)),"违规：加仓序号须为1到5的整数",IF(COUNTIFS($A$2:$A$1001,A544,$B$2:$B$1001,B544)&gt;1,"违规：同一交易的加仓序号重复",IF(OR(D544="",E544="",F544=""),"计划不完整：请填写加仓价、新止损价和风险预算",IF(OR(D544&lt;=0,E544&lt;=0,F544&lt;=0,D544&lt;=E544),"违规：加仓价必须高于新止损价，金额须大于0",IF(AND(B544&gt;1,COUNTIFS($A$2:$A$1001,A544,$B$2:$B$1001,B544-1,$G$2:$G$1001,"&gt;0")=0),"违规：须先完成上一次加仓",IF(AND(B544&gt;1,E544&lt;SUMIFS($E$2:$E$1001,$A$2:$A$1001,A544,$B$2:$B$1001,B544-1)),"违规：新止损价不得低于上一次",IF(AND(B544&gt;1,F544&gt;SUMIFS($F$2:$F$1001,$A$2:$A$1001,A544,$B$2:$B$1001,B544-1)),"违规：风险预算须逐次不增加",IF(OR(_LockStatus="已锁仓",_LockStatus="解锁信息不完整"),"违规：锁仓期间禁止加仓",IF(G544="","计划可执行：建议股数见N列",IF(OR(G544&lt;=0,G544&lt;&gt;INT(G544),MOD(G544,100)&lt;&gt;0),"违规：实际股数须为100股整数倍",IF(G544&gt;N544,"违规：实际股数超过风险或金字塔上限",IF(AND(B544&gt;1,G544&gt;SUMIFS($G$2:$G$1001,$A$2:$A$1001,A544,$B$2:$B$1001,B544-1)),"违规：加仓股数须逐次不增加",IF(Q544&gt;F544,"违规：止损风险超过本次预算","通过")))))))))))))))</f>
        <v/>
      </c>
    </row>
    <row r="545" customFormat="false" ht="15" hidden="false" customHeight="false" outlineLevel="0" collapsed="false">
      <c r="A545" s="20"/>
      <c r="B545" s="21"/>
      <c r="C545" s="22"/>
      <c r="D545" s="23"/>
      <c r="E545" s="23"/>
      <c r="F545" s="23"/>
      <c r="G545" s="21"/>
      <c r="H545" s="24" t="str">
        <f aca="false">IF(OR(A545="",D545="",G545=""),"",D545*G545)</f>
        <v/>
      </c>
      <c r="I545" s="25" t="str">
        <f aca="false">IF(OR(A545="",B545=""),"",IFERROR(LOOKUP(2,1/(单次交易!$A$2:$A$201=A545),单次交易!$H$2:$H$201),0)+SUMIFS($G$2:$G$1001,$A$2:$A$1001,A545,$B$2:$B$1001,"&lt;"&amp;B545))</f>
        <v/>
      </c>
      <c r="J545" s="24" t="str">
        <f aca="false">IF(OR(A545="",B545=""),"",IFERROR(LOOKUP(2,1/(单次交易!$A$2:$A$201=A545),单次交易!$E$2:$E$201)*LOOKUP(2,1/(单次交易!$A$2:$A$201=A545),单次交易!$H$2:$H$201),0)+SUMIFS($H$2:$H$1001,$A$2:$A$1001,A545,$B$2:$B$1001,"&lt;"&amp;B545))</f>
        <v/>
      </c>
      <c r="K545" s="24" t="str">
        <f aca="false">IF(OR(E545="",I545="",J545=""),"",MAX(E545*I545-J545,0))</f>
        <v/>
      </c>
      <c r="L545" s="25" t="str">
        <f aca="false">IF(OR(D545="",E545="",F545="",D545&lt;=E545),"",FLOOR((F545+K545)/(D545-E545),100))</f>
        <v/>
      </c>
      <c r="M545" s="25" t="str">
        <f aca="false">IF(OR(A545="",B545="",L545=""),"",IF(B545=1,L545,IFERROR(SUMIFS($G$2:$G$1001,$A$2:$A$1001,A545,$B$2:$B$1001,B545-1),0)))</f>
        <v/>
      </c>
      <c r="N545" s="25" t="str">
        <f aca="false">IF(OR(L545="",M545=""),"",MIN(L545,M545))</f>
        <v/>
      </c>
      <c r="O545" s="25" t="str">
        <f aca="false">IF(OR(I545="",G545=""),"",I545+G545)</f>
        <v/>
      </c>
      <c r="P545" s="24" t="str">
        <f aca="false">IF(OR(O545="",O545=0),"",(J545+H545)/O545)</f>
        <v/>
      </c>
      <c r="Q545" s="24" t="str">
        <f aca="false">IF(OR(O545="",E545=""),"",MAX(J545+H545-E545*O545,0))</f>
        <v/>
      </c>
      <c r="R545" s="26" t="str">
        <f aca="false">IF(A545="","",IF(COUNTIF(_TradeIds,A545)=0,"违规：交易编号不存在",IF(OR(B545="",B545&lt;1,B545&gt;5,B545&lt;&gt;INT(B545)),"违规：加仓序号须为1到5的整数",IF(COUNTIFS($A$2:$A$1001,A545,$B$2:$B$1001,B545)&gt;1,"违规：同一交易的加仓序号重复",IF(OR(D545="",E545="",F545=""),"计划不完整：请填写加仓价、新止损价和风险预算",IF(OR(D545&lt;=0,E545&lt;=0,F545&lt;=0,D545&lt;=E545),"违规：加仓价必须高于新止损价，金额须大于0",IF(AND(B545&gt;1,COUNTIFS($A$2:$A$1001,A545,$B$2:$B$1001,B545-1,$G$2:$G$1001,"&gt;0")=0),"违规：须先完成上一次加仓",IF(AND(B545&gt;1,E545&lt;SUMIFS($E$2:$E$1001,$A$2:$A$1001,A545,$B$2:$B$1001,B545-1)),"违规：新止损价不得低于上一次",IF(AND(B545&gt;1,F545&gt;SUMIFS($F$2:$F$1001,$A$2:$A$1001,A545,$B$2:$B$1001,B545-1)),"违规：风险预算须逐次不增加",IF(OR(_LockStatus="已锁仓",_LockStatus="解锁信息不完整"),"违规：锁仓期间禁止加仓",IF(G545="","计划可执行：建议股数见N列",IF(OR(G545&lt;=0,G545&lt;&gt;INT(G545),MOD(G545,100)&lt;&gt;0),"违规：实际股数须为100股整数倍",IF(G545&gt;N545,"违规：实际股数超过风险或金字塔上限",IF(AND(B545&gt;1,G545&gt;SUMIFS($G$2:$G$1001,$A$2:$A$1001,A545,$B$2:$B$1001,B545-1)),"违规：加仓股数须逐次不增加",IF(Q545&gt;F545,"违规：止损风险超过本次预算","通过")))))))))))))))</f>
        <v/>
      </c>
    </row>
    <row r="546" customFormat="false" ht="15" hidden="false" customHeight="false" outlineLevel="0" collapsed="false">
      <c r="A546" s="20"/>
      <c r="B546" s="21"/>
      <c r="C546" s="22"/>
      <c r="D546" s="23"/>
      <c r="E546" s="23"/>
      <c r="F546" s="23"/>
      <c r="G546" s="21"/>
      <c r="H546" s="24" t="str">
        <f aca="false">IF(OR(A546="",D546="",G546=""),"",D546*G546)</f>
        <v/>
      </c>
      <c r="I546" s="25" t="str">
        <f aca="false">IF(OR(A546="",B546=""),"",IFERROR(LOOKUP(2,1/(单次交易!$A$2:$A$201=A546),单次交易!$H$2:$H$201),0)+SUMIFS($G$2:$G$1001,$A$2:$A$1001,A546,$B$2:$B$1001,"&lt;"&amp;B546))</f>
        <v/>
      </c>
      <c r="J546" s="24" t="str">
        <f aca="false">IF(OR(A546="",B546=""),"",IFERROR(LOOKUP(2,1/(单次交易!$A$2:$A$201=A546),单次交易!$E$2:$E$201)*LOOKUP(2,1/(单次交易!$A$2:$A$201=A546),单次交易!$H$2:$H$201),0)+SUMIFS($H$2:$H$1001,$A$2:$A$1001,A546,$B$2:$B$1001,"&lt;"&amp;B546))</f>
        <v/>
      </c>
      <c r="K546" s="24" t="str">
        <f aca="false">IF(OR(E546="",I546="",J546=""),"",MAX(E546*I546-J546,0))</f>
        <v/>
      </c>
      <c r="L546" s="25" t="str">
        <f aca="false">IF(OR(D546="",E546="",F546="",D546&lt;=E546),"",FLOOR((F546+K546)/(D546-E546),100))</f>
        <v/>
      </c>
      <c r="M546" s="25" t="str">
        <f aca="false">IF(OR(A546="",B546="",L546=""),"",IF(B546=1,L546,IFERROR(SUMIFS($G$2:$G$1001,$A$2:$A$1001,A546,$B$2:$B$1001,B546-1),0)))</f>
        <v/>
      </c>
      <c r="N546" s="25" t="str">
        <f aca="false">IF(OR(L546="",M546=""),"",MIN(L546,M546))</f>
        <v/>
      </c>
      <c r="O546" s="25" t="str">
        <f aca="false">IF(OR(I546="",G546=""),"",I546+G546)</f>
        <v/>
      </c>
      <c r="P546" s="24" t="str">
        <f aca="false">IF(OR(O546="",O546=0),"",(J546+H546)/O546)</f>
        <v/>
      </c>
      <c r="Q546" s="24" t="str">
        <f aca="false">IF(OR(O546="",E546=""),"",MAX(J546+H546-E546*O546,0))</f>
        <v/>
      </c>
      <c r="R546" s="26" t="str">
        <f aca="false">IF(A546="","",IF(COUNTIF(_TradeIds,A546)=0,"违规：交易编号不存在",IF(OR(B546="",B546&lt;1,B546&gt;5,B546&lt;&gt;INT(B546)),"违规：加仓序号须为1到5的整数",IF(COUNTIFS($A$2:$A$1001,A546,$B$2:$B$1001,B546)&gt;1,"违规：同一交易的加仓序号重复",IF(OR(D546="",E546="",F546=""),"计划不完整：请填写加仓价、新止损价和风险预算",IF(OR(D546&lt;=0,E546&lt;=0,F546&lt;=0,D546&lt;=E546),"违规：加仓价必须高于新止损价，金额须大于0",IF(AND(B546&gt;1,COUNTIFS($A$2:$A$1001,A546,$B$2:$B$1001,B546-1,$G$2:$G$1001,"&gt;0")=0),"违规：须先完成上一次加仓",IF(AND(B546&gt;1,E546&lt;SUMIFS($E$2:$E$1001,$A$2:$A$1001,A546,$B$2:$B$1001,B546-1)),"违规：新止损价不得低于上一次",IF(AND(B546&gt;1,F546&gt;SUMIFS($F$2:$F$1001,$A$2:$A$1001,A546,$B$2:$B$1001,B546-1)),"违规：风险预算须逐次不增加",IF(OR(_LockStatus="已锁仓",_LockStatus="解锁信息不完整"),"违规：锁仓期间禁止加仓",IF(G546="","计划可执行：建议股数见N列",IF(OR(G546&lt;=0,G546&lt;&gt;INT(G546),MOD(G546,100)&lt;&gt;0),"违规：实际股数须为100股整数倍",IF(G546&gt;N546,"违规：实际股数超过风险或金字塔上限",IF(AND(B546&gt;1,G546&gt;SUMIFS($G$2:$G$1001,$A$2:$A$1001,A546,$B$2:$B$1001,B546-1)),"违规：加仓股数须逐次不增加",IF(Q546&gt;F546,"违规：止损风险超过本次预算","通过")))))))))))))))</f>
        <v/>
      </c>
    </row>
    <row r="547" customFormat="false" ht="15" hidden="false" customHeight="false" outlineLevel="0" collapsed="false">
      <c r="A547" s="20"/>
      <c r="B547" s="21"/>
      <c r="C547" s="22"/>
      <c r="D547" s="23"/>
      <c r="E547" s="23"/>
      <c r="F547" s="23"/>
      <c r="G547" s="21"/>
      <c r="H547" s="24" t="str">
        <f aca="false">IF(OR(A547="",D547="",G547=""),"",D547*G547)</f>
        <v/>
      </c>
      <c r="I547" s="25" t="str">
        <f aca="false">IF(OR(A547="",B547=""),"",IFERROR(LOOKUP(2,1/(单次交易!$A$2:$A$201=A547),单次交易!$H$2:$H$201),0)+SUMIFS($G$2:$G$1001,$A$2:$A$1001,A547,$B$2:$B$1001,"&lt;"&amp;B547))</f>
        <v/>
      </c>
      <c r="J547" s="24" t="str">
        <f aca="false">IF(OR(A547="",B547=""),"",IFERROR(LOOKUP(2,1/(单次交易!$A$2:$A$201=A547),单次交易!$E$2:$E$201)*LOOKUP(2,1/(单次交易!$A$2:$A$201=A547),单次交易!$H$2:$H$201),0)+SUMIFS($H$2:$H$1001,$A$2:$A$1001,A547,$B$2:$B$1001,"&lt;"&amp;B547))</f>
        <v/>
      </c>
      <c r="K547" s="24" t="str">
        <f aca="false">IF(OR(E547="",I547="",J547=""),"",MAX(E547*I547-J547,0))</f>
        <v/>
      </c>
      <c r="L547" s="25" t="str">
        <f aca="false">IF(OR(D547="",E547="",F547="",D547&lt;=E547),"",FLOOR((F547+K547)/(D547-E547),100))</f>
        <v/>
      </c>
      <c r="M547" s="25" t="str">
        <f aca="false">IF(OR(A547="",B547="",L547=""),"",IF(B547=1,L547,IFERROR(SUMIFS($G$2:$G$1001,$A$2:$A$1001,A547,$B$2:$B$1001,B547-1),0)))</f>
        <v/>
      </c>
      <c r="N547" s="25" t="str">
        <f aca="false">IF(OR(L547="",M547=""),"",MIN(L547,M547))</f>
        <v/>
      </c>
      <c r="O547" s="25" t="str">
        <f aca="false">IF(OR(I547="",G547=""),"",I547+G547)</f>
        <v/>
      </c>
      <c r="P547" s="24" t="str">
        <f aca="false">IF(OR(O547="",O547=0),"",(J547+H547)/O547)</f>
        <v/>
      </c>
      <c r="Q547" s="24" t="str">
        <f aca="false">IF(OR(O547="",E547=""),"",MAX(J547+H547-E547*O547,0))</f>
        <v/>
      </c>
      <c r="R547" s="26" t="str">
        <f aca="false">IF(A547="","",IF(COUNTIF(_TradeIds,A547)=0,"违规：交易编号不存在",IF(OR(B547="",B547&lt;1,B547&gt;5,B547&lt;&gt;INT(B547)),"违规：加仓序号须为1到5的整数",IF(COUNTIFS($A$2:$A$1001,A547,$B$2:$B$1001,B547)&gt;1,"违规：同一交易的加仓序号重复",IF(OR(D547="",E547="",F547=""),"计划不完整：请填写加仓价、新止损价和风险预算",IF(OR(D547&lt;=0,E547&lt;=0,F547&lt;=0,D547&lt;=E547),"违规：加仓价必须高于新止损价，金额须大于0",IF(AND(B547&gt;1,COUNTIFS($A$2:$A$1001,A547,$B$2:$B$1001,B547-1,$G$2:$G$1001,"&gt;0")=0),"违规：须先完成上一次加仓",IF(AND(B547&gt;1,E547&lt;SUMIFS($E$2:$E$1001,$A$2:$A$1001,A547,$B$2:$B$1001,B547-1)),"违规：新止损价不得低于上一次",IF(AND(B547&gt;1,F547&gt;SUMIFS($F$2:$F$1001,$A$2:$A$1001,A547,$B$2:$B$1001,B547-1)),"违规：风险预算须逐次不增加",IF(OR(_LockStatus="已锁仓",_LockStatus="解锁信息不完整"),"违规：锁仓期间禁止加仓",IF(G547="","计划可执行：建议股数见N列",IF(OR(G547&lt;=0,G547&lt;&gt;INT(G547),MOD(G547,100)&lt;&gt;0),"违规：实际股数须为100股整数倍",IF(G547&gt;N547,"违规：实际股数超过风险或金字塔上限",IF(AND(B547&gt;1,G547&gt;SUMIFS($G$2:$G$1001,$A$2:$A$1001,A547,$B$2:$B$1001,B547-1)),"违规：加仓股数须逐次不增加",IF(Q547&gt;F547,"违规：止损风险超过本次预算","通过")))))))))))))))</f>
        <v/>
      </c>
    </row>
    <row r="548" customFormat="false" ht="15" hidden="false" customHeight="false" outlineLevel="0" collapsed="false">
      <c r="A548" s="20"/>
      <c r="B548" s="21"/>
      <c r="C548" s="22"/>
      <c r="D548" s="23"/>
      <c r="E548" s="23"/>
      <c r="F548" s="23"/>
      <c r="G548" s="21"/>
      <c r="H548" s="24" t="str">
        <f aca="false">IF(OR(A548="",D548="",G548=""),"",D548*G548)</f>
        <v/>
      </c>
      <c r="I548" s="25" t="str">
        <f aca="false">IF(OR(A548="",B548=""),"",IFERROR(LOOKUP(2,1/(单次交易!$A$2:$A$201=A548),单次交易!$H$2:$H$201),0)+SUMIFS($G$2:$G$1001,$A$2:$A$1001,A548,$B$2:$B$1001,"&lt;"&amp;B548))</f>
        <v/>
      </c>
      <c r="J548" s="24" t="str">
        <f aca="false">IF(OR(A548="",B548=""),"",IFERROR(LOOKUP(2,1/(单次交易!$A$2:$A$201=A548),单次交易!$E$2:$E$201)*LOOKUP(2,1/(单次交易!$A$2:$A$201=A548),单次交易!$H$2:$H$201),0)+SUMIFS($H$2:$H$1001,$A$2:$A$1001,A548,$B$2:$B$1001,"&lt;"&amp;B548))</f>
        <v/>
      </c>
      <c r="K548" s="24" t="str">
        <f aca="false">IF(OR(E548="",I548="",J548=""),"",MAX(E548*I548-J548,0))</f>
        <v/>
      </c>
      <c r="L548" s="25" t="str">
        <f aca="false">IF(OR(D548="",E548="",F548="",D548&lt;=E548),"",FLOOR((F548+K548)/(D548-E548),100))</f>
        <v/>
      </c>
      <c r="M548" s="25" t="str">
        <f aca="false">IF(OR(A548="",B548="",L548=""),"",IF(B548=1,L548,IFERROR(SUMIFS($G$2:$G$1001,$A$2:$A$1001,A548,$B$2:$B$1001,B548-1),0)))</f>
        <v/>
      </c>
      <c r="N548" s="25" t="str">
        <f aca="false">IF(OR(L548="",M548=""),"",MIN(L548,M548))</f>
        <v/>
      </c>
      <c r="O548" s="25" t="str">
        <f aca="false">IF(OR(I548="",G548=""),"",I548+G548)</f>
        <v/>
      </c>
      <c r="P548" s="24" t="str">
        <f aca="false">IF(OR(O548="",O548=0),"",(J548+H548)/O548)</f>
        <v/>
      </c>
      <c r="Q548" s="24" t="str">
        <f aca="false">IF(OR(O548="",E548=""),"",MAX(J548+H548-E548*O548,0))</f>
        <v/>
      </c>
      <c r="R548" s="26" t="str">
        <f aca="false">IF(A548="","",IF(COUNTIF(_TradeIds,A548)=0,"违规：交易编号不存在",IF(OR(B548="",B548&lt;1,B548&gt;5,B548&lt;&gt;INT(B548)),"违规：加仓序号须为1到5的整数",IF(COUNTIFS($A$2:$A$1001,A548,$B$2:$B$1001,B548)&gt;1,"违规：同一交易的加仓序号重复",IF(OR(D548="",E548="",F548=""),"计划不完整：请填写加仓价、新止损价和风险预算",IF(OR(D548&lt;=0,E548&lt;=0,F548&lt;=0,D548&lt;=E548),"违规：加仓价必须高于新止损价，金额须大于0",IF(AND(B548&gt;1,COUNTIFS($A$2:$A$1001,A548,$B$2:$B$1001,B548-1,$G$2:$G$1001,"&gt;0")=0),"违规：须先完成上一次加仓",IF(AND(B548&gt;1,E548&lt;SUMIFS($E$2:$E$1001,$A$2:$A$1001,A548,$B$2:$B$1001,B548-1)),"违规：新止损价不得低于上一次",IF(AND(B548&gt;1,F548&gt;SUMIFS($F$2:$F$1001,$A$2:$A$1001,A548,$B$2:$B$1001,B548-1)),"违规：风险预算须逐次不增加",IF(OR(_LockStatus="已锁仓",_LockStatus="解锁信息不完整"),"违规：锁仓期间禁止加仓",IF(G548="","计划可执行：建议股数见N列",IF(OR(G548&lt;=0,G548&lt;&gt;INT(G548),MOD(G548,100)&lt;&gt;0),"违规：实际股数须为100股整数倍",IF(G548&gt;N548,"违规：实际股数超过风险或金字塔上限",IF(AND(B548&gt;1,G548&gt;SUMIFS($G$2:$G$1001,$A$2:$A$1001,A548,$B$2:$B$1001,B548-1)),"违规：加仓股数须逐次不增加",IF(Q548&gt;F548,"违规：止损风险超过本次预算","通过")))))))))))))))</f>
        <v/>
      </c>
    </row>
    <row r="549" customFormat="false" ht="15" hidden="false" customHeight="false" outlineLevel="0" collapsed="false">
      <c r="A549" s="20"/>
      <c r="B549" s="21"/>
      <c r="C549" s="22"/>
      <c r="D549" s="23"/>
      <c r="E549" s="23"/>
      <c r="F549" s="23"/>
      <c r="G549" s="21"/>
      <c r="H549" s="24" t="str">
        <f aca="false">IF(OR(A549="",D549="",G549=""),"",D549*G549)</f>
        <v/>
      </c>
      <c r="I549" s="25" t="str">
        <f aca="false">IF(OR(A549="",B549=""),"",IFERROR(LOOKUP(2,1/(单次交易!$A$2:$A$201=A549),单次交易!$H$2:$H$201),0)+SUMIFS($G$2:$G$1001,$A$2:$A$1001,A549,$B$2:$B$1001,"&lt;"&amp;B549))</f>
        <v/>
      </c>
      <c r="J549" s="24" t="str">
        <f aca="false">IF(OR(A549="",B549=""),"",IFERROR(LOOKUP(2,1/(单次交易!$A$2:$A$201=A549),单次交易!$E$2:$E$201)*LOOKUP(2,1/(单次交易!$A$2:$A$201=A549),单次交易!$H$2:$H$201),0)+SUMIFS($H$2:$H$1001,$A$2:$A$1001,A549,$B$2:$B$1001,"&lt;"&amp;B549))</f>
        <v/>
      </c>
      <c r="K549" s="24" t="str">
        <f aca="false">IF(OR(E549="",I549="",J549=""),"",MAX(E549*I549-J549,0))</f>
        <v/>
      </c>
      <c r="L549" s="25" t="str">
        <f aca="false">IF(OR(D549="",E549="",F549="",D549&lt;=E549),"",FLOOR((F549+K549)/(D549-E549),100))</f>
        <v/>
      </c>
      <c r="M549" s="25" t="str">
        <f aca="false">IF(OR(A549="",B549="",L549=""),"",IF(B549=1,L549,IFERROR(SUMIFS($G$2:$G$1001,$A$2:$A$1001,A549,$B$2:$B$1001,B549-1),0)))</f>
        <v/>
      </c>
      <c r="N549" s="25" t="str">
        <f aca="false">IF(OR(L549="",M549=""),"",MIN(L549,M549))</f>
        <v/>
      </c>
      <c r="O549" s="25" t="str">
        <f aca="false">IF(OR(I549="",G549=""),"",I549+G549)</f>
        <v/>
      </c>
      <c r="P549" s="24" t="str">
        <f aca="false">IF(OR(O549="",O549=0),"",(J549+H549)/O549)</f>
        <v/>
      </c>
      <c r="Q549" s="24" t="str">
        <f aca="false">IF(OR(O549="",E549=""),"",MAX(J549+H549-E549*O549,0))</f>
        <v/>
      </c>
      <c r="R549" s="26" t="str">
        <f aca="false">IF(A549="","",IF(COUNTIF(_TradeIds,A549)=0,"违规：交易编号不存在",IF(OR(B549="",B549&lt;1,B549&gt;5,B549&lt;&gt;INT(B549)),"违规：加仓序号须为1到5的整数",IF(COUNTIFS($A$2:$A$1001,A549,$B$2:$B$1001,B549)&gt;1,"违规：同一交易的加仓序号重复",IF(OR(D549="",E549="",F549=""),"计划不完整：请填写加仓价、新止损价和风险预算",IF(OR(D549&lt;=0,E549&lt;=0,F549&lt;=0,D549&lt;=E549),"违规：加仓价必须高于新止损价，金额须大于0",IF(AND(B549&gt;1,COUNTIFS($A$2:$A$1001,A549,$B$2:$B$1001,B549-1,$G$2:$G$1001,"&gt;0")=0),"违规：须先完成上一次加仓",IF(AND(B549&gt;1,E549&lt;SUMIFS($E$2:$E$1001,$A$2:$A$1001,A549,$B$2:$B$1001,B549-1)),"违规：新止损价不得低于上一次",IF(AND(B549&gt;1,F549&gt;SUMIFS($F$2:$F$1001,$A$2:$A$1001,A549,$B$2:$B$1001,B549-1)),"违规：风险预算须逐次不增加",IF(OR(_LockStatus="已锁仓",_LockStatus="解锁信息不完整"),"违规：锁仓期间禁止加仓",IF(G549="","计划可执行：建议股数见N列",IF(OR(G549&lt;=0,G549&lt;&gt;INT(G549),MOD(G549,100)&lt;&gt;0),"违规：实际股数须为100股整数倍",IF(G549&gt;N549,"违规：实际股数超过风险或金字塔上限",IF(AND(B549&gt;1,G549&gt;SUMIFS($G$2:$G$1001,$A$2:$A$1001,A549,$B$2:$B$1001,B549-1)),"违规：加仓股数须逐次不增加",IF(Q549&gt;F549,"违规：止损风险超过本次预算","通过")))))))))))))))</f>
        <v/>
      </c>
    </row>
    <row r="550" customFormat="false" ht="15" hidden="false" customHeight="false" outlineLevel="0" collapsed="false">
      <c r="A550" s="20"/>
      <c r="B550" s="21"/>
      <c r="C550" s="22"/>
      <c r="D550" s="23"/>
      <c r="E550" s="23"/>
      <c r="F550" s="23"/>
      <c r="G550" s="21"/>
      <c r="H550" s="24" t="str">
        <f aca="false">IF(OR(A550="",D550="",G550=""),"",D550*G550)</f>
        <v/>
      </c>
      <c r="I550" s="25" t="str">
        <f aca="false">IF(OR(A550="",B550=""),"",IFERROR(LOOKUP(2,1/(单次交易!$A$2:$A$201=A550),单次交易!$H$2:$H$201),0)+SUMIFS($G$2:$G$1001,$A$2:$A$1001,A550,$B$2:$B$1001,"&lt;"&amp;B550))</f>
        <v/>
      </c>
      <c r="J550" s="24" t="str">
        <f aca="false">IF(OR(A550="",B550=""),"",IFERROR(LOOKUP(2,1/(单次交易!$A$2:$A$201=A550),单次交易!$E$2:$E$201)*LOOKUP(2,1/(单次交易!$A$2:$A$201=A550),单次交易!$H$2:$H$201),0)+SUMIFS($H$2:$H$1001,$A$2:$A$1001,A550,$B$2:$B$1001,"&lt;"&amp;B550))</f>
        <v/>
      </c>
      <c r="K550" s="24" t="str">
        <f aca="false">IF(OR(E550="",I550="",J550=""),"",MAX(E550*I550-J550,0))</f>
        <v/>
      </c>
      <c r="L550" s="25" t="str">
        <f aca="false">IF(OR(D550="",E550="",F550="",D550&lt;=E550),"",FLOOR((F550+K550)/(D550-E550),100))</f>
        <v/>
      </c>
      <c r="M550" s="25" t="str">
        <f aca="false">IF(OR(A550="",B550="",L550=""),"",IF(B550=1,L550,IFERROR(SUMIFS($G$2:$G$1001,$A$2:$A$1001,A550,$B$2:$B$1001,B550-1),0)))</f>
        <v/>
      </c>
      <c r="N550" s="25" t="str">
        <f aca="false">IF(OR(L550="",M550=""),"",MIN(L550,M550))</f>
        <v/>
      </c>
      <c r="O550" s="25" t="str">
        <f aca="false">IF(OR(I550="",G550=""),"",I550+G550)</f>
        <v/>
      </c>
      <c r="P550" s="24" t="str">
        <f aca="false">IF(OR(O550="",O550=0),"",(J550+H550)/O550)</f>
        <v/>
      </c>
      <c r="Q550" s="24" t="str">
        <f aca="false">IF(OR(O550="",E550=""),"",MAX(J550+H550-E550*O550,0))</f>
        <v/>
      </c>
      <c r="R550" s="26" t="str">
        <f aca="false">IF(A550="","",IF(COUNTIF(_TradeIds,A550)=0,"违规：交易编号不存在",IF(OR(B550="",B550&lt;1,B550&gt;5,B550&lt;&gt;INT(B550)),"违规：加仓序号须为1到5的整数",IF(COUNTIFS($A$2:$A$1001,A550,$B$2:$B$1001,B550)&gt;1,"违规：同一交易的加仓序号重复",IF(OR(D550="",E550="",F550=""),"计划不完整：请填写加仓价、新止损价和风险预算",IF(OR(D550&lt;=0,E550&lt;=0,F550&lt;=0,D550&lt;=E550),"违规：加仓价必须高于新止损价，金额须大于0",IF(AND(B550&gt;1,COUNTIFS($A$2:$A$1001,A550,$B$2:$B$1001,B550-1,$G$2:$G$1001,"&gt;0")=0),"违规：须先完成上一次加仓",IF(AND(B550&gt;1,E550&lt;SUMIFS($E$2:$E$1001,$A$2:$A$1001,A550,$B$2:$B$1001,B550-1)),"违规：新止损价不得低于上一次",IF(AND(B550&gt;1,F550&gt;SUMIFS($F$2:$F$1001,$A$2:$A$1001,A550,$B$2:$B$1001,B550-1)),"违规：风险预算须逐次不增加",IF(OR(_LockStatus="已锁仓",_LockStatus="解锁信息不完整"),"违规：锁仓期间禁止加仓",IF(G550="","计划可执行：建议股数见N列",IF(OR(G550&lt;=0,G550&lt;&gt;INT(G550),MOD(G550,100)&lt;&gt;0),"违规：实际股数须为100股整数倍",IF(G550&gt;N550,"违规：实际股数超过风险或金字塔上限",IF(AND(B550&gt;1,G550&gt;SUMIFS($G$2:$G$1001,$A$2:$A$1001,A550,$B$2:$B$1001,B550-1)),"违规：加仓股数须逐次不增加",IF(Q550&gt;F550,"违规：止损风险超过本次预算","通过")))))))))))))))</f>
        <v/>
      </c>
    </row>
    <row r="551" customFormat="false" ht="15" hidden="false" customHeight="false" outlineLevel="0" collapsed="false">
      <c r="A551" s="20"/>
      <c r="B551" s="21"/>
      <c r="C551" s="22"/>
      <c r="D551" s="23"/>
      <c r="E551" s="23"/>
      <c r="F551" s="23"/>
      <c r="G551" s="21"/>
      <c r="H551" s="24" t="str">
        <f aca="false">IF(OR(A551="",D551="",G551=""),"",D551*G551)</f>
        <v/>
      </c>
      <c r="I551" s="25" t="str">
        <f aca="false">IF(OR(A551="",B551=""),"",IFERROR(LOOKUP(2,1/(单次交易!$A$2:$A$201=A551),单次交易!$H$2:$H$201),0)+SUMIFS($G$2:$G$1001,$A$2:$A$1001,A551,$B$2:$B$1001,"&lt;"&amp;B551))</f>
        <v/>
      </c>
      <c r="J551" s="24" t="str">
        <f aca="false">IF(OR(A551="",B551=""),"",IFERROR(LOOKUP(2,1/(单次交易!$A$2:$A$201=A551),单次交易!$E$2:$E$201)*LOOKUP(2,1/(单次交易!$A$2:$A$201=A551),单次交易!$H$2:$H$201),0)+SUMIFS($H$2:$H$1001,$A$2:$A$1001,A551,$B$2:$B$1001,"&lt;"&amp;B551))</f>
        <v/>
      </c>
      <c r="K551" s="24" t="str">
        <f aca="false">IF(OR(E551="",I551="",J551=""),"",MAX(E551*I551-J551,0))</f>
        <v/>
      </c>
      <c r="L551" s="25" t="str">
        <f aca="false">IF(OR(D551="",E551="",F551="",D551&lt;=E551),"",FLOOR((F551+K551)/(D551-E551),100))</f>
        <v/>
      </c>
      <c r="M551" s="25" t="str">
        <f aca="false">IF(OR(A551="",B551="",L551=""),"",IF(B551=1,L551,IFERROR(SUMIFS($G$2:$G$1001,$A$2:$A$1001,A551,$B$2:$B$1001,B551-1),0)))</f>
        <v/>
      </c>
      <c r="N551" s="25" t="str">
        <f aca="false">IF(OR(L551="",M551=""),"",MIN(L551,M551))</f>
        <v/>
      </c>
      <c r="O551" s="25" t="str">
        <f aca="false">IF(OR(I551="",G551=""),"",I551+G551)</f>
        <v/>
      </c>
      <c r="P551" s="24" t="str">
        <f aca="false">IF(OR(O551="",O551=0),"",(J551+H551)/O551)</f>
        <v/>
      </c>
      <c r="Q551" s="24" t="str">
        <f aca="false">IF(OR(O551="",E551=""),"",MAX(J551+H551-E551*O551,0))</f>
        <v/>
      </c>
      <c r="R551" s="26" t="str">
        <f aca="false">IF(A551="","",IF(COUNTIF(_TradeIds,A551)=0,"违规：交易编号不存在",IF(OR(B551="",B551&lt;1,B551&gt;5,B551&lt;&gt;INT(B551)),"违规：加仓序号须为1到5的整数",IF(COUNTIFS($A$2:$A$1001,A551,$B$2:$B$1001,B551)&gt;1,"违规：同一交易的加仓序号重复",IF(OR(D551="",E551="",F551=""),"计划不完整：请填写加仓价、新止损价和风险预算",IF(OR(D551&lt;=0,E551&lt;=0,F551&lt;=0,D551&lt;=E551),"违规：加仓价必须高于新止损价，金额须大于0",IF(AND(B551&gt;1,COUNTIFS($A$2:$A$1001,A551,$B$2:$B$1001,B551-1,$G$2:$G$1001,"&gt;0")=0),"违规：须先完成上一次加仓",IF(AND(B551&gt;1,E551&lt;SUMIFS($E$2:$E$1001,$A$2:$A$1001,A551,$B$2:$B$1001,B551-1)),"违规：新止损价不得低于上一次",IF(AND(B551&gt;1,F551&gt;SUMIFS($F$2:$F$1001,$A$2:$A$1001,A551,$B$2:$B$1001,B551-1)),"违规：风险预算须逐次不增加",IF(OR(_LockStatus="已锁仓",_LockStatus="解锁信息不完整"),"违规：锁仓期间禁止加仓",IF(G551="","计划可执行：建议股数见N列",IF(OR(G551&lt;=0,G551&lt;&gt;INT(G551),MOD(G551,100)&lt;&gt;0),"违规：实际股数须为100股整数倍",IF(G551&gt;N551,"违规：实际股数超过风险或金字塔上限",IF(AND(B551&gt;1,G551&gt;SUMIFS($G$2:$G$1001,$A$2:$A$1001,A551,$B$2:$B$1001,B551-1)),"违规：加仓股数须逐次不增加",IF(Q551&gt;F551,"违规：止损风险超过本次预算","通过")))))))))))))))</f>
        <v/>
      </c>
    </row>
    <row r="552" customFormat="false" ht="15" hidden="false" customHeight="false" outlineLevel="0" collapsed="false">
      <c r="A552" s="20"/>
      <c r="B552" s="21"/>
      <c r="C552" s="22"/>
      <c r="D552" s="23"/>
      <c r="E552" s="23"/>
      <c r="F552" s="23"/>
      <c r="G552" s="21"/>
      <c r="H552" s="24" t="str">
        <f aca="false">IF(OR(A552="",D552="",G552=""),"",D552*G552)</f>
        <v/>
      </c>
      <c r="I552" s="25" t="str">
        <f aca="false">IF(OR(A552="",B552=""),"",IFERROR(LOOKUP(2,1/(单次交易!$A$2:$A$201=A552),单次交易!$H$2:$H$201),0)+SUMIFS($G$2:$G$1001,$A$2:$A$1001,A552,$B$2:$B$1001,"&lt;"&amp;B552))</f>
        <v/>
      </c>
      <c r="J552" s="24" t="str">
        <f aca="false">IF(OR(A552="",B552=""),"",IFERROR(LOOKUP(2,1/(单次交易!$A$2:$A$201=A552),单次交易!$E$2:$E$201)*LOOKUP(2,1/(单次交易!$A$2:$A$201=A552),单次交易!$H$2:$H$201),0)+SUMIFS($H$2:$H$1001,$A$2:$A$1001,A552,$B$2:$B$1001,"&lt;"&amp;B552))</f>
        <v/>
      </c>
      <c r="K552" s="24" t="str">
        <f aca="false">IF(OR(E552="",I552="",J552=""),"",MAX(E552*I552-J552,0))</f>
        <v/>
      </c>
      <c r="L552" s="25" t="str">
        <f aca="false">IF(OR(D552="",E552="",F552="",D552&lt;=E552),"",FLOOR((F552+K552)/(D552-E552),100))</f>
        <v/>
      </c>
      <c r="M552" s="25" t="str">
        <f aca="false">IF(OR(A552="",B552="",L552=""),"",IF(B552=1,L552,IFERROR(SUMIFS($G$2:$G$1001,$A$2:$A$1001,A552,$B$2:$B$1001,B552-1),0)))</f>
        <v/>
      </c>
      <c r="N552" s="25" t="str">
        <f aca="false">IF(OR(L552="",M552=""),"",MIN(L552,M552))</f>
        <v/>
      </c>
      <c r="O552" s="25" t="str">
        <f aca="false">IF(OR(I552="",G552=""),"",I552+G552)</f>
        <v/>
      </c>
      <c r="P552" s="24" t="str">
        <f aca="false">IF(OR(O552="",O552=0),"",(J552+H552)/O552)</f>
        <v/>
      </c>
      <c r="Q552" s="24" t="str">
        <f aca="false">IF(OR(O552="",E552=""),"",MAX(J552+H552-E552*O552,0))</f>
        <v/>
      </c>
      <c r="R552" s="26" t="str">
        <f aca="false">IF(A552="","",IF(COUNTIF(_TradeIds,A552)=0,"违规：交易编号不存在",IF(OR(B552="",B552&lt;1,B552&gt;5,B552&lt;&gt;INT(B552)),"违规：加仓序号须为1到5的整数",IF(COUNTIFS($A$2:$A$1001,A552,$B$2:$B$1001,B552)&gt;1,"违规：同一交易的加仓序号重复",IF(OR(D552="",E552="",F552=""),"计划不完整：请填写加仓价、新止损价和风险预算",IF(OR(D552&lt;=0,E552&lt;=0,F552&lt;=0,D552&lt;=E552),"违规：加仓价必须高于新止损价，金额须大于0",IF(AND(B552&gt;1,COUNTIFS($A$2:$A$1001,A552,$B$2:$B$1001,B552-1,$G$2:$G$1001,"&gt;0")=0),"违规：须先完成上一次加仓",IF(AND(B552&gt;1,E552&lt;SUMIFS($E$2:$E$1001,$A$2:$A$1001,A552,$B$2:$B$1001,B552-1)),"违规：新止损价不得低于上一次",IF(AND(B552&gt;1,F552&gt;SUMIFS($F$2:$F$1001,$A$2:$A$1001,A552,$B$2:$B$1001,B552-1)),"违规：风险预算须逐次不增加",IF(OR(_LockStatus="已锁仓",_LockStatus="解锁信息不完整"),"违规：锁仓期间禁止加仓",IF(G552="","计划可执行：建议股数见N列",IF(OR(G552&lt;=0,G552&lt;&gt;INT(G552),MOD(G552,100)&lt;&gt;0),"违规：实际股数须为100股整数倍",IF(G552&gt;N552,"违规：实际股数超过风险或金字塔上限",IF(AND(B552&gt;1,G552&gt;SUMIFS($G$2:$G$1001,$A$2:$A$1001,A552,$B$2:$B$1001,B552-1)),"违规：加仓股数须逐次不增加",IF(Q552&gt;F552,"违规：止损风险超过本次预算","通过")))))))))))))))</f>
        <v/>
      </c>
    </row>
    <row r="553" customFormat="false" ht="15" hidden="false" customHeight="false" outlineLevel="0" collapsed="false">
      <c r="A553" s="20"/>
      <c r="B553" s="21"/>
      <c r="C553" s="22"/>
      <c r="D553" s="23"/>
      <c r="E553" s="23"/>
      <c r="F553" s="23"/>
      <c r="G553" s="21"/>
      <c r="H553" s="24" t="str">
        <f aca="false">IF(OR(A553="",D553="",G553=""),"",D553*G553)</f>
        <v/>
      </c>
      <c r="I553" s="25" t="str">
        <f aca="false">IF(OR(A553="",B553=""),"",IFERROR(LOOKUP(2,1/(单次交易!$A$2:$A$201=A553),单次交易!$H$2:$H$201),0)+SUMIFS($G$2:$G$1001,$A$2:$A$1001,A553,$B$2:$B$1001,"&lt;"&amp;B553))</f>
        <v/>
      </c>
      <c r="J553" s="24" t="str">
        <f aca="false">IF(OR(A553="",B553=""),"",IFERROR(LOOKUP(2,1/(单次交易!$A$2:$A$201=A553),单次交易!$E$2:$E$201)*LOOKUP(2,1/(单次交易!$A$2:$A$201=A553),单次交易!$H$2:$H$201),0)+SUMIFS($H$2:$H$1001,$A$2:$A$1001,A553,$B$2:$B$1001,"&lt;"&amp;B553))</f>
        <v/>
      </c>
      <c r="K553" s="24" t="str">
        <f aca="false">IF(OR(E553="",I553="",J553=""),"",MAX(E553*I553-J553,0))</f>
        <v/>
      </c>
      <c r="L553" s="25" t="str">
        <f aca="false">IF(OR(D553="",E553="",F553="",D553&lt;=E553),"",FLOOR((F553+K553)/(D553-E553),100))</f>
        <v/>
      </c>
      <c r="M553" s="25" t="str">
        <f aca="false">IF(OR(A553="",B553="",L553=""),"",IF(B553=1,L553,IFERROR(SUMIFS($G$2:$G$1001,$A$2:$A$1001,A553,$B$2:$B$1001,B553-1),0)))</f>
        <v/>
      </c>
      <c r="N553" s="25" t="str">
        <f aca="false">IF(OR(L553="",M553=""),"",MIN(L553,M553))</f>
        <v/>
      </c>
      <c r="O553" s="25" t="str">
        <f aca="false">IF(OR(I553="",G553=""),"",I553+G553)</f>
        <v/>
      </c>
      <c r="P553" s="24" t="str">
        <f aca="false">IF(OR(O553="",O553=0),"",(J553+H553)/O553)</f>
        <v/>
      </c>
      <c r="Q553" s="24" t="str">
        <f aca="false">IF(OR(O553="",E553=""),"",MAX(J553+H553-E553*O553,0))</f>
        <v/>
      </c>
      <c r="R553" s="26" t="str">
        <f aca="false">IF(A553="","",IF(COUNTIF(_TradeIds,A553)=0,"违规：交易编号不存在",IF(OR(B553="",B553&lt;1,B553&gt;5,B553&lt;&gt;INT(B553)),"违规：加仓序号须为1到5的整数",IF(COUNTIFS($A$2:$A$1001,A553,$B$2:$B$1001,B553)&gt;1,"违规：同一交易的加仓序号重复",IF(OR(D553="",E553="",F553=""),"计划不完整：请填写加仓价、新止损价和风险预算",IF(OR(D553&lt;=0,E553&lt;=0,F553&lt;=0,D553&lt;=E553),"违规：加仓价必须高于新止损价，金额须大于0",IF(AND(B553&gt;1,COUNTIFS($A$2:$A$1001,A553,$B$2:$B$1001,B553-1,$G$2:$G$1001,"&gt;0")=0),"违规：须先完成上一次加仓",IF(AND(B553&gt;1,E553&lt;SUMIFS($E$2:$E$1001,$A$2:$A$1001,A553,$B$2:$B$1001,B553-1)),"违规：新止损价不得低于上一次",IF(AND(B553&gt;1,F553&gt;SUMIFS($F$2:$F$1001,$A$2:$A$1001,A553,$B$2:$B$1001,B553-1)),"违规：风险预算须逐次不增加",IF(OR(_LockStatus="已锁仓",_LockStatus="解锁信息不完整"),"违规：锁仓期间禁止加仓",IF(G553="","计划可执行：建议股数见N列",IF(OR(G553&lt;=0,G553&lt;&gt;INT(G553),MOD(G553,100)&lt;&gt;0),"违规：实际股数须为100股整数倍",IF(G553&gt;N553,"违规：实际股数超过风险或金字塔上限",IF(AND(B553&gt;1,G553&gt;SUMIFS($G$2:$G$1001,$A$2:$A$1001,A553,$B$2:$B$1001,B553-1)),"违规：加仓股数须逐次不增加",IF(Q553&gt;F553,"违规：止损风险超过本次预算","通过")))))))))))))))</f>
        <v/>
      </c>
    </row>
    <row r="554" customFormat="false" ht="15" hidden="false" customHeight="false" outlineLevel="0" collapsed="false">
      <c r="A554" s="20"/>
      <c r="B554" s="21"/>
      <c r="C554" s="22"/>
      <c r="D554" s="23"/>
      <c r="E554" s="23"/>
      <c r="F554" s="23"/>
      <c r="G554" s="21"/>
      <c r="H554" s="24" t="str">
        <f aca="false">IF(OR(A554="",D554="",G554=""),"",D554*G554)</f>
        <v/>
      </c>
      <c r="I554" s="25" t="str">
        <f aca="false">IF(OR(A554="",B554=""),"",IFERROR(LOOKUP(2,1/(单次交易!$A$2:$A$201=A554),单次交易!$H$2:$H$201),0)+SUMIFS($G$2:$G$1001,$A$2:$A$1001,A554,$B$2:$B$1001,"&lt;"&amp;B554))</f>
        <v/>
      </c>
      <c r="J554" s="24" t="str">
        <f aca="false">IF(OR(A554="",B554=""),"",IFERROR(LOOKUP(2,1/(单次交易!$A$2:$A$201=A554),单次交易!$E$2:$E$201)*LOOKUP(2,1/(单次交易!$A$2:$A$201=A554),单次交易!$H$2:$H$201),0)+SUMIFS($H$2:$H$1001,$A$2:$A$1001,A554,$B$2:$B$1001,"&lt;"&amp;B554))</f>
        <v/>
      </c>
      <c r="K554" s="24" t="str">
        <f aca="false">IF(OR(E554="",I554="",J554=""),"",MAX(E554*I554-J554,0))</f>
        <v/>
      </c>
      <c r="L554" s="25" t="str">
        <f aca="false">IF(OR(D554="",E554="",F554="",D554&lt;=E554),"",FLOOR((F554+K554)/(D554-E554),100))</f>
        <v/>
      </c>
      <c r="M554" s="25" t="str">
        <f aca="false">IF(OR(A554="",B554="",L554=""),"",IF(B554=1,L554,IFERROR(SUMIFS($G$2:$G$1001,$A$2:$A$1001,A554,$B$2:$B$1001,B554-1),0)))</f>
        <v/>
      </c>
      <c r="N554" s="25" t="str">
        <f aca="false">IF(OR(L554="",M554=""),"",MIN(L554,M554))</f>
        <v/>
      </c>
      <c r="O554" s="25" t="str">
        <f aca="false">IF(OR(I554="",G554=""),"",I554+G554)</f>
        <v/>
      </c>
      <c r="P554" s="24" t="str">
        <f aca="false">IF(OR(O554="",O554=0),"",(J554+H554)/O554)</f>
        <v/>
      </c>
      <c r="Q554" s="24" t="str">
        <f aca="false">IF(OR(O554="",E554=""),"",MAX(J554+H554-E554*O554,0))</f>
        <v/>
      </c>
      <c r="R554" s="26" t="str">
        <f aca="false">IF(A554="","",IF(COUNTIF(_TradeIds,A554)=0,"违规：交易编号不存在",IF(OR(B554="",B554&lt;1,B554&gt;5,B554&lt;&gt;INT(B554)),"违规：加仓序号须为1到5的整数",IF(COUNTIFS($A$2:$A$1001,A554,$B$2:$B$1001,B554)&gt;1,"违规：同一交易的加仓序号重复",IF(OR(D554="",E554="",F554=""),"计划不完整：请填写加仓价、新止损价和风险预算",IF(OR(D554&lt;=0,E554&lt;=0,F554&lt;=0,D554&lt;=E554),"违规：加仓价必须高于新止损价，金额须大于0",IF(AND(B554&gt;1,COUNTIFS($A$2:$A$1001,A554,$B$2:$B$1001,B554-1,$G$2:$G$1001,"&gt;0")=0),"违规：须先完成上一次加仓",IF(AND(B554&gt;1,E554&lt;SUMIFS($E$2:$E$1001,$A$2:$A$1001,A554,$B$2:$B$1001,B554-1)),"违规：新止损价不得低于上一次",IF(AND(B554&gt;1,F554&gt;SUMIFS($F$2:$F$1001,$A$2:$A$1001,A554,$B$2:$B$1001,B554-1)),"违规：风险预算须逐次不增加",IF(OR(_LockStatus="已锁仓",_LockStatus="解锁信息不完整"),"违规：锁仓期间禁止加仓",IF(G554="","计划可执行：建议股数见N列",IF(OR(G554&lt;=0,G554&lt;&gt;INT(G554),MOD(G554,100)&lt;&gt;0),"违规：实际股数须为100股整数倍",IF(G554&gt;N554,"违规：实际股数超过风险或金字塔上限",IF(AND(B554&gt;1,G554&gt;SUMIFS($G$2:$G$1001,$A$2:$A$1001,A554,$B$2:$B$1001,B554-1)),"违规：加仓股数须逐次不增加",IF(Q554&gt;F554,"违规：止损风险超过本次预算","通过")))))))))))))))</f>
        <v/>
      </c>
    </row>
    <row r="555" customFormat="false" ht="15" hidden="false" customHeight="false" outlineLevel="0" collapsed="false">
      <c r="A555" s="20"/>
      <c r="B555" s="21"/>
      <c r="C555" s="22"/>
      <c r="D555" s="23"/>
      <c r="E555" s="23"/>
      <c r="F555" s="23"/>
      <c r="G555" s="21"/>
      <c r="H555" s="24" t="str">
        <f aca="false">IF(OR(A555="",D555="",G555=""),"",D555*G555)</f>
        <v/>
      </c>
      <c r="I555" s="25" t="str">
        <f aca="false">IF(OR(A555="",B555=""),"",IFERROR(LOOKUP(2,1/(单次交易!$A$2:$A$201=A555),单次交易!$H$2:$H$201),0)+SUMIFS($G$2:$G$1001,$A$2:$A$1001,A555,$B$2:$B$1001,"&lt;"&amp;B555))</f>
        <v/>
      </c>
      <c r="J555" s="24" t="str">
        <f aca="false">IF(OR(A555="",B555=""),"",IFERROR(LOOKUP(2,1/(单次交易!$A$2:$A$201=A555),单次交易!$E$2:$E$201)*LOOKUP(2,1/(单次交易!$A$2:$A$201=A555),单次交易!$H$2:$H$201),0)+SUMIFS($H$2:$H$1001,$A$2:$A$1001,A555,$B$2:$B$1001,"&lt;"&amp;B555))</f>
        <v/>
      </c>
      <c r="K555" s="24" t="str">
        <f aca="false">IF(OR(E555="",I555="",J555=""),"",MAX(E555*I555-J555,0))</f>
        <v/>
      </c>
      <c r="L555" s="25" t="str">
        <f aca="false">IF(OR(D555="",E555="",F555="",D555&lt;=E555),"",FLOOR((F555+K555)/(D555-E555),100))</f>
        <v/>
      </c>
      <c r="M555" s="25" t="str">
        <f aca="false">IF(OR(A555="",B555="",L555=""),"",IF(B555=1,L555,IFERROR(SUMIFS($G$2:$G$1001,$A$2:$A$1001,A555,$B$2:$B$1001,B555-1),0)))</f>
        <v/>
      </c>
      <c r="N555" s="25" t="str">
        <f aca="false">IF(OR(L555="",M555=""),"",MIN(L555,M555))</f>
        <v/>
      </c>
      <c r="O555" s="25" t="str">
        <f aca="false">IF(OR(I555="",G555=""),"",I555+G555)</f>
        <v/>
      </c>
      <c r="P555" s="24" t="str">
        <f aca="false">IF(OR(O555="",O555=0),"",(J555+H555)/O555)</f>
        <v/>
      </c>
      <c r="Q555" s="24" t="str">
        <f aca="false">IF(OR(O555="",E555=""),"",MAX(J555+H555-E555*O555,0))</f>
        <v/>
      </c>
      <c r="R555" s="26" t="str">
        <f aca="false">IF(A555="","",IF(COUNTIF(_TradeIds,A555)=0,"违规：交易编号不存在",IF(OR(B555="",B555&lt;1,B555&gt;5,B555&lt;&gt;INT(B555)),"违规：加仓序号须为1到5的整数",IF(COUNTIFS($A$2:$A$1001,A555,$B$2:$B$1001,B555)&gt;1,"违规：同一交易的加仓序号重复",IF(OR(D555="",E555="",F555=""),"计划不完整：请填写加仓价、新止损价和风险预算",IF(OR(D555&lt;=0,E555&lt;=0,F555&lt;=0,D555&lt;=E555),"违规：加仓价必须高于新止损价，金额须大于0",IF(AND(B555&gt;1,COUNTIFS($A$2:$A$1001,A555,$B$2:$B$1001,B555-1,$G$2:$G$1001,"&gt;0")=0),"违规：须先完成上一次加仓",IF(AND(B555&gt;1,E555&lt;SUMIFS($E$2:$E$1001,$A$2:$A$1001,A555,$B$2:$B$1001,B555-1)),"违规：新止损价不得低于上一次",IF(AND(B555&gt;1,F555&gt;SUMIFS($F$2:$F$1001,$A$2:$A$1001,A555,$B$2:$B$1001,B555-1)),"违规：风险预算须逐次不增加",IF(OR(_LockStatus="已锁仓",_LockStatus="解锁信息不完整"),"违规：锁仓期间禁止加仓",IF(G555="","计划可执行：建议股数见N列",IF(OR(G555&lt;=0,G555&lt;&gt;INT(G555),MOD(G555,100)&lt;&gt;0),"违规：实际股数须为100股整数倍",IF(G555&gt;N555,"违规：实际股数超过风险或金字塔上限",IF(AND(B555&gt;1,G555&gt;SUMIFS($G$2:$G$1001,$A$2:$A$1001,A555,$B$2:$B$1001,B555-1)),"违规：加仓股数须逐次不增加",IF(Q555&gt;F555,"违规：止损风险超过本次预算","通过")))))))))))))))</f>
        <v/>
      </c>
    </row>
    <row r="556" customFormat="false" ht="15" hidden="false" customHeight="false" outlineLevel="0" collapsed="false">
      <c r="A556" s="20"/>
      <c r="B556" s="21"/>
      <c r="C556" s="22"/>
      <c r="D556" s="23"/>
      <c r="E556" s="23"/>
      <c r="F556" s="23"/>
      <c r="G556" s="21"/>
      <c r="H556" s="24" t="str">
        <f aca="false">IF(OR(A556="",D556="",G556=""),"",D556*G556)</f>
        <v/>
      </c>
      <c r="I556" s="25" t="str">
        <f aca="false">IF(OR(A556="",B556=""),"",IFERROR(LOOKUP(2,1/(单次交易!$A$2:$A$201=A556),单次交易!$H$2:$H$201),0)+SUMIFS($G$2:$G$1001,$A$2:$A$1001,A556,$B$2:$B$1001,"&lt;"&amp;B556))</f>
        <v/>
      </c>
      <c r="J556" s="24" t="str">
        <f aca="false">IF(OR(A556="",B556=""),"",IFERROR(LOOKUP(2,1/(单次交易!$A$2:$A$201=A556),单次交易!$E$2:$E$201)*LOOKUP(2,1/(单次交易!$A$2:$A$201=A556),单次交易!$H$2:$H$201),0)+SUMIFS($H$2:$H$1001,$A$2:$A$1001,A556,$B$2:$B$1001,"&lt;"&amp;B556))</f>
        <v/>
      </c>
      <c r="K556" s="24" t="str">
        <f aca="false">IF(OR(E556="",I556="",J556=""),"",MAX(E556*I556-J556,0))</f>
        <v/>
      </c>
      <c r="L556" s="25" t="str">
        <f aca="false">IF(OR(D556="",E556="",F556="",D556&lt;=E556),"",FLOOR((F556+K556)/(D556-E556),100))</f>
        <v/>
      </c>
      <c r="M556" s="25" t="str">
        <f aca="false">IF(OR(A556="",B556="",L556=""),"",IF(B556=1,L556,IFERROR(SUMIFS($G$2:$G$1001,$A$2:$A$1001,A556,$B$2:$B$1001,B556-1),0)))</f>
        <v/>
      </c>
      <c r="N556" s="25" t="str">
        <f aca="false">IF(OR(L556="",M556=""),"",MIN(L556,M556))</f>
        <v/>
      </c>
      <c r="O556" s="25" t="str">
        <f aca="false">IF(OR(I556="",G556=""),"",I556+G556)</f>
        <v/>
      </c>
      <c r="P556" s="24" t="str">
        <f aca="false">IF(OR(O556="",O556=0),"",(J556+H556)/O556)</f>
        <v/>
      </c>
      <c r="Q556" s="24" t="str">
        <f aca="false">IF(OR(O556="",E556=""),"",MAX(J556+H556-E556*O556,0))</f>
        <v/>
      </c>
      <c r="R556" s="26" t="str">
        <f aca="false">IF(A556="","",IF(COUNTIF(_TradeIds,A556)=0,"违规：交易编号不存在",IF(OR(B556="",B556&lt;1,B556&gt;5,B556&lt;&gt;INT(B556)),"违规：加仓序号须为1到5的整数",IF(COUNTIFS($A$2:$A$1001,A556,$B$2:$B$1001,B556)&gt;1,"违规：同一交易的加仓序号重复",IF(OR(D556="",E556="",F556=""),"计划不完整：请填写加仓价、新止损价和风险预算",IF(OR(D556&lt;=0,E556&lt;=0,F556&lt;=0,D556&lt;=E556),"违规：加仓价必须高于新止损价，金额须大于0",IF(AND(B556&gt;1,COUNTIFS($A$2:$A$1001,A556,$B$2:$B$1001,B556-1,$G$2:$G$1001,"&gt;0")=0),"违规：须先完成上一次加仓",IF(AND(B556&gt;1,E556&lt;SUMIFS($E$2:$E$1001,$A$2:$A$1001,A556,$B$2:$B$1001,B556-1)),"违规：新止损价不得低于上一次",IF(AND(B556&gt;1,F556&gt;SUMIFS($F$2:$F$1001,$A$2:$A$1001,A556,$B$2:$B$1001,B556-1)),"违规：风险预算须逐次不增加",IF(OR(_LockStatus="已锁仓",_LockStatus="解锁信息不完整"),"违规：锁仓期间禁止加仓",IF(G556="","计划可执行：建议股数见N列",IF(OR(G556&lt;=0,G556&lt;&gt;INT(G556),MOD(G556,100)&lt;&gt;0),"违规：实际股数须为100股整数倍",IF(G556&gt;N556,"违规：实际股数超过风险或金字塔上限",IF(AND(B556&gt;1,G556&gt;SUMIFS($G$2:$G$1001,$A$2:$A$1001,A556,$B$2:$B$1001,B556-1)),"违规：加仓股数须逐次不增加",IF(Q556&gt;F556,"违规：止损风险超过本次预算","通过")))))))))))))))</f>
        <v/>
      </c>
    </row>
    <row r="557" customFormat="false" ht="15" hidden="false" customHeight="false" outlineLevel="0" collapsed="false">
      <c r="A557" s="20"/>
      <c r="B557" s="21"/>
      <c r="C557" s="22"/>
      <c r="D557" s="23"/>
      <c r="E557" s="23"/>
      <c r="F557" s="23"/>
      <c r="G557" s="21"/>
      <c r="H557" s="24" t="str">
        <f aca="false">IF(OR(A557="",D557="",G557=""),"",D557*G557)</f>
        <v/>
      </c>
      <c r="I557" s="25" t="str">
        <f aca="false">IF(OR(A557="",B557=""),"",IFERROR(LOOKUP(2,1/(单次交易!$A$2:$A$201=A557),单次交易!$H$2:$H$201),0)+SUMIFS($G$2:$G$1001,$A$2:$A$1001,A557,$B$2:$B$1001,"&lt;"&amp;B557))</f>
        <v/>
      </c>
      <c r="J557" s="24" t="str">
        <f aca="false">IF(OR(A557="",B557=""),"",IFERROR(LOOKUP(2,1/(单次交易!$A$2:$A$201=A557),单次交易!$E$2:$E$201)*LOOKUP(2,1/(单次交易!$A$2:$A$201=A557),单次交易!$H$2:$H$201),0)+SUMIFS($H$2:$H$1001,$A$2:$A$1001,A557,$B$2:$B$1001,"&lt;"&amp;B557))</f>
        <v/>
      </c>
      <c r="K557" s="24" t="str">
        <f aca="false">IF(OR(E557="",I557="",J557=""),"",MAX(E557*I557-J557,0))</f>
        <v/>
      </c>
      <c r="L557" s="25" t="str">
        <f aca="false">IF(OR(D557="",E557="",F557="",D557&lt;=E557),"",FLOOR((F557+K557)/(D557-E557),100))</f>
        <v/>
      </c>
      <c r="M557" s="25" t="str">
        <f aca="false">IF(OR(A557="",B557="",L557=""),"",IF(B557=1,L557,IFERROR(SUMIFS($G$2:$G$1001,$A$2:$A$1001,A557,$B$2:$B$1001,B557-1),0)))</f>
        <v/>
      </c>
      <c r="N557" s="25" t="str">
        <f aca="false">IF(OR(L557="",M557=""),"",MIN(L557,M557))</f>
        <v/>
      </c>
      <c r="O557" s="25" t="str">
        <f aca="false">IF(OR(I557="",G557=""),"",I557+G557)</f>
        <v/>
      </c>
      <c r="P557" s="24" t="str">
        <f aca="false">IF(OR(O557="",O557=0),"",(J557+H557)/O557)</f>
        <v/>
      </c>
      <c r="Q557" s="24" t="str">
        <f aca="false">IF(OR(O557="",E557=""),"",MAX(J557+H557-E557*O557,0))</f>
        <v/>
      </c>
      <c r="R557" s="26" t="str">
        <f aca="false">IF(A557="","",IF(COUNTIF(_TradeIds,A557)=0,"违规：交易编号不存在",IF(OR(B557="",B557&lt;1,B557&gt;5,B557&lt;&gt;INT(B557)),"违规：加仓序号须为1到5的整数",IF(COUNTIFS($A$2:$A$1001,A557,$B$2:$B$1001,B557)&gt;1,"违规：同一交易的加仓序号重复",IF(OR(D557="",E557="",F557=""),"计划不完整：请填写加仓价、新止损价和风险预算",IF(OR(D557&lt;=0,E557&lt;=0,F557&lt;=0,D557&lt;=E557),"违规：加仓价必须高于新止损价，金额须大于0",IF(AND(B557&gt;1,COUNTIFS($A$2:$A$1001,A557,$B$2:$B$1001,B557-1,$G$2:$G$1001,"&gt;0")=0),"违规：须先完成上一次加仓",IF(AND(B557&gt;1,E557&lt;SUMIFS($E$2:$E$1001,$A$2:$A$1001,A557,$B$2:$B$1001,B557-1)),"违规：新止损价不得低于上一次",IF(AND(B557&gt;1,F557&gt;SUMIFS($F$2:$F$1001,$A$2:$A$1001,A557,$B$2:$B$1001,B557-1)),"违规：风险预算须逐次不增加",IF(OR(_LockStatus="已锁仓",_LockStatus="解锁信息不完整"),"违规：锁仓期间禁止加仓",IF(G557="","计划可执行：建议股数见N列",IF(OR(G557&lt;=0,G557&lt;&gt;INT(G557),MOD(G557,100)&lt;&gt;0),"违规：实际股数须为100股整数倍",IF(G557&gt;N557,"违规：实际股数超过风险或金字塔上限",IF(AND(B557&gt;1,G557&gt;SUMIFS($G$2:$G$1001,$A$2:$A$1001,A557,$B$2:$B$1001,B557-1)),"违规：加仓股数须逐次不增加",IF(Q557&gt;F557,"违规：止损风险超过本次预算","通过")))))))))))))))</f>
        <v/>
      </c>
    </row>
    <row r="558" customFormat="false" ht="15" hidden="false" customHeight="false" outlineLevel="0" collapsed="false">
      <c r="A558" s="20"/>
      <c r="B558" s="21"/>
      <c r="C558" s="22"/>
      <c r="D558" s="23"/>
      <c r="E558" s="23"/>
      <c r="F558" s="23"/>
      <c r="G558" s="21"/>
      <c r="H558" s="24" t="str">
        <f aca="false">IF(OR(A558="",D558="",G558=""),"",D558*G558)</f>
        <v/>
      </c>
      <c r="I558" s="25" t="str">
        <f aca="false">IF(OR(A558="",B558=""),"",IFERROR(LOOKUP(2,1/(单次交易!$A$2:$A$201=A558),单次交易!$H$2:$H$201),0)+SUMIFS($G$2:$G$1001,$A$2:$A$1001,A558,$B$2:$B$1001,"&lt;"&amp;B558))</f>
        <v/>
      </c>
      <c r="J558" s="24" t="str">
        <f aca="false">IF(OR(A558="",B558=""),"",IFERROR(LOOKUP(2,1/(单次交易!$A$2:$A$201=A558),单次交易!$E$2:$E$201)*LOOKUP(2,1/(单次交易!$A$2:$A$201=A558),单次交易!$H$2:$H$201),0)+SUMIFS($H$2:$H$1001,$A$2:$A$1001,A558,$B$2:$B$1001,"&lt;"&amp;B558))</f>
        <v/>
      </c>
      <c r="K558" s="24" t="str">
        <f aca="false">IF(OR(E558="",I558="",J558=""),"",MAX(E558*I558-J558,0))</f>
        <v/>
      </c>
      <c r="L558" s="25" t="str">
        <f aca="false">IF(OR(D558="",E558="",F558="",D558&lt;=E558),"",FLOOR((F558+K558)/(D558-E558),100))</f>
        <v/>
      </c>
      <c r="M558" s="25" t="str">
        <f aca="false">IF(OR(A558="",B558="",L558=""),"",IF(B558=1,L558,IFERROR(SUMIFS($G$2:$G$1001,$A$2:$A$1001,A558,$B$2:$B$1001,B558-1),0)))</f>
        <v/>
      </c>
      <c r="N558" s="25" t="str">
        <f aca="false">IF(OR(L558="",M558=""),"",MIN(L558,M558))</f>
        <v/>
      </c>
      <c r="O558" s="25" t="str">
        <f aca="false">IF(OR(I558="",G558=""),"",I558+G558)</f>
        <v/>
      </c>
      <c r="P558" s="24" t="str">
        <f aca="false">IF(OR(O558="",O558=0),"",(J558+H558)/O558)</f>
        <v/>
      </c>
      <c r="Q558" s="24" t="str">
        <f aca="false">IF(OR(O558="",E558=""),"",MAX(J558+H558-E558*O558,0))</f>
        <v/>
      </c>
      <c r="R558" s="26" t="str">
        <f aca="false">IF(A558="","",IF(COUNTIF(_TradeIds,A558)=0,"违规：交易编号不存在",IF(OR(B558="",B558&lt;1,B558&gt;5,B558&lt;&gt;INT(B558)),"违规：加仓序号须为1到5的整数",IF(COUNTIFS($A$2:$A$1001,A558,$B$2:$B$1001,B558)&gt;1,"违规：同一交易的加仓序号重复",IF(OR(D558="",E558="",F558=""),"计划不完整：请填写加仓价、新止损价和风险预算",IF(OR(D558&lt;=0,E558&lt;=0,F558&lt;=0,D558&lt;=E558),"违规：加仓价必须高于新止损价，金额须大于0",IF(AND(B558&gt;1,COUNTIFS($A$2:$A$1001,A558,$B$2:$B$1001,B558-1,$G$2:$G$1001,"&gt;0")=0),"违规：须先完成上一次加仓",IF(AND(B558&gt;1,E558&lt;SUMIFS($E$2:$E$1001,$A$2:$A$1001,A558,$B$2:$B$1001,B558-1)),"违规：新止损价不得低于上一次",IF(AND(B558&gt;1,F558&gt;SUMIFS($F$2:$F$1001,$A$2:$A$1001,A558,$B$2:$B$1001,B558-1)),"违规：风险预算须逐次不增加",IF(OR(_LockStatus="已锁仓",_LockStatus="解锁信息不完整"),"违规：锁仓期间禁止加仓",IF(G558="","计划可执行：建议股数见N列",IF(OR(G558&lt;=0,G558&lt;&gt;INT(G558),MOD(G558,100)&lt;&gt;0),"违规：实际股数须为100股整数倍",IF(G558&gt;N558,"违规：实际股数超过风险或金字塔上限",IF(AND(B558&gt;1,G558&gt;SUMIFS($G$2:$G$1001,$A$2:$A$1001,A558,$B$2:$B$1001,B558-1)),"违规：加仓股数须逐次不增加",IF(Q558&gt;F558,"违规：止损风险超过本次预算","通过")))))))))))))))</f>
        <v/>
      </c>
    </row>
    <row r="559" customFormat="false" ht="15" hidden="false" customHeight="false" outlineLevel="0" collapsed="false">
      <c r="A559" s="20"/>
      <c r="B559" s="21"/>
      <c r="C559" s="22"/>
      <c r="D559" s="23"/>
      <c r="E559" s="23"/>
      <c r="F559" s="23"/>
      <c r="G559" s="21"/>
      <c r="H559" s="24" t="str">
        <f aca="false">IF(OR(A559="",D559="",G559=""),"",D559*G559)</f>
        <v/>
      </c>
      <c r="I559" s="25" t="str">
        <f aca="false">IF(OR(A559="",B559=""),"",IFERROR(LOOKUP(2,1/(单次交易!$A$2:$A$201=A559),单次交易!$H$2:$H$201),0)+SUMIFS($G$2:$G$1001,$A$2:$A$1001,A559,$B$2:$B$1001,"&lt;"&amp;B559))</f>
        <v/>
      </c>
      <c r="J559" s="24" t="str">
        <f aca="false">IF(OR(A559="",B559=""),"",IFERROR(LOOKUP(2,1/(单次交易!$A$2:$A$201=A559),单次交易!$E$2:$E$201)*LOOKUP(2,1/(单次交易!$A$2:$A$201=A559),单次交易!$H$2:$H$201),0)+SUMIFS($H$2:$H$1001,$A$2:$A$1001,A559,$B$2:$B$1001,"&lt;"&amp;B559))</f>
        <v/>
      </c>
      <c r="K559" s="24" t="str">
        <f aca="false">IF(OR(E559="",I559="",J559=""),"",MAX(E559*I559-J559,0))</f>
        <v/>
      </c>
      <c r="L559" s="25" t="str">
        <f aca="false">IF(OR(D559="",E559="",F559="",D559&lt;=E559),"",FLOOR((F559+K559)/(D559-E559),100))</f>
        <v/>
      </c>
      <c r="M559" s="25" t="str">
        <f aca="false">IF(OR(A559="",B559="",L559=""),"",IF(B559=1,L559,IFERROR(SUMIFS($G$2:$G$1001,$A$2:$A$1001,A559,$B$2:$B$1001,B559-1),0)))</f>
        <v/>
      </c>
      <c r="N559" s="25" t="str">
        <f aca="false">IF(OR(L559="",M559=""),"",MIN(L559,M559))</f>
        <v/>
      </c>
      <c r="O559" s="25" t="str">
        <f aca="false">IF(OR(I559="",G559=""),"",I559+G559)</f>
        <v/>
      </c>
      <c r="P559" s="24" t="str">
        <f aca="false">IF(OR(O559="",O559=0),"",(J559+H559)/O559)</f>
        <v/>
      </c>
      <c r="Q559" s="24" t="str">
        <f aca="false">IF(OR(O559="",E559=""),"",MAX(J559+H559-E559*O559,0))</f>
        <v/>
      </c>
      <c r="R559" s="26" t="str">
        <f aca="false">IF(A559="","",IF(COUNTIF(_TradeIds,A559)=0,"违规：交易编号不存在",IF(OR(B559="",B559&lt;1,B559&gt;5,B559&lt;&gt;INT(B559)),"违规：加仓序号须为1到5的整数",IF(COUNTIFS($A$2:$A$1001,A559,$B$2:$B$1001,B559)&gt;1,"违规：同一交易的加仓序号重复",IF(OR(D559="",E559="",F559=""),"计划不完整：请填写加仓价、新止损价和风险预算",IF(OR(D559&lt;=0,E559&lt;=0,F559&lt;=0,D559&lt;=E559),"违规：加仓价必须高于新止损价，金额须大于0",IF(AND(B559&gt;1,COUNTIFS($A$2:$A$1001,A559,$B$2:$B$1001,B559-1,$G$2:$G$1001,"&gt;0")=0),"违规：须先完成上一次加仓",IF(AND(B559&gt;1,E559&lt;SUMIFS($E$2:$E$1001,$A$2:$A$1001,A559,$B$2:$B$1001,B559-1)),"违规：新止损价不得低于上一次",IF(AND(B559&gt;1,F559&gt;SUMIFS($F$2:$F$1001,$A$2:$A$1001,A559,$B$2:$B$1001,B559-1)),"违规：风险预算须逐次不增加",IF(OR(_LockStatus="已锁仓",_LockStatus="解锁信息不完整"),"违规：锁仓期间禁止加仓",IF(G559="","计划可执行：建议股数见N列",IF(OR(G559&lt;=0,G559&lt;&gt;INT(G559),MOD(G559,100)&lt;&gt;0),"违规：实际股数须为100股整数倍",IF(G559&gt;N559,"违规：实际股数超过风险或金字塔上限",IF(AND(B559&gt;1,G559&gt;SUMIFS($G$2:$G$1001,$A$2:$A$1001,A559,$B$2:$B$1001,B559-1)),"违规：加仓股数须逐次不增加",IF(Q559&gt;F559,"违规：止损风险超过本次预算","通过")))))))))))))))</f>
        <v/>
      </c>
    </row>
    <row r="560" customFormat="false" ht="15" hidden="false" customHeight="false" outlineLevel="0" collapsed="false">
      <c r="A560" s="20"/>
      <c r="B560" s="21"/>
      <c r="C560" s="22"/>
      <c r="D560" s="23"/>
      <c r="E560" s="23"/>
      <c r="F560" s="23"/>
      <c r="G560" s="21"/>
      <c r="H560" s="24" t="str">
        <f aca="false">IF(OR(A560="",D560="",G560=""),"",D560*G560)</f>
        <v/>
      </c>
      <c r="I560" s="25" t="str">
        <f aca="false">IF(OR(A560="",B560=""),"",IFERROR(LOOKUP(2,1/(单次交易!$A$2:$A$201=A560),单次交易!$H$2:$H$201),0)+SUMIFS($G$2:$G$1001,$A$2:$A$1001,A560,$B$2:$B$1001,"&lt;"&amp;B560))</f>
        <v/>
      </c>
      <c r="J560" s="24" t="str">
        <f aca="false">IF(OR(A560="",B560=""),"",IFERROR(LOOKUP(2,1/(单次交易!$A$2:$A$201=A560),单次交易!$E$2:$E$201)*LOOKUP(2,1/(单次交易!$A$2:$A$201=A560),单次交易!$H$2:$H$201),0)+SUMIFS($H$2:$H$1001,$A$2:$A$1001,A560,$B$2:$B$1001,"&lt;"&amp;B560))</f>
        <v/>
      </c>
      <c r="K560" s="24" t="str">
        <f aca="false">IF(OR(E560="",I560="",J560=""),"",MAX(E560*I560-J560,0))</f>
        <v/>
      </c>
      <c r="L560" s="25" t="str">
        <f aca="false">IF(OR(D560="",E560="",F560="",D560&lt;=E560),"",FLOOR((F560+K560)/(D560-E560),100))</f>
        <v/>
      </c>
      <c r="M560" s="25" t="str">
        <f aca="false">IF(OR(A560="",B560="",L560=""),"",IF(B560=1,L560,IFERROR(SUMIFS($G$2:$G$1001,$A$2:$A$1001,A560,$B$2:$B$1001,B560-1),0)))</f>
        <v/>
      </c>
      <c r="N560" s="25" t="str">
        <f aca="false">IF(OR(L560="",M560=""),"",MIN(L560,M560))</f>
        <v/>
      </c>
      <c r="O560" s="25" t="str">
        <f aca="false">IF(OR(I560="",G560=""),"",I560+G560)</f>
        <v/>
      </c>
      <c r="P560" s="24" t="str">
        <f aca="false">IF(OR(O560="",O560=0),"",(J560+H560)/O560)</f>
        <v/>
      </c>
      <c r="Q560" s="24" t="str">
        <f aca="false">IF(OR(O560="",E560=""),"",MAX(J560+H560-E560*O560,0))</f>
        <v/>
      </c>
      <c r="R560" s="26" t="str">
        <f aca="false">IF(A560="","",IF(COUNTIF(_TradeIds,A560)=0,"违规：交易编号不存在",IF(OR(B560="",B560&lt;1,B560&gt;5,B560&lt;&gt;INT(B560)),"违规：加仓序号须为1到5的整数",IF(COUNTIFS($A$2:$A$1001,A560,$B$2:$B$1001,B560)&gt;1,"违规：同一交易的加仓序号重复",IF(OR(D560="",E560="",F560=""),"计划不完整：请填写加仓价、新止损价和风险预算",IF(OR(D560&lt;=0,E560&lt;=0,F560&lt;=0,D560&lt;=E560),"违规：加仓价必须高于新止损价，金额须大于0",IF(AND(B560&gt;1,COUNTIFS($A$2:$A$1001,A560,$B$2:$B$1001,B560-1,$G$2:$G$1001,"&gt;0")=0),"违规：须先完成上一次加仓",IF(AND(B560&gt;1,E560&lt;SUMIFS($E$2:$E$1001,$A$2:$A$1001,A560,$B$2:$B$1001,B560-1)),"违规：新止损价不得低于上一次",IF(AND(B560&gt;1,F560&gt;SUMIFS($F$2:$F$1001,$A$2:$A$1001,A560,$B$2:$B$1001,B560-1)),"违规：风险预算须逐次不增加",IF(OR(_LockStatus="已锁仓",_LockStatus="解锁信息不完整"),"违规：锁仓期间禁止加仓",IF(G560="","计划可执行：建议股数见N列",IF(OR(G560&lt;=0,G560&lt;&gt;INT(G560),MOD(G560,100)&lt;&gt;0),"违规：实际股数须为100股整数倍",IF(G560&gt;N560,"违规：实际股数超过风险或金字塔上限",IF(AND(B560&gt;1,G560&gt;SUMIFS($G$2:$G$1001,$A$2:$A$1001,A560,$B$2:$B$1001,B560-1)),"违规：加仓股数须逐次不增加",IF(Q560&gt;F560,"违规：止损风险超过本次预算","通过")))))))))))))))</f>
        <v/>
      </c>
    </row>
    <row r="561" customFormat="false" ht="15" hidden="false" customHeight="false" outlineLevel="0" collapsed="false">
      <c r="A561" s="20"/>
      <c r="B561" s="21"/>
      <c r="C561" s="22"/>
      <c r="D561" s="23"/>
      <c r="E561" s="23"/>
      <c r="F561" s="23"/>
      <c r="G561" s="21"/>
      <c r="H561" s="24" t="str">
        <f aca="false">IF(OR(A561="",D561="",G561=""),"",D561*G561)</f>
        <v/>
      </c>
      <c r="I561" s="25" t="str">
        <f aca="false">IF(OR(A561="",B561=""),"",IFERROR(LOOKUP(2,1/(单次交易!$A$2:$A$201=A561),单次交易!$H$2:$H$201),0)+SUMIFS($G$2:$G$1001,$A$2:$A$1001,A561,$B$2:$B$1001,"&lt;"&amp;B561))</f>
        <v/>
      </c>
      <c r="J561" s="24" t="str">
        <f aca="false">IF(OR(A561="",B561=""),"",IFERROR(LOOKUP(2,1/(单次交易!$A$2:$A$201=A561),单次交易!$E$2:$E$201)*LOOKUP(2,1/(单次交易!$A$2:$A$201=A561),单次交易!$H$2:$H$201),0)+SUMIFS($H$2:$H$1001,$A$2:$A$1001,A561,$B$2:$B$1001,"&lt;"&amp;B561))</f>
        <v/>
      </c>
      <c r="K561" s="24" t="str">
        <f aca="false">IF(OR(E561="",I561="",J561=""),"",MAX(E561*I561-J561,0))</f>
        <v/>
      </c>
      <c r="L561" s="25" t="str">
        <f aca="false">IF(OR(D561="",E561="",F561="",D561&lt;=E561),"",FLOOR((F561+K561)/(D561-E561),100))</f>
        <v/>
      </c>
      <c r="M561" s="25" t="str">
        <f aca="false">IF(OR(A561="",B561="",L561=""),"",IF(B561=1,L561,IFERROR(SUMIFS($G$2:$G$1001,$A$2:$A$1001,A561,$B$2:$B$1001,B561-1),0)))</f>
        <v/>
      </c>
      <c r="N561" s="25" t="str">
        <f aca="false">IF(OR(L561="",M561=""),"",MIN(L561,M561))</f>
        <v/>
      </c>
      <c r="O561" s="25" t="str">
        <f aca="false">IF(OR(I561="",G561=""),"",I561+G561)</f>
        <v/>
      </c>
      <c r="P561" s="24" t="str">
        <f aca="false">IF(OR(O561="",O561=0),"",(J561+H561)/O561)</f>
        <v/>
      </c>
      <c r="Q561" s="24" t="str">
        <f aca="false">IF(OR(O561="",E561=""),"",MAX(J561+H561-E561*O561,0))</f>
        <v/>
      </c>
      <c r="R561" s="26" t="str">
        <f aca="false">IF(A561="","",IF(COUNTIF(_TradeIds,A561)=0,"违规：交易编号不存在",IF(OR(B561="",B561&lt;1,B561&gt;5,B561&lt;&gt;INT(B561)),"违规：加仓序号须为1到5的整数",IF(COUNTIFS($A$2:$A$1001,A561,$B$2:$B$1001,B561)&gt;1,"违规：同一交易的加仓序号重复",IF(OR(D561="",E561="",F561=""),"计划不完整：请填写加仓价、新止损价和风险预算",IF(OR(D561&lt;=0,E561&lt;=0,F561&lt;=0,D561&lt;=E561),"违规：加仓价必须高于新止损价，金额须大于0",IF(AND(B561&gt;1,COUNTIFS($A$2:$A$1001,A561,$B$2:$B$1001,B561-1,$G$2:$G$1001,"&gt;0")=0),"违规：须先完成上一次加仓",IF(AND(B561&gt;1,E561&lt;SUMIFS($E$2:$E$1001,$A$2:$A$1001,A561,$B$2:$B$1001,B561-1)),"违规：新止损价不得低于上一次",IF(AND(B561&gt;1,F561&gt;SUMIFS($F$2:$F$1001,$A$2:$A$1001,A561,$B$2:$B$1001,B561-1)),"违规：风险预算须逐次不增加",IF(OR(_LockStatus="已锁仓",_LockStatus="解锁信息不完整"),"违规：锁仓期间禁止加仓",IF(G561="","计划可执行：建议股数见N列",IF(OR(G561&lt;=0,G561&lt;&gt;INT(G561),MOD(G561,100)&lt;&gt;0),"违规：实际股数须为100股整数倍",IF(G561&gt;N561,"违规：实际股数超过风险或金字塔上限",IF(AND(B561&gt;1,G561&gt;SUMIFS($G$2:$G$1001,$A$2:$A$1001,A561,$B$2:$B$1001,B561-1)),"违规：加仓股数须逐次不增加",IF(Q561&gt;F561,"违规：止损风险超过本次预算","通过")))))))))))))))</f>
        <v/>
      </c>
    </row>
    <row r="562" customFormat="false" ht="15" hidden="false" customHeight="false" outlineLevel="0" collapsed="false">
      <c r="A562" s="20"/>
      <c r="B562" s="21"/>
      <c r="C562" s="22"/>
      <c r="D562" s="23"/>
      <c r="E562" s="23"/>
      <c r="F562" s="23"/>
      <c r="G562" s="21"/>
      <c r="H562" s="24" t="str">
        <f aca="false">IF(OR(A562="",D562="",G562=""),"",D562*G562)</f>
        <v/>
      </c>
      <c r="I562" s="25" t="str">
        <f aca="false">IF(OR(A562="",B562=""),"",IFERROR(LOOKUP(2,1/(单次交易!$A$2:$A$201=A562),单次交易!$H$2:$H$201),0)+SUMIFS($G$2:$G$1001,$A$2:$A$1001,A562,$B$2:$B$1001,"&lt;"&amp;B562))</f>
        <v/>
      </c>
      <c r="J562" s="24" t="str">
        <f aca="false">IF(OR(A562="",B562=""),"",IFERROR(LOOKUP(2,1/(单次交易!$A$2:$A$201=A562),单次交易!$E$2:$E$201)*LOOKUP(2,1/(单次交易!$A$2:$A$201=A562),单次交易!$H$2:$H$201),0)+SUMIFS($H$2:$H$1001,$A$2:$A$1001,A562,$B$2:$B$1001,"&lt;"&amp;B562))</f>
        <v/>
      </c>
      <c r="K562" s="24" t="str">
        <f aca="false">IF(OR(E562="",I562="",J562=""),"",MAX(E562*I562-J562,0))</f>
        <v/>
      </c>
      <c r="L562" s="25" t="str">
        <f aca="false">IF(OR(D562="",E562="",F562="",D562&lt;=E562),"",FLOOR((F562+K562)/(D562-E562),100))</f>
        <v/>
      </c>
      <c r="M562" s="25" t="str">
        <f aca="false">IF(OR(A562="",B562="",L562=""),"",IF(B562=1,L562,IFERROR(SUMIFS($G$2:$G$1001,$A$2:$A$1001,A562,$B$2:$B$1001,B562-1),0)))</f>
        <v/>
      </c>
      <c r="N562" s="25" t="str">
        <f aca="false">IF(OR(L562="",M562=""),"",MIN(L562,M562))</f>
        <v/>
      </c>
      <c r="O562" s="25" t="str">
        <f aca="false">IF(OR(I562="",G562=""),"",I562+G562)</f>
        <v/>
      </c>
      <c r="P562" s="24" t="str">
        <f aca="false">IF(OR(O562="",O562=0),"",(J562+H562)/O562)</f>
        <v/>
      </c>
      <c r="Q562" s="24" t="str">
        <f aca="false">IF(OR(O562="",E562=""),"",MAX(J562+H562-E562*O562,0))</f>
        <v/>
      </c>
      <c r="R562" s="26" t="str">
        <f aca="false">IF(A562="","",IF(COUNTIF(_TradeIds,A562)=0,"违规：交易编号不存在",IF(OR(B562="",B562&lt;1,B562&gt;5,B562&lt;&gt;INT(B562)),"违规：加仓序号须为1到5的整数",IF(COUNTIFS($A$2:$A$1001,A562,$B$2:$B$1001,B562)&gt;1,"违规：同一交易的加仓序号重复",IF(OR(D562="",E562="",F562=""),"计划不完整：请填写加仓价、新止损价和风险预算",IF(OR(D562&lt;=0,E562&lt;=0,F562&lt;=0,D562&lt;=E562),"违规：加仓价必须高于新止损价，金额须大于0",IF(AND(B562&gt;1,COUNTIFS($A$2:$A$1001,A562,$B$2:$B$1001,B562-1,$G$2:$G$1001,"&gt;0")=0),"违规：须先完成上一次加仓",IF(AND(B562&gt;1,E562&lt;SUMIFS($E$2:$E$1001,$A$2:$A$1001,A562,$B$2:$B$1001,B562-1)),"违规：新止损价不得低于上一次",IF(AND(B562&gt;1,F562&gt;SUMIFS($F$2:$F$1001,$A$2:$A$1001,A562,$B$2:$B$1001,B562-1)),"违规：风险预算须逐次不增加",IF(OR(_LockStatus="已锁仓",_LockStatus="解锁信息不完整"),"违规：锁仓期间禁止加仓",IF(G562="","计划可执行：建议股数见N列",IF(OR(G562&lt;=0,G562&lt;&gt;INT(G562),MOD(G562,100)&lt;&gt;0),"违规：实际股数须为100股整数倍",IF(G562&gt;N562,"违规：实际股数超过风险或金字塔上限",IF(AND(B562&gt;1,G562&gt;SUMIFS($G$2:$G$1001,$A$2:$A$1001,A562,$B$2:$B$1001,B562-1)),"违规：加仓股数须逐次不增加",IF(Q562&gt;F562,"违规：止损风险超过本次预算","通过")))))))))))))))</f>
        <v/>
      </c>
    </row>
    <row r="563" customFormat="false" ht="15" hidden="false" customHeight="false" outlineLevel="0" collapsed="false">
      <c r="A563" s="20"/>
      <c r="B563" s="21"/>
      <c r="C563" s="22"/>
      <c r="D563" s="23"/>
      <c r="E563" s="23"/>
      <c r="F563" s="23"/>
      <c r="G563" s="21"/>
      <c r="H563" s="24" t="str">
        <f aca="false">IF(OR(A563="",D563="",G563=""),"",D563*G563)</f>
        <v/>
      </c>
      <c r="I563" s="25" t="str">
        <f aca="false">IF(OR(A563="",B563=""),"",IFERROR(LOOKUP(2,1/(单次交易!$A$2:$A$201=A563),单次交易!$H$2:$H$201),0)+SUMIFS($G$2:$G$1001,$A$2:$A$1001,A563,$B$2:$B$1001,"&lt;"&amp;B563))</f>
        <v/>
      </c>
      <c r="J563" s="24" t="str">
        <f aca="false">IF(OR(A563="",B563=""),"",IFERROR(LOOKUP(2,1/(单次交易!$A$2:$A$201=A563),单次交易!$E$2:$E$201)*LOOKUP(2,1/(单次交易!$A$2:$A$201=A563),单次交易!$H$2:$H$201),0)+SUMIFS($H$2:$H$1001,$A$2:$A$1001,A563,$B$2:$B$1001,"&lt;"&amp;B563))</f>
        <v/>
      </c>
      <c r="K563" s="24" t="str">
        <f aca="false">IF(OR(E563="",I563="",J563=""),"",MAX(E563*I563-J563,0))</f>
        <v/>
      </c>
      <c r="L563" s="25" t="str">
        <f aca="false">IF(OR(D563="",E563="",F563="",D563&lt;=E563),"",FLOOR((F563+K563)/(D563-E563),100))</f>
        <v/>
      </c>
      <c r="M563" s="25" t="str">
        <f aca="false">IF(OR(A563="",B563="",L563=""),"",IF(B563=1,L563,IFERROR(SUMIFS($G$2:$G$1001,$A$2:$A$1001,A563,$B$2:$B$1001,B563-1),0)))</f>
        <v/>
      </c>
      <c r="N563" s="25" t="str">
        <f aca="false">IF(OR(L563="",M563=""),"",MIN(L563,M563))</f>
        <v/>
      </c>
      <c r="O563" s="25" t="str">
        <f aca="false">IF(OR(I563="",G563=""),"",I563+G563)</f>
        <v/>
      </c>
      <c r="P563" s="24" t="str">
        <f aca="false">IF(OR(O563="",O563=0),"",(J563+H563)/O563)</f>
        <v/>
      </c>
      <c r="Q563" s="24" t="str">
        <f aca="false">IF(OR(O563="",E563=""),"",MAX(J563+H563-E563*O563,0))</f>
        <v/>
      </c>
      <c r="R563" s="26" t="str">
        <f aca="false">IF(A563="","",IF(COUNTIF(_TradeIds,A563)=0,"违规：交易编号不存在",IF(OR(B563="",B563&lt;1,B563&gt;5,B563&lt;&gt;INT(B563)),"违规：加仓序号须为1到5的整数",IF(COUNTIFS($A$2:$A$1001,A563,$B$2:$B$1001,B563)&gt;1,"违规：同一交易的加仓序号重复",IF(OR(D563="",E563="",F563=""),"计划不完整：请填写加仓价、新止损价和风险预算",IF(OR(D563&lt;=0,E563&lt;=0,F563&lt;=0,D563&lt;=E563),"违规：加仓价必须高于新止损价，金额须大于0",IF(AND(B563&gt;1,COUNTIFS($A$2:$A$1001,A563,$B$2:$B$1001,B563-1,$G$2:$G$1001,"&gt;0")=0),"违规：须先完成上一次加仓",IF(AND(B563&gt;1,E563&lt;SUMIFS($E$2:$E$1001,$A$2:$A$1001,A563,$B$2:$B$1001,B563-1)),"违规：新止损价不得低于上一次",IF(AND(B563&gt;1,F563&gt;SUMIFS($F$2:$F$1001,$A$2:$A$1001,A563,$B$2:$B$1001,B563-1)),"违规：风险预算须逐次不增加",IF(OR(_LockStatus="已锁仓",_LockStatus="解锁信息不完整"),"违规：锁仓期间禁止加仓",IF(G563="","计划可执行：建议股数见N列",IF(OR(G563&lt;=0,G563&lt;&gt;INT(G563),MOD(G563,100)&lt;&gt;0),"违规：实际股数须为100股整数倍",IF(G563&gt;N563,"违规：实际股数超过风险或金字塔上限",IF(AND(B563&gt;1,G563&gt;SUMIFS($G$2:$G$1001,$A$2:$A$1001,A563,$B$2:$B$1001,B563-1)),"违规：加仓股数须逐次不增加",IF(Q563&gt;F563,"违规：止损风险超过本次预算","通过")))))))))))))))</f>
        <v/>
      </c>
    </row>
    <row r="564" customFormat="false" ht="15" hidden="false" customHeight="false" outlineLevel="0" collapsed="false">
      <c r="A564" s="20"/>
      <c r="B564" s="21"/>
      <c r="C564" s="22"/>
      <c r="D564" s="23"/>
      <c r="E564" s="23"/>
      <c r="F564" s="23"/>
      <c r="G564" s="21"/>
      <c r="H564" s="24" t="str">
        <f aca="false">IF(OR(A564="",D564="",G564=""),"",D564*G564)</f>
        <v/>
      </c>
      <c r="I564" s="25" t="str">
        <f aca="false">IF(OR(A564="",B564=""),"",IFERROR(LOOKUP(2,1/(单次交易!$A$2:$A$201=A564),单次交易!$H$2:$H$201),0)+SUMIFS($G$2:$G$1001,$A$2:$A$1001,A564,$B$2:$B$1001,"&lt;"&amp;B564))</f>
        <v/>
      </c>
      <c r="J564" s="24" t="str">
        <f aca="false">IF(OR(A564="",B564=""),"",IFERROR(LOOKUP(2,1/(单次交易!$A$2:$A$201=A564),单次交易!$E$2:$E$201)*LOOKUP(2,1/(单次交易!$A$2:$A$201=A564),单次交易!$H$2:$H$201),0)+SUMIFS($H$2:$H$1001,$A$2:$A$1001,A564,$B$2:$B$1001,"&lt;"&amp;B564))</f>
        <v/>
      </c>
      <c r="K564" s="24" t="str">
        <f aca="false">IF(OR(E564="",I564="",J564=""),"",MAX(E564*I564-J564,0))</f>
        <v/>
      </c>
      <c r="L564" s="25" t="str">
        <f aca="false">IF(OR(D564="",E564="",F564="",D564&lt;=E564),"",FLOOR((F564+K564)/(D564-E564),100))</f>
        <v/>
      </c>
      <c r="M564" s="25" t="str">
        <f aca="false">IF(OR(A564="",B564="",L564=""),"",IF(B564=1,L564,IFERROR(SUMIFS($G$2:$G$1001,$A$2:$A$1001,A564,$B$2:$B$1001,B564-1),0)))</f>
        <v/>
      </c>
      <c r="N564" s="25" t="str">
        <f aca="false">IF(OR(L564="",M564=""),"",MIN(L564,M564))</f>
        <v/>
      </c>
      <c r="O564" s="25" t="str">
        <f aca="false">IF(OR(I564="",G564=""),"",I564+G564)</f>
        <v/>
      </c>
      <c r="P564" s="24" t="str">
        <f aca="false">IF(OR(O564="",O564=0),"",(J564+H564)/O564)</f>
        <v/>
      </c>
      <c r="Q564" s="24" t="str">
        <f aca="false">IF(OR(O564="",E564=""),"",MAX(J564+H564-E564*O564,0))</f>
        <v/>
      </c>
      <c r="R564" s="26" t="str">
        <f aca="false">IF(A564="","",IF(COUNTIF(_TradeIds,A564)=0,"违规：交易编号不存在",IF(OR(B564="",B564&lt;1,B564&gt;5,B564&lt;&gt;INT(B564)),"违规：加仓序号须为1到5的整数",IF(COUNTIFS($A$2:$A$1001,A564,$B$2:$B$1001,B564)&gt;1,"违规：同一交易的加仓序号重复",IF(OR(D564="",E564="",F564=""),"计划不完整：请填写加仓价、新止损价和风险预算",IF(OR(D564&lt;=0,E564&lt;=0,F564&lt;=0,D564&lt;=E564),"违规：加仓价必须高于新止损价，金额须大于0",IF(AND(B564&gt;1,COUNTIFS($A$2:$A$1001,A564,$B$2:$B$1001,B564-1,$G$2:$G$1001,"&gt;0")=0),"违规：须先完成上一次加仓",IF(AND(B564&gt;1,E564&lt;SUMIFS($E$2:$E$1001,$A$2:$A$1001,A564,$B$2:$B$1001,B564-1)),"违规：新止损价不得低于上一次",IF(AND(B564&gt;1,F564&gt;SUMIFS($F$2:$F$1001,$A$2:$A$1001,A564,$B$2:$B$1001,B564-1)),"违规：风险预算须逐次不增加",IF(OR(_LockStatus="已锁仓",_LockStatus="解锁信息不完整"),"违规：锁仓期间禁止加仓",IF(G564="","计划可执行：建议股数见N列",IF(OR(G564&lt;=0,G564&lt;&gt;INT(G564),MOD(G564,100)&lt;&gt;0),"违规：实际股数须为100股整数倍",IF(G564&gt;N564,"违规：实际股数超过风险或金字塔上限",IF(AND(B564&gt;1,G564&gt;SUMIFS($G$2:$G$1001,$A$2:$A$1001,A564,$B$2:$B$1001,B564-1)),"违规：加仓股数须逐次不增加",IF(Q564&gt;F564,"违规：止损风险超过本次预算","通过")))))))))))))))</f>
        <v/>
      </c>
    </row>
    <row r="565" customFormat="false" ht="15" hidden="false" customHeight="false" outlineLevel="0" collapsed="false">
      <c r="A565" s="20"/>
      <c r="B565" s="21"/>
      <c r="C565" s="22"/>
      <c r="D565" s="23"/>
      <c r="E565" s="23"/>
      <c r="F565" s="23"/>
      <c r="G565" s="21"/>
      <c r="H565" s="24" t="str">
        <f aca="false">IF(OR(A565="",D565="",G565=""),"",D565*G565)</f>
        <v/>
      </c>
      <c r="I565" s="25" t="str">
        <f aca="false">IF(OR(A565="",B565=""),"",IFERROR(LOOKUP(2,1/(单次交易!$A$2:$A$201=A565),单次交易!$H$2:$H$201),0)+SUMIFS($G$2:$G$1001,$A$2:$A$1001,A565,$B$2:$B$1001,"&lt;"&amp;B565))</f>
        <v/>
      </c>
      <c r="J565" s="24" t="str">
        <f aca="false">IF(OR(A565="",B565=""),"",IFERROR(LOOKUP(2,1/(单次交易!$A$2:$A$201=A565),单次交易!$E$2:$E$201)*LOOKUP(2,1/(单次交易!$A$2:$A$201=A565),单次交易!$H$2:$H$201),0)+SUMIFS($H$2:$H$1001,$A$2:$A$1001,A565,$B$2:$B$1001,"&lt;"&amp;B565))</f>
        <v/>
      </c>
      <c r="K565" s="24" t="str">
        <f aca="false">IF(OR(E565="",I565="",J565=""),"",MAX(E565*I565-J565,0))</f>
        <v/>
      </c>
      <c r="L565" s="25" t="str">
        <f aca="false">IF(OR(D565="",E565="",F565="",D565&lt;=E565),"",FLOOR((F565+K565)/(D565-E565),100))</f>
        <v/>
      </c>
      <c r="M565" s="25" t="str">
        <f aca="false">IF(OR(A565="",B565="",L565=""),"",IF(B565=1,L565,IFERROR(SUMIFS($G$2:$G$1001,$A$2:$A$1001,A565,$B$2:$B$1001,B565-1),0)))</f>
        <v/>
      </c>
      <c r="N565" s="25" t="str">
        <f aca="false">IF(OR(L565="",M565=""),"",MIN(L565,M565))</f>
        <v/>
      </c>
      <c r="O565" s="25" t="str">
        <f aca="false">IF(OR(I565="",G565=""),"",I565+G565)</f>
        <v/>
      </c>
      <c r="P565" s="24" t="str">
        <f aca="false">IF(OR(O565="",O565=0),"",(J565+H565)/O565)</f>
        <v/>
      </c>
      <c r="Q565" s="24" t="str">
        <f aca="false">IF(OR(O565="",E565=""),"",MAX(J565+H565-E565*O565,0))</f>
        <v/>
      </c>
      <c r="R565" s="26" t="str">
        <f aca="false">IF(A565="","",IF(COUNTIF(_TradeIds,A565)=0,"违规：交易编号不存在",IF(OR(B565="",B565&lt;1,B565&gt;5,B565&lt;&gt;INT(B565)),"违规：加仓序号须为1到5的整数",IF(COUNTIFS($A$2:$A$1001,A565,$B$2:$B$1001,B565)&gt;1,"违规：同一交易的加仓序号重复",IF(OR(D565="",E565="",F565=""),"计划不完整：请填写加仓价、新止损价和风险预算",IF(OR(D565&lt;=0,E565&lt;=0,F565&lt;=0,D565&lt;=E565),"违规：加仓价必须高于新止损价，金额须大于0",IF(AND(B565&gt;1,COUNTIFS($A$2:$A$1001,A565,$B$2:$B$1001,B565-1,$G$2:$G$1001,"&gt;0")=0),"违规：须先完成上一次加仓",IF(AND(B565&gt;1,E565&lt;SUMIFS($E$2:$E$1001,$A$2:$A$1001,A565,$B$2:$B$1001,B565-1)),"违规：新止损价不得低于上一次",IF(AND(B565&gt;1,F565&gt;SUMIFS($F$2:$F$1001,$A$2:$A$1001,A565,$B$2:$B$1001,B565-1)),"违规：风险预算须逐次不增加",IF(OR(_LockStatus="已锁仓",_LockStatus="解锁信息不完整"),"违规：锁仓期间禁止加仓",IF(G565="","计划可执行：建议股数见N列",IF(OR(G565&lt;=0,G565&lt;&gt;INT(G565),MOD(G565,100)&lt;&gt;0),"违规：实际股数须为100股整数倍",IF(G565&gt;N565,"违规：实际股数超过风险或金字塔上限",IF(AND(B565&gt;1,G565&gt;SUMIFS($G$2:$G$1001,$A$2:$A$1001,A565,$B$2:$B$1001,B565-1)),"违规：加仓股数须逐次不增加",IF(Q565&gt;F565,"违规：止损风险超过本次预算","通过")))))))))))))))</f>
        <v/>
      </c>
    </row>
    <row r="566" customFormat="false" ht="15" hidden="false" customHeight="false" outlineLevel="0" collapsed="false">
      <c r="A566" s="20"/>
      <c r="B566" s="21"/>
      <c r="C566" s="22"/>
      <c r="D566" s="23"/>
      <c r="E566" s="23"/>
      <c r="F566" s="23"/>
      <c r="G566" s="21"/>
      <c r="H566" s="24" t="str">
        <f aca="false">IF(OR(A566="",D566="",G566=""),"",D566*G566)</f>
        <v/>
      </c>
      <c r="I566" s="25" t="str">
        <f aca="false">IF(OR(A566="",B566=""),"",IFERROR(LOOKUP(2,1/(单次交易!$A$2:$A$201=A566),单次交易!$H$2:$H$201),0)+SUMIFS($G$2:$G$1001,$A$2:$A$1001,A566,$B$2:$B$1001,"&lt;"&amp;B566))</f>
        <v/>
      </c>
      <c r="J566" s="24" t="str">
        <f aca="false">IF(OR(A566="",B566=""),"",IFERROR(LOOKUP(2,1/(单次交易!$A$2:$A$201=A566),单次交易!$E$2:$E$201)*LOOKUP(2,1/(单次交易!$A$2:$A$201=A566),单次交易!$H$2:$H$201),0)+SUMIFS($H$2:$H$1001,$A$2:$A$1001,A566,$B$2:$B$1001,"&lt;"&amp;B566))</f>
        <v/>
      </c>
      <c r="K566" s="24" t="str">
        <f aca="false">IF(OR(E566="",I566="",J566=""),"",MAX(E566*I566-J566,0))</f>
        <v/>
      </c>
      <c r="L566" s="25" t="str">
        <f aca="false">IF(OR(D566="",E566="",F566="",D566&lt;=E566),"",FLOOR((F566+K566)/(D566-E566),100))</f>
        <v/>
      </c>
      <c r="M566" s="25" t="str">
        <f aca="false">IF(OR(A566="",B566="",L566=""),"",IF(B566=1,L566,IFERROR(SUMIFS($G$2:$G$1001,$A$2:$A$1001,A566,$B$2:$B$1001,B566-1),0)))</f>
        <v/>
      </c>
      <c r="N566" s="25" t="str">
        <f aca="false">IF(OR(L566="",M566=""),"",MIN(L566,M566))</f>
        <v/>
      </c>
      <c r="O566" s="25" t="str">
        <f aca="false">IF(OR(I566="",G566=""),"",I566+G566)</f>
        <v/>
      </c>
      <c r="P566" s="24" t="str">
        <f aca="false">IF(OR(O566="",O566=0),"",(J566+H566)/O566)</f>
        <v/>
      </c>
      <c r="Q566" s="24" t="str">
        <f aca="false">IF(OR(O566="",E566=""),"",MAX(J566+H566-E566*O566,0))</f>
        <v/>
      </c>
      <c r="R566" s="26" t="str">
        <f aca="false">IF(A566="","",IF(COUNTIF(_TradeIds,A566)=0,"违规：交易编号不存在",IF(OR(B566="",B566&lt;1,B566&gt;5,B566&lt;&gt;INT(B566)),"违规：加仓序号须为1到5的整数",IF(COUNTIFS($A$2:$A$1001,A566,$B$2:$B$1001,B566)&gt;1,"违规：同一交易的加仓序号重复",IF(OR(D566="",E566="",F566=""),"计划不完整：请填写加仓价、新止损价和风险预算",IF(OR(D566&lt;=0,E566&lt;=0,F566&lt;=0,D566&lt;=E566),"违规：加仓价必须高于新止损价，金额须大于0",IF(AND(B566&gt;1,COUNTIFS($A$2:$A$1001,A566,$B$2:$B$1001,B566-1,$G$2:$G$1001,"&gt;0")=0),"违规：须先完成上一次加仓",IF(AND(B566&gt;1,E566&lt;SUMIFS($E$2:$E$1001,$A$2:$A$1001,A566,$B$2:$B$1001,B566-1)),"违规：新止损价不得低于上一次",IF(AND(B566&gt;1,F566&gt;SUMIFS($F$2:$F$1001,$A$2:$A$1001,A566,$B$2:$B$1001,B566-1)),"违规：风险预算须逐次不增加",IF(OR(_LockStatus="已锁仓",_LockStatus="解锁信息不完整"),"违规：锁仓期间禁止加仓",IF(G566="","计划可执行：建议股数见N列",IF(OR(G566&lt;=0,G566&lt;&gt;INT(G566),MOD(G566,100)&lt;&gt;0),"违规：实际股数须为100股整数倍",IF(G566&gt;N566,"违规：实际股数超过风险或金字塔上限",IF(AND(B566&gt;1,G566&gt;SUMIFS($G$2:$G$1001,$A$2:$A$1001,A566,$B$2:$B$1001,B566-1)),"违规：加仓股数须逐次不增加",IF(Q566&gt;F566,"违规：止损风险超过本次预算","通过")))))))))))))))</f>
        <v/>
      </c>
    </row>
    <row r="567" customFormat="false" ht="15" hidden="false" customHeight="false" outlineLevel="0" collapsed="false">
      <c r="A567" s="20"/>
      <c r="B567" s="21"/>
      <c r="C567" s="22"/>
      <c r="D567" s="23"/>
      <c r="E567" s="23"/>
      <c r="F567" s="23"/>
      <c r="G567" s="21"/>
      <c r="H567" s="24" t="str">
        <f aca="false">IF(OR(A567="",D567="",G567=""),"",D567*G567)</f>
        <v/>
      </c>
      <c r="I567" s="25" t="str">
        <f aca="false">IF(OR(A567="",B567=""),"",IFERROR(LOOKUP(2,1/(单次交易!$A$2:$A$201=A567),单次交易!$H$2:$H$201),0)+SUMIFS($G$2:$G$1001,$A$2:$A$1001,A567,$B$2:$B$1001,"&lt;"&amp;B567))</f>
        <v/>
      </c>
      <c r="J567" s="24" t="str">
        <f aca="false">IF(OR(A567="",B567=""),"",IFERROR(LOOKUP(2,1/(单次交易!$A$2:$A$201=A567),单次交易!$E$2:$E$201)*LOOKUP(2,1/(单次交易!$A$2:$A$201=A567),单次交易!$H$2:$H$201),0)+SUMIFS($H$2:$H$1001,$A$2:$A$1001,A567,$B$2:$B$1001,"&lt;"&amp;B567))</f>
        <v/>
      </c>
      <c r="K567" s="24" t="str">
        <f aca="false">IF(OR(E567="",I567="",J567=""),"",MAX(E567*I567-J567,0))</f>
        <v/>
      </c>
      <c r="L567" s="25" t="str">
        <f aca="false">IF(OR(D567="",E567="",F567="",D567&lt;=E567),"",FLOOR((F567+K567)/(D567-E567),100))</f>
        <v/>
      </c>
      <c r="M567" s="25" t="str">
        <f aca="false">IF(OR(A567="",B567="",L567=""),"",IF(B567=1,L567,IFERROR(SUMIFS($G$2:$G$1001,$A$2:$A$1001,A567,$B$2:$B$1001,B567-1),0)))</f>
        <v/>
      </c>
      <c r="N567" s="25" t="str">
        <f aca="false">IF(OR(L567="",M567=""),"",MIN(L567,M567))</f>
        <v/>
      </c>
      <c r="O567" s="25" t="str">
        <f aca="false">IF(OR(I567="",G567=""),"",I567+G567)</f>
        <v/>
      </c>
      <c r="P567" s="24" t="str">
        <f aca="false">IF(OR(O567="",O567=0),"",(J567+H567)/O567)</f>
        <v/>
      </c>
      <c r="Q567" s="24" t="str">
        <f aca="false">IF(OR(O567="",E567=""),"",MAX(J567+H567-E567*O567,0))</f>
        <v/>
      </c>
      <c r="R567" s="26" t="str">
        <f aca="false">IF(A567="","",IF(COUNTIF(_TradeIds,A567)=0,"违规：交易编号不存在",IF(OR(B567="",B567&lt;1,B567&gt;5,B567&lt;&gt;INT(B567)),"违规：加仓序号须为1到5的整数",IF(COUNTIFS($A$2:$A$1001,A567,$B$2:$B$1001,B567)&gt;1,"违规：同一交易的加仓序号重复",IF(OR(D567="",E567="",F567=""),"计划不完整：请填写加仓价、新止损价和风险预算",IF(OR(D567&lt;=0,E567&lt;=0,F567&lt;=0,D567&lt;=E567),"违规：加仓价必须高于新止损价，金额须大于0",IF(AND(B567&gt;1,COUNTIFS($A$2:$A$1001,A567,$B$2:$B$1001,B567-1,$G$2:$G$1001,"&gt;0")=0),"违规：须先完成上一次加仓",IF(AND(B567&gt;1,E567&lt;SUMIFS($E$2:$E$1001,$A$2:$A$1001,A567,$B$2:$B$1001,B567-1)),"违规：新止损价不得低于上一次",IF(AND(B567&gt;1,F567&gt;SUMIFS($F$2:$F$1001,$A$2:$A$1001,A567,$B$2:$B$1001,B567-1)),"违规：风险预算须逐次不增加",IF(OR(_LockStatus="已锁仓",_LockStatus="解锁信息不完整"),"违规：锁仓期间禁止加仓",IF(G567="","计划可执行：建议股数见N列",IF(OR(G567&lt;=0,G567&lt;&gt;INT(G567),MOD(G567,100)&lt;&gt;0),"违规：实际股数须为100股整数倍",IF(G567&gt;N567,"违规：实际股数超过风险或金字塔上限",IF(AND(B567&gt;1,G567&gt;SUMIFS($G$2:$G$1001,$A$2:$A$1001,A567,$B$2:$B$1001,B567-1)),"违规：加仓股数须逐次不增加",IF(Q567&gt;F567,"违规：止损风险超过本次预算","通过")))))))))))))))</f>
        <v/>
      </c>
    </row>
    <row r="568" customFormat="false" ht="15" hidden="false" customHeight="false" outlineLevel="0" collapsed="false">
      <c r="A568" s="20"/>
      <c r="B568" s="21"/>
      <c r="C568" s="22"/>
      <c r="D568" s="23"/>
      <c r="E568" s="23"/>
      <c r="F568" s="23"/>
      <c r="G568" s="21"/>
      <c r="H568" s="24" t="str">
        <f aca="false">IF(OR(A568="",D568="",G568=""),"",D568*G568)</f>
        <v/>
      </c>
      <c r="I568" s="25" t="str">
        <f aca="false">IF(OR(A568="",B568=""),"",IFERROR(LOOKUP(2,1/(单次交易!$A$2:$A$201=A568),单次交易!$H$2:$H$201),0)+SUMIFS($G$2:$G$1001,$A$2:$A$1001,A568,$B$2:$B$1001,"&lt;"&amp;B568))</f>
        <v/>
      </c>
      <c r="J568" s="24" t="str">
        <f aca="false">IF(OR(A568="",B568=""),"",IFERROR(LOOKUP(2,1/(单次交易!$A$2:$A$201=A568),单次交易!$E$2:$E$201)*LOOKUP(2,1/(单次交易!$A$2:$A$201=A568),单次交易!$H$2:$H$201),0)+SUMIFS($H$2:$H$1001,$A$2:$A$1001,A568,$B$2:$B$1001,"&lt;"&amp;B568))</f>
        <v/>
      </c>
      <c r="K568" s="24" t="str">
        <f aca="false">IF(OR(E568="",I568="",J568=""),"",MAX(E568*I568-J568,0))</f>
        <v/>
      </c>
      <c r="L568" s="25" t="str">
        <f aca="false">IF(OR(D568="",E568="",F568="",D568&lt;=E568),"",FLOOR((F568+K568)/(D568-E568),100))</f>
        <v/>
      </c>
      <c r="M568" s="25" t="str">
        <f aca="false">IF(OR(A568="",B568="",L568=""),"",IF(B568=1,L568,IFERROR(SUMIFS($G$2:$G$1001,$A$2:$A$1001,A568,$B$2:$B$1001,B568-1),0)))</f>
        <v/>
      </c>
      <c r="N568" s="25" t="str">
        <f aca="false">IF(OR(L568="",M568=""),"",MIN(L568,M568))</f>
        <v/>
      </c>
      <c r="O568" s="25" t="str">
        <f aca="false">IF(OR(I568="",G568=""),"",I568+G568)</f>
        <v/>
      </c>
      <c r="P568" s="24" t="str">
        <f aca="false">IF(OR(O568="",O568=0),"",(J568+H568)/O568)</f>
        <v/>
      </c>
      <c r="Q568" s="24" t="str">
        <f aca="false">IF(OR(O568="",E568=""),"",MAX(J568+H568-E568*O568,0))</f>
        <v/>
      </c>
      <c r="R568" s="26" t="str">
        <f aca="false">IF(A568="","",IF(COUNTIF(_TradeIds,A568)=0,"违规：交易编号不存在",IF(OR(B568="",B568&lt;1,B568&gt;5,B568&lt;&gt;INT(B568)),"违规：加仓序号须为1到5的整数",IF(COUNTIFS($A$2:$A$1001,A568,$B$2:$B$1001,B568)&gt;1,"违规：同一交易的加仓序号重复",IF(OR(D568="",E568="",F568=""),"计划不完整：请填写加仓价、新止损价和风险预算",IF(OR(D568&lt;=0,E568&lt;=0,F568&lt;=0,D568&lt;=E568),"违规：加仓价必须高于新止损价，金额须大于0",IF(AND(B568&gt;1,COUNTIFS($A$2:$A$1001,A568,$B$2:$B$1001,B568-1,$G$2:$G$1001,"&gt;0")=0),"违规：须先完成上一次加仓",IF(AND(B568&gt;1,E568&lt;SUMIFS($E$2:$E$1001,$A$2:$A$1001,A568,$B$2:$B$1001,B568-1)),"违规：新止损价不得低于上一次",IF(AND(B568&gt;1,F568&gt;SUMIFS($F$2:$F$1001,$A$2:$A$1001,A568,$B$2:$B$1001,B568-1)),"违规：风险预算须逐次不增加",IF(OR(_LockStatus="已锁仓",_LockStatus="解锁信息不完整"),"违规：锁仓期间禁止加仓",IF(G568="","计划可执行：建议股数见N列",IF(OR(G568&lt;=0,G568&lt;&gt;INT(G568),MOD(G568,100)&lt;&gt;0),"违规：实际股数须为100股整数倍",IF(G568&gt;N568,"违规：实际股数超过风险或金字塔上限",IF(AND(B568&gt;1,G568&gt;SUMIFS($G$2:$G$1001,$A$2:$A$1001,A568,$B$2:$B$1001,B568-1)),"违规：加仓股数须逐次不增加",IF(Q568&gt;F568,"违规：止损风险超过本次预算","通过")))))))))))))))</f>
        <v/>
      </c>
    </row>
    <row r="569" customFormat="false" ht="15" hidden="false" customHeight="false" outlineLevel="0" collapsed="false">
      <c r="A569" s="20"/>
      <c r="B569" s="21"/>
      <c r="C569" s="22"/>
      <c r="D569" s="23"/>
      <c r="E569" s="23"/>
      <c r="F569" s="23"/>
      <c r="G569" s="21"/>
      <c r="H569" s="24" t="str">
        <f aca="false">IF(OR(A569="",D569="",G569=""),"",D569*G569)</f>
        <v/>
      </c>
      <c r="I569" s="25" t="str">
        <f aca="false">IF(OR(A569="",B569=""),"",IFERROR(LOOKUP(2,1/(单次交易!$A$2:$A$201=A569),单次交易!$H$2:$H$201),0)+SUMIFS($G$2:$G$1001,$A$2:$A$1001,A569,$B$2:$B$1001,"&lt;"&amp;B569))</f>
        <v/>
      </c>
      <c r="J569" s="24" t="str">
        <f aca="false">IF(OR(A569="",B569=""),"",IFERROR(LOOKUP(2,1/(单次交易!$A$2:$A$201=A569),单次交易!$E$2:$E$201)*LOOKUP(2,1/(单次交易!$A$2:$A$201=A569),单次交易!$H$2:$H$201),0)+SUMIFS($H$2:$H$1001,$A$2:$A$1001,A569,$B$2:$B$1001,"&lt;"&amp;B569))</f>
        <v/>
      </c>
      <c r="K569" s="24" t="str">
        <f aca="false">IF(OR(E569="",I569="",J569=""),"",MAX(E569*I569-J569,0))</f>
        <v/>
      </c>
      <c r="L569" s="25" t="str">
        <f aca="false">IF(OR(D569="",E569="",F569="",D569&lt;=E569),"",FLOOR((F569+K569)/(D569-E569),100))</f>
        <v/>
      </c>
      <c r="M569" s="25" t="str">
        <f aca="false">IF(OR(A569="",B569="",L569=""),"",IF(B569=1,L569,IFERROR(SUMIFS($G$2:$G$1001,$A$2:$A$1001,A569,$B$2:$B$1001,B569-1),0)))</f>
        <v/>
      </c>
      <c r="N569" s="25" t="str">
        <f aca="false">IF(OR(L569="",M569=""),"",MIN(L569,M569))</f>
        <v/>
      </c>
      <c r="O569" s="25" t="str">
        <f aca="false">IF(OR(I569="",G569=""),"",I569+G569)</f>
        <v/>
      </c>
      <c r="P569" s="24" t="str">
        <f aca="false">IF(OR(O569="",O569=0),"",(J569+H569)/O569)</f>
        <v/>
      </c>
      <c r="Q569" s="24" t="str">
        <f aca="false">IF(OR(O569="",E569=""),"",MAX(J569+H569-E569*O569,0))</f>
        <v/>
      </c>
      <c r="R569" s="26" t="str">
        <f aca="false">IF(A569="","",IF(COUNTIF(_TradeIds,A569)=0,"违规：交易编号不存在",IF(OR(B569="",B569&lt;1,B569&gt;5,B569&lt;&gt;INT(B569)),"违规：加仓序号须为1到5的整数",IF(COUNTIFS($A$2:$A$1001,A569,$B$2:$B$1001,B569)&gt;1,"违规：同一交易的加仓序号重复",IF(OR(D569="",E569="",F569=""),"计划不完整：请填写加仓价、新止损价和风险预算",IF(OR(D569&lt;=0,E569&lt;=0,F569&lt;=0,D569&lt;=E569),"违规：加仓价必须高于新止损价，金额须大于0",IF(AND(B569&gt;1,COUNTIFS($A$2:$A$1001,A569,$B$2:$B$1001,B569-1,$G$2:$G$1001,"&gt;0")=0),"违规：须先完成上一次加仓",IF(AND(B569&gt;1,E569&lt;SUMIFS($E$2:$E$1001,$A$2:$A$1001,A569,$B$2:$B$1001,B569-1)),"违规：新止损价不得低于上一次",IF(AND(B569&gt;1,F569&gt;SUMIFS($F$2:$F$1001,$A$2:$A$1001,A569,$B$2:$B$1001,B569-1)),"违规：风险预算须逐次不增加",IF(OR(_LockStatus="已锁仓",_LockStatus="解锁信息不完整"),"违规：锁仓期间禁止加仓",IF(G569="","计划可执行：建议股数见N列",IF(OR(G569&lt;=0,G569&lt;&gt;INT(G569),MOD(G569,100)&lt;&gt;0),"违规：实际股数须为100股整数倍",IF(G569&gt;N569,"违规：实际股数超过风险或金字塔上限",IF(AND(B569&gt;1,G569&gt;SUMIFS($G$2:$G$1001,$A$2:$A$1001,A569,$B$2:$B$1001,B569-1)),"违规：加仓股数须逐次不增加",IF(Q569&gt;F569,"违规：止损风险超过本次预算","通过")))))))))))))))</f>
        <v/>
      </c>
    </row>
    <row r="570" customFormat="false" ht="15" hidden="false" customHeight="false" outlineLevel="0" collapsed="false">
      <c r="A570" s="20"/>
      <c r="B570" s="21"/>
      <c r="C570" s="22"/>
      <c r="D570" s="23"/>
      <c r="E570" s="23"/>
      <c r="F570" s="23"/>
      <c r="G570" s="21"/>
      <c r="H570" s="24" t="str">
        <f aca="false">IF(OR(A570="",D570="",G570=""),"",D570*G570)</f>
        <v/>
      </c>
      <c r="I570" s="25" t="str">
        <f aca="false">IF(OR(A570="",B570=""),"",IFERROR(LOOKUP(2,1/(单次交易!$A$2:$A$201=A570),单次交易!$H$2:$H$201),0)+SUMIFS($G$2:$G$1001,$A$2:$A$1001,A570,$B$2:$B$1001,"&lt;"&amp;B570))</f>
        <v/>
      </c>
      <c r="J570" s="24" t="str">
        <f aca="false">IF(OR(A570="",B570=""),"",IFERROR(LOOKUP(2,1/(单次交易!$A$2:$A$201=A570),单次交易!$E$2:$E$201)*LOOKUP(2,1/(单次交易!$A$2:$A$201=A570),单次交易!$H$2:$H$201),0)+SUMIFS($H$2:$H$1001,$A$2:$A$1001,A570,$B$2:$B$1001,"&lt;"&amp;B570))</f>
        <v/>
      </c>
      <c r="K570" s="24" t="str">
        <f aca="false">IF(OR(E570="",I570="",J570=""),"",MAX(E570*I570-J570,0))</f>
        <v/>
      </c>
      <c r="L570" s="25" t="str">
        <f aca="false">IF(OR(D570="",E570="",F570="",D570&lt;=E570),"",FLOOR((F570+K570)/(D570-E570),100))</f>
        <v/>
      </c>
      <c r="M570" s="25" t="str">
        <f aca="false">IF(OR(A570="",B570="",L570=""),"",IF(B570=1,L570,IFERROR(SUMIFS($G$2:$G$1001,$A$2:$A$1001,A570,$B$2:$B$1001,B570-1),0)))</f>
        <v/>
      </c>
      <c r="N570" s="25" t="str">
        <f aca="false">IF(OR(L570="",M570=""),"",MIN(L570,M570))</f>
        <v/>
      </c>
      <c r="O570" s="25" t="str">
        <f aca="false">IF(OR(I570="",G570=""),"",I570+G570)</f>
        <v/>
      </c>
      <c r="P570" s="24" t="str">
        <f aca="false">IF(OR(O570="",O570=0),"",(J570+H570)/O570)</f>
        <v/>
      </c>
      <c r="Q570" s="24" t="str">
        <f aca="false">IF(OR(O570="",E570=""),"",MAX(J570+H570-E570*O570,0))</f>
        <v/>
      </c>
      <c r="R570" s="26" t="str">
        <f aca="false">IF(A570="","",IF(COUNTIF(_TradeIds,A570)=0,"违规：交易编号不存在",IF(OR(B570="",B570&lt;1,B570&gt;5,B570&lt;&gt;INT(B570)),"违规：加仓序号须为1到5的整数",IF(COUNTIFS($A$2:$A$1001,A570,$B$2:$B$1001,B570)&gt;1,"违规：同一交易的加仓序号重复",IF(OR(D570="",E570="",F570=""),"计划不完整：请填写加仓价、新止损价和风险预算",IF(OR(D570&lt;=0,E570&lt;=0,F570&lt;=0,D570&lt;=E570),"违规：加仓价必须高于新止损价，金额须大于0",IF(AND(B570&gt;1,COUNTIFS($A$2:$A$1001,A570,$B$2:$B$1001,B570-1,$G$2:$G$1001,"&gt;0")=0),"违规：须先完成上一次加仓",IF(AND(B570&gt;1,E570&lt;SUMIFS($E$2:$E$1001,$A$2:$A$1001,A570,$B$2:$B$1001,B570-1)),"违规：新止损价不得低于上一次",IF(AND(B570&gt;1,F570&gt;SUMIFS($F$2:$F$1001,$A$2:$A$1001,A570,$B$2:$B$1001,B570-1)),"违规：风险预算须逐次不增加",IF(OR(_LockStatus="已锁仓",_LockStatus="解锁信息不完整"),"违规：锁仓期间禁止加仓",IF(G570="","计划可执行：建议股数见N列",IF(OR(G570&lt;=0,G570&lt;&gt;INT(G570),MOD(G570,100)&lt;&gt;0),"违规：实际股数须为100股整数倍",IF(G570&gt;N570,"违规：实际股数超过风险或金字塔上限",IF(AND(B570&gt;1,G570&gt;SUMIFS($G$2:$G$1001,$A$2:$A$1001,A570,$B$2:$B$1001,B570-1)),"违规：加仓股数须逐次不增加",IF(Q570&gt;F570,"违规：止损风险超过本次预算","通过")))))))))))))))</f>
        <v/>
      </c>
    </row>
    <row r="571" customFormat="false" ht="15" hidden="false" customHeight="false" outlineLevel="0" collapsed="false">
      <c r="A571" s="20"/>
      <c r="B571" s="21"/>
      <c r="C571" s="22"/>
      <c r="D571" s="23"/>
      <c r="E571" s="23"/>
      <c r="F571" s="23"/>
      <c r="G571" s="21"/>
      <c r="H571" s="24" t="str">
        <f aca="false">IF(OR(A571="",D571="",G571=""),"",D571*G571)</f>
        <v/>
      </c>
      <c r="I571" s="25" t="str">
        <f aca="false">IF(OR(A571="",B571=""),"",IFERROR(LOOKUP(2,1/(单次交易!$A$2:$A$201=A571),单次交易!$H$2:$H$201),0)+SUMIFS($G$2:$G$1001,$A$2:$A$1001,A571,$B$2:$B$1001,"&lt;"&amp;B571))</f>
        <v/>
      </c>
      <c r="J571" s="24" t="str">
        <f aca="false">IF(OR(A571="",B571=""),"",IFERROR(LOOKUP(2,1/(单次交易!$A$2:$A$201=A571),单次交易!$E$2:$E$201)*LOOKUP(2,1/(单次交易!$A$2:$A$201=A571),单次交易!$H$2:$H$201),0)+SUMIFS($H$2:$H$1001,$A$2:$A$1001,A571,$B$2:$B$1001,"&lt;"&amp;B571))</f>
        <v/>
      </c>
      <c r="K571" s="24" t="str">
        <f aca="false">IF(OR(E571="",I571="",J571=""),"",MAX(E571*I571-J571,0))</f>
        <v/>
      </c>
      <c r="L571" s="25" t="str">
        <f aca="false">IF(OR(D571="",E571="",F571="",D571&lt;=E571),"",FLOOR((F571+K571)/(D571-E571),100))</f>
        <v/>
      </c>
      <c r="M571" s="25" t="str">
        <f aca="false">IF(OR(A571="",B571="",L571=""),"",IF(B571=1,L571,IFERROR(SUMIFS($G$2:$G$1001,$A$2:$A$1001,A571,$B$2:$B$1001,B571-1),0)))</f>
        <v/>
      </c>
      <c r="N571" s="25" t="str">
        <f aca="false">IF(OR(L571="",M571=""),"",MIN(L571,M571))</f>
        <v/>
      </c>
      <c r="O571" s="25" t="str">
        <f aca="false">IF(OR(I571="",G571=""),"",I571+G571)</f>
        <v/>
      </c>
      <c r="P571" s="24" t="str">
        <f aca="false">IF(OR(O571="",O571=0),"",(J571+H571)/O571)</f>
        <v/>
      </c>
      <c r="Q571" s="24" t="str">
        <f aca="false">IF(OR(O571="",E571=""),"",MAX(J571+H571-E571*O571,0))</f>
        <v/>
      </c>
      <c r="R571" s="26" t="str">
        <f aca="false">IF(A571="","",IF(COUNTIF(_TradeIds,A571)=0,"违规：交易编号不存在",IF(OR(B571="",B571&lt;1,B571&gt;5,B571&lt;&gt;INT(B571)),"违规：加仓序号须为1到5的整数",IF(COUNTIFS($A$2:$A$1001,A571,$B$2:$B$1001,B571)&gt;1,"违规：同一交易的加仓序号重复",IF(OR(D571="",E571="",F571=""),"计划不完整：请填写加仓价、新止损价和风险预算",IF(OR(D571&lt;=0,E571&lt;=0,F571&lt;=0,D571&lt;=E571),"违规：加仓价必须高于新止损价，金额须大于0",IF(AND(B571&gt;1,COUNTIFS($A$2:$A$1001,A571,$B$2:$B$1001,B571-1,$G$2:$G$1001,"&gt;0")=0),"违规：须先完成上一次加仓",IF(AND(B571&gt;1,E571&lt;SUMIFS($E$2:$E$1001,$A$2:$A$1001,A571,$B$2:$B$1001,B571-1)),"违规：新止损价不得低于上一次",IF(AND(B571&gt;1,F571&gt;SUMIFS($F$2:$F$1001,$A$2:$A$1001,A571,$B$2:$B$1001,B571-1)),"违规：风险预算须逐次不增加",IF(OR(_LockStatus="已锁仓",_LockStatus="解锁信息不完整"),"违规：锁仓期间禁止加仓",IF(G571="","计划可执行：建议股数见N列",IF(OR(G571&lt;=0,G571&lt;&gt;INT(G571),MOD(G571,100)&lt;&gt;0),"违规：实际股数须为100股整数倍",IF(G571&gt;N571,"违规：实际股数超过风险或金字塔上限",IF(AND(B571&gt;1,G571&gt;SUMIFS($G$2:$G$1001,$A$2:$A$1001,A571,$B$2:$B$1001,B571-1)),"违规：加仓股数须逐次不增加",IF(Q571&gt;F571,"违规：止损风险超过本次预算","通过")))))))))))))))</f>
        <v/>
      </c>
    </row>
    <row r="572" customFormat="false" ht="15" hidden="false" customHeight="false" outlineLevel="0" collapsed="false">
      <c r="A572" s="20"/>
      <c r="B572" s="21"/>
      <c r="C572" s="22"/>
      <c r="D572" s="23"/>
      <c r="E572" s="23"/>
      <c r="F572" s="23"/>
      <c r="G572" s="21"/>
      <c r="H572" s="24" t="str">
        <f aca="false">IF(OR(A572="",D572="",G572=""),"",D572*G572)</f>
        <v/>
      </c>
      <c r="I572" s="25" t="str">
        <f aca="false">IF(OR(A572="",B572=""),"",IFERROR(LOOKUP(2,1/(单次交易!$A$2:$A$201=A572),单次交易!$H$2:$H$201),0)+SUMIFS($G$2:$G$1001,$A$2:$A$1001,A572,$B$2:$B$1001,"&lt;"&amp;B572))</f>
        <v/>
      </c>
      <c r="J572" s="24" t="str">
        <f aca="false">IF(OR(A572="",B572=""),"",IFERROR(LOOKUP(2,1/(单次交易!$A$2:$A$201=A572),单次交易!$E$2:$E$201)*LOOKUP(2,1/(单次交易!$A$2:$A$201=A572),单次交易!$H$2:$H$201),0)+SUMIFS($H$2:$H$1001,$A$2:$A$1001,A572,$B$2:$B$1001,"&lt;"&amp;B572))</f>
        <v/>
      </c>
      <c r="K572" s="24" t="str">
        <f aca="false">IF(OR(E572="",I572="",J572=""),"",MAX(E572*I572-J572,0))</f>
        <v/>
      </c>
      <c r="L572" s="25" t="str">
        <f aca="false">IF(OR(D572="",E572="",F572="",D572&lt;=E572),"",FLOOR((F572+K572)/(D572-E572),100))</f>
        <v/>
      </c>
      <c r="M572" s="25" t="str">
        <f aca="false">IF(OR(A572="",B572="",L572=""),"",IF(B572=1,L572,IFERROR(SUMIFS($G$2:$G$1001,$A$2:$A$1001,A572,$B$2:$B$1001,B572-1),0)))</f>
        <v/>
      </c>
      <c r="N572" s="25" t="str">
        <f aca="false">IF(OR(L572="",M572=""),"",MIN(L572,M572))</f>
        <v/>
      </c>
      <c r="O572" s="25" t="str">
        <f aca="false">IF(OR(I572="",G572=""),"",I572+G572)</f>
        <v/>
      </c>
      <c r="P572" s="24" t="str">
        <f aca="false">IF(OR(O572="",O572=0),"",(J572+H572)/O572)</f>
        <v/>
      </c>
      <c r="Q572" s="24" t="str">
        <f aca="false">IF(OR(O572="",E572=""),"",MAX(J572+H572-E572*O572,0))</f>
        <v/>
      </c>
      <c r="R572" s="26" t="str">
        <f aca="false">IF(A572="","",IF(COUNTIF(_TradeIds,A572)=0,"违规：交易编号不存在",IF(OR(B572="",B572&lt;1,B572&gt;5,B572&lt;&gt;INT(B572)),"违规：加仓序号须为1到5的整数",IF(COUNTIFS($A$2:$A$1001,A572,$B$2:$B$1001,B572)&gt;1,"违规：同一交易的加仓序号重复",IF(OR(D572="",E572="",F572=""),"计划不完整：请填写加仓价、新止损价和风险预算",IF(OR(D572&lt;=0,E572&lt;=0,F572&lt;=0,D572&lt;=E572),"违规：加仓价必须高于新止损价，金额须大于0",IF(AND(B572&gt;1,COUNTIFS($A$2:$A$1001,A572,$B$2:$B$1001,B572-1,$G$2:$G$1001,"&gt;0")=0),"违规：须先完成上一次加仓",IF(AND(B572&gt;1,E572&lt;SUMIFS($E$2:$E$1001,$A$2:$A$1001,A572,$B$2:$B$1001,B572-1)),"违规：新止损价不得低于上一次",IF(AND(B572&gt;1,F572&gt;SUMIFS($F$2:$F$1001,$A$2:$A$1001,A572,$B$2:$B$1001,B572-1)),"违规：风险预算须逐次不增加",IF(OR(_LockStatus="已锁仓",_LockStatus="解锁信息不完整"),"违规：锁仓期间禁止加仓",IF(G572="","计划可执行：建议股数见N列",IF(OR(G572&lt;=0,G572&lt;&gt;INT(G572),MOD(G572,100)&lt;&gt;0),"违规：实际股数须为100股整数倍",IF(G572&gt;N572,"违规：实际股数超过风险或金字塔上限",IF(AND(B572&gt;1,G572&gt;SUMIFS($G$2:$G$1001,$A$2:$A$1001,A572,$B$2:$B$1001,B572-1)),"违规：加仓股数须逐次不增加",IF(Q572&gt;F572,"违规：止损风险超过本次预算","通过")))))))))))))))</f>
        <v/>
      </c>
    </row>
    <row r="573" customFormat="false" ht="15" hidden="false" customHeight="false" outlineLevel="0" collapsed="false">
      <c r="A573" s="20"/>
      <c r="B573" s="21"/>
      <c r="C573" s="22"/>
      <c r="D573" s="23"/>
      <c r="E573" s="23"/>
      <c r="F573" s="23"/>
      <c r="G573" s="21"/>
      <c r="H573" s="24" t="str">
        <f aca="false">IF(OR(A573="",D573="",G573=""),"",D573*G573)</f>
        <v/>
      </c>
      <c r="I573" s="25" t="str">
        <f aca="false">IF(OR(A573="",B573=""),"",IFERROR(LOOKUP(2,1/(单次交易!$A$2:$A$201=A573),单次交易!$H$2:$H$201),0)+SUMIFS($G$2:$G$1001,$A$2:$A$1001,A573,$B$2:$B$1001,"&lt;"&amp;B573))</f>
        <v/>
      </c>
      <c r="J573" s="24" t="str">
        <f aca="false">IF(OR(A573="",B573=""),"",IFERROR(LOOKUP(2,1/(单次交易!$A$2:$A$201=A573),单次交易!$E$2:$E$201)*LOOKUP(2,1/(单次交易!$A$2:$A$201=A573),单次交易!$H$2:$H$201),0)+SUMIFS($H$2:$H$1001,$A$2:$A$1001,A573,$B$2:$B$1001,"&lt;"&amp;B573))</f>
        <v/>
      </c>
      <c r="K573" s="24" t="str">
        <f aca="false">IF(OR(E573="",I573="",J573=""),"",MAX(E573*I573-J573,0))</f>
        <v/>
      </c>
      <c r="L573" s="25" t="str">
        <f aca="false">IF(OR(D573="",E573="",F573="",D573&lt;=E573),"",FLOOR((F573+K573)/(D573-E573),100))</f>
        <v/>
      </c>
      <c r="M573" s="25" t="str">
        <f aca="false">IF(OR(A573="",B573="",L573=""),"",IF(B573=1,L573,IFERROR(SUMIFS($G$2:$G$1001,$A$2:$A$1001,A573,$B$2:$B$1001,B573-1),0)))</f>
        <v/>
      </c>
      <c r="N573" s="25" t="str">
        <f aca="false">IF(OR(L573="",M573=""),"",MIN(L573,M573))</f>
        <v/>
      </c>
      <c r="O573" s="25" t="str">
        <f aca="false">IF(OR(I573="",G573=""),"",I573+G573)</f>
        <v/>
      </c>
      <c r="P573" s="24" t="str">
        <f aca="false">IF(OR(O573="",O573=0),"",(J573+H573)/O573)</f>
        <v/>
      </c>
      <c r="Q573" s="24" t="str">
        <f aca="false">IF(OR(O573="",E573=""),"",MAX(J573+H573-E573*O573,0))</f>
        <v/>
      </c>
      <c r="R573" s="26" t="str">
        <f aca="false">IF(A573="","",IF(COUNTIF(_TradeIds,A573)=0,"违规：交易编号不存在",IF(OR(B573="",B573&lt;1,B573&gt;5,B573&lt;&gt;INT(B573)),"违规：加仓序号须为1到5的整数",IF(COUNTIFS($A$2:$A$1001,A573,$B$2:$B$1001,B573)&gt;1,"违规：同一交易的加仓序号重复",IF(OR(D573="",E573="",F573=""),"计划不完整：请填写加仓价、新止损价和风险预算",IF(OR(D573&lt;=0,E573&lt;=0,F573&lt;=0,D573&lt;=E573),"违规：加仓价必须高于新止损价，金额须大于0",IF(AND(B573&gt;1,COUNTIFS($A$2:$A$1001,A573,$B$2:$B$1001,B573-1,$G$2:$G$1001,"&gt;0")=0),"违规：须先完成上一次加仓",IF(AND(B573&gt;1,E573&lt;SUMIFS($E$2:$E$1001,$A$2:$A$1001,A573,$B$2:$B$1001,B573-1)),"违规：新止损价不得低于上一次",IF(AND(B573&gt;1,F573&gt;SUMIFS($F$2:$F$1001,$A$2:$A$1001,A573,$B$2:$B$1001,B573-1)),"违规：风险预算须逐次不增加",IF(OR(_LockStatus="已锁仓",_LockStatus="解锁信息不完整"),"违规：锁仓期间禁止加仓",IF(G573="","计划可执行：建议股数见N列",IF(OR(G573&lt;=0,G573&lt;&gt;INT(G573),MOD(G573,100)&lt;&gt;0),"违规：实际股数须为100股整数倍",IF(G573&gt;N573,"违规：实际股数超过风险或金字塔上限",IF(AND(B573&gt;1,G573&gt;SUMIFS($G$2:$G$1001,$A$2:$A$1001,A573,$B$2:$B$1001,B573-1)),"违规：加仓股数须逐次不增加",IF(Q573&gt;F573,"违规：止损风险超过本次预算","通过")))))))))))))))</f>
        <v/>
      </c>
    </row>
    <row r="574" customFormat="false" ht="15" hidden="false" customHeight="false" outlineLevel="0" collapsed="false">
      <c r="A574" s="20"/>
      <c r="B574" s="21"/>
      <c r="C574" s="22"/>
      <c r="D574" s="23"/>
      <c r="E574" s="23"/>
      <c r="F574" s="23"/>
      <c r="G574" s="21"/>
      <c r="H574" s="24" t="str">
        <f aca="false">IF(OR(A574="",D574="",G574=""),"",D574*G574)</f>
        <v/>
      </c>
      <c r="I574" s="25" t="str">
        <f aca="false">IF(OR(A574="",B574=""),"",IFERROR(LOOKUP(2,1/(单次交易!$A$2:$A$201=A574),单次交易!$H$2:$H$201),0)+SUMIFS($G$2:$G$1001,$A$2:$A$1001,A574,$B$2:$B$1001,"&lt;"&amp;B574))</f>
        <v/>
      </c>
      <c r="J574" s="24" t="str">
        <f aca="false">IF(OR(A574="",B574=""),"",IFERROR(LOOKUP(2,1/(单次交易!$A$2:$A$201=A574),单次交易!$E$2:$E$201)*LOOKUP(2,1/(单次交易!$A$2:$A$201=A574),单次交易!$H$2:$H$201),0)+SUMIFS($H$2:$H$1001,$A$2:$A$1001,A574,$B$2:$B$1001,"&lt;"&amp;B574))</f>
        <v/>
      </c>
      <c r="K574" s="24" t="str">
        <f aca="false">IF(OR(E574="",I574="",J574=""),"",MAX(E574*I574-J574,0))</f>
        <v/>
      </c>
      <c r="L574" s="25" t="str">
        <f aca="false">IF(OR(D574="",E574="",F574="",D574&lt;=E574),"",FLOOR((F574+K574)/(D574-E574),100))</f>
        <v/>
      </c>
      <c r="M574" s="25" t="str">
        <f aca="false">IF(OR(A574="",B574="",L574=""),"",IF(B574=1,L574,IFERROR(SUMIFS($G$2:$G$1001,$A$2:$A$1001,A574,$B$2:$B$1001,B574-1),0)))</f>
        <v/>
      </c>
      <c r="N574" s="25" t="str">
        <f aca="false">IF(OR(L574="",M574=""),"",MIN(L574,M574))</f>
        <v/>
      </c>
      <c r="O574" s="25" t="str">
        <f aca="false">IF(OR(I574="",G574=""),"",I574+G574)</f>
        <v/>
      </c>
      <c r="P574" s="24" t="str">
        <f aca="false">IF(OR(O574="",O574=0),"",(J574+H574)/O574)</f>
        <v/>
      </c>
      <c r="Q574" s="24" t="str">
        <f aca="false">IF(OR(O574="",E574=""),"",MAX(J574+H574-E574*O574,0))</f>
        <v/>
      </c>
      <c r="R574" s="26" t="str">
        <f aca="false">IF(A574="","",IF(COUNTIF(_TradeIds,A574)=0,"违规：交易编号不存在",IF(OR(B574="",B574&lt;1,B574&gt;5,B574&lt;&gt;INT(B574)),"违规：加仓序号须为1到5的整数",IF(COUNTIFS($A$2:$A$1001,A574,$B$2:$B$1001,B574)&gt;1,"违规：同一交易的加仓序号重复",IF(OR(D574="",E574="",F574=""),"计划不完整：请填写加仓价、新止损价和风险预算",IF(OR(D574&lt;=0,E574&lt;=0,F574&lt;=0,D574&lt;=E574),"违规：加仓价必须高于新止损价，金额须大于0",IF(AND(B574&gt;1,COUNTIFS($A$2:$A$1001,A574,$B$2:$B$1001,B574-1,$G$2:$G$1001,"&gt;0")=0),"违规：须先完成上一次加仓",IF(AND(B574&gt;1,E574&lt;SUMIFS($E$2:$E$1001,$A$2:$A$1001,A574,$B$2:$B$1001,B574-1)),"违规：新止损价不得低于上一次",IF(AND(B574&gt;1,F574&gt;SUMIFS($F$2:$F$1001,$A$2:$A$1001,A574,$B$2:$B$1001,B574-1)),"违规：风险预算须逐次不增加",IF(OR(_LockStatus="已锁仓",_LockStatus="解锁信息不完整"),"违规：锁仓期间禁止加仓",IF(G574="","计划可执行：建议股数见N列",IF(OR(G574&lt;=0,G574&lt;&gt;INT(G574),MOD(G574,100)&lt;&gt;0),"违规：实际股数须为100股整数倍",IF(G574&gt;N574,"违规：实际股数超过风险或金字塔上限",IF(AND(B574&gt;1,G574&gt;SUMIFS($G$2:$G$1001,$A$2:$A$1001,A574,$B$2:$B$1001,B574-1)),"违规：加仓股数须逐次不增加",IF(Q574&gt;F574,"违规：止损风险超过本次预算","通过")))))))))))))))</f>
        <v/>
      </c>
    </row>
    <row r="575" customFormat="false" ht="15" hidden="false" customHeight="false" outlineLevel="0" collapsed="false">
      <c r="A575" s="20"/>
      <c r="B575" s="21"/>
      <c r="C575" s="22"/>
      <c r="D575" s="23"/>
      <c r="E575" s="23"/>
      <c r="F575" s="23"/>
      <c r="G575" s="21"/>
      <c r="H575" s="24" t="str">
        <f aca="false">IF(OR(A575="",D575="",G575=""),"",D575*G575)</f>
        <v/>
      </c>
      <c r="I575" s="25" t="str">
        <f aca="false">IF(OR(A575="",B575=""),"",IFERROR(LOOKUP(2,1/(单次交易!$A$2:$A$201=A575),单次交易!$H$2:$H$201),0)+SUMIFS($G$2:$G$1001,$A$2:$A$1001,A575,$B$2:$B$1001,"&lt;"&amp;B575))</f>
        <v/>
      </c>
      <c r="J575" s="24" t="str">
        <f aca="false">IF(OR(A575="",B575=""),"",IFERROR(LOOKUP(2,1/(单次交易!$A$2:$A$201=A575),单次交易!$E$2:$E$201)*LOOKUP(2,1/(单次交易!$A$2:$A$201=A575),单次交易!$H$2:$H$201),0)+SUMIFS($H$2:$H$1001,$A$2:$A$1001,A575,$B$2:$B$1001,"&lt;"&amp;B575))</f>
        <v/>
      </c>
      <c r="K575" s="24" t="str">
        <f aca="false">IF(OR(E575="",I575="",J575=""),"",MAX(E575*I575-J575,0))</f>
        <v/>
      </c>
      <c r="L575" s="25" t="str">
        <f aca="false">IF(OR(D575="",E575="",F575="",D575&lt;=E575),"",FLOOR((F575+K575)/(D575-E575),100))</f>
        <v/>
      </c>
      <c r="M575" s="25" t="str">
        <f aca="false">IF(OR(A575="",B575="",L575=""),"",IF(B575=1,L575,IFERROR(SUMIFS($G$2:$G$1001,$A$2:$A$1001,A575,$B$2:$B$1001,B575-1),0)))</f>
        <v/>
      </c>
      <c r="N575" s="25" t="str">
        <f aca="false">IF(OR(L575="",M575=""),"",MIN(L575,M575))</f>
        <v/>
      </c>
      <c r="O575" s="25" t="str">
        <f aca="false">IF(OR(I575="",G575=""),"",I575+G575)</f>
        <v/>
      </c>
      <c r="P575" s="24" t="str">
        <f aca="false">IF(OR(O575="",O575=0),"",(J575+H575)/O575)</f>
        <v/>
      </c>
      <c r="Q575" s="24" t="str">
        <f aca="false">IF(OR(O575="",E575=""),"",MAX(J575+H575-E575*O575,0))</f>
        <v/>
      </c>
      <c r="R575" s="26" t="str">
        <f aca="false">IF(A575="","",IF(COUNTIF(_TradeIds,A575)=0,"违规：交易编号不存在",IF(OR(B575="",B575&lt;1,B575&gt;5,B575&lt;&gt;INT(B575)),"违规：加仓序号须为1到5的整数",IF(COUNTIFS($A$2:$A$1001,A575,$B$2:$B$1001,B575)&gt;1,"违规：同一交易的加仓序号重复",IF(OR(D575="",E575="",F575=""),"计划不完整：请填写加仓价、新止损价和风险预算",IF(OR(D575&lt;=0,E575&lt;=0,F575&lt;=0,D575&lt;=E575),"违规：加仓价必须高于新止损价，金额须大于0",IF(AND(B575&gt;1,COUNTIFS($A$2:$A$1001,A575,$B$2:$B$1001,B575-1,$G$2:$G$1001,"&gt;0")=0),"违规：须先完成上一次加仓",IF(AND(B575&gt;1,E575&lt;SUMIFS($E$2:$E$1001,$A$2:$A$1001,A575,$B$2:$B$1001,B575-1)),"违规：新止损价不得低于上一次",IF(AND(B575&gt;1,F575&gt;SUMIFS($F$2:$F$1001,$A$2:$A$1001,A575,$B$2:$B$1001,B575-1)),"违规：风险预算须逐次不增加",IF(OR(_LockStatus="已锁仓",_LockStatus="解锁信息不完整"),"违规：锁仓期间禁止加仓",IF(G575="","计划可执行：建议股数见N列",IF(OR(G575&lt;=0,G575&lt;&gt;INT(G575),MOD(G575,100)&lt;&gt;0),"违规：实际股数须为100股整数倍",IF(G575&gt;N575,"违规：实际股数超过风险或金字塔上限",IF(AND(B575&gt;1,G575&gt;SUMIFS($G$2:$G$1001,$A$2:$A$1001,A575,$B$2:$B$1001,B575-1)),"违规：加仓股数须逐次不增加",IF(Q575&gt;F575,"违规：止损风险超过本次预算","通过")))))))))))))))</f>
        <v/>
      </c>
    </row>
    <row r="576" customFormat="false" ht="15" hidden="false" customHeight="false" outlineLevel="0" collapsed="false">
      <c r="A576" s="20"/>
      <c r="B576" s="21"/>
      <c r="C576" s="22"/>
      <c r="D576" s="23"/>
      <c r="E576" s="23"/>
      <c r="F576" s="23"/>
      <c r="G576" s="21"/>
      <c r="H576" s="24" t="str">
        <f aca="false">IF(OR(A576="",D576="",G576=""),"",D576*G576)</f>
        <v/>
      </c>
      <c r="I576" s="25" t="str">
        <f aca="false">IF(OR(A576="",B576=""),"",IFERROR(LOOKUP(2,1/(单次交易!$A$2:$A$201=A576),单次交易!$H$2:$H$201),0)+SUMIFS($G$2:$G$1001,$A$2:$A$1001,A576,$B$2:$B$1001,"&lt;"&amp;B576))</f>
        <v/>
      </c>
      <c r="J576" s="24" t="str">
        <f aca="false">IF(OR(A576="",B576=""),"",IFERROR(LOOKUP(2,1/(单次交易!$A$2:$A$201=A576),单次交易!$E$2:$E$201)*LOOKUP(2,1/(单次交易!$A$2:$A$201=A576),单次交易!$H$2:$H$201),0)+SUMIFS($H$2:$H$1001,$A$2:$A$1001,A576,$B$2:$B$1001,"&lt;"&amp;B576))</f>
        <v/>
      </c>
      <c r="K576" s="24" t="str">
        <f aca="false">IF(OR(E576="",I576="",J576=""),"",MAX(E576*I576-J576,0))</f>
        <v/>
      </c>
      <c r="L576" s="25" t="str">
        <f aca="false">IF(OR(D576="",E576="",F576="",D576&lt;=E576),"",FLOOR((F576+K576)/(D576-E576),100))</f>
        <v/>
      </c>
      <c r="M576" s="25" t="str">
        <f aca="false">IF(OR(A576="",B576="",L576=""),"",IF(B576=1,L576,IFERROR(SUMIFS($G$2:$G$1001,$A$2:$A$1001,A576,$B$2:$B$1001,B576-1),0)))</f>
        <v/>
      </c>
      <c r="N576" s="25" t="str">
        <f aca="false">IF(OR(L576="",M576=""),"",MIN(L576,M576))</f>
        <v/>
      </c>
      <c r="O576" s="25" t="str">
        <f aca="false">IF(OR(I576="",G576=""),"",I576+G576)</f>
        <v/>
      </c>
      <c r="P576" s="24" t="str">
        <f aca="false">IF(OR(O576="",O576=0),"",(J576+H576)/O576)</f>
        <v/>
      </c>
      <c r="Q576" s="24" t="str">
        <f aca="false">IF(OR(O576="",E576=""),"",MAX(J576+H576-E576*O576,0))</f>
        <v/>
      </c>
      <c r="R576" s="26" t="str">
        <f aca="false">IF(A576="","",IF(COUNTIF(_TradeIds,A576)=0,"违规：交易编号不存在",IF(OR(B576="",B576&lt;1,B576&gt;5,B576&lt;&gt;INT(B576)),"违规：加仓序号须为1到5的整数",IF(COUNTIFS($A$2:$A$1001,A576,$B$2:$B$1001,B576)&gt;1,"违规：同一交易的加仓序号重复",IF(OR(D576="",E576="",F576=""),"计划不完整：请填写加仓价、新止损价和风险预算",IF(OR(D576&lt;=0,E576&lt;=0,F576&lt;=0,D576&lt;=E576),"违规：加仓价必须高于新止损价，金额须大于0",IF(AND(B576&gt;1,COUNTIFS($A$2:$A$1001,A576,$B$2:$B$1001,B576-1,$G$2:$G$1001,"&gt;0")=0),"违规：须先完成上一次加仓",IF(AND(B576&gt;1,E576&lt;SUMIFS($E$2:$E$1001,$A$2:$A$1001,A576,$B$2:$B$1001,B576-1)),"违规：新止损价不得低于上一次",IF(AND(B576&gt;1,F576&gt;SUMIFS($F$2:$F$1001,$A$2:$A$1001,A576,$B$2:$B$1001,B576-1)),"违规：风险预算须逐次不增加",IF(OR(_LockStatus="已锁仓",_LockStatus="解锁信息不完整"),"违规：锁仓期间禁止加仓",IF(G576="","计划可执行：建议股数见N列",IF(OR(G576&lt;=0,G576&lt;&gt;INT(G576),MOD(G576,100)&lt;&gt;0),"违规：实际股数须为100股整数倍",IF(G576&gt;N576,"违规：实际股数超过风险或金字塔上限",IF(AND(B576&gt;1,G576&gt;SUMIFS($G$2:$G$1001,$A$2:$A$1001,A576,$B$2:$B$1001,B576-1)),"违规：加仓股数须逐次不增加",IF(Q576&gt;F576,"违规：止损风险超过本次预算","通过")))))))))))))))</f>
        <v/>
      </c>
    </row>
    <row r="577" customFormat="false" ht="15" hidden="false" customHeight="false" outlineLevel="0" collapsed="false">
      <c r="A577" s="20"/>
      <c r="B577" s="21"/>
      <c r="C577" s="22"/>
      <c r="D577" s="23"/>
      <c r="E577" s="23"/>
      <c r="F577" s="23"/>
      <c r="G577" s="21"/>
      <c r="H577" s="24" t="str">
        <f aca="false">IF(OR(A577="",D577="",G577=""),"",D577*G577)</f>
        <v/>
      </c>
      <c r="I577" s="25" t="str">
        <f aca="false">IF(OR(A577="",B577=""),"",IFERROR(LOOKUP(2,1/(单次交易!$A$2:$A$201=A577),单次交易!$H$2:$H$201),0)+SUMIFS($G$2:$G$1001,$A$2:$A$1001,A577,$B$2:$B$1001,"&lt;"&amp;B577))</f>
        <v/>
      </c>
      <c r="J577" s="24" t="str">
        <f aca="false">IF(OR(A577="",B577=""),"",IFERROR(LOOKUP(2,1/(单次交易!$A$2:$A$201=A577),单次交易!$E$2:$E$201)*LOOKUP(2,1/(单次交易!$A$2:$A$201=A577),单次交易!$H$2:$H$201),0)+SUMIFS($H$2:$H$1001,$A$2:$A$1001,A577,$B$2:$B$1001,"&lt;"&amp;B577))</f>
        <v/>
      </c>
      <c r="K577" s="24" t="str">
        <f aca="false">IF(OR(E577="",I577="",J577=""),"",MAX(E577*I577-J577,0))</f>
        <v/>
      </c>
      <c r="L577" s="25" t="str">
        <f aca="false">IF(OR(D577="",E577="",F577="",D577&lt;=E577),"",FLOOR((F577+K577)/(D577-E577),100))</f>
        <v/>
      </c>
      <c r="M577" s="25" t="str">
        <f aca="false">IF(OR(A577="",B577="",L577=""),"",IF(B577=1,L577,IFERROR(SUMIFS($G$2:$G$1001,$A$2:$A$1001,A577,$B$2:$B$1001,B577-1),0)))</f>
        <v/>
      </c>
      <c r="N577" s="25" t="str">
        <f aca="false">IF(OR(L577="",M577=""),"",MIN(L577,M577))</f>
        <v/>
      </c>
      <c r="O577" s="25" t="str">
        <f aca="false">IF(OR(I577="",G577=""),"",I577+G577)</f>
        <v/>
      </c>
      <c r="P577" s="24" t="str">
        <f aca="false">IF(OR(O577="",O577=0),"",(J577+H577)/O577)</f>
        <v/>
      </c>
      <c r="Q577" s="24" t="str">
        <f aca="false">IF(OR(O577="",E577=""),"",MAX(J577+H577-E577*O577,0))</f>
        <v/>
      </c>
      <c r="R577" s="26" t="str">
        <f aca="false">IF(A577="","",IF(COUNTIF(_TradeIds,A577)=0,"违规：交易编号不存在",IF(OR(B577="",B577&lt;1,B577&gt;5,B577&lt;&gt;INT(B577)),"违规：加仓序号须为1到5的整数",IF(COUNTIFS($A$2:$A$1001,A577,$B$2:$B$1001,B577)&gt;1,"违规：同一交易的加仓序号重复",IF(OR(D577="",E577="",F577=""),"计划不完整：请填写加仓价、新止损价和风险预算",IF(OR(D577&lt;=0,E577&lt;=0,F577&lt;=0,D577&lt;=E577),"违规：加仓价必须高于新止损价，金额须大于0",IF(AND(B577&gt;1,COUNTIFS($A$2:$A$1001,A577,$B$2:$B$1001,B577-1,$G$2:$G$1001,"&gt;0")=0),"违规：须先完成上一次加仓",IF(AND(B577&gt;1,E577&lt;SUMIFS($E$2:$E$1001,$A$2:$A$1001,A577,$B$2:$B$1001,B577-1)),"违规：新止损价不得低于上一次",IF(AND(B577&gt;1,F577&gt;SUMIFS($F$2:$F$1001,$A$2:$A$1001,A577,$B$2:$B$1001,B577-1)),"违规：风险预算须逐次不增加",IF(OR(_LockStatus="已锁仓",_LockStatus="解锁信息不完整"),"违规：锁仓期间禁止加仓",IF(G577="","计划可执行：建议股数见N列",IF(OR(G577&lt;=0,G577&lt;&gt;INT(G577),MOD(G577,100)&lt;&gt;0),"违规：实际股数须为100股整数倍",IF(G577&gt;N577,"违规：实际股数超过风险或金字塔上限",IF(AND(B577&gt;1,G577&gt;SUMIFS($G$2:$G$1001,$A$2:$A$1001,A577,$B$2:$B$1001,B577-1)),"违规：加仓股数须逐次不增加",IF(Q577&gt;F577,"违规：止损风险超过本次预算","通过")))))))))))))))</f>
        <v/>
      </c>
    </row>
    <row r="578" customFormat="false" ht="15" hidden="false" customHeight="false" outlineLevel="0" collapsed="false">
      <c r="A578" s="20"/>
      <c r="B578" s="21"/>
      <c r="C578" s="22"/>
      <c r="D578" s="23"/>
      <c r="E578" s="23"/>
      <c r="F578" s="23"/>
      <c r="G578" s="21"/>
      <c r="H578" s="24" t="str">
        <f aca="false">IF(OR(A578="",D578="",G578=""),"",D578*G578)</f>
        <v/>
      </c>
      <c r="I578" s="25" t="str">
        <f aca="false">IF(OR(A578="",B578=""),"",IFERROR(LOOKUP(2,1/(单次交易!$A$2:$A$201=A578),单次交易!$H$2:$H$201),0)+SUMIFS($G$2:$G$1001,$A$2:$A$1001,A578,$B$2:$B$1001,"&lt;"&amp;B578))</f>
        <v/>
      </c>
      <c r="J578" s="24" t="str">
        <f aca="false">IF(OR(A578="",B578=""),"",IFERROR(LOOKUP(2,1/(单次交易!$A$2:$A$201=A578),单次交易!$E$2:$E$201)*LOOKUP(2,1/(单次交易!$A$2:$A$201=A578),单次交易!$H$2:$H$201),0)+SUMIFS($H$2:$H$1001,$A$2:$A$1001,A578,$B$2:$B$1001,"&lt;"&amp;B578))</f>
        <v/>
      </c>
      <c r="K578" s="24" t="str">
        <f aca="false">IF(OR(E578="",I578="",J578=""),"",MAX(E578*I578-J578,0))</f>
        <v/>
      </c>
      <c r="L578" s="25" t="str">
        <f aca="false">IF(OR(D578="",E578="",F578="",D578&lt;=E578),"",FLOOR((F578+K578)/(D578-E578),100))</f>
        <v/>
      </c>
      <c r="M578" s="25" t="str">
        <f aca="false">IF(OR(A578="",B578="",L578=""),"",IF(B578=1,L578,IFERROR(SUMIFS($G$2:$G$1001,$A$2:$A$1001,A578,$B$2:$B$1001,B578-1),0)))</f>
        <v/>
      </c>
      <c r="N578" s="25" t="str">
        <f aca="false">IF(OR(L578="",M578=""),"",MIN(L578,M578))</f>
        <v/>
      </c>
      <c r="O578" s="25" t="str">
        <f aca="false">IF(OR(I578="",G578=""),"",I578+G578)</f>
        <v/>
      </c>
      <c r="P578" s="24" t="str">
        <f aca="false">IF(OR(O578="",O578=0),"",(J578+H578)/O578)</f>
        <v/>
      </c>
      <c r="Q578" s="24" t="str">
        <f aca="false">IF(OR(O578="",E578=""),"",MAX(J578+H578-E578*O578,0))</f>
        <v/>
      </c>
      <c r="R578" s="26" t="str">
        <f aca="false">IF(A578="","",IF(COUNTIF(_TradeIds,A578)=0,"违规：交易编号不存在",IF(OR(B578="",B578&lt;1,B578&gt;5,B578&lt;&gt;INT(B578)),"违规：加仓序号须为1到5的整数",IF(COUNTIFS($A$2:$A$1001,A578,$B$2:$B$1001,B578)&gt;1,"违规：同一交易的加仓序号重复",IF(OR(D578="",E578="",F578=""),"计划不完整：请填写加仓价、新止损价和风险预算",IF(OR(D578&lt;=0,E578&lt;=0,F578&lt;=0,D578&lt;=E578),"违规：加仓价必须高于新止损价，金额须大于0",IF(AND(B578&gt;1,COUNTIFS($A$2:$A$1001,A578,$B$2:$B$1001,B578-1,$G$2:$G$1001,"&gt;0")=0),"违规：须先完成上一次加仓",IF(AND(B578&gt;1,E578&lt;SUMIFS($E$2:$E$1001,$A$2:$A$1001,A578,$B$2:$B$1001,B578-1)),"违规：新止损价不得低于上一次",IF(AND(B578&gt;1,F578&gt;SUMIFS($F$2:$F$1001,$A$2:$A$1001,A578,$B$2:$B$1001,B578-1)),"违规：风险预算须逐次不增加",IF(OR(_LockStatus="已锁仓",_LockStatus="解锁信息不完整"),"违规：锁仓期间禁止加仓",IF(G578="","计划可执行：建议股数见N列",IF(OR(G578&lt;=0,G578&lt;&gt;INT(G578),MOD(G578,100)&lt;&gt;0),"违规：实际股数须为100股整数倍",IF(G578&gt;N578,"违规：实际股数超过风险或金字塔上限",IF(AND(B578&gt;1,G578&gt;SUMIFS($G$2:$G$1001,$A$2:$A$1001,A578,$B$2:$B$1001,B578-1)),"违规：加仓股数须逐次不增加",IF(Q578&gt;F578,"违规：止损风险超过本次预算","通过")))))))))))))))</f>
        <v/>
      </c>
    </row>
    <row r="579" customFormat="false" ht="15" hidden="false" customHeight="false" outlineLevel="0" collapsed="false">
      <c r="A579" s="20"/>
      <c r="B579" s="21"/>
      <c r="C579" s="22"/>
      <c r="D579" s="23"/>
      <c r="E579" s="23"/>
      <c r="F579" s="23"/>
      <c r="G579" s="21"/>
      <c r="H579" s="24" t="str">
        <f aca="false">IF(OR(A579="",D579="",G579=""),"",D579*G579)</f>
        <v/>
      </c>
      <c r="I579" s="25" t="str">
        <f aca="false">IF(OR(A579="",B579=""),"",IFERROR(LOOKUP(2,1/(单次交易!$A$2:$A$201=A579),单次交易!$H$2:$H$201),0)+SUMIFS($G$2:$G$1001,$A$2:$A$1001,A579,$B$2:$B$1001,"&lt;"&amp;B579))</f>
        <v/>
      </c>
      <c r="J579" s="24" t="str">
        <f aca="false">IF(OR(A579="",B579=""),"",IFERROR(LOOKUP(2,1/(单次交易!$A$2:$A$201=A579),单次交易!$E$2:$E$201)*LOOKUP(2,1/(单次交易!$A$2:$A$201=A579),单次交易!$H$2:$H$201),0)+SUMIFS($H$2:$H$1001,$A$2:$A$1001,A579,$B$2:$B$1001,"&lt;"&amp;B579))</f>
        <v/>
      </c>
      <c r="K579" s="24" t="str">
        <f aca="false">IF(OR(E579="",I579="",J579=""),"",MAX(E579*I579-J579,0))</f>
        <v/>
      </c>
      <c r="L579" s="25" t="str">
        <f aca="false">IF(OR(D579="",E579="",F579="",D579&lt;=E579),"",FLOOR((F579+K579)/(D579-E579),100))</f>
        <v/>
      </c>
      <c r="M579" s="25" t="str">
        <f aca="false">IF(OR(A579="",B579="",L579=""),"",IF(B579=1,L579,IFERROR(SUMIFS($G$2:$G$1001,$A$2:$A$1001,A579,$B$2:$B$1001,B579-1),0)))</f>
        <v/>
      </c>
      <c r="N579" s="25" t="str">
        <f aca="false">IF(OR(L579="",M579=""),"",MIN(L579,M579))</f>
        <v/>
      </c>
      <c r="O579" s="25" t="str">
        <f aca="false">IF(OR(I579="",G579=""),"",I579+G579)</f>
        <v/>
      </c>
      <c r="P579" s="24" t="str">
        <f aca="false">IF(OR(O579="",O579=0),"",(J579+H579)/O579)</f>
        <v/>
      </c>
      <c r="Q579" s="24" t="str">
        <f aca="false">IF(OR(O579="",E579=""),"",MAX(J579+H579-E579*O579,0))</f>
        <v/>
      </c>
      <c r="R579" s="26" t="str">
        <f aca="false">IF(A579="","",IF(COUNTIF(_TradeIds,A579)=0,"违规：交易编号不存在",IF(OR(B579="",B579&lt;1,B579&gt;5,B579&lt;&gt;INT(B579)),"违规：加仓序号须为1到5的整数",IF(COUNTIFS($A$2:$A$1001,A579,$B$2:$B$1001,B579)&gt;1,"违规：同一交易的加仓序号重复",IF(OR(D579="",E579="",F579=""),"计划不完整：请填写加仓价、新止损价和风险预算",IF(OR(D579&lt;=0,E579&lt;=0,F579&lt;=0,D579&lt;=E579),"违规：加仓价必须高于新止损价，金额须大于0",IF(AND(B579&gt;1,COUNTIFS($A$2:$A$1001,A579,$B$2:$B$1001,B579-1,$G$2:$G$1001,"&gt;0")=0),"违规：须先完成上一次加仓",IF(AND(B579&gt;1,E579&lt;SUMIFS($E$2:$E$1001,$A$2:$A$1001,A579,$B$2:$B$1001,B579-1)),"违规：新止损价不得低于上一次",IF(AND(B579&gt;1,F579&gt;SUMIFS($F$2:$F$1001,$A$2:$A$1001,A579,$B$2:$B$1001,B579-1)),"违规：风险预算须逐次不增加",IF(OR(_LockStatus="已锁仓",_LockStatus="解锁信息不完整"),"违规：锁仓期间禁止加仓",IF(G579="","计划可执行：建议股数见N列",IF(OR(G579&lt;=0,G579&lt;&gt;INT(G579),MOD(G579,100)&lt;&gt;0),"违规：实际股数须为100股整数倍",IF(G579&gt;N579,"违规：实际股数超过风险或金字塔上限",IF(AND(B579&gt;1,G579&gt;SUMIFS($G$2:$G$1001,$A$2:$A$1001,A579,$B$2:$B$1001,B579-1)),"违规：加仓股数须逐次不增加",IF(Q579&gt;F579,"违规：止损风险超过本次预算","通过")))))))))))))))</f>
        <v/>
      </c>
    </row>
    <row r="580" customFormat="false" ht="15" hidden="false" customHeight="false" outlineLevel="0" collapsed="false">
      <c r="A580" s="20"/>
      <c r="B580" s="21"/>
      <c r="C580" s="22"/>
      <c r="D580" s="23"/>
      <c r="E580" s="23"/>
      <c r="F580" s="23"/>
      <c r="G580" s="21"/>
      <c r="H580" s="24" t="str">
        <f aca="false">IF(OR(A580="",D580="",G580=""),"",D580*G580)</f>
        <v/>
      </c>
      <c r="I580" s="25" t="str">
        <f aca="false">IF(OR(A580="",B580=""),"",IFERROR(LOOKUP(2,1/(单次交易!$A$2:$A$201=A580),单次交易!$H$2:$H$201),0)+SUMIFS($G$2:$G$1001,$A$2:$A$1001,A580,$B$2:$B$1001,"&lt;"&amp;B580))</f>
        <v/>
      </c>
      <c r="J580" s="24" t="str">
        <f aca="false">IF(OR(A580="",B580=""),"",IFERROR(LOOKUP(2,1/(单次交易!$A$2:$A$201=A580),单次交易!$E$2:$E$201)*LOOKUP(2,1/(单次交易!$A$2:$A$201=A580),单次交易!$H$2:$H$201),0)+SUMIFS($H$2:$H$1001,$A$2:$A$1001,A580,$B$2:$B$1001,"&lt;"&amp;B580))</f>
        <v/>
      </c>
      <c r="K580" s="24" t="str">
        <f aca="false">IF(OR(E580="",I580="",J580=""),"",MAX(E580*I580-J580,0))</f>
        <v/>
      </c>
      <c r="L580" s="25" t="str">
        <f aca="false">IF(OR(D580="",E580="",F580="",D580&lt;=E580),"",FLOOR((F580+K580)/(D580-E580),100))</f>
        <v/>
      </c>
      <c r="M580" s="25" t="str">
        <f aca="false">IF(OR(A580="",B580="",L580=""),"",IF(B580=1,L580,IFERROR(SUMIFS($G$2:$G$1001,$A$2:$A$1001,A580,$B$2:$B$1001,B580-1),0)))</f>
        <v/>
      </c>
      <c r="N580" s="25" t="str">
        <f aca="false">IF(OR(L580="",M580=""),"",MIN(L580,M580))</f>
        <v/>
      </c>
      <c r="O580" s="25" t="str">
        <f aca="false">IF(OR(I580="",G580=""),"",I580+G580)</f>
        <v/>
      </c>
      <c r="P580" s="24" t="str">
        <f aca="false">IF(OR(O580="",O580=0),"",(J580+H580)/O580)</f>
        <v/>
      </c>
      <c r="Q580" s="24" t="str">
        <f aca="false">IF(OR(O580="",E580=""),"",MAX(J580+H580-E580*O580,0))</f>
        <v/>
      </c>
      <c r="R580" s="26" t="str">
        <f aca="false">IF(A580="","",IF(COUNTIF(_TradeIds,A580)=0,"违规：交易编号不存在",IF(OR(B580="",B580&lt;1,B580&gt;5,B580&lt;&gt;INT(B580)),"违规：加仓序号须为1到5的整数",IF(COUNTIFS($A$2:$A$1001,A580,$B$2:$B$1001,B580)&gt;1,"违规：同一交易的加仓序号重复",IF(OR(D580="",E580="",F580=""),"计划不完整：请填写加仓价、新止损价和风险预算",IF(OR(D580&lt;=0,E580&lt;=0,F580&lt;=0,D580&lt;=E580),"违规：加仓价必须高于新止损价，金额须大于0",IF(AND(B580&gt;1,COUNTIFS($A$2:$A$1001,A580,$B$2:$B$1001,B580-1,$G$2:$G$1001,"&gt;0")=0),"违规：须先完成上一次加仓",IF(AND(B580&gt;1,E580&lt;SUMIFS($E$2:$E$1001,$A$2:$A$1001,A580,$B$2:$B$1001,B580-1)),"违规：新止损价不得低于上一次",IF(AND(B580&gt;1,F580&gt;SUMIFS($F$2:$F$1001,$A$2:$A$1001,A580,$B$2:$B$1001,B580-1)),"违规：风险预算须逐次不增加",IF(OR(_LockStatus="已锁仓",_LockStatus="解锁信息不完整"),"违规：锁仓期间禁止加仓",IF(G580="","计划可执行：建议股数见N列",IF(OR(G580&lt;=0,G580&lt;&gt;INT(G580),MOD(G580,100)&lt;&gt;0),"违规：实际股数须为100股整数倍",IF(G580&gt;N580,"违规：实际股数超过风险或金字塔上限",IF(AND(B580&gt;1,G580&gt;SUMIFS($G$2:$G$1001,$A$2:$A$1001,A580,$B$2:$B$1001,B580-1)),"违规：加仓股数须逐次不增加",IF(Q580&gt;F580,"违规：止损风险超过本次预算","通过")))))))))))))))</f>
        <v/>
      </c>
    </row>
    <row r="581" customFormat="false" ht="15" hidden="false" customHeight="false" outlineLevel="0" collapsed="false">
      <c r="A581" s="20"/>
      <c r="B581" s="21"/>
      <c r="C581" s="22"/>
      <c r="D581" s="23"/>
      <c r="E581" s="23"/>
      <c r="F581" s="23"/>
      <c r="G581" s="21"/>
      <c r="H581" s="24" t="str">
        <f aca="false">IF(OR(A581="",D581="",G581=""),"",D581*G581)</f>
        <v/>
      </c>
      <c r="I581" s="25" t="str">
        <f aca="false">IF(OR(A581="",B581=""),"",IFERROR(LOOKUP(2,1/(单次交易!$A$2:$A$201=A581),单次交易!$H$2:$H$201),0)+SUMIFS($G$2:$G$1001,$A$2:$A$1001,A581,$B$2:$B$1001,"&lt;"&amp;B581))</f>
        <v/>
      </c>
      <c r="J581" s="24" t="str">
        <f aca="false">IF(OR(A581="",B581=""),"",IFERROR(LOOKUP(2,1/(单次交易!$A$2:$A$201=A581),单次交易!$E$2:$E$201)*LOOKUP(2,1/(单次交易!$A$2:$A$201=A581),单次交易!$H$2:$H$201),0)+SUMIFS($H$2:$H$1001,$A$2:$A$1001,A581,$B$2:$B$1001,"&lt;"&amp;B581))</f>
        <v/>
      </c>
      <c r="K581" s="24" t="str">
        <f aca="false">IF(OR(E581="",I581="",J581=""),"",MAX(E581*I581-J581,0))</f>
        <v/>
      </c>
      <c r="L581" s="25" t="str">
        <f aca="false">IF(OR(D581="",E581="",F581="",D581&lt;=E581),"",FLOOR((F581+K581)/(D581-E581),100))</f>
        <v/>
      </c>
      <c r="M581" s="25" t="str">
        <f aca="false">IF(OR(A581="",B581="",L581=""),"",IF(B581=1,L581,IFERROR(SUMIFS($G$2:$G$1001,$A$2:$A$1001,A581,$B$2:$B$1001,B581-1),0)))</f>
        <v/>
      </c>
      <c r="N581" s="25" t="str">
        <f aca="false">IF(OR(L581="",M581=""),"",MIN(L581,M581))</f>
        <v/>
      </c>
      <c r="O581" s="25" t="str">
        <f aca="false">IF(OR(I581="",G581=""),"",I581+G581)</f>
        <v/>
      </c>
      <c r="P581" s="24" t="str">
        <f aca="false">IF(OR(O581="",O581=0),"",(J581+H581)/O581)</f>
        <v/>
      </c>
      <c r="Q581" s="24" t="str">
        <f aca="false">IF(OR(O581="",E581=""),"",MAX(J581+H581-E581*O581,0))</f>
        <v/>
      </c>
      <c r="R581" s="26" t="str">
        <f aca="false">IF(A581="","",IF(COUNTIF(_TradeIds,A581)=0,"违规：交易编号不存在",IF(OR(B581="",B581&lt;1,B581&gt;5,B581&lt;&gt;INT(B581)),"违规：加仓序号须为1到5的整数",IF(COUNTIFS($A$2:$A$1001,A581,$B$2:$B$1001,B581)&gt;1,"违规：同一交易的加仓序号重复",IF(OR(D581="",E581="",F581=""),"计划不完整：请填写加仓价、新止损价和风险预算",IF(OR(D581&lt;=0,E581&lt;=0,F581&lt;=0,D581&lt;=E581),"违规：加仓价必须高于新止损价，金额须大于0",IF(AND(B581&gt;1,COUNTIFS($A$2:$A$1001,A581,$B$2:$B$1001,B581-1,$G$2:$G$1001,"&gt;0")=0),"违规：须先完成上一次加仓",IF(AND(B581&gt;1,E581&lt;SUMIFS($E$2:$E$1001,$A$2:$A$1001,A581,$B$2:$B$1001,B581-1)),"违规：新止损价不得低于上一次",IF(AND(B581&gt;1,F581&gt;SUMIFS($F$2:$F$1001,$A$2:$A$1001,A581,$B$2:$B$1001,B581-1)),"违规：风险预算须逐次不增加",IF(OR(_LockStatus="已锁仓",_LockStatus="解锁信息不完整"),"违规：锁仓期间禁止加仓",IF(G581="","计划可执行：建议股数见N列",IF(OR(G581&lt;=0,G581&lt;&gt;INT(G581),MOD(G581,100)&lt;&gt;0),"违规：实际股数须为100股整数倍",IF(G581&gt;N581,"违规：实际股数超过风险或金字塔上限",IF(AND(B581&gt;1,G581&gt;SUMIFS($G$2:$G$1001,$A$2:$A$1001,A581,$B$2:$B$1001,B581-1)),"违规：加仓股数须逐次不增加",IF(Q581&gt;F581,"违规：止损风险超过本次预算","通过")))))))))))))))</f>
        <v/>
      </c>
    </row>
    <row r="582" customFormat="false" ht="15" hidden="false" customHeight="false" outlineLevel="0" collapsed="false">
      <c r="A582" s="20"/>
      <c r="B582" s="21"/>
      <c r="C582" s="22"/>
      <c r="D582" s="23"/>
      <c r="E582" s="23"/>
      <c r="F582" s="23"/>
      <c r="G582" s="21"/>
      <c r="H582" s="24" t="str">
        <f aca="false">IF(OR(A582="",D582="",G582=""),"",D582*G582)</f>
        <v/>
      </c>
      <c r="I582" s="25" t="str">
        <f aca="false">IF(OR(A582="",B582=""),"",IFERROR(LOOKUP(2,1/(单次交易!$A$2:$A$201=A582),单次交易!$H$2:$H$201),0)+SUMIFS($G$2:$G$1001,$A$2:$A$1001,A582,$B$2:$B$1001,"&lt;"&amp;B582))</f>
        <v/>
      </c>
      <c r="J582" s="24" t="str">
        <f aca="false">IF(OR(A582="",B582=""),"",IFERROR(LOOKUP(2,1/(单次交易!$A$2:$A$201=A582),单次交易!$E$2:$E$201)*LOOKUP(2,1/(单次交易!$A$2:$A$201=A582),单次交易!$H$2:$H$201),0)+SUMIFS($H$2:$H$1001,$A$2:$A$1001,A582,$B$2:$B$1001,"&lt;"&amp;B582))</f>
        <v/>
      </c>
      <c r="K582" s="24" t="str">
        <f aca="false">IF(OR(E582="",I582="",J582=""),"",MAX(E582*I582-J582,0))</f>
        <v/>
      </c>
      <c r="L582" s="25" t="str">
        <f aca="false">IF(OR(D582="",E582="",F582="",D582&lt;=E582),"",FLOOR((F582+K582)/(D582-E582),100))</f>
        <v/>
      </c>
      <c r="M582" s="25" t="str">
        <f aca="false">IF(OR(A582="",B582="",L582=""),"",IF(B582=1,L582,IFERROR(SUMIFS($G$2:$G$1001,$A$2:$A$1001,A582,$B$2:$B$1001,B582-1),0)))</f>
        <v/>
      </c>
      <c r="N582" s="25" t="str">
        <f aca="false">IF(OR(L582="",M582=""),"",MIN(L582,M582))</f>
        <v/>
      </c>
      <c r="O582" s="25" t="str">
        <f aca="false">IF(OR(I582="",G582=""),"",I582+G582)</f>
        <v/>
      </c>
      <c r="P582" s="24" t="str">
        <f aca="false">IF(OR(O582="",O582=0),"",(J582+H582)/O582)</f>
        <v/>
      </c>
      <c r="Q582" s="24" t="str">
        <f aca="false">IF(OR(O582="",E582=""),"",MAX(J582+H582-E582*O582,0))</f>
        <v/>
      </c>
      <c r="R582" s="26" t="str">
        <f aca="false">IF(A582="","",IF(COUNTIF(_TradeIds,A582)=0,"违规：交易编号不存在",IF(OR(B582="",B582&lt;1,B582&gt;5,B582&lt;&gt;INT(B582)),"违规：加仓序号须为1到5的整数",IF(COUNTIFS($A$2:$A$1001,A582,$B$2:$B$1001,B582)&gt;1,"违规：同一交易的加仓序号重复",IF(OR(D582="",E582="",F582=""),"计划不完整：请填写加仓价、新止损价和风险预算",IF(OR(D582&lt;=0,E582&lt;=0,F582&lt;=0,D582&lt;=E582),"违规：加仓价必须高于新止损价，金额须大于0",IF(AND(B582&gt;1,COUNTIFS($A$2:$A$1001,A582,$B$2:$B$1001,B582-1,$G$2:$G$1001,"&gt;0")=0),"违规：须先完成上一次加仓",IF(AND(B582&gt;1,E582&lt;SUMIFS($E$2:$E$1001,$A$2:$A$1001,A582,$B$2:$B$1001,B582-1)),"违规：新止损价不得低于上一次",IF(AND(B582&gt;1,F582&gt;SUMIFS($F$2:$F$1001,$A$2:$A$1001,A582,$B$2:$B$1001,B582-1)),"违规：风险预算须逐次不增加",IF(OR(_LockStatus="已锁仓",_LockStatus="解锁信息不完整"),"违规：锁仓期间禁止加仓",IF(G582="","计划可执行：建议股数见N列",IF(OR(G582&lt;=0,G582&lt;&gt;INT(G582),MOD(G582,100)&lt;&gt;0),"违规：实际股数须为100股整数倍",IF(G582&gt;N582,"违规：实际股数超过风险或金字塔上限",IF(AND(B582&gt;1,G582&gt;SUMIFS($G$2:$G$1001,$A$2:$A$1001,A582,$B$2:$B$1001,B582-1)),"违规：加仓股数须逐次不增加",IF(Q582&gt;F582,"违规：止损风险超过本次预算","通过")))))))))))))))</f>
        <v/>
      </c>
    </row>
    <row r="583" customFormat="false" ht="15" hidden="false" customHeight="false" outlineLevel="0" collapsed="false">
      <c r="A583" s="20"/>
      <c r="B583" s="21"/>
      <c r="C583" s="22"/>
      <c r="D583" s="23"/>
      <c r="E583" s="23"/>
      <c r="F583" s="23"/>
      <c r="G583" s="21"/>
      <c r="H583" s="24" t="str">
        <f aca="false">IF(OR(A583="",D583="",G583=""),"",D583*G583)</f>
        <v/>
      </c>
      <c r="I583" s="25" t="str">
        <f aca="false">IF(OR(A583="",B583=""),"",IFERROR(LOOKUP(2,1/(单次交易!$A$2:$A$201=A583),单次交易!$H$2:$H$201),0)+SUMIFS($G$2:$G$1001,$A$2:$A$1001,A583,$B$2:$B$1001,"&lt;"&amp;B583))</f>
        <v/>
      </c>
      <c r="J583" s="24" t="str">
        <f aca="false">IF(OR(A583="",B583=""),"",IFERROR(LOOKUP(2,1/(单次交易!$A$2:$A$201=A583),单次交易!$E$2:$E$201)*LOOKUP(2,1/(单次交易!$A$2:$A$201=A583),单次交易!$H$2:$H$201),0)+SUMIFS($H$2:$H$1001,$A$2:$A$1001,A583,$B$2:$B$1001,"&lt;"&amp;B583))</f>
        <v/>
      </c>
      <c r="K583" s="24" t="str">
        <f aca="false">IF(OR(E583="",I583="",J583=""),"",MAX(E583*I583-J583,0))</f>
        <v/>
      </c>
      <c r="L583" s="25" t="str">
        <f aca="false">IF(OR(D583="",E583="",F583="",D583&lt;=E583),"",FLOOR((F583+K583)/(D583-E583),100))</f>
        <v/>
      </c>
      <c r="M583" s="25" t="str">
        <f aca="false">IF(OR(A583="",B583="",L583=""),"",IF(B583=1,L583,IFERROR(SUMIFS($G$2:$G$1001,$A$2:$A$1001,A583,$B$2:$B$1001,B583-1),0)))</f>
        <v/>
      </c>
      <c r="N583" s="25" t="str">
        <f aca="false">IF(OR(L583="",M583=""),"",MIN(L583,M583))</f>
        <v/>
      </c>
      <c r="O583" s="25" t="str">
        <f aca="false">IF(OR(I583="",G583=""),"",I583+G583)</f>
        <v/>
      </c>
      <c r="P583" s="24" t="str">
        <f aca="false">IF(OR(O583="",O583=0),"",(J583+H583)/O583)</f>
        <v/>
      </c>
      <c r="Q583" s="24" t="str">
        <f aca="false">IF(OR(O583="",E583=""),"",MAX(J583+H583-E583*O583,0))</f>
        <v/>
      </c>
      <c r="R583" s="26" t="str">
        <f aca="false">IF(A583="","",IF(COUNTIF(_TradeIds,A583)=0,"违规：交易编号不存在",IF(OR(B583="",B583&lt;1,B583&gt;5,B583&lt;&gt;INT(B583)),"违规：加仓序号须为1到5的整数",IF(COUNTIFS($A$2:$A$1001,A583,$B$2:$B$1001,B583)&gt;1,"违规：同一交易的加仓序号重复",IF(OR(D583="",E583="",F583=""),"计划不完整：请填写加仓价、新止损价和风险预算",IF(OR(D583&lt;=0,E583&lt;=0,F583&lt;=0,D583&lt;=E583),"违规：加仓价必须高于新止损价，金额须大于0",IF(AND(B583&gt;1,COUNTIFS($A$2:$A$1001,A583,$B$2:$B$1001,B583-1,$G$2:$G$1001,"&gt;0")=0),"违规：须先完成上一次加仓",IF(AND(B583&gt;1,E583&lt;SUMIFS($E$2:$E$1001,$A$2:$A$1001,A583,$B$2:$B$1001,B583-1)),"违规：新止损价不得低于上一次",IF(AND(B583&gt;1,F583&gt;SUMIFS($F$2:$F$1001,$A$2:$A$1001,A583,$B$2:$B$1001,B583-1)),"违规：风险预算须逐次不增加",IF(OR(_LockStatus="已锁仓",_LockStatus="解锁信息不完整"),"违规：锁仓期间禁止加仓",IF(G583="","计划可执行：建议股数见N列",IF(OR(G583&lt;=0,G583&lt;&gt;INT(G583),MOD(G583,100)&lt;&gt;0),"违规：实际股数须为100股整数倍",IF(G583&gt;N583,"违规：实际股数超过风险或金字塔上限",IF(AND(B583&gt;1,G583&gt;SUMIFS($G$2:$G$1001,$A$2:$A$1001,A583,$B$2:$B$1001,B583-1)),"违规：加仓股数须逐次不增加",IF(Q583&gt;F583,"违规：止损风险超过本次预算","通过")))))))))))))))</f>
        <v/>
      </c>
    </row>
    <row r="584" customFormat="false" ht="15" hidden="false" customHeight="false" outlineLevel="0" collapsed="false">
      <c r="A584" s="20"/>
      <c r="B584" s="21"/>
      <c r="C584" s="22"/>
      <c r="D584" s="23"/>
      <c r="E584" s="23"/>
      <c r="F584" s="23"/>
      <c r="G584" s="21"/>
      <c r="H584" s="24" t="str">
        <f aca="false">IF(OR(A584="",D584="",G584=""),"",D584*G584)</f>
        <v/>
      </c>
      <c r="I584" s="25" t="str">
        <f aca="false">IF(OR(A584="",B584=""),"",IFERROR(LOOKUP(2,1/(单次交易!$A$2:$A$201=A584),单次交易!$H$2:$H$201),0)+SUMIFS($G$2:$G$1001,$A$2:$A$1001,A584,$B$2:$B$1001,"&lt;"&amp;B584))</f>
        <v/>
      </c>
      <c r="J584" s="24" t="str">
        <f aca="false">IF(OR(A584="",B584=""),"",IFERROR(LOOKUP(2,1/(单次交易!$A$2:$A$201=A584),单次交易!$E$2:$E$201)*LOOKUP(2,1/(单次交易!$A$2:$A$201=A584),单次交易!$H$2:$H$201),0)+SUMIFS($H$2:$H$1001,$A$2:$A$1001,A584,$B$2:$B$1001,"&lt;"&amp;B584))</f>
        <v/>
      </c>
      <c r="K584" s="24" t="str">
        <f aca="false">IF(OR(E584="",I584="",J584=""),"",MAX(E584*I584-J584,0))</f>
        <v/>
      </c>
      <c r="L584" s="25" t="str">
        <f aca="false">IF(OR(D584="",E584="",F584="",D584&lt;=E584),"",FLOOR((F584+K584)/(D584-E584),100))</f>
        <v/>
      </c>
      <c r="M584" s="25" t="str">
        <f aca="false">IF(OR(A584="",B584="",L584=""),"",IF(B584=1,L584,IFERROR(SUMIFS($G$2:$G$1001,$A$2:$A$1001,A584,$B$2:$B$1001,B584-1),0)))</f>
        <v/>
      </c>
      <c r="N584" s="25" t="str">
        <f aca="false">IF(OR(L584="",M584=""),"",MIN(L584,M584))</f>
        <v/>
      </c>
      <c r="O584" s="25" t="str">
        <f aca="false">IF(OR(I584="",G584=""),"",I584+G584)</f>
        <v/>
      </c>
      <c r="P584" s="24" t="str">
        <f aca="false">IF(OR(O584="",O584=0),"",(J584+H584)/O584)</f>
        <v/>
      </c>
      <c r="Q584" s="24" t="str">
        <f aca="false">IF(OR(O584="",E584=""),"",MAX(J584+H584-E584*O584,0))</f>
        <v/>
      </c>
      <c r="R584" s="26" t="str">
        <f aca="false">IF(A584="","",IF(COUNTIF(_TradeIds,A584)=0,"违规：交易编号不存在",IF(OR(B584="",B584&lt;1,B584&gt;5,B584&lt;&gt;INT(B584)),"违规：加仓序号须为1到5的整数",IF(COUNTIFS($A$2:$A$1001,A584,$B$2:$B$1001,B584)&gt;1,"违规：同一交易的加仓序号重复",IF(OR(D584="",E584="",F584=""),"计划不完整：请填写加仓价、新止损价和风险预算",IF(OR(D584&lt;=0,E584&lt;=0,F584&lt;=0,D584&lt;=E584),"违规：加仓价必须高于新止损价，金额须大于0",IF(AND(B584&gt;1,COUNTIFS($A$2:$A$1001,A584,$B$2:$B$1001,B584-1,$G$2:$G$1001,"&gt;0")=0),"违规：须先完成上一次加仓",IF(AND(B584&gt;1,E584&lt;SUMIFS($E$2:$E$1001,$A$2:$A$1001,A584,$B$2:$B$1001,B584-1)),"违规：新止损价不得低于上一次",IF(AND(B584&gt;1,F584&gt;SUMIFS($F$2:$F$1001,$A$2:$A$1001,A584,$B$2:$B$1001,B584-1)),"违规：风险预算须逐次不增加",IF(OR(_LockStatus="已锁仓",_LockStatus="解锁信息不完整"),"违规：锁仓期间禁止加仓",IF(G584="","计划可执行：建议股数见N列",IF(OR(G584&lt;=0,G584&lt;&gt;INT(G584),MOD(G584,100)&lt;&gt;0),"违规：实际股数须为100股整数倍",IF(G584&gt;N584,"违规：实际股数超过风险或金字塔上限",IF(AND(B584&gt;1,G584&gt;SUMIFS($G$2:$G$1001,$A$2:$A$1001,A584,$B$2:$B$1001,B584-1)),"违规：加仓股数须逐次不增加",IF(Q584&gt;F584,"违规：止损风险超过本次预算","通过")))))))))))))))</f>
        <v/>
      </c>
    </row>
    <row r="585" customFormat="false" ht="15" hidden="false" customHeight="false" outlineLevel="0" collapsed="false">
      <c r="A585" s="20"/>
      <c r="B585" s="21"/>
      <c r="C585" s="22"/>
      <c r="D585" s="23"/>
      <c r="E585" s="23"/>
      <c r="F585" s="23"/>
      <c r="G585" s="21"/>
      <c r="H585" s="24" t="str">
        <f aca="false">IF(OR(A585="",D585="",G585=""),"",D585*G585)</f>
        <v/>
      </c>
      <c r="I585" s="25" t="str">
        <f aca="false">IF(OR(A585="",B585=""),"",IFERROR(LOOKUP(2,1/(单次交易!$A$2:$A$201=A585),单次交易!$H$2:$H$201),0)+SUMIFS($G$2:$G$1001,$A$2:$A$1001,A585,$B$2:$B$1001,"&lt;"&amp;B585))</f>
        <v/>
      </c>
      <c r="J585" s="24" t="str">
        <f aca="false">IF(OR(A585="",B585=""),"",IFERROR(LOOKUP(2,1/(单次交易!$A$2:$A$201=A585),单次交易!$E$2:$E$201)*LOOKUP(2,1/(单次交易!$A$2:$A$201=A585),单次交易!$H$2:$H$201),0)+SUMIFS($H$2:$H$1001,$A$2:$A$1001,A585,$B$2:$B$1001,"&lt;"&amp;B585))</f>
        <v/>
      </c>
      <c r="K585" s="24" t="str">
        <f aca="false">IF(OR(E585="",I585="",J585=""),"",MAX(E585*I585-J585,0))</f>
        <v/>
      </c>
      <c r="L585" s="25" t="str">
        <f aca="false">IF(OR(D585="",E585="",F585="",D585&lt;=E585),"",FLOOR((F585+K585)/(D585-E585),100))</f>
        <v/>
      </c>
      <c r="M585" s="25" t="str">
        <f aca="false">IF(OR(A585="",B585="",L585=""),"",IF(B585=1,L585,IFERROR(SUMIFS($G$2:$G$1001,$A$2:$A$1001,A585,$B$2:$B$1001,B585-1),0)))</f>
        <v/>
      </c>
      <c r="N585" s="25" t="str">
        <f aca="false">IF(OR(L585="",M585=""),"",MIN(L585,M585))</f>
        <v/>
      </c>
      <c r="O585" s="25" t="str">
        <f aca="false">IF(OR(I585="",G585=""),"",I585+G585)</f>
        <v/>
      </c>
      <c r="P585" s="24" t="str">
        <f aca="false">IF(OR(O585="",O585=0),"",(J585+H585)/O585)</f>
        <v/>
      </c>
      <c r="Q585" s="24" t="str">
        <f aca="false">IF(OR(O585="",E585=""),"",MAX(J585+H585-E585*O585,0))</f>
        <v/>
      </c>
      <c r="R585" s="26" t="str">
        <f aca="false">IF(A585="","",IF(COUNTIF(_TradeIds,A585)=0,"违规：交易编号不存在",IF(OR(B585="",B585&lt;1,B585&gt;5,B585&lt;&gt;INT(B585)),"违规：加仓序号须为1到5的整数",IF(COUNTIFS($A$2:$A$1001,A585,$B$2:$B$1001,B585)&gt;1,"违规：同一交易的加仓序号重复",IF(OR(D585="",E585="",F585=""),"计划不完整：请填写加仓价、新止损价和风险预算",IF(OR(D585&lt;=0,E585&lt;=0,F585&lt;=0,D585&lt;=E585),"违规：加仓价必须高于新止损价，金额须大于0",IF(AND(B585&gt;1,COUNTIFS($A$2:$A$1001,A585,$B$2:$B$1001,B585-1,$G$2:$G$1001,"&gt;0")=0),"违规：须先完成上一次加仓",IF(AND(B585&gt;1,E585&lt;SUMIFS($E$2:$E$1001,$A$2:$A$1001,A585,$B$2:$B$1001,B585-1)),"违规：新止损价不得低于上一次",IF(AND(B585&gt;1,F585&gt;SUMIFS($F$2:$F$1001,$A$2:$A$1001,A585,$B$2:$B$1001,B585-1)),"违规：风险预算须逐次不增加",IF(OR(_LockStatus="已锁仓",_LockStatus="解锁信息不完整"),"违规：锁仓期间禁止加仓",IF(G585="","计划可执行：建议股数见N列",IF(OR(G585&lt;=0,G585&lt;&gt;INT(G585),MOD(G585,100)&lt;&gt;0),"违规：实际股数须为100股整数倍",IF(G585&gt;N585,"违规：实际股数超过风险或金字塔上限",IF(AND(B585&gt;1,G585&gt;SUMIFS($G$2:$G$1001,$A$2:$A$1001,A585,$B$2:$B$1001,B585-1)),"违规：加仓股数须逐次不增加",IF(Q585&gt;F585,"违规：止损风险超过本次预算","通过")))))))))))))))</f>
        <v/>
      </c>
    </row>
    <row r="586" customFormat="false" ht="15" hidden="false" customHeight="false" outlineLevel="0" collapsed="false">
      <c r="A586" s="20"/>
      <c r="B586" s="21"/>
      <c r="C586" s="22"/>
      <c r="D586" s="23"/>
      <c r="E586" s="23"/>
      <c r="F586" s="23"/>
      <c r="G586" s="21"/>
      <c r="H586" s="24" t="str">
        <f aca="false">IF(OR(A586="",D586="",G586=""),"",D586*G586)</f>
        <v/>
      </c>
      <c r="I586" s="25" t="str">
        <f aca="false">IF(OR(A586="",B586=""),"",IFERROR(LOOKUP(2,1/(单次交易!$A$2:$A$201=A586),单次交易!$H$2:$H$201),0)+SUMIFS($G$2:$G$1001,$A$2:$A$1001,A586,$B$2:$B$1001,"&lt;"&amp;B586))</f>
        <v/>
      </c>
      <c r="J586" s="24" t="str">
        <f aca="false">IF(OR(A586="",B586=""),"",IFERROR(LOOKUP(2,1/(单次交易!$A$2:$A$201=A586),单次交易!$E$2:$E$201)*LOOKUP(2,1/(单次交易!$A$2:$A$201=A586),单次交易!$H$2:$H$201),0)+SUMIFS($H$2:$H$1001,$A$2:$A$1001,A586,$B$2:$B$1001,"&lt;"&amp;B586))</f>
        <v/>
      </c>
      <c r="K586" s="24" t="str">
        <f aca="false">IF(OR(E586="",I586="",J586=""),"",MAX(E586*I586-J586,0))</f>
        <v/>
      </c>
      <c r="L586" s="25" t="str">
        <f aca="false">IF(OR(D586="",E586="",F586="",D586&lt;=E586),"",FLOOR((F586+K586)/(D586-E586),100))</f>
        <v/>
      </c>
      <c r="M586" s="25" t="str">
        <f aca="false">IF(OR(A586="",B586="",L586=""),"",IF(B586=1,L586,IFERROR(SUMIFS($G$2:$G$1001,$A$2:$A$1001,A586,$B$2:$B$1001,B586-1),0)))</f>
        <v/>
      </c>
      <c r="N586" s="25" t="str">
        <f aca="false">IF(OR(L586="",M586=""),"",MIN(L586,M586))</f>
        <v/>
      </c>
      <c r="O586" s="25" t="str">
        <f aca="false">IF(OR(I586="",G586=""),"",I586+G586)</f>
        <v/>
      </c>
      <c r="P586" s="24" t="str">
        <f aca="false">IF(OR(O586="",O586=0),"",(J586+H586)/O586)</f>
        <v/>
      </c>
      <c r="Q586" s="24" t="str">
        <f aca="false">IF(OR(O586="",E586=""),"",MAX(J586+H586-E586*O586,0))</f>
        <v/>
      </c>
      <c r="R586" s="26" t="str">
        <f aca="false">IF(A586="","",IF(COUNTIF(_TradeIds,A586)=0,"违规：交易编号不存在",IF(OR(B586="",B586&lt;1,B586&gt;5,B586&lt;&gt;INT(B586)),"违规：加仓序号须为1到5的整数",IF(COUNTIFS($A$2:$A$1001,A586,$B$2:$B$1001,B586)&gt;1,"违规：同一交易的加仓序号重复",IF(OR(D586="",E586="",F586=""),"计划不完整：请填写加仓价、新止损价和风险预算",IF(OR(D586&lt;=0,E586&lt;=0,F586&lt;=0,D586&lt;=E586),"违规：加仓价必须高于新止损价，金额须大于0",IF(AND(B586&gt;1,COUNTIFS($A$2:$A$1001,A586,$B$2:$B$1001,B586-1,$G$2:$G$1001,"&gt;0")=0),"违规：须先完成上一次加仓",IF(AND(B586&gt;1,E586&lt;SUMIFS($E$2:$E$1001,$A$2:$A$1001,A586,$B$2:$B$1001,B586-1)),"违规：新止损价不得低于上一次",IF(AND(B586&gt;1,F586&gt;SUMIFS($F$2:$F$1001,$A$2:$A$1001,A586,$B$2:$B$1001,B586-1)),"违规：风险预算须逐次不增加",IF(OR(_LockStatus="已锁仓",_LockStatus="解锁信息不完整"),"违规：锁仓期间禁止加仓",IF(G586="","计划可执行：建议股数见N列",IF(OR(G586&lt;=0,G586&lt;&gt;INT(G586),MOD(G586,100)&lt;&gt;0),"违规：实际股数须为100股整数倍",IF(G586&gt;N586,"违规：实际股数超过风险或金字塔上限",IF(AND(B586&gt;1,G586&gt;SUMIFS($G$2:$G$1001,$A$2:$A$1001,A586,$B$2:$B$1001,B586-1)),"违规：加仓股数须逐次不增加",IF(Q586&gt;F586,"违规：止损风险超过本次预算","通过")))))))))))))))</f>
        <v/>
      </c>
    </row>
    <row r="587" customFormat="false" ht="15" hidden="false" customHeight="false" outlineLevel="0" collapsed="false">
      <c r="A587" s="20"/>
      <c r="B587" s="21"/>
      <c r="C587" s="22"/>
      <c r="D587" s="23"/>
      <c r="E587" s="23"/>
      <c r="F587" s="23"/>
      <c r="G587" s="21"/>
      <c r="H587" s="24" t="str">
        <f aca="false">IF(OR(A587="",D587="",G587=""),"",D587*G587)</f>
        <v/>
      </c>
      <c r="I587" s="25" t="str">
        <f aca="false">IF(OR(A587="",B587=""),"",IFERROR(LOOKUP(2,1/(单次交易!$A$2:$A$201=A587),单次交易!$H$2:$H$201),0)+SUMIFS($G$2:$G$1001,$A$2:$A$1001,A587,$B$2:$B$1001,"&lt;"&amp;B587))</f>
        <v/>
      </c>
      <c r="J587" s="24" t="str">
        <f aca="false">IF(OR(A587="",B587=""),"",IFERROR(LOOKUP(2,1/(单次交易!$A$2:$A$201=A587),单次交易!$E$2:$E$201)*LOOKUP(2,1/(单次交易!$A$2:$A$201=A587),单次交易!$H$2:$H$201),0)+SUMIFS($H$2:$H$1001,$A$2:$A$1001,A587,$B$2:$B$1001,"&lt;"&amp;B587))</f>
        <v/>
      </c>
      <c r="K587" s="24" t="str">
        <f aca="false">IF(OR(E587="",I587="",J587=""),"",MAX(E587*I587-J587,0))</f>
        <v/>
      </c>
      <c r="L587" s="25" t="str">
        <f aca="false">IF(OR(D587="",E587="",F587="",D587&lt;=E587),"",FLOOR((F587+K587)/(D587-E587),100))</f>
        <v/>
      </c>
      <c r="M587" s="25" t="str">
        <f aca="false">IF(OR(A587="",B587="",L587=""),"",IF(B587=1,L587,IFERROR(SUMIFS($G$2:$G$1001,$A$2:$A$1001,A587,$B$2:$B$1001,B587-1),0)))</f>
        <v/>
      </c>
      <c r="N587" s="25" t="str">
        <f aca="false">IF(OR(L587="",M587=""),"",MIN(L587,M587))</f>
        <v/>
      </c>
      <c r="O587" s="25" t="str">
        <f aca="false">IF(OR(I587="",G587=""),"",I587+G587)</f>
        <v/>
      </c>
      <c r="P587" s="24" t="str">
        <f aca="false">IF(OR(O587="",O587=0),"",(J587+H587)/O587)</f>
        <v/>
      </c>
      <c r="Q587" s="24" t="str">
        <f aca="false">IF(OR(O587="",E587=""),"",MAX(J587+H587-E587*O587,0))</f>
        <v/>
      </c>
      <c r="R587" s="26" t="str">
        <f aca="false">IF(A587="","",IF(COUNTIF(_TradeIds,A587)=0,"违规：交易编号不存在",IF(OR(B587="",B587&lt;1,B587&gt;5,B587&lt;&gt;INT(B587)),"违规：加仓序号须为1到5的整数",IF(COUNTIFS($A$2:$A$1001,A587,$B$2:$B$1001,B587)&gt;1,"违规：同一交易的加仓序号重复",IF(OR(D587="",E587="",F587=""),"计划不完整：请填写加仓价、新止损价和风险预算",IF(OR(D587&lt;=0,E587&lt;=0,F587&lt;=0,D587&lt;=E587),"违规：加仓价必须高于新止损价，金额须大于0",IF(AND(B587&gt;1,COUNTIFS($A$2:$A$1001,A587,$B$2:$B$1001,B587-1,$G$2:$G$1001,"&gt;0")=0),"违规：须先完成上一次加仓",IF(AND(B587&gt;1,E587&lt;SUMIFS($E$2:$E$1001,$A$2:$A$1001,A587,$B$2:$B$1001,B587-1)),"违规：新止损价不得低于上一次",IF(AND(B587&gt;1,F587&gt;SUMIFS($F$2:$F$1001,$A$2:$A$1001,A587,$B$2:$B$1001,B587-1)),"违规：风险预算须逐次不增加",IF(OR(_LockStatus="已锁仓",_LockStatus="解锁信息不完整"),"违规：锁仓期间禁止加仓",IF(G587="","计划可执行：建议股数见N列",IF(OR(G587&lt;=0,G587&lt;&gt;INT(G587),MOD(G587,100)&lt;&gt;0),"违规：实际股数须为100股整数倍",IF(G587&gt;N587,"违规：实际股数超过风险或金字塔上限",IF(AND(B587&gt;1,G587&gt;SUMIFS($G$2:$G$1001,$A$2:$A$1001,A587,$B$2:$B$1001,B587-1)),"违规：加仓股数须逐次不增加",IF(Q587&gt;F587,"违规：止损风险超过本次预算","通过")))))))))))))))</f>
        <v/>
      </c>
    </row>
    <row r="588" customFormat="false" ht="15" hidden="false" customHeight="false" outlineLevel="0" collapsed="false">
      <c r="A588" s="20"/>
      <c r="B588" s="21"/>
      <c r="C588" s="22"/>
      <c r="D588" s="23"/>
      <c r="E588" s="23"/>
      <c r="F588" s="23"/>
      <c r="G588" s="21"/>
      <c r="H588" s="24" t="str">
        <f aca="false">IF(OR(A588="",D588="",G588=""),"",D588*G588)</f>
        <v/>
      </c>
      <c r="I588" s="25" t="str">
        <f aca="false">IF(OR(A588="",B588=""),"",IFERROR(LOOKUP(2,1/(单次交易!$A$2:$A$201=A588),单次交易!$H$2:$H$201),0)+SUMIFS($G$2:$G$1001,$A$2:$A$1001,A588,$B$2:$B$1001,"&lt;"&amp;B588))</f>
        <v/>
      </c>
      <c r="J588" s="24" t="str">
        <f aca="false">IF(OR(A588="",B588=""),"",IFERROR(LOOKUP(2,1/(单次交易!$A$2:$A$201=A588),单次交易!$E$2:$E$201)*LOOKUP(2,1/(单次交易!$A$2:$A$201=A588),单次交易!$H$2:$H$201),0)+SUMIFS($H$2:$H$1001,$A$2:$A$1001,A588,$B$2:$B$1001,"&lt;"&amp;B588))</f>
        <v/>
      </c>
      <c r="K588" s="24" t="str">
        <f aca="false">IF(OR(E588="",I588="",J588=""),"",MAX(E588*I588-J588,0))</f>
        <v/>
      </c>
      <c r="L588" s="25" t="str">
        <f aca="false">IF(OR(D588="",E588="",F588="",D588&lt;=E588),"",FLOOR((F588+K588)/(D588-E588),100))</f>
        <v/>
      </c>
      <c r="M588" s="25" t="str">
        <f aca="false">IF(OR(A588="",B588="",L588=""),"",IF(B588=1,L588,IFERROR(SUMIFS($G$2:$G$1001,$A$2:$A$1001,A588,$B$2:$B$1001,B588-1),0)))</f>
        <v/>
      </c>
      <c r="N588" s="25" t="str">
        <f aca="false">IF(OR(L588="",M588=""),"",MIN(L588,M588))</f>
        <v/>
      </c>
      <c r="O588" s="25" t="str">
        <f aca="false">IF(OR(I588="",G588=""),"",I588+G588)</f>
        <v/>
      </c>
      <c r="P588" s="24" t="str">
        <f aca="false">IF(OR(O588="",O588=0),"",(J588+H588)/O588)</f>
        <v/>
      </c>
      <c r="Q588" s="24" t="str">
        <f aca="false">IF(OR(O588="",E588=""),"",MAX(J588+H588-E588*O588,0))</f>
        <v/>
      </c>
      <c r="R588" s="26" t="str">
        <f aca="false">IF(A588="","",IF(COUNTIF(_TradeIds,A588)=0,"违规：交易编号不存在",IF(OR(B588="",B588&lt;1,B588&gt;5,B588&lt;&gt;INT(B588)),"违规：加仓序号须为1到5的整数",IF(COUNTIFS($A$2:$A$1001,A588,$B$2:$B$1001,B588)&gt;1,"违规：同一交易的加仓序号重复",IF(OR(D588="",E588="",F588=""),"计划不完整：请填写加仓价、新止损价和风险预算",IF(OR(D588&lt;=0,E588&lt;=0,F588&lt;=0,D588&lt;=E588),"违规：加仓价必须高于新止损价，金额须大于0",IF(AND(B588&gt;1,COUNTIFS($A$2:$A$1001,A588,$B$2:$B$1001,B588-1,$G$2:$G$1001,"&gt;0")=0),"违规：须先完成上一次加仓",IF(AND(B588&gt;1,E588&lt;SUMIFS($E$2:$E$1001,$A$2:$A$1001,A588,$B$2:$B$1001,B588-1)),"违规：新止损价不得低于上一次",IF(AND(B588&gt;1,F588&gt;SUMIFS($F$2:$F$1001,$A$2:$A$1001,A588,$B$2:$B$1001,B588-1)),"违规：风险预算须逐次不增加",IF(OR(_LockStatus="已锁仓",_LockStatus="解锁信息不完整"),"违规：锁仓期间禁止加仓",IF(G588="","计划可执行：建议股数见N列",IF(OR(G588&lt;=0,G588&lt;&gt;INT(G588),MOD(G588,100)&lt;&gt;0),"违规：实际股数须为100股整数倍",IF(G588&gt;N588,"违规：实际股数超过风险或金字塔上限",IF(AND(B588&gt;1,G588&gt;SUMIFS($G$2:$G$1001,$A$2:$A$1001,A588,$B$2:$B$1001,B588-1)),"违规：加仓股数须逐次不增加",IF(Q588&gt;F588,"违规：止损风险超过本次预算","通过")))))))))))))))</f>
        <v/>
      </c>
    </row>
    <row r="589" customFormat="false" ht="15" hidden="false" customHeight="false" outlineLevel="0" collapsed="false">
      <c r="A589" s="20"/>
      <c r="B589" s="21"/>
      <c r="C589" s="22"/>
      <c r="D589" s="23"/>
      <c r="E589" s="23"/>
      <c r="F589" s="23"/>
      <c r="G589" s="21"/>
      <c r="H589" s="24" t="str">
        <f aca="false">IF(OR(A589="",D589="",G589=""),"",D589*G589)</f>
        <v/>
      </c>
      <c r="I589" s="25" t="str">
        <f aca="false">IF(OR(A589="",B589=""),"",IFERROR(LOOKUP(2,1/(单次交易!$A$2:$A$201=A589),单次交易!$H$2:$H$201),0)+SUMIFS($G$2:$G$1001,$A$2:$A$1001,A589,$B$2:$B$1001,"&lt;"&amp;B589))</f>
        <v/>
      </c>
      <c r="J589" s="24" t="str">
        <f aca="false">IF(OR(A589="",B589=""),"",IFERROR(LOOKUP(2,1/(单次交易!$A$2:$A$201=A589),单次交易!$E$2:$E$201)*LOOKUP(2,1/(单次交易!$A$2:$A$201=A589),单次交易!$H$2:$H$201),0)+SUMIFS($H$2:$H$1001,$A$2:$A$1001,A589,$B$2:$B$1001,"&lt;"&amp;B589))</f>
        <v/>
      </c>
      <c r="K589" s="24" t="str">
        <f aca="false">IF(OR(E589="",I589="",J589=""),"",MAX(E589*I589-J589,0))</f>
        <v/>
      </c>
      <c r="L589" s="25" t="str">
        <f aca="false">IF(OR(D589="",E589="",F589="",D589&lt;=E589),"",FLOOR((F589+K589)/(D589-E589),100))</f>
        <v/>
      </c>
      <c r="M589" s="25" t="str">
        <f aca="false">IF(OR(A589="",B589="",L589=""),"",IF(B589=1,L589,IFERROR(SUMIFS($G$2:$G$1001,$A$2:$A$1001,A589,$B$2:$B$1001,B589-1),0)))</f>
        <v/>
      </c>
      <c r="N589" s="25" t="str">
        <f aca="false">IF(OR(L589="",M589=""),"",MIN(L589,M589))</f>
        <v/>
      </c>
      <c r="O589" s="25" t="str">
        <f aca="false">IF(OR(I589="",G589=""),"",I589+G589)</f>
        <v/>
      </c>
      <c r="P589" s="24" t="str">
        <f aca="false">IF(OR(O589="",O589=0),"",(J589+H589)/O589)</f>
        <v/>
      </c>
      <c r="Q589" s="24" t="str">
        <f aca="false">IF(OR(O589="",E589=""),"",MAX(J589+H589-E589*O589,0))</f>
        <v/>
      </c>
      <c r="R589" s="26" t="str">
        <f aca="false">IF(A589="","",IF(COUNTIF(_TradeIds,A589)=0,"违规：交易编号不存在",IF(OR(B589="",B589&lt;1,B589&gt;5,B589&lt;&gt;INT(B589)),"违规：加仓序号须为1到5的整数",IF(COUNTIFS($A$2:$A$1001,A589,$B$2:$B$1001,B589)&gt;1,"违规：同一交易的加仓序号重复",IF(OR(D589="",E589="",F589=""),"计划不完整：请填写加仓价、新止损价和风险预算",IF(OR(D589&lt;=0,E589&lt;=0,F589&lt;=0,D589&lt;=E589),"违规：加仓价必须高于新止损价，金额须大于0",IF(AND(B589&gt;1,COUNTIFS($A$2:$A$1001,A589,$B$2:$B$1001,B589-1,$G$2:$G$1001,"&gt;0")=0),"违规：须先完成上一次加仓",IF(AND(B589&gt;1,E589&lt;SUMIFS($E$2:$E$1001,$A$2:$A$1001,A589,$B$2:$B$1001,B589-1)),"违规：新止损价不得低于上一次",IF(AND(B589&gt;1,F589&gt;SUMIFS($F$2:$F$1001,$A$2:$A$1001,A589,$B$2:$B$1001,B589-1)),"违规：风险预算须逐次不增加",IF(OR(_LockStatus="已锁仓",_LockStatus="解锁信息不完整"),"违规：锁仓期间禁止加仓",IF(G589="","计划可执行：建议股数见N列",IF(OR(G589&lt;=0,G589&lt;&gt;INT(G589),MOD(G589,100)&lt;&gt;0),"违规：实际股数须为100股整数倍",IF(G589&gt;N589,"违规：实际股数超过风险或金字塔上限",IF(AND(B589&gt;1,G589&gt;SUMIFS($G$2:$G$1001,$A$2:$A$1001,A589,$B$2:$B$1001,B589-1)),"违规：加仓股数须逐次不增加",IF(Q589&gt;F589,"违规：止损风险超过本次预算","通过")))))))))))))))</f>
        <v/>
      </c>
    </row>
    <row r="590" customFormat="false" ht="15" hidden="false" customHeight="false" outlineLevel="0" collapsed="false">
      <c r="A590" s="20"/>
      <c r="B590" s="21"/>
      <c r="C590" s="22"/>
      <c r="D590" s="23"/>
      <c r="E590" s="23"/>
      <c r="F590" s="23"/>
      <c r="G590" s="21"/>
      <c r="H590" s="24" t="str">
        <f aca="false">IF(OR(A590="",D590="",G590=""),"",D590*G590)</f>
        <v/>
      </c>
      <c r="I590" s="25" t="str">
        <f aca="false">IF(OR(A590="",B590=""),"",IFERROR(LOOKUP(2,1/(单次交易!$A$2:$A$201=A590),单次交易!$H$2:$H$201),0)+SUMIFS($G$2:$G$1001,$A$2:$A$1001,A590,$B$2:$B$1001,"&lt;"&amp;B590))</f>
        <v/>
      </c>
      <c r="J590" s="24" t="str">
        <f aca="false">IF(OR(A590="",B590=""),"",IFERROR(LOOKUP(2,1/(单次交易!$A$2:$A$201=A590),单次交易!$E$2:$E$201)*LOOKUP(2,1/(单次交易!$A$2:$A$201=A590),单次交易!$H$2:$H$201),0)+SUMIFS($H$2:$H$1001,$A$2:$A$1001,A590,$B$2:$B$1001,"&lt;"&amp;B590))</f>
        <v/>
      </c>
      <c r="K590" s="24" t="str">
        <f aca="false">IF(OR(E590="",I590="",J590=""),"",MAX(E590*I590-J590,0))</f>
        <v/>
      </c>
      <c r="L590" s="25" t="str">
        <f aca="false">IF(OR(D590="",E590="",F590="",D590&lt;=E590),"",FLOOR((F590+K590)/(D590-E590),100))</f>
        <v/>
      </c>
      <c r="M590" s="25" t="str">
        <f aca="false">IF(OR(A590="",B590="",L590=""),"",IF(B590=1,L590,IFERROR(SUMIFS($G$2:$G$1001,$A$2:$A$1001,A590,$B$2:$B$1001,B590-1),0)))</f>
        <v/>
      </c>
      <c r="N590" s="25" t="str">
        <f aca="false">IF(OR(L590="",M590=""),"",MIN(L590,M590))</f>
        <v/>
      </c>
      <c r="O590" s="25" t="str">
        <f aca="false">IF(OR(I590="",G590=""),"",I590+G590)</f>
        <v/>
      </c>
      <c r="P590" s="24" t="str">
        <f aca="false">IF(OR(O590="",O590=0),"",(J590+H590)/O590)</f>
        <v/>
      </c>
      <c r="Q590" s="24" t="str">
        <f aca="false">IF(OR(O590="",E590=""),"",MAX(J590+H590-E590*O590,0))</f>
        <v/>
      </c>
      <c r="R590" s="26" t="str">
        <f aca="false">IF(A590="","",IF(COUNTIF(_TradeIds,A590)=0,"违规：交易编号不存在",IF(OR(B590="",B590&lt;1,B590&gt;5,B590&lt;&gt;INT(B590)),"违规：加仓序号须为1到5的整数",IF(COUNTIFS($A$2:$A$1001,A590,$B$2:$B$1001,B590)&gt;1,"违规：同一交易的加仓序号重复",IF(OR(D590="",E590="",F590=""),"计划不完整：请填写加仓价、新止损价和风险预算",IF(OR(D590&lt;=0,E590&lt;=0,F590&lt;=0,D590&lt;=E590),"违规：加仓价必须高于新止损价，金额须大于0",IF(AND(B590&gt;1,COUNTIFS($A$2:$A$1001,A590,$B$2:$B$1001,B590-1,$G$2:$G$1001,"&gt;0")=0),"违规：须先完成上一次加仓",IF(AND(B590&gt;1,E590&lt;SUMIFS($E$2:$E$1001,$A$2:$A$1001,A590,$B$2:$B$1001,B590-1)),"违规：新止损价不得低于上一次",IF(AND(B590&gt;1,F590&gt;SUMIFS($F$2:$F$1001,$A$2:$A$1001,A590,$B$2:$B$1001,B590-1)),"违规：风险预算须逐次不增加",IF(OR(_LockStatus="已锁仓",_LockStatus="解锁信息不完整"),"违规：锁仓期间禁止加仓",IF(G590="","计划可执行：建议股数见N列",IF(OR(G590&lt;=0,G590&lt;&gt;INT(G590),MOD(G590,100)&lt;&gt;0),"违规：实际股数须为100股整数倍",IF(G590&gt;N590,"违规：实际股数超过风险或金字塔上限",IF(AND(B590&gt;1,G590&gt;SUMIFS($G$2:$G$1001,$A$2:$A$1001,A590,$B$2:$B$1001,B590-1)),"违规：加仓股数须逐次不增加",IF(Q590&gt;F590,"违规：止损风险超过本次预算","通过")))))))))))))))</f>
        <v/>
      </c>
    </row>
    <row r="591" customFormat="false" ht="15" hidden="false" customHeight="false" outlineLevel="0" collapsed="false">
      <c r="A591" s="20"/>
      <c r="B591" s="21"/>
      <c r="C591" s="22"/>
      <c r="D591" s="23"/>
      <c r="E591" s="23"/>
      <c r="F591" s="23"/>
      <c r="G591" s="21"/>
      <c r="H591" s="24" t="str">
        <f aca="false">IF(OR(A591="",D591="",G591=""),"",D591*G591)</f>
        <v/>
      </c>
      <c r="I591" s="25" t="str">
        <f aca="false">IF(OR(A591="",B591=""),"",IFERROR(LOOKUP(2,1/(单次交易!$A$2:$A$201=A591),单次交易!$H$2:$H$201),0)+SUMIFS($G$2:$G$1001,$A$2:$A$1001,A591,$B$2:$B$1001,"&lt;"&amp;B591))</f>
        <v/>
      </c>
      <c r="J591" s="24" t="str">
        <f aca="false">IF(OR(A591="",B591=""),"",IFERROR(LOOKUP(2,1/(单次交易!$A$2:$A$201=A591),单次交易!$E$2:$E$201)*LOOKUP(2,1/(单次交易!$A$2:$A$201=A591),单次交易!$H$2:$H$201),0)+SUMIFS($H$2:$H$1001,$A$2:$A$1001,A591,$B$2:$B$1001,"&lt;"&amp;B591))</f>
        <v/>
      </c>
      <c r="K591" s="24" t="str">
        <f aca="false">IF(OR(E591="",I591="",J591=""),"",MAX(E591*I591-J591,0))</f>
        <v/>
      </c>
      <c r="L591" s="25" t="str">
        <f aca="false">IF(OR(D591="",E591="",F591="",D591&lt;=E591),"",FLOOR((F591+K591)/(D591-E591),100))</f>
        <v/>
      </c>
      <c r="M591" s="25" t="str">
        <f aca="false">IF(OR(A591="",B591="",L591=""),"",IF(B591=1,L591,IFERROR(SUMIFS($G$2:$G$1001,$A$2:$A$1001,A591,$B$2:$B$1001,B591-1),0)))</f>
        <v/>
      </c>
      <c r="N591" s="25" t="str">
        <f aca="false">IF(OR(L591="",M591=""),"",MIN(L591,M591))</f>
        <v/>
      </c>
      <c r="O591" s="25" t="str">
        <f aca="false">IF(OR(I591="",G591=""),"",I591+G591)</f>
        <v/>
      </c>
      <c r="P591" s="24" t="str">
        <f aca="false">IF(OR(O591="",O591=0),"",(J591+H591)/O591)</f>
        <v/>
      </c>
      <c r="Q591" s="24" t="str">
        <f aca="false">IF(OR(O591="",E591=""),"",MAX(J591+H591-E591*O591,0))</f>
        <v/>
      </c>
      <c r="R591" s="26" t="str">
        <f aca="false">IF(A591="","",IF(COUNTIF(_TradeIds,A591)=0,"违规：交易编号不存在",IF(OR(B591="",B591&lt;1,B591&gt;5,B591&lt;&gt;INT(B591)),"违规：加仓序号须为1到5的整数",IF(COUNTIFS($A$2:$A$1001,A591,$B$2:$B$1001,B591)&gt;1,"违规：同一交易的加仓序号重复",IF(OR(D591="",E591="",F591=""),"计划不完整：请填写加仓价、新止损价和风险预算",IF(OR(D591&lt;=0,E591&lt;=0,F591&lt;=0,D591&lt;=E591),"违规：加仓价必须高于新止损价，金额须大于0",IF(AND(B591&gt;1,COUNTIFS($A$2:$A$1001,A591,$B$2:$B$1001,B591-1,$G$2:$G$1001,"&gt;0")=0),"违规：须先完成上一次加仓",IF(AND(B591&gt;1,E591&lt;SUMIFS($E$2:$E$1001,$A$2:$A$1001,A591,$B$2:$B$1001,B591-1)),"违规：新止损价不得低于上一次",IF(AND(B591&gt;1,F591&gt;SUMIFS($F$2:$F$1001,$A$2:$A$1001,A591,$B$2:$B$1001,B591-1)),"违规：风险预算须逐次不增加",IF(OR(_LockStatus="已锁仓",_LockStatus="解锁信息不完整"),"违规：锁仓期间禁止加仓",IF(G591="","计划可执行：建议股数见N列",IF(OR(G591&lt;=0,G591&lt;&gt;INT(G591),MOD(G591,100)&lt;&gt;0),"违规：实际股数须为100股整数倍",IF(G591&gt;N591,"违规：实际股数超过风险或金字塔上限",IF(AND(B591&gt;1,G591&gt;SUMIFS($G$2:$G$1001,$A$2:$A$1001,A591,$B$2:$B$1001,B591-1)),"违规：加仓股数须逐次不增加",IF(Q591&gt;F591,"违规：止损风险超过本次预算","通过")))))))))))))))</f>
        <v/>
      </c>
    </row>
    <row r="592" customFormat="false" ht="15" hidden="false" customHeight="false" outlineLevel="0" collapsed="false">
      <c r="A592" s="20"/>
      <c r="B592" s="21"/>
      <c r="C592" s="22"/>
      <c r="D592" s="23"/>
      <c r="E592" s="23"/>
      <c r="F592" s="23"/>
      <c r="G592" s="21"/>
      <c r="H592" s="24" t="str">
        <f aca="false">IF(OR(A592="",D592="",G592=""),"",D592*G592)</f>
        <v/>
      </c>
      <c r="I592" s="25" t="str">
        <f aca="false">IF(OR(A592="",B592=""),"",IFERROR(LOOKUP(2,1/(单次交易!$A$2:$A$201=A592),单次交易!$H$2:$H$201),0)+SUMIFS($G$2:$G$1001,$A$2:$A$1001,A592,$B$2:$B$1001,"&lt;"&amp;B592))</f>
        <v/>
      </c>
      <c r="J592" s="24" t="str">
        <f aca="false">IF(OR(A592="",B592=""),"",IFERROR(LOOKUP(2,1/(单次交易!$A$2:$A$201=A592),单次交易!$E$2:$E$201)*LOOKUP(2,1/(单次交易!$A$2:$A$201=A592),单次交易!$H$2:$H$201),0)+SUMIFS($H$2:$H$1001,$A$2:$A$1001,A592,$B$2:$B$1001,"&lt;"&amp;B592))</f>
        <v/>
      </c>
      <c r="K592" s="24" t="str">
        <f aca="false">IF(OR(E592="",I592="",J592=""),"",MAX(E592*I592-J592,0))</f>
        <v/>
      </c>
      <c r="L592" s="25" t="str">
        <f aca="false">IF(OR(D592="",E592="",F592="",D592&lt;=E592),"",FLOOR((F592+K592)/(D592-E592),100))</f>
        <v/>
      </c>
      <c r="M592" s="25" t="str">
        <f aca="false">IF(OR(A592="",B592="",L592=""),"",IF(B592=1,L592,IFERROR(SUMIFS($G$2:$G$1001,$A$2:$A$1001,A592,$B$2:$B$1001,B592-1),0)))</f>
        <v/>
      </c>
      <c r="N592" s="25" t="str">
        <f aca="false">IF(OR(L592="",M592=""),"",MIN(L592,M592))</f>
        <v/>
      </c>
      <c r="O592" s="25" t="str">
        <f aca="false">IF(OR(I592="",G592=""),"",I592+G592)</f>
        <v/>
      </c>
      <c r="P592" s="24" t="str">
        <f aca="false">IF(OR(O592="",O592=0),"",(J592+H592)/O592)</f>
        <v/>
      </c>
      <c r="Q592" s="24" t="str">
        <f aca="false">IF(OR(O592="",E592=""),"",MAX(J592+H592-E592*O592,0))</f>
        <v/>
      </c>
      <c r="R592" s="26" t="str">
        <f aca="false">IF(A592="","",IF(COUNTIF(_TradeIds,A592)=0,"违规：交易编号不存在",IF(OR(B592="",B592&lt;1,B592&gt;5,B592&lt;&gt;INT(B592)),"违规：加仓序号须为1到5的整数",IF(COUNTIFS($A$2:$A$1001,A592,$B$2:$B$1001,B592)&gt;1,"违规：同一交易的加仓序号重复",IF(OR(D592="",E592="",F592=""),"计划不完整：请填写加仓价、新止损价和风险预算",IF(OR(D592&lt;=0,E592&lt;=0,F592&lt;=0,D592&lt;=E592),"违规：加仓价必须高于新止损价，金额须大于0",IF(AND(B592&gt;1,COUNTIFS($A$2:$A$1001,A592,$B$2:$B$1001,B592-1,$G$2:$G$1001,"&gt;0")=0),"违规：须先完成上一次加仓",IF(AND(B592&gt;1,E592&lt;SUMIFS($E$2:$E$1001,$A$2:$A$1001,A592,$B$2:$B$1001,B592-1)),"违规：新止损价不得低于上一次",IF(AND(B592&gt;1,F592&gt;SUMIFS($F$2:$F$1001,$A$2:$A$1001,A592,$B$2:$B$1001,B592-1)),"违规：风险预算须逐次不增加",IF(OR(_LockStatus="已锁仓",_LockStatus="解锁信息不完整"),"违规：锁仓期间禁止加仓",IF(G592="","计划可执行：建议股数见N列",IF(OR(G592&lt;=0,G592&lt;&gt;INT(G592),MOD(G592,100)&lt;&gt;0),"违规：实际股数须为100股整数倍",IF(G592&gt;N592,"违规：实际股数超过风险或金字塔上限",IF(AND(B592&gt;1,G592&gt;SUMIFS($G$2:$G$1001,$A$2:$A$1001,A592,$B$2:$B$1001,B592-1)),"违规：加仓股数须逐次不增加",IF(Q592&gt;F592,"违规：止损风险超过本次预算","通过")))))))))))))))</f>
        <v/>
      </c>
    </row>
    <row r="593" customFormat="false" ht="15" hidden="false" customHeight="false" outlineLevel="0" collapsed="false">
      <c r="A593" s="20"/>
      <c r="B593" s="21"/>
      <c r="C593" s="22"/>
      <c r="D593" s="23"/>
      <c r="E593" s="23"/>
      <c r="F593" s="23"/>
      <c r="G593" s="21"/>
      <c r="H593" s="24" t="str">
        <f aca="false">IF(OR(A593="",D593="",G593=""),"",D593*G593)</f>
        <v/>
      </c>
      <c r="I593" s="25" t="str">
        <f aca="false">IF(OR(A593="",B593=""),"",IFERROR(LOOKUP(2,1/(单次交易!$A$2:$A$201=A593),单次交易!$H$2:$H$201),0)+SUMIFS($G$2:$G$1001,$A$2:$A$1001,A593,$B$2:$B$1001,"&lt;"&amp;B593))</f>
        <v/>
      </c>
      <c r="J593" s="24" t="str">
        <f aca="false">IF(OR(A593="",B593=""),"",IFERROR(LOOKUP(2,1/(单次交易!$A$2:$A$201=A593),单次交易!$E$2:$E$201)*LOOKUP(2,1/(单次交易!$A$2:$A$201=A593),单次交易!$H$2:$H$201),0)+SUMIFS($H$2:$H$1001,$A$2:$A$1001,A593,$B$2:$B$1001,"&lt;"&amp;B593))</f>
        <v/>
      </c>
      <c r="K593" s="24" t="str">
        <f aca="false">IF(OR(E593="",I593="",J593=""),"",MAX(E593*I593-J593,0))</f>
        <v/>
      </c>
      <c r="L593" s="25" t="str">
        <f aca="false">IF(OR(D593="",E593="",F593="",D593&lt;=E593),"",FLOOR((F593+K593)/(D593-E593),100))</f>
        <v/>
      </c>
      <c r="M593" s="25" t="str">
        <f aca="false">IF(OR(A593="",B593="",L593=""),"",IF(B593=1,L593,IFERROR(SUMIFS($G$2:$G$1001,$A$2:$A$1001,A593,$B$2:$B$1001,B593-1),0)))</f>
        <v/>
      </c>
      <c r="N593" s="25" t="str">
        <f aca="false">IF(OR(L593="",M593=""),"",MIN(L593,M593))</f>
        <v/>
      </c>
      <c r="O593" s="25" t="str">
        <f aca="false">IF(OR(I593="",G593=""),"",I593+G593)</f>
        <v/>
      </c>
      <c r="P593" s="24" t="str">
        <f aca="false">IF(OR(O593="",O593=0),"",(J593+H593)/O593)</f>
        <v/>
      </c>
      <c r="Q593" s="24" t="str">
        <f aca="false">IF(OR(O593="",E593=""),"",MAX(J593+H593-E593*O593,0))</f>
        <v/>
      </c>
      <c r="R593" s="26" t="str">
        <f aca="false">IF(A593="","",IF(COUNTIF(_TradeIds,A593)=0,"违规：交易编号不存在",IF(OR(B593="",B593&lt;1,B593&gt;5,B593&lt;&gt;INT(B593)),"违规：加仓序号须为1到5的整数",IF(COUNTIFS($A$2:$A$1001,A593,$B$2:$B$1001,B593)&gt;1,"违规：同一交易的加仓序号重复",IF(OR(D593="",E593="",F593=""),"计划不完整：请填写加仓价、新止损价和风险预算",IF(OR(D593&lt;=0,E593&lt;=0,F593&lt;=0,D593&lt;=E593),"违规：加仓价必须高于新止损价，金额须大于0",IF(AND(B593&gt;1,COUNTIFS($A$2:$A$1001,A593,$B$2:$B$1001,B593-1,$G$2:$G$1001,"&gt;0")=0),"违规：须先完成上一次加仓",IF(AND(B593&gt;1,E593&lt;SUMIFS($E$2:$E$1001,$A$2:$A$1001,A593,$B$2:$B$1001,B593-1)),"违规：新止损价不得低于上一次",IF(AND(B593&gt;1,F593&gt;SUMIFS($F$2:$F$1001,$A$2:$A$1001,A593,$B$2:$B$1001,B593-1)),"违规：风险预算须逐次不增加",IF(OR(_LockStatus="已锁仓",_LockStatus="解锁信息不完整"),"违规：锁仓期间禁止加仓",IF(G593="","计划可执行：建议股数见N列",IF(OR(G593&lt;=0,G593&lt;&gt;INT(G593),MOD(G593,100)&lt;&gt;0),"违规：实际股数须为100股整数倍",IF(G593&gt;N593,"违规：实际股数超过风险或金字塔上限",IF(AND(B593&gt;1,G593&gt;SUMIFS($G$2:$G$1001,$A$2:$A$1001,A593,$B$2:$B$1001,B593-1)),"违规：加仓股数须逐次不增加",IF(Q593&gt;F593,"违规：止损风险超过本次预算","通过")))))))))))))))</f>
        <v/>
      </c>
    </row>
    <row r="594" customFormat="false" ht="15" hidden="false" customHeight="false" outlineLevel="0" collapsed="false">
      <c r="A594" s="20"/>
      <c r="B594" s="21"/>
      <c r="C594" s="22"/>
      <c r="D594" s="23"/>
      <c r="E594" s="23"/>
      <c r="F594" s="23"/>
      <c r="G594" s="21"/>
      <c r="H594" s="24" t="str">
        <f aca="false">IF(OR(A594="",D594="",G594=""),"",D594*G594)</f>
        <v/>
      </c>
      <c r="I594" s="25" t="str">
        <f aca="false">IF(OR(A594="",B594=""),"",IFERROR(LOOKUP(2,1/(单次交易!$A$2:$A$201=A594),单次交易!$H$2:$H$201),0)+SUMIFS($G$2:$G$1001,$A$2:$A$1001,A594,$B$2:$B$1001,"&lt;"&amp;B594))</f>
        <v/>
      </c>
      <c r="J594" s="24" t="str">
        <f aca="false">IF(OR(A594="",B594=""),"",IFERROR(LOOKUP(2,1/(单次交易!$A$2:$A$201=A594),单次交易!$E$2:$E$201)*LOOKUP(2,1/(单次交易!$A$2:$A$201=A594),单次交易!$H$2:$H$201),0)+SUMIFS($H$2:$H$1001,$A$2:$A$1001,A594,$B$2:$B$1001,"&lt;"&amp;B594))</f>
        <v/>
      </c>
      <c r="K594" s="24" t="str">
        <f aca="false">IF(OR(E594="",I594="",J594=""),"",MAX(E594*I594-J594,0))</f>
        <v/>
      </c>
      <c r="L594" s="25" t="str">
        <f aca="false">IF(OR(D594="",E594="",F594="",D594&lt;=E594),"",FLOOR((F594+K594)/(D594-E594),100))</f>
        <v/>
      </c>
      <c r="M594" s="25" t="str">
        <f aca="false">IF(OR(A594="",B594="",L594=""),"",IF(B594=1,L594,IFERROR(SUMIFS($G$2:$G$1001,$A$2:$A$1001,A594,$B$2:$B$1001,B594-1),0)))</f>
        <v/>
      </c>
      <c r="N594" s="25" t="str">
        <f aca="false">IF(OR(L594="",M594=""),"",MIN(L594,M594))</f>
        <v/>
      </c>
      <c r="O594" s="25" t="str">
        <f aca="false">IF(OR(I594="",G594=""),"",I594+G594)</f>
        <v/>
      </c>
      <c r="P594" s="24" t="str">
        <f aca="false">IF(OR(O594="",O594=0),"",(J594+H594)/O594)</f>
        <v/>
      </c>
      <c r="Q594" s="24" t="str">
        <f aca="false">IF(OR(O594="",E594=""),"",MAX(J594+H594-E594*O594,0))</f>
        <v/>
      </c>
      <c r="R594" s="26" t="str">
        <f aca="false">IF(A594="","",IF(COUNTIF(_TradeIds,A594)=0,"违规：交易编号不存在",IF(OR(B594="",B594&lt;1,B594&gt;5,B594&lt;&gt;INT(B594)),"违规：加仓序号须为1到5的整数",IF(COUNTIFS($A$2:$A$1001,A594,$B$2:$B$1001,B594)&gt;1,"违规：同一交易的加仓序号重复",IF(OR(D594="",E594="",F594=""),"计划不完整：请填写加仓价、新止损价和风险预算",IF(OR(D594&lt;=0,E594&lt;=0,F594&lt;=0,D594&lt;=E594),"违规：加仓价必须高于新止损价，金额须大于0",IF(AND(B594&gt;1,COUNTIFS($A$2:$A$1001,A594,$B$2:$B$1001,B594-1,$G$2:$G$1001,"&gt;0")=0),"违规：须先完成上一次加仓",IF(AND(B594&gt;1,E594&lt;SUMIFS($E$2:$E$1001,$A$2:$A$1001,A594,$B$2:$B$1001,B594-1)),"违规：新止损价不得低于上一次",IF(AND(B594&gt;1,F594&gt;SUMIFS($F$2:$F$1001,$A$2:$A$1001,A594,$B$2:$B$1001,B594-1)),"违规：风险预算须逐次不增加",IF(OR(_LockStatus="已锁仓",_LockStatus="解锁信息不完整"),"违规：锁仓期间禁止加仓",IF(G594="","计划可执行：建议股数见N列",IF(OR(G594&lt;=0,G594&lt;&gt;INT(G594),MOD(G594,100)&lt;&gt;0),"违规：实际股数须为100股整数倍",IF(G594&gt;N594,"违规：实际股数超过风险或金字塔上限",IF(AND(B594&gt;1,G594&gt;SUMIFS($G$2:$G$1001,$A$2:$A$1001,A594,$B$2:$B$1001,B594-1)),"违规：加仓股数须逐次不增加",IF(Q594&gt;F594,"违规：止损风险超过本次预算","通过")))))))))))))))</f>
        <v/>
      </c>
    </row>
    <row r="595" customFormat="false" ht="15" hidden="false" customHeight="false" outlineLevel="0" collapsed="false">
      <c r="A595" s="20"/>
      <c r="B595" s="21"/>
      <c r="C595" s="22"/>
      <c r="D595" s="23"/>
      <c r="E595" s="23"/>
      <c r="F595" s="23"/>
      <c r="G595" s="21"/>
      <c r="H595" s="24" t="str">
        <f aca="false">IF(OR(A595="",D595="",G595=""),"",D595*G595)</f>
        <v/>
      </c>
      <c r="I595" s="25" t="str">
        <f aca="false">IF(OR(A595="",B595=""),"",IFERROR(LOOKUP(2,1/(单次交易!$A$2:$A$201=A595),单次交易!$H$2:$H$201),0)+SUMIFS($G$2:$G$1001,$A$2:$A$1001,A595,$B$2:$B$1001,"&lt;"&amp;B595))</f>
        <v/>
      </c>
      <c r="J595" s="24" t="str">
        <f aca="false">IF(OR(A595="",B595=""),"",IFERROR(LOOKUP(2,1/(单次交易!$A$2:$A$201=A595),单次交易!$E$2:$E$201)*LOOKUP(2,1/(单次交易!$A$2:$A$201=A595),单次交易!$H$2:$H$201),0)+SUMIFS($H$2:$H$1001,$A$2:$A$1001,A595,$B$2:$B$1001,"&lt;"&amp;B595))</f>
        <v/>
      </c>
      <c r="K595" s="24" t="str">
        <f aca="false">IF(OR(E595="",I595="",J595=""),"",MAX(E595*I595-J595,0))</f>
        <v/>
      </c>
      <c r="L595" s="25" t="str">
        <f aca="false">IF(OR(D595="",E595="",F595="",D595&lt;=E595),"",FLOOR((F595+K595)/(D595-E595),100))</f>
        <v/>
      </c>
      <c r="M595" s="25" t="str">
        <f aca="false">IF(OR(A595="",B595="",L595=""),"",IF(B595=1,L595,IFERROR(SUMIFS($G$2:$G$1001,$A$2:$A$1001,A595,$B$2:$B$1001,B595-1),0)))</f>
        <v/>
      </c>
      <c r="N595" s="25" t="str">
        <f aca="false">IF(OR(L595="",M595=""),"",MIN(L595,M595))</f>
        <v/>
      </c>
      <c r="O595" s="25" t="str">
        <f aca="false">IF(OR(I595="",G595=""),"",I595+G595)</f>
        <v/>
      </c>
      <c r="P595" s="24" t="str">
        <f aca="false">IF(OR(O595="",O595=0),"",(J595+H595)/O595)</f>
        <v/>
      </c>
      <c r="Q595" s="24" t="str">
        <f aca="false">IF(OR(O595="",E595=""),"",MAX(J595+H595-E595*O595,0))</f>
        <v/>
      </c>
      <c r="R595" s="26" t="str">
        <f aca="false">IF(A595="","",IF(COUNTIF(_TradeIds,A595)=0,"违规：交易编号不存在",IF(OR(B595="",B595&lt;1,B595&gt;5,B595&lt;&gt;INT(B595)),"违规：加仓序号须为1到5的整数",IF(COUNTIFS($A$2:$A$1001,A595,$B$2:$B$1001,B595)&gt;1,"违规：同一交易的加仓序号重复",IF(OR(D595="",E595="",F595=""),"计划不完整：请填写加仓价、新止损价和风险预算",IF(OR(D595&lt;=0,E595&lt;=0,F595&lt;=0,D595&lt;=E595),"违规：加仓价必须高于新止损价，金额须大于0",IF(AND(B595&gt;1,COUNTIFS($A$2:$A$1001,A595,$B$2:$B$1001,B595-1,$G$2:$G$1001,"&gt;0")=0),"违规：须先完成上一次加仓",IF(AND(B595&gt;1,E595&lt;SUMIFS($E$2:$E$1001,$A$2:$A$1001,A595,$B$2:$B$1001,B595-1)),"违规：新止损价不得低于上一次",IF(AND(B595&gt;1,F595&gt;SUMIFS($F$2:$F$1001,$A$2:$A$1001,A595,$B$2:$B$1001,B595-1)),"违规：风险预算须逐次不增加",IF(OR(_LockStatus="已锁仓",_LockStatus="解锁信息不完整"),"违规：锁仓期间禁止加仓",IF(G595="","计划可执行：建议股数见N列",IF(OR(G595&lt;=0,G595&lt;&gt;INT(G595),MOD(G595,100)&lt;&gt;0),"违规：实际股数须为100股整数倍",IF(G595&gt;N595,"违规：实际股数超过风险或金字塔上限",IF(AND(B595&gt;1,G595&gt;SUMIFS($G$2:$G$1001,$A$2:$A$1001,A595,$B$2:$B$1001,B595-1)),"违规：加仓股数须逐次不增加",IF(Q595&gt;F595,"违规：止损风险超过本次预算","通过")))))))))))))))</f>
        <v/>
      </c>
    </row>
    <row r="596" customFormat="false" ht="15" hidden="false" customHeight="false" outlineLevel="0" collapsed="false">
      <c r="A596" s="20"/>
      <c r="B596" s="21"/>
      <c r="C596" s="22"/>
      <c r="D596" s="23"/>
      <c r="E596" s="23"/>
      <c r="F596" s="23"/>
      <c r="G596" s="21"/>
      <c r="H596" s="24" t="str">
        <f aca="false">IF(OR(A596="",D596="",G596=""),"",D596*G596)</f>
        <v/>
      </c>
      <c r="I596" s="25" t="str">
        <f aca="false">IF(OR(A596="",B596=""),"",IFERROR(LOOKUP(2,1/(单次交易!$A$2:$A$201=A596),单次交易!$H$2:$H$201),0)+SUMIFS($G$2:$G$1001,$A$2:$A$1001,A596,$B$2:$B$1001,"&lt;"&amp;B596))</f>
        <v/>
      </c>
      <c r="J596" s="24" t="str">
        <f aca="false">IF(OR(A596="",B596=""),"",IFERROR(LOOKUP(2,1/(单次交易!$A$2:$A$201=A596),单次交易!$E$2:$E$201)*LOOKUP(2,1/(单次交易!$A$2:$A$201=A596),单次交易!$H$2:$H$201),0)+SUMIFS($H$2:$H$1001,$A$2:$A$1001,A596,$B$2:$B$1001,"&lt;"&amp;B596))</f>
        <v/>
      </c>
      <c r="K596" s="24" t="str">
        <f aca="false">IF(OR(E596="",I596="",J596=""),"",MAX(E596*I596-J596,0))</f>
        <v/>
      </c>
      <c r="L596" s="25" t="str">
        <f aca="false">IF(OR(D596="",E596="",F596="",D596&lt;=E596),"",FLOOR((F596+K596)/(D596-E596),100))</f>
        <v/>
      </c>
      <c r="M596" s="25" t="str">
        <f aca="false">IF(OR(A596="",B596="",L596=""),"",IF(B596=1,L596,IFERROR(SUMIFS($G$2:$G$1001,$A$2:$A$1001,A596,$B$2:$B$1001,B596-1),0)))</f>
        <v/>
      </c>
      <c r="N596" s="25" t="str">
        <f aca="false">IF(OR(L596="",M596=""),"",MIN(L596,M596))</f>
        <v/>
      </c>
      <c r="O596" s="25" t="str">
        <f aca="false">IF(OR(I596="",G596=""),"",I596+G596)</f>
        <v/>
      </c>
      <c r="P596" s="24" t="str">
        <f aca="false">IF(OR(O596="",O596=0),"",(J596+H596)/O596)</f>
        <v/>
      </c>
      <c r="Q596" s="24" t="str">
        <f aca="false">IF(OR(O596="",E596=""),"",MAX(J596+H596-E596*O596,0))</f>
        <v/>
      </c>
      <c r="R596" s="26" t="str">
        <f aca="false">IF(A596="","",IF(COUNTIF(_TradeIds,A596)=0,"违规：交易编号不存在",IF(OR(B596="",B596&lt;1,B596&gt;5,B596&lt;&gt;INT(B596)),"违规：加仓序号须为1到5的整数",IF(COUNTIFS($A$2:$A$1001,A596,$B$2:$B$1001,B596)&gt;1,"违规：同一交易的加仓序号重复",IF(OR(D596="",E596="",F596=""),"计划不完整：请填写加仓价、新止损价和风险预算",IF(OR(D596&lt;=0,E596&lt;=0,F596&lt;=0,D596&lt;=E596),"违规：加仓价必须高于新止损价，金额须大于0",IF(AND(B596&gt;1,COUNTIFS($A$2:$A$1001,A596,$B$2:$B$1001,B596-1,$G$2:$G$1001,"&gt;0")=0),"违规：须先完成上一次加仓",IF(AND(B596&gt;1,E596&lt;SUMIFS($E$2:$E$1001,$A$2:$A$1001,A596,$B$2:$B$1001,B596-1)),"违规：新止损价不得低于上一次",IF(AND(B596&gt;1,F596&gt;SUMIFS($F$2:$F$1001,$A$2:$A$1001,A596,$B$2:$B$1001,B596-1)),"违规：风险预算须逐次不增加",IF(OR(_LockStatus="已锁仓",_LockStatus="解锁信息不完整"),"违规：锁仓期间禁止加仓",IF(G596="","计划可执行：建议股数见N列",IF(OR(G596&lt;=0,G596&lt;&gt;INT(G596),MOD(G596,100)&lt;&gt;0),"违规：实际股数须为100股整数倍",IF(G596&gt;N596,"违规：实际股数超过风险或金字塔上限",IF(AND(B596&gt;1,G596&gt;SUMIFS($G$2:$G$1001,$A$2:$A$1001,A596,$B$2:$B$1001,B596-1)),"违规：加仓股数须逐次不增加",IF(Q596&gt;F596,"违规：止损风险超过本次预算","通过")))))))))))))))</f>
        <v/>
      </c>
    </row>
    <row r="597" customFormat="false" ht="15" hidden="false" customHeight="false" outlineLevel="0" collapsed="false">
      <c r="A597" s="20"/>
      <c r="B597" s="21"/>
      <c r="C597" s="22"/>
      <c r="D597" s="23"/>
      <c r="E597" s="23"/>
      <c r="F597" s="23"/>
      <c r="G597" s="21"/>
      <c r="H597" s="24" t="str">
        <f aca="false">IF(OR(A597="",D597="",G597=""),"",D597*G597)</f>
        <v/>
      </c>
      <c r="I597" s="25" t="str">
        <f aca="false">IF(OR(A597="",B597=""),"",IFERROR(LOOKUP(2,1/(单次交易!$A$2:$A$201=A597),单次交易!$H$2:$H$201),0)+SUMIFS($G$2:$G$1001,$A$2:$A$1001,A597,$B$2:$B$1001,"&lt;"&amp;B597))</f>
        <v/>
      </c>
      <c r="J597" s="24" t="str">
        <f aca="false">IF(OR(A597="",B597=""),"",IFERROR(LOOKUP(2,1/(单次交易!$A$2:$A$201=A597),单次交易!$E$2:$E$201)*LOOKUP(2,1/(单次交易!$A$2:$A$201=A597),单次交易!$H$2:$H$201),0)+SUMIFS($H$2:$H$1001,$A$2:$A$1001,A597,$B$2:$B$1001,"&lt;"&amp;B597))</f>
        <v/>
      </c>
      <c r="K597" s="24" t="str">
        <f aca="false">IF(OR(E597="",I597="",J597=""),"",MAX(E597*I597-J597,0))</f>
        <v/>
      </c>
      <c r="L597" s="25" t="str">
        <f aca="false">IF(OR(D597="",E597="",F597="",D597&lt;=E597),"",FLOOR((F597+K597)/(D597-E597),100))</f>
        <v/>
      </c>
      <c r="M597" s="25" t="str">
        <f aca="false">IF(OR(A597="",B597="",L597=""),"",IF(B597=1,L597,IFERROR(SUMIFS($G$2:$G$1001,$A$2:$A$1001,A597,$B$2:$B$1001,B597-1),0)))</f>
        <v/>
      </c>
      <c r="N597" s="25" t="str">
        <f aca="false">IF(OR(L597="",M597=""),"",MIN(L597,M597))</f>
        <v/>
      </c>
      <c r="O597" s="25" t="str">
        <f aca="false">IF(OR(I597="",G597=""),"",I597+G597)</f>
        <v/>
      </c>
      <c r="P597" s="24" t="str">
        <f aca="false">IF(OR(O597="",O597=0),"",(J597+H597)/O597)</f>
        <v/>
      </c>
      <c r="Q597" s="24" t="str">
        <f aca="false">IF(OR(O597="",E597=""),"",MAX(J597+H597-E597*O597,0))</f>
        <v/>
      </c>
      <c r="R597" s="26" t="str">
        <f aca="false">IF(A597="","",IF(COUNTIF(_TradeIds,A597)=0,"违规：交易编号不存在",IF(OR(B597="",B597&lt;1,B597&gt;5,B597&lt;&gt;INT(B597)),"违规：加仓序号须为1到5的整数",IF(COUNTIFS($A$2:$A$1001,A597,$B$2:$B$1001,B597)&gt;1,"违规：同一交易的加仓序号重复",IF(OR(D597="",E597="",F597=""),"计划不完整：请填写加仓价、新止损价和风险预算",IF(OR(D597&lt;=0,E597&lt;=0,F597&lt;=0,D597&lt;=E597),"违规：加仓价必须高于新止损价，金额须大于0",IF(AND(B597&gt;1,COUNTIFS($A$2:$A$1001,A597,$B$2:$B$1001,B597-1,$G$2:$G$1001,"&gt;0")=0),"违规：须先完成上一次加仓",IF(AND(B597&gt;1,E597&lt;SUMIFS($E$2:$E$1001,$A$2:$A$1001,A597,$B$2:$B$1001,B597-1)),"违规：新止损价不得低于上一次",IF(AND(B597&gt;1,F597&gt;SUMIFS($F$2:$F$1001,$A$2:$A$1001,A597,$B$2:$B$1001,B597-1)),"违规：风险预算须逐次不增加",IF(OR(_LockStatus="已锁仓",_LockStatus="解锁信息不完整"),"违规：锁仓期间禁止加仓",IF(G597="","计划可执行：建议股数见N列",IF(OR(G597&lt;=0,G597&lt;&gt;INT(G597),MOD(G597,100)&lt;&gt;0),"违规：实际股数须为100股整数倍",IF(G597&gt;N597,"违规：实际股数超过风险或金字塔上限",IF(AND(B597&gt;1,G597&gt;SUMIFS($G$2:$G$1001,$A$2:$A$1001,A597,$B$2:$B$1001,B597-1)),"违规：加仓股数须逐次不增加",IF(Q597&gt;F597,"违规：止损风险超过本次预算","通过")))))))))))))))</f>
        <v/>
      </c>
    </row>
    <row r="598" customFormat="false" ht="15" hidden="false" customHeight="false" outlineLevel="0" collapsed="false">
      <c r="A598" s="20"/>
      <c r="B598" s="21"/>
      <c r="C598" s="22"/>
      <c r="D598" s="23"/>
      <c r="E598" s="23"/>
      <c r="F598" s="23"/>
      <c r="G598" s="21"/>
      <c r="H598" s="24" t="str">
        <f aca="false">IF(OR(A598="",D598="",G598=""),"",D598*G598)</f>
        <v/>
      </c>
      <c r="I598" s="25" t="str">
        <f aca="false">IF(OR(A598="",B598=""),"",IFERROR(LOOKUP(2,1/(单次交易!$A$2:$A$201=A598),单次交易!$H$2:$H$201),0)+SUMIFS($G$2:$G$1001,$A$2:$A$1001,A598,$B$2:$B$1001,"&lt;"&amp;B598))</f>
        <v/>
      </c>
      <c r="J598" s="24" t="str">
        <f aca="false">IF(OR(A598="",B598=""),"",IFERROR(LOOKUP(2,1/(单次交易!$A$2:$A$201=A598),单次交易!$E$2:$E$201)*LOOKUP(2,1/(单次交易!$A$2:$A$201=A598),单次交易!$H$2:$H$201),0)+SUMIFS($H$2:$H$1001,$A$2:$A$1001,A598,$B$2:$B$1001,"&lt;"&amp;B598))</f>
        <v/>
      </c>
      <c r="K598" s="24" t="str">
        <f aca="false">IF(OR(E598="",I598="",J598=""),"",MAX(E598*I598-J598,0))</f>
        <v/>
      </c>
      <c r="L598" s="25" t="str">
        <f aca="false">IF(OR(D598="",E598="",F598="",D598&lt;=E598),"",FLOOR((F598+K598)/(D598-E598),100))</f>
        <v/>
      </c>
      <c r="M598" s="25" t="str">
        <f aca="false">IF(OR(A598="",B598="",L598=""),"",IF(B598=1,L598,IFERROR(SUMIFS($G$2:$G$1001,$A$2:$A$1001,A598,$B$2:$B$1001,B598-1),0)))</f>
        <v/>
      </c>
      <c r="N598" s="25" t="str">
        <f aca="false">IF(OR(L598="",M598=""),"",MIN(L598,M598))</f>
        <v/>
      </c>
      <c r="O598" s="25" t="str">
        <f aca="false">IF(OR(I598="",G598=""),"",I598+G598)</f>
        <v/>
      </c>
      <c r="P598" s="24" t="str">
        <f aca="false">IF(OR(O598="",O598=0),"",(J598+H598)/O598)</f>
        <v/>
      </c>
      <c r="Q598" s="24" t="str">
        <f aca="false">IF(OR(O598="",E598=""),"",MAX(J598+H598-E598*O598,0))</f>
        <v/>
      </c>
      <c r="R598" s="26" t="str">
        <f aca="false">IF(A598="","",IF(COUNTIF(_TradeIds,A598)=0,"违规：交易编号不存在",IF(OR(B598="",B598&lt;1,B598&gt;5,B598&lt;&gt;INT(B598)),"违规：加仓序号须为1到5的整数",IF(COUNTIFS($A$2:$A$1001,A598,$B$2:$B$1001,B598)&gt;1,"违规：同一交易的加仓序号重复",IF(OR(D598="",E598="",F598=""),"计划不完整：请填写加仓价、新止损价和风险预算",IF(OR(D598&lt;=0,E598&lt;=0,F598&lt;=0,D598&lt;=E598),"违规：加仓价必须高于新止损价，金额须大于0",IF(AND(B598&gt;1,COUNTIFS($A$2:$A$1001,A598,$B$2:$B$1001,B598-1,$G$2:$G$1001,"&gt;0")=0),"违规：须先完成上一次加仓",IF(AND(B598&gt;1,E598&lt;SUMIFS($E$2:$E$1001,$A$2:$A$1001,A598,$B$2:$B$1001,B598-1)),"违规：新止损价不得低于上一次",IF(AND(B598&gt;1,F598&gt;SUMIFS($F$2:$F$1001,$A$2:$A$1001,A598,$B$2:$B$1001,B598-1)),"违规：风险预算须逐次不增加",IF(OR(_LockStatus="已锁仓",_LockStatus="解锁信息不完整"),"违规：锁仓期间禁止加仓",IF(G598="","计划可执行：建议股数见N列",IF(OR(G598&lt;=0,G598&lt;&gt;INT(G598),MOD(G598,100)&lt;&gt;0),"违规：实际股数须为100股整数倍",IF(G598&gt;N598,"违规：实际股数超过风险或金字塔上限",IF(AND(B598&gt;1,G598&gt;SUMIFS($G$2:$G$1001,$A$2:$A$1001,A598,$B$2:$B$1001,B598-1)),"违规：加仓股数须逐次不增加",IF(Q598&gt;F598,"违规：止损风险超过本次预算","通过")))))))))))))))</f>
        <v/>
      </c>
    </row>
    <row r="599" customFormat="false" ht="15" hidden="false" customHeight="false" outlineLevel="0" collapsed="false">
      <c r="A599" s="20"/>
      <c r="B599" s="21"/>
      <c r="C599" s="22"/>
      <c r="D599" s="23"/>
      <c r="E599" s="23"/>
      <c r="F599" s="23"/>
      <c r="G599" s="21"/>
      <c r="H599" s="24" t="str">
        <f aca="false">IF(OR(A599="",D599="",G599=""),"",D599*G599)</f>
        <v/>
      </c>
      <c r="I599" s="25" t="str">
        <f aca="false">IF(OR(A599="",B599=""),"",IFERROR(LOOKUP(2,1/(单次交易!$A$2:$A$201=A599),单次交易!$H$2:$H$201),0)+SUMIFS($G$2:$G$1001,$A$2:$A$1001,A599,$B$2:$B$1001,"&lt;"&amp;B599))</f>
        <v/>
      </c>
      <c r="J599" s="24" t="str">
        <f aca="false">IF(OR(A599="",B599=""),"",IFERROR(LOOKUP(2,1/(单次交易!$A$2:$A$201=A599),单次交易!$E$2:$E$201)*LOOKUP(2,1/(单次交易!$A$2:$A$201=A599),单次交易!$H$2:$H$201),0)+SUMIFS($H$2:$H$1001,$A$2:$A$1001,A599,$B$2:$B$1001,"&lt;"&amp;B599))</f>
        <v/>
      </c>
      <c r="K599" s="24" t="str">
        <f aca="false">IF(OR(E599="",I599="",J599=""),"",MAX(E599*I599-J599,0))</f>
        <v/>
      </c>
      <c r="L599" s="25" t="str">
        <f aca="false">IF(OR(D599="",E599="",F599="",D599&lt;=E599),"",FLOOR((F599+K599)/(D599-E599),100))</f>
        <v/>
      </c>
      <c r="M599" s="25" t="str">
        <f aca="false">IF(OR(A599="",B599="",L599=""),"",IF(B599=1,L599,IFERROR(SUMIFS($G$2:$G$1001,$A$2:$A$1001,A599,$B$2:$B$1001,B599-1),0)))</f>
        <v/>
      </c>
      <c r="N599" s="25" t="str">
        <f aca="false">IF(OR(L599="",M599=""),"",MIN(L599,M599))</f>
        <v/>
      </c>
      <c r="O599" s="25" t="str">
        <f aca="false">IF(OR(I599="",G599=""),"",I599+G599)</f>
        <v/>
      </c>
      <c r="P599" s="24" t="str">
        <f aca="false">IF(OR(O599="",O599=0),"",(J599+H599)/O599)</f>
        <v/>
      </c>
      <c r="Q599" s="24" t="str">
        <f aca="false">IF(OR(O599="",E599=""),"",MAX(J599+H599-E599*O599,0))</f>
        <v/>
      </c>
      <c r="R599" s="26" t="str">
        <f aca="false">IF(A599="","",IF(COUNTIF(_TradeIds,A599)=0,"违规：交易编号不存在",IF(OR(B599="",B599&lt;1,B599&gt;5,B599&lt;&gt;INT(B599)),"违规：加仓序号须为1到5的整数",IF(COUNTIFS($A$2:$A$1001,A599,$B$2:$B$1001,B599)&gt;1,"违规：同一交易的加仓序号重复",IF(OR(D599="",E599="",F599=""),"计划不完整：请填写加仓价、新止损价和风险预算",IF(OR(D599&lt;=0,E599&lt;=0,F599&lt;=0,D599&lt;=E599),"违规：加仓价必须高于新止损价，金额须大于0",IF(AND(B599&gt;1,COUNTIFS($A$2:$A$1001,A599,$B$2:$B$1001,B599-1,$G$2:$G$1001,"&gt;0")=0),"违规：须先完成上一次加仓",IF(AND(B599&gt;1,E599&lt;SUMIFS($E$2:$E$1001,$A$2:$A$1001,A599,$B$2:$B$1001,B599-1)),"违规：新止损价不得低于上一次",IF(AND(B599&gt;1,F599&gt;SUMIFS($F$2:$F$1001,$A$2:$A$1001,A599,$B$2:$B$1001,B599-1)),"违规：风险预算须逐次不增加",IF(OR(_LockStatus="已锁仓",_LockStatus="解锁信息不完整"),"违规：锁仓期间禁止加仓",IF(G599="","计划可执行：建议股数见N列",IF(OR(G599&lt;=0,G599&lt;&gt;INT(G599),MOD(G599,100)&lt;&gt;0),"违规：实际股数须为100股整数倍",IF(G599&gt;N599,"违规：实际股数超过风险或金字塔上限",IF(AND(B599&gt;1,G599&gt;SUMIFS($G$2:$G$1001,$A$2:$A$1001,A599,$B$2:$B$1001,B599-1)),"违规：加仓股数须逐次不增加",IF(Q599&gt;F599,"违规：止损风险超过本次预算","通过")))))))))))))))</f>
        <v/>
      </c>
    </row>
    <row r="600" customFormat="false" ht="15" hidden="false" customHeight="false" outlineLevel="0" collapsed="false">
      <c r="A600" s="20"/>
      <c r="B600" s="21"/>
      <c r="C600" s="22"/>
      <c r="D600" s="23"/>
      <c r="E600" s="23"/>
      <c r="F600" s="23"/>
      <c r="G600" s="21"/>
      <c r="H600" s="24" t="str">
        <f aca="false">IF(OR(A600="",D600="",G600=""),"",D600*G600)</f>
        <v/>
      </c>
      <c r="I600" s="25" t="str">
        <f aca="false">IF(OR(A600="",B600=""),"",IFERROR(LOOKUP(2,1/(单次交易!$A$2:$A$201=A600),单次交易!$H$2:$H$201),0)+SUMIFS($G$2:$G$1001,$A$2:$A$1001,A600,$B$2:$B$1001,"&lt;"&amp;B600))</f>
        <v/>
      </c>
      <c r="J600" s="24" t="str">
        <f aca="false">IF(OR(A600="",B600=""),"",IFERROR(LOOKUP(2,1/(单次交易!$A$2:$A$201=A600),单次交易!$E$2:$E$201)*LOOKUP(2,1/(单次交易!$A$2:$A$201=A600),单次交易!$H$2:$H$201),0)+SUMIFS($H$2:$H$1001,$A$2:$A$1001,A600,$B$2:$B$1001,"&lt;"&amp;B600))</f>
        <v/>
      </c>
      <c r="K600" s="24" t="str">
        <f aca="false">IF(OR(E600="",I600="",J600=""),"",MAX(E600*I600-J600,0))</f>
        <v/>
      </c>
      <c r="L600" s="25" t="str">
        <f aca="false">IF(OR(D600="",E600="",F600="",D600&lt;=E600),"",FLOOR((F600+K600)/(D600-E600),100))</f>
        <v/>
      </c>
      <c r="M600" s="25" t="str">
        <f aca="false">IF(OR(A600="",B600="",L600=""),"",IF(B600=1,L600,IFERROR(SUMIFS($G$2:$G$1001,$A$2:$A$1001,A600,$B$2:$B$1001,B600-1),0)))</f>
        <v/>
      </c>
      <c r="N600" s="25" t="str">
        <f aca="false">IF(OR(L600="",M600=""),"",MIN(L600,M600))</f>
        <v/>
      </c>
      <c r="O600" s="25" t="str">
        <f aca="false">IF(OR(I600="",G600=""),"",I600+G600)</f>
        <v/>
      </c>
      <c r="P600" s="24" t="str">
        <f aca="false">IF(OR(O600="",O600=0),"",(J600+H600)/O600)</f>
        <v/>
      </c>
      <c r="Q600" s="24" t="str">
        <f aca="false">IF(OR(O600="",E600=""),"",MAX(J600+H600-E600*O600,0))</f>
        <v/>
      </c>
      <c r="R600" s="26" t="str">
        <f aca="false">IF(A600="","",IF(COUNTIF(_TradeIds,A600)=0,"违规：交易编号不存在",IF(OR(B600="",B600&lt;1,B600&gt;5,B600&lt;&gt;INT(B600)),"违规：加仓序号须为1到5的整数",IF(COUNTIFS($A$2:$A$1001,A600,$B$2:$B$1001,B600)&gt;1,"违规：同一交易的加仓序号重复",IF(OR(D600="",E600="",F600=""),"计划不完整：请填写加仓价、新止损价和风险预算",IF(OR(D600&lt;=0,E600&lt;=0,F600&lt;=0,D600&lt;=E600),"违规：加仓价必须高于新止损价，金额须大于0",IF(AND(B600&gt;1,COUNTIFS($A$2:$A$1001,A600,$B$2:$B$1001,B600-1,$G$2:$G$1001,"&gt;0")=0),"违规：须先完成上一次加仓",IF(AND(B600&gt;1,E600&lt;SUMIFS($E$2:$E$1001,$A$2:$A$1001,A600,$B$2:$B$1001,B600-1)),"违规：新止损价不得低于上一次",IF(AND(B600&gt;1,F600&gt;SUMIFS($F$2:$F$1001,$A$2:$A$1001,A600,$B$2:$B$1001,B600-1)),"违规：风险预算须逐次不增加",IF(OR(_LockStatus="已锁仓",_LockStatus="解锁信息不完整"),"违规：锁仓期间禁止加仓",IF(G600="","计划可执行：建议股数见N列",IF(OR(G600&lt;=0,G600&lt;&gt;INT(G600),MOD(G600,100)&lt;&gt;0),"违规：实际股数须为100股整数倍",IF(G600&gt;N600,"违规：实际股数超过风险或金字塔上限",IF(AND(B600&gt;1,G600&gt;SUMIFS($G$2:$G$1001,$A$2:$A$1001,A600,$B$2:$B$1001,B600-1)),"违规：加仓股数须逐次不增加",IF(Q600&gt;F600,"违规：止损风险超过本次预算","通过")))))))))))))))</f>
        <v/>
      </c>
    </row>
    <row r="601" customFormat="false" ht="15" hidden="false" customHeight="false" outlineLevel="0" collapsed="false">
      <c r="A601" s="20"/>
      <c r="B601" s="21"/>
      <c r="C601" s="22"/>
      <c r="D601" s="23"/>
      <c r="E601" s="23"/>
      <c r="F601" s="23"/>
      <c r="G601" s="21"/>
      <c r="H601" s="24" t="str">
        <f aca="false">IF(OR(A601="",D601="",G601=""),"",D601*G601)</f>
        <v/>
      </c>
      <c r="I601" s="25" t="str">
        <f aca="false">IF(OR(A601="",B601=""),"",IFERROR(LOOKUP(2,1/(单次交易!$A$2:$A$201=A601),单次交易!$H$2:$H$201),0)+SUMIFS($G$2:$G$1001,$A$2:$A$1001,A601,$B$2:$B$1001,"&lt;"&amp;B601))</f>
        <v/>
      </c>
      <c r="J601" s="24" t="str">
        <f aca="false">IF(OR(A601="",B601=""),"",IFERROR(LOOKUP(2,1/(单次交易!$A$2:$A$201=A601),单次交易!$E$2:$E$201)*LOOKUP(2,1/(单次交易!$A$2:$A$201=A601),单次交易!$H$2:$H$201),0)+SUMIFS($H$2:$H$1001,$A$2:$A$1001,A601,$B$2:$B$1001,"&lt;"&amp;B601))</f>
        <v/>
      </c>
      <c r="K601" s="24" t="str">
        <f aca="false">IF(OR(E601="",I601="",J601=""),"",MAX(E601*I601-J601,0))</f>
        <v/>
      </c>
      <c r="L601" s="25" t="str">
        <f aca="false">IF(OR(D601="",E601="",F601="",D601&lt;=E601),"",FLOOR((F601+K601)/(D601-E601),100))</f>
        <v/>
      </c>
      <c r="M601" s="25" t="str">
        <f aca="false">IF(OR(A601="",B601="",L601=""),"",IF(B601=1,L601,IFERROR(SUMIFS($G$2:$G$1001,$A$2:$A$1001,A601,$B$2:$B$1001,B601-1),0)))</f>
        <v/>
      </c>
      <c r="N601" s="25" t="str">
        <f aca="false">IF(OR(L601="",M601=""),"",MIN(L601,M601))</f>
        <v/>
      </c>
      <c r="O601" s="25" t="str">
        <f aca="false">IF(OR(I601="",G601=""),"",I601+G601)</f>
        <v/>
      </c>
      <c r="P601" s="24" t="str">
        <f aca="false">IF(OR(O601="",O601=0),"",(J601+H601)/O601)</f>
        <v/>
      </c>
      <c r="Q601" s="24" t="str">
        <f aca="false">IF(OR(O601="",E601=""),"",MAX(J601+H601-E601*O601,0))</f>
        <v/>
      </c>
      <c r="R601" s="26" t="str">
        <f aca="false">IF(A601="","",IF(COUNTIF(_TradeIds,A601)=0,"违规：交易编号不存在",IF(OR(B601="",B601&lt;1,B601&gt;5,B601&lt;&gt;INT(B601)),"违规：加仓序号须为1到5的整数",IF(COUNTIFS($A$2:$A$1001,A601,$B$2:$B$1001,B601)&gt;1,"违规：同一交易的加仓序号重复",IF(OR(D601="",E601="",F601=""),"计划不完整：请填写加仓价、新止损价和风险预算",IF(OR(D601&lt;=0,E601&lt;=0,F601&lt;=0,D601&lt;=E601),"违规：加仓价必须高于新止损价，金额须大于0",IF(AND(B601&gt;1,COUNTIFS($A$2:$A$1001,A601,$B$2:$B$1001,B601-1,$G$2:$G$1001,"&gt;0")=0),"违规：须先完成上一次加仓",IF(AND(B601&gt;1,E601&lt;SUMIFS($E$2:$E$1001,$A$2:$A$1001,A601,$B$2:$B$1001,B601-1)),"违规：新止损价不得低于上一次",IF(AND(B601&gt;1,F601&gt;SUMIFS($F$2:$F$1001,$A$2:$A$1001,A601,$B$2:$B$1001,B601-1)),"违规：风险预算须逐次不增加",IF(OR(_LockStatus="已锁仓",_LockStatus="解锁信息不完整"),"违规：锁仓期间禁止加仓",IF(G601="","计划可执行：建议股数见N列",IF(OR(G601&lt;=0,G601&lt;&gt;INT(G601),MOD(G601,100)&lt;&gt;0),"违规：实际股数须为100股整数倍",IF(G601&gt;N601,"违规：实际股数超过风险或金字塔上限",IF(AND(B601&gt;1,G601&gt;SUMIFS($G$2:$G$1001,$A$2:$A$1001,A601,$B$2:$B$1001,B601-1)),"违规：加仓股数须逐次不增加",IF(Q601&gt;F601,"违规：止损风险超过本次预算","通过")))))))))))))))</f>
        <v/>
      </c>
    </row>
    <row r="602" customFormat="false" ht="15" hidden="false" customHeight="false" outlineLevel="0" collapsed="false">
      <c r="A602" s="20"/>
      <c r="B602" s="21"/>
      <c r="C602" s="22"/>
      <c r="D602" s="23"/>
      <c r="E602" s="23"/>
      <c r="F602" s="23"/>
      <c r="G602" s="21"/>
      <c r="H602" s="24" t="str">
        <f aca="false">IF(OR(A602="",D602="",G602=""),"",D602*G602)</f>
        <v/>
      </c>
      <c r="I602" s="25" t="str">
        <f aca="false">IF(OR(A602="",B602=""),"",IFERROR(LOOKUP(2,1/(单次交易!$A$2:$A$201=A602),单次交易!$H$2:$H$201),0)+SUMIFS($G$2:$G$1001,$A$2:$A$1001,A602,$B$2:$B$1001,"&lt;"&amp;B602))</f>
        <v/>
      </c>
      <c r="J602" s="24" t="str">
        <f aca="false">IF(OR(A602="",B602=""),"",IFERROR(LOOKUP(2,1/(单次交易!$A$2:$A$201=A602),单次交易!$E$2:$E$201)*LOOKUP(2,1/(单次交易!$A$2:$A$201=A602),单次交易!$H$2:$H$201),0)+SUMIFS($H$2:$H$1001,$A$2:$A$1001,A602,$B$2:$B$1001,"&lt;"&amp;B602))</f>
        <v/>
      </c>
      <c r="K602" s="24" t="str">
        <f aca="false">IF(OR(E602="",I602="",J602=""),"",MAX(E602*I602-J602,0))</f>
        <v/>
      </c>
      <c r="L602" s="25" t="str">
        <f aca="false">IF(OR(D602="",E602="",F602="",D602&lt;=E602),"",FLOOR((F602+K602)/(D602-E602),100))</f>
        <v/>
      </c>
      <c r="M602" s="25" t="str">
        <f aca="false">IF(OR(A602="",B602="",L602=""),"",IF(B602=1,L602,IFERROR(SUMIFS($G$2:$G$1001,$A$2:$A$1001,A602,$B$2:$B$1001,B602-1),0)))</f>
        <v/>
      </c>
      <c r="N602" s="25" t="str">
        <f aca="false">IF(OR(L602="",M602=""),"",MIN(L602,M602))</f>
        <v/>
      </c>
      <c r="O602" s="25" t="str">
        <f aca="false">IF(OR(I602="",G602=""),"",I602+G602)</f>
        <v/>
      </c>
      <c r="P602" s="24" t="str">
        <f aca="false">IF(OR(O602="",O602=0),"",(J602+H602)/O602)</f>
        <v/>
      </c>
      <c r="Q602" s="24" t="str">
        <f aca="false">IF(OR(O602="",E602=""),"",MAX(J602+H602-E602*O602,0))</f>
        <v/>
      </c>
      <c r="R602" s="26" t="str">
        <f aca="false">IF(A602="","",IF(COUNTIF(_TradeIds,A602)=0,"违规：交易编号不存在",IF(OR(B602="",B602&lt;1,B602&gt;5,B602&lt;&gt;INT(B602)),"违规：加仓序号须为1到5的整数",IF(COUNTIFS($A$2:$A$1001,A602,$B$2:$B$1001,B602)&gt;1,"违规：同一交易的加仓序号重复",IF(OR(D602="",E602="",F602=""),"计划不完整：请填写加仓价、新止损价和风险预算",IF(OR(D602&lt;=0,E602&lt;=0,F602&lt;=0,D602&lt;=E602),"违规：加仓价必须高于新止损价，金额须大于0",IF(AND(B602&gt;1,COUNTIFS($A$2:$A$1001,A602,$B$2:$B$1001,B602-1,$G$2:$G$1001,"&gt;0")=0),"违规：须先完成上一次加仓",IF(AND(B602&gt;1,E602&lt;SUMIFS($E$2:$E$1001,$A$2:$A$1001,A602,$B$2:$B$1001,B602-1)),"违规：新止损价不得低于上一次",IF(AND(B602&gt;1,F602&gt;SUMIFS($F$2:$F$1001,$A$2:$A$1001,A602,$B$2:$B$1001,B602-1)),"违规：风险预算须逐次不增加",IF(OR(_LockStatus="已锁仓",_LockStatus="解锁信息不完整"),"违规：锁仓期间禁止加仓",IF(G602="","计划可执行：建议股数见N列",IF(OR(G602&lt;=0,G602&lt;&gt;INT(G602),MOD(G602,100)&lt;&gt;0),"违规：实际股数须为100股整数倍",IF(G602&gt;N602,"违规：实际股数超过风险或金字塔上限",IF(AND(B602&gt;1,G602&gt;SUMIFS($G$2:$G$1001,$A$2:$A$1001,A602,$B$2:$B$1001,B602-1)),"违规：加仓股数须逐次不增加",IF(Q602&gt;F602,"违规：止损风险超过本次预算","通过")))))))))))))))</f>
        <v/>
      </c>
    </row>
    <row r="603" customFormat="false" ht="15" hidden="false" customHeight="false" outlineLevel="0" collapsed="false">
      <c r="A603" s="20"/>
      <c r="B603" s="21"/>
      <c r="C603" s="22"/>
      <c r="D603" s="23"/>
      <c r="E603" s="23"/>
      <c r="F603" s="23"/>
      <c r="G603" s="21"/>
      <c r="H603" s="24" t="str">
        <f aca="false">IF(OR(A603="",D603="",G603=""),"",D603*G603)</f>
        <v/>
      </c>
      <c r="I603" s="25" t="str">
        <f aca="false">IF(OR(A603="",B603=""),"",IFERROR(LOOKUP(2,1/(单次交易!$A$2:$A$201=A603),单次交易!$H$2:$H$201),0)+SUMIFS($G$2:$G$1001,$A$2:$A$1001,A603,$B$2:$B$1001,"&lt;"&amp;B603))</f>
        <v/>
      </c>
      <c r="J603" s="24" t="str">
        <f aca="false">IF(OR(A603="",B603=""),"",IFERROR(LOOKUP(2,1/(单次交易!$A$2:$A$201=A603),单次交易!$E$2:$E$201)*LOOKUP(2,1/(单次交易!$A$2:$A$201=A603),单次交易!$H$2:$H$201),0)+SUMIFS($H$2:$H$1001,$A$2:$A$1001,A603,$B$2:$B$1001,"&lt;"&amp;B603))</f>
        <v/>
      </c>
      <c r="K603" s="24" t="str">
        <f aca="false">IF(OR(E603="",I603="",J603=""),"",MAX(E603*I603-J603,0))</f>
        <v/>
      </c>
      <c r="L603" s="25" t="str">
        <f aca="false">IF(OR(D603="",E603="",F603="",D603&lt;=E603),"",FLOOR((F603+K603)/(D603-E603),100))</f>
        <v/>
      </c>
      <c r="M603" s="25" t="str">
        <f aca="false">IF(OR(A603="",B603="",L603=""),"",IF(B603=1,L603,IFERROR(SUMIFS($G$2:$G$1001,$A$2:$A$1001,A603,$B$2:$B$1001,B603-1),0)))</f>
        <v/>
      </c>
      <c r="N603" s="25" t="str">
        <f aca="false">IF(OR(L603="",M603=""),"",MIN(L603,M603))</f>
        <v/>
      </c>
      <c r="O603" s="25" t="str">
        <f aca="false">IF(OR(I603="",G603=""),"",I603+G603)</f>
        <v/>
      </c>
      <c r="P603" s="24" t="str">
        <f aca="false">IF(OR(O603="",O603=0),"",(J603+H603)/O603)</f>
        <v/>
      </c>
      <c r="Q603" s="24" t="str">
        <f aca="false">IF(OR(O603="",E603=""),"",MAX(J603+H603-E603*O603,0))</f>
        <v/>
      </c>
      <c r="R603" s="26" t="str">
        <f aca="false">IF(A603="","",IF(COUNTIF(_TradeIds,A603)=0,"违规：交易编号不存在",IF(OR(B603="",B603&lt;1,B603&gt;5,B603&lt;&gt;INT(B603)),"违规：加仓序号须为1到5的整数",IF(COUNTIFS($A$2:$A$1001,A603,$B$2:$B$1001,B603)&gt;1,"违规：同一交易的加仓序号重复",IF(OR(D603="",E603="",F603=""),"计划不完整：请填写加仓价、新止损价和风险预算",IF(OR(D603&lt;=0,E603&lt;=0,F603&lt;=0,D603&lt;=E603),"违规：加仓价必须高于新止损价，金额须大于0",IF(AND(B603&gt;1,COUNTIFS($A$2:$A$1001,A603,$B$2:$B$1001,B603-1,$G$2:$G$1001,"&gt;0")=0),"违规：须先完成上一次加仓",IF(AND(B603&gt;1,E603&lt;SUMIFS($E$2:$E$1001,$A$2:$A$1001,A603,$B$2:$B$1001,B603-1)),"违规：新止损价不得低于上一次",IF(AND(B603&gt;1,F603&gt;SUMIFS($F$2:$F$1001,$A$2:$A$1001,A603,$B$2:$B$1001,B603-1)),"违规：风险预算须逐次不增加",IF(OR(_LockStatus="已锁仓",_LockStatus="解锁信息不完整"),"违规：锁仓期间禁止加仓",IF(G603="","计划可执行：建议股数见N列",IF(OR(G603&lt;=0,G603&lt;&gt;INT(G603),MOD(G603,100)&lt;&gt;0),"违规：实际股数须为100股整数倍",IF(G603&gt;N603,"违规：实际股数超过风险或金字塔上限",IF(AND(B603&gt;1,G603&gt;SUMIFS($G$2:$G$1001,$A$2:$A$1001,A603,$B$2:$B$1001,B603-1)),"违规：加仓股数须逐次不增加",IF(Q603&gt;F603,"违规：止损风险超过本次预算","通过")))))))))))))))</f>
        <v/>
      </c>
    </row>
    <row r="604" customFormat="false" ht="15" hidden="false" customHeight="false" outlineLevel="0" collapsed="false">
      <c r="A604" s="20"/>
      <c r="B604" s="21"/>
      <c r="C604" s="22"/>
      <c r="D604" s="23"/>
      <c r="E604" s="23"/>
      <c r="F604" s="23"/>
      <c r="G604" s="21"/>
      <c r="H604" s="24" t="str">
        <f aca="false">IF(OR(A604="",D604="",G604=""),"",D604*G604)</f>
        <v/>
      </c>
      <c r="I604" s="25" t="str">
        <f aca="false">IF(OR(A604="",B604=""),"",IFERROR(LOOKUP(2,1/(单次交易!$A$2:$A$201=A604),单次交易!$H$2:$H$201),0)+SUMIFS($G$2:$G$1001,$A$2:$A$1001,A604,$B$2:$B$1001,"&lt;"&amp;B604))</f>
        <v/>
      </c>
      <c r="J604" s="24" t="str">
        <f aca="false">IF(OR(A604="",B604=""),"",IFERROR(LOOKUP(2,1/(单次交易!$A$2:$A$201=A604),单次交易!$E$2:$E$201)*LOOKUP(2,1/(单次交易!$A$2:$A$201=A604),单次交易!$H$2:$H$201),0)+SUMIFS($H$2:$H$1001,$A$2:$A$1001,A604,$B$2:$B$1001,"&lt;"&amp;B604))</f>
        <v/>
      </c>
      <c r="K604" s="24" t="str">
        <f aca="false">IF(OR(E604="",I604="",J604=""),"",MAX(E604*I604-J604,0))</f>
        <v/>
      </c>
      <c r="L604" s="25" t="str">
        <f aca="false">IF(OR(D604="",E604="",F604="",D604&lt;=E604),"",FLOOR((F604+K604)/(D604-E604),100))</f>
        <v/>
      </c>
      <c r="M604" s="25" t="str">
        <f aca="false">IF(OR(A604="",B604="",L604=""),"",IF(B604=1,L604,IFERROR(SUMIFS($G$2:$G$1001,$A$2:$A$1001,A604,$B$2:$B$1001,B604-1),0)))</f>
        <v/>
      </c>
      <c r="N604" s="25" t="str">
        <f aca="false">IF(OR(L604="",M604=""),"",MIN(L604,M604))</f>
        <v/>
      </c>
      <c r="O604" s="25" t="str">
        <f aca="false">IF(OR(I604="",G604=""),"",I604+G604)</f>
        <v/>
      </c>
      <c r="P604" s="24" t="str">
        <f aca="false">IF(OR(O604="",O604=0),"",(J604+H604)/O604)</f>
        <v/>
      </c>
      <c r="Q604" s="24" t="str">
        <f aca="false">IF(OR(O604="",E604=""),"",MAX(J604+H604-E604*O604,0))</f>
        <v/>
      </c>
      <c r="R604" s="26" t="str">
        <f aca="false">IF(A604="","",IF(COUNTIF(_TradeIds,A604)=0,"违规：交易编号不存在",IF(OR(B604="",B604&lt;1,B604&gt;5,B604&lt;&gt;INT(B604)),"违规：加仓序号须为1到5的整数",IF(COUNTIFS($A$2:$A$1001,A604,$B$2:$B$1001,B604)&gt;1,"违规：同一交易的加仓序号重复",IF(OR(D604="",E604="",F604=""),"计划不完整：请填写加仓价、新止损价和风险预算",IF(OR(D604&lt;=0,E604&lt;=0,F604&lt;=0,D604&lt;=E604),"违规：加仓价必须高于新止损价，金额须大于0",IF(AND(B604&gt;1,COUNTIFS($A$2:$A$1001,A604,$B$2:$B$1001,B604-1,$G$2:$G$1001,"&gt;0")=0),"违规：须先完成上一次加仓",IF(AND(B604&gt;1,E604&lt;SUMIFS($E$2:$E$1001,$A$2:$A$1001,A604,$B$2:$B$1001,B604-1)),"违规：新止损价不得低于上一次",IF(AND(B604&gt;1,F604&gt;SUMIFS($F$2:$F$1001,$A$2:$A$1001,A604,$B$2:$B$1001,B604-1)),"违规：风险预算须逐次不增加",IF(OR(_LockStatus="已锁仓",_LockStatus="解锁信息不完整"),"违规：锁仓期间禁止加仓",IF(G604="","计划可执行：建议股数见N列",IF(OR(G604&lt;=0,G604&lt;&gt;INT(G604),MOD(G604,100)&lt;&gt;0),"违规：实际股数须为100股整数倍",IF(G604&gt;N604,"违规：实际股数超过风险或金字塔上限",IF(AND(B604&gt;1,G604&gt;SUMIFS($G$2:$G$1001,$A$2:$A$1001,A604,$B$2:$B$1001,B604-1)),"违规：加仓股数须逐次不增加",IF(Q604&gt;F604,"违规：止损风险超过本次预算","通过")))))))))))))))</f>
        <v/>
      </c>
    </row>
    <row r="605" customFormat="false" ht="15" hidden="false" customHeight="false" outlineLevel="0" collapsed="false">
      <c r="A605" s="20"/>
      <c r="B605" s="21"/>
      <c r="C605" s="22"/>
      <c r="D605" s="23"/>
      <c r="E605" s="23"/>
      <c r="F605" s="23"/>
      <c r="G605" s="21"/>
      <c r="H605" s="24" t="str">
        <f aca="false">IF(OR(A605="",D605="",G605=""),"",D605*G605)</f>
        <v/>
      </c>
      <c r="I605" s="25" t="str">
        <f aca="false">IF(OR(A605="",B605=""),"",IFERROR(LOOKUP(2,1/(单次交易!$A$2:$A$201=A605),单次交易!$H$2:$H$201),0)+SUMIFS($G$2:$G$1001,$A$2:$A$1001,A605,$B$2:$B$1001,"&lt;"&amp;B605))</f>
        <v/>
      </c>
      <c r="J605" s="24" t="str">
        <f aca="false">IF(OR(A605="",B605=""),"",IFERROR(LOOKUP(2,1/(单次交易!$A$2:$A$201=A605),单次交易!$E$2:$E$201)*LOOKUP(2,1/(单次交易!$A$2:$A$201=A605),单次交易!$H$2:$H$201),0)+SUMIFS($H$2:$H$1001,$A$2:$A$1001,A605,$B$2:$B$1001,"&lt;"&amp;B605))</f>
        <v/>
      </c>
      <c r="K605" s="24" t="str">
        <f aca="false">IF(OR(E605="",I605="",J605=""),"",MAX(E605*I605-J605,0))</f>
        <v/>
      </c>
      <c r="L605" s="25" t="str">
        <f aca="false">IF(OR(D605="",E605="",F605="",D605&lt;=E605),"",FLOOR((F605+K605)/(D605-E605),100))</f>
        <v/>
      </c>
      <c r="M605" s="25" t="str">
        <f aca="false">IF(OR(A605="",B605="",L605=""),"",IF(B605=1,L605,IFERROR(SUMIFS($G$2:$G$1001,$A$2:$A$1001,A605,$B$2:$B$1001,B605-1),0)))</f>
        <v/>
      </c>
      <c r="N605" s="25" t="str">
        <f aca="false">IF(OR(L605="",M605=""),"",MIN(L605,M605))</f>
        <v/>
      </c>
      <c r="O605" s="25" t="str">
        <f aca="false">IF(OR(I605="",G605=""),"",I605+G605)</f>
        <v/>
      </c>
      <c r="P605" s="24" t="str">
        <f aca="false">IF(OR(O605="",O605=0),"",(J605+H605)/O605)</f>
        <v/>
      </c>
      <c r="Q605" s="24" t="str">
        <f aca="false">IF(OR(O605="",E605=""),"",MAX(J605+H605-E605*O605,0))</f>
        <v/>
      </c>
      <c r="R605" s="26" t="str">
        <f aca="false">IF(A605="","",IF(COUNTIF(_TradeIds,A605)=0,"违规：交易编号不存在",IF(OR(B605="",B605&lt;1,B605&gt;5,B605&lt;&gt;INT(B605)),"违规：加仓序号须为1到5的整数",IF(COUNTIFS($A$2:$A$1001,A605,$B$2:$B$1001,B605)&gt;1,"违规：同一交易的加仓序号重复",IF(OR(D605="",E605="",F605=""),"计划不完整：请填写加仓价、新止损价和风险预算",IF(OR(D605&lt;=0,E605&lt;=0,F605&lt;=0,D605&lt;=E605),"违规：加仓价必须高于新止损价，金额须大于0",IF(AND(B605&gt;1,COUNTIFS($A$2:$A$1001,A605,$B$2:$B$1001,B605-1,$G$2:$G$1001,"&gt;0")=0),"违规：须先完成上一次加仓",IF(AND(B605&gt;1,E605&lt;SUMIFS($E$2:$E$1001,$A$2:$A$1001,A605,$B$2:$B$1001,B605-1)),"违规：新止损价不得低于上一次",IF(AND(B605&gt;1,F605&gt;SUMIFS($F$2:$F$1001,$A$2:$A$1001,A605,$B$2:$B$1001,B605-1)),"违规：风险预算须逐次不增加",IF(OR(_LockStatus="已锁仓",_LockStatus="解锁信息不完整"),"违规：锁仓期间禁止加仓",IF(G605="","计划可执行：建议股数见N列",IF(OR(G605&lt;=0,G605&lt;&gt;INT(G605),MOD(G605,100)&lt;&gt;0),"违规：实际股数须为100股整数倍",IF(G605&gt;N605,"违规：实际股数超过风险或金字塔上限",IF(AND(B605&gt;1,G605&gt;SUMIFS($G$2:$G$1001,$A$2:$A$1001,A605,$B$2:$B$1001,B605-1)),"违规：加仓股数须逐次不增加",IF(Q605&gt;F605,"违规：止损风险超过本次预算","通过")))))))))))))))</f>
        <v/>
      </c>
    </row>
    <row r="606" customFormat="false" ht="15" hidden="false" customHeight="false" outlineLevel="0" collapsed="false">
      <c r="A606" s="20"/>
      <c r="B606" s="21"/>
      <c r="C606" s="22"/>
      <c r="D606" s="23"/>
      <c r="E606" s="23"/>
      <c r="F606" s="23"/>
      <c r="G606" s="21"/>
      <c r="H606" s="24" t="str">
        <f aca="false">IF(OR(A606="",D606="",G606=""),"",D606*G606)</f>
        <v/>
      </c>
      <c r="I606" s="25" t="str">
        <f aca="false">IF(OR(A606="",B606=""),"",IFERROR(LOOKUP(2,1/(单次交易!$A$2:$A$201=A606),单次交易!$H$2:$H$201),0)+SUMIFS($G$2:$G$1001,$A$2:$A$1001,A606,$B$2:$B$1001,"&lt;"&amp;B606))</f>
        <v/>
      </c>
      <c r="J606" s="24" t="str">
        <f aca="false">IF(OR(A606="",B606=""),"",IFERROR(LOOKUP(2,1/(单次交易!$A$2:$A$201=A606),单次交易!$E$2:$E$201)*LOOKUP(2,1/(单次交易!$A$2:$A$201=A606),单次交易!$H$2:$H$201),0)+SUMIFS($H$2:$H$1001,$A$2:$A$1001,A606,$B$2:$B$1001,"&lt;"&amp;B606))</f>
        <v/>
      </c>
      <c r="K606" s="24" t="str">
        <f aca="false">IF(OR(E606="",I606="",J606=""),"",MAX(E606*I606-J606,0))</f>
        <v/>
      </c>
      <c r="L606" s="25" t="str">
        <f aca="false">IF(OR(D606="",E606="",F606="",D606&lt;=E606),"",FLOOR((F606+K606)/(D606-E606),100))</f>
        <v/>
      </c>
      <c r="M606" s="25" t="str">
        <f aca="false">IF(OR(A606="",B606="",L606=""),"",IF(B606=1,L606,IFERROR(SUMIFS($G$2:$G$1001,$A$2:$A$1001,A606,$B$2:$B$1001,B606-1),0)))</f>
        <v/>
      </c>
      <c r="N606" s="25" t="str">
        <f aca="false">IF(OR(L606="",M606=""),"",MIN(L606,M606))</f>
        <v/>
      </c>
      <c r="O606" s="25" t="str">
        <f aca="false">IF(OR(I606="",G606=""),"",I606+G606)</f>
        <v/>
      </c>
      <c r="P606" s="24" t="str">
        <f aca="false">IF(OR(O606="",O606=0),"",(J606+H606)/O606)</f>
        <v/>
      </c>
      <c r="Q606" s="24" t="str">
        <f aca="false">IF(OR(O606="",E606=""),"",MAX(J606+H606-E606*O606,0))</f>
        <v/>
      </c>
      <c r="R606" s="26" t="str">
        <f aca="false">IF(A606="","",IF(COUNTIF(_TradeIds,A606)=0,"违规：交易编号不存在",IF(OR(B606="",B606&lt;1,B606&gt;5,B606&lt;&gt;INT(B606)),"违规：加仓序号须为1到5的整数",IF(COUNTIFS($A$2:$A$1001,A606,$B$2:$B$1001,B606)&gt;1,"违规：同一交易的加仓序号重复",IF(OR(D606="",E606="",F606=""),"计划不完整：请填写加仓价、新止损价和风险预算",IF(OR(D606&lt;=0,E606&lt;=0,F606&lt;=0,D606&lt;=E606),"违规：加仓价必须高于新止损价，金额须大于0",IF(AND(B606&gt;1,COUNTIFS($A$2:$A$1001,A606,$B$2:$B$1001,B606-1,$G$2:$G$1001,"&gt;0")=0),"违规：须先完成上一次加仓",IF(AND(B606&gt;1,E606&lt;SUMIFS($E$2:$E$1001,$A$2:$A$1001,A606,$B$2:$B$1001,B606-1)),"违规：新止损价不得低于上一次",IF(AND(B606&gt;1,F606&gt;SUMIFS($F$2:$F$1001,$A$2:$A$1001,A606,$B$2:$B$1001,B606-1)),"违规：风险预算须逐次不增加",IF(OR(_LockStatus="已锁仓",_LockStatus="解锁信息不完整"),"违规：锁仓期间禁止加仓",IF(G606="","计划可执行：建议股数见N列",IF(OR(G606&lt;=0,G606&lt;&gt;INT(G606),MOD(G606,100)&lt;&gt;0),"违规：实际股数须为100股整数倍",IF(G606&gt;N606,"违规：实际股数超过风险或金字塔上限",IF(AND(B606&gt;1,G606&gt;SUMIFS($G$2:$G$1001,$A$2:$A$1001,A606,$B$2:$B$1001,B606-1)),"违规：加仓股数须逐次不增加",IF(Q606&gt;F606,"违规：止损风险超过本次预算","通过")))))))))))))))</f>
        <v/>
      </c>
    </row>
    <row r="607" customFormat="false" ht="15" hidden="false" customHeight="false" outlineLevel="0" collapsed="false">
      <c r="A607" s="20"/>
      <c r="B607" s="21"/>
      <c r="C607" s="22"/>
      <c r="D607" s="23"/>
      <c r="E607" s="23"/>
      <c r="F607" s="23"/>
      <c r="G607" s="21"/>
      <c r="H607" s="24" t="str">
        <f aca="false">IF(OR(A607="",D607="",G607=""),"",D607*G607)</f>
        <v/>
      </c>
      <c r="I607" s="25" t="str">
        <f aca="false">IF(OR(A607="",B607=""),"",IFERROR(LOOKUP(2,1/(单次交易!$A$2:$A$201=A607),单次交易!$H$2:$H$201),0)+SUMIFS($G$2:$G$1001,$A$2:$A$1001,A607,$B$2:$B$1001,"&lt;"&amp;B607))</f>
        <v/>
      </c>
      <c r="J607" s="24" t="str">
        <f aca="false">IF(OR(A607="",B607=""),"",IFERROR(LOOKUP(2,1/(单次交易!$A$2:$A$201=A607),单次交易!$E$2:$E$201)*LOOKUP(2,1/(单次交易!$A$2:$A$201=A607),单次交易!$H$2:$H$201),0)+SUMIFS($H$2:$H$1001,$A$2:$A$1001,A607,$B$2:$B$1001,"&lt;"&amp;B607))</f>
        <v/>
      </c>
      <c r="K607" s="24" t="str">
        <f aca="false">IF(OR(E607="",I607="",J607=""),"",MAX(E607*I607-J607,0))</f>
        <v/>
      </c>
      <c r="L607" s="25" t="str">
        <f aca="false">IF(OR(D607="",E607="",F607="",D607&lt;=E607),"",FLOOR((F607+K607)/(D607-E607),100))</f>
        <v/>
      </c>
      <c r="M607" s="25" t="str">
        <f aca="false">IF(OR(A607="",B607="",L607=""),"",IF(B607=1,L607,IFERROR(SUMIFS($G$2:$G$1001,$A$2:$A$1001,A607,$B$2:$B$1001,B607-1),0)))</f>
        <v/>
      </c>
      <c r="N607" s="25" t="str">
        <f aca="false">IF(OR(L607="",M607=""),"",MIN(L607,M607))</f>
        <v/>
      </c>
      <c r="O607" s="25" t="str">
        <f aca="false">IF(OR(I607="",G607=""),"",I607+G607)</f>
        <v/>
      </c>
      <c r="P607" s="24" t="str">
        <f aca="false">IF(OR(O607="",O607=0),"",(J607+H607)/O607)</f>
        <v/>
      </c>
      <c r="Q607" s="24" t="str">
        <f aca="false">IF(OR(O607="",E607=""),"",MAX(J607+H607-E607*O607,0))</f>
        <v/>
      </c>
      <c r="R607" s="26" t="str">
        <f aca="false">IF(A607="","",IF(COUNTIF(_TradeIds,A607)=0,"违规：交易编号不存在",IF(OR(B607="",B607&lt;1,B607&gt;5,B607&lt;&gt;INT(B607)),"违规：加仓序号须为1到5的整数",IF(COUNTIFS($A$2:$A$1001,A607,$B$2:$B$1001,B607)&gt;1,"违规：同一交易的加仓序号重复",IF(OR(D607="",E607="",F607=""),"计划不完整：请填写加仓价、新止损价和风险预算",IF(OR(D607&lt;=0,E607&lt;=0,F607&lt;=0,D607&lt;=E607),"违规：加仓价必须高于新止损价，金额须大于0",IF(AND(B607&gt;1,COUNTIFS($A$2:$A$1001,A607,$B$2:$B$1001,B607-1,$G$2:$G$1001,"&gt;0")=0),"违规：须先完成上一次加仓",IF(AND(B607&gt;1,E607&lt;SUMIFS($E$2:$E$1001,$A$2:$A$1001,A607,$B$2:$B$1001,B607-1)),"违规：新止损价不得低于上一次",IF(AND(B607&gt;1,F607&gt;SUMIFS($F$2:$F$1001,$A$2:$A$1001,A607,$B$2:$B$1001,B607-1)),"违规：风险预算须逐次不增加",IF(OR(_LockStatus="已锁仓",_LockStatus="解锁信息不完整"),"违规：锁仓期间禁止加仓",IF(G607="","计划可执行：建议股数见N列",IF(OR(G607&lt;=0,G607&lt;&gt;INT(G607),MOD(G607,100)&lt;&gt;0),"违规：实际股数须为100股整数倍",IF(G607&gt;N607,"违规：实际股数超过风险或金字塔上限",IF(AND(B607&gt;1,G607&gt;SUMIFS($G$2:$G$1001,$A$2:$A$1001,A607,$B$2:$B$1001,B607-1)),"违规：加仓股数须逐次不增加",IF(Q607&gt;F607,"违规：止损风险超过本次预算","通过")))))))))))))))</f>
        <v/>
      </c>
    </row>
    <row r="608" customFormat="false" ht="15" hidden="false" customHeight="false" outlineLevel="0" collapsed="false">
      <c r="A608" s="20"/>
      <c r="B608" s="21"/>
      <c r="C608" s="22"/>
      <c r="D608" s="23"/>
      <c r="E608" s="23"/>
      <c r="F608" s="23"/>
      <c r="G608" s="21"/>
      <c r="H608" s="24" t="str">
        <f aca="false">IF(OR(A608="",D608="",G608=""),"",D608*G608)</f>
        <v/>
      </c>
      <c r="I608" s="25" t="str">
        <f aca="false">IF(OR(A608="",B608=""),"",IFERROR(LOOKUP(2,1/(单次交易!$A$2:$A$201=A608),单次交易!$H$2:$H$201),0)+SUMIFS($G$2:$G$1001,$A$2:$A$1001,A608,$B$2:$B$1001,"&lt;"&amp;B608))</f>
        <v/>
      </c>
      <c r="J608" s="24" t="str">
        <f aca="false">IF(OR(A608="",B608=""),"",IFERROR(LOOKUP(2,1/(单次交易!$A$2:$A$201=A608),单次交易!$E$2:$E$201)*LOOKUP(2,1/(单次交易!$A$2:$A$201=A608),单次交易!$H$2:$H$201),0)+SUMIFS($H$2:$H$1001,$A$2:$A$1001,A608,$B$2:$B$1001,"&lt;"&amp;B608))</f>
        <v/>
      </c>
      <c r="K608" s="24" t="str">
        <f aca="false">IF(OR(E608="",I608="",J608=""),"",MAX(E608*I608-J608,0))</f>
        <v/>
      </c>
      <c r="L608" s="25" t="str">
        <f aca="false">IF(OR(D608="",E608="",F608="",D608&lt;=E608),"",FLOOR((F608+K608)/(D608-E608),100))</f>
        <v/>
      </c>
      <c r="M608" s="25" t="str">
        <f aca="false">IF(OR(A608="",B608="",L608=""),"",IF(B608=1,L608,IFERROR(SUMIFS($G$2:$G$1001,$A$2:$A$1001,A608,$B$2:$B$1001,B608-1),0)))</f>
        <v/>
      </c>
      <c r="N608" s="25" t="str">
        <f aca="false">IF(OR(L608="",M608=""),"",MIN(L608,M608))</f>
        <v/>
      </c>
      <c r="O608" s="25" t="str">
        <f aca="false">IF(OR(I608="",G608=""),"",I608+G608)</f>
        <v/>
      </c>
      <c r="P608" s="24" t="str">
        <f aca="false">IF(OR(O608="",O608=0),"",(J608+H608)/O608)</f>
        <v/>
      </c>
      <c r="Q608" s="24" t="str">
        <f aca="false">IF(OR(O608="",E608=""),"",MAX(J608+H608-E608*O608,0))</f>
        <v/>
      </c>
      <c r="R608" s="26" t="str">
        <f aca="false">IF(A608="","",IF(COUNTIF(_TradeIds,A608)=0,"违规：交易编号不存在",IF(OR(B608="",B608&lt;1,B608&gt;5,B608&lt;&gt;INT(B608)),"违规：加仓序号须为1到5的整数",IF(COUNTIFS($A$2:$A$1001,A608,$B$2:$B$1001,B608)&gt;1,"违规：同一交易的加仓序号重复",IF(OR(D608="",E608="",F608=""),"计划不完整：请填写加仓价、新止损价和风险预算",IF(OR(D608&lt;=0,E608&lt;=0,F608&lt;=0,D608&lt;=E608),"违规：加仓价必须高于新止损价，金额须大于0",IF(AND(B608&gt;1,COUNTIFS($A$2:$A$1001,A608,$B$2:$B$1001,B608-1,$G$2:$G$1001,"&gt;0")=0),"违规：须先完成上一次加仓",IF(AND(B608&gt;1,E608&lt;SUMIFS($E$2:$E$1001,$A$2:$A$1001,A608,$B$2:$B$1001,B608-1)),"违规：新止损价不得低于上一次",IF(AND(B608&gt;1,F608&gt;SUMIFS($F$2:$F$1001,$A$2:$A$1001,A608,$B$2:$B$1001,B608-1)),"违规：风险预算须逐次不增加",IF(OR(_LockStatus="已锁仓",_LockStatus="解锁信息不完整"),"违规：锁仓期间禁止加仓",IF(G608="","计划可执行：建议股数见N列",IF(OR(G608&lt;=0,G608&lt;&gt;INT(G608),MOD(G608,100)&lt;&gt;0),"违规：实际股数须为100股整数倍",IF(G608&gt;N608,"违规：实际股数超过风险或金字塔上限",IF(AND(B608&gt;1,G608&gt;SUMIFS($G$2:$G$1001,$A$2:$A$1001,A608,$B$2:$B$1001,B608-1)),"违规：加仓股数须逐次不增加",IF(Q608&gt;F608,"违规：止损风险超过本次预算","通过")))))))))))))))</f>
        <v/>
      </c>
    </row>
    <row r="609" customFormat="false" ht="15" hidden="false" customHeight="false" outlineLevel="0" collapsed="false">
      <c r="A609" s="20"/>
      <c r="B609" s="21"/>
      <c r="C609" s="22"/>
      <c r="D609" s="23"/>
      <c r="E609" s="23"/>
      <c r="F609" s="23"/>
      <c r="G609" s="21"/>
      <c r="H609" s="24" t="str">
        <f aca="false">IF(OR(A609="",D609="",G609=""),"",D609*G609)</f>
        <v/>
      </c>
      <c r="I609" s="25" t="str">
        <f aca="false">IF(OR(A609="",B609=""),"",IFERROR(LOOKUP(2,1/(单次交易!$A$2:$A$201=A609),单次交易!$H$2:$H$201),0)+SUMIFS($G$2:$G$1001,$A$2:$A$1001,A609,$B$2:$B$1001,"&lt;"&amp;B609))</f>
        <v/>
      </c>
      <c r="J609" s="24" t="str">
        <f aca="false">IF(OR(A609="",B609=""),"",IFERROR(LOOKUP(2,1/(单次交易!$A$2:$A$201=A609),单次交易!$E$2:$E$201)*LOOKUP(2,1/(单次交易!$A$2:$A$201=A609),单次交易!$H$2:$H$201),0)+SUMIFS($H$2:$H$1001,$A$2:$A$1001,A609,$B$2:$B$1001,"&lt;"&amp;B609))</f>
        <v/>
      </c>
      <c r="K609" s="24" t="str">
        <f aca="false">IF(OR(E609="",I609="",J609=""),"",MAX(E609*I609-J609,0))</f>
        <v/>
      </c>
      <c r="L609" s="25" t="str">
        <f aca="false">IF(OR(D609="",E609="",F609="",D609&lt;=E609),"",FLOOR((F609+K609)/(D609-E609),100))</f>
        <v/>
      </c>
      <c r="M609" s="25" t="str">
        <f aca="false">IF(OR(A609="",B609="",L609=""),"",IF(B609=1,L609,IFERROR(SUMIFS($G$2:$G$1001,$A$2:$A$1001,A609,$B$2:$B$1001,B609-1),0)))</f>
        <v/>
      </c>
      <c r="N609" s="25" t="str">
        <f aca="false">IF(OR(L609="",M609=""),"",MIN(L609,M609))</f>
        <v/>
      </c>
      <c r="O609" s="25" t="str">
        <f aca="false">IF(OR(I609="",G609=""),"",I609+G609)</f>
        <v/>
      </c>
      <c r="P609" s="24" t="str">
        <f aca="false">IF(OR(O609="",O609=0),"",(J609+H609)/O609)</f>
        <v/>
      </c>
      <c r="Q609" s="24" t="str">
        <f aca="false">IF(OR(O609="",E609=""),"",MAX(J609+H609-E609*O609,0))</f>
        <v/>
      </c>
      <c r="R609" s="26" t="str">
        <f aca="false">IF(A609="","",IF(COUNTIF(_TradeIds,A609)=0,"违规：交易编号不存在",IF(OR(B609="",B609&lt;1,B609&gt;5,B609&lt;&gt;INT(B609)),"违规：加仓序号须为1到5的整数",IF(COUNTIFS($A$2:$A$1001,A609,$B$2:$B$1001,B609)&gt;1,"违规：同一交易的加仓序号重复",IF(OR(D609="",E609="",F609=""),"计划不完整：请填写加仓价、新止损价和风险预算",IF(OR(D609&lt;=0,E609&lt;=0,F609&lt;=0,D609&lt;=E609),"违规：加仓价必须高于新止损价，金额须大于0",IF(AND(B609&gt;1,COUNTIFS($A$2:$A$1001,A609,$B$2:$B$1001,B609-1,$G$2:$G$1001,"&gt;0")=0),"违规：须先完成上一次加仓",IF(AND(B609&gt;1,E609&lt;SUMIFS($E$2:$E$1001,$A$2:$A$1001,A609,$B$2:$B$1001,B609-1)),"违规：新止损价不得低于上一次",IF(AND(B609&gt;1,F609&gt;SUMIFS($F$2:$F$1001,$A$2:$A$1001,A609,$B$2:$B$1001,B609-1)),"违规：风险预算须逐次不增加",IF(OR(_LockStatus="已锁仓",_LockStatus="解锁信息不完整"),"违规：锁仓期间禁止加仓",IF(G609="","计划可执行：建议股数见N列",IF(OR(G609&lt;=0,G609&lt;&gt;INT(G609),MOD(G609,100)&lt;&gt;0),"违规：实际股数须为100股整数倍",IF(G609&gt;N609,"违规：实际股数超过风险或金字塔上限",IF(AND(B609&gt;1,G609&gt;SUMIFS($G$2:$G$1001,$A$2:$A$1001,A609,$B$2:$B$1001,B609-1)),"违规：加仓股数须逐次不增加",IF(Q609&gt;F609,"违规：止损风险超过本次预算","通过")))))))))))))))</f>
        <v/>
      </c>
    </row>
    <row r="610" customFormat="false" ht="15" hidden="false" customHeight="false" outlineLevel="0" collapsed="false">
      <c r="A610" s="20"/>
      <c r="B610" s="21"/>
      <c r="C610" s="22"/>
      <c r="D610" s="23"/>
      <c r="E610" s="23"/>
      <c r="F610" s="23"/>
      <c r="G610" s="21"/>
      <c r="H610" s="24" t="str">
        <f aca="false">IF(OR(A610="",D610="",G610=""),"",D610*G610)</f>
        <v/>
      </c>
      <c r="I610" s="25" t="str">
        <f aca="false">IF(OR(A610="",B610=""),"",IFERROR(LOOKUP(2,1/(单次交易!$A$2:$A$201=A610),单次交易!$H$2:$H$201),0)+SUMIFS($G$2:$G$1001,$A$2:$A$1001,A610,$B$2:$B$1001,"&lt;"&amp;B610))</f>
        <v/>
      </c>
      <c r="J610" s="24" t="str">
        <f aca="false">IF(OR(A610="",B610=""),"",IFERROR(LOOKUP(2,1/(单次交易!$A$2:$A$201=A610),单次交易!$E$2:$E$201)*LOOKUP(2,1/(单次交易!$A$2:$A$201=A610),单次交易!$H$2:$H$201),0)+SUMIFS($H$2:$H$1001,$A$2:$A$1001,A610,$B$2:$B$1001,"&lt;"&amp;B610))</f>
        <v/>
      </c>
      <c r="K610" s="24" t="str">
        <f aca="false">IF(OR(E610="",I610="",J610=""),"",MAX(E610*I610-J610,0))</f>
        <v/>
      </c>
      <c r="L610" s="25" t="str">
        <f aca="false">IF(OR(D610="",E610="",F610="",D610&lt;=E610),"",FLOOR((F610+K610)/(D610-E610),100))</f>
        <v/>
      </c>
      <c r="M610" s="25" t="str">
        <f aca="false">IF(OR(A610="",B610="",L610=""),"",IF(B610=1,L610,IFERROR(SUMIFS($G$2:$G$1001,$A$2:$A$1001,A610,$B$2:$B$1001,B610-1),0)))</f>
        <v/>
      </c>
      <c r="N610" s="25" t="str">
        <f aca="false">IF(OR(L610="",M610=""),"",MIN(L610,M610))</f>
        <v/>
      </c>
      <c r="O610" s="25" t="str">
        <f aca="false">IF(OR(I610="",G610=""),"",I610+G610)</f>
        <v/>
      </c>
      <c r="P610" s="24" t="str">
        <f aca="false">IF(OR(O610="",O610=0),"",(J610+H610)/O610)</f>
        <v/>
      </c>
      <c r="Q610" s="24" t="str">
        <f aca="false">IF(OR(O610="",E610=""),"",MAX(J610+H610-E610*O610,0))</f>
        <v/>
      </c>
      <c r="R610" s="26" t="str">
        <f aca="false">IF(A610="","",IF(COUNTIF(_TradeIds,A610)=0,"违规：交易编号不存在",IF(OR(B610="",B610&lt;1,B610&gt;5,B610&lt;&gt;INT(B610)),"违规：加仓序号须为1到5的整数",IF(COUNTIFS($A$2:$A$1001,A610,$B$2:$B$1001,B610)&gt;1,"违规：同一交易的加仓序号重复",IF(OR(D610="",E610="",F610=""),"计划不完整：请填写加仓价、新止损价和风险预算",IF(OR(D610&lt;=0,E610&lt;=0,F610&lt;=0,D610&lt;=E610),"违规：加仓价必须高于新止损价，金额须大于0",IF(AND(B610&gt;1,COUNTIFS($A$2:$A$1001,A610,$B$2:$B$1001,B610-1,$G$2:$G$1001,"&gt;0")=0),"违规：须先完成上一次加仓",IF(AND(B610&gt;1,E610&lt;SUMIFS($E$2:$E$1001,$A$2:$A$1001,A610,$B$2:$B$1001,B610-1)),"违规：新止损价不得低于上一次",IF(AND(B610&gt;1,F610&gt;SUMIFS($F$2:$F$1001,$A$2:$A$1001,A610,$B$2:$B$1001,B610-1)),"违规：风险预算须逐次不增加",IF(OR(_LockStatus="已锁仓",_LockStatus="解锁信息不完整"),"违规：锁仓期间禁止加仓",IF(G610="","计划可执行：建议股数见N列",IF(OR(G610&lt;=0,G610&lt;&gt;INT(G610),MOD(G610,100)&lt;&gt;0),"违规：实际股数须为100股整数倍",IF(G610&gt;N610,"违规：实际股数超过风险或金字塔上限",IF(AND(B610&gt;1,G610&gt;SUMIFS($G$2:$G$1001,$A$2:$A$1001,A610,$B$2:$B$1001,B610-1)),"违规：加仓股数须逐次不增加",IF(Q610&gt;F610,"违规：止损风险超过本次预算","通过")))))))))))))))</f>
        <v/>
      </c>
    </row>
    <row r="611" customFormat="false" ht="15" hidden="false" customHeight="false" outlineLevel="0" collapsed="false">
      <c r="A611" s="20"/>
      <c r="B611" s="21"/>
      <c r="C611" s="22"/>
      <c r="D611" s="23"/>
      <c r="E611" s="23"/>
      <c r="F611" s="23"/>
      <c r="G611" s="21"/>
      <c r="H611" s="24" t="str">
        <f aca="false">IF(OR(A611="",D611="",G611=""),"",D611*G611)</f>
        <v/>
      </c>
      <c r="I611" s="25" t="str">
        <f aca="false">IF(OR(A611="",B611=""),"",IFERROR(LOOKUP(2,1/(单次交易!$A$2:$A$201=A611),单次交易!$H$2:$H$201),0)+SUMIFS($G$2:$G$1001,$A$2:$A$1001,A611,$B$2:$B$1001,"&lt;"&amp;B611))</f>
        <v/>
      </c>
      <c r="J611" s="24" t="str">
        <f aca="false">IF(OR(A611="",B611=""),"",IFERROR(LOOKUP(2,1/(单次交易!$A$2:$A$201=A611),单次交易!$E$2:$E$201)*LOOKUP(2,1/(单次交易!$A$2:$A$201=A611),单次交易!$H$2:$H$201),0)+SUMIFS($H$2:$H$1001,$A$2:$A$1001,A611,$B$2:$B$1001,"&lt;"&amp;B611))</f>
        <v/>
      </c>
      <c r="K611" s="24" t="str">
        <f aca="false">IF(OR(E611="",I611="",J611=""),"",MAX(E611*I611-J611,0))</f>
        <v/>
      </c>
      <c r="L611" s="25" t="str">
        <f aca="false">IF(OR(D611="",E611="",F611="",D611&lt;=E611),"",FLOOR((F611+K611)/(D611-E611),100))</f>
        <v/>
      </c>
      <c r="M611" s="25" t="str">
        <f aca="false">IF(OR(A611="",B611="",L611=""),"",IF(B611=1,L611,IFERROR(SUMIFS($G$2:$G$1001,$A$2:$A$1001,A611,$B$2:$B$1001,B611-1),0)))</f>
        <v/>
      </c>
      <c r="N611" s="25" t="str">
        <f aca="false">IF(OR(L611="",M611=""),"",MIN(L611,M611))</f>
        <v/>
      </c>
      <c r="O611" s="25" t="str">
        <f aca="false">IF(OR(I611="",G611=""),"",I611+G611)</f>
        <v/>
      </c>
      <c r="P611" s="24" t="str">
        <f aca="false">IF(OR(O611="",O611=0),"",(J611+H611)/O611)</f>
        <v/>
      </c>
      <c r="Q611" s="24" t="str">
        <f aca="false">IF(OR(O611="",E611=""),"",MAX(J611+H611-E611*O611,0))</f>
        <v/>
      </c>
      <c r="R611" s="26" t="str">
        <f aca="false">IF(A611="","",IF(COUNTIF(_TradeIds,A611)=0,"违规：交易编号不存在",IF(OR(B611="",B611&lt;1,B611&gt;5,B611&lt;&gt;INT(B611)),"违规：加仓序号须为1到5的整数",IF(COUNTIFS($A$2:$A$1001,A611,$B$2:$B$1001,B611)&gt;1,"违规：同一交易的加仓序号重复",IF(OR(D611="",E611="",F611=""),"计划不完整：请填写加仓价、新止损价和风险预算",IF(OR(D611&lt;=0,E611&lt;=0,F611&lt;=0,D611&lt;=E611),"违规：加仓价必须高于新止损价，金额须大于0",IF(AND(B611&gt;1,COUNTIFS($A$2:$A$1001,A611,$B$2:$B$1001,B611-1,$G$2:$G$1001,"&gt;0")=0),"违规：须先完成上一次加仓",IF(AND(B611&gt;1,E611&lt;SUMIFS($E$2:$E$1001,$A$2:$A$1001,A611,$B$2:$B$1001,B611-1)),"违规：新止损价不得低于上一次",IF(AND(B611&gt;1,F611&gt;SUMIFS($F$2:$F$1001,$A$2:$A$1001,A611,$B$2:$B$1001,B611-1)),"违规：风险预算须逐次不增加",IF(OR(_LockStatus="已锁仓",_LockStatus="解锁信息不完整"),"违规：锁仓期间禁止加仓",IF(G611="","计划可执行：建议股数见N列",IF(OR(G611&lt;=0,G611&lt;&gt;INT(G611),MOD(G611,100)&lt;&gt;0),"违规：实际股数须为100股整数倍",IF(G611&gt;N611,"违规：实际股数超过风险或金字塔上限",IF(AND(B611&gt;1,G611&gt;SUMIFS($G$2:$G$1001,$A$2:$A$1001,A611,$B$2:$B$1001,B611-1)),"违规：加仓股数须逐次不增加",IF(Q611&gt;F611,"违规：止损风险超过本次预算","通过")))))))))))))))</f>
        <v/>
      </c>
    </row>
    <row r="612" customFormat="false" ht="15" hidden="false" customHeight="false" outlineLevel="0" collapsed="false">
      <c r="A612" s="20"/>
      <c r="B612" s="21"/>
      <c r="C612" s="22"/>
      <c r="D612" s="23"/>
      <c r="E612" s="23"/>
      <c r="F612" s="23"/>
      <c r="G612" s="21"/>
      <c r="H612" s="24" t="str">
        <f aca="false">IF(OR(A612="",D612="",G612=""),"",D612*G612)</f>
        <v/>
      </c>
      <c r="I612" s="25" t="str">
        <f aca="false">IF(OR(A612="",B612=""),"",IFERROR(LOOKUP(2,1/(单次交易!$A$2:$A$201=A612),单次交易!$H$2:$H$201),0)+SUMIFS($G$2:$G$1001,$A$2:$A$1001,A612,$B$2:$B$1001,"&lt;"&amp;B612))</f>
        <v/>
      </c>
      <c r="J612" s="24" t="str">
        <f aca="false">IF(OR(A612="",B612=""),"",IFERROR(LOOKUP(2,1/(单次交易!$A$2:$A$201=A612),单次交易!$E$2:$E$201)*LOOKUP(2,1/(单次交易!$A$2:$A$201=A612),单次交易!$H$2:$H$201),0)+SUMIFS($H$2:$H$1001,$A$2:$A$1001,A612,$B$2:$B$1001,"&lt;"&amp;B612))</f>
        <v/>
      </c>
      <c r="K612" s="24" t="str">
        <f aca="false">IF(OR(E612="",I612="",J612=""),"",MAX(E612*I612-J612,0))</f>
        <v/>
      </c>
      <c r="L612" s="25" t="str">
        <f aca="false">IF(OR(D612="",E612="",F612="",D612&lt;=E612),"",FLOOR((F612+K612)/(D612-E612),100))</f>
        <v/>
      </c>
      <c r="M612" s="25" t="str">
        <f aca="false">IF(OR(A612="",B612="",L612=""),"",IF(B612=1,L612,IFERROR(SUMIFS($G$2:$G$1001,$A$2:$A$1001,A612,$B$2:$B$1001,B612-1),0)))</f>
        <v/>
      </c>
      <c r="N612" s="25" t="str">
        <f aca="false">IF(OR(L612="",M612=""),"",MIN(L612,M612))</f>
        <v/>
      </c>
      <c r="O612" s="25" t="str">
        <f aca="false">IF(OR(I612="",G612=""),"",I612+G612)</f>
        <v/>
      </c>
      <c r="P612" s="24" t="str">
        <f aca="false">IF(OR(O612="",O612=0),"",(J612+H612)/O612)</f>
        <v/>
      </c>
      <c r="Q612" s="24" t="str">
        <f aca="false">IF(OR(O612="",E612=""),"",MAX(J612+H612-E612*O612,0))</f>
        <v/>
      </c>
      <c r="R612" s="26" t="str">
        <f aca="false">IF(A612="","",IF(COUNTIF(_TradeIds,A612)=0,"违规：交易编号不存在",IF(OR(B612="",B612&lt;1,B612&gt;5,B612&lt;&gt;INT(B612)),"违规：加仓序号须为1到5的整数",IF(COUNTIFS($A$2:$A$1001,A612,$B$2:$B$1001,B612)&gt;1,"违规：同一交易的加仓序号重复",IF(OR(D612="",E612="",F612=""),"计划不完整：请填写加仓价、新止损价和风险预算",IF(OR(D612&lt;=0,E612&lt;=0,F612&lt;=0,D612&lt;=E612),"违规：加仓价必须高于新止损价，金额须大于0",IF(AND(B612&gt;1,COUNTIFS($A$2:$A$1001,A612,$B$2:$B$1001,B612-1,$G$2:$G$1001,"&gt;0")=0),"违规：须先完成上一次加仓",IF(AND(B612&gt;1,E612&lt;SUMIFS($E$2:$E$1001,$A$2:$A$1001,A612,$B$2:$B$1001,B612-1)),"违规：新止损价不得低于上一次",IF(AND(B612&gt;1,F612&gt;SUMIFS($F$2:$F$1001,$A$2:$A$1001,A612,$B$2:$B$1001,B612-1)),"违规：风险预算须逐次不增加",IF(OR(_LockStatus="已锁仓",_LockStatus="解锁信息不完整"),"违规：锁仓期间禁止加仓",IF(G612="","计划可执行：建议股数见N列",IF(OR(G612&lt;=0,G612&lt;&gt;INT(G612),MOD(G612,100)&lt;&gt;0),"违规：实际股数须为100股整数倍",IF(G612&gt;N612,"违规：实际股数超过风险或金字塔上限",IF(AND(B612&gt;1,G612&gt;SUMIFS($G$2:$G$1001,$A$2:$A$1001,A612,$B$2:$B$1001,B612-1)),"违规：加仓股数须逐次不增加",IF(Q612&gt;F612,"违规：止损风险超过本次预算","通过")))))))))))))))</f>
        <v/>
      </c>
    </row>
    <row r="613" customFormat="false" ht="15" hidden="false" customHeight="false" outlineLevel="0" collapsed="false">
      <c r="A613" s="20"/>
      <c r="B613" s="21"/>
      <c r="C613" s="22"/>
      <c r="D613" s="23"/>
      <c r="E613" s="23"/>
      <c r="F613" s="23"/>
      <c r="G613" s="21"/>
      <c r="H613" s="24" t="str">
        <f aca="false">IF(OR(A613="",D613="",G613=""),"",D613*G613)</f>
        <v/>
      </c>
      <c r="I613" s="25" t="str">
        <f aca="false">IF(OR(A613="",B613=""),"",IFERROR(LOOKUP(2,1/(单次交易!$A$2:$A$201=A613),单次交易!$H$2:$H$201),0)+SUMIFS($G$2:$G$1001,$A$2:$A$1001,A613,$B$2:$B$1001,"&lt;"&amp;B613))</f>
        <v/>
      </c>
      <c r="J613" s="24" t="str">
        <f aca="false">IF(OR(A613="",B613=""),"",IFERROR(LOOKUP(2,1/(单次交易!$A$2:$A$201=A613),单次交易!$E$2:$E$201)*LOOKUP(2,1/(单次交易!$A$2:$A$201=A613),单次交易!$H$2:$H$201),0)+SUMIFS($H$2:$H$1001,$A$2:$A$1001,A613,$B$2:$B$1001,"&lt;"&amp;B613))</f>
        <v/>
      </c>
      <c r="K613" s="24" t="str">
        <f aca="false">IF(OR(E613="",I613="",J613=""),"",MAX(E613*I613-J613,0))</f>
        <v/>
      </c>
      <c r="L613" s="25" t="str">
        <f aca="false">IF(OR(D613="",E613="",F613="",D613&lt;=E613),"",FLOOR((F613+K613)/(D613-E613),100))</f>
        <v/>
      </c>
      <c r="M613" s="25" t="str">
        <f aca="false">IF(OR(A613="",B613="",L613=""),"",IF(B613=1,L613,IFERROR(SUMIFS($G$2:$G$1001,$A$2:$A$1001,A613,$B$2:$B$1001,B613-1),0)))</f>
        <v/>
      </c>
      <c r="N613" s="25" t="str">
        <f aca="false">IF(OR(L613="",M613=""),"",MIN(L613,M613))</f>
        <v/>
      </c>
      <c r="O613" s="25" t="str">
        <f aca="false">IF(OR(I613="",G613=""),"",I613+G613)</f>
        <v/>
      </c>
      <c r="P613" s="24" t="str">
        <f aca="false">IF(OR(O613="",O613=0),"",(J613+H613)/O613)</f>
        <v/>
      </c>
      <c r="Q613" s="24" t="str">
        <f aca="false">IF(OR(O613="",E613=""),"",MAX(J613+H613-E613*O613,0))</f>
        <v/>
      </c>
      <c r="R613" s="26" t="str">
        <f aca="false">IF(A613="","",IF(COUNTIF(_TradeIds,A613)=0,"违规：交易编号不存在",IF(OR(B613="",B613&lt;1,B613&gt;5,B613&lt;&gt;INT(B613)),"违规：加仓序号须为1到5的整数",IF(COUNTIFS($A$2:$A$1001,A613,$B$2:$B$1001,B613)&gt;1,"违规：同一交易的加仓序号重复",IF(OR(D613="",E613="",F613=""),"计划不完整：请填写加仓价、新止损价和风险预算",IF(OR(D613&lt;=0,E613&lt;=0,F613&lt;=0,D613&lt;=E613),"违规：加仓价必须高于新止损价，金额须大于0",IF(AND(B613&gt;1,COUNTIFS($A$2:$A$1001,A613,$B$2:$B$1001,B613-1,$G$2:$G$1001,"&gt;0")=0),"违规：须先完成上一次加仓",IF(AND(B613&gt;1,E613&lt;SUMIFS($E$2:$E$1001,$A$2:$A$1001,A613,$B$2:$B$1001,B613-1)),"违规：新止损价不得低于上一次",IF(AND(B613&gt;1,F613&gt;SUMIFS($F$2:$F$1001,$A$2:$A$1001,A613,$B$2:$B$1001,B613-1)),"违规：风险预算须逐次不增加",IF(OR(_LockStatus="已锁仓",_LockStatus="解锁信息不完整"),"违规：锁仓期间禁止加仓",IF(G613="","计划可执行：建议股数见N列",IF(OR(G613&lt;=0,G613&lt;&gt;INT(G613),MOD(G613,100)&lt;&gt;0),"违规：实际股数须为100股整数倍",IF(G613&gt;N613,"违规：实际股数超过风险或金字塔上限",IF(AND(B613&gt;1,G613&gt;SUMIFS($G$2:$G$1001,$A$2:$A$1001,A613,$B$2:$B$1001,B613-1)),"违规：加仓股数须逐次不增加",IF(Q613&gt;F613,"违规：止损风险超过本次预算","通过")))))))))))))))</f>
        <v/>
      </c>
    </row>
    <row r="614" customFormat="false" ht="15" hidden="false" customHeight="false" outlineLevel="0" collapsed="false">
      <c r="A614" s="20"/>
      <c r="B614" s="21"/>
      <c r="C614" s="22"/>
      <c r="D614" s="23"/>
      <c r="E614" s="23"/>
      <c r="F614" s="23"/>
      <c r="G614" s="21"/>
      <c r="H614" s="24" t="str">
        <f aca="false">IF(OR(A614="",D614="",G614=""),"",D614*G614)</f>
        <v/>
      </c>
      <c r="I614" s="25" t="str">
        <f aca="false">IF(OR(A614="",B614=""),"",IFERROR(LOOKUP(2,1/(单次交易!$A$2:$A$201=A614),单次交易!$H$2:$H$201),0)+SUMIFS($G$2:$G$1001,$A$2:$A$1001,A614,$B$2:$B$1001,"&lt;"&amp;B614))</f>
        <v/>
      </c>
      <c r="J614" s="24" t="str">
        <f aca="false">IF(OR(A614="",B614=""),"",IFERROR(LOOKUP(2,1/(单次交易!$A$2:$A$201=A614),单次交易!$E$2:$E$201)*LOOKUP(2,1/(单次交易!$A$2:$A$201=A614),单次交易!$H$2:$H$201),0)+SUMIFS($H$2:$H$1001,$A$2:$A$1001,A614,$B$2:$B$1001,"&lt;"&amp;B614))</f>
        <v/>
      </c>
      <c r="K614" s="24" t="str">
        <f aca="false">IF(OR(E614="",I614="",J614=""),"",MAX(E614*I614-J614,0))</f>
        <v/>
      </c>
      <c r="L614" s="25" t="str">
        <f aca="false">IF(OR(D614="",E614="",F614="",D614&lt;=E614),"",FLOOR((F614+K614)/(D614-E614),100))</f>
        <v/>
      </c>
      <c r="M614" s="25" t="str">
        <f aca="false">IF(OR(A614="",B614="",L614=""),"",IF(B614=1,L614,IFERROR(SUMIFS($G$2:$G$1001,$A$2:$A$1001,A614,$B$2:$B$1001,B614-1),0)))</f>
        <v/>
      </c>
      <c r="N614" s="25" t="str">
        <f aca="false">IF(OR(L614="",M614=""),"",MIN(L614,M614))</f>
        <v/>
      </c>
      <c r="O614" s="25" t="str">
        <f aca="false">IF(OR(I614="",G614=""),"",I614+G614)</f>
        <v/>
      </c>
      <c r="P614" s="24" t="str">
        <f aca="false">IF(OR(O614="",O614=0),"",(J614+H614)/O614)</f>
        <v/>
      </c>
      <c r="Q614" s="24" t="str">
        <f aca="false">IF(OR(O614="",E614=""),"",MAX(J614+H614-E614*O614,0))</f>
        <v/>
      </c>
      <c r="R614" s="26" t="str">
        <f aca="false">IF(A614="","",IF(COUNTIF(_TradeIds,A614)=0,"违规：交易编号不存在",IF(OR(B614="",B614&lt;1,B614&gt;5,B614&lt;&gt;INT(B614)),"违规：加仓序号须为1到5的整数",IF(COUNTIFS($A$2:$A$1001,A614,$B$2:$B$1001,B614)&gt;1,"违规：同一交易的加仓序号重复",IF(OR(D614="",E614="",F614=""),"计划不完整：请填写加仓价、新止损价和风险预算",IF(OR(D614&lt;=0,E614&lt;=0,F614&lt;=0,D614&lt;=E614),"违规：加仓价必须高于新止损价，金额须大于0",IF(AND(B614&gt;1,COUNTIFS($A$2:$A$1001,A614,$B$2:$B$1001,B614-1,$G$2:$G$1001,"&gt;0")=0),"违规：须先完成上一次加仓",IF(AND(B614&gt;1,E614&lt;SUMIFS($E$2:$E$1001,$A$2:$A$1001,A614,$B$2:$B$1001,B614-1)),"违规：新止损价不得低于上一次",IF(AND(B614&gt;1,F614&gt;SUMIFS($F$2:$F$1001,$A$2:$A$1001,A614,$B$2:$B$1001,B614-1)),"违规：风险预算须逐次不增加",IF(OR(_LockStatus="已锁仓",_LockStatus="解锁信息不完整"),"违规：锁仓期间禁止加仓",IF(G614="","计划可执行：建议股数见N列",IF(OR(G614&lt;=0,G614&lt;&gt;INT(G614),MOD(G614,100)&lt;&gt;0),"违规：实际股数须为100股整数倍",IF(G614&gt;N614,"违规：实际股数超过风险或金字塔上限",IF(AND(B614&gt;1,G614&gt;SUMIFS($G$2:$G$1001,$A$2:$A$1001,A614,$B$2:$B$1001,B614-1)),"违规：加仓股数须逐次不增加",IF(Q614&gt;F614,"违规：止损风险超过本次预算","通过")))))))))))))))</f>
        <v/>
      </c>
    </row>
    <row r="615" customFormat="false" ht="15" hidden="false" customHeight="false" outlineLevel="0" collapsed="false">
      <c r="A615" s="20"/>
      <c r="B615" s="21"/>
      <c r="C615" s="22"/>
      <c r="D615" s="23"/>
      <c r="E615" s="23"/>
      <c r="F615" s="23"/>
      <c r="G615" s="21"/>
      <c r="H615" s="24" t="str">
        <f aca="false">IF(OR(A615="",D615="",G615=""),"",D615*G615)</f>
        <v/>
      </c>
      <c r="I615" s="25" t="str">
        <f aca="false">IF(OR(A615="",B615=""),"",IFERROR(LOOKUP(2,1/(单次交易!$A$2:$A$201=A615),单次交易!$H$2:$H$201),0)+SUMIFS($G$2:$G$1001,$A$2:$A$1001,A615,$B$2:$B$1001,"&lt;"&amp;B615))</f>
        <v/>
      </c>
      <c r="J615" s="24" t="str">
        <f aca="false">IF(OR(A615="",B615=""),"",IFERROR(LOOKUP(2,1/(单次交易!$A$2:$A$201=A615),单次交易!$E$2:$E$201)*LOOKUP(2,1/(单次交易!$A$2:$A$201=A615),单次交易!$H$2:$H$201),0)+SUMIFS($H$2:$H$1001,$A$2:$A$1001,A615,$B$2:$B$1001,"&lt;"&amp;B615))</f>
        <v/>
      </c>
      <c r="K615" s="24" t="str">
        <f aca="false">IF(OR(E615="",I615="",J615=""),"",MAX(E615*I615-J615,0))</f>
        <v/>
      </c>
      <c r="L615" s="25" t="str">
        <f aca="false">IF(OR(D615="",E615="",F615="",D615&lt;=E615),"",FLOOR((F615+K615)/(D615-E615),100))</f>
        <v/>
      </c>
      <c r="M615" s="25" t="str">
        <f aca="false">IF(OR(A615="",B615="",L615=""),"",IF(B615=1,L615,IFERROR(SUMIFS($G$2:$G$1001,$A$2:$A$1001,A615,$B$2:$B$1001,B615-1),0)))</f>
        <v/>
      </c>
      <c r="N615" s="25" t="str">
        <f aca="false">IF(OR(L615="",M615=""),"",MIN(L615,M615))</f>
        <v/>
      </c>
      <c r="O615" s="25" t="str">
        <f aca="false">IF(OR(I615="",G615=""),"",I615+G615)</f>
        <v/>
      </c>
      <c r="P615" s="24" t="str">
        <f aca="false">IF(OR(O615="",O615=0),"",(J615+H615)/O615)</f>
        <v/>
      </c>
      <c r="Q615" s="24" t="str">
        <f aca="false">IF(OR(O615="",E615=""),"",MAX(J615+H615-E615*O615,0))</f>
        <v/>
      </c>
      <c r="R615" s="26" t="str">
        <f aca="false">IF(A615="","",IF(COUNTIF(_TradeIds,A615)=0,"违规：交易编号不存在",IF(OR(B615="",B615&lt;1,B615&gt;5,B615&lt;&gt;INT(B615)),"违规：加仓序号须为1到5的整数",IF(COUNTIFS($A$2:$A$1001,A615,$B$2:$B$1001,B615)&gt;1,"违规：同一交易的加仓序号重复",IF(OR(D615="",E615="",F615=""),"计划不完整：请填写加仓价、新止损价和风险预算",IF(OR(D615&lt;=0,E615&lt;=0,F615&lt;=0,D615&lt;=E615),"违规：加仓价必须高于新止损价，金额须大于0",IF(AND(B615&gt;1,COUNTIFS($A$2:$A$1001,A615,$B$2:$B$1001,B615-1,$G$2:$G$1001,"&gt;0")=0),"违规：须先完成上一次加仓",IF(AND(B615&gt;1,E615&lt;SUMIFS($E$2:$E$1001,$A$2:$A$1001,A615,$B$2:$B$1001,B615-1)),"违规：新止损价不得低于上一次",IF(AND(B615&gt;1,F615&gt;SUMIFS($F$2:$F$1001,$A$2:$A$1001,A615,$B$2:$B$1001,B615-1)),"违规：风险预算须逐次不增加",IF(OR(_LockStatus="已锁仓",_LockStatus="解锁信息不完整"),"违规：锁仓期间禁止加仓",IF(G615="","计划可执行：建议股数见N列",IF(OR(G615&lt;=0,G615&lt;&gt;INT(G615),MOD(G615,100)&lt;&gt;0),"违规：实际股数须为100股整数倍",IF(G615&gt;N615,"违规：实际股数超过风险或金字塔上限",IF(AND(B615&gt;1,G615&gt;SUMIFS($G$2:$G$1001,$A$2:$A$1001,A615,$B$2:$B$1001,B615-1)),"违规：加仓股数须逐次不增加",IF(Q615&gt;F615,"违规：止损风险超过本次预算","通过")))))))))))))))</f>
        <v/>
      </c>
    </row>
    <row r="616" customFormat="false" ht="15" hidden="false" customHeight="false" outlineLevel="0" collapsed="false">
      <c r="A616" s="20"/>
      <c r="B616" s="21"/>
      <c r="C616" s="22"/>
      <c r="D616" s="23"/>
      <c r="E616" s="23"/>
      <c r="F616" s="23"/>
      <c r="G616" s="21"/>
      <c r="H616" s="24" t="str">
        <f aca="false">IF(OR(A616="",D616="",G616=""),"",D616*G616)</f>
        <v/>
      </c>
      <c r="I616" s="25" t="str">
        <f aca="false">IF(OR(A616="",B616=""),"",IFERROR(LOOKUP(2,1/(单次交易!$A$2:$A$201=A616),单次交易!$H$2:$H$201),0)+SUMIFS($G$2:$G$1001,$A$2:$A$1001,A616,$B$2:$B$1001,"&lt;"&amp;B616))</f>
        <v/>
      </c>
      <c r="J616" s="24" t="str">
        <f aca="false">IF(OR(A616="",B616=""),"",IFERROR(LOOKUP(2,1/(单次交易!$A$2:$A$201=A616),单次交易!$E$2:$E$201)*LOOKUP(2,1/(单次交易!$A$2:$A$201=A616),单次交易!$H$2:$H$201),0)+SUMIFS($H$2:$H$1001,$A$2:$A$1001,A616,$B$2:$B$1001,"&lt;"&amp;B616))</f>
        <v/>
      </c>
      <c r="K616" s="24" t="str">
        <f aca="false">IF(OR(E616="",I616="",J616=""),"",MAX(E616*I616-J616,0))</f>
        <v/>
      </c>
      <c r="L616" s="25" t="str">
        <f aca="false">IF(OR(D616="",E616="",F616="",D616&lt;=E616),"",FLOOR((F616+K616)/(D616-E616),100))</f>
        <v/>
      </c>
      <c r="M616" s="25" t="str">
        <f aca="false">IF(OR(A616="",B616="",L616=""),"",IF(B616=1,L616,IFERROR(SUMIFS($G$2:$G$1001,$A$2:$A$1001,A616,$B$2:$B$1001,B616-1),0)))</f>
        <v/>
      </c>
      <c r="N616" s="25" t="str">
        <f aca="false">IF(OR(L616="",M616=""),"",MIN(L616,M616))</f>
        <v/>
      </c>
      <c r="O616" s="25" t="str">
        <f aca="false">IF(OR(I616="",G616=""),"",I616+G616)</f>
        <v/>
      </c>
      <c r="P616" s="24" t="str">
        <f aca="false">IF(OR(O616="",O616=0),"",(J616+H616)/O616)</f>
        <v/>
      </c>
      <c r="Q616" s="24" t="str">
        <f aca="false">IF(OR(O616="",E616=""),"",MAX(J616+H616-E616*O616,0))</f>
        <v/>
      </c>
      <c r="R616" s="26" t="str">
        <f aca="false">IF(A616="","",IF(COUNTIF(_TradeIds,A616)=0,"违规：交易编号不存在",IF(OR(B616="",B616&lt;1,B616&gt;5,B616&lt;&gt;INT(B616)),"违规：加仓序号须为1到5的整数",IF(COUNTIFS($A$2:$A$1001,A616,$B$2:$B$1001,B616)&gt;1,"违规：同一交易的加仓序号重复",IF(OR(D616="",E616="",F616=""),"计划不完整：请填写加仓价、新止损价和风险预算",IF(OR(D616&lt;=0,E616&lt;=0,F616&lt;=0,D616&lt;=E616),"违规：加仓价必须高于新止损价，金额须大于0",IF(AND(B616&gt;1,COUNTIFS($A$2:$A$1001,A616,$B$2:$B$1001,B616-1,$G$2:$G$1001,"&gt;0")=0),"违规：须先完成上一次加仓",IF(AND(B616&gt;1,E616&lt;SUMIFS($E$2:$E$1001,$A$2:$A$1001,A616,$B$2:$B$1001,B616-1)),"违规：新止损价不得低于上一次",IF(AND(B616&gt;1,F616&gt;SUMIFS($F$2:$F$1001,$A$2:$A$1001,A616,$B$2:$B$1001,B616-1)),"违规：风险预算须逐次不增加",IF(OR(_LockStatus="已锁仓",_LockStatus="解锁信息不完整"),"违规：锁仓期间禁止加仓",IF(G616="","计划可执行：建议股数见N列",IF(OR(G616&lt;=0,G616&lt;&gt;INT(G616),MOD(G616,100)&lt;&gt;0),"违规：实际股数须为100股整数倍",IF(G616&gt;N616,"违规：实际股数超过风险或金字塔上限",IF(AND(B616&gt;1,G616&gt;SUMIFS($G$2:$G$1001,$A$2:$A$1001,A616,$B$2:$B$1001,B616-1)),"违规：加仓股数须逐次不增加",IF(Q616&gt;F616,"违规：止损风险超过本次预算","通过")))))))))))))))</f>
        <v/>
      </c>
    </row>
    <row r="617" customFormat="false" ht="15" hidden="false" customHeight="false" outlineLevel="0" collapsed="false">
      <c r="A617" s="20"/>
      <c r="B617" s="21"/>
      <c r="C617" s="22"/>
      <c r="D617" s="23"/>
      <c r="E617" s="23"/>
      <c r="F617" s="23"/>
      <c r="G617" s="21"/>
      <c r="H617" s="24" t="str">
        <f aca="false">IF(OR(A617="",D617="",G617=""),"",D617*G617)</f>
        <v/>
      </c>
      <c r="I617" s="25" t="str">
        <f aca="false">IF(OR(A617="",B617=""),"",IFERROR(LOOKUP(2,1/(单次交易!$A$2:$A$201=A617),单次交易!$H$2:$H$201),0)+SUMIFS($G$2:$G$1001,$A$2:$A$1001,A617,$B$2:$B$1001,"&lt;"&amp;B617))</f>
        <v/>
      </c>
      <c r="J617" s="24" t="str">
        <f aca="false">IF(OR(A617="",B617=""),"",IFERROR(LOOKUP(2,1/(单次交易!$A$2:$A$201=A617),单次交易!$E$2:$E$201)*LOOKUP(2,1/(单次交易!$A$2:$A$201=A617),单次交易!$H$2:$H$201),0)+SUMIFS($H$2:$H$1001,$A$2:$A$1001,A617,$B$2:$B$1001,"&lt;"&amp;B617))</f>
        <v/>
      </c>
      <c r="K617" s="24" t="str">
        <f aca="false">IF(OR(E617="",I617="",J617=""),"",MAX(E617*I617-J617,0))</f>
        <v/>
      </c>
      <c r="L617" s="25" t="str">
        <f aca="false">IF(OR(D617="",E617="",F617="",D617&lt;=E617),"",FLOOR((F617+K617)/(D617-E617),100))</f>
        <v/>
      </c>
      <c r="M617" s="25" t="str">
        <f aca="false">IF(OR(A617="",B617="",L617=""),"",IF(B617=1,L617,IFERROR(SUMIFS($G$2:$G$1001,$A$2:$A$1001,A617,$B$2:$B$1001,B617-1),0)))</f>
        <v/>
      </c>
      <c r="N617" s="25" t="str">
        <f aca="false">IF(OR(L617="",M617=""),"",MIN(L617,M617))</f>
        <v/>
      </c>
      <c r="O617" s="25" t="str">
        <f aca="false">IF(OR(I617="",G617=""),"",I617+G617)</f>
        <v/>
      </c>
      <c r="P617" s="24" t="str">
        <f aca="false">IF(OR(O617="",O617=0),"",(J617+H617)/O617)</f>
        <v/>
      </c>
      <c r="Q617" s="24" t="str">
        <f aca="false">IF(OR(O617="",E617=""),"",MAX(J617+H617-E617*O617,0))</f>
        <v/>
      </c>
      <c r="R617" s="26" t="str">
        <f aca="false">IF(A617="","",IF(COUNTIF(_TradeIds,A617)=0,"违规：交易编号不存在",IF(OR(B617="",B617&lt;1,B617&gt;5,B617&lt;&gt;INT(B617)),"违规：加仓序号须为1到5的整数",IF(COUNTIFS($A$2:$A$1001,A617,$B$2:$B$1001,B617)&gt;1,"违规：同一交易的加仓序号重复",IF(OR(D617="",E617="",F617=""),"计划不完整：请填写加仓价、新止损价和风险预算",IF(OR(D617&lt;=0,E617&lt;=0,F617&lt;=0,D617&lt;=E617),"违规：加仓价必须高于新止损价，金额须大于0",IF(AND(B617&gt;1,COUNTIFS($A$2:$A$1001,A617,$B$2:$B$1001,B617-1,$G$2:$G$1001,"&gt;0")=0),"违规：须先完成上一次加仓",IF(AND(B617&gt;1,E617&lt;SUMIFS($E$2:$E$1001,$A$2:$A$1001,A617,$B$2:$B$1001,B617-1)),"违规：新止损价不得低于上一次",IF(AND(B617&gt;1,F617&gt;SUMIFS($F$2:$F$1001,$A$2:$A$1001,A617,$B$2:$B$1001,B617-1)),"违规：风险预算须逐次不增加",IF(OR(_LockStatus="已锁仓",_LockStatus="解锁信息不完整"),"违规：锁仓期间禁止加仓",IF(G617="","计划可执行：建议股数见N列",IF(OR(G617&lt;=0,G617&lt;&gt;INT(G617),MOD(G617,100)&lt;&gt;0),"违规：实际股数须为100股整数倍",IF(G617&gt;N617,"违规：实际股数超过风险或金字塔上限",IF(AND(B617&gt;1,G617&gt;SUMIFS($G$2:$G$1001,$A$2:$A$1001,A617,$B$2:$B$1001,B617-1)),"违规：加仓股数须逐次不增加",IF(Q617&gt;F617,"违规：止损风险超过本次预算","通过")))))))))))))))</f>
        <v/>
      </c>
    </row>
    <row r="618" customFormat="false" ht="15" hidden="false" customHeight="false" outlineLevel="0" collapsed="false">
      <c r="A618" s="20"/>
      <c r="B618" s="21"/>
      <c r="C618" s="22"/>
      <c r="D618" s="23"/>
      <c r="E618" s="23"/>
      <c r="F618" s="23"/>
      <c r="G618" s="21"/>
      <c r="H618" s="24" t="str">
        <f aca="false">IF(OR(A618="",D618="",G618=""),"",D618*G618)</f>
        <v/>
      </c>
      <c r="I618" s="25" t="str">
        <f aca="false">IF(OR(A618="",B618=""),"",IFERROR(LOOKUP(2,1/(单次交易!$A$2:$A$201=A618),单次交易!$H$2:$H$201),0)+SUMIFS($G$2:$G$1001,$A$2:$A$1001,A618,$B$2:$B$1001,"&lt;"&amp;B618))</f>
        <v/>
      </c>
      <c r="J618" s="24" t="str">
        <f aca="false">IF(OR(A618="",B618=""),"",IFERROR(LOOKUP(2,1/(单次交易!$A$2:$A$201=A618),单次交易!$E$2:$E$201)*LOOKUP(2,1/(单次交易!$A$2:$A$201=A618),单次交易!$H$2:$H$201),0)+SUMIFS($H$2:$H$1001,$A$2:$A$1001,A618,$B$2:$B$1001,"&lt;"&amp;B618))</f>
        <v/>
      </c>
      <c r="K618" s="24" t="str">
        <f aca="false">IF(OR(E618="",I618="",J618=""),"",MAX(E618*I618-J618,0))</f>
        <v/>
      </c>
      <c r="L618" s="25" t="str">
        <f aca="false">IF(OR(D618="",E618="",F618="",D618&lt;=E618),"",FLOOR((F618+K618)/(D618-E618),100))</f>
        <v/>
      </c>
      <c r="M618" s="25" t="str">
        <f aca="false">IF(OR(A618="",B618="",L618=""),"",IF(B618=1,L618,IFERROR(SUMIFS($G$2:$G$1001,$A$2:$A$1001,A618,$B$2:$B$1001,B618-1),0)))</f>
        <v/>
      </c>
      <c r="N618" s="25" t="str">
        <f aca="false">IF(OR(L618="",M618=""),"",MIN(L618,M618))</f>
        <v/>
      </c>
      <c r="O618" s="25" t="str">
        <f aca="false">IF(OR(I618="",G618=""),"",I618+G618)</f>
        <v/>
      </c>
      <c r="P618" s="24" t="str">
        <f aca="false">IF(OR(O618="",O618=0),"",(J618+H618)/O618)</f>
        <v/>
      </c>
      <c r="Q618" s="24" t="str">
        <f aca="false">IF(OR(O618="",E618=""),"",MAX(J618+H618-E618*O618,0))</f>
        <v/>
      </c>
      <c r="R618" s="26" t="str">
        <f aca="false">IF(A618="","",IF(COUNTIF(_TradeIds,A618)=0,"违规：交易编号不存在",IF(OR(B618="",B618&lt;1,B618&gt;5,B618&lt;&gt;INT(B618)),"违规：加仓序号须为1到5的整数",IF(COUNTIFS($A$2:$A$1001,A618,$B$2:$B$1001,B618)&gt;1,"违规：同一交易的加仓序号重复",IF(OR(D618="",E618="",F618=""),"计划不完整：请填写加仓价、新止损价和风险预算",IF(OR(D618&lt;=0,E618&lt;=0,F618&lt;=0,D618&lt;=E618),"违规：加仓价必须高于新止损价，金额须大于0",IF(AND(B618&gt;1,COUNTIFS($A$2:$A$1001,A618,$B$2:$B$1001,B618-1,$G$2:$G$1001,"&gt;0")=0),"违规：须先完成上一次加仓",IF(AND(B618&gt;1,E618&lt;SUMIFS($E$2:$E$1001,$A$2:$A$1001,A618,$B$2:$B$1001,B618-1)),"违规：新止损价不得低于上一次",IF(AND(B618&gt;1,F618&gt;SUMIFS($F$2:$F$1001,$A$2:$A$1001,A618,$B$2:$B$1001,B618-1)),"违规：风险预算须逐次不增加",IF(OR(_LockStatus="已锁仓",_LockStatus="解锁信息不完整"),"违规：锁仓期间禁止加仓",IF(G618="","计划可执行：建议股数见N列",IF(OR(G618&lt;=0,G618&lt;&gt;INT(G618),MOD(G618,100)&lt;&gt;0),"违规：实际股数须为100股整数倍",IF(G618&gt;N618,"违规：实际股数超过风险或金字塔上限",IF(AND(B618&gt;1,G618&gt;SUMIFS($G$2:$G$1001,$A$2:$A$1001,A618,$B$2:$B$1001,B618-1)),"违规：加仓股数须逐次不增加",IF(Q618&gt;F618,"违规：止损风险超过本次预算","通过")))))))))))))))</f>
        <v/>
      </c>
    </row>
    <row r="619" customFormat="false" ht="15" hidden="false" customHeight="false" outlineLevel="0" collapsed="false">
      <c r="A619" s="20"/>
      <c r="B619" s="21"/>
      <c r="C619" s="22"/>
      <c r="D619" s="23"/>
      <c r="E619" s="23"/>
      <c r="F619" s="23"/>
      <c r="G619" s="21"/>
      <c r="H619" s="24" t="str">
        <f aca="false">IF(OR(A619="",D619="",G619=""),"",D619*G619)</f>
        <v/>
      </c>
      <c r="I619" s="25" t="str">
        <f aca="false">IF(OR(A619="",B619=""),"",IFERROR(LOOKUP(2,1/(单次交易!$A$2:$A$201=A619),单次交易!$H$2:$H$201),0)+SUMIFS($G$2:$G$1001,$A$2:$A$1001,A619,$B$2:$B$1001,"&lt;"&amp;B619))</f>
        <v/>
      </c>
      <c r="J619" s="24" t="str">
        <f aca="false">IF(OR(A619="",B619=""),"",IFERROR(LOOKUP(2,1/(单次交易!$A$2:$A$201=A619),单次交易!$E$2:$E$201)*LOOKUP(2,1/(单次交易!$A$2:$A$201=A619),单次交易!$H$2:$H$201),0)+SUMIFS($H$2:$H$1001,$A$2:$A$1001,A619,$B$2:$B$1001,"&lt;"&amp;B619))</f>
        <v/>
      </c>
      <c r="K619" s="24" t="str">
        <f aca="false">IF(OR(E619="",I619="",J619=""),"",MAX(E619*I619-J619,0))</f>
        <v/>
      </c>
      <c r="L619" s="25" t="str">
        <f aca="false">IF(OR(D619="",E619="",F619="",D619&lt;=E619),"",FLOOR((F619+K619)/(D619-E619),100))</f>
        <v/>
      </c>
      <c r="M619" s="25" t="str">
        <f aca="false">IF(OR(A619="",B619="",L619=""),"",IF(B619=1,L619,IFERROR(SUMIFS($G$2:$G$1001,$A$2:$A$1001,A619,$B$2:$B$1001,B619-1),0)))</f>
        <v/>
      </c>
      <c r="N619" s="25" t="str">
        <f aca="false">IF(OR(L619="",M619=""),"",MIN(L619,M619))</f>
        <v/>
      </c>
      <c r="O619" s="25" t="str">
        <f aca="false">IF(OR(I619="",G619=""),"",I619+G619)</f>
        <v/>
      </c>
      <c r="P619" s="24" t="str">
        <f aca="false">IF(OR(O619="",O619=0),"",(J619+H619)/O619)</f>
        <v/>
      </c>
      <c r="Q619" s="24" t="str">
        <f aca="false">IF(OR(O619="",E619=""),"",MAX(J619+H619-E619*O619,0))</f>
        <v/>
      </c>
      <c r="R619" s="26" t="str">
        <f aca="false">IF(A619="","",IF(COUNTIF(_TradeIds,A619)=0,"违规：交易编号不存在",IF(OR(B619="",B619&lt;1,B619&gt;5,B619&lt;&gt;INT(B619)),"违规：加仓序号须为1到5的整数",IF(COUNTIFS($A$2:$A$1001,A619,$B$2:$B$1001,B619)&gt;1,"违规：同一交易的加仓序号重复",IF(OR(D619="",E619="",F619=""),"计划不完整：请填写加仓价、新止损价和风险预算",IF(OR(D619&lt;=0,E619&lt;=0,F619&lt;=0,D619&lt;=E619),"违规：加仓价必须高于新止损价，金额须大于0",IF(AND(B619&gt;1,COUNTIFS($A$2:$A$1001,A619,$B$2:$B$1001,B619-1,$G$2:$G$1001,"&gt;0")=0),"违规：须先完成上一次加仓",IF(AND(B619&gt;1,E619&lt;SUMIFS($E$2:$E$1001,$A$2:$A$1001,A619,$B$2:$B$1001,B619-1)),"违规：新止损价不得低于上一次",IF(AND(B619&gt;1,F619&gt;SUMIFS($F$2:$F$1001,$A$2:$A$1001,A619,$B$2:$B$1001,B619-1)),"违规：风险预算须逐次不增加",IF(OR(_LockStatus="已锁仓",_LockStatus="解锁信息不完整"),"违规：锁仓期间禁止加仓",IF(G619="","计划可执行：建议股数见N列",IF(OR(G619&lt;=0,G619&lt;&gt;INT(G619),MOD(G619,100)&lt;&gt;0),"违规：实际股数须为100股整数倍",IF(G619&gt;N619,"违规：实际股数超过风险或金字塔上限",IF(AND(B619&gt;1,G619&gt;SUMIFS($G$2:$G$1001,$A$2:$A$1001,A619,$B$2:$B$1001,B619-1)),"违规：加仓股数须逐次不增加",IF(Q619&gt;F619,"违规：止损风险超过本次预算","通过")))))))))))))))</f>
        <v/>
      </c>
    </row>
    <row r="620" customFormat="false" ht="15" hidden="false" customHeight="false" outlineLevel="0" collapsed="false">
      <c r="A620" s="20"/>
      <c r="B620" s="21"/>
      <c r="C620" s="22"/>
      <c r="D620" s="23"/>
      <c r="E620" s="23"/>
      <c r="F620" s="23"/>
      <c r="G620" s="21"/>
      <c r="H620" s="24" t="str">
        <f aca="false">IF(OR(A620="",D620="",G620=""),"",D620*G620)</f>
        <v/>
      </c>
      <c r="I620" s="25" t="str">
        <f aca="false">IF(OR(A620="",B620=""),"",IFERROR(LOOKUP(2,1/(单次交易!$A$2:$A$201=A620),单次交易!$H$2:$H$201),0)+SUMIFS($G$2:$G$1001,$A$2:$A$1001,A620,$B$2:$B$1001,"&lt;"&amp;B620))</f>
        <v/>
      </c>
      <c r="J620" s="24" t="str">
        <f aca="false">IF(OR(A620="",B620=""),"",IFERROR(LOOKUP(2,1/(单次交易!$A$2:$A$201=A620),单次交易!$E$2:$E$201)*LOOKUP(2,1/(单次交易!$A$2:$A$201=A620),单次交易!$H$2:$H$201),0)+SUMIFS($H$2:$H$1001,$A$2:$A$1001,A620,$B$2:$B$1001,"&lt;"&amp;B620))</f>
        <v/>
      </c>
      <c r="K620" s="24" t="str">
        <f aca="false">IF(OR(E620="",I620="",J620=""),"",MAX(E620*I620-J620,0))</f>
        <v/>
      </c>
      <c r="L620" s="25" t="str">
        <f aca="false">IF(OR(D620="",E620="",F620="",D620&lt;=E620),"",FLOOR((F620+K620)/(D620-E620),100))</f>
        <v/>
      </c>
      <c r="M620" s="25" t="str">
        <f aca="false">IF(OR(A620="",B620="",L620=""),"",IF(B620=1,L620,IFERROR(SUMIFS($G$2:$G$1001,$A$2:$A$1001,A620,$B$2:$B$1001,B620-1),0)))</f>
        <v/>
      </c>
      <c r="N620" s="25" t="str">
        <f aca="false">IF(OR(L620="",M620=""),"",MIN(L620,M620))</f>
        <v/>
      </c>
      <c r="O620" s="25" t="str">
        <f aca="false">IF(OR(I620="",G620=""),"",I620+G620)</f>
        <v/>
      </c>
      <c r="P620" s="24" t="str">
        <f aca="false">IF(OR(O620="",O620=0),"",(J620+H620)/O620)</f>
        <v/>
      </c>
      <c r="Q620" s="24" t="str">
        <f aca="false">IF(OR(O620="",E620=""),"",MAX(J620+H620-E620*O620,0))</f>
        <v/>
      </c>
      <c r="R620" s="26" t="str">
        <f aca="false">IF(A620="","",IF(COUNTIF(_TradeIds,A620)=0,"违规：交易编号不存在",IF(OR(B620="",B620&lt;1,B620&gt;5,B620&lt;&gt;INT(B620)),"违规：加仓序号须为1到5的整数",IF(COUNTIFS($A$2:$A$1001,A620,$B$2:$B$1001,B620)&gt;1,"违规：同一交易的加仓序号重复",IF(OR(D620="",E620="",F620=""),"计划不完整：请填写加仓价、新止损价和风险预算",IF(OR(D620&lt;=0,E620&lt;=0,F620&lt;=0,D620&lt;=E620),"违规：加仓价必须高于新止损价，金额须大于0",IF(AND(B620&gt;1,COUNTIFS($A$2:$A$1001,A620,$B$2:$B$1001,B620-1,$G$2:$G$1001,"&gt;0")=0),"违规：须先完成上一次加仓",IF(AND(B620&gt;1,E620&lt;SUMIFS($E$2:$E$1001,$A$2:$A$1001,A620,$B$2:$B$1001,B620-1)),"违规：新止损价不得低于上一次",IF(AND(B620&gt;1,F620&gt;SUMIFS($F$2:$F$1001,$A$2:$A$1001,A620,$B$2:$B$1001,B620-1)),"违规：风险预算须逐次不增加",IF(OR(_LockStatus="已锁仓",_LockStatus="解锁信息不完整"),"违规：锁仓期间禁止加仓",IF(G620="","计划可执行：建议股数见N列",IF(OR(G620&lt;=0,G620&lt;&gt;INT(G620),MOD(G620,100)&lt;&gt;0),"违规：实际股数须为100股整数倍",IF(G620&gt;N620,"违规：实际股数超过风险或金字塔上限",IF(AND(B620&gt;1,G620&gt;SUMIFS($G$2:$G$1001,$A$2:$A$1001,A620,$B$2:$B$1001,B620-1)),"违规：加仓股数须逐次不增加",IF(Q620&gt;F620,"违规：止损风险超过本次预算","通过")))))))))))))))</f>
        <v/>
      </c>
    </row>
    <row r="621" customFormat="false" ht="15" hidden="false" customHeight="false" outlineLevel="0" collapsed="false">
      <c r="A621" s="20"/>
      <c r="B621" s="21"/>
      <c r="C621" s="22"/>
      <c r="D621" s="23"/>
      <c r="E621" s="23"/>
      <c r="F621" s="23"/>
      <c r="G621" s="21"/>
      <c r="H621" s="24" t="str">
        <f aca="false">IF(OR(A621="",D621="",G621=""),"",D621*G621)</f>
        <v/>
      </c>
      <c r="I621" s="25" t="str">
        <f aca="false">IF(OR(A621="",B621=""),"",IFERROR(LOOKUP(2,1/(单次交易!$A$2:$A$201=A621),单次交易!$H$2:$H$201),0)+SUMIFS($G$2:$G$1001,$A$2:$A$1001,A621,$B$2:$B$1001,"&lt;"&amp;B621))</f>
        <v/>
      </c>
      <c r="J621" s="24" t="str">
        <f aca="false">IF(OR(A621="",B621=""),"",IFERROR(LOOKUP(2,1/(单次交易!$A$2:$A$201=A621),单次交易!$E$2:$E$201)*LOOKUP(2,1/(单次交易!$A$2:$A$201=A621),单次交易!$H$2:$H$201),0)+SUMIFS($H$2:$H$1001,$A$2:$A$1001,A621,$B$2:$B$1001,"&lt;"&amp;B621))</f>
        <v/>
      </c>
      <c r="K621" s="24" t="str">
        <f aca="false">IF(OR(E621="",I621="",J621=""),"",MAX(E621*I621-J621,0))</f>
        <v/>
      </c>
      <c r="L621" s="25" t="str">
        <f aca="false">IF(OR(D621="",E621="",F621="",D621&lt;=E621),"",FLOOR((F621+K621)/(D621-E621),100))</f>
        <v/>
      </c>
      <c r="M621" s="25" t="str">
        <f aca="false">IF(OR(A621="",B621="",L621=""),"",IF(B621=1,L621,IFERROR(SUMIFS($G$2:$G$1001,$A$2:$A$1001,A621,$B$2:$B$1001,B621-1),0)))</f>
        <v/>
      </c>
      <c r="N621" s="25" t="str">
        <f aca="false">IF(OR(L621="",M621=""),"",MIN(L621,M621))</f>
        <v/>
      </c>
      <c r="O621" s="25" t="str">
        <f aca="false">IF(OR(I621="",G621=""),"",I621+G621)</f>
        <v/>
      </c>
      <c r="P621" s="24" t="str">
        <f aca="false">IF(OR(O621="",O621=0),"",(J621+H621)/O621)</f>
        <v/>
      </c>
      <c r="Q621" s="24" t="str">
        <f aca="false">IF(OR(O621="",E621=""),"",MAX(J621+H621-E621*O621,0))</f>
        <v/>
      </c>
      <c r="R621" s="26" t="str">
        <f aca="false">IF(A621="","",IF(COUNTIF(_TradeIds,A621)=0,"违规：交易编号不存在",IF(OR(B621="",B621&lt;1,B621&gt;5,B621&lt;&gt;INT(B621)),"违规：加仓序号须为1到5的整数",IF(COUNTIFS($A$2:$A$1001,A621,$B$2:$B$1001,B621)&gt;1,"违规：同一交易的加仓序号重复",IF(OR(D621="",E621="",F621=""),"计划不完整：请填写加仓价、新止损价和风险预算",IF(OR(D621&lt;=0,E621&lt;=0,F621&lt;=0,D621&lt;=E621),"违规：加仓价必须高于新止损价，金额须大于0",IF(AND(B621&gt;1,COUNTIFS($A$2:$A$1001,A621,$B$2:$B$1001,B621-1,$G$2:$G$1001,"&gt;0")=0),"违规：须先完成上一次加仓",IF(AND(B621&gt;1,E621&lt;SUMIFS($E$2:$E$1001,$A$2:$A$1001,A621,$B$2:$B$1001,B621-1)),"违规：新止损价不得低于上一次",IF(AND(B621&gt;1,F621&gt;SUMIFS($F$2:$F$1001,$A$2:$A$1001,A621,$B$2:$B$1001,B621-1)),"违规：风险预算须逐次不增加",IF(OR(_LockStatus="已锁仓",_LockStatus="解锁信息不完整"),"违规：锁仓期间禁止加仓",IF(G621="","计划可执行：建议股数见N列",IF(OR(G621&lt;=0,G621&lt;&gt;INT(G621),MOD(G621,100)&lt;&gt;0),"违规：实际股数须为100股整数倍",IF(G621&gt;N621,"违规：实际股数超过风险或金字塔上限",IF(AND(B621&gt;1,G621&gt;SUMIFS($G$2:$G$1001,$A$2:$A$1001,A621,$B$2:$B$1001,B621-1)),"违规：加仓股数须逐次不增加",IF(Q621&gt;F621,"违规：止损风险超过本次预算","通过")))))))))))))))</f>
        <v/>
      </c>
    </row>
    <row r="622" customFormat="false" ht="15" hidden="false" customHeight="false" outlineLevel="0" collapsed="false">
      <c r="A622" s="20"/>
      <c r="B622" s="21"/>
      <c r="C622" s="22"/>
      <c r="D622" s="23"/>
      <c r="E622" s="23"/>
      <c r="F622" s="23"/>
      <c r="G622" s="21"/>
      <c r="H622" s="24" t="str">
        <f aca="false">IF(OR(A622="",D622="",G622=""),"",D622*G622)</f>
        <v/>
      </c>
      <c r="I622" s="25" t="str">
        <f aca="false">IF(OR(A622="",B622=""),"",IFERROR(LOOKUP(2,1/(单次交易!$A$2:$A$201=A622),单次交易!$H$2:$H$201),0)+SUMIFS($G$2:$G$1001,$A$2:$A$1001,A622,$B$2:$B$1001,"&lt;"&amp;B622))</f>
        <v/>
      </c>
      <c r="J622" s="24" t="str">
        <f aca="false">IF(OR(A622="",B622=""),"",IFERROR(LOOKUP(2,1/(单次交易!$A$2:$A$201=A622),单次交易!$E$2:$E$201)*LOOKUP(2,1/(单次交易!$A$2:$A$201=A622),单次交易!$H$2:$H$201),0)+SUMIFS($H$2:$H$1001,$A$2:$A$1001,A622,$B$2:$B$1001,"&lt;"&amp;B622))</f>
        <v/>
      </c>
      <c r="K622" s="24" t="str">
        <f aca="false">IF(OR(E622="",I622="",J622=""),"",MAX(E622*I622-J622,0))</f>
        <v/>
      </c>
      <c r="L622" s="25" t="str">
        <f aca="false">IF(OR(D622="",E622="",F622="",D622&lt;=E622),"",FLOOR((F622+K622)/(D622-E622),100))</f>
        <v/>
      </c>
      <c r="M622" s="25" t="str">
        <f aca="false">IF(OR(A622="",B622="",L622=""),"",IF(B622=1,L622,IFERROR(SUMIFS($G$2:$G$1001,$A$2:$A$1001,A622,$B$2:$B$1001,B622-1),0)))</f>
        <v/>
      </c>
      <c r="N622" s="25" t="str">
        <f aca="false">IF(OR(L622="",M622=""),"",MIN(L622,M622))</f>
        <v/>
      </c>
      <c r="O622" s="25" t="str">
        <f aca="false">IF(OR(I622="",G622=""),"",I622+G622)</f>
        <v/>
      </c>
      <c r="P622" s="24" t="str">
        <f aca="false">IF(OR(O622="",O622=0),"",(J622+H622)/O622)</f>
        <v/>
      </c>
      <c r="Q622" s="24" t="str">
        <f aca="false">IF(OR(O622="",E622=""),"",MAX(J622+H622-E622*O622,0))</f>
        <v/>
      </c>
      <c r="R622" s="26" t="str">
        <f aca="false">IF(A622="","",IF(COUNTIF(_TradeIds,A622)=0,"违规：交易编号不存在",IF(OR(B622="",B622&lt;1,B622&gt;5,B622&lt;&gt;INT(B622)),"违规：加仓序号须为1到5的整数",IF(COUNTIFS($A$2:$A$1001,A622,$B$2:$B$1001,B622)&gt;1,"违规：同一交易的加仓序号重复",IF(OR(D622="",E622="",F622=""),"计划不完整：请填写加仓价、新止损价和风险预算",IF(OR(D622&lt;=0,E622&lt;=0,F622&lt;=0,D622&lt;=E622),"违规：加仓价必须高于新止损价，金额须大于0",IF(AND(B622&gt;1,COUNTIFS($A$2:$A$1001,A622,$B$2:$B$1001,B622-1,$G$2:$G$1001,"&gt;0")=0),"违规：须先完成上一次加仓",IF(AND(B622&gt;1,E622&lt;SUMIFS($E$2:$E$1001,$A$2:$A$1001,A622,$B$2:$B$1001,B622-1)),"违规：新止损价不得低于上一次",IF(AND(B622&gt;1,F622&gt;SUMIFS($F$2:$F$1001,$A$2:$A$1001,A622,$B$2:$B$1001,B622-1)),"违规：风险预算须逐次不增加",IF(OR(_LockStatus="已锁仓",_LockStatus="解锁信息不完整"),"违规：锁仓期间禁止加仓",IF(G622="","计划可执行：建议股数见N列",IF(OR(G622&lt;=0,G622&lt;&gt;INT(G622),MOD(G622,100)&lt;&gt;0),"违规：实际股数须为100股整数倍",IF(G622&gt;N622,"违规：实际股数超过风险或金字塔上限",IF(AND(B622&gt;1,G622&gt;SUMIFS($G$2:$G$1001,$A$2:$A$1001,A622,$B$2:$B$1001,B622-1)),"违规：加仓股数须逐次不增加",IF(Q622&gt;F622,"违规：止损风险超过本次预算","通过")))))))))))))))</f>
        <v/>
      </c>
    </row>
    <row r="623" customFormat="false" ht="15" hidden="false" customHeight="false" outlineLevel="0" collapsed="false">
      <c r="A623" s="20"/>
      <c r="B623" s="21"/>
      <c r="C623" s="22"/>
      <c r="D623" s="23"/>
      <c r="E623" s="23"/>
      <c r="F623" s="23"/>
      <c r="G623" s="21"/>
      <c r="H623" s="24" t="str">
        <f aca="false">IF(OR(A623="",D623="",G623=""),"",D623*G623)</f>
        <v/>
      </c>
      <c r="I623" s="25" t="str">
        <f aca="false">IF(OR(A623="",B623=""),"",IFERROR(LOOKUP(2,1/(单次交易!$A$2:$A$201=A623),单次交易!$H$2:$H$201),0)+SUMIFS($G$2:$G$1001,$A$2:$A$1001,A623,$B$2:$B$1001,"&lt;"&amp;B623))</f>
        <v/>
      </c>
      <c r="J623" s="24" t="str">
        <f aca="false">IF(OR(A623="",B623=""),"",IFERROR(LOOKUP(2,1/(单次交易!$A$2:$A$201=A623),单次交易!$E$2:$E$201)*LOOKUP(2,1/(单次交易!$A$2:$A$201=A623),单次交易!$H$2:$H$201),0)+SUMIFS($H$2:$H$1001,$A$2:$A$1001,A623,$B$2:$B$1001,"&lt;"&amp;B623))</f>
        <v/>
      </c>
      <c r="K623" s="24" t="str">
        <f aca="false">IF(OR(E623="",I623="",J623=""),"",MAX(E623*I623-J623,0))</f>
        <v/>
      </c>
      <c r="L623" s="25" t="str">
        <f aca="false">IF(OR(D623="",E623="",F623="",D623&lt;=E623),"",FLOOR((F623+K623)/(D623-E623),100))</f>
        <v/>
      </c>
      <c r="M623" s="25" t="str">
        <f aca="false">IF(OR(A623="",B623="",L623=""),"",IF(B623=1,L623,IFERROR(SUMIFS($G$2:$G$1001,$A$2:$A$1001,A623,$B$2:$B$1001,B623-1),0)))</f>
        <v/>
      </c>
      <c r="N623" s="25" t="str">
        <f aca="false">IF(OR(L623="",M623=""),"",MIN(L623,M623))</f>
        <v/>
      </c>
      <c r="O623" s="25" t="str">
        <f aca="false">IF(OR(I623="",G623=""),"",I623+G623)</f>
        <v/>
      </c>
      <c r="P623" s="24" t="str">
        <f aca="false">IF(OR(O623="",O623=0),"",(J623+H623)/O623)</f>
        <v/>
      </c>
      <c r="Q623" s="24" t="str">
        <f aca="false">IF(OR(O623="",E623=""),"",MAX(J623+H623-E623*O623,0))</f>
        <v/>
      </c>
      <c r="R623" s="26" t="str">
        <f aca="false">IF(A623="","",IF(COUNTIF(_TradeIds,A623)=0,"违规：交易编号不存在",IF(OR(B623="",B623&lt;1,B623&gt;5,B623&lt;&gt;INT(B623)),"违规：加仓序号须为1到5的整数",IF(COUNTIFS($A$2:$A$1001,A623,$B$2:$B$1001,B623)&gt;1,"违规：同一交易的加仓序号重复",IF(OR(D623="",E623="",F623=""),"计划不完整：请填写加仓价、新止损价和风险预算",IF(OR(D623&lt;=0,E623&lt;=0,F623&lt;=0,D623&lt;=E623),"违规：加仓价必须高于新止损价，金额须大于0",IF(AND(B623&gt;1,COUNTIFS($A$2:$A$1001,A623,$B$2:$B$1001,B623-1,$G$2:$G$1001,"&gt;0")=0),"违规：须先完成上一次加仓",IF(AND(B623&gt;1,E623&lt;SUMIFS($E$2:$E$1001,$A$2:$A$1001,A623,$B$2:$B$1001,B623-1)),"违规：新止损价不得低于上一次",IF(AND(B623&gt;1,F623&gt;SUMIFS($F$2:$F$1001,$A$2:$A$1001,A623,$B$2:$B$1001,B623-1)),"违规：风险预算须逐次不增加",IF(OR(_LockStatus="已锁仓",_LockStatus="解锁信息不完整"),"违规：锁仓期间禁止加仓",IF(G623="","计划可执行：建议股数见N列",IF(OR(G623&lt;=0,G623&lt;&gt;INT(G623),MOD(G623,100)&lt;&gt;0),"违规：实际股数须为100股整数倍",IF(G623&gt;N623,"违规：实际股数超过风险或金字塔上限",IF(AND(B623&gt;1,G623&gt;SUMIFS($G$2:$G$1001,$A$2:$A$1001,A623,$B$2:$B$1001,B623-1)),"违规：加仓股数须逐次不增加",IF(Q623&gt;F623,"违规：止损风险超过本次预算","通过")))))))))))))))</f>
        <v/>
      </c>
    </row>
    <row r="624" customFormat="false" ht="15" hidden="false" customHeight="false" outlineLevel="0" collapsed="false">
      <c r="A624" s="20"/>
      <c r="B624" s="21"/>
      <c r="C624" s="22"/>
      <c r="D624" s="23"/>
      <c r="E624" s="23"/>
      <c r="F624" s="23"/>
      <c r="G624" s="21"/>
      <c r="H624" s="24" t="str">
        <f aca="false">IF(OR(A624="",D624="",G624=""),"",D624*G624)</f>
        <v/>
      </c>
      <c r="I624" s="25" t="str">
        <f aca="false">IF(OR(A624="",B624=""),"",IFERROR(LOOKUP(2,1/(单次交易!$A$2:$A$201=A624),单次交易!$H$2:$H$201),0)+SUMIFS($G$2:$G$1001,$A$2:$A$1001,A624,$B$2:$B$1001,"&lt;"&amp;B624))</f>
        <v/>
      </c>
      <c r="J624" s="24" t="str">
        <f aca="false">IF(OR(A624="",B624=""),"",IFERROR(LOOKUP(2,1/(单次交易!$A$2:$A$201=A624),单次交易!$E$2:$E$201)*LOOKUP(2,1/(单次交易!$A$2:$A$201=A624),单次交易!$H$2:$H$201),0)+SUMIFS($H$2:$H$1001,$A$2:$A$1001,A624,$B$2:$B$1001,"&lt;"&amp;B624))</f>
        <v/>
      </c>
      <c r="K624" s="24" t="str">
        <f aca="false">IF(OR(E624="",I624="",J624=""),"",MAX(E624*I624-J624,0))</f>
        <v/>
      </c>
      <c r="L624" s="25" t="str">
        <f aca="false">IF(OR(D624="",E624="",F624="",D624&lt;=E624),"",FLOOR((F624+K624)/(D624-E624),100))</f>
        <v/>
      </c>
      <c r="M624" s="25" t="str">
        <f aca="false">IF(OR(A624="",B624="",L624=""),"",IF(B624=1,L624,IFERROR(SUMIFS($G$2:$G$1001,$A$2:$A$1001,A624,$B$2:$B$1001,B624-1),0)))</f>
        <v/>
      </c>
      <c r="N624" s="25" t="str">
        <f aca="false">IF(OR(L624="",M624=""),"",MIN(L624,M624))</f>
        <v/>
      </c>
      <c r="O624" s="25" t="str">
        <f aca="false">IF(OR(I624="",G624=""),"",I624+G624)</f>
        <v/>
      </c>
      <c r="P624" s="24" t="str">
        <f aca="false">IF(OR(O624="",O624=0),"",(J624+H624)/O624)</f>
        <v/>
      </c>
      <c r="Q624" s="24" t="str">
        <f aca="false">IF(OR(O624="",E624=""),"",MAX(J624+H624-E624*O624,0))</f>
        <v/>
      </c>
      <c r="R624" s="26" t="str">
        <f aca="false">IF(A624="","",IF(COUNTIF(_TradeIds,A624)=0,"违规：交易编号不存在",IF(OR(B624="",B624&lt;1,B624&gt;5,B624&lt;&gt;INT(B624)),"违规：加仓序号须为1到5的整数",IF(COUNTIFS($A$2:$A$1001,A624,$B$2:$B$1001,B624)&gt;1,"违规：同一交易的加仓序号重复",IF(OR(D624="",E624="",F624=""),"计划不完整：请填写加仓价、新止损价和风险预算",IF(OR(D624&lt;=0,E624&lt;=0,F624&lt;=0,D624&lt;=E624),"违规：加仓价必须高于新止损价，金额须大于0",IF(AND(B624&gt;1,COUNTIFS($A$2:$A$1001,A624,$B$2:$B$1001,B624-1,$G$2:$G$1001,"&gt;0")=0),"违规：须先完成上一次加仓",IF(AND(B624&gt;1,E624&lt;SUMIFS($E$2:$E$1001,$A$2:$A$1001,A624,$B$2:$B$1001,B624-1)),"违规：新止损价不得低于上一次",IF(AND(B624&gt;1,F624&gt;SUMIFS($F$2:$F$1001,$A$2:$A$1001,A624,$B$2:$B$1001,B624-1)),"违规：风险预算须逐次不增加",IF(OR(_LockStatus="已锁仓",_LockStatus="解锁信息不完整"),"违规：锁仓期间禁止加仓",IF(G624="","计划可执行：建议股数见N列",IF(OR(G624&lt;=0,G624&lt;&gt;INT(G624),MOD(G624,100)&lt;&gt;0),"违规：实际股数须为100股整数倍",IF(G624&gt;N624,"违规：实际股数超过风险或金字塔上限",IF(AND(B624&gt;1,G624&gt;SUMIFS($G$2:$G$1001,$A$2:$A$1001,A624,$B$2:$B$1001,B624-1)),"违规：加仓股数须逐次不增加",IF(Q624&gt;F624,"违规：止损风险超过本次预算","通过")))))))))))))))</f>
        <v/>
      </c>
    </row>
    <row r="625" customFormat="false" ht="15" hidden="false" customHeight="false" outlineLevel="0" collapsed="false">
      <c r="A625" s="20"/>
      <c r="B625" s="21"/>
      <c r="C625" s="22"/>
      <c r="D625" s="23"/>
      <c r="E625" s="23"/>
      <c r="F625" s="23"/>
      <c r="G625" s="21"/>
      <c r="H625" s="24" t="str">
        <f aca="false">IF(OR(A625="",D625="",G625=""),"",D625*G625)</f>
        <v/>
      </c>
      <c r="I625" s="25" t="str">
        <f aca="false">IF(OR(A625="",B625=""),"",IFERROR(LOOKUP(2,1/(单次交易!$A$2:$A$201=A625),单次交易!$H$2:$H$201),0)+SUMIFS($G$2:$G$1001,$A$2:$A$1001,A625,$B$2:$B$1001,"&lt;"&amp;B625))</f>
        <v/>
      </c>
      <c r="J625" s="24" t="str">
        <f aca="false">IF(OR(A625="",B625=""),"",IFERROR(LOOKUP(2,1/(单次交易!$A$2:$A$201=A625),单次交易!$E$2:$E$201)*LOOKUP(2,1/(单次交易!$A$2:$A$201=A625),单次交易!$H$2:$H$201),0)+SUMIFS($H$2:$H$1001,$A$2:$A$1001,A625,$B$2:$B$1001,"&lt;"&amp;B625))</f>
        <v/>
      </c>
      <c r="K625" s="24" t="str">
        <f aca="false">IF(OR(E625="",I625="",J625=""),"",MAX(E625*I625-J625,0))</f>
        <v/>
      </c>
      <c r="L625" s="25" t="str">
        <f aca="false">IF(OR(D625="",E625="",F625="",D625&lt;=E625),"",FLOOR((F625+K625)/(D625-E625),100))</f>
        <v/>
      </c>
      <c r="M625" s="25" t="str">
        <f aca="false">IF(OR(A625="",B625="",L625=""),"",IF(B625=1,L625,IFERROR(SUMIFS($G$2:$G$1001,$A$2:$A$1001,A625,$B$2:$B$1001,B625-1),0)))</f>
        <v/>
      </c>
      <c r="N625" s="25" t="str">
        <f aca="false">IF(OR(L625="",M625=""),"",MIN(L625,M625))</f>
        <v/>
      </c>
      <c r="O625" s="25" t="str">
        <f aca="false">IF(OR(I625="",G625=""),"",I625+G625)</f>
        <v/>
      </c>
      <c r="P625" s="24" t="str">
        <f aca="false">IF(OR(O625="",O625=0),"",(J625+H625)/O625)</f>
        <v/>
      </c>
      <c r="Q625" s="24" t="str">
        <f aca="false">IF(OR(O625="",E625=""),"",MAX(J625+H625-E625*O625,0))</f>
        <v/>
      </c>
      <c r="R625" s="26" t="str">
        <f aca="false">IF(A625="","",IF(COUNTIF(_TradeIds,A625)=0,"违规：交易编号不存在",IF(OR(B625="",B625&lt;1,B625&gt;5,B625&lt;&gt;INT(B625)),"违规：加仓序号须为1到5的整数",IF(COUNTIFS($A$2:$A$1001,A625,$B$2:$B$1001,B625)&gt;1,"违规：同一交易的加仓序号重复",IF(OR(D625="",E625="",F625=""),"计划不完整：请填写加仓价、新止损价和风险预算",IF(OR(D625&lt;=0,E625&lt;=0,F625&lt;=0,D625&lt;=E625),"违规：加仓价必须高于新止损价，金额须大于0",IF(AND(B625&gt;1,COUNTIFS($A$2:$A$1001,A625,$B$2:$B$1001,B625-1,$G$2:$G$1001,"&gt;0")=0),"违规：须先完成上一次加仓",IF(AND(B625&gt;1,E625&lt;SUMIFS($E$2:$E$1001,$A$2:$A$1001,A625,$B$2:$B$1001,B625-1)),"违规：新止损价不得低于上一次",IF(AND(B625&gt;1,F625&gt;SUMIFS($F$2:$F$1001,$A$2:$A$1001,A625,$B$2:$B$1001,B625-1)),"违规：风险预算须逐次不增加",IF(OR(_LockStatus="已锁仓",_LockStatus="解锁信息不完整"),"违规：锁仓期间禁止加仓",IF(G625="","计划可执行：建议股数见N列",IF(OR(G625&lt;=0,G625&lt;&gt;INT(G625),MOD(G625,100)&lt;&gt;0),"违规：实际股数须为100股整数倍",IF(G625&gt;N625,"违规：实际股数超过风险或金字塔上限",IF(AND(B625&gt;1,G625&gt;SUMIFS($G$2:$G$1001,$A$2:$A$1001,A625,$B$2:$B$1001,B625-1)),"违规：加仓股数须逐次不增加",IF(Q625&gt;F625,"违规：止损风险超过本次预算","通过")))))))))))))))</f>
        <v/>
      </c>
    </row>
    <row r="626" customFormat="false" ht="15" hidden="false" customHeight="false" outlineLevel="0" collapsed="false">
      <c r="A626" s="20"/>
      <c r="B626" s="21"/>
      <c r="C626" s="22"/>
      <c r="D626" s="23"/>
      <c r="E626" s="23"/>
      <c r="F626" s="23"/>
      <c r="G626" s="21"/>
      <c r="H626" s="24" t="str">
        <f aca="false">IF(OR(A626="",D626="",G626=""),"",D626*G626)</f>
        <v/>
      </c>
      <c r="I626" s="25" t="str">
        <f aca="false">IF(OR(A626="",B626=""),"",IFERROR(LOOKUP(2,1/(单次交易!$A$2:$A$201=A626),单次交易!$H$2:$H$201),0)+SUMIFS($G$2:$G$1001,$A$2:$A$1001,A626,$B$2:$B$1001,"&lt;"&amp;B626))</f>
        <v/>
      </c>
      <c r="J626" s="24" t="str">
        <f aca="false">IF(OR(A626="",B626=""),"",IFERROR(LOOKUP(2,1/(单次交易!$A$2:$A$201=A626),单次交易!$E$2:$E$201)*LOOKUP(2,1/(单次交易!$A$2:$A$201=A626),单次交易!$H$2:$H$201),0)+SUMIFS($H$2:$H$1001,$A$2:$A$1001,A626,$B$2:$B$1001,"&lt;"&amp;B626))</f>
        <v/>
      </c>
      <c r="K626" s="24" t="str">
        <f aca="false">IF(OR(E626="",I626="",J626=""),"",MAX(E626*I626-J626,0))</f>
        <v/>
      </c>
      <c r="L626" s="25" t="str">
        <f aca="false">IF(OR(D626="",E626="",F626="",D626&lt;=E626),"",FLOOR((F626+K626)/(D626-E626),100))</f>
        <v/>
      </c>
      <c r="M626" s="25" t="str">
        <f aca="false">IF(OR(A626="",B626="",L626=""),"",IF(B626=1,L626,IFERROR(SUMIFS($G$2:$G$1001,$A$2:$A$1001,A626,$B$2:$B$1001,B626-1),0)))</f>
        <v/>
      </c>
      <c r="N626" s="25" t="str">
        <f aca="false">IF(OR(L626="",M626=""),"",MIN(L626,M626))</f>
        <v/>
      </c>
      <c r="O626" s="25" t="str">
        <f aca="false">IF(OR(I626="",G626=""),"",I626+G626)</f>
        <v/>
      </c>
      <c r="P626" s="24" t="str">
        <f aca="false">IF(OR(O626="",O626=0),"",(J626+H626)/O626)</f>
        <v/>
      </c>
      <c r="Q626" s="24" t="str">
        <f aca="false">IF(OR(O626="",E626=""),"",MAX(J626+H626-E626*O626,0))</f>
        <v/>
      </c>
      <c r="R626" s="26" t="str">
        <f aca="false">IF(A626="","",IF(COUNTIF(_TradeIds,A626)=0,"违规：交易编号不存在",IF(OR(B626="",B626&lt;1,B626&gt;5,B626&lt;&gt;INT(B626)),"违规：加仓序号须为1到5的整数",IF(COUNTIFS($A$2:$A$1001,A626,$B$2:$B$1001,B626)&gt;1,"违规：同一交易的加仓序号重复",IF(OR(D626="",E626="",F626=""),"计划不完整：请填写加仓价、新止损价和风险预算",IF(OR(D626&lt;=0,E626&lt;=0,F626&lt;=0,D626&lt;=E626),"违规：加仓价必须高于新止损价，金额须大于0",IF(AND(B626&gt;1,COUNTIFS($A$2:$A$1001,A626,$B$2:$B$1001,B626-1,$G$2:$G$1001,"&gt;0")=0),"违规：须先完成上一次加仓",IF(AND(B626&gt;1,E626&lt;SUMIFS($E$2:$E$1001,$A$2:$A$1001,A626,$B$2:$B$1001,B626-1)),"违规：新止损价不得低于上一次",IF(AND(B626&gt;1,F626&gt;SUMIFS($F$2:$F$1001,$A$2:$A$1001,A626,$B$2:$B$1001,B626-1)),"违规：风险预算须逐次不增加",IF(OR(_LockStatus="已锁仓",_LockStatus="解锁信息不完整"),"违规：锁仓期间禁止加仓",IF(G626="","计划可执行：建议股数见N列",IF(OR(G626&lt;=0,G626&lt;&gt;INT(G626),MOD(G626,100)&lt;&gt;0),"违规：实际股数须为100股整数倍",IF(G626&gt;N626,"违规：实际股数超过风险或金字塔上限",IF(AND(B626&gt;1,G626&gt;SUMIFS($G$2:$G$1001,$A$2:$A$1001,A626,$B$2:$B$1001,B626-1)),"违规：加仓股数须逐次不增加",IF(Q626&gt;F626,"违规：止损风险超过本次预算","通过")))))))))))))))</f>
        <v/>
      </c>
    </row>
    <row r="627" customFormat="false" ht="15" hidden="false" customHeight="false" outlineLevel="0" collapsed="false">
      <c r="A627" s="20"/>
      <c r="B627" s="21"/>
      <c r="C627" s="22"/>
      <c r="D627" s="23"/>
      <c r="E627" s="23"/>
      <c r="F627" s="23"/>
      <c r="G627" s="21"/>
      <c r="H627" s="24" t="str">
        <f aca="false">IF(OR(A627="",D627="",G627=""),"",D627*G627)</f>
        <v/>
      </c>
      <c r="I627" s="25" t="str">
        <f aca="false">IF(OR(A627="",B627=""),"",IFERROR(LOOKUP(2,1/(单次交易!$A$2:$A$201=A627),单次交易!$H$2:$H$201),0)+SUMIFS($G$2:$G$1001,$A$2:$A$1001,A627,$B$2:$B$1001,"&lt;"&amp;B627))</f>
        <v/>
      </c>
      <c r="J627" s="24" t="str">
        <f aca="false">IF(OR(A627="",B627=""),"",IFERROR(LOOKUP(2,1/(单次交易!$A$2:$A$201=A627),单次交易!$E$2:$E$201)*LOOKUP(2,1/(单次交易!$A$2:$A$201=A627),单次交易!$H$2:$H$201),0)+SUMIFS($H$2:$H$1001,$A$2:$A$1001,A627,$B$2:$B$1001,"&lt;"&amp;B627))</f>
        <v/>
      </c>
      <c r="K627" s="24" t="str">
        <f aca="false">IF(OR(E627="",I627="",J627=""),"",MAX(E627*I627-J627,0))</f>
        <v/>
      </c>
      <c r="L627" s="25" t="str">
        <f aca="false">IF(OR(D627="",E627="",F627="",D627&lt;=E627),"",FLOOR((F627+K627)/(D627-E627),100))</f>
        <v/>
      </c>
      <c r="M627" s="25" t="str">
        <f aca="false">IF(OR(A627="",B627="",L627=""),"",IF(B627=1,L627,IFERROR(SUMIFS($G$2:$G$1001,$A$2:$A$1001,A627,$B$2:$B$1001,B627-1),0)))</f>
        <v/>
      </c>
      <c r="N627" s="25" t="str">
        <f aca="false">IF(OR(L627="",M627=""),"",MIN(L627,M627))</f>
        <v/>
      </c>
      <c r="O627" s="25" t="str">
        <f aca="false">IF(OR(I627="",G627=""),"",I627+G627)</f>
        <v/>
      </c>
      <c r="P627" s="24" t="str">
        <f aca="false">IF(OR(O627="",O627=0),"",(J627+H627)/O627)</f>
        <v/>
      </c>
      <c r="Q627" s="24" t="str">
        <f aca="false">IF(OR(O627="",E627=""),"",MAX(J627+H627-E627*O627,0))</f>
        <v/>
      </c>
      <c r="R627" s="26" t="str">
        <f aca="false">IF(A627="","",IF(COUNTIF(_TradeIds,A627)=0,"违规：交易编号不存在",IF(OR(B627="",B627&lt;1,B627&gt;5,B627&lt;&gt;INT(B627)),"违规：加仓序号须为1到5的整数",IF(COUNTIFS($A$2:$A$1001,A627,$B$2:$B$1001,B627)&gt;1,"违规：同一交易的加仓序号重复",IF(OR(D627="",E627="",F627=""),"计划不完整：请填写加仓价、新止损价和风险预算",IF(OR(D627&lt;=0,E627&lt;=0,F627&lt;=0,D627&lt;=E627),"违规：加仓价必须高于新止损价，金额须大于0",IF(AND(B627&gt;1,COUNTIFS($A$2:$A$1001,A627,$B$2:$B$1001,B627-1,$G$2:$G$1001,"&gt;0")=0),"违规：须先完成上一次加仓",IF(AND(B627&gt;1,E627&lt;SUMIFS($E$2:$E$1001,$A$2:$A$1001,A627,$B$2:$B$1001,B627-1)),"违规：新止损价不得低于上一次",IF(AND(B627&gt;1,F627&gt;SUMIFS($F$2:$F$1001,$A$2:$A$1001,A627,$B$2:$B$1001,B627-1)),"违规：风险预算须逐次不增加",IF(OR(_LockStatus="已锁仓",_LockStatus="解锁信息不完整"),"违规：锁仓期间禁止加仓",IF(G627="","计划可执行：建议股数见N列",IF(OR(G627&lt;=0,G627&lt;&gt;INT(G627),MOD(G627,100)&lt;&gt;0),"违规：实际股数须为100股整数倍",IF(G627&gt;N627,"违规：实际股数超过风险或金字塔上限",IF(AND(B627&gt;1,G627&gt;SUMIFS($G$2:$G$1001,$A$2:$A$1001,A627,$B$2:$B$1001,B627-1)),"违规：加仓股数须逐次不增加",IF(Q627&gt;F627,"违规：止损风险超过本次预算","通过")))))))))))))))</f>
        <v/>
      </c>
    </row>
    <row r="628" customFormat="false" ht="15" hidden="false" customHeight="false" outlineLevel="0" collapsed="false">
      <c r="A628" s="20"/>
      <c r="B628" s="21"/>
      <c r="C628" s="22"/>
      <c r="D628" s="23"/>
      <c r="E628" s="23"/>
      <c r="F628" s="23"/>
      <c r="G628" s="21"/>
      <c r="H628" s="24" t="str">
        <f aca="false">IF(OR(A628="",D628="",G628=""),"",D628*G628)</f>
        <v/>
      </c>
      <c r="I628" s="25" t="str">
        <f aca="false">IF(OR(A628="",B628=""),"",IFERROR(LOOKUP(2,1/(单次交易!$A$2:$A$201=A628),单次交易!$H$2:$H$201),0)+SUMIFS($G$2:$G$1001,$A$2:$A$1001,A628,$B$2:$B$1001,"&lt;"&amp;B628))</f>
        <v/>
      </c>
      <c r="J628" s="24" t="str">
        <f aca="false">IF(OR(A628="",B628=""),"",IFERROR(LOOKUP(2,1/(单次交易!$A$2:$A$201=A628),单次交易!$E$2:$E$201)*LOOKUP(2,1/(单次交易!$A$2:$A$201=A628),单次交易!$H$2:$H$201),0)+SUMIFS($H$2:$H$1001,$A$2:$A$1001,A628,$B$2:$B$1001,"&lt;"&amp;B628))</f>
        <v/>
      </c>
      <c r="K628" s="24" t="str">
        <f aca="false">IF(OR(E628="",I628="",J628=""),"",MAX(E628*I628-J628,0))</f>
        <v/>
      </c>
      <c r="L628" s="25" t="str">
        <f aca="false">IF(OR(D628="",E628="",F628="",D628&lt;=E628),"",FLOOR((F628+K628)/(D628-E628),100))</f>
        <v/>
      </c>
      <c r="M628" s="25" t="str">
        <f aca="false">IF(OR(A628="",B628="",L628=""),"",IF(B628=1,L628,IFERROR(SUMIFS($G$2:$G$1001,$A$2:$A$1001,A628,$B$2:$B$1001,B628-1),0)))</f>
        <v/>
      </c>
      <c r="N628" s="25" t="str">
        <f aca="false">IF(OR(L628="",M628=""),"",MIN(L628,M628))</f>
        <v/>
      </c>
      <c r="O628" s="25" t="str">
        <f aca="false">IF(OR(I628="",G628=""),"",I628+G628)</f>
        <v/>
      </c>
      <c r="P628" s="24" t="str">
        <f aca="false">IF(OR(O628="",O628=0),"",(J628+H628)/O628)</f>
        <v/>
      </c>
      <c r="Q628" s="24" t="str">
        <f aca="false">IF(OR(O628="",E628=""),"",MAX(J628+H628-E628*O628,0))</f>
        <v/>
      </c>
      <c r="R628" s="26" t="str">
        <f aca="false">IF(A628="","",IF(COUNTIF(_TradeIds,A628)=0,"违规：交易编号不存在",IF(OR(B628="",B628&lt;1,B628&gt;5,B628&lt;&gt;INT(B628)),"违规：加仓序号须为1到5的整数",IF(COUNTIFS($A$2:$A$1001,A628,$B$2:$B$1001,B628)&gt;1,"违规：同一交易的加仓序号重复",IF(OR(D628="",E628="",F628=""),"计划不完整：请填写加仓价、新止损价和风险预算",IF(OR(D628&lt;=0,E628&lt;=0,F628&lt;=0,D628&lt;=E628),"违规：加仓价必须高于新止损价，金额须大于0",IF(AND(B628&gt;1,COUNTIFS($A$2:$A$1001,A628,$B$2:$B$1001,B628-1,$G$2:$G$1001,"&gt;0")=0),"违规：须先完成上一次加仓",IF(AND(B628&gt;1,E628&lt;SUMIFS($E$2:$E$1001,$A$2:$A$1001,A628,$B$2:$B$1001,B628-1)),"违规：新止损价不得低于上一次",IF(AND(B628&gt;1,F628&gt;SUMIFS($F$2:$F$1001,$A$2:$A$1001,A628,$B$2:$B$1001,B628-1)),"违规：风险预算须逐次不增加",IF(OR(_LockStatus="已锁仓",_LockStatus="解锁信息不完整"),"违规：锁仓期间禁止加仓",IF(G628="","计划可执行：建议股数见N列",IF(OR(G628&lt;=0,G628&lt;&gt;INT(G628),MOD(G628,100)&lt;&gt;0),"违规：实际股数须为100股整数倍",IF(G628&gt;N628,"违规：实际股数超过风险或金字塔上限",IF(AND(B628&gt;1,G628&gt;SUMIFS($G$2:$G$1001,$A$2:$A$1001,A628,$B$2:$B$1001,B628-1)),"违规：加仓股数须逐次不增加",IF(Q628&gt;F628,"违规：止损风险超过本次预算","通过")))))))))))))))</f>
        <v/>
      </c>
    </row>
    <row r="629" customFormat="false" ht="15" hidden="false" customHeight="false" outlineLevel="0" collapsed="false">
      <c r="A629" s="20"/>
      <c r="B629" s="21"/>
      <c r="C629" s="22"/>
      <c r="D629" s="23"/>
      <c r="E629" s="23"/>
      <c r="F629" s="23"/>
      <c r="G629" s="21"/>
      <c r="H629" s="24" t="str">
        <f aca="false">IF(OR(A629="",D629="",G629=""),"",D629*G629)</f>
        <v/>
      </c>
      <c r="I629" s="25" t="str">
        <f aca="false">IF(OR(A629="",B629=""),"",IFERROR(LOOKUP(2,1/(单次交易!$A$2:$A$201=A629),单次交易!$H$2:$H$201),0)+SUMIFS($G$2:$G$1001,$A$2:$A$1001,A629,$B$2:$B$1001,"&lt;"&amp;B629))</f>
        <v/>
      </c>
      <c r="J629" s="24" t="str">
        <f aca="false">IF(OR(A629="",B629=""),"",IFERROR(LOOKUP(2,1/(单次交易!$A$2:$A$201=A629),单次交易!$E$2:$E$201)*LOOKUP(2,1/(单次交易!$A$2:$A$201=A629),单次交易!$H$2:$H$201),0)+SUMIFS($H$2:$H$1001,$A$2:$A$1001,A629,$B$2:$B$1001,"&lt;"&amp;B629))</f>
        <v/>
      </c>
      <c r="K629" s="24" t="str">
        <f aca="false">IF(OR(E629="",I629="",J629=""),"",MAX(E629*I629-J629,0))</f>
        <v/>
      </c>
      <c r="L629" s="25" t="str">
        <f aca="false">IF(OR(D629="",E629="",F629="",D629&lt;=E629),"",FLOOR((F629+K629)/(D629-E629),100))</f>
        <v/>
      </c>
      <c r="M629" s="25" t="str">
        <f aca="false">IF(OR(A629="",B629="",L629=""),"",IF(B629=1,L629,IFERROR(SUMIFS($G$2:$G$1001,$A$2:$A$1001,A629,$B$2:$B$1001,B629-1),0)))</f>
        <v/>
      </c>
      <c r="N629" s="25" t="str">
        <f aca="false">IF(OR(L629="",M629=""),"",MIN(L629,M629))</f>
        <v/>
      </c>
      <c r="O629" s="25" t="str">
        <f aca="false">IF(OR(I629="",G629=""),"",I629+G629)</f>
        <v/>
      </c>
      <c r="P629" s="24" t="str">
        <f aca="false">IF(OR(O629="",O629=0),"",(J629+H629)/O629)</f>
        <v/>
      </c>
      <c r="Q629" s="24" t="str">
        <f aca="false">IF(OR(O629="",E629=""),"",MAX(J629+H629-E629*O629,0))</f>
        <v/>
      </c>
      <c r="R629" s="26" t="str">
        <f aca="false">IF(A629="","",IF(COUNTIF(_TradeIds,A629)=0,"违规：交易编号不存在",IF(OR(B629="",B629&lt;1,B629&gt;5,B629&lt;&gt;INT(B629)),"违规：加仓序号须为1到5的整数",IF(COUNTIFS($A$2:$A$1001,A629,$B$2:$B$1001,B629)&gt;1,"违规：同一交易的加仓序号重复",IF(OR(D629="",E629="",F629=""),"计划不完整：请填写加仓价、新止损价和风险预算",IF(OR(D629&lt;=0,E629&lt;=0,F629&lt;=0,D629&lt;=E629),"违规：加仓价必须高于新止损价，金额须大于0",IF(AND(B629&gt;1,COUNTIFS($A$2:$A$1001,A629,$B$2:$B$1001,B629-1,$G$2:$G$1001,"&gt;0")=0),"违规：须先完成上一次加仓",IF(AND(B629&gt;1,E629&lt;SUMIFS($E$2:$E$1001,$A$2:$A$1001,A629,$B$2:$B$1001,B629-1)),"违规：新止损价不得低于上一次",IF(AND(B629&gt;1,F629&gt;SUMIFS($F$2:$F$1001,$A$2:$A$1001,A629,$B$2:$B$1001,B629-1)),"违规：风险预算须逐次不增加",IF(OR(_LockStatus="已锁仓",_LockStatus="解锁信息不完整"),"违规：锁仓期间禁止加仓",IF(G629="","计划可执行：建议股数见N列",IF(OR(G629&lt;=0,G629&lt;&gt;INT(G629),MOD(G629,100)&lt;&gt;0),"违规：实际股数须为100股整数倍",IF(G629&gt;N629,"违规：实际股数超过风险或金字塔上限",IF(AND(B629&gt;1,G629&gt;SUMIFS($G$2:$G$1001,$A$2:$A$1001,A629,$B$2:$B$1001,B629-1)),"违规：加仓股数须逐次不增加",IF(Q629&gt;F629,"违规：止损风险超过本次预算","通过")))))))))))))))</f>
        <v/>
      </c>
    </row>
    <row r="630" customFormat="false" ht="15" hidden="false" customHeight="false" outlineLevel="0" collapsed="false">
      <c r="A630" s="20"/>
      <c r="B630" s="21"/>
      <c r="C630" s="22"/>
      <c r="D630" s="23"/>
      <c r="E630" s="23"/>
      <c r="F630" s="23"/>
      <c r="G630" s="21"/>
      <c r="H630" s="24" t="str">
        <f aca="false">IF(OR(A630="",D630="",G630=""),"",D630*G630)</f>
        <v/>
      </c>
      <c r="I630" s="25" t="str">
        <f aca="false">IF(OR(A630="",B630=""),"",IFERROR(LOOKUP(2,1/(单次交易!$A$2:$A$201=A630),单次交易!$H$2:$H$201),0)+SUMIFS($G$2:$G$1001,$A$2:$A$1001,A630,$B$2:$B$1001,"&lt;"&amp;B630))</f>
        <v/>
      </c>
      <c r="J630" s="24" t="str">
        <f aca="false">IF(OR(A630="",B630=""),"",IFERROR(LOOKUP(2,1/(单次交易!$A$2:$A$201=A630),单次交易!$E$2:$E$201)*LOOKUP(2,1/(单次交易!$A$2:$A$201=A630),单次交易!$H$2:$H$201),0)+SUMIFS($H$2:$H$1001,$A$2:$A$1001,A630,$B$2:$B$1001,"&lt;"&amp;B630))</f>
        <v/>
      </c>
      <c r="K630" s="24" t="str">
        <f aca="false">IF(OR(E630="",I630="",J630=""),"",MAX(E630*I630-J630,0))</f>
        <v/>
      </c>
      <c r="L630" s="25" t="str">
        <f aca="false">IF(OR(D630="",E630="",F630="",D630&lt;=E630),"",FLOOR((F630+K630)/(D630-E630),100))</f>
        <v/>
      </c>
      <c r="M630" s="25" t="str">
        <f aca="false">IF(OR(A630="",B630="",L630=""),"",IF(B630=1,L630,IFERROR(SUMIFS($G$2:$G$1001,$A$2:$A$1001,A630,$B$2:$B$1001,B630-1),0)))</f>
        <v/>
      </c>
      <c r="N630" s="25" t="str">
        <f aca="false">IF(OR(L630="",M630=""),"",MIN(L630,M630))</f>
        <v/>
      </c>
      <c r="O630" s="25" t="str">
        <f aca="false">IF(OR(I630="",G630=""),"",I630+G630)</f>
        <v/>
      </c>
      <c r="P630" s="24" t="str">
        <f aca="false">IF(OR(O630="",O630=0),"",(J630+H630)/O630)</f>
        <v/>
      </c>
      <c r="Q630" s="24" t="str">
        <f aca="false">IF(OR(O630="",E630=""),"",MAX(J630+H630-E630*O630,0))</f>
        <v/>
      </c>
      <c r="R630" s="26" t="str">
        <f aca="false">IF(A630="","",IF(COUNTIF(_TradeIds,A630)=0,"违规：交易编号不存在",IF(OR(B630="",B630&lt;1,B630&gt;5,B630&lt;&gt;INT(B630)),"违规：加仓序号须为1到5的整数",IF(COUNTIFS($A$2:$A$1001,A630,$B$2:$B$1001,B630)&gt;1,"违规：同一交易的加仓序号重复",IF(OR(D630="",E630="",F630=""),"计划不完整：请填写加仓价、新止损价和风险预算",IF(OR(D630&lt;=0,E630&lt;=0,F630&lt;=0,D630&lt;=E630),"违规：加仓价必须高于新止损价，金额须大于0",IF(AND(B630&gt;1,COUNTIFS($A$2:$A$1001,A630,$B$2:$B$1001,B630-1,$G$2:$G$1001,"&gt;0")=0),"违规：须先完成上一次加仓",IF(AND(B630&gt;1,E630&lt;SUMIFS($E$2:$E$1001,$A$2:$A$1001,A630,$B$2:$B$1001,B630-1)),"违规：新止损价不得低于上一次",IF(AND(B630&gt;1,F630&gt;SUMIFS($F$2:$F$1001,$A$2:$A$1001,A630,$B$2:$B$1001,B630-1)),"违规：风险预算须逐次不增加",IF(OR(_LockStatus="已锁仓",_LockStatus="解锁信息不完整"),"违规：锁仓期间禁止加仓",IF(G630="","计划可执行：建议股数见N列",IF(OR(G630&lt;=0,G630&lt;&gt;INT(G630),MOD(G630,100)&lt;&gt;0),"违规：实际股数须为100股整数倍",IF(G630&gt;N630,"违规：实际股数超过风险或金字塔上限",IF(AND(B630&gt;1,G630&gt;SUMIFS($G$2:$G$1001,$A$2:$A$1001,A630,$B$2:$B$1001,B630-1)),"违规：加仓股数须逐次不增加",IF(Q630&gt;F630,"违规：止损风险超过本次预算","通过")))))))))))))))</f>
        <v/>
      </c>
    </row>
    <row r="631" customFormat="false" ht="15" hidden="false" customHeight="false" outlineLevel="0" collapsed="false">
      <c r="A631" s="20"/>
      <c r="B631" s="21"/>
      <c r="C631" s="22"/>
      <c r="D631" s="23"/>
      <c r="E631" s="23"/>
      <c r="F631" s="23"/>
      <c r="G631" s="21"/>
      <c r="H631" s="24" t="str">
        <f aca="false">IF(OR(A631="",D631="",G631=""),"",D631*G631)</f>
        <v/>
      </c>
      <c r="I631" s="25" t="str">
        <f aca="false">IF(OR(A631="",B631=""),"",IFERROR(LOOKUP(2,1/(单次交易!$A$2:$A$201=A631),单次交易!$H$2:$H$201),0)+SUMIFS($G$2:$G$1001,$A$2:$A$1001,A631,$B$2:$B$1001,"&lt;"&amp;B631))</f>
        <v/>
      </c>
      <c r="J631" s="24" t="str">
        <f aca="false">IF(OR(A631="",B631=""),"",IFERROR(LOOKUP(2,1/(单次交易!$A$2:$A$201=A631),单次交易!$E$2:$E$201)*LOOKUP(2,1/(单次交易!$A$2:$A$201=A631),单次交易!$H$2:$H$201),0)+SUMIFS($H$2:$H$1001,$A$2:$A$1001,A631,$B$2:$B$1001,"&lt;"&amp;B631))</f>
        <v/>
      </c>
      <c r="K631" s="24" t="str">
        <f aca="false">IF(OR(E631="",I631="",J631=""),"",MAX(E631*I631-J631,0))</f>
        <v/>
      </c>
      <c r="L631" s="25" t="str">
        <f aca="false">IF(OR(D631="",E631="",F631="",D631&lt;=E631),"",FLOOR((F631+K631)/(D631-E631),100))</f>
        <v/>
      </c>
      <c r="M631" s="25" t="str">
        <f aca="false">IF(OR(A631="",B631="",L631=""),"",IF(B631=1,L631,IFERROR(SUMIFS($G$2:$G$1001,$A$2:$A$1001,A631,$B$2:$B$1001,B631-1),0)))</f>
        <v/>
      </c>
      <c r="N631" s="25" t="str">
        <f aca="false">IF(OR(L631="",M631=""),"",MIN(L631,M631))</f>
        <v/>
      </c>
      <c r="O631" s="25" t="str">
        <f aca="false">IF(OR(I631="",G631=""),"",I631+G631)</f>
        <v/>
      </c>
      <c r="P631" s="24" t="str">
        <f aca="false">IF(OR(O631="",O631=0),"",(J631+H631)/O631)</f>
        <v/>
      </c>
      <c r="Q631" s="24" t="str">
        <f aca="false">IF(OR(O631="",E631=""),"",MAX(J631+H631-E631*O631,0))</f>
        <v/>
      </c>
      <c r="R631" s="26" t="str">
        <f aca="false">IF(A631="","",IF(COUNTIF(_TradeIds,A631)=0,"违规：交易编号不存在",IF(OR(B631="",B631&lt;1,B631&gt;5,B631&lt;&gt;INT(B631)),"违规：加仓序号须为1到5的整数",IF(COUNTIFS($A$2:$A$1001,A631,$B$2:$B$1001,B631)&gt;1,"违规：同一交易的加仓序号重复",IF(OR(D631="",E631="",F631=""),"计划不完整：请填写加仓价、新止损价和风险预算",IF(OR(D631&lt;=0,E631&lt;=0,F631&lt;=0,D631&lt;=E631),"违规：加仓价必须高于新止损价，金额须大于0",IF(AND(B631&gt;1,COUNTIFS($A$2:$A$1001,A631,$B$2:$B$1001,B631-1,$G$2:$G$1001,"&gt;0")=0),"违规：须先完成上一次加仓",IF(AND(B631&gt;1,E631&lt;SUMIFS($E$2:$E$1001,$A$2:$A$1001,A631,$B$2:$B$1001,B631-1)),"违规：新止损价不得低于上一次",IF(AND(B631&gt;1,F631&gt;SUMIFS($F$2:$F$1001,$A$2:$A$1001,A631,$B$2:$B$1001,B631-1)),"违规：风险预算须逐次不增加",IF(OR(_LockStatus="已锁仓",_LockStatus="解锁信息不完整"),"违规：锁仓期间禁止加仓",IF(G631="","计划可执行：建议股数见N列",IF(OR(G631&lt;=0,G631&lt;&gt;INT(G631),MOD(G631,100)&lt;&gt;0),"违规：实际股数须为100股整数倍",IF(G631&gt;N631,"违规：实际股数超过风险或金字塔上限",IF(AND(B631&gt;1,G631&gt;SUMIFS($G$2:$G$1001,$A$2:$A$1001,A631,$B$2:$B$1001,B631-1)),"违规：加仓股数须逐次不增加",IF(Q631&gt;F631,"违规：止损风险超过本次预算","通过")))))))))))))))</f>
        <v/>
      </c>
    </row>
    <row r="632" customFormat="false" ht="15" hidden="false" customHeight="false" outlineLevel="0" collapsed="false">
      <c r="A632" s="20"/>
      <c r="B632" s="21"/>
      <c r="C632" s="22"/>
      <c r="D632" s="23"/>
      <c r="E632" s="23"/>
      <c r="F632" s="23"/>
      <c r="G632" s="21"/>
      <c r="H632" s="24" t="str">
        <f aca="false">IF(OR(A632="",D632="",G632=""),"",D632*G632)</f>
        <v/>
      </c>
      <c r="I632" s="25" t="str">
        <f aca="false">IF(OR(A632="",B632=""),"",IFERROR(LOOKUP(2,1/(单次交易!$A$2:$A$201=A632),单次交易!$H$2:$H$201),0)+SUMIFS($G$2:$G$1001,$A$2:$A$1001,A632,$B$2:$B$1001,"&lt;"&amp;B632))</f>
        <v/>
      </c>
      <c r="J632" s="24" t="str">
        <f aca="false">IF(OR(A632="",B632=""),"",IFERROR(LOOKUP(2,1/(单次交易!$A$2:$A$201=A632),单次交易!$E$2:$E$201)*LOOKUP(2,1/(单次交易!$A$2:$A$201=A632),单次交易!$H$2:$H$201),0)+SUMIFS($H$2:$H$1001,$A$2:$A$1001,A632,$B$2:$B$1001,"&lt;"&amp;B632))</f>
        <v/>
      </c>
      <c r="K632" s="24" t="str">
        <f aca="false">IF(OR(E632="",I632="",J632=""),"",MAX(E632*I632-J632,0))</f>
        <v/>
      </c>
      <c r="L632" s="25" t="str">
        <f aca="false">IF(OR(D632="",E632="",F632="",D632&lt;=E632),"",FLOOR((F632+K632)/(D632-E632),100))</f>
        <v/>
      </c>
      <c r="M632" s="25" t="str">
        <f aca="false">IF(OR(A632="",B632="",L632=""),"",IF(B632=1,L632,IFERROR(SUMIFS($G$2:$G$1001,$A$2:$A$1001,A632,$B$2:$B$1001,B632-1),0)))</f>
        <v/>
      </c>
      <c r="N632" s="25" t="str">
        <f aca="false">IF(OR(L632="",M632=""),"",MIN(L632,M632))</f>
        <v/>
      </c>
      <c r="O632" s="25" t="str">
        <f aca="false">IF(OR(I632="",G632=""),"",I632+G632)</f>
        <v/>
      </c>
      <c r="P632" s="24" t="str">
        <f aca="false">IF(OR(O632="",O632=0),"",(J632+H632)/O632)</f>
        <v/>
      </c>
      <c r="Q632" s="24" t="str">
        <f aca="false">IF(OR(O632="",E632=""),"",MAX(J632+H632-E632*O632,0))</f>
        <v/>
      </c>
      <c r="R632" s="26" t="str">
        <f aca="false">IF(A632="","",IF(COUNTIF(_TradeIds,A632)=0,"违规：交易编号不存在",IF(OR(B632="",B632&lt;1,B632&gt;5,B632&lt;&gt;INT(B632)),"违规：加仓序号须为1到5的整数",IF(COUNTIFS($A$2:$A$1001,A632,$B$2:$B$1001,B632)&gt;1,"违规：同一交易的加仓序号重复",IF(OR(D632="",E632="",F632=""),"计划不完整：请填写加仓价、新止损价和风险预算",IF(OR(D632&lt;=0,E632&lt;=0,F632&lt;=0,D632&lt;=E632),"违规：加仓价必须高于新止损价，金额须大于0",IF(AND(B632&gt;1,COUNTIFS($A$2:$A$1001,A632,$B$2:$B$1001,B632-1,$G$2:$G$1001,"&gt;0")=0),"违规：须先完成上一次加仓",IF(AND(B632&gt;1,E632&lt;SUMIFS($E$2:$E$1001,$A$2:$A$1001,A632,$B$2:$B$1001,B632-1)),"违规：新止损价不得低于上一次",IF(AND(B632&gt;1,F632&gt;SUMIFS($F$2:$F$1001,$A$2:$A$1001,A632,$B$2:$B$1001,B632-1)),"违规：风险预算须逐次不增加",IF(OR(_LockStatus="已锁仓",_LockStatus="解锁信息不完整"),"违规：锁仓期间禁止加仓",IF(G632="","计划可执行：建议股数见N列",IF(OR(G632&lt;=0,G632&lt;&gt;INT(G632),MOD(G632,100)&lt;&gt;0),"违规：实际股数须为100股整数倍",IF(G632&gt;N632,"违规：实际股数超过风险或金字塔上限",IF(AND(B632&gt;1,G632&gt;SUMIFS($G$2:$G$1001,$A$2:$A$1001,A632,$B$2:$B$1001,B632-1)),"违规：加仓股数须逐次不增加",IF(Q632&gt;F632,"违规：止损风险超过本次预算","通过")))))))))))))))</f>
        <v/>
      </c>
    </row>
    <row r="633" customFormat="false" ht="15" hidden="false" customHeight="false" outlineLevel="0" collapsed="false">
      <c r="A633" s="20"/>
      <c r="B633" s="21"/>
      <c r="C633" s="22"/>
      <c r="D633" s="23"/>
      <c r="E633" s="23"/>
      <c r="F633" s="23"/>
      <c r="G633" s="21"/>
      <c r="H633" s="24" t="str">
        <f aca="false">IF(OR(A633="",D633="",G633=""),"",D633*G633)</f>
        <v/>
      </c>
      <c r="I633" s="25" t="str">
        <f aca="false">IF(OR(A633="",B633=""),"",IFERROR(LOOKUP(2,1/(单次交易!$A$2:$A$201=A633),单次交易!$H$2:$H$201),0)+SUMIFS($G$2:$G$1001,$A$2:$A$1001,A633,$B$2:$B$1001,"&lt;"&amp;B633))</f>
        <v/>
      </c>
      <c r="J633" s="24" t="str">
        <f aca="false">IF(OR(A633="",B633=""),"",IFERROR(LOOKUP(2,1/(单次交易!$A$2:$A$201=A633),单次交易!$E$2:$E$201)*LOOKUP(2,1/(单次交易!$A$2:$A$201=A633),单次交易!$H$2:$H$201),0)+SUMIFS($H$2:$H$1001,$A$2:$A$1001,A633,$B$2:$B$1001,"&lt;"&amp;B633))</f>
        <v/>
      </c>
      <c r="K633" s="24" t="str">
        <f aca="false">IF(OR(E633="",I633="",J633=""),"",MAX(E633*I633-J633,0))</f>
        <v/>
      </c>
      <c r="L633" s="25" t="str">
        <f aca="false">IF(OR(D633="",E633="",F633="",D633&lt;=E633),"",FLOOR((F633+K633)/(D633-E633),100))</f>
        <v/>
      </c>
      <c r="M633" s="25" t="str">
        <f aca="false">IF(OR(A633="",B633="",L633=""),"",IF(B633=1,L633,IFERROR(SUMIFS($G$2:$G$1001,$A$2:$A$1001,A633,$B$2:$B$1001,B633-1),0)))</f>
        <v/>
      </c>
      <c r="N633" s="25" t="str">
        <f aca="false">IF(OR(L633="",M633=""),"",MIN(L633,M633))</f>
        <v/>
      </c>
      <c r="O633" s="25" t="str">
        <f aca="false">IF(OR(I633="",G633=""),"",I633+G633)</f>
        <v/>
      </c>
      <c r="P633" s="24" t="str">
        <f aca="false">IF(OR(O633="",O633=0),"",(J633+H633)/O633)</f>
        <v/>
      </c>
      <c r="Q633" s="24" t="str">
        <f aca="false">IF(OR(O633="",E633=""),"",MAX(J633+H633-E633*O633,0))</f>
        <v/>
      </c>
      <c r="R633" s="26" t="str">
        <f aca="false">IF(A633="","",IF(COUNTIF(_TradeIds,A633)=0,"违规：交易编号不存在",IF(OR(B633="",B633&lt;1,B633&gt;5,B633&lt;&gt;INT(B633)),"违规：加仓序号须为1到5的整数",IF(COUNTIFS($A$2:$A$1001,A633,$B$2:$B$1001,B633)&gt;1,"违规：同一交易的加仓序号重复",IF(OR(D633="",E633="",F633=""),"计划不完整：请填写加仓价、新止损价和风险预算",IF(OR(D633&lt;=0,E633&lt;=0,F633&lt;=0,D633&lt;=E633),"违规：加仓价必须高于新止损价，金额须大于0",IF(AND(B633&gt;1,COUNTIFS($A$2:$A$1001,A633,$B$2:$B$1001,B633-1,$G$2:$G$1001,"&gt;0")=0),"违规：须先完成上一次加仓",IF(AND(B633&gt;1,E633&lt;SUMIFS($E$2:$E$1001,$A$2:$A$1001,A633,$B$2:$B$1001,B633-1)),"违规：新止损价不得低于上一次",IF(AND(B633&gt;1,F633&gt;SUMIFS($F$2:$F$1001,$A$2:$A$1001,A633,$B$2:$B$1001,B633-1)),"违规：风险预算须逐次不增加",IF(OR(_LockStatus="已锁仓",_LockStatus="解锁信息不完整"),"违规：锁仓期间禁止加仓",IF(G633="","计划可执行：建议股数见N列",IF(OR(G633&lt;=0,G633&lt;&gt;INT(G633),MOD(G633,100)&lt;&gt;0),"违规：实际股数须为100股整数倍",IF(G633&gt;N633,"违规：实际股数超过风险或金字塔上限",IF(AND(B633&gt;1,G633&gt;SUMIFS($G$2:$G$1001,$A$2:$A$1001,A633,$B$2:$B$1001,B633-1)),"违规：加仓股数须逐次不增加",IF(Q633&gt;F633,"违规：止损风险超过本次预算","通过")))))))))))))))</f>
        <v/>
      </c>
    </row>
    <row r="634" customFormat="false" ht="15" hidden="false" customHeight="false" outlineLevel="0" collapsed="false">
      <c r="A634" s="20"/>
      <c r="B634" s="21"/>
      <c r="C634" s="22"/>
      <c r="D634" s="23"/>
      <c r="E634" s="23"/>
      <c r="F634" s="23"/>
      <c r="G634" s="21"/>
      <c r="H634" s="24" t="str">
        <f aca="false">IF(OR(A634="",D634="",G634=""),"",D634*G634)</f>
        <v/>
      </c>
      <c r="I634" s="25" t="str">
        <f aca="false">IF(OR(A634="",B634=""),"",IFERROR(LOOKUP(2,1/(单次交易!$A$2:$A$201=A634),单次交易!$H$2:$H$201),0)+SUMIFS($G$2:$G$1001,$A$2:$A$1001,A634,$B$2:$B$1001,"&lt;"&amp;B634))</f>
        <v/>
      </c>
      <c r="J634" s="24" t="str">
        <f aca="false">IF(OR(A634="",B634=""),"",IFERROR(LOOKUP(2,1/(单次交易!$A$2:$A$201=A634),单次交易!$E$2:$E$201)*LOOKUP(2,1/(单次交易!$A$2:$A$201=A634),单次交易!$H$2:$H$201),0)+SUMIFS($H$2:$H$1001,$A$2:$A$1001,A634,$B$2:$B$1001,"&lt;"&amp;B634))</f>
        <v/>
      </c>
      <c r="K634" s="24" t="str">
        <f aca="false">IF(OR(E634="",I634="",J634=""),"",MAX(E634*I634-J634,0))</f>
        <v/>
      </c>
      <c r="L634" s="25" t="str">
        <f aca="false">IF(OR(D634="",E634="",F634="",D634&lt;=E634),"",FLOOR((F634+K634)/(D634-E634),100))</f>
        <v/>
      </c>
      <c r="M634" s="25" t="str">
        <f aca="false">IF(OR(A634="",B634="",L634=""),"",IF(B634=1,L634,IFERROR(SUMIFS($G$2:$G$1001,$A$2:$A$1001,A634,$B$2:$B$1001,B634-1),0)))</f>
        <v/>
      </c>
      <c r="N634" s="25" t="str">
        <f aca="false">IF(OR(L634="",M634=""),"",MIN(L634,M634))</f>
        <v/>
      </c>
      <c r="O634" s="25" t="str">
        <f aca="false">IF(OR(I634="",G634=""),"",I634+G634)</f>
        <v/>
      </c>
      <c r="P634" s="24" t="str">
        <f aca="false">IF(OR(O634="",O634=0),"",(J634+H634)/O634)</f>
        <v/>
      </c>
      <c r="Q634" s="24" t="str">
        <f aca="false">IF(OR(O634="",E634=""),"",MAX(J634+H634-E634*O634,0))</f>
        <v/>
      </c>
      <c r="R634" s="26" t="str">
        <f aca="false">IF(A634="","",IF(COUNTIF(_TradeIds,A634)=0,"违规：交易编号不存在",IF(OR(B634="",B634&lt;1,B634&gt;5,B634&lt;&gt;INT(B634)),"违规：加仓序号须为1到5的整数",IF(COUNTIFS($A$2:$A$1001,A634,$B$2:$B$1001,B634)&gt;1,"违规：同一交易的加仓序号重复",IF(OR(D634="",E634="",F634=""),"计划不完整：请填写加仓价、新止损价和风险预算",IF(OR(D634&lt;=0,E634&lt;=0,F634&lt;=0,D634&lt;=E634),"违规：加仓价必须高于新止损价，金额须大于0",IF(AND(B634&gt;1,COUNTIFS($A$2:$A$1001,A634,$B$2:$B$1001,B634-1,$G$2:$G$1001,"&gt;0")=0),"违规：须先完成上一次加仓",IF(AND(B634&gt;1,E634&lt;SUMIFS($E$2:$E$1001,$A$2:$A$1001,A634,$B$2:$B$1001,B634-1)),"违规：新止损价不得低于上一次",IF(AND(B634&gt;1,F634&gt;SUMIFS($F$2:$F$1001,$A$2:$A$1001,A634,$B$2:$B$1001,B634-1)),"违规：风险预算须逐次不增加",IF(OR(_LockStatus="已锁仓",_LockStatus="解锁信息不完整"),"违规：锁仓期间禁止加仓",IF(G634="","计划可执行：建议股数见N列",IF(OR(G634&lt;=0,G634&lt;&gt;INT(G634),MOD(G634,100)&lt;&gt;0),"违规：实际股数须为100股整数倍",IF(G634&gt;N634,"违规：实际股数超过风险或金字塔上限",IF(AND(B634&gt;1,G634&gt;SUMIFS($G$2:$G$1001,$A$2:$A$1001,A634,$B$2:$B$1001,B634-1)),"违规：加仓股数须逐次不增加",IF(Q634&gt;F634,"违规：止损风险超过本次预算","通过")))))))))))))))</f>
        <v/>
      </c>
    </row>
    <row r="635" customFormat="false" ht="15" hidden="false" customHeight="false" outlineLevel="0" collapsed="false">
      <c r="A635" s="20"/>
      <c r="B635" s="21"/>
      <c r="C635" s="22"/>
      <c r="D635" s="23"/>
      <c r="E635" s="23"/>
      <c r="F635" s="23"/>
      <c r="G635" s="21"/>
      <c r="H635" s="24" t="str">
        <f aca="false">IF(OR(A635="",D635="",G635=""),"",D635*G635)</f>
        <v/>
      </c>
      <c r="I635" s="25" t="str">
        <f aca="false">IF(OR(A635="",B635=""),"",IFERROR(LOOKUP(2,1/(单次交易!$A$2:$A$201=A635),单次交易!$H$2:$H$201),0)+SUMIFS($G$2:$G$1001,$A$2:$A$1001,A635,$B$2:$B$1001,"&lt;"&amp;B635))</f>
        <v/>
      </c>
      <c r="J635" s="24" t="str">
        <f aca="false">IF(OR(A635="",B635=""),"",IFERROR(LOOKUP(2,1/(单次交易!$A$2:$A$201=A635),单次交易!$E$2:$E$201)*LOOKUP(2,1/(单次交易!$A$2:$A$201=A635),单次交易!$H$2:$H$201),0)+SUMIFS($H$2:$H$1001,$A$2:$A$1001,A635,$B$2:$B$1001,"&lt;"&amp;B635))</f>
        <v/>
      </c>
      <c r="K635" s="24" t="str">
        <f aca="false">IF(OR(E635="",I635="",J635=""),"",MAX(E635*I635-J635,0))</f>
        <v/>
      </c>
      <c r="L635" s="25" t="str">
        <f aca="false">IF(OR(D635="",E635="",F635="",D635&lt;=E635),"",FLOOR((F635+K635)/(D635-E635),100))</f>
        <v/>
      </c>
      <c r="M635" s="25" t="str">
        <f aca="false">IF(OR(A635="",B635="",L635=""),"",IF(B635=1,L635,IFERROR(SUMIFS($G$2:$G$1001,$A$2:$A$1001,A635,$B$2:$B$1001,B635-1),0)))</f>
        <v/>
      </c>
      <c r="N635" s="25" t="str">
        <f aca="false">IF(OR(L635="",M635=""),"",MIN(L635,M635))</f>
        <v/>
      </c>
      <c r="O635" s="25" t="str">
        <f aca="false">IF(OR(I635="",G635=""),"",I635+G635)</f>
        <v/>
      </c>
      <c r="P635" s="24" t="str">
        <f aca="false">IF(OR(O635="",O635=0),"",(J635+H635)/O635)</f>
        <v/>
      </c>
      <c r="Q635" s="24" t="str">
        <f aca="false">IF(OR(O635="",E635=""),"",MAX(J635+H635-E635*O635,0))</f>
        <v/>
      </c>
      <c r="R635" s="26" t="str">
        <f aca="false">IF(A635="","",IF(COUNTIF(_TradeIds,A635)=0,"违规：交易编号不存在",IF(OR(B635="",B635&lt;1,B635&gt;5,B635&lt;&gt;INT(B635)),"违规：加仓序号须为1到5的整数",IF(COUNTIFS($A$2:$A$1001,A635,$B$2:$B$1001,B635)&gt;1,"违规：同一交易的加仓序号重复",IF(OR(D635="",E635="",F635=""),"计划不完整：请填写加仓价、新止损价和风险预算",IF(OR(D635&lt;=0,E635&lt;=0,F635&lt;=0,D635&lt;=E635),"违规：加仓价必须高于新止损价，金额须大于0",IF(AND(B635&gt;1,COUNTIFS($A$2:$A$1001,A635,$B$2:$B$1001,B635-1,$G$2:$G$1001,"&gt;0")=0),"违规：须先完成上一次加仓",IF(AND(B635&gt;1,E635&lt;SUMIFS($E$2:$E$1001,$A$2:$A$1001,A635,$B$2:$B$1001,B635-1)),"违规：新止损价不得低于上一次",IF(AND(B635&gt;1,F635&gt;SUMIFS($F$2:$F$1001,$A$2:$A$1001,A635,$B$2:$B$1001,B635-1)),"违规：风险预算须逐次不增加",IF(OR(_LockStatus="已锁仓",_LockStatus="解锁信息不完整"),"违规：锁仓期间禁止加仓",IF(G635="","计划可执行：建议股数见N列",IF(OR(G635&lt;=0,G635&lt;&gt;INT(G635),MOD(G635,100)&lt;&gt;0),"违规：实际股数须为100股整数倍",IF(G635&gt;N635,"违规：实际股数超过风险或金字塔上限",IF(AND(B635&gt;1,G635&gt;SUMIFS($G$2:$G$1001,$A$2:$A$1001,A635,$B$2:$B$1001,B635-1)),"违规：加仓股数须逐次不增加",IF(Q635&gt;F635,"违规：止损风险超过本次预算","通过")))))))))))))))</f>
        <v/>
      </c>
    </row>
    <row r="636" customFormat="false" ht="15" hidden="false" customHeight="false" outlineLevel="0" collapsed="false">
      <c r="A636" s="20"/>
      <c r="B636" s="21"/>
      <c r="C636" s="22"/>
      <c r="D636" s="23"/>
      <c r="E636" s="23"/>
      <c r="F636" s="23"/>
      <c r="G636" s="21"/>
      <c r="H636" s="24" t="str">
        <f aca="false">IF(OR(A636="",D636="",G636=""),"",D636*G636)</f>
        <v/>
      </c>
      <c r="I636" s="25" t="str">
        <f aca="false">IF(OR(A636="",B636=""),"",IFERROR(LOOKUP(2,1/(单次交易!$A$2:$A$201=A636),单次交易!$H$2:$H$201),0)+SUMIFS($G$2:$G$1001,$A$2:$A$1001,A636,$B$2:$B$1001,"&lt;"&amp;B636))</f>
        <v/>
      </c>
      <c r="J636" s="24" t="str">
        <f aca="false">IF(OR(A636="",B636=""),"",IFERROR(LOOKUP(2,1/(单次交易!$A$2:$A$201=A636),单次交易!$E$2:$E$201)*LOOKUP(2,1/(单次交易!$A$2:$A$201=A636),单次交易!$H$2:$H$201),0)+SUMIFS($H$2:$H$1001,$A$2:$A$1001,A636,$B$2:$B$1001,"&lt;"&amp;B636))</f>
        <v/>
      </c>
      <c r="K636" s="24" t="str">
        <f aca="false">IF(OR(E636="",I636="",J636=""),"",MAX(E636*I636-J636,0))</f>
        <v/>
      </c>
      <c r="L636" s="25" t="str">
        <f aca="false">IF(OR(D636="",E636="",F636="",D636&lt;=E636),"",FLOOR((F636+K636)/(D636-E636),100))</f>
        <v/>
      </c>
      <c r="M636" s="25" t="str">
        <f aca="false">IF(OR(A636="",B636="",L636=""),"",IF(B636=1,L636,IFERROR(SUMIFS($G$2:$G$1001,$A$2:$A$1001,A636,$B$2:$B$1001,B636-1),0)))</f>
        <v/>
      </c>
      <c r="N636" s="25" t="str">
        <f aca="false">IF(OR(L636="",M636=""),"",MIN(L636,M636))</f>
        <v/>
      </c>
      <c r="O636" s="25" t="str">
        <f aca="false">IF(OR(I636="",G636=""),"",I636+G636)</f>
        <v/>
      </c>
      <c r="P636" s="24" t="str">
        <f aca="false">IF(OR(O636="",O636=0),"",(J636+H636)/O636)</f>
        <v/>
      </c>
      <c r="Q636" s="24" t="str">
        <f aca="false">IF(OR(O636="",E636=""),"",MAX(J636+H636-E636*O636,0))</f>
        <v/>
      </c>
      <c r="R636" s="26" t="str">
        <f aca="false">IF(A636="","",IF(COUNTIF(_TradeIds,A636)=0,"违规：交易编号不存在",IF(OR(B636="",B636&lt;1,B636&gt;5,B636&lt;&gt;INT(B636)),"违规：加仓序号须为1到5的整数",IF(COUNTIFS($A$2:$A$1001,A636,$B$2:$B$1001,B636)&gt;1,"违规：同一交易的加仓序号重复",IF(OR(D636="",E636="",F636=""),"计划不完整：请填写加仓价、新止损价和风险预算",IF(OR(D636&lt;=0,E636&lt;=0,F636&lt;=0,D636&lt;=E636),"违规：加仓价必须高于新止损价，金额须大于0",IF(AND(B636&gt;1,COUNTIFS($A$2:$A$1001,A636,$B$2:$B$1001,B636-1,$G$2:$G$1001,"&gt;0")=0),"违规：须先完成上一次加仓",IF(AND(B636&gt;1,E636&lt;SUMIFS($E$2:$E$1001,$A$2:$A$1001,A636,$B$2:$B$1001,B636-1)),"违规：新止损价不得低于上一次",IF(AND(B636&gt;1,F636&gt;SUMIFS($F$2:$F$1001,$A$2:$A$1001,A636,$B$2:$B$1001,B636-1)),"违规：风险预算须逐次不增加",IF(OR(_LockStatus="已锁仓",_LockStatus="解锁信息不完整"),"违规：锁仓期间禁止加仓",IF(G636="","计划可执行：建议股数见N列",IF(OR(G636&lt;=0,G636&lt;&gt;INT(G636),MOD(G636,100)&lt;&gt;0),"违规：实际股数须为100股整数倍",IF(G636&gt;N636,"违规：实际股数超过风险或金字塔上限",IF(AND(B636&gt;1,G636&gt;SUMIFS($G$2:$G$1001,$A$2:$A$1001,A636,$B$2:$B$1001,B636-1)),"违规：加仓股数须逐次不增加",IF(Q636&gt;F636,"违规：止损风险超过本次预算","通过")))))))))))))))</f>
        <v/>
      </c>
    </row>
    <row r="637" customFormat="false" ht="15" hidden="false" customHeight="false" outlineLevel="0" collapsed="false">
      <c r="A637" s="20"/>
      <c r="B637" s="21"/>
      <c r="C637" s="22"/>
      <c r="D637" s="23"/>
      <c r="E637" s="23"/>
      <c r="F637" s="23"/>
      <c r="G637" s="21"/>
      <c r="H637" s="24" t="str">
        <f aca="false">IF(OR(A637="",D637="",G637=""),"",D637*G637)</f>
        <v/>
      </c>
      <c r="I637" s="25" t="str">
        <f aca="false">IF(OR(A637="",B637=""),"",IFERROR(LOOKUP(2,1/(单次交易!$A$2:$A$201=A637),单次交易!$H$2:$H$201),0)+SUMIFS($G$2:$G$1001,$A$2:$A$1001,A637,$B$2:$B$1001,"&lt;"&amp;B637))</f>
        <v/>
      </c>
      <c r="J637" s="24" t="str">
        <f aca="false">IF(OR(A637="",B637=""),"",IFERROR(LOOKUP(2,1/(单次交易!$A$2:$A$201=A637),单次交易!$E$2:$E$201)*LOOKUP(2,1/(单次交易!$A$2:$A$201=A637),单次交易!$H$2:$H$201),0)+SUMIFS($H$2:$H$1001,$A$2:$A$1001,A637,$B$2:$B$1001,"&lt;"&amp;B637))</f>
        <v/>
      </c>
      <c r="K637" s="24" t="str">
        <f aca="false">IF(OR(E637="",I637="",J637=""),"",MAX(E637*I637-J637,0))</f>
        <v/>
      </c>
      <c r="L637" s="25" t="str">
        <f aca="false">IF(OR(D637="",E637="",F637="",D637&lt;=E637),"",FLOOR((F637+K637)/(D637-E637),100))</f>
        <v/>
      </c>
      <c r="M637" s="25" t="str">
        <f aca="false">IF(OR(A637="",B637="",L637=""),"",IF(B637=1,L637,IFERROR(SUMIFS($G$2:$G$1001,$A$2:$A$1001,A637,$B$2:$B$1001,B637-1),0)))</f>
        <v/>
      </c>
      <c r="N637" s="25" t="str">
        <f aca="false">IF(OR(L637="",M637=""),"",MIN(L637,M637))</f>
        <v/>
      </c>
      <c r="O637" s="25" t="str">
        <f aca="false">IF(OR(I637="",G637=""),"",I637+G637)</f>
        <v/>
      </c>
      <c r="P637" s="24" t="str">
        <f aca="false">IF(OR(O637="",O637=0),"",(J637+H637)/O637)</f>
        <v/>
      </c>
      <c r="Q637" s="24" t="str">
        <f aca="false">IF(OR(O637="",E637=""),"",MAX(J637+H637-E637*O637,0))</f>
        <v/>
      </c>
      <c r="R637" s="26" t="str">
        <f aca="false">IF(A637="","",IF(COUNTIF(_TradeIds,A637)=0,"违规：交易编号不存在",IF(OR(B637="",B637&lt;1,B637&gt;5,B637&lt;&gt;INT(B637)),"违规：加仓序号须为1到5的整数",IF(COUNTIFS($A$2:$A$1001,A637,$B$2:$B$1001,B637)&gt;1,"违规：同一交易的加仓序号重复",IF(OR(D637="",E637="",F637=""),"计划不完整：请填写加仓价、新止损价和风险预算",IF(OR(D637&lt;=0,E637&lt;=0,F637&lt;=0,D637&lt;=E637),"违规：加仓价必须高于新止损价，金额须大于0",IF(AND(B637&gt;1,COUNTIFS($A$2:$A$1001,A637,$B$2:$B$1001,B637-1,$G$2:$G$1001,"&gt;0")=0),"违规：须先完成上一次加仓",IF(AND(B637&gt;1,E637&lt;SUMIFS($E$2:$E$1001,$A$2:$A$1001,A637,$B$2:$B$1001,B637-1)),"违规：新止损价不得低于上一次",IF(AND(B637&gt;1,F637&gt;SUMIFS($F$2:$F$1001,$A$2:$A$1001,A637,$B$2:$B$1001,B637-1)),"违规：风险预算须逐次不增加",IF(OR(_LockStatus="已锁仓",_LockStatus="解锁信息不完整"),"违规：锁仓期间禁止加仓",IF(G637="","计划可执行：建议股数见N列",IF(OR(G637&lt;=0,G637&lt;&gt;INT(G637),MOD(G637,100)&lt;&gt;0),"违规：实际股数须为100股整数倍",IF(G637&gt;N637,"违规：实际股数超过风险或金字塔上限",IF(AND(B637&gt;1,G637&gt;SUMIFS($G$2:$G$1001,$A$2:$A$1001,A637,$B$2:$B$1001,B637-1)),"违规：加仓股数须逐次不增加",IF(Q637&gt;F637,"违规：止损风险超过本次预算","通过")))))))))))))))</f>
        <v/>
      </c>
    </row>
    <row r="638" customFormat="false" ht="15" hidden="false" customHeight="false" outlineLevel="0" collapsed="false">
      <c r="A638" s="20"/>
      <c r="B638" s="21"/>
      <c r="C638" s="22"/>
      <c r="D638" s="23"/>
      <c r="E638" s="23"/>
      <c r="F638" s="23"/>
      <c r="G638" s="21"/>
      <c r="H638" s="24" t="str">
        <f aca="false">IF(OR(A638="",D638="",G638=""),"",D638*G638)</f>
        <v/>
      </c>
      <c r="I638" s="25" t="str">
        <f aca="false">IF(OR(A638="",B638=""),"",IFERROR(LOOKUP(2,1/(单次交易!$A$2:$A$201=A638),单次交易!$H$2:$H$201),0)+SUMIFS($G$2:$G$1001,$A$2:$A$1001,A638,$B$2:$B$1001,"&lt;"&amp;B638))</f>
        <v/>
      </c>
      <c r="J638" s="24" t="str">
        <f aca="false">IF(OR(A638="",B638=""),"",IFERROR(LOOKUP(2,1/(单次交易!$A$2:$A$201=A638),单次交易!$E$2:$E$201)*LOOKUP(2,1/(单次交易!$A$2:$A$201=A638),单次交易!$H$2:$H$201),0)+SUMIFS($H$2:$H$1001,$A$2:$A$1001,A638,$B$2:$B$1001,"&lt;"&amp;B638))</f>
        <v/>
      </c>
      <c r="K638" s="24" t="str">
        <f aca="false">IF(OR(E638="",I638="",J638=""),"",MAX(E638*I638-J638,0))</f>
        <v/>
      </c>
      <c r="L638" s="25" t="str">
        <f aca="false">IF(OR(D638="",E638="",F638="",D638&lt;=E638),"",FLOOR((F638+K638)/(D638-E638),100))</f>
        <v/>
      </c>
      <c r="M638" s="25" t="str">
        <f aca="false">IF(OR(A638="",B638="",L638=""),"",IF(B638=1,L638,IFERROR(SUMIFS($G$2:$G$1001,$A$2:$A$1001,A638,$B$2:$B$1001,B638-1),0)))</f>
        <v/>
      </c>
      <c r="N638" s="25" t="str">
        <f aca="false">IF(OR(L638="",M638=""),"",MIN(L638,M638))</f>
        <v/>
      </c>
      <c r="O638" s="25" t="str">
        <f aca="false">IF(OR(I638="",G638=""),"",I638+G638)</f>
        <v/>
      </c>
      <c r="P638" s="24" t="str">
        <f aca="false">IF(OR(O638="",O638=0),"",(J638+H638)/O638)</f>
        <v/>
      </c>
      <c r="Q638" s="24" t="str">
        <f aca="false">IF(OR(O638="",E638=""),"",MAX(J638+H638-E638*O638,0))</f>
        <v/>
      </c>
      <c r="R638" s="26" t="str">
        <f aca="false">IF(A638="","",IF(COUNTIF(_TradeIds,A638)=0,"违规：交易编号不存在",IF(OR(B638="",B638&lt;1,B638&gt;5,B638&lt;&gt;INT(B638)),"违规：加仓序号须为1到5的整数",IF(COUNTIFS($A$2:$A$1001,A638,$B$2:$B$1001,B638)&gt;1,"违规：同一交易的加仓序号重复",IF(OR(D638="",E638="",F638=""),"计划不完整：请填写加仓价、新止损价和风险预算",IF(OR(D638&lt;=0,E638&lt;=0,F638&lt;=0,D638&lt;=E638),"违规：加仓价必须高于新止损价，金额须大于0",IF(AND(B638&gt;1,COUNTIFS($A$2:$A$1001,A638,$B$2:$B$1001,B638-1,$G$2:$G$1001,"&gt;0")=0),"违规：须先完成上一次加仓",IF(AND(B638&gt;1,E638&lt;SUMIFS($E$2:$E$1001,$A$2:$A$1001,A638,$B$2:$B$1001,B638-1)),"违规：新止损价不得低于上一次",IF(AND(B638&gt;1,F638&gt;SUMIFS($F$2:$F$1001,$A$2:$A$1001,A638,$B$2:$B$1001,B638-1)),"违规：风险预算须逐次不增加",IF(OR(_LockStatus="已锁仓",_LockStatus="解锁信息不完整"),"违规：锁仓期间禁止加仓",IF(G638="","计划可执行：建议股数见N列",IF(OR(G638&lt;=0,G638&lt;&gt;INT(G638),MOD(G638,100)&lt;&gt;0),"违规：实际股数须为100股整数倍",IF(G638&gt;N638,"违规：实际股数超过风险或金字塔上限",IF(AND(B638&gt;1,G638&gt;SUMIFS($G$2:$G$1001,$A$2:$A$1001,A638,$B$2:$B$1001,B638-1)),"违规：加仓股数须逐次不增加",IF(Q638&gt;F638,"违规：止损风险超过本次预算","通过")))))))))))))))</f>
        <v/>
      </c>
    </row>
    <row r="639" customFormat="false" ht="15" hidden="false" customHeight="false" outlineLevel="0" collapsed="false">
      <c r="A639" s="20"/>
      <c r="B639" s="21"/>
      <c r="C639" s="22"/>
      <c r="D639" s="23"/>
      <c r="E639" s="23"/>
      <c r="F639" s="23"/>
      <c r="G639" s="21"/>
      <c r="H639" s="24" t="str">
        <f aca="false">IF(OR(A639="",D639="",G639=""),"",D639*G639)</f>
        <v/>
      </c>
      <c r="I639" s="25" t="str">
        <f aca="false">IF(OR(A639="",B639=""),"",IFERROR(LOOKUP(2,1/(单次交易!$A$2:$A$201=A639),单次交易!$H$2:$H$201),0)+SUMIFS($G$2:$G$1001,$A$2:$A$1001,A639,$B$2:$B$1001,"&lt;"&amp;B639))</f>
        <v/>
      </c>
      <c r="J639" s="24" t="str">
        <f aca="false">IF(OR(A639="",B639=""),"",IFERROR(LOOKUP(2,1/(单次交易!$A$2:$A$201=A639),单次交易!$E$2:$E$201)*LOOKUP(2,1/(单次交易!$A$2:$A$201=A639),单次交易!$H$2:$H$201),0)+SUMIFS($H$2:$H$1001,$A$2:$A$1001,A639,$B$2:$B$1001,"&lt;"&amp;B639))</f>
        <v/>
      </c>
      <c r="K639" s="24" t="str">
        <f aca="false">IF(OR(E639="",I639="",J639=""),"",MAX(E639*I639-J639,0))</f>
        <v/>
      </c>
      <c r="L639" s="25" t="str">
        <f aca="false">IF(OR(D639="",E639="",F639="",D639&lt;=E639),"",FLOOR((F639+K639)/(D639-E639),100))</f>
        <v/>
      </c>
      <c r="M639" s="25" t="str">
        <f aca="false">IF(OR(A639="",B639="",L639=""),"",IF(B639=1,L639,IFERROR(SUMIFS($G$2:$G$1001,$A$2:$A$1001,A639,$B$2:$B$1001,B639-1),0)))</f>
        <v/>
      </c>
      <c r="N639" s="25" t="str">
        <f aca="false">IF(OR(L639="",M639=""),"",MIN(L639,M639))</f>
        <v/>
      </c>
      <c r="O639" s="25" t="str">
        <f aca="false">IF(OR(I639="",G639=""),"",I639+G639)</f>
        <v/>
      </c>
      <c r="P639" s="24" t="str">
        <f aca="false">IF(OR(O639="",O639=0),"",(J639+H639)/O639)</f>
        <v/>
      </c>
      <c r="Q639" s="24" t="str">
        <f aca="false">IF(OR(O639="",E639=""),"",MAX(J639+H639-E639*O639,0))</f>
        <v/>
      </c>
      <c r="R639" s="26" t="str">
        <f aca="false">IF(A639="","",IF(COUNTIF(_TradeIds,A639)=0,"违规：交易编号不存在",IF(OR(B639="",B639&lt;1,B639&gt;5,B639&lt;&gt;INT(B639)),"违规：加仓序号须为1到5的整数",IF(COUNTIFS($A$2:$A$1001,A639,$B$2:$B$1001,B639)&gt;1,"违规：同一交易的加仓序号重复",IF(OR(D639="",E639="",F639=""),"计划不完整：请填写加仓价、新止损价和风险预算",IF(OR(D639&lt;=0,E639&lt;=0,F639&lt;=0,D639&lt;=E639),"违规：加仓价必须高于新止损价，金额须大于0",IF(AND(B639&gt;1,COUNTIFS($A$2:$A$1001,A639,$B$2:$B$1001,B639-1,$G$2:$G$1001,"&gt;0")=0),"违规：须先完成上一次加仓",IF(AND(B639&gt;1,E639&lt;SUMIFS($E$2:$E$1001,$A$2:$A$1001,A639,$B$2:$B$1001,B639-1)),"违规：新止损价不得低于上一次",IF(AND(B639&gt;1,F639&gt;SUMIFS($F$2:$F$1001,$A$2:$A$1001,A639,$B$2:$B$1001,B639-1)),"违规：风险预算须逐次不增加",IF(OR(_LockStatus="已锁仓",_LockStatus="解锁信息不完整"),"违规：锁仓期间禁止加仓",IF(G639="","计划可执行：建议股数见N列",IF(OR(G639&lt;=0,G639&lt;&gt;INT(G639),MOD(G639,100)&lt;&gt;0),"违规：实际股数须为100股整数倍",IF(G639&gt;N639,"违规：实际股数超过风险或金字塔上限",IF(AND(B639&gt;1,G639&gt;SUMIFS($G$2:$G$1001,$A$2:$A$1001,A639,$B$2:$B$1001,B639-1)),"违规：加仓股数须逐次不增加",IF(Q639&gt;F639,"违规：止损风险超过本次预算","通过")))))))))))))))</f>
        <v/>
      </c>
    </row>
    <row r="640" customFormat="false" ht="15" hidden="false" customHeight="false" outlineLevel="0" collapsed="false">
      <c r="A640" s="20"/>
      <c r="B640" s="21"/>
      <c r="C640" s="22"/>
      <c r="D640" s="23"/>
      <c r="E640" s="23"/>
      <c r="F640" s="23"/>
      <c r="G640" s="21"/>
      <c r="H640" s="24" t="str">
        <f aca="false">IF(OR(A640="",D640="",G640=""),"",D640*G640)</f>
        <v/>
      </c>
      <c r="I640" s="25" t="str">
        <f aca="false">IF(OR(A640="",B640=""),"",IFERROR(LOOKUP(2,1/(单次交易!$A$2:$A$201=A640),单次交易!$H$2:$H$201),0)+SUMIFS($G$2:$G$1001,$A$2:$A$1001,A640,$B$2:$B$1001,"&lt;"&amp;B640))</f>
        <v/>
      </c>
      <c r="J640" s="24" t="str">
        <f aca="false">IF(OR(A640="",B640=""),"",IFERROR(LOOKUP(2,1/(单次交易!$A$2:$A$201=A640),单次交易!$E$2:$E$201)*LOOKUP(2,1/(单次交易!$A$2:$A$201=A640),单次交易!$H$2:$H$201),0)+SUMIFS($H$2:$H$1001,$A$2:$A$1001,A640,$B$2:$B$1001,"&lt;"&amp;B640))</f>
        <v/>
      </c>
      <c r="K640" s="24" t="str">
        <f aca="false">IF(OR(E640="",I640="",J640=""),"",MAX(E640*I640-J640,0))</f>
        <v/>
      </c>
      <c r="L640" s="25" t="str">
        <f aca="false">IF(OR(D640="",E640="",F640="",D640&lt;=E640),"",FLOOR((F640+K640)/(D640-E640),100))</f>
        <v/>
      </c>
      <c r="M640" s="25" t="str">
        <f aca="false">IF(OR(A640="",B640="",L640=""),"",IF(B640=1,L640,IFERROR(SUMIFS($G$2:$G$1001,$A$2:$A$1001,A640,$B$2:$B$1001,B640-1),0)))</f>
        <v/>
      </c>
      <c r="N640" s="25" t="str">
        <f aca="false">IF(OR(L640="",M640=""),"",MIN(L640,M640))</f>
        <v/>
      </c>
      <c r="O640" s="25" t="str">
        <f aca="false">IF(OR(I640="",G640=""),"",I640+G640)</f>
        <v/>
      </c>
      <c r="P640" s="24" t="str">
        <f aca="false">IF(OR(O640="",O640=0),"",(J640+H640)/O640)</f>
        <v/>
      </c>
      <c r="Q640" s="24" t="str">
        <f aca="false">IF(OR(O640="",E640=""),"",MAX(J640+H640-E640*O640,0))</f>
        <v/>
      </c>
      <c r="R640" s="26" t="str">
        <f aca="false">IF(A640="","",IF(COUNTIF(_TradeIds,A640)=0,"违规：交易编号不存在",IF(OR(B640="",B640&lt;1,B640&gt;5,B640&lt;&gt;INT(B640)),"违规：加仓序号须为1到5的整数",IF(COUNTIFS($A$2:$A$1001,A640,$B$2:$B$1001,B640)&gt;1,"违规：同一交易的加仓序号重复",IF(OR(D640="",E640="",F640=""),"计划不完整：请填写加仓价、新止损价和风险预算",IF(OR(D640&lt;=0,E640&lt;=0,F640&lt;=0,D640&lt;=E640),"违规：加仓价必须高于新止损价，金额须大于0",IF(AND(B640&gt;1,COUNTIFS($A$2:$A$1001,A640,$B$2:$B$1001,B640-1,$G$2:$G$1001,"&gt;0")=0),"违规：须先完成上一次加仓",IF(AND(B640&gt;1,E640&lt;SUMIFS($E$2:$E$1001,$A$2:$A$1001,A640,$B$2:$B$1001,B640-1)),"违规：新止损价不得低于上一次",IF(AND(B640&gt;1,F640&gt;SUMIFS($F$2:$F$1001,$A$2:$A$1001,A640,$B$2:$B$1001,B640-1)),"违规：风险预算须逐次不增加",IF(OR(_LockStatus="已锁仓",_LockStatus="解锁信息不完整"),"违规：锁仓期间禁止加仓",IF(G640="","计划可执行：建议股数见N列",IF(OR(G640&lt;=0,G640&lt;&gt;INT(G640),MOD(G640,100)&lt;&gt;0),"违规：实际股数须为100股整数倍",IF(G640&gt;N640,"违规：实际股数超过风险或金字塔上限",IF(AND(B640&gt;1,G640&gt;SUMIFS($G$2:$G$1001,$A$2:$A$1001,A640,$B$2:$B$1001,B640-1)),"违规：加仓股数须逐次不增加",IF(Q640&gt;F640,"违规：止损风险超过本次预算","通过")))))))))))))))</f>
        <v/>
      </c>
    </row>
    <row r="641" customFormat="false" ht="15" hidden="false" customHeight="false" outlineLevel="0" collapsed="false">
      <c r="A641" s="20"/>
      <c r="B641" s="21"/>
      <c r="C641" s="22"/>
      <c r="D641" s="23"/>
      <c r="E641" s="23"/>
      <c r="F641" s="23"/>
      <c r="G641" s="21"/>
      <c r="H641" s="24" t="str">
        <f aca="false">IF(OR(A641="",D641="",G641=""),"",D641*G641)</f>
        <v/>
      </c>
      <c r="I641" s="25" t="str">
        <f aca="false">IF(OR(A641="",B641=""),"",IFERROR(LOOKUP(2,1/(单次交易!$A$2:$A$201=A641),单次交易!$H$2:$H$201),0)+SUMIFS($G$2:$G$1001,$A$2:$A$1001,A641,$B$2:$B$1001,"&lt;"&amp;B641))</f>
        <v/>
      </c>
      <c r="J641" s="24" t="str">
        <f aca="false">IF(OR(A641="",B641=""),"",IFERROR(LOOKUP(2,1/(单次交易!$A$2:$A$201=A641),单次交易!$E$2:$E$201)*LOOKUP(2,1/(单次交易!$A$2:$A$201=A641),单次交易!$H$2:$H$201),0)+SUMIFS($H$2:$H$1001,$A$2:$A$1001,A641,$B$2:$B$1001,"&lt;"&amp;B641))</f>
        <v/>
      </c>
      <c r="K641" s="24" t="str">
        <f aca="false">IF(OR(E641="",I641="",J641=""),"",MAX(E641*I641-J641,0))</f>
        <v/>
      </c>
      <c r="L641" s="25" t="str">
        <f aca="false">IF(OR(D641="",E641="",F641="",D641&lt;=E641),"",FLOOR((F641+K641)/(D641-E641),100))</f>
        <v/>
      </c>
      <c r="M641" s="25" t="str">
        <f aca="false">IF(OR(A641="",B641="",L641=""),"",IF(B641=1,L641,IFERROR(SUMIFS($G$2:$G$1001,$A$2:$A$1001,A641,$B$2:$B$1001,B641-1),0)))</f>
        <v/>
      </c>
      <c r="N641" s="25" t="str">
        <f aca="false">IF(OR(L641="",M641=""),"",MIN(L641,M641))</f>
        <v/>
      </c>
      <c r="O641" s="25" t="str">
        <f aca="false">IF(OR(I641="",G641=""),"",I641+G641)</f>
        <v/>
      </c>
      <c r="P641" s="24" t="str">
        <f aca="false">IF(OR(O641="",O641=0),"",(J641+H641)/O641)</f>
        <v/>
      </c>
      <c r="Q641" s="24" t="str">
        <f aca="false">IF(OR(O641="",E641=""),"",MAX(J641+H641-E641*O641,0))</f>
        <v/>
      </c>
      <c r="R641" s="26" t="str">
        <f aca="false">IF(A641="","",IF(COUNTIF(_TradeIds,A641)=0,"违规：交易编号不存在",IF(OR(B641="",B641&lt;1,B641&gt;5,B641&lt;&gt;INT(B641)),"违规：加仓序号须为1到5的整数",IF(COUNTIFS($A$2:$A$1001,A641,$B$2:$B$1001,B641)&gt;1,"违规：同一交易的加仓序号重复",IF(OR(D641="",E641="",F641=""),"计划不完整：请填写加仓价、新止损价和风险预算",IF(OR(D641&lt;=0,E641&lt;=0,F641&lt;=0,D641&lt;=E641),"违规：加仓价必须高于新止损价，金额须大于0",IF(AND(B641&gt;1,COUNTIFS($A$2:$A$1001,A641,$B$2:$B$1001,B641-1,$G$2:$G$1001,"&gt;0")=0),"违规：须先完成上一次加仓",IF(AND(B641&gt;1,E641&lt;SUMIFS($E$2:$E$1001,$A$2:$A$1001,A641,$B$2:$B$1001,B641-1)),"违规：新止损价不得低于上一次",IF(AND(B641&gt;1,F641&gt;SUMIFS($F$2:$F$1001,$A$2:$A$1001,A641,$B$2:$B$1001,B641-1)),"违规：风险预算须逐次不增加",IF(OR(_LockStatus="已锁仓",_LockStatus="解锁信息不完整"),"违规：锁仓期间禁止加仓",IF(G641="","计划可执行：建议股数见N列",IF(OR(G641&lt;=0,G641&lt;&gt;INT(G641),MOD(G641,100)&lt;&gt;0),"违规：实际股数须为100股整数倍",IF(G641&gt;N641,"违规：实际股数超过风险或金字塔上限",IF(AND(B641&gt;1,G641&gt;SUMIFS($G$2:$G$1001,$A$2:$A$1001,A641,$B$2:$B$1001,B641-1)),"违规：加仓股数须逐次不增加",IF(Q641&gt;F641,"违规：止损风险超过本次预算","通过")))))))))))))))</f>
        <v/>
      </c>
    </row>
    <row r="642" customFormat="false" ht="15" hidden="false" customHeight="false" outlineLevel="0" collapsed="false">
      <c r="A642" s="20"/>
      <c r="B642" s="21"/>
      <c r="C642" s="22"/>
      <c r="D642" s="23"/>
      <c r="E642" s="23"/>
      <c r="F642" s="23"/>
      <c r="G642" s="21"/>
      <c r="H642" s="24" t="str">
        <f aca="false">IF(OR(A642="",D642="",G642=""),"",D642*G642)</f>
        <v/>
      </c>
      <c r="I642" s="25" t="str">
        <f aca="false">IF(OR(A642="",B642=""),"",IFERROR(LOOKUP(2,1/(单次交易!$A$2:$A$201=A642),单次交易!$H$2:$H$201),0)+SUMIFS($G$2:$G$1001,$A$2:$A$1001,A642,$B$2:$B$1001,"&lt;"&amp;B642))</f>
        <v/>
      </c>
      <c r="J642" s="24" t="str">
        <f aca="false">IF(OR(A642="",B642=""),"",IFERROR(LOOKUP(2,1/(单次交易!$A$2:$A$201=A642),单次交易!$E$2:$E$201)*LOOKUP(2,1/(单次交易!$A$2:$A$201=A642),单次交易!$H$2:$H$201),0)+SUMIFS($H$2:$H$1001,$A$2:$A$1001,A642,$B$2:$B$1001,"&lt;"&amp;B642))</f>
        <v/>
      </c>
      <c r="K642" s="24" t="str">
        <f aca="false">IF(OR(E642="",I642="",J642=""),"",MAX(E642*I642-J642,0))</f>
        <v/>
      </c>
      <c r="L642" s="25" t="str">
        <f aca="false">IF(OR(D642="",E642="",F642="",D642&lt;=E642),"",FLOOR((F642+K642)/(D642-E642),100))</f>
        <v/>
      </c>
      <c r="M642" s="25" t="str">
        <f aca="false">IF(OR(A642="",B642="",L642=""),"",IF(B642=1,L642,IFERROR(SUMIFS($G$2:$G$1001,$A$2:$A$1001,A642,$B$2:$B$1001,B642-1),0)))</f>
        <v/>
      </c>
      <c r="N642" s="25" t="str">
        <f aca="false">IF(OR(L642="",M642=""),"",MIN(L642,M642))</f>
        <v/>
      </c>
      <c r="O642" s="25" t="str">
        <f aca="false">IF(OR(I642="",G642=""),"",I642+G642)</f>
        <v/>
      </c>
      <c r="P642" s="24" t="str">
        <f aca="false">IF(OR(O642="",O642=0),"",(J642+H642)/O642)</f>
        <v/>
      </c>
      <c r="Q642" s="24" t="str">
        <f aca="false">IF(OR(O642="",E642=""),"",MAX(J642+H642-E642*O642,0))</f>
        <v/>
      </c>
      <c r="R642" s="26" t="str">
        <f aca="false">IF(A642="","",IF(COUNTIF(_TradeIds,A642)=0,"违规：交易编号不存在",IF(OR(B642="",B642&lt;1,B642&gt;5,B642&lt;&gt;INT(B642)),"违规：加仓序号须为1到5的整数",IF(COUNTIFS($A$2:$A$1001,A642,$B$2:$B$1001,B642)&gt;1,"违规：同一交易的加仓序号重复",IF(OR(D642="",E642="",F642=""),"计划不完整：请填写加仓价、新止损价和风险预算",IF(OR(D642&lt;=0,E642&lt;=0,F642&lt;=0,D642&lt;=E642),"违规：加仓价必须高于新止损价，金额须大于0",IF(AND(B642&gt;1,COUNTIFS($A$2:$A$1001,A642,$B$2:$B$1001,B642-1,$G$2:$G$1001,"&gt;0")=0),"违规：须先完成上一次加仓",IF(AND(B642&gt;1,E642&lt;SUMIFS($E$2:$E$1001,$A$2:$A$1001,A642,$B$2:$B$1001,B642-1)),"违规：新止损价不得低于上一次",IF(AND(B642&gt;1,F642&gt;SUMIFS($F$2:$F$1001,$A$2:$A$1001,A642,$B$2:$B$1001,B642-1)),"违规：风险预算须逐次不增加",IF(OR(_LockStatus="已锁仓",_LockStatus="解锁信息不完整"),"违规：锁仓期间禁止加仓",IF(G642="","计划可执行：建议股数见N列",IF(OR(G642&lt;=0,G642&lt;&gt;INT(G642),MOD(G642,100)&lt;&gt;0),"违规：实际股数须为100股整数倍",IF(G642&gt;N642,"违规：实际股数超过风险或金字塔上限",IF(AND(B642&gt;1,G642&gt;SUMIFS($G$2:$G$1001,$A$2:$A$1001,A642,$B$2:$B$1001,B642-1)),"违规：加仓股数须逐次不增加",IF(Q642&gt;F642,"违规：止损风险超过本次预算","通过")))))))))))))))</f>
        <v/>
      </c>
    </row>
    <row r="643" customFormat="false" ht="15" hidden="false" customHeight="false" outlineLevel="0" collapsed="false">
      <c r="A643" s="20"/>
      <c r="B643" s="21"/>
      <c r="C643" s="22"/>
      <c r="D643" s="23"/>
      <c r="E643" s="23"/>
      <c r="F643" s="23"/>
      <c r="G643" s="21"/>
      <c r="H643" s="24" t="str">
        <f aca="false">IF(OR(A643="",D643="",G643=""),"",D643*G643)</f>
        <v/>
      </c>
      <c r="I643" s="25" t="str">
        <f aca="false">IF(OR(A643="",B643=""),"",IFERROR(LOOKUP(2,1/(单次交易!$A$2:$A$201=A643),单次交易!$H$2:$H$201),0)+SUMIFS($G$2:$G$1001,$A$2:$A$1001,A643,$B$2:$B$1001,"&lt;"&amp;B643))</f>
        <v/>
      </c>
      <c r="J643" s="24" t="str">
        <f aca="false">IF(OR(A643="",B643=""),"",IFERROR(LOOKUP(2,1/(单次交易!$A$2:$A$201=A643),单次交易!$E$2:$E$201)*LOOKUP(2,1/(单次交易!$A$2:$A$201=A643),单次交易!$H$2:$H$201),0)+SUMIFS($H$2:$H$1001,$A$2:$A$1001,A643,$B$2:$B$1001,"&lt;"&amp;B643))</f>
        <v/>
      </c>
      <c r="K643" s="24" t="str">
        <f aca="false">IF(OR(E643="",I643="",J643=""),"",MAX(E643*I643-J643,0))</f>
        <v/>
      </c>
      <c r="L643" s="25" t="str">
        <f aca="false">IF(OR(D643="",E643="",F643="",D643&lt;=E643),"",FLOOR((F643+K643)/(D643-E643),100))</f>
        <v/>
      </c>
      <c r="M643" s="25" t="str">
        <f aca="false">IF(OR(A643="",B643="",L643=""),"",IF(B643=1,L643,IFERROR(SUMIFS($G$2:$G$1001,$A$2:$A$1001,A643,$B$2:$B$1001,B643-1),0)))</f>
        <v/>
      </c>
      <c r="N643" s="25" t="str">
        <f aca="false">IF(OR(L643="",M643=""),"",MIN(L643,M643))</f>
        <v/>
      </c>
      <c r="O643" s="25" t="str">
        <f aca="false">IF(OR(I643="",G643=""),"",I643+G643)</f>
        <v/>
      </c>
      <c r="P643" s="24" t="str">
        <f aca="false">IF(OR(O643="",O643=0),"",(J643+H643)/O643)</f>
        <v/>
      </c>
      <c r="Q643" s="24" t="str">
        <f aca="false">IF(OR(O643="",E643=""),"",MAX(J643+H643-E643*O643,0))</f>
        <v/>
      </c>
      <c r="R643" s="26" t="str">
        <f aca="false">IF(A643="","",IF(COUNTIF(_TradeIds,A643)=0,"违规：交易编号不存在",IF(OR(B643="",B643&lt;1,B643&gt;5,B643&lt;&gt;INT(B643)),"违规：加仓序号须为1到5的整数",IF(COUNTIFS($A$2:$A$1001,A643,$B$2:$B$1001,B643)&gt;1,"违规：同一交易的加仓序号重复",IF(OR(D643="",E643="",F643=""),"计划不完整：请填写加仓价、新止损价和风险预算",IF(OR(D643&lt;=0,E643&lt;=0,F643&lt;=0,D643&lt;=E643),"违规：加仓价必须高于新止损价，金额须大于0",IF(AND(B643&gt;1,COUNTIFS($A$2:$A$1001,A643,$B$2:$B$1001,B643-1,$G$2:$G$1001,"&gt;0")=0),"违规：须先完成上一次加仓",IF(AND(B643&gt;1,E643&lt;SUMIFS($E$2:$E$1001,$A$2:$A$1001,A643,$B$2:$B$1001,B643-1)),"违规：新止损价不得低于上一次",IF(AND(B643&gt;1,F643&gt;SUMIFS($F$2:$F$1001,$A$2:$A$1001,A643,$B$2:$B$1001,B643-1)),"违规：风险预算须逐次不增加",IF(OR(_LockStatus="已锁仓",_LockStatus="解锁信息不完整"),"违规：锁仓期间禁止加仓",IF(G643="","计划可执行：建议股数见N列",IF(OR(G643&lt;=0,G643&lt;&gt;INT(G643),MOD(G643,100)&lt;&gt;0),"违规：实际股数须为100股整数倍",IF(G643&gt;N643,"违规：实际股数超过风险或金字塔上限",IF(AND(B643&gt;1,G643&gt;SUMIFS($G$2:$G$1001,$A$2:$A$1001,A643,$B$2:$B$1001,B643-1)),"违规：加仓股数须逐次不增加",IF(Q643&gt;F643,"违规：止损风险超过本次预算","通过")))))))))))))))</f>
        <v/>
      </c>
    </row>
    <row r="644" customFormat="false" ht="15" hidden="false" customHeight="false" outlineLevel="0" collapsed="false">
      <c r="A644" s="20"/>
      <c r="B644" s="21"/>
      <c r="C644" s="22"/>
      <c r="D644" s="23"/>
      <c r="E644" s="23"/>
      <c r="F644" s="23"/>
      <c r="G644" s="21"/>
      <c r="H644" s="24" t="str">
        <f aca="false">IF(OR(A644="",D644="",G644=""),"",D644*G644)</f>
        <v/>
      </c>
      <c r="I644" s="25" t="str">
        <f aca="false">IF(OR(A644="",B644=""),"",IFERROR(LOOKUP(2,1/(单次交易!$A$2:$A$201=A644),单次交易!$H$2:$H$201),0)+SUMIFS($G$2:$G$1001,$A$2:$A$1001,A644,$B$2:$B$1001,"&lt;"&amp;B644))</f>
        <v/>
      </c>
      <c r="J644" s="24" t="str">
        <f aca="false">IF(OR(A644="",B644=""),"",IFERROR(LOOKUP(2,1/(单次交易!$A$2:$A$201=A644),单次交易!$E$2:$E$201)*LOOKUP(2,1/(单次交易!$A$2:$A$201=A644),单次交易!$H$2:$H$201),0)+SUMIFS($H$2:$H$1001,$A$2:$A$1001,A644,$B$2:$B$1001,"&lt;"&amp;B644))</f>
        <v/>
      </c>
      <c r="K644" s="24" t="str">
        <f aca="false">IF(OR(E644="",I644="",J644=""),"",MAX(E644*I644-J644,0))</f>
        <v/>
      </c>
      <c r="L644" s="25" t="str">
        <f aca="false">IF(OR(D644="",E644="",F644="",D644&lt;=E644),"",FLOOR((F644+K644)/(D644-E644),100))</f>
        <v/>
      </c>
      <c r="M644" s="25" t="str">
        <f aca="false">IF(OR(A644="",B644="",L644=""),"",IF(B644=1,L644,IFERROR(SUMIFS($G$2:$G$1001,$A$2:$A$1001,A644,$B$2:$B$1001,B644-1),0)))</f>
        <v/>
      </c>
      <c r="N644" s="25" t="str">
        <f aca="false">IF(OR(L644="",M644=""),"",MIN(L644,M644))</f>
        <v/>
      </c>
      <c r="O644" s="25" t="str">
        <f aca="false">IF(OR(I644="",G644=""),"",I644+G644)</f>
        <v/>
      </c>
      <c r="P644" s="24" t="str">
        <f aca="false">IF(OR(O644="",O644=0),"",(J644+H644)/O644)</f>
        <v/>
      </c>
      <c r="Q644" s="24" t="str">
        <f aca="false">IF(OR(O644="",E644=""),"",MAX(J644+H644-E644*O644,0))</f>
        <v/>
      </c>
      <c r="R644" s="26" t="str">
        <f aca="false">IF(A644="","",IF(COUNTIF(_TradeIds,A644)=0,"违规：交易编号不存在",IF(OR(B644="",B644&lt;1,B644&gt;5,B644&lt;&gt;INT(B644)),"违规：加仓序号须为1到5的整数",IF(COUNTIFS($A$2:$A$1001,A644,$B$2:$B$1001,B644)&gt;1,"违规：同一交易的加仓序号重复",IF(OR(D644="",E644="",F644=""),"计划不完整：请填写加仓价、新止损价和风险预算",IF(OR(D644&lt;=0,E644&lt;=0,F644&lt;=0,D644&lt;=E644),"违规：加仓价必须高于新止损价，金额须大于0",IF(AND(B644&gt;1,COUNTIFS($A$2:$A$1001,A644,$B$2:$B$1001,B644-1,$G$2:$G$1001,"&gt;0")=0),"违规：须先完成上一次加仓",IF(AND(B644&gt;1,E644&lt;SUMIFS($E$2:$E$1001,$A$2:$A$1001,A644,$B$2:$B$1001,B644-1)),"违规：新止损价不得低于上一次",IF(AND(B644&gt;1,F644&gt;SUMIFS($F$2:$F$1001,$A$2:$A$1001,A644,$B$2:$B$1001,B644-1)),"违规：风险预算须逐次不增加",IF(OR(_LockStatus="已锁仓",_LockStatus="解锁信息不完整"),"违规：锁仓期间禁止加仓",IF(G644="","计划可执行：建议股数见N列",IF(OR(G644&lt;=0,G644&lt;&gt;INT(G644),MOD(G644,100)&lt;&gt;0),"违规：实际股数须为100股整数倍",IF(G644&gt;N644,"违规：实际股数超过风险或金字塔上限",IF(AND(B644&gt;1,G644&gt;SUMIFS($G$2:$G$1001,$A$2:$A$1001,A644,$B$2:$B$1001,B644-1)),"违规：加仓股数须逐次不增加",IF(Q644&gt;F644,"违规：止损风险超过本次预算","通过")))))))))))))))</f>
        <v/>
      </c>
    </row>
    <row r="645" customFormat="false" ht="15" hidden="false" customHeight="false" outlineLevel="0" collapsed="false">
      <c r="A645" s="20"/>
      <c r="B645" s="21"/>
      <c r="C645" s="22"/>
      <c r="D645" s="23"/>
      <c r="E645" s="23"/>
      <c r="F645" s="23"/>
      <c r="G645" s="21"/>
      <c r="H645" s="24" t="str">
        <f aca="false">IF(OR(A645="",D645="",G645=""),"",D645*G645)</f>
        <v/>
      </c>
      <c r="I645" s="25" t="str">
        <f aca="false">IF(OR(A645="",B645=""),"",IFERROR(LOOKUP(2,1/(单次交易!$A$2:$A$201=A645),单次交易!$H$2:$H$201),0)+SUMIFS($G$2:$G$1001,$A$2:$A$1001,A645,$B$2:$B$1001,"&lt;"&amp;B645))</f>
        <v/>
      </c>
      <c r="J645" s="24" t="str">
        <f aca="false">IF(OR(A645="",B645=""),"",IFERROR(LOOKUP(2,1/(单次交易!$A$2:$A$201=A645),单次交易!$E$2:$E$201)*LOOKUP(2,1/(单次交易!$A$2:$A$201=A645),单次交易!$H$2:$H$201),0)+SUMIFS($H$2:$H$1001,$A$2:$A$1001,A645,$B$2:$B$1001,"&lt;"&amp;B645))</f>
        <v/>
      </c>
      <c r="K645" s="24" t="str">
        <f aca="false">IF(OR(E645="",I645="",J645=""),"",MAX(E645*I645-J645,0))</f>
        <v/>
      </c>
      <c r="L645" s="25" t="str">
        <f aca="false">IF(OR(D645="",E645="",F645="",D645&lt;=E645),"",FLOOR((F645+K645)/(D645-E645),100))</f>
        <v/>
      </c>
      <c r="M645" s="25" t="str">
        <f aca="false">IF(OR(A645="",B645="",L645=""),"",IF(B645=1,L645,IFERROR(SUMIFS($G$2:$G$1001,$A$2:$A$1001,A645,$B$2:$B$1001,B645-1),0)))</f>
        <v/>
      </c>
      <c r="N645" s="25" t="str">
        <f aca="false">IF(OR(L645="",M645=""),"",MIN(L645,M645))</f>
        <v/>
      </c>
      <c r="O645" s="25" t="str">
        <f aca="false">IF(OR(I645="",G645=""),"",I645+G645)</f>
        <v/>
      </c>
      <c r="P645" s="24" t="str">
        <f aca="false">IF(OR(O645="",O645=0),"",(J645+H645)/O645)</f>
        <v/>
      </c>
      <c r="Q645" s="24" t="str">
        <f aca="false">IF(OR(O645="",E645=""),"",MAX(J645+H645-E645*O645,0))</f>
        <v/>
      </c>
      <c r="R645" s="26" t="str">
        <f aca="false">IF(A645="","",IF(COUNTIF(_TradeIds,A645)=0,"违规：交易编号不存在",IF(OR(B645="",B645&lt;1,B645&gt;5,B645&lt;&gt;INT(B645)),"违规：加仓序号须为1到5的整数",IF(COUNTIFS($A$2:$A$1001,A645,$B$2:$B$1001,B645)&gt;1,"违规：同一交易的加仓序号重复",IF(OR(D645="",E645="",F645=""),"计划不完整：请填写加仓价、新止损价和风险预算",IF(OR(D645&lt;=0,E645&lt;=0,F645&lt;=0,D645&lt;=E645),"违规：加仓价必须高于新止损价，金额须大于0",IF(AND(B645&gt;1,COUNTIFS($A$2:$A$1001,A645,$B$2:$B$1001,B645-1,$G$2:$G$1001,"&gt;0")=0),"违规：须先完成上一次加仓",IF(AND(B645&gt;1,E645&lt;SUMIFS($E$2:$E$1001,$A$2:$A$1001,A645,$B$2:$B$1001,B645-1)),"违规：新止损价不得低于上一次",IF(AND(B645&gt;1,F645&gt;SUMIFS($F$2:$F$1001,$A$2:$A$1001,A645,$B$2:$B$1001,B645-1)),"违规：风险预算须逐次不增加",IF(OR(_LockStatus="已锁仓",_LockStatus="解锁信息不完整"),"违规：锁仓期间禁止加仓",IF(G645="","计划可执行：建议股数见N列",IF(OR(G645&lt;=0,G645&lt;&gt;INT(G645),MOD(G645,100)&lt;&gt;0),"违规：实际股数须为100股整数倍",IF(G645&gt;N645,"违规：实际股数超过风险或金字塔上限",IF(AND(B645&gt;1,G645&gt;SUMIFS($G$2:$G$1001,$A$2:$A$1001,A645,$B$2:$B$1001,B645-1)),"违规：加仓股数须逐次不增加",IF(Q645&gt;F645,"违规：止损风险超过本次预算","通过")))))))))))))))</f>
        <v/>
      </c>
    </row>
    <row r="646" customFormat="false" ht="15" hidden="false" customHeight="false" outlineLevel="0" collapsed="false">
      <c r="A646" s="20"/>
      <c r="B646" s="21"/>
      <c r="C646" s="22"/>
      <c r="D646" s="23"/>
      <c r="E646" s="23"/>
      <c r="F646" s="23"/>
      <c r="G646" s="21"/>
      <c r="H646" s="24" t="str">
        <f aca="false">IF(OR(A646="",D646="",G646=""),"",D646*G646)</f>
        <v/>
      </c>
      <c r="I646" s="25" t="str">
        <f aca="false">IF(OR(A646="",B646=""),"",IFERROR(LOOKUP(2,1/(单次交易!$A$2:$A$201=A646),单次交易!$H$2:$H$201),0)+SUMIFS($G$2:$G$1001,$A$2:$A$1001,A646,$B$2:$B$1001,"&lt;"&amp;B646))</f>
        <v/>
      </c>
      <c r="J646" s="24" t="str">
        <f aca="false">IF(OR(A646="",B646=""),"",IFERROR(LOOKUP(2,1/(单次交易!$A$2:$A$201=A646),单次交易!$E$2:$E$201)*LOOKUP(2,1/(单次交易!$A$2:$A$201=A646),单次交易!$H$2:$H$201),0)+SUMIFS($H$2:$H$1001,$A$2:$A$1001,A646,$B$2:$B$1001,"&lt;"&amp;B646))</f>
        <v/>
      </c>
      <c r="K646" s="24" t="str">
        <f aca="false">IF(OR(E646="",I646="",J646=""),"",MAX(E646*I646-J646,0))</f>
        <v/>
      </c>
      <c r="L646" s="25" t="str">
        <f aca="false">IF(OR(D646="",E646="",F646="",D646&lt;=E646),"",FLOOR((F646+K646)/(D646-E646),100))</f>
        <v/>
      </c>
      <c r="M646" s="25" t="str">
        <f aca="false">IF(OR(A646="",B646="",L646=""),"",IF(B646=1,L646,IFERROR(SUMIFS($G$2:$G$1001,$A$2:$A$1001,A646,$B$2:$B$1001,B646-1),0)))</f>
        <v/>
      </c>
      <c r="N646" s="25" t="str">
        <f aca="false">IF(OR(L646="",M646=""),"",MIN(L646,M646))</f>
        <v/>
      </c>
      <c r="O646" s="25" t="str">
        <f aca="false">IF(OR(I646="",G646=""),"",I646+G646)</f>
        <v/>
      </c>
      <c r="P646" s="24" t="str">
        <f aca="false">IF(OR(O646="",O646=0),"",(J646+H646)/O646)</f>
        <v/>
      </c>
      <c r="Q646" s="24" t="str">
        <f aca="false">IF(OR(O646="",E646=""),"",MAX(J646+H646-E646*O646,0))</f>
        <v/>
      </c>
      <c r="R646" s="26" t="str">
        <f aca="false">IF(A646="","",IF(COUNTIF(_TradeIds,A646)=0,"违规：交易编号不存在",IF(OR(B646="",B646&lt;1,B646&gt;5,B646&lt;&gt;INT(B646)),"违规：加仓序号须为1到5的整数",IF(COUNTIFS($A$2:$A$1001,A646,$B$2:$B$1001,B646)&gt;1,"违规：同一交易的加仓序号重复",IF(OR(D646="",E646="",F646=""),"计划不完整：请填写加仓价、新止损价和风险预算",IF(OR(D646&lt;=0,E646&lt;=0,F646&lt;=0,D646&lt;=E646),"违规：加仓价必须高于新止损价，金额须大于0",IF(AND(B646&gt;1,COUNTIFS($A$2:$A$1001,A646,$B$2:$B$1001,B646-1,$G$2:$G$1001,"&gt;0")=0),"违规：须先完成上一次加仓",IF(AND(B646&gt;1,E646&lt;SUMIFS($E$2:$E$1001,$A$2:$A$1001,A646,$B$2:$B$1001,B646-1)),"违规：新止损价不得低于上一次",IF(AND(B646&gt;1,F646&gt;SUMIFS($F$2:$F$1001,$A$2:$A$1001,A646,$B$2:$B$1001,B646-1)),"违规：风险预算须逐次不增加",IF(OR(_LockStatus="已锁仓",_LockStatus="解锁信息不完整"),"违规：锁仓期间禁止加仓",IF(G646="","计划可执行：建议股数见N列",IF(OR(G646&lt;=0,G646&lt;&gt;INT(G646),MOD(G646,100)&lt;&gt;0),"违规：实际股数须为100股整数倍",IF(G646&gt;N646,"违规：实际股数超过风险或金字塔上限",IF(AND(B646&gt;1,G646&gt;SUMIFS($G$2:$G$1001,$A$2:$A$1001,A646,$B$2:$B$1001,B646-1)),"违规：加仓股数须逐次不增加",IF(Q646&gt;F646,"违规：止损风险超过本次预算","通过")))))))))))))))</f>
        <v/>
      </c>
    </row>
    <row r="647" customFormat="false" ht="15" hidden="false" customHeight="false" outlineLevel="0" collapsed="false">
      <c r="A647" s="20"/>
      <c r="B647" s="21"/>
      <c r="C647" s="22"/>
      <c r="D647" s="23"/>
      <c r="E647" s="23"/>
      <c r="F647" s="23"/>
      <c r="G647" s="21"/>
      <c r="H647" s="24" t="str">
        <f aca="false">IF(OR(A647="",D647="",G647=""),"",D647*G647)</f>
        <v/>
      </c>
      <c r="I647" s="25" t="str">
        <f aca="false">IF(OR(A647="",B647=""),"",IFERROR(LOOKUP(2,1/(单次交易!$A$2:$A$201=A647),单次交易!$H$2:$H$201),0)+SUMIFS($G$2:$G$1001,$A$2:$A$1001,A647,$B$2:$B$1001,"&lt;"&amp;B647))</f>
        <v/>
      </c>
      <c r="J647" s="24" t="str">
        <f aca="false">IF(OR(A647="",B647=""),"",IFERROR(LOOKUP(2,1/(单次交易!$A$2:$A$201=A647),单次交易!$E$2:$E$201)*LOOKUP(2,1/(单次交易!$A$2:$A$201=A647),单次交易!$H$2:$H$201),0)+SUMIFS($H$2:$H$1001,$A$2:$A$1001,A647,$B$2:$B$1001,"&lt;"&amp;B647))</f>
        <v/>
      </c>
      <c r="K647" s="24" t="str">
        <f aca="false">IF(OR(E647="",I647="",J647=""),"",MAX(E647*I647-J647,0))</f>
        <v/>
      </c>
      <c r="L647" s="25" t="str">
        <f aca="false">IF(OR(D647="",E647="",F647="",D647&lt;=E647),"",FLOOR((F647+K647)/(D647-E647),100))</f>
        <v/>
      </c>
      <c r="M647" s="25" t="str">
        <f aca="false">IF(OR(A647="",B647="",L647=""),"",IF(B647=1,L647,IFERROR(SUMIFS($G$2:$G$1001,$A$2:$A$1001,A647,$B$2:$B$1001,B647-1),0)))</f>
        <v/>
      </c>
      <c r="N647" s="25" t="str">
        <f aca="false">IF(OR(L647="",M647=""),"",MIN(L647,M647))</f>
        <v/>
      </c>
      <c r="O647" s="25" t="str">
        <f aca="false">IF(OR(I647="",G647=""),"",I647+G647)</f>
        <v/>
      </c>
      <c r="P647" s="24" t="str">
        <f aca="false">IF(OR(O647="",O647=0),"",(J647+H647)/O647)</f>
        <v/>
      </c>
      <c r="Q647" s="24" t="str">
        <f aca="false">IF(OR(O647="",E647=""),"",MAX(J647+H647-E647*O647,0))</f>
        <v/>
      </c>
      <c r="R647" s="26" t="str">
        <f aca="false">IF(A647="","",IF(COUNTIF(_TradeIds,A647)=0,"违规：交易编号不存在",IF(OR(B647="",B647&lt;1,B647&gt;5,B647&lt;&gt;INT(B647)),"违规：加仓序号须为1到5的整数",IF(COUNTIFS($A$2:$A$1001,A647,$B$2:$B$1001,B647)&gt;1,"违规：同一交易的加仓序号重复",IF(OR(D647="",E647="",F647=""),"计划不完整：请填写加仓价、新止损价和风险预算",IF(OR(D647&lt;=0,E647&lt;=0,F647&lt;=0,D647&lt;=E647),"违规：加仓价必须高于新止损价，金额须大于0",IF(AND(B647&gt;1,COUNTIFS($A$2:$A$1001,A647,$B$2:$B$1001,B647-1,$G$2:$G$1001,"&gt;0")=0),"违规：须先完成上一次加仓",IF(AND(B647&gt;1,E647&lt;SUMIFS($E$2:$E$1001,$A$2:$A$1001,A647,$B$2:$B$1001,B647-1)),"违规：新止损价不得低于上一次",IF(AND(B647&gt;1,F647&gt;SUMIFS($F$2:$F$1001,$A$2:$A$1001,A647,$B$2:$B$1001,B647-1)),"违规：风险预算须逐次不增加",IF(OR(_LockStatus="已锁仓",_LockStatus="解锁信息不完整"),"违规：锁仓期间禁止加仓",IF(G647="","计划可执行：建议股数见N列",IF(OR(G647&lt;=0,G647&lt;&gt;INT(G647),MOD(G647,100)&lt;&gt;0),"违规：实际股数须为100股整数倍",IF(G647&gt;N647,"违规：实际股数超过风险或金字塔上限",IF(AND(B647&gt;1,G647&gt;SUMIFS($G$2:$G$1001,$A$2:$A$1001,A647,$B$2:$B$1001,B647-1)),"违规：加仓股数须逐次不增加",IF(Q647&gt;F647,"违规：止损风险超过本次预算","通过")))))))))))))))</f>
        <v/>
      </c>
    </row>
    <row r="648" customFormat="false" ht="15" hidden="false" customHeight="false" outlineLevel="0" collapsed="false">
      <c r="A648" s="20"/>
      <c r="B648" s="21"/>
      <c r="C648" s="22"/>
      <c r="D648" s="23"/>
      <c r="E648" s="23"/>
      <c r="F648" s="23"/>
      <c r="G648" s="21"/>
      <c r="H648" s="24" t="str">
        <f aca="false">IF(OR(A648="",D648="",G648=""),"",D648*G648)</f>
        <v/>
      </c>
      <c r="I648" s="25" t="str">
        <f aca="false">IF(OR(A648="",B648=""),"",IFERROR(LOOKUP(2,1/(单次交易!$A$2:$A$201=A648),单次交易!$H$2:$H$201),0)+SUMIFS($G$2:$G$1001,$A$2:$A$1001,A648,$B$2:$B$1001,"&lt;"&amp;B648))</f>
        <v/>
      </c>
      <c r="J648" s="24" t="str">
        <f aca="false">IF(OR(A648="",B648=""),"",IFERROR(LOOKUP(2,1/(单次交易!$A$2:$A$201=A648),单次交易!$E$2:$E$201)*LOOKUP(2,1/(单次交易!$A$2:$A$201=A648),单次交易!$H$2:$H$201),0)+SUMIFS($H$2:$H$1001,$A$2:$A$1001,A648,$B$2:$B$1001,"&lt;"&amp;B648))</f>
        <v/>
      </c>
      <c r="K648" s="24" t="str">
        <f aca="false">IF(OR(E648="",I648="",J648=""),"",MAX(E648*I648-J648,0))</f>
        <v/>
      </c>
      <c r="L648" s="25" t="str">
        <f aca="false">IF(OR(D648="",E648="",F648="",D648&lt;=E648),"",FLOOR((F648+K648)/(D648-E648),100))</f>
        <v/>
      </c>
      <c r="M648" s="25" t="str">
        <f aca="false">IF(OR(A648="",B648="",L648=""),"",IF(B648=1,L648,IFERROR(SUMIFS($G$2:$G$1001,$A$2:$A$1001,A648,$B$2:$B$1001,B648-1),0)))</f>
        <v/>
      </c>
      <c r="N648" s="25" t="str">
        <f aca="false">IF(OR(L648="",M648=""),"",MIN(L648,M648))</f>
        <v/>
      </c>
      <c r="O648" s="25" t="str">
        <f aca="false">IF(OR(I648="",G648=""),"",I648+G648)</f>
        <v/>
      </c>
      <c r="P648" s="24" t="str">
        <f aca="false">IF(OR(O648="",O648=0),"",(J648+H648)/O648)</f>
        <v/>
      </c>
      <c r="Q648" s="24" t="str">
        <f aca="false">IF(OR(O648="",E648=""),"",MAX(J648+H648-E648*O648,0))</f>
        <v/>
      </c>
      <c r="R648" s="26" t="str">
        <f aca="false">IF(A648="","",IF(COUNTIF(_TradeIds,A648)=0,"违规：交易编号不存在",IF(OR(B648="",B648&lt;1,B648&gt;5,B648&lt;&gt;INT(B648)),"违规：加仓序号须为1到5的整数",IF(COUNTIFS($A$2:$A$1001,A648,$B$2:$B$1001,B648)&gt;1,"违规：同一交易的加仓序号重复",IF(OR(D648="",E648="",F648=""),"计划不完整：请填写加仓价、新止损价和风险预算",IF(OR(D648&lt;=0,E648&lt;=0,F648&lt;=0,D648&lt;=E648),"违规：加仓价必须高于新止损价，金额须大于0",IF(AND(B648&gt;1,COUNTIFS($A$2:$A$1001,A648,$B$2:$B$1001,B648-1,$G$2:$G$1001,"&gt;0")=0),"违规：须先完成上一次加仓",IF(AND(B648&gt;1,E648&lt;SUMIFS($E$2:$E$1001,$A$2:$A$1001,A648,$B$2:$B$1001,B648-1)),"违规：新止损价不得低于上一次",IF(AND(B648&gt;1,F648&gt;SUMIFS($F$2:$F$1001,$A$2:$A$1001,A648,$B$2:$B$1001,B648-1)),"违规：风险预算须逐次不增加",IF(OR(_LockStatus="已锁仓",_LockStatus="解锁信息不完整"),"违规：锁仓期间禁止加仓",IF(G648="","计划可执行：建议股数见N列",IF(OR(G648&lt;=0,G648&lt;&gt;INT(G648),MOD(G648,100)&lt;&gt;0),"违规：实际股数须为100股整数倍",IF(G648&gt;N648,"违规：实际股数超过风险或金字塔上限",IF(AND(B648&gt;1,G648&gt;SUMIFS($G$2:$G$1001,$A$2:$A$1001,A648,$B$2:$B$1001,B648-1)),"违规：加仓股数须逐次不增加",IF(Q648&gt;F648,"违规：止损风险超过本次预算","通过")))))))))))))))</f>
        <v/>
      </c>
    </row>
    <row r="649" customFormat="false" ht="15" hidden="false" customHeight="false" outlineLevel="0" collapsed="false">
      <c r="A649" s="20"/>
      <c r="B649" s="21"/>
      <c r="C649" s="22"/>
      <c r="D649" s="23"/>
      <c r="E649" s="23"/>
      <c r="F649" s="23"/>
      <c r="G649" s="21"/>
      <c r="H649" s="24" t="str">
        <f aca="false">IF(OR(A649="",D649="",G649=""),"",D649*G649)</f>
        <v/>
      </c>
      <c r="I649" s="25" t="str">
        <f aca="false">IF(OR(A649="",B649=""),"",IFERROR(LOOKUP(2,1/(单次交易!$A$2:$A$201=A649),单次交易!$H$2:$H$201),0)+SUMIFS($G$2:$G$1001,$A$2:$A$1001,A649,$B$2:$B$1001,"&lt;"&amp;B649))</f>
        <v/>
      </c>
      <c r="J649" s="24" t="str">
        <f aca="false">IF(OR(A649="",B649=""),"",IFERROR(LOOKUP(2,1/(单次交易!$A$2:$A$201=A649),单次交易!$E$2:$E$201)*LOOKUP(2,1/(单次交易!$A$2:$A$201=A649),单次交易!$H$2:$H$201),0)+SUMIFS($H$2:$H$1001,$A$2:$A$1001,A649,$B$2:$B$1001,"&lt;"&amp;B649))</f>
        <v/>
      </c>
      <c r="K649" s="24" t="str">
        <f aca="false">IF(OR(E649="",I649="",J649=""),"",MAX(E649*I649-J649,0))</f>
        <v/>
      </c>
      <c r="L649" s="25" t="str">
        <f aca="false">IF(OR(D649="",E649="",F649="",D649&lt;=E649),"",FLOOR((F649+K649)/(D649-E649),100))</f>
        <v/>
      </c>
      <c r="M649" s="25" t="str">
        <f aca="false">IF(OR(A649="",B649="",L649=""),"",IF(B649=1,L649,IFERROR(SUMIFS($G$2:$G$1001,$A$2:$A$1001,A649,$B$2:$B$1001,B649-1),0)))</f>
        <v/>
      </c>
      <c r="N649" s="25" t="str">
        <f aca="false">IF(OR(L649="",M649=""),"",MIN(L649,M649))</f>
        <v/>
      </c>
      <c r="O649" s="25" t="str">
        <f aca="false">IF(OR(I649="",G649=""),"",I649+G649)</f>
        <v/>
      </c>
      <c r="P649" s="24" t="str">
        <f aca="false">IF(OR(O649="",O649=0),"",(J649+H649)/O649)</f>
        <v/>
      </c>
      <c r="Q649" s="24" t="str">
        <f aca="false">IF(OR(O649="",E649=""),"",MAX(J649+H649-E649*O649,0))</f>
        <v/>
      </c>
      <c r="R649" s="26" t="str">
        <f aca="false">IF(A649="","",IF(COUNTIF(_TradeIds,A649)=0,"违规：交易编号不存在",IF(OR(B649="",B649&lt;1,B649&gt;5,B649&lt;&gt;INT(B649)),"违规：加仓序号须为1到5的整数",IF(COUNTIFS($A$2:$A$1001,A649,$B$2:$B$1001,B649)&gt;1,"违规：同一交易的加仓序号重复",IF(OR(D649="",E649="",F649=""),"计划不完整：请填写加仓价、新止损价和风险预算",IF(OR(D649&lt;=0,E649&lt;=0,F649&lt;=0,D649&lt;=E649),"违规：加仓价必须高于新止损价，金额须大于0",IF(AND(B649&gt;1,COUNTIFS($A$2:$A$1001,A649,$B$2:$B$1001,B649-1,$G$2:$G$1001,"&gt;0")=0),"违规：须先完成上一次加仓",IF(AND(B649&gt;1,E649&lt;SUMIFS($E$2:$E$1001,$A$2:$A$1001,A649,$B$2:$B$1001,B649-1)),"违规：新止损价不得低于上一次",IF(AND(B649&gt;1,F649&gt;SUMIFS($F$2:$F$1001,$A$2:$A$1001,A649,$B$2:$B$1001,B649-1)),"违规：风险预算须逐次不增加",IF(OR(_LockStatus="已锁仓",_LockStatus="解锁信息不完整"),"违规：锁仓期间禁止加仓",IF(G649="","计划可执行：建议股数见N列",IF(OR(G649&lt;=0,G649&lt;&gt;INT(G649),MOD(G649,100)&lt;&gt;0),"违规：实际股数须为100股整数倍",IF(G649&gt;N649,"违规：实际股数超过风险或金字塔上限",IF(AND(B649&gt;1,G649&gt;SUMIFS($G$2:$G$1001,$A$2:$A$1001,A649,$B$2:$B$1001,B649-1)),"违规：加仓股数须逐次不增加",IF(Q649&gt;F649,"违规：止损风险超过本次预算","通过")))))))))))))))</f>
        <v/>
      </c>
    </row>
    <row r="650" customFormat="false" ht="15" hidden="false" customHeight="false" outlineLevel="0" collapsed="false">
      <c r="A650" s="20"/>
      <c r="B650" s="21"/>
      <c r="C650" s="22"/>
      <c r="D650" s="23"/>
      <c r="E650" s="23"/>
      <c r="F650" s="23"/>
      <c r="G650" s="21"/>
      <c r="H650" s="24" t="str">
        <f aca="false">IF(OR(A650="",D650="",G650=""),"",D650*G650)</f>
        <v/>
      </c>
      <c r="I650" s="25" t="str">
        <f aca="false">IF(OR(A650="",B650=""),"",IFERROR(LOOKUP(2,1/(单次交易!$A$2:$A$201=A650),单次交易!$H$2:$H$201),0)+SUMIFS($G$2:$G$1001,$A$2:$A$1001,A650,$B$2:$B$1001,"&lt;"&amp;B650))</f>
        <v/>
      </c>
      <c r="J650" s="24" t="str">
        <f aca="false">IF(OR(A650="",B650=""),"",IFERROR(LOOKUP(2,1/(单次交易!$A$2:$A$201=A650),单次交易!$E$2:$E$201)*LOOKUP(2,1/(单次交易!$A$2:$A$201=A650),单次交易!$H$2:$H$201),0)+SUMIFS($H$2:$H$1001,$A$2:$A$1001,A650,$B$2:$B$1001,"&lt;"&amp;B650))</f>
        <v/>
      </c>
      <c r="K650" s="24" t="str">
        <f aca="false">IF(OR(E650="",I650="",J650=""),"",MAX(E650*I650-J650,0))</f>
        <v/>
      </c>
      <c r="L650" s="25" t="str">
        <f aca="false">IF(OR(D650="",E650="",F650="",D650&lt;=E650),"",FLOOR((F650+K650)/(D650-E650),100))</f>
        <v/>
      </c>
      <c r="M650" s="25" t="str">
        <f aca="false">IF(OR(A650="",B650="",L650=""),"",IF(B650=1,L650,IFERROR(SUMIFS($G$2:$G$1001,$A$2:$A$1001,A650,$B$2:$B$1001,B650-1),0)))</f>
        <v/>
      </c>
      <c r="N650" s="25" t="str">
        <f aca="false">IF(OR(L650="",M650=""),"",MIN(L650,M650))</f>
        <v/>
      </c>
      <c r="O650" s="25" t="str">
        <f aca="false">IF(OR(I650="",G650=""),"",I650+G650)</f>
        <v/>
      </c>
      <c r="P650" s="24" t="str">
        <f aca="false">IF(OR(O650="",O650=0),"",(J650+H650)/O650)</f>
        <v/>
      </c>
      <c r="Q650" s="24" t="str">
        <f aca="false">IF(OR(O650="",E650=""),"",MAX(J650+H650-E650*O650,0))</f>
        <v/>
      </c>
      <c r="R650" s="26" t="str">
        <f aca="false">IF(A650="","",IF(COUNTIF(_TradeIds,A650)=0,"违规：交易编号不存在",IF(OR(B650="",B650&lt;1,B650&gt;5,B650&lt;&gt;INT(B650)),"违规：加仓序号须为1到5的整数",IF(COUNTIFS($A$2:$A$1001,A650,$B$2:$B$1001,B650)&gt;1,"违规：同一交易的加仓序号重复",IF(OR(D650="",E650="",F650=""),"计划不完整：请填写加仓价、新止损价和风险预算",IF(OR(D650&lt;=0,E650&lt;=0,F650&lt;=0,D650&lt;=E650),"违规：加仓价必须高于新止损价，金额须大于0",IF(AND(B650&gt;1,COUNTIFS($A$2:$A$1001,A650,$B$2:$B$1001,B650-1,$G$2:$G$1001,"&gt;0")=0),"违规：须先完成上一次加仓",IF(AND(B650&gt;1,E650&lt;SUMIFS($E$2:$E$1001,$A$2:$A$1001,A650,$B$2:$B$1001,B650-1)),"违规：新止损价不得低于上一次",IF(AND(B650&gt;1,F650&gt;SUMIFS($F$2:$F$1001,$A$2:$A$1001,A650,$B$2:$B$1001,B650-1)),"违规：风险预算须逐次不增加",IF(OR(_LockStatus="已锁仓",_LockStatus="解锁信息不完整"),"违规：锁仓期间禁止加仓",IF(G650="","计划可执行：建议股数见N列",IF(OR(G650&lt;=0,G650&lt;&gt;INT(G650),MOD(G650,100)&lt;&gt;0),"违规：实际股数须为100股整数倍",IF(G650&gt;N650,"违规：实际股数超过风险或金字塔上限",IF(AND(B650&gt;1,G650&gt;SUMIFS($G$2:$G$1001,$A$2:$A$1001,A650,$B$2:$B$1001,B650-1)),"违规：加仓股数须逐次不增加",IF(Q650&gt;F650,"违规：止损风险超过本次预算","通过")))))))))))))))</f>
        <v/>
      </c>
    </row>
    <row r="651" customFormat="false" ht="15" hidden="false" customHeight="false" outlineLevel="0" collapsed="false">
      <c r="A651" s="20"/>
      <c r="B651" s="21"/>
      <c r="C651" s="22"/>
      <c r="D651" s="23"/>
      <c r="E651" s="23"/>
      <c r="F651" s="23"/>
      <c r="G651" s="21"/>
      <c r="H651" s="24" t="str">
        <f aca="false">IF(OR(A651="",D651="",G651=""),"",D651*G651)</f>
        <v/>
      </c>
      <c r="I651" s="25" t="str">
        <f aca="false">IF(OR(A651="",B651=""),"",IFERROR(LOOKUP(2,1/(单次交易!$A$2:$A$201=A651),单次交易!$H$2:$H$201),0)+SUMIFS($G$2:$G$1001,$A$2:$A$1001,A651,$B$2:$B$1001,"&lt;"&amp;B651))</f>
        <v/>
      </c>
      <c r="J651" s="24" t="str">
        <f aca="false">IF(OR(A651="",B651=""),"",IFERROR(LOOKUP(2,1/(单次交易!$A$2:$A$201=A651),单次交易!$E$2:$E$201)*LOOKUP(2,1/(单次交易!$A$2:$A$201=A651),单次交易!$H$2:$H$201),0)+SUMIFS($H$2:$H$1001,$A$2:$A$1001,A651,$B$2:$B$1001,"&lt;"&amp;B651))</f>
        <v/>
      </c>
      <c r="K651" s="24" t="str">
        <f aca="false">IF(OR(E651="",I651="",J651=""),"",MAX(E651*I651-J651,0))</f>
        <v/>
      </c>
      <c r="L651" s="25" t="str">
        <f aca="false">IF(OR(D651="",E651="",F651="",D651&lt;=E651),"",FLOOR((F651+K651)/(D651-E651),100))</f>
        <v/>
      </c>
      <c r="M651" s="25" t="str">
        <f aca="false">IF(OR(A651="",B651="",L651=""),"",IF(B651=1,L651,IFERROR(SUMIFS($G$2:$G$1001,$A$2:$A$1001,A651,$B$2:$B$1001,B651-1),0)))</f>
        <v/>
      </c>
      <c r="N651" s="25" t="str">
        <f aca="false">IF(OR(L651="",M651=""),"",MIN(L651,M651))</f>
        <v/>
      </c>
      <c r="O651" s="25" t="str">
        <f aca="false">IF(OR(I651="",G651=""),"",I651+G651)</f>
        <v/>
      </c>
      <c r="P651" s="24" t="str">
        <f aca="false">IF(OR(O651="",O651=0),"",(J651+H651)/O651)</f>
        <v/>
      </c>
      <c r="Q651" s="24" t="str">
        <f aca="false">IF(OR(O651="",E651=""),"",MAX(J651+H651-E651*O651,0))</f>
        <v/>
      </c>
      <c r="R651" s="26" t="str">
        <f aca="false">IF(A651="","",IF(COUNTIF(_TradeIds,A651)=0,"违规：交易编号不存在",IF(OR(B651="",B651&lt;1,B651&gt;5,B651&lt;&gt;INT(B651)),"违规：加仓序号须为1到5的整数",IF(COUNTIFS($A$2:$A$1001,A651,$B$2:$B$1001,B651)&gt;1,"违规：同一交易的加仓序号重复",IF(OR(D651="",E651="",F651=""),"计划不完整：请填写加仓价、新止损价和风险预算",IF(OR(D651&lt;=0,E651&lt;=0,F651&lt;=0,D651&lt;=E651),"违规：加仓价必须高于新止损价，金额须大于0",IF(AND(B651&gt;1,COUNTIFS($A$2:$A$1001,A651,$B$2:$B$1001,B651-1,$G$2:$G$1001,"&gt;0")=0),"违规：须先完成上一次加仓",IF(AND(B651&gt;1,E651&lt;SUMIFS($E$2:$E$1001,$A$2:$A$1001,A651,$B$2:$B$1001,B651-1)),"违规：新止损价不得低于上一次",IF(AND(B651&gt;1,F651&gt;SUMIFS($F$2:$F$1001,$A$2:$A$1001,A651,$B$2:$B$1001,B651-1)),"违规：风险预算须逐次不增加",IF(OR(_LockStatus="已锁仓",_LockStatus="解锁信息不完整"),"违规：锁仓期间禁止加仓",IF(G651="","计划可执行：建议股数见N列",IF(OR(G651&lt;=0,G651&lt;&gt;INT(G651),MOD(G651,100)&lt;&gt;0),"违规：实际股数须为100股整数倍",IF(G651&gt;N651,"违规：实际股数超过风险或金字塔上限",IF(AND(B651&gt;1,G651&gt;SUMIFS($G$2:$G$1001,$A$2:$A$1001,A651,$B$2:$B$1001,B651-1)),"违规：加仓股数须逐次不增加",IF(Q651&gt;F651,"违规：止损风险超过本次预算","通过")))))))))))))))</f>
        <v/>
      </c>
    </row>
    <row r="652" customFormat="false" ht="15" hidden="false" customHeight="false" outlineLevel="0" collapsed="false">
      <c r="A652" s="20"/>
      <c r="B652" s="21"/>
      <c r="C652" s="22"/>
      <c r="D652" s="23"/>
      <c r="E652" s="23"/>
      <c r="F652" s="23"/>
      <c r="G652" s="21"/>
      <c r="H652" s="24" t="str">
        <f aca="false">IF(OR(A652="",D652="",G652=""),"",D652*G652)</f>
        <v/>
      </c>
      <c r="I652" s="25" t="str">
        <f aca="false">IF(OR(A652="",B652=""),"",IFERROR(LOOKUP(2,1/(单次交易!$A$2:$A$201=A652),单次交易!$H$2:$H$201),0)+SUMIFS($G$2:$G$1001,$A$2:$A$1001,A652,$B$2:$B$1001,"&lt;"&amp;B652))</f>
        <v/>
      </c>
      <c r="J652" s="24" t="str">
        <f aca="false">IF(OR(A652="",B652=""),"",IFERROR(LOOKUP(2,1/(单次交易!$A$2:$A$201=A652),单次交易!$E$2:$E$201)*LOOKUP(2,1/(单次交易!$A$2:$A$201=A652),单次交易!$H$2:$H$201),0)+SUMIFS($H$2:$H$1001,$A$2:$A$1001,A652,$B$2:$B$1001,"&lt;"&amp;B652))</f>
        <v/>
      </c>
      <c r="K652" s="24" t="str">
        <f aca="false">IF(OR(E652="",I652="",J652=""),"",MAX(E652*I652-J652,0))</f>
        <v/>
      </c>
      <c r="L652" s="25" t="str">
        <f aca="false">IF(OR(D652="",E652="",F652="",D652&lt;=E652),"",FLOOR((F652+K652)/(D652-E652),100))</f>
        <v/>
      </c>
      <c r="M652" s="25" t="str">
        <f aca="false">IF(OR(A652="",B652="",L652=""),"",IF(B652=1,L652,IFERROR(SUMIFS($G$2:$G$1001,$A$2:$A$1001,A652,$B$2:$B$1001,B652-1),0)))</f>
        <v/>
      </c>
      <c r="N652" s="25" t="str">
        <f aca="false">IF(OR(L652="",M652=""),"",MIN(L652,M652))</f>
        <v/>
      </c>
      <c r="O652" s="25" t="str">
        <f aca="false">IF(OR(I652="",G652=""),"",I652+G652)</f>
        <v/>
      </c>
      <c r="P652" s="24" t="str">
        <f aca="false">IF(OR(O652="",O652=0),"",(J652+H652)/O652)</f>
        <v/>
      </c>
      <c r="Q652" s="24" t="str">
        <f aca="false">IF(OR(O652="",E652=""),"",MAX(J652+H652-E652*O652,0))</f>
        <v/>
      </c>
      <c r="R652" s="26" t="str">
        <f aca="false">IF(A652="","",IF(COUNTIF(_TradeIds,A652)=0,"违规：交易编号不存在",IF(OR(B652="",B652&lt;1,B652&gt;5,B652&lt;&gt;INT(B652)),"违规：加仓序号须为1到5的整数",IF(COUNTIFS($A$2:$A$1001,A652,$B$2:$B$1001,B652)&gt;1,"违规：同一交易的加仓序号重复",IF(OR(D652="",E652="",F652=""),"计划不完整：请填写加仓价、新止损价和风险预算",IF(OR(D652&lt;=0,E652&lt;=0,F652&lt;=0,D652&lt;=E652),"违规：加仓价必须高于新止损价，金额须大于0",IF(AND(B652&gt;1,COUNTIFS($A$2:$A$1001,A652,$B$2:$B$1001,B652-1,$G$2:$G$1001,"&gt;0")=0),"违规：须先完成上一次加仓",IF(AND(B652&gt;1,E652&lt;SUMIFS($E$2:$E$1001,$A$2:$A$1001,A652,$B$2:$B$1001,B652-1)),"违规：新止损价不得低于上一次",IF(AND(B652&gt;1,F652&gt;SUMIFS($F$2:$F$1001,$A$2:$A$1001,A652,$B$2:$B$1001,B652-1)),"违规：风险预算须逐次不增加",IF(OR(_LockStatus="已锁仓",_LockStatus="解锁信息不完整"),"违规：锁仓期间禁止加仓",IF(G652="","计划可执行：建议股数见N列",IF(OR(G652&lt;=0,G652&lt;&gt;INT(G652),MOD(G652,100)&lt;&gt;0),"违规：实际股数须为100股整数倍",IF(G652&gt;N652,"违规：实际股数超过风险或金字塔上限",IF(AND(B652&gt;1,G652&gt;SUMIFS($G$2:$G$1001,$A$2:$A$1001,A652,$B$2:$B$1001,B652-1)),"违规：加仓股数须逐次不增加",IF(Q652&gt;F652,"违规：止损风险超过本次预算","通过")))))))))))))))</f>
        <v/>
      </c>
    </row>
    <row r="653" customFormat="false" ht="15" hidden="false" customHeight="false" outlineLevel="0" collapsed="false">
      <c r="A653" s="20"/>
      <c r="B653" s="21"/>
      <c r="C653" s="22"/>
      <c r="D653" s="23"/>
      <c r="E653" s="23"/>
      <c r="F653" s="23"/>
      <c r="G653" s="21"/>
      <c r="H653" s="24" t="str">
        <f aca="false">IF(OR(A653="",D653="",G653=""),"",D653*G653)</f>
        <v/>
      </c>
      <c r="I653" s="25" t="str">
        <f aca="false">IF(OR(A653="",B653=""),"",IFERROR(LOOKUP(2,1/(单次交易!$A$2:$A$201=A653),单次交易!$H$2:$H$201),0)+SUMIFS($G$2:$G$1001,$A$2:$A$1001,A653,$B$2:$B$1001,"&lt;"&amp;B653))</f>
        <v/>
      </c>
      <c r="J653" s="24" t="str">
        <f aca="false">IF(OR(A653="",B653=""),"",IFERROR(LOOKUP(2,1/(单次交易!$A$2:$A$201=A653),单次交易!$E$2:$E$201)*LOOKUP(2,1/(单次交易!$A$2:$A$201=A653),单次交易!$H$2:$H$201),0)+SUMIFS($H$2:$H$1001,$A$2:$A$1001,A653,$B$2:$B$1001,"&lt;"&amp;B653))</f>
        <v/>
      </c>
      <c r="K653" s="24" t="str">
        <f aca="false">IF(OR(E653="",I653="",J653=""),"",MAX(E653*I653-J653,0))</f>
        <v/>
      </c>
      <c r="L653" s="25" t="str">
        <f aca="false">IF(OR(D653="",E653="",F653="",D653&lt;=E653),"",FLOOR((F653+K653)/(D653-E653),100))</f>
        <v/>
      </c>
      <c r="M653" s="25" t="str">
        <f aca="false">IF(OR(A653="",B653="",L653=""),"",IF(B653=1,L653,IFERROR(SUMIFS($G$2:$G$1001,$A$2:$A$1001,A653,$B$2:$B$1001,B653-1),0)))</f>
        <v/>
      </c>
      <c r="N653" s="25" t="str">
        <f aca="false">IF(OR(L653="",M653=""),"",MIN(L653,M653))</f>
        <v/>
      </c>
      <c r="O653" s="25" t="str">
        <f aca="false">IF(OR(I653="",G653=""),"",I653+G653)</f>
        <v/>
      </c>
      <c r="P653" s="24" t="str">
        <f aca="false">IF(OR(O653="",O653=0),"",(J653+H653)/O653)</f>
        <v/>
      </c>
      <c r="Q653" s="24" t="str">
        <f aca="false">IF(OR(O653="",E653=""),"",MAX(J653+H653-E653*O653,0))</f>
        <v/>
      </c>
      <c r="R653" s="26" t="str">
        <f aca="false">IF(A653="","",IF(COUNTIF(_TradeIds,A653)=0,"违规：交易编号不存在",IF(OR(B653="",B653&lt;1,B653&gt;5,B653&lt;&gt;INT(B653)),"违规：加仓序号须为1到5的整数",IF(COUNTIFS($A$2:$A$1001,A653,$B$2:$B$1001,B653)&gt;1,"违规：同一交易的加仓序号重复",IF(OR(D653="",E653="",F653=""),"计划不完整：请填写加仓价、新止损价和风险预算",IF(OR(D653&lt;=0,E653&lt;=0,F653&lt;=0,D653&lt;=E653),"违规：加仓价必须高于新止损价，金额须大于0",IF(AND(B653&gt;1,COUNTIFS($A$2:$A$1001,A653,$B$2:$B$1001,B653-1,$G$2:$G$1001,"&gt;0")=0),"违规：须先完成上一次加仓",IF(AND(B653&gt;1,E653&lt;SUMIFS($E$2:$E$1001,$A$2:$A$1001,A653,$B$2:$B$1001,B653-1)),"违规：新止损价不得低于上一次",IF(AND(B653&gt;1,F653&gt;SUMIFS($F$2:$F$1001,$A$2:$A$1001,A653,$B$2:$B$1001,B653-1)),"违规：风险预算须逐次不增加",IF(OR(_LockStatus="已锁仓",_LockStatus="解锁信息不完整"),"违规：锁仓期间禁止加仓",IF(G653="","计划可执行：建议股数见N列",IF(OR(G653&lt;=0,G653&lt;&gt;INT(G653),MOD(G653,100)&lt;&gt;0),"违规：实际股数须为100股整数倍",IF(G653&gt;N653,"违规：实际股数超过风险或金字塔上限",IF(AND(B653&gt;1,G653&gt;SUMIFS($G$2:$G$1001,$A$2:$A$1001,A653,$B$2:$B$1001,B653-1)),"违规：加仓股数须逐次不增加",IF(Q653&gt;F653,"违规：止损风险超过本次预算","通过")))))))))))))))</f>
        <v/>
      </c>
    </row>
    <row r="654" customFormat="false" ht="15" hidden="false" customHeight="false" outlineLevel="0" collapsed="false">
      <c r="A654" s="20"/>
      <c r="B654" s="21"/>
      <c r="C654" s="22"/>
      <c r="D654" s="23"/>
      <c r="E654" s="23"/>
      <c r="F654" s="23"/>
      <c r="G654" s="21"/>
      <c r="H654" s="24" t="str">
        <f aca="false">IF(OR(A654="",D654="",G654=""),"",D654*G654)</f>
        <v/>
      </c>
      <c r="I654" s="25" t="str">
        <f aca="false">IF(OR(A654="",B654=""),"",IFERROR(LOOKUP(2,1/(单次交易!$A$2:$A$201=A654),单次交易!$H$2:$H$201),0)+SUMIFS($G$2:$G$1001,$A$2:$A$1001,A654,$B$2:$B$1001,"&lt;"&amp;B654))</f>
        <v/>
      </c>
      <c r="J654" s="24" t="str">
        <f aca="false">IF(OR(A654="",B654=""),"",IFERROR(LOOKUP(2,1/(单次交易!$A$2:$A$201=A654),单次交易!$E$2:$E$201)*LOOKUP(2,1/(单次交易!$A$2:$A$201=A654),单次交易!$H$2:$H$201),0)+SUMIFS($H$2:$H$1001,$A$2:$A$1001,A654,$B$2:$B$1001,"&lt;"&amp;B654))</f>
        <v/>
      </c>
      <c r="K654" s="24" t="str">
        <f aca="false">IF(OR(E654="",I654="",J654=""),"",MAX(E654*I654-J654,0))</f>
        <v/>
      </c>
      <c r="L654" s="25" t="str">
        <f aca="false">IF(OR(D654="",E654="",F654="",D654&lt;=E654),"",FLOOR((F654+K654)/(D654-E654),100))</f>
        <v/>
      </c>
      <c r="M654" s="25" t="str">
        <f aca="false">IF(OR(A654="",B654="",L654=""),"",IF(B654=1,L654,IFERROR(SUMIFS($G$2:$G$1001,$A$2:$A$1001,A654,$B$2:$B$1001,B654-1),0)))</f>
        <v/>
      </c>
      <c r="N654" s="25" t="str">
        <f aca="false">IF(OR(L654="",M654=""),"",MIN(L654,M654))</f>
        <v/>
      </c>
      <c r="O654" s="25" t="str">
        <f aca="false">IF(OR(I654="",G654=""),"",I654+G654)</f>
        <v/>
      </c>
      <c r="P654" s="24" t="str">
        <f aca="false">IF(OR(O654="",O654=0),"",(J654+H654)/O654)</f>
        <v/>
      </c>
      <c r="Q654" s="24" t="str">
        <f aca="false">IF(OR(O654="",E654=""),"",MAX(J654+H654-E654*O654,0))</f>
        <v/>
      </c>
      <c r="R654" s="26" t="str">
        <f aca="false">IF(A654="","",IF(COUNTIF(_TradeIds,A654)=0,"违规：交易编号不存在",IF(OR(B654="",B654&lt;1,B654&gt;5,B654&lt;&gt;INT(B654)),"违规：加仓序号须为1到5的整数",IF(COUNTIFS($A$2:$A$1001,A654,$B$2:$B$1001,B654)&gt;1,"违规：同一交易的加仓序号重复",IF(OR(D654="",E654="",F654=""),"计划不完整：请填写加仓价、新止损价和风险预算",IF(OR(D654&lt;=0,E654&lt;=0,F654&lt;=0,D654&lt;=E654),"违规：加仓价必须高于新止损价，金额须大于0",IF(AND(B654&gt;1,COUNTIFS($A$2:$A$1001,A654,$B$2:$B$1001,B654-1,$G$2:$G$1001,"&gt;0")=0),"违规：须先完成上一次加仓",IF(AND(B654&gt;1,E654&lt;SUMIFS($E$2:$E$1001,$A$2:$A$1001,A654,$B$2:$B$1001,B654-1)),"违规：新止损价不得低于上一次",IF(AND(B654&gt;1,F654&gt;SUMIFS($F$2:$F$1001,$A$2:$A$1001,A654,$B$2:$B$1001,B654-1)),"违规：风险预算须逐次不增加",IF(OR(_LockStatus="已锁仓",_LockStatus="解锁信息不完整"),"违规：锁仓期间禁止加仓",IF(G654="","计划可执行：建议股数见N列",IF(OR(G654&lt;=0,G654&lt;&gt;INT(G654),MOD(G654,100)&lt;&gt;0),"违规：实际股数须为100股整数倍",IF(G654&gt;N654,"违规：实际股数超过风险或金字塔上限",IF(AND(B654&gt;1,G654&gt;SUMIFS($G$2:$G$1001,$A$2:$A$1001,A654,$B$2:$B$1001,B654-1)),"违规：加仓股数须逐次不增加",IF(Q654&gt;F654,"违规：止损风险超过本次预算","通过")))))))))))))))</f>
        <v/>
      </c>
    </row>
    <row r="655" customFormat="false" ht="15" hidden="false" customHeight="false" outlineLevel="0" collapsed="false">
      <c r="A655" s="20"/>
      <c r="B655" s="21"/>
      <c r="C655" s="22"/>
      <c r="D655" s="23"/>
      <c r="E655" s="23"/>
      <c r="F655" s="23"/>
      <c r="G655" s="21"/>
      <c r="H655" s="24" t="str">
        <f aca="false">IF(OR(A655="",D655="",G655=""),"",D655*G655)</f>
        <v/>
      </c>
      <c r="I655" s="25" t="str">
        <f aca="false">IF(OR(A655="",B655=""),"",IFERROR(LOOKUP(2,1/(单次交易!$A$2:$A$201=A655),单次交易!$H$2:$H$201),0)+SUMIFS($G$2:$G$1001,$A$2:$A$1001,A655,$B$2:$B$1001,"&lt;"&amp;B655))</f>
        <v/>
      </c>
      <c r="J655" s="24" t="str">
        <f aca="false">IF(OR(A655="",B655=""),"",IFERROR(LOOKUP(2,1/(单次交易!$A$2:$A$201=A655),单次交易!$E$2:$E$201)*LOOKUP(2,1/(单次交易!$A$2:$A$201=A655),单次交易!$H$2:$H$201),0)+SUMIFS($H$2:$H$1001,$A$2:$A$1001,A655,$B$2:$B$1001,"&lt;"&amp;B655))</f>
        <v/>
      </c>
      <c r="K655" s="24" t="str">
        <f aca="false">IF(OR(E655="",I655="",J655=""),"",MAX(E655*I655-J655,0))</f>
        <v/>
      </c>
      <c r="L655" s="25" t="str">
        <f aca="false">IF(OR(D655="",E655="",F655="",D655&lt;=E655),"",FLOOR((F655+K655)/(D655-E655),100))</f>
        <v/>
      </c>
      <c r="M655" s="25" t="str">
        <f aca="false">IF(OR(A655="",B655="",L655=""),"",IF(B655=1,L655,IFERROR(SUMIFS($G$2:$G$1001,$A$2:$A$1001,A655,$B$2:$B$1001,B655-1),0)))</f>
        <v/>
      </c>
      <c r="N655" s="25" t="str">
        <f aca="false">IF(OR(L655="",M655=""),"",MIN(L655,M655))</f>
        <v/>
      </c>
      <c r="O655" s="25" t="str">
        <f aca="false">IF(OR(I655="",G655=""),"",I655+G655)</f>
        <v/>
      </c>
      <c r="P655" s="24" t="str">
        <f aca="false">IF(OR(O655="",O655=0),"",(J655+H655)/O655)</f>
        <v/>
      </c>
      <c r="Q655" s="24" t="str">
        <f aca="false">IF(OR(O655="",E655=""),"",MAX(J655+H655-E655*O655,0))</f>
        <v/>
      </c>
      <c r="R655" s="26" t="str">
        <f aca="false">IF(A655="","",IF(COUNTIF(_TradeIds,A655)=0,"违规：交易编号不存在",IF(OR(B655="",B655&lt;1,B655&gt;5,B655&lt;&gt;INT(B655)),"违规：加仓序号须为1到5的整数",IF(COUNTIFS($A$2:$A$1001,A655,$B$2:$B$1001,B655)&gt;1,"违规：同一交易的加仓序号重复",IF(OR(D655="",E655="",F655=""),"计划不完整：请填写加仓价、新止损价和风险预算",IF(OR(D655&lt;=0,E655&lt;=0,F655&lt;=0,D655&lt;=E655),"违规：加仓价必须高于新止损价，金额须大于0",IF(AND(B655&gt;1,COUNTIFS($A$2:$A$1001,A655,$B$2:$B$1001,B655-1,$G$2:$G$1001,"&gt;0")=0),"违规：须先完成上一次加仓",IF(AND(B655&gt;1,E655&lt;SUMIFS($E$2:$E$1001,$A$2:$A$1001,A655,$B$2:$B$1001,B655-1)),"违规：新止损价不得低于上一次",IF(AND(B655&gt;1,F655&gt;SUMIFS($F$2:$F$1001,$A$2:$A$1001,A655,$B$2:$B$1001,B655-1)),"违规：风险预算须逐次不增加",IF(OR(_LockStatus="已锁仓",_LockStatus="解锁信息不完整"),"违规：锁仓期间禁止加仓",IF(G655="","计划可执行：建议股数见N列",IF(OR(G655&lt;=0,G655&lt;&gt;INT(G655),MOD(G655,100)&lt;&gt;0),"违规：实际股数须为100股整数倍",IF(G655&gt;N655,"违规：实际股数超过风险或金字塔上限",IF(AND(B655&gt;1,G655&gt;SUMIFS($G$2:$G$1001,$A$2:$A$1001,A655,$B$2:$B$1001,B655-1)),"违规：加仓股数须逐次不增加",IF(Q655&gt;F655,"违规：止损风险超过本次预算","通过")))))))))))))))</f>
        <v/>
      </c>
    </row>
    <row r="656" customFormat="false" ht="15" hidden="false" customHeight="false" outlineLevel="0" collapsed="false">
      <c r="A656" s="20"/>
      <c r="B656" s="21"/>
      <c r="C656" s="22"/>
      <c r="D656" s="23"/>
      <c r="E656" s="23"/>
      <c r="F656" s="23"/>
      <c r="G656" s="21"/>
      <c r="H656" s="24" t="str">
        <f aca="false">IF(OR(A656="",D656="",G656=""),"",D656*G656)</f>
        <v/>
      </c>
      <c r="I656" s="25" t="str">
        <f aca="false">IF(OR(A656="",B656=""),"",IFERROR(LOOKUP(2,1/(单次交易!$A$2:$A$201=A656),单次交易!$H$2:$H$201),0)+SUMIFS($G$2:$G$1001,$A$2:$A$1001,A656,$B$2:$B$1001,"&lt;"&amp;B656))</f>
        <v/>
      </c>
      <c r="J656" s="24" t="str">
        <f aca="false">IF(OR(A656="",B656=""),"",IFERROR(LOOKUP(2,1/(单次交易!$A$2:$A$201=A656),单次交易!$E$2:$E$201)*LOOKUP(2,1/(单次交易!$A$2:$A$201=A656),单次交易!$H$2:$H$201),0)+SUMIFS($H$2:$H$1001,$A$2:$A$1001,A656,$B$2:$B$1001,"&lt;"&amp;B656))</f>
        <v/>
      </c>
      <c r="K656" s="24" t="str">
        <f aca="false">IF(OR(E656="",I656="",J656=""),"",MAX(E656*I656-J656,0))</f>
        <v/>
      </c>
      <c r="L656" s="25" t="str">
        <f aca="false">IF(OR(D656="",E656="",F656="",D656&lt;=E656),"",FLOOR((F656+K656)/(D656-E656),100))</f>
        <v/>
      </c>
      <c r="M656" s="25" t="str">
        <f aca="false">IF(OR(A656="",B656="",L656=""),"",IF(B656=1,L656,IFERROR(SUMIFS($G$2:$G$1001,$A$2:$A$1001,A656,$B$2:$B$1001,B656-1),0)))</f>
        <v/>
      </c>
      <c r="N656" s="25" t="str">
        <f aca="false">IF(OR(L656="",M656=""),"",MIN(L656,M656))</f>
        <v/>
      </c>
      <c r="O656" s="25" t="str">
        <f aca="false">IF(OR(I656="",G656=""),"",I656+G656)</f>
        <v/>
      </c>
      <c r="P656" s="24" t="str">
        <f aca="false">IF(OR(O656="",O656=0),"",(J656+H656)/O656)</f>
        <v/>
      </c>
      <c r="Q656" s="24" t="str">
        <f aca="false">IF(OR(O656="",E656=""),"",MAX(J656+H656-E656*O656,0))</f>
        <v/>
      </c>
      <c r="R656" s="26" t="str">
        <f aca="false">IF(A656="","",IF(COUNTIF(_TradeIds,A656)=0,"违规：交易编号不存在",IF(OR(B656="",B656&lt;1,B656&gt;5,B656&lt;&gt;INT(B656)),"违规：加仓序号须为1到5的整数",IF(COUNTIFS($A$2:$A$1001,A656,$B$2:$B$1001,B656)&gt;1,"违规：同一交易的加仓序号重复",IF(OR(D656="",E656="",F656=""),"计划不完整：请填写加仓价、新止损价和风险预算",IF(OR(D656&lt;=0,E656&lt;=0,F656&lt;=0,D656&lt;=E656),"违规：加仓价必须高于新止损价，金额须大于0",IF(AND(B656&gt;1,COUNTIFS($A$2:$A$1001,A656,$B$2:$B$1001,B656-1,$G$2:$G$1001,"&gt;0")=0),"违规：须先完成上一次加仓",IF(AND(B656&gt;1,E656&lt;SUMIFS($E$2:$E$1001,$A$2:$A$1001,A656,$B$2:$B$1001,B656-1)),"违规：新止损价不得低于上一次",IF(AND(B656&gt;1,F656&gt;SUMIFS($F$2:$F$1001,$A$2:$A$1001,A656,$B$2:$B$1001,B656-1)),"违规：风险预算须逐次不增加",IF(OR(_LockStatus="已锁仓",_LockStatus="解锁信息不完整"),"违规：锁仓期间禁止加仓",IF(G656="","计划可执行：建议股数见N列",IF(OR(G656&lt;=0,G656&lt;&gt;INT(G656),MOD(G656,100)&lt;&gt;0),"违规：实际股数须为100股整数倍",IF(G656&gt;N656,"违规：实际股数超过风险或金字塔上限",IF(AND(B656&gt;1,G656&gt;SUMIFS($G$2:$G$1001,$A$2:$A$1001,A656,$B$2:$B$1001,B656-1)),"违规：加仓股数须逐次不增加",IF(Q656&gt;F656,"违规：止损风险超过本次预算","通过")))))))))))))))</f>
        <v/>
      </c>
    </row>
    <row r="657" customFormat="false" ht="15" hidden="false" customHeight="false" outlineLevel="0" collapsed="false">
      <c r="A657" s="20"/>
      <c r="B657" s="21"/>
      <c r="C657" s="22"/>
      <c r="D657" s="23"/>
      <c r="E657" s="23"/>
      <c r="F657" s="23"/>
      <c r="G657" s="21"/>
      <c r="H657" s="24" t="str">
        <f aca="false">IF(OR(A657="",D657="",G657=""),"",D657*G657)</f>
        <v/>
      </c>
      <c r="I657" s="25" t="str">
        <f aca="false">IF(OR(A657="",B657=""),"",IFERROR(LOOKUP(2,1/(单次交易!$A$2:$A$201=A657),单次交易!$H$2:$H$201),0)+SUMIFS($G$2:$G$1001,$A$2:$A$1001,A657,$B$2:$B$1001,"&lt;"&amp;B657))</f>
        <v/>
      </c>
      <c r="J657" s="24" t="str">
        <f aca="false">IF(OR(A657="",B657=""),"",IFERROR(LOOKUP(2,1/(单次交易!$A$2:$A$201=A657),单次交易!$E$2:$E$201)*LOOKUP(2,1/(单次交易!$A$2:$A$201=A657),单次交易!$H$2:$H$201),0)+SUMIFS($H$2:$H$1001,$A$2:$A$1001,A657,$B$2:$B$1001,"&lt;"&amp;B657))</f>
        <v/>
      </c>
      <c r="K657" s="24" t="str">
        <f aca="false">IF(OR(E657="",I657="",J657=""),"",MAX(E657*I657-J657,0))</f>
        <v/>
      </c>
      <c r="L657" s="25" t="str">
        <f aca="false">IF(OR(D657="",E657="",F657="",D657&lt;=E657),"",FLOOR((F657+K657)/(D657-E657),100))</f>
        <v/>
      </c>
      <c r="M657" s="25" t="str">
        <f aca="false">IF(OR(A657="",B657="",L657=""),"",IF(B657=1,L657,IFERROR(SUMIFS($G$2:$G$1001,$A$2:$A$1001,A657,$B$2:$B$1001,B657-1),0)))</f>
        <v/>
      </c>
      <c r="N657" s="25" t="str">
        <f aca="false">IF(OR(L657="",M657=""),"",MIN(L657,M657))</f>
        <v/>
      </c>
      <c r="O657" s="25" t="str">
        <f aca="false">IF(OR(I657="",G657=""),"",I657+G657)</f>
        <v/>
      </c>
      <c r="P657" s="24" t="str">
        <f aca="false">IF(OR(O657="",O657=0),"",(J657+H657)/O657)</f>
        <v/>
      </c>
      <c r="Q657" s="24" t="str">
        <f aca="false">IF(OR(O657="",E657=""),"",MAX(J657+H657-E657*O657,0))</f>
        <v/>
      </c>
      <c r="R657" s="26" t="str">
        <f aca="false">IF(A657="","",IF(COUNTIF(_TradeIds,A657)=0,"违规：交易编号不存在",IF(OR(B657="",B657&lt;1,B657&gt;5,B657&lt;&gt;INT(B657)),"违规：加仓序号须为1到5的整数",IF(COUNTIFS($A$2:$A$1001,A657,$B$2:$B$1001,B657)&gt;1,"违规：同一交易的加仓序号重复",IF(OR(D657="",E657="",F657=""),"计划不完整：请填写加仓价、新止损价和风险预算",IF(OR(D657&lt;=0,E657&lt;=0,F657&lt;=0,D657&lt;=E657),"违规：加仓价必须高于新止损价，金额须大于0",IF(AND(B657&gt;1,COUNTIFS($A$2:$A$1001,A657,$B$2:$B$1001,B657-1,$G$2:$G$1001,"&gt;0")=0),"违规：须先完成上一次加仓",IF(AND(B657&gt;1,E657&lt;SUMIFS($E$2:$E$1001,$A$2:$A$1001,A657,$B$2:$B$1001,B657-1)),"违规：新止损价不得低于上一次",IF(AND(B657&gt;1,F657&gt;SUMIFS($F$2:$F$1001,$A$2:$A$1001,A657,$B$2:$B$1001,B657-1)),"违规：风险预算须逐次不增加",IF(OR(_LockStatus="已锁仓",_LockStatus="解锁信息不完整"),"违规：锁仓期间禁止加仓",IF(G657="","计划可执行：建议股数见N列",IF(OR(G657&lt;=0,G657&lt;&gt;INT(G657),MOD(G657,100)&lt;&gt;0),"违规：实际股数须为100股整数倍",IF(G657&gt;N657,"违规：实际股数超过风险或金字塔上限",IF(AND(B657&gt;1,G657&gt;SUMIFS($G$2:$G$1001,$A$2:$A$1001,A657,$B$2:$B$1001,B657-1)),"违规：加仓股数须逐次不增加",IF(Q657&gt;F657,"违规：止损风险超过本次预算","通过")))))))))))))))</f>
        <v/>
      </c>
    </row>
    <row r="658" customFormat="false" ht="15" hidden="false" customHeight="false" outlineLevel="0" collapsed="false">
      <c r="A658" s="20"/>
      <c r="B658" s="21"/>
      <c r="C658" s="22"/>
      <c r="D658" s="23"/>
      <c r="E658" s="23"/>
      <c r="F658" s="23"/>
      <c r="G658" s="21"/>
      <c r="H658" s="24" t="str">
        <f aca="false">IF(OR(A658="",D658="",G658=""),"",D658*G658)</f>
        <v/>
      </c>
      <c r="I658" s="25" t="str">
        <f aca="false">IF(OR(A658="",B658=""),"",IFERROR(LOOKUP(2,1/(单次交易!$A$2:$A$201=A658),单次交易!$H$2:$H$201),0)+SUMIFS($G$2:$G$1001,$A$2:$A$1001,A658,$B$2:$B$1001,"&lt;"&amp;B658))</f>
        <v/>
      </c>
      <c r="J658" s="24" t="str">
        <f aca="false">IF(OR(A658="",B658=""),"",IFERROR(LOOKUP(2,1/(单次交易!$A$2:$A$201=A658),单次交易!$E$2:$E$201)*LOOKUP(2,1/(单次交易!$A$2:$A$201=A658),单次交易!$H$2:$H$201),0)+SUMIFS($H$2:$H$1001,$A$2:$A$1001,A658,$B$2:$B$1001,"&lt;"&amp;B658))</f>
        <v/>
      </c>
      <c r="K658" s="24" t="str">
        <f aca="false">IF(OR(E658="",I658="",J658=""),"",MAX(E658*I658-J658,0))</f>
        <v/>
      </c>
      <c r="L658" s="25" t="str">
        <f aca="false">IF(OR(D658="",E658="",F658="",D658&lt;=E658),"",FLOOR((F658+K658)/(D658-E658),100))</f>
        <v/>
      </c>
      <c r="M658" s="25" t="str">
        <f aca="false">IF(OR(A658="",B658="",L658=""),"",IF(B658=1,L658,IFERROR(SUMIFS($G$2:$G$1001,$A$2:$A$1001,A658,$B$2:$B$1001,B658-1),0)))</f>
        <v/>
      </c>
      <c r="N658" s="25" t="str">
        <f aca="false">IF(OR(L658="",M658=""),"",MIN(L658,M658))</f>
        <v/>
      </c>
      <c r="O658" s="25" t="str">
        <f aca="false">IF(OR(I658="",G658=""),"",I658+G658)</f>
        <v/>
      </c>
      <c r="P658" s="24" t="str">
        <f aca="false">IF(OR(O658="",O658=0),"",(J658+H658)/O658)</f>
        <v/>
      </c>
      <c r="Q658" s="24" t="str">
        <f aca="false">IF(OR(O658="",E658=""),"",MAX(J658+H658-E658*O658,0))</f>
        <v/>
      </c>
      <c r="R658" s="26" t="str">
        <f aca="false">IF(A658="","",IF(COUNTIF(_TradeIds,A658)=0,"违规：交易编号不存在",IF(OR(B658="",B658&lt;1,B658&gt;5,B658&lt;&gt;INT(B658)),"违规：加仓序号须为1到5的整数",IF(COUNTIFS($A$2:$A$1001,A658,$B$2:$B$1001,B658)&gt;1,"违规：同一交易的加仓序号重复",IF(OR(D658="",E658="",F658=""),"计划不完整：请填写加仓价、新止损价和风险预算",IF(OR(D658&lt;=0,E658&lt;=0,F658&lt;=0,D658&lt;=E658),"违规：加仓价必须高于新止损价，金额须大于0",IF(AND(B658&gt;1,COUNTIFS($A$2:$A$1001,A658,$B$2:$B$1001,B658-1,$G$2:$G$1001,"&gt;0")=0),"违规：须先完成上一次加仓",IF(AND(B658&gt;1,E658&lt;SUMIFS($E$2:$E$1001,$A$2:$A$1001,A658,$B$2:$B$1001,B658-1)),"违规：新止损价不得低于上一次",IF(AND(B658&gt;1,F658&gt;SUMIFS($F$2:$F$1001,$A$2:$A$1001,A658,$B$2:$B$1001,B658-1)),"违规：风险预算须逐次不增加",IF(OR(_LockStatus="已锁仓",_LockStatus="解锁信息不完整"),"违规：锁仓期间禁止加仓",IF(G658="","计划可执行：建议股数见N列",IF(OR(G658&lt;=0,G658&lt;&gt;INT(G658),MOD(G658,100)&lt;&gt;0),"违规：实际股数须为100股整数倍",IF(G658&gt;N658,"违规：实际股数超过风险或金字塔上限",IF(AND(B658&gt;1,G658&gt;SUMIFS($G$2:$G$1001,$A$2:$A$1001,A658,$B$2:$B$1001,B658-1)),"违规：加仓股数须逐次不增加",IF(Q658&gt;F658,"违规：止损风险超过本次预算","通过")))))))))))))))</f>
        <v/>
      </c>
    </row>
    <row r="659" customFormat="false" ht="15" hidden="false" customHeight="false" outlineLevel="0" collapsed="false">
      <c r="A659" s="20"/>
      <c r="B659" s="21"/>
      <c r="C659" s="22"/>
      <c r="D659" s="23"/>
      <c r="E659" s="23"/>
      <c r="F659" s="23"/>
      <c r="G659" s="21"/>
      <c r="H659" s="24" t="str">
        <f aca="false">IF(OR(A659="",D659="",G659=""),"",D659*G659)</f>
        <v/>
      </c>
      <c r="I659" s="25" t="str">
        <f aca="false">IF(OR(A659="",B659=""),"",IFERROR(LOOKUP(2,1/(单次交易!$A$2:$A$201=A659),单次交易!$H$2:$H$201),0)+SUMIFS($G$2:$G$1001,$A$2:$A$1001,A659,$B$2:$B$1001,"&lt;"&amp;B659))</f>
        <v/>
      </c>
      <c r="J659" s="24" t="str">
        <f aca="false">IF(OR(A659="",B659=""),"",IFERROR(LOOKUP(2,1/(单次交易!$A$2:$A$201=A659),单次交易!$E$2:$E$201)*LOOKUP(2,1/(单次交易!$A$2:$A$201=A659),单次交易!$H$2:$H$201),0)+SUMIFS($H$2:$H$1001,$A$2:$A$1001,A659,$B$2:$B$1001,"&lt;"&amp;B659))</f>
        <v/>
      </c>
      <c r="K659" s="24" t="str">
        <f aca="false">IF(OR(E659="",I659="",J659=""),"",MAX(E659*I659-J659,0))</f>
        <v/>
      </c>
      <c r="L659" s="25" t="str">
        <f aca="false">IF(OR(D659="",E659="",F659="",D659&lt;=E659),"",FLOOR((F659+K659)/(D659-E659),100))</f>
        <v/>
      </c>
      <c r="M659" s="25" t="str">
        <f aca="false">IF(OR(A659="",B659="",L659=""),"",IF(B659=1,L659,IFERROR(SUMIFS($G$2:$G$1001,$A$2:$A$1001,A659,$B$2:$B$1001,B659-1),0)))</f>
        <v/>
      </c>
      <c r="N659" s="25" t="str">
        <f aca="false">IF(OR(L659="",M659=""),"",MIN(L659,M659))</f>
        <v/>
      </c>
      <c r="O659" s="25" t="str">
        <f aca="false">IF(OR(I659="",G659=""),"",I659+G659)</f>
        <v/>
      </c>
      <c r="P659" s="24" t="str">
        <f aca="false">IF(OR(O659="",O659=0),"",(J659+H659)/O659)</f>
        <v/>
      </c>
      <c r="Q659" s="24" t="str">
        <f aca="false">IF(OR(O659="",E659=""),"",MAX(J659+H659-E659*O659,0))</f>
        <v/>
      </c>
      <c r="R659" s="26" t="str">
        <f aca="false">IF(A659="","",IF(COUNTIF(_TradeIds,A659)=0,"违规：交易编号不存在",IF(OR(B659="",B659&lt;1,B659&gt;5,B659&lt;&gt;INT(B659)),"违规：加仓序号须为1到5的整数",IF(COUNTIFS($A$2:$A$1001,A659,$B$2:$B$1001,B659)&gt;1,"违规：同一交易的加仓序号重复",IF(OR(D659="",E659="",F659=""),"计划不完整：请填写加仓价、新止损价和风险预算",IF(OR(D659&lt;=0,E659&lt;=0,F659&lt;=0,D659&lt;=E659),"违规：加仓价必须高于新止损价，金额须大于0",IF(AND(B659&gt;1,COUNTIFS($A$2:$A$1001,A659,$B$2:$B$1001,B659-1,$G$2:$G$1001,"&gt;0")=0),"违规：须先完成上一次加仓",IF(AND(B659&gt;1,E659&lt;SUMIFS($E$2:$E$1001,$A$2:$A$1001,A659,$B$2:$B$1001,B659-1)),"违规：新止损价不得低于上一次",IF(AND(B659&gt;1,F659&gt;SUMIFS($F$2:$F$1001,$A$2:$A$1001,A659,$B$2:$B$1001,B659-1)),"违规：风险预算须逐次不增加",IF(OR(_LockStatus="已锁仓",_LockStatus="解锁信息不完整"),"违规：锁仓期间禁止加仓",IF(G659="","计划可执行：建议股数见N列",IF(OR(G659&lt;=0,G659&lt;&gt;INT(G659),MOD(G659,100)&lt;&gt;0),"违规：实际股数须为100股整数倍",IF(G659&gt;N659,"违规：实际股数超过风险或金字塔上限",IF(AND(B659&gt;1,G659&gt;SUMIFS($G$2:$G$1001,$A$2:$A$1001,A659,$B$2:$B$1001,B659-1)),"违规：加仓股数须逐次不增加",IF(Q659&gt;F659,"违规：止损风险超过本次预算","通过")))))))))))))))</f>
        <v/>
      </c>
    </row>
    <row r="660" customFormat="false" ht="15" hidden="false" customHeight="false" outlineLevel="0" collapsed="false">
      <c r="A660" s="20"/>
      <c r="B660" s="21"/>
      <c r="C660" s="22"/>
      <c r="D660" s="23"/>
      <c r="E660" s="23"/>
      <c r="F660" s="23"/>
      <c r="G660" s="21"/>
      <c r="H660" s="24" t="str">
        <f aca="false">IF(OR(A660="",D660="",G660=""),"",D660*G660)</f>
        <v/>
      </c>
      <c r="I660" s="25" t="str">
        <f aca="false">IF(OR(A660="",B660=""),"",IFERROR(LOOKUP(2,1/(单次交易!$A$2:$A$201=A660),单次交易!$H$2:$H$201),0)+SUMIFS($G$2:$G$1001,$A$2:$A$1001,A660,$B$2:$B$1001,"&lt;"&amp;B660))</f>
        <v/>
      </c>
      <c r="J660" s="24" t="str">
        <f aca="false">IF(OR(A660="",B660=""),"",IFERROR(LOOKUP(2,1/(单次交易!$A$2:$A$201=A660),单次交易!$E$2:$E$201)*LOOKUP(2,1/(单次交易!$A$2:$A$201=A660),单次交易!$H$2:$H$201),0)+SUMIFS($H$2:$H$1001,$A$2:$A$1001,A660,$B$2:$B$1001,"&lt;"&amp;B660))</f>
        <v/>
      </c>
      <c r="K660" s="24" t="str">
        <f aca="false">IF(OR(E660="",I660="",J660=""),"",MAX(E660*I660-J660,0))</f>
        <v/>
      </c>
      <c r="L660" s="25" t="str">
        <f aca="false">IF(OR(D660="",E660="",F660="",D660&lt;=E660),"",FLOOR((F660+K660)/(D660-E660),100))</f>
        <v/>
      </c>
      <c r="M660" s="25" t="str">
        <f aca="false">IF(OR(A660="",B660="",L660=""),"",IF(B660=1,L660,IFERROR(SUMIFS($G$2:$G$1001,$A$2:$A$1001,A660,$B$2:$B$1001,B660-1),0)))</f>
        <v/>
      </c>
      <c r="N660" s="25" t="str">
        <f aca="false">IF(OR(L660="",M660=""),"",MIN(L660,M660))</f>
        <v/>
      </c>
      <c r="O660" s="25" t="str">
        <f aca="false">IF(OR(I660="",G660=""),"",I660+G660)</f>
        <v/>
      </c>
      <c r="P660" s="24" t="str">
        <f aca="false">IF(OR(O660="",O660=0),"",(J660+H660)/O660)</f>
        <v/>
      </c>
      <c r="Q660" s="24" t="str">
        <f aca="false">IF(OR(O660="",E660=""),"",MAX(J660+H660-E660*O660,0))</f>
        <v/>
      </c>
      <c r="R660" s="26" t="str">
        <f aca="false">IF(A660="","",IF(COUNTIF(_TradeIds,A660)=0,"违规：交易编号不存在",IF(OR(B660="",B660&lt;1,B660&gt;5,B660&lt;&gt;INT(B660)),"违规：加仓序号须为1到5的整数",IF(COUNTIFS($A$2:$A$1001,A660,$B$2:$B$1001,B660)&gt;1,"违规：同一交易的加仓序号重复",IF(OR(D660="",E660="",F660=""),"计划不完整：请填写加仓价、新止损价和风险预算",IF(OR(D660&lt;=0,E660&lt;=0,F660&lt;=0,D660&lt;=E660),"违规：加仓价必须高于新止损价，金额须大于0",IF(AND(B660&gt;1,COUNTIFS($A$2:$A$1001,A660,$B$2:$B$1001,B660-1,$G$2:$G$1001,"&gt;0")=0),"违规：须先完成上一次加仓",IF(AND(B660&gt;1,E660&lt;SUMIFS($E$2:$E$1001,$A$2:$A$1001,A660,$B$2:$B$1001,B660-1)),"违规：新止损价不得低于上一次",IF(AND(B660&gt;1,F660&gt;SUMIFS($F$2:$F$1001,$A$2:$A$1001,A660,$B$2:$B$1001,B660-1)),"违规：风险预算须逐次不增加",IF(OR(_LockStatus="已锁仓",_LockStatus="解锁信息不完整"),"违规：锁仓期间禁止加仓",IF(G660="","计划可执行：建议股数见N列",IF(OR(G660&lt;=0,G660&lt;&gt;INT(G660),MOD(G660,100)&lt;&gt;0),"违规：实际股数须为100股整数倍",IF(G660&gt;N660,"违规：实际股数超过风险或金字塔上限",IF(AND(B660&gt;1,G660&gt;SUMIFS($G$2:$G$1001,$A$2:$A$1001,A660,$B$2:$B$1001,B660-1)),"违规：加仓股数须逐次不增加",IF(Q660&gt;F660,"违规：止损风险超过本次预算","通过")))))))))))))))</f>
        <v/>
      </c>
    </row>
    <row r="661" customFormat="false" ht="15" hidden="false" customHeight="false" outlineLevel="0" collapsed="false">
      <c r="A661" s="20"/>
      <c r="B661" s="21"/>
      <c r="C661" s="22"/>
      <c r="D661" s="23"/>
      <c r="E661" s="23"/>
      <c r="F661" s="23"/>
      <c r="G661" s="21"/>
      <c r="H661" s="24" t="str">
        <f aca="false">IF(OR(A661="",D661="",G661=""),"",D661*G661)</f>
        <v/>
      </c>
      <c r="I661" s="25" t="str">
        <f aca="false">IF(OR(A661="",B661=""),"",IFERROR(LOOKUP(2,1/(单次交易!$A$2:$A$201=A661),单次交易!$H$2:$H$201),0)+SUMIFS($G$2:$G$1001,$A$2:$A$1001,A661,$B$2:$B$1001,"&lt;"&amp;B661))</f>
        <v/>
      </c>
      <c r="J661" s="24" t="str">
        <f aca="false">IF(OR(A661="",B661=""),"",IFERROR(LOOKUP(2,1/(单次交易!$A$2:$A$201=A661),单次交易!$E$2:$E$201)*LOOKUP(2,1/(单次交易!$A$2:$A$201=A661),单次交易!$H$2:$H$201),0)+SUMIFS($H$2:$H$1001,$A$2:$A$1001,A661,$B$2:$B$1001,"&lt;"&amp;B661))</f>
        <v/>
      </c>
      <c r="K661" s="24" t="str">
        <f aca="false">IF(OR(E661="",I661="",J661=""),"",MAX(E661*I661-J661,0))</f>
        <v/>
      </c>
      <c r="L661" s="25" t="str">
        <f aca="false">IF(OR(D661="",E661="",F661="",D661&lt;=E661),"",FLOOR((F661+K661)/(D661-E661),100))</f>
        <v/>
      </c>
      <c r="M661" s="25" t="str">
        <f aca="false">IF(OR(A661="",B661="",L661=""),"",IF(B661=1,L661,IFERROR(SUMIFS($G$2:$G$1001,$A$2:$A$1001,A661,$B$2:$B$1001,B661-1),0)))</f>
        <v/>
      </c>
      <c r="N661" s="25" t="str">
        <f aca="false">IF(OR(L661="",M661=""),"",MIN(L661,M661))</f>
        <v/>
      </c>
      <c r="O661" s="25" t="str">
        <f aca="false">IF(OR(I661="",G661=""),"",I661+G661)</f>
        <v/>
      </c>
      <c r="P661" s="24" t="str">
        <f aca="false">IF(OR(O661="",O661=0),"",(J661+H661)/O661)</f>
        <v/>
      </c>
      <c r="Q661" s="24" t="str">
        <f aca="false">IF(OR(O661="",E661=""),"",MAX(J661+H661-E661*O661,0))</f>
        <v/>
      </c>
      <c r="R661" s="26" t="str">
        <f aca="false">IF(A661="","",IF(COUNTIF(_TradeIds,A661)=0,"违规：交易编号不存在",IF(OR(B661="",B661&lt;1,B661&gt;5,B661&lt;&gt;INT(B661)),"违规：加仓序号须为1到5的整数",IF(COUNTIFS($A$2:$A$1001,A661,$B$2:$B$1001,B661)&gt;1,"违规：同一交易的加仓序号重复",IF(OR(D661="",E661="",F661=""),"计划不完整：请填写加仓价、新止损价和风险预算",IF(OR(D661&lt;=0,E661&lt;=0,F661&lt;=0,D661&lt;=E661),"违规：加仓价必须高于新止损价，金额须大于0",IF(AND(B661&gt;1,COUNTIFS($A$2:$A$1001,A661,$B$2:$B$1001,B661-1,$G$2:$G$1001,"&gt;0")=0),"违规：须先完成上一次加仓",IF(AND(B661&gt;1,E661&lt;SUMIFS($E$2:$E$1001,$A$2:$A$1001,A661,$B$2:$B$1001,B661-1)),"违规：新止损价不得低于上一次",IF(AND(B661&gt;1,F661&gt;SUMIFS($F$2:$F$1001,$A$2:$A$1001,A661,$B$2:$B$1001,B661-1)),"违规：风险预算须逐次不增加",IF(OR(_LockStatus="已锁仓",_LockStatus="解锁信息不完整"),"违规：锁仓期间禁止加仓",IF(G661="","计划可执行：建议股数见N列",IF(OR(G661&lt;=0,G661&lt;&gt;INT(G661),MOD(G661,100)&lt;&gt;0),"违规：实际股数须为100股整数倍",IF(G661&gt;N661,"违规：实际股数超过风险或金字塔上限",IF(AND(B661&gt;1,G661&gt;SUMIFS($G$2:$G$1001,$A$2:$A$1001,A661,$B$2:$B$1001,B661-1)),"违规：加仓股数须逐次不增加",IF(Q661&gt;F661,"违规：止损风险超过本次预算","通过")))))))))))))))</f>
        <v/>
      </c>
    </row>
    <row r="662" customFormat="false" ht="15" hidden="false" customHeight="false" outlineLevel="0" collapsed="false">
      <c r="A662" s="20"/>
      <c r="B662" s="21"/>
      <c r="C662" s="22"/>
      <c r="D662" s="23"/>
      <c r="E662" s="23"/>
      <c r="F662" s="23"/>
      <c r="G662" s="21"/>
      <c r="H662" s="24" t="str">
        <f aca="false">IF(OR(A662="",D662="",G662=""),"",D662*G662)</f>
        <v/>
      </c>
      <c r="I662" s="25" t="str">
        <f aca="false">IF(OR(A662="",B662=""),"",IFERROR(LOOKUP(2,1/(单次交易!$A$2:$A$201=A662),单次交易!$H$2:$H$201),0)+SUMIFS($G$2:$G$1001,$A$2:$A$1001,A662,$B$2:$B$1001,"&lt;"&amp;B662))</f>
        <v/>
      </c>
      <c r="J662" s="24" t="str">
        <f aca="false">IF(OR(A662="",B662=""),"",IFERROR(LOOKUP(2,1/(单次交易!$A$2:$A$201=A662),单次交易!$E$2:$E$201)*LOOKUP(2,1/(单次交易!$A$2:$A$201=A662),单次交易!$H$2:$H$201),0)+SUMIFS($H$2:$H$1001,$A$2:$A$1001,A662,$B$2:$B$1001,"&lt;"&amp;B662))</f>
        <v/>
      </c>
      <c r="K662" s="24" t="str">
        <f aca="false">IF(OR(E662="",I662="",J662=""),"",MAX(E662*I662-J662,0))</f>
        <v/>
      </c>
      <c r="L662" s="25" t="str">
        <f aca="false">IF(OR(D662="",E662="",F662="",D662&lt;=E662),"",FLOOR((F662+K662)/(D662-E662),100))</f>
        <v/>
      </c>
      <c r="M662" s="25" t="str">
        <f aca="false">IF(OR(A662="",B662="",L662=""),"",IF(B662=1,L662,IFERROR(SUMIFS($G$2:$G$1001,$A$2:$A$1001,A662,$B$2:$B$1001,B662-1),0)))</f>
        <v/>
      </c>
      <c r="N662" s="25" t="str">
        <f aca="false">IF(OR(L662="",M662=""),"",MIN(L662,M662))</f>
        <v/>
      </c>
      <c r="O662" s="25" t="str">
        <f aca="false">IF(OR(I662="",G662=""),"",I662+G662)</f>
        <v/>
      </c>
      <c r="P662" s="24" t="str">
        <f aca="false">IF(OR(O662="",O662=0),"",(J662+H662)/O662)</f>
        <v/>
      </c>
      <c r="Q662" s="24" t="str">
        <f aca="false">IF(OR(O662="",E662=""),"",MAX(J662+H662-E662*O662,0))</f>
        <v/>
      </c>
      <c r="R662" s="26" t="str">
        <f aca="false">IF(A662="","",IF(COUNTIF(_TradeIds,A662)=0,"违规：交易编号不存在",IF(OR(B662="",B662&lt;1,B662&gt;5,B662&lt;&gt;INT(B662)),"违规：加仓序号须为1到5的整数",IF(COUNTIFS($A$2:$A$1001,A662,$B$2:$B$1001,B662)&gt;1,"违规：同一交易的加仓序号重复",IF(OR(D662="",E662="",F662=""),"计划不完整：请填写加仓价、新止损价和风险预算",IF(OR(D662&lt;=0,E662&lt;=0,F662&lt;=0,D662&lt;=E662),"违规：加仓价必须高于新止损价，金额须大于0",IF(AND(B662&gt;1,COUNTIFS($A$2:$A$1001,A662,$B$2:$B$1001,B662-1,$G$2:$G$1001,"&gt;0")=0),"违规：须先完成上一次加仓",IF(AND(B662&gt;1,E662&lt;SUMIFS($E$2:$E$1001,$A$2:$A$1001,A662,$B$2:$B$1001,B662-1)),"违规：新止损价不得低于上一次",IF(AND(B662&gt;1,F662&gt;SUMIFS($F$2:$F$1001,$A$2:$A$1001,A662,$B$2:$B$1001,B662-1)),"违规：风险预算须逐次不增加",IF(OR(_LockStatus="已锁仓",_LockStatus="解锁信息不完整"),"违规：锁仓期间禁止加仓",IF(G662="","计划可执行：建议股数见N列",IF(OR(G662&lt;=0,G662&lt;&gt;INT(G662),MOD(G662,100)&lt;&gt;0),"违规：实际股数须为100股整数倍",IF(G662&gt;N662,"违规：实际股数超过风险或金字塔上限",IF(AND(B662&gt;1,G662&gt;SUMIFS($G$2:$G$1001,$A$2:$A$1001,A662,$B$2:$B$1001,B662-1)),"违规：加仓股数须逐次不增加",IF(Q662&gt;F662,"违规：止损风险超过本次预算","通过")))))))))))))))</f>
        <v/>
      </c>
    </row>
    <row r="663" customFormat="false" ht="15" hidden="false" customHeight="false" outlineLevel="0" collapsed="false">
      <c r="A663" s="20"/>
      <c r="B663" s="21"/>
      <c r="C663" s="22"/>
      <c r="D663" s="23"/>
      <c r="E663" s="23"/>
      <c r="F663" s="23"/>
      <c r="G663" s="21"/>
      <c r="H663" s="24" t="str">
        <f aca="false">IF(OR(A663="",D663="",G663=""),"",D663*G663)</f>
        <v/>
      </c>
      <c r="I663" s="25" t="str">
        <f aca="false">IF(OR(A663="",B663=""),"",IFERROR(LOOKUP(2,1/(单次交易!$A$2:$A$201=A663),单次交易!$H$2:$H$201),0)+SUMIFS($G$2:$G$1001,$A$2:$A$1001,A663,$B$2:$B$1001,"&lt;"&amp;B663))</f>
        <v/>
      </c>
      <c r="J663" s="24" t="str">
        <f aca="false">IF(OR(A663="",B663=""),"",IFERROR(LOOKUP(2,1/(单次交易!$A$2:$A$201=A663),单次交易!$E$2:$E$201)*LOOKUP(2,1/(单次交易!$A$2:$A$201=A663),单次交易!$H$2:$H$201),0)+SUMIFS($H$2:$H$1001,$A$2:$A$1001,A663,$B$2:$B$1001,"&lt;"&amp;B663))</f>
        <v/>
      </c>
      <c r="K663" s="24" t="str">
        <f aca="false">IF(OR(E663="",I663="",J663=""),"",MAX(E663*I663-J663,0))</f>
        <v/>
      </c>
      <c r="L663" s="25" t="str">
        <f aca="false">IF(OR(D663="",E663="",F663="",D663&lt;=E663),"",FLOOR((F663+K663)/(D663-E663),100))</f>
        <v/>
      </c>
      <c r="M663" s="25" t="str">
        <f aca="false">IF(OR(A663="",B663="",L663=""),"",IF(B663=1,L663,IFERROR(SUMIFS($G$2:$G$1001,$A$2:$A$1001,A663,$B$2:$B$1001,B663-1),0)))</f>
        <v/>
      </c>
      <c r="N663" s="25" t="str">
        <f aca="false">IF(OR(L663="",M663=""),"",MIN(L663,M663))</f>
        <v/>
      </c>
      <c r="O663" s="25" t="str">
        <f aca="false">IF(OR(I663="",G663=""),"",I663+G663)</f>
        <v/>
      </c>
      <c r="P663" s="24" t="str">
        <f aca="false">IF(OR(O663="",O663=0),"",(J663+H663)/O663)</f>
        <v/>
      </c>
      <c r="Q663" s="24" t="str">
        <f aca="false">IF(OR(O663="",E663=""),"",MAX(J663+H663-E663*O663,0))</f>
        <v/>
      </c>
      <c r="R663" s="26" t="str">
        <f aca="false">IF(A663="","",IF(COUNTIF(_TradeIds,A663)=0,"违规：交易编号不存在",IF(OR(B663="",B663&lt;1,B663&gt;5,B663&lt;&gt;INT(B663)),"违规：加仓序号须为1到5的整数",IF(COUNTIFS($A$2:$A$1001,A663,$B$2:$B$1001,B663)&gt;1,"违规：同一交易的加仓序号重复",IF(OR(D663="",E663="",F663=""),"计划不完整：请填写加仓价、新止损价和风险预算",IF(OR(D663&lt;=0,E663&lt;=0,F663&lt;=0,D663&lt;=E663),"违规：加仓价必须高于新止损价，金额须大于0",IF(AND(B663&gt;1,COUNTIFS($A$2:$A$1001,A663,$B$2:$B$1001,B663-1,$G$2:$G$1001,"&gt;0")=0),"违规：须先完成上一次加仓",IF(AND(B663&gt;1,E663&lt;SUMIFS($E$2:$E$1001,$A$2:$A$1001,A663,$B$2:$B$1001,B663-1)),"违规：新止损价不得低于上一次",IF(AND(B663&gt;1,F663&gt;SUMIFS($F$2:$F$1001,$A$2:$A$1001,A663,$B$2:$B$1001,B663-1)),"违规：风险预算须逐次不增加",IF(OR(_LockStatus="已锁仓",_LockStatus="解锁信息不完整"),"违规：锁仓期间禁止加仓",IF(G663="","计划可执行：建议股数见N列",IF(OR(G663&lt;=0,G663&lt;&gt;INT(G663),MOD(G663,100)&lt;&gt;0),"违规：实际股数须为100股整数倍",IF(G663&gt;N663,"违规：实际股数超过风险或金字塔上限",IF(AND(B663&gt;1,G663&gt;SUMIFS($G$2:$G$1001,$A$2:$A$1001,A663,$B$2:$B$1001,B663-1)),"违规：加仓股数须逐次不增加",IF(Q663&gt;F663,"违规：止损风险超过本次预算","通过")))))))))))))))</f>
        <v/>
      </c>
    </row>
    <row r="664" customFormat="false" ht="15" hidden="false" customHeight="false" outlineLevel="0" collapsed="false">
      <c r="A664" s="20"/>
      <c r="B664" s="21"/>
      <c r="C664" s="22"/>
      <c r="D664" s="23"/>
      <c r="E664" s="23"/>
      <c r="F664" s="23"/>
      <c r="G664" s="21"/>
      <c r="H664" s="24" t="str">
        <f aca="false">IF(OR(A664="",D664="",G664=""),"",D664*G664)</f>
        <v/>
      </c>
      <c r="I664" s="25" t="str">
        <f aca="false">IF(OR(A664="",B664=""),"",IFERROR(LOOKUP(2,1/(单次交易!$A$2:$A$201=A664),单次交易!$H$2:$H$201),0)+SUMIFS($G$2:$G$1001,$A$2:$A$1001,A664,$B$2:$B$1001,"&lt;"&amp;B664))</f>
        <v/>
      </c>
      <c r="J664" s="24" t="str">
        <f aca="false">IF(OR(A664="",B664=""),"",IFERROR(LOOKUP(2,1/(单次交易!$A$2:$A$201=A664),单次交易!$E$2:$E$201)*LOOKUP(2,1/(单次交易!$A$2:$A$201=A664),单次交易!$H$2:$H$201),0)+SUMIFS($H$2:$H$1001,$A$2:$A$1001,A664,$B$2:$B$1001,"&lt;"&amp;B664))</f>
        <v/>
      </c>
      <c r="K664" s="24" t="str">
        <f aca="false">IF(OR(E664="",I664="",J664=""),"",MAX(E664*I664-J664,0))</f>
        <v/>
      </c>
      <c r="L664" s="25" t="str">
        <f aca="false">IF(OR(D664="",E664="",F664="",D664&lt;=E664),"",FLOOR((F664+K664)/(D664-E664),100))</f>
        <v/>
      </c>
      <c r="M664" s="25" t="str">
        <f aca="false">IF(OR(A664="",B664="",L664=""),"",IF(B664=1,L664,IFERROR(SUMIFS($G$2:$G$1001,$A$2:$A$1001,A664,$B$2:$B$1001,B664-1),0)))</f>
        <v/>
      </c>
      <c r="N664" s="25" t="str">
        <f aca="false">IF(OR(L664="",M664=""),"",MIN(L664,M664))</f>
        <v/>
      </c>
      <c r="O664" s="25" t="str">
        <f aca="false">IF(OR(I664="",G664=""),"",I664+G664)</f>
        <v/>
      </c>
      <c r="P664" s="24" t="str">
        <f aca="false">IF(OR(O664="",O664=0),"",(J664+H664)/O664)</f>
        <v/>
      </c>
      <c r="Q664" s="24" t="str">
        <f aca="false">IF(OR(O664="",E664=""),"",MAX(J664+H664-E664*O664,0))</f>
        <v/>
      </c>
      <c r="R664" s="26" t="str">
        <f aca="false">IF(A664="","",IF(COUNTIF(_TradeIds,A664)=0,"违规：交易编号不存在",IF(OR(B664="",B664&lt;1,B664&gt;5,B664&lt;&gt;INT(B664)),"违规：加仓序号须为1到5的整数",IF(COUNTIFS($A$2:$A$1001,A664,$B$2:$B$1001,B664)&gt;1,"违规：同一交易的加仓序号重复",IF(OR(D664="",E664="",F664=""),"计划不完整：请填写加仓价、新止损价和风险预算",IF(OR(D664&lt;=0,E664&lt;=0,F664&lt;=0,D664&lt;=E664),"违规：加仓价必须高于新止损价，金额须大于0",IF(AND(B664&gt;1,COUNTIFS($A$2:$A$1001,A664,$B$2:$B$1001,B664-1,$G$2:$G$1001,"&gt;0")=0),"违规：须先完成上一次加仓",IF(AND(B664&gt;1,E664&lt;SUMIFS($E$2:$E$1001,$A$2:$A$1001,A664,$B$2:$B$1001,B664-1)),"违规：新止损价不得低于上一次",IF(AND(B664&gt;1,F664&gt;SUMIFS($F$2:$F$1001,$A$2:$A$1001,A664,$B$2:$B$1001,B664-1)),"违规：风险预算须逐次不增加",IF(OR(_LockStatus="已锁仓",_LockStatus="解锁信息不完整"),"违规：锁仓期间禁止加仓",IF(G664="","计划可执行：建议股数见N列",IF(OR(G664&lt;=0,G664&lt;&gt;INT(G664),MOD(G664,100)&lt;&gt;0),"违规：实际股数须为100股整数倍",IF(G664&gt;N664,"违规：实际股数超过风险或金字塔上限",IF(AND(B664&gt;1,G664&gt;SUMIFS($G$2:$G$1001,$A$2:$A$1001,A664,$B$2:$B$1001,B664-1)),"违规：加仓股数须逐次不增加",IF(Q664&gt;F664,"违规：止损风险超过本次预算","通过")))))))))))))))</f>
        <v/>
      </c>
    </row>
    <row r="665" customFormat="false" ht="15" hidden="false" customHeight="false" outlineLevel="0" collapsed="false">
      <c r="A665" s="20"/>
      <c r="B665" s="21"/>
      <c r="C665" s="22"/>
      <c r="D665" s="23"/>
      <c r="E665" s="23"/>
      <c r="F665" s="23"/>
      <c r="G665" s="21"/>
      <c r="H665" s="24" t="str">
        <f aca="false">IF(OR(A665="",D665="",G665=""),"",D665*G665)</f>
        <v/>
      </c>
      <c r="I665" s="25" t="str">
        <f aca="false">IF(OR(A665="",B665=""),"",IFERROR(LOOKUP(2,1/(单次交易!$A$2:$A$201=A665),单次交易!$H$2:$H$201),0)+SUMIFS($G$2:$G$1001,$A$2:$A$1001,A665,$B$2:$B$1001,"&lt;"&amp;B665))</f>
        <v/>
      </c>
      <c r="J665" s="24" t="str">
        <f aca="false">IF(OR(A665="",B665=""),"",IFERROR(LOOKUP(2,1/(单次交易!$A$2:$A$201=A665),单次交易!$E$2:$E$201)*LOOKUP(2,1/(单次交易!$A$2:$A$201=A665),单次交易!$H$2:$H$201),0)+SUMIFS($H$2:$H$1001,$A$2:$A$1001,A665,$B$2:$B$1001,"&lt;"&amp;B665))</f>
        <v/>
      </c>
      <c r="K665" s="24" t="str">
        <f aca="false">IF(OR(E665="",I665="",J665=""),"",MAX(E665*I665-J665,0))</f>
        <v/>
      </c>
      <c r="L665" s="25" t="str">
        <f aca="false">IF(OR(D665="",E665="",F665="",D665&lt;=E665),"",FLOOR((F665+K665)/(D665-E665),100))</f>
        <v/>
      </c>
      <c r="M665" s="25" t="str">
        <f aca="false">IF(OR(A665="",B665="",L665=""),"",IF(B665=1,L665,IFERROR(SUMIFS($G$2:$G$1001,$A$2:$A$1001,A665,$B$2:$B$1001,B665-1),0)))</f>
        <v/>
      </c>
      <c r="N665" s="25" t="str">
        <f aca="false">IF(OR(L665="",M665=""),"",MIN(L665,M665))</f>
        <v/>
      </c>
      <c r="O665" s="25" t="str">
        <f aca="false">IF(OR(I665="",G665=""),"",I665+G665)</f>
        <v/>
      </c>
      <c r="P665" s="24" t="str">
        <f aca="false">IF(OR(O665="",O665=0),"",(J665+H665)/O665)</f>
        <v/>
      </c>
      <c r="Q665" s="24" t="str">
        <f aca="false">IF(OR(O665="",E665=""),"",MAX(J665+H665-E665*O665,0))</f>
        <v/>
      </c>
      <c r="R665" s="26" t="str">
        <f aca="false">IF(A665="","",IF(COUNTIF(_TradeIds,A665)=0,"违规：交易编号不存在",IF(OR(B665="",B665&lt;1,B665&gt;5,B665&lt;&gt;INT(B665)),"违规：加仓序号须为1到5的整数",IF(COUNTIFS($A$2:$A$1001,A665,$B$2:$B$1001,B665)&gt;1,"违规：同一交易的加仓序号重复",IF(OR(D665="",E665="",F665=""),"计划不完整：请填写加仓价、新止损价和风险预算",IF(OR(D665&lt;=0,E665&lt;=0,F665&lt;=0,D665&lt;=E665),"违规：加仓价必须高于新止损价，金额须大于0",IF(AND(B665&gt;1,COUNTIFS($A$2:$A$1001,A665,$B$2:$B$1001,B665-1,$G$2:$G$1001,"&gt;0")=0),"违规：须先完成上一次加仓",IF(AND(B665&gt;1,E665&lt;SUMIFS($E$2:$E$1001,$A$2:$A$1001,A665,$B$2:$B$1001,B665-1)),"违规：新止损价不得低于上一次",IF(AND(B665&gt;1,F665&gt;SUMIFS($F$2:$F$1001,$A$2:$A$1001,A665,$B$2:$B$1001,B665-1)),"违规：风险预算须逐次不增加",IF(OR(_LockStatus="已锁仓",_LockStatus="解锁信息不完整"),"违规：锁仓期间禁止加仓",IF(G665="","计划可执行：建议股数见N列",IF(OR(G665&lt;=0,G665&lt;&gt;INT(G665),MOD(G665,100)&lt;&gt;0),"违规：实际股数须为100股整数倍",IF(G665&gt;N665,"违规：实际股数超过风险或金字塔上限",IF(AND(B665&gt;1,G665&gt;SUMIFS($G$2:$G$1001,$A$2:$A$1001,A665,$B$2:$B$1001,B665-1)),"违规：加仓股数须逐次不增加",IF(Q665&gt;F665,"违规：止损风险超过本次预算","通过")))))))))))))))</f>
        <v/>
      </c>
    </row>
    <row r="666" customFormat="false" ht="15" hidden="false" customHeight="false" outlineLevel="0" collapsed="false">
      <c r="A666" s="20"/>
      <c r="B666" s="21"/>
      <c r="C666" s="22"/>
      <c r="D666" s="23"/>
      <c r="E666" s="23"/>
      <c r="F666" s="23"/>
      <c r="G666" s="21"/>
      <c r="H666" s="24" t="str">
        <f aca="false">IF(OR(A666="",D666="",G666=""),"",D666*G666)</f>
        <v/>
      </c>
      <c r="I666" s="25" t="str">
        <f aca="false">IF(OR(A666="",B666=""),"",IFERROR(LOOKUP(2,1/(单次交易!$A$2:$A$201=A666),单次交易!$H$2:$H$201),0)+SUMIFS($G$2:$G$1001,$A$2:$A$1001,A666,$B$2:$B$1001,"&lt;"&amp;B666))</f>
        <v/>
      </c>
      <c r="J666" s="24" t="str">
        <f aca="false">IF(OR(A666="",B666=""),"",IFERROR(LOOKUP(2,1/(单次交易!$A$2:$A$201=A666),单次交易!$E$2:$E$201)*LOOKUP(2,1/(单次交易!$A$2:$A$201=A666),单次交易!$H$2:$H$201),0)+SUMIFS($H$2:$H$1001,$A$2:$A$1001,A666,$B$2:$B$1001,"&lt;"&amp;B666))</f>
        <v/>
      </c>
      <c r="K666" s="24" t="str">
        <f aca="false">IF(OR(E666="",I666="",J666=""),"",MAX(E666*I666-J666,0))</f>
        <v/>
      </c>
      <c r="L666" s="25" t="str">
        <f aca="false">IF(OR(D666="",E666="",F666="",D666&lt;=E666),"",FLOOR((F666+K666)/(D666-E666),100))</f>
        <v/>
      </c>
      <c r="M666" s="25" t="str">
        <f aca="false">IF(OR(A666="",B666="",L666=""),"",IF(B666=1,L666,IFERROR(SUMIFS($G$2:$G$1001,$A$2:$A$1001,A666,$B$2:$B$1001,B666-1),0)))</f>
        <v/>
      </c>
      <c r="N666" s="25" t="str">
        <f aca="false">IF(OR(L666="",M666=""),"",MIN(L666,M666))</f>
        <v/>
      </c>
      <c r="O666" s="25" t="str">
        <f aca="false">IF(OR(I666="",G666=""),"",I666+G666)</f>
        <v/>
      </c>
      <c r="P666" s="24" t="str">
        <f aca="false">IF(OR(O666="",O666=0),"",(J666+H666)/O666)</f>
        <v/>
      </c>
      <c r="Q666" s="24" t="str">
        <f aca="false">IF(OR(O666="",E666=""),"",MAX(J666+H666-E666*O666,0))</f>
        <v/>
      </c>
      <c r="R666" s="26" t="str">
        <f aca="false">IF(A666="","",IF(COUNTIF(_TradeIds,A666)=0,"违规：交易编号不存在",IF(OR(B666="",B666&lt;1,B666&gt;5,B666&lt;&gt;INT(B666)),"违规：加仓序号须为1到5的整数",IF(COUNTIFS($A$2:$A$1001,A666,$B$2:$B$1001,B666)&gt;1,"违规：同一交易的加仓序号重复",IF(OR(D666="",E666="",F666=""),"计划不完整：请填写加仓价、新止损价和风险预算",IF(OR(D666&lt;=0,E666&lt;=0,F666&lt;=0,D666&lt;=E666),"违规：加仓价必须高于新止损价，金额须大于0",IF(AND(B666&gt;1,COUNTIFS($A$2:$A$1001,A666,$B$2:$B$1001,B666-1,$G$2:$G$1001,"&gt;0")=0),"违规：须先完成上一次加仓",IF(AND(B666&gt;1,E666&lt;SUMIFS($E$2:$E$1001,$A$2:$A$1001,A666,$B$2:$B$1001,B666-1)),"违规：新止损价不得低于上一次",IF(AND(B666&gt;1,F666&gt;SUMIFS($F$2:$F$1001,$A$2:$A$1001,A666,$B$2:$B$1001,B666-1)),"违规：风险预算须逐次不增加",IF(OR(_LockStatus="已锁仓",_LockStatus="解锁信息不完整"),"违规：锁仓期间禁止加仓",IF(G666="","计划可执行：建议股数见N列",IF(OR(G666&lt;=0,G666&lt;&gt;INT(G666),MOD(G666,100)&lt;&gt;0),"违规：实际股数须为100股整数倍",IF(G666&gt;N666,"违规：实际股数超过风险或金字塔上限",IF(AND(B666&gt;1,G666&gt;SUMIFS($G$2:$G$1001,$A$2:$A$1001,A666,$B$2:$B$1001,B666-1)),"违规：加仓股数须逐次不增加",IF(Q666&gt;F666,"违规：止损风险超过本次预算","通过")))))))))))))))</f>
        <v/>
      </c>
    </row>
    <row r="667" customFormat="false" ht="15" hidden="false" customHeight="false" outlineLevel="0" collapsed="false">
      <c r="A667" s="20"/>
      <c r="B667" s="21"/>
      <c r="C667" s="22"/>
      <c r="D667" s="23"/>
      <c r="E667" s="23"/>
      <c r="F667" s="23"/>
      <c r="G667" s="21"/>
      <c r="H667" s="24" t="str">
        <f aca="false">IF(OR(A667="",D667="",G667=""),"",D667*G667)</f>
        <v/>
      </c>
      <c r="I667" s="25" t="str">
        <f aca="false">IF(OR(A667="",B667=""),"",IFERROR(LOOKUP(2,1/(单次交易!$A$2:$A$201=A667),单次交易!$H$2:$H$201),0)+SUMIFS($G$2:$G$1001,$A$2:$A$1001,A667,$B$2:$B$1001,"&lt;"&amp;B667))</f>
        <v/>
      </c>
      <c r="J667" s="24" t="str">
        <f aca="false">IF(OR(A667="",B667=""),"",IFERROR(LOOKUP(2,1/(单次交易!$A$2:$A$201=A667),单次交易!$E$2:$E$201)*LOOKUP(2,1/(单次交易!$A$2:$A$201=A667),单次交易!$H$2:$H$201),0)+SUMIFS($H$2:$H$1001,$A$2:$A$1001,A667,$B$2:$B$1001,"&lt;"&amp;B667))</f>
        <v/>
      </c>
      <c r="K667" s="24" t="str">
        <f aca="false">IF(OR(E667="",I667="",J667=""),"",MAX(E667*I667-J667,0))</f>
        <v/>
      </c>
      <c r="L667" s="25" t="str">
        <f aca="false">IF(OR(D667="",E667="",F667="",D667&lt;=E667),"",FLOOR((F667+K667)/(D667-E667),100))</f>
        <v/>
      </c>
      <c r="M667" s="25" t="str">
        <f aca="false">IF(OR(A667="",B667="",L667=""),"",IF(B667=1,L667,IFERROR(SUMIFS($G$2:$G$1001,$A$2:$A$1001,A667,$B$2:$B$1001,B667-1),0)))</f>
        <v/>
      </c>
      <c r="N667" s="25" t="str">
        <f aca="false">IF(OR(L667="",M667=""),"",MIN(L667,M667))</f>
        <v/>
      </c>
      <c r="O667" s="25" t="str">
        <f aca="false">IF(OR(I667="",G667=""),"",I667+G667)</f>
        <v/>
      </c>
      <c r="P667" s="24" t="str">
        <f aca="false">IF(OR(O667="",O667=0),"",(J667+H667)/O667)</f>
        <v/>
      </c>
      <c r="Q667" s="24" t="str">
        <f aca="false">IF(OR(O667="",E667=""),"",MAX(J667+H667-E667*O667,0))</f>
        <v/>
      </c>
      <c r="R667" s="26" t="str">
        <f aca="false">IF(A667="","",IF(COUNTIF(_TradeIds,A667)=0,"违规：交易编号不存在",IF(OR(B667="",B667&lt;1,B667&gt;5,B667&lt;&gt;INT(B667)),"违规：加仓序号须为1到5的整数",IF(COUNTIFS($A$2:$A$1001,A667,$B$2:$B$1001,B667)&gt;1,"违规：同一交易的加仓序号重复",IF(OR(D667="",E667="",F667=""),"计划不完整：请填写加仓价、新止损价和风险预算",IF(OR(D667&lt;=0,E667&lt;=0,F667&lt;=0,D667&lt;=E667),"违规：加仓价必须高于新止损价，金额须大于0",IF(AND(B667&gt;1,COUNTIFS($A$2:$A$1001,A667,$B$2:$B$1001,B667-1,$G$2:$G$1001,"&gt;0")=0),"违规：须先完成上一次加仓",IF(AND(B667&gt;1,E667&lt;SUMIFS($E$2:$E$1001,$A$2:$A$1001,A667,$B$2:$B$1001,B667-1)),"违规：新止损价不得低于上一次",IF(AND(B667&gt;1,F667&gt;SUMIFS($F$2:$F$1001,$A$2:$A$1001,A667,$B$2:$B$1001,B667-1)),"违规：风险预算须逐次不增加",IF(OR(_LockStatus="已锁仓",_LockStatus="解锁信息不完整"),"违规：锁仓期间禁止加仓",IF(G667="","计划可执行：建议股数见N列",IF(OR(G667&lt;=0,G667&lt;&gt;INT(G667),MOD(G667,100)&lt;&gt;0),"违规：实际股数须为100股整数倍",IF(G667&gt;N667,"违规：实际股数超过风险或金字塔上限",IF(AND(B667&gt;1,G667&gt;SUMIFS($G$2:$G$1001,$A$2:$A$1001,A667,$B$2:$B$1001,B667-1)),"违规：加仓股数须逐次不增加",IF(Q667&gt;F667,"违规：止损风险超过本次预算","通过")))))))))))))))</f>
        <v/>
      </c>
    </row>
    <row r="668" customFormat="false" ht="15" hidden="false" customHeight="false" outlineLevel="0" collapsed="false">
      <c r="A668" s="20"/>
      <c r="B668" s="21"/>
      <c r="C668" s="22"/>
      <c r="D668" s="23"/>
      <c r="E668" s="23"/>
      <c r="F668" s="23"/>
      <c r="G668" s="21"/>
      <c r="H668" s="24" t="str">
        <f aca="false">IF(OR(A668="",D668="",G668=""),"",D668*G668)</f>
        <v/>
      </c>
      <c r="I668" s="25" t="str">
        <f aca="false">IF(OR(A668="",B668=""),"",IFERROR(LOOKUP(2,1/(单次交易!$A$2:$A$201=A668),单次交易!$H$2:$H$201),0)+SUMIFS($G$2:$G$1001,$A$2:$A$1001,A668,$B$2:$B$1001,"&lt;"&amp;B668))</f>
        <v/>
      </c>
      <c r="J668" s="24" t="str">
        <f aca="false">IF(OR(A668="",B668=""),"",IFERROR(LOOKUP(2,1/(单次交易!$A$2:$A$201=A668),单次交易!$E$2:$E$201)*LOOKUP(2,1/(单次交易!$A$2:$A$201=A668),单次交易!$H$2:$H$201),0)+SUMIFS($H$2:$H$1001,$A$2:$A$1001,A668,$B$2:$B$1001,"&lt;"&amp;B668))</f>
        <v/>
      </c>
      <c r="K668" s="24" t="str">
        <f aca="false">IF(OR(E668="",I668="",J668=""),"",MAX(E668*I668-J668,0))</f>
        <v/>
      </c>
      <c r="L668" s="25" t="str">
        <f aca="false">IF(OR(D668="",E668="",F668="",D668&lt;=E668),"",FLOOR((F668+K668)/(D668-E668),100))</f>
        <v/>
      </c>
      <c r="M668" s="25" t="str">
        <f aca="false">IF(OR(A668="",B668="",L668=""),"",IF(B668=1,L668,IFERROR(SUMIFS($G$2:$G$1001,$A$2:$A$1001,A668,$B$2:$B$1001,B668-1),0)))</f>
        <v/>
      </c>
      <c r="N668" s="25" t="str">
        <f aca="false">IF(OR(L668="",M668=""),"",MIN(L668,M668))</f>
        <v/>
      </c>
      <c r="O668" s="25" t="str">
        <f aca="false">IF(OR(I668="",G668=""),"",I668+G668)</f>
        <v/>
      </c>
      <c r="P668" s="24" t="str">
        <f aca="false">IF(OR(O668="",O668=0),"",(J668+H668)/O668)</f>
        <v/>
      </c>
      <c r="Q668" s="24" t="str">
        <f aca="false">IF(OR(O668="",E668=""),"",MAX(J668+H668-E668*O668,0))</f>
        <v/>
      </c>
      <c r="R668" s="26" t="str">
        <f aca="false">IF(A668="","",IF(COUNTIF(_TradeIds,A668)=0,"违规：交易编号不存在",IF(OR(B668="",B668&lt;1,B668&gt;5,B668&lt;&gt;INT(B668)),"违规：加仓序号须为1到5的整数",IF(COUNTIFS($A$2:$A$1001,A668,$B$2:$B$1001,B668)&gt;1,"违规：同一交易的加仓序号重复",IF(OR(D668="",E668="",F668=""),"计划不完整：请填写加仓价、新止损价和风险预算",IF(OR(D668&lt;=0,E668&lt;=0,F668&lt;=0,D668&lt;=E668),"违规：加仓价必须高于新止损价，金额须大于0",IF(AND(B668&gt;1,COUNTIFS($A$2:$A$1001,A668,$B$2:$B$1001,B668-1,$G$2:$G$1001,"&gt;0")=0),"违规：须先完成上一次加仓",IF(AND(B668&gt;1,E668&lt;SUMIFS($E$2:$E$1001,$A$2:$A$1001,A668,$B$2:$B$1001,B668-1)),"违规：新止损价不得低于上一次",IF(AND(B668&gt;1,F668&gt;SUMIFS($F$2:$F$1001,$A$2:$A$1001,A668,$B$2:$B$1001,B668-1)),"违规：风险预算须逐次不增加",IF(OR(_LockStatus="已锁仓",_LockStatus="解锁信息不完整"),"违规：锁仓期间禁止加仓",IF(G668="","计划可执行：建议股数见N列",IF(OR(G668&lt;=0,G668&lt;&gt;INT(G668),MOD(G668,100)&lt;&gt;0),"违规：实际股数须为100股整数倍",IF(G668&gt;N668,"违规：实际股数超过风险或金字塔上限",IF(AND(B668&gt;1,G668&gt;SUMIFS($G$2:$G$1001,$A$2:$A$1001,A668,$B$2:$B$1001,B668-1)),"违规：加仓股数须逐次不增加",IF(Q668&gt;F668,"违规：止损风险超过本次预算","通过")))))))))))))))</f>
        <v/>
      </c>
    </row>
    <row r="669" customFormat="false" ht="15" hidden="false" customHeight="false" outlineLevel="0" collapsed="false">
      <c r="A669" s="20"/>
      <c r="B669" s="21"/>
      <c r="C669" s="22"/>
      <c r="D669" s="23"/>
      <c r="E669" s="23"/>
      <c r="F669" s="23"/>
      <c r="G669" s="21"/>
      <c r="H669" s="24" t="str">
        <f aca="false">IF(OR(A669="",D669="",G669=""),"",D669*G669)</f>
        <v/>
      </c>
      <c r="I669" s="25" t="str">
        <f aca="false">IF(OR(A669="",B669=""),"",IFERROR(LOOKUP(2,1/(单次交易!$A$2:$A$201=A669),单次交易!$H$2:$H$201),0)+SUMIFS($G$2:$G$1001,$A$2:$A$1001,A669,$B$2:$B$1001,"&lt;"&amp;B669))</f>
        <v/>
      </c>
      <c r="J669" s="24" t="str">
        <f aca="false">IF(OR(A669="",B669=""),"",IFERROR(LOOKUP(2,1/(单次交易!$A$2:$A$201=A669),单次交易!$E$2:$E$201)*LOOKUP(2,1/(单次交易!$A$2:$A$201=A669),单次交易!$H$2:$H$201),0)+SUMIFS($H$2:$H$1001,$A$2:$A$1001,A669,$B$2:$B$1001,"&lt;"&amp;B669))</f>
        <v/>
      </c>
      <c r="K669" s="24" t="str">
        <f aca="false">IF(OR(E669="",I669="",J669=""),"",MAX(E669*I669-J669,0))</f>
        <v/>
      </c>
      <c r="L669" s="25" t="str">
        <f aca="false">IF(OR(D669="",E669="",F669="",D669&lt;=E669),"",FLOOR((F669+K669)/(D669-E669),100))</f>
        <v/>
      </c>
      <c r="M669" s="25" t="str">
        <f aca="false">IF(OR(A669="",B669="",L669=""),"",IF(B669=1,L669,IFERROR(SUMIFS($G$2:$G$1001,$A$2:$A$1001,A669,$B$2:$B$1001,B669-1),0)))</f>
        <v/>
      </c>
      <c r="N669" s="25" t="str">
        <f aca="false">IF(OR(L669="",M669=""),"",MIN(L669,M669))</f>
        <v/>
      </c>
      <c r="O669" s="25" t="str">
        <f aca="false">IF(OR(I669="",G669=""),"",I669+G669)</f>
        <v/>
      </c>
      <c r="P669" s="24" t="str">
        <f aca="false">IF(OR(O669="",O669=0),"",(J669+H669)/O669)</f>
        <v/>
      </c>
      <c r="Q669" s="24" t="str">
        <f aca="false">IF(OR(O669="",E669=""),"",MAX(J669+H669-E669*O669,0))</f>
        <v/>
      </c>
      <c r="R669" s="26" t="str">
        <f aca="false">IF(A669="","",IF(COUNTIF(_TradeIds,A669)=0,"违规：交易编号不存在",IF(OR(B669="",B669&lt;1,B669&gt;5,B669&lt;&gt;INT(B669)),"违规：加仓序号须为1到5的整数",IF(COUNTIFS($A$2:$A$1001,A669,$B$2:$B$1001,B669)&gt;1,"违规：同一交易的加仓序号重复",IF(OR(D669="",E669="",F669=""),"计划不完整：请填写加仓价、新止损价和风险预算",IF(OR(D669&lt;=0,E669&lt;=0,F669&lt;=0,D669&lt;=E669),"违规：加仓价必须高于新止损价，金额须大于0",IF(AND(B669&gt;1,COUNTIFS($A$2:$A$1001,A669,$B$2:$B$1001,B669-1,$G$2:$G$1001,"&gt;0")=0),"违规：须先完成上一次加仓",IF(AND(B669&gt;1,E669&lt;SUMIFS($E$2:$E$1001,$A$2:$A$1001,A669,$B$2:$B$1001,B669-1)),"违规：新止损价不得低于上一次",IF(AND(B669&gt;1,F669&gt;SUMIFS($F$2:$F$1001,$A$2:$A$1001,A669,$B$2:$B$1001,B669-1)),"违规：风险预算须逐次不增加",IF(OR(_LockStatus="已锁仓",_LockStatus="解锁信息不完整"),"违规：锁仓期间禁止加仓",IF(G669="","计划可执行：建议股数见N列",IF(OR(G669&lt;=0,G669&lt;&gt;INT(G669),MOD(G669,100)&lt;&gt;0),"违规：实际股数须为100股整数倍",IF(G669&gt;N669,"违规：实际股数超过风险或金字塔上限",IF(AND(B669&gt;1,G669&gt;SUMIFS($G$2:$G$1001,$A$2:$A$1001,A669,$B$2:$B$1001,B669-1)),"违规：加仓股数须逐次不增加",IF(Q669&gt;F669,"违规：止损风险超过本次预算","通过")))))))))))))))</f>
        <v/>
      </c>
    </row>
    <row r="670" customFormat="false" ht="15" hidden="false" customHeight="false" outlineLevel="0" collapsed="false">
      <c r="A670" s="20"/>
      <c r="B670" s="21"/>
      <c r="C670" s="22"/>
      <c r="D670" s="23"/>
      <c r="E670" s="23"/>
      <c r="F670" s="23"/>
      <c r="G670" s="21"/>
      <c r="H670" s="24" t="str">
        <f aca="false">IF(OR(A670="",D670="",G670=""),"",D670*G670)</f>
        <v/>
      </c>
      <c r="I670" s="25" t="str">
        <f aca="false">IF(OR(A670="",B670=""),"",IFERROR(LOOKUP(2,1/(单次交易!$A$2:$A$201=A670),单次交易!$H$2:$H$201),0)+SUMIFS($G$2:$G$1001,$A$2:$A$1001,A670,$B$2:$B$1001,"&lt;"&amp;B670))</f>
        <v/>
      </c>
      <c r="J670" s="24" t="str">
        <f aca="false">IF(OR(A670="",B670=""),"",IFERROR(LOOKUP(2,1/(单次交易!$A$2:$A$201=A670),单次交易!$E$2:$E$201)*LOOKUP(2,1/(单次交易!$A$2:$A$201=A670),单次交易!$H$2:$H$201),0)+SUMIFS($H$2:$H$1001,$A$2:$A$1001,A670,$B$2:$B$1001,"&lt;"&amp;B670))</f>
        <v/>
      </c>
      <c r="K670" s="24" t="str">
        <f aca="false">IF(OR(E670="",I670="",J670=""),"",MAX(E670*I670-J670,0))</f>
        <v/>
      </c>
      <c r="L670" s="25" t="str">
        <f aca="false">IF(OR(D670="",E670="",F670="",D670&lt;=E670),"",FLOOR((F670+K670)/(D670-E670),100))</f>
        <v/>
      </c>
      <c r="M670" s="25" t="str">
        <f aca="false">IF(OR(A670="",B670="",L670=""),"",IF(B670=1,L670,IFERROR(SUMIFS($G$2:$G$1001,$A$2:$A$1001,A670,$B$2:$B$1001,B670-1),0)))</f>
        <v/>
      </c>
      <c r="N670" s="25" t="str">
        <f aca="false">IF(OR(L670="",M670=""),"",MIN(L670,M670))</f>
        <v/>
      </c>
      <c r="O670" s="25" t="str">
        <f aca="false">IF(OR(I670="",G670=""),"",I670+G670)</f>
        <v/>
      </c>
      <c r="P670" s="24" t="str">
        <f aca="false">IF(OR(O670="",O670=0),"",(J670+H670)/O670)</f>
        <v/>
      </c>
      <c r="Q670" s="24" t="str">
        <f aca="false">IF(OR(O670="",E670=""),"",MAX(J670+H670-E670*O670,0))</f>
        <v/>
      </c>
      <c r="R670" s="26" t="str">
        <f aca="false">IF(A670="","",IF(COUNTIF(_TradeIds,A670)=0,"违规：交易编号不存在",IF(OR(B670="",B670&lt;1,B670&gt;5,B670&lt;&gt;INT(B670)),"违规：加仓序号须为1到5的整数",IF(COUNTIFS($A$2:$A$1001,A670,$B$2:$B$1001,B670)&gt;1,"违规：同一交易的加仓序号重复",IF(OR(D670="",E670="",F670=""),"计划不完整：请填写加仓价、新止损价和风险预算",IF(OR(D670&lt;=0,E670&lt;=0,F670&lt;=0,D670&lt;=E670),"违规：加仓价必须高于新止损价，金额须大于0",IF(AND(B670&gt;1,COUNTIFS($A$2:$A$1001,A670,$B$2:$B$1001,B670-1,$G$2:$G$1001,"&gt;0")=0),"违规：须先完成上一次加仓",IF(AND(B670&gt;1,E670&lt;SUMIFS($E$2:$E$1001,$A$2:$A$1001,A670,$B$2:$B$1001,B670-1)),"违规：新止损价不得低于上一次",IF(AND(B670&gt;1,F670&gt;SUMIFS($F$2:$F$1001,$A$2:$A$1001,A670,$B$2:$B$1001,B670-1)),"违规：风险预算须逐次不增加",IF(OR(_LockStatus="已锁仓",_LockStatus="解锁信息不完整"),"违规：锁仓期间禁止加仓",IF(G670="","计划可执行：建议股数见N列",IF(OR(G670&lt;=0,G670&lt;&gt;INT(G670),MOD(G670,100)&lt;&gt;0),"违规：实际股数须为100股整数倍",IF(G670&gt;N670,"违规：实际股数超过风险或金字塔上限",IF(AND(B670&gt;1,G670&gt;SUMIFS($G$2:$G$1001,$A$2:$A$1001,A670,$B$2:$B$1001,B670-1)),"违规：加仓股数须逐次不增加",IF(Q670&gt;F670,"违规：止损风险超过本次预算","通过")))))))))))))))</f>
        <v/>
      </c>
    </row>
    <row r="671" customFormat="false" ht="15" hidden="false" customHeight="false" outlineLevel="0" collapsed="false">
      <c r="A671" s="20"/>
      <c r="B671" s="21"/>
      <c r="C671" s="22"/>
      <c r="D671" s="23"/>
      <c r="E671" s="23"/>
      <c r="F671" s="23"/>
      <c r="G671" s="21"/>
      <c r="H671" s="24" t="str">
        <f aca="false">IF(OR(A671="",D671="",G671=""),"",D671*G671)</f>
        <v/>
      </c>
      <c r="I671" s="25" t="str">
        <f aca="false">IF(OR(A671="",B671=""),"",IFERROR(LOOKUP(2,1/(单次交易!$A$2:$A$201=A671),单次交易!$H$2:$H$201),0)+SUMIFS($G$2:$G$1001,$A$2:$A$1001,A671,$B$2:$B$1001,"&lt;"&amp;B671))</f>
        <v/>
      </c>
      <c r="J671" s="24" t="str">
        <f aca="false">IF(OR(A671="",B671=""),"",IFERROR(LOOKUP(2,1/(单次交易!$A$2:$A$201=A671),单次交易!$E$2:$E$201)*LOOKUP(2,1/(单次交易!$A$2:$A$201=A671),单次交易!$H$2:$H$201),0)+SUMIFS($H$2:$H$1001,$A$2:$A$1001,A671,$B$2:$B$1001,"&lt;"&amp;B671))</f>
        <v/>
      </c>
      <c r="K671" s="24" t="str">
        <f aca="false">IF(OR(E671="",I671="",J671=""),"",MAX(E671*I671-J671,0))</f>
        <v/>
      </c>
      <c r="L671" s="25" t="str">
        <f aca="false">IF(OR(D671="",E671="",F671="",D671&lt;=E671),"",FLOOR((F671+K671)/(D671-E671),100))</f>
        <v/>
      </c>
      <c r="M671" s="25" t="str">
        <f aca="false">IF(OR(A671="",B671="",L671=""),"",IF(B671=1,L671,IFERROR(SUMIFS($G$2:$G$1001,$A$2:$A$1001,A671,$B$2:$B$1001,B671-1),0)))</f>
        <v/>
      </c>
      <c r="N671" s="25" t="str">
        <f aca="false">IF(OR(L671="",M671=""),"",MIN(L671,M671))</f>
        <v/>
      </c>
      <c r="O671" s="25" t="str">
        <f aca="false">IF(OR(I671="",G671=""),"",I671+G671)</f>
        <v/>
      </c>
      <c r="P671" s="24" t="str">
        <f aca="false">IF(OR(O671="",O671=0),"",(J671+H671)/O671)</f>
        <v/>
      </c>
      <c r="Q671" s="24" t="str">
        <f aca="false">IF(OR(O671="",E671=""),"",MAX(J671+H671-E671*O671,0))</f>
        <v/>
      </c>
      <c r="R671" s="26" t="str">
        <f aca="false">IF(A671="","",IF(COUNTIF(_TradeIds,A671)=0,"违规：交易编号不存在",IF(OR(B671="",B671&lt;1,B671&gt;5,B671&lt;&gt;INT(B671)),"违规：加仓序号须为1到5的整数",IF(COUNTIFS($A$2:$A$1001,A671,$B$2:$B$1001,B671)&gt;1,"违规：同一交易的加仓序号重复",IF(OR(D671="",E671="",F671=""),"计划不完整：请填写加仓价、新止损价和风险预算",IF(OR(D671&lt;=0,E671&lt;=0,F671&lt;=0,D671&lt;=E671),"违规：加仓价必须高于新止损价，金额须大于0",IF(AND(B671&gt;1,COUNTIFS($A$2:$A$1001,A671,$B$2:$B$1001,B671-1,$G$2:$G$1001,"&gt;0")=0),"违规：须先完成上一次加仓",IF(AND(B671&gt;1,E671&lt;SUMIFS($E$2:$E$1001,$A$2:$A$1001,A671,$B$2:$B$1001,B671-1)),"违规：新止损价不得低于上一次",IF(AND(B671&gt;1,F671&gt;SUMIFS($F$2:$F$1001,$A$2:$A$1001,A671,$B$2:$B$1001,B671-1)),"违规：风险预算须逐次不增加",IF(OR(_LockStatus="已锁仓",_LockStatus="解锁信息不完整"),"违规：锁仓期间禁止加仓",IF(G671="","计划可执行：建议股数见N列",IF(OR(G671&lt;=0,G671&lt;&gt;INT(G671),MOD(G671,100)&lt;&gt;0),"违规：实际股数须为100股整数倍",IF(G671&gt;N671,"违规：实际股数超过风险或金字塔上限",IF(AND(B671&gt;1,G671&gt;SUMIFS($G$2:$G$1001,$A$2:$A$1001,A671,$B$2:$B$1001,B671-1)),"违规：加仓股数须逐次不增加",IF(Q671&gt;F671,"违规：止损风险超过本次预算","通过")))))))))))))))</f>
        <v/>
      </c>
    </row>
    <row r="672" customFormat="false" ht="15" hidden="false" customHeight="false" outlineLevel="0" collapsed="false">
      <c r="A672" s="20"/>
      <c r="B672" s="21"/>
      <c r="C672" s="22"/>
      <c r="D672" s="23"/>
      <c r="E672" s="23"/>
      <c r="F672" s="23"/>
      <c r="G672" s="21"/>
      <c r="H672" s="24" t="str">
        <f aca="false">IF(OR(A672="",D672="",G672=""),"",D672*G672)</f>
        <v/>
      </c>
      <c r="I672" s="25" t="str">
        <f aca="false">IF(OR(A672="",B672=""),"",IFERROR(LOOKUP(2,1/(单次交易!$A$2:$A$201=A672),单次交易!$H$2:$H$201),0)+SUMIFS($G$2:$G$1001,$A$2:$A$1001,A672,$B$2:$B$1001,"&lt;"&amp;B672))</f>
        <v/>
      </c>
      <c r="J672" s="24" t="str">
        <f aca="false">IF(OR(A672="",B672=""),"",IFERROR(LOOKUP(2,1/(单次交易!$A$2:$A$201=A672),单次交易!$E$2:$E$201)*LOOKUP(2,1/(单次交易!$A$2:$A$201=A672),单次交易!$H$2:$H$201),0)+SUMIFS($H$2:$H$1001,$A$2:$A$1001,A672,$B$2:$B$1001,"&lt;"&amp;B672))</f>
        <v/>
      </c>
      <c r="K672" s="24" t="str">
        <f aca="false">IF(OR(E672="",I672="",J672=""),"",MAX(E672*I672-J672,0))</f>
        <v/>
      </c>
      <c r="L672" s="25" t="str">
        <f aca="false">IF(OR(D672="",E672="",F672="",D672&lt;=E672),"",FLOOR((F672+K672)/(D672-E672),100))</f>
        <v/>
      </c>
      <c r="M672" s="25" t="str">
        <f aca="false">IF(OR(A672="",B672="",L672=""),"",IF(B672=1,L672,IFERROR(SUMIFS($G$2:$G$1001,$A$2:$A$1001,A672,$B$2:$B$1001,B672-1),0)))</f>
        <v/>
      </c>
      <c r="N672" s="25" t="str">
        <f aca="false">IF(OR(L672="",M672=""),"",MIN(L672,M672))</f>
        <v/>
      </c>
      <c r="O672" s="25" t="str">
        <f aca="false">IF(OR(I672="",G672=""),"",I672+G672)</f>
        <v/>
      </c>
      <c r="P672" s="24" t="str">
        <f aca="false">IF(OR(O672="",O672=0),"",(J672+H672)/O672)</f>
        <v/>
      </c>
      <c r="Q672" s="24" t="str">
        <f aca="false">IF(OR(O672="",E672=""),"",MAX(J672+H672-E672*O672,0))</f>
        <v/>
      </c>
      <c r="R672" s="26" t="str">
        <f aca="false">IF(A672="","",IF(COUNTIF(_TradeIds,A672)=0,"违规：交易编号不存在",IF(OR(B672="",B672&lt;1,B672&gt;5,B672&lt;&gt;INT(B672)),"违规：加仓序号须为1到5的整数",IF(COUNTIFS($A$2:$A$1001,A672,$B$2:$B$1001,B672)&gt;1,"违规：同一交易的加仓序号重复",IF(OR(D672="",E672="",F672=""),"计划不完整：请填写加仓价、新止损价和风险预算",IF(OR(D672&lt;=0,E672&lt;=0,F672&lt;=0,D672&lt;=E672),"违规：加仓价必须高于新止损价，金额须大于0",IF(AND(B672&gt;1,COUNTIFS($A$2:$A$1001,A672,$B$2:$B$1001,B672-1,$G$2:$G$1001,"&gt;0")=0),"违规：须先完成上一次加仓",IF(AND(B672&gt;1,E672&lt;SUMIFS($E$2:$E$1001,$A$2:$A$1001,A672,$B$2:$B$1001,B672-1)),"违规：新止损价不得低于上一次",IF(AND(B672&gt;1,F672&gt;SUMIFS($F$2:$F$1001,$A$2:$A$1001,A672,$B$2:$B$1001,B672-1)),"违规：风险预算须逐次不增加",IF(OR(_LockStatus="已锁仓",_LockStatus="解锁信息不完整"),"违规：锁仓期间禁止加仓",IF(G672="","计划可执行：建议股数见N列",IF(OR(G672&lt;=0,G672&lt;&gt;INT(G672),MOD(G672,100)&lt;&gt;0),"违规：实际股数须为100股整数倍",IF(G672&gt;N672,"违规：实际股数超过风险或金字塔上限",IF(AND(B672&gt;1,G672&gt;SUMIFS($G$2:$G$1001,$A$2:$A$1001,A672,$B$2:$B$1001,B672-1)),"违规：加仓股数须逐次不增加",IF(Q672&gt;F672,"违规：止损风险超过本次预算","通过")))))))))))))))</f>
        <v/>
      </c>
    </row>
    <row r="673" customFormat="false" ht="15" hidden="false" customHeight="false" outlineLevel="0" collapsed="false">
      <c r="A673" s="20"/>
      <c r="B673" s="21"/>
      <c r="C673" s="22"/>
      <c r="D673" s="23"/>
      <c r="E673" s="23"/>
      <c r="F673" s="23"/>
      <c r="G673" s="21"/>
      <c r="H673" s="24" t="str">
        <f aca="false">IF(OR(A673="",D673="",G673=""),"",D673*G673)</f>
        <v/>
      </c>
      <c r="I673" s="25" t="str">
        <f aca="false">IF(OR(A673="",B673=""),"",IFERROR(LOOKUP(2,1/(单次交易!$A$2:$A$201=A673),单次交易!$H$2:$H$201),0)+SUMIFS($G$2:$G$1001,$A$2:$A$1001,A673,$B$2:$B$1001,"&lt;"&amp;B673))</f>
        <v/>
      </c>
      <c r="J673" s="24" t="str">
        <f aca="false">IF(OR(A673="",B673=""),"",IFERROR(LOOKUP(2,1/(单次交易!$A$2:$A$201=A673),单次交易!$E$2:$E$201)*LOOKUP(2,1/(单次交易!$A$2:$A$201=A673),单次交易!$H$2:$H$201),0)+SUMIFS($H$2:$H$1001,$A$2:$A$1001,A673,$B$2:$B$1001,"&lt;"&amp;B673))</f>
        <v/>
      </c>
      <c r="K673" s="24" t="str">
        <f aca="false">IF(OR(E673="",I673="",J673=""),"",MAX(E673*I673-J673,0))</f>
        <v/>
      </c>
      <c r="L673" s="25" t="str">
        <f aca="false">IF(OR(D673="",E673="",F673="",D673&lt;=E673),"",FLOOR((F673+K673)/(D673-E673),100))</f>
        <v/>
      </c>
      <c r="M673" s="25" t="str">
        <f aca="false">IF(OR(A673="",B673="",L673=""),"",IF(B673=1,L673,IFERROR(SUMIFS($G$2:$G$1001,$A$2:$A$1001,A673,$B$2:$B$1001,B673-1),0)))</f>
        <v/>
      </c>
      <c r="N673" s="25" t="str">
        <f aca="false">IF(OR(L673="",M673=""),"",MIN(L673,M673))</f>
        <v/>
      </c>
      <c r="O673" s="25" t="str">
        <f aca="false">IF(OR(I673="",G673=""),"",I673+G673)</f>
        <v/>
      </c>
      <c r="P673" s="24" t="str">
        <f aca="false">IF(OR(O673="",O673=0),"",(J673+H673)/O673)</f>
        <v/>
      </c>
      <c r="Q673" s="24" t="str">
        <f aca="false">IF(OR(O673="",E673=""),"",MAX(J673+H673-E673*O673,0))</f>
        <v/>
      </c>
      <c r="R673" s="26" t="str">
        <f aca="false">IF(A673="","",IF(COUNTIF(_TradeIds,A673)=0,"违规：交易编号不存在",IF(OR(B673="",B673&lt;1,B673&gt;5,B673&lt;&gt;INT(B673)),"违规：加仓序号须为1到5的整数",IF(COUNTIFS($A$2:$A$1001,A673,$B$2:$B$1001,B673)&gt;1,"违规：同一交易的加仓序号重复",IF(OR(D673="",E673="",F673=""),"计划不完整：请填写加仓价、新止损价和风险预算",IF(OR(D673&lt;=0,E673&lt;=0,F673&lt;=0,D673&lt;=E673),"违规：加仓价必须高于新止损价，金额须大于0",IF(AND(B673&gt;1,COUNTIFS($A$2:$A$1001,A673,$B$2:$B$1001,B673-1,$G$2:$G$1001,"&gt;0")=0),"违规：须先完成上一次加仓",IF(AND(B673&gt;1,E673&lt;SUMIFS($E$2:$E$1001,$A$2:$A$1001,A673,$B$2:$B$1001,B673-1)),"违规：新止损价不得低于上一次",IF(AND(B673&gt;1,F673&gt;SUMIFS($F$2:$F$1001,$A$2:$A$1001,A673,$B$2:$B$1001,B673-1)),"违规：风险预算须逐次不增加",IF(OR(_LockStatus="已锁仓",_LockStatus="解锁信息不完整"),"违规：锁仓期间禁止加仓",IF(G673="","计划可执行：建议股数见N列",IF(OR(G673&lt;=0,G673&lt;&gt;INT(G673),MOD(G673,100)&lt;&gt;0),"违规：实际股数须为100股整数倍",IF(G673&gt;N673,"违规：实际股数超过风险或金字塔上限",IF(AND(B673&gt;1,G673&gt;SUMIFS($G$2:$G$1001,$A$2:$A$1001,A673,$B$2:$B$1001,B673-1)),"违规：加仓股数须逐次不增加",IF(Q673&gt;F673,"违规：止损风险超过本次预算","通过")))))))))))))))</f>
        <v/>
      </c>
    </row>
    <row r="674" customFormat="false" ht="15" hidden="false" customHeight="false" outlineLevel="0" collapsed="false">
      <c r="A674" s="20"/>
      <c r="B674" s="21"/>
      <c r="C674" s="22"/>
      <c r="D674" s="23"/>
      <c r="E674" s="23"/>
      <c r="F674" s="23"/>
      <c r="G674" s="21"/>
      <c r="H674" s="24" t="str">
        <f aca="false">IF(OR(A674="",D674="",G674=""),"",D674*G674)</f>
        <v/>
      </c>
      <c r="I674" s="25" t="str">
        <f aca="false">IF(OR(A674="",B674=""),"",IFERROR(LOOKUP(2,1/(单次交易!$A$2:$A$201=A674),单次交易!$H$2:$H$201),0)+SUMIFS($G$2:$G$1001,$A$2:$A$1001,A674,$B$2:$B$1001,"&lt;"&amp;B674))</f>
        <v/>
      </c>
      <c r="J674" s="24" t="str">
        <f aca="false">IF(OR(A674="",B674=""),"",IFERROR(LOOKUP(2,1/(单次交易!$A$2:$A$201=A674),单次交易!$E$2:$E$201)*LOOKUP(2,1/(单次交易!$A$2:$A$201=A674),单次交易!$H$2:$H$201),0)+SUMIFS($H$2:$H$1001,$A$2:$A$1001,A674,$B$2:$B$1001,"&lt;"&amp;B674))</f>
        <v/>
      </c>
      <c r="K674" s="24" t="str">
        <f aca="false">IF(OR(E674="",I674="",J674=""),"",MAX(E674*I674-J674,0))</f>
        <v/>
      </c>
      <c r="L674" s="25" t="str">
        <f aca="false">IF(OR(D674="",E674="",F674="",D674&lt;=E674),"",FLOOR((F674+K674)/(D674-E674),100))</f>
        <v/>
      </c>
      <c r="M674" s="25" t="str">
        <f aca="false">IF(OR(A674="",B674="",L674=""),"",IF(B674=1,L674,IFERROR(SUMIFS($G$2:$G$1001,$A$2:$A$1001,A674,$B$2:$B$1001,B674-1),0)))</f>
        <v/>
      </c>
      <c r="N674" s="25" t="str">
        <f aca="false">IF(OR(L674="",M674=""),"",MIN(L674,M674))</f>
        <v/>
      </c>
      <c r="O674" s="25" t="str">
        <f aca="false">IF(OR(I674="",G674=""),"",I674+G674)</f>
        <v/>
      </c>
      <c r="P674" s="24" t="str">
        <f aca="false">IF(OR(O674="",O674=0),"",(J674+H674)/O674)</f>
        <v/>
      </c>
      <c r="Q674" s="24" t="str">
        <f aca="false">IF(OR(O674="",E674=""),"",MAX(J674+H674-E674*O674,0))</f>
        <v/>
      </c>
      <c r="R674" s="26" t="str">
        <f aca="false">IF(A674="","",IF(COUNTIF(_TradeIds,A674)=0,"违规：交易编号不存在",IF(OR(B674="",B674&lt;1,B674&gt;5,B674&lt;&gt;INT(B674)),"违规：加仓序号须为1到5的整数",IF(COUNTIFS($A$2:$A$1001,A674,$B$2:$B$1001,B674)&gt;1,"违规：同一交易的加仓序号重复",IF(OR(D674="",E674="",F674=""),"计划不完整：请填写加仓价、新止损价和风险预算",IF(OR(D674&lt;=0,E674&lt;=0,F674&lt;=0,D674&lt;=E674),"违规：加仓价必须高于新止损价，金额须大于0",IF(AND(B674&gt;1,COUNTIFS($A$2:$A$1001,A674,$B$2:$B$1001,B674-1,$G$2:$G$1001,"&gt;0")=0),"违规：须先完成上一次加仓",IF(AND(B674&gt;1,E674&lt;SUMIFS($E$2:$E$1001,$A$2:$A$1001,A674,$B$2:$B$1001,B674-1)),"违规：新止损价不得低于上一次",IF(AND(B674&gt;1,F674&gt;SUMIFS($F$2:$F$1001,$A$2:$A$1001,A674,$B$2:$B$1001,B674-1)),"违规：风险预算须逐次不增加",IF(OR(_LockStatus="已锁仓",_LockStatus="解锁信息不完整"),"违规：锁仓期间禁止加仓",IF(G674="","计划可执行：建议股数见N列",IF(OR(G674&lt;=0,G674&lt;&gt;INT(G674),MOD(G674,100)&lt;&gt;0),"违规：实际股数须为100股整数倍",IF(G674&gt;N674,"违规：实际股数超过风险或金字塔上限",IF(AND(B674&gt;1,G674&gt;SUMIFS($G$2:$G$1001,$A$2:$A$1001,A674,$B$2:$B$1001,B674-1)),"违规：加仓股数须逐次不增加",IF(Q674&gt;F674,"违规：止损风险超过本次预算","通过")))))))))))))))</f>
        <v/>
      </c>
    </row>
    <row r="675" customFormat="false" ht="15" hidden="false" customHeight="false" outlineLevel="0" collapsed="false">
      <c r="A675" s="20"/>
      <c r="B675" s="21"/>
      <c r="C675" s="22"/>
      <c r="D675" s="23"/>
      <c r="E675" s="23"/>
      <c r="F675" s="23"/>
      <c r="G675" s="21"/>
      <c r="H675" s="24" t="str">
        <f aca="false">IF(OR(A675="",D675="",G675=""),"",D675*G675)</f>
        <v/>
      </c>
      <c r="I675" s="25" t="str">
        <f aca="false">IF(OR(A675="",B675=""),"",IFERROR(LOOKUP(2,1/(单次交易!$A$2:$A$201=A675),单次交易!$H$2:$H$201),0)+SUMIFS($G$2:$G$1001,$A$2:$A$1001,A675,$B$2:$B$1001,"&lt;"&amp;B675))</f>
        <v/>
      </c>
      <c r="J675" s="24" t="str">
        <f aca="false">IF(OR(A675="",B675=""),"",IFERROR(LOOKUP(2,1/(单次交易!$A$2:$A$201=A675),单次交易!$E$2:$E$201)*LOOKUP(2,1/(单次交易!$A$2:$A$201=A675),单次交易!$H$2:$H$201),0)+SUMIFS($H$2:$H$1001,$A$2:$A$1001,A675,$B$2:$B$1001,"&lt;"&amp;B675))</f>
        <v/>
      </c>
      <c r="K675" s="24" t="str">
        <f aca="false">IF(OR(E675="",I675="",J675=""),"",MAX(E675*I675-J675,0))</f>
        <v/>
      </c>
      <c r="L675" s="25" t="str">
        <f aca="false">IF(OR(D675="",E675="",F675="",D675&lt;=E675),"",FLOOR((F675+K675)/(D675-E675),100))</f>
        <v/>
      </c>
      <c r="M675" s="25" t="str">
        <f aca="false">IF(OR(A675="",B675="",L675=""),"",IF(B675=1,L675,IFERROR(SUMIFS($G$2:$G$1001,$A$2:$A$1001,A675,$B$2:$B$1001,B675-1),0)))</f>
        <v/>
      </c>
      <c r="N675" s="25" t="str">
        <f aca="false">IF(OR(L675="",M675=""),"",MIN(L675,M675))</f>
        <v/>
      </c>
      <c r="O675" s="25" t="str">
        <f aca="false">IF(OR(I675="",G675=""),"",I675+G675)</f>
        <v/>
      </c>
      <c r="P675" s="24" t="str">
        <f aca="false">IF(OR(O675="",O675=0),"",(J675+H675)/O675)</f>
        <v/>
      </c>
      <c r="Q675" s="24" t="str">
        <f aca="false">IF(OR(O675="",E675=""),"",MAX(J675+H675-E675*O675,0))</f>
        <v/>
      </c>
      <c r="R675" s="26" t="str">
        <f aca="false">IF(A675="","",IF(COUNTIF(_TradeIds,A675)=0,"违规：交易编号不存在",IF(OR(B675="",B675&lt;1,B675&gt;5,B675&lt;&gt;INT(B675)),"违规：加仓序号须为1到5的整数",IF(COUNTIFS($A$2:$A$1001,A675,$B$2:$B$1001,B675)&gt;1,"违规：同一交易的加仓序号重复",IF(OR(D675="",E675="",F675=""),"计划不完整：请填写加仓价、新止损价和风险预算",IF(OR(D675&lt;=0,E675&lt;=0,F675&lt;=0,D675&lt;=E675),"违规：加仓价必须高于新止损价，金额须大于0",IF(AND(B675&gt;1,COUNTIFS($A$2:$A$1001,A675,$B$2:$B$1001,B675-1,$G$2:$G$1001,"&gt;0")=0),"违规：须先完成上一次加仓",IF(AND(B675&gt;1,E675&lt;SUMIFS($E$2:$E$1001,$A$2:$A$1001,A675,$B$2:$B$1001,B675-1)),"违规：新止损价不得低于上一次",IF(AND(B675&gt;1,F675&gt;SUMIFS($F$2:$F$1001,$A$2:$A$1001,A675,$B$2:$B$1001,B675-1)),"违规：风险预算须逐次不增加",IF(OR(_LockStatus="已锁仓",_LockStatus="解锁信息不完整"),"违规：锁仓期间禁止加仓",IF(G675="","计划可执行：建议股数见N列",IF(OR(G675&lt;=0,G675&lt;&gt;INT(G675),MOD(G675,100)&lt;&gt;0),"违规：实际股数须为100股整数倍",IF(G675&gt;N675,"违规：实际股数超过风险或金字塔上限",IF(AND(B675&gt;1,G675&gt;SUMIFS($G$2:$G$1001,$A$2:$A$1001,A675,$B$2:$B$1001,B675-1)),"违规：加仓股数须逐次不增加",IF(Q675&gt;F675,"违规：止损风险超过本次预算","通过")))))))))))))))</f>
        <v/>
      </c>
    </row>
    <row r="676" customFormat="false" ht="15" hidden="false" customHeight="false" outlineLevel="0" collapsed="false">
      <c r="A676" s="20"/>
      <c r="B676" s="21"/>
      <c r="C676" s="22"/>
      <c r="D676" s="23"/>
      <c r="E676" s="23"/>
      <c r="F676" s="23"/>
      <c r="G676" s="21"/>
      <c r="H676" s="24" t="str">
        <f aca="false">IF(OR(A676="",D676="",G676=""),"",D676*G676)</f>
        <v/>
      </c>
      <c r="I676" s="25" t="str">
        <f aca="false">IF(OR(A676="",B676=""),"",IFERROR(LOOKUP(2,1/(单次交易!$A$2:$A$201=A676),单次交易!$H$2:$H$201),0)+SUMIFS($G$2:$G$1001,$A$2:$A$1001,A676,$B$2:$B$1001,"&lt;"&amp;B676))</f>
        <v/>
      </c>
      <c r="J676" s="24" t="str">
        <f aca="false">IF(OR(A676="",B676=""),"",IFERROR(LOOKUP(2,1/(单次交易!$A$2:$A$201=A676),单次交易!$E$2:$E$201)*LOOKUP(2,1/(单次交易!$A$2:$A$201=A676),单次交易!$H$2:$H$201),0)+SUMIFS($H$2:$H$1001,$A$2:$A$1001,A676,$B$2:$B$1001,"&lt;"&amp;B676))</f>
        <v/>
      </c>
      <c r="K676" s="24" t="str">
        <f aca="false">IF(OR(E676="",I676="",J676=""),"",MAX(E676*I676-J676,0))</f>
        <v/>
      </c>
      <c r="L676" s="25" t="str">
        <f aca="false">IF(OR(D676="",E676="",F676="",D676&lt;=E676),"",FLOOR((F676+K676)/(D676-E676),100))</f>
        <v/>
      </c>
      <c r="M676" s="25" t="str">
        <f aca="false">IF(OR(A676="",B676="",L676=""),"",IF(B676=1,L676,IFERROR(SUMIFS($G$2:$G$1001,$A$2:$A$1001,A676,$B$2:$B$1001,B676-1),0)))</f>
        <v/>
      </c>
      <c r="N676" s="25" t="str">
        <f aca="false">IF(OR(L676="",M676=""),"",MIN(L676,M676))</f>
        <v/>
      </c>
      <c r="O676" s="25" t="str">
        <f aca="false">IF(OR(I676="",G676=""),"",I676+G676)</f>
        <v/>
      </c>
      <c r="P676" s="24" t="str">
        <f aca="false">IF(OR(O676="",O676=0),"",(J676+H676)/O676)</f>
        <v/>
      </c>
      <c r="Q676" s="24" t="str">
        <f aca="false">IF(OR(O676="",E676=""),"",MAX(J676+H676-E676*O676,0))</f>
        <v/>
      </c>
      <c r="R676" s="26" t="str">
        <f aca="false">IF(A676="","",IF(COUNTIF(_TradeIds,A676)=0,"违规：交易编号不存在",IF(OR(B676="",B676&lt;1,B676&gt;5,B676&lt;&gt;INT(B676)),"违规：加仓序号须为1到5的整数",IF(COUNTIFS($A$2:$A$1001,A676,$B$2:$B$1001,B676)&gt;1,"违规：同一交易的加仓序号重复",IF(OR(D676="",E676="",F676=""),"计划不完整：请填写加仓价、新止损价和风险预算",IF(OR(D676&lt;=0,E676&lt;=0,F676&lt;=0,D676&lt;=E676),"违规：加仓价必须高于新止损价，金额须大于0",IF(AND(B676&gt;1,COUNTIFS($A$2:$A$1001,A676,$B$2:$B$1001,B676-1,$G$2:$G$1001,"&gt;0")=0),"违规：须先完成上一次加仓",IF(AND(B676&gt;1,E676&lt;SUMIFS($E$2:$E$1001,$A$2:$A$1001,A676,$B$2:$B$1001,B676-1)),"违规：新止损价不得低于上一次",IF(AND(B676&gt;1,F676&gt;SUMIFS($F$2:$F$1001,$A$2:$A$1001,A676,$B$2:$B$1001,B676-1)),"违规：风险预算须逐次不增加",IF(OR(_LockStatus="已锁仓",_LockStatus="解锁信息不完整"),"违规：锁仓期间禁止加仓",IF(G676="","计划可执行：建议股数见N列",IF(OR(G676&lt;=0,G676&lt;&gt;INT(G676),MOD(G676,100)&lt;&gt;0),"违规：实际股数须为100股整数倍",IF(G676&gt;N676,"违规：实际股数超过风险或金字塔上限",IF(AND(B676&gt;1,G676&gt;SUMIFS($G$2:$G$1001,$A$2:$A$1001,A676,$B$2:$B$1001,B676-1)),"违规：加仓股数须逐次不增加",IF(Q676&gt;F676,"违规：止损风险超过本次预算","通过")))))))))))))))</f>
        <v/>
      </c>
    </row>
    <row r="677" customFormat="false" ht="15" hidden="false" customHeight="false" outlineLevel="0" collapsed="false">
      <c r="A677" s="20"/>
      <c r="B677" s="21"/>
      <c r="C677" s="22"/>
      <c r="D677" s="23"/>
      <c r="E677" s="23"/>
      <c r="F677" s="23"/>
      <c r="G677" s="21"/>
      <c r="H677" s="24" t="str">
        <f aca="false">IF(OR(A677="",D677="",G677=""),"",D677*G677)</f>
        <v/>
      </c>
      <c r="I677" s="25" t="str">
        <f aca="false">IF(OR(A677="",B677=""),"",IFERROR(LOOKUP(2,1/(单次交易!$A$2:$A$201=A677),单次交易!$H$2:$H$201),0)+SUMIFS($G$2:$G$1001,$A$2:$A$1001,A677,$B$2:$B$1001,"&lt;"&amp;B677))</f>
        <v/>
      </c>
      <c r="J677" s="24" t="str">
        <f aca="false">IF(OR(A677="",B677=""),"",IFERROR(LOOKUP(2,1/(单次交易!$A$2:$A$201=A677),单次交易!$E$2:$E$201)*LOOKUP(2,1/(单次交易!$A$2:$A$201=A677),单次交易!$H$2:$H$201),0)+SUMIFS($H$2:$H$1001,$A$2:$A$1001,A677,$B$2:$B$1001,"&lt;"&amp;B677))</f>
        <v/>
      </c>
      <c r="K677" s="24" t="str">
        <f aca="false">IF(OR(E677="",I677="",J677=""),"",MAX(E677*I677-J677,0))</f>
        <v/>
      </c>
      <c r="L677" s="25" t="str">
        <f aca="false">IF(OR(D677="",E677="",F677="",D677&lt;=E677),"",FLOOR((F677+K677)/(D677-E677),100))</f>
        <v/>
      </c>
      <c r="M677" s="25" t="str">
        <f aca="false">IF(OR(A677="",B677="",L677=""),"",IF(B677=1,L677,IFERROR(SUMIFS($G$2:$G$1001,$A$2:$A$1001,A677,$B$2:$B$1001,B677-1),0)))</f>
        <v/>
      </c>
      <c r="N677" s="25" t="str">
        <f aca="false">IF(OR(L677="",M677=""),"",MIN(L677,M677))</f>
        <v/>
      </c>
      <c r="O677" s="25" t="str">
        <f aca="false">IF(OR(I677="",G677=""),"",I677+G677)</f>
        <v/>
      </c>
      <c r="P677" s="24" t="str">
        <f aca="false">IF(OR(O677="",O677=0),"",(J677+H677)/O677)</f>
        <v/>
      </c>
      <c r="Q677" s="24" t="str">
        <f aca="false">IF(OR(O677="",E677=""),"",MAX(J677+H677-E677*O677,0))</f>
        <v/>
      </c>
      <c r="R677" s="26" t="str">
        <f aca="false">IF(A677="","",IF(COUNTIF(_TradeIds,A677)=0,"违规：交易编号不存在",IF(OR(B677="",B677&lt;1,B677&gt;5,B677&lt;&gt;INT(B677)),"违规：加仓序号须为1到5的整数",IF(COUNTIFS($A$2:$A$1001,A677,$B$2:$B$1001,B677)&gt;1,"违规：同一交易的加仓序号重复",IF(OR(D677="",E677="",F677=""),"计划不完整：请填写加仓价、新止损价和风险预算",IF(OR(D677&lt;=0,E677&lt;=0,F677&lt;=0,D677&lt;=E677),"违规：加仓价必须高于新止损价，金额须大于0",IF(AND(B677&gt;1,COUNTIFS($A$2:$A$1001,A677,$B$2:$B$1001,B677-1,$G$2:$G$1001,"&gt;0")=0),"违规：须先完成上一次加仓",IF(AND(B677&gt;1,E677&lt;SUMIFS($E$2:$E$1001,$A$2:$A$1001,A677,$B$2:$B$1001,B677-1)),"违规：新止损价不得低于上一次",IF(AND(B677&gt;1,F677&gt;SUMIFS($F$2:$F$1001,$A$2:$A$1001,A677,$B$2:$B$1001,B677-1)),"违规：风险预算须逐次不增加",IF(OR(_LockStatus="已锁仓",_LockStatus="解锁信息不完整"),"违规：锁仓期间禁止加仓",IF(G677="","计划可执行：建议股数见N列",IF(OR(G677&lt;=0,G677&lt;&gt;INT(G677),MOD(G677,100)&lt;&gt;0),"违规：实际股数须为100股整数倍",IF(G677&gt;N677,"违规：实际股数超过风险或金字塔上限",IF(AND(B677&gt;1,G677&gt;SUMIFS($G$2:$G$1001,$A$2:$A$1001,A677,$B$2:$B$1001,B677-1)),"违规：加仓股数须逐次不增加",IF(Q677&gt;F677,"违规：止损风险超过本次预算","通过")))))))))))))))</f>
        <v/>
      </c>
    </row>
    <row r="678" customFormat="false" ht="15" hidden="false" customHeight="false" outlineLevel="0" collapsed="false">
      <c r="A678" s="20"/>
      <c r="B678" s="21"/>
      <c r="C678" s="22"/>
      <c r="D678" s="23"/>
      <c r="E678" s="23"/>
      <c r="F678" s="23"/>
      <c r="G678" s="21"/>
      <c r="H678" s="24" t="str">
        <f aca="false">IF(OR(A678="",D678="",G678=""),"",D678*G678)</f>
        <v/>
      </c>
      <c r="I678" s="25" t="str">
        <f aca="false">IF(OR(A678="",B678=""),"",IFERROR(LOOKUP(2,1/(单次交易!$A$2:$A$201=A678),单次交易!$H$2:$H$201),0)+SUMIFS($G$2:$G$1001,$A$2:$A$1001,A678,$B$2:$B$1001,"&lt;"&amp;B678))</f>
        <v/>
      </c>
      <c r="J678" s="24" t="str">
        <f aca="false">IF(OR(A678="",B678=""),"",IFERROR(LOOKUP(2,1/(单次交易!$A$2:$A$201=A678),单次交易!$E$2:$E$201)*LOOKUP(2,1/(单次交易!$A$2:$A$201=A678),单次交易!$H$2:$H$201),0)+SUMIFS($H$2:$H$1001,$A$2:$A$1001,A678,$B$2:$B$1001,"&lt;"&amp;B678))</f>
        <v/>
      </c>
      <c r="K678" s="24" t="str">
        <f aca="false">IF(OR(E678="",I678="",J678=""),"",MAX(E678*I678-J678,0))</f>
        <v/>
      </c>
      <c r="L678" s="25" t="str">
        <f aca="false">IF(OR(D678="",E678="",F678="",D678&lt;=E678),"",FLOOR((F678+K678)/(D678-E678),100))</f>
        <v/>
      </c>
      <c r="M678" s="25" t="str">
        <f aca="false">IF(OR(A678="",B678="",L678=""),"",IF(B678=1,L678,IFERROR(SUMIFS($G$2:$G$1001,$A$2:$A$1001,A678,$B$2:$B$1001,B678-1),0)))</f>
        <v/>
      </c>
      <c r="N678" s="25" t="str">
        <f aca="false">IF(OR(L678="",M678=""),"",MIN(L678,M678))</f>
        <v/>
      </c>
      <c r="O678" s="25" t="str">
        <f aca="false">IF(OR(I678="",G678=""),"",I678+G678)</f>
        <v/>
      </c>
      <c r="P678" s="24" t="str">
        <f aca="false">IF(OR(O678="",O678=0),"",(J678+H678)/O678)</f>
        <v/>
      </c>
      <c r="Q678" s="24" t="str">
        <f aca="false">IF(OR(O678="",E678=""),"",MAX(J678+H678-E678*O678,0))</f>
        <v/>
      </c>
      <c r="R678" s="26" t="str">
        <f aca="false">IF(A678="","",IF(COUNTIF(_TradeIds,A678)=0,"违规：交易编号不存在",IF(OR(B678="",B678&lt;1,B678&gt;5,B678&lt;&gt;INT(B678)),"违规：加仓序号须为1到5的整数",IF(COUNTIFS($A$2:$A$1001,A678,$B$2:$B$1001,B678)&gt;1,"违规：同一交易的加仓序号重复",IF(OR(D678="",E678="",F678=""),"计划不完整：请填写加仓价、新止损价和风险预算",IF(OR(D678&lt;=0,E678&lt;=0,F678&lt;=0,D678&lt;=E678),"违规：加仓价必须高于新止损价，金额须大于0",IF(AND(B678&gt;1,COUNTIFS($A$2:$A$1001,A678,$B$2:$B$1001,B678-1,$G$2:$G$1001,"&gt;0")=0),"违规：须先完成上一次加仓",IF(AND(B678&gt;1,E678&lt;SUMIFS($E$2:$E$1001,$A$2:$A$1001,A678,$B$2:$B$1001,B678-1)),"违规：新止损价不得低于上一次",IF(AND(B678&gt;1,F678&gt;SUMIFS($F$2:$F$1001,$A$2:$A$1001,A678,$B$2:$B$1001,B678-1)),"违规：风险预算须逐次不增加",IF(OR(_LockStatus="已锁仓",_LockStatus="解锁信息不完整"),"违规：锁仓期间禁止加仓",IF(G678="","计划可执行：建议股数见N列",IF(OR(G678&lt;=0,G678&lt;&gt;INT(G678),MOD(G678,100)&lt;&gt;0),"违规：实际股数须为100股整数倍",IF(G678&gt;N678,"违规：实际股数超过风险或金字塔上限",IF(AND(B678&gt;1,G678&gt;SUMIFS($G$2:$G$1001,$A$2:$A$1001,A678,$B$2:$B$1001,B678-1)),"违规：加仓股数须逐次不增加",IF(Q678&gt;F678,"违规：止损风险超过本次预算","通过")))))))))))))))</f>
        <v/>
      </c>
    </row>
    <row r="679" customFormat="false" ht="15" hidden="false" customHeight="false" outlineLevel="0" collapsed="false">
      <c r="A679" s="20"/>
      <c r="B679" s="21"/>
      <c r="C679" s="22"/>
      <c r="D679" s="23"/>
      <c r="E679" s="23"/>
      <c r="F679" s="23"/>
      <c r="G679" s="21"/>
      <c r="H679" s="24" t="str">
        <f aca="false">IF(OR(A679="",D679="",G679=""),"",D679*G679)</f>
        <v/>
      </c>
      <c r="I679" s="25" t="str">
        <f aca="false">IF(OR(A679="",B679=""),"",IFERROR(LOOKUP(2,1/(单次交易!$A$2:$A$201=A679),单次交易!$H$2:$H$201),0)+SUMIFS($G$2:$G$1001,$A$2:$A$1001,A679,$B$2:$B$1001,"&lt;"&amp;B679))</f>
        <v/>
      </c>
      <c r="J679" s="24" t="str">
        <f aca="false">IF(OR(A679="",B679=""),"",IFERROR(LOOKUP(2,1/(单次交易!$A$2:$A$201=A679),单次交易!$E$2:$E$201)*LOOKUP(2,1/(单次交易!$A$2:$A$201=A679),单次交易!$H$2:$H$201),0)+SUMIFS($H$2:$H$1001,$A$2:$A$1001,A679,$B$2:$B$1001,"&lt;"&amp;B679))</f>
        <v/>
      </c>
      <c r="K679" s="24" t="str">
        <f aca="false">IF(OR(E679="",I679="",J679=""),"",MAX(E679*I679-J679,0))</f>
        <v/>
      </c>
      <c r="L679" s="25" t="str">
        <f aca="false">IF(OR(D679="",E679="",F679="",D679&lt;=E679),"",FLOOR((F679+K679)/(D679-E679),100))</f>
        <v/>
      </c>
      <c r="M679" s="25" t="str">
        <f aca="false">IF(OR(A679="",B679="",L679=""),"",IF(B679=1,L679,IFERROR(SUMIFS($G$2:$G$1001,$A$2:$A$1001,A679,$B$2:$B$1001,B679-1),0)))</f>
        <v/>
      </c>
      <c r="N679" s="25" t="str">
        <f aca="false">IF(OR(L679="",M679=""),"",MIN(L679,M679))</f>
        <v/>
      </c>
      <c r="O679" s="25" t="str">
        <f aca="false">IF(OR(I679="",G679=""),"",I679+G679)</f>
        <v/>
      </c>
      <c r="P679" s="24" t="str">
        <f aca="false">IF(OR(O679="",O679=0),"",(J679+H679)/O679)</f>
        <v/>
      </c>
      <c r="Q679" s="24" t="str">
        <f aca="false">IF(OR(O679="",E679=""),"",MAX(J679+H679-E679*O679,0))</f>
        <v/>
      </c>
      <c r="R679" s="26" t="str">
        <f aca="false">IF(A679="","",IF(COUNTIF(_TradeIds,A679)=0,"违规：交易编号不存在",IF(OR(B679="",B679&lt;1,B679&gt;5,B679&lt;&gt;INT(B679)),"违规：加仓序号须为1到5的整数",IF(COUNTIFS($A$2:$A$1001,A679,$B$2:$B$1001,B679)&gt;1,"违规：同一交易的加仓序号重复",IF(OR(D679="",E679="",F679=""),"计划不完整：请填写加仓价、新止损价和风险预算",IF(OR(D679&lt;=0,E679&lt;=0,F679&lt;=0,D679&lt;=E679),"违规：加仓价必须高于新止损价，金额须大于0",IF(AND(B679&gt;1,COUNTIFS($A$2:$A$1001,A679,$B$2:$B$1001,B679-1,$G$2:$G$1001,"&gt;0")=0),"违规：须先完成上一次加仓",IF(AND(B679&gt;1,E679&lt;SUMIFS($E$2:$E$1001,$A$2:$A$1001,A679,$B$2:$B$1001,B679-1)),"违规：新止损价不得低于上一次",IF(AND(B679&gt;1,F679&gt;SUMIFS($F$2:$F$1001,$A$2:$A$1001,A679,$B$2:$B$1001,B679-1)),"违规：风险预算须逐次不增加",IF(OR(_LockStatus="已锁仓",_LockStatus="解锁信息不完整"),"违规：锁仓期间禁止加仓",IF(G679="","计划可执行：建议股数见N列",IF(OR(G679&lt;=0,G679&lt;&gt;INT(G679),MOD(G679,100)&lt;&gt;0),"违规：实际股数须为100股整数倍",IF(G679&gt;N679,"违规：实际股数超过风险或金字塔上限",IF(AND(B679&gt;1,G679&gt;SUMIFS($G$2:$G$1001,$A$2:$A$1001,A679,$B$2:$B$1001,B679-1)),"违规：加仓股数须逐次不增加",IF(Q679&gt;F679,"违规：止损风险超过本次预算","通过")))))))))))))))</f>
        <v/>
      </c>
    </row>
    <row r="680" customFormat="false" ht="15" hidden="false" customHeight="false" outlineLevel="0" collapsed="false">
      <c r="A680" s="20"/>
      <c r="B680" s="21"/>
      <c r="C680" s="22"/>
      <c r="D680" s="23"/>
      <c r="E680" s="23"/>
      <c r="F680" s="23"/>
      <c r="G680" s="21"/>
      <c r="H680" s="24" t="str">
        <f aca="false">IF(OR(A680="",D680="",G680=""),"",D680*G680)</f>
        <v/>
      </c>
      <c r="I680" s="25" t="str">
        <f aca="false">IF(OR(A680="",B680=""),"",IFERROR(LOOKUP(2,1/(单次交易!$A$2:$A$201=A680),单次交易!$H$2:$H$201),0)+SUMIFS($G$2:$G$1001,$A$2:$A$1001,A680,$B$2:$B$1001,"&lt;"&amp;B680))</f>
        <v/>
      </c>
      <c r="J680" s="24" t="str">
        <f aca="false">IF(OR(A680="",B680=""),"",IFERROR(LOOKUP(2,1/(单次交易!$A$2:$A$201=A680),单次交易!$E$2:$E$201)*LOOKUP(2,1/(单次交易!$A$2:$A$201=A680),单次交易!$H$2:$H$201),0)+SUMIFS($H$2:$H$1001,$A$2:$A$1001,A680,$B$2:$B$1001,"&lt;"&amp;B680))</f>
        <v/>
      </c>
      <c r="K680" s="24" t="str">
        <f aca="false">IF(OR(E680="",I680="",J680=""),"",MAX(E680*I680-J680,0))</f>
        <v/>
      </c>
      <c r="L680" s="25" t="str">
        <f aca="false">IF(OR(D680="",E680="",F680="",D680&lt;=E680),"",FLOOR((F680+K680)/(D680-E680),100))</f>
        <v/>
      </c>
      <c r="M680" s="25" t="str">
        <f aca="false">IF(OR(A680="",B680="",L680=""),"",IF(B680=1,L680,IFERROR(SUMIFS($G$2:$G$1001,$A$2:$A$1001,A680,$B$2:$B$1001,B680-1),0)))</f>
        <v/>
      </c>
      <c r="N680" s="25" t="str">
        <f aca="false">IF(OR(L680="",M680=""),"",MIN(L680,M680))</f>
        <v/>
      </c>
      <c r="O680" s="25" t="str">
        <f aca="false">IF(OR(I680="",G680=""),"",I680+G680)</f>
        <v/>
      </c>
      <c r="P680" s="24" t="str">
        <f aca="false">IF(OR(O680="",O680=0),"",(J680+H680)/O680)</f>
        <v/>
      </c>
      <c r="Q680" s="24" t="str">
        <f aca="false">IF(OR(O680="",E680=""),"",MAX(J680+H680-E680*O680,0))</f>
        <v/>
      </c>
      <c r="R680" s="26" t="str">
        <f aca="false">IF(A680="","",IF(COUNTIF(_TradeIds,A680)=0,"违规：交易编号不存在",IF(OR(B680="",B680&lt;1,B680&gt;5,B680&lt;&gt;INT(B680)),"违规：加仓序号须为1到5的整数",IF(COUNTIFS($A$2:$A$1001,A680,$B$2:$B$1001,B680)&gt;1,"违规：同一交易的加仓序号重复",IF(OR(D680="",E680="",F680=""),"计划不完整：请填写加仓价、新止损价和风险预算",IF(OR(D680&lt;=0,E680&lt;=0,F680&lt;=0,D680&lt;=E680),"违规：加仓价必须高于新止损价，金额须大于0",IF(AND(B680&gt;1,COUNTIFS($A$2:$A$1001,A680,$B$2:$B$1001,B680-1,$G$2:$G$1001,"&gt;0")=0),"违规：须先完成上一次加仓",IF(AND(B680&gt;1,E680&lt;SUMIFS($E$2:$E$1001,$A$2:$A$1001,A680,$B$2:$B$1001,B680-1)),"违规：新止损价不得低于上一次",IF(AND(B680&gt;1,F680&gt;SUMIFS($F$2:$F$1001,$A$2:$A$1001,A680,$B$2:$B$1001,B680-1)),"违规：风险预算须逐次不增加",IF(OR(_LockStatus="已锁仓",_LockStatus="解锁信息不完整"),"违规：锁仓期间禁止加仓",IF(G680="","计划可执行：建议股数见N列",IF(OR(G680&lt;=0,G680&lt;&gt;INT(G680),MOD(G680,100)&lt;&gt;0),"违规：实际股数须为100股整数倍",IF(G680&gt;N680,"违规：实际股数超过风险或金字塔上限",IF(AND(B680&gt;1,G680&gt;SUMIFS($G$2:$G$1001,$A$2:$A$1001,A680,$B$2:$B$1001,B680-1)),"违规：加仓股数须逐次不增加",IF(Q680&gt;F680,"违规：止损风险超过本次预算","通过")))))))))))))))</f>
        <v/>
      </c>
    </row>
    <row r="681" customFormat="false" ht="15" hidden="false" customHeight="false" outlineLevel="0" collapsed="false">
      <c r="A681" s="20"/>
      <c r="B681" s="21"/>
      <c r="C681" s="22"/>
      <c r="D681" s="23"/>
      <c r="E681" s="23"/>
      <c r="F681" s="23"/>
      <c r="G681" s="21"/>
      <c r="H681" s="24" t="str">
        <f aca="false">IF(OR(A681="",D681="",G681=""),"",D681*G681)</f>
        <v/>
      </c>
      <c r="I681" s="25" t="str">
        <f aca="false">IF(OR(A681="",B681=""),"",IFERROR(LOOKUP(2,1/(单次交易!$A$2:$A$201=A681),单次交易!$H$2:$H$201),0)+SUMIFS($G$2:$G$1001,$A$2:$A$1001,A681,$B$2:$B$1001,"&lt;"&amp;B681))</f>
        <v/>
      </c>
      <c r="J681" s="24" t="str">
        <f aca="false">IF(OR(A681="",B681=""),"",IFERROR(LOOKUP(2,1/(单次交易!$A$2:$A$201=A681),单次交易!$E$2:$E$201)*LOOKUP(2,1/(单次交易!$A$2:$A$201=A681),单次交易!$H$2:$H$201),0)+SUMIFS($H$2:$H$1001,$A$2:$A$1001,A681,$B$2:$B$1001,"&lt;"&amp;B681))</f>
        <v/>
      </c>
      <c r="K681" s="24" t="str">
        <f aca="false">IF(OR(E681="",I681="",J681=""),"",MAX(E681*I681-J681,0))</f>
        <v/>
      </c>
      <c r="L681" s="25" t="str">
        <f aca="false">IF(OR(D681="",E681="",F681="",D681&lt;=E681),"",FLOOR((F681+K681)/(D681-E681),100))</f>
        <v/>
      </c>
      <c r="M681" s="25" t="str">
        <f aca="false">IF(OR(A681="",B681="",L681=""),"",IF(B681=1,L681,IFERROR(SUMIFS($G$2:$G$1001,$A$2:$A$1001,A681,$B$2:$B$1001,B681-1),0)))</f>
        <v/>
      </c>
      <c r="N681" s="25" t="str">
        <f aca="false">IF(OR(L681="",M681=""),"",MIN(L681,M681))</f>
        <v/>
      </c>
      <c r="O681" s="25" t="str">
        <f aca="false">IF(OR(I681="",G681=""),"",I681+G681)</f>
        <v/>
      </c>
      <c r="P681" s="24" t="str">
        <f aca="false">IF(OR(O681="",O681=0),"",(J681+H681)/O681)</f>
        <v/>
      </c>
      <c r="Q681" s="24" t="str">
        <f aca="false">IF(OR(O681="",E681=""),"",MAX(J681+H681-E681*O681,0))</f>
        <v/>
      </c>
      <c r="R681" s="26" t="str">
        <f aca="false">IF(A681="","",IF(COUNTIF(_TradeIds,A681)=0,"违规：交易编号不存在",IF(OR(B681="",B681&lt;1,B681&gt;5,B681&lt;&gt;INT(B681)),"违规：加仓序号须为1到5的整数",IF(COUNTIFS($A$2:$A$1001,A681,$B$2:$B$1001,B681)&gt;1,"违规：同一交易的加仓序号重复",IF(OR(D681="",E681="",F681=""),"计划不完整：请填写加仓价、新止损价和风险预算",IF(OR(D681&lt;=0,E681&lt;=0,F681&lt;=0,D681&lt;=E681),"违规：加仓价必须高于新止损价，金额须大于0",IF(AND(B681&gt;1,COUNTIFS($A$2:$A$1001,A681,$B$2:$B$1001,B681-1,$G$2:$G$1001,"&gt;0")=0),"违规：须先完成上一次加仓",IF(AND(B681&gt;1,E681&lt;SUMIFS($E$2:$E$1001,$A$2:$A$1001,A681,$B$2:$B$1001,B681-1)),"违规：新止损价不得低于上一次",IF(AND(B681&gt;1,F681&gt;SUMIFS($F$2:$F$1001,$A$2:$A$1001,A681,$B$2:$B$1001,B681-1)),"违规：风险预算须逐次不增加",IF(OR(_LockStatus="已锁仓",_LockStatus="解锁信息不完整"),"违规：锁仓期间禁止加仓",IF(G681="","计划可执行：建议股数见N列",IF(OR(G681&lt;=0,G681&lt;&gt;INT(G681),MOD(G681,100)&lt;&gt;0),"违规：实际股数须为100股整数倍",IF(G681&gt;N681,"违规：实际股数超过风险或金字塔上限",IF(AND(B681&gt;1,G681&gt;SUMIFS($G$2:$G$1001,$A$2:$A$1001,A681,$B$2:$B$1001,B681-1)),"违规：加仓股数须逐次不增加",IF(Q681&gt;F681,"违规：止损风险超过本次预算","通过")))))))))))))))</f>
        <v/>
      </c>
    </row>
    <row r="682" customFormat="false" ht="15" hidden="false" customHeight="false" outlineLevel="0" collapsed="false">
      <c r="A682" s="20"/>
      <c r="B682" s="21"/>
      <c r="C682" s="22"/>
      <c r="D682" s="23"/>
      <c r="E682" s="23"/>
      <c r="F682" s="23"/>
      <c r="G682" s="21"/>
      <c r="H682" s="24" t="str">
        <f aca="false">IF(OR(A682="",D682="",G682=""),"",D682*G682)</f>
        <v/>
      </c>
      <c r="I682" s="25" t="str">
        <f aca="false">IF(OR(A682="",B682=""),"",IFERROR(LOOKUP(2,1/(单次交易!$A$2:$A$201=A682),单次交易!$H$2:$H$201),0)+SUMIFS($G$2:$G$1001,$A$2:$A$1001,A682,$B$2:$B$1001,"&lt;"&amp;B682))</f>
        <v/>
      </c>
      <c r="J682" s="24" t="str">
        <f aca="false">IF(OR(A682="",B682=""),"",IFERROR(LOOKUP(2,1/(单次交易!$A$2:$A$201=A682),单次交易!$E$2:$E$201)*LOOKUP(2,1/(单次交易!$A$2:$A$201=A682),单次交易!$H$2:$H$201),0)+SUMIFS($H$2:$H$1001,$A$2:$A$1001,A682,$B$2:$B$1001,"&lt;"&amp;B682))</f>
        <v/>
      </c>
      <c r="K682" s="24" t="str">
        <f aca="false">IF(OR(E682="",I682="",J682=""),"",MAX(E682*I682-J682,0))</f>
        <v/>
      </c>
      <c r="L682" s="25" t="str">
        <f aca="false">IF(OR(D682="",E682="",F682="",D682&lt;=E682),"",FLOOR((F682+K682)/(D682-E682),100))</f>
        <v/>
      </c>
      <c r="M682" s="25" t="str">
        <f aca="false">IF(OR(A682="",B682="",L682=""),"",IF(B682=1,L682,IFERROR(SUMIFS($G$2:$G$1001,$A$2:$A$1001,A682,$B$2:$B$1001,B682-1),0)))</f>
        <v/>
      </c>
      <c r="N682" s="25" t="str">
        <f aca="false">IF(OR(L682="",M682=""),"",MIN(L682,M682))</f>
        <v/>
      </c>
      <c r="O682" s="25" t="str">
        <f aca="false">IF(OR(I682="",G682=""),"",I682+G682)</f>
        <v/>
      </c>
      <c r="P682" s="24" t="str">
        <f aca="false">IF(OR(O682="",O682=0),"",(J682+H682)/O682)</f>
        <v/>
      </c>
      <c r="Q682" s="24" t="str">
        <f aca="false">IF(OR(O682="",E682=""),"",MAX(J682+H682-E682*O682,0))</f>
        <v/>
      </c>
      <c r="R682" s="26" t="str">
        <f aca="false">IF(A682="","",IF(COUNTIF(_TradeIds,A682)=0,"违规：交易编号不存在",IF(OR(B682="",B682&lt;1,B682&gt;5,B682&lt;&gt;INT(B682)),"违规：加仓序号须为1到5的整数",IF(COUNTIFS($A$2:$A$1001,A682,$B$2:$B$1001,B682)&gt;1,"违规：同一交易的加仓序号重复",IF(OR(D682="",E682="",F682=""),"计划不完整：请填写加仓价、新止损价和风险预算",IF(OR(D682&lt;=0,E682&lt;=0,F682&lt;=0,D682&lt;=E682),"违规：加仓价必须高于新止损价，金额须大于0",IF(AND(B682&gt;1,COUNTIFS($A$2:$A$1001,A682,$B$2:$B$1001,B682-1,$G$2:$G$1001,"&gt;0")=0),"违规：须先完成上一次加仓",IF(AND(B682&gt;1,E682&lt;SUMIFS($E$2:$E$1001,$A$2:$A$1001,A682,$B$2:$B$1001,B682-1)),"违规：新止损价不得低于上一次",IF(AND(B682&gt;1,F682&gt;SUMIFS($F$2:$F$1001,$A$2:$A$1001,A682,$B$2:$B$1001,B682-1)),"违规：风险预算须逐次不增加",IF(OR(_LockStatus="已锁仓",_LockStatus="解锁信息不完整"),"违规：锁仓期间禁止加仓",IF(G682="","计划可执行：建议股数见N列",IF(OR(G682&lt;=0,G682&lt;&gt;INT(G682),MOD(G682,100)&lt;&gt;0),"违规：实际股数须为100股整数倍",IF(G682&gt;N682,"违规：实际股数超过风险或金字塔上限",IF(AND(B682&gt;1,G682&gt;SUMIFS($G$2:$G$1001,$A$2:$A$1001,A682,$B$2:$B$1001,B682-1)),"违规：加仓股数须逐次不增加",IF(Q682&gt;F682,"违规：止损风险超过本次预算","通过")))))))))))))))</f>
        <v/>
      </c>
    </row>
    <row r="683" customFormat="false" ht="15" hidden="false" customHeight="false" outlineLevel="0" collapsed="false">
      <c r="A683" s="20"/>
      <c r="B683" s="21"/>
      <c r="C683" s="22"/>
      <c r="D683" s="23"/>
      <c r="E683" s="23"/>
      <c r="F683" s="23"/>
      <c r="G683" s="21"/>
      <c r="H683" s="24" t="str">
        <f aca="false">IF(OR(A683="",D683="",G683=""),"",D683*G683)</f>
        <v/>
      </c>
      <c r="I683" s="25" t="str">
        <f aca="false">IF(OR(A683="",B683=""),"",IFERROR(LOOKUP(2,1/(单次交易!$A$2:$A$201=A683),单次交易!$H$2:$H$201),0)+SUMIFS($G$2:$G$1001,$A$2:$A$1001,A683,$B$2:$B$1001,"&lt;"&amp;B683))</f>
        <v/>
      </c>
      <c r="J683" s="24" t="str">
        <f aca="false">IF(OR(A683="",B683=""),"",IFERROR(LOOKUP(2,1/(单次交易!$A$2:$A$201=A683),单次交易!$E$2:$E$201)*LOOKUP(2,1/(单次交易!$A$2:$A$201=A683),单次交易!$H$2:$H$201),0)+SUMIFS($H$2:$H$1001,$A$2:$A$1001,A683,$B$2:$B$1001,"&lt;"&amp;B683))</f>
        <v/>
      </c>
      <c r="K683" s="24" t="str">
        <f aca="false">IF(OR(E683="",I683="",J683=""),"",MAX(E683*I683-J683,0))</f>
        <v/>
      </c>
      <c r="L683" s="25" t="str">
        <f aca="false">IF(OR(D683="",E683="",F683="",D683&lt;=E683),"",FLOOR((F683+K683)/(D683-E683),100))</f>
        <v/>
      </c>
      <c r="M683" s="25" t="str">
        <f aca="false">IF(OR(A683="",B683="",L683=""),"",IF(B683=1,L683,IFERROR(SUMIFS($G$2:$G$1001,$A$2:$A$1001,A683,$B$2:$B$1001,B683-1),0)))</f>
        <v/>
      </c>
      <c r="N683" s="25" t="str">
        <f aca="false">IF(OR(L683="",M683=""),"",MIN(L683,M683))</f>
        <v/>
      </c>
      <c r="O683" s="25" t="str">
        <f aca="false">IF(OR(I683="",G683=""),"",I683+G683)</f>
        <v/>
      </c>
      <c r="P683" s="24" t="str">
        <f aca="false">IF(OR(O683="",O683=0),"",(J683+H683)/O683)</f>
        <v/>
      </c>
      <c r="Q683" s="24" t="str">
        <f aca="false">IF(OR(O683="",E683=""),"",MAX(J683+H683-E683*O683,0))</f>
        <v/>
      </c>
      <c r="R683" s="26" t="str">
        <f aca="false">IF(A683="","",IF(COUNTIF(_TradeIds,A683)=0,"违规：交易编号不存在",IF(OR(B683="",B683&lt;1,B683&gt;5,B683&lt;&gt;INT(B683)),"违规：加仓序号须为1到5的整数",IF(COUNTIFS($A$2:$A$1001,A683,$B$2:$B$1001,B683)&gt;1,"违规：同一交易的加仓序号重复",IF(OR(D683="",E683="",F683=""),"计划不完整：请填写加仓价、新止损价和风险预算",IF(OR(D683&lt;=0,E683&lt;=0,F683&lt;=0,D683&lt;=E683),"违规：加仓价必须高于新止损价，金额须大于0",IF(AND(B683&gt;1,COUNTIFS($A$2:$A$1001,A683,$B$2:$B$1001,B683-1,$G$2:$G$1001,"&gt;0")=0),"违规：须先完成上一次加仓",IF(AND(B683&gt;1,E683&lt;SUMIFS($E$2:$E$1001,$A$2:$A$1001,A683,$B$2:$B$1001,B683-1)),"违规：新止损价不得低于上一次",IF(AND(B683&gt;1,F683&gt;SUMIFS($F$2:$F$1001,$A$2:$A$1001,A683,$B$2:$B$1001,B683-1)),"违规：风险预算须逐次不增加",IF(OR(_LockStatus="已锁仓",_LockStatus="解锁信息不完整"),"违规：锁仓期间禁止加仓",IF(G683="","计划可执行：建议股数见N列",IF(OR(G683&lt;=0,G683&lt;&gt;INT(G683),MOD(G683,100)&lt;&gt;0),"违规：实际股数须为100股整数倍",IF(G683&gt;N683,"违规：实际股数超过风险或金字塔上限",IF(AND(B683&gt;1,G683&gt;SUMIFS($G$2:$G$1001,$A$2:$A$1001,A683,$B$2:$B$1001,B683-1)),"违规：加仓股数须逐次不增加",IF(Q683&gt;F683,"违规：止损风险超过本次预算","通过")))))))))))))))</f>
        <v/>
      </c>
    </row>
    <row r="684" customFormat="false" ht="15" hidden="false" customHeight="false" outlineLevel="0" collapsed="false">
      <c r="A684" s="20"/>
      <c r="B684" s="21"/>
      <c r="C684" s="22"/>
      <c r="D684" s="23"/>
      <c r="E684" s="23"/>
      <c r="F684" s="23"/>
      <c r="G684" s="21"/>
      <c r="H684" s="24" t="str">
        <f aca="false">IF(OR(A684="",D684="",G684=""),"",D684*G684)</f>
        <v/>
      </c>
      <c r="I684" s="25" t="str">
        <f aca="false">IF(OR(A684="",B684=""),"",IFERROR(LOOKUP(2,1/(单次交易!$A$2:$A$201=A684),单次交易!$H$2:$H$201),0)+SUMIFS($G$2:$G$1001,$A$2:$A$1001,A684,$B$2:$B$1001,"&lt;"&amp;B684))</f>
        <v/>
      </c>
      <c r="J684" s="24" t="str">
        <f aca="false">IF(OR(A684="",B684=""),"",IFERROR(LOOKUP(2,1/(单次交易!$A$2:$A$201=A684),单次交易!$E$2:$E$201)*LOOKUP(2,1/(单次交易!$A$2:$A$201=A684),单次交易!$H$2:$H$201),0)+SUMIFS($H$2:$H$1001,$A$2:$A$1001,A684,$B$2:$B$1001,"&lt;"&amp;B684))</f>
        <v/>
      </c>
      <c r="K684" s="24" t="str">
        <f aca="false">IF(OR(E684="",I684="",J684=""),"",MAX(E684*I684-J684,0))</f>
        <v/>
      </c>
      <c r="L684" s="25" t="str">
        <f aca="false">IF(OR(D684="",E684="",F684="",D684&lt;=E684),"",FLOOR((F684+K684)/(D684-E684),100))</f>
        <v/>
      </c>
      <c r="M684" s="25" t="str">
        <f aca="false">IF(OR(A684="",B684="",L684=""),"",IF(B684=1,L684,IFERROR(SUMIFS($G$2:$G$1001,$A$2:$A$1001,A684,$B$2:$B$1001,B684-1),0)))</f>
        <v/>
      </c>
      <c r="N684" s="25" t="str">
        <f aca="false">IF(OR(L684="",M684=""),"",MIN(L684,M684))</f>
        <v/>
      </c>
      <c r="O684" s="25" t="str">
        <f aca="false">IF(OR(I684="",G684=""),"",I684+G684)</f>
        <v/>
      </c>
      <c r="P684" s="24" t="str">
        <f aca="false">IF(OR(O684="",O684=0),"",(J684+H684)/O684)</f>
        <v/>
      </c>
      <c r="Q684" s="24" t="str">
        <f aca="false">IF(OR(O684="",E684=""),"",MAX(J684+H684-E684*O684,0))</f>
        <v/>
      </c>
      <c r="R684" s="26" t="str">
        <f aca="false">IF(A684="","",IF(COUNTIF(_TradeIds,A684)=0,"违规：交易编号不存在",IF(OR(B684="",B684&lt;1,B684&gt;5,B684&lt;&gt;INT(B684)),"违规：加仓序号须为1到5的整数",IF(COUNTIFS($A$2:$A$1001,A684,$B$2:$B$1001,B684)&gt;1,"违规：同一交易的加仓序号重复",IF(OR(D684="",E684="",F684=""),"计划不完整：请填写加仓价、新止损价和风险预算",IF(OR(D684&lt;=0,E684&lt;=0,F684&lt;=0,D684&lt;=E684),"违规：加仓价必须高于新止损价，金额须大于0",IF(AND(B684&gt;1,COUNTIFS($A$2:$A$1001,A684,$B$2:$B$1001,B684-1,$G$2:$G$1001,"&gt;0")=0),"违规：须先完成上一次加仓",IF(AND(B684&gt;1,E684&lt;SUMIFS($E$2:$E$1001,$A$2:$A$1001,A684,$B$2:$B$1001,B684-1)),"违规：新止损价不得低于上一次",IF(AND(B684&gt;1,F684&gt;SUMIFS($F$2:$F$1001,$A$2:$A$1001,A684,$B$2:$B$1001,B684-1)),"违规：风险预算须逐次不增加",IF(OR(_LockStatus="已锁仓",_LockStatus="解锁信息不完整"),"违规：锁仓期间禁止加仓",IF(G684="","计划可执行：建议股数见N列",IF(OR(G684&lt;=0,G684&lt;&gt;INT(G684),MOD(G684,100)&lt;&gt;0),"违规：实际股数须为100股整数倍",IF(G684&gt;N684,"违规：实际股数超过风险或金字塔上限",IF(AND(B684&gt;1,G684&gt;SUMIFS($G$2:$G$1001,$A$2:$A$1001,A684,$B$2:$B$1001,B684-1)),"违规：加仓股数须逐次不增加",IF(Q684&gt;F684,"违规：止损风险超过本次预算","通过")))))))))))))))</f>
        <v/>
      </c>
    </row>
    <row r="685" customFormat="false" ht="15" hidden="false" customHeight="false" outlineLevel="0" collapsed="false">
      <c r="A685" s="20"/>
      <c r="B685" s="21"/>
      <c r="C685" s="22"/>
      <c r="D685" s="23"/>
      <c r="E685" s="23"/>
      <c r="F685" s="23"/>
      <c r="G685" s="21"/>
      <c r="H685" s="24" t="str">
        <f aca="false">IF(OR(A685="",D685="",G685=""),"",D685*G685)</f>
        <v/>
      </c>
      <c r="I685" s="25" t="str">
        <f aca="false">IF(OR(A685="",B685=""),"",IFERROR(LOOKUP(2,1/(单次交易!$A$2:$A$201=A685),单次交易!$H$2:$H$201),0)+SUMIFS($G$2:$G$1001,$A$2:$A$1001,A685,$B$2:$B$1001,"&lt;"&amp;B685))</f>
        <v/>
      </c>
      <c r="J685" s="24" t="str">
        <f aca="false">IF(OR(A685="",B685=""),"",IFERROR(LOOKUP(2,1/(单次交易!$A$2:$A$201=A685),单次交易!$E$2:$E$201)*LOOKUP(2,1/(单次交易!$A$2:$A$201=A685),单次交易!$H$2:$H$201),0)+SUMIFS($H$2:$H$1001,$A$2:$A$1001,A685,$B$2:$B$1001,"&lt;"&amp;B685))</f>
        <v/>
      </c>
      <c r="K685" s="24" t="str">
        <f aca="false">IF(OR(E685="",I685="",J685=""),"",MAX(E685*I685-J685,0))</f>
        <v/>
      </c>
      <c r="L685" s="25" t="str">
        <f aca="false">IF(OR(D685="",E685="",F685="",D685&lt;=E685),"",FLOOR((F685+K685)/(D685-E685),100))</f>
        <v/>
      </c>
      <c r="M685" s="25" t="str">
        <f aca="false">IF(OR(A685="",B685="",L685=""),"",IF(B685=1,L685,IFERROR(SUMIFS($G$2:$G$1001,$A$2:$A$1001,A685,$B$2:$B$1001,B685-1),0)))</f>
        <v/>
      </c>
      <c r="N685" s="25" t="str">
        <f aca="false">IF(OR(L685="",M685=""),"",MIN(L685,M685))</f>
        <v/>
      </c>
      <c r="O685" s="25" t="str">
        <f aca="false">IF(OR(I685="",G685=""),"",I685+G685)</f>
        <v/>
      </c>
      <c r="P685" s="24" t="str">
        <f aca="false">IF(OR(O685="",O685=0),"",(J685+H685)/O685)</f>
        <v/>
      </c>
      <c r="Q685" s="24" t="str">
        <f aca="false">IF(OR(O685="",E685=""),"",MAX(J685+H685-E685*O685,0))</f>
        <v/>
      </c>
      <c r="R685" s="26" t="str">
        <f aca="false">IF(A685="","",IF(COUNTIF(_TradeIds,A685)=0,"违规：交易编号不存在",IF(OR(B685="",B685&lt;1,B685&gt;5,B685&lt;&gt;INT(B685)),"违规：加仓序号须为1到5的整数",IF(COUNTIFS($A$2:$A$1001,A685,$B$2:$B$1001,B685)&gt;1,"违规：同一交易的加仓序号重复",IF(OR(D685="",E685="",F685=""),"计划不完整：请填写加仓价、新止损价和风险预算",IF(OR(D685&lt;=0,E685&lt;=0,F685&lt;=0,D685&lt;=E685),"违规：加仓价必须高于新止损价，金额须大于0",IF(AND(B685&gt;1,COUNTIFS($A$2:$A$1001,A685,$B$2:$B$1001,B685-1,$G$2:$G$1001,"&gt;0")=0),"违规：须先完成上一次加仓",IF(AND(B685&gt;1,E685&lt;SUMIFS($E$2:$E$1001,$A$2:$A$1001,A685,$B$2:$B$1001,B685-1)),"违规：新止损价不得低于上一次",IF(AND(B685&gt;1,F685&gt;SUMIFS($F$2:$F$1001,$A$2:$A$1001,A685,$B$2:$B$1001,B685-1)),"违规：风险预算须逐次不增加",IF(OR(_LockStatus="已锁仓",_LockStatus="解锁信息不完整"),"违规：锁仓期间禁止加仓",IF(G685="","计划可执行：建议股数见N列",IF(OR(G685&lt;=0,G685&lt;&gt;INT(G685),MOD(G685,100)&lt;&gt;0),"违规：实际股数须为100股整数倍",IF(G685&gt;N685,"违规：实际股数超过风险或金字塔上限",IF(AND(B685&gt;1,G685&gt;SUMIFS($G$2:$G$1001,$A$2:$A$1001,A685,$B$2:$B$1001,B685-1)),"违规：加仓股数须逐次不增加",IF(Q685&gt;F685,"违规：止损风险超过本次预算","通过")))))))))))))))</f>
        <v/>
      </c>
    </row>
    <row r="686" customFormat="false" ht="15" hidden="false" customHeight="false" outlineLevel="0" collapsed="false">
      <c r="A686" s="20"/>
      <c r="B686" s="21"/>
      <c r="C686" s="22"/>
      <c r="D686" s="23"/>
      <c r="E686" s="23"/>
      <c r="F686" s="23"/>
      <c r="G686" s="21"/>
      <c r="H686" s="24" t="str">
        <f aca="false">IF(OR(A686="",D686="",G686=""),"",D686*G686)</f>
        <v/>
      </c>
      <c r="I686" s="25" t="str">
        <f aca="false">IF(OR(A686="",B686=""),"",IFERROR(LOOKUP(2,1/(单次交易!$A$2:$A$201=A686),单次交易!$H$2:$H$201),0)+SUMIFS($G$2:$G$1001,$A$2:$A$1001,A686,$B$2:$B$1001,"&lt;"&amp;B686))</f>
        <v/>
      </c>
      <c r="J686" s="24" t="str">
        <f aca="false">IF(OR(A686="",B686=""),"",IFERROR(LOOKUP(2,1/(单次交易!$A$2:$A$201=A686),单次交易!$E$2:$E$201)*LOOKUP(2,1/(单次交易!$A$2:$A$201=A686),单次交易!$H$2:$H$201),0)+SUMIFS($H$2:$H$1001,$A$2:$A$1001,A686,$B$2:$B$1001,"&lt;"&amp;B686))</f>
        <v/>
      </c>
      <c r="K686" s="24" t="str">
        <f aca="false">IF(OR(E686="",I686="",J686=""),"",MAX(E686*I686-J686,0))</f>
        <v/>
      </c>
      <c r="L686" s="25" t="str">
        <f aca="false">IF(OR(D686="",E686="",F686="",D686&lt;=E686),"",FLOOR((F686+K686)/(D686-E686),100))</f>
        <v/>
      </c>
      <c r="M686" s="25" t="str">
        <f aca="false">IF(OR(A686="",B686="",L686=""),"",IF(B686=1,L686,IFERROR(SUMIFS($G$2:$G$1001,$A$2:$A$1001,A686,$B$2:$B$1001,B686-1),0)))</f>
        <v/>
      </c>
      <c r="N686" s="25" t="str">
        <f aca="false">IF(OR(L686="",M686=""),"",MIN(L686,M686))</f>
        <v/>
      </c>
      <c r="O686" s="25" t="str">
        <f aca="false">IF(OR(I686="",G686=""),"",I686+G686)</f>
        <v/>
      </c>
      <c r="P686" s="24" t="str">
        <f aca="false">IF(OR(O686="",O686=0),"",(J686+H686)/O686)</f>
        <v/>
      </c>
      <c r="Q686" s="24" t="str">
        <f aca="false">IF(OR(O686="",E686=""),"",MAX(J686+H686-E686*O686,0))</f>
        <v/>
      </c>
      <c r="R686" s="26" t="str">
        <f aca="false">IF(A686="","",IF(COUNTIF(_TradeIds,A686)=0,"违规：交易编号不存在",IF(OR(B686="",B686&lt;1,B686&gt;5,B686&lt;&gt;INT(B686)),"违规：加仓序号须为1到5的整数",IF(COUNTIFS($A$2:$A$1001,A686,$B$2:$B$1001,B686)&gt;1,"违规：同一交易的加仓序号重复",IF(OR(D686="",E686="",F686=""),"计划不完整：请填写加仓价、新止损价和风险预算",IF(OR(D686&lt;=0,E686&lt;=0,F686&lt;=0,D686&lt;=E686),"违规：加仓价必须高于新止损价，金额须大于0",IF(AND(B686&gt;1,COUNTIFS($A$2:$A$1001,A686,$B$2:$B$1001,B686-1,$G$2:$G$1001,"&gt;0")=0),"违规：须先完成上一次加仓",IF(AND(B686&gt;1,E686&lt;SUMIFS($E$2:$E$1001,$A$2:$A$1001,A686,$B$2:$B$1001,B686-1)),"违规：新止损价不得低于上一次",IF(AND(B686&gt;1,F686&gt;SUMIFS($F$2:$F$1001,$A$2:$A$1001,A686,$B$2:$B$1001,B686-1)),"违规：风险预算须逐次不增加",IF(OR(_LockStatus="已锁仓",_LockStatus="解锁信息不完整"),"违规：锁仓期间禁止加仓",IF(G686="","计划可执行：建议股数见N列",IF(OR(G686&lt;=0,G686&lt;&gt;INT(G686),MOD(G686,100)&lt;&gt;0),"违规：实际股数须为100股整数倍",IF(G686&gt;N686,"违规：实际股数超过风险或金字塔上限",IF(AND(B686&gt;1,G686&gt;SUMIFS($G$2:$G$1001,$A$2:$A$1001,A686,$B$2:$B$1001,B686-1)),"违规：加仓股数须逐次不增加",IF(Q686&gt;F686,"违规：止损风险超过本次预算","通过")))))))))))))))</f>
        <v/>
      </c>
    </row>
    <row r="687" customFormat="false" ht="15" hidden="false" customHeight="false" outlineLevel="0" collapsed="false">
      <c r="A687" s="20"/>
      <c r="B687" s="21"/>
      <c r="C687" s="22"/>
      <c r="D687" s="23"/>
      <c r="E687" s="23"/>
      <c r="F687" s="23"/>
      <c r="G687" s="21"/>
      <c r="H687" s="24" t="str">
        <f aca="false">IF(OR(A687="",D687="",G687=""),"",D687*G687)</f>
        <v/>
      </c>
      <c r="I687" s="25" t="str">
        <f aca="false">IF(OR(A687="",B687=""),"",IFERROR(LOOKUP(2,1/(单次交易!$A$2:$A$201=A687),单次交易!$H$2:$H$201),0)+SUMIFS($G$2:$G$1001,$A$2:$A$1001,A687,$B$2:$B$1001,"&lt;"&amp;B687))</f>
        <v/>
      </c>
      <c r="J687" s="24" t="str">
        <f aca="false">IF(OR(A687="",B687=""),"",IFERROR(LOOKUP(2,1/(单次交易!$A$2:$A$201=A687),单次交易!$E$2:$E$201)*LOOKUP(2,1/(单次交易!$A$2:$A$201=A687),单次交易!$H$2:$H$201),0)+SUMIFS($H$2:$H$1001,$A$2:$A$1001,A687,$B$2:$B$1001,"&lt;"&amp;B687))</f>
        <v/>
      </c>
      <c r="K687" s="24" t="str">
        <f aca="false">IF(OR(E687="",I687="",J687=""),"",MAX(E687*I687-J687,0))</f>
        <v/>
      </c>
      <c r="L687" s="25" t="str">
        <f aca="false">IF(OR(D687="",E687="",F687="",D687&lt;=E687),"",FLOOR((F687+K687)/(D687-E687),100))</f>
        <v/>
      </c>
      <c r="M687" s="25" t="str">
        <f aca="false">IF(OR(A687="",B687="",L687=""),"",IF(B687=1,L687,IFERROR(SUMIFS($G$2:$G$1001,$A$2:$A$1001,A687,$B$2:$B$1001,B687-1),0)))</f>
        <v/>
      </c>
      <c r="N687" s="25" t="str">
        <f aca="false">IF(OR(L687="",M687=""),"",MIN(L687,M687))</f>
        <v/>
      </c>
      <c r="O687" s="25" t="str">
        <f aca="false">IF(OR(I687="",G687=""),"",I687+G687)</f>
        <v/>
      </c>
      <c r="P687" s="24" t="str">
        <f aca="false">IF(OR(O687="",O687=0),"",(J687+H687)/O687)</f>
        <v/>
      </c>
      <c r="Q687" s="24" t="str">
        <f aca="false">IF(OR(O687="",E687=""),"",MAX(J687+H687-E687*O687,0))</f>
        <v/>
      </c>
      <c r="R687" s="26" t="str">
        <f aca="false">IF(A687="","",IF(COUNTIF(_TradeIds,A687)=0,"违规：交易编号不存在",IF(OR(B687="",B687&lt;1,B687&gt;5,B687&lt;&gt;INT(B687)),"违规：加仓序号须为1到5的整数",IF(COUNTIFS($A$2:$A$1001,A687,$B$2:$B$1001,B687)&gt;1,"违规：同一交易的加仓序号重复",IF(OR(D687="",E687="",F687=""),"计划不完整：请填写加仓价、新止损价和风险预算",IF(OR(D687&lt;=0,E687&lt;=0,F687&lt;=0,D687&lt;=E687),"违规：加仓价必须高于新止损价，金额须大于0",IF(AND(B687&gt;1,COUNTIFS($A$2:$A$1001,A687,$B$2:$B$1001,B687-1,$G$2:$G$1001,"&gt;0")=0),"违规：须先完成上一次加仓",IF(AND(B687&gt;1,E687&lt;SUMIFS($E$2:$E$1001,$A$2:$A$1001,A687,$B$2:$B$1001,B687-1)),"违规：新止损价不得低于上一次",IF(AND(B687&gt;1,F687&gt;SUMIFS($F$2:$F$1001,$A$2:$A$1001,A687,$B$2:$B$1001,B687-1)),"违规：风险预算须逐次不增加",IF(OR(_LockStatus="已锁仓",_LockStatus="解锁信息不完整"),"违规：锁仓期间禁止加仓",IF(G687="","计划可执行：建议股数见N列",IF(OR(G687&lt;=0,G687&lt;&gt;INT(G687),MOD(G687,100)&lt;&gt;0),"违规：实际股数须为100股整数倍",IF(G687&gt;N687,"违规：实际股数超过风险或金字塔上限",IF(AND(B687&gt;1,G687&gt;SUMIFS($G$2:$G$1001,$A$2:$A$1001,A687,$B$2:$B$1001,B687-1)),"违规：加仓股数须逐次不增加",IF(Q687&gt;F687,"违规：止损风险超过本次预算","通过")))))))))))))))</f>
        <v/>
      </c>
    </row>
    <row r="688" customFormat="false" ht="15" hidden="false" customHeight="false" outlineLevel="0" collapsed="false">
      <c r="A688" s="20"/>
      <c r="B688" s="21"/>
      <c r="C688" s="22"/>
      <c r="D688" s="23"/>
      <c r="E688" s="23"/>
      <c r="F688" s="23"/>
      <c r="G688" s="21"/>
      <c r="H688" s="24" t="str">
        <f aca="false">IF(OR(A688="",D688="",G688=""),"",D688*G688)</f>
        <v/>
      </c>
      <c r="I688" s="25" t="str">
        <f aca="false">IF(OR(A688="",B688=""),"",IFERROR(LOOKUP(2,1/(单次交易!$A$2:$A$201=A688),单次交易!$H$2:$H$201),0)+SUMIFS($G$2:$G$1001,$A$2:$A$1001,A688,$B$2:$B$1001,"&lt;"&amp;B688))</f>
        <v/>
      </c>
      <c r="J688" s="24" t="str">
        <f aca="false">IF(OR(A688="",B688=""),"",IFERROR(LOOKUP(2,1/(单次交易!$A$2:$A$201=A688),单次交易!$E$2:$E$201)*LOOKUP(2,1/(单次交易!$A$2:$A$201=A688),单次交易!$H$2:$H$201),0)+SUMIFS($H$2:$H$1001,$A$2:$A$1001,A688,$B$2:$B$1001,"&lt;"&amp;B688))</f>
        <v/>
      </c>
      <c r="K688" s="24" t="str">
        <f aca="false">IF(OR(E688="",I688="",J688=""),"",MAX(E688*I688-J688,0))</f>
        <v/>
      </c>
      <c r="L688" s="25" t="str">
        <f aca="false">IF(OR(D688="",E688="",F688="",D688&lt;=E688),"",FLOOR((F688+K688)/(D688-E688),100))</f>
        <v/>
      </c>
      <c r="M688" s="25" t="str">
        <f aca="false">IF(OR(A688="",B688="",L688=""),"",IF(B688=1,L688,IFERROR(SUMIFS($G$2:$G$1001,$A$2:$A$1001,A688,$B$2:$B$1001,B688-1),0)))</f>
        <v/>
      </c>
      <c r="N688" s="25" t="str">
        <f aca="false">IF(OR(L688="",M688=""),"",MIN(L688,M688))</f>
        <v/>
      </c>
      <c r="O688" s="25" t="str">
        <f aca="false">IF(OR(I688="",G688=""),"",I688+G688)</f>
        <v/>
      </c>
      <c r="P688" s="24" t="str">
        <f aca="false">IF(OR(O688="",O688=0),"",(J688+H688)/O688)</f>
        <v/>
      </c>
      <c r="Q688" s="24" t="str">
        <f aca="false">IF(OR(O688="",E688=""),"",MAX(J688+H688-E688*O688,0))</f>
        <v/>
      </c>
      <c r="R688" s="26" t="str">
        <f aca="false">IF(A688="","",IF(COUNTIF(_TradeIds,A688)=0,"违规：交易编号不存在",IF(OR(B688="",B688&lt;1,B688&gt;5,B688&lt;&gt;INT(B688)),"违规：加仓序号须为1到5的整数",IF(COUNTIFS($A$2:$A$1001,A688,$B$2:$B$1001,B688)&gt;1,"违规：同一交易的加仓序号重复",IF(OR(D688="",E688="",F688=""),"计划不完整：请填写加仓价、新止损价和风险预算",IF(OR(D688&lt;=0,E688&lt;=0,F688&lt;=0,D688&lt;=E688),"违规：加仓价必须高于新止损价，金额须大于0",IF(AND(B688&gt;1,COUNTIFS($A$2:$A$1001,A688,$B$2:$B$1001,B688-1,$G$2:$G$1001,"&gt;0")=0),"违规：须先完成上一次加仓",IF(AND(B688&gt;1,E688&lt;SUMIFS($E$2:$E$1001,$A$2:$A$1001,A688,$B$2:$B$1001,B688-1)),"违规：新止损价不得低于上一次",IF(AND(B688&gt;1,F688&gt;SUMIFS($F$2:$F$1001,$A$2:$A$1001,A688,$B$2:$B$1001,B688-1)),"违规：风险预算须逐次不增加",IF(OR(_LockStatus="已锁仓",_LockStatus="解锁信息不完整"),"违规：锁仓期间禁止加仓",IF(G688="","计划可执行：建议股数见N列",IF(OR(G688&lt;=0,G688&lt;&gt;INT(G688),MOD(G688,100)&lt;&gt;0),"违规：实际股数须为100股整数倍",IF(G688&gt;N688,"违规：实际股数超过风险或金字塔上限",IF(AND(B688&gt;1,G688&gt;SUMIFS($G$2:$G$1001,$A$2:$A$1001,A688,$B$2:$B$1001,B688-1)),"违规：加仓股数须逐次不增加",IF(Q688&gt;F688,"违规：止损风险超过本次预算","通过")))))))))))))))</f>
        <v/>
      </c>
    </row>
    <row r="689" customFormat="false" ht="15" hidden="false" customHeight="false" outlineLevel="0" collapsed="false">
      <c r="A689" s="20"/>
      <c r="B689" s="21"/>
      <c r="C689" s="22"/>
      <c r="D689" s="23"/>
      <c r="E689" s="23"/>
      <c r="F689" s="23"/>
      <c r="G689" s="21"/>
      <c r="H689" s="24" t="str">
        <f aca="false">IF(OR(A689="",D689="",G689=""),"",D689*G689)</f>
        <v/>
      </c>
      <c r="I689" s="25" t="str">
        <f aca="false">IF(OR(A689="",B689=""),"",IFERROR(LOOKUP(2,1/(单次交易!$A$2:$A$201=A689),单次交易!$H$2:$H$201),0)+SUMIFS($G$2:$G$1001,$A$2:$A$1001,A689,$B$2:$B$1001,"&lt;"&amp;B689))</f>
        <v/>
      </c>
      <c r="J689" s="24" t="str">
        <f aca="false">IF(OR(A689="",B689=""),"",IFERROR(LOOKUP(2,1/(单次交易!$A$2:$A$201=A689),单次交易!$E$2:$E$201)*LOOKUP(2,1/(单次交易!$A$2:$A$201=A689),单次交易!$H$2:$H$201),0)+SUMIFS($H$2:$H$1001,$A$2:$A$1001,A689,$B$2:$B$1001,"&lt;"&amp;B689))</f>
        <v/>
      </c>
      <c r="K689" s="24" t="str">
        <f aca="false">IF(OR(E689="",I689="",J689=""),"",MAX(E689*I689-J689,0))</f>
        <v/>
      </c>
      <c r="L689" s="25" t="str">
        <f aca="false">IF(OR(D689="",E689="",F689="",D689&lt;=E689),"",FLOOR((F689+K689)/(D689-E689),100))</f>
        <v/>
      </c>
      <c r="M689" s="25" t="str">
        <f aca="false">IF(OR(A689="",B689="",L689=""),"",IF(B689=1,L689,IFERROR(SUMIFS($G$2:$G$1001,$A$2:$A$1001,A689,$B$2:$B$1001,B689-1),0)))</f>
        <v/>
      </c>
      <c r="N689" s="25" t="str">
        <f aca="false">IF(OR(L689="",M689=""),"",MIN(L689,M689))</f>
        <v/>
      </c>
      <c r="O689" s="25" t="str">
        <f aca="false">IF(OR(I689="",G689=""),"",I689+G689)</f>
        <v/>
      </c>
      <c r="P689" s="24" t="str">
        <f aca="false">IF(OR(O689="",O689=0),"",(J689+H689)/O689)</f>
        <v/>
      </c>
      <c r="Q689" s="24" t="str">
        <f aca="false">IF(OR(O689="",E689=""),"",MAX(J689+H689-E689*O689,0))</f>
        <v/>
      </c>
      <c r="R689" s="26" t="str">
        <f aca="false">IF(A689="","",IF(COUNTIF(_TradeIds,A689)=0,"违规：交易编号不存在",IF(OR(B689="",B689&lt;1,B689&gt;5,B689&lt;&gt;INT(B689)),"违规：加仓序号须为1到5的整数",IF(COUNTIFS($A$2:$A$1001,A689,$B$2:$B$1001,B689)&gt;1,"违规：同一交易的加仓序号重复",IF(OR(D689="",E689="",F689=""),"计划不完整：请填写加仓价、新止损价和风险预算",IF(OR(D689&lt;=0,E689&lt;=0,F689&lt;=0,D689&lt;=E689),"违规：加仓价必须高于新止损价，金额须大于0",IF(AND(B689&gt;1,COUNTIFS($A$2:$A$1001,A689,$B$2:$B$1001,B689-1,$G$2:$G$1001,"&gt;0")=0),"违规：须先完成上一次加仓",IF(AND(B689&gt;1,E689&lt;SUMIFS($E$2:$E$1001,$A$2:$A$1001,A689,$B$2:$B$1001,B689-1)),"违规：新止损价不得低于上一次",IF(AND(B689&gt;1,F689&gt;SUMIFS($F$2:$F$1001,$A$2:$A$1001,A689,$B$2:$B$1001,B689-1)),"违规：风险预算须逐次不增加",IF(OR(_LockStatus="已锁仓",_LockStatus="解锁信息不完整"),"违规：锁仓期间禁止加仓",IF(G689="","计划可执行：建议股数见N列",IF(OR(G689&lt;=0,G689&lt;&gt;INT(G689),MOD(G689,100)&lt;&gt;0),"违规：实际股数须为100股整数倍",IF(G689&gt;N689,"违规：实际股数超过风险或金字塔上限",IF(AND(B689&gt;1,G689&gt;SUMIFS($G$2:$G$1001,$A$2:$A$1001,A689,$B$2:$B$1001,B689-1)),"违规：加仓股数须逐次不增加",IF(Q689&gt;F689,"违规：止损风险超过本次预算","通过")))))))))))))))</f>
        <v/>
      </c>
    </row>
    <row r="690" customFormat="false" ht="15" hidden="false" customHeight="false" outlineLevel="0" collapsed="false">
      <c r="A690" s="20"/>
      <c r="B690" s="21"/>
      <c r="C690" s="22"/>
      <c r="D690" s="23"/>
      <c r="E690" s="23"/>
      <c r="F690" s="23"/>
      <c r="G690" s="21"/>
      <c r="H690" s="24" t="str">
        <f aca="false">IF(OR(A690="",D690="",G690=""),"",D690*G690)</f>
        <v/>
      </c>
      <c r="I690" s="25" t="str">
        <f aca="false">IF(OR(A690="",B690=""),"",IFERROR(LOOKUP(2,1/(单次交易!$A$2:$A$201=A690),单次交易!$H$2:$H$201),0)+SUMIFS($G$2:$G$1001,$A$2:$A$1001,A690,$B$2:$B$1001,"&lt;"&amp;B690))</f>
        <v/>
      </c>
      <c r="J690" s="24" t="str">
        <f aca="false">IF(OR(A690="",B690=""),"",IFERROR(LOOKUP(2,1/(单次交易!$A$2:$A$201=A690),单次交易!$E$2:$E$201)*LOOKUP(2,1/(单次交易!$A$2:$A$201=A690),单次交易!$H$2:$H$201),0)+SUMIFS($H$2:$H$1001,$A$2:$A$1001,A690,$B$2:$B$1001,"&lt;"&amp;B690))</f>
        <v/>
      </c>
      <c r="K690" s="24" t="str">
        <f aca="false">IF(OR(E690="",I690="",J690=""),"",MAX(E690*I690-J690,0))</f>
        <v/>
      </c>
      <c r="L690" s="25" t="str">
        <f aca="false">IF(OR(D690="",E690="",F690="",D690&lt;=E690),"",FLOOR((F690+K690)/(D690-E690),100))</f>
        <v/>
      </c>
      <c r="M690" s="25" t="str">
        <f aca="false">IF(OR(A690="",B690="",L690=""),"",IF(B690=1,L690,IFERROR(SUMIFS($G$2:$G$1001,$A$2:$A$1001,A690,$B$2:$B$1001,B690-1),0)))</f>
        <v/>
      </c>
      <c r="N690" s="25" t="str">
        <f aca="false">IF(OR(L690="",M690=""),"",MIN(L690,M690))</f>
        <v/>
      </c>
      <c r="O690" s="25" t="str">
        <f aca="false">IF(OR(I690="",G690=""),"",I690+G690)</f>
        <v/>
      </c>
      <c r="P690" s="24" t="str">
        <f aca="false">IF(OR(O690="",O690=0),"",(J690+H690)/O690)</f>
        <v/>
      </c>
      <c r="Q690" s="24" t="str">
        <f aca="false">IF(OR(O690="",E690=""),"",MAX(J690+H690-E690*O690,0))</f>
        <v/>
      </c>
      <c r="R690" s="26" t="str">
        <f aca="false">IF(A690="","",IF(COUNTIF(_TradeIds,A690)=0,"违规：交易编号不存在",IF(OR(B690="",B690&lt;1,B690&gt;5,B690&lt;&gt;INT(B690)),"违规：加仓序号须为1到5的整数",IF(COUNTIFS($A$2:$A$1001,A690,$B$2:$B$1001,B690)&gt;1,"违规：同一交易的加仓序号重复",IF(OR(D690="",E690="",F690=""),"计划不完整：请填写加仓价、新止损价和风险预算",IF(OR(D690&lt;=0,E690&lt;=0,F690&lt;=0,D690&lt;=E690),"违规：加仓价必须高于新止损价，金额须大于0",IF(AND(B690&gt;1,COUNTIFS($A$2:$A$1001,A690,$B$2:$B$1001,B690-1,$G$2:$G$1001,"&gt;0")=0),"违规：须先完成上一次加仓",IF(AND(B690&gt;1,E690&lt;SUMIFS($E$2:$E$1001,$A$2:$A$1001,A690,$B$2:$B$1001,B690-1)),"违规：新止损价不得低于上一次",IF(AND(B690&gt;1,F690&gt;SUMIFS($F$2:$F$1001,$A$2:$A$1001,A690,$B$2:$B$1001,B690-1)),"违规：风险预算须逐次不增加",IF(OR(_LockStatus="已锁仓",_LockStatus="解锁信息不完整"),"违规：锁仓期间禁止加仓",IF(G690="","计划可执行：建议股数见N列",IF(OR(G690&lt;=0,G690&lt;&gt;INT(G690),MOD(G690,100)&lt;&gt;0),"违规：实际股数须为100股整数倍",IF(G690&gt;N690,"违规：实际股数超过风险或金字塔上限",IF(AND(B690&gt;1,G690&gt;SUMIFS($G$2:$G$1001,$A$2:$A$1001,A690,$B$2:$B$1001,B690-1)),"违规：加仓股数须逐次不增加",IF(Q690&gt;F690,"违规：止损风险超过本次预算","通过")))))))))))))))</f>
        <v/>
      </c>
    </row>
    <row r="691" customFormat="false" ht="15" hidden="false" customHeight="false" outlineLevel="0" collapsed="false">
      <c r="A691" s="20"/>
      <c r="B691" s="21"/>
      <c r="C691" s="22"/>
      <c r="D691" s="23"/>
      <c r="E691" s="23"/>
      <c r="F691" s="23"/>
      <c r="G691" s="21"/>
      <c r="H691" s="24" t="str">
        <f aca="false">IF(OR(A691="",D691="",G691=""),"",D691*G691)</f>
        <v/>
      </c>
      <c r="I691" s="25" t="str">
        <f aca="false">IF(OR(A691="",B691=""),"",IFERROR(LOOKUP(2,1/(单次交易!$A$2:$A$201=A691),单次交易!$H$2:$H$201),0)+SUMIFS($G$2:$G$1001,$A$2:$A$1001,A691,$B$2:$B$1001,"&lt;"&amp;B691))</f>
        <v/>
      </c>
      <c r="J691" s="24" t="str">
        <f aca="false">IF(OR(A691="",B691=""),"",IFERROR(LOOKUP(2,1/(单次交易!$A$2:$A$201=A691),单次交易!$E$2:$E$201)*LOOKUP(2,1/(单次交易!$A$2:$A$201=A691),单次交易!$H$2:$H$201),0)+SUMIFS($H$2:$H$1001,$A$2:$A$1001,A691,$B$2:$B$1001,"&lt;"&amp;B691))</f>
        <v/>
      </c>
      <c r="K691" s="24" t="str">
        <f aca="false">IF(OR(E691="",I691="",J691=""),"",MAX(E691*I691-J691,0))</f>
        <v/>
      </c>
      <c r="L691" s="25" t="str">
        <f aca="false">IF(OR(D691="",E691="",F691="",D691&lt;=E691),"",FLOOR((F691+K691)/(D691-E691),100))</f>
        <v/>
      </c>
      <c r="M691" s="25" t="str">
        <f aca="false">IF(OR(A691="",B691="",L691=""),"",IF(B691=1,L691,IFERROR(SUMIFS($G$2:$G$1001,$A$2:$A$1001,A691,$B$2:$B$1001,B691-1),0)))</f>
        <v/>
      </c>
      <c r="N691" s="25" t="str">
        <f aca="false">IF(OR(L691="",M691=""),"",MIN(L691,M691))</f>
        <v/>
      </c>
      <c r="O691" s="25" t="str">
        <f aca="false">IF(OR(I691="",G691=""),"",I691+G691)</f>
        <v/>
      </c>
      <c r="P691" s="24" t="str">
        <f aca="false">IF(OR(O691="",O691=0),"",(J691+H691)/O691)</f>
        <v/>
      </c>
      <c r="Q691" s="24" t="str">
        <f aca="false">IF(OR(O691="",E691=""),"",MAX(J691+H691-E691*O691,0))</f>
        <v/>
      </c>
      <c r="R691" s="26" t="str">
        <f aca="false">IF(A691="","",IF(COUNTIF(_TradeIds,A691)=0,"违规：交易编号不存在",IF(OR(B691="",B691&lt;1,B691&gt;5,B691&lt;&gt;INT(B691)),"违规：加仓序号须为1到5的整数",IF(COUNTIFS($A$2:$A$1001,A691,$B$2:$B$1001,B691)&gt;1,"违规：同一交易的加仓序号重复",IF(OR(D691="",E691="",F691=""),"计划不完整：请填写加仓价、新止损价和风险预算",IF(OR(D691&lt;=0,E691&lt;=0,F691&lt;=0,D691&lt;=E691),"违规：加仓价必须高于新止损价，金额须大于0",IF(AND(B691&gt;1,COUNTIFS($A$2:$A$1001,A691,$B$2:$B$1001,B691-1,$G$2:$G$1001,"&gt;0")=0),"违规：须先完成上一次加仓",IF(AND(B691&gt;1,E691&lt;SUMIFS($E$2:$E$1001,$A$2:$A$1001,A691,$B$2:$B$1001,B691-1)),"违规：新止损价不得低于上一次",IF(AND(B691&gt;1,F691&gt;SUMIFS($F$2:$F$1001,$A$2:$A$1001,A691,$B$2:$B$1001,B691-1)),"违规：风险预算须逐次不增加",IF(OR(_LockStatus="已锁仓",_LockStatus="解锁信息不完整"),"违规：锁仓期间禁止加仓",IF(G691="","计划可执行：建议股数见N列",IF(OR(G691&lt;=0,G691&lt;&gt;INT(G691),MOD(G691,100)&lt;&gt;0),"违规：实际股数须为100股整数倍",IF(G691&gt;N691,"违规：实际股数超过风险或金字塔上限",IF(AND(B691&gt;1,G691&gt;SUMIFS($G$2:$G$1001,$A$2:$A$1001,A691,$B$2:$B$1001,B691-1)),"违规：加仓股数须逐次不增加",IF(Q691&gt;F691,"违规：止损风险超过本次预算","通过")))))))))))))))</f>
        <v/>
      </c>
    </row>
    <row r="692" customFormat="false" ht="15" hidden="false" customHeight="false" outlineLevel="0" collapsed="false">
      <c r="A692" s="20"/>
      <c r="B692" s="21"/>
      <c r="C692" s="22"/>
      <c r="D692" s="23"/>
      <c r="E692" s="23"/>
      <c r="F692" s="23"/>
      <c r="G692" s="21"/>
      <c r="H692" s="24" t="str">
        <f aca="false">IF(OR(A692="",D692="",G692=""),"",D692*G692)</f>
        <v/>
      </c>
      <c r="I692" s="25" t="str">
        <f aca="false">IF(OR(A692="",B692=""),"",IFERROR(LOOKUP(2,1/(单次交易!$A$2:$A$201=A692),单次交易!$H$2:$H$201),0)+SUMIFS($G$2:$G$1001,$A$2:$A$1001,A692,$B$2:$B$1001,"&lt;"&amp;B692))</f>
        <v/>
      </c>
      <c r="J692" s="24" t="str">
        <f aca="false">IF(OR(A692="",B692=""),"",IFERROR(LOOKUP(2,1/(单次交易!$A$2:$A$201=A692),单次交易!$E$2:$E$201)*LOOKUP(2,1/(单次交易!$A$2:$A$201=A692),单次交易!$H$2:$H$201),0)+SUMIFS($H$2:$H$1001,$A$2:$A$1001,A692,$B$2:$B$1001,"&lt;"&amp;B692))</f>
        <v/>
      </c>
      <c r="K692" s="24" t="str">
        <f aca="false">IF(OR(E692="",I692="",J692=""),"",MAX(E692*I692-J692,0))</f>
        <v/>
      </c>
      <c r="L692" s="25" t="str">
        <f aca="false">IF(OR(D692="",E692="",F692="",D692&lt;=E692),"",FLOOR((F692+K692)/(D692-E692),100))</f>
        <v/>
      </c>
      <c r="M692" s="25" t="str">
        <f aca="false">IF(OR(A692="",B692="",L692=""),"",IF(B692=1,L692,IFERROR(SUMIFS($G$2:$G$1001,$A$2:$A$1001,A692,$B$2:$B$1001,B692-1),0)))</f>
        <v/>
      </c>
      <c r="N692" s="25" t="str">
        <f aca="false">IF(OR(L692="",M692=""),"",MIN(L692,M692))</f>
        <v/>
      </c>
      <c r="O692" s="25" t="str">
        <f aca="false">IF(OR(I692="",G692=""),"",I692+G692)</f>
        <v/>
      </c>
      <c r="P692" s="24" t="str">
        <f aca="false">IF(OR(O692="",O692=0),"",(J692+H692)/O692)</f>
        <v/>
      </c>
      <c r="Q692" s="24" t="str">
        <f aca="false">IF(OR(O692="",E692=""),"",MAX(J692+H692-E692*O692,0))</f>
        <v/>
      </c>
      <c r="R692" s="26" t="str">
        <f aca="false">IF(A692="","",IF(COUNTIF(_TradeIds,A692)=0,"违规：交易编号不存在",IF(OR(B692="",B692&lt;1,B692&gt;5,B692&lt;&gt;INT(B692)),"违规：加仓序号须为1到5的整数",IF(COUNTIFS($A$2:$A$1001,A692,$B$2:$B$1001,B692)&gt;1,"违规：同一交易的加仓序号重复",IF(OR(D692="",E692="",F692=""),"计划不完整：请填写加仓价、新止损价和风险预算",IF(OR(D692&lt;=0,E692&lt;=0,F692&lt;=0,D692&lt;=E692),"违规：加仓价必须高于新止损价，金额须大于0",IF(AND(B692&gt;1,COUNTIFS($A$2:$A$1001,A692,$B$2:$B$1001,B692-1,$G$2:$G$1001,"&gt;0")=0),"违规：须先完成上一次加仓",IF(AND(B692&gt;1,E692&lt;SUMIFS($E$2:$E$1001,$A$2:$A$1001,A692,$B$2:$B$1001,B692-1)),"违规：新止损价不得低于上一次",IF(AND(B692&gt;1,F692&gt;SUMIFS($F$2:$F$1001,$A$2:$A$1001,A692,$B$2:$B$1001,B692-1)),"违规：风险预算须逐次不增加",IF(OR(_LockStatus="已锁仓",_LockStatus="解锁信息不完整"),"违规：锁仓期间禁止加仓",IF(G692="","计划可执行：建议股数见N列",IF(OR(G692&lt;=0,G692&lt;&gt;INT(G692),MOD(G692,100)&lt;&gt;0),"违规：实际股数须为100股整数倍",IF(G692&gt;N692,"违规：实际股数超过风险或金字塔上限",IF(AND(B692&gt;1,G692&gt;SUMIFS($G$2:$G$1001,$A$2:$A$1001,A692,$B$2:$B$1001,B692-1)),"违规：加仓股数须逐次不增加",IF(Q692&gt;F692,"违规：止损风险超过本次预算","通过")))))))))))))))</f>
        <v/>
      </c>
    </row>
    <row r="693" customFormat="false" ht="15" hidden="false" customHeight="false" outlineLevel="0" collapsed="false">
      <c r="A693" s="20"/>
      <c r="B693" s="21"/>
      <c r="C693" s="22"/>
      <c r="D693" s="23"/>
      <c r="E693" s="23"/>
      <c r="F693" s="23"/>
      <c r="G693" s="21"/>
      <c r="H693" s="24" t="str">
        <f aca="false">IF(OR(A693="",D693="",G693=""),"",D693*G693)</f>
        <v/>
      </c>
      <c r="I693" s="25" t="str">
        <f aca="false">IF(OR(A693="",B693=""),"",IFERROR(LOOKUP(2,1/(单次交易!$A$2:$A$201=A693),单次交易!$H$2:$H$201),0)+SUMIFS($G$2:$G$1001,$A$2:$A$1001,A693,$B$2:$B$1001,"&lt;"&amp;B693))</f>
        <v/>
      </c>
      <c r="J693" s="24" t="str">
        <f aca="false">IF(OR(A693="",B693=""),"",IFERROR(LOOKUP(2,1/(单次交易!$A$2:$A$201=A693),单次交易!$E$2:$E$201)*LOOKUP(2,1/(单次交易!$A$2:$A$201=A693),单次交易!$H$2:$H$201),0)+SUMIFS($H$2:$H$1001,$A$2:$A$1001,A693,$B$2:$B$1001,"&lt;"&amp;B693))</f>
        <v/>
      </c>
      <c r="K693" s="24" t="str">
        <f aca="false">IF(OR(E693="",I693="",J693=""),"",MAX(E693*I693-J693,0))</f>
        <v/>
      </c>
      <c r="L693" s="25" t="str">
        <f aca="false">IF(OR(D693="",E693="",F693="",D693&lt;=E693),"",FLOOR((F693+K693)/(D693-E693),100))</f>
        <v/>
      </c>
      <c r="M693" s="25" t="str">
        <f aca="false">IF(OR(A693="",B693="",L693=""),"",IF(B693=1,L693,IFERROR(SUMIFS($G$2:$G$1001,$A$2:$A$1001,A693,$B$2:$B$1001,B693-1),0)))</f>
        <v/>
      </c>
      <c r="N693" s="25" t="str">
        <f aca="false">IF(OR(L693="",M693=""),"",MIN(L693,M693))</f>
        <v/>
      </c>
      <c r="O693" s="25" t="str">
        <f aca="false">IF(OR(I693="",G693=""),"",I693+G693)</f>
        <v/>
      </c>
      <c r="P693" s="24" t="str">
        <f aca="false">IF(OR(O693="",O693=0),"",(J693+H693)/O693)</f>
        <v/>
      </c>
      <c r="Q693" s="24" t="str">
        <f aca="false">IF(OR(O693="",E693=""),"",MAX(J693+H693-E693*O693,0))</f>
        <v/>
      </c>
      <c r="R693" s="26" t="str">
        <f aca="false">IF(A693="","",IF(COUNTIF(_TradeIds,A693)=0,"违规：交易编号不存在",IF(OR(B693="",B693&lt;1,B693&gt;5,B693&lt;&gt;INT(B693)),"违规：加仓序号须为1到5的整数",IF(COUNTIFS($A$2:$A$1001,A693,$B$2:$B$1001,B693)&gt;1,"违规：同一交易的加仓序号重复",IF(OR(D693="",E693="",F693=""),"计划不完整：请填写加仓价、新止损价和风险预算",IF(OR(D693&lt;=0,E693&lt;=0,F693&lt;=0,D693&lt;=E693),"违规：加仓价必须高于新止损价，金额须大于0",IF(AND(B693&gt;1,COUNTIFS($A$2:$A$1001,A693,$B$2:$B$1001,B693-1,$G$2:$G$1001,"&gt;0")=0),"违规：须先完成上一次加仓",IF(AND(B693&gt;1,E693&lt;SUMIFS($E$2:$E$1001,$A$2:$A$1001,A693,$B$2:$B$1001,B693-1)),"违规：新止损价不得低于上一次",IF(AND(B693&gt;1,F693&gt;SUMIFS($F$2:$F$1001,$A$2:$A$1001,A693,$B$2:$B$1001,B693-1)),"违规：风险预算须逐次不增加",IF(OR(_LockStatus="已锁仓",_LockStatus="解锁信息不完整"),"违规：锁仓期间禁止加仓",IF(G693="","计划可执行：建议股数见N列",IF(OR(G693&lt;=0,G693&lt;&gt;INT(G693),MOD(G693,100)&lt;&gt;0),"违规：实际股数须为100股整数倍",IF(G693&gt;N693,"违规：实际股数超过风险或金字塔上限",IF(AND(B693&gt;1,G693&gt;SUMIFS($G$2:$G$1001,$A$2:$A$1001,A693,$B$2:$B$1001,B693-1)),"违规：加仓股数须逐次不增加",IF(Q693&gt;F693,"违规：止损风险超过本次预算","通过")))))))))))))))</f>
        <v/>
      </c>
    </row>
    <row r="694" customFormat="false" ht="15" hidden="false" customHeight="false" outlineLevel="0" collapsed="false">
      <c r="A694" s="20"/>
      <c r="B694" s="21"/>
      <c r="C694" s="22"/>
      <c r="D694" s="23"/>
      <c r="E694" s="23"/>
      <c r="F694" s="23"/>
      <c r="G694" s="21"/>
      <c r="H694" s="24" t="str">
        <f aca="false">IF(OR(A694="",D694="",G694=""),"",D694*G694)</f>
        <v/>
      </c>
      <c r="I694" s="25" t="str">
        <f aca="false">IF(OR(A694="",B694=""),"",IFERROR(LOOKUP(2,1/(单次交易!$A$2:$A$201=A694),单次交易!$H$2:$H$201),0)+SUMIFS($G$2:$G$1001,$A$2:$A$1001,A694,$B$2:$B$1001,"&lt;"&amp;B694))</f>
        <v/>
      </c>
      <c r="J694" s="24" t="str">
        <f aca="false">IF(OR(A694="",B694=""),"",IFERROR(LOOKUP(2,1/(单次交易!$A$2:$A$201=A694),单次交易!$E$2:$E$201)*LOOKUP(2,1/(单次交易!$A$2:$A$201=A694),单次交易!$H$2:$H$201),0)+SUMIFS($H$2:$H$1001,$A$2:$A$1001,A694,$B$2:$B$1001,"&lt;"&amp;B694))</f>
        <v/>
      </c>
      <c r="K694" s="24" t="str">
        <f aca="false">IF(OR(E694="",I694="",J694=""),"",MAX(E694*I694-J694,0))</f>
        <v/>
      </c>
      <c r="L694" s="25" t="str">
        <f aca="false">IF(OR(D694="",E694="",F694="",D694&lt;=E694),"",FLOOR((F694+K694)/(D694-E694),100))</f>
        <v/>
      </c>
      <c r="M694" s="25" t="str">
        <f aca="false">IF(OR(A694="",B694="",L694=""),"",IF(B694=1,L694,IFERROR(SUMIFS($G$2:$G$1001,$A$2:$A$1001,A694,$B$2:$B$1001,B694-1),0)))</f>
        <v/>
      </c>
      <c r="N694" s="25" t="str">
        <f aca="false">IF(OR(L694="",M694=""),"",MIN(L694,M694))</f>
        <v/>
      </c>
      <c r="O694" s="25" t="str">
        <f aca="false">IF(OR(I694="",G694=""),"",I694+G694)</f>
        <v/>
      </c>
      <c r="P694" s="24" t="str">
        <f aca="false">IF(OR(O694="",O694=0),"",(J694+H694)/O694)</f>
        <v/>
      </c>
      <c r="Q694" s="24" t="str">
        <f aca="false">IF(OR(O694="",E694=""),"",MAX(J694+H694-E694*O694,0))</f>
        <v/>
      </c>
      <c r="R694" s="26" t="str">
        <f aca="false">IF(A694="","",IF(COUNTIF(_TradeIds,A694)=0,"违规：交易编号不存在",IF(OR(B694="",B694&lt;1,B694&gt;5,B694&lt;&gt;INT(B694)),"违规：加仓序号须为1到5的整数",IF(COUNTIFS($A$2:$A$1001,A694,$B$2:$B$1001,B694)&gt;1,"违规：同一交易的加仓序号重复",IF(OR(D694="",E694="",F694=""),"计划不完整：请填写加仓价、新止损价和风险预算",IF(OR(D694&lt;=0,E694&lt;=0,F694&lt;=0,D694&lt;=E694),"违规：加仓价必须高于新止损价，金额须大于0",IF(AND(B694&gt;1,COUNTIFS($A$2:$A$1001,A694,$B$2:$B$1001,B694-1,$G$2:$G$1001,"&gt;0")=0),"违规：须先完成上一次加仓",IF(AND(B694&gt;1,E694&lt;SUMIFS($E$2:$E$1001,$A$2:$A$1001,A694,$B$2:$B$1001,B694-1)),"违规：新止损价不得低于上一次",IF(AND(B694&gt;1,F694&gt;SUMIFS($F$2:$F$1001,$A$2:$A$1001,A694,$B$2:$B$1001,B694-1)),"违规：风险预算须逐次不增加",IF(OR(_LockStatus="已锁仓",_LockStatus="解锁信息不完整"),"违规：锁仓期间禁止加仓",IF(G694="","计划可执行：建议股数见N列",IF(OR(G694&lt;=0,G694&lt;&gt;INT(G694),MOD(G694,100)&lt;&gt;0),"违规：实际股数须为100股整数倍",IF(G694&gt;N694,"违规：实际股数超过风险或金字塔上限",IF(AND(B694&gt;1,G694&gt;SUMIFS($G$2:$G$1001,$A$2:$A$1001,A694,$B$2:$B$1001,B694-1)),"违规：加仓股数须逐次不增加",IF(Q694&gt;F694,"违规：止损风险超过本次预算","通过")))))))))))))))</f>
        <v/>
      </c>
    </row>
    <row r="695" customFormat="false" ht="15" hidden="false" customHeight="false" outlineLevel="0" collapsed="false">
      <c r="A695" s="20"/>
      <c r="B695" s="21"/>
      <c r="C695" s="22"/>
      <c r="D695" s="23"/>
      <c r="E695" s="23"/>
      <c r="F695" s="23"/>
      <c r="G695" s="21"/>
      <c r="H695" s="24" t="str">
        <f aca="false">IF(OR(A695="",D695="",G695=""),"",D695*G695)</f>
        <v/>
      </c>
      <c r="I695" s="25" t="str">
        <f aca="false">IF(OR(A695="",B695=""),"",IFERROR(LOOKUP(2,1/(单次交易!$A$2:$A$201=A695),单次交易!$H$2:$H$201),0)+SUMIFS($G$2:$G$1001,$A$2:$A$1001,A695,$B$2:$B$1001,"&lt;"&amp;B695))</f>
        <v/>
      </c>
      <c r="J695" s="24" t="str">
        <f aca="false">IF(OR(A695="",B695=""),"",IFERROR(LOOKUP(2,1/(单次交易!$A$2:$A$201=A695),单次交易!$E$2:$E$201)*LOOKUP(2,1/(单次交易!$A$2:$A$201=A695),单次交易!$H$2:$H$201),0)+SUMIFS($H$2:$H$1001,$A$2:$A$1001,A695,$B$2:$B$1001,"&lt;"&amp;B695))</f>
        <v/>
      </c>
      <c r="K695" s="24" t="str">
        <f aca="false">IF(OR(E695="",I695="",J695=""),"",MAX(E695*I695-J695,0))</f>
        <v/>
      </c>
      <c r="L695" s="25" t="str">
        <f aca="false">IF(OR(D695="",E695="",F695="",D695&lt;=E695),"",FLOOR((F695+K695)/(D695-E695),100))</f>
        <v/>
      </c>
      <c r="M695" s="25" t="str">
        <f aca="false">IF(OR(A695="",B695="",L695=""),"",IF(B695=1,L695,IFERROR(SUMIFS($G$2:$G$1001,$A$2:$A$1001,A695,$B$2:$B$1001,B695-1),0)))</f>
        <v/>
      </c>
      <c r="N695" s="25" t="str">
        <f aca="false">IF(OR(L695="",M695=""),"",MIN(L695,M695))</f>
        <v/>
      </c>
      <c r="O695" s="25" t="str">
        <f aca="false">IF(OR(I695="",G695=""),"",I695+G695)</f>
        <v/>
      </c>
      <c r="P695" s="24" t="str">
        <f aca="false">IF(OR(O695="",O695=0),"",(J695+H695)/O695)</f>
        <v/>
      </c>
      <c r="Q695" s="24" t="str">
        <f aca="false">IF(OR(O695="",E695=""),"",MAX(J695+H695-E695*O695,0))</f>
        <v/>
      </c>
      <c r="R695" s="26" t="str">
        <f aca="false">IF(A695="","",IF(COUNTIF(_TradeIds,A695)=0,"违规：交易编号不存在",IF(OR(B695="",B695&lt;1,B695&gt;5,B695&lt;&gt;INT(B695)),"违规：加仓序号须为1到5的整数",IF(COUNTIFS($A$2:$A$1001,A695,$B$2:$B$1001,B695)&gt;1,"违规：同一交易的加仓序号重复",IF(OR(D695="",E695="",F695=""),"计划不完整：请填写加仓价、新止损价和风险预算",IF(OR(D695&lt;=0,E695&lt;=0,F695&lt;=0,D695&lt;=E695),"违规：加仓价必须高于新止损价，金额须大于0",IF(AND(B695&gt;1,COUNTIFS($A$2:$A$1001,A695,$B$2:$B$1001,B695-1,$G$2:$G$1001,"&gt;0")=0),"违规：须先完成上一次加仓",IF(AND(B695&gt;1,E695&lt;SUMIFS($E$2:$E$1001,$A$2:$A$1001,A695,$B$2:$B$1001,B695-1)),"违规：新止损价不得低于上一次",IF(AND(B695&gt;1,F695&gt;SUMIFS($F$2:$F$1001,$A$2:$A$1001,A695,$B$2:$B$1001,B695-1)),"违规：风险预算须逐次不增加",IF(OR(_LockStatus="已锁仓",_LockStatus="解锁信息不完整"),"违规：锁仓期间禁止加仓",IF(G695="","计划可执行：建议股数见N列",IF(OR(G695&lt;=0,G695&lt;&gt;INT(G695),MOD(G695,100)&lt;&gt;0),"违规：实际股数须为100股整数倍",IF(G695&gt;N695,"违规：实际股数超过风险或金字塔上限",IF(AND(B695&gt;1,G695&gt;SUMIFS($G$2:$G$1001,$A$2:$A$1001,A695,$B$2:$B$1001,B695-1)),"违规：加仓股数须逐次不增加",IF(Q695&gt;F695,"违规：止损风险超过本次预算","通过")))))))))))))))</f>
        <v/>
      </c>
    </row>
    <row r="696" customFormat="false" ht="15" hidden="false" customHeight="false" outlineLevel="0" collapsed="false">
      <c r="A696" s="20"/>
      <c r="B696" s="21"/>
      <c r="C696" s="22"/>
      <c r="D696" s="23"/>
      <c r="E696" s="23"/>
      <c r="F696" s="23"/>
      <c r="G696" s="21"/>
      <c r="H696" s="24" t="str">
        <f aca="false">IF(OR(A696="",D696="",G696=""),"",D696*G696)</f>
        <v/>
      </c>
      <c r="I696" s="25" t="str">
        <f aca="false">IF(OR(A696="",B696=""),"",IFERROR(LOOKUP(2,1/(单次交易!$A$2:$A$201=A696),单次交易!$H$2:$H$201),0)+SUMIFS($G$2:$G$1001,$A$2:$A$1001,A696,$B$2:$B$1001,"&lt;"&amp;B696))</f>
        <v/>
      </c>
      <c r="J696" s="24" t="str">
        <f aca="false">IF(OR(A696="",B696=""),"",IFERROR(LOOKUP(2,1/(单次交易!$A$2:$A$201=A696),单次交易!$E$2:$E$201)*LOOKUP(2,1/(单次交易!$A$2:$A$201=A696),单次交易!$H$2:$H$201),0)+SUMIFS($H$2:$H$1001,$A$2:$A$1001,A696,$B$2:$B$1001,"&lt;"&amp;B696))</f>
        <v/>
      </c>
      <c r="K696" s="24" t="str">
        <f aca="false">IF(OR(E696="",I696="",J696=""),"",MAX(E696*I696-J696,0))</f>
        <v/>
      </c>
      <c r="L696" s="25" t="str">
        <f aca="false">IF(OR(D696="",E696="",F696="",D696&lt;=E696),"",FLOOR((F696+K696)/(D696-E696),100))</f>
        <v/>
      </c>
      <c r="M696" s="25" t="str">
        <f aca="false">IF(OR(A696="",B696="",L696=""),"",IF(B696=1,L696,IFERROR(SUMIFS($G$2:$G$1001,$A$2:$A$1001,A696,$B$2:$B$1001,B696-1),0)))</f>
        <v/>
      </c>
      <c r="N696" s="25" t="str">
        <f aca="false">IF(OR(L696="",M696=""),"",MIN(L696,M696))</f>
        <v/>
      </c>
      <c r="O696" s="25" t="str">
        <f aca="false">IF(OR(I696="",G696=""),"",I696+G696)</f>
        <v/>
      </c>
      <c r="P696" s="24" t="str">
        <f aca="false">IF(OR(O696="",O696=0),"",(J696+H696)/O696)</f>
        <v/>
      </c>
      <c r="Q696" s="24" t="str">
        <f aca="false">IF(OR(O696="",E696=""),"",MAX(J696+H696-E696*O696,0))</f>
        <v/>
      </c>
      <c r="R696" s="26" t="str">
        <f aca="false">IF(A696="","",IF(COUNTIF(_TradeIds,A696)=0,"违规：交易编号不存在",IF(OR(B696="",B696&lt;1,B696&gt;5,B696&lt;&gt;INT(B696)),"违规：加仓序号须为1到5的整数",IF(COUNTIFS($A$2:$A$1001,A696,$B$2:$B$1001,B696)&gt;1,"违规：同一交易的加仓序号重复",IF(OR(D696="",E696="",F696=""),"计划不完整：请填写加仓价、新止损价和风险预算",IF(OR(D696&lt;=0,E696&lt;=0,F696&lt;=0,D696&lt;=E696),"违规：加仓价必须高于新止损价，金额须大于0",IF(AND(B696&gt;1,COUNTIFS($A$2:$A$1001,A696,$B$2:$B$1001,B696-1,$G$2:$G$1001,"&gt;0")=0),"违规：须先完成上一次加仓",IF(AND(B696&gt;1,E696&lt;SUMIFS($E$2:$E$1001,$A$2:$A$1001,A696,$B$2:$B$1001,B696-1)),"违规：新止损价不得低于上一次",IF(AND(B696&gt;1,F696&gt;SUMIFS($F$2:$F$1001,$A$2:$A$1001,A696,$B$2:$B$1001,B696-1)),"违规：风险预算须逐次不增加",IF(OR(_LockStatus="已锁仓",_LockStatus="解锁信息不完整"),"违规：锁仓期间禁止加仓",IF(G696="","计划可执行：建议股数见N列",IF(OR(G696&lt;=0,G696&lt;&gt;INT(G696),MOD(G696,100)&lt;&gt;0),"违规：实际股数须为100股整数倍",IF(G696&gt;N696,"违规：实际股数超过风险或金字塔上限",IF(AND(B696&gt;1,G696&gt;SUMIFS($G$2:$G$1001,$A$2:$A$1001,A696,$B$2:$B$1001,B696-1)),"违规：加仓股数须逐次不增加",IF(Q696&gt;F696,"违规：止损风险超过本次预算","通过")))))))))))))))</f>
        <v/>
      </c>
    </row>
    <row r="697" customFormat="false" ht="15" hidden="false" customHeight="false" outlineLevel="0" collapsed="false">
      <c r="A697" s="20"/>
      <c r="B697" s="21"/>
      <c r="C697" s="22"/>
      <c r="D697" s="23"/>
      <c r="E697" s="23"/>
      <c r="F697" s="23"/>
      <c r="G697" s="21"/>
      <c r="H697" s="24" t="str">
        <f aca="false">IF(OR(A697="",D697="",G697=""),"",D697*G697)</f>
        <v/>
      </c>
      <c r="I697" s="25" t="str">
        <f aca="false">IF(OR(A697="",B697=""),"",IFERROR(LOOKUP(2,1/(单次交易!$A$2:$A$201=A697),单次交易!$H$2:$H$201),0)+SUMIFS($G$2:$G$1001,$A$2:$A$1001,A697,$B$2:$B$1001,"&lt;"&amp;B697))</f>
        <v/>
      </c>
      <c r="J697" s="24" t="str">
        <f aca="false">IF(OR(A697="",B697=""),"",IFERROR(LOOKUP(2,1/(单次交易!$A$2:$A$201=A697),单次交易!$E$2:$E$201)*LOOKUP(2,1/(单次交易!$A$2:$A$201=A697),单次交易!$H$2:$H$201),0)+SUMIFS($H$2:$H$1001,$A$2:$A$1001,A697,$B$2:$B$1001,"&lt;"&amp;B697))</f>
        <v/>
      </c>
      <c r="K697" s="24" t="str">
        <f aca="false">IF(OR(E697="",I697="",J697=""),"",MAX(E697*I697-J697,0))</f>
        <v/>
      </c>
      <c r="L697" s="25" t="str">
        <f aca="false">IF(OR(D697="",E697="",F697="",D697&lt;=E697),"",FLOOR((F697+K697)/(D697-E697),100))</f>
        <v/>
      </c>
      <c r="M697" s="25" t="str">
        <f aca="false">IF(OR(A697="",B697="",L697=""),"",IF(B697=1,L697,IFERROR(SUMIFS($G$2:$G$1001,$A$2:$A$1001,A697,$B$2:$B$1001,B697-1),0)))</f>
        <v/>
      </c>
      <c r="N697" s="25" t="str">
        <f aca="false">IF(OR(L697="",M697=""),"",MIN(L697,M697))</f>
        <v/>
      </c>
      <c r="O697" s="25" t="str">
        <f aca="false">IF(OR(I697="",G697=""),"",I697+G697)</f>
        <v/>
      </c>
      <c r="P697" s="24" t="str">
        <f aca="false">IF(OR(O697="",O697=0),"",(J697+H697)/O697)</f>
        <v/>
      </c>
      <c r="Q697" s="24" t="str">
        <f aca="false">IF(OR(O697="",E697=""),"",MAX(J697+H697-E697*O697,0))</f>
        <v/>
      </c>
      <c r="R697" s="26" t="str">
        <f aca="false">IF(A697="","",IF(COUNTIF(_TradeIds,A697)=0,"违规：交易编号不存在",IF(OR(B697="",B697&lt;1,B697&gt;5,B697&lt;&gt;INT(B697)),"违规：加仓序号须为1到5的整数",IF(COUNTIFS($A$2:$A$1001,A697,$B$2:$B$1001,B697)&gt;1,"违规：同一交易的加仓序号重复",IF(OR(D697="",E697="",F697=""),"计划不完整：请填写加仓价、新止损价和风险预算",IF(OR(D697&lt;=0,E697&lt;=0,F697&lt;=0,D697&lt;=E697),"违规：加仓价必须高于新止损价，金额须大于0",IF(AND(B697&gt;1,COUNTIFS($A$2:$A$1001,A697,$B$2:$B$1001,B697-1,$G$2:$G$1001,"&gt;0")=0),"违规：须先完成上一次加仓",IF(AND(B697&gt;1,E697&lt;SUMIFS($E$2:$E$1001,$A$2:$A$1001,A697,$B$2:$B$1001,B697-1)),"违规：新止损价不得低于上一次",IF(AND(B697&gt;1,F697&gt;SUMIFS($F$2:$F$1001,$A$2:$A$1001,A697,$B$2:$B$1001,B697-1)),"违规：风险预算须逐次不增加",IF(OR(_LockStatus="已锁仓",_LockStatus="解锁信息不完整"),"违规：锁仓期间禁止加仓",IF(G697="","计划可执行：建议股数见N列",IF(OR(G697&lt;=0,G697&lt;&gt;INT(G697),MOD(G697,100)&lt;&gt;0),"违规：实际股数须为100股整数倍",IF(G697&gt;N697,"违规：实际股数超过风险或金字塔上限",IF(AND(B697&gt;1,G697&gt;SUMIFS($G$2:$G$1001,$A$2:$A$1001,A697,$B$2:$B$1001,B697-1)),"违规：加仓股数须逐次不增加",IF(Q697&gt;F697,"违规：止损风险超过本次预算","通过")))))))))))))))</f>
        <v/>
      </c>
    </row>
    <row r="698" customFormat="false" ht="15" hidden="false" customHeight="false" outlineLevel="0" collapsed="false">
      <c r="A698" s="20"/>
      <c r="B698" s="21"/>
      <c r="C698" s="22"/>
      <c r="D698" s="23"/>
      <c r="E698" s="23"/>
      <c r="F698" s="23"/>
      <c r="G698" s="21"/>
      <c r="H698" s="24" t="str">
        <f aca="false">IF(OR(A698="",D698="",G698=""),"",D698*G698)</f>
        <v/>
      </c>
      <c r="I698" s="25" t="str">
        <f aca="false">IF(OR(A698="",B698=""),"",IFERROR(LOOKUP(2,1/(单次交易!$A$2:$A$201=A698),单次交易!$H$2:$H$201),0)+SUMIFS($G$2:$G$1001,$A$2:$A$1001,A698,$B$2:$B$1001,"&lt;"&amp;B698))</f>
        <v/>
      </c>
      <c r="J698" s="24" t="str">
        <f aca="false">IF(OR(A698="",B698=""),"",IFERROR(LOOKUP(2,1/(单次交易!$A$2:$A$201=A698),单次交易!$E$2:$E$201)*LOOKUP(2,1/(单次交易!$A$2:$A$201=A698),单次交易!$H$2:$H$201),0)+SUMIFS($H$2:$H$1001,$A$2:$A$1001,A698,$B$2:$B$1001,"&lt;"&amp;B698))</f>
        <v/>
      </c>
      <c r="K698" s="24" t="str">
        <f aca="false">IF(OR(E698="",I698="",J698=""),"",MAX(E698*I698-J698,0))</f>
        <v/>
      </c>
      <c r="L698" s="25" t="str">
        <f aca="false">IF(OR(D698="",E698="",F698="",D698&lt;=E698),"",FLOOR((F698+K698)/(D698-E698),100))</f>
        <v/>
      </c>
      <c r="M698" s="25" t="str">
        <f aca="false">IF(OR(A698="",B698="",L698=""),"",IF(B698=1,L698,IFERROR(SUMIFS($G$2:$G$1001,$A$2:$A$1001,A698,$B$2:$B$1001,B698-1),0)))</f>
        <v/>
      </c>
      <c r="N698" s="25" t="str">
        <f aca="false">IF(OR(L698="",M698=""),"",MIN(L698,M698))</f>
        <v/>
      </c>
      <c r="O698" s="25" t="str">
        <f aca="false">IF(OR(I698="",G698=""),"",I698+G698)</f>
        <v/>
      </c>
      <c r="P698" s="24" t="str">
        <f aca="false">IF(OR(O698="",O698=0),"",(J698+H698)/O698)</f>
        <v/>
      </c>
      <c r="Q698" s="24" t="str">
        <f aca="false">IF(OR(O698="",E698=""),"",MAX(J698+H698-E698*O698,0))</f>
        <v/>
      </c>
      <c r="R698" s="26" t="str">
        <f aca="false">IF(A698="","",IF(COUNTIF(_TradeIds,A698)=0,"违规：交易编号不存在",IF(OR(B698="",B698&lt;1,B698&gt;5,B698&lt;&gt;INT(B698)),"违规：加仓序号须为1到5的整数",IF(COUNTIFS($A$2:$A$1001,A698,$B$2:$B$1001,B698)&gt;1,"违规：同一交易的加仓序号重复",IF(OR(D698="",E698="",F698=""),"计划不完整：请填写加仓价、新止损价和风险预算",IF(OR(D698&lt;=0,E698&lt;=0,F698&lt;=0,D698&lt;=E698),"违规：加仓价必须高于新止损价，金额须大于0",IF(AND(B698&gt;1,COUNTIFS($A$2:$A$1001,A698,$B$2:$B$1001,B698-1,$G$2:$G$1001,"&gt;0")=0),"违规：须先完成上一次加仓",IF(AND(B698&gt;1,E698&lt;SUMIFS($E$2:$E$1001,$A$2:$A$1001,A698,$B$2:$B$1001,B698-1)),"违规：新止损价不得低于上一次",IF(AND(B698&gt;1,F698&gt;SUMIFS($F$2:$F$1001,$A$2:$A$1001,A698,$B$2:$B$1001,B698-1)),"违规：风险预算须逐次不增加",IF(OR(_LockStatus="已锁仓",_LockStatus="解锁信息不完整"),"违规：锁仓期间禁止加仓",IF(G698="","计划可执行：建议股数见N列",IF(OR(G698&lt;=0,G698&lt;&gt;INT(G698),MOD(G698,100)&lt;&gt;0),"违规：实际股数须为100股整数倍",IF(G698&gt;N698,"违规：实际股数超过风险或金字塔上限",IF(AND(B698&gt;1,G698&gt;SUMIFS($G$2:$G$1001,$A$2:$A$1001,A698,$B$2:$B$1001,B698-1)),"违规：加仓股数须逐次不增加",IF(Q698&gt;F698,"违规：止损风险超过本次预算","通过")))))))))))))))</f>
        <v/>
      </c>
    </row>
    <row r="699" customFormat="false" ht="15" hidden="false" customHeight="false" outlineLevel="0" collapsed="false">
      <c r="A699" s="20"/>
      <c r="B699" s="21"/>
      <c r="C699" s="22"/>
      <c r="D699" s="23"/>
      <c r="E699" s="23"/>
      <c r="F699" s="23"/>
      <c r="G699" s="21"/>
      <c r="H699" s="24" t="str">
        <f aca="false">IF(OR(A699="",D699="",G699=""),"",D699*G699)</f>
        <v/>
      </c>
      <c r="I699" s="25" t="str">
        <f aca="false">IF(OR(A699="",B699=""),"",IFERROR(LOOKUP(2,1/(单次交易!$A$2:$A$201=A699),单次交易!$H$2:$H$201),0)+SUMIFS($G$2:$G$1001,$A$2:$A$1001,A699,$B$2:$B$1001,"&lt;"&amp;B699))</f>
        <v/>
      </c>
      <c r="J699" s="24" t="str">
        <f aca="false">IF(OR(A699="",B699=""),"",IFERROR(LOOKUP(2,1/(单次交易!$A$2:$A$201=A699),单次交易!$E$2:$E$201)*LOOKUP(2,1/(单次交易!$A$2:$A$201=A699),单次交易!$H$2:$H$201),0)+SUMIFS($H$2:$H$1001,$A$2:$A$1001,A699,$B$2:$B$1001,"&lt;"&amp;B699))</f>
        <v/>
      </c>
      <c r="K699" s="24" t="str">
        <f aca="false">IF(OR(E699="",I699="",J699=""),"",MAX(E699*I699-J699,0))</f>
        <v/>
      </c>
      <c r="L699" s="25" t="str">
        <f aca="false">IF(OR(D699="",E699="",F699="",D699&lt;=E699),"",FLOOR((F699+K699)/(D699-E699),100))</f>
        <v/>
      </c>
      <c r="M699" s="25" t="str">
        <f aca="false">IF(OR(A699="",B699="",L699=""),"",IF(B699=1,L699,IFERROR(SUMIFS($G$2:$G$1001,$A$2:$A$1001,A699,$B$2:$B$1001,B699-1),0)))</f>
        <v/>
      </c>
      <c r="N699" s="25" t="str">
        <f aca="false">IF(OR(L699="",M699=""),"",MIN(L699,M699))</f>
        <v/>
      </c>
      <c r="O699" s="25" t="str">
        <f aca="false">IF(OR(I699="",G699=""),"",I699+G699)</f>
        <v/>
      </c>
      <c r="P699" s="24" t="str">
        <f aca="false">IF(OR(O699="",O699=0),"",(J699+H699)/O699)</f>
        <v/>
      </c>
      <c r="Q699" s="24" t="str">
        <f aca="false">IF(OR(O699="",E699=""),"",MAX(J699+H699-E699*O699,0))</f>
        <v/>
      </c>
      <c r="R699" s="26" t="str">
        <f aca="false">IF(A699="","",IF(COUNTIF(_TradeIds,A699)=0,"违规：交易编号不存在",IF(OR(B699="",B699&lt;1,B699&gt;5,B699&lt;&gt;INT(B699)),"违规：加仓序号须为1到5的整数",IF(COUNTIFS($A$2:$A$1001,A699,$B$2:$B$1001,B699)&gt;1,"违规：同一交易的加仓序号重复",IF(OR(D699="",E699="",F699=""),"计划不完整：请填写加仓价、新止损价和风险预算",IF(OR(D699&lt;=0,E699&lt;=0,F699&lt;=0,D699&lt;=E699),"违规：加仓价必须高于新止损价，金额须大于0",IF(AND(B699&gt;1,COUNTIFS($A$2:$A$1001,A699,$B$2:$B$1001,B699-1,$G$2:$G$1001,"&gt;0")=0),"违规：须先完成上一次加仓",IF(AND(B699&gt;1,E699&lt;SUMIFS($E$2:$E$1001,$A$2:$A$1001,A699,$B$2:$B$1001,B699-1)),"违规：新止损价不得低于上一次",IF(AND(B699&gt;1,F699&gt;SUMIFS($F$2:$F$1001,$A$2:$A$1001,A699,$B$2:$B$1001,B699-1)),"违规：风险预算须逐次不增加",IF(OR(_LockStatus="已锁仓",_LockStatus="解锁信息不完整"),"违规：锁仓期间禁止加仓",IF(G699="","计划可执行：建议股数见N列",IF(OR(G699&lt;=0,G699&lt;&gt;INT(G699),MOD(G699,100)&lt;&gt;0),"违规：实际股数须为100股整数倍",IF(G699&gt;N699,"违规：实际股数超过风险或金字塔上限",IF(AND(B699&gt;1,G699&gt;SUMIFS($G$2:$G$1001,$A$2:$A$1001,A699,$B$2:$B$1001,B699-1)),"违规：加仓股数须逐次不增加",IF(Q699&gt;F699,"违规：止损风险超过本次预算","通过")))))))))))))))</f>
        <v/>
      </c>
    </row>
    <row r="700" customFormat="false" ht="15" hidden="false" customHeight="false" outlineLevel="0" collapsed="false">
      <c r="A700" s="20"/>
      <c r="B700" s="21"/>
      <c r="C700" s="22"/>
      <c r="D700" s="23"/>
      <c r="E700" s="23"/>
      <c r="F700" s="23"/>
      <c r="G700" s="21"/>
      <c r="H700" s="24" t="str">
        <f aca="false">IF(OR(A700="",D700="",G700=""),"",D700*G700)</f>
        <v/>
      </c>
      <c r="I700" s="25" t="str">
        <f aca="false">IF(OR(A700="",B700=""),"",IFERROR(LOOKUP(2,1/(单次交易!$A$2:$A$201=A700),单次交易!$H$2:$H$201),0)+SUMIFS($G$2:$G$1001,$A$2:$A$1001,A700,$B$2:$B$1001,"&lt;"&amp;B700))</f>
        <v/>
      </c>
      <c r="J700" s="24" t="str">
        <f aca="false">IF(OR(A700="",B700=""),"",IFERROR(LOOKUP(2,1/(单次交易!$A$2:$A$201=A700),单次交易!$E$2:$E$201)*LOOKUP(2,1/(单次交易!$A$2:$A$201=A700),单次交易!$H$2:$H$201),0)+SUMIFS($H$2:$H$1001,$A$2:$A$1001,A700,$B$2:$B$1001,"&lt;"&amp;B700))</f>
        <v/>
      </c>
      <c r="K700" s="24" t="str">
        <f aca="false">IF(OR(E700="",I700="",J700=""),"",MAX(E700*I700-J700,0))</f>
        <v/>
      </c>
      <c r="L700" s="25" t="str">
        <f aca="false">IF(OR(D700="",E700="",F700="",D700&lt;=E700),"",FLOOR((F700+K700)/(D700-E700),100))</f>
        <v/>
      </c>
      <c r="M700" s="25" t="str">
        <f aca="false">IF(OR(A700="",B700="",L700=""),"",IF(B700=1,L700,IFERROR(SUMIFS($G$2:$G$1001,$A$2:$A$1001,A700,$B$2:$B$1001,B700-1),0)))</f>
        <v/>
      </c>
      <c r="N700" s="25" t="str">
        <f aca="false">IF(OR(L700="",M700=""),"",MIN(L700,M700))</f>
        <v/>
      </c>
      <c r="O700" s="25" t="str">
        <f aca="false">IF(OR(I700="",G700=""),"",I700+G700)</f>
        <v/>
      </c>
      <c r="P700" s="24" t="str">
        <f aca="false">IF(OR(O700="",O700=0),"",(J700+H700)/O700)</f>
        <v/>
      </c>
      <c r="Q700" s="24" t="str">
        <f aca="false">IF(OR(O700="",E700=""),"",MAX(J700+H700-E700*O700,0))</f>
        <v/>
      </c>
      <c r="R700" s="26" t="str">
        <f aca="false">IF(A700="","",IF(COUNTIF(_TradeIds,A700)=0,"违规：交易编号不存在",IF(OR(B700="",B700&lt;1,B700&gt;5,B700&lt;&gt;INT(B700)),"违规：加仓序号须为1到5的整数",IF(COUNTIFS($A$2:$A$1001,A700,$B$2:$B$1001,B700)&gt;1,"违规：同一交易的加仓序号重复",IF(OR(D700="",E700="",F700=""),"计划不完整：请填写加仓价、新止损价和风险预算",IF(OR(D700&lt;=0,E700&lt;=0,F700&lt;=0,D700&lt;=E700),"违规：加仓价必须高于新止损价，金额须大于0",IF(AND(B700&gt;1,COUNTIFS($A$2:$A$1001,A700,$B$2:$B$1001,B700-1,$G$2:$G$1001,"&gt;0")=0),"违规：须先完成上一次加仓",IF(AND(B700&gt;1,E700&lt;SUMIFS($E$2:$E$1001,$A$2:$A$1001,A700,$B$2:$B$1001,B700-1)),"违规：新止损价不得低于上一次",IF(AND(B700&gt;1,F700&gt;SUMIFS($F$2:$F$1001,$A$2:$A$1001,A700,$B$2:$B$1001,B700-1)),"违规：风险预算须逐次不增加",IF(OR(_LockStatus="已锁仓",_LockStatus="解锁信息不完整"),"违规：锁仓期间禁止加仓",IF(G700="","计划可执行：建议股数见N列",IF(OR(G700&lt;=0,G700&lt;&gt;INT(G700),MOD(G700,100)&lt;&gt;0),"违规：实际股数须为100股整数倍",IF(G700&gt;N700,"违规：实际股数超过风险或金字塔上限",IF(AND(B700&gt;1,G700&gt;SUMIFS($G$2:$G$1001,$A$2:$A$1001,A700,$B$2:$B$1001,B700-1)),"违规：加仓股数须逐次不增加",IF(Q700&gt;F700,"违规：止损风险超过本次预算","通过")))))))))))))))</f>
        <v/>
      </c>
    </row>
    <row r="701" customFormat="false" ht="15" hidden="false" customHeight="false" outlineLevel="0" collapsed="false">
      <c r="A701" s="20"/>
      <c r="B701" s="21"/>
      <c r="C701" s="22"/>
      <c r="D701" s="23"/>
      <c r="E701" s="23"/>
      <c r="F701" s="23"/>
      <c r="G701" s="21"/>
      <c r="H701" s="24" t="str">
        <f aca="false">IF(OR(A701="",D701="",G701=""),"",D701*G701)</f>
        <v/>
      </c>
      <c r="I701" s="25" t="str">
        <f aca="false">IF(OR(A701="",B701=""),"",IFERROR(LOOKUP(2,1/(单次交易!$A$2:$A$201=A701),单次交易!$H$2:$H$201),0)+SUMIFS($G$2:$G$1001,$A$2:$A$1001,A701,$B$2:$B$1001,"&lt;"&amp;B701))</f>
        <v/>
      </c>
      <c r="J701" s="24" t="str">
        <f aca="false">IF(OR(A701="",B701=""),"",IFERROR(LOOKUP(2,1/(单次交易!$A$2:$A$201=A701),单次交易!$E$2:$E$201)*LOOKUP(2,1/(单次交易!$A$2:$A$201=A701),单次交易!$H$2:$H$201),0)+SUMIFS($H$2:$H$1001,$A$2:$A$1001,A701,$B$2:$B$1001,"&lt;"&amp;B701))</f>
        <v/>
      </c>
      <c r="K701" s="24" t="str">
        <f aca="false">IF(OR(E701="",I701="",J701=""),"",MAX(E701*I701-J701,0))</f>
        <v/>
      </c>
      <c r="L701" s="25" t="str">
        <f aca="false">IF(OR(D701="",E701="",F701="",D701&lt;=E701),"",FLOOR((F701+K701)/(D701-E701),100))</f>
        <v/>
      </c>
      <c r="M701" s="25" t="str">
        <f aca="false">IF(OR(A701="",B701="",L701=""),"",IF(B701=1,L701,IFERROR(SUMIFS($G$2:$G$1001,$A$2:$A$1001,A701,$B$2:$B$1001,B701-1),0)))</f>
        <v/>
      </c>
      <c r="N701" s="25" t="str">
        <f aca="false">IF(OR(L701="",M701=""),"",MIN(L701,M701))</f>
        <v/>
      </c>
      <c r="O701" s="25" t="str">
        <f aca="false">IF(OR(I701="",G701=""),"",I701+G701)</f>
        <v/>
      </c>
      <c r="P701" s="24" t="str">
        <f aca="false">IF(OR(O701="",O701=0),"",(J701+H701)/O701)</f>
        <v/>
      </c>
      <c r="Q701" s="24" t="str">
        <f aca="false">IF(OR(O701="",E701=""),"",MAX(J701+H701-E701*O701,0))</f>
        <v/>
      </c>
      <c r="R701" s="26" t="str">
        <f aca="false">IF(A701="","",IF(COUNTIF(_TradeIds,A701)=0,"违规：交易编号不存在",IF(OR(B701="",B701&lt;1,B701&gt;5,B701&lt;&gt;INT(B701)),"违规：加仓序号须为1到5的整数",IF(COUNTIFS($A$2:$A$1001,A701,$B$2:$B$1001,B701)&gt;1,"违规：同一交易的加仓序号重复",IF(OR(D701="",E701="",F701=""),"计划不完整：请填写加仓价、新止损价和风险预算",IF(OR(D701&lt;=0,E701&lt;=0,F701&lt;=0,D701&lt;=E701),"违规：加仓价必须高于新止损价，金额须大于0",IF(AND(B701&gt;1,COUNTIFS($A$2:$A$1001,A701,$B$2:$B$1001,B701-1,$G$2:$G$1001,"&gt;0")=0),"违规：须先完成上一次加仓",IF(AND(B701&gt;1,E701&lt;SUMIFS($E$2:$E$1001,$A$2:$A$1001,A701,$B$2:$B$1001,B701-1)),"违规：新止损价不得低于上一次",IF(AND(B701&gt;1,F701&gt;SUMIFS($F$2:$F$1001,$A$2:$A$1001,A701,$B$2:$B$1001,B701-1)),"违规：风险预算须逐次不增加",IF(OR(_LockStatus="已锁仓",_LockStatus="解锁信息不完整"),"违规：锁仓期间禁止加仓",IF(G701="","计划可执行：建议股数见N列",IF(OR(G701&lt;=0,G701&lt;&gt;INT(G701),MOD(G701,100)&lt;&gt;0),"违规：实际股数须为100股整数倍",IF(G701&gt;N701,"违规：实际股数超过风险或金字塔上限",IF(AND(B701&gt;1,G701&gt;SUMIFS($G$2:$G$1001,$A$2:$A$1001,A701,$B$2:$B$1001,B701-1)),"违规：加仓股数须逐次不增加",IF(Q701&gt;F701,"违规：止损风险超过本次预算","通过")))))))))))))))</f>
        <v/>
      </c>
    </row>
    <row r="702" customFormat="false" ht="15" hidden="false" customHeight="false" outlineLevel="0" collapsed="false">
      <c r="A702" s="20"/>
      <c r="B702" s="21"/>
      <c r="C702" s="22"/>
      <c r="D702" s="23"/>
      <c r="E702" s="23"/>
      <c r="F702" s="23"/>
      <c r="G702" s="21"/>
      <c r="H702" s="24" t="str">
        <f aca="false">IF(OR(A702="",D702="",G702=""),"",D702*G702)</f>
        <v/>
      </c>
      <c r="I702" s="25" t="str">
        <f aca="false">IF(OR(A702="",B702=""),"",IFERROR(LOOKUP(2,1/(单次交易!$A$2:$A$201=A702),单次交易!$H$2:$H$201),0)+SUMIFS($G$2:$G$1001,$A$2:$A$1001,A702,$B$2:$B$1001,"&lt;"&amp;B702))</f>
        <v/>
      </c>
      <c r="J702" s="24" t="str">
        <f aca="false">IF(OR(A702="",B702=""),"",IFERROR(LOOKUP(2,1/(单次交易!$A$2:$A$201=A702),单次交易!$E$2:$E$201)*LOOKUP(2,1/(单次交易!$A$2:$A$201=A702),单次交易!$H$2:$H$201),0)+SUMIFS($H$2:$H$1001,$A$2:$A$1001,A702,$B$2:$B$1001,"&lt;"&amp;B702))</f>
        <v/>
      </c>
      <c r="K702" s="24" t="str">
        <f aca="false">IF(OR(E702="",I702="",J702=""),"",MAX(E702*I702-J702,0))</f>
        <v/>
      </c>
      <c r="L702" s="25" t="str">
        <f aca="false">IF(OR(D702="",E702="",F702="",D702&lt;=E702),"",FLOOR((F702+K702)/(D702-E702),100))</f>
        <v/>
      </c>
      <c r="M702" s="25" t="str">
        <f aca="false">IF(OR(A702="",B702="",L702=""),"",IF(B702=1,L702,IFERROR(SUMIFS($G$2:$G$1001,$A$2:$A$1001,A702,$B$2:$B$1001,B702-1),0)))</f>
        <v/>
      </c>
      <c r="N702" s="25" t="str">
        <f aca="false">IF(OR(L702="",M702=""),"",MIN(L702,M702))</f>
        <v/>
      </c>
      <c r="O702" s="25" t="str">
        <f aca="false">IF(OR(I702="",G702=""),"",I702+G702)</f>
        <v/>
      </c>
      <c r="P702" s="24" t="str">
        <f aca="false">IF(OR(O702="",O702=0),"",(J702+H702)/O702)</f>
        <v/>
      </c>
      <c r="Q702" s="24" t="str">
        <f aca="false">IF(OR(O702="",E702=""),"",MAX(J702+H702-E702*O702,0))</f>
        <v/>
      </c>
      <c r="R702" s="26" t="str">
        <f aca="false">IF(A702="","",IF(COUNTIF(_TradeIds,A702)=0,"违规：交易编号不存在",IF(OR(B702="",B702&lt;1,B702&gt;5,B702&lt;&gt;INT(B702)),"违规：加仓序号须为1到5的整数",IF(COUNTIFS($A$2:$A$1001,A702,$B$2:$B$1001,B702)&gt;1,"违规：同一交易的加仓序号重复",IF(OR(D702="",E702="",F702=""),"计划不完整：请填写加仓价、新止损价和风险预算",IF(OR(D702&lt;=0,E702&lt;=0,F702&lt;=0,D702&lt;=E702),"违规：加仓价必须高于新止损价，金额须大于0",IF(AND(B702&gt;1,COUNTIFS($A$2:$A$1001,A702,$B$2:$B$1001,B702-1,$G$2:$G$1001,"&gt;0")=0),"违规：须先完成上一次加仓",IF(AND(B702&gt;1,E702&lt;SUMIFS($E$2:$E$1001,$A$2:$A$1001,A702,$B$2:$B$1001,B702-1)),"违规：新止损价不得低于上一次",IF(AND(B702&gt;1,F702&gt;SUMIFS($F$2:$F$1001,$A$2:$A$1001,A702,$B$2:$B$1001,B702-1)),"违规：风险预算须逐次不增加",IF(OR(_LockStatus="已锁仓",_LockStatus="解锁信息不完整"),"违规：锁仓期间禁止加仓",IF(G702="","计划可执行：建议股数见N列",IF(OR(G702&lt;=0,G702&lt;&gt;INT(G702),MOD(G702,100)&lt;&gt;0),"违规：实际股数须为100股整数倍",IF(G702&gt;N702,"违规：实际股数超过风险或金字塔上限",IF(AND(B702&gt;1,G702&gt;SUMIFS($G$2:$G$1001,$A$2:$A$1001,A702,$B$2:$B$1001,B702-1)),"违规：加仓股数须逐次不增加",IF(Q702&gt;F702,"违规：止损风险超过本次预算","通过")))))))))))))))</f>
        <v/>
      </c>
    </row>
    <row r="703" customFormat="false" ht="15" hidden="false" customHeight="false" outlineLevel="0" collapsed="false">
      <c r="A703" s="20"/>
      <c r="B703" s="21"/>
      <c r="C703" s="22"/>
      <c r="D703" s="23"/>
      <c r="E703" s="23"/>
      <c r="F703" s="23"/>
      <c r="G703" s="21"/>
      <c r="H703" s="24" t="str">
        <f aca="false">IF(OR(A703="",D703="",G703=""),"",D703*G703)</f>
        <v/>
      </c>
      <c r="I703" s="25" t="str">
        <f aca="false">IF(OR(A703="",B703=""),"",IFERROR(LOOKUP(2,1/(单次交易!$A$2:$A$201=A703),单次交易!$H$2:$H$201),0)+SUMIFS($G$2:$G$1001,$A$2:$A$1001,A703,$B$2:$B$1001,"&lt;"&amp;B703))</f>
        <v/>
      </c>
      <c r="J703" s="24" t="str">
        <f aca="false">IF(OR(A703="",B703=""),"",IFERROR(LOOKUP(2,1/(单次交易!$A$2:$A$201=A703),单次交易!$E$2:$E$201)*LOOKUP(2,1/(单次交易!$A$2:$A$201=A703),单次交易!$H$2:$H$201),0)+SUMIFS($H$2:$H$1001,$A$2:$A$1001,A703,$B$2:$B$1001,"&lt;"&amp;B703))</f>
        <v/>
      </c>
      <c r="K703" s="24" t="str">
        <f aca="false">IF(OR(E703="",I703="",J703=""),"",MAX(E703*I703-J703,0))</f>
        <v/>
      </c>
      <c r="L703" s="25" t="str">
        <f aca="false">IF(OR(D703="",E703="",F703="",D703&lt;=E703),"",FLOOR((F703+K703)/(D703-E703),100))</f>
        <v/>
      </c>
      <c r="M703" s="25" t="str">
        <f aca="false">IF(OR(A703="",B703="",L703=""),"",IF(B703=1,L703,IFERROR(SUMIFS($G$2:$G$1001,$A$2:$A$1001,A703,$B$2:$B$1001,B703-1),0)))</f>
        <v/>
      </c>
      <c r="N703" s="25" t="str">
        <f aca="false">IF(OR(L703="",M703=""),"",MIN(L703,M703))</f>
        <v/>
      </c>
      <c r="O703" s="25" t="str">
        <f aca="false">IF(OR(I703="",G703=""),"",I703+G703)</f>
        <v/>
      </c>
      <c r="P703" s="24" t="str">
        <f aca="false">IF(OR(O703="",O703=0),"",(J703+H703)/O703)</f>
        <v/>
      </c>
      <c r="Q703" s="24" t="str">
        <f aca="false">IF(OR(O703="",E703=""),"",MAX(J703+H703-E703*O703,0))</f>
        <v/>
      </c>
      <c r="R703" s="26" t="str">
        <f aca="false">IF(A703="","",IF(COUNTIF(_TradeIds,A703)=0,"违规：交易编号不存在",IF(OR(B703="",B703&lt;1,B703&gt;5,B703&lt;&gt;INT(B703)),"违规：加仓序号须为1到5的整数",IF(COUNTIFS($A$2:$A$1001,A703,$B$2:$B$1001,B703)&gt;1,"违规：同一交易的加仓序号重复",IF(OR(D703="",E703="",F703=""),"计划不完整：请填写加仓价、新止损价和风险预算",IF(OR(D703&lt;=0,E703&lt;=0,F703&lt;=0,D703&lt;=E703),"违规：加仓价必须高于新止损价，金额须大于0",IF(AND(B703&gt;1,COUNTIFS($A$2:$A$1001,A703,$B$2:$B$1001,B703-1,$G$2:$G$1001,"&gt;0")=0),"违规：须先完成上一次加仓",IF(AND(B703&gt;1,E703&lt;SUMIFS($E$2:$E$1001,$A$2:$A$1001,A703,$B$2:$B$1001,B703-1)),"违规：新止损价不得低于上一次",IF(AND(B703&gt;1,F703&gt;SUMIFS($F$2:$F$1001,$A$2:$A$1001,A703,$B$2:$B$1001,B703-1)),"违规：风险预算须逐次不增加",IF(OR(_LockStatus="已锁仓",_LockStatus="解锁信息不完整"),"违规：锁仓期间禁止加仓",IF(G703="","计划可执行：建议股数见N列",IF(OR(G703&lt;=0,G703&lt;&gt;INT(G703),MOD(G703,100)&lt;&gt;0),"违规：实际股数须为100股整数倍",IF(G703&gt;N703,"违规：实际股数超过风险或金字塔上限",IF(AND(B703&gt;1,G703&gt;SUMIFS($G$2:$G$1001,$A$2:$A$1001,A703,$B$2:$B$1001,B703-1)),"违规：加仓股数须逐次不增加",IF(Q703&gt;F703,"违规：止损风险超过本次预算","通过")))))))))))))))</f>
        <v/>
      </c>
    </row>
    <row r="704" customFormat="false" ht="15" hidden="false" customHeight="false" outlineLevel="0" collapsed="false">
      <c r="A704" s="20"/>
      <c r="B704" s="21"/>
      <c r="C704" s="22"/>
      <c r="D704" s="23"/>
      <c r="E704" s="23"/>
      <c r="F704" s="23"/>
      <c r="G704" s="21"/>
      <c r="H704" s="24" t="str">
        <f aca="false">IF(OR(A704="",D704="",G704=""),"",D704*G704)</f>
        <v/>
      </c>
      <c r="I704" s="25" t="str">
        <f aca="false">IF(OR(A704="",B704=""),"",IFERROR(LOOKUP(2,1/(单次交易!$A$2:$A$201=A704),单次交易!$H$2:$H$201),0)+SUMIFS($G$2:$G$1001,$A$2:$A$1001,A704,$B$2:$B$1001,"&lt;"&amp;B704))</f>
        <v/>
      </c>
      <c r="J704" s="24" t="str">
        <f aca="false">IF(OR(A704="",B704=""),"",IFERROR(LOOKUP(2,1/(单次交易!$A$2:$A$201=A704),单次交易!$E$2:$E$201)*LOOKUP(2,1/(单次交易!$A$2:$A$201=A704),单次交易!$H$2:$H$201),0)+SUMIFS($H$2:$H$1001,$A$2:$A$1001,A704,$B$2:$B$1001,"&lt;"&amp;B704))</f>
        <v/>
      </c>
      <c r="K704" s="24" t="str">
        <f aca="false">IF(OR(E704="",I704="",J704=""),"",MAX(E704*I704-J704,0))</f>
        <v/>
      </c>
      <c r="L704" s="25" t="str">
        <f aca="false">IF(OR(D704="",E704="",F704="",D704&lt;=E704),"",FLOOR((F704+K704)/(D704-E704),100))</f>
        <v/>
      </c>
      <c r="M704" s="25" t="str">
        <f aca="false">IF(OR(A704="",B704="",L704=""),"",IF(B704=1,L704,IFERROR(SUMIFS($G$2:$G$1001,$A$2:$A$1001,A704,$B$2:$B$1001,B704-1),0)))</f>
        <v/>
      </c>
      <c r="N704" s="25" t="str">
        <f aca="false">IF(OR(L704="",M704=""),"",MIN(L704,M704))</f>
        <v/>
      </c>
      <c r="O704" s="25" t="str">
        <f aca="false">IF(OR(I704="",G704=""),"",I704+G704)</f>
        <v/>
      </c>
      <c r="P704" s="24" t="str">
        <f aca="false">IF(OR(O704="",O704=0),"",(J704+H704)/O704)</f>
        <v/>
      </c>
      <c r="Q704" s="24" t="str">
        <f aca="false">IF(OR(O704="",E704=""),"",MAX(J704+H704-E704*O704,0))</f>
        <v/>
      </c>
      <c r="R704" s="26" t="str">
        <f aca="false">IF(A704="","",IF(COUNTIF(_TradeIds,A704)=0,"违规：交易编号不存在",IF(OR(B704="",B704&lt;1,B704&gt;5,B704&lt;&gt;INT(B704)),"违规：加仓序号须为1到5的整数",IF(COUNTIFS($A$2:$A$1001,A704,$B$2:$B$1001,B704)&gt;1,"违规：同一交易的加仓序号重复",IF(OR(D704="",E704="",F704=""),"计划不完整：请填写加仓价、新止损价和风险预算",IF(OR(D704&lt;=0,E704&lt;=0,F704&lt;=0,D704&lt;=E704),"违规：加仓价必须高于新止损价，金额须大于0",IF(AND(B704&gt;1,COUNTIFS($A$2:$A$1001,A704,$B$2:$B$1001,B704-1,$G$2:$G$1001,"&gt;0")=0),"违规：须先完成上一次加仓",IF(AND(B704&gt;1,E704&lt;SUMIFS($E$2:$E$1001,$A$2:$A$1001,A704,$B$2:$B$1001,B704-1)),"违规：新止损价不得低于上一次",IF(AND(B704&gt;1,F704&gt;SUMIFS($F$2:$F$1001,$A$2:$A$1001,A704,$B$2:$B$1001,B704-1)),"违规：风险预算须逐次不增加",IF(OR(_LockStatus="已锁仓",_LockStatus="解锁信息不完整"),"违规：锁仓期间禁止加仓",IF(G704="","计划可执行：建议股数见N列",IF(OR(G704&lt;=0,G704&lt;&gt;INT(G704),MOD(G704,100)&lt;&gt;0),"违规：实际股数须为100股整数倍",IF(G704&gt;N704,"违规：实际股数超过风险或金字塔上限",IF(AND(B704&gt;1,G704&gt;SUMIFS($G$2:$G$1001,$A$2:$A$1001,A704,$B$2:$B$1001,B704-1)),"违规：加仓股数须逐次不增加",IF(Q704&gt;F704,"违规：止损风险超过本次预算","通过")))))))))))))))</f>
        <v/>
      </c>
    </row>
    <row r="705" customFormat="false" ht="15" hidden="false" customHeight="false" outlineLevel="0" collapsed="false">
      <c r="A705" s="20"/>
      <c r="B705" s="21"/>
      <c r="C705" s="22"/>
      <c r="D705" s="23"/>
      <c r="E705" s="23"/>
      <c r="F705" s="23"/>
      <c r="G705" s="21"/>
      <c r="H705" s="24" t="str">
        <f aca="false">IF(OR(A705="",D705="",G705=""),"",D705*G705)</f>
        <v/>
      </c>
      <c r="I705" s="25" t="str">
        <f aca="false">IF(OR(A705="",B705=""),"",IFERROR(LOOKUP(2,1/(单次交易!$A$2:$A$201=A705),单次交易!$H$2:$H$201),0)+SUMIFS($G$2:$G$1001,$A$2:$A$1001,A705,$B$2:$B$1001,"&lt;"&amp;B705))</f>
        <v/>
      </c>
      <c r="J705" s="24" t="str">
        <f aca="false">IF(OR(A705="",B705=""),"",IFERROR(LOOKUP(2,1/(单次交易!$A$2:$A$201=A705),单次交易!$E$2:$E$201)*LOOKUP(2,1/(单次交易!$A$2:$A$201=A705),单次交易!$H$2:$H$201),0)+SUMIFS($H$2:$H$1001,$A$2:$A$1001,A705,$B$2:$B$1001,"&lt;"&amp;B705))</f>
        <v/>
      </c>
      <c r="K705" s="24" t="str">
        <f aca="false">IF(OR(E705="",I705="",J705=""),"",MAX(E705*I705-J705,0))</f>
        <v/>
      </c>
      <c r="L705" s="25" t="str">
        <f aca="false">IF(OR(D705="",E705="",F705="",D705&lt;=E705),"",FLOOR((F705+K705)/(D705-E705),100))</f>
        <v/>
      </c>
      <c r="M705" s="25" t="str">
        <f aca="false">IF(OR(A705="",B705="",L705=""),"",IF(B705=1,L705,IFERROR(SUMIFS($G$2:$G$1001,$A$2:$A$1001,A705,$B$2:$B$1001,B705-1),0)))</f>
        <v/>
      </c>
      <c r="N705" s="25" t="str">
        <f aca="false">IF(OR(L705="",M705=""),"",MIN(L705,M705))</f>
        <v/>
      </c>
      <c r="O705" s="25" t="str">
        <f aca="false">IF(OR(I705="",G705=""),"",I705+G705)</f>
        <v/>
      </c>
      <c r="P705" s="24" t="str">
        <f aca="false">IF(OR(O705="",O705=0),"",(J705+H705)/O705)</f>
        <v/>
      </c>
      <c r="Q705" s="24" t="str">
        <f aca="false">IF(OR(O705="",E705=""),"",MAX(J705+H705-E705*O705,0))</f>
        <v/>
      </c>
      <c r="R705" s="26" t="str">
        <f aca="false">IF(A705="","",IF(COUNTIF(_TradeIds,A705)=0,"违规：交易编号不存在",IF(OR(B705="",B705&lt;1,B705&gt;5,B705&lt;&gt;INT(B705)),"违规：加仓序号须为1到5的整数",IF(COUNTIFS($A$2:$A$1001,A705,$B$2:$B$1001,B705)&gt;1,"违规：同一交易的加仓序号重复",IF(OR(D705="",E705="",F705=""),"计划不完整：请填写加仓价、新止损价和风险预算",IF(OR(D705&lt;=0,E705&lt;=0,F705&lt;=0,D705&lt;=E705),"违规：加仓价必须高于新止损价，金额须大于0",IF(AND(B705&gt;1,COUNTIFS($A$2:$A$1001,A705,$B$2:$B$1001,B705-1,$G$2:$G$1001,"&gt;0")=0),"违规：须先完成上一次加仓",IF(AND(B705&gt;1,E705&lt;SUMIFS($E$2:$E$1001,$A$2:$A$1001,A705,$B$2:$B$1001,B705-1)),"违规：新止损价不得低于上一次",IF(AND(B705&gt;1,F705&gt;SUMIFS($F$2:$F$1001,$A$2:$A$1001,A705,$B$2:$B$1001,B705-1)),"违规：风险预算须逐次不增加",IF(OR(_LockStatus="已锁仓",_LockStatus="解锁信息不完整"),"违规：锁仓期间禁止加仓",IF(G705="","计划可执行：建议股数见N列",IF(OR(G705&lt;=0,G705&lt;&gt;INT(G705),MOD(G705,100)&lt;&gt;0),"违规：实际股数须为100股整数倍",IF(G705&gt;N705,"违规：实际股数超过风险或金字塔上限",IF(AND(B705&gt;1,G705&gt;SUMIFS($G$2:$G$1001,$A$2:$A$1001,A705,$B$2:$B$1001,B705-1)),"违规：加仓股数须逐次不增加",IF(Q705&gt;F705,"违规：止损风险超过本次预算","通过")))))))))))))))</f>
        <v/>
      </c>
    </row>
    <row r="706" customFormat="false" ht="15" hidden="false" customHeight="false" outlineLevel="0" collapsed="false">
      <c r="A706" s="20"/>
      <c r="B706" s="21"/>
      <c r="C706" s="22"/>
      <c r="D706" s="23"/>
      <c r="E706" s="23"/>
      <c r="F706" s="23"/>
      <c r="G706" s="21"/>
      <c r="H706" s="24" t="str">
        <f aca="false">IF(OR(A706="",D706="",G706=""),"",D706*G706)</f>
        <v/>
      </c>
      <c r="I706" s="25" t="str">
        <f aca="false">IF(OR(A706="",B706=""),"",IFERROR(LOOKUP(2,1/(单次交易!$A$2:$A$201=A706),单次交易!$H$2:$H$201),0)+SUMIFS($G$2:$G$1001,$A$2:$A$1001,A706,$B$2:$B$1001,"&lt;"&amp;B706))</f>
        <v/>
      </c>
      <c r="J706" s="24" t="str">
        <f aca="false">IF(OR(A706="",B706=""),"",IFERROR(LOOKUP(2,1/(单次交易!$A$2:$A$201=A706),单次交易!$E$2:$E$201)*LOOKUP(2,1/(单次交易!$A$2:$A$201=A706),单次交易!$H$2:$H$201),0)+SUMIFS($H$2:$H$1001,$A$2:$A$1001,A706,$B$2:$B$1001,"&lt;"&amp;B706))</f>
        <v/>
      </c>
      <c r="K706" s="24" t="str">
        <f aca="false">IF(OR(E706="",I706="",J706=""),"",MAX(E706*I706-J706,0))</f>
        <v/>
      </c>
      <c r="L706" s="25" t="str">
        <f aca="false">IF(OR(D706="",E706="",F706="",D706&lt;=E706),"",FLOOR((F706+K706)/(D706-E706),100))</f>
        <v/>
      </c>
      <c r="M706" s="25" t="str">
        <f aca="false">IF(OR(A706="",B706="",L706=""),"",IF(B706=1,L706,IFERROR(SUMIFS($G$2:$G$1001,$A$2:$A$1001,A706,$B$2:$B$1001,B706-1),0)))</f>
        <v/>
      </c>
      <c r="N706" s="25" t="str">
        <f aca="false">IF(OR(L706="",M706=""),"",MIN(L706,M706))</f>
        <v/>
      </c>
      <c r="O706" s="25" t="str">
        <f aca="false">IF(OR(I706="",G706=""),"",I706+G706)</f>
        <v/>
      </c>
      <c r="P706" s="24" t="str">
        <f aca="false">IF(OR(O706="",O706=0),"",(J706+H706)/O706)</f>
        <v/>
      </c>
      <c r="Q706" s="24" t="str">
        <f aca="false">IF(OR(O706="",E706=""),"",MAX(J706+H706-E706*O706,0))</f>
        <v/>
      </c>
      <c r="R706" s="26" t="str">
        <f aca="false">IF(A706="","",IF(COUNTIF(_TradeIds,A706)=0,"违规：交易编号不存在",IF(OR(B706="",B706&lt;1,B706&gt;5,B706&lt;&gt;INT(B706)),"违规：加仓序号须为1到5的整数",IF(COUNTIFS($A$2:$A$1001,A706,$B$2:$B$1001,B706)&gt;1,"违规：同一交易的加仓序号重复",IF(OR(D706="",E706="",F706=""),"计划不完整：请填写加仓价、新止损价和风险预算",IF(OR(D706&lt;=0,E706&lt;=0,F706&lt;=0,D706&lt;=E706),"违规：加仓价必须高于新止损价，金额须大于0",IF(AND(B706&gt;1,COUNTIFS($A$2:$A$1001,A706,$B$2:$B$1001,B706-1,$G$2:$G$1001,"&gt;0")=0),"违规：须先完成上一次加仓",IF(AND(B706&gt;1,E706&lt;SUMIFS($E$2:$E$1001,$A$2:$A$1001,A706,$B$2:$B$1001,B706-1)),"违规：新止损价不得低于上一次",IF(AND(B706&gt;1,F706&gt;SUMIFS($F$2:$F$1001,$A$2:$A$1001,A706,$B$2:$B$1001,B706-1)),"违规：风险预算须逐次不增加",IF(OR(_LockStatus="已锁仓",_LockStatus="解锁信息不完整"),"违规：锁仓期间禁止加仓",IF(G706="","计划可执行：建议股数见N列",IF(OR(G706&lt;=0,G706&lt;&gt;INT(G706),MOD(G706,100)&lt;&gt;0),"违规：实际股数须为100股整数倍",IF(G706&gt;N706,"违规：实际股数超过风险或金字塔上限",IF(AND(B706&gt;1,G706&gt;SUMIFS($G$2:$G$1001,$A$2:$A$1001,A706,$B$2:$B$1001,B706-1)),"违规：加仓股数须逐次不增加",IF(Q706&gt;F706,"违规：止损风险超过本次预算","通过")))))))))))))))</f>
        <v/>
      </c>
    </row>
    <row r="707" customFormat="false" ht="15" hidden="false" customHeight="false" outlineLevel="0" collapsed="false">
      <c r="A707" s="20"/>
      <c r="B707" s="21"/>
      <c r="C707" s="22"/>
      <c r="D707" s="23"/>
      <c r="E707" s="23"/>
      <c r="F707" s="23"/>
      <c r="G707" s="21"/>
      <c r="H707" s="24" t="str">
        <f aca="false">IF(OR(A707="",D707="",G707=""),"",D707*G707)</f>
        <v/>
      </c>
      <c r="I707" s="25" t="str">
        <f aca="false">IF(OR(A707="",B707=""),"",IFERROR(LOOKUP(2,1/(单次交易!$A$2:$A$201=A707),单次交易!$H$2:$H$201),0)+SUMIFS($G$2:$G$1001,$A$2:$A$1001,A707,$B$2:$B$1001,"&lt;"&amp;B707))</f>
        <v/>
      </c>
      <c r="J707" s="24" t="str">
        <f aca="false">IF(OR(A707="",B707=""),"",IFERROR(LOOKUP(2,1/(单次交易!$A$2:$A$201=A707),单次交易!$E$2:$E$201)*LOOKUP(2,1/(单次交易!$A$2:$A$201=A707),单次交易!$H$2:$H$201),0)+SUMIFS($H$2:$H$1001,$A$2:$A$1001,A707,$B$2:$B$1001,"&lt;"&amp;B707))</f>
        <v/>
      </c>
      <c r="K707" s="24" t="str">
        <f aca="false">IF(OR(E707="",I707="",J707=""),"",MAX(E707*I707-J707,0))</f>
        <v/>
      </c>
      <c r="L707" s="25" t="str">
        <f aca="false">IF(OR(D707="",E707="",F707="",D707&lt;=E707),"",FLOOR((F707+K707)/(D707-E707),100))</f>
        <v/>
      </c>
      <c r="M707" s="25" t="str">
        <f aca="false">IF(OR(A707="",B707="",L707=""),"",IF(B707=1,L707,IFERROR(SUMIFS($G$2:$G$1001,$A$2:$A$1001,A707,$B$2:$B$1001,B707-1),0)))</f>
        <v/>
      </c>
      <c r="N707" s="25" t="str">
        <f aca="false">IF(OR(L707="",M707=""),"",MIN(L707,M707))</f>
        <v/>
      </c>
      <c r="O707" s="25" t="str">
        <f aca="false">IF(OR(I707="",G707=""),"",I707+G707)</f>
        <v/>
      </c>
      <c r="P707" s="24" t="str">
        <f aca="false">IF(OR(O707="",O707=0),"",(J707+H707)/O707)</f>
        <v/>
      </c>
      <c r="Q707" s="24" t="str">
        <f aca="false">IF(OR(O707="",E707=""),"",MAX(J707+H707-E707*O707,0))</f>
        <v/>
      </c>
      <c r="R707" s="26" t="str">
        <f aca="false">IF(A707="","",IF(COUNTIF(_TradeIds,A707)=0,"违规：交易编号不存在",IF(OR(B707="",B707&lt;1,B707&gt;5,B707&lt;&gt;INT(B707)),"违规：加仓序号须为1到5的整数",IF(COUNTIFS($A$2:$A$1001,A707,$B$2:$B$1001,B707)&gt;1,"违规：同一交易的加仓序号重复",IF(OR(D707="",E707="",F707=""),"计划不完整：请填写加仓价、新止损价和风险预算",IF(OR(D707&lt;=0,E707&lt;=0,F707&lt;=0,D707&lt;=E707),"违规：加仓价必须高于新止损价，金额须大于0",IF(AND(B707&gt;1,COUNTIFS($A$2:$A$1001,A707,$B$2:$B$1001,B707-1,$G$2:$G$1001,"&gt;0")=0),"违规：须先完成上一次加仓",IF(AND(B707&gt;1,E707&lt;SUMIFS($E$2:$E$1001,$A$2:$A$1001,A707,$B$2:$B$1001,B707-1)),"违规：新止损价不得低于上一次",IF(AND(B707&gt;1,F707&gt;SUMIFS($F$2:$F$1001,$A$2:$A$1001,A707,$B$2:$B$1001,B707-1)),"违规：风险预算须逐次不增加",IF(OR(_LockStatus="已锁仓",_LockStatus="解锁信息不完整"),"违规：锁仓期间禁止加仓",IF(G707="","计划可执行：建议股数见N列",IF(OR(G707&lt;=0,G707&lt;&gt;INT(G707),MOD(G707,100)&lt;&gt;0),"违规：实际股数须为100股整数倍",IF(G707&gt;N707,"违规：实际股数超过风险或金字塔上限",IF(AND(B707&gt;1,G707&gt;SUMIFS($G$2:$G$1001,$A$2:$A$1001,A707,$B$2:$B$1001,B707-1)),"违规：加仓股数须逐次不增加",IF(Q707&gt;F707,"违规：止损风险超过本次预算","通过")))))))))))))))</f>
        <v/>
      </c>
    </row>
    <row r="708" customFormat="false" ht="15" hidden="false" customHeight="false" outlineLevel="0" collapsed="false">
      <c r="A708" s="20"/>
      <c r="B708" s="21"/>
      <c r="C708" s="22"/>
      <c r="D708" s="23"/>
      <c r="E708" s="23"/>
      <c r="F708" s="23"/>
      <c r="G708" s="21"/>
      <c r="H708" s="24" t="str">
        <f aca="false">IF(OR(A708="",D708="",G708=""),"",D708*G708)</f>
        <v/>
      </c>
      <c r="I708" s="25" t="str">
        <f aca="false">IF(OR(A708="",B708=""),"",IFERROR(LOOKUP(2,1/(单次交易!$A$2:$A$201=A708),单次交易!$H$2:$H$201),0)+SUMIFS($G$2:$G$1001,$A$2:$A$1001,A708,$B$2:$B$1001,"&lt;"&amp;B708))</f>
        <v/>
      </c>
      <c r="J708" s="24" t="str">
        <f aca="false">IF(OR(A708="",B708=""),"",IFERROR(LOOKUP(2,1/(单次交易!$A$2:$A$201=A708),单次交易!$E$2:$E$201)*LOOKUP(2,1/(单次交易!$A$2:$A$201=A708),单次交易!$H$2:$H$201),0)+SUMIFS($H$2:$H$1001,$A$2:$A$1001,A708,$B$2:$B$1001,"&lt;"&amp;B708))</f>
        <v/>
      </c>
      <c r="K708" s="24" t="str">
        <f aca="false">IF(OR(E708="",I708="",J708=""),"",MAX(E708*I708-J708,0))</f>
        <v/>
      </c>
      <c r="L708" s="25" t="str">
        <f aca="false">IF(OR(D708="",E708="",F708="",D708&lt;=E708),"",FLOOR((F708+K708)/(D708-E708),100))</f>
        <v/>
      </c>
      <c r="M708" s="25" t="str">
        <f aca="false">IF(OR(A708="",B708="",L708=""),"",IF(B708=1,L708,IFERROR(SUMIFS($G$2:$G$1001,$A$2:$A$1001,A708,$B$2:$B$1001,B708-1),0)))</f>
        <v/>
      </c>
      <c r="N708" s="25" t="str">
        <f aca="false">IF(OR(L708="",M708=""),"",MIN(L708,M708))</f>
        <v/>
      </c>
      <c r="O708" s="25" t="str">
        <f aca="false">IF(OR(I708="",G708=""),"",I708+G708)</f>
        <v/>
      </c>
      <c r="P708" s="24" t="str">
        <f aca="false">IF(OR(O708="",O708=0),"",(J708+H708)/O708)</f>
        <v/>
      </c>
      <c r="Q708" s="24" t="str">
        <f aca="false">IF(OR(O708="",E708=""),"",MAX(J708+H708-E708*O708,0))</f>
        <v/>
      </c>
      <c r="R708" s="26" t="str">
        <f aca="false">IF(A708="","",IF(COUNTIF(_TradeIds,A708)=0,"违规：交易编号不存在",IF(OR(B708="",B708&lt;1,B708&gt;5,B708&lt;&gt;INT(B708)),"违规：加仓序号须为1到5的整数",IF(COUNTIFS($A$2:$A$1001,A708,$B$2:$B$1001,B708)&gt;1,"违规：同一交易的加仓序号重复",IF(OR(D708="",E708="",F708=""),"计划不完整：请填写加仓价、新止损价和风险预算",IF(OR(D708&lt;=0,E708&lt;=0,F708&lt;=0,D708&lt;=E708),"违规：加仓价必须高于新止损价，金额须大于0",IF(AND(B708&gt;1,COUNTIFS($A$2:$A$1001,A708,$B$2:$B$1001,B708-1,$G$2:$G$1001,"&gt;0")=0),"违规：须先完成上一次加仓",IF(AND(B708&gt;1,E708&lt;SUMIFS($E$2:$E$1001,$A$2:$A$1001,A708,$B$2:$B$1001,B708-1)),"违规：新止损价不得低于上一次",IF(AND(B708&gt;1,F708&gt;SUMIFS($F$2:$F$1001,$A$2:$A$1001,A708,$B$2:$B$1001,B708-1)),"违规：风险预算须逐次不增加",IF(OR(_LockStatus="已锁仓",_LockStatus="解锁信息不完整"),"违规：锁仓期间禁止加仓",IF(G708="","计划可执行：建议股数见N列",IF(OR(G708&lt;=0,G708&lt;&gt;INT(G708),MOD(G708,100)&lt;&gt;0),"违规：实际股数须为100股整数倍",IF(G708&gt;N708,"违规：实际股数超过风险或金字塔上限",IF(AND(B708&gt;1,G708&gt;SUMIFS($G$2:$G$1001,$A$2:$A$1001,A708,$B$2:$B$1001,B708-1)),"违规：加仓股数须逐次不增加",IF(Q708&gt;F708,"违规：止损风险超过本次预算","通过")))))))))))))))</f>
        <v/>
      </c>
    </row>
    <row r="709" customFormat="false" ht="15" hidden="false" customHeight="false" outlineLevel="0" collapsed="false">
      <c r="A709" s="20"/>
      <c r="B709" s="21"/>
      <c r="C709" s="22"/>
      <c r="D709" s="23"/>
      <c r="E709" s="23"/>
      <c r="F709" s="23"/>
      <c r="G709" s="21"/>
      <c r="H709" s="24" t="str">
        <f aca="false">IF(OR(A709="",D709="",G709=""),"",D709*G709)</f>
        <v/>
      </c>
      <c r="I709" s="25" t="str">
        <f aca="false">IF(OR(A709="",B709=""),"",IFERROR(LOOKUP(2,1/(单次交易!$A$2:$A$201=A709),单次交易!$H$2:$H$201),0)+SUMIFS($G$2:$G$1001,$A$2:$A$1001,A709,$B$2:$B$1001,"&lt;"&amp;B709))</f>
        <v/>
      </c>
      <c r="J709" s="24" t="str">
        <f aca="false">IF(OR(A709="",B709=""),"",IFERROR(LOOKUP(2,1/(单次交易!$A$2:$A$201=A709),单次交易!$E$2:$E$201)*LOOKUP(2,1/(单次交易!$A$2:$A$201=A709),单次交易!$H$2:$H$201),0)+SUMIFS($H$2:$H$1001,$A$2:$A$1001,A709,$B$2:$B$1001,"&lt;"&amp;B709))</f>
        <v/>
      </c>
      <c r="K709" s="24" t="str">
        <f aca="false">IF(OR(E709="",I709="",J709=""),"",MAX(E709*I709-J709,0))</f>
        <v/>
      </c>
      <c r="L709" s="25" t="str">
        <f aca="false">IF(OR(D709="",E709="",F709="",D709&lt;=E709),"",FLOOR((F709+K709)/(D709-E709),100))</f>
        <v/>
      </c>
      <c r="M709" s="25" t="str">
        <f aca="false">IF(OR(A709="",B709="",L709=""),"",IF(B709=1,L709,IFERROR(SUMIFS($G$2:$G$1001,$A$2:$A$1001,A709,$B$2:$B$1001,B709-1),0)))</f>
        <v/>
      </c>
      <c r="N709" s="25" t="str">
        <f aca="false">IF(OR(L709="",M709=""),"",MIN(L709,M709))</f>
        <v/>
      </c>
      <c r="O709" s="25" t="str">
        <f aca="false">IF(OR(I709="",G709=""),"",I709+G709)</f>
        <v/>
      </c>
      <c r="P709" s="24" t="str">
        <f aca="false">IF(OR(O709="",O709=0),"",(J709+H709)/O709)</f>
        <v/>
      </c>
      <c r="Q709" s="24" t="str">
        <f aca="false">IF(OR(O709="",E709=""),"",MAX(J709+H709-E709*O709,0))</f>
        <v/>
      </c>
      <c r="R709" s="26" t="str">
        <f aca="false">IF(A709="","",IF(COUNTIF(_TradeIds,A709)=0,"违规：交易编号不存在",IF(OR(B709="",B709&lt;1,B709&gt;5,B709&lt;&gt;INT(B709)),"违规：加仓序号须为1到5的整数",IF(COUNTIFS($A$2:$A$1001,A709,$B$2:$B$1001,B709)&gt;1,"违规：同一交易的加仓序号重复",IF(OR(D709="",E709="",F709=""),"计划不完整：请填写加仓价、新止损价和风险预算",IF(OR(D709&lt;=0,E709&lt;=0,F709&lt;=0,D709&lt;=E709),"违规：加仓价必须高于新止损价，金额须大于0",IF(AND(B709&gt;1,COUNTIFS($A$2:$A$1001,A709,$B$2:$B$1001,B709-1,$G$2:$G$1001,"&gt;0")=0),"违规：须先完成上一次加仓",IF(AND(B709&gt;1,E709&lt;SUMIFS($E$2:$E$1001,$A$2:$A$1001,A709,$B$2:$B$1001,B709-1)),"违规：新止损价不得低于上一次",IF(AND(B709&gt;1,F709&gt;SUMIFS($F$2:$F$1001,$A$2:$A$1001,A709,$B$2:$B$1001,B709-1)),"违规：风险预算须逐次不增加",IF(OR(_LockStatus="已锁仓",_LockStatus="解锁信息不完整"),"违规：锁仓期间禁止加仓",IF(G709="","计划可执行：建议股数见N列",IF(OR(G709&lt;=0,G709&lt;&gt;INT(G709),MOD(G709,100)&lt;&gt;0),"违规：实际股数须为100股整数倍",IF(G709&gt;N709,"违规：实际股数超过风险或金字塔上限",IF(AND(B709&gt;1,G709&gt;SUMIFS($G$2:$G$1001,$A$2:$A$1001,A709,$B$2:$B$1001,B709-1)),"违规：加仓股数须逐次不增加",IF(Q709&gt;F709,"违规：止损风险超过本次预算","通过")))))))))))))))</f>
        <v/>
      </c>
    </row>
    <row r="710" customFormat="false" ht="15" hidden="false" customHeight="false" outlineLevel="0" collapsed="false">
      <c r="A710" s="20"/>
      <c r="B710" s="21"/>
      <c r="C710" s="22"/>
      <c r="D710" s="23"/>
      <c r="E710" s="23"/>
      <c r="F710" s="23"/>
      <c r="G710" s="21"/>
      <c r="H710" s="24" t="str">
        <f aca="false">IF(OR(A710="",D710="",G710=""),"",D710*G710)</f>
        <v/>
      </c>
      <c r="I710" s="25" t="str">
        <f aca="false">IF(OR(A710="",B710=""),"",IFERROR(LOOKUP(2,1/(单次交易!$A$2:$A$201=A710),单次交易!$H$2:$H$201),0)+SUMIFS($G$2:$G$1001,$A$2:$A$1001,A710,$B$2:$B$1001,"&lt;"&amp;B710))</f>
        <v/>
      </c>
      <c r="J710" s="24" t="str">
        <f aca="false">IF(OR(A710="",B710=""),"",IFERROR(LOOKUP(2,1/(单次交易!$A$2:$A$201=A710),单次交易!$E$2:$E$201)*LOOKUP(2,1/(单次交易!$A$2:$A$201=A710),单次交易!$H$2:$H$201),0)+SUMIFS($H$2:$H$1001,$A$2:$A$1001,A710,$B$2:$B$1001,"&lt;"&amp;B710))</f>
        <v/>
      </c>
      <c r="K710" s="24" t="str">
        <f aca="false">IF(OR(E710="",I710="",J710=""),"",MAX(E710*I710-J710,0))</f>
        <v/>
      </c>
      <c r="L710" s="25" t="str">
        <f aca="false">IF(OR(D710="",E710="",F710="",D710&lt;=E710),"",FLOOR((F710+K710)/(D710-E710),100))</f>
        <v/>
      </c>
      <c r="M710" s="25" t="str">
        <f aca="false">IF(OR(A710="",B710="",L710=""),"",IF(B710=1,L710,IFERROR(SUMIFS($G$2:$G$1001,$A$2:$A$1001,A710,$B$2:$B$1001,B710-1),0)))</f>
        <v/>
      </c>
      <c r="N710" s="25" t="str">
        <f aca="false">IF(OR(L710="",M710=""),"",MIN(L710,M710))</f>
        <v/>
      </c>
      <c r="O710" s="25" t="str">
        <f aca="false">IF(OR(I710="",G710=""),"",I710+G710)</f>
        <v/>
      </c>
      <c r="P710" s="24" t="str">
        <f aca="false">IF(OR(O710="",O710=0),"",(J710+H710)/O710)</f>
        <v/>
      </c>
      <c r="Q710" s="24" t="str">
        <f aca="false">IF(OR(O710="",E710=""),"",MAX(J710+H710-E710*O710,0))</f>
        <v/>
      </c>
      <c r="R710" s="26" t="str">
        <f aca="false">IF(A710="","",IF(COUNTIF(_TradeIds,A710)=0,"违规：交易编号不存在",IF(OR(B710="",B710&lt;1,B710&gt;5,B710&lt;&gt;INT(B710)),"违规：加仓序号须为1到5的整数",IF(COUNTIFS($A$2:$A$1001,A710,$B$2:$B$1001,B710)&gt;1,"违规：同一交易的加仓序号重复",IF(OR(D710="",E710="",F710=""),"计划不完整：请填写加仓价、新止损价和风险预算",IF(OR(D710&lt;=0,E710&lt;=0,F710&lt;=0,D710&lt;=E710),"违规：加仓价必须高于新止损价，金额须大于0",IF(AND(B710&gt;1,COUNTIFS($A$2:$A$1001,A710,$B$2:$B$1001,B710-1,$G$2:$G$1001,"&gt;0")=0),"违规：须先完成上一次加仓",IF(AND(B710&gt;1,E710&lt;SUMIFS($E$2:$E$1001,$A$2:$A$1001,A710,$B$2:$B$1001,B710-1)),"违规：新止损价不得低于上一次",IF(AND(B710&gt;1,F710&gt;SUMIFS($F$2:$F$1001,$A$2:$A$1001,A710,$B$2:$B$1001,B710-1)),"违规：风险预算须逐次不增加",IF(OR(_LockStatus="已锁仓",_LockStatus="解锁信息不完整"),"违规：锁仓期间禁止加仓",IF(G710="","计划可执行：建议股数见N列",IF(OR(G710&lt;=0,G710&lt;&gt;INT(G710),MOD(G710,100)&lt;&gt;0),"违规：实际股数须为100股整数倍",IF(G710&gt;N710,"违规：实际股数超过风险或金字塔上限",IF(AND(B710&gt;1,G710&gt;SUMIFS($G$2:$G$1001,$A$2:$A$1001,A710,$B$2:$B$1001,B710-1)),"违规：加仓股数须逐次不增加",IF(Q710&gt;F710,"违规：止损风险超过本次预算","通过")))))))))))))))</f>
        <v/>
      </c>
    </row>
    <row r="711" customFormat="false" ht="15" hidden="false" customHeight="false" outlineLevel="0" collapsed="false">
      <c r="A711" s="20"/>
      <c r="B711" s="21"/>
      <c r="C711" s="22"/>
      <c r="D711" s="23"/>
      <c r="E711" s="23"/>
      <c r="F711" s="23"/>
      <c r="G711" s="21"/>
      <c r="H711" s="24" t="str">
        <f aca="false">IF(OR(A711="",D711="",G711=""),"",D711*G711)</f>
        <v/>
      </c>
      <c r="I711" s="25" t="str">
        <f aca="false">IF(OR(A711="",B711=""),"",IFERROR(LOOKUP(2,1/(单次交易!$A$2:$A$201=A711),单次交易!$H$2:$H$201),0)+SUMIFS($G$2:$G$1001,$A$2:$A$1001,A711,$B$2:$B$1001,"&lt;"&amp;B711))</f>
        <v/>
      </c>
      <c r="J711" s="24" t="str">
        <f aca="false">IF(OR(A711="",B711=""),"",IFERROR(LOOKUP(2,1/(单次交易!$A$2:$A$201=A711),单次交易!$E$2:$E$201)*LOOKUP(2,1/(单次交易!$A$2:$A$201=A711),单次交易!$H$2:$H$201),0)+SUMIFS($H$2:$H$1001,$A$2:$A$1001,A711,$B$2:$B$1001,"&lt;"&amp;B711))</f>
        <v/>
      </c>
      <c r="K711" s="24" t="str">
        <f aca="false">IF(OR(E711="",I711="",J711=""),"",MAX(E711*I711-J711,0))</f>
        <v/>
      </c>
      <c r="L711" s="25" t="str">
        <f aca="false">IF(OR(D711="",E711="",F711="",D711&lt;=E711),"",FLOOR((F711+K711)/(D711-E711),100))</f>
        <v/>
      </c>
      <c r="M711" s="25" t="str">
        <f aca="false">IF(OR(A711="",B711="",L711=""),"",IF(B711=1,L711,IFERROR(SUMIFS($G$2:$G$1001,$A$2:$A$1001,A711,$B$2:$B$1001,B711-1),0)))</f>
        <v/>
      </c>
      <c r="N711" s="25" t="str">
        <f aca="false">IF(OR(L711="",M711=""),"",MIN(L711,M711))</f>
        <v/>
      </c>
      <c r="O711" s="25" t="str">
        <f aca="false">IF(OR(I711="",G711=""),"",I711+G711)</f>
        <v/>
      </c>
      <c r="P711" s="24" t="str">
        <f aca="false">IF(OR(O711="",O711=0),"",(J711+H711)/O711)</f>
        <v/>
      </c>
      <c r="Q711" s="24" t="str">
        <f aca="false">IF(OR(O711="",E711=""),"",MAX(J711+H711-E711*O711,0))</f>
        <v/>
      </c>
      <c r="R711" s="26" t="str">
        <f aca="false">IF(A711="","",IF(COUNTIF(_TradeIds,A711)=0,"违规：交易编号不存在",IF(OR(B711="",B711&lt;1,B711&gt;5,B711&lt;&gt;INT(B711)),"违规：加仓序号须为1到5的整数",IF(COUNTIFS($A$2:$A$1001,A711,$B$2:$B$1001,B711)&gt;1,"违规：同一交易的加仓序号重复",IF(OR(D711="",E711="",F711=""),"计划不完整：请填写加仓价、新止损价和风险预算",IF(OR(D711&lt;=0,E711&lt;=0,F711&lt;=0,D711&lt;=E711),"违规：加仓价必须高于新止损价，金额须大于0",IF(AND(B711&gt;1,COUNTIFS($A$2:$A$1001,A711,$B$2:$B$1001,B711-1,$G$2:$G$1001,"&gt;0")=0),"违规：须先完成上一次加仓",IF(AND(B711&gt;1,E711&lt;SUMIFS($E$2:$E$1001,$A$2:$A$1001,A711,$B$2:$B$1001,B711-1)),"违规：新止损价不得低于上一次",IF(AND(B711&gt;1,F711&gt;SUMIFS($F$2:$F$1001,$A$2:$A$1001,A711,$B$2:$B$1001,B711-1)),"违规：风险预算须逐次不增加",IF(OR(_LockStatus="已锁仓",_LockStatus="解锁信息不完整"),"违规：锁仓期间禁止加仓",IF(G711="","计划可执行：建议股数见N列",IF(OR(G711&lt;=0,G711&lt;&gt;INT(G711),MOD(G711,100)&lt;&gt;0),"违规：实际股数须为100股整数倍",IF(G711&gt;N711,"违规：实际股数超过风险或金字塔上限",IF(AND(B711&gt;1,G711&gt;SUMIFS($G$2:$G$1001,$A$2:$A$1001,A711,$B$2:$B$1001,B711-1)),"违规：加仓股数须逐次不增加",IF(Q711&gt;F711,"违规：止损风险超过本次预算","通过")))))))))))))))</f>
        <v/>
      </c>
    </row>
    <row r="712" customFormat="false" ht="15" hidden="false" customHeight="false" outlineLevel="0" collapsed="false">
      <c r="A712" s="20"/>
      <c r="B712" s="21"/>
      <c r="C712" s="22"/>
      <c r="D712" s="23"/>
      <c r="E712" s="23"/>
      <c r="F712" s="23"/>
      <c r="G712" s="21"/>
      <c r="H712" s="24" t="str">
        <f aca="false">IF(OR(A712="",D712="",G712=""),"",D712*G712)</f>
        <v/>
      </c>
      <c r="I712" s="25" t="str">
        <f aca="false">IF(OR(A712="",B712=""),"",IFERROR(LOOKUP(2,1/(单次交易!$A$2:$A$201=A712),单次交易!$H$2:$H$201),0)+SUMIFS($G$2:$G$1001,$A$2:$A$1001,A712,$B$2:$B$1001,"&lt;"&amp;B712))</f>
        <v/>
      </c>
      <c r="J712" s="24" t="str">
        <f aca="false">IF(OR(A712="",B712=""),"",IFERROR(LOOKUP(2,1/(单次交易!$A$2:$A$201=A712),单次交易!$E$2:$E$201)*LOOKUP(2,1/(单次交易!$A$2:$A$201=A712),单次交易!$H$2:$H$201),0)+SUMIFS($H$2:$H$1001,$A$2:$A$1001,A712,$B$2:$B$1001,"&lt;"&amp;B712))</f>
        <v/>
      </c>
      <c r="K712" s="24" t="str">
        <f aca="false">IF(OR(E712="",I712="",J712=""),"",MAX(E712*I712-J712,0))</f>
        <v/>
      </c>
      <c r="L712" s="25" t="str">
        <f aca="false">IF(OR(D712="",E712="",F712="",D712&lt;=E712),"",FLOOR((F712+K712)/(D712-E712),100))</f>
        <v/>
      </c>
      <c r="M712" s="25" t="str">
        <f aca="false">IF(OR(A712="",B712="",L712=""),"",IF(B712=1,L712,IFERROR(SUMIFS($G$2:$G$1001,$A$2:$A$1001,A712,$B$2:$B$1001,B712-1),0)))</f>
        <v/>
      </c>
      <c r="N712" s="25" t="str">
        <f aca="false">IF(OR(L712="",M712=""),"",MIN(L712,M712))</f>
        <v/>
      </c>
      <c r="O712" s="25" t="str">
        <f aca="false">IF(OR(I712="",G712=""),"",I712+G712)</f>
        <v/>
      </c>
      <c r="P712" s="24" t="str">
        <f aca="false">IF(OR(O712="",O712=0),"",(J712+H712)/O712)</f>
        <v/>
      </c>
      <c r="Q712" s="24" t="str">
        <f aca="false">IF(OR(O712="",E712=""),"",MAX(J712+H712-E712*O712,0))</f>
        <v/>
      </c>
      <c r="R712" s="26" t="str">
        <f aca="false">IF(A712="","",IF(COUNTIF(_TradeIds,A712)=0,"违规：交易编号不存在",IF(OR(B712="",B712&lt;1,B712&gt;5,B712&lt;&gt;INT(B712)),"违规：加仓序号须为1到5的整数",IF(COUNTIFS($A$2:$A$1001,A712,$B$2:$B$1001,B712)&gt;1,"违规：同一交易的加仓序号重复",IF(OR(D712="",E712="",F712=""),"计划不完整：请填写加仓价、新止损价和风险预算",IF(OR(D712&lt;=0,E712&lt;=0,F712&lt;=0,D712&lt;=E712),"违规：加仓价必须高于新止损价，金额须大于0",IF(AND(B712&gt;1,COUNTIFS($A$2:$A$1001,A712,$B$2:$B$1001,B712-1,$G$2:$G$1001,"&gt;0")=0),"违规：须先完成上一次加仓",IF(AND(B712&gt;1,E712&lt;SUMIFS($E$2:$E$1001,$A$2:$A$1001,A712,$B$2:$B$1001,B712-1)),"违规：新止损价不得低于上一次",IF(AND(B712&gt;1,F712&gt;SUMIFS($F$2:$F$1001,$A$2:$A$1001,A712,$B$2:$B$1001,B712-1)),"违规：风险预算须逐次不增加",IF(OR(_LockStatus="已锁仓",_LockStatus="解锁信息不完整"),"违规：锁仓期间禁止加仓",IF(G712="","计划可执行：建议股数见N列",IF(OR(G712&lt;=0,G712&lt;&gt;INT(G712),MOD(G712,100)&lt;&gt;0),"违规：实际股数须为100股整数倍",IF(G712&gt;N712,"违规：实际股数超过风险或金字塔上限",IF(AND(B712&gt;1,G712&gt;SUMIFS($G$2:$G$1001,$A$2:$A$1001,A712,$B$2:$B$1001,B712-1)),"违规：加仓股数须逐次不增加",IF(Q712&gt;F712,"违规：止损风险超过本次预算","通过")))))))))))))))</f>
        <v/>
      </c>
    </row>
    <row r="713" customFormat="false" ht="15" hidden="false" customHeight="false" outlineLevel="0" collapsed="false">
      <c r="A713" s="20"/>
      <c r="B713" s="21"/>
      <c r="C713" s="22"/>
      <c r="D713" s="23"/>
      <c r="E713" s="23"/>
      <c r="F713" s="23"/>
      <c r="G713" s="21"/>
      <c r="H713" s="24" t="str">
        <f aca="false">IF(OR(A713="",D713="",G713=""),"",D713*G713)</f>
        <v/>
      </c>
      <c r="I713" s="25" t="str">
        <f aca="false">IF(OR(A713="",B713=""),"",IFERROR(LOOKUP(2,1/(单次交易!$A$2:$A$201=A713),单次交易!$H$2:$H$201),0)+SUMIFS($G$2:$G$1001,$A$2:$A$1001,A713,$B$2:$B$1001,"&lt;"&amp;B713))</f>
        <v/>
      </c>
      <c r="J713" s="24" t="str">
        <f aca="false">IF(OR(A713="",B713=""),"",IFERROR(LOOKUP(2,1/(单次交易!$A$2:$A$201=A713),单次交易!$E$2:$E$201)*LOOKUP(2,1/(单次交易!$A$2:$A$201=A713),单次交易!$H$2:$H$201),0)+SUMIFS($H$2:$H$1001,$A$2:$A$1001,A713,$B$2:$B$1001,"&lt;"&amp;B713))</f>
        <v/>
      </c>
      <c r="K713" s="24" t="str">
        <f aca="false">IF(OR(E713="",I713="",J713=""),"",MAX(E713*I713-J713,0))</f>
        <v/>
      </c>
      <c r="L713" s="25" t="str">
        <f aca="false">IF(OR(D713="",E713="",F713="",D713&lt;=E713),"",FLOOR((F713+K713)/(D713-E713),100))</f>
        <v/>
      </c>
      <c r="M713" s="25" t="str">
        <f aca="false">IF(OR(A713="",B713="",L713=""),"",IF(B713=1,L713,IFERROR(SUMIFS($G$2:$G$1001,$A$2:$A$1001,A713,$B$2:$B$1001,B713-1),0)))</f>
        <v/>
      </c>
      <c r="N713" s="25" t="str">
        <f aca="false">IF(OR(L713="",M713=""),"",MIN(L713,M713))</f>
        <v/>
      </c>
      <c r="O713" s="25" t="str">
        <f aca="false">IF(OR(I713="",G713=""),"",I713+G713)</f>
        <v/>
      </c>
      <c r="P713" s="24" t="str">
        <f aca="false">IF(OR(O713="",O713=0),"",(J713+H713)/O713)</f>
        <v/>
      </c>
      <c r="Q713" s="24" t="str">
        <f aca="false">IF(OR(O713="",E713=""),"",MAX(J713+H713-E713*O713,0))</f>
        <v/>
      </c>
      <c r="R713" s="26" t="str">
        <f aca="false">IF(A713="","",IF(COUNTIF(_TradeIds,A713)=0,"违规：交易编号不存在",IF(OR(B713="",B713&lt;1,B713&gt;5,B713&lt;&gt;INT(B713)),"违规：加仓序号须为1到5的整数",IF(COUNTIFS($A$2:$A$1001,A713,$B$2:$B$1001,B713)&gt;1,"违规：同一交易的加仓序号重复",IF(OR(D713="",E713="",F713=""),"计划不完整：请填写加仓价、新止损价和风险预算",IF(OR(D713&lt;=0,E713&lt;=0,F713&lt;=0,D713&lt;=E713),"违规：加仓价必须高于新止损价，金额须大于0",IF(AND(B713&gt;1,COUNTIFS($A$2:$A$1001,A713,$B$2:$B$1001,B713-1,$G$2:$G$1001,"&gt;0")=0),"违规：须先完成上一次加仓",IF(AND(B713&gt;1,E713&lt;SUMIFS($E$2:$E$1001,$A$2:$A$1001,A713,$B$2:$B$1001,B713-1)),"违规：新止损价不得低于上一次",IF(AND(B713&gt;1,F713&gt;SUMIFS($F$2:$F$1001,$A$2:$A$1001,A713,$B$2:$B$1001,B713-1)),"违规：风险预算须逐次不增加",IF(OR(_LockStatus="已锁仓",_LockStatus="解锁信息不完整"),"违规：锁仓期间禁止加仓",IF(G713="","计划可执行：建议股数见N列",IF(OR(G713&lt;=0,G713&lt;&gt;INT(G713),MOD(G713,100)&lt;&gt;0),"违规：实际股数须为100股整数倍",IF(G713&gt;N713,"违规：实际股数超过风险或金字塔上限",IF(AND(B713&gt;1,G713&gt;SUMIFS($G$2:$G$1001,$A$2:$A$1001,A713,$B$2:$B$1001,B713-1)),"违规：加仓股数须逐次不增加",IF(Q713&gt;F713,"违规：止损风险超过本次预算","通过")))))))))))))))</f>
        <v/>
      </c>
    </row>
    <row r="714" customFormat="false" ht="15" hidden="false" customHeight="false" outlineLevel="0" collapsed="false">
      <c r="A714" s="20"/>
      <c r="B714" s="21"/>
      <c r="C714" s="22"/>
      <c r="D714" s="23"/>
      <c r="E714" s="23"/>
      <c r="F714" s="23"/>
      <c r="G714" s="21"/>
      <c r="H714" s="24" t="str">
        <f aca="false">IF(OR(A714="",D714="",G714=""),"",D714*G714)</f>
        <v/>
      </c>
      <c r="I714" s="25" t="str">
        <f aca="false">IF(OR(A714="",B714=""),"",IFERROR(LOOKUP(2,1/(单次交易!$A$2:$A$201=A714),单次交易!$H$2:$H$201),0)+SUMIFS($G$2:$G$1001,$A$2:$A$1001,A714,$B$2:$B$1001,"&lt;"&amp;B714))</f>
        <v/>
      </c>
      <c r="J714" s="24" t="str">
        <f aca="false">IF(OR(A714="",B714=""),"",IFERROR(LOOKUP(2,1/(单次交易!$A$2:$A$201=A714),单次交易!$E$2:$E$201)*LOOKUP(2,1/(单次交易!$A$2:$A$201=A714),单次交易!$H$2:$H$201),0)+SUMIFS($H$2:$H$1001,$A$2:$A$1001,A714,$B$2:$B$1001,"&lt;"&amp;B714))</f>
        <v/>
      </c>
      <c r="K714" s="24" t="str">
        <f aca="false">IF(OR(E714="",I714="",J714=""),"",MAX(E714*I714-J714,0))</f>
        <v/>
      </c>
      <c r="L714" s="25" t="str">
        <f aca="false">IF(OR(D714="",E714="",F714="",D714&lt;=E714),"",FLOOR((F714+K714)/(D714-E714),100))</f>
        <v/>
      </c>
      <c r="M714" s="25" t="str">
        <f aca="false">IF(OR(A714="",B714="",L714=""),"",IF(B714=1,L714,IFERROR(SUMIFS($G$2:$G$1001,$A$2:$A$1001,A714,$B$2:$B$1001,B714-1),0)))</f>
        <v/>
      </c>
      <c r="N714" s="25" t="str">
        <f aca="false">IF(OR(L714="",M714=""),"",MIN(L714,M714))</f>
        <v/>
      </c>
      <c r="O714" s="25" t="str">
        <f aca="false">IF(OR(I714="",G714=""),"",I714+G714)</f>
        <v/>
      </c>
      <c r="P714" s="24" t="str">
        <f aca="false">IF(OR(O714="",O714=0),"",(J714+H714)/O714)</f>
        <v/>
      </c>
      <c r="Q714" s="24" t="str">
        <f aca="false">IF(OR(O714="",E714=""),"",MAX(J714+H714-E714*O714,0))</f>
        <v/>
      </c>
      <c r="R714" s="26" t="str">
        <f aca="false">IF(A714="","",IF(COUNTIF(_TradeIds,A714)=0,"违规：交易编号不存在",IF(OR(B714="",B714&lt;1,B714&gt;5,B714&lt;&gt;INT(B714)),"违规：加仓序号须为1到5的整数",IF(COUNTIFS($A$2:$A$1001,A714,$B$2:$B$1001,B714)&gt;1,"违规：同一交易的加仓序号重复",IF(OR(D714="",E714="",F714=""),"计划不完整：请填写加仓价、新止损价和风险预算",IF(OR(D714&lt;=0,E714&lt;=0,F714&lt;=0,D714&lt;=E714),"违规：加仓价必须高于新止损价，金额须大于0",IF(AND(B714&gt;1,COUNTIFS($A$2:$A$1001,A714,$B$2:$B$1001,B714-1,$G$2:$G$1001,"&gt;0")=0),"违规：须先完成上一次加仓",IF(AND(B714&gt;1,E714&lt;SUMIFS($E$2:$E$1001,$A$2:$A$1001,A714,$B$2:$B$1001,B714-1)),"违规：新止损价不得低于上一次",IF(AND(B714&gt;1,F714&gt;SUMIFS($F$2:$F$1001,$A$2:$A$1001,A714,$B$2:$B$1001,B714-1)),"违规：风险预算须逐次不增加",IF(OR(_LockStatus="已锁仓",_LockStatus="解锁信息不完整"),"违规：锁仓期间禁止加仓",IF(G714="","计划可执行：建议股数见N列",IF(OR(G714&lt;=0,G714&lt;&gt;INT(G714),MOD(G714,100)&lt;&gt;0),"违规：实际股数须为100股整数倍",IF(G714&gt;N714,"违规：实际股数超过风险或金字塔上限",IF(AND(B714&gt;1,G714&gt;SUMIFS($G$2:$G$1001,$A$2:$A$1001,A714,$B$2:$B$1001,B714-1)),"违规：加仓股数须逐次不增加",IF(Q714&gt;F714,"违规：止损风险超过本次预算","通过")))))))))))))))</f>
        <v/>
      </c>
    </row>
    <row r="715" customFormat="false" ht="15" hidden="false" customHeight="false" outlineLevel="0" collapsed="false">
      <c r="A715" s="20"/>
      <c r="B715" s="21"/>
      <c r="C715" s="22"/>
      <c r="D715" s="23"/>
      <c r="E715" s="23"/>
      <c r="F715" s="23"/>
      <c r="G715" s="21"/>
      <c r="H715" s="24" t="str">
        <f aca="false">IF(OR(A715="",D715="",G715=""),"",D715*G715)</f>
        <v/>
      </c>
      <c r="I715" s="25" t="str">
        <f aca="false">IF(OR(A715="",B715=""),"",IFERROR(LOOKUP(2,1/(单次交易!$A$2:$A$201=A715),单次交易!$H$2:$H$201),0)+SUMIFS($G$2:$G$1001,$A$2:$A$1001,A715,$B$2:$B$1001,"&lt;"&amp;B715))</f>
        <v/>
      </c>
      <c r="J715" s="24" t="str">
        <f aca="false">IF(OR(A715="",B715=""),"",IFERROR(LOOKUP(2,1/(单次交易!$A$2:$A$201=A715),单次交易!$E$2:$E$201)*LOOKUP(2,1/(单次交易!$A$2:$A$201=A715),单次交易!$H$2:$H$201),0)+SUMIFS($H$2:$H$1001,$A$2:$A$1001,A715,$B$2:$B$1001,"&lt;"&amp;B715))</f>
        <v/>
      </c>
      <c r="K715" s="24" t="str">
        <f aca="false">IF(OR(E715="",I715="",J715=""),"",MAX(E715*I715-J715,0))</f>
        <v/>
      </c>
      <c r="L715" s="25" t="str">
        <f aca="false">IF(OR(D715="",E715="",F715="",D715&lt;=E715),"",FLOOR((F715+K715)/(D715-E715),100))</f>
        <v/>
      </c>
      <c r="M715" s="25" t="str">
        <f aca="false">IF(OR(A715="",B715="",L715=""),"",IF(B715=1,L715,IFERROR(SUMIFS($G$2:$G$1001,$A$2:$A$1001,A715,$B$2:$B$1001,B715-1),0)))</f>
        <v/>
      </c>
      <c r="N715" s="25" t="str">
        <f aca="false">IF(OR(L715="",M715=""),"",MIN(L715,M715))</f>
        <v/>
      </c>
      <c r="O715" s="25" t="str">
        <f aca="false">IF(OR(I715="",G715=""),"",I715+G715)</f>
        <v/>
      </c>
      <c r="P715" s="24" t="str">
        <f aca="false">IF(OR(O715="",O715=0),"",(J715+H715)/O715)</f>
        <v/>
      </c>
      <c r="Q715" s="24" t="str">
        <f aca="false">IF(OR(O715="",E715=""),"",MAX(J715+H715-E715*O715,0))</f>
        <v/>
      </c>
      <c r="R715" s="26" t="str">
        <f aca="false">IF(A715="","",IF(COUNTIF(_TradeIds,A715)=0,"违规：交易编号不存在",IF(OR(B715="",B715&lt;1,B715&gt;5,B715&lt;&gt;INT(B715)),"违规：加仓序号须为1到5的整数",IF(COUNTIFS($A$2:$A$1001,A715,$B$2:$B$1001,B715)&gt;1,"违规：同一交易的加仓序号重复",IF(OR(D715="",E715="",F715=""),"计划不完整：请填写加仓价、新止损价和风险预算",IF(OR(D715&lt;=0,E715&lt;=0,F715&lt;=0,D715&lt;=E715),"违规：加仓价必须高于新止损价，金额须大于0",IF(AND(B715&gt;1,COUNTIFS($A$2:$A$1001,A715,$B$2:$B$1001,B715-1,$G$2:$G$1001,"&gt;0")=0),"违规：须先完成上一次加仓",IF(AND(B715&gt;1,E715&lt;SUMIFS($E$2:$E$1001,$A$2:$A$1001,A715,$B$2:$B$1001,B715-1)),"违规：新止损价不得低于上一次",IF(AND(B715&gt;1,F715&gt;SUMIFS($F$2:$F$1001,$A$2:$A$1001,A715,$B$2:$B$1001,B715-1)),"违规：风险预算须逐次不增加",IF(OR(_LockStatus="已锁仓",_LockStatus="解锁信息不完整"),"违规：锁仓期间禁止加仓",IF(G715="","计划可执行：建议股数见N列",IF(OR(G715&lt;=0,G715&lt;&gt;INT(G715),MOD(G715,100)&lt;&gt;0),"违规：实际股数须为100股整数倍",IF(G715&gt;N715,"违规：实际股数超过风险或金字塔上限",IF(AND(B715&gt;1,G715&gt;SUMIFS($G$2:$G$1001,$A$2:$A$1001,A715,$B$2:$B$1001,B715-1)),"违规：加仓股数须逐次不增加",IF(Q715&gt;F715,"违规：止损风险超过本次预算","通过")))))))))))))))</f>
        <v/>
      </c>
    </row>
    <row r="716" customFormat="false" ht="15" hidden="false" customHeight="false" outlineLevel="0" collapsed="false">
      <c r="A716" s="20"/>
      <c r="B716" s="21"/>
      <c r="C716" s="22"/>
      <c r="D716" s="23"/>
      <c r="E716" s="23"/>
      <c r="F716" s="23"/>
      <c r="G716" s="21"/>
      <c r="H716" s="24" t="str">
        <f aca="false">IF(OR(A716="",D716="",G716=""),"",D716*G716)</f>
        <v/>
      </c>
      <c r="I716" s="25" t="str">
        <f aca="false">IF(OR(A716="",B716=""),"",IFERROR(LOOKUP(2,1/(单次交易!$A$2:$A$201=A716),单次交易!$H$2:$H$201),0)+SUMIFS($G$2:$G$1001,$A$2:$A$1001,A716,$B$2:$B$1001,"&lt;"&amp;B716))</f>
        <v/>
      </c>
      <c r="J716" s="24" t="str">
        <f aca="false">IF(OR(A716="",B716=""),"",IFERROR(LOOKUP(2,1/(单次交易!$A$2:$A$201=A716),单次交易!$E$2:$E$201)*LOOKUP(2,1/(单次交易!$A$2:$A$201=A716),单次交易!$H$2:$H$201),0)+SUMIFS($H$2:$H$1001,$A$2:$A$1001,A716,$B$2:$B$1001,"&lt;"&amp;B716))</f>
        <v/>
      </c>
      <c r="K716" s="24" t="str">
        <f aca="false">IF(OR(E716="",I716="",J716=""),"",MAX(E716*I716-J716,0))</f>
        <v/>
      </c>
      <c r="L716" s="25" t="str">
        <f aca="false">IF(OR(D716="",E716="",F716="",D716&lt;=E716),"",FLOOR((F716+K716)/(D716-E716),100))</f>
        <v/>
      </c>
      <c r="M716" s="25" t="str">
        <f aca="false">IF(OR(A716="",B716="",L716=""),"",IF(B716=1,L716,IFERROR(SUMIFS($G$2:$G$1001,$A$2:$A$1001,A716,$B$2:$B$1001,B716-1),0)))</f>
        <v/>
      </c>
      <c r="N716" s="25" t="str">
        <f aca="false">IF(OR(L716="",M716=""),"",MIN(L716,M716))</f>
        <v/>
      </c>
      <c r="O716" s="25" t="str">
        <f aca="false">IF(OR(I716="",G716=""),"",I716+G716)</f>
        <v/>
      </c>
      <c r="P716" s="24" t="str">
        <f aca="false">IF(OR(O716="",O716=0),"",(J716+H716)/O716)</f>
        <v/>
      </c>
      <c r="Q716" s="24" t="str">
        <f aca="false">IF(OR(O716="",E716=""),"",MAX(J716+H716-E716*O716,0))</f>
        <v/>
      </c>
      <c r="R716" s="26" t="str">
        <f aca="false">IF(A716="","",IF(COUNTIF(_TradeIds,A716)=0,"违规：交易编号不存在",IF(OR(B716="",B716&lt;1,B716&gt;5,B716&lt;&gt;INT(B716)),"违规：加仓序号须为1到5的整数",IF(COUNTIFS($A$2:$A$1001,A716,$B$2:$B$1001,B716)&gt;1,"违规：同一交易的加仓序号重复",IF(OR(D716="",E716="",F716=""),"计划不完整：请填写加仓价、新止损价和风险预算",IF(OR(D716&lt;=0,E716&lt;=0,F716&lt;=0,D716&lt;=E716),"违规：加仓价必须高于新止损价，金额须大于0",IF(AND(B716&gt;1,COUNTIFS($A$2:$A$1001,A716,$B$2:$B$1001,B716-1,$G$2:$G$1001,"&gt;0")=0),"违规：须先完成上一次加仓",IF(AND(B716&gt;1,E716&lt;SUMIFS($E$2:$E$1001,$A$2:$A$1001,A716,$B$2:$B$1001,B716-1)),"违规：新止损价不得低于上一次",IF(AND(B716&gt;1,F716&gt;SUMIFS($F$2:$F$1001,$A$2:$A$1001,A716,$B$2:$B$1001,B716-1)),"违规：风险预算须逐次不增加",IF(OR(_LockStatus="已锁仓",_LockStatus="解锁信息不完整"),"违规：锁仓期间禁止加仓",IF(G716="","计划可执行：建议股数见N列",IF(OR(G716&lt;=0,G716&lt;&gt;INT(G716),MOD(G716,100)&lt;&gt;0),"违规：实际股数须为100股整数倍",IF(G716&gt;N716,"违规：实际股数超过风险或金字塔上限",IF(AND(B716&gt;1,G716&gt;SUMIFS($G$2:$G$1001,$A$2:$A$1001,A716,$B$2:$B$1001,B716-1)),"违规：加仓股数须逐次不增加",IF(Q716&gt;F716,"违规：止损风险超过本次预算","通过")))))))))))))))</f>
        <v/>
      </c>
    </row>
    <row r="717" customFormat="false" ht="15" hidden="false" customHeight="false" outlineLevel="0" collapsed="false">
      <c r="A717" s="20"/>
      <c r="B717" s="21"/>
      <c r="C717" s="22"/>
      <c r="D717" s="23"/>
      <c r="E717" s="23"/>
      <c r="F717" s="23"/>
      <c r="G717" s="21"/>
      <c r="H717" s="24" t="str">
        <f aca="false">IF(OR(A717="",D717="",G717=""),"",D717*G717)</f>
        <v/>
      </c>
      <c r="I717" s="25" t="str">
        <f aca="false">IF(OR(A717="",B717=""),"",IFERROR(LOOKUP(2,1/(单次交易!$A$2:$A$201=A717),单次交易!$H$2:$H$201),0)+SUMIFS($G$2:$G$1001,$A$2:$A$1001,A717,$B$2:$B$1001,"&lt;"&amp;B717))</f>
        <v/>
      </c>
      <c r="J717" s="24" t="str">
        <f aca="false">IF(OR(A717="",B717=""),"",IFERROR(LOOKUP(2,1/(单次交易!$A$2:$A$201=A717),单次交易!$E$2:$E$201)*LOOKUP(2,1/(单次交易!$A$2:$A$201=A717),单次交易!$H$2:$H$201),0)+SUMIFS($H$2:$H$1001,$A$2:$A$1001,A717,$B$2:$B$1001,"&lt;"&amp;B717))</f>
        <v/>
      </c>
      <c r="K717" s="24" t="str">
        <f aca="false">IF(OR(E717="",I717="",J717=""),"",MAX(E717*I717-J717,0))</f>
        <v/>
      </c>
      <c r="L717" s="25" t="str">
        <f aca="false">IF(OR(D717="",E717="",F717="",D717&lt;=E717),"",FLOOR((F717+K717)/(D717-E717),100))</f>
        <v/>
      </c>
      <c r="M717" s="25" t="str">
        <f aca="false">IF(OR(A717="",B717="",L717=""),"",IF(B717=1,L717,IFERROR(SUMIFS($G$2:$G$1001,$A$2:$A$1001,A717,$B$2:$B$1001,B717-1),0)))</f>
        <v/>
      </c>
      <c r="N717" s="25" t="str">
        <f aca="false">IF(OR(L717="",M717=""),"",MIN(L717,M717))</f>
        <v/>
      </c>
      <c r="O717" s="25" t="str">
        <f aca="false">IF(OR(I717="",G717=""),"",I717+G717)</f>
        <v/>
      </c>
      <c r="P717" s="24" t="str">
        <f aca="false">IF(OR(O717="",O717=0),"",(J717+H717)/O717)</f>
        <v/>
      </c>
      <c r="Q717" s="24" t="str">
        <f aca="false">IF(OR(O717="",E717=""),"",MAX(J717+H717-E717*O717,0))</f>
        <v/>
      </c>
      <c r="R717" s="26" t="str">
        <f aca="false">IF(A717="","",IF(COUNTIF(_TradeIds,A717)=0,"违规：交易编号不存在",IF(OR(B717="",B717&lt;1,B717&gt;5,B717&lt;&gt;INT(B717)),"违规：加仓序号须为1到5的整数",IF(COUNTIFS($A$2:$A$1001,A717,$B$2:$B$1001,B717)&gt;1,"违规：同一交易的加仓序号重复",IF(OR(D717="",E717="",F717=""),"计划不完整：请填写加仓价、新止损价和风险预算",IF(OR(D717&lt;=0,E717&lt;=0,F717&lt;=0,D717&lt;=E717),"违规：加仓价必须高于新止损价，金额须大于0",IF(AND(B717&gt;1,COUNTIFS($A$2:$A$1001,A717,$B$2:$B$1001,B717-1,$G$2:$G$1001,"&gt;0")=0),"违规：须先完成上一次加仓",IF(AND(B717&gt;1,E717&lt;SUMIFS($E$2:$E$1001,$A$2:$A$1001,A717,$B$2:$B$1001,B717-1)),"违规：新止损价不得低于上一次",IF(AND(B717&gt;1,F717&gt;SUMIFS($F$2:$F$1001,$A$2:$A$1001,A717,$B$2:$B$1001,B717-1)),"违规：风险预算须逐次不增加",IF(OR(_LockStatus="已锁仓",_LockStatus="解锁信息不完整"),"违规：锁仓期间禁止加仓",IF(G717="","计划可执行：建议股数见N列",IF(OR(G717&lt;=0,G717&lt;&gt;INT(G717),MOD(G717,100)&lt;&gt;0),"违规：实际股数须为100股整数倍",IF(G717&gt;N717,"违规：实际股数超过风险或金字塔上限",IF(AND(B717&gt;1,G717&gt;SUMIFS($G$2:$G$1001,$A$2:$A$1001,A717,$B$2:$B$1001,B717-1)),"违规：加仓股数须逐次不增加",IF(Q717&gt;F717,"违规：止损风险超过本次预算","通过")))))))))))))))</f>
        <v/>
      </c>
    </row>
    <row r="718" customFormat="false" ht="15" hidden="false" customHeight="false" outlineLevel="0" collapsed="false">
      <c r="A718" s="20"/>
      <c r="B718" s="21"/>
      <c r="C718" s="22"/>
      <c r="D718" s="23"/>
      <c r="E718" s="23"/>
      <c r="F718" s="23"/>
      <c r="G718" s="21"/>
      <c r="H718" s="24" t="str">
        <f aca="false">IF(OR(A718="",D718="",G718=""),"",D718*G718)</f>
        <v/>
      </c>
      <c r="I718" s="25" t="str">
        <f aca="false">IF(OR(A718="",B718=""),"",IFERROR(LOOKUP(2,1/(单次交易!$A$2:$A$201=A718),单次交易!$H$2:$H$201),0)+SUMIFS($G$2:$G$1001,$A$2:$A$1001,A718,$B$2:$B$1001,"&lt;"&amp;B718))</f>
        <v/>
      </c>
      <c r="J718" s="24" t="str">
        <f aca="false">IF(OR(A718="",B718=""),"",IFERROR(LOOKUP(2,1/(单次交易!$A$2:$A$201=A718),单次交易!$E$2:$E$201)*LOOKUP(2,1/(单次交易!$A$2:$A$201=A718),单次交易!$H$2:$H$201),0)+SUMIFS($H$2:$H$1001,$A$2:$A$1001,A718,$B$2:$B$1001,"&lt;"&amp;B718))</f>
        <v/>
      </c>
      <c r="K718" s="24" t="str">
        <f aca="false">IF(OR(E718="",I718="",J718=""),"",MAX(E718*I718-J718,0))</f>
        <v/>
      </c>
      <c r="L718" s="25" t="str">
        <f aca="false">IF(OR(D718="",E718="",F718="",D718&lt;=E718),"",FLOOR((F718+K718)/(D718-E718),100))</f>
        <v/>
      </c>
      <c r="M718" s="25" t="str">
        <f aca="false">IF(OR(A718="",B718="",L718=""),"",IF(B718=1,L718,IFERROR(SUMIFS($G$2:$G$1001,$A$2:$A$1001,A718,$B$2:$B$1001,B718-1),0)))</f>
        <v/>
      </c>
      <c r="N718" s="25" t="str">
        <f aca="false">IF(OR(L718="",M718=""),"",MIN(L718,M718))</f>
        <v/>
      </c>
      <c r="O718" s="25" t="str">
        <f aca="false">IF(OR(I718="",G718=""),"",I718+G718)</f>
        <v/>
      </c>
      <c r="P718" s="24" t="str">
        <f aca="false">IF(OR(O718="",O718=0),"",(J718+H718)/O718)</f>
        <v/>
      </c>
      <c r="Q718" s="24" t="str">
        <f aca="false">IF(OR(O718="",E718=""),"",MAX(J718+H718-E718*O718,0))</f>
        <v/>
      </c>
      <c r="R718" s="26" t="str">
        <f aca="false">IF(A718="","",IF(COUNTIF(_TradeIds,A718)=0,"违规：交易编号不存在",IF(OR(B718="",B718&lt;1,B718&gt;5,B718&lt;&gt;INT(B718)),"违规：加仓序号须为1到5的整数",IF(COUNTIFS($A$2:$A$1001,A718,$B$2:$B$1001,B718)&gt;1,"违规：同一交易的加仓序号重复",IF(OR(D718="",E718="",F718=""),"计划不完整：请填写加仓价、新止损价和风险预算",IF(OR(D718&lt;=0,E718&lt;=0,F718&lt;=0,D718&lt;=E718),"违规：加仓价必须高于新止损价，金额须大于0",IF(AND(B718&gt;1,COUNTIFS($A$2:$A$1001,A718,$B$2:$B$1001,B718-1,$G$2:$G$1001,"&gt;0")=0),"违规：须先完成上一次加仓",IF(AND(B718&gt;1,E718&lt;SUMIFS($E$2:$E$1001,$A$2:$A$1001,A718,$B$2:$B$1001,B718-1)),"违规：新止损价不得低于上一次",IF(AND(B718&gt;1,F718&gt;SUMIFS($F$2:$F$1001,$A$2:$A$1001,A718,$B$2:$B$1001,B718-1)),"违规：风险预算须逐次不增加",IF(OR(_LockStatus="已锁仓",_LockStatus="解锁信息不完整"),"违规：锁仓期间禁止加仓",IF(G718="","计划可执行：建议股数见N列",IF(OR(G718&lt;=0,G718&lt;&gt;INT(G718),MOD(G718,100)&lt;&gt;0),"违规：实际股数须为100股整数倍",IF(G718&gt;N718,"违规：实际股数超过风险或金字塔上限",IF(AND(B718&gt;1,G718&gt;SUMIFS($G$2:$G$1001,$A$2:$A$1001,A718,$B$2:$B$1001,B718-1)),"违规：加仓股数须逐次不增加",IF(Q718&gt;F718,"违规：止损风险超过本次预算","通过")))))))))))))))</f>
        <v/>
      </c>
    </row>
    <row r="719" customFormat="false" ht="15" hidden="false" customHeight="false" outlineLevel="0" collapsed="false">
      <c r="A719" s="20"/>
      <c r="B719" s="21"/>
      <c r="C719" s="22"/>
      <c r="D719" s="23"/>
      <c r="E719" s="23"/>
      <c r="F719" s="23"/>
      <c r="G719" s="21"/>
      <c r="H719" s="24" t="str">
        <f aca="false">IF(OR(A719="",D719="",G719=""),"",D719*G719)</f>
        <v/>
      </c>
      <c r="I719" s="25" t="str">
        <f aca="false">IF(OR(A719="",B719=""),"",IFERROR(LOOKUP(2,1/(单次交易!$A$2:$A$201=A719),单次交易!$H$2:$H$201),0)+SUMIFS($G$2:$G$1001,$A$2:$A$1001,A719,$B$2:$B$1001,"&lt;"&amp;B719))</f>
        <v/>
      </c>
      <c r="J719" s="24" t="str">
        <f aca="false">IF(OR(A719="",B719=""),"",IFERROR(LOOKUP(2,1/(单次交易!$A$2:$A$201=A719),单次交易!$E$2:$E$201)*LOOKUP(2,1/(单次交易!$A$2:$A$201=A719),单次交易!$H$2:$H$201),0)+SUMIFS($H$2:$H$1001,$A$2:$A$1001,A719,$B$2:$B$1001,"&lt;"&amp;B719))</f>
        <v/>
      </c>
      <c r="K719" s="24" t="str">
        <f aca="false">IF(OR(E719="",I719="",J719=""),"",MAX(E719*I719-J719,0))</f>
        <v/>
      </c>
      <c r="L719" s="25" t="str">
        <f aca="false">IF(OR(D719="",E719="",F719="",D719&lt;=E719),"",FLOOR((F719+K719)/(D719-E719),100))</f>
        <v/>
      </c>
      <c r="M719" s="25" t="str">
        <f aca="false">IF(OR(A719="",B719="",L719=""),"",IF(B719=1,L719,IFERROR(SUMIFS($G$2:$G$1001,$A$2:$A$1001,A719,$B$2:$B$1001,B719-1),0)))</f>
        <v/>
      </c>
      <c r="N719" s="25" t="str">
        <f aca="false">IF(OR(L719="",M719=""),"",MIN(L719,M719))</f>
        <v/>
      </c>
      <c r="O719" s="25" t="str">
        <f aca="false">IF(OR(I719="",G719=""),"",I719+G719)</f>
        <v/>
      </c>
      <c r="P719" s="24" t="str">
        <f aca="false">IF(OR(O719="",O719=0),"",(J719+H719)/O719)</f>
        <v/>
      </c>
      <c r="Q719" s="24" t="str">
        <f aca="false">IF(OR(O719="",E719=""),"",MAX(J719+H719-E719*O719,0))</f>
        <v/>
      </c>
      <c r="R719" s="26" t="str">
        <f aca="false">IF(A719="","",IF(COUNTIF(_TradeIds,A719)=0,"违规：交易编号不存在",IF(OR(B719="",B719&lt;1,B719&gt;5,B719&lt;&gt;INT(B719)),"违规：加仓序号须为1到5的整数",IF(COUNTIFS($A$2:$A$1001,A719,$B$2:$B$1001,B719)&gt;1,"违规：同一交易的加仓序号重复",IF(OR(D719="",E719="",F719=""),"计划不完整：请填写加仓价、新止损价和风险预算",IF(OR(D719&lt;=0,E719&lt;=0,F719&lt;=0,D719&lt;=E719),"违规：加仓价必须高于新止损价，金额须大于0",IF(AND(B719&gt;1,COUNTIFS($A$2:$A$1001,A719,$B$2:$B$1001,B719-1,$G$2:$G$1001,"&gt;0")=0),"违规：须先完成上一次加仓",IF(AND(B719&gt;1,E719&lt;SUMIFS($E$2:$E$1001,$A$2:$A$1001,A719,$B$2:$B$1001,B719-1)),"违规：新止损价不得低于上一次",IF(AND(B719&gt;1,F719&gt;SUMIFS($F$2:$F$1001,$A$2:$A$1001,A719,$B$2:$B$1001,B719-1)),"违规：风险预算须逐次不增加",IF(OR(_LockStatus="已锁仓",_LockStatus="解锁信息不完整"),"违规：锁仓期间禁止加仓",IF(G719="","计划可执行：建议股数见N列",IF(OR(G719&lt;=0,G719&lt;&gt;INT(G719),MOD(G719,100)&lt;&gt;0),"违规：实际股数须为100股整数倍",IF(G719&gt;N719,"违规：实际股数超过风险或金字塔上限",IF(AND(B719&gt;1,G719&gt;SUMIFS($G$2:$G$1001,$A$2:$A$1001,A719,$B$2:$B$1001,B719-1)),"违规：加仓股数须逐次不增加",IF(Q719&gt;F719,"违规：止损风险超过本次预算","通过")))))))))))))))</f>
        <v/>
      </c>
    </row>
    <row r="720" customFormat="false" ht="15" hidden="false" customHeight="false" outlineLevel="0" collapsed="false">
      <c r="A720" s="20"/>
      <c r="B720" s="21"/>
      <c r="C720" s="22"/>
      <c r="D720" s="23"/>
      <c r="E720" s="23"/>
      <c r="F720" s="23"/>
      <c r="G720" s="21"/>
      <c r="H720" s="24" t="str">
        <f aca="false">IF(OR(A720="",D720="",G720=""),"",D720*G720)</f>
        <v/>
      </c>
      <c r="I720" s="25" t="str">
        <f aca="false">IF(OR(A720="",B720=""),"",IFERROR(LOOKUP(2,1/(单次交易!$A$2:$A$201=A720),单次交易!$H$2:$H$201),0)+SUMIFS($G$2:$G$1001,$A$2:$A$1001,A720,$B$2:$B$1001,"&lt;"&amp;B720))</f>
        <v/>
      </c>
      <c r="J720" s="24" t="str">
        <f aca="false">IF(OR(A720="",B720=""),"",IFERROR(LOOKUP(2,1/(单次交易!$A$2:$A$201=A720),单次交易!$E$2:$E$201)*LOOKUP(2,1/(单次交易!$A$2:$A$201=A720),单次交易!$H$2:$H$201),0)+SUMIFS($H$2:$H$1001,$A$2:$A$1001,A720,$B$2:$B$1001,"&lt;"&amp;B720))</f>
        <v/>
      </c>
      <c r="K720" s="24" t="str">
        <f aca="false">IF(OR(E720="",I720="",J720=""),"",MAX(E720*I720-J720,0))</f>
        <v/>
      </c>
      <c r="L720" s="25" t="str">
        <f aca="false">IF(OR(D720="",E720="",F720="",D720&lt;=E720),"",FLOOR((F720+K720)/(D720-E720),100))</f>
        <v/>
      </c>
      <c r="M720" s="25" t="str">
        <f aca="false">IF(OR(A720="",B720="",L720=""),"",IF(B720=1,L720,IFERROR(SUMIFS($G$2:$G$1001,$A$2:$A$1001,A720,$B$2:$B$1001,B720-1),0)))</f>
        <v/>
      </c>
      <c r="N720" s="25" t="str">
        <f aca="false">IF(OR(L720="",M720=""),"",MIN(L720,M720))</f>
        <v/>
      </c>
      <c r="O720" s="25" t="str">
        <f aca="false">IF(OR(I720="",G720=""),"",I720+G720)</f>
        <v/>
      </c>
      <c r="P720" s="24" t="str">
        <f aca="false">IF(OR(O720="",O720=0),"",(J720+H720)/O720)</f>
        <v/>
      </c>
      <c r="Q720" s="24" t="str">
        <f aca="false">IF(OR(O720="",E720=""),"",MAX(J720+H720-E720*O720,0))</f>
        <v/>
      </c>
      <c r="R720" s="26" t="str">
        <f aca="false">IF(A720="","",IF(COUNTIF(_TradeIds,A720)=0,"违规：交易编号不存在",IF(OR(B720="",B720&lt;1,B720&gt;5,B720&lt;&gt;INT(B720)),"违规：加仓序号须为1到5的整数",IF(COUNTIFS($A$2:$A$1001,A720,$B$2:$B$1001,B720)&gt;1,"违规：同一交易的加仓序号重复",IF(OR(D720="",E720="",F720=""),"计划不完整：请填写加仓价、新止损价和风险预算",IF(OR(D720&lt;=0,E720&lt;=0,F720&lt;=0,D720&lt;=E720),"违规：加仓价必须高于新止损价，金额须大于0",IF(AND(B720&gt;1,COUNTIFS($A$2:$A$1001,A720,$B$2:$B$1001,B720-1,$G$2:$G$1001,"&gt;0")=0),"违规：须先完成上一次加仓",IF(AND(B720&gt;1,E720&lt;SUMIFS($E$2:$E$1001,$A$2:$A$1001,A720,$B$2:$B$1001,B720-1)),"违规：新止损价不得低于上一次",IF(AND(B720&gt;1,F720&gt;SUMIFS($F$2:$F$1001,$A$2:$A$1001,A720,$B$2:$B$1001,B720-1)),"违规：风险预算须逐次不增加",IF(OR(_LockStatus="已锁仓",_LockStatus="解锁信息不完整"),"违规：锁仓期间禁止加仓",IF(G720="","计划可执行：建议股数见N列",IF(OR(G720&lt;=0,G720&lt;&gt;INT(G720),MOD(G720,100)&lt;&gt;0),"违规：实际股数须为100股整数倍",IF(G720&gt;N720,"违规：实际股数超过风险或金字塔上限",IF(AND(B720&gt;1,G720&gt;SUMIFS($G$2:$G$1001,$A$2:$A$1001,A720,$B$2:$B$1001,B720-1)),"违规：加仓股数须逐次不增加",IF(Q720&gt;F720,"违规：止损风险超过本次预算","通过")))))))))))))))</f>
        <v/>
      </c>
    </row>
    <row r="721" customFormat="false" ht="15" hidden="false" customHeight="false" outlineLevel="0" collapsed="false">
      <c r="A721" s="20"/>
      <c r="B721" s="21"/>
      <c r="C721" s="22"/>
      <c r="D721" s="23"/>
      <c r="E721" s="23"/>
      <c r="F721" s="23"/>
      <c r="G721" s="21"/>
      <c r="H721" s="24" t="str">
        <f aca="false">IF(OR(A721="",D721="",G721=""),"",D721*G721)</f>
        <v/>
      </c>
      <c r="I721" s="25" t="str">
        <f aca="false">IF(OR(A721="",B721=""),"",IFERROR(LOOKUP(2,1/(单次交易!$A$2:$A$201=A721),单次交易!$H$2:$H$201),0)+SUMIFS($G$2:$G$1001,$A$2:$A$1001,A721,$B$2:$B$1001,"&lt;"&amp;B721))</f>
        <v/>
      </c>
      <c r="J721" s="24" t="str">
        <f aca="false">IF(OR(A721="",B721=""),"",IFERROR(LOOKUP(2,1/(单次交易!$A$2:$A$201=A721),单次交易!$E$2:$E$201)*LOOKUP(2,1/(单次交易!$A$2:$A$201=A721),单次交易!$H$2:$H$201),0)+SUMIFS($H$2:$H$1001,$A$2:$A$1001,A721,$B$2:$B$1001,"&lt;"&amp;B721))</f>
        <v/>
      </c>
      <c r="K721" s="24" t="str">
        <f aca="false">IF(OR(E721="",I721="",J721=""),"",MAX(E721*I721-J721,0))</f>
        <v/>
      </c>
      <c r="L721" s="25" t="str">
        <f aca="false">IF(OR(D721="",E721="",F721="",D721&lt;=E721),"",FLOOR((F721+K721)/(D721-E721),100))</f>
        <v/>
      </c>
      <c r="M721" s="25" t="str">
        <f aca="false">IF(OR(A721="",B721="",L721=""),"",IF(B721=1,L721,IFERROR(SUMIFS($G$2:$G$1001,$A$2:$A$1001,A721,$B$2:$B$1001,B721-1),0)))</f>
        <v/>
      </c>
      <c r="N721" s="25" t="str">
        <f aca="false">IF(OR(L721="",M721=""),"",MIN(L721,M721))</f>
        <v/>
      </c>
      <c r="O721" s="25" t="str">
        <f aca="false">IF(OR(I721="",G721=""),"",I721+G721)</f>
        <v/>
      </c>
      <c r="P721" s="24" t="str">
        <f aca="false">IF(OR(O721="",O721=0),"",(J721+H721)/O721)</f>
        <v/>
      </c>
      <c r="Q721" s="24" t="str">
        <f aca="false">IF(OR(O721="",E721=""),"",MAX(J721+H721-E721*O721,0))</f>
        <v/>
      </c>
      <c r="R721" s="26" t="str">
        <f aca="false">IF(A721="","",IF(COUNTIF(_TradeIds,A721)=0,"违规：交易编号不存在",IF(OR(B721="",B721&lt;1,B721&gt;5,B721&lt;&gt;INT(B721)),"违规：加仓序号须为1到5的整数",IF(COUNTIFS($A$2:$A$1001,A721,$B$2:$B$1001,B721)&gt;1,"违规：同一交易的加仓序号重复",IF(OR(D721="",E721="",F721=""),"计划不完整：请填写加仓价、新止损价和风险预算",IF(OR(D721&lt;=0,E721&lt;=0,F721&lt;=0,D721&lt;=E721),"违规：加仓价必须高于新止损价，金额须大于0",IF(AND(B721&gt;1,COUNTIFS($A$2:$A$1001,A721,$B$2:$B$1001,B721-1,$G$2:$G$1001,"&gt;0")=0),"违规：须先完成上一次加仓",IF(AND(B721&gt;1,E721&lt;SUMIFS($E$2:$E$1001,$A$2:$A$1001,A721,$B$2:$B$1001,B721-1)),"违规：新止损价不得低于上一次",IF(AND(B721&gt;1,F721&gt;SUMIFS($F$2:$F$1001,$A$2:$A$1001,A721,$B$2:$B$1001,B721-1)),"违规：风险预算须逐次不增加",IF(OR(_LockStatus="已锁仓",_LockStatus="解锁信息不完整"),"违规：锁仓期间禁止加仓",IF(G721="","计划可执行：建议股数见N列",IF(OR(G721&lt;=0,G721&lt;&gt;INT(G721),MOD(G721,100)&lt;&gt;0),"违规：实际股数须为100股整数倍",IF(G721&gt;N721,"违规：实际股数超过风险或金字塔上限",IF(AND(B721&gt;1,G721&gt;SUMIFS($G$2:$G$1001,$A$2:$A$1001,A721,$B$2:$B$1001,B721-1)),"违规：加仓股数须逐次不增加",IF(Q721&gt;F721,"违规：止损风险超过本次预算","通过")))))))))))))))</f>
        <v/>
      </c>
    </row>
    <row r="722" customFormat="false" ht="15" hidden="false" customHeight="false" outlineLevel="0" collapsed="false">
      <c r="A722" s="20"/>
      <c r="B722" s="21"/>
      <c r="C722" s="22"/>
      <c r="D722" s="23"/>
      <c r="E722" s="23"/>
      <c r="F722" s="23"/>
      <c r="G722" s="21"/>
      <c r="H722" s="24" t="str">
        <f aca="false">IF(OR(A722="",D722="",G722=""),"",D722*G722)</f>
        <v/>
      </c>
      <c r="I722" s="25" t="str">
        <f aca="false">IF(OR(A722="",B722=""),"",IFERROR(LOOKUP(2,1/(单次交易!$A$2:$A$201=A722),单次交易!$H$2:$H$201),0)+SUMIFS($G$2:$G$1001,$A$2:$A$1001,A722,$B$2:$B$1001,"&lt;"&amp;B722))</f>
        <v/>
      </c>
      <c r="J722" s="24" t="str">
        <f aca="false">IF(OR(A722="",B722=""),"",IFERROR(LOOKUP(2,1/(单次交易!$A$2:$A$201=A722),单次交易!$E$2:$E$201)*LOOKUP(2,1/(单次交易!$A$2:$A$201=A722),单次交易!$H$2:$H$201),0)+SUMIFS($H$2:$H$1001,$A$2:$A$1001,A722,$B$2:$B$1001,"&lt;"&amp;B722))</f>
        <v/>
      </c>
      <c r="K722" s="24" t="str">
        <f aca="false">IF(OR(E722="",I722="",J722=""),"",MAX(E722*I722-J722,0))</f>
        <v/>
      </c>
      <c r="L722" s="25" t="str">
        <f aca="false">IF(OR(D722="",E722="",F722="",D722&lt;=E722),"",FLOOR((F722+K722)/(D722-E722),100))</f>
        <v/>
      </c>
      <c r="M722" s="25" t="str">
        <f aca="false">IF(OR(A722="",B722="",L722=""),"",IF(B722=1,L722,IFERROR(SUMIFS($G$2:$G$1001,$A$2:$A$1001,A722,$B$2:$B$1001,B722-1),0)))</f>
        <v/>
      </c>
      <c r="N722" s="25" t="str">
        <f aca="false">IF(OR(L722="",M722=""),"",MIN(L722,M722))</f>
        <v/>
      </c>
      <c r="O722" s="25" t="str">
        <f aca="false">IF(OR(I722="",G722=""),"",I722+G722)</f>
        <v/>
      </c>
      <c r="P722" s="24" t="str">
        <f aca="false">IF(OR(O722="",O722=0),"",(J722+H722)/O722)</f>
        <v/>
      </c>
      <c r="Q722" s="24" t="str">
        <f aca="false">IF(OR(O722="",E722=""),"",MAX(J722+H722-E722*O722,0))</f>
        <v/>
      </c>
      <c r="R722" s="26" t="str">
        <f aca="false">IF(A722="","",IF(COUNTIF(_TradeIds,A722)=0,"违规：交易编号不存在",IF(OR(B722="",B722&lt;1,B722&gt;5,B722&lt;&gt;INT(B722)),"违规：加仓序号须为1到5的整数",IF(COUNTIFS($A$2:$A$1001,A722,$B$2:$B$1001,B722)&gt;1,"违规：同一交易的加仓序号重复",IF(OR(D722="",E722="",F722=""),"计划不完整：请填写加仓价、新止损价和风险预算",IF(OR(D722&lt;=0,E722&lt;=0,F722&lt;=0,D722&lt;=E722),"违规：加仓价必须高于新止损价，金额须大于0",IF(AND(B722&gt;1,COUNTIFS($A$2:$A$1001,A722,$B$2:$B$1001,B722-1,$G$2:$G$1001,"&gt;0")=0),"违规：须先完成上一次加仓",IF(AND(B722&gt;1,E722&lt;SUMIFS($E$2:$E$1001,$A$2:$A$1001,A722,$B$2:$B$1001,B722-1)),"违规：新止损价不得低于上一次",IF(AND(B722&gt;1,F722&gt;SUMIFS($F$2:$F$1001,$A$2:$A$1001,A722,$B$2:$B$1001,B722-1)),"违规：风险预算须逐次不增加",IF(OR(_LockStatus="已锁仓",_LockStatus="解锁信息不完整"),"违规：锁仓期间禁止加仓",IF(G722="","计划可执行：建议股数见N列",IF(OR(G722&lt;=0,G722&lt;&gt;INT(G722),MOD(G722,100)&lt;&gt;0),"违规：实际股数须为100股整数倍",IF(G722&gt;N722,"违规：实际股数超过风险或金字塔上限",IF(AND(B722&gt;1,G722&gt;SUMIFS($G$2:$G$1001,$A$2:$A$1001,A722,$B$2:$B$1001,B722-1)),"违规：加仓股数须逐次不增加",IF(Q722&gt;F722,"违规：止损风险超过本次预算","通过")))))))))))))))</f>
        <v/>
      </c>
    </row>
    <row r="723" customFormat="false" ht="15" hidden="false" customHeight="false" outlineLevel="0" collapsed="false">
      <c r="A723" s="20"/>
      <c r="B723" s="21"/>
      <c r="C723" s="22"/>
      <c r="D723" s="23"/>
      <c r="E723" s="23"/>
      <c r="F723" s="23"/>
      <c r="G723" s="21"/>
      <c r="H723" s="24" t="str">
        <f aca="false">IF(OR(A723="",D723="",G723=""),"",D723*G723)</f>
        <v/>
      </c>
      <c r="I723" s="25" t="str">
        <f aca="false">IF(OR(A723="",B723=""),"",IFERROR(LOOKUP(2,1/(单次交易!$A$2:$A$201=A723),单次交易!$H$2:$H$201),0)+SUMIFS($G$2:$G$1001,$A$2:$A$1001,A723,$B$2:$B$1001,"&lt;"&amp;B723))</f>
        <v/>
      </c>
      <c r="J723" s="24" t="str">
        <f aca="false">IF(OR(A723="",B723=""),"",IFERROR(LOOKUP(2,1/(单次交易!$A$2:$A$201=A723),单次交易!$E$2:$E$201)*LOOKUP(2,1/(单次交易!$A$2:$A$201=A723),单次交易!$H$2:$H$201),0)+SUMIFS($H$2:$H$1001,$A$2:$A$1001,A723,$B$2:$B$1001,"&lt;"&amp;B723))</f>
        <v/>
      </c>
      <c r="K723" s="24" t="str">
        <f aca="false">IF(OR(E723="",I723="",J723=""),"",MAX(E723*I723-J723,0))</f>
        <v/>
      </c>
      <c r="L723" s="25" t="str">
        <f aca="false">IF(OR(D723="",E723="",F723="",D723&lt;=E723),"",FLOOR((F723+K723)/(D723-E723),100))</f>
        <v/>
      </c>
      <c r="M723" s="25" t="str">
        <f aca="false">IF(OR(A723="",B723="",L723=""),"",IF(B723=1,L723,IFERROR(SUMIFS($G$2:$G$1001,$A$2:$A$1001,A723,$B$2:$B$1001,B723-1),0)))</f>
        <v/>
      </c>
      <c r="N723" s="25" t="str">
        <f aca="false">IF(OR(L723="",M723=""),"",MIN(L723,M723))</f>
        <v/>
      </c>
      <c r="O723" s="25" t="str">
        <f aca="false">IF(OR(I723="",G723=""),"",I723+G723)</f>
        <v/>
      </c>
      <c r="P723" s="24" t="str">
        <f aca="false">IF(OR(O723="",O723=0),"",(J723+H723)/O723)</f>
        <v/>
      </c>
      <c r="Q723" s="24" t="str">
        <f aca="false">IF(OR(O723="",E723=""),"",MAX(J723+H723-E723*O723,0))</f>
        <v/>
      </c>
      <c r="R723" s="26" t="str">
        <f aca="false">IF(A723="","",IF(COUNTIF(_TradeIds,A723)=0,"违规：交易编号不存在",IF(OR(B723="",B723&lt;1,B723&gt;5,B723&lt;&gt;INT(B723)),"违规：加仓序号须为1到5的整数",IF(COUNTIFS($A$2:$A$1001,A723,$B$2:$B$1001,B723)&gt;1,"违规：同一交易的加仓序号重复",IF(OR(D723="",E723="",F723=""),"计划不完整：请填写加仓价、新止损价和风险预算",IF(OR(D723&lt;=0,E723&lt;=0,F723&lt;=0,D723&lt;=E723),"违规：加仓价必须高于新止损价，金额须大于0",IF(AND(B723&gt;1,COUNTIFS($A$2:$A$1001,A723,$B$2:$B$1001,B723-1,$G$2:$G$1001,"&gt;0")=0),"违规：须先完成上一次加仓",IF(AND(B723&gt;1,E723&lt;SUMIFS($E$2:$E$1001,$A$2:$A$1001,A723,$B$2:$B$1001,B723-1)),"违规：新止损价不得低于上一次",IF(AND(B723&gt;1,F723&gt;SUMIFS($F$2:$F$1001,$A$2:$A$1001,A723,$B$2:$B$1001,B723-1)),"违规：风险预算须逐次不增加",IF(OR(_LockStatus="已锁仓",_LockStatus="解锁信息不完整"),"违规：锁仓期间禁止加仓",IF(G723="","计划可执行：建议股数见N列",IF(OR(G723&lt;=0,G723&lt;&gt;INT(G723),MOD(G723,100)&lt;&gt;0),"违规：实际股数须为100股整数倍",IF(G723&gt;N723,"违规：实际股数超过风险或金字塔上限",IF(AND(B723&gt;1,G723&gt;SUMIFS($G$2:$G$1001,$A$2:$A$1001,A723,$B$2:$B$1001,B723-1)),"违规：加仓股数须逐次不增加",IF(Q723&gt;F723,"违规：止损风险超过本次预算","通过")))))))))))))))</f>
        <v/>
      </c>
    </row>
    <row r="724" customFormat="false" ht="15" hidden="false" customHeight="false" outlineLevel="0" collapsed="false">
      <c r="A724" s="20"/>
      <c r="B724" s="21"/>
      <c r="C724" s="22"/>
      <c r="D724" s="23"/>
      <c r="E724" s="23"/>
      <c r="F724" s="23"/>
      <c r="G724" s="21"/>
      <c r="H724" s="24" t="str">
        <f aca="false">IF(OR(A724="",D724="",G724=""),"",D724*G724)</f>
        <v/>
      </c>
      <c r="I724" s="25" t="str">
        <f aca="false">IF(OR(A724="",B724=""),"",IFERROR(LOOKUP(2,1/(单次交易!$A$2:$A$201=A724),单次交易!$H$2:$H$201),0)+SUMIFS($G$2:$G$1001,$A$2:$A$1001,A724,$B$2:$B$1001,"&lt;"&amp;B724))</f>
        <v/>
      </c>
      <c r="J724" s="24" t="str">
        <f aca="false">IF(OR(A724="",B724=""),"",IFERROR(LOOKUP(2,1/(单次交易!$A$2:$A$201=A724),单次交易!$E$2:$E$201)*LOOKUP(2,1/(单次交易!$A$2:$A$201=A724),单次交易!$H$2:$H$201),0)+SUMIFS($H$2:$H$1001,$A$2:$A$1001,A724,$B$2:$B$1001,"&lt;"&amp;B724))</f>
        <v/>
      </c>
      <c r="K724" s="24" t="str">
        <f aca="false">IF(OR(E724="",I724="",J724=""),"",MAX(E724*I724-J724,0))</f>
        <v/>
      </c>
      <c r="L724" s="25" t="str">
        <f aca="false">IF(OR(D724="",E724="",F724="",D724&lt;=E724),"",FLOOR((F724+K724)/(D724-E724),100))</f>
        <v/>
      </c>
      <c r="M724" s="25" t="str">
        <f aca="false">IF(OR(A724="",B724="",L724=""),"",IF(B724=1,L724,IFERROR(SUMIFS($G$2:$G$1001,$A$2:$A$1001,A724,$B$2:$B$1001,B724-1),0)))</f>
        <v/>
      </c>
      <c r="N724" s="25" t="str">
        <f aca="false">IF(OR(L724="",M724=""),"",MIN(L724,M724))</f>
        <v/>
      </c>
      <c r="O724" s="25" t="str">
        <f aca="false">IF(OR(I724="",G724=""),"",I724+G724)</f>
        <v/>
      </c>
      <c r="P724" s="24" t="str">
        <f aca="false">IF(OR(O724="",O724=0),"",(J724+H724)/O724)</f>
        <v/>
      </c>
      <c r="Q724" s="24" t="str">
        <f aca="false">IF(OR(O724="",E724=""),"",MAX(J724+H724-E724*O724,0))</f>
        <v/>
      </c>
      <c r="R724" s="26" t="str">
        <f aca="false">IF(A724="","",IF(COUNTIF(_TradeIds,A724)=0,"违规：交易编号不存在",IF(OR(B724="",B724&lt;1,B724&gt;5,B724&lt;&gt;INT(B724)),"违规：加仓序号须为1到5的整数",IF(COUNTIFS($A$2:$A$1001,A724,$B$2:$B$1001,B724)&gt;1,"违规：同一交易的加仓序号重复",IF(OR(D724="",E724="",F724=""),"计划不完整：请填写加仓价、新止损价和风险预算",IF(OR(D724&lt;=0,E724&lt;=0,F724&lt;=0,D724&lt;=E724),"违规：加仓价必须高于新止损价，金额须大于0",IF(AND(B724&gt;1,COUNTIFS($A$2:$A$1001,A724,$B$2:$B$1001,B724-1,$G$2:$G$1001,"&gt;0")=0),"违规：须先完成上一次加仓",IF(AND(B724&gt;1,E724&lt;SUMIFS($E$2:$E$1001,$A$2:$A$1001,A724,$B$2:$B$1001,B724-1)),"违规：新止损价不得低于上一次",IF(AND(B724&gt;1,F724&gt;SUMIFS($F$2:$F$1001,$A$2:$A$1001,A724,$B$2:$B$1001,B724-1)),"违规：风险预算须逐次不增加",IF(OR(_LockStatus="已锁仓",_LockStatus="解锁信息不完整"),"违规：锁仓期间禁止加仓",IF(G724="","计划可执行：建议股数见N列",IF(OR(G724&lt;=0,G724&lt;&gt;INT(G724),MOD(G724,100)&lt;&gt;0),"违规：实际股数须为100股整数倍",IF(G724&gt;N724,"违规：实际股数超过风险或金字塔上限",IF(AND(B724&gt;1,G724&gt;SUMIFS($G$2:$G$1001,$A$2:$A$1001,A724,$B$2:$B$1001,B724-1)),"违规：加仓股数须逐次不增加",IF(Q724&gt;F724,"违规：止损风险超过本次预算","通过")))))))))))))))</f>
        <v/>
      </c>
    </row>
    <row r="725" customFormat="false" ht="15" hidden="false" customHeight="false" outlineLevel="0" collapsed="false">
      <c r="A725" s="20"/>
      <c r="B725" s="21"/>
      <c r="C725" s="22"/>
      <c r="D725" s="23"/>
      <c r="E725" s="23"/>
      <c r="F725" s="23"/>
      <c r="G725" s="21"/>
      <c r="H725" s="24" t="str">
        <f aca="false">IF(OR(A725="",D725="",G725=""),"",D725*G725)</f>
        <v/>
      </c>
      <c r="I725" s="25" t="str">
        <f aca="false">IF(OR(A725="",B725=""),"",IFERROR(LOOKUP(2,1/(单次交易!$A$2:$A$201=A725),单次交易!$H$2:$H$201),0)+SUMIFS($G$2:$G$1001,$A$2:$A$1001,A725,$B$2:$B$1001,"&lt;"&amp;B725))</f>
        <v/>
      </c>
      <c r="J725" s="24" t="str">
        <f aca="false">IF(OR(A725="",B725=""),"",IFERROR(LOOKUP(2,1/(单次交易!$A$2:$A$201=A725),单次交易!$E$2:$E$201)*LOOKUP(2,1/(单次交易!$A$2:$A$201=A725),单次交易!$H$2:$H$201),0)+SUMIFS($H$2:$H$1001,$A$2:$A$1001,A725,$B$2:$B$1001,"&lt;"&amp;B725))</f>
        <v/>
      </c>
      <c r="K725" s="24" t="str">
        <f aca="false">IF(OR(E725="",I725="",J725=""),"",MAX(E725*I725-J725,0))</f>
        <v/>
      </c>
      <c r="L725" s="25" t="str">
        <f aca="false">IF(OR(D725="",E725="",F725="",D725&lt;=E725),"",FLOOR((F725+K725)/(D725-E725),100))</f>
        <v/>
      </c>
      <c r="M725" s="25" t="str">
        <f aca="false">IF(OR(A725="",B725="",L725=""),"",IF(B725=1,L725,IFERROR(SUMIFS($G$2:$G$1001,$A$2:$A$1001,A725,$B$2:$B$1001,B725-1),0)))</f>
        <v/>
      </c>
      <c r="N725" s="25" t="str">
        <f aca="false">IF(OR(L725="",M725=""),"",MIN(L725,M725))</f>
        <v/>
      </c>
      <c r="O725" s="25" t="str">
        <f aca="false">IF(OR(I725="",G725=""),"",I725+G725)</f>
        <v/>
      </c>
      <c r="P725" s="24" t="str">
        <f aca="false">IF(OR(O725="",O725=0),"",(J725+H725)/O725)</f>
        <v/>
      </c>
      <c r="Q725" s="24" t="str">
        <f aca="false">IF(OR(O725="",E725=""),"",MAX(J725+H725-E725*O725,0))</f>
        <v/>
      </c>
      <c r="R725" s="26" t="str">
        <f aca="false">IF(A725="","",IF(COUNTIF(_TradeIds,A725)=0,"违规：交易编号不存在",IF(OR(B725="",B725&lt;1,B725&gt;5,B725&lt;&gt;INT(B725)),"违规：加仓序号须为1到5的整数",IF(COUNTIFS($A$2:$A$1001,A725,$B$2:$B$1001,B725)&gt;1,"违规：同一交易的加仓序号重复",IF(OR(D725="",E725="",F725=""),"计划不完整：请填写加仓价、新止损价和风险预算",IF(OR(D725&lt;=0,E725&lt;=0,F725&lt;=0,D725&lt;=E725),"违规：加仓价必须高于新止损价，金额须大于0",IF(AND(B725&gt;1,COUNTIFS($A$2:$A$1001,A725,$B$2:$B$1001,B725-1,$G$2:$G$1001,"&gt;0")=0),"违规：须先完成上一次加仓",IF(AND(B725&gt;1,E725&lt;SUMIFS($E$2:$E$1001,$A$2:$A$1001,A725,$B$2:$B$1001,B725-1)),"违规：新止损价不得低于上一次",IF(AND(B725&gt;1,F725&gt;SUMIFS($F$2:$F$1001,$A$2:$A$1001,A725,$B$2:$B$1001,B725-1)),"违规：风险预算须逐次不增加",IF(OR(_LockStatus="已锁仓",_LockStatus="解锁信息不完整"),"违规：锁仓期间禁止加仓",IF(G725="","计划可执行：建议股数见N列",IF(OR(G725&lt;=0,G725&lt;&gt;INT(G725),MOD(G725,100)&lt;&gt;0),"违规：实际股数须为100股整数倍",IF(G725&gt;N725,"违规：实际股数超过风险或金字塔上限",IF(AND(B725&gt;1,G725&gt;SUMIFS($G$2:$G$1001,$A$2:$A$1001,A725,$B$2:$B$1001,B725-1)),"违规：加仓股数须逐次不增加",IF(Q725&gt;F725,"违规：止损风险超过本次预算","通过")))))))))))))))</f>
        <v/>
      </c>
    </row>
    <row r="726" customFormat="false" ht="15" hidden="false" customHeight="false" outlineLevel="0" collapsed="false">
      <c r="A726" s="20"/>
      <c r="B726" s="21"/>
      <c r="C726" s="22"/>
      <c r="D726" s="23"/>
      <c r="E726" s="23"/>
      <c r="F726" s="23"/>
      <c r="G726" s="21"/>
      <c r="H726" s="24" t="str">
        <f aca="false">IF(OR(A726="",D726="",G726=""),"",D726*G726)</f>
        <v/>
      </c>
      <c r="I726" s="25" t="str">
        <f aca="false">IF(OR(A726="",B726=""),"",IFERROR(LOOKUP(2,1/(单次交易!$A$2:$A$201=A726),单次交易!$H$2:$H$201),0)+SUMIFS($G$2:$G$1001,$A$2:$A$1001,A726,$B$2:$B$1001,"&lt;"&amp;B726))</f>
        <v/>
      </c>
      <c r="J726" s="24" t="str">
        <f aca="false">IF(OR(A726="",B726=""),"",IFERROR(LOOKUP(2,1/(单次交易!$A$2:$A$201=A726),单次交易!$E$2:$E$201)*LOOKUP(2,1/(单次交易!$A$2:$A$201=A726),单次交易!$H$2:$H$201),0)+SUMIFS($H$2:$H$1001,$A$2:$A$1001,A726,$B$2:$B$1001,"&lt;"&amp;B726))</f>
        <v/>
      </c>
      <c r="K726" s="24" t="str">
        <f aca="false">IF(OR(E726="",I726="",J726=""),"",MAX(E726*I726-J726,0))</f>
        <v/>
      </c>
      <c r="L726" s="25" t="str">
        <f aca="false">IF(OR(D726="",E726="",F726="",D726&lt;=E726),"",FLOOR((F726+K726)/(D726-E726),100))</f>
        <v/>
      </c>
      <c r="M726" s="25" t="str">
        <f aca="false">IF(OR(A726="",B726="",L726=""),"",IF(B726=1,L726,IFERROR(SUMIFS($G$2:$G$1001,$A$2:$A$1001,A726,$B$2:$B$1001,B726-1),0)))</f>
        <v/>
      </c>
      <c r="N726" s="25" t="str">
        <f aca="false">IF(OR(L726="",M726=""),"",MIN(L726,M726))</f>
        <v/>
      </c>
      <c r="O726" s="25" t="str">
        <f aca="false">IF(OR(I726="",G726=""),"",I726+G726)</f>
        <v/>
      </c>
      <c r="P726" s="24" t="str">
        <f aca="false">IF(OR(O726="",O726=0),"",(J726+H726)/O726)</f>
        <v/>
      </c>
      <c r="Q726" s="24" t="str">
        <f aca="false">IF(OR(O726="",E726=""),"",MAX(J726+H726-E726*O726,0))</f>
        <v/>
      </c>
      <c r="R726" s="26" t="str">
        <f aca="false">IF(A726="","",IF(COUNTIF(_TradeIds,A726)=0,"违规：交易编号不存在",IF(OR(B726="",B726&lt;1,B726&gt;5,B726&lt;&gt;INT(B726)),"违规：加仓序号须为1到5的整数",IF(COUNTIFS($A$2:$A$1001,A726,$B$2:$B$1001,B726)&gt;1,"违规：同一交易的加仓序号重复",IF(OR(D726="",E726="",F726=""),"计划不完整：请填写加仓价、新止损价和风险预算",IF(OR(D726&lt;=0,E726&lt;=0,F726&lt;=0,D726&lt;=E726),"违规：加仓价必须高于新止损价，金额须大于0",IF(AND(B726&gt;1,COUNTIFS($A$2:$A$1001,A726,$B$2:$B$1001,B726-1,$G$2:$G$1001,"&gt;0")=0),"违规：须先完成上一次加仓",IF(AND(B726&gt;1,E726&lt;SUMIFS($E$2:$E$1001,$A$2:$A$1001,A726,$B$2:$B$1001,B726-1)),"违规：新止损价不得低于上一次",IF(AND(B726&gt;1,F726&gt;SUMIFS($F$2:$F$1001,$A$2:$A$1001,A726,$B$2:$B$1001,B726-1)),"违规：风险预算须逐次不增加",IF(OR(_LockStatus="已锁仓",_LockStatus="解锁信息不完整"),"违规：锁仓期间禁止加仓",IF(G726="","计划可执行：建议股数见N列",IF(OR(G726&lt;=0,G726&lt;&gt;INT(G726),MOD(G726,100)&lt;&gt;0),"违规：实际股数须为100股整数倍",IF(G726&gt;N726,"违规：实际股数超过风险或金字塔上限",IF(AND(B726&gt;1,G726&gt;SUMIFS($G$2:$G$1001,$A$2:$A$1001,A726,$B$2:$B$1001,B726-1)),"违规：加仓股数须逐次不增加",IF(Q726&gt;F726,"违规：止损风险超过本次预算","通过")))))))))))))))</f>
        <v/>
      </c>
    </row>
    <row r="727" customFormat="false" ht="15" hidden="false" customHeight="false" outlineLevel="0" collapsed="false">
      <c r="A727" s="20"/>
      <c r="B727" s="21"/>
      <c r="C727" s="22"/>
      <c r="D727" s="23"/>
      <c r="E727" s="23"/>
      <c r="F727" s="23"/>
      <c r="G727" s="21"/>
      <c r="H727" s="24" t="str">
        <f aca="false">IF(OR(A727="",D727="",G727=""),"",D727*G727)</f>
        <v/>
      </c>
      <c r="I727" s="25" t="str">
        <f aca="false">IF(OR(A727="",B727=""),"",IFERROR(LOOKUP(2,1/(单次交易!$A$2:$A$201=A727),单次交易!$H$2:$H$201),0)+SUMIFS($G$2:$G$1001,$A$2:$A$1001,A727,$B$2:$B$1001,"&lt;"&amp;B727))</f>
        <v/>
      </c>
      <c r="J727" s="24" t="str">
        <f aca="false">IF(OR(A727="",B727=""),"",IFERROR(LOOKUP(2,1/(单次交易!$A$2:$A$201=A727),单次交易!$E$2:$E$201)*LOOKUP(2,1/(单次交易!$A$2:$A$201=A727),单次交易!$H$2:$H$201),0)+SUMIFS($H$2:$H$1001,$A$2:$A$1001,A727,$B$2:$B$1001,"&lt;"&amp;B727))</f>
        <v/>
      </c>
      <c r="K727" s="24" t="str">
        <f aca="false">IF(OR(E727="",I727="",J727=""),"",MAX(E727*I727-J727,0))</f>
        <v/>
      </c>
      <c r="L727" s="25" t="str">
        <f aca="false">IF(OR(D727="",E727="",F727="",D727&lt;=E727),"",FLOOR((F727+K727)/(D727-E727),100))</f>
        <v/>
      </c>
      <c r="M727" s="25" t="str">
        <f aca="false">IF(OR(A727="",B727="",L727=""),"",IF(B727=1,L727,IFERROR(SUMIFS($G$2:$G$1001,$A$2:$A$1001,A727,$B$2:$B$1001,B727-1),0)))</f>
        <v/>
      </c>
      <c r="N727" s="25" t="str">
        <f aca="false">IF(OR(L727="",M727=""),"",MIN(L727,M727))</f>
        <v/>
      </c>
      <c r="O727" s="25" t="str">
        <f aca="false">IF(OR(I727="",G727=""),"",I727+G727)</f>
        <v/>
      </c>
      <c r="P727" s="24" t="str">
        <f aca="false">IF(OR(O727="",O727=0),"",(J727+H727)/O727)</f>
        <v/>
      </c>
      <c r="Q727" s="24" t="str">
        <f aca="false">IF(OR(O727="",E727=""),"",MAX(J727+H727-E727*O727,0))</f>
        <v/>
      </c>
      <c r="R727" s="26" t="str">
        <f aca="false">IF(A727="","",IF(COUNTIF(_TradeIds,A727)=0,"违规：交易编号不存在",IF(OR(B727="",B727&lt;1,B727&gt;5,B727&lt;&gt;INT(B727)),"违规：加仓序号须为1到5的整数",IF(COUNTIFS($A$2:$A$1001,A727,$B$2:$B$1001,B727)&gt;1,"违规：同一交易的加仓序号重复",IF(OR(D727="",E727="",F727=""),"计划不完整：请填写加仓价、新止损价和风险预算",IF(OR(D727&lt;=0,E727&lt;=0,F727&lt;=0,D727&lt;=E727),"违规：加仓价必须高于新止损价，金额须大于0",IF(AND(B727&gt;1,COUNTIFS($A$2:$A$1001,A727,$B$2:$B$1001,B727-1,$G$2:$G$1001,"&gt;0")=0),"违规：须先完成上一次加仓",IF(AND(B727&gt;1,E727&lt;SUMIFS($E$2:$E$1001,$A$2:$A$1001,A727,$B$2:$B$1001,B727-1)),"违规：新止损价不得低于上一次",IF(AND(B727&gt;1,F727&gt;SUMIFS($F$2:$F$1001,$A$2:$A$1001,A727,$B$2:$B$1001,B727-1)),"违规：风险预算须逐次不增加",IF(OR(_LockStatus="已锁仓",_LockStatus="解锁信息不完整"),"违规：锁仓期间禁止加仓",IF(G727="","计划可执行：建议股数见N列",IF(OR(G727&lt;=0,G727&lt;&gt;INT(G727),MOD(G727,100)&lt;&gt;0),"违规：实际股数须为100股整数倍",IF(G727&gt;N727,"违规：实际股数超过风险或金字塔上限",IF(AND(B727&gt;1,G727&gt;SUMIFS($G$2:$G$1001,$A$2:$A$1001,A727,$B$2:$B$1001,B727-1)),"违规：加仓股数须逐次不增加",IF(Q727&gt;F727,"违规：止损风险超过本次预算","通过")))))))))))))))</f>
        <v/>
      </c>
    </row>
    <row r="728" customFormat="false" ht="15" hidden="false" customHeight="false" outlineLevel="0" collapsed="false">
      <c r="A728" s="20"/>
      <c r="B728" s="21"/>
      <c r="C728" s="22"/>
      <c r="D728" s="23"/>
      <c r="E728" s="23"/>
      <c r="F728" s="23"/>
      <c r="G728" s="21"/>
      <c r="H728" s="24" t="str">
        <f aca="false">IF(OR(A728="",D728="",G728=""),"",D728*G728)</f>
        <v/>
      </c>
      <c r="I728" s="25" t="str">
        <f aca="false">IF(OR(A728="",B728=""),"",IFERROR(LOOKUP(2,1/(单次交易!$A$2:$A$201=A728),单次交易!$H$2:$H$201),0)+SUMIFS($G$2:$G$1001,$A$2:$A$1001,A728,$B$2:$B$1001,"&lt;"&amp;B728))</f>
        <v/>
      </c>
      <c r="J728" s="24" t="str">
        <f aca="false">IF(OR(A728="",B728=""),"",IFERROR(LOOKUP(2,1/(单次交易!$A$2:$A$201=A728),单次交易!$E$2:$E$201)*LOOKUP(2,1/(单次交易!$A$2:$A$201=A728),单次交易!$H$2:$H$201),0)+SUMIFS($H$2:$H$1001,$A$2:$A$1001,A728,$B$2:$B$1001,"&lt;"&amp;B728))</f>
        <v/>
      </c>
      <c r="K728" s="24" t="str">
        <f aca="false">IF(OR(E728="",I728="",J728=""),"",MAX(E728*I728-J728,0))</f>
        <v/>
      </c>
      <c r="L728" s="25" t="str">
        <f aca="false">IF(OR(D728="",E728="",F728="",D728&lt;=E728),"",FLOOR((F728+K728)/(D728-E728),100))</f>
        <v/>
      </c>
      <c r="M728" s="25" t="str">
        <f aca="false">IF(OR(A728="",B728="",L728=""),"",IF(B728=1,L728,IFERROR(SUMIFS($G$2:$G$1001,$A$2:$A$1001,A728,$B$2:$B$1001,B728-1),0)))</f>
        <v/>
      </c>
      <c r="N728" s="25" t="str">
        <f aca="false">IF(OR(L728="",M728=""),"",MIN(L728,M728))</f>
        <v/>
      </c>
      <c r="O728" s="25" t="str">
        <f aca="false">IF(OR(I728="",G728=""),"",I728+G728)</f>
        <v/>
      </c>
      <c r="P728" s="24" t="str">
        <f aca="false">IF(OR(O728="",O728=0),"",(J728+H728)/O728)</f>
        <v/>
      </c>
      <c r="Q728" s="24" t="str">
        <f aca="false">IF(OR(O728="",E728=""),"",MAX(J728+H728-E728*O728,0))</f>
        <v/>
      </c>
      <c r="R728" s="26" t="str">
        <f aca="false">IF(A728="","",IF(COUNTIF(_TradeIds,A728)=0,"违规：交易编号不存在",IF(OR(B728="",B728&lt;1,B728&gt;5,B728&lt;&gt;INT(B728)),"违规：加仓序号须为1到5的整数",IF(COUNTIFS($A$2:$A$1001,A728,$B$2:$B$1001,B728)&gt;1,"违规：同一交易的加仓序号重复",IF(OR(D728="",E728="",F728=""),"计划不完整：请填写加仓价、新止损价和风险预算",IF(OR(D728&lt;=0,E728&lt;=0,F728&lt;=0,D728&lt;=E728),"违规：加仓价必须高于新止损价，金额须大于0",IF(AND(B728&gt;1,COUNTIFS($A$2:$A$1001,A728,$B$2:$B$1001,B728-1,$G$2:$G$1001,"&gt;0")=0),"违规：须先完成上一次加仓",IF(AND(B728&gt;1,E728&lt;SUMIFS($E$2:$E$1001,$A$2:$A$1001,A728,$B$2:$B$1001,B728-1)),"违规：新止损价不得低于上一次",IF(AND(B728&gt;1,F728&gt;SUMIFS($F$2:$F$1001,$A$2:$A$1001,A728,$B$2:$B$1001,B728-1)),"违规：风险预算须逐次不增加",IF(OR(_LockStatus="已锁仓",_LockStatus="解锁信息不完整"),"违规：锁仓期间禁止加仓",IF(G728="","计划可执行：建议股数见N列",IF(OR(G728&lt;=0,G728&lt;&gt;INT(G728),MOD(G728,100)&lt;&gt;0),"违规：实际股数须为100股整数倍",IF(G728&gt;N728,"违规：实际股数超过风险或金字塔上限",IF(AND(B728&gt;1,G728&gt;SUMIFS($G$2:$G$1001,$A$2:$A$1001,A728,$B$2:$B$1001,B728-1)),"违规：加仓股数须逐次不增加",IF(Q728&gt;F728,"违规：止损风险超过本次预算","通过")))))))))))))))</f>
        <v/>
      </c>
    </row>
    <row r="729" customFormat="false" ht="15" hidden="false" customHeight="false" outlineLevel="0" collapsed="false">
      <c r="A729" s="20"/>
      <c r="B729" s="21"/>
      <c r="C729" s="22"/>
      <c r="D729" s="23"/>
      <c r="E729" s="23"/>
      <c r="F729" s="23"/>
      <c r="G729" s="21"/>
      <c r="H729" s="24" t="str">
        <f aca="false">IF(OR(A729="",D729="",G729=""),"",D729*G729)</f>
        <v/>
      </c>
      <c r="I729" s="25" t="str">
        <f aca="false">IF(OR(A729="",B729=""),"",IFERROR(LOOKUP(2,1/(单次交易!$A$2:$A$201=A729),单次交易!$H$2:$H$201),0)+SUMIFS($G$2:$G$1001,$A$2:$A$1001,A729,$B$2:$B$1001,"&lt;"&amp;B729))</f>
        <v/>
      </c>
      <c r="J729" s="24" t="str">
        <f aca="false">IF(OR(A729="",B729=""),"",IFERROR(LOOKUP(2,1/(单次交易!$A$2:$A$201=A729),单次交易!$E$2:$E$201)*LOOKUP(2,1/(单次交易!$A$2:$A$201=A729),单次交易!$H$2:$H$201),0)+SUMIFS($H$2:$H$1001,$A$2:$A$1001,A729,$B$2:$B$1001,"&lt;"&amp;B729))</f>
        <v/>
      </c>
      <c r="K729" s="24" t="str">
        <f aca="false">IF(OR(E729="",I729="",J729=""),"",MAX(E729*I729-J729,0))</f>
        <v/>
      </c>
      <c r="L729" s="25" t="str">
        <f aca="false">IF(OR(D729="",E729="",F729="",D729&lt;=E729),"",FLOOR((F729+K729)/(D729-E729),100))</f>
        <v/>
      </c>
      <c r="M729" s="25" t="str">
        <f aca="false">IF(OR(A729="",B729="",L729=""),"",IF(B729=1,L729,IFERROR(SUMIFS($G$2:$G$1001,$A$2:$A$1001,A729,$B$2:$B$1001,B729-1),0)))</f>
        <v/>
      </c>
      <c r="N729" s="25" t="str">
        <f aca="false">IF(OR(L729="",M729=""),"",MIN(L729,M729))</f>
        <v/>
      </c>
      <c r="O729" s="25" t="str">
        <f aca="false">IF(OR(I729="",G729=""),"",I729+G729)</f>
        <v/>
      </c>
      <c r="P729" s="24" t="str">
        <f aca="false">IF(OR(O729="",O729=0),"",(J729+H729)/O729)</f>
        <v/>
      </c>
      <c r="Q729" s="24" t="str">
        <f aca="false">IF(OR(O729="",E729=""),"",MAX(J729+H729-E729*O729,0))</f>
        <v/>
      </c>
      <c r="R729" s="26" t="str">
        <f aca="false">IF(A729="","",IF(COUNTIF(_TradeIds,A729)=0,"违规：交易编号不存在",IF(OR(B729="",B729&lt;1,B729&gt;5,B729&lt;&gt;INT(B729)),"违规：加仓序号须为1到5的整数",IF(COUNTIFS($A$2:$A$1001,A729,$B$2:$B$1001,B729)&gt;1,"违规：同一交易的加仓序号重复",IF(OR(D729="",E729="",F729=""),"计划不完整：请填写加仓价、新止损价和风险预算",IF(OR(D729&lt;=0,E729&lt;=0,F729&lt;=0,D729&lt;=E729),"违规：加仓价必须高于新止损价，金额须大于0",IF(AND(B729&gt;1,COUNTIFS($A$2:$A$1001,A729,$B$2:$B$1001,B729-1,$G$2:$G$1001,"&gt;0")=0),"违规：须先完成上一次加仓",IF(AND(B729&gt;1,E729&lt;SUMIFS($E$2:$E$1001,$A$2:$A$1001,A729,$B$2:$B$1001,B729-1)),"违规：新止损价不得低于上一次",IF(AND(B729&gt;1,F729&gt;SUMIFS($F$2:$F$1001,$A$2:$A$1001,A729,$B$2:$B$1001,B729-1)),"违规：风险预算须逐次不增加",IF(OR(_LockStatus="已锁仓",_LockStatus="解锁信息不完整"),"违规：锁仓期间禁止加仓",IF(G729="","计划可执行：建议股数见N列",IF(OR(G729&lt;=0,G729&lt;&gt;INT(G729),MOD(G729,100)&lt;&gt;0),"违规：实际股数须为100股整数倍",IF(G729&gt;N729,"违规：实际股数超过风险或金字塔上限",IF(AND(B729&gt;1,G729&gt;SUMIFS($G$2:$G$1001,$A$2:$A$1001,A729,$B$2:$B$1001,B729-1)),"违规：加仓股数须逐次不增加",IF(Q729&gt;F729,"违规：止损风险超过本次预算","通过")))))))))))))))</f>
        <v/>
      </c>
    </row>
    <row r="730" customFormat="false" ht="15" hidden="false" customHeight="false" outlineLevel="0" collapsed="false">
      <c r="A730" s="20"/>
      <c r="B730" s="21"/>
      <c r="C730" s="22"/>
      <c r="D730" s="23"/>
      <c r="E730" s="23"/>
      <c r="F730" s="23"/>
      <c r="G730" s="21"/>
      <c r="H730" s="24" t="str">
        <f aca="false">IF(OR(A730="",D730="",G730=""),"",D730*G730)</f>
        <v/>
      </c>
      <c r="I730" s="25" t="str">
        <f aca="false">IF(OR(A730="",B730=""),"",IFERROR(LOOKUP(2,1/(单次交易!$A$2:$A$201=A730),单次交易!$H$2:$H$201),0)+SUMIFS($G$2:$G$1001,$A$2:$A$1001,A730,$B$2:$B$1001,"&lt;"&amp;B730))</f>
        <v/>
      </c>
      <c r="J730" s="24" t="str">
        <f aca="false">IF(OR(A730="",B730=""),"",IFERROR(LOOKUP(2,1/(单次交易!$A$2:$A$201=A730),单次交易!$E$2:$E$201)*LOOKUP(2,1/(单次交易!$A$2:$A$201=A730),单次交易!$H$2:$H$201),0)+SUMIFS($H$2:$H$1001,$A$2:$A$1001,A730,$B$2:$B$1001,"&lt;"&amp;B730))</f>
        <v/>
      </c>
      <c r="K730" s="24" t="str">
        <f aca="false">IF(OR(E730="",I730="",J730=""),"",MAX(E730*I730-J730,0))</f>
        <v/>
      </c>
      <c r="L730" s="25" t="str">
        <f aca="false">IF(OR(D730="",E730="",F730="",D730&lt;=E730),"",FLOOR((F730+K730)/(D730-E730),100))</f>
        <v/>
      </c>
      <c r="M730" s="25" t="str">
        <f aca="false">IF(OR(A730="",B730="",L730=""),"",IF(B730=1,L730,IFERROR(SUMIFS($G$2:$G$1001,$A$2:$A$1001,A730,$B$2:$B$1001,B730-1),0)))</f>
        <v/>
      </c>
      <c r="N730" s="25" t="str">
        <f aca="false">IF(OR(L730="",M730=""),"",MIN(L730,M730))</f>
        <v/>
      </c>
      <c r="O730" s="25" t="str">
        <f aca="false">IF(OR(I730="",G730=""),"",I730+G730)</f>
        <v/>
      </c>
      <c r="P730" s="24" t="str">
        <f aca="false">IF(OR(O730="",O730=0),"",(J730+H730)/O730)</f>
        <v/>
      </c>
      <c r="Q730" s="24" t="str">
        <f aca="false">IF(OR(O730="",E730=""),"",MAX(J730+H730-E730*O730,0))</f>
        <v/>
      </c>
      <c r="R730" s="26" t="str">
        <f aca="false">IF(A730="","",IF(COUNTIF(_TradeIds,A730)=0,"违规：交易编号不存在",IF(OR(B730="",B730&lt;1,B730&gt;5,B730&lt;&gt;INT(B730)),"违规：加仓序号须为1到5的整数",IF(COUNTIFS($A$2:$A$1001,A730,$B$2:$B$1001,B730)&gt;1,"违规：同一交易的加仓序号重复",IF(OR(D730="",E730="",F730=""),"计划不完整：请填写加仓价、新止损价和风险预算",IF(OR(D730&lt;=0,E730&lt;=0,F730&lt;=0,D730&lt;=E730),"违规：加仓价必须高于新止损价，金额须大于0",IF(AND(B730&gt;1,COUNTIFS($A$2:$A$1001,A730,$B$2:$B$1001,B730-1,$G$2:$G$1001,"&gt;0")=0),"违规：须先完成上一次加仓",IF(AND(B730&gt;1,E730&lt;SUMIFS($E$2:$E$1001,$A$2:$A$1001,A730,$B$2:$B$1001,B730-1)),"违规：新止损价不得低于上一次",IF(AND(B730&gt;1,F730&gt;SUMIFS($F$2:$F$1001,$A$2:$A$1001,A730,$B$2:$B$1001,B730-1)),"违规：风险预算须逐次不增加",IF(OR(_LockStatus="已锁仓",_LockStatus="解锁信息不完整"),"违规：锁仓期间禁止加仓",IF(G730="","计划可执行：建议股数见N列",IF(OR(G730&lt;=0,G730&lt;&gt;INT(G730),MOD(G730,100)&lt;&gt;0),"违规：实际股数须为100股整数倍",IF(G730&gt;N730,"违规：实际股数超过风险或金字塔上限",IF(AND(B730&gt;1,G730&gt;SUMIFS($G$2:$G$1001,$A$2:$A$1001,A730,$B$2:$B$1001,B730-1)),"违规：加仓股数须逐次不增加",IF(Q730&gt;F730,"违规：止损风险超过本次预算","通过")))))))))))))))</f>
        <v/>
      </c>
    </row>
    <row r="731" customFormat="false" ht="15" hidden="false" customHeight="false" outlineLevel="0" collapsed="false">
      <c r="A731" s="20"/>
      <c r="B731" s="21"/>
      <c r="C731" s="22"/>
      <c r="D731" s="23"/>
      <c r="E731" s="23"/>
      <c r="F731" s="23"/>
      <c r="G731" s="21"/>
      <c r="H731" s="24" t="str">
        <f aca="false">IF(OR(A731="",D731="",G731=""),"",D731*G731)</f>
        <v/>
      </c>
      <c r="I731" s="25" t="str">
        <f aca="false">IF(OR(A731="",B731=""),"",IFERROR(LOOKUP(2,1/(单次交易!$A$2:$A$201=A731),单次交易!$H$2:$H$201),0)+SUMIFS($G$2:$G$1001,$A$2:$A$1001,A731,$B$2:$B$1001,"&lt;"&amp;B731))</f>
        <v/>
      </c>
      <c r="J731" s="24" t="str">
        <f aca="false">IF(OR(A731="",B731=""),"",IFERROR(LOOKUP(2,1/(单次交易!$A$2:$A$201=A731),单次交易!$E$2:$E$201)*LOOKUP(2,1/(单次交易!$A$2:$A$201=A731),单次交易!$H$2:$H$201),0)+SUMIFS($H$2:$H$1001,$A$2:$A$1001,A731,$B$2:$B$1001,"&lt;"&amp;B731))</f>
        <v/>
      </c>
      <c r="K731" s="24" t="str">
        <f aca="false">IF(OR(E731="",I731="",J731=""),"",MAX(E731*I731-J731,0))</f>
        <v/>
      </c>
      <c r="L731" s="25" t="str">
        <f aca="false">IF(OR(D731="",E731="",F731="",D731&lt;=E731),"",FLOOR((F731+K731)/(D731-E731),100))</f>
        <v/>
      </c>
      <c r="M731" s="25" t="str">
        <f aca="false">IF(OR(A731="",B731="",L731=""),"",IF(B731=1,L731,IFERROR(SUMIFS($G$2:$G$1001,$A$2:$A$1001,A731,$B$2:$B$1001,B731-1),0)))</f>
        <v/>
      </c>
      <c r="N731" s="25" t="str">
        <f aca="false">IF(OR(L731="",M731=""),"",MIN(L731,M731))</f>
        <v/>
      </c>
      <c r="O731" s="25" t="str">
        <f aca="false">IF(OR(I731="",G731=""),"",I731+G731)</f>
        <v/>
      </c>
      <c r="P731" s="24" t="str">
        <f aca="false">IF(OR(O731="",O731=0),"",(J731+H731)/O731)</f>
        <v/>
      </c>
      <c r="Q731" s="24" t="str">
        <f aca="false">IF(OR(O731="",E731=""),"",MAX(J731+H731-E731*O731,0))</f>
        <v/>
      </c>
      <c r="R731" s="26" t="str">
        <f aca="false">IF(A731="","",IF(COUNTIF(_TradeIds,A731)=0,"违规：交易编号不存在",IF(OR(B731="",B731&lt;1,B731&gt;5,B731&lt;&gt;INT(B731)),"违规：加仓序号须为1到5的整数",IF(COUNTIFS($A$2:$A$1001,A731,$B$2:$B$1001,B731)&gt;1,"违规：同一交易的加仓序号重复",IF(OR(D731="",E731="",F731=""),"计划不完整：请填写加仓价、新止损价和风险预算",IF(OR(D731&lt;=0,E731&lt;=0,F731&lt;=0,D731&lt;=E731),"违规：加仓价必须高于新止损价，金额须大于0",IF(AND(B731&gt;1,COUNTIFS($A$2:$A$1001,A731,$B$2:$B$1001,B731-1,$G$2:$G$1001,"&gt;0")=0),"违规：须先完成上一次加仓",IF(AND(B731&gt;1,E731&lt;SUMIFS($E$2:$E$1001,$A$2:$A$1001,A731,$B$2:$B$1001,B731-1)),"违规：新止损价不得低于上一次",IF(AND(B731&gt;1,F731&gt;SUMIFS($F$2:$F$1001,$A$2:$A$1001,A731,$B$2:$B$1001,B731-1)),"违规：风险预算须逐次不增加",IF(OR(_LockStatus="已锁仓",_LockStatus="解锁信息不完整"),"违规：锁仓期间禁止加仓",IF(G731="","计划可执行：建议股数见N列",IF(OR(G731&lt;=0,G731&lt;&gt;INT(G731),MOD(G731,100)&lt;&gt;0),"违规：实际股数须为100股整数倍",IF(G731&gt;N731,"违规：实际股数超过风险或金字塔上限",IF(AND(B731&gt;1,G731&gt;SUMIFS($G$2:$G$1001,$A$2:$A$1001,A731,$B$2:$B$1001,B731-1)),"违规：加仓股数须逐次不增加",IF(Q731&gt;F731,"违规：止损风险超过本次预算","通过")))))))))))))))</f>
        <v/>
      </c>
    </row>
    <row r="732" customFormat="false" ht="15" hidden="false" customHeight="false" outlineLevel="0" collapsed="false">
      <c r="A732" s="20"/>
      <c r="B732" s="21"/>
      <c r="C732" s="22"/>
      <c r="D732" s="23"/>
      <c r="E732" s="23"/>
      <c r="F732" s="23"/>
      <c r="G732" s="21"/>
      <c r="H732" s="24" t="str">
        <f aca="false">IF(OR(A732="",D732="",G732=""),"",D732*G732)</f>
        <v/>
      </c>
      <c r="I732" s="25" t="str">
        <f aca="false">IF(OR(A732="",B732=""),"",IFERROR(LOOKUP(2,1/(单次交易!$A$2:$A$201=A732),单次交易!$H$2:$H$201),0)+SUMIFS($G$2:$G$1001,$A$2:$A$1001,A732,$B$2:$B$1001,"&lt;"&amp;B732))</f>
        <v/>
      </c>
      <c r="J732" s="24" t="str">
        <f aca="false">IF(OR(A732="",B732=""),"",IFERROR(LOOKUP(2,1/(单次交易!$A$2:$A$201=A732),单次交易!$E$2:$E$201)*LOOKUP(2,1/(单次交易!$A$2:$A$201=A732),单次交易!$H$2:$H$201),0)+SUMIFS($H$2:$H$1001,$A$2:$A$1001,A732,$B$2:$B$1001,"&lt;"&amp;B732))</f>
        <v/>
      </c>
      <c r="K732" s="24" t="str">
        <f aca="false">IF(OR(E732="",I732="",J732=""),"",MAX(E732*I732-J732,0))</f>
        <v/>
      </c>
      <c r="L732" s="25" t="str">
        <f aca="false">IF(OR(D732="",E732="",F732="",D732&lt;=E732),"",FLOOR((F732+K732)/(D732-E732),100))</f>
        <v/>
      </c>
      <c r="M732" s="25" t="str">
        <f aca="false">IF(OR(A732="",B732="",L732=""),"",IF(B732=1,L732,IFERROR(SUMIFS($G$2:$G$1001,$A$2:$A$1001,A732,$B$2:$B$1001,B732-1),0)))</f>
        <v/>
      </c>
      <c r="N732" s="25" t="str">
        <f aca="false">IF(OR(L732="",M732=""),"",MIN(L732,M732))</f>
        <v/>
      </c>
      <c r="O732" s="25" t="str">
        <f aca="false">IF(OR(I732="",G732=""),"",I732+G732)</f>
        <v/>
      </c>
      <c r="P732" s="24" t="str">
        <f aca="false">IF(OR(O732="",O732=0),"",(J732+H732)/O732)</f>
        <v/>
      </c>
      <c r="Q732" s="24" t="str">
        <f aca="false">IF(OR(O732="",E732=""),"",MAX(J732+H732-E732*O732,0))</f>
        <v/>
      </c>
      <c r="R732" s="26" t="str">
        <f aca="false">IF(A732="","",IF(COUNTIF(_TradeIds,A732)=0,"违规：交易编号不存在",IF(OR(B732="",B732&lt;1,B732&gt;5,B732&lt;&gt;INT(B732)),"违规：加仓序号须为1到5的整数",IF(COUNTIFS($A$2:$A$1001,A732,$B$2:$B$1001,B732)&gt;1,"违规：同一交易的加仓序号重复",IF(OR(D732="",E732="",F732=""),"计划不完整：请填写加仓价、新止损价和风险预算",IF(OR(D732&lt;=0,E732&lt;=0,F732&lt;=0,D732&lt;=E732),"违规：加仓价必须高于新止损价，金额须大于0",IF(AND(B732&gt;1,COUNTIFS($A$2:$A$1001,A732,$B$2:$B$1001,B732-1,$G$2:$G$1001,"&gt;0")=0),"违规：须先完成上一次加仓",IF(AND(B732&gt;1,E732&lt;SUMIFS($E$2:$E$1001,$A$2:$A$1001,A732,$B$2:$B$1001,B732-1)),"违规：新止损价不得低于上一次",IF(AND(B732&gt;1,F732&gt;SUMIFS($F$2:$F$1001,$A$2:$A$1001,A732,$B$2:$B$1001,B732-1)),"违规：风险预算须逐次不增加",IF(OR(_LockStatus="已锁仓",_LockStatus="解锁信息不完整"),"违规：锁仓期间禁止加仓",IF(G732="","计划可执行：建议股数见N列",IF(OR(G732&lt;=0,G732&lt;&gt;INT(G732),MOD(G732,100)&lt;&gt;0),"违规：实际股数须为100股整数倍",IF(G732&gt;N732,"违规：实际股数超过风险或金字塔上限",IF(AND(B732&gt;1,G732&gt;SUMIFS($G$2:$G$1001,$A$2:$A$1001,A732,$B$2:$B$1001,B732-1)),"违规：加仓股数须逐次不增加",IF(Q732&gt;F732,"违规：止损风险超过本次预算","通过")))))))))))))))</f>
        <v/>
      </c>
    </row>
    <row r="733" customFormat="false" ht="15" hidden="false" customHeight="false" outlineLevel="0" collapsed="false">
      <c r="A733" s="20"/>
      <c r="B733" s="21"/>
      <c r="C733" s="22"/>
      <c r="D733" s="23"/>
      <c r="E733" s="23"/>
      <c r="F733" s="23"/>
      <c r="G733" s="21"/>
      <c r="H733" s="24" t="str">
        <f aca="false">IF(OR(A733="",D733="",G733=""),"",D733*G733)</f>
        <v/>
      </c>
      <c r="I733" s="25" t="str">
        <f aca="false">IF(OR(A733="",B733=""),"",IFERROR(LOOKUP(2,1/(单次交易!$A$2:$A$201=A733),单次交易!$H$2:$H$201),0)+SUMIFS($G$2:$G$1001,$A$2:$A$1001,A733,$B$2:$B$1001,"&lt;"&amp;B733))</f>
        <v/>
      </c>
      <c r="J733" s="24" t="str">
        <f aca="false">IF(OR(A733="",B733=""),"",IFERROR(LOOKUP(2,1/(单次交易!$A$2:$A$201=A733),单次交易!$E$2:$E$201)*LOOKUP(2,1/(单次交易!$A$2:$A$201=A733),单次交易!$H$2:$H$201),0)+SUMIFS($H$2:$H$1001,$A$2:$A$1001,A733,$B$2:$B$1001,"&lt;"&amp;B733))</f>
        <v/>
      </c>
      <c r="K733" s="24" t="str">
        <f aca="false">IF(OR(E733="",I733="",J733=""),"",MAX(E733*I733-J733,0))</f>
        <v/>
      </c>
      <c r="L733" s="25" t="str">
        <f aca="false">IF(OR(D733="",E733="",F733="",D733&lt;=E733),"",FLOOR((F733+K733)/(D733-E733),100))</f>
        <v/>
      </c>
      <c r="M733" s="25" t="str">
        <f aca="false">IF(OR(A733="",B733="",L733=""),"",IF(B733=1,L733,IFERROR(SUMIFS($G$2:$G$1001,$A$2:$A$1001,A733,$B$2:$B$1001,B733-1),0)))</f>
        <v/>
      </c>
      <c r="N733" s="25" t="str">
        <f aca="false">IF(OR(L733="",M733=""),"",MIN(L733,M733))</f>
        <v/>
      </c>
      <c r="O733" s="25" t="str">
        <f aca="false">IF(OR(I733="",G733=""),"",I733+G733)</f>
        <v/>
      </c>
      <c r="P733" s="24" t="str">
        <f aca="false">IF(OR(O733="",O733=0),"",(J733+H733)/O733)</f>
        <v/>
      </c>
      <c r="Q733" s="24" t="str">
        <f aca="false">IF(OR(O733="",E733=""),"",MAX(J733+H733-E733*O733,0))</f>
        <v/>
      </c>
      <c r="R733" s="26" t="str">
        <f aca="false">IF(A733="","",IF(COUNTIF(_TradeIds,A733)=0,"违规：交易编号不存在",IF(OR(B733="",B733&lt;1,B733&gt;5,B733&lt;&gt;INT(B733)),"违规：加仓序号须为1到5的整数",IF(COUNTIFS($A$2:$A$1001,A733,$B$2:$B$1001,B733)&gt;1,"违规：同一交易的加仓序号重复",IF(OR(D733="",E733="",F733=""),"计划不完整：请填写加仓价、新止损价和风险预算",IF(OR(D733&lt;=0,E733&lt;=0,F733&lt;=0,D733&lt;=E733),"违规：加仓价必须高于新止损价，金额须大于0",IF(AND(B733&gt;1,COUNTIFS($A$2:$A$1001,A733,$B$2:$B$1001,B733-1,$G$2:$G$1001,"&gt;0")=0),"违规：须先完成上一次加仓",IF(AND(B733&gt;1,E733&lt;SUMIFS($E$2:$E$1001,$A$2:$A$1001,A733,$B$2:$B$1001,B733-1)),"违规：新止损价不得低于上一次",IF(AND(B733&gt;1,F733&gt;SUMIFS($F$2:$F$1001,$A$2:$A$1001,A733,$B$2:$B$1001,B733-1)),"违规：风险预算须逐次不增加",IF(OR(_LockStatus="已锁仓",_LockStatus="解锁信息不完整"),"违规：锁仓期间禁止加仓",IF(G733="","计划可执行：建议股数见N列",IF(OR(G733&lt;=0,G733&lt;&gt;INT(G733),MOD(G733,100)&lt;&gt;0),"违规：实际股数须为100股整数倍",IF(G733&gt;N733,"违规：实际股数超过风险或金字塔上限",IF(AND(B733&gt;1,G733&gt;SUMIFS($G$2:$G$1001,$A$2:$A$1001,A733,$B$2:$B$1001,B733-1)),"违规：加仓股数须逐次不增加",IF(Q733&gt;F733,"违规：止损风险超过本次预算","通过")))))))))))))))</f>
        <v/>
      </c>
    </row>
    <row r="734" customFormat="false" ht="15" hidden="false" customHeight="false" outlineLevel="0" collapsed="false">
      <c r="A734" s="20"/>
      <c r="B734" s="21"/>
      <c r="C734" s="22"/>
      <c r="D734" s="23"/>
      <c r="E734" s="23"/>
      <c r="F734" s="23"/>
      <c r="G734" s="21"/>
      <c r="H734" s="24" t="str">
        <f aca="false">IF(OR(A734="",D734="",G734=""),"",D734*G734)</f>
        <v/>
      </c>
      <c r="I734" s="25" t="str">
        <f aca="false">IF(OR(A734="",B734=""),"",IFERROR(LOOKUP(2,1/(单次交易!$A$2:$A$201=A734),单次交易!$H$2:$H$201),0)+SUMIFS($G$2:$G$1001,$A$2:$A$1001,A734,$B$2:$B$1001,"&lt;"&amp;B734))</f>
        <v/>
      </c>
      <c r="J734" s="24" t="str">
        <f aca="false">IF(OR(A734="",B734=""),"",IFERROR(LOOKUP(2,1/(单次交易!$A$2:$A$201=A734),单次交易!$E$2:$E$201)*LOOKUP(2,1/(单次交易!$A$2:$A$201=A734),单次交易!$H$2:$H$201),0)+SUMIFS($H$2:$H$1001,$A$2:$A$1001,A734,$B$2:$B$1001,"&lt;"&amp;B734))</f>
        <v/>
      </c>
      <c r="K734" s="24" t="str">
        <f aca="false">IF(OR(E734="",I734="",J734=""),"",MAX(E734*I734-J734,0))</f>
        <v/>
      </c>
      <c r="L734" s="25" t="str">
        <f aca="false">IF(OR(D734="",E734="",F734="",D734&lt;=E734),"",FLOOR((F734+K734)/(D734-E734),100))</f>
        <v/>
      </c>
      <c r="M734" s="25" t="str">
        <f aca="false">IF(OR(A734="",B734="",L734=""),"",IF(B734=1,L734,IFERROR(SUMIFS($G$2:$G$1001,$A$2:$A$1001,A734,$B$2:$B$1001,B734-1),0)))</f>
        <v/>
      </c>
      <c r="N734" s="25" t="str">
        <f aca="false">IF(OR(L734="",M734=""),"",MIN(L734,M734))</f>
        <v/>
      </c>
      <c r="O734" s="25" t="str">
        <f aca="false">IF(OR(I734="",G734=""),"",I734+G734)</f>
        <v/>
      </c>
      <c r="P734" s="24" t="str">
        <f aca="false">IF(OR(O734="",O734=0),"",(J734+H734)/O734)</f>
        <v/>
      </c>
      <c r="Q734" s="24" t="str">
        <f aca="false">IF(OR(O734="",E734=""),"",MAX(J734+H734-E734*O734,0))</f>
        <v/>
      </c>
      <c r="R734" s="26" t="str">
        <f aca="false">IF(A734="","",IF(COUNTIF(_TradeIds,A734)=0,"违规：交易编号不存在",IF(OR(B734="",B734&lt;1,B734&gt;5,B734&lt;&gt;INT(B734)),"违规：加仓序号须为1到5的整数",IF(COUNTIFS($A$2:$A$1001,A734,$B$2:$B$1001,B734)&gt;1,"违规：同一交易的加仓序号重复",IF(OR(D734="",E734="",F734=""),"计划不完整：请填写加仓价、新止损价和风险预算",IF(OR(D734&lt;=0,E734&lt;=0,F734&lt;=0,D734&lt;=E734),"违规：加仓价必须高于新止损价，金额须大于0",IF(AND(B734&gt;1,COUNTIFS($A$2:$A$1001,A734,$B$2:$B$1001,B734-1,$G$2:$G$1001,"&gt;0")=0),"违规：须先完成上一次加仓",IF(AND(B734&gt;1,E734&lt;SUMIFS($E$2:$E$1001,$A$2:$A$1001,A734,$B$2:$B$1001,B734-1)),"违规：新止损价不得低于上一次",IF(AND(B734&gt;1,F734&gt;SUMIFS($F$2:$F$1001,$A$2:$A$1001,A734,$B$2:$B$1001,B734-1)),"违规：风险预算须逐次不增加",IF(OR(_LockStatus="已锁仓",_LockStatus="解锁信息不完整"),"违规：锁仓期间禁止加仓",IF(G734="","计划可执行：建议股数见N列",IF(OR(G734&lt;=0,G734&lt;&gt;INT(G734),MOD(G734,100)&lt;&gt;0),"违规：实际股数须为100股整数倍",IF(G734&gt;N734,"违规：实际股数超过风险或金字塔上限",IF(AND(B734&gt;1,G734&gt;SUMIFS($G$2:$G$1001,$A$2:$A$1001,A734,$B$2:$B$1001,B734-1)),"违规：加仓股数须逐次不增加",IF(Q734&gt;F734,"违规：止损风险超过本次预算","通过")))))))))))))))</f>
        <v/>
      </c>
    </row>
    <row r="735" customFormat="false" ht="15" hidden="false" customHeight="false" outlineLevel="0" collapsed="false">
      <c r="A735" s="20"/>
      <c r="B735" s="21"/>
      <c r="C735" s="22"/>
      <c r="D735" s="23"/>
      <c r="E735" s="23"/>
      <c r="F735" s="23"/>
      <c r="G735" s="21"/>
      <c r="H735" s="24" t="str">
        <f aca="false">IF(OR(A735="",D735="",G735=""),"",D735*G735)</f>
        <v/>
      </c>
      <c r="I735" s="25" t="str">
        <f aca="false">IF(OR(A735="",B735=""),"",IFERROR(LOOKUP(2,1/(单次交易!$A$2:$A$201=A735),单次交易!$H$2:$H$201),0)+SUMIFS($G$2:$G$1001,$A$2:$A$1001,A735,$B$2:$B$1001,"&lt;"&amp;B735))</f>
        <v/>
      </c>
      <c r="J735" s="24" t="str">
        <f aca="false">IF(OR(A735="",B735=""),"",IFERROR(LOOKUP(2,1/(单次交易!$A$2:$A$201=A735),单次交易!$E$2:$E$201)*LOOKUP(2,1/(单次交易!$A$2:$A$201=A735),单次交易!$H$2:$H$201),0)+SUMIFS($H$2:$H$1001,$A$2:$A$1001,A735,$B$2:$B$1001,"&lt;"&amp;B735))</f>
        <v/>
      </c>
      <c r="K735" s="24" t="str">
        <f aca="false">IF(OR(E735="",I735="",J735=""),"",MAX(E735*I735-J735,0))</f>
        <v/>
      </c>
      <c r="L735" s="25" t="str">
        <f aca="false">IF(OR(D735="",E735="",F735="",D735&lt;=E735),"",FLOOR((F735+K735)/(D735-E735),100))</f>
        <v/>
      </c>
      <c r="M735" s="25" t="str">
        <f aca="false">IF(OR(A735="",B735="",L735=""),"",IF(B735=1,L735,IFERROR(SUMIFS($G$2:$G$1001,$A$2:$A$1001,A735,$B$2:$B$1001,B735-1),0)))</f>
        <v/>
      </c>
      <c r="N735" s="25" t="str">
        <f aca="false">IF(OR(L735="",M735=""),"",MIN(L735,M735))</f>
        <v/>
      </c>
      <c r="O735" s="25" t="str">
        <f aca="false">IF(OR(I735="",G735=""),"",I735+G735)</f>
        <v/>
      </c>
      <c r="P735" s="24" t="str">
        <f aca="false">IF(OR(O735="",O735=0),"",(J735+H735)/O735)</f>
        <v/>
      </c>
      <c r="Q735" s="24" t="str">
        <f aca="false">IF(OR(O735="",E735=""),"",MAX(J735+H735-E735*O735,0))</f>
        <v/>
      </c>
      <c r="R735" s="26" t="str">
        <f aca="false">IF(A735="","",IF(COUNTIF(_TradeIds,A735)=0,"违规：交易编号不存在",IF(OR(B735="",B735&lt;1,B735&gt;5,B735&lt;&gt;INT(B735)),"违规：加仓序号须为1到5的整数",IF(COUNTIFS($A$2:$A$1001,A735,$B$2:$B$1001,B735)&gt;1,"违规：同一交易的加仓序号重复",IF(OR(D735="",E735="",F735=""),"计划不完整：请填写加仓价、新止损价和风险预算",IF(OR(D735&lt;=0,E735&lt;=0,F735&lt;=0,D735&lt;=E735),"违规：加仓价必须高于新止损价，金额须大于0",IF(AND(B735&gt;1,COUNTIFS($A$2:$A$1001,A735,$B$2:$B$1001,B735-1,$G$2:$G$1001,"&gt;0")=0),"违规：须先完成上一次加仓",IF(AND(B735&gt;1,E735&lt;SUMIFS($E$2:$E$1001,$A$2:$A$1001,A735,$B$2:$B$1001,B735-1)),"违规：新止损价不得低于上一次",IF(AND(B735&gt;1,F735&gt;SUMIFS($F$2:$F$1001,$A$2:$A$1001,A735,$B$2:$B$1001,B735-1)),"违规：风险预算须逐次不增加",IF(OR(_LockStatus="已锁仓",_LockStatus="解锁信息不完整"),"违规：锁仓期间禁止加仓",IF(G735="","计划可执行：建议股数见N列",IF(OR(G735&lt;=0,G735&lt;&gt;INT(G735),MOD(G735,100)&lt;&gt;0),"违规：实际股数须为100股整数倍",IF(G735&gt;N735,"违规：实际股数超过风险或金字塔上限",IF(AND(B735&gt;1,G735&gt;SUMIFS($G$2:$G$1001,$A$2:$A$1001,A735,$B$2:$B$1001,B735-1)),"违规：加仓股数须逐次不增加",IF(Q735&gt;F735,"违规：止损风险超过本次预算","通过")))))))))))))))</f>
        <v/>
      </c>
    </row>
    <row r="736" customFormat="false" ht="15" hidden="false" customHeight="false" outlineLevel="0" collapsed="false">
      <c r="A736" s="20"/>
      <c r="B736" s="21"/>
      <c r="C736" s="22"/>
      <c r="D736" s="23"/>
      <c r="E736" s="23"/>
      <c r="F736" s="23"/>
      <c r="G736" s="21"/>
      <c r="H736" s="24" t="str">
        <f aca="false">IF(OR(A736="",D736="",G736=""),"",D736*G736)</f>
        <v/>
      </c>
      <c r="I736" s="25" t="str">
        <f aca="false">IF(OR(A736="",B736=""),"",IFERROR(LOOKUP(2,1/(单次交易!$A$2:$A$201=A736),单次交易!$H$2:$H$201),0)+SUMIFS($G$2:$G$1001,$A$2:$A$1001,A736,$B$2:$B$1001,"&lt;"&amp;B736))</f>
        <v/>
      </c>
      <c r="J736" s="24" t="str">
        <f aca="false">IF(OR(A736="",B736=""),"",IFERROR(LOOKUP(2,1/(单次交易!$A$2:$A$201=A736),单次交易!$E$2:$E$201)*LOOKUP(2,1/(单次交易!$A$2:$A$201=A736),单次交易!$H$2:$H$201),0)+SUMIFS($H$2:$H$1001,$A$2:$A$1001,A736,$B$2:$B$1001,"&lt;"&amp;B736))</f>
        <v/>
      </c>
      <c r="K736" s="24" t="str">
        <f aca="false">IF(OR(E736="",I736="",J736=""),"",MAX(E736*I736-J736,0))</f>
        <v/>
      </c>
      <c r="L736" s="25" t="str">
        <f aca="false">IF(OR(D736="",E736="",F736="",D736&lt;=E736),"",FLOOR((F736+K736)/(D736-E736),100))</f>
        <v/>
      </c>
      <c r="M736" s="25" t="str">
        <f aca="false">IF(OR(A736="",B736="",L736=""),"",IF(B736=1,L736,IFERROR(SUMIFS($G$2:$G$1001,$A$2:$A$1001,A736,$B$2:$B$1001,B736-1),0)))</f>
        <v/>
      </c>
      <c r="N736" s="25" t="str">
        <f aca="false">IF(OR(L736="",M736=""),"",MIN(L736,M736))</f>
        <v/>
      </c>
      <c r="O736" s="25" t="str">
        <f aca="false">IF(OR(I736="",G736=""),"",I736+G736)</f>
        <v/>
      </c>
      <c r="P736" s="24" t="str">
        <f aca="false">IF(OR(O736="",O736=0),"",(J736+H736)/O736)</f>
        <v/>
      </c>
      <c r="Q736" s="24" t="str">
        <f aca="false">IF(OR(O736="",E736=""),"",MAX(J736+H736-E736*O736,0))</f>
        <v/>
      </c>
      <c r="R736" s="26" t="str">
        <f aca="false">IF(A736="","",IF(COUNTIF(_TradeIds,A736)=0,"违规：交易编号不存在",IF(OR(B736="",B736&lt;1,B736&gt;5,B736&lt;&gt;INT(B736)),"违规：加仓序号须为1到5的整数",IF(COUNTIFS($A$2:$A$1001,A736,$B$2:$B$1001,B736)&gt;1,"违规：同一交易的加仓序号重复",IF(OR(D736="",E736="",F736=""),"计划不完整：请填写加仓价、新止损价和风险预算",IF(OR(D736&lt;=0,E736&lt;=0,F736&lt;=0,D736&lt;=E736),"违规：加仓价必须高于新止损价，金额须大于0",IF(AND(B736&gt;1,COUNTIFS($A$2:$A$1001,A736,$B$2:$B$1001,B736-1,$G$2:$G$1001,"&gt;0")=0),"违规：须先完成上一次加仓",IF(AND(B736&gt;1,E736&lt;SUMIFS($E$2:$E$1001,$A$2:$A$1001,A736,$B$2:$B$1001,B736-1)),"违规：新止损价不得低于上一次",IF(AND(B736&gt;1,F736&gt;SUMIFS($F$2:$F$1001,$A$2:$A$1001,A736,$B$2:$B$1001,B736-1)),"违规：风险预算须逐次不增加",IF(OR(_LockStatus="已锁仓",_LockStatus="解锁信息不完整"),"违规：锁仓期间禁止加仓",IF(G736="","计划可执行：建议股数见N列",IF(OR(G736&lt;=0,G736&lt;&gt;INT(G736),MOD(G736,100)&lt;&gt;0),"违规：实际股数须为100股整数倍",IF(G736&gt;N736,"违规：实际股数超过风险或金字塔上限",IF(AND(B736&gt;1,G736&gt;SUMIFS($G$2:$G$1001,$A$2:$A$1001,A736,$B$2:$B$1001,B736-1)),"违规：加仓股数须逐次不增加",IF(Q736&gt;F736,"违规：止损风险超过本次预算","通过")))))))))))))))</f>
        <v/>
      </c>
    </row>
    <row r="737" customFormat="false" ht="15" hidden="false" customHeight="false" outlineLevel="0" collapsed="false">
      <c r="A737" s="20"/>
      <c r="B737" s="21"/>
      <c r="C737" s="22"/>
      <c r="D737" s="23"/>
      <c r="E737" s="23"/>
      <c r="F737" s="23"/>
      <c r="G737" s="21"/>
      <c r="H737" s="24" t="str">
        <f aca="false">IF(OR(A737="",D737="",G737=""),"",D737*G737)</f>
        <v/>
      </c>
      <c r="I737" s="25" t="str">
        <f aca="false">IF(OR(A737="",B737=""),"",IFERROR(LOOKUP(2,1/(单次交易!$A$2:$A$201=A737),单次交易!$H$2:$H$201),0)+SUMIFS($G$2:$G$1001,$A$2:$A$1001,A737,$B$2:$B$1001,"&lt;"&amp;B737))</f>
        <v/>
      </c>
      <c r="J737" s="24" t="str">
        <f aca="false">IF(OR(A737="",B737=""),"",IFERROR(LOOKUP(2,1/(单次交易!$A$2:$A$201=A737),单次交易!$E$2:$E$201)*LOOKUP(2,1/(单次交易!$A$2:$A$201=A737),单次交易!$H$2:$H$201),0)+SUMIFS($H$2:$H$1001,$A$2:$A$1001,A737,$B$2:$B$1001,"&lt;"&amp;B737))</f>
        <v/>
      </c>
      <c r="K737" s="24" t="str">
        <f aca="false">IF(OR(E737="",I737="",J737=""),"",MAX(E737*I737-J737,0))</f>
        <v/>
      </c>
      <c r="L737" s="25" t="str">
        <f aca="false">IF(OR(D737="",E737="",F737="",D737&lt;=E737),"",FLOOR((F737+K737)/(D737-E737),100))</f>
        <v/>
      </c>
      <c r="M737" s="25" t="str">
        <f aca="false">IF(OR(A737="",B737="",L737=""),"",IF(B737=1,L737,IFERROR(SUMIFS($G$2:$G$1001,$A$2:$A$1001,A737,$B$2:$B$1001,B737-1),0)))</f>
        <v/>
      </c>
      <c r="N737" s="25" t="str">
        <f aca="false">IF(OR(L737="",M737=""),"",MIN(L737,M737))</f>
        <v/>
      </c>
      <c r="O737" s="25" t="str">
        <f aca="false">IF(OR(I737="",G737=""),"",I737+G737)</f>
        <v/>
      </c>
      <c r="P737" s="24" t="str">
        <f aca="false">IF(OR(O737="",O737=0),"",(J737+H737)/O737)</f>
        <v/>
      </c>
      <c r="Q737" s="24" t="str">
        <f aca="false">IF(OR(O737="",E737=""),"",MAX(J737+H737-E737*O737,0))</f>
        <v/>
      </c>
      <c r="R737" s="26" t="str">
        <f aca="false">IF(A737="","",IF(COUNTIF(_TradeIds,A737)=0,"违规：交易编号不存在",IF(OR(B737="",B737&lt;1,B737&gt;5,B737&lt;&gt;INT(B737)),"违规：加仓序号须为1到5的整数",IF(COUNTIFS($A$2:$A$1001,A737,$B$2:$B$1001,B737)&gt;1,"违规：同一交易的加仓序号重复",IF(OR(D737="",E737="",F737=""),"计划不完整：请填写加仓价、新止损价和风险预算",IF(OR(D737&lt;=0,E737&lt;=0,F737&lt;=0,D737&lt;=E737),"违规：加仓价必须高于新止损价，金额须大于0",IF(AND(B737&gt;1,COUNTIFS($A$2:$A$1001,A737,$B$2:$B$1001,B737-1,$G$2:$G$1001,"&gt;0")=0),"违规：须先完成上一次加仓",IF(AND(B737&gt;1,E737&lt;SUMIFS($E$2:$E$1001,$A$2:$A$1001,A737,$B$2:$B$1001,B737-1)),"违规：新止损价不得低于上一次",IF(AND(B737&gt;1,F737&gt;SUMIFS($F$2:$F$1001,$A$2:$A$1001,A737,$B$2:$B$1001,B737-1)),"违规：风险预算须逐次不增加",IF(OR(_LockStatus="已锁仓",_LockStatus="解锁信息不完整"),"违规：锁仓期间禁止加仓",IF(G737="","计划可执行：建议股数见N列",IF(OR(G737&lt;=0,G737&lt;&gt;INT(G737),MOD(G737,100)&lt;&gt;0),"违规：实际股数须为100股整数倍",IF(G737&gt;N737,"违规：实际股数超过风险或金字塔上限",IF(AND(B737&gt;1,G737&gt;SUMIFS($G$2:$G$1001,$A$2:$A$1001,A737,$B$2:$B$1001,B737-1)),"违规：加仓股数须逐次不增加",IF(Q737&gt;F737,"违规：止损风险超过本次预算","通过")))))))))))))))</f>
        <v/>
      </c>
    </row>
    <row r="738" customFormat="false" ht="15" hidden="false" customHeight="false" outlineLevel="0" collapsed="false">
      <c r="A738" s="20"/>
      <c r="B738" s="21"/>
      <c r="C738" s="22"/>
      <c r="D738" s="23"/>
      <c r="E738" s="23"/>
      <c r="F738" s="23"/>
      <c r="G738" s="21"/>
      <c r="H738" s="24" t="str">
        <f aca="false">IF(OR(A738="",D738="",G738=""),"",D738*G738)</f>
        <v/>
      </c>
      <c r="I738" s="25" t="str">
        <f aca="false">IF(OR(A738="",B738=""),"",IFERROR(LOOKUP(2,1/(单次交易!$A$2:$A$201=A738),单次交易!$H$2:$H$201),0)+SUMIFS($G$2:$G$1001,$A$2:$A$1001,A738,$B$2:$B$1001,"&lt;"&amp;B738))</f>
        <v/>
      </c>
      <c r="J738" s="24" t="str">
        <f aca="false">IF(OR(A738="",B738=""),"",IFERROR(LOOKUP(2,1/(单次交易!$A$2:$A$201=A738),单次交易!$E$2:$E$201)*LOOKUP(2,1/(单次交易!$A$2:$A$201=A738),单次交易!$H$2:$H$201),0)+SUMIFS($H$2:$H$1001,$A$2:$A$1001,A738,$B$2:$B$1001,"&lt;"&amp;B738))</f>
        <v/>
      </c>
      <c r="K738" s="24" t="str">
        <f aca="false">IF(OR(E738="",I738="",J738=""),"",MAX(E738*I738-J738,0))</f>
        <v/>
      </c>
      <c r="L738" s="25" t="str">
        <f aca="false">IF(OR(D738="",E738="",F738="",D738&lt;=E738),"",FLOOR((F738+K738)/(D738-E738),100))</f>
        <v/>
      </c>
      <c r="M738" s="25" t="str">
        <f aca="false">IF(OR(A738="",B738="",L738=""),"",IF(B738=1,L738,IFERROR(SUMIFS($G$2:$G$1001,$A$2:$A$1001,A738,$B$2:$B$1001,B738-1),0)))</f>
        <v/>
      </c>
      <c r="N738" s="25" t="str">
        <f aca="false">IF(OR(L738="",M738=""),"",MIN(L738,M738))</f>
        <v/>
      </c>
      <c r="O738" s="25" t="str">
        <f aca="false">IF(OR(I738="",G738=""),"",I738+G738)</f>
        <v/>
      </c>
      <c r="P738" s="24" t="str">
        <f aca="false">IF(OR(O738="",O738=0),"",(J738+H738)/O738)</f>
        <v/>
      </c>
      <c r="Q738" s="24" t="str">
        <f aca="false">IF(OR(O738="",E738=""),"",MAX(J738+H738-E738*O738,0))</f>
        <v/>
      </c>
      <c r="R738" s="26" t="str">
        <f aca="false">IF(A738="","",IF(COUNTIF(_TradeIds,A738)=0,"违规：交易编号不存在",IF(OR(B738="",B738&lt;1,B738&gt;5,B738&lt;&gt;INT(B738)),"违规：加仓序号须为1到5的整数",IF(COUNTIFS($A$2:$A$1001,A738,$B$2:$B$1001,B738)&gt;1,"违规：同一交易的加仓序号重复",IF(OR(D738="",E738="",F738=""),"计划不完整：请填写加仓价、新止损价和风险预算",IF(OR(D738&lt;=0,E738&lt;=0,F738&lt;=0,D738&lt;=E738),"违规：加仓价必须高于新止损价，金额须大于0",IF(AND(B738&gt;1,COUNTIFS($A$2:$A$1001,A738,$B$2:$B$1001,B738-1,$G$2:$G$1001,"&gt;0")=0),"违规：须先完成上一次加仓",IF(AND(B738&gt;1,E738&lt;SUMIFS($E$2:$E$1001,$A$2:$A$1001,A738,$B$2:$B$1001,B738-1)),"违规：新止损价不得低于上一次",IF(AND(B738&gt;1,F738&gt;SUMIFS($F$2:$F$1001,$A$2:$A$1001,A738,$B$2:$B$1001,B738-1)),"违规：风险预算须逐次不增加",IF(OR(_LockStatus="已锁仓",_LockStatus="解锁信息不完整"),"违规：锁仓期间禁止加仓",IF(G738="","计划可执行：建议股数见N列",IF(OR(G738&lt;=0,G738&lt;&gt;INT(G738),MOD(G738,100)&lt;&gt;0),"违规：实际股数须为100股整数倍",IF(G738&gt;N738,"违规：实际股数超过风险或金字塔上限",IF(AND(B738&gt;1,G738&gt;SUMIFS($G$2:$G$1001,$A$2:$A$1001,A738,$B$2:$B$1001,B738-1)),"违规：加仓股数须逐次不增加",IF(Q738&gt;F738,"违规：止损风险超过本次预算","通过")))))))))))))))</f>
        <v/>
      </c>
    </row>
    <row r="739" customFormat="false" ht="15" hidden="false" customHeight="false" outlineLevel="0" collapsed="false">
      <c r="A739" s="20"/>
      <c r="B739" s="21"/>
      <c r="C739" s="22"/>
      <c r="D739" s="23"/>
      <c r="E739" s="23"/>
      <c r="F739" s="23"/>
      <c r="G739" s="21"/>
      <c r="H739" s="24" t="str">
        <f aca="false">IF(OR(A739="",D739="",G739=""),"",D739*G739)</f>
        <v/>
      </c>
      <c r="I739" s="25" t="str">
        <f aca="false">IF(OR(A739="",B739=""),"",IFERROR(LOOKUP(2,1/(单次交易!$A$2:$A$201=A739),单次交易!$H$2:$H$201),0)+SUMIFS($G$2:$G$1001,$A$2:$A$1001,A739,$B$2:$B$1001,"&lt;"&amp;B739))</f>
        <v/>
      </c>
      <c r="J739" s="24" t="str">
        <f aca="false">IF(OR(A739="",B739=""),"",IFERROR(LOOKUP(2,1/(单次交易!$A$2:$A$201=A739),单次交易!$E$2:$E$201)*LOOKUP(2,1/(单次交易!$A$2:$A$201=A739),单次交易!$H$2:$H$201),0)+SUMIFS($H$2:$H$1001,$A$2:$A$1001,A739,$B$2:$B$1001,"&lt;"&amp;B739))</f>
        <v/>
      </c>
      <c r="K739" s="24" t="str">
        <f aca="false">IF(OR(E739="",I739="",J739=""),"",MAX(E739*I739-J739,0))</f>
        <v/>
      </c>
      <c r="L739" s="25" t="str">
        <f aca="false">IF(OR(D739="",E739="",F739="",D739&lt;=E739),"",FLOOR((F739+K739)/(D739-E739),100))</f>
        <v/>
      </c>
      <c r="M739" s="25" t="str">
        <f aca="false">IF(OR(A739="",B739="",L739=""),"",IF(B739=1,L739,IFERROR(SUMIFS($G$2:$G$1001,$A$2:$A$1001,A739,$B$2:$B$1001,B739-1),0)))</f>
        <v/>
      </c>
      <c r="N739" s="25" t="str">
        <f aca="false">IF(OR(L739="",M739=""),"",MIN(L739,M739))</f>
        <v/>
      </c>
      <c r="O739" s="25" t="str">
        <f aca="false">IF(OR(I739="",G739=""),"",I739+G739)</f>
        <v/>
      </c>
      <c r="P739" s="24" t="str">
        <f aca="false">IF(OR(O739="",O739=0),"",(J739+H739)/O739)</f>
        <v/>
      </c>
      <c r="Q739" s="24" t="str">
        <f aca="false">IF(OR(O739="",E739=""),"",MAX(J739+H739-E739*O739,0))</f>
        <v/>
      </c>
      <c r="R739" s="26" t="str">
        <f aca="false">IF(A739="","",IF(COUNTIF(_TradeIds,A739)=0,"违规：交易编号不存在",IF(OR(B739="",B739&lt;1,B739&gt;5,B739&lt;&gt;INT(B739)),"违规：加仓序号须为1到5的整数",IF(COUNTIFS($A$2:$A$1001,A739,$B$2:$B$1001,B739)&gt;1,"违规：同一交易的加仓序号重复",IF(OR(D739="",E739="",F739=""),"计划不完整：请填写加仓价、新止损价和风险预算",IF(OR(D739&lt;=0,E739&lt;=0,F739&lt;=0,D739&lt;=E739),"违规：加仓价必须高于新止损价，金额须大于0",IF(AND(B739&gt;1,COUNTIFS($A$2:$A$1001,A739,$B$2:$B$1001,B739-1,$G$2:$G$1001,"&gt;0")=0),"违规：须先完成上一次加仓",IF(AND(B739&gt;1,E739&lt;SUMIFS($E$2:$E$1001,$A$2:$A$1001,A739,$B$2:$B$1001,B739-1)),"违规：新止损价不得低于上一次",IF(AND(B739&gt;1,F739&gt;SUMIFS($F$2:$F$1001,$A$2:$A$1001,A739,$B$2:$B$1001,B739-1)),"违规：风险预算须逐次不增加",IF(OR(_LockStatus="已锁仓",_LockStatus="解锁信息不完整"),"违规：锁仓期间禁止加仓",IF(G739="","计划可执行：建议股数见N列",IF(OR(G739&lt;=0,G739&lt;&gt;INT(G739),MOD(G739,100)&lt;&gt;0),"违规：实际股数须为100股整数倍",IF(G739&gt;N739,"违规：实际股数超过风险或金字塔上限",IF(AND(B739&gt;1,G739&gt;SUMIFS($G$2:$G$1001,$A$2:$A$1001,A739,$B$2:$B$1001,B739-1)),"违规：加仓股数须逐次不增加",IF(Q739&gt;F739,"违规：止损风险超过本次预算","通过")))))))))))))))</f>
        <v/>
      </c>
    </row>
    <row r="740" customFormat="false" ht="15" hidden="false" customHeight="false" outlineLevel="0" collapsed="false">
      <c r="A740" s="20"/>
      <c r="B740" s="21"/>
      <c r="C740" s="22"/>
      <c r="D740" s="23"/>
      <c r="E740" s="23"/>
      <c r="F740" s="23"/>
      <c r="G740" s="21"/>
      <c r="H740" s="24" t="str">
        <f aca="false">IF(OR(A740="",D740="",G740=""),"",D740*G740)</f>
        <v/>
      </c>
      <c r="I740" s="25" t="str">
        <f aca="false">IF(OR(A740="",B740=""),"",IFERROR(LOOKUP(2,1/(单次交易!$A$2:$A$201=A740),单次交易!$H$2:$H$201),0)+SUMIFS($G$2:$G$1001,$A$2:$A$1001,A740,$B$2:$B$1001,"&lt;"&amp;B740))</f>
        <v/>
      </c>
      <c r="J740" s="24" t="str">
        <f aca="false">IF(OR(A740="",B740=""),"",IFERROR(LOOKUP(2,1/(单次交易!$A$2:$A$201=A740),单次交易!$E$2:$E$201)*LOOKUP(2,1/(单次交易!$A$2:$A$201=A740),单次交易!$H$2:$H$201),0)+SUMIFS($H$2:$H$1001,$A$2:$A$1001,A740,$B$2:$B$1001,"&lt;"&amp;B740))</f>
        <v/>
      </c>
      <c r="K740" s="24" t="str">
        <f aca="false">IF(OR(E740="",I740="",J740=""),"",MAX(E740*I740-J740,0))</f>
        <v/>
      </c>
      <c r="L740" s="25" t="str">
        <f aca="false">IF(OR(D740="",E740="",F740="",D740&lt;=E740),"",FLOOR((F740+K740)/(D740-E740),100))</f>
        <v/>
      </c>
      <c r="M740" s="25" t="str">
        <f aca="false">IF(OR(A740="",B740="",L740=""),"",IF(B740=1,L740,IFERROR(SUMIFS($G$2:$G$1001,$A$2:$A$1001,A740,$B$2:$B$1001,B740-1),0)))</f>
        <v/>
      </c>
      <c r="N740" s="25" t="str">
        <f aca="false">IF(OR(L740="",M740=""),"",MIN(L740,M740))</f>
        <v/>
      </c>
      <c r="O740" s="25" t="str">
        <f aca="false">IF(OR(I740="",G740=""),"",I740+G740)</f>
        <v/>
      </c>
      <c r="P740" s="24" t="str">
        <f aca="false">IF(OR(O740="",O740=0),"",(J740+H740)/O740)</f>
        <v/>
      </c>
      <c r="Q740" s="24" t="str">
        <f aca="false">IF(OR(O740="",E740=""),"",MAX(J740+H740-E740*O740,0))</f>
        <v/>
      </c>
      <c r="R740" s="26" t="str">
        <f aca="false">IF(A740="","",IF(COUNTIF(_TradeIds,A740)=0,"违规：交易编号不存在",IF(OR(B740="",B740&lt;1,B740&gt;5,B740&lt;&gt;INT(B740)),"违规：加仓序号须为1到5的整数",IF(COUNTIFS($A$2:$A$1001,A740,$B$2:$B$1001,B740)&gt;1,"违规：同一交易的加仓序号重复",IF(OR(D740="",E740="",F740=""),"计划不完整：请填写加仓价、新止损价和风险预算",IF(OR(D740&lt;=0,E740&lt;=0,F740&lt;=0,D740&lt;=E740),"违规：加仓价必须高于新止损价，金额须大于0",IF(AND(B740&gt;1,COUNTIFS($A$2:$A$1001,A740,$B$2:$B$1001,B740-1,$G$2:$G$1001,"&gt;0")=0),"违规：须先完成上一次加仓",IF(AND(B740&gt;1,E740&lt;SUMIFS($E$2:$E$1001,$A$2:$A$1001,A740,$B$2:$B$1001,B740-1)),"违规：新止损价不得低于上一次",IF(AND(B740&gt;1,F740&gt;SUMIFS($F$2:$F$1001,$A$2:$A$1001,A740,$B$2:$B$1001,B740-1)),"违规：风险预算须逐次不增加",IF(OR(_LockStatus="已锁仓",_LockStatus="解锁信息不完整"),"违规：锁仓期间禁止加仓",IF(G740="","计划可执行：建议股数见N列",IF(OR(G740&lt;=0,G740&lt;&gt;INT(G740),MOD(G740,100)&lt;&gt;0),"违规：实际股数须为100股整数倍",IF(G740&gt;N740,"违规：实际股数超过风险或金字塔上限",IF(AND(B740&gt;1,G740&gt;SUMIFS($G$2:$G$1001,$A$2:$A$1001,A740,$B$2:$B$1001,B740-1)),"违规：加仓股数须逐次不增加",IF(Q740&gt;F740,"违规：止损风险超过本次预算","通过")))))))))))))))</f>
        <v/>
      </c>
    </row>
    <row r="741" customFormat="false" ht="15" hidden="false" customHeight="false" outlineLevel="0" collapsed="false">
      <c r="A741" s="20"/>
      <c r="B741" s="21"/>
      <c r="C741" s="22"/>
      <c r="D741" s="23"/>
      <c r="E741" s="23"/>
      <c r="F741" s="23"/>
      <c r="G741" s="21"/>
      <c r="H741" s="24" t="str">
        <f aca="false">IF(OR(A741="",D741="",G741=""),"",D741*G741)</f>
        <v/>
      </c>
      <c r="I741" s="25" t="str">
        <f aca="false">IF(OR(A741="",B741=""),"",IFERROR(LOOKUP(2,1/(单次交易!$A$2:$A$201=A741),单次交易!$H$2:$H$201),0)+SUMIFS($G$2:$G$1001,$A$2:$A$1001,A741,$B$2:$B$1001,"&lt;"&amp;B741))</f>
        <v/>
      </c>
      <c r="J741" s="24" t="str">
        <f aca="false">IF(OR(A741="",B741=""),"",IFERROR(LOOKUP(2,1/(单次交易!$A$2:$A$201=A741),单次交易!$E$2:$E$201)*LOOKUP(2,1/(单次交易!$A$2:$A$201=A741),单次交易!$H$2:$H$201),0)+SUMIFS($H$2:$H$1001,$A$2:$A$1001,A741,$B$2:$B$1001,"&lt;"&amp;B741))</f>
        <v/>
      </c>
      <c r="K741" s="24" t="str">
        <f aca="false">IF(OR(E741="",I741="",J741=""),"",MAX(E741*I741-J741,0))</f>
        <v/>
      </c>
      <c r="L741" s="25" t="str">
        <f aca="false">IF(OR(D741="",E741="",F741="",D741&lt;=E741),"",FLOOR((F741+K741)/(D741-E741),100))</f>
        <v/>
      </c>
      <c r="M741" s="25" t="str">
        <f aca="false">IF(OR(A741="",B741="",L741=""),"",IF(B741=1,L741,IFERROR(SUMIFS($G$2:$G$1001,$A$2:$A$1001,A741,$B$2:$B$1001,B741-1),0)))</f>
        <v/>
      </c>
      <c r="N741" s="25" t="str">
        <f aca="false">IF(OR(L741="",M741=""),"",MIN(L741,M741))</f>
        <v/>
      </c>
      <c r="O741" s="25" t="str">
        <f aca="false">IF(OR(I741="",G741=""),"",I741+G741)</f>
        <v/>
      </c>
      <c r="P741" s="24" t="str">
        <f aca="false">IF(OR(O741="",O741=0),"",(J741+H741)/O741)</f>
        <v/>
      </c>
      <c r="Q741" s="24" t="str">
        <f aca="false">IF(OR(O741="",E741=""),"",MAX(J741+H741-E741*O741,0))</f>
        <v/>
      </c>
      <c r="R741" s="26" t="str">
        <f aca="false">IF(A741="","",IF(COUNTIF(_TradeIds,A741)=0,"违规：交易编号不存在",IF(OR(B741="",B741&lt;1,B741&gt;5,B741&lt;&gt;INT(B741)),"违规：加仓序号须为1到5的整数",IF(COUNTIFS($A$2:$A$1001,A741,$B$2:$B$1001,B741)&gt;1,"违规：同一交易的加仓序号重复",IF(OR(D741="",E741="",F741=""),"计划不完整：请填写加仓价、新止损价和风险预算",IF(OR(D741&lt;=0,E741&lt;=0,F741&lt;=0,D741&lt;=E741),"违规：加仓价必须高于新止损价，金额须大于0",IF(AND(B741&gt;1,COUNTIFS($A$2:$A$1001,A741,$B$2:$B$1001,B741-1,$G$2:$G$1001,"&gt;0")=0),"违规：须先完成上一次加仓",IF(AND(B741&gt;1,E741&lt;SUMIFS($E$2:$E$1001,$A$2:$A$1001,A741,$B$2:$B$1001,B741-1)),"违规：新止损价不得低于上一次",IF(AND(B741&gt;1,F741&gt;SUMIFS($F$2:$F$1001,$A$2:$A$1001,A741,$B$2:$B$1001,B741-1)),"违规：风险预算须逐次不增加",IF(OR(_LockStatus="已锁仓",_LockStatus="解锁信息不完整"),"违规：锁仓期间禁止加仓",IF(G741="","计划可执行：建议股数见N列",IF(OR(G741&lt;=0,G741&lt;&gt;INT(G741),MOD(G741,100)&lt;&gt;0),"违规：实际股数须为100股整数倍",IF(G741&gt;N741,"违规：实际股数超过风险或金字塔上限",IF(AND(B741&gt;1,G741&gt;SUMIFS($G$2:$G$1001,$A$2:$A$1001,A741,$B$2:$B$1001,B741-1)),"违规：加仓股数须逐次不增加",IF(Q741&gt;F741,"违规：止损风险超过本次预算","通过")))))))))))))))</f>
        <v/>
      </c>
    </row>
    <row r="742" customFormat="false" ht="15" hidden="false" customHeight="false" outlineLevel="0" collapsed="false">
      <c r="A742" s="20"/>
      <c r="B742" s="21"/>
      <c r="C742" s="22"/>
      <c r="D742" s="23"/>
      <c r="E742" s="23"/>
      <c r="F742" s="23"/>
      <c r="G742" s="21"/>
      <c r="H742" s="24" t="str">
        <f aca="false">IF(OR(A742="",D742="",G742=""),"",D742*G742)</f>
        <v/>
      </c>
      <c r="I742" s="25" t="str">
        <f aca="false">IF(OR(A742="",B742=""),"",IFERROR(LOOKUP(2,1/(单次交易!$A$2:$A$201=A742),单次交易!$H$2:$H$201),0)+SUMIFS($G$2:$G$1001,$A$2:$A$1001,A742,$B$2:$B$1001,"&lt;"&amp;B742))</f>
        <v/>
      </c>
      <c r="J742" s="24" t="str">
        <f aca="false">IF(OR(A742="",B742=""),"",IFERROR(LOOKUP(2,1/(单次交易!$A$2:$A$201=A742),单次交易!$E$2:$E$201)*LOOKUP(2,1/(单次交易!$A$2:$A$201=A742),单次交易!$H$2:$H$201),0)+SUMIFS($H$2:$H$1001,$A$2:$A$1001,A742,$B$2:$B$1001,"&lt;"&amp;B742))</f>
        <v/>
      </c>
      <c r="K742" s="24" t="str">
        <f aca="false">IF(OR(E742="",I742="",J742=""),"",MAX(E742*I742-J742,0))</f>
        <v/>
      </c>
      <c r="L742" s="25" t="str">
        <f aca="false">IF(OR(D742="",E742="",F742="",D742&lt;=E742),"",FLOOR((F742+K742)/(D742-E742),100))</f>
        <v/>
      </c>
      <c r="M742" s="25" t="str">
        <f aca="false">IF(OR(A742="",B742="",L742=""),"",IF(B742=1,L742,IFERROR(SUMIFS($G$2:$G$1001,$A$2:$A$1001,A742,$B$2:$B$1001,B742-1),0)))</f>
        <v/>
      </c>
      <c r="N742" s="25" t="str">
        <f aca="false">IF(OR(L742="",M742=""),"",MIN(L742,M742))</f>
        <v/>
      </c>
      <c r="O742" s="25" t="str">
        <f aca="false">IF(OR(I742="",G742=""),"",I742+G742)</f>
        <v/>
      </c>
      <c r="P742" s="24" t="str">
        <f aca="false">IF(OR(O742="",O742=0),"",(J742+H742)/O742)</f>
        <v/>
      </c>
      <c r="Q742" s="24" t="str">
        <f aca="false">IF(OR(O742="",E742=""),"",MAX(J742+H742-E742*O742,0))</f>
        <v/>
      </c>
      <c r="R742" s="26" t="str">
        <f aca="false">IF(A742="","",IF(COUNTIF(_TradeIds,A742)=0,"违规：交易编号不存在",IF(OR(B742="",B742&lt;1,B742&gt;5,B742&lt;&gt;INT(B742)),"违规：加仓序号须为1到5的整数",IF(COUNTIFS($A$2:$A$1001,A742,$B$2:$B$1001,B742)&gt;1,"违规：同一交易的加仓序号重复",IF(OR(D742="",E742="",F742=""),"计划不完整：请填写加仓价、新止损价和风险预算",IF(OR(D742&lt;=0,E742&lt;=0,F742&lt;=0,D742&lt;=E742),"违规：加仓价必须高于新止损价，金额须大于0",IF(AND(B742&gt;1,COUNTIFS($A$2:$A$1001,A742,$B$2:$B$1001,B742-1,$G$2:$G$1001,"&gt;0")=0),"违规：须先完成上一次加仓",IF(AND(B742&gt;1,E742&lt;SUMIFS($E$2:$E$1001,$A$2:$A$1001,A742,$B$2:$B$1001,B742-1)),"违规：新止损价不得低于上一次",IF(AND(B742&gt;1,F742&gt;SUMIFS($F$2:$F$1001,$A$2:$A$1001,A742,$B$2:$B$1001,B742-1)),"违规：风险预算须逐次不增加",IF(OR(_LockStatus="已锁仓",_LockStatus="解锁信息不完整"),"违规：锁仓期间禁止加仓",IF(G742="","计划可执行：建议股数见N列",IF(OR(G742&lt;=0,G742&lt;&gt;INT(G742),MOD(G742,100)&lt;&gt;0),"违规：实际股数须为100股整数倍",IF(G742&gt;N742,"违规：实际股数超过风险或金字塔上限",IF(AND(B742&gt;1,G742&gt;SUMIFS($G$2:$G$1001,$A$2:$A$1001,A742,$B$2:$B$1001,B742-1)),"违规：加仓股数须逐次不增加",IF(Q742&gt;F742,"违规：止损风险超过本次预算","通过")))))))))))))))</f>
        <v/>
      </c>
    </row>
    <row r="743" customFormat="false" ht="15" hidden="false" customHeight="false" outlineLevel="0" collapsed="false">
      <c r="A743" s="20"/>
      <c r="B743" s="21"/>
      <c r="C743" s="22"/>
      <c r="D743" s="23"/>
      <c r="E743" s="23"/>
      <c r="F743" s="23"/>
      <c r="G743" s="21"/>
      <c r="H743" s="24" t="str">
        <f aca="false">IF(OR(A743="",D743="",G743=""),"",D743*G743)</f>
        <v/>
      </c>
      <c r="I743" s="25" t="str">
        <f aca="false">IF(OR(A743="",B743=""),"",IFERROR(LOOKUP(2,1/(单次交易!$A$2:$A$201=A743),单次交易!$H$2:$H$201),0)+SUMIFS($G$2:$G$1001,$A$2:$A$1001,A743,$B$2:$B$1001,"&lt;"&amp;B743))</f>
        <v/>
      </c>
      <c r="J743" s="24" t="str">
        <f aca="false">IF(OR(A743="",B743=""),"",IFERROR(LOOKUP(2,1/(单次交易!$A$2:$A$201=A743),单次交易!$E$2:$E$201)*LOOKUP(2,1/(单次交易!$A$2:$A$201=A743),单次交易!$H$2:$H$201),0)+SUMIFS($H$2:$H$1001,$A$2:$A$1001,A743,$B$2:$B$1001,"&lt;"&amp;B743))</f>
        <v/>
      </c>
      <c r="K743" s="24" t="str">
        <f aca="false">IF(OR(E743="",I743="",J743=""),"",MAX(E743*I743-J743,0))</f>
        <v/>
      </c>
      <c r="L743" s="25" t="str">
        <f aca="false">IF(OR(D743="",E743="",F743="",D743&lt;=E743),"",FLOOR((F743+K743)/(D743-E743),100))</f>
        <v/>
      </c>
      <c r="M743" s="25" t="str">
        <f aca="false">IF(OR(A743="",B743="",L743=""),"",IF(B743=1,L743,IFERROR(SUMIFS($G$2:$G$1001,$A$2:$A$1001,A743,$B$2:$B$1001,B743-1),0)))</f>
        <v/>
      </c>
      <c r="N743" s="25" t="str">
        <f aca="false">IF(OR(L743="",M743=""),"",MIN(L743,M743))</f>
        <v/>
      </c>
      <c r="O743" s="25" t="str">
        <f aca="false">IF(OR(I743="",G743=""),"",I743+G743)</f>
        <v/>
      </c>
      <c r="P743" s="24" t="str">
        <f aca="false">IF(OR(O743="",O743=0),"",(J743+H743)/O743)</f>
        <v/>
      </c>
      <c r="Q743" s="24" t="str">
        <f aca="false">IF(OR(O743="",E743=""),"",MAX(J743+H743-E743*O743,0))</f>
        <v/>
      </c>
      <c r="R743" s="26" t="str">
        <f aca="false">IF(A743="","",IF(COUNTIF(_TradeIds,A743)=0,"违规：交易编号不存在",IF(OR(B743="",B743&lt;1,B743&gt;5,B743&lt;&gt;INT(B743)),"违规：加仓序号须为1到5的整数",IF(COUNTIFS($A$2:$A$1001,A743,$B$2:$B$1001,B743)&gt;1,"违规：同一交易的加仓序号重复",IF(OR(D743="",E743="",F743=""),"计划不完整：请填写加仓价、新止损价和风险预算",IF(OR(D743&lt;=0,E743&lt;=0,F743&lt;=0,D743&lt;=E743),"违规：加仓价必须高于新止损价，金额须大于0",IF(AND(B743&gt;1,COUNTIFS($A$2:$A$1001,A743,$B$2:$B$1001,B743-1,$G$2:$G$1001,"&gt;0")=0),"违规：须先完成上一次加仓",IF(AND(B743&gt;1,E743&lt;SUMIFS($E$2:$E$1001,$A$2:$A$1001,A743,$B$2:$B$1001,B743-1)),"违规：新止损价不得低于上一次",IF(AND(B743&gt;1,F743&gt;SUMIFS($F$2:$F$1001,$A$2:$A$1001,A743,$B$2:$B$1001,B743-1)),"违规：风险预算须逐次不增加",IF(OR(_LockStatus="已锁仓",_LockStatus="解锁信息不完整"),"违规：锁仓期间禁止加仓",IF(G743="","计划可执行：建议股数见N列",IF(OR(G743&lt;=0,G743&lt;&gt;INT(G743),MOD(G743,100)&lt;&gt;0),"违规：实际股数须为100股整数倍",IF(G743&gt;N743,"违规：实际股数超过风险或金字塔上限",IF(AND(B743&gt;1,G743&gt;SUMIFS($G$2:$G$1001,$A$2:$A$1001,A743,$B$2:$B$1001,B743-1)),"违规：加仓股数须逐次不增加",IF(Q743&gt;F743,"违规：止损风险超过本次预算","通过")))))))))))))))</f>
        <v/>
      </c>
    </row>
    <row r="744" customFormat="false" ht="15" hidden="false" customHeight="false" outlineLevel="0" collapsed="false">
      <c r="A744" s="20"/>
      <c r="B744" s="21"/>
      <c r="C744" s="22"/>
      <c r="D744" s="23"/>
      <c r="E744" s="23"/>
      <c r="F744" s="23"/>
      <c r="G744" s="21"/>
      <c r="H744" s="24" t="str">
        <f aca="false">IF(OR(A744="",D744="",G744=""),"",D744*G744)</f>
        <v/>
      </c>
      <c r="I744" s="25" t="str">
        <f aca="false">IF(OR(A744="",B744=""),"",IFERROR(LOOKUP(2,1/(单次交易!$A$2:$A$201=A744),单次交易!$H$2:$H$201),0)+SUMIFS($G$2:$G$1001,$A$2:$A$1001,A744,$B$2:$B$1001,"&lt;"&amp;B744))</f>
        <v/>
      </c>
      <c r="J744" s="24" t="str">
        <f aca="false">IF(OR(A744="",B744=""),"",IFERROR(LOOKUP(2,1/(单次交易!$A$2:$A$201=A744),单次交易!$E$2:$E$201)*LOOKUP(2,1/(单次交易!$A$2:$A$201=A744),单次交易!$H$2:$H$201),0)+SUMIFS($H$2:$H$1001,$A$2:$A$1001,A744,$B$2:$B$1001,"&lt;"&amp;B744))</f>
        <v/>
      </c>
      <c r="K744" s="24" t="str">
        <f aca="false">IF(OR(E744="",I744="",J744=""),"",MAX(E744*I744-J744,0))</f>
        <v/>
      </c>
      <c r="L744" s="25" t="str">
        <f aca="false">IF(OR(D744="",E744="",F744="",D744&lt;=E744),"",FLOOR((F744+K744)/(D744-E744),100))</f>
        <v/>
      </c>
      <c r="M744" s="25" t="str">
        <f aca="false">IF(OR(A744="",B744="",L744=""),"",IF(B744=1,L744,IFERROR(SUMIFS($G$2:$G$1001,$A$2:$A$1001,A744,$B$2:$B$1001,B744-1),0)))</f>
        <v/>
      </c>
      <c r="N744" s="25" t="str">
        <f aca="false">IF(OR(L744="",M744=""),"",MIN(L744,M744))</f>
        <v/>
      </c>
      <c r="O744" s="25" t="str">
        <f aca="false">IF(OR(I744="",G744=""),"",I744+G744)</f>
        <v/>
      </c>
      <c r="P744" s="24" t="str">
        <f aca="false">IF(OR(O744="",O744=0),"",(J744+H744)/O744)</f>
        <v/>
      </c>
      <c r="Q744" s="24" t="str">
        <f aca="false">IF(OR(O744="",E744=""),"",MAX(J744+H744-E744*O744,0))</f>
        <v/>
      </c>
      <c r="R744" s="26" t="str">
        <f aca="false">IF(A744="","",IF(COUNTIF(_TradeIds,A744)=0,"违规：交易编号不存在",IF(OR(B744="",B744&lt;1,B744&gt;5,B744&lt;&gt;INT(B744)),"违规：加仓序号须为1到5的整数",IF(COUNTIFS($A$2:$A$1001,A744,$B$2:$B$1001,B744)&gt;1,"违规：同一交易的加仓序号重复",IF(OR(D744="",E744="",F744=""),"计划不完整：请填写加仓价、新止损价和风险预算",IF(OR(D744&lt;=0,E744&lt;=0,F744&lt;=0,D744&lt;=E744),"违规：加仓价必须高于新止损价，金额须大于0",IF(AND(B744&gt;1,COUNTIFS($A$2:$A$1001,A744,$B$2:$B$1001,B744-1,$G$2:$G$1001,"&gt;0")=0),"违规：须先完成上一次加仓",IF(AND(B744&gt;1,E744&lt;SUMIFS($E$2:$E$1001,$A$2:$A$1001,A744,$B$2:$B$1001,B744-1)),"违规：新止损价不得低于上一次",IF(AND(B744&gt;1,F744&gt;SUMIFS($F$2:$F$1001,$A$2:$A$1001,A744,$B$2:$B$1001,B744-1)),"违规：风险预算须逐次不增加",IF(OR(_LockStatus="已锁仓",_LockStatus="解锁信息不完整"),"违规：锁仓期间禁止加仓",IF(G744="","计划可执行：建议股数见N列",IF(OR(G744&lt;=0,G744&lt;&gt;INT(G744),MOD(G744,100)&lt;&gt;0),"违规：实际股数须为100股整数倍",IF(G744&gt;N744,"违规：实际股数超过风险或金字塔上限",IF(AND(B744&gt;1,G744&gt;SUMIFS($G$2:$G$1001,$A$2:$A$1001,A744,$B$2:$B$1001,B744-1)),"违规：加仓股数须逐次不增加",IF(Q744&gt;F744,"违规：止损风险超过本次预算","通过")))))))))))))))</f>
        <v/>
      </c>
    </row>
    <row r="745" customFormat="false" ht="15" hidden="false" customHeight="false" outlineLevel="0" collapsed="false">
      <c r="A745" s="20"/>
      <c r="B745" s="21"/>
      <c r="C745" s="22"/>
      <c r="D745" s="23"/>
      <c r="E745" s="23"/>
      <c r="F745" s="23"/>
      <c r="G745" s="21"/>
      <c r="H745" s="24" t="str">
        <f aca="false">IF(OR(A745="",D745="",G745=""),"",D745*G745)</f>
        <v/>
      </c>
      <c r="I745" s="25" t="str">
        <f aca="false">IF(OR(A745="",B745=""),"",IFERROR(LOOKUP(2,1/(单次交易!$A$2:$A$201=A745),单次交易!$H$2:$H$201),0)+SUMIFS($G$2:$G$1001,$A$2:$A$1001,A745,$B$2:$B$1001,"&lt;"&amp;B745))</f>
        <v/>
      </c>
      <c r="J745" s="24" t="str">
        <f aca="false">IF(OR(A745="",B745=""),"",IFERROR(LOOKUP(2,1/(单次交易!$A$2:$A$201=A745),单次交易!$E$2:$E$201)*LOOKUP(2,1/(单次交易!$A$2:$A$201=A745),单次交易!$H$2:$H$201),0)+SUMIFS($H$2:$H$1001,$A$2:$A$1001,A745,$B$2:$B$1001,"&lt;"&amp;B745))</f>
        <v/>
      </c>
      <c r="K745" s="24" t="str">
        <f aca="false">IF(OR(E745="",I745="",J745=""),"",MAX(E745*I745-J745,0))</f>
        <v/>
      </c>
      <c r="L745" s="25" t="str">
        <f aca="false">IF(OR(D745="",E745="",F745="",D745&lt;=E745),"",FLOOR((F745+K745)/(D745-E745),100))</f>
        <v/>
      </c>
      <c r="M745" s="25" t="str">
        <f aca="false">IF(OR(A745="",B745="",L745=""),"",IF(B745=1,L745,IFERROR(SUMIFS($G$2:$G$1001,$A$2:$A$1001,A745,$B$2:$B$1001,B745-1),0)))</f>
        <v/>
      </c>
      <c r="N745" s="25" t="str">
        <f aca="false">IF(OR(L745="",M745=""),"",MIN(L745,M745))</f>
        <v/>
      </c>
      <c r="O745" s="25" t="str">
        <f aca="false">IF(OR(I745="",G745=""),"",I745+G745)</f>
        <v/>
      </c>
      <c r="P745" s="24" t="str">
        <f aca="false">IF(OR(O745="",O745=0),"",(J745+H745)/O745)</f>
        <v/>
      </c>
      <c r="Q745" s="24" t="str">
        <f aca="false">IF(OR(O745="",E745=""),"",MAX(J745+H745-E745*O745,0))</f>
        <v/>
      </c>
      <c r="R745" s="26" t="str">
        <f aca="false">IF(A745="","",IF(COUNTIF(_TradeIds,A745)=0,"违规：交易编号不存在",IF(OR(B745="",B745&lt;1,B745&gt;5,B745&lt;&gt;INT(B745)),"违规：加仓序号须为1到5的整数",IF(COUNTIFS($A$2:$A$1001,A745,$B$2:$B$1001,B745)&gt;1,"违规：同一交易的加仓序号重复",IF(OR(D745="",E745="",F745=""),"计划不完整：请填写加仓价、新止损价和风险预算",IF(OR(D745&lt;=0,E745&lt;=0,F745&lt;=0,D745&lt;=E745),"违规：加仓价必须高于新止损价，金额须大于0",IF(AND(B745&gt;1,COUNTIFS($A$2:$A$1001,A745,$B$2:$B$1001,B745-1,$G$2:$G$1001,"&gt;0")=0),"违规：须先完成上一次加仓",IF(AND(B745&gt;1,E745&lt;SUMIFS($E$2:$E$1001,$A$2:$A$1001,A745,$B$2:$B$1001,B745-1)),"违规：新止损价不得低于上一次",IF(AND(B745&gt;1,F745&gt;SUMIFS($F$2:$F$1001,$A$2:$A$1001,A745,$B$2:$B$1001,B745-1)),"违规：风险预算须逐次不增加",IF(OR(_LockStatus="已锁仓",_LockStatus="解锁信息不完整"),"违规：锁仓期间禁止加仓",IF(G745="","计划可执行：建议股数见N列",IF(OR(G745&lt;=0,G745&lt;&gt;INT(G745),MOD(G745,100)&lt;&gt;0),"违规：实际股数须为100股整数倍",IF(G745&gt;N745,"违规：实际股数超过风险或金字塔上限",IF(AND(B745&gt;1,G745&gt;SUMIFS($G$2:$G$1001,$A$2:$A$1001,A745,$B$2:$B$1001,B745-1)),"违规：加仓股数须逐次不增加",IF(Q745&gt;F745,"违规：止损风险超过本次预算","通过")))))))))))))))</f>
        <v/>
      </c>
    </row>
    <row r="746" customFormat="false" ht="15" hidden="false" customHeight="false" outlineLevel="0" collapsed="false">
      <c r="A746" s="20"/>
      <c r="B746" s="21"/>
      <c r="C746" s="22"/>
      <c r="D746" s="23"/>
      <c r="E746" s="23"/>
      <c r="F746" s="23"/>
      <c r="G746" s="21"/>
      <c r="H746" s="24" t="str">
        <f aca="false">IF(OR(A746="",D746="",G746=""),"",D746*G746)</f>
        <v/>
      </c>
      <c r="I746" s="25" t="str">
        <f aca="false">IF(OR(A746="",B746=""),"",IFERROR(LOOKUP(2,1/(单次交易!$A$2:$A$201=A746),单次交易!$H$2:$H$201),0)+SUMIFS($G$2:$G$1001,$A$2:$A$1001,A746,$B$2:$B$1001,"&lt;"&amp;B746))</f>
        <v/>
      </c>
      <c r="J746" s="24" t="str">
        <f aca="false">IF(OR(A746="",B746=""),"",IFERROR(LOOKUP(2,1/(单次交易!$A$2:$A$201=A746),单次交易!$E$2:$E$201)*LOOKUP(2,1/(单次交易!$A$2:$A$201=A746),单次交易!$H$2:$H$201),0)+SUMIFS($H$2:$H$1001,$A$2:$A$1001,A746,$B$2:$B$1001,"&lt;"&amp;B746))</f>
        <v/>
      </c>
      <c r="K746" s="24" t="str">
        <f aca="false">IF(OR(E746="",I746="",J746=""),"",MAX(E746*I746-J746,0))</f>
        <v/>
      </c>
      <c r="L746" s="25" t="str">
        <f aca="false">IF(OR(D746="",E746="",F746="",D746&lt;=E746),"",FLOOR((F746+K746)/(D746-E746),100))</f>
        <v/>
      </c>
      <c r="M746" s="25" t="str">
        <f aca="false">IF(OR(A746="",B746="",L746=""),"",IF(B746=1,L746,IFERROR(SUMIFS($G$2:$G$1001,$A$2:$A$1001,A746,$B$2:$B$1001,B746-1),0)))</f>
        <v/>
      </c>
      <c r="N746" s="25" t="str">
        <f aca="false">IF(OR(L746="",M746=""),"",MIN(L746,M746))</f>
        <v/>
      </c>
      <c r="O746" s="25" t="str">
        <f aca="false">IF(OR(I746="",G746=""),"",I746+G746)</f>
        <v/>
      </c>
      <c r="P746" s="24" t="str">
        <f aca="false">IF(OR(O746="",O746=0),"",(J746+H746)/O746)</f>
        <v/>
      </c>
      <c r="Q746" s="24" t="str">
        <f aca="false">IF(OR(O746="",E746=""),"",MAX(J746+H746-E746*O746,0))</f>
        <v/>
      </c>
      <c r="R746" s="26" t="str">
        <f aca="false">IF(A746="","",IF(COUNTIF(_TradeIds,A746)=0,"违规：交易编号不存在",IF(OR(B746="",B746&lt;1,B746&gt;5,B746&lt;&gt;INT(B746)),"违规：加仓序号须为1到5的整数",IF(COUNTIFS($A$2:$A$1001,A746,$B$2:$B$1001,B746)&gt;1,"违规：同一交易的加仓序号重复",IF(OR(D746="",E746="",F746=""),"计划不完整：请填写加仓价、新止损价和风险预算",IF(OR(D746&lt;=0,E746&lt;=0,F746&lt;=0,D746&lt;=E746),"违规：加仓价必须高于新止损价，金额须大于0",IF(AND(B746&gt;1,COUNTIFS($A$2:$A$1001,A746,$B$2:$B$1001,B746-1,$G$2:$G$1001,"&gt;0")=0),"违规：须先完成上一次加仓",IF(AND(B746&gt;1,E746&lt;SUMIFS($E$2:$E$1001,$A$2:$A$1001,A746,$B$2:$B$1001,B746-1)),"违规：新止损价不得低于上一次",IF(AND(B746&gt;1,F746&gt;SUMIFS($F$2:$F$1001,$A$2:$A$1001,A746,$B$2:$B$1001,B746-1)),"违规：风险预算须逐次不增加",IF(OR(_LockStatus="已锁仓",_LockStatus="解锁信息不完整"),"违规：锁仓期间禁止加仓",IF(G746="","计划可执行：建议股数见N列",IF(OR(G746&lt;=0,G746&lt;&gt;INT(G746),MOD(G746,100)&lt;&gt;0),"违规：实际股数须为100股整数倍",IF(G746&gt;N746,"违规：实际股数超过风险或金字塔上限",IF(AND(B746&gt;1,G746&gt;SUMIFS($G$2:$G$1001,$A$2:$A$1001,A746,$B$2:$B$1001,B746-1)),"违规：加仓股数须逐次不增加",IF(Q746&gt;F746,"违规：止损风险超过本次预算","通过")))))))))))))))</f>
        <v/>
      </c>
    </row>
    <row r="747" customFormat="false" ht="15" hidden="false" customHeight="false" outlineLevel="0" collapsed="false">
      <c r="A747" s="20"/>
      <c r="B747" s="21"/>
      <c r="C747" s="22"/>
      <c r="D747" s="23"/>
      <c r="E747" s="23"/>
      <c r="F747" s="23"/>
      <c r="G747" s="21"/>
      <c r="H747" s="24" t="str">
        <f aca="false">IF(OR(A747="",D747="",G747=""),"",D747*G747)</f>
        <v/>
      </c>
      <c r="I747" s="25" t="str">
        <f aca="false">IF(OR(A747="",B747=""),"",IFERROR(LOOKUP(2,1/(单次交易!$A$2:$A$201=A747),单次交易!$H$2:$H$201),0)+SUMIFS($G$2:$G$1001,$A$2:$A$1001,A747,$B$2:$B$1001,"&lt;"&amp;B747))</f>
        <v/>
      </c>
      <c r="J747" s="24" t="str">
        <f aca="false">IF(OR(A747="",B747=""),"",IFERROR(LOOKUP(2,1/(单次交易!$A$2:$A$201=A747),单次交易!$E$2:$E$201)*LOOKUP(2,1/(单次交易!$A$2:$A$201=A747),单次交易!$H$2:$H$201),0)+SUMIFS($H$2:$H$1001,$A$2:$A$1001,A747,$B$2:$B$1001,"&lt;"&amp;B747))</f>
        <v/>
      </c>
      <c r="K747" s="24" t="str">
        <f aca="false">IF(OR(E747="",I747="",J747=""),"",MAX(E747*I747-J747,0))</f>
        <v/>
      </c>
      <c r="L747" s="25" t="str">
        <f aca="false">IF(OR(D747="",E747="",F747="",D747&lt;=E747),"",FLOOR((F747+K747)/(D747-E747),100))</f>
        <v/>
      </c>
      <c r="M747" s="25" t="str">
        <f aca="false">IF(OR(A747="",B747="",L747=""),"",IF(B747=1,L747,IFERROR(SUMIFS($G$2:$G$1001,$A$2:$A$1001,A747,$B$2:$B$1001,B747-1),0)))</f>
        <v/>
      </c>
      <c r="N747" s="25" t="str">
        <f aca="false">IF(OR(L747="",M747=""),"",MIN(L747,M747))</f>
        <v/>
      </c>
      <c r="O747" s="25" t="str">
        <f aca="false">IF(OR(I747="",G747=""),"",I747+G747)</f>
        <v/>
      </c>
      <c r="P747" s="24" t="str">
        <f aca="false">IF(OR(O747="",O747=0),"",(J747+H747)/O747)</f>
        <v/>
      </c>
      <c r="Q747" s="24" t="str">
        <f aca="false">IF(OR(O747="",E747=""),"",MAX(J747+H747-E747*O747,0))</f>
        <v/>
      </c>
      <c r="R747" s="26" t="str">
        <f aca="false">IF(A747="","",IF(COUNTIF(_TradeIds,A747)=0,"违规：交易编号不存在",IF(OR(B747="",B747&lt;1,B747&gt;5,B747&lt;&gt;INT(B747)),"违规：加仓序号须为1到5的整数",IF(COUNTIFS($A$2:$A$1001,A747,$B$2:$B$1001,B747)&gt;1,"违规：同一交易的加仓序号重复",IF(OR(D747="",E747="",F747=""),"计划不完整：请填写加仓价、新止损价和风险预算",IF(OR(D747&lt;=0,E747&lt;=0,F747&lt;=0,D747&lt;=E747),"违规：加仓价必须高于新止损价，金额须大于0",IF(AND(B747&gt;1,COUNTIFS($A$2:$A$1001,A747,$B$2:$B$1001,B747-1,$G$2:$G$1001,"&gt;0")=0),"违规：须先完成上一次加仓",IF(AND(B747&gt;1,E747&lt;SUMIFS($E$2:$E$1001,$A$2:$A$1001,A747,$B$2:$B$1001,B747-1)),"违规：新止损价不得低于上一次",IF(AND(B747&gt;1,F747&gt;SUMIFS($F$2:$F$1001,$A$2:$A$1001,A747,$B$2:$B$1001,B747-1)),"违规：风险预算须逐次不增加",IF(OR(_LockStatus="已锁仓",_LockStatus="解锁信息不完整"),"违规：锁仓期间禁止加仓",IF(G747="","计划可执行：建议股数见N列",IF(OR(G747&lt;=0,G747&lt;&gt;INT(G747),MOD(G747,100)&lt;&gt;0),"违规：实际股数须为100股整数倍",IF(G747&gt;N747,"违规：实际股数超过风险或金字塔上限",IF(AND(B747&gt;1,G747&gt;SUMIFS($G$2:$G$1001,$A$2:$A$1001,A747,$B$2:$B$1001,B747-1)),"违规：加仓股数须逐次不增加",IF(Q747&gt;F747,"违规：止损风险超过本次预算","通过")))))))))))))))</f>
        <v/>
      </c>
    </row>
    <row r="748" customFormat="false" ht="15" hidden="false" customHeight="false" outlineLevel="0" collapsed="false">
      <c r="A748" s="20"/>
      <c r="B748" s="21"/>
      <c r="C748" s="22"/>
      <c r="D748" s="23"/>
      <c r="E748" s="23"/>
      <c r="F748" s="23"/>
      <c r="G748" s="21"/>
      <c r="H748" s="24" t="str">
        <f aca="false">IF(OR(A748="",D748="",G748=""),"",D748*G748)</f>
        <v/>
      </c>
      <c r="I748" s="25" t="str">
        <f aca="false">IF(OR(A748="",B748=""),"",IFERROR(LOOKUP(2,1/(单次交易!$A$2:$A$201=A748),单次交易!$H$2:$H$201),0)+SUMIFS($G$2:$G$1001,$A$2:$A$1001,A748,$B$2:$B$1001,"&lt;"&amp;B748))</f>
        <v/>
      </c>
      <c r="J748" s="24" t="str">
        <f aca="false">IF(OR(A748="",B748=""),"",IFERROR(LOOKUP(2,1/(单次交易!$A$2:$A$201=A748),单次交易!$E$2:$E$201)*LOOKUP(2,1/(单次交易!$A$2:$A$201=A748),单次交易!$H$2:$H$201),0)+SUMIFS($H$2:$H$1001,$A$2:$A$1001,A748,$B$2:$B$1001,"&lt;"&amp;B748))</f>
        <v/>
      </c>
      <c r="K748" s="24" t="str">
        <f aca="false">IF(OR(E748="",I748="",J748=""),"",MAX(E748*I748-J748,0))</f>
        <v/>
      </c>
      <c r="L748" s="25" t="str">
        <f aca="false">IF(OR(D748="",E748="",F748="",D748&lt;=E748),"",FLOOR((F748+K748)/(D748-E748),100))</f>
        <v/>
      </c>
      <c r="M748" s="25" t="str">
        <f aca="false">IF(OR(A748="",B748="",L748=""),"",IF(B748=1,L748,IFERROR(SUMIFS($G$2:$G$1001,$A$2:$A$1001,A748,$B$2:$B$1001,B748-1),0)))</f>
        <v/>
      </c>
      <c r="N748" s="25" t="str">
        <f aca="false">IF(OR(L748="",M748=""),"",MIN(L748,M748))</f>
        <v/>
      </c>
      <c r="O748" s="25" t="str">
        <f aca="false">IF(OR(I748="",G748=""),"",I748+G748)</f>
        <v/>
      </c>
      <c r="P748" s="24" t="str">
        <f aca="false">IF(OR(O748="",O748=0),"",(J748+H748)/O748)</f>
        <v/>
      </c>
      <c r="Q748" s="24" t="str">
        <f aca="false">IF(OR(O748="",E748=""),"",MAX(J748+H748-E748*O748,0))</f>
        <v/>
      </c>
      <c r="R748" s="26" t="str">
        <f aca="false">IF(A748="","",IF(COUNTIF(_TradeIds,A748)=0,"违规：交易编号不存在",IF(OR(B748="",B748&lt;1,B748&gt;5,B748&lt;&gt;INT(B748)),"违规：加仓序号须为1到5的整数",IF(COUNTIFS($A$2:$A$1001,A748,$B$2:$B$1001,B748)&gt;1,"违规：同一交易的加仓序号重复",IF(OR(D748="",E748="",F748=""),"计划不完整：请填写加仓价、新止损价和风险预算",IF(OR(D748&lt;=0,E748&lt;=0,F748&lt;=0,D748&lt;=E748),"违规：加仓价必须高于新止损价，金额须大于0",IF(AND(B748&gt;1,COUNTIFS($A$2:$A$1001,A748,$B$2:$B$1001,B748-1,$G$2:$G$1001,"&gt;0")=0),"违规：须先完成上一次加仓",IF(AND(B748&gt;1,E748&lt;SUMIFS($E$2:$E$1001,$A$2:$A$1001,A748,$B$2:$B$1001,B748-1)),"违规：新止损价不得低于上一次",IF(AND(B748&gt;1,F748&gt;SUMIFS($F$2:$F$1001,$A$2:$A$1001,A748,$B$2:$B$1001,B748-1)),"违规：风险预算须逐次不增加",IF(OR(_LockStatus="已锁仓",_LockStatus="解锁信息不完整"),"违规：锁仓期间禁止加仓",IF(G748="","计划可执行：建议股数见N列",IF(OR(G748&lt;=0,G748&lt;&gt;INT(G748),MOD(G748,100)&lt;&gt;0),"违规：实际股数须为100股整数倍",IF(G748&gt;N748,"违规：实际股数超过风险或金字塔上限",IF(AND(B748&gt;1,G748&gt;SUMIFS($G$2:$G$1001,$A$2:$A$1001,A748,$B$2:$B$1001,B748-1)),"违规：加仓股数须逐次不增加",IF(Q748&gt;F748,"违规：止损风险超过本次预算","通过")))))))))))))))</f>
        <v/>
      </c>
    </row>
    <row r="749" customFormat="false" ht="15" hidden="false" customHeight="false" outlineLevel="0" collapsed="false">
      <c r="A749" s="20"/>
      <c r="B749" s="21"/>
      <c r="C749" s="22"/>
      <c r="D749" s="23"/>
      <c r="E749" s="23"/>
      <c r="F749" s="23"/>
      <c r="G749" s="21"/>
      <c r="H749" s="24" t="str">
        <f aca="false">IF(OR(A749="",D749="",G749=""),"",D749*G749)</f>
        <v/>
      </c>
      <c r="I749" s="25" t="str">
        <f aca="false">IF(OR(A749="",B749=""),"",IFERROR(LOOKUP(2,1/(单次交易!$A$2:$A$201=A749),单次交易!$H$2:$H$201),0)+SUMIFS($G$2:$G$1001,$A$2:$A$1001,A749,$B$2:$B$1001,"&lt;"&amp;B749))</f>
        <v/>
      </c>
      <c r="J749" s="24" t="str">
        <f aca="false">IF(OR(A749="",B749=""),"",IFERROR(LOOKUP(2,1/(单次交易!$A$2:$A$201=A749),单次交易!$E$2:$E$201)*LOOKUP(2,1/(单次交易!$A$2:$A$201=A749),单次交易!$H$2:$H$201),0)+SUMIFS($H$2:$H$1001,$A$2:$A$1001,A749,$B$2:$B$1001,"&lt;"&amp;B749))</f>
        <v/>
      </c>
      <c r="K749" s="24" t="str">
        <f aca="false">IF(OR(E749="",I749="",J749=""),"",MAX(E749*I749-J749,0))</f>
        <v/>
      </c>
      <c r="L749" s="25" t="str">
        <f aca="false">IF(OR(D749="",E749="",F749="",D749&lt;=E749),"",FLOOR((F749+K749)/(D749-E749),100))</f>
        <v/>
      </c>
      <c r="M749" s="25" t="str">
        <f aca="false">IF(OR(A749="",B749="",L749=""),"",IF(B749=1,L749,IFERROR(SUMIFS($G$2:$G$1001,$A$2:$A$1001,A749,$B$2:$B$1001,B749-1),0)))</f>
        <v/>
      </c>
      <c r="N749" s="25" t="str">
        <f aca="false">IF(OR(L749="",M749=""),"",MIN(L749,M749))</f>
        <v/>
      </c>
      <c r="O749" s="25" t="str">
        <f aca="false">IF(OR(I749="",G749=""),"",I749+G749)</f>
        <v/>
      </c>
      <c r="P749" s="24" t="str">
        <f aca="false">IF(OR(O749="",O749=0),"",(J749+H749)/O749)</f>
        <v/>
      </c>
      <c r="Q749" s="24" t="str">
        <f aca="false">IF(OR(O749="",E749=""),"",MAX(J749+H749-E749*O749,0))</f>
        <v/>
      </c>
      <c r="R749" s="26" t="str">
        <f aca="false">IF(A749="","",IF(COUNTIF(_TradeIds,A749)=0,"违规：交易编号不存在",IF(OR(B749="",B749&lt;1,B749&gt;5,B749&lt;&gt;INT(B749)),"违规：加仓序号须为1到5的整数",IF(COUNTIFS($A$2:$A$1001,A749,$B$2:$B$1001,B749)&gt;1,"违规：同一交易的加仓序号重复",IF(OR(D749="",E749="",F749=""),"计划不完整：请填写加仓价、新止损价和风险预算",IF(OR(D749&lt;=0,E749&lt;=0,F749&lt;=0,D749&lt;=E749),"违规：加仓价必须高于新止损价，金额须大于0",IF(AND(B749&gt;1,COUNTIFS($A$2:$A$1001,A749,$B$2:$B$1001,B749-1,$G$2:$G$1001,"&gt;0")=0),"违规：须先完成上一次加仓",IF(AND(B749&gt;1,E749&lt;SUMIFS($E$2:$E$1001,$A$2:$A$1001,A749,$B$2:$B$1001,B749-1)),"违规：新止损价不得低于上一次",IF(AND(B749&gt;1,F749&gt;SUMIFS($F$2:$F$1001,$A$2:$A$1001,A749,$B$2:$B$1001,B749-1)),"违规：风险预算须逐次不增加",IF(OR(_LockStatus="已锁仓",_LockStatus="解锁信息不完整"),"违规：锁仓期间禁止加仓",IF(G749="","计划可执行：建议股数见N列",IF(OR(G749&lt;=0,G749&lt;&gt;INT(G749),MOD(G749,100)&lt;&gt;0),"违规：实际股数须为100股整数倍",IF(G749&gt;N749,"违规：实际股数超过风险或金字塔上限",IF(AND(B749&gt;1,G749&gt;SUMIFS($G$2:$G$1001,$A$2:$A$1001,A749,$B$2:$B$1001,B749-1)),"违规：加仓股数须逐次不增加",IF(Q749&gt;F749,"违规：止损风险超过本次预算","通过")))))))))))))))</f>
        <v/>
      </c>
    </row>
    <row r="750" customFormat="false" ht="15" hidden="false" customHeight="false" outlineLevel="0" collapsed="false">
      <c r="A750" s="20"/>
      <c r="B750" s="21"/>
      <c r="C750" s="22"/>
      <c r="D750" s="23"/>
      <c r="E750" s="23"/>
      <c r="F750" s="23"/>
      <c r="G750" s="21"/>
      <c r="H750" s="24" t="str">
        <f aca="false">IF(OR(A750="",D750="",G750=""),"",D750*G750)</f>
        <v/>
      </c>
      <c r="I750" s="25" t="str">
        <f aca="false">IF(OR(A750="",B750=""),"",IFERROR(LOOKUP(2,1/(单次交易!$A$2:$A$201=A750),单次交易!$H$2:$H$201),0)+SUMIFS($G$2:$G$1001,$A$2:$A$1001,A750,$B$2:$B$1001,"&lt;"&amp;B750))</f>
        <v/>
      </c>
      <c r="J750" s="24" t="str">
        <f aca="false">IF(OR(A750="",B750=""),"",IFERROR(LOOKUP(2,1/(单次交易!$A$2:$A$201=A750),单次交易!$E$2:$E$201)*LOOKUP(2,1/(单次交易!$A$2:$A$201=A750),单次交易!$H$2:$H$201),0)+SUMIFS($H$2:$H$1001,$A$2:$A$1001,A750,$B$2:$B$1001,"&lt;"&amp;B750))</f>
        <v/>
      </c>
      <c r="K750" s="24" t="str">
        <f aca="false">IF(OR(E750="",I750="",J750=""),"",MAX(E750*I750-J750,0))</f>
        <v/>
      </c>
      <c r="L750" s="25" t="str">
        <f aca="false">IF(OR(D750="",E750="",F750="",D750&lt;=E750),"",FLOOR((F750+K750)/(D750-E750),100))</f>
        <v/>
      </c>
      <c r="M750" s="25" t="str">
        <f aca="false">IF(OR(A750="",B750="",L750=""),"",IF(B750=1,L750,IFERROR(SUMIFS($G$2:$G$1001,$A$2:$A$1001,A750,$B$2:$B$1001,B750-1),0)))</f>
        <v/>
      </c>
      <c r="N750" s="25" t="str">
        <f aca="false">IF(OR(L750="",M750=""),"",MIN(L750,M750))</f>
        <v/>
      </c>
      <c r="O750" s="25" t="str">
        <f aca="false">IF(OR(I750="",G750=""),"",I750+G750)</f>
        <v/>
      </c>
      <c r="P750" s="24" t="str">
        <f aca="false">IF(OR(O750="",O750=0),"",(J750+H750)/O750)</f>
        <v/>
      </c>
      <c r="Q750" s="24" t="str">
        <f aca="false">IF(OR(O750="",E750=""),"",MAX(J750+H750-E750*O750,0))</f>
        <v/>
      </c>
      <c r="R750" s="26" t="str">
        <f aca="false">IF(A750="","",IF(COUNTIF(_TradeIds,A750)=0,"违规：交易编号不存在",IF(OR(B750="",B750&lt;1,B750&gt;5,B750&lt;&gt;INT(B750)),"违规：加仓序号须为1到5的整数",IF(COUNTIFS($A$2:$A$1001,A750,$B$2:$B$1001,B750)&gt;1,"违规：同一交易的加仓序号重复",IF(OR(D750="",E750="",F750=""),"计划不完整：请填写加仓价、新止损价和风险预算",IF(OR(D750&lt;=0,E750&lt;=0,F750&lt;=0,D750&lt;=E750),"违规：加仓价必须高于新止损价，金额须大于0",IF(AND(B750&gt;1,COUNTIFS($A$2:$A$1001,A750,$B$2:$B$1001,B750-1,$G$2:$G$1001,"&gt;0")=0),"违规：须先完成上一次加仓",IF(AND(B750&gt;1,E750&lt;SUMIFS($E$2:$E$1001,$A$2:$A$1001,A750,$B$2:$B$1001,B750-1)),"违规：新止损价不得低于上一次",IF(AND(B750&gt;1,F750&gt;SUMIFS($F$2:$F$1001,$A$2:$A$1001,A750,$B$2:$B$1001,B750-1)),"违规：风险预算须逐次不增加",IF(OR(_LockStatus="已锁仓",_LockStatus="解锁信息不完整"),"违规：锁仓期间禁止加仓",IF(G750="","计划可执行：建议股数见N列",IF(OR(G750&lt;=0,G750&lt;&gt;INT(G750),MOD(G750,100)&lt;&gt;0),"违规：实际股数须为100股整数倍",IF(G750&gt;N750,"违规：实际股数超过风险或金字塔上限",IF(AND(B750&gt;1,G750&gt;SUMIFS($G$2:$G$1001,$A$2:$A$1001,A750,$B$2:$B$1001,B750-1)),"违规：加仓股数须逐次不增加",IF(Q750&gt;F750,"违规：止损风险超过本次预算","通过")))))))))))))))</f>
        <v/>
      </c>
    </row>
    <row r="751" customFormat="false" ht="15" hidden="false" customHeight="false" outlineLevel="0" collapsed="false">
      <c r="A751" s="20"/>
      <c r="B751" s="21"/>
      <c r="C751" s="22"/>
      <c r="D751" s="23"/>
      <c r="E751" s="23"/>
      <c r="F751" s="23"/>
      <c r="G751" s="21"/>
      <c r="H751" s="24" t="str">
        <f aca="false">IF(OR(A751="",D751="",G751=""),"",D751*G751)</f>
        <v/>
      </c>
      <c r="I751" s="25" t="str">
        <f aca="false">IF(OR(A751="",B751=""),"",IFERROR(LOOKUP(2,1/(单次交易!$A$2:$A$201=A751),单次交易!$H$2:$H$201),0)+SUMIFS($G$2:$G$1001,$A$2:$A$1001,A751,$B$2:$B$1001,"&lt;"&amp;B751))</f>
        <v/>
      </c>
      <c r="J751" s="24" t="str">
        <f aca="false">IF(OR(A751="",B751=""),"",IFERROR(LOOKUP(2,1/(单次交易!$A$2:$A$201=A751),单次交易!$E$2:$E$201)*LOOKUP(2,1/(单次交易!$A$2:$A$201=A751),单次交易!$H$2:$H$201),0)+SUMIFS($H$2:$H$1001,$A$2:$A$1001,A751,$B$2:$B$1001,"&lt;"&amp;B751))</f>
        <v/>
      </c>
      <c r="K751" s="24" t="str">
        <f aca="false">IF(OR(E751="",I751="",J751=""),"",MAX(E751*I751-J751,0))</f>
        <v/>
      </c>
      <c r="L751" s="25" t="str">
        <f aca="false">IF(OR(D751="",E751="",F751="",D751&lt;=E751),"",FLOOR((F751+K751)/(D751-E751),100))</f>
        <v/>
      </c>
      <c r="M751" s="25" t="str">
        <f aca="false">IF(OR(A751="",B751="",L751=""),"",IF(B751=1,L751,IFERROR(SUMIFS($G$2:$G$1001,$A$2:$A$1001,A751,$B$2:$B$1001,B751-1),0)))</f>
        <v/>
      </c>
      <c r="N751" s="25" t="str">
        <f aca="false">IF(OR(L751="",M751=""),"",MIN(L751,M751))</f>
        <v/>
      </c>
      <c r="O751" s="25" t="str">
        <f aca="false">IF(OR(I751="",G751=""),"",I751+G751)</f>
        <v/>
      </c>
      <c r="P751" s="24" t="str">
        <f aca="false">IF(OR(O751="",O751=0),"",(J751+H751)/O751)</f>
        <v/>
      </c>
      <c r="Q751" s="24" t="str">
        <f aca="false">IF(OR(O751="",E751=""),"",MAX(J751+H751-E751*O751,0))</f>
        <v/>
      </c>
      <c r="R751" s="26" t="str">
        <f aca="false">IF(A751="","",IF(COUNTIF(_TradeIds,A751)=0,"违规：交易编号不存在",IF(OR(B751="",B751&lt;1,B751&gt;5,B751&lt;&gt;INT(B751)),"违规：加仓序号须为1到5的整数",IF(COUNTIFS($A$2:$A$1001,A751,$B$2:$B$1001,B751)&gt;1,"违规：同一交易的加仓序号重复",IF(OR(D751="",E751="",F751=""),"计划不完整：请填写加仓价、新止损价和风险预算",IF(OR(D751&lt;=0,E751&lt;=0,F751&lt;=0,D751&lt;=E751),"违规：加仓价必须高于新止损价，金额须大于0",IF(AND(B751&gt;1,COUNTIFS($A$2:$A$1001,A751,$B$2:$B$1001,B751-1,$G$2:$G$1001,"&gt;0")=0),"违规：须先完成上一次加仓",IF(AND(B751&gt;1,E751&lt;SUMIFS($E$2:$E$1001,$A$2:$A$1001,A751,$B$2:$B$1001,B751-1)),"违规：新止损价不得低于上一次",IF(AND(B751&gt;1,F751&gt;SUMIFS($F$2:$F$1001,$A$2:$A$1001,A751,$B$2:$B$1001,B751-1)),"违规：风险预算须逐次不增加",IF(OR(_LockStatus="已锁仓",_LockStatus="解锁信息不完整"),"违规：锁仓期间禁止加仓",IF(G751="","计划可执行：建议股数见N列",IF(OR(G751&lt;=0,G751&lt;&gt;INT(G751),MOD(G751,100)&lt;&gt;0),"违规：实际股数须为100股整数倍",IF(G751&gt;N751,"违规：实际股数超过风险或金字塔上限",IF(AND(B751&gt;1,G751&gt;SUMIFS($G$2:$G$1001,$A$2:$A$1001,A751,$B$2:$B$1001,B751-1)),"违规：加仓股数须逐次不增加",IF(Q751&gt;F751,"违规：止损风险超过本次预算","通过")))))))))))))))</f>
        <v/>
      </c>
    </row>
    <row r="752" customFormat="false" ht="15" hidden="false" customHeight="false" outlineLevel="0" collapsed="false">
      <c r="A752" s="20"/>
      <c r="B752" s="21"/>
      <c r="C752" s="22"/>
      <c r="D752" s="23"/>
      <c r="E752" s="23"/>
      <c r="F752" s="23"/>
      <c r="G752" s="21"/>
      <c r="H752" s="24" t="str">
        <f aca="false">IF(OR(A752="",D752="",G752=""),"",D752*G752)</f>
        <v/>
      </c>
      <c r="I752" s="25" t="str">
        <f aca="false">IF(OR(A752="",B752=""),"",IFERROR(LOOKUP(2,1/(单次交易!$A$2:$A$201=A752),单次交易!$H$2:$H$201),0)+SUMIFS($G$2:$G$1001,$A$2:$A$1001,A752,$B$2:$B$1001,"&lt;"&amp;B752))</f>
        <v/>
      </c>
      <c r="J752" s="24" t="str">
        <f aca="false">IF(OR(A752="",B752=""),"",IFERROR(LOOKUP(2,1/(单次交易!$A$2:$A$201=A752),单次交易!$E$2:$E$201)*LOOKUP(2,1/(单次交易!$A$2:$A$201=A752),单次交易!$H$2:$H$201),0)+SUMIFS($H$2:$H$1001,$A$2:$A$1001,A752,$B$2:$B$1001,"&lt;"&amp;B752))</f>
        <v/>
      </c>
      <c r="K752" s="24" t="str">
        <f aca="false">IF(OR(E752="",I752="",J752=""),"",MAX(E752*I752-J752,0))</f>
        <v/>
      </c>
      <c r="L752" s="25" t="str">
        <f aca="false">IF(OR(D752="",E752="",F752="",D752&lt;=E752),"",FLOOR((F752+K752)/(D752-E752),100))</f>
        <v/>
      </c>
      <c r="M752" s="25" t="str">
        <f aca="false">IF(OR(A752="",B752="",L752=""),"",IF(B752=1,L752,IFERROR(SUMIFS($G$2:$G$1001,$A$2:$A$1001,A752,$B$2:$B$1001,B752-1),0)))</f>
        <v/>
      </c>
      <c r="N752" s="25" t="str">
        <f aca="false">IF(OR(L752="",M752=""),"",MIN(L752,M752))</f>
        <v/>
      </c>
      <c r="O752" s="25" t="str">
        <f aca="false">IF(OR(I752="",G752=""),"",I752+G752)</f>
        <v/>
      </c>
      <c r="P752" s="24" t="str">
        <f aca="false">IF(OR(O752="",O752=0),"",(J752+H752)/O752)</f>
        <v/>
      </c>
      <c r="Q752" s="24" t="str">
        <f aca="false">IF(OR(O752="",E752=""),"",MAX(J752+H752-E752*O752,0))</f>
        <v/>
      </c>
      <c r="R752" s="26" t="str">
        <f aca="false">IF(A752="","",IF(COUNTIF(_TradeIds,A752)=0,"违规：交易编号不存在",IF(OR(B752="",B752&lt;1,B752&gt;5,B752&lt;&gt;INT(B752)),"违规：加仓序号须为1到5的整数",IF(COUNTIFS($A$2:$A$1001,A752,$B$2:$B$1001,B752)&gt;1,"违规：同一交易的加仓序号重复",IF(OR(D752="",E752="",F752=""),"计划不完整：请填写加仓价、新止损价和风险预算",IF(OR(D752&lt;=0,E752&lt;=0,F752&lt;=0,D752&lt;=E752),"违规：加仓价必须高于新止损价，金额须大于0",IF(AND(B752&gt;1,COUNTIFS($A$2:$A$1001,A752,$B$2:$B$1001,B752-1,$G$2:$G$1001,"&gt;0")=0),"违规：须先完成上一次加仓",IF(AND(B752&gt;1,E752&lt;SUMIFS($E$2:$E$1001,$A$2:$A$1001,A752,$B$2:$B$1001,B752-1)),"违规：新止损价不得低于上一次",IF(AND(B752&gt;1,F752&gt;SUMIFS($F$2:$F$1001,$A$2:$A$1001,A752,$B$2:$B$1001,B752-1)),"违规：风险预算须逐次不增加",IF(OR(_LockStatus="已锁仓",_LockStatus="解锁信息不完整"),"违规：锁仓期间禁止加仓",IF(G752="","计划可执行：建议股数见N列",IF(OR(G752&lt;=0,G752&lt;&gt;INT(G752),MOD(G752,100)&lt;&gt;0),"违规：实际股数须为100股整数倍",IF(G752&gt;N752,"违规：实际股数超过风险或金字塔上限",IF(AND(B752&gt;1,G752&gt;SUMIFS($G$2:$G$1001,$A$2:$A$1001,A752,$B$2:$B$1001,B752-1)),"违规：加仓股数须逐次不增加",IF(Q752&gt;F752,"违规：止损风险超过本次预算","通过")))))))))))))))</f>
        <v/>
      </c>
    </row>
    <row r="753" customFormat="false" ht="15" hidden="false" customHeight="false" outlineLevel="0" collapsed="false">
      <c r="A753" s="20"/>
      <c r="B753" s="21"/>
      <c r="C753" s="22"/>
      <c r="D753" s="23"/>
      <c r="E753" s="23"/>
      <c r="F753" s="23"/>
      <c r="G753" s="21"/>
      <c r="H753" s="24" t="str">
        <f aca="false">IF(OR(A753="",D753="",G753=""),"",D753*G753)</f>
        <v/>
      </c>
      <c r="I753" s="25" t="str">
        <f aca="false">IF(OR(A753="",B753=""),"",IFERROR(LOOKUP(2,1/(单次交易!$A$2:$A$201=A753),单次交易!$H$2:$H$201),0)+SUMIFS($G$2:$G$1001,$A$2:$A$1001,A753,$B$2:$B$1001,"&lt;"&amp;B753))</f>
        <v/>
      </c>
      <c r="J753" s="24" t="str">
        <f aca="false">IF(OR(A753="",B753=""),"",IFERROR(LOOKUP(2,1/(单次交易!$A$2:$A$201=A753),单次交易!$E$2:$E$201)*LOOKUP(2,1/(单次交易!$A$2:$A$201=A753),单次交易!$H$2:$H$201),0)+SUMIFS($H$2:$H$1001,$A$2:$A$1001,A753,$B$2:$B$1001,"&lt;"&amp;B753))</f>
        <v/>
      </c>
      <c r="K753" s="24" t="str">
        <f aca="false">IF(OR(E753="",I753="",J753=""),"",MAX(E753*I753-J753,0))</f>
        <v/>
      </c>
      <c r="L753" s="25" t="str">
        <f aca="false">IF(OR(D753="",E753="",F753="",D753&lt;=E753),"",FLOOR((F753+K753)/(D753-E753),100))</f>
        <v/>
      </c>
      <c r="M753" s="25" t="str">
        <f aca="false">IF(OR(A753="",B753="",L753=""),"",IF(B753=1,L753,IFERROR(SUMIFS($G$2:$G$1001,$A$2:$A$1001,A753,$B$2:$B$1001,B753-1),0)))</f>
        <v/>
      </c>
      <c r="N753" s="25" t="str">
        <f aca="false">IF(OR(L753="",M753=""),"",MIN(L753,M753))</f>
        <v/>
      </c>
      <c r="O753" s="25" t="str">
        <f aca="false">IF(OR(I753="",G753=""),"",I753+G753)</f>
        <v/>
      </c>
      <c r="P753" s="24" t="str">
        <f aca="false">IF(OR(O753="",O753=0),"",(J753+H753)/O753)</f>
        <v/>
      </c>
      <c r="Q753" s="24" t="str">
        <f aca="false">IF(OR(O753="",E753=""),"",MAX(J753+H753-E753*O753,0))</f>
        <v/>
      </c>
      <c r="R753" s="26" t="str">
        <f aca="false">IF(A753="","",IF(COUNTIF(_TradeIds,A753)=0,"违规：交易编号不存在",IF(OR(B753="",B753&lt;1,B753&gt;5,B753&lt;&gt;INT(B753)),"违规：加仓序号须为1到5的整数",IF(COUNTIFS($A$2:$A$1001,A753,$B$2:$B$1001,B753)&gt;1,"违规：同一交易的加仓序号重复",IF(OR(D753="",E753="",F753=""),"计划不完整：请填写加仓价、新止损价和风险预算",IF(OR(D753&lt;=0,E753&lt;=0,F753&lt;=0,D753&lt;=E753),"违规：加仓价必须高于新止损价，金额须大于0",IF(AND(B753&gt;1,COUNTIFS($A$2:$A$1001,A753,$B$2:$B$1001,B753-1,$G$2:$G$1001,"&gt;0")=0),"违规：须先完成上一次加仓",IF(AND(B753&gt;1,E753&lt;SUMIFS($E$2:$E$1001,$A$2:$A$1001,A753,$B$2:$B$1001,B753-1)),"违规：新止损价不得低于上一次",IF(AND(B753&gt;1,F753&gt;SUMIFS($F$2:$F$1001,$A$2:$A$1001,A753,$B$2:$B$1001,B753-1)),"违规：风险预算须逐次不增加",IF(OR(_LockStatus="已锁仓",_LockStatus="解锁信息不完整"),"违规：锁仓期间禁止加仓",IF(G753="","计划可执行：建议股数见N列",IF(OR(G753&lt;=0,G753&lt;&gt;INT(G753),MOD(G753,100)&lt;&gt;0),"违规：实际股数须为100股整数倍",IF(G753&gt;N753,"违规：实际股数超过风险或金字塔上限",IF(AND(B753&gt;1,G753&gt;SUMIFS($G$2:$G$1001,$A$2:$A$1001,A753,$B$2:$B$1001,B753-1)),"违规：加仓股数须逐次不增加",IF(Q753&gt;F753,"违规：止损风险超过本次预算","通过")))))))))))))))</f>
        <v/>
      </c>
    </row>
    <row r="754" customFormat="false" ht="15" hidden="false" customHeight="false" outlineLevel="0" collapsed="false">
      <c r="A754" s="20"/>
      <c r="B754" s="21"/>
      <c r="C754" s="22"/>
      <c r="D754" s="23"/>
      <c r="E754" s="23"/>
      <c r="F754" s="23"/>
      <c r="G754" s="21"/>
      <c r="H754" s="24" t="str">
        <f aca="false">IF(OR(A754="",D754="",G754=""),"",D754*G754)</f>
        <v/>
      </c>
      <c r="I754" s="25" t="str">
        <f aca="false">IF(OR(A754="",B754=""),"",IFERROR(LOOKUP(2,1/(单次交易!$A$2:$A$201=A754),单次交易!$H$2:$H$201),0)+SUMIFS($G$2:$G$1001,$A$2:$A$1001,A754,$B$2:$B$1001,"&lt;"&amp;B754))</f>
        <v/>
      </c>
      <c r="J754" s="24" t="str">
        <f aca="false">IF(OR(A754="",B754=""),"",IFERROR(LOOKUP(2,1/(单次交易!$A$2:$A$201=A754),单次交易!$E$2:$E$201)*LOOKUP(2,1/(单次交易!$A$2:$A$201=A754),单次交易!$H$2:$H$201),0)+SUMIFS($H$2:$H$1001,$A$2:$A$1001,A754,$B$2:$B$1001,"&lt;"&amp;B754))</f>
        <v/>
      </c>
      <c r="K754" s="24" t="str">
        <f aca="false">IF(OR(E754="",I754="",J754=""),"",MAX(E754*I754-J754,0))</f>
        <v/>
      </c>
      <c r="L754" s="25" t="str">
        <f aca="false">IF(OR(D754="",E754="",F754="",D754&lt;=E754),"",FLOOR((F754+K754)/(D754-E754),100))</f>
        <v/>
      </c>
      <c r="M754" s="25" t="str">
        <f aca="false">IF(OR(A754="",B754="",L754=""),"",IF(B754=1,L754,IFERROR(SUMIFS($G$2:$G$1001,$A$2:$A$1001,A754,$B$2:$B$1001,B754-1),0)))</f>
        <v/>
      </c>
      <c r="N754" s="25" t="str">
        <f aca="false">IF(OR(L754="",M754=""),"",MIN(L754,M754))</f>
        <v/>
      </c>
      <c r="O754" s="25" t="str">
        <f aca="false">IF(OR(I754="",G754=""),"",I754+G754)</f>
        <v/>
      </c>
      <c r="P754" s="24" t="str">
        <f aca="false">IF(OR(O754="",O754=0),"",(J754+H754)/O754)</f>
        <v/>
      </c>
      <c r="Q754" s="24" t="str">
        <f aca="false">IF(OR(O754="",E754=""),"",MAX(J754+H754-E754*O754,0))</f>
        <v/>
      </c>
      <c r="R754" s="26" t="str">
        <f aca="false">IF(A754="","",IF(COUNTIF(_TradeIds,A754)=0,"违规：交易编号不存在",IF(OR(B754="",B754&lt;1,B754&gt;5,B754&lt;&gt;INT(B754)),"违规：加仓序号须为1到5的整数",IF(COUNTIFS($A$2:$A$1001,A754,$B$2:$B$1001,B754)&gt;1,"违规：同一交易的加仓序号重复",IF(OR(D754="",E754="",F754=""),"计划不完整：请填写加仓价、新止损价和风险预算",IF(OR(D754&lt;=0,E754&lt;=0,F754&lt;=0,D754&lt;=E754),"违规：加仓价必须高于新止损价，金额须大于0",IF(AND(B754&gt;1,COUNTIFS($A$2:$A$1001,A754,$B$2:$B$1001,B754-1,$G$2:$G$1001,"&gt;0")=0),"违规：须先完成上一次加仓",IF(AND(B754&gt;1,E754&lt;SUMIFS($E$2:$E$1001,$A$2:$A$1001,A754,$B$2:$B$1001,B754-1)),"违规：新止损价不得低于上一次",IF(AND(B754&gt;1,F754&gt;SUMIFS($F$2:$F$1001,$A$2:$A$1001,A754,$B$2:$B$1001,B754-1)),"违规：风险预算须逐次不增加",IF(OR(_LockStatus="已锁仓",_LockStatus="解锁信息不完整"),"违规：锁仓期间禁止加仓",IF(G754="","计划可执行：建议股数见N列",IF(OR(G754&lt;=0,G754&lt;&gt;INT(G754),MOD(G754,100)&lt;&gt;0),"违规：实际股数须为100股整数倍",IF(G754&gt;N754,"违规：实际股数超过风险或金字塔上限",IF(AND(B754&gt;1,G754&gt;SUMIFS($G$2:$G$1001,$A$2:$A$1001,A754,$B$2:$B$1001,B754-1)),"违规：加仓股数须逐次不增加",IF(Q754&gt;F754,"违规：止损风险超过本次预算","通过")))))))))))))))</f>
        <v/>
      </c>
    </row>
    <row r="755" customFormat="false" ht="15" hidden="false" customHeight="false" outlineLevel="0" collapsed="false">
      <c r="A755" s="20"/>
      <c r="B755" s="21"/>
      <c r="C755" s="22"/>
      <c r="D755" s="23"/>
      <c r="E755" s="23"/>
      <c r="F755" s="23"/>
      <c r="G755" s="21"/>
      <c r="H755" s="24" t="str">
        <f aca="false">IF(OR(A755="",D755="",G755=""),"",D755*G755)</f>
        <v/>
      </c>
      <c r="I755" s="25" t="str">
        <f aca="false">IF(OR(A755="",B755=""),"",IFERROR(LOOKUP(2,1/(单次交易!$A$2:$A$201=A755),单次交易!$H$2:$H$201),0)+SUMIFS($G$2:$G$1001,$A$2:$A$1001,A755,$B$2:$B$1001,"&lt;"&amp;B755))</f>
        <v/>
      </c>
      <c r="J755" s="24" t="str">
        <f aca="false">IF(OR(A755="",B755=""),"",IFERROR(LOOKUP(2,1/(单次交易!$A$2:$A$201=A755),单次交易!$E$2:$E$201)*LOOKUP(2,1/(单次交易!$A$2:$A$201=A755),单次交易!$H$2:$H$201),0)+SUMIFS($H$2:$H$1001,$A$2:$A$1001,A755,$B$2:$B$1001,"&lt;"&amp;B755))</f>
        <v/>
      </c>
      <c r="K755" s="24" t="str">
        <f aca="false">IF(OR(E755="",I755="",J755=""),"",MAX(E755*I755-J755,0))</f>
        <v/>
      </c>
      <c r="L755" s="25" t="str">
        <f aca="false">IF(OR(D755="",E755="",F755="",D755&lt;=E755),"",FLOOR((F755+K755)/(D755-E755),100))</f>
        <v/>
      </c>
      <c r="M755" s="25" t="str">
        <f aca="false">IF(OR(A755="",B755="",L755=""),"",IF(B755=1,L755,IFERROR(SUMIFS($G$2:$G$1001,$A$2:$A$1001,A755,$B$2:$B$1001,B755-1),0)))</f>
        <v/>
      </c>
      <c r="N755" s="25" t="str">
        <f aca="false">IF(OR(L755="",M755=""),"",MIN(L755,M755))</f>
        <v/>
      </c>
      <c r="O755" s="25" t="str">
        <f aca="false">IF(OR(I755="",G755=""),"",I755+G755)</f>
        <v/>
      </c>
      <c r="P755" s="24" t="str">
        <f aca="false">IF(OR(O755="",O755=0),"",(J755+H755)/O755)</f>
        <v/>
      </c>
      <c r="Q755" s="24" t="str">
        <f aca="false">IF(OR(O755="",E755=""),"",MAX(J755+H755-E755*O755,0))</f>
        <v/>
      </c>
      <c r="R755" s="26" t="str">
        <f aca="false">IF(A755="","",IF(COUNTIF(_TradeIds,A755)=0,"违规：交易编号不存在",IF(OR(B755="",B755&lt;1,B755&gt;5,B755&lt;&gt;INT(B755)),"违规：加仓序号须为1到5的整数",IF(COUNTIFS($A$2:$A$1001,A755,$B$2:$B$1001,B755)&gt;1,"违规：同一交易的加仓序号重复",IF(OR(D755="",E755="",F755=""),"计划不完整：请填写加仓价、新止损价和风险预算",IF(OR(D755&lt;=0,E755&lt;=0,F755&lt;=0,D755&lt;=E755),"违规：加仓价必须高于新止损价，金额须大于0",IF(AND(B755&gt;1,COUNTIFS($A$2:$A$1001,A755,$B$2:$B$1001,B755-1,$G$2:$G$1001,"&gt;0")=0),"违规：须先完成上一次加仓",IF(AND(B755&gt;1,E755&lt;SUMIFS($E$2:$E$1001,$A$2:$A$1001,A755,$B$2:$B$1001,B755-1)),"违规：新止损价不得低于上一次",IF(AND(B755&gt;1,F755&gt;SUMIFS($F$2:$F$1001,$A$2:$A$1001,A755,$B$2:$B$1001,B755-1)),"违规：风险预算须逐次不增加",IF(OR(_LockStatus="已锁仓",_LockStatus="解锁信息不完整"),"违规：锁仓期间禁止加仓",IF(G755="","计划可执行：建议股数见N列",IF(OR(G755&lt;=0,G755&lt;&gt;INT(G755),MOD(G755,100)&lt;&gt;0),"违规：实际股数须为100股整数倍",IF(G755&gt;N755,"违规：实际股数超过风险或金字塔上限",IF(AND(B755&gt;1,G755&gt;SUMIFS($G$2:$G$1001,$A$2:$A$1001,A755,$B$2:$B$1001,B755-1)),"违规：加仓股数须逐次不增加",IF(Q755&gt;F755,"违规：止损风险超过本次预算","通过")))))))))))))))</f>
        <v/>
      </c>
    </row>
    <row r="756" customFormat="false" ht="15" hidden="false" customHeight="false" outlineLevel="0" collapsed="false">
      <c r="A756" s="20"/>
      <c r="B756" s="21"/>
      <c r="C756" s="22"/>
      <c r="D756" s="23"/>
      <c r="E756" s="23"/>
      <c r="F756" s="23"/>
      <c r="G756" s="21"/>
      <c r="H756" s="24" t="str">
        <f aca="false">IF(OR(A756="",D756="",G756=""),"",D756*G756)</f>
        <v/>
      </c>
      <c r="I756" s="25" t="str">
        <f aca="false">IF(OR(A756="",B756=""),"",IFERROR(LOOKUP(2,1/(单次交易!$A$2:$A$201=A756),单次交易!$H$2:$H$201),0)+SUMIFS($G$2:$G$1001,$A$2:$A$1001,A756,$B$2:$B$1001,"&lt;"&amp;B756))</f>
        <v/>
      </c>
      <c r="J756" s="24" t="str">
        <f aca="false">IF(OR(A756="",B756=""),"",IFERROR(LOOKUP(2,1/(单次交易!$A$2:$A$201=A756),单次交易!$E$2:$E$201)*LOOKUP(2,1/(单次交易!$A$2:$A$201=A756),单次交易!$H$2:$H$201),0)+SUMIFS($H$2:$H$1001,$A$2:$A$1001,A756,$B$2:$B$1001,"&lt;"&amp;B756))</f>
        <v/>
      </c>
      <c r="K756" s="24" t="str">
        <f aca="false">IF(OR(E756="",I756="",J756=""),"",MAX(E756*I756-J756,0))</f>
        <v/>
      </c>
      <c r="L756" s="25" t="str">
        <f aca="false">IF(OR(D756="",E756="",F756="",D756&lt;=E756),"",FLOOR((F756+K756)/(D756-E756),100))</f>
        <v/>
      </c>
      <c r="M756" s="25" t="str">
        <f aca="false">IF(OR(A756="",B756="",L756=""),"",IF(B756=1,L756,IFERROR(SUMIFS($G$2:$G$1001,$A$2:$A$1001,A756,$B$2:$B$1001,B756-1),0)))</f>
        <v/>
      </c>
      <c r="N756" s="25" t="str">
        <f aca="false">IF(OR(L756="",M756=""),"",MIN(L756,M756))</f>
        <v/>
      </c>
      <c r="O756" s="25" t="str">
        <f aca="false">IF(OR(I756="",G756=""),"",I756+G756)</f>
        <v/>
      </c>
      <c r="P756" s="24" t="str">
        <f aca="false">IF(OR(O756="",O756=0),"",(J756+H756)/O756)</f>
        <v/>
      </c>
      <c r="Q756" s="24" t="str">
        <f aca="false">IF(OR(O756="",E756=""),"",MAX(J756+H756-E756*O756,0))</f>
        <v/>
      </c>
      <c r="R756" s="26" t="str">
        <f aca="false">IF(A756="","",IF(COUNTIF(_TradeIds,A756)=0,"违规：交易编号不存在",IF(OR(B756="",B756&lt;1,B756&gt;5,B756&lt;&gt;INT(B756)),"违规：加仓序号须为1到5的整数",IF(COUNTIFS($A$2:$A$1001,A756,$B$2:$B$1001,B756)&gt;1,"违规：同一交易的加仓序号重复",IF(OR(D756="",E756="",F756=""),"计划不完整：请填写加仓价、新止损价和风险预算",IF(OR(D756&lt;=0,E756&lt;=0,F756&lt;=0,D756&lt;=E756),"违规：加仓价必须高于新止损价，金额须大于0",IF(AND(B756&gt;1,COUNTIFS($A$2:$A$1001,A756,$B$2:$B$1001,B756-1,$G$2:$G$1001,"&gt;0")=0),"违规：须先完成上一次加仓",IF(AND(B756&gt;1,E756&lt;SUMIFS($E$2:$E$1001,$A$2:$A$1001,A756,$B$2:$B$1001,B756-1)),"违规：新止损价不得低于上一次",IF(AND(B756&gt;1,F756&gt;SUMIFS($F$2:$F$1001,$A$2:$A$1001,A756,$B$2:$B$1001,B756-1)),"违规：风险预算须逐次不增加",IF(OR(_LockStatus="已锁仓",_LockStatus="解锁信息不完整"),"违规：锁仓期间禁止加仓",IF(G756="","计划可执行：建议股数见N列",IF(OR(G756&lt;=0,G756&lt;&gt;INT(G756),MOD(G756,100)&lt;&gt;0),"违规：实际股数须为100股整数倍",IF(G756&gt;N756,"违规：实际股数超过风险或金字塔上限",IF(AND(B756&gt;1,G756&gt;SUMIFS($G$2:$G$1001,$A$2:$A$1001,A756,$B$2:$B$1001,B756-1)),"违规：加仓股数须逐次不增加",IF(Q756&gt;F756,"违规：止损风险超过本次预算","通过")))))))))))))))</f>
        <v/>
      </c>
    </row>
    <row r="757" customFormat="false" ht="15" hidden="false" customHeight="false" outlineLevel="0" collapsed="false">
      <c r="A757" s="20"/>
      <c r="B757" s="21"/>
      <c r="C757" s="22"/>
      <c r="D757" s="23"/>
      <c r="E757" s="23"/>
      <c r="F757" s="23"/>
      <c r="G757" s="21"/>
      <c r="H757" s="24" t="str">
        <f aca="false">IF(OR(A757="",D757="",G757=""),"",D757*G757)</f>
        <v/>
      </c>
      <c r="I757" s="25" t="str">
        <f aca="false">IF(OR(A757="",B757=""),"",IFERROR(LOOKUP(2,1/(单次交易!$A$2:$A$201=A757),单次交易!$H$2:$H$201),0)+SUMIFS($G$2:$G$1001,$A$2:$A$1001,A757,$B$2:$B$1001,"&lt;"&amp;B757))</f>
        <v/>
      </c>
      <c r="J757" s="24" t="str">
        <f aca="false">IF(OR(A757="",B757=""),"",IFERROR(LOOKUP(2,1/(单次交易!$A$2:$A$201=A757),单次交易!$E$2:$E$201)*LOOKUP(2,1/(单次交易!$A$2:$A$201=A757),单次交易!$H$2:$H$201),0)+SUMIFS($H$2:$H$1001,$A$2:$A$1001,A757,$B$2:$B$1001,"&lt;"&amp;B757))</f>
        <v/>
      </c>
      <c r="K757" s="24" t="str">
        <f aca="false">IF(OR(E757="",I757="",J757=""),"",MAX(E757*I757-J757,0))</f>
        <v/>
      </c>
      <c r="L757" s="25" t="str">
        <f aca="false">IF(OR(D757="",E757="",F757="",D757&lt;=E757),"",FLOOR((F757+K757)/(D757-E757),100))</f>
        <v/>
      </c>
      <c r="M757" s="25" t="str">
        <f aca="false">IF(OR(A757="",B757="",L757=""),"",IF(B757=1,L757,IFERROR(SUMIFS($G$2:$G$1001,$A$2:$A$1001,A757,$B$2:$B$1001,B757-1),0)))</f>
        <v/>
      </c>
      <c r="N757" s="25" t="str">
        <f aca="false">IF(OR(L757="",M757=""),"",MIN(L757,M757))</f>
        <v/>
      </c>
      <c r="O757" s="25" t="str">
        <f aca="false">IF(OR(I757="",G757=""),"",I757+G757)</f>
        <v/>
      </c>
      <c r="P757" s="24" t="str">
        <f aca="false">IF(OR(O757="",O757=0),"",(J757+H757)/O757)</f>
        <v/>
      </c>
      <c r="Q757" s="24" t="str">
        <f aca="false">IF(OR(O757="",E757=""),"",MAX(J757+H757-E757*O757,0))</f>
        <v/>
      </c>
      <c r="R757" s="26" t="str">
        <f aca="false">IF(A757="","",IF(COUNTIF(_TradeIds,A757)=0,"违规：交易编号不存在",IF(OR(B757="",B757&lt;1,B757&gt;5,B757&lt;&gt;INT(B757)),"违规：加仓序号须为1到5的整数",IF(COUNTIFS($A$2:$A$1001,A757,$B$2:$B$1001,B757)&gt;1,"违规：同一交易的加仓序号重复",IF(OR(D757="",E757="",F757=""),"计划不完整：请填写加仓价、新止损价和风险预算",IF(OR(D757&lt;=0,E757&lt;=0,F757&lt;=0,D757&lt;=E757),"违规：加仓价必须高于新止损价，金额须大于0",IF(AND(B757&gt;1,COUNTIFS($A$2:$A$1001,A757,$B$2:$B$1001,B757-1,$G$2:$G$1001,"&gt;0")=0),"违规：须先完成上一次加仓",IF(AND(B757&gt;1,E757&lt;SUMIFS($E$2:$E$1001,$A$2:$A$1001,A757,$B$2:$B$1001,B757-1)),"违规：新止损价不得低于上一次",IF(AND(B757&gt;1,F757&gt;SUMIFS($F$2:$F$1001,$A$2:$A$1001,A757,$B$2:$B$1001,B757-1)),"违规：风险预算须逐次不增加",IF(OR(_LockStatus="已锁仓",_LockStatus="解锁信息不完整"),"违规：锁仓期间禁止加仓",IF(G757="","计划可执行：建议股数见N列",IF(OR(G757&lt;=0,G757&lt;&gt;INT(G757),MOD(G757,100)&lt;&gt;0),"违规：实际股数须为100股整数倍",IF(G757&gt;N757,"违规：实际股数超过风险或金字塔上限",IF(AND(B757&gt;1,G757&gt;SUMIFS($G$2:$G$1001,$A$2:$A$1001,A757,$B$2:$B$1001,B757-1)),"违规：加仓股数须逐次不增加",IF(Q757&gt;F757,"违规：止损风险超过本次预算","通过")))))))))))))))</f>
        <v/>
      </c>
    </row>
    <row r="758" customFormat="false" ht="15" hidden="false" customHeight="false" outlineLevel="0" collapsed="false">
      <c r="A758" s="20"/>
      <c r="B758" s="21"/>
      <c r="C758" s="22"/>
      <c r="D758" s="23"/>
      <c r="E758" s="23"/>
      <c r="F758" s="23"/>
      <c r="G758" s="21"/>
      <c r="H758" s="24" t="str">
        <f aca="false">IF(OR(A758="",D758="",G758=""),"",D758*G758)</f>
        <v/>
      </c>
      <c r="I758" s="25" t="str">
        <f aca="false">IF(OR(A758="",B758=""),"",IFERROR(LOOKUP(2,1/(单次交易!$A$2:$A$201=A758),单次交易!$H$2:$H$201),0)+SUMIFS($G$2:$G$1001,$A$2:$A$1001,A758,$B$2:$B$1001,"&lt;"&amp;B758))</f>
        <v/>
      </c>
      <c r="J758" s="24" t="str">
        <f aca="false">IF(OR(A758="",B758=""),"",IFERROR(LOOKUP(2,1/(单次交易!$A$2:$A$201=A758),单次交易!$E$2:$E$201)*LOOKUP(2,1/(单次交易!$A$2:$A$201=A758),单次交易!$H$2:$H$201),0)+SUMIFS($H$2:$H$1001,$A$2:$A$1001,A758,$B$2:$B$1001,"&lt;"&amp;B758))</f>
        <v/>
      </c>
      <c r="K758" s="24" t="str">
        <f aca="false">IF(OR(E758="",I758="",J758=""),"",MAX(E758*I758-J758,0))</f>
        <v/>
      </c>
      <c r="L758" s="25" t="str">
        <f aca="false">IF(OR(D758="",E758="",F758="",D758&lt;=E758),"",FLOOR((F758+K758)/(D758-E758),100))</f>
        <v/>
      </c>
      <c r="M758" s="25" t="str">
        <f aca="false">IF(OR(A758="",B758="",L758=""),"",IF(B758=1,L758,IFERROR(SUMIFS($G$2:$G$1001,$A$2:$A$1001,A758,$B$2:$B$1001,B758-1),0)))</f>
        <v/>
      </c>
      <c r="N758" s="25" t="str">
        <f aca="false">IF(OR(L758="",M758=""),"",MIN(L758,M758))</f>
        <v/>
      </c>
      <c r="O758" s="25" t="str">
        <f aca="false">IF(OR(I758="",G758=""),"",I758+G758)</f>
        <v/>
      </c>
      <c r="P758" s="24" t="str">
        <f aca="false">IF(OR(O758="",O758=0),"",(J758+H758)/O758)</f>
        <v/>
      </c>
      <c r="Q758" s="24" t="str">
        <f aca="false">IF(OR(O758="",E758=""),"",MAX(J758+H758-E758*O758,0))</f>
        <v/>
      </c>
      <c r="R758" s="26" t="str">
        <f aca="false">IF(A758="","",IF(COUNTIF(_TradeIds,A758)=0,"违规：交易编号不存在",IF(OR(B758="",B758&lt;1,B758&gt;5,B758&lt;&gt;INT(B758)),"违规：加仓序号须为1到5的整数",IF(COUNTIFS($A$2:$A$1001,A758,$B$2:$B$1001,B758)&gt;1,"违规：同一交易的加仓序号重复",IF(OR(D758="",E758="",F758=""),"计划不完整：请填写加仓价、新止损价和风险预算",IF(OR(D758&lt;=0,E758&lt;=0,F758&lt;=0,D758&lt;=E758),"违规：加仓价必须高于新止损价，金额须大于0",IF(AND(B758&gt;1,COUNTIFS($A$2:$A$1001,A758,$B$2:$B$1001,B758-1,$G$2:$G$1001,"&gt;0")=0),"违规：须先完成上一次加仓",IF(AND(B758&gt;1,E758&lt;SUMIFS($E$2:$E$1001,$A$2:$A$1001,A758,$B$2:$B$1001,B758-1)),"违规：新止损价不得低于上一次",IF(AND(B758&gt;1,F758&gt;SUMIFS($F$2:$F$1001,$A$2:$A$1001,A758,$B$2:$B$1001,B758-1)),"违规：风险预算须逐次不增加",IF(OR(_LockStatus="已锁仓",_LockStatus="解锁信息不完整"),"违规：锁仓期间禁止加仓",IF(G758="","计划可执行：建议股数见N列",IF(OR(G758&lt;=0,G758&lt;&gt;INT(G758),MOD(G758,100)&lt;&gt;0),"违规：实际股数须为100股整数倍",IF(G758&gt;N758,"违规：实际股数超过风险或金字塔上限",IF(AND(B758&gt;1,G758&gt;SUMIFS($G$2:$G$1001,$A$2:$A$1001,A758,$B$2:$B$1001,B758-1)),"违规：加仓股数须逐次不增加",IF(Q758&gt;F758,"违规：止损风险超过本次预算","通过")))))))))))))))</f>
        <v/>
      </c>
    </row>
    <row r="759" customFormat="false" ht="15" hidden="false" customHeight="false" outlineLevel="0" collapsed="false">
      <c r="A759" s="20"/>
      <c r="B759" s="21"/>
      <c r="C759" s="22"/>
      <c r="D759" s="23"/>
      <c r="E759" s="23"/>
      <c r="F759" s="23"/>
      <c r="G759" s="21"/>
      <c r="H759" s="24" t="str">
        <f aca="false">IF(OR(A759="",D759="",G759=""),"",D759*G759)</f>
        <v/>
      </c>
      <c r="I759" s="25" t="str">
        <f aca="false">IF(OR(A759="",B759=""),"",IFERROR(LOOKUP(2,1/(单次交易!$A$2:$A$201=A759),单次交易!$H$2:$H$201),0)+SUMIFS($G$2:$G$1001,$A$2:$A$1001,A759,$B$2:$B$1001,"&lt;"&amp;B759))</f>
        <v/>
      </c>
      <c r="J759" s="24" t="str">
        <f aca="false">IF(OR(A759="",B759=""),"",IFERROR(LOOKUP(2,1/(单次交易!$A$2:$A$201=A759),单次交易!$E$2:$E$201)*LOOKUP(2,1/(单次交易!$A$2:$A$201=A759),单次交易!$H$2:$H$201),0)+SUMIFS($H$2:$H$1001,$A$2:$A$1001,A759,$B$2:$B$1001,"&lt;"&amp;B759))</f>
        <v/>
      </c>
      <c r="K759" s="24" t="str">
        <f aca="false">IF(OR(E759="",I759="",J759=""),"",MAX(E759*I759-J759,0))</f>
        <v/>
      </c>
      <c r="L759" s="25" t="str">
        <f aca="false">IF(OR(D759="",E759="",F759="",D759&lt;=E759),"",FLOOR((F759+K759)/(D759-E759),100))</f>
        <v/>
      </c>
      <c r="M759" s="25" t="str">
        <f aca="false">IF(OR(A759="",B759="",L759=""),"",IF(B759=1,L759,IFERROR(SUMIFS($G$2:$G$1001,$A$2:$A$1001,A759,$B$2:$B$1001,B759-1),0)))</f>
        <v/>
      </c>
      <c r="N759" s="25" t="str">
        <f aca="false">IF(OR(L759="",M759=""),"",MIN(L759,M759))</f>
        <v/>
      </c>
      <c r="O759" s="25" t="str">
        <f aca="false">IF(OR(I759="",G759=""),"",I759+G759)</f>
        <v/>
      </c>
      <c r="P759" s="24" t="str">
        <f aca="false">IF(OR(O759="",O759=0),"",(J759+H759)/O759)</f>
        <v/>
      </c>
      <c r="Q759" s="24" t="str">
        <f aca="false">IF(OR(O759="",E759=""),"",MAX(J759+H759-E759*O759,0))</f>
        <v/>
      </c>
      <c r="R759" s="26" t="str">
        <f aca="false">IF(A759="","",IF(COUNTIF(_TradeIds,A759)=0,"违规：交易编号不存在",IF(OR(B759="",B759&lt;1,B759&gt;5,B759&lt;&gt;INT(B759)),"违规：加仓序号须为1到5的整数",IF(COUNTIFS($A$2:$A$1001,A759,$B$2:$B$1001,B759)&gt;1,"违规：同一交易的加仓序号重复",IF(OR(D759="",E759="",F759=""),"计划不完整：请填写加仓价、新止损价和风险预算",IF(OR(D759&lt;=0,E759&lt;=0,F759&lt;=0,D759&lt;=E759),"违规：加仓价必须高于新止损价，金额须大于0",IF(AND(B759&gt;1,COUNTIFS($A$2:$A$1001,A759,$B$2:$B$1001,B759-1,$G$2:$G$1001,"&gt;0")=0),"违规：须先完成上一次加仓",IF(AND(B759&gt;1,E759&lt;SUMIFS($E$2:$E$1001,$A$2:$A$1001,A759,$B$2:$B$1001,B759-1)),"违规：新止损价不得低于上一次",IF(AND(B759&gt;1,F759&gt;SUMIFS($F$2:$F$1001,$A$2:$A$1001,A759,$B$2:$B$1001,B759-1)),"违规：风险预算须逐次不增加",IF(OR(_LockStatus="已锁仓",_LockStatus="解锁信息不完整"),"违规：锁仓期间禁止加仓",IF(G759="","计划可执行：建议股数见N列",IF(OR(G759&lt;=0,G759&lt;&gt;INT(G759),MOD(G759,100)&lt;&gt;0),"违规：实际股数须为100股整数倍",IF(G759&gt;N759,"违规：实际股数超过风险或金字塔上限",IF(AND(B759&gt;1,G759&gt;SUMIFS($G$2:$G$1001,$A$2:$A$1001,A759,$B$2:$B$1001,B759-1)),"违规：加仓股数须逐次不增加",IF(Q759&gt;F759,"违规：止损风险超过本次预算","通过")))))))))))))))</f>
        <v/>
      </c>
    </row>
    <row r="760" customFormat="false" ht="15" hidden="false" customHeight="false" outlineLevel="0" collapsed="false">
      <c r="A760" s="20"/>
      <c r="B760" s="21"/>
      <c r="C760" s="22"/>
      <c r="D760" s="23"/>
      <c r="E760" s="23"/>
      <c r="F760" s="23"/>
      <c r="G760" s="21"/>
      <c r="H760" s="24" t="str">
        <f aca="false">IF(OR(A760="",D760="",G760=""),"",D760*G760)</f>
        <v/>
      </c>
      <c r="I760" s="25" t="str">
        <f aca="false">IF(OR(A760="",B760=""),"",IFERROR(LOOKUP(2,1/(单次交易!$A$2:$A$201=A760),单次交易!$H$2:$H$201),0)+SUMIFS($G$2:$G$1001,$A$2:$A$1001,A760,$B$2:$B$1001,"&lt;"&amp;B760))</f>
        <v/>
      </c>
      <c r="J760" s="24" t="str">
        <f aca="false">IF(OR(A760="",B760=""),"",IFERROR(LOOKUP(2,1/(单次交易!$A$2:$A$201=A760),单次交易!$E$2:$E$201)*LOOKUP(2,1/(单次交易!$A$2:$A$201=A760),单次交易!$H$2:$H$201),0)+SUMIFS($H$2:$H$1001,$A$2:$A$1001,A760,$B$2:$B$1001,"&lt;"&amp;B760))</f>
        <v/>
      </c>
      <c r="K760" s="24" t="str">
        <f aca="false">IF(OR(E760="",I760="",J760=""),"",MAX(E760*I760-J760,0))</f>
        <v/>
      </c>
      <c r="L760" s="25" t="str">
        <f aca="false">IF(OR(D760="",E760="",F760="",D760&lt;=E760),"",FLOOR((F760+K760)/(D760-E760),100))</f>
        <v/>
      </c>
      <c r="M760" s="25" t="str">
        <f aca="false">IF(OR(A760="",B760="",L760=""),"",IF(B760=1,L760,IFERROR(SUMIFS($G$2:$G$1001,$A$2:$A$1001,A760,$B$2:$B$1001,B760-1),0)))</f>
        <v/>
      </c>
      <c r="N760" s="25" t="str">
        <f aca="false">IF(OR(L760="",M760=""),"",MIN(L760,M760))</f>
        <v/>
      </c>
      <c r="O760" s="25" t="str">
        <f aca="false">IF(OR(I760="",G760=""),"",I760+G760)</f>
        <v/>
      </c>
      <c r="P760" s="24" t="str">
        <f aca="false">IF(OR(O760="",O760=0),"",(J760+H760)/O760)</f>
        <v/>
      </c>
      <c r="Q760" s="24" t="str">
        <f aca="false">IF(OR(O760="",E760=""),"",MAX(J760+H760-E760*O760,0))</f>
        <v/>
      </c>
      <c r="R760" s="26" t="str">
        <f aca="false">IF(A760="","",IF(COUNTIF(_TradeIds,A760)=0,"违规：交易编号不存在",IF(OR(B760="",B760&lt;1,B760&gt;5,B760&lt;&gt;INT(B760)),"违规：加仓序号须为1到5的整数",IF(COUNTIFS($A$2:$A$1001,A760,$B$2:$B$1001,B760)&gt;1,"违规：同一交易的加仓序号重复",IF(OR(D760="",E760="",F760=""),"计划不完整：请填写加仓价、新止损价和风险预算",IF(OR(D760&lt;=0,E760&lt;=0,F760&lt;=0,D760&lt;=E760),"违规：加仓价必须高于新止损价，金额须大于0",IF(AND(B760&gt;1,COUNTIFS($A$2:$A$1001,A760,$B$2:$B$1001,B760-1,$G$2:$G$1001,"&gt;0")=0),"违规：须先完成上一次加仓",IF(AND(B760&gt;1,E760&lt;SUMIFS($E$2:$E$1001,$A$2:$A$1001,A760,$B$2:$B$1001,B760-1)),"违规：新止损价不得低于上一次",IF(AND(B760&gt;1,F760&gt;SUMIFS($F$2:$F$1001,$A$2:$A$1001,A760,$B$2:$B$1001,B760-1)),"违规：风险预算须逐次不增加",IF(OR(_LockStatus="已锁仓",_LockStatus="解锁信息不完整"),"违规：锁仓期间禁止加仓",IF(G760="","计划可执行：建议股数见N列",IF(OR(G760&lt;=0,G760&lt;&gt;INT(G760),MOD(G760,100)&lt;&gt;0),"违规：实际股数须为100股整数倍",IF(G760&gt;N760,"违规：实际股数超过风险或金字塔上限",IF(AND(B760&gt;1,G760&gt;SUMIFS($G$2:$G$1001,$A$2:$A$1001,A760,$B$2:$B$1001,B760-1)),"违规：加仓股数须逐次不增加",IF(Q760&gt;F760,"违规：止损风险超过本次预算","通过")))))))))))))))</f>
        <v/>
      </c>
    </row>
    <row r="761" customFormat="false" ht="15" hidden="false" customHeight="false" outlineLevel="0" collapsed="false">
      <c r="A761" s="20"/>
      <c r="B761" s="21"/>
      <c r="C761" s="22"/>
      <c r="D761" s="23"/>
      <c r="E761" s="23"/>
      <c r="F761" s="23"/>
      <c r="G761" s="21"/>
      <c r="H761" s="24" t="str">
        <f aca="false">IF(OR(A761="",D761="",G761=""),"",D761*G761)</f>
        <v/>
      </c>
      <c r="I761" s="25" t="str">
        <f aca="false">IF(OR(A761="",B761=""),"",IFERROR(LOOKUP(2,1/(单次交易!$A$2:$A$201=A761),单次交易!$H$2:$H$201),0)+SUMIFS($G$2:$G$1001,$A$2:$A$1001,A761,$B$2:$B$1001,"&lt;"&amp;B761))</f>
        <v/>
      </c>
      <c r="J761" s="24" t="str">
        <f aca="false">IF(OR(A761="",B761=""),"",IFERROR(LOOKUP(2,1/(单次交易!$A$2:$A$201=A761),单次交易!$E$2:$E$201)*LOOKUP(2,1/(单次交易!$A$2:$A$201=A761),单次交易!$H$2:$H$201),0)+SUMIFS($H$2:$H$1001,$A$2:$A$1001,A761,$B$2:$B$1001,"&lt;"&amp;B761))</f>
        <v/>
      </c>
      <c r="K761" s="24" t="str">
        <f aca="false">IF(OR(E761="",I761="",J761=""),"",MAX(E761*I761-J761,0))</f>
        <v/>
      </c>
      <c r="L761" s="25" t="str">
        <f aca="false">IF(OR(D761="",E761="",F761="",D761&lt;=E761),"",FLOOR((F761+K761)/(D761-E761),100))</f>
        <v/>
      </c>
      <c r="M761" s="25" t="str">
        <f aca="false">IF(OR(A761="",B761="",L761=""),"",IF(B761=1,L761,IFERROR(SUMIFS($G$2:$G$1001,$A$2:$A$1001,A761,$B$2:$B$1001,B761-1),0)))</f>
        <v/>
      </c>
      <c r="N761" s="25" t="str">
        <f aca="false">IF(OR(L761="",M761=""),"",MIN(L761,M761))</f>
        <v/>
      </c>
      <c r="O761" s="25" t="str">
        <f aca="false">IF(OR(I761="",G761=""),"",I761+G761)</f>
        <v/>
      </c>
      <c r="P761" s="24" t="str">
        <f aca="false">IF(OR(O761="",O761=0),"",(J761+H761)/O761)</f>
        <v/>
      </c>
      <c r="Q761" s="24" t="str">
        <f aca="false">IF(OR(O761="",E761=""),"",MAX(J761+H761-E761*O761,0))</f>
        <v/>
      </c>
      <c r="R761" s="26" t="str">
        <f aca="false">IF(A761="","",IF(COUNTIF(_TradeIds,A761)=0,"违规：交易编号不存在",IF(OR(B761="",B761&lt;1,B761&gt;5,B761&lt;&gt;INT(B761)),"违规：加仓序号须为1到5的整数",IF(COUNTIFS($A$2:$A$1001,A761,$B$2:$B$1001,B761)&gt;1,"违规：同一交易的加仓序号重复",IF(OR(D761="",E761="",F761=""),"计划不完整：请填写加仓价、新止损价和风险预算",IF(OR(D761&lt;=0,E761&lt;=0,F761&lt;=0,D761&lt;=E761),"违规：加仓价必须高于新止损价，金额须大于0",IF(AND(B761&gt;1,COUNTIFS($A$2:$A$1001,A761,$B$2:$B$1001,B761-1,$G$2:$G$1001,"&gt;0")=0),"违规：须先完成上一次加仓",IF(AND(B761&gt;1,E761&lt;SUMIFS($E$2:$E$1001,$A$2:$A$1001,A761,$B$2:$B$1001,B761-1)),"违规：新止损价不得低于上一次",IF(AND(B761&gt;1,F761&gt;SUMIFS($F$2:$F$1001,$A$2:$A$1001,A761,$B$2:$B$1001,B761-1)),"违规：风险预算须逐次不增加",IF(OR(_LockStatus="已锁仓",_LockStatus="解锁信息不完整"),"违规：锁仓期间禁止加仓",IF(G761="","计划可执行：建议股数见N列",IF(OR(G761&lt;=0,G761&lt;&gt;INT(G761),MOD(G761,100)&lt;&gt;0),"违规：实际股数须为100股整数倍",IF(G761&gt;N761,"违规：实际股数超过风险或金字塔上限",IF(AND(B761&gt;1,G761&gt;SUMIFS($G$2:$G$1001,$A$2:$A$1001,A761,$B$2:$B$1001,B761-1)),"违规：加仓股数须逐次不增加",IF(Q761&gt;F761,"违规：止损风险超过本次预算","通过")))))))))))))))</f>
        <v/>
      </c>
    </row>
    <row r="762" customFormat="false" ht="15" hidden="false" customHeight="false" outlineLevel="0" collapsed="false">
      <c r="A762" s="20"/>
      <c r="B762" s="21"/>
      <c r="C762" s="22"/>
      <c r="D762" s="23"/>
      <c r="E762" s="23"/>
      <c r="F762" s="23"/>
      <c r="G762" s="21"/>
      <c r="H762" s="24" t="str">
        <f aca="false">IF(OR(A762="",D762="",G762=""),"",D762*G762)</f>
        <v/>
      </c>
      <c r="I762" s="25" t="str">
        <f aca="false">IF(OR(A762="",B762=""),"",IFERROR(LOOKUP(2,1/(单次交易!$A$2:$A$201=A762),单次交易!$H$2:$H$201),0)+SUMIFS($G$2:$G$1001,$A$2:$A$1001,A762,$B$2:$B$1001,"&lt;"&amp;B762))</f>
        <v/>
      </c>
      <c r="J762" s="24" t="str">
        <f aca="false">IF(OR(A762="",B762=""),"",IFERROR(LOOKUP(2,1/(单次交易!$A$2:$A$201=A762),单次交易!$E$2:$E$201)*LOOKUP(2,1/(单次交易!$A$2:$A$201=A762),单次交易!$H$2:$H$201),0)+SUMIFS($H$2:$H$1001,$A$2:$A$1001,A762,$B$2:$B$1001,"&lt;"&amp;B762))</f>
        <v/>
      </c>
      <c r="K762" s="24" t="str">
        <f aca="false">IF(OR(E762="",I762="",J762=""),"",MAX(E762*I762-J762,0))</f>
        <v/>
      </c>
      <c r="L762" s="25" t="str">
        <f aca="false">IF(OR(D762="",E762="",F762="",D762&lt;=E762),"",FLOOR((F762+K762)/(D762-E762),100))</f>
        <v/>
      </c>
      <c r="M762" s="25" t="str">
        <f aca="false">IF(OR(A762="",B762="",L762=""),"",IF(B762=1,L762,IFERROR(SUMIFS($G$2:$G$1001,$A$2:$A$1001,A762,$B$2:$B$1001,B762-1),0)))</f>
        <v/>
      </c>
      <c r="N762" s="25" t="str">
        <f aca="false">IF(OR(L762="",M762=""),"",MIN(L762,M762))</f>
        <v/>
      </c>
      <c r="O762" s="25" t="str">
        <f aca="false">IF(OR(I762="",G762=""),"",I762+G762)</f>
        <v/>
      </c>
      <c r="P762" s="24" t="str">
        <f aca="false">IF(OR(O762="",O762=0),"",(J762+H762)/O762)</f>
        <v/>
      </c>
      <c r="Q762" s="24" t="str">
        <f aca="false">IF(OR(O762="",E762=""),"",MAX(J762+H762-E762*O762,0))</f>
        <v/>
      </c>
      <c r="R762" s="26" t="str">
        <f aca="false">IF(A762="","",IF(COUNTIF(_TradeIds,A762)=0,"违规：交易编号不存在",IF(OR(B762="",B762&lt;1,B762&gt;5,B762&lt;&gt;INT(B762)),"违规：加仓序号须为1到5的整数",IF(COUNTIFS($A$2:$A$1001,A762,$B$2:$B$1001,B762)&gt;1,"违规：同一交易的加仓序号重复",IF(OR(D762="",E762="",F762=""),"计划不完整：请填写加仓价、新止损价和风险预算",IF(OR(D762&lt;=0,E762&lt;=0,F762&lt;=0,D762&lt;=E762),"违规：加仓价必须高于新止损价，金额须大于0",IF(AND(B762&gt;1,COUNTIFS($A$2:$A$1001,A762,$B$2:$B$1001,B762-1,$G$2:$G$1001,"&gt;0")=0),"违规：须先完成上一次加仓",IF(AND(B762&gt;1,E762&lt;SUMIFS($E$2:$E$1001,$A$2:$A$1001,A762,$B$2:$B$1001,B762-1)),"违规：新止损价不得低于上一次",IF(AND(B762&gt;1,F762&gt;SUMIFS($F$2:$F$1001,$A$2:$A$1001,A762,$B$2:$B$1001,B762-1)),"违规：风险预算须逐次不增加",IF(OR(_LockStatus="已锁仓",_LockStatus="解锁信息不完整"),"违规：锁仓期间禁止加仓",IF(G762="","计划可执行：建议股数见N列",IF(OR(G762&lt;=0,G762&lt;&gt;INT(G762),MOD(G762,100)&lt;&gt;0),"违规：实际股数须为100股整数倍",IF(G762&gt;N762,"违规：实际股数超过风险或金字塔上限",IF(AND(B762&gt;1,G762&gt;SUMIFS($G$2:$G$1001,$A$2:$A$1001,A762,$B$2:$B$1001,B762-1)),"违规：加仓股数须逐次不增加",IF(Q762&gt;F762,"违规：止损风险超过本次预算","通过")))))))))))))))</f>
        <v/>
      </c>
    </row>
    <row r="763" customFormat="false" ht="15" hidden="false" customHeight="false" outlineLevel="0" collapsed="false">
      <c r="A763" s="20"/>
      <c r="B763" s="21"/>
      <c r="C763" s="22"/>
      <c r="D763" s="23"/>
      <c r="E763" s="23"/>
      <c r="F763" s="23"/>
      <c r="G763" s="21"/>
      <c r="H763" s="24" t="str">
        <f aca="false">IF(OR(A763="",D763="",G763=""),"",D763*G763)</f>
        <v/>
      </c>
      <c r="I763" s="25" t="str">
        <f aca="false">IF(OR(A763="",B763=""),"",IFERROR(LOOKUP(2,1/(单次交易!$A$2:$A$201=A763),单次交易!$H$2:$H$201),0)+SUMIFS($G$2:$G$1001,$A$2:$A$1001,A763,$B$2:$B$1001,"&lt;"&amp;B763))</f>
        <v/>
      </c>
      <c r="J763" s="24" t="str">
        <f aca="false">IF(OR(A763="",B763=""),"",IFERROR(LOOKUP(2,1/(单次交易!$A$2:$A$201=A763),单次交易!$E$2:$E$201)*LOOKUP(2,1/(单次交易!$A$2:$A$201=A763),单次交易!$H$2:$H$201),0)+SUMIFS($H$2:$H$1001,$A$2:$A$1001,A763,$B$2:$B$1001,"&lt;"&amp;B763))</f>
        <v/>
      </c>
      <c r="K763" s="24" t="str">
        <f aca="false">IF(OR(E763="",I763="",J763=""),"",MAX(E763*I763-J763,0))</f>
        <v/>
      </c>
      <c r="L763" s="25" t="str">
        <f aca="false">IF(OR(D763="",E763="",F763="",D763&lt;=E763),"",FLOOR((F763+K763)/(D763-E763),100))</f>
        <v/>
      </c>
      <c r="M763" s="25" t="str">
        <f aca="false">IF(OR(A763="",B763="",L763=""),"",IF(B763=1,L763,IFERROR(SUMIFS($G$2:$G$1001,$A$2:$A$1001,A763,$B$2:$B$1001,B763-1),0)))</f>
        <v/>
      </c>
      <c r="N763" s="25" t="str">
        <f aca="false">IF(OR(L763="",M763=""),"",MIN(L763,M763))</f>
        <v/>
      </c>
      <c r="O763" s="25" t="str">
        <f aca="false">IF(OR(I763="",G763=""),"",I763+G763)</f>
        <v/>
      </c>
      <c r="P763" s="24" t="str">
        <f aca="false">IF(OR(O763="",O763=0),"",(J763+H763)/O763)</f>
        <v/>
      </c>
      <c r="Q763" s="24" t="str">
        <f aca="false">IF(OR(O763="",E763=""),"",MAX(J763+H763-E763*O763,0))</f>
        <v/>
      </c>
      <c r="R763" s="26" t="str">
        <f aca="false">IF(A763="","",IF(COUNTIF(_TradeIds,A763)=0,"违规：交易编号不存在",IF(OR(B763="",B763&lt;1,B763&gt;5,B763&lt;&gt;INT(B763)),"违规：加仓序号须为1到5的整数",IF(COUNTIFS($A$2:$A$1001,A763,$B$2:$B$1001,B763)&gt;1,"违规：同一交易的加仓序号重复",IF(OR(D763="",E763="",F763=""),"计划不完整：请填写加仓价、新止损价和风险预算",IF(OR(D763&lt;=0,E763&lt;=0,F763&lt;=0,D763&lt;=E763),"违规：加仓价必须高于新止损价，金额须大于0",IF(AND(B763&gt;1,COUNTIFS($A$2:$A$1001,A763,$B$2:$B$1001,B763-1,$G$2:$G$1001,"&gt;0")=0),"违规：须先完成上一次加仓",IF(AND(B763&gt;1,E763&lt;SUMIFS($E$2:$E$1001,$A$2:$A$1001,A763,$B$2:$B$1001,B763-1)),"违规：新止损价不得低于上一次",IF(AND(B763&gt;1,F763&gt;SUMIFS($F$2:$F$1001,$A$2:$A$1001,A763,$B$2:$B$1001,B763-1)),"违规：风险预算须逐次不增加",IF(OR(_LockStatus="已锁仓",_LockStatus="解锁信息不完整"),"违规：锁仓期间禁止加仓",IF(G763="","计划可执行：建议股数见N列",IF(OR(G763&lt;=0,G763&lt;&gt;INT(G763),MOD(G763,100)&lt;&gt;0),"违规：实际股数须为100股整数倍",IF(G763&gt;N763,"违规：实际股数超过风险或金字塔上限",IF(AND(B763&gt;1,G763&gt;SUMIFS($G$2:$G$1001,$A$2:$A$1001,A763,$B$2:$B$1001,B763-1)),"违规：加仓股数须逐次不增加",IF(Q763&gt;F763,"违规：止损风险超过本次预算","通过")))))))))))))))</f>
        <v/>
      </c>
    </row>
    <row r="764" customFormat="false" ht="15" hidden="false" customHeight="false" outlineLevel="0" collapsed="false">
      <c r="A764" s="20"/>
      <c r="B764" s="21"/>
      <c r="C764" s="22"/>
      <c r="D764" s="23"/>
      <c r="E764" s="23"/>
      <c r="F764" s="23"/>
      <c r="G764" s="21"/>
      <c r="H764" s="24" t="str">
        <f aca="false">IF(OR(A764="",D764="",G764=""),"",D764*G764)</f>
        <v/>
      </c>
      <c r="I764" s="25" t="str">
        <f aca="false">IF(OR(A764="",B764=""),"",IFERROR(LOOKUP(2,1/(单次交易!$A$2:$A$201=A764),单次交易!$H$2:$H$201),0)+SUMIFS($G$2:$G$1001,$A$2:$A$1001,A764,$B$2:$B$1001,"&lt;"&amp;B764))</f>
        <v/>
      </c>
      <c r="J764" s="24" t="str">
        <f aca="false">IF(OR(A764="",B764=""),"",IFERROR(LOOKUP(2,1/(单次交易!$A$2:$A$201=A764),单次交易!$E$2:$E$201)*LOOKUP(2,1/(单次交易!$A$2:$A$201=A764),单次交易!$H$2:$H$201),0)+SUMIFS($H$2:$H$1001,$A$2:$A$1001,A764,$B$2:$B$1001,"&lt;"&amp;B764))</f>
        <v/>
      </c>
      <c r="K764" s="24" t="str">
        <f aca="false">IF(OR(E764="",I764="",J764=""),"",MAX(E764*I764-J764,0))</f>
        <v/>
      </c>
      <c r="L764" s="25" t="str">
        <f aca="false">IF(OR(D764="",E764="",F764="",D764&lt;=E764),"",FLOOR((F764+K764)/(D764-E764),100))</f>
        <v/>
      </c>
      <c r="M764" s="25" t="str">
        <f aca="false">IF(OR(A764="",B764="",L764=""),"",IF(B764=1,L764,IFERROR(SUMIFS($G$2:$G$1001,$A$2:$A$1001,A764,$B$2:$B$1001,B764-1),0)))</f>
        <v/>
      </c>
      <c r="N764" s="25" t="str">
        <f aca="false">IF(OR(L764="",M764=""),"",MIN(L764,M764))</f>
        <v/>
      </c>
      <c r="O764" s="25" t="str">
        <f aca="false">IF(OR(I764="",G764=""),"",I764+G764)</f>
        <v/>
      </c>
      <c r="P764" s="24" t="str">
        <f aca="false">IF(OR(O764="",O764=0),"",(J764+H764)/O764)</f>
        <v/>
      </c>
      <c r="Q764" s="24" t="str">
        <f aca="false">IF(OR(O764="",E764=""),"",MAX(J764+H764-E764*O764,0))</f>
        <v/>
      </c>
      <c r="R764" s="26" t="str">
        <f aca="false">IF(A764="","",IF(COUNTIF(_TradeIds,A764)=0,"违规：交易编号不存在",IF(OR(B764="",B764&lt;1,B764&gt;5,B764&lt;&gt;INT(B764)),"违规：加仓序号须为1到5的整数",IF(COUNTIFS($A$2:$A$1001,A764,$B$2:$B$1001,B764)&gt;1,"违规：同一交易的加仓序号重复",IF(OR(D764="",E764="",F764=""),"计划不完整：请填写加仓价、新止损价和风险预算",IF(OR(D764&lt;=0,E764&lt;=0,F764&lt;=0,D764&lt;=E764),"违规：加仓价必须高于新止损价，金额须大于0",IF(AND(B764&gt;1,COUNTIFS($A$2:$A$1001,A764,$B$2:$B$1001,B764-1,$G$2:$G$1001,"&gt;0")=0),"违规：须先完成上一次加仓",IF(AND(B764&gt;1,E764&lt;SUMIFS($E$2:$E$1001,$A$2:$A$1001,A764,$B$2:$B$1001,B764-1)),"违规：新止损价不得低于上一次",IF(AND(B764&gt;1,F764&gt;SUMIFS($F$2:$F$1001,$A$2:$A$1001,A764,$B$2:$B$1001,B764-1)),"违规：风险预算须逐次不增加",IF(OR(_LockStatus="已锁仓",_LockStatus="解锁信息不完整"),"违规：锁仓期间禁止加仓",IF(G764="","计划可执行：建议股数见N列",IF(OR(G764&lt;=0,G764&lt;&gt;INT(G764),MOD(G764,100)&lt;&gt;0),"违规：实际股数须为100股整数倍",IF(G764&gt;N764,"违规：实际股数超过风险或金字塔上限",IF(AND(B764&gt;1,G764&gt;SUMIFS($G$2:$G$1001,$A$2:$A$1001,A764,$B$2:$B$1001,B764-1)),"违规：加仓股数须逐次不增加",IF(Q764&gt;F764,"违规：止损风险超过本次预算","通过")))))))))))))))</f>
        <v/>
      </c>
    </row>
    <row r="765" customFormat="false" ht="15" hidden="false" customHeight="false" outlineLevel="0" collapsed="false">
      <c r="A765" s="20"/>
      <c r="B765" s="21"/>
      <c r="C765" s="22"/>
      <c r="D765" s="23"/>
      <c r="E765" s="23"/>
      <c r="F765" s="23"/>
      <c r="G765" s="21"/>
      <c r="H765" s="24" t="str">
        <f aca="false">IF(OR(A765="",D765="",G765=""),"",D765*G765)</f>
        <v/>
      </c>
      <c r="I765" s="25" t="str">
        <f aca="false">IF(OR(A765="",B765=""),"",IFERROR(LOOKUP(2,1/(单次交易!$A$2:$A$201=A765),单次交易!$H$2:$H$201),0)+SUMIFS($G$2:$G$1001,$A$2:$A$1001,A765,$B$2:$B$1001,"&lt;"&amp;B765))</f>
        <v/>
      </c>
      <c r="J765" s="24" t="str">
        <f aca="false">IF(OR(A765="",B765=""),"",IFERROR(LOOKUP(2,1/(单次交易!$A$2:$A$201=A765),单次交易!$E$2:$E$201)*LOOKUP(2,1/(单次交易!$A$2:$A$201=A765),单次交易!$H$2:$H$201),0)+SUMIFS($H$2:$H$1001,$A$2:$A$1001,A765,$B$2:$B$1001,"&lt;"&amp;B765))</f>
        <v/>
      </c>
      <c r="K765" s="24" t="str">
        <f aca="false">IF(OR(E765="",I765="",J765=""),"",MAX(E765*I765-J765,0))</f>
        <v/>
      </c>
      <c r="L765" s="25" t="str">
        <f aca="false">IF(OR(D765="",E765="",F765="",D765&lt;=E765),"",FLOOR((F765+K765)/(D765-E765),100))</f>
        <v/>
      </c>
      <c r="M765" s="25" t="str">
        <f aca="false">IF(OR(A765="",B765="",L765=""),"",IF(B765=1,L765,IFERROR(SUMIFS($G$2:$G$1001,$A$2:$A$1001,A765,$B$2:$B$1001,B765-1),0)))</f>
        <v/>
      </c>
      <c r="N765" s="25" t="str">
        <f aca="false">IF(OR(L765="",M765=""),"",MIN(L765,M765))</f>
        <v/>
      </c>
      <c r="O765" s="25" t="str">
        <f aca="false">IF(OR(I765="",G765=""),"",I765+G765)</f>
        <v/>
      </c>
      <c r="P765" s="24" t="str">
        <f aca="false">IF(OR(O765="",O765=0),"",(J765+H765)/O765)</f>
        <v/>
      </c>
      <c r="Q765" s="24" t="str">
        <f aca="false">IF(OR(O765="",E765=""),"",MAX(J765+H765-E765*O765,0))</f>
        <v/>
      </c>
      <c r="R765" s="26" t="str">
        <f aca="false">IF(A765="","",IF(COUNTIF(_TradeIds,A765)=0,"违规：交易编号不存在",IF(OR(B765="",B765&lt;1,B765&gt;5,B765&lt;&gt;INT(B765)),"违规：加仓序号须为1到5的整数",IF(COUNTIFS($A$2:$A$1001,A765,$B$2:$B$1001,B765)&gt;1,"违规：同一交易的加仓序号重复",IF(OR(D765="",E765="",F765=""),"计划不完整：请填写加仓价、新止损价和风险预算",IF(OR(D765&lt;=0,E765&lt;=0,F765&lt;=0,D765&lt;=E765),"违规：加仓价必须高于新止损价，金额须大于0",IF(AND(B765&gt;1,COUNTIFS($A$2:$A$1001,A765,$B$2:$B$1001,B765-1,$G$2:$G$1001,"&gt;0")=0),"违规：须先完成上一次加仓",IF(AND(B765&gt;1,E765&lt;SUMIFS($E$2:$E$1001,$A$2:$A$1001,A765,$B$2:$B$1001,B765-1)),"违规：新止损价不得低于上一次",IF(AND(B765&gt;1,F765&gt;SUMIFS($F$2:$F$1001,$A$2:$A$1001,A765,$B$2:$B$1001,B765-1)),"违规：风险预算须逐次不增加",IF(OR(_LockStatus="已锁仓",_LockStatus="解锁信息不完整"),"违规：锁仓期间禁止加仓",IF(G765="","计划可执行：建议股数见N列",IF(OR(G765&lt;=0,G765&lt;&gt;INT(G765),MOD(G765,100)&lt;&gt;0),"违规：实际股数须为100股整数倍",IF(G765&gt;N765,"违规：实际股数超过风险或金字塔上限",IF(AND(B765&gt;1,G765&gt;SUMIFS($G$2:$G$1001,$A$2:$A$1001,A765,$B$2:$B$1001,B765-1)),"违规：加仓股数须逐次不增加",IF(Q765&gt;F765,"违规：止损风险超过本次预算","通过")))))))))))))))</f>
        <v/>
      </c>
    </row>
    <row r="766" customFormat="false" ht="15" hidden="false" customHeight="false" outlineLevel="0" collapsed="false">
      <c r="A766" s="20"/>
      <c r="B766" s="21"/>
      <c r="C766" s="22"/>
      <c r="D766" s="23"/>
      <c r="E766" s="23"/>
      <c r="F766" s="23"/>
      <c r="G766" s="21"/>
      <c r="H766" s="24" t="str">
        <f aca="false">IF(OR(A766="",D766="",G766=""),"",D766*G766)</f>
        <v/>
      </c>
      <c r="I766" s="25" t="str">
        <f aca="false">IF(OR(A766="",B766=""),"",IFERROR(LOOKUP(2,1/(单次交易!$A$2:$A$201=A766),单次交易!$H$2:$H$201),0)+SUMIFS($G$2:$G$1001,$A$2:$A$1001,A766,$B$2:$B$1001,"&lt;"&amp;B766))</f>
        <v/>
      </c>
      <c r="J766" s="24" t="str">
        <f aca="false">IF(OR(A766="",B766=""),"",IFERROR(LOOKUP(2,1/(单次交易!$A$2:$A$201=A766),单次交易!$E$2:$E$201)*LOOKUP(2,1/(单次交易!$A$2:$A$201=A766),单次交易!$H$2:$H$201),0)+SUMIFS($H$2:$H$1001,$A$2:$A$1001,A766,$B$2:$B$1001,"&lt;"&amp;B766))</f>
        <v/>
      </c>
      <c r="K766" s="24" t="str">
        <f aca="false">IF(OR(E766="",I766="",J766=""),"",MAX(E766*I766-J766,0))</f>
        <v/>
      </c>
      <c r="L766" s="25" t="str">
        <f aca="false">IF(OR(D766="",E766="",F766="",D766&lt;=E766),"",FLOOR((F766+K766)/(D766-E766),100))</f>
        <v/>
      </c>
      <c r="M766" s="25" t="str">
        <f aca="false">IF(OR(A766="",B766="",L766=""),"",IF(B766=1,L766,IFERROR(SUMIFS($G$2:$G$1001,$A$2:$A$1001,A766,$B$2:$B$1001,B766-1),0)))</f>
        <v/>
      </c>
      <c r="N766" s="25" t="str">
        <f aca="false">IF(OR(L766="",M766=""),"",MIN(L766,M766))</f>
        <v/>
      </c>
      <c r="O766" s="25" t="str">
        <f aca="false">IF(OR(I766="",G766=""),"",I766+G766)</f>
        <v/>
      </c>
      <c r="P766" s="24" t="str">
        <f aca="false">IF(OR(O766="",O766=0),"",(J766+H766)/O766)</f>
        <v/>
      </c>
      <c r="Q766" s="24" t="str">
        <f aca="false">IF(OR(O766="",E766=""),"",MAX(J766+H766-E766*O766,0))</f>
        <v/>
      </c>
      <c r="R766" s="26" t="str">
        <f aca="false">IF(A766="","",IF(COUNTIF(_TradeIds,A766)=0,"违规：交易编号不存在",IF(OR(B766="",B766&lt;1,B766&gt;5,B766&lt;&gt;INT(B766)),"违规：加仓序号须为1到5的整数",IF(COUNTIFS($A$2:$A$1001,A766,$B$2:$B$1001,B766)&gt;1,"违规：同一交易的加仓序号重复",IF(OR(D766="",E766="",F766=""),"计划不完整：请填写加仓价、新止损价和风险预算",IF(OR(D766&lt;=0,E766&lt;=0,F766&lt;=0,D766&lt;=E766),"违规：加仓价必须高于新止损价，金额须大于0",IF(AND(B766&gt;1,COUNTIFS($A$2:$A$1001,A766,$B$2:$B$1001,B766-1,$G$2:$G$1001,"&gt;0")=0),"违规：须先完成上一次加仓",IF(AND(B766&gt;1,E766&lt;SUMIFS($E$2:$E$1001,$A$2:$A$1001,A766,$B$2:$B$1001,B766-1)),"违规：新止损价不得低于上一次",IF(AND(B766&gt;1,F766&gt;SUMIFS($F$2:$F$1001,$A$2:$A$1001,A766,$B$2:$B$1001,B766-1)),"违规：风险预算须逐次不增加",IF(OR(_LockStatus="已锁仓",_LockStatus="解锁信息不完整"),"违规：锁仓期间禁止加仓",IF(G766="","计划可执行：建议股数见N列",IF(OR(G766&lt;=0,G766&lt;&gt;INT(G766),MOD(G766,100)&lt;&gt;0),"违规：实际股数须为100股整数倍",IF(G766&gt;N766,"违规：实际股数超过风险或金字塔上限",IF(AND(B766&gt;1,G766&gt;SUMIFS($G$2:$G$1001,$A$2:$A$1001,A766,$B$2:$B$1001,B766-1)),"违规：加仓股数须逐次不增加",IF(Q766&gt;F766,"违规：止损风险超过本次预算","通过")))))))))))))))</f>
        <v/>
      </c>
    </row>
    <row r="767" customFormat="false" ht="15" hidden="false" customHeight="false" outlineLevel="0" collapsed="false">
      <c r="A767" s="20"/>
      <c r="B767" s="21"/>
      <c r="C767" s="22"/>
      <c r="D767" s="23"/>
      <c r="E767" s="23"/>
      <c r="F767" s="23"/>
      <c r="G767" s="21"/>
      <c r="H767" s="24" t="str">
        <f aca="false">IF(OR(A767="",D767="",G767=""),"",D767*G767)</f>
        <v/>
      </c>
      <c r="I767" s="25" t="str">
        <f aca="false">IF(OR(A767="",B767=""),"",IFERROR(LOOKUP(2,1/(单次交易!$A$2:$A$201=A767),单次交易!$H$2:$H$201),0)+SUMIFS($G$2:$G$1001,$A$2:$A$1001,A767,$B$2:$B$1001,"&lt;"&amp;B767))</f>
        <v/>
      </c>
      <c r="J767" s="24" t="str">
        <f aca="false">IF(OR(A767="",B767=""),"",IFERROR(LOOKUP(2,1/(单次交易!$A$2:$A$201=A767),单次交易!$E$2:$E$201)*LOOKUP(2,1/(单次交易!$A$2:$A$201=A767),单次交易!$H$2:$H$201),0)+SUMIFS($H$2:$H$1001,$A$2:$A$1001,A767,$B$2:$B$1001,"&lt;"&amp;B767))</f>
        <v/>
      </c>
      <c r="K767" s="24" t="str">
        <f aca="false">IF(OR(E767="",I767="",J767=""),"",MAX(E767*I767-J767,0))</f>
        <v/>
      </c>
      <c r="L767" s="25" t="str">
        <f aca="false">IF(OR(D767="",E767="",F767="",D767&lt;=E767),"",FLOOR((F767+K767)/(D767-E767),100))</f>
        <v/>
      </c>
      <c r="M767" s="25" t="str">
        <f aca="false">IF(OR(A767="",B767="",L767=""),"",IF(B767=1,L767,IFERROR(SUMIFS($G$2:$G$1001,$A$2:$A$1001,A767,$B$2:$B$1001,B767-1),0)))</f>
        <v/>
      </c>
      <c r="N767" s="25" t="str">
        <f aca="false">IF(OR(L767="",M767=""),"",MIN(L767,M767))</f>
        <v/>
      </c>
      <c r="O767" s="25" t="str">
        <f aca="false">IF(OR(I767="",G767=""),"",I767+G767)</f>
        <v/>
      </c>
      <c r="P767" s="24" t="str">
        <f aca="false">IF(OR(O767="",O767=0),"",(J767+H767)/O767)</f>
        <v/>
      </c>
      <c r="Q767" s="24" t="str">
        <f aca="false">IF(OR(O767="",E767=""),"",MAX(J767+H767-E767*O767,0))</f>
        <v/>
      </c>
      <c r="R767" s="26" t="str">
        <f aca="false">IF(A767="","",IF(COUNTIF(_TradeIds,A767)=0,"违规：交易编号不存在",IF(OR(B767="",B767&lt;1,B767&gt;5,B767&lt;&gt;INT(B767)),"违规：加仓序号须为1到5的整数",IF(COUNTIFS($A$2:$A$1001,A767,$B$2:$B$1001,B767)&gt;1,"违规：同一交易的加仓序号重复",IF(OR(D767="",E767="",F767=""),"计划不完整：请填写加仓价、新止损价和风险预算",IF(OR(D767&lt;=0,E767&lt;=0,F767&lt;=0,D767&lt;=E767),"违规：加仓价必须高于新止损价，金额须大于0",IF(AND(B767&gt;1,COUNTIFS($A$2:$A$1001,A767,$B$2:$B$1001,B767-1,$G$2:$G$1001,"&gt;0")=0),"违规：须先完成上一次加仓",IF(AND(B767&gt;1,E767&lt;SUMIFS($E$2:$E$1001,$A$2:$A$1001,A767,$B$2:$B$1001,B767-1)),"违规：新止损价不得低于上一次",IF(AND(B767&gt;1,F767&gt;SUMIFS($F$2:$F$1001,$A$2:$A$1001,A767,$B$2:$B$1001,B767-1)),"违规：风险预算须逐次不增加",IF(OR(_LockStatus="已锁仓",_LockStatus="解锁信息不完整"),"违规：锁仓期间禁止加仓",IF(G767="","计划可执行：建议股数见N列",IF(OR(G767&lt;=0,G767&lt;&gt;INT(G767),MOD(G767,100)&lt;&gt;0),"违规：实际股数须为100股整数倍",IF(G767&gt;N767,"违规：实际股数超过风险或金字塔上限",IF(AND(B767&gt;1,G767&gt;SUMIFS($G$2:$G$1001,$A$2:$A$1001,A767,$B$2:$B$1001,B767-1)),"违规：加仓股数须逐次不增加",IF(Q767&gt;F767,"违规：止损风险超过本次预算","通过")))))))))))))))</f>
        <v/>
      </c>
    </row>
    <row r="768" customFormat="false" ht="15" hidden="false" customHeight="false" outlineLevel="0" collapsed="false">
      <c r="A768" s="20"/>
      <c r="B768" s="21"/>
      <c r="C768" s="22"/>
      <c r="D768" s="23"/>
      <c r="E768" s="23"/>
      <c r="F768" s="23"/>
      <c r="G768" s="21"/>
      <c r="H768" s="24" t="str">
        <f aca="false">IF(OR(A768="",D768="",G768=""),"",D768*G768)</f>
        <v/>
      </c>
      <c r="I768" s="25" t="str">
        <f aca="false">IF(OR(A768="",B768=""),"",IFERROR(LOOKUP(2,1/(单次交易!$A$2:$A$201=A768),单次交易!$H$2:$H$201),0)+SUMIFS($G$2:$G$1001,$A$2:$A$1001,A768,$B$2:$B$1001,"&lt;"&amp;B768))</f>
        <v/>
      </c>
      <c r="J768" s="24" t="str">
        <f aca="false">IF(OR(A768="",B768=""),"",IFERROR(LOOKUP(2,1/(单次交易!$A$2:$A$201=A768),单次交易!$E$2:$E$201)*LOOKUP(2,1/(单次交易!$A$2:$A$201=A768),单次交易!$H$2:$H$201),0)+SUMIFS($H$2:$H$1001,$A$2:$A$1001,A768,$B$2:$B$1001,"&lt;"&amp;B768))</f>
        <v/>
      </c>
      <c r="K768" s="24" t="str">
        <f aca="false">IF(OR(E768="",I768="",J768=""),"",MAX(E768*I768-J768,0))</f>
        <v/>
      </c>
      <c r="L768" s="25" t="str">
        <f aca="false">IF(OR(D768="",E768="",F768="",D768&lt;=E768),"",FLOOR((F768+K768)/(D768-E768),100))</f>
        <v/>
      </c>
      <c r="M768" s="25" t="str">
        <f aca="false">IF(OR(A768="",B768="",L768=""),"",IF(B768=1,L768,IFERROR(SUMIFS($G$2:$G$1001,$A$2:$A$1001,A768,$B$2:$B$1001,B768-1),0)))</f>
        <v/>
      </c>
      <c r="N768" s="25" t="str">
        <f aca="false">IF(OR(L768="",M768=""),"",MIN(L768,M768))</f>
        <v/>
      </c>
      <c r="O768" s="25" t="str">
        <f aca="false">IF(OR(I768="",G768=""),"",I768+G768)</f>
        <v/>
      </c>
      <c r="P768" s="24" t="str">
        <f aca="false">IF(OR(O768="",O768=0),"",(J768+H768)/O768)</f>
        <v/>
      </c>
      <c r="Q768" s="24" t="str">
        <f aca="false">IF(OR(O768="",E768=""),"",MAX(J768+H768-E768*O768,0))</f>
        <v/>
      </c>
      <c r="R768" s="26" t="str">
        <f aca="false">IF(A768="","",IF(COUNTIF(_TradeIds,A768)=0,"违规：交易编号不存在",IF(OR(B768="",B768&lt;1,B768&gt;5,B768&lt;&gt;INT(B768)),"违规：加仓序号须为1到5的整数",IF(COUNTIFS($A$2:$A$1001,A768,$B$2:$B$1001,B768)&gt;1,"违规：同一交易的加仓序号重复",IF(OR(D768="",E768="",F768=""),"计划不完整：请填写加仓价、新止损价和风险预算",IF(OR(D768&lt;=0,E768&lt;=0,F768&lt;=0,D768&lt;=E768),"违规：加仓价必须高于新止损价，金额须大于0",IF(AND(B768&gt;1,COUNTIFS($A$2:$A$1001,A768,$B$2:$B$1001,B768-1,$G$2:$G$1001,"&gt;0")=0),"违规：须先完成上一次加仓",IF(AND(B768&gt;1,E768&lt;SUMIFS($E$2:$E$1001,$A$2:$A$1001,A768,$B$2:$B$1001,B768-1)),"违规：新止损价不得低于上一次",IF(AND(B768&gt;1,F768&gt;SUMIFS($F$2:$F$1001,$A$2:$A$1001,A768,$B$2:$B$1001,B768-1)),"违规：风险预算须逐次不增加",IF(OR(_LockStatus="已锁仓",_LockStatus="解锁信息不完整"),"违规：锁仓期间禁止加仓",IF(G768="","计划可执行：建议股数见N列",IF(OR(G768&lt;=0,G768&lt;&gt;INT(G768),MOD(G768,100)&lt;&gt;0),"违规：实际股数须为100股整数倍",IF(G768&gt;N768,"违规：实际股数超过风险或金字塔上限",IF(AND(B768&gt;1,G768&gt;SUMIFS($G$2:$G$1001,$A$2:$A$1001,A768,$B$2:$B$1001,B768-1)),"违规：加仓股数须逐次不增加",IF(Q768&gt;F768,"违规：止损风险超过本次预算","通过")))))))))))))))</f>
        <v/>
      </c>
    </row>
    <row r="769" customFormat="false" ht="15" hidden="false" customHeight="false" outlineLevel="0" collapsed="false">
      <c r="A769" s="20"/>
      <c r="B769" s="21"/>
      <c r="C769" s="22"/>
      <c r="D769" s="23"/>
      <c r="E769" s="23"/>
      <c r="F769" s="23"/>
      <c r="G769" s="21"/>
      <c r="H769" s="24" t="str">
        <f aca="false">IF(OR(A769="",D769="",G769=""),"",D769*G769)</f>
        <v/>
      </c>
      <c r="I769" s="25" t="str">
        <f aca="false">IF(OR(A769="",B769=""),"",IFERROR(LOOKUP(2,1/(单次交易!$A$2:$A$201=A769),单次交易!$H$2:$H$201),0)+SUMIFS($G$2:$G$1001,$A$2:$A$1001,A769,$B$2:$B$1001,"&lt;"&amp;B769))</f>
        <v/>
      </c>
      <c r="J769" s="24" t="str">
        <f aca="false">IF(OR(A769="",B769=""),"",IFERROR(LOOKUP(2,1/(单次交易!$A$2:$A$201=A769),单次交易!$E$2:$E$201)*LOOKUP(2,1/(单次交易!$A$2:$A$201=A769),单次交易!$H$2:$H$201),0)+SUMIFS($H$2:$H$1001,$A$2:$A$1001,A769,$B$2:$B$1001,"&lt;"&amp;B769))</f>
        <v/>
      </c>
      <c r="K769" s="24" t="str">
        <f aca="false">IF(OR(E769="",I769="",J769=""),"",MAX(E769*I769-J769,0))</f>
        <v/>
      </c>
      <c r="L769" s="25" t="str">
        <f aca="false">IF(OR(D769="",E769="",F769="",D769&lt;=E769),"",FLOOR((F769+K769)/(D769-E769),100))</f>
        <v/>
      </c>
      <c r="M769" s="25" t="str">
        <f aca="false">IF(OR(A769="",B769="",L769=""),"",IF(B769=1,L769,IFERROR(SUMIFS($G$2:$G$1001,$A$2:$A$1001,A769,$B$2:$B$1001,B769-1),0)))</f>
        <v/>
      </c>
      <c r="N769" s="25" t="str">
        <f aca="false">IF(OR(L769="",M769=""),"",MIN(L769,M769))</f>
        <v/>
      </c>
      <c r="O769" s="25" t="str">
        <f aca="false">IF(OR(I769="",G769=""),"",I769+G769)</f>
        <v/>
      </c>
      <c r="P769" s="24" t="str">
        <f aca="false">IF(OR(O769="",O769=0),"",(J769+H769)/O769)</f>
        <v/>
      </c>
      <c r="Q769" s="24" t="str">
        <f aca="false">IF(OR(O769="",E769=""),"",MAX(J769+H769-E769*O769,0))</f>
        <v/>
      </c>
      <c r="R769" s="26" t="str">
        <f aca="false">IF(A769="","",IF(COUNTIF(_TradeIds,A769)=0,"违规：交易编号不存在",IF(OR(B769="",B769&lt;1,B769&gt;5,B769&lt;&gt;INT(B769)),"违规：加仓序号须为1到5的整数",IF(COUNTIFS($A$2:$A$1001,A769,$B$2:$B$1001,B769)&gt;1,"违规：同一交易的加仓序号重复",IF(OR(D769="",E769="",F769=""),"计划不完整：请填写加仓价、新止损价和风险预算",IF(OR(D769&lt;=0,E769&lt;=0,F769&lt;=0,D769&lt;=E769),"违规：加仓价必须高于新止损价，金额须大于0",IF(AND(B769&gt;1,COUNTIFS($A$2:$A$1001,A769,$B$2:$B$1001,B769-1,$G$2:$G$1001,"&gt;0")=0),"违规：须先完成上一次加仓",IF(AND(B769&gt;1,E769&lt;SUMIFS($E$2:$E$1001,$A$2:$A$1001,A769,$B$2:$B$1001,B769-1)),"违规：新止损价不得低于上一次",IF(AND(B769&gt;1,F769&gt;SUMIFS($F$2:$F$1001,$A$2:$A$1001,A769,$B$2:$B$1001,B769-1)),"违规：风险预算须逐次不增加",IF(OR(_LockStatus="已锁仓",_LockStatus="解锁信息不完整"),"违规：锁仓期间禁止加仓",IF(G769="","计划可执行：建议股数见N列",IF(OR(G769&lt;=0,G769&lt;&gt;INT(G769),MOD(G769,100)&lt;&gt;0),"违规：实际股数须为100股整数倍",IF(G769&gt;N769,"违规：实际股数超过风险或金字塔上限",IF(AND(B769&gt;1,G769&gt;SUMIFS($G$2:$G$1001,$A$2:$A$1001,A769,$B$2:$B$1001,B769-1)),"违规：加仓股数须逐次不增加",IF(Q769&gt;F769,"违规：止损风险超过本次预算","通过")))))))))))))))</f>
        <v/>
      </c>
    </row>
    <row r="770" customFormat="false" ht="15" hidden="false" customHeight="false" outlineLevel="0" collapsed="false">
      <c r="A770" s="20"/>
      <c r="B770" s="21"/>
      <c r="C770" s="22"/>
      <c r="D770" s="23"/>
      <c r="E770" s="23"/>
      <c r="F770" s="23"/>
      <c r="G770" s="21"/>
      <c r="H770" s="24" t="str">
        <f aca="false">IF(OR(A770="",D770="",G770=""),"",D770*G770)</f>
        <v/>
      </c>
      <c r="I770" s="25" t="str">
        <f aca="false">IF(OR(A770="",B770=""),"",IFERROR(LOOKUP(2,1/(单次交易!$A$2:$A$201=A770),单次交易!$H$2:$H$201),0)+SUMIFS($G$2:$G$1001,$A$2:$A$1001,A770,$B$2:$B$1001,"&lt;"&amp;B770))</f>
        <v/>
      </c>
      <c r="J770" s="24" t="str">
        <f aca="false">IF(OR(A770="",B770=""),"",IFERROR(LOOKUP(2,1/(单次交易!$A$2:$A$201=A770),单次交易!$E$2:$E$201)*LOOKUP(2,1/(单次交易!$A$2:$A$201=A770),单次交易!$H$2:$H$201),0)+SUMIFS($H$2:$H$1001,$A$2:$A$1001,A770,$B$2:$B$1001,"&lt;"&amp;B770))</f>
        <v/>
      </c>
      <c r="K770" s="24" t="str">
        <f aca="false">IF(OR(E770="",I770="",J770=""),"",MAX(E770*I770-J770,0))</f>
        <v/>
      </c>
      <c r="L770" s="25" t="str">
        <f aca="false">IF(OR(D770="",E770="",F770="",D770&lt;=E770),"",FLOOR((F770+K770)/(D770-E770),100))</f>
        <v/>
      </c>
      <c r="M770" s="25" t="str">
        <f aca="false">IF(OR(A770="",B770="",L770=""),"",IF(B770=1,L770,IFERROR(SUMIFS($G$2:$G$1001,$A$2:$A$1001,A770,$B$2:$B$1001,B770-1),0)))</f>
        <v/>
      </c>
      <c r="N770" s="25" t="str">
        <f aca="false">IF(OR(L770="",M770=""),"",MIN(L770,M770))</f>
        <v/>
      </c>
      <c r="O770" s="25" t="str">
        <f aca="false">IF(OR(I770="",G770=""),"",I770+G770)</f>
        <v/>
      </c>
      <c r="P770" s="24" t="str">
        <f aca="false">IF(OR(O770="",O770=0),"",(J770+H770)/O770)</f>
        <v/>
      </c>
      <c r="Q770" s="24" t="str">
        <f aca="false">IF(OR(O770="",E770=""),"",MAX(J770+H770-E770*O770,0))</f>
        <v/>
      </c>
      <c r="R770" s="26" t="str">
        <f aca="false">IF(A770="","",IF(COUNTIF(_TradeIds,A770)=0,"违规：交易编号不存在",IF(OR(B770="",B770&lt;1,B770&gt;5,B770&lt;&gt;INT(B770)),"违规：加仓序号须为1到5的整数",IF(COUNTIFS($A$2:$A$1001,A770,$B$2:$B$1001,B770)&gt;1,"违规：同一交易的加仓序号重复",IF(OR(D770="",E770="",F770=""),"计划不完整：请填写加仓价、新止损价和风险预算",IF(OR(D770&lt;=0,E770&lt;=0,F770&lt;=0,D770&lt;=E770),"违规：加仓价必须高于新止损价，金额须大于0",IF(AND(B770&gt;1,COUNTIFS($A$2:$A$1001,A770,$B$2:$B$1001,B770-1,$G$2:$G$1001,"&gt;0")=0),"违规：须先完成上一次加仓",IF(AND(B770&gt;1,E770&lt;SUMIFS($E$2:$E$1001,$A$2:$A$1001,A770,$B$2:$B$1001,B770-1)),"违规：新止损价不得低于上一次",IF(AND(B770&gt;1,F770&gt;SUMIFS($F$2:$F$1001,$A$2:$A$1001,A770,$B$2:$B$1001,B770-1)),"违规：风险预算须逐次不增加",IF(OR(_LockStatus="已锁仓",_LockStatus="解锁信息不完整"),"违规：锁仓期间禁止加仓",IF(G770="","计划可执行：建议股数见N列",IF(OR(G770&lt;=0,G770&lt;&gt;INT(G770),MOD(G770,100)&lt;&gt;0),"违规：实际股数须为100股整数倍",IF(G770&gt;N770,"违规：实际股数超过风险或金字塔上限",IF(AND(B770&gt;1,G770&gt;SUMIFS($G$2:$G$1001,$A$2:$A$1001,A770,$B$2:$B$1001,B770-1)),"违规：加仓股数须逐次不增加",IF(Q770&gt;F770,"违规：止损风险超过本次预算","通过")))))))))))))))</f>
        <v/>
      </c>
    </row>
    <row r="771" customFormat="false" ht="15" hidden="false" customHeight="false" outlineLevel="0" collapsed="false">
      <c r="A771" s="20"/>
      <c r="B771" s="21"/>
      <c r="C771" s="22"/>
      <c r="D771" s="23"/>
      <c r="E771" s="23"/>
      <c r="F771" s="23"/>
      <c r="G771" s="21"/>
      <c r="H771" s="24" t="str">
        <f aca="false">IF(OR(A771="",D771="",G771=""),"",D771*G771)</f>
        <v/>
      </c>
      <c r="I771" s="25" t="str">
        <f aca="false">IF(OR(A771="",B771=""),"",IFERROR(LOOKUP(2,1/(单次交易!$A$2:$A$201=A771),单次交易!$H$2:$H$201),0)+SUMIFS($G$2:$G$1001,$A$2:$A$1001,A771,$B$2:$B$1001,"&lt;"&amp;B771))</f>
        <v/>
      </c>
      <c r="J771" s="24" t="str">
        <f aca="false">IF(OR(A771="",B771=""),"",IFERROR(LOOKUP(2,1/(单次交易!$A$2:$A$201=A771),单次交易!$E$2:$E$201)*LOOKUP(2,1/(单次交易!$A$2:$A$201=A771),单次交易!$H$2:$H$201),0)+SUMIFS($H$2:$H$1001,$A$2:$A$1001,A771,$B$2:$B$1001,"&lt;"&amp;B771))</f>
        <v/>
      </c>
      <c r="K771" s="24" t="str">
        <f aca="false">IF(OR(E771="",I771="",J771=""),"",MAX(E771*I771-J771,0))</f>
        <v/>
      </c>
      <c r="L771" s="25" t="str">
        <f aca="false">IF(OR(D771="",E771="",F771="",D771&lt;=E771),"",FLOOR((F771+K771)/(D771-E771),100))</f>
        <v/>
      </c>
      <c r="M771" s="25" t="str">
        <f aca="false">IF(OR(A771="",B771="",L771=""),"",IF(B771=1,L771,IFERROR(SUMIFS($G$2:$G$1001,$A$2:$A$1001,A771,$B$2:$B$1001,B771-1),0)))</f>
        <v/>
      </c>
      <c r="N771" s="25" t="str">
        <f aca="false">IF(OR(L771="",M771=""),"",MIN(L771,M771))</f>
        <v/>
      </c>
      <c r="O771" s="25" t="str">
        <f aca="false">IF(OR(I771="",G771=""),"",I771+G771)</f>
        <v/>
      </c>
      <c r="P771" s="24" t="str">
        <f aca="false">IF(OR(O771="",O771=0),"",(J771+H771)/O771)</f>
        <v/>
      </c>
      <c r="Q771" s="24" t="str">
        <f aca="false">IF(OR(O771="",E771=""),"",MAX(J771+H771-E771*O771,0))</f>
        <v/>
      </c>
      <c r="R771" s="26" t="str">
        <f aca="false">IF(A771="","",IF(COUNTIF(_TradeIds,A771)=0,"违规：交易编号不存在",IF(OR(B771="",B771&lt;1,B771&gt;5,B771&lt;&gt;INT(B771)),"违规：加仓序号须为1到5的整数",IF(COUNTIFS($A$2:$A$1001,A771,$B$2:$B$1001,B771)&gt;1,"违规：同一交易的加仓序号重复",IF(OR(D771="",E771="",F771=""),"计划不完整：请填写加仓价、新止损价和风险预算",IF(OR(D771&lt;=0,E771&lt;=0,F771&lt;=0,D771&lt;=E771),"违规：加仓价必须高于新止损价，金额须大于0",IF(AND(B771&gt;1,COUNTIFS($A$2:$A$1001,A771,$B$2:$B$1001,B771-1,$G$2:$G$1001,"&gt;0")=0),"违规：须先完成上一次加仓",IF(AND(B771&gt;1,E771&lt;SUMIFS($E$2:$E$1001,$A$2:$A$1001,A771,$B$2:$B$1001,B771-1)),"违规：新止损价不得低于上一次",IF(AND(B771&gt;1,F771&gt;SUMIFS($F$2:$F$1001,$A$2:$A$1001,A771,$B$2:$B$1001,B771-1)),"违规：风险预算须逐次不增加",IF(OR(_LockStatus="已锁仓",_LockStatus="解锁信息不完整"),"违规：锁仓期间禁止加仓",IF(G771="","计划可执行：建议股数见N列",IF(OR(G771&lt;=0,G771&lt;&gt;INT(G771),MOD(G771,100)&lt;&gt;0),"违规：实际股数须为100股整数倍",IF(G771&gt;N771,"违规：实际股数超过风险或金字塔上限",IF(AND(B771&gt;1,G771&gt;SUMIFS($G$2:$G$1001,$A$2:$A$1001,A771,$B$2:$B$1001,B771-1)),"违规：加仓股数须逐次不增加",IF(Q771&gt;F771,"违规：止损风险超过本次预算","通过")))))))))))))))</f>
        <v/>
      </c>
    </row>
    <row r="772" customFormat="false" ht="15" hidden="false" customHeight="false" outlineLevel="0" collapsed="false">
      <c r="A772" s="20"/>
      <c r="B772" s="21"/>
      <c r="C772" s="22"/>
      <c r="D772" s="23"/>
      <c r="E772" s="23"/>
      <c r="F772" s="23"/>
      <c r="G772" s="21"/>
      <c r="H772" s="24" t="str">
        <f aca="false">IF(OR(A772="",D772="",G772=""),"",D772*G772)</f>
        <v/>
      </c>
      <c r="I772" s="25" t="str">
        <f aca="false">IF(OR(A772="",B772=""),"",IFERROR(LOOKUP(2,1/(单次交易!$A$2:$A$201=A772),单次交易!$H$2:$H$201),0)+SUMIFS($G$2:$G$1001,$A$2:$A$1001,A772,$B$2:$B$1001,"&lt;"&amp;B772))</f>
        <v/>
      </c>
      <c r="J772" s="24" t="str">
        <f aca="false">IF(OR(A772="",B772=""),"",IFERROR(LOOKUP(2,1/(单次交易!$A$2:$A$201=A772),单次交易!$E$2:$E$201)*LOOKUP(2,1/(单次交易!$A$2:$A$201=A772),单次交易!$H$2:$H$201),0)+SUMIFS($H$2:$H$1001,$A$2:$A$1001,A772,$B$2:$B$1001,"&lt;"&amp;B772))</f>
        <v/>
      </c>
      <c r="K772" s="24" t="str">
        <f aca="false">IF(OR(E772="",I772="",J772=""),"",MAX(E772*I772-J772,0))</f>
        <v/>
      </c>
      <c r="L772" s="25" t="str">
        <f aca="false">IF(OR(D772="",E772="",F772="",D772&lt;=E772),"",FLOOR((F772+K772)/(D772-E772),100))</f>
        <v/>
      </c>
      <c r="M772" s="25" t="str">
        <f aca="false">IF(OR(A772="",B772="",L772=""),"",IF(B772=1,L772,IFERROR(SUMIFS($G$2:$G$1001,$A$2:$A$1001,A772,$B$2:$B$1001,B772-1),0)))</f>
        <v/>
      </c>
      <c r="N772" s="25" t="str">
        <f aca="false">IF(OR(L772="",M772=""),"",MIN(L772,M772))</f>
        <v/>
      </c>
      <c r="O772" s="25" t="str">
        <f aca="false">IF(OR(I772="",G772=""),"",I772+G772)</f>
        <v/>
      </c>
      <c r="P772" s="24" t="str">
        <f aca="false">IF(OR(O772="",O772=0),"",(J772+H772)/O772)</f>
        <v/>
      </c>
      <c r="Q772" s="24" t="str">
        <f aca="false">IF(OR(O772="",E772=""),"",MAX(J772+H772-E772*O772,0))</f>
        <v/>
      </c>
      <c r="R772" s="26" t="str">
        <f aca="false">IF(A772="","",IF(COUNTIF(_TradeIds,A772)=0,"违规：交易编号不存在",IF(OR(B772="",B772&lt;1,B772&gt;5,B772&lt;&gt;INT(B772)),"违规：加仓序号须为1到5的整数",IF(COUNTIFS($A$2:$A$1001,A772,$B$2:$B$1001,B772)&gt;1,"违规：同一交易的加仓序号重复",IF(OR(D772="",E772="",F772=""),"计划不完整：请填写加仓价、新止损价和风险预算",IF(OR(D772&lt;=0,E772&lt;=0,F772&lt;=0,D772&lt;=E772),"违规：加仓价必须高于新止损价，金额须大于0",IF(AND(B772&gt;1,COUNTIFS($A$2:$A$1001,A772,$B$2:$B$1001,B772-1,$G$2:$G$1001,"&gt;0")=0),"违规：须先完成上一次加仓",IF(AND(B772&gt;1,E772&lt;SUMIFS($E$2:$E$1001,$A$2:$A$1001,A772,$B$2:$B$1001,B772-1)),"违规：新止损价不得低于上一次",IF(AND(B772&gt;1,F772&gt;SUMIFS($F$2:$F$1001,$A$2:$A$1001,A772,$B$2:$B$1001,B772-1)),"违规：风险预算须逐次不增加",IF(OR(_LockStatus="已锁仓",_LockStatus="解锁信息不完整"),"违规：锁仓期间禁止加仓",IF(G772="","计划可执行：建议股数见N列",IF(OR(G772&lt;=0,G772&lt;&gt;INT(G772),MOD(G772,100)&lt;&gt;0),"违规：实际股数须为100股整数倍",IF(G772&gt;N772,"违规：实际股数超过风险或金字塔上限",IF(AND(B772&gt;1,G772&gt;SUMIFS($G$2:$G$1001,$A$2:$A$1001,A772,$B$2:$B$1001,B772-1)),"违规：加仓股数须逐次不增加",IF(Q772&gt;F772,"违规：止损风险超过本次预算","通过")))))))))))))))</f>
        <v/>
      </c>
    </row>
    <row r="773" customFormat="false" ht="15" hidden="false" customHeight="false" outlineLevel="0" collapsed="false">
      <c r="A773" s="20"/>
      <c r="B773" s="21"/>
      <c r="C773" s="22"/>
      <c r="D773" s="23"/>
      <c r="E773" s="23"/>
      <c r="F773" s="23"/>
      <c r="G773" s="21"/>
      <c r="H773" s="24" t="str">
        <f aca="false">IF(OR(A773="",D773="",G773=""),"",D773*G773)</f>
        <v/>
      </c>
      <c r="I773" s="25" t="str">
        <f aca="false">IF(OR(A773="",B773=""),"",IFERROR(LOOKUP(2,1/(单次交易!$A$2:$A$201=A773),单次交易!$H$2:$H$201),0)+SUMIFS($G$2:$G$1001,$A$2:$A$1001,A773,$B$2:$B$1001,"&lt;"&amp;B773))</f>
        <v/>
      </c>
      <c r="J773" s="24" t="str">
        <f aca="false">IF(OR(A773="",B773=""),"",IFERROR(LOOKUP(2,1/(单次交易!$A$2:$A$201=A773),单次交易!$E$2:$E$201)*LOOKUP(2,1/(单次交易!$A$2:$A$201=A773),单次交易!$H$2:$H$201),0)+SUMIFS($H$2:$H$1001,$A$2:$A$1001,A773,$B$2:$B$1001,"&lt;"&amp;B773))</f>
        <v/>
      </c>
      <c r="K773" s="24" t="str">
        <f aca="false">IF(OR(E773="",I773="",J773=""),"",MAX(E773*I773-J773,0))</f>
        <v/>
      </c>
      <c r="L773" s="25" t="str">
        <f aca="false">IF(OR(D773="",E773="",F773="",D773&lt;=E773),"",FLOOR((F773+K773)/(D773-E773),100))</f>
        <v/>
      </c>
      <c r="M773" s="25" t="str">
        <f aca="false">IF(OR(A773="",B773="",L773=""),"",IF(B773=1,L773,IFERROR(SUMIFS($G$2:$G$1001,$A$2:$A$1001,A773,$B$2:$B$1001,B773-1),0)))</f>
        <v/>
      </c>
      <c r="N773" s="25" t="str">
        <f aca="false">IF(OR(L773="",M773=""),"",MIN(L773,M773))</f>
        <v/>
      </c>
      <c r="O773" s="25" t="str">
        <f aca="false">IF(OR(I773="",G773=""),"",I773+G773)</f>
        <v/>
      </c>
      <c r="P773" s="24" t="str">
        <f aca="false">IF(OR(O773="",O773=0),"",(J773+H773)/O773)</f>
        <v/>
      </c>
      <c r="Q773" s="24" t="str">
        <f aca="false">IF(OR(O773="",E773=""),"",MAX(J773+H773-E773*O773,0))</f>
        <v/>
      </c>
      <c r="R773" s="26" t="str">
        <f aca="false">IF(A773="","",IF(COUNTIF(_TradeIds,A773)=0,"违规：交易编号不存在",IF(OR(B773="",B773&lt;1,B773&gt;5,B773&lt;&gt;INT(B773)),"违规：加仓序号须为1到5的整数",IF(COUNTIFS($A$2:$A$1001,A773,$B$2:$B$1001,B773)&gt;1,"违规：同一交易的加仓序号重复",IF(OR(D773="",E773="",F773=""),"计划不完整：请填写加仓价、新止损价和风险预算",IF(OR(D773&lt;=0,E773&lt;=0,F773&lt;=0,D773&lt;=E773),"违规：加仓价必须高于新止损价，金额须大于0",IF(AND(B773&gt;1,COUNTIFS($A$2:$A$1001,A773,$B$2:$B$1001,B773-1,$G$2:$G$1001,"&gt;0")=0),"违规：须先完成上一次加仓",IF(AND(B773&gt;1,E773&lt;SUMIFS($E$2:$E$1001,$A$2:$A$1001,A773,$B$2:$B$1001,B773-1)),"违规：新止损价不得低于上一次",IF(AND(B773&gt;1,F773&gt;SUMIFS($F$2:$F$1001,$A$2:$A$1001,A773,$B$2:$B$1001,B773-1)),"违规：风险预算须逐次不增加",IF(OR(_LockStatus="已锁仓",_LockStatus="解锁信息不完整"),"违规：锁仓期间禁止加仓",IF(G773="","计划可执行：建议股数见N列",IF(OR(G773&lt;=0,G773&lt;&gt;INT(G773),MOD(G773,100)&lt;&gt;0),"违规：实际股数须为100股整数倍",IF(G773&gt;N773,"违规：实际股数超过风险或金字塔上限",IF(AND(B773&gt;1,G773&gt;SUMIFS($G$2:$G$1001,$A$2:$A$1001,A773,$B$2:$B$1001,B773-1)),"违规：加仓股数须逐次不增加",IF(Q773&gt;F773,"违规：止损风险超过本次预算","通过")))))))))))))))</f>
        <v/>
      </c>
    </row>
    <row r="774" customFormat="false" ht="15" hidden="false" customHeight="false" outlineLevel="0" collapsed="false">
      <c r="A774" s="20"/>
      <c r="B774" s="21"/>
      <c r="C774" s="22"/>
      <c r="D774" s="23"/>
      <c r="E774" s="23"/>
      <c r="F774" s="23"/>
      <c r="G774" s="21"/>
      <c r="H774" s="24" t="str">
        <f aca="false">IF(OR(A774="",D774="",G774=""),"",D774*G774)</f>
        <v/>
      </c>
      <c r="I774" s="25" t="str">
        <f aca="false">IF(OR(A774="",B774=""),"",IFERROR(LOOKUP(2,1/(单次交易!$A$2:$A$201=A774),单次交易!$H$2:$H$201),0)+SUMIFS($G$2:$G$1001,$A$2:$A$1001,A774,$B$2:$B$1001,"&lt;"&amp;B774))</f>
        <v/>
      </c>
      <c r="J774" s="24" t="str">
        <f aca="false">IF(OR(A774="",B774=""),"",IFERROR(LOOKUP(2,1/(单次交易!$A$2:$A$201=A774),单次交易!$E$2:$E$201)*LOOKUP(2,1/(单次交易!$A$2:$A$201=A774),单次交易!$H$2:$H$201),0)+SUMIFS($H$2:$H$1001,$A$2:$A$1001,A774,$B$2:$B$1001,"&lt;"&amp;B774))</f>
        <v/>
      </c>
      <c r="K774" s="24" t="str">
        <f aca="false">IF(OR(E774="",I774="",J774=""),"",MAX(E774*I774-J774,0))</f>
        <v/>
      </c>
      <c r="L774" s="25" t="str">
        <f aca="false">IF(OR(D774="",E774="",F774="",D774&lt;=E774),"",FLOOR((F774+K774)/(D774-E774),100))</f>
        <v/>
      </c>
      <c r="M774" s="25" t="str">
        <f aca="false">IF(OR(A774="",B774="",L774=""),"",IF(B774=1,L774,IFERROR(SUMIFS($G$2:$G$1001,$A$2:$A$1001,A774,$B$2:$B$1001,B774-1),0)))</f>
        <v/>
      </c>
      <c r="N774" s="25" t="str">
        <f aca="false">IF(OR(L774="",M774=""),"",MIN(L774,M774))</f>
        <v/>
      </c>
      <c r="O774" s="25" t="str">
        <f aca="false">IF(OR(I774="",G774=""),"",I774+G774)</f>
        <v/>
      </c>
      <c r="P774" s="24" t="str">
        <f aca="false">IF(OR(O774="",O774=0),"",(J774+H774)/O774)</f>
        <v/>
      </c>
      <c r="Q774" s="24" t="str">
        <f aca="false">IF(OR(O774="",E774=""),"",MAX(J774+H774-E774*O774,0))</f>
        <v/>
      </c>
      <c r="R774" s="26" t="str">
        <f aca="false">IF(A774="","",IF(COUNTIF(_TradeIds,A774)=0,"违规：交易编号不存在",IF(OR(B774="",B774&lt;1,B774&gt;5,B774&lt;&gt;INT(B774)),"违规：加仓序号须为1到5的整数",IF(COUNTIFS($A$2:$A$1001,A774,$B$2:$B$1001,B774)&gt;1,"违规：同一交易的加仓序号重复",IF(OR(D774="",E774="",F774=""),"计划不完整：请填写加仓价、新止损价和风险预算",IF(OR(D774&lt;=0,E774&lt;=0,F774&lt;=0,D774&lt;=E774),"违规：加仓价必须高于新止损价，金额须大于0",IF(AND(B774&gt;1,COUNTIFS($A$2:$A$1001,A774,$B$2:$B$1001,B774-1,$G$2:$G$1001,"&gt;0")=0),"违规：须先完成上一次加仓",IF(AND(B774&gt;1,E774&lt;SUMIFS($E$2:$E$1001,$A$2:$A$1001,A774,$B$2:$B$1001,B774-1)),"违规：新止损价不得低于上一次",IF(AND(B774&gt;1,F774&gt;SUMIFS($F$2:$F$1001,$A$2:$A$1001,A774,$B$2:$B$1001,B774-1)),"违规：风险预算须逐次不增加",IF(OR(_LockStatus="已锁仓",_LockStatus="解锁信息不完整"),"违规：锁仓期间禁止加仓",IF(G774="","计划可执行：建议股数见N列",IF(OR(G774&lt;=0,G774&lt;&gt;INT(G774),MOD(G774,100)&lt;&gt;0),"违规：实际股数须为100股整数倍",IF(G774&gt;N774,"违规：实际股数超过风险或金字塔上限",IF(AND(B774&gt;1,G774&gt;SUMIFS($G$2:$G$1001,$A$2:$A$1001,A774,$B$2:$B$1001,B774-1)),"违规：加仓股数须逐次不增加",IF(Q774&gt;F774,"违规：止损风险超过本次预算","通过")))))))))))))))</f>
        <v/>
      </c>
    </row>
    <row r="775" customFormat="false" ht="15" hidden="false" customHeight="false" outlineLevel="0" collapsed="false">
      <c r="A775" s="20"/>
      <c r="B775" s="21"/>
      <c r="C775" s="22"/>
      <c r="D775" s="23"/>
      <c r="E775" s="23"/>
      <c r="F775" s="23"/>
      <c r="G775" s="21"/>
      <c r="H775" s="24" t="str">
        <f aca="false">IF(OR(A775="",D775="",G775=""),"",D775*G775)</f>
        <v/>
      </c>
      <c r="I775" s="25" t="str">
        <f aca="false">IF(OR(A775="",B775=""),"",IFERROR(LOOKUP(2,1/(单次交易!$A$2:$A$201=A775),单次交易!$H$2:$H$201),0)+SUMIFS($G$2:$G$1001,$A$2:$A$1001,A775,$B$2:$B$1001,"&lt;"&amp;B775))</f>
        <v/>
      </c>
      <c r="J775" s="24" t="str">
        <f aca="false">IF(OR(A775="",B775=""),"",IFERROR(LOOKUP(2,1/(单次交易!$A$2:$A$201=A775),单次交易!$E$2:$E$201)*LOOKUP(2,1/(单次交易!$A$2:$A$201=A775),单次交易!$H$2:$H$201),0)+SUMIFS($H$2:$H$1001,$A$2:$A$1001,A775,$B$2:$B$1001,"&lt;"&amp;B775))</f>
        <v/>
      </c>
      <c r="K775" s="24" t="str">
        <f aca="false">IF(OR(E775="",I775="",J775=""),"",MAX(E775*I775-J775,0))</f>
        <v/>
      </c>
      <c r="L775" s="25" t="str">
        <f aca="false">IF(OR(D775="",E775="",F775="",D775&lt;=E775),"",FLOOR((F775+K775)/(D775-E775),100))</f>
        <v/>
      </c>
      <c r="M775" s="25" t="str">
        <f aca="false">IF(OR(A775="",B775="",L775=""),"",IF(B775=1,L775,IFERROR(SUMIFS($G$2:$G$1001,$A$2:$A$1001,A775,$B$2:$B$1001,B775-1),0)))</f>
        <v/>
      </c>
      <c r="N775" s="25" t="str">
        <f aca="false">IF(OR(L775="",M775=""),"",MIN(L775,M775))</f>
        <v/>
      </c>
      <c r="O775" s="25" t="str">
        <f aca="false">IF(OR(I775="",G775=""),"",I775+G775)</f>
        <v/>
      </c>
      <c r="P775" s="24" t="str">
        <f aca="false">IF(OR(O775="",O775=0),"",(J775+H775)/O775)</f>
        <v/>
      </c>
      <c r="Q775" s="24" t="str">
        <f aca="false">IF(OR(O775="",E775=""),"",MAX(J775+H775-E775*O775,0))</f>
        <v/>
      </c>
      <c r="R775" s="26" t="str">
        <f aca="false">IF(A775="","",IF(COUNTIF(_TradeIds,A775)=0,"违规：交易编号不存在",IF(OR(B775="",B775&lt;1,B775&gt;5,B775&lt;&gt;INT(B775)),"违规：加仓序号须为1到5的整数",IF(COUNTIFS($A$2:$A$1001,A775,$B$2:$B$1001,B775)&gt;1,"违规：同一交易的加仓序号重复",IF(OR(D775="",E775="",F775=""),"计划不完整：请填写加仓价、新止损价和风险预算",IF(OR(D775&lt;=0,E775&lt;=0,F775&lt;=0,D775&lt;=E775),"违规：加仓价必须高于新止损价，金额须大于0",IF(AND(B775&gt;1,COUNTIFS($A$2:$A$1001,A775,$B$2:$B$1001,B775-1,$G$2:$G$1001,"&gt;0")=0),"违规：须先完成上一次加仓",IF(AND(B775&gt;1,E775&lt;SUMIFS($E$2:$E$1001,$A$2:$A$1001,A775,$B$2:$B$1001,B775-1)),"违规：新止损价不得低于上一次",IF(AND(B775&gt;1,F775&gt;SUMIFS($F$2:$F$1001,$A$2:$A$1001,A775,$B$2:$B$1001,B775-1)),"违规：风险预算须逐次不增加",IF(OR(_LockStatus="已锁仓",_LockStatus="解锁信息不完整"),"违规：锁仓期间禁止加仓",IF(G775="","计划可执行：建议股数见N列",IF(OR(G775&lt;=0,G775&lt;&gt;INT(G775),MOD(G775,100)&lt;&gt;0),"违规：实际股数须为100股整数倍",IF(G775&gt;N775,"违规：实际股数超过风险或金字塔上限",IF(AND(B775&gt;1,G775&gt;SUMIFS($G$2:$G$1001,$A$2:$A$1001,A775,$B$2:$B$1001,B775-1)),"违规：加仓股数须逐次不增加",IF(Q775&gt;F775,"违规：止损风险超过本次预算","通过")))))))))))))))</f>
        <v/>
      </c>
    </row>
    <row r="776" customFormat="false" ht="15" hidden="false" customHeight="false" outlineLevel="0" collapsed="false">
      <c r="A776" s="20"/>
      <c r="B776" s="21"/>
      <c r="C776" s="22"/>
      <c r="D776" s="23"/>
      <c r="E776" s="23"/>
      <c r="F776" s="23"/>
      <c r="G776" s="21"/>
      <c r="H776" s="24" t="str">
        <f aca="false">IF(OR(A776="",D776="",G776=""),"",D776*G776)</f>
        <v/>
      </c>
      <c r="I776" s="25" t="str">
        <f aca="false">IF(OR(A776="",B776=""),"",IFERROR(LOOKUP(2,1/(单次交易!$A$2:$A$201=A776),单次交易!$H$2:$H$201),0)+SUMIFS($G$2:$G$1001,$A$2:$A$1001,A776,$B$2:$B$1001,"&lt;"&amp;B776))</f>
        <v/>
      </c>
      <c r="J776" s="24" t="str">
        <f aca="false">IF(OR(A776="",B776=""),"",IFERROR(LOOKUP(2,1/(单次交易!$A$2:$A$201=A776),单次交易!$E$2:$E$201)*LOOKUP(2,1/(单次交易!$A$2:$A$201=A776),单次交易!$H$2:$H$201),0)+SUMIFS($H$2:$H$1001,$A$2:$A$1001,A776,$B$2:$B$1001,"&lt;"&amp;B776))</f>
        <v/>
      </c>
      <c r="K776" s="24" t="str">
        <f aca="false">IF(OR(E776="",I776="",J776=""),"",MAX(E776*I776-J776,0))</f>
        <v/>
      </c>
      <c r="L776" s="25" t="str">
        <f aca="false">IF(OR(D776="",E776="",F776="",D776&lt;=E776),"",FLOOR((F776+K776)/(D776-E776),100))</f>
        <v/>
      </c>
      <c r="M776" s="25" t="str">
        <f aca="false">IF(OR(A776="",B776="",L776=""),"",IF(B776=1,L776,IFERROR(SUMIFS($G$2:$G$1001,$A$2:$A$1001,A776,$B$2:$B$1001,B776-1),0)))</f>
        <v/>
      </c>
      <c r="N776" s="25" t="str">
        <f aca="false">IF(OR(L776="",M776=""),"",MIN(L776,M776))</f>
        <v/>
      </c>
      <c r="O776" s="25" t="str">
        <f aca="false">IF(OR(I776="",G776=""),"",I776+G776)</f>
        <v/>
      </c>
      <c r="P776" s="24" t="str">
        <f aca="false">IF(OR(O776="",O776=0),"",(J776+H776)/O776)</f>
        <v/>
      </c>
      <c r="Q776" s="24" t="str">
        <f aca="false">IF(OR(O776="",E776=""),"",MAX(J776+H776-E776*O776,0))</f>
        <v/>
      </c>
      <c r="R776" s="26" t="str">
        <f aca="false">IF(A776="","",IF(COUNTIF(_TradeIds,A776)=0,"违规：交易编号不存在",IF(OR(B776="",B776&lt;1,B776&gt;5,B776&lt;&gt;INT(B776)),"违规：加仓序号须为1到5的整数",IF(COUNTIFS($A$2:$A$1001,A776,$B$2:$B$1001,B776)&gt;1,"违规：同一交易的加仓序号重复",IF(OR(D776="",E776="",F776=""),"计划不完整：请填写加仓价、新止损价和风险预算",IF(OR(D776&lt;=0,E776&lt;=0,F776&lt;=0,D776&lt;=E776),"违规：加仓价必须高于新止损价，金额须大于0",IF(AND(B776&gt;1,COUNTIFS($A$2:$A$1001,A776,$B$2:$B$1001,B776-1,$G$2:$G$1001,"&gt;0")=0),"违规：须先完成上一次加仓",IF(AND(B776&gt;1,E776&lt;SUMIFS($E$2:$E$1001,$A$2:$A$1001,A776,$B$2:$B$1001,B776-1)),"违规：新止损价不得低于上一次",IF(AND(B776&gt;1,F776&gt;SUMIFS($F$2:$F$1001,$A$2:$A$1001,A776,$B$2:$B$1001,B776-1)),"违规：风险预算须逐次不增加",IF(OR(_LockStatus="已锁仓",_LockStatus="解锁信息不完整"),"违规：锁仓期间禁止加仓",IF(G776="","计划可执行：建议股数见N列",IF(OR(G776&lt;=0,G776&lt;&gt;INT(G776),MOD(G776,100)&lt;&gt;0),"违规：实际股数须为100股整数倍",IF(G776&gt;N776,"违规：实际股数超过风险或金字塔上限",IF(AND(B776&gt;1,G776&gt;SUMIFS($G$2:$G$1001,$A$2:$A$1001,A776,$B$2:$B$1001,B776-1)),"违规：加仓股数须逐次不增加",IF(Q776&gt;F776,"违规：止损风险超过本次预算","通过")))))))))))))))</f>
        <v/>
      </c>
    </row>
    <row r="777" customFormat="false" ht="15" hidden="false" customHeight="false" outlineLevel="0" collapsed="false">
      <c r="A777" s="20"/>
      <c r="B777" s="21"/>
      <c r="C777" s="22"/>
      <c r="D777" s="23"/>
      <c r="E777" s="23"/>
      <c r="F777" s="23"/>
      <c r="G777" s="21"/>
      <c r="H777" s="24" t="str">
        <f aca="false">IF(OR(A777="",D777="",G777=""),"",D777*G777)</f>
        <v/>
      </c>
      <c r="I777" s="25" t="str">
        <f aca="false">IF(OR(A777="",B777=""),"",IFERROR(LOOKUP(2,1/(单次交易!$A$2:$A$201=A777),单次交易!$H$2:$H$201),0)+SUMIFS($G$2:$G$1001,$A$2:$A$1001,A777,$B$2:$B$1001,"&lt;"&amp;B777))</f>
        <v/>
      </c>
      <c r="J777" s="24" t="str">
        <f aca="false">IF(OR(A777="",B777=""),"",IFERROR(LOOKUP(2,1/(单次交易!$A$2:$A$201=A777),单次交易!$E$2:$E$201)*LOOKUP(2,1/(单次交易!$A$2:$A$201=A777),单次交易!$H$2:$H$201),0)+SUMIFS($H$2:$H$1001,$A$2:$A$1001,A777,$B$2:$B$1001,"&lt;"&amp;B777))</f>
        <v/>
      </c>
      <c r="K777" s="24" t="str">
        <f aca="false">IF(OR(E777="",I777="",J777=""),"",MAX(E777*I777-J777,0))</f>
        <v/>
      </c>
      <c r="L777" s="25" t="str">
        <f aca="false">IF(OR(D777="",E777="",F777="",D777&lt;=E777),"",FLOOR((F777+K777)/(D777-E777),100))</f>
        <v/>
      </c>
      <c r="M777" s="25" t="str">
        <f aca="false">IF(OR(A777="",B777="",L777=""),"",IF(B777=1,L777,IFERROR(SUMIFS($G$2:$G$1001,$A$2:$A$1001,A777,$B$2:$B$1001,B777-1),0)))</f>
        <v/>
      </c>
      <c r="N777" s="25" t="str">
        <f aca="false">IF(OR(L777="",M777=""),"",MIN(L777,M777))</f>
        <v/>
      </c>
      <c r="O777" s="25" t="str">
        <f aca="false">IF(OR(I777="",G777=""),"",I777+G777)</f>
        <v/>
      </c>
      <c r="P777" s="24" t="str">
        <f aca="false">IF(OR(O777="",O777=0),"",(J777+H777)/O777)</f>
        <v/>
      </c>
      <c r="Q777" s="24" t="str">
        <f aca="false">IF(OR(O777="",E777=""),"",MAX(J777+H777-E777*O777,0))</f>
        <v/>
      </c>
      <c r="R777" s="26" t="str">
        <f aca="false">IF(A777="","",IF(COUNTIF(_TradeIds,A777)=0,"违规：交易编号不存在",IF(OR(B777="",B777&lt;1,B777&gt;5,B777&lt;&gt;INT(B777)),"违规：加仓序号须为1到5的整数",IF(COUNTIFS($A$2:$A$1001,A777,$B$2:$B$1001,B777)&gt;1,"违规：同一交易的加仓序号重复",IF(OR(D777="",E777="",F777=""),"计划不完整：请填写加仓价、新止损价和风险预算",IF(OR(D777&lt;=0,E777&lt;=0,F777&lt;=0,D777&lt;=E777),"违规：加仓价必须高于新止损价，金额须大于0",IF(AND(B777&gt;1,COUNTIFS($A$2:$A$1001,A777,$B$2:$B$1001,B777-1,$G$2:$G$1001,"&gt;0")=0),"违规：须先完成上一次加仓",IF(AND(B777&gt;1,E777&lt;SUMIFS($E$2:$E$1001,$A$2:$A$1001,A777,$B$2:$B$1001,B777-1)),"违规：新止损价不得低于上一次",IF(AND(B777&gt;1,F777&gt;SUMIFS($F$2:$F$1001,$A$2:$A$1001,A777,$B$2:$B$1001,B777-1)),"违规：风险预算须逐次不增加",IF(OR(_LockStatus="已锁仓",_LockStatus="解锁信息不完整"),"违规：锁仓期间禁止加仓",IF(G777="","计划可执行：建议股数见N列",IF(OR(G777&lt;=0,G777&lt;&gt;INT(G777),MOD(G777,100)&lt;&gt;0),"违规：实际股数须为100股整数倍",IF(G777&gt;N777,"违规：实际股数超过风险或金字塔上限",IF(AND(B777&gt;1,G777&gt;SUMIFS($G$2:$G$1001,$A$2:$A$1001,A777,$B$2:$B$1001,B777-1)),"违规：加仓股数须逐次不增加",IF(Q777&gt;F777,"违规：止损风险超过本次预算","通过")))))))))))))))</f>
        <v/>
      </c>
    </row>
    <row r="778" customFormat="false" ht="15" hidden="false" customHeight="false" outlineLevel="0" collapsed="false">
      <c r="A778" s="20"/>
      <c r="B778" s="21"/>
      <c r="C778" s="22"/>
      <c r="D778" s="23"/>
      <c r="E778" s="23"/>
      <c r="F778" s="23"/>
      <c r="G778" s="21"/>
      <c r="H778" s="24" t="str">
        <f aca="false">IF(OR(A778="",D778="",G778=""),"",D778*G778)</f>
        <v/>
      </c>
      <c r="I778" s="25" t="str">
        <f aca="false">IF(OR(A778="",B778=""),"",IFERROR(LOOKUP(2,1/(单次交易!$A$2:$A$201=A778),单次交易!$H$2:$H$201),0)+SUMIFS($G$2:$G$1001,$A$2:$A$1001,A778,$B$2:$B$1001,"&lt;"&amp;B778))</f>
        <v/>
      </c>
      <c r="J778" s="24" t="str">
        <f aca="false">IF(OR(A778="",B778=""),"",IFERROR(LOOKUP(2,1/(单次交易!$A$2:$A$201=A778),单次交易!$E$2:$E$201)*LOOKUP(2,1/(单次交易!$A$2:$A$201=A778),单次交易!$H$2:$H$201),0)+SUMIFS($H$2:$H$1001,$A$2:$A$1001,A778,$B$2:$B$1001,"&lt;"&amp;B778))</f>
        <v/>
      </c>
      <c r="K778" s="24" t="str">
        <f aca="false">IF(OR(E778="",I778="",J778=""),"",MAX(E778*I778-J778,0))</f>
        <v/>
      </c>
      <c r="L778" s="25" t="str">
        <f aca="false">IF(OR(D778="",E778="",F778="",D778&lt;=E778),"",FLOOR((F778+K778)/(D778-E778),100))</f>
        <v/>
      </c>
      <c r="M778" s="25" t="str">
        <f aca="false">IF(OR(A778="",B778="",L778=""),"",IF(B778=1,L778,IFERROR(SUMIFS($G$2:$G$1001,$A$2:$A$1001,A778,$B$2:$B$1001,B778-1),0)))</f>
        <v/>
      </c>
      <c r="N778" s="25" t="str">
        <f aca="false">IF(OR(L778="",M778=""),"",MIN(L778,M778))</f>
        <v/>
      </c>
      <c r="O778" s="25" t="str">
        <f aca="false">IF(OR(I778="",G778=""),"",I778+G778)</f>
        <v/>
      </c>
      <c r="P778" s="24" t="str">
        <f aca="false">IF(OR(O778="",O778=0),"",(J778+H778)/O778)</f>
        <v/>
      </c>
      <c r="Q778" s="24" t="str">
        <f aca="false">IF(OR(O778="",E778=""),"",MAX(J778+H778-E778*O778,0))</f>
        <v/>
      </c>
      <c r="R778" s="26" t="str">
        <f aca="false">IF(A778="","",IF(COUNTIF(_TradeIds,A778)=0,"违规：交易编号不存在",IF(OR(B778="",B778&lt;1,B778&gt;5,B778&lt;&gt;INT(B778)),"违规：加仓序号须为1到5的整数",IF(COUNTIFS($A$2:$A$1001,A778,$B$2:$B$1001,B778)&gt;1,"违规：同一交易的加仓序号重复",IF(OR(D778="",E778="",F778=""),"计划不完整：请填写加仓价、新止损价和风险预算",IF(OR(D778&lt;=0,E778&lt;=0,F778&lt;=0,D778&lt;=E778),"违规：加仓价必须高于新止损价，金额须大于0",IF(AND(B778&gt;1,COUNTIFS($A$2:$A$1001,A778,$B$2:$B$1001,B778-1,$G$2:$G$1001,"&gt;0")=0),"违规：须先完成上一次加仓",IF(AND(B778&gt;1,E778&lt;SUMIFS($E$2:$E$1001,$A$2:$A$1001,A778,$B$2:$B$1001,B778-1)),"违规：新止损价不得低于上一次",IF(AND(B778&gt;1,F778&gt;SUMIFS($F$2:$F$1001,$A$2:$A$1001,A778,$B$2:$B$1001,B778-1)),"违规：风险预算须逐次不增加",IF(OR(_LockStatus="已锁仓",_LockStatus="解锁信息不完整"),"违规：锁仓期间禁止加仓",IF(G778="","计划可执行：建议股数见N列",IF(OR(G778&lt;=0,G778&lt;&gt;INT(G778),MOD(G778,100)&lt;&gt;0),"违规：实际股数须为100股整数倍",IF(G778&gt;N778,"违规：实际股数超过风险或金字塔上限",IF(AND(B778&gt;1,G778&gt;SUMIFS($G$2:$G$1001,$A$2:$A$1001,A778,$B$2:$B$1001,B778-1)),"违规：加仓股数须逐次不增加",IF(Q778&gt;F778,"违规：止损风险超过本次预算","通过")))))))))))))))</f>
        <v/>
      </c>
    </row>
    <row r="779" customFormat="false" ht="15" hidden="false" customHeight="false" outlineLevel="0" collapsed="false">
      <c r="A779" s="20"/>
      <c r="B779" s="21"/>
      <c r="C779" s="22"/>
      <c r="D779" s="23"/>
      <c r="E779" s="23"/>
      <c r="F779" s="23"/>
      <c r="G779" s="21"/>
      <c r="H779" s="24" t="str">
        <f aca="false">IF(OR(A779="",D779="",G779=""),"",D779*G779)</f>
        <v/>
      </c>
      <c r="I779" s="25" t="str">
        <f aca="false">IF(OR(A779="",B779=""),"",IFERROR(LOOKUP(2,1/(单次交易!$A$2:$A$201=A779),单次交易!$H$2:$H$201),0)+SUMIFS($G$2:$G$1001,$A$2:$A$1001,A779,$B$2:$B$1001,"&lt;"&amp;B779))</f>
        <v/>
      </c>
      <c r="J779" s="24" t="str">
        <f aca="false">IF(OR(A779="",B779=""),"",IFERROR(LOOKUP(2,1/(单次交易!$A$2:$A$201=A779),单次交易!$E$2:$E$201)*LOOKUP(2,1/(单次交易!$A$2:$A$201=A779),单次交易!$H$2:$H$201),0)+SUMIFS($H$2:$H$1001,$A$2:$A$1001,A779,$B$2:$B$1001,"&lt;"&amp;B779))</f>
        <v/>
      </c>
      <c r="K779" s="24" t="str">
        <f aca="false">IF(OR(E779="",I779="",J779=""),"",MAX(E779*I779-J779,0))</f>
        <v/>
      </c>
      <c r="L779" s="25" t="str">
        <f aca="false">IF(OR(D779="",E779="",F779="",D779&lt;=E779),"",FLOOR((F779+K779)/(D779-E779),100))</f>
        <v/>
      </c>
      <c r="M779" s="25" t="str">
        <f aca="false">IF(OR(A779="",B779="",L779=""),"",IF(B779=1,L779,IFERROR(SUMIFS($G$2:$G$1001,$A$2:$A$1001,A779,$B$2:$B$1001,B779-1),0)))</f>
        <v/>
      </c>
      <c r="N779" s="25" t="str">
        <f aca="false">IF(OR(L779="",M779=""),"",MIN(L779,M779))</f>
        <v/>
      </c>
      <c r="O779" s="25" t="str">
        <f aca="false">IF(OR(I779="",G779=""),"",I779+G779)</f>
        <v/>
      </c>
      <c r="P779" s="24" t="str">
        <f aca="false">IF(OR(O779="",O779=0),"",(J779+H779)/O779)</f>
        <v/>
      </c>
      <c r="Q779" s="24" t="str">
        <f aca="false">IF(OR(O779="",E779=""),"",MAX(J779+H779-E779*O779,0))</f>
        <v/>
      </c>
      <c r="R779" s="26" t="str">
        <f aca="false">IF(A779="","",IF(COUNTIF(_TradeIds,A779)=0,"违规：交易编号不存在",IF(OR(B779="",B779&lt;1,B779&gt;5,B779&lt;&gt;INT(B779)),"违规：加仓序号须为1到5的整数",IF(COUNTIFS($A$2:$A$1001,A779,$B$2:$B$1001,B779)&gt;1,"违规：同一交易的加仓序号重复",IF(OR(D779="",E779="",F779=""),"计划不完整：请填写加仓价、新止损价和风险预算",IF(OR(D779&lt;=0,E779&lt;=0,F779&lt;=0,D779&lt;=E779),"违规：加仓价必须高于新止损价，金额须大于0",IF(AND(B779&gt;1,COUNTIFS($A$2:$A$1001,A779,$B$2:$B$1001,B779-1,$G$2:$G$1001,"&gt;0")=0),"违规：须先完成上一次加仓",IF(AND(B779&gt;1,E779&lt;SUMIFS($E$2:$E$1001,$A$2:$A$1001,A779,$B$2:$B$1001,B779-1)),"违规：新止损价不得低于上一次",IF(AND(B779&gt;1,F779&gt;SUMIFS($F$2:$F$1001,$A$2:$A$1001,A779,$B$2:$B$1001,B779-1)),"违规：风险预算须逐次不增加",IF(OR(_LockStatus="已锁仓",_LockStatus="解锁信息不完整"),"违规：锁仓期间禁止加仓",IF(G779="","计划可执行：建议股数见N列",IF(OR(G779&lt;=0,G779&lt;&gt;INT(G779),MOD(G779,100)&lt;&gt;0),"违规：实际股数须为100股整数倍",IF(G779&gt;N779,"违规：实际股数超过风险或金字塔上限",IF(AND(B779&gt;1,G779&gt;SUMIFS($G$2:$G$1001,$A$2:$A$1001,A779,$B$2:$B$1001,B779-1)),"违规：加仓股数须逐次不增加",IF(Q779&gt;F779,"违规：止损风险超过本次预算","通过")))))))))))))))</f>
        <v/>
      </c>
    </row>
    <row r="780" customFormat="false" ht="15" hidden="false" customHeight="false" outlineLevel="0" collapsed="false">
      <c r="A780" s="20"/>
      <c r="B780" s="21"/>
      <c r="C780" s="22"/>
      <c r="D780" s="23"/>
      <c r="E780" s="23"/>
      <c r="F780" s="23"/>
      <c r="G780" s="21"/>
      <c r="H780" s="24" t="str">
        <f aca="false">IF(OR(A780="",D780="",G780=""),"",D780*G780)</f>
        <v/>
      </c>
      <c r="I780" s="25" t="str">
        <f aca="false">IF(OR(A780="",B780=""),"",IFERROR(LOOKUP(2,1/(单次交易!$A$2:$A$201=A780),单次交易!$H$2:$H$201),0)+SUMIFS($G$2:$G$1001,$A$2:$A$1001,A780,$B$2:$B$1001,"&lt;"&amp;B780))</f>
        <v/>
      </c>
      <c r="J780" s="24" t="str">
        <f aca="false">IF(OR(A780="",B780=""),"",IFERROR(LOOKUP(2,1/(单次交易!$A$2:$A$201=A780),单次交易!$E$2:$E$201)*LOOKUP(2,1/(单次交易!$A$2:$A$201=A780),单次交易!$H$2:$H$201),0)+SUMIFS($H$2:$H$1001,$A$2:$A$1001,A780,$B$2:$B$1001,"&lt;"&amp;B780))</f>
        <v/>
      </c>
      <c r="K780" s="24" t="str">
        <f aca="false">IF(OR(E780="",I780="",J780=""),"",MAX(E780*I780-J780,0))</f>
        <v/>
      </c>
      <c r="L780" s="25" t="str">
        <f aca="false">IF(OR(D780="",E780="",F780="",D780&lt;=E780),"",FLOOR((F780+K780)/(D780-E780),100))</f>
        <v/>
      </c>
      <c r="M780" s="25" t="str">
        <f aca="false">IF(OR(A780="",B780="",L780=""),"",IF(B780=1,L780,IFERROR(SUMIFS($G$2:$G$1001,$A$2:$A$1001,A780,$B$2:$B$1001,B780-1),0)))</f>
        <v/>
      </c>
      <c r="N780" s="25" t="str">
        <f aca="false">IF(OR(L780="",M780=""),"",MIN(L780,M780))</f>
        <v/>
      </c>
      <c r="O780" s="25" t="str">
        <f aca="false">IF(OR(I780="",G780=""),"",I780+G780)</f>
        <v/>
      </c>
      <c r="P780" s="24" t="str">
        <f aca="false">IF(OR(O780="",O780=0),"",(J780+H780)/O780)</f>
        <v/>
      </c>
      <c r="Q780" s="24" t="str">
        <f aca="false">IF(OR(O780="",E780=""),"",MAX(J780+H780-E780*O780,0))</f>
        <v/>
      </c>
      <c r="R780" s="26" t="str">
        <f aca="false">IF(A780="","",IF(COUNTIF(_TradeIds,A780)=0,"违规：交易编号不存在",IF(OR(B780="",B780&lt;1,B780&gt;5,B780&lt;&gt;INT(B780)),"违规：加仓序号须为1到5的整数",IF(COUNTIFS($A$2:$A$1001,A780,$B$2:$B$1001,B780)&gt;1,"违规：同一交易的加仓序号重复",IF(OR(D780="",E780="",F780=""),"计划不完整：请填写加仓价、新止损价和风险预算",IF(OR(D780&lt;=0,E780&lt;=0,F780&lt;=0,D780&lt;=E780),"违规：加仓价必须高于新止损价，金额须大于0",IF(AND(B780&gt;1,COUNTIFS($A$2:$A$1001,A780,$B$2:$B$1001,B780-1,$G$2:$G$1001,"&gt;0")=0),"违规：须先完成上一次加仓",IF(AND(B780&gt;1,E780&lt;SUMIFS($E$2:$E$1001,$A$2:$A$1001,A780,$B$2:$B$1001,B780-1)),"违规：新止损价不得低于上一次",IF(AND(B780&gt;1,F780&gt;SUMIFS($F$2:$F$1001,$A$2:$A$1001,A780,$B$2:$B$1001,B780-1)),"违规：风险预算须逐次不增加",IF(OR(_LockStatus="已锁仓",_LockStatus="解锁信息不完整"),"违规：锁仓期间禁止加仓",IF(G780="","计划可执行：建议股数见N列",IF(OR(G780&lt;=0,G780&lt;&gt;INT(G780),MOD(G780,100)&lt;&gt;0),"违规：实际股数须为100股整数倍",IF(G780&gt;N780,"违规：实际股数超过风险或金字塔上限",IF(AND(B780&gt;1,G780&gt;SUMIFS($G$2:$G$1001,$A$2:$A$1001,A780,$B$2:$B$1001,B780-1)),"违规：加仓股数须逐次不增加",IF(Q780&gt;F780,"违规：止损风险超过本次预算","通过")))))))))))))))</f>
        <v/>
      </c>
    </row>
    <row r="781" customFormat="false" ht="15" hidden="false" customHeight="false" outlineLevel="0" collapsed="false">
      <c r="A781" s="20"/>
      <c r="B781" s="21"/>
      <c r="C781" s="22"/>
      <c r="D781" s="23"/>
      <c r="E781" s="23"/>
      <c r="F781" s="23"/>
      <c r="G781" s="21"/>
      <c r="H781" s="24" t="str">
        <f aca="false">IF(OR(A781="",D781="",G781=""),"",D781*G781)</f>
        <v/>
      </c>
      <c r="I781" s="25" t="str">
        <f aca="false">IF(OR(A781="",B781=""),"",IFERROR(LOOKUP(2,1/(单次交易!$A$2:$A$201=A781),单次交易!$H$2:$H$201),0)+SUMIFS($G$2:$G$1001,$A$2:$A$1001,A781,$B$2:$B$1001,"&lt;"&amp;B781))</f>
        <v/>
      </c>
      <c r="J781" s="24" t="str">
        <f aca="false">IF(OR(A781="",B781=""),"",IFERROR(LOOKUP(2,1/(单次交易!$A$2:$A$201=A781),单次交易!$E$2:$E$201)*LOOKUP(2,1/(单次交易!$A$2:$A$201=A781),单次交易!$H$2:$H$201),0)+SUMIFS($H$2:$H$1001,$A$2:$A$1001,A781,$B$2:$B$1001,"&lt;"&amp;B781))</f>
        <v/>
      </c>
      <c r="K781" s="24" t="str">
        <f aca="false">IF(OR(E781="",I781="",J781=""),"",MAX(E781*I781-J781,0))</f>
        <v/>
      </c>
      <c r="L781" s="25" t="str">
        <f aca="false">IF(OR(D781="",E781="",F781="",D781&lt;=E781),"",FLOOR((F781+K781)/(D781-E781),100))</f>
        <v/>
      </c>
      <c r="M781" s="25" t="str">
        <f aca="false">IF(OR(A781="",B781="",L781=""),"",IF(B781=1,L781,IFERROR(SUMIFS($G$2:$G$1001,$A$2:$A$1001,A781,$B$2:$B$1001,B781-1),0)))</f>
        <v/>
      </c>
      <c r="N781" s="25" t="str">
        <f aca="false">IF(OR(L781="",M781=""),"",MIN(L781,M781))</f>
        <v/>
      </c>
      <c r="O781" s="25" t="str">
        <f aca="false">IF(OR(I781="",G781=""),"",I781+G781)</f>
        <v/>
      </c>
      <c r="P781" s="24" t="str">
        <f aca="false">IF(OR(O781="",O781=0),"",(J781+H781)/O781)</f>
        <v/>
      </c>
      <c r="Q781" s="24" t="str">
        <f aca="false">IF(OR(O781="",E781=""),"",MAX(J781+H781-E781*O781,0))</f>
        <v/>
      </c>
      <c r="R781" s="26" t="str">
        <f aca="false">IF(A781="","",IF(COUNTIF(_TradeIds,A781)=0,"违规：交易编号不存在",IF(OR(B781="",B781&lt;1,B781&gt;5,B781&lt;&gt;INT(B781)),"违规：加仓序号须为1到5的整数",IF(COUNTIFS($A$2:$A$1001,A781,$B$2:$B$1001,B781)&gt;1,"违规：同一交易的加仓序号重复",IF(OR(D781="",E781="",F781=""),"计划不完整：请填写加仓价、新止损价和风险预算",IF(OR(D781&lt;=0,E781&lt;=0,F781&lt;=0,D781&lt;=E781),"违规：加仓价必须高于新止损价，金额须大于0",IF(AND(B781&gt;1,COUNTIFS($A$2:$A$1001,A781,$B$2:$B$1001,B781-1,$G$2:$G$1001,"&gt;0")=0),"违规：须先完成上一次加仓",IF(AND(B781&gt;1,E781&lt;SUMIFS($E$2:$E$1001,$A$2:$A$1001,A781,$B$2:$B$1001,B781-1)),"违规：新止损价不得低于上一次",IF(AND(B781&gt;1,F781&gt;SUMIFS($F$2:$F$1001,$A$2:$A$1001,A781,$B$2:$B$1001,B781-1)),"违规：风险预算须逐次不增加",IF(OR(_LockStatus="已锁仓",_LockStatus="解锁信息不完整"),"违规：锁仓期间禁止加仓",IF(G781="","计划可执行：建议股数见N列",IF(OR(G781&lt;=0,G781&lt;&gt;INT(G781),MOD(G781,100)&lt;&gt;0),"违规：实际股数须为100股整数倍",IF(G781&gt;N781,"违规：实际股数超过风险或金字塔上限",IF(AND(B781&gt;1,G781&gt;SUMIFS($G$2:$G$1001,$A$2:$A$1001,A781,$B$2:$B$1001,B781-1)),"违规：加仓股数须逐次不增加",IF(Q781&gt;F781,"违规：止损风险超过本次预算","通过")))))))))))))))</f>
        <v/>
      </c>
    </row>
    <row r="782" customFormat="false" ht="15" hidden="false" customHeight="false" outlineLevel="0" collapsed="false">
      <c r="A782" s="20"/>
      <c r="B782" s="21"/>
      <c r="C782" s="22"/>
      <c r="D782" s="23"/>
      <c r="E782" s="23"/>
      <c r="F782" s="23"/>
      <c r="G782" s="21"/>
      <c r="H782" s="24" t="str">
        <f aca="false">IF(OR(A782="",D782="",G782=""),"",D782*G782)</f>
        <v/>
      </c>
      <c r="I782" s="25" t="str">
        <f aca="false">IF(OR(A782="",B782=""),"",IFERROR(LOOKUP(2,1/(单次交易!$A$2:$A$201=A782),单次交易!$H$2:$H$201),0)+SUMIFS($G$2:$G$1001,$A$2:$A$1001,A782,$B$2:$B$1001,"&lt;"&amp;B782))</f>
        <v/>
      </c>
      <c r="J782" s="24" t="str">
        <f aca="false">IF(OR(A782="",B782=""),"",IFERROR(LOOKUP(2,1/(单次交易!$A$2:$A$201=A782),单次交易!$E$2:$E$201)*LOOKUP(2,1/(单次交易!$A$2:$A$201=A782),单次交易!$H$2:$H$201),0)+SUMIFS($H$2:$H$1001,$A$2:$A$1001,A782,$B$2:$B$1001,"&lt;"&amp;B782))</f>
        <v/>
      </c>
      <c r="K782" s="24" t="str">
        <f aca="false">IF(OR(E782="",I782="",J782=""),"",MAX(E782*I782-J782,0))</f>
        <v/>
      </c>
      <c r="L782" s="25" t="str">
        <f aca="false">IF(OR(D782="",E782="",F782="",D782&lt;=E782),"",FLOOR((F782+K782)/(D782-E782),100))</f>
        <v/>
      </c>
      <c r="M782" s="25" t="str">
        <f aca="false">IF(OR(A782="",B782="",L782=""),"",IF(B782=1,L782,IFERROR(SUMIFS($G$2:$G$1001,$A$2:$A$1001,A782,$B$2:$B$1001,B782-1),0)))</f>
        <v/>
      </c>
      <c r="N782" s="25" t="str">
        <f aca="false">IF(OR(L782="",M782=""),"",MIN(L782,M782))</f>
        <v/>
      </c>
      <c r="O782" s="25" t="str">
        <f aca="false">IF(OR(I782="",G782=""),"",I782+G782)</f>
        <v/>
      </c>
      <c r="P782" s="24" t="str">
        <f aca="false">IF(OR(O782="",O782=0),"",(J782+H782)/O782)</f>
        <v/>
      </c>
      <c r="Q782" s="24" t="str">
        <f aca="false">IF(OR(O782="",E782=""),"",MAX(J782+H782-E782*O782,0))</f>
        <v/>
      </c>
      <c r="R782" s="26" t="str">
        <f aca="false">IF(A782="","",IF(COUNTIF(_TradeIds,A782)=0,"违规：交易编号不存在",IF(OR(B782="",B782&lt;1,B782&gt;5,B782&lt;&gt;INT(B782)),"违规：加仓序号须为1到5的整数",IF(COUNTIFS($A$2:$A$1001,A782,$B$2:$B$1001,B782)&gt;1,"违规：同一交易的加仓序号重复",IF(OR(D782="",E782="",F782=""),"计划不完整：请填写加仓价、新止损价和风险预算",IF(OR(D782&lt;=0,E782&lt;=0,F782&lt;=0,D782&lt;=E782),"违规：加仓价必须高于新止损价，金额须大于0",IF(AND(B782&gt;1,COUNTIFS($A$2:$A$1001,A782,$B$2:$B$1001,B782-1,$G$2:$G$1001,"&gt;0")=0),"违规：须先完成上一次加仓",IF(AND(B782&gt;1,E782&lt;SUMIFS($E$2:$E$1001,$A$2:$A$1001,A782,$B$2:$B$1001,B782-1)),"违规：新止损价不得低于上一次",IF(AND(B782&gt;1,F782&gt;SUMIFS($F$2:$F$1001,$A$2:$A$1001,A782,$B$2:$B$1001,B782-1)),"违规：风险预算须逐次不增加",IF(OR(_LockStatus="已锁仓",_LockStatus="解锁信息不完整"),"违规：锁仓期间禁止加仓",IF(G782="","计划可执行：建议股数见N列",IF(OR(G782&lt;=0,G782&lt;&gt;INT(G782),MOD(G782,100)&lt;&gt;0),"违规：实际股数须为100股整数倍",IF(G782&gt;N782,"违规：实际股数超过风险或金字塔上限",IF(AND(B782&gt;1,G782&gt;SUMIFS($G$2:$G$1001,$A$2:$A$1001,A782,$B$2:$B$1001,B782-1)),"违规：加仓股数须逐次不增加",IF(Q782&gt;F782,"违规：止损风险超过本次预算","通过")))))))))))))))</f>
        <v/>
      </c>
    </row>
    <row r="783" customFormat="false" ht="15" hidden="false" customHeight="false" outlineLevel="0" collapsed="false">
      <c r="A783" s="20"/>
      <c r="B783" s="21"/>
      <c r="C783" s="22"/>
      <c r="D783" s="23"/>
      <c r="E783" s="23"/>
      <c r="F783" s="23"/>
      <c r="G783" s="21"/>
      <c r="H783" s="24" t="str">
        <f aca="false">IF(OR(A783="",D783="",G783=""),"",D783*G783)</f>
        <v/>
      </c>
      <c r="I783" s="25" t="str">
        <f aca="false">IF(OR(A783="",B783=""),"",IFERROR(LOOKUP(2,1/(单次交易!$A$2:$A$201=A783),单次交易!$H$2:$H$201),0)+SUMIFS($G$2:$G$1001,$A$2:$A$1001,A783,$B$2:$B$1001,"&lt;"&amp;B783))</f>
        <v/>
      </c>
      <c r="J783" s="24" t="str">
        <f aca="false">IF(OR(A783="",B783=""),"",IFERROR(LOOKUP(2,1/(单次交易!$A$2:$A$201=A783),单次交易!$E$2:$E$201)*LOOKUP(2,1/(单次交易!$A$2:$A$201=A783),单次交易!$H$2:$H$201),0)+SUMIFS($H$2:$H$1001,$A$2:$A$1001,A783,$B$2:$B$1001,"&lt;"&amp;B783))</f>
        <v/>
      </c>
      <c r="K783" s="24" t="str">
        <f aca="false">IF(OR(E783="",I783="",J783=""),"",MAX(E783*I783-J783,0))</f>
        <v/>
      </c>
      <c r="L783" s="25" t="str">
        <f aca="false">IF(OR(D783="",E783="",F783="",D783&lt;=E783),"",FLOOR((F783+K783)/(D783-E783),100))</f>
        <v/>
      </c>
      <c r="M783" s="25" t="str">
        <f aca="false">IF(OR(A783="",B783="",L783=""),"",IF(B783=1,L783,IFERROR(SUMIFS($G$2:$G$1001,$A$2:$A$1001,A783,$B$2:$B$1001,B783-1),0)))</f>
        <v/>
      </c>
      <c r="N783" s="25" t="str">
        <f aca="false">IF(OR(L783="",M783=""),"",MIN(L783,M783))</f>
        <v/>
      </c>
      <c r="O783" s="25" t="str">
        <f aca="false">IF(OR(I783="",G783=""),"",I783+G783)</f>
        <v/>
      </c>
      <c r="P783" s="24" t="str">
        <f aca="false">IF(OR(O783="",O783=0),"",(J783+H783)/O783)</f>
        <v/>
      </c>
      <c r="Q783" s="24" t="str">
        <f aca="false">IF(OR(O783="",E783=""),"",MAX(J783+H783-E783*O783,0))</f>
        <v/>
      </c>
      <c r="R783" s="26" t="str">
        <f aca="false">IF(A783="","",IF(COUNTIF(_TradeIds,A783)=0,"违规：交易编号不存在",IF(OR(B783="",B783&lt;1,B783&gt;5,B783&lt;&gt;INT(B783)),"违规：加仓序号须为1到5的整数",IF(COUNTIFS($A$2:$A$1001,A783,$B$2:$B$1001,B783)&gt;1,"违规：同一交易的加仓序号重复",IF(OR(D783="",E783="",F783=""),"计划不完整：请填写加仓价、新止损价和风险预算",IF(OR(D783&lt;=0,E783&lt;=0,F783&lt;=0,D783&lt;=E783),"违规：加仓价必须高于新止损价，金额须大于0",IF(AND(B783&gt;1,COUNTIFS($A$2:$A$1001,A783,$B$2:$B$1001,B783-1,$G$2:$G$1001,"&gt;0")=0),"违规：须先完成上一次加仓",IF(AND(B783&gt;1,E783&lt;SUMIFS($E$2:$E$1001,$A$2:$A$1001,A783,$B$2:$B$1001,B783-1)),"违规：新止损价不得低于上一次",IF(AND(B783&gt;1,F783&gt;SUMIFS($F$2:$F$1001,$A$2:$A$1001,A783,$B$2:$B$1001,B783-1)),"违规：风险预算须逐次不增加",IF(OR(_LockStatus="已锁仓",_LockStatus="解锁信息不完整"),"违规：锁仓期间禁止加仓",IF(G783="","计划可执行：建议股数见N列",IF(OR(G783&lt;=0,G783&lt;&gt;INT(G783),MOD(G783,100)&lt;&gt;0),"违规：实际股数须为100股整数倍",IF(G783&gt;N783,"违规：实际股数超过风险或金字塔上限",IF(AND(B783&gt;1,G783&gt;SUMIFS($G$2:$G$1001,$A$2:$A$1001,A783,$B$2:$B$1001,B783-1)),"违规：加仓股数须逐次不增加",IF(Q783&gt;F783,"违规：止损风险超过本次预算","通过")))))))))))))))</f>
        <v/>
      </c>
    </row>
    <row r="784" customFormat="false" ht="15" hidden="false" customHeight="false" outlineLevel="0" collapsed="false">
      <c r="A784" s="20"/>
      <c r="B784" s="21"/>
      <c r="C784" s="22"/>
      <c r="D784" s="23"/>
      <c r="E784" s="23"/>
      <c r="F784" s="23"/>
      <c r="G784" s="21"/>
      <c r="H784" s="24" t="str">
        <f aca="false">IF(OR(A784="",D784="",G784=""),"",D784*G784)</f>
        <v/>
      </c>
      <c r="I784" s="25" t="str">
        <f aca="false">IF(OR(A784="",B784=""),"",IFERROR(LOOKUP(2,1/(单次交易!$A$2:$A$201=A784),单次交易!$H$2:$H$201),0)+SUMIFS($G$2:$G$1001,$A$2:$A$1001,A784,$B$2:$B$1001,"&lt;"&amp;B784))</f>
        <v/>
      </c>
      <c r="J784" s="24" t="str">
        <f aca="false">IF(OR(A784="",B784=""),"",IFERROR(LOOKUP(2,1/(单次交易!$A$2:$A$201=A784),单次交易!$E$2:$E$201)*LOOKUP(2,1/(单次交易!$A$2:$A$201=A784),单次交易!$H$2:$H$201),0)+SUMIFS($H$2:$H$1001,$A$2:$A$1001,A784,$B$2:$B$1001,"&lt;"&amp;B784))</f>
        <v/>
      </c>
      <c r="K784" s="24" t="str">
        <f aca="false">IF(OR(E784="",I784="",J784=""),"",MAX(E784*I784-J784,0))</f>
        <v/>
      </c>
      <c r="L784" s="25" t="str">
        <f aca="false">IF(OR(D784="",E784="",F784="",D784&lt;=E784),"",FLOOR((F784+K784)/(D784-E784),100))</f>
        <v/>
      </c>
      <c r="M784" s="25" t="str">
        <f aca="false">IF(OR(A784="",B784="",L784=""),"",IF(B784=1,L784,IFERROR(SUMIFS($G$2:$G$1001,$A$2:$A$1001,A784,$B$2:$B$1001,B784-1),0)))</f>
        <v/>
      </c>
      <c r="N784" s="25" t="str">
        <f aca="false">IF(OR(L784="",M784=""),"",MIN(L784,M784))</f>
        <v/>
      </c>
      <c r="O784" s="25" t="str">
        <f aca="false">IF(OR(I784="",G784=""),"",I784+G784)</f>
        <v/>
      </c>
      <c r="P784" s="24" t="str">
        <f aca="false">IF(OR(O784="",O784=0),"",(J784+H784)/O784)</f>
        <v/>
      </c>
      <c r="Q784" s="24" t="str">
        <f aca="false">IF(OR(O784="",E784=""),"",MAX(J784+H784-E784*O784,0))</f>
        <v/>
      </c>
      <c r="R784" s="26" t="str">
        <f aca="false">IF(A784="","",IF(COUNTIF(_TradeIds,A784)=0,"违规：交易编号不存在",IF(OR(B784="",B784&lt;1,B784&gt;5,B784&lt;&gt;INT(B784)),"违规：加仓序号须为1到5的整数",IF(COUNTIFS($A$2:$A$1001,A784,$B$2:$B$1001,B784)&gt;1,"违规：同一交易的加仓序号重复",IF(OR(D784="",E784="",F784=""),"计划不完整：请填写加仓价、新止损价和风险预算",IF(OR(D784&lt;=0,E784&lt;=0,F784&lt;=0,D784&lt;=E784),"违规：加仓价必须高于新止损价，金额须大于0",IF(AND(B784&gt;1,COUNTIFS($A$2:$A$1001,A784,$B$2:$B$1001,B784-1,$G$2:$G$1001,"&gt;0")=0),"违规：须先完成上一次加仓",IF(AND(B784&gt;1,E784&lt;SUMIFS($E$2:$E$1001,$A$2:$A$1001,A784,$B$2:$B$1001,B784-1)),"违规：新止损价不得低于上一次",IF(AND(B784&gt;1,F784&gt;SUMIFS($F$2:$F$1001,$A$2:$A$1001,A784,$B$2:$B$1001,B784-1)),"违规：风险预算须逐次不增加",IF(OR(_LockStatus="已锁仓",_LockStatus="解锁信息不完整"),"违规：锁仓期间禁止加仓",IF(G784="","计划可执行：建议股数见N列",IF(OR(G784&lt;=0,G784&lt;&gt;INT(G784),MOD(G784,100)&lt;&gt;0),"违规：实际股数须为100股整数倍",IF(G784&gt;N784,"违规：实际股数超过风险或金字塔上限",IF(AND(B784&gt;1,G784&gt;SUMIFS($G$2:$G$1001,$A$2:$A$1001,A784,$B$2:$B$1001,B784-1)),"违规：加仓股数须逐次不增加",IF(Q784&gt;F784,"违规：止损风险超过本次预算","通过")))))))))))))))</f>
        <v/>
      </c>
    </row>
    <row r="785" customFormat="false" ht="15" hidden="false" customHeight="false" outlineLevel="0" collapsed="false">
      <c r="A785" s="20"/>
      <c r="B785" s="21"/>
      <c r="C785" s="22"/>
      <c r="D785" s="23"/>
      <c r="E785" s="23"/>
      <c r="F785" s="23"/>
      <c r="G785" s="21"/>
      <c r="H785" s="24" t="str">
        <f aca="false">IF(OR(A785="",D785="",G785=""),"",D785*G785)</f>
        <v/>
      </c>
      <c r="I785" s="25" t="str">
        <f aca="false">IF(OR(A785="",B785=""),"",IFERROR(LOOKUP(2,1/(单次交易!$A$2:$A$201=A785),单次交易!$H$2:$H$201),0)+SUMIFS($G$2:$G$1001,$A$2:$A$1001,A785,$B$2:$B$1001,"&lt;"&amp;B785))</f>
        <v/>
      </c>
      <c r="J785" s="24" t="str">
        <f aca="false">IF(OR(A785="",B785=""),"",IFERROR(LOOKUP(2,1/(单次交易!$A$2:$A$201=A785),单次交易!$E$2:$E$201)*LOOKUP(2,1/(单次交易!$A$2:$A$201=A785),单次交易!$H$2:$H$201),0)+SUMIFS($H$2:$H$1001,$A$2:$A$1001,A785,$B$2:$B$1001,"&lt;"&amp;B785))</f>
        <v/>
      </c>
      <c r="K785" s="24" t="str">
        <f aca="false">IF(OR(E785="",I785="",J785=""),"",MAX(E785*I785-J785,0))</f>
        <v/>
      </c>
      <c r="L785" s="25" t="str">
        <f aca="false">IF(OR(D785="",E785="",F785="",D785&lt;=E785),"",FLOOR((F785+K785)/(D785-E785),100))</f>
        <v/>
      </c>
      <c r="M785" s="25" t="str">
        <f aca="false">IF(OR(A785="",B785="",L785=""),"",IF(B785=1,L785,IFERROR(SUMIFS($G$2:$G$1001,$A$2:$A$1001,A785,$B$2:$B$1001,B785-1),0)))</f>
        <v/>
      </c>
      <c r="N785" s="25" t="str">
        <f aca="false">IF(OR(L785="",M785=""),"",MIN(L785,M785))</f>
        <v/>
      </c>
      <c r="O785" s="25" t="str">
        <f aca="false">IF(OR(I785="",G785=""),"",I785+G785)</f>
        <v/>
      </c>
      <c r="P785" s="24" t="str">
        <f aca="false">IF(OR(O785="",O785=0),"",(J785+H785)/O785)</f>
        <v/>
      </c>
      <c r="Q785" s="24" t="str">
        <f aca="false">IF(OR(O785="",E785=""),"",MAX(J785+H785-E785*O785,0))</f>
        <v/>
      </c>
      <c r="R785" s="26" t="str">
        <f aca="false">IF(A785="","",IF(COUNTIF(_TradeIds,A785)=0,"违规：交易编号不存在",IF(OR(B785="",B785&lt;1,B785&gt;5,B785&lt;&gt;INT(B785)),"违规：加仓序号须为1到5的整数",IF(COUNTIFS($A$2:$A$1001,A785,$B$2:$B$1001,B785)&gt;1,"违规：同一交易的加仓序号重复",IF(OR(D785="",E785="",F785=""),"计划不完整：请填写加仓价、新止损价和风险预算",IF(OR(D785&lt;=0,E785&lt;=0,F785&lt;=0,D785&lt;=E785),"违规：加仓价必须高于新止损价，金额须大于0",IF(AND(B785&gt;1,COUNTIFS($A$2:$A$1001,A785,$B$2:$B$1001,B785-1,$G$2:$G$1001,"&gt;0")=0),"违规：须先完成上一次加仓",IF(AND(B785&gt;1,E785&lt;SUMIFS($E$2:$E$1001,$A$2:$A$1001,A785,$B$2:$B$1001,B785-1)),"违规：新止损价不得低于上一次",IF(AND(B785&gt;1,F785&gt;SUMIFS($F$2:$F$1001,$A$2:$A$1001,A785,$B$2:$B$1001,B785-1)),"违规：风险预算须逐次不增加",IF(OR(_LockStatus="已锁仓",_LockStatus="解锁信息不完整"),"违规：锁仓期间禁止加仓",IF(G785="","计划可执行：建议股数见N列",IF(OR(G785&lt;=0,G785&lt;&gt;INT(G785),MOD(G785,100)&lt;&gt;0),"违规：实际股数须为100股整数倍",IF(G785&gt;N785,"违规：实际股数超过风险或金字塔上限",IF(AND(B785&gt;1,G785&gt;SUMIFS($G$2:$G$1001,$A$2:$A$1001,A785,$B$2:$B$1001,B785-1)),"违规：加仓股数须逐次不增加",IF(Q785&gt;F785,"违规：止损风险超过本次预算","通过")))))))))))))))</f>
        <v/>
      </c>
    </row>
    <row r="786" customFormat="false" ht="15" hidden="false" customHeight="false" outlineLevel="0" collapsed="false">
      <c r="A786" s="20"/>
      <c r="B786" s="21"/>
      <c r="C786" s="22"/>
      <c r="D786" s="23"/>
      <c r="E786" s="23"/>
      <c r="F786" s="23"/>
      <c r="G786" s="21"/>
      <c r="H786" s="24" t="str">
        <f aca="false">IF(OR(A786="",D786="",G786=""),"",D786*G786)</f>
        <v/>
      </c>
      <c r="I786" s="25" t="str">
        <f aca="false">IF(OR(A786="",B786=""),"",IFERROR(LOOKUP(2,1/(单次交易!$A$2:$A$201=A786),单次交易!$H$2:$H$201),0)+SUMIFS($G$2:$G$1001,$A$2:$A$1001,A786,$B$2:$B$1001,"&lt;"&amp;B786))</f>
        <v/>
      </c>
      <c r="J786" s="24" t="str">
        <f aca="false">IF(OR(A786="",B786=""),"",IFERROR(LOOKUP(2,1/(单次交易!$A$2:$A$201=A786),单次交易!$E$2:$E$201)*LOOKUP(2,1/(单次交易!$A$2:$A$201=A786),单次交易!$H$2:$H$201),0)+SUMIFS($H$2:$H$1001,$A$2:$A$1001,A786,$B$2:$B$1001,"&lt;"&amp;B786))</f>
        <v/>
      </c>
      <c r="K786" s="24" t="str">
        <f aca="false">IF(OR(E786="",I786="",J786=""),"",MAX(E786*I786-J786,0))</f>
        <v/>
      </c>
      <c r="L786" s="25" t="str">
        <f aca="false">IF(OR(D786="",E786="",F786="",D786&lt;=E786),"",FLOOR((F786+K786)/(D786-E786),100))</f>
        <v/>
      </c>
      <c r="M786" s="25" t="str">
        <f aca="false">IF(OR(A786="",B786="",L786=""),"",IF(B786=1,L786,IFERROR(SUMIFS($G$2:$G$1001,$A$2:$A$1001,A786,$B$2:$B$1001,B786-1),0)))</f>
        <v/>
      </c>
      <c r="N786" s="25" t="str">
        <f aca="false">IF(OR(L786="",M786=""),"",MIN(L786,M786))</f>
        <v/>
      </c>
      <c r="O786" s="25" t="str">
        <f aca="false">IF(OR(I786="",G786=""),"",I786+G786)</f>
        <v/>
      </c>
      <c r="P786" s="24" t="str">
        <f aca="false">IF(OR(O786="",O786=0),"",(J786+H786)/O786)</f>
        <v/>
      </c>
      <c r="Q786" s="24" t="str">
        <f aca="false">IF(OR(O786="",E786=""),"",MAX(J786+H786-E786*O786,0))</f>
        <v/>
      </c>
      <c r="R786" s="26" t="str">
        <f aca="false">IF(A786="","",IF(COUNTIF(_TradeIds,A786)=0,"违规：交易编号不存在",IF(OR(B786="",B786&lt;1,B786&gt;5,B786&lt;&gt;INT(B786)),"违规：加仓序号须为1到5的整数",IF(COUNTIFS($A$2:$A$1001,A786,$B$2:$B$1001,B786)&gt;1,"违规：同一交易的加仓序号重复",IF(OR(D786="",E786="",F786=""),"计划不完整：请填写加仓价、新止损价和风险预算",IF(OR(D786&lt;=0,E786&lt;=0,F786&lt;=0,D786&lt;=E786),"违规：加仓价必须高于新止损价，金额须大于0",IF(AND(B786&gt;1,COUNTIFS($A$2:$A$1001,A786,$B$2:$B$1001,B786-1,$G$2:$G$1001,"&gt;0")=0),"违规：须先完成上一次加仓",IF(AND(B786&gt;1,E786&lt;SUMIFS($E$2:$E$1001,$A$2:$A$1001,A786,$B$2:$B$1001,B786-1)),"违规：新止损价不得低于上一次",IF(AND(B786&gt;1,F786&gt;SUMIFS($F$2:$F$1001,$A$2:$A$1001,A786,$B$2:$B$1001,B786-1)),"违规：风险预算须逐次不增加",IF(OR(_LockStatus="已锁仓",_LockStatus="解锁信息不完整"),"违规：锁仓期间禁止加仓",IF(G786="","计划可执行：建议股数见N列",IF(OR(G786&lt;=0,G786&lt;&gt;INT(G786),MOD(G786,100)&lt;&gt;0),"违规：实际股数须为100股整数倍",IF(G786&gt;N786,"违规：实际股数超过风险或金字塔上限",IF(AND(B786&gt;1,G786&gt;SUMIFS($G$2:$G$1001,$A$2:$A$1001,A786,$B$2:$B$1001,B786-1)),"违规：加仓股数须逐次不增加",IF(Q786&gt;F786,"违规：止损风险超过本次预算","通过")))))))))))))))</f>
        <v/>
      </c>
    </row>
    <row r="787" customFormat="false" ht="15" hidden="false" customHeight="false" outlineLevel="0" collapsed="false">
      <c r="A787" s="20"/>
      <c r="B787" s="21"/>
      <c r="C787" s="22"/>
      <c r="D787" s="23"/>
      <c r="E787" s="23"/>
      <c r="F787" s="23"/>
      <c r="G787" s="21"/>
      <c r="H787" s="24" t="str">
        <f aca="false">IF(OR(A787="",D787="",G787=""),"",D787*G787)</f>
        <v/>
      </c>
      <c r="I787" s="25" t="str">
        <f aca="false">IF(OR(A787="",B787=""),"",IFERROR(LOOKUP(2,1/(单次交易!$A$2:$A$201=A787),单次交易!$H$2:$H$201),0)+SUMIFS($G$2:$G$1001,$A$2:$A$1001,A787,$B$2:$B$1001,"&lt;"&amp;B787))</f>
        <v/>
      </c>
      <c r="J787" s="24" t="str">
        <f aca="false">IF(OR(A787="",B787=""),"",IFERROR(LOOKUP(2,1/(单次交易!$A$2:$A$201=A787),单次交易!$E$2:$E$201)*LOOKUP(2,1/(单次交易!$A$2:$A$201=A787),单次交易!$H$2:$H$201),0)+SUMIFS($H$2:$H$1001,$A$2:$A$1001,A787,$B$2:$B$1001,"&lt;"&amp;B787))</f>
        <v/>
      </c>
      <c r="K787" s="24" t="str">
        <f aca="false">IF(OR(E787="",I787="",J787=""),"",MAX(E787*I787-J787,0))</f>
        <v/>
      </c>
      <c r="L787" s="25" t="str">
        <f aca="false">IF(OR(D787="",E787="",F787="",D787&lt;=E787),"",FLOOR((F787+K787)/(D787-E787),100))</f>
        <v/>
      </c>
      <c r="M787" s="25" t="str">
        <f aca="false">IF(OR(A787="",B787="",L787=""),"",IF(B787=1,L787,IFERROR(SUMIFS($G$2:$G$1001,$A$2:$A$1001,A787,$B$2:$B$1001,B787-1),0)))</f>
        <v/>
      </c>
      <c r="N787" s="25" t="str">
        <f aca="false">IF(OR(L787="",M787=""),"",MIN(L787,M787))</f>
        <v/>
      </c>
      <c r="O787" s="25" t="str">
        <f aca="false">IF(OR(I787="",G787=""),"",I787+G787)</f>
        <v/>
      </c>
      <c r="P787" s="24" t="str">
        <f aca="false">IF(OR(O787="",O787=0),"",(J787+H787)/O787)</f>
        <v/>
      </c>
      <c r="Q787" s="24" t="str">
        <f aca="false">IF(OR(O787="",E787=""),"",MAX(J787+H787-E787*O787,0))</f>
        <v/>
      </c>
      <c r="R787" s="26" t="str">
        <f aca="false">IF(A787="","",IF(COUNTIF(_TradeIds,A787)=0,"违规：交易编号不存在",IF(OR(B787="",B787&lt;1,B787&gt;5,B787&lt;&gt;INT(B787)),"违规：加仓序号须为1到5的整数",IF(COUNTIFS($A$2:$A$1001,A787,$B$2:$B$1001,B787)&gt;1,"违规：同一交易的加仓序号重复",IF(OR(D787="",E787="",F787=""),"计划不完整：请填写加仓价、新止损价和风险预算",IF(OR(D787&lt;=0,E787&lt;=0,F787&lt;=0,D787&lt;=E787),"违规：加仓价必须高于新止损价，金额须大于0",IF(AND(B787&gt;1,COUNTIFS($A$2:$A$1001,A787,$B$2:$B$1001,B787-1,$G$2:$G$1001,"&gt;0")=0),"违规：须先完成上一次加仓",IF(AND(B787&gt;1,E787&lt;SUMIFS($E$2:$E$1001,$A$2:$A$1001,A787,$B$2:$B$1001,B787-1)),"违规：新止损价不得低于上一次",IF(AND(B787&gt;1,F787&gt;SUMIFS($F$2:$F$1001,$A$2:$A$1001,A787,$B$2:$B$1001,B787-1)),"违规：风险预算须逐次不增加",IF(OR(_LockStatus="已锁仓",_LockStatus="解锁信息不完整"),"违规：锁仓期间禁止加仓",IF(G787="","计划可执行：建议股数见N列",IF(OR(G787&lt;=0,G787&lt;&gt;INT(G787),MOD(G787,100)&lt;&gt;0),"违规：实际股数须为100股整数倍",IF(G787&gt;N787,"违规：实际股数超过风险或金字塔上限",IF(AND(B787&gt;1,G787&gt;SUMIFS($G$2:$G$1001,$A$2:$A$1001,A787,$B$2:$B$1001,B787-1)),"违规：加仓股数须逐次不增加",IF(Q787&gt;F787,"违规：止损风险超过本次预算","通过")))))))))))))))</f>
        <v/>
      </c>
    </row>
    <row r="788" customFormat="false" ht="15" hidden="false" customHeight="false" outlineLevel="0" collapsed="false">
      <c r="A788" s="20"/>
      <c r="B788" s="21"/>
      <c r="C788" s="22"/>
      <c r="D788" s="23"/>
      <c r="E788" s="23"/>
      <c r="F788" s="23"/>
      <c r="G788" s="21"/>
      <c r="H788" s="24" t="str">
        <f aca="false">IF(OR(A788="",D788="",G788=""),"",D788*G788)</f>
        <v/>
      </c>
      <c r="I788" s="25" t="str">
        <f aca="false">IF(OR(A788="",B788=""),"",IFERROR(LOOKUP(2,1/(单次交易!$A$2:$A$201=A788),单次交易!$H$2:$H$201),0)+SUMIFS($G$2:$G$1001,$A$2:$A$1001,A788,$B$2:$B$1001,"&lt;"&amp;B788))</f>
        <v/>
      </c>
      <c r="J788" s="24" t="str">
        <f aca="false">IF(OR(A788="",B788=""),"",IFERROR(LOOKUP(2,1/(单次交易!$A$2:$A$201=A788),单次交易!$E$2:$E$201)*LOOKUP(2,1/(单次交易!$A$2:$A$201=A788),单次交易!$H$2:$H$201),0)+SUMIFS($H$2:$H$1001,$A$2:$A$1001,A788,$B$2:$B$1001,"&lt;"&amp;B788))</f>
        <v/>
      </c>
      <c r="K788" s="24" t="str">
        <f aca="false">IF(OR(E788="",I788="",J788=""),"",MAX(E788*I788-J788,0))</f>
        <v/>
      </c>
      <c r="L788" s="25" t="str">
        <f aca="false">IF(OR(D788="",E788="",F788="",D788&lt;=E788),"",FLOOR((F788+K788)/(D788-E788),100))</f>
        <v/>
      </c>
      <c r="M788" s="25" t="str">
        <f aca="false">IF(OR(A788="",B788="",L788=""),"",IF(B788=1,L788,IFERROR(SUMIFS($G$2:$G$1001,$A$2:$A$1001,A788,$B$2:$B$1001,B788-1),0)))</f>
        <v/>
      </c>
      <c r="N788" s="25" t="str">
        <f aca="false">IF(OR(L788="",M788=""),"",MIN(L788,M788))</f>
        <v/>
      </c>
      <c r="O788" s="25" t="str">
        <f aca="false">IF(OR(I788="",G788=""),"",I788+G788)</f>
        <v/>
      </c>
      <c r="P788" s="24" t="str">
        <f aca="false">IF(OR(O788="",O788=0),"",(J788+H788)/O788)</f>
        <v/>
      </c>
      <c r="Q788" s="24" t="str">
        <f aca="false">IF(OR(O788="",E788=""),"",MAX(J788+H788-E788*O788,0))</f>
        <v/>
      </c>
      <c r="R788" s="26" t="str">
        <f aca="false">IF(A788="","",IF(COUNTIF(_TradeIds,A788)=0,"违规：交易编号不存在",IF(OR(B788="",B788&lt;1,B788&gt;5,B788&lt;&gt;INT(B788)),"违规：加仓序号须为1到5的整数",IF(COUNTIFS($A$2:$A$1001,A788,$B$2:$B$1001,B788)&gt;1,"违规：同一交易的加仓序号重复",IF(OR(D788="",E788="",F788=""),"计划不完整：请填写加仓价、新止损价和风险预算",IF(OR(D788&lt;=0,E788&lt;=0,F788&lt;=0,D788&lt;=E788),"违规：加仓价必须高于新止损价，金额须大于0",IF(AND(B788&gt;1,COUNTIFS($A$2:$A$1001,A788,$B$2:$B$1001,B788-1,$G$2:$G$1001,"&gt;0")=0),"违规：须先完成上一次加仓",IF(AND(B788&gt;1,E788&lt;SUMIFS($E$2:$E$1001,$A$2:$A$1001,A788,$B$2:$B$1001,B788-1)),"违规：新止损价不得低于上一次",IF(AND(B788&gt;1,F788&gt;SUMIFS($F$2:$F$1001,$A$2:$A$1001,A788,$B$2:$B$1001,B788-1)),"违规：风险预算须逐次不增加",IF(OR(_LockStatus="已锁仓",_LockStatus="解锁信息不完整"),"违规：锁仓期间禁止加仓",IF(G788="","计划可执行：建议股数见N列",IF(OR(G788&lt;=0,G788&lt;&gt;INT(G788),MOD(G788,100)&lt;&gt;0),"违规：实际股数须为100股整数倍",IF(G788&gt;N788,"违规：实际股数超过风险或金字塔上限",IF(AND(B788&gt;1,G788&gt;SUMIFS($G$2:$G$1001,$A$2:$A$1001,A788,$B$2:$B$1001,B788-1)),"违规：加仓股数须逐次不增加",IF(Q788&gt;F788,"违规：止损风险超过本次预算","通过")))))))))))))))</f>
        <v/>
      </c>
    </row>
    <row r="789" customFormat="false" ht="15" hidden="false" customHeight="false" outlineLevel="0" collapsed="false">
      <c r="A789" s="20"/>
      <c r="B789" s="21"/>
      <c r="C789" s="22"/>
      <c r="D789" s="23"/>
      <c r="E789" s="23"/>
      <c r="F789" s="23"/>
      <c r="G789" s="21"/>
      <c r="H789" s="24" t="str">
        <f aca="false">IF(OR(A789="",D789="",G789=""),"",D789*G789)</f>
        <v/>
      </c>
      <c r="I789" s="25" t="str">
        <f aca="false">IF(OR(A789="",B789=""),"",IFERROR(LOOKUP(2,1/(单次交易!$A$2:$A$201=A789),单次交易!$H$2:$H$201),0)+SUMIFS($G$2:$G$1001,$A$2:$A$1001,A789,$B$2:$B$1001,"&lt;"&amp;B789))</f>
        <v/>
      </c>
      <c r="J789" s="24" t="str">
        <f aca="false">IF(OR(A789="",B789=""),"",IFERROR(LOOKUP(2,1/(单次交易!$A$2:$A$201=A789),单次交易!$E$2:$E$201)*LOOKUP(2,1/(单次交易!$A$2:$A$201=A789),单次交易!$H$2:$H$201),0)+SUMIFS($H$2:$H$1001,$A$2:$A$1001,A789,$B$2:$B$1001,"&lt;"&amp;B789))</f>
        <v/>
      </c>
      <c r="K789" s="24" t="str">
        <f aca="false">IF(OR(E789="",I789="",J789=""),"",MAX(E789*I789-J789,0))</f>
        <v/>
      </c>
      <c r="L789" s="25" t="str">
        <f aca="false">IF(OR(D789="",E789="",F789="",D789&lt;=E789),"",FLOOR((F789+K789)/(D789-E789),100))</f>
        <v/>
      </c>
      <c r="M789" s="25" t="str">
        <f aca="false">IF(OR(A789="",B789="",L789=""),"",IF(B789=1,L789,IFERROR(SUMIFS($G$2:$G$1001,$A$2:$A$1001,A789,$B$2:$B$1001,B789-1),0)))</f>
        <v/>
      </c>
      <c r="N789" s="25" t="str">
        <f aca="false">IF(OR(L789="",M789=""),"",MIN(L789,M789))</f>
        <v/>
      </c>
      <c r="O789" s="25" t="str">
        <f aca="false">IF(OR(I789="",G789=""),"",I789+G789)</f>
        <v/>
      </c>
      <c r="P789" s="24" t="str">
        <f aca="false">IF(OR(O789="",O789=0),"",(J789+H789)/O789)</f>
        <v/>
      </c>
      <c r="Q789" s="24" t="str">
        <f aca="false">IF(OR(O789="",E789=""),"",MAX(J789+H789-E789*O789,0))</f>
        <v/>
      </c>
      <c r="R789" s="26" t="str">
        <f aca="false">IF(A789="","",IF(COUNTIF(_TradeIds,A789)=0,"违规：交易编号不存在",IF(OR(B789="",B789&lt;1,B789&gt;5,B789&lt;&gt;INT(B789)),"违规：加仓序号须为1到5的整数",IF(COUNTIFS($A$2:$A$1001,A789,$B$2:$B$1001,B789)&gt;1,"违规：同一交易的加仓序号重复",IF(OR(D789="",E789="",F789=""),"计划不完整：请填写加仓价、新止损价和风险预算",IF(OR(D789&lt;=0,E789&lt;=0,F789&lt;=0,D789&lt;=E789),"违规：加仓价必须高于新止损价，金额须大于0",IF(AND(B789&gt;1,COUNTIFS($A$2:$A$1001,A789,$B$2:$B$1001,B789-1,$G$2:$G$1001,"&gt;0")=0),"违规：须先完成上一次加仓",IF(AND(B789&gt;1,E789&lt;SUMIFS($E$2:$E$1001,$A$2:$A$1001,A789,$B$2:$B$1001,B789-1)),"违规：新止损价不得低于上一次",IF(AND(B789&gt;1,F789&gt;SUMIFS($F$2:$F$1001,$A$2:$A$1001,A789,$B$2:$B$1001,B789-1)),"违规：风险预算须逐次不增加",IF(OR(_LockStatus="已锁仓",_LockStatus="解锁信息不完整"),"违规：锁仓期间禁止加仓",IF(G789="","计划可执行：建议股数见N列",IF(OR(G789&lt;=0,G789&lt;&gt;INT(G789),MOD(G789,100)&lt;&gt;0),"违规：实际股数须为100股整数倍",IF(G789&gt;N789,"违规：实际股数超过风险或金字塔上限",IF(AND(B789&gt;1,G789&gt;SUMIFS($G$2:$G$1001,$A$2:$A$1001,A789,$B$2:$B$1001,B789-1)),"违规：加仓股数须逐次不增加",IF(Q789&gt;F789,"违规：止损风险超过本次预算","通过")))))))))))))))</f>
        <v/>
      </c>
    </row>
    <row r="790" customFormat="false" ht="15" hidden="false" customHeight="false" outlineLevel="0" collapsed="false">
      <c r="A790" s="20"/>
      <c r="B790" s="21"/>
      <c r="C790" s="22"/>
      <c r="D790" s="23"/>
      <c r="E790" s="23"/>
      <c r="F790" s="23"/>
      <c r="G790" s="21"/>
      <c r="H790" s="24" t="str">
        <f aca="false">IF(OR(A790="",D790="",G790=""),"",D790*G790)</f>
        <v/>
      </c>
      <c r="I790" s="25" t="str">
        <f aca="false">IF(OR(A790="",B790=""),"",IFERROR(LOOKUP(2,1/(单次交易!$A$2:$A$201=A790),单次交易!$H$2:$H$201),0)+SUMIFS($G$2:$G$1001,$A$2:$A$1001,A790,$B$2:$B$1001,"&lt;"&amp;B790))</f>
        <v/>
      </c>
      <c r="J790" s="24" t="str">
        <f aca="false">IF(OR(A790="",B790=""),"",IFERROR(LOOKUP(2,1/(单次交易!$A$2:$A$201=A790),单次交易!$E$2:$E$201)*LOOKUP(2,1/(单次交易!$A$2:$A$201=A790),单次交易!$H$2:$H$201),0)+SUMIFS($H$2:$H$1001,$A$2:$A$1001,A790,$B$2:$B$1001,"&lt;"&amp;B790))</f>
        <v/>
      </c>
      <c r="K790" s="24" t="str">
        <f aca="false">IF(OR(E790="",I790="",J790=""),"",MAX(E790*I790-J790,0))</f>
        <v/>
      </c>
      <c r="L790" s="25" t="str">
        <f aca="false">IF(OR(D790="",E790="",F790="",D790&lt;=E790),"",FLOOR((F790+K790)/(D790-E790),100))</f>
        <v/>
      </c>
      <c r="M790" s="25" t="str">
        <f aca="false">IF(OR(A790="",B790="",L790=""),"",IF(B790=1,L790,IFERROR(SUMIFS($G$2:$G$1001,$A$2:$A$1001,A790,$B$2:$B$1001,B790-1),0)))</f>
        <v/>
      </c>
      <c r="N790" s="25" t="str">
        <f aca="false">IF(OR(L790="",M790=""),"",MIN(L790,M790))</f>
        <v/>
      </c>
      <c r="O790" s="25" t="str">
        <f aca="false">IF(OR(I790="",G790=""),"",I790+G790)</f>
        <v/>
      </c>
      <c r="P790" s="24" t="str">
        <f aca="false">IF(OR(O790="",O790=0),"",(J790+H790)/O790)</f>
        <v/>
      </c>
      <c r="Q790" s="24" t="str">
        <f aca="false">IF(OR(O790="",E790=""),"",MAX(J790+H790-E790*O790,0))</f>
        <v/>
      </c>
      <c r="R790" s="26" t="str">
        <f aca="false">IF(A790="","",IF(COUNTIF(_TradeIds,A790)=0,"违规：交易编号不存在",IF(OR(B790="",B790&lt;1,B790&gt;5,B790&lt;&gt;INT(B790)),"违规：加仓序号须为1到5的整数",IF(COUNTIFS($A$2:$A$1001,A790,$B$2:$B$1001,B790)&gt;1,"违规：同一交易的加仓序号重复",IF(OR(D790="",E790="",F790=""),"计划不完整：请填写加仓价、新止损价和风险预算",IF(OR(D790&lt;=0,E790&lt;=0,F790&lt;=0,D790&lt;=E790),"违规：加仓价必须高于新止损价，金额须大于0",IF(AND(B790&gt;1,COUNTIFS($A$2:$A$1001,A790,$B$2:$B$1001,B790-1,$G$2:$G$1001,"&gt;0")=0),"违规：须先完成上一次加仓",IF(AND(B790&gt;1,E790&lt;SUMIFS($E$2:$E$1001,$A$2:$A$1001,A790,$B$2:$B$1001,B790-1)),"违规：新止损价不得低于上一次",IF(AND(B790&gt;1,F790&gt;SUMIFS($F$2:$F$1001,$A$2:$A$1001,A790,$B$2:$B$1001,B790-1)),"违规：风险预算须逐次不增加",IF(OR(_LockStatus="已锁仓",_LockStatus="解锁信息不完整"),"违规：锁仓期间禁止加仓",IF(G790="","计划可执行：建议股数见N列",IF(OR(G790&lt;=0,G790&lt;&gt;INT(G790),MOD(G790,100)&lt;&gt;0),"违规：实际股数须为100股整数倍",IF(G790&gt;N790,"违规：实际股数超过风险或金字塔上限",IF(AND(B790&gt;1,G790&gt;SUMIFS($G$2:$G$1001,$A$2:$A$1001,A790,$B$2:$B$1001,B790-1)),"违规：加仓股数须逐次不增加",IF(Q790&gt;F790,"违规：止损风险超过本次预算","通过")))))))))))))))</f>
        <v/>
      </c>
    </row>
    <row r="791" customFormat="false" ht="15" hidden="false" customHeight="false" outlineLevel="0" collapsed="false">
      <c r="A791" s="20"/>
      <c r="B791" s="21"/>
      <c r="C791" s="22"/>
      <c r="D791" s="23"/>
      <c r="E791" s="23"/>
      <c r="F791" s="23"/>
      <c r="G791" s="21"/>
      <c r="H791" s="24" t="str">
        <f aca="false">IF(OR(A791="",D791="",G791=""),"",D791*G791)</f>
        <v/>
      </c>
      <c r="I791" s="25" t="str">
        <f aca="false">IF(OR(A791="",B791=""),"",IFERROR(LOOKUP(2,1/(单次交易!$A$2:$A$201=A791),单次交易!$H$2:$H$201),0)+SUMIFS($G$2:$G$1001,$A$2:$A$1001,A791,$B$2:$B$1001,"&lt;"&amp;B791))</f>
        <v/>
      </c>
      <c r="J791" s="24" t="str">
        <f aca="false">IF(OR(A791="",B791=""),"",IFERROR(LOOKUP(2,1/(单次交易!$A$2:$A$201=A791),单次交易!$E$2:$E$201)*LOOKUP(2,1/(单次交易!$A$2:$A$201=A791),单次交易!$H$2:$H$201),0)+SUMIFS($H$2:$H$1001,$A$2:$A$1001,A791,$B$2:$B$1001,"&lt;"&amp;B791))</f>
        <v/>
      </c>
      <c r="K791" s="24" t="str">
        <f aca="false">IF(OR(E791="",I791="",J791=""),"",MAX(E791*I791-J791,0))</f>
        <v/>
      </c>
      <c r="L791" s="25" t="str">
        <f aca="false">IF(OR(D791="",E791="",F791="",D791&lt;=E791),"",FLOOR((F791+K791)/(D791-E791),100))</f>
        <v/>
      </c>
      <c r="M791" s="25" t="str">
        <f aca="false">IF(OR(A791="",B791="",L791=""),"",IF(B791=1,L791,IFERROR(SUMIFS($G$2:$G$1001,$A$2:$A$1001,A791,$B$2:$B$1001,B791-1),0)))</f>
        <v/>
      </c>
      <c r="N791" s="25" t="str">
        <f aca="false">IF(OR(L791="",M791=""),"",MIN(L791,M791))</f>
        <v/>
      </c>
      <c r="O791" s="25" t="str">
        <f aca="false">IF(OR(I791="",G791=""),"",I791+G791)</f>
        <v/>
      </c>
      <c r="P791" s="24" t="str">
        <f aca="false">IF(OR(O791="",O791=0),"",(J791+H791)/O791)</f>
        <v/>
      </c>
      <c r="Q791" s="24" t="str">
        <f aca="false">IF(OR(O791="",E791=""),"",MAX(J791+H791-E791*O791,0))</f>
        <v/>
      </c>
      <c r="R791" s="26" t="str">
        <f aca="false">IF(A791="","",IF(COUNTIF(_TradeIds,A791)=0,"违规：交易编号不存在",IF(OR(B791="",B791&lt;1,B791&gt;5,B791&lt;&gt;INT(B791)),"违规：加仓序号须为1到5的整数",IF(COUNTIFS($A$2:$A$1001,A791,$B$2:$B$1001,B791)&gt;1,"违规：同一交易的加仓序号重复",IF(OR(D791="",E791="",F791=""),"计划不完整：请填写加仓价、新止损价和风险预算",IF(OR(D791&lt;=0,E791&lt;=0,F791&lt;=0,D791&lt;=E791),"违规：加仓价必须高于新止损价，金额须大于0",IF(AND(B791&gt;1,COUNTIFS($A$2:$A$1001,A791,$B$2:$B$1001,B791-1,$G$2:$G$1001,"&gt;0")=0),"违规：须先完成上一次加仓",IF(AND(B791&gt;1,E791&lt;SUMIFS($E$2:$E$1001,$A$2:$A$1001,A791,$B$2:$B$1001,B791-1)),"违规：新止损价不得低于上一次",IF(AND(B791&gt;1,F791&gt;SUMIFS($F$2:$F$1001,$A$2:$A$1001,A791,$B$2:$B$1001,B791-1)),"违规：风险预算须逐次不增加",IF(OR(_LockStatus="已锁仓",_LockStatus="解锁信息不完整"),"违规：锁仓期间禁止加仓",IF(G791="","计划可执行：建议股数见N列",IF(OR(G791&lt;=0,G791&lt;&gt;INT(G791),MOD(G791,100)&lt;&gt;0),"违规：实际股数须为100股整数倍",IF(G791&gt;N791,"违规：实际股数超过风险或金字塔上限",IF(AND(B791&gt;1,G791&gt;SUMIFS($G$2:$G$1001,$A$2:$A$1001,A791,$B$2:$B$1001,B791-1)),"违规：加仓股数须逐次不增加",IF(Q791&gt;F791,"违规：止损风险超过本次预算","通过")))))))))))))))</f>
        <v/>
      </c>
    </row>
    <row r="792" customFormat="false" ht="15" hidden="false" customHeight="false" outlineLevel="0" collapsed="false">
      <c r="A792" s="20"/>
      <c r="B792" s="21"/>
      <c r="C792" s="22"/>
      <c r="D792" s="23"/>
      <c r="E792" s="23"/>
      <c r="F792" s="23"/>
      <c r="G792" s="21"/>
      <c r="H792" s="24" t="str">
        <f aca="false">IF(OR(A792="",D792="",G792=""),"",D792*G792)</f>
        <v/>
      </c>
      <c r="I792" s="25" t="str">
        <f aca="false">IF(OR(A792="",B792=""),"",IFERROR(LOOKUP(2,1/(单次交易!$A$2:$A$201=A792),单次交易!$H$2:$H$201),0)+SUMIFS($G$2:$G$1001,$A$2:$A$1001,A792,$B$2:$B$1001,"&lt;"&amp;B792))</f>
        <v/>
      </c>
      <c r="J792" s="24" t="str">
        <f aca="false">IF(OR(A792="",B792=""),"",IFERROR(LOOKUP(2,1/(单次交易!$A$2:$A$201=A792),单次交易!$E$2:$E$201)*LOOKUP(2,1/(单次交易!$A$2:$A$201=A792),单次交易!$H$2:$H$201),0)+SUMIFS($H$2:$H$1001,$A$2:$A$1001,A792,$B$2:$B$1001,"&lt;"&amp;B792))</f>
        <v/>
      </c>
      <c r="K792" s="24" t="str">
        <f aca="false">IF(OR(E792="",I792="",J792=""),"",MAX(E792*I792-J792,0))</f>
        <v/>
      </c>
      <c r="L792" s="25" t="str">
        <f aca="false">IF(OR(D792="",E792="",F792="",D792&lt;=E792),"",FLOOR((F792+K792)/(D792-E792),100))</f>
        <v/>
      </c>
      <c r="M792" s="25" t="str">
        <f aca="false">IF(OR(A792="",B792="",L792=""),"",IF(B792=1,L792,IFERROR(SUMIFS($G$2:$G$1001,$A$2:$A$1001,A792,$B$2:$B$1001,B792-1),0)))</f>
        <v/>
      </c>
      <c r="N792" s="25" t="str">
        <f aca="false">IF(OR(L792="",M792=""),"",MIN(L792,M792))</f>
        <v/>
      </c>
      <c r="O792" s="25" t="str">
        <f aca="false">IF(OR(I792="",G792=""),"",I792+G792)</f>
        <v/>
      </c>
      <c r="P792" s="24" t="str">
        <f aca="false">IF(OR(O792="",O792=0),"",(J792+H792)/O792)</f>
        <v/>
      </c>
      <c r="Q792" s="24" t="str">
        <f aca="false">IF(OR(O792="",E792=""),"",MAX(J792+H792-E792*O792,0))</f>
        <v/>
      </c>
      <c r="R792" s="26" t="str">
        <f aca="false">IF(A792="","",IF(COUNTIF(_TradeIds,A792)=0,"违规：交易编号不存在",IF(OR(B792="",B792&lt;1,B792&gt;5,B792&lt;&gt;INT(B792)),"违规：加仓序号须为1到5的整数",IF(COUNTIFS($A$2:$A$1001,A792,$B$2:$B$1001,B792)&gt;1,"违规：同一交易的加仓序号重复",IF(OR(D792="",E792="",F792=""),"计划不完整：请填写加仓价、新止损价和风险预算",IF(OR(D792&lt;=0,E792&lt;=0,F792&lt;=0,D792&lt;=E792),"违规：加仓价必须高于新止损价，金额须大于0",IF(AND(B792&gt;1,COUNTIFS($A$2:$A$1001,A792,$B$2:$B$1001,B792-1,$G$2:$G$1001,"&gt;0")=0),"违规：须先完成上一次加仓",IF(AND(B792&gt;1,E792&lt;SUMIFS($E$2:$E$1001,$A$2:$A$1001,A792,$B$2:$B$1001,B792-1)),"违规：新止损价不得低于上一次",IF(AND(B792&gt;1,F792&gt;SUMIFS($F$2:$F$1001,$A$2:$A$1001,A792,$B$2:$B$1001,B792-1)),"违规：风险预算须逐次不增加",IF(OR(_LockStatus="已锁仓",_LockStatus="解锁信息不完整"),"违规：锁仓期间禁止加仓",IF(G792="","计划可执行：建议股数见N列",IF(OR(G792&lt;=0,G792&lt;&gt;INT(G792),MOD(G792,100)&lt;&gt;0),"违规：实际股数须为100股整数倍",IF(G792&gt;N792,"违规：实际股数超过风险或金字塔上限",IF(AND(B792&gt;1,G792&gt;SUMIFS($G$2:$G$1001,$A$2:$A$1001,A792,$B$2:$B$1001,B792-1)),"违规：加仓股数须逐次不增加",IF(Q792&gt;F792,"违规：止损风险超过本次预算","通过")))))))))))))))</f>
        <v/>
      </c>
    </row>
    <row r="793" customFormat="false" ht="15" hidden="false" customHeight="false" outlineLevel="0" collapsed="false">
      <c r="A793" s="20"/>
      <c r="B793" s="21"/>
      <c r="C793" s="22"/>
      <c r="D793" s="23"/>
      <c r="E793" s="23"/>
      <c r="F793" s="23"/>
      <c r="G793" s="21"/>
      <c r="H793" s="24" t="str">
        <f aca="false">IF(OR(A793="",D793="",G793=""),"",D793*G793)</f>
        <v/>
      </c>
      <c r="I793" s="25" t="str">
        <f aca="false">IF(OR(A793="",B793=""),"",IFERROR(LOOKUP(2,1/(单次交易!$A$2:$A$201=A793),单次交易!$H$2:$H$201),0)+SUMIFS($G$2:$G$1001,$A$2:$A$1001,A793,$B$2:$B$1001,"&lt;"&amp;B793))</f>
        <v/>
      </c>
      <c r="J793" s="24" t="str">
        <f aca="false">IF(OR(A793="",B793=""),"",IFERROR(LOOKUP(2,1/(单次交易!$A$2:$A$201=A793),单次交易!$E$2:$E$201)*LOOKUP(2,1/(单次交易!$A$2:$A$201=A793),单次交易!$H$2:$H$201),0)+SUMIFS($H$2:$H$1001,$A$2:$A$1001,A793,$B$2:$B$1001,"&lt;"&amp;B793))</f>
        <v/>
      </c>
      <c r="K793" s="24" t="str">
        <f aca="false">IF(OR(E793="",I793="",J793=""),"",MAX(E793*I793-J793,0))</f>
        <v/>
      </c>
      <c r="L793" s="25" t="str">
        <f aca="false">IF(OR(D793="",E793="",F793="",D793&lt;=E793),"",FLOOR((F793+K793)/(D793-E793),100))</f>
        <v/>
      </c>
      <c r="M793" s="25" t="str">
        <f aca="false">IF(OR(A793="",B793="",L793=""),"",IF(B793=1,L793,IFERROR(SUMIFS($G$2:$G$1001,$A$2:$A$1001,A793,$B$2:$B$1001,B793-1),0)))</f>
        <v/>
      </c>
      <c r="N793" s="25" t="str">
        <f aca="false">IF(OR(L793="",M793=""),"",MIN(L793,M793))</f>
        <v/>
      </c>
      <c r="O793" s="25" t="str">
        <f aca="false">IF(OR(I793="",G793=""),"",I793+G793)</f>
        <v/>
      </c>
      <c r="P793" s="24" t="str">
        <f aca="false">IF(OR(O793="",O793=0),"",(J793+H793)/O793)</f>
        <v/>
      </c>
      <c r="Q793" s="24" t="str">
        <f aca="false">IF(OR(O793="",E793=""),"",MAX(J793+H793-E793*O793,0))</f>
        <v/>
      </c>
      <c r="R793" s="26" t="str">
        <f aca="false">IF(A793="","",IF(COUNTIF(_TradeIds,A793)=0,"违规：交易编号不存在",IF(OR(B793="",B793&lt;1,B793&gt;5,B793&lt;&gt;INT(B793)),"违规：加仓序号须为1到5的整数",IF(COUNTIFS($A$2:$A$1001,A793,$B$2:$B$1001,B793)&gt;1,"违规：同一交易的加仓序号重复",IF(OR(D793="",E793="",F793=""),"计划不完整：请填写加仓价、新止损价和风险预算",IF(OR(D793&lt;=0,E793&lt;=0,F793&lt;=0,D793&lt;=E793),"违规：加仓价必须高于新止损价，金额须大于0",IF(AND(B793&gt;1,COUNTIFS($A$2:$A$1001,A793,$B$2:$B$1001,B793-1,$G$2:$G$1001,"&gt;0")=0),"违规：须先完成上一次加仓",IF(AND(B793&gt;1,E793&lt;SUMIFS($E$2:$E$1001,$A$2:$A$1001,A793,$B$2:$B$1001,B793-1)),"违规：新止损价不得低于上一次",IF(AND(B793&gt;1,F793&gt;SUMIFS($F$2:$F$1001,$A$2:$A$1001,A793,$B$2:$B$1001,B793-1)),"违规：风险预算须逐次不增加",IF(OR(_LockStatus="已锁仓",_LockStatus="解锁信息不完整"),"违规：锁仓期间禁止加仓",IF(G793="","计划可执行：建议股数见N列",IF(OR(G793&lt;=0,G793&lt;&gt;INT(G793),MOD(G793,100)&lt;&gt;0),"违规：实际股数须为100股整数倍",IF(G793&gt;N793,"违规：实际股数超过风险或金字塔上限",IF(AND(B793&gt;1,G793&gt;SUMIFS($G$2:$G$1001,$A$2:$A$1001,A793,$B$2:$B$1001,B793-1)),"违规：加仓股数须逐次不增加",IF(Q793&gt;F793,"违规：止损风险超过本次预算","通过")))))))))))))))</f>
        <v/>
      </c>
    </row>
    <row r="794" customFormat="false" ht="15" hidden="false" customHeight="false" outlineLevel="0" collapsed="false">
      <c r="A794" s="20"/>
      <c r="B794" s="21"/>
      <c r="C794" s="22"/>
      <c r="D794" s="23"/>
      <c r="E794" s="23"/>
      <c r="F794" s="23"/>
      <c r="G794" s="21"/>
      <c r="H794" s="24" t="str">
        <f aca="false">IF(OR(A794="",D794="",G794=""),"",D794*G794)</f>
        <v/>
      </c>
      <c r="I794" s="25" t="str">
        <f aca="false">IF(OR(A794="",B794=""),"",IFERROR(LOOKUP(2,1/(单次交易!$A$2:$A$201=A794),单次交易!$H$2:$H$201),0)+SUMIFS($G$2:$G$1001,$A$2:$A$1001,A794,$B$2:$B$1001,"&lt;"&amp;B794))</f>
        <v/>
      </c>
      <c r="J794" s="24" t="str">
        <f aca="false">IF(OR(A794="",B794=""),"",IFERROR(LOOKUP(2,1/(单次交易!$A$2:$A$201=A794),单次交易!$E$2:$E$201)*LOOKUP(2,1/(单次交易!$A$2:$A$201=A794),单次交易!$H$2:$H$201),0)+SUMIFS($H$2:$H$1001,$A$2:$A$1001,A794,$B$2:$B$1001,"&lt;"&amp;B794))</f>
        <v/>
      </c>
      <c r="K794" s="24" t="str">
        <f aca="false">IF(OR(E794="",I794="",J794=""),"",MAX(E794*I794-J794,0))</f>
        <v/>
      </c>
      <c r="L794" s="25" t="str">
        <f aca="false">IF(OR(D794="",E794="",F794="",D794&lt;=E794),"",FLOOR((F794+K794)/(D794-E794),100))</f>
        <v/>
      </c>
      <c r="M794" s="25" t="str">
        <f aca="false">IF(OR(A794="",B794="",L794=""),"",IF(B794=1,L794,IFERROR(SUMIFS($G$2:$G$1001,$A$2:$A$1001,A794,$B$2:$B$1001,B794-1),0)))</f>
        <v/>
      </c>
      <c r="N794" s="25" t="str">
        <f aca="false">IF(OR(L794="",M794=""),"",MIN(L794,M794))</f>
        <v/>
      </c>
      <c r="O794" s="25" t="str">
        <f aca="false">IF(OR(I794="",G794=""),"",I794+G794)</f>
        <v/>
      </c>
      <c r="P794" s="24" t="str">
        <f aca="false">IF(OR(O794="",O794=0),"",(J794+H794)/O794)</f>
        <v/>
      </c>
      <c r="Q794" s="24" t="str">
        <f aca="false">IF(OR(O794="",E794=""),"",MAX(J794+H794-E794*O794,0))</f>
        <v/>
      </c>
      <c r="R794" s="26" t="str">
        <f aca="false">IF(A794="","",IF(COUNTIF(_TradeIds,A794)=0,"违规：交易编号不存在",IF(OR(B794="",B794&lt;1,B794&gt;5,B794&lt;&gt;INT(B794)),"违规：加仓序号须为1到5的整数",IF(COUNTIFS($A$2:$A$1001,A794,$B$2:$B$1001,B794)&gt;1,"违规：同一交易的加仓序号重复",IF(OR(D794="",E794="",F794=""),"计划不完整：请填写加仓价、新止损价和风险预算",IF(OR(D794&lt;=0,E794&lt;=0,F794&lt;=0,D794&lt;=E794),"违规：加仓价必须高于新止损价，金额须大于0",IF(AND(B794&gt;1,COUNTIFS($A$2:$A$1001,A794,$B$2:$B$1001,B794-1,$G$2:$G$1001,"&gt;0")=0),"违规：须先完成上一次加仓",IF(AND(B794&gt;1,E794&lt;SUMIFS($E$2:$E$1001,$A$2:$A$1001,A794,$B$2:$B$1001,B794-1)),"违规：新止损价不得低于上一次",IF(AND(B794&gt;1,F794&gt;SUMIFS($F$2:$F$1001,$A$2:$A$1001,A794,$B$2:$B$1001,B794-1)),"违规：风险预算须逐次不增加",IF(OR(_LockStatus="已锁仓",_LockStatus="解锁信息不完整"),"违规：锁仓期间禁止加仓",IF(G794="","计划可执行：建议股数见N列",IF(OR(G794&lt;=0,G794&lt;&gt;INT(G794),MOD(G794,100)&lt;&gt;0),"违规：实际股数须为100股整数倍",IF(G794&gt;N794,"违规：实际股数超过风险或金字塔上限",IF(AND(B794&gt;1,G794&gt;SUMIFS($G$2:$G$1001,$A$2:$A$1001,A794,$B$2:$B$1001,B794-1)),"违规：加仓股数须逐次不增加",IF(Q794&gt;F794,"违规：止损风险超过本次预算","通过")))))))))))))))</f>
        <v/>
      </c>
    </row>
    <row r="795" customFormat="false" ht="15" hidden="false" customHeight="false" outlineLevel="0" collapsed="false">
      <c r="A795" s="20"/>
      <c r="B795" s="21"/>
      <c r="C795" s="22"/>
      <c r="D795" s="23"/>
      <c r="E795" s="23"/>
      <c r="F795" s="23"/>
      <c r="G795" s="21"/>
      <c r="H795" s="24" t="str">
        <f aca="false">IF(OR(A795="",D795="",G795=""),"",D795*G795)</f>
        <v/>
      </c>
      <c r="I795" s="25" t="str">
        <f aca="false">IF(OR(A795="",B795=""),"",IFERROR(LOOKUP(2,1/(单次交易!$A$2:$A$201=A795),单次交易!$H$2:$H$201),0)+SUMIFS($G$2:$G$1001,$A$2:$A$1001,A795,$B$2:$B$1001,"&lt;"&amp;B795))</f>
        <v/>
      </c>
      <c r="J795" s="24" t="str">
        <f aca="false">IF(OR(A795="",B795=""),"",IFERROR(LOOKUP(2,1/(单次交易!$A$2:$A$201=A795),单次交易!$E$2:$E$201)*LOOKUP(2,1/(单次交易!$A$2:$A$201=A795),单次交易!$H$2:$H$201),0)+SUMIFS($H$2:$H$1001,$A$2:$A$1001,A795,$B$2:$B$1001,"&lt;"&amp;B795))</f>
        <v/>
      </c>
      <c r="K795" s="24" t="str">
        <f aca="false">IF(OR(E795="",I795="",J795=""),"",MAX(E795*I795-J795,0))</f>
        <v/>
      </c>
      <c r="L795" s="25" t="str">
        <f aca="false">IF(OR(D795="",E795="",F795="",D795&lt;=E795),"",FLOOR((F795+K795)/(D795-E795),100))</f>
        <v/>
      </c>
      <c r="M795" s="25" t="str">
        <f aca="false">IF(OR(A795="",B795="",L795=""),"",IF(B795=1,L795,IFERROR(SUMIFS($G$2:$G$1001,$A$2:$A$1001,A795,$B$2:$B$1001,B795-1),0)))</f>
        <v/>
      </c>
      <c r="N795" s="25" t="str">
        <f aca="false">IF(OR(L795="",M795=""),"",MIN(L795,M795))</f>
        <v/>
      </c>
      <c r="O795" s="25" t="str">
        <f aca="false">IF(OR(I795="",G795=""),"",I795+G795)</f>
        <v/>
      </c>
      <c r="P795" s="24" t="str">
        <f aca="false">IF(OR(O795="",O795=0),"",(J795+H795)/O795)</f>
        <v/>
      </c>
      <c r="Q795" s="24" t="str">
        <f aca="false">IF(OR(O795="",E795=""),"",MAX(J795+H795-E795*O795,0))</f>
        <v/>
      </c>
      <c r="R795" s="26" t="str">
        <f aca="false">IF(A795="","",IF(COUNTIF(_TradeIds,A795)=0,"违规：交易编号不存在",IF(OR(B795="",B795&lt;1,B795&gt;5,B795&lt;&gt;INT(B795)),"违规：加仓序号须为1到5的整数",IF(COUNTIFS($A$2:$A$1001,A795,$B$2:$B$1001,B795)&gt;1,"违规：同一交易的加仓序号重复",IF(OR(D795="",E795="",F795=""),"计划不完整：请填写加仓价、新止损价和风险预算",IF(OR(D795&lt;=0,E795&lt;=0,F795&lt;=0,D795&lt;=E795),"违规：加仓价必须高于新止损价，金额须大于0",IF(AND(B795&gt;1,COUNTIFS($A$2:$A$1001,A795,$B$2:$B$1001,B795-1,$G$2:$G$1001,"&gt;0")=0),"违规：须先完成上一次加仓",IF(AND(B795&gt;1,E795&lt;SUMIFS($E$2:$E$1001,$A$2:$A$1001,A795,$B$2:$B$1001,B795-1)),"违规：新止损价不得低于上一次",IF(AND(B795&gt;1,F795&gt;SUMIFS($F$2:$F$1001,$A$2:$A$1001,A795,$B$2:$B$1001,B795-1)),"违规：风险预算须逐次不增加",IF(OR(_LockStatus="已锁仓",_LockStatus="解锁信息不完整"),"违规：锁仓期间禁止加仓",IF(G795="","计划可执行：建议股数见N列",IF(OR(G795&lt;=0,G795&lt;&gt;INT(G795),MOD(G795,100)&lt;&gt;0),"违规：实际股数须为100股整数倍",IF(G795&gt;N795,"违规：实际股数超过风险或金字塔上限",IF(AND(B795&gt;1,G795&gt;SUMIFS($G$2:$G$1001,$A$2:$A$1001,A795,$B$2:$B$1001,B795-1)),"违规：加仓股数须逐次不增加",IF(Q795&gt;F795,"违规：止损风险超过本次预算","通过")))))))))))))))</f>
        <v/>
      </c>
    </row>
    <row r="796" customFormat="false" ht="15" hidden="false" customHeight="false" outlineLevel="0" collapsed="false">
      <c r="A796" s="20"/>
      <c r="B796" s="21"/>
      <c r="C796" s="22"/>
      <c r="D796" s="23"/>
      <c r="E796" s="23"/>
      <c r="F796" s="23"/>
      <c r="G796" s="21"/>
      <c r="H796" s="24" t="str">
        <f aca="false">IF(OR(A796="",D796="",G796=""),"",D796*G796)</f>
        <v/>
      </c>
      <c r="I796" s="25" t="str">
        <f aca="false">IF(OR(A796="",B796=""),"",IFERROR(LOOKUP(2,1/(单次交易!$A$2:$A$201=A796),单次交易!$H$2:$H$201),0)+SUMIFS($G$2:$G$1001,$A$2:$A$1001,A796,$B$2:$B$1001,"&lt;"&amp;B796))</f>
        <v/>
      </c>
      <c r="J796" s="24" t="str">
        <f aca="false">IF(OR(A796="",B796=""),"",IFERROR(LOOKUP(2,1/(单次交易!$A$2:$A$201=A796),单次交易!$E$2:$E$201)*LOOKUP(2,1/(单次交易!$A$2:$A$201=A796),单次交易!$H$2:$H$201),0)+SUMIFS($H$2:$H$1001,$A$2:$A$1001,A796,$B$2:$B$1001,"&lt;"&amp;B796))</f>
        <v/>
      </c>
      <c r="K796" s="24" t="str">
        <f aca="false">IF(OR(E796="",I796="",J796=""),"",MAX(E796*I796-J796,0))</f>
        <v/>
      </c>
      <c r="L796" s="25" t="str">
        <f aca="false">IF(OR(D796="",E796="",F796="",D796&lt;=E796),"",FLOOR((F796+K796)/(D796-E796),100))</f>
        <v/>
      </c>
      <c r="M796" s="25" t="str">
        <f aca="false">IF(OR(A796="",B796="",L796=""),"",IF(B796=1,L796,IFERROR(SUMIFS($G$2:$G$1001,$A$2:$A$1001,A796,$B$2:$B$1001,B796-1),0)))</f>
        <v/>
      </c>
      <c r="N796" s="25" t="str">
        <f aca="false">IF(OR(L796="",M796=""),"",MIN(L796,M796))</f>
        <v/>
      </c>
      <c r="O796" s="25" t="str">
        <f aca="false">IF(OR(I796="",G796=""),"",I796+G796)</f>
        <v/>
      </c>
      <c r="P796" s="24" t="str">
        <f aca="false">IF(OR(O796="",O796=0),"",(J796+H796)/O796)</f>
        <v/>
      </c>
      <c r="Q796" s="24" t="str">
        <f aca="false">IF(OR(O796="",E796=""),"",MAX(J796+H796-E796*O796,0))</f>
        <v/>
      </c>
      <c r="R796" s="26" t="str">
        <f aca="false">IF(A796="","",IF(COUNTIF(_TradeIds,A796)=0,"违规：交易编号不存在",IF(OR(B796="",B796&lt;1,B796&gt;5,B796&lt;&gt;INT(B796)),"违规：加仓序号须为1到5的整数",IF(COUNTIFS($A$2:$A$1001,A796,$B$2:$B$1001,B796)&gt;1,"违规：同一交易的加仓序号重复",IF(OR(D796="",E796="",F796=""),"计划不完整：请填写加仓价、新止损价和风险预算",IF(OR(D796&lt;=0,E796&lt;=0,F796&lt;=0,D796&lt;=E796),"违规：加仓价必须高于新止损价，金额须大于0",IF(AND(B796&gt;1,COUNTIFS($A$2:$A$1001,A796,$B$2:$B$1001,B796-1,$G$2:$G$1001,"&gt;0")=0),"违规：须先完成上一次加仓",IF(AND(B796&gt;1,E796&lt;SUMIFS($E$2:$E$1001,$A$2:$A$1001,A796,$B$2:$B$1001,B796-1)),"违规：新止损价不得低于上一次",IF(AND(B796&gt;1,F796&gt;SUMIFS($F$2:$F$1001,$A$2:$A$1001,A796,$B$2:$B$1001,B796-1)),"违规：风险预算须逐次不增加",IF(OR(_LockStatus="已锁仓",_LockStatus="解锁信息不完整"),"违规：锁仓期间禁止加仓",IF(G796="","计划可执行：建议股数见N列",IF(OR(G796&lt;=0,G796&lt;&gt;INT(G796),MOD(G796,100)&lt;&gt;0),"违规：实际股数须为100股整数倍",IF(G796&gt;N796,"违规：实际股数超过风险或金字塔上限",IF(AND(B796&gt;1,G796&gt;SUMIFS($G$2:$G$1001,$A$2:$A$1001,A796,$B$2:$B$1001,B796-1)),"违规：加仓股数须逐次不增加",IF(Q796&gt;F796,"违规：止损风险超过本次预算","通过")))))))))))))))</f>
        <v/>
      </c>
    </row>
    <row r="797" customFormat="false" ht="15" hidden="false" customHeight="false" outlineLevel="0" collapsed="false">
      <c r="A797" s="20"/>
      <c r="B797" s="21"/>
      <c r="C797" s="22"/>
      <c r="D797" s="23"/>
      <c r="E797" s="23"/>
      <c r="F797" s="23"/>
      <c r="G797" s="21"/>
      <c r="H797" s="24" t="str">
        <f aca="false">IF(OR(A797="",D797="",G797=""),"",D797*G797)</f>
        <v/>
      </c>
      <c r="I797" s="25" t="str">
        <f aca="false">IF(OR(A797="",B797=""),"",IFERROR(LOOKUP(2,1/(单次交易!$A$2:$A$201=A797),单次交易!$H$2:$H$201),0)+SUMIFS($G$2:$G$1001,$A$2:$A$1001,A797,$B$2:$B$1001,"&lt;"&amp;B797))</f>
        <v/>
      </c>
      <c r="J797" s="24" t="str">
        <f aca="false">IF(OR(A797="",B797=""),"",IFERROR(LOOKUP(2,1/(单次交易!$A$2:$A$201=A797),单次交易!$E$2:$E$201)*LOOKUP(2,1/(单次交易!$A$2:$A$201=A797),单次交易!$H$2:$H$201),0)+SUMIFS($H$2:$H$1001,$A$2:$A$1001,A797,$B$2:$B$1001,"&lt;"&amp;B797))</f>
        <v/>
      </c>
      <c r="K797" s="24" t="str">
        <f aca="false">IF(OR(E797="",I797="",J797=""),"",MAX(E797*I797-J797,0))</f>
        <v/>
      </c>
      <c r="L797" s="25" t="str">
        <f aca="false">IF(OR(D797="",E797="",F797="",D797&lt;=E797),"",FLOOR((F797+K797)/(D797-E797),100))</f>
        <v/>
      </c>
      <c r="M797" s="25" t="str">
        <f aca="false">IF(OR(A797="",B797="",L797=""),"",IF(B797=1,L797,IFERROR(SUMIFS($G$2:$G$1001,$A$2:$A$1001,A797,$B$2:$B$1001,B797-1),0)))</f>
        <v/>
      </c>
      <c r="N797" s="25" t="str">
        <f aca="false">IF(OR(L797="",M797=""),"",MIN(L797,M797))</f>
        <v/>
      </c>
      <c r="O797" s="25" t="str">
        <f aca="false">IF(OR(I797="",G797=""),"",I797+G797)</f>
        <v/>
      </c>
      <c r="P797" s="24" t="str">
        <f aca="false">IF(OR(O797="",O797=0),"",(J797+H797)/O797)</f>
        <v/>
      </c>
      <c r="Q797" s="24" t="str">
        <f aca="false">IF(OR(O797="",E797=""),"",MAX(J797+H797-E797*O797,0))</f>
        <v/>
      </c>
      <c r="R797" s="26" t="str">
        <f aca="false">IF(A797="","",IF(COUNTIF(_TradeIds,A797)=0,"违规：交易编号不存在",IF(OR(B797="",B797&lt;1,B797&gt;5,B797&lt;&gt;INT(B797)),"违规：加仓序号须为1到5的整数",IF(COUNTIFS($A$2:$A$1001,A797,$B$2:$B$1001,B797)&gt;1,"违规：同一交易的加仓序号重复",IF(OR(D797="",E797="",F797=""),"计划不完整：请填写加仓价、新止损价和风险预算",IF(OR(D797&lt;=0,E797&lt;=0,F797&lt;=0,D797&lt;=E797),"违规：加仓价必须高于新止损价，金额须大于0",IF(AND(B797&gt;1,COUNTIFS($A$2:$A$1001,A797,$B$2:$B$1001,B797-1,$G$2:$G$1001,"&gt;0")=0),"违规：须先完成上一次加仓",IF(AND(B797&gt;1,E797&lt;SUMIFS($E$2:$E$1001,$A$2:$A$1001,A797,$B$2:$B$1001,B797-1)),"违规：新止损价不得低于上一次",IF(AND(B797&gt;1,F797&gt;SUMIFS($F$2:$F$1001,$A$2:$A$1001,A797,$B$2:$B$1001,B797-1)),"违规：风险预算须逐次不增加",IF(OR(_LockStatus="已锁仓",_LockStatus="解锁信息不完整"),"违规：锁仓期间禁止加仓",IF(G797="","计划可执行：建议股数见N列",IF(OR(G797&lt;=0,G797&lt;&gt;INT(G797),MOD(G797,100)&lt;&gt;0),"违规：实际股数须为100股整数倍",IF(G797&gt;N797,"违规：实际股数超过风险或金字塔上限",IF(AND(B797&gt;1,G797&gt;SUMIFS($G$2:$G$1001,$A$2:$A$1001,A797,$B$2:$B$1001,B797-1)),"违规：加仓股数须逐次不增加",IF(Q797&gt;F797,"违规：止损风险超过本次预算","通过")))))))))))))))</f>
        <v/>
      </c>
    </row>
    <row r="798" customFormat="false" ht="15" hidden="false" customHeight="false" outlineLevel="0" collapsed="false">
      <c r="A798" s="20"/>
      <c r="B798" s="21"/>
      <c r="C798" s="22"/>
      <c r="D798" s="23"/>
      <c r="E798" s="23"/>
      <c r="F798" s="23"/>
      <c r="G798" s="21"/>
      <c r="H798" s="24" t="str">
        <f aca="false">IF(OR(A798="",D798="",G798=""),"",D798*G798)</f>
        <v/>
      </c>
      <c r="I798" s="25" t="str">
        <f aca="false">IF(OR(A798="",B798=""),"",IFERROR(LOOKUP(2,1/(单次交易!$A$2:$A$201=A798),单次交易!$H$2:$H$201),0)+SUMIFS($G$2:$G$1001,$A$2:$A$1001,A798,$B$2:$B$1001,"&lt;"&amp;B798))</f>
        <v/>
      </c>
      <c r="J798" s="24" t="str">
        <f aca="false">IF(OR(A798="",B798=""),"",IFERROR(LOOKUP(2,1/(单次交易!$A$2:$A$201=A798),单次交易!$E$2:$E$201)*LOOKUP(2,1/(单次交易!$A$2:$A$201=A798),单次交易!$H$2:$H$201),0)+SUMIFS($H$2:$H$1001,$A$2:$A$1001,A798,$B$2:$B$1001,"&lt;"&amp;B798))</f>
        <v/>
      </c>
      <c r="K798" s="24" t="str">
        <f aca="false">IF(OR(E798="",I798="",J798=""),"",MAX(E798*I798-J798,0))</f>
        <v/>
      </c>
      <c r="L798" s="25" t="str">
        <f aca="false">IF(OR(D798="",E798="",F798="",D798&lt;=E798),"",FLOOR((F798+K798)/(D798-E798),100))</f>
        <v/>
      </c>
      <c r="M798" s="25" t="str">
        <f aca="false">IF(OR(A798="",B798="",L798=""),"",IF(B798=1,L798,IFERROR(SUMIFS($G$2:$G$1001,$A$2:$A$1001,A798,$B$2:$B$1001,B798-1),0)))</f>
        <v/>
      </c>
      <c r="N798" s="25" t="str">
        <f aca="false">IF(OR(L798="",M798=""),"",MIN(L798,M798))</f>
        <v/>
      </c>
      <c r="O798" s="25" t="str">
        <f aca="false">IF(OR(I798="",G798=""),"",I798+G798)</f>
        <v/>
      </c>
      <c r="P798" s="24" t="str">
        <f aca="false">IF(OR(O798="",O798=0),"",(J798+H798)/O798)</f>
        <v/>
      </c>
      <c r="Q798" s="24" t="str">
        <f aca="false">IF(OR(O798="",E798=""),"",MAX(J798+H798-E798*O798,0))</f>
        <v/>
      </c>
      <c r="R798" s="26" t="str">
        <f aca="false">IF(A798="","",IF(COUNTIF(_TradeIds,A798)=0,"违规：交易编号不存在",IF(OR(B798="",B798&lt;1,B798&gt;5,B798&lt;&gt;INT(B798)),"违规：加仓序号须为1到5的整数",IF(COUNTIFS($A$2:$A$1001,A798,$B$2:$B$1001,B798)&gt;1,"违规：同一交易的加仓序号重复",IF(OR(D798="",E798="",F798=""),"计划不完整：请填写加仓价、新止损价和风险预算",IF(OR(D798&lt;=0,E798&lt;=0,F798&lt;=0,D798&lt;=E798),"违规：加仓价必须高于新止损价，金额须大于0",IF(AND(B798&gt;1,COUNTIFS($A$2:$A$1001,A798,$B$2:$B$1001,B798-1,$G$2:$G$1001,"&gt;0")=0),"违规：须先完成上一次加仓",IF(AND(B798&gt;1,E798&lt;SUMIFS($E$2:$E$1001,$A$2:$A$1001,A798,$B$2:$B$1001,B798-1)),"违规：新止损价不得低于上一次",IF(AND(B798&gt;1,F798&gt;SUMIFS($F$2:$F$1001,$A$2:$A$1001,A798,$B$2:$B$1001,B798-1)),"违规：风险预算须逐次不增加",IF(OR(_LockStatus="已锁仓",_LockStatus="解锁信息不完整"),"违规：锁仓期间禁止加仓",IF(G798="","计划可执行：建议股数见N列",IF(OR(G798&lt;=0,G798&lt;&gt;INT(G798),MOD(G798,100)&lt;&gt;0),"违规：实际股数须为100股整数倍",IF(G798&gt;N798,"违规：实际股数超过风险或金字塔上限",IF(AND(B798&gt;1,G798&gt;SUMIFS($G$2:$G$1001,$A$2:$A$1001,A798,$B$2:$B$1001,B798-1)),"违规：加仓股数须逐次不增加",IF(Q798&gt;F798,"违规：止损风险超过本次预算","通过")))))))))))))))</f>
        <v/>
      </c>
    </row>
    <row r="799" customFormat="false" ht="15" hidden="false" customHeight="false" outlineLevel="0" collapsed="false">
      <c r="A799" s="20"/>
      <c r="B799" s="21"/>
      <c r="C799" s="22"/>
      <c r="D799" s="23"/>
      <c r="E799" s="23"/>
      <c r="F799" s="23"/>
      <c r="G799" s="21"/>
      <c r="H799" s="24" t="str">
        <f aca="false">IF(OR(A799="",D799="",G799=""),"",D799*G799)</f>
        <v/>
      </c>
      <c r="I799" s="25" t="str">
        <f aca="false">IF(OR(A799="",B799=""),"",IFERROR(LOOKUP(2,1/(单次交易!$A$2:$A$201=A799),单次交易!$H$2:$H$201),0)+SUMIFS($G$2:$G$1001,$A$2:$A$1001,A799,$B$2:$B$1001,"&lt;"&amp;B799))</f>
        <v/>
      </c>
      <c r="J799" s="24" t="str">
        <f aca="false">IF(OR(A799="",B799=""),"",IFERROR(LOOKUP(2,1/(单次交易!$A$2:$A$201=A799),单次交易!$E$2:$E$201)*LOOKUP(2,1/(单次交易!$A$2:$A$201=A799),单次交易!$H$2:$H$201),0)+SUMIFS($H$2:$H$1001,$A$2:$A$1001,A799,$B$2:$B$1001,"&lt;"&amp;B799))</f>
        <v/>
      </c>
      <c r="K799" s="24" t="str">
        <f aca="false">IF(OR(E799="",I799="",J799=""),"",MAX(E799*I799-J799,0))</f>
        <v/>
      </c>
      <c r="L799" s="25" t="str">
        <f aca="false">IF(OR(D799="",E799="",F799="",D799&lt;=E799),"",FLOOR((F799+K799)/(D799-E799),100))</f>
        <v/>
      </c>
      <c r="M799" s="25" t="str">
        <f aca="false">IF(OR(A799="",B799="",L799=""),"",IF(B799=1,L799,IFERROR(SUMIFS($G$2:$G$1001,$A$2:$A$1001,A799,$B$2:$B$1001,B799-1),0)))</f>
        <v/>
      </c>
      <c r="N799" s="25" t="str">
        <f aca="false">IF(OR(L799="",M799=""),"",MIN(L799,M799))</f>
        <v/>
      </c>
      <c r="O799" s="25" t="str">
        <f aca="false">IF(OR(I799="",G799=""),"",I799+G799)</f>
        <v/>
      </c>
      <c r="P799" s="24" t="str">
        <f aca="false">IF(OR(O799="",O799=0),"",(J799+H799)/O799)</f>
        <v/>
      </c>
      <c r="Q799" s="24" t="str">
        <f aca="false">IF(OR(O799="",E799=""),"",MAX(J799+H799-E799*O799,0))</f>
        <v/>
      </c>
      <c r="R799" s="26" t="str">
        <f aca="false">IF(A799="","",IF(COUNTIF(_TradeIds,A799)=0,"违规：交易编号不存在",IF(OR(B799="",B799&lt;1,B799&gt;5,B799&lt;&gt;INT(B799)),"违规：加仓序号须为1到5的整数",IF(COUNTIFS($A$2:$A$1001,A799,$B$2:$B$1001,B799)&gt;1,"违规：同一交易的加仓序号重复",IF(OR(D799="",E799="",F799=""),"计划不完整：请填写加仓价、新止损价和风险预算",IF(OR(D799&lt;=0,E799&lt;=0,F799&lt;=0,D799&lt;=E799),"违规：加仓价必须高于新止损价，金额须大于0",IF(AND(B799&gt;1,COUNTIFS($A$2:$A$1001,A799,$B$2:$B$1001,B799-1,$G$2:$G$1001,"&gt;0")=0),"违规：须先完成上一次加仓",IF(AND(B799&gt;1,E799&lt;SUMIFS($E$2:$E$1001,$A$2:$A$1001,A799,$B$2:$B$1001,B799-1)),"违规：新止损价不得低于上一次",IF(AND(B799&gt;1,F799&gt;SUMIFS($F$2:$F$1001,$A$2:$A$1001,A799,$B$2:$B$1001,B799-1)),"违规：风险预算须逐次不增加",IF(OR(_LockStatus="已锁仓",_LockStatus="解锁信息不完整"),"违规：锁仓期间禁止加仓",IF(G799="","计划可执行：建议股数见N列",IF(OR(G799&lt;=0,G799&lt;&gt;INT(G799),MOD(G799,100)&lt;&gt;0),"违规：实际股数须为100股整数倍",IF(G799&gt;N799,"违规：实际股数超过风险或金字塔上限",IF(AND(B799&gt;1,G799&gt;SUMIFS($G$2:$G$1001,$A$2:$A$1001,A799,$B$2:$B$1001,B799-1)),"违规：加仓股数须逐次不增加",IF(Q799&gt;F799,"违规：止损风险超过本次预算","通过")))))))))))))))</f>
        <v/>
      </c>
    </row>
    <row r="800" customFormat="false" ht="15" hidden="false" customHeight="false" outlineLevel="0" collapsed="false">
      <c r="A800" s="20"/>
      <c r="B800" s="21"/>
      <c r="C800" s="22"/>
      <c r="D800" s="23"/>
      <c r="E800" s="23"/>
      <c r="F800" s="23"/>
      <c r="G800" s="21"/>
      <c r="H800" s="24" t="str">
        <f aca="false">IF(OR(A800="",D800="",G800=""),"",D800*G800)</f>
        <v/>
      </c>
      <c r="I800" s="25" t="str">
        <f aca="false">IF(OR(A800="",B800=""),"",IFERROR(LOOKUP(2,1/(单次交易!$A$2:$A$201=A800),单次交易!$H$2:$H$201),0)+SUMIFS($G$2:$G$1001,$A$2:$A$1001,A800,$B$2:$B$1001,"&lt;"&amp;B800))</f>
        <v/>
      </c>
      <c r="J800" s="24" t="str">
        <f aca="false">IF(OR(A800="",B800=""),"",IFERROR(LOOKUP(2,1/(单次交易!$A$2:$A$201=A800),单次交易!$E$2:$E$201)*LOOKUP(2,1/(单次交易!$A$2:$A$201=A800),单次交易!$H$2:$H$201),0)+SUMIFS($H$2:$H$1001,$A$2:$A$1001,A800,$B$2:$B$1001,"&lt;"&amp;B800))</f>
        <v/>
      </c>
      <c r="K800" s="24" t="str">
        <f aca="false">IF(OR(E800="",I800="",J800=""),"",MAX(E800*I800-J800,0))</f>
        <v/>
      </c>
      <c r="L800" s="25" t="str">
        <f aca="false">IF(OR(D800="",E800="",F800="",D800&lt;=E800),"",FLOOR((F800+K800)/(D800-E800),100))</f>
        <v/>
      </c>
      <c r="M800" s="25" t="str">
        <f aca="false">IF(OR(A800="",B800="",L800=""),"",IF(B800=1,L800,IFERROR(SUMIFS($G$2:$G$1001,$A$2:$A$1001,A800,$B$2:$B$1001,B800-1),0)))</f>
        <v/>
      </c>
      <c r="N800" s="25" t="str">
        <f aca="false">IF(OR(L800="",M800=""),"",MIN(L800,M800))</f>
        <v/>
      </c>
      <c r="O800" s="25" t="str">
        <f aca="false">IF(OR(I800="",G800=""),"",I800+G800)</f>
        <v/>
      </c>
      <c r="P800" s="24" t="str">
        <f aca="false">IF(OR(O800="",O800=0),"",(J800+H800)/O800)</f>
        <v/>
      </c>
      <c r="Q800" s="24" t="str">
        <f aca="false">IF(OR(O800="",E800=""),"",MAX(J800+H800-E800*O800,0))</f>
        <v/>
      </c>
      <c r="R800" s="26" t="str">
        <f aca="false">IF(A800="","",IF(COUNTIF(_TradeIds,A800)=0,"违规：交易编号不存在",IF(OR(B800="",B800&lt;1,B800&gt;5,B800&lt;&gt;INT(B800)),"违规：加仓序号须为1到5的整数",IF(COUNTIFS($A$2:$A$1001,A800,$B$2:$B$1001,B800)&gt;1,"违规：同一交易的加仓序号重复",IF(OR(D800="",E800="",F800=""),"计划不完整：请填写加仓价、新止损价和风险预算",IF(OR(D800&lt;=0,E800&lt;=0,F800&lt;=0,D800&lt;=E800),"违规：加仓价必须高于新止损价，金额须大于0",IF(AND(B800&gt;1,COUNTIFS($A$2:$A$1001,A800,$B$2:$B$1001,B800-1,$G$2:$G$1001,"&gt;0")=0),"违规：须先完成上一次加仓",IF(AND(B800&gt;1,E800&lt;SUMIFS($E$2:$E$1001,$A$2:$A$1001,A800,$B$2:$B$1001,B800-1)),"违规：新止损价不得低于上一次",IF(AND(B800&gt;1,F800&gt;SUMIFS($F$2:$F$1001,$A$2:$A$1001,A800,$B$2:$B$1001,B800-1)),"违规：风险预算须逐次不增加",IF(OR(_LockStatus="已锁仓",_LockStatus="解锁信息不完整"),"违规：锁仓期间禁止加仓",IF(G800="","计划可执行：建议股数见N列",IF(OR(G800&lt;=0,G800&lt;&gt;INT(G800),MOD(G800,100)&lt;&gt;0),"违规：实际股数须为100股整数倍",IF(G800&gt;N800,"违规：实际股数超过风险或金字塔上限",IF(AND(B800&gt;1,G800&gt;SUMIFS($G$2:$G$1001,$A$2:$A$1001,A800,$B$2:$B$1001,B800-1)),"违规：加仓股数须逐次不增加",IF(Q800&gt;F800,"违规：止损风险超过本次预算","通过")))))))))))))))</f>
        <v/>
      </c>
    </row>
    <row r="801" customFormat="false" ht="15" hidden="false" customHeight="false" outlineLevel="0" collapsed="false">
      <c r="A801" s="20"/>
      <c r="B801" s="21"/>
      <c r="C801" s="22"/>
      <c r="D801" s="23"/>
      <c r="E801" s="23"/>
      <c r="F801" s="23"/>
      <c r="G801" s="21"/>
      <c r="H801" s="24" t="str">
        <f aca="false">IF(OR(A801="",D801="",G801=""),"",D801*G801)</f>
        <v/>
      </c>
      <c r="I801" s="25" t="str">
        <f aca="false">IF(OR(A801="",B801=""),"",IFERROR(LOOKUP(2,1/(单次交易!$A$2:$A$201=A801),单次交易!$H$2:$H$201),0)+SUMIFS($G$2:$G$1001,$A$2:$A$1001,A801,$B$2:$B$1001,"&lt;"&amp;B801))</f>
        <v/>
      </c>
      <c r="J801" s="24" t="str">
        <f aca="false">IF(OR(A801="",B801=""),"",IFERROR(LOOKUP(2,1/(单次交易!$A$2:$A$201=A801),单次交易!$E$2:$E$201)*LOOKUP(2,1/(单次交易!$A$2:$A$201=A801),单次交易!$H$2:$H$201),0)+SUMIFS($H$2:$H$1001,$A$2:$A$1001,A801,$B$2:$B$1001,"&lt;"&amp;B801))</f>
        <v/>
      </c>
      <c r="K801" s="24" t="str">
        <f aca="false">IF(OR(E801="",I801="",J801=""),"",MAX(E801*I801-J801,0))</f>
        <v/>
      </c>
      <c r="L801" s="25" t="str">
        <f aca="false">IF(OR(D801="",E801="",F801="",D801&lt;=E801),"",FLOOR((F801+K801)/(D801-E801),100))</f>
        <v/>
      </c>
      <c r="M801" s="25" t="str">
        <f aca="false">IF(OR(A801="",B801="",L801=""),"",IF(B801=1,L801,IFERROR(SUMIFS($G$2:$G$1001,$A$2:$A$1001,A801,$B$2:$B$1001,B801-1),0)))</f>
        <v/>
      </c>
      <c r="N801" s="25" t="str">
        <f aca="false">IF(OR(L801="",M801=""),"",MIN(L801,M801))</f>
        <v/>
      </c>
      <c r="O801" s="25" t="str">
        <f aca="false">IF(OR(I801="",G801=""),"",I801+G801)</f>
        <v/>
      </c>
      <c r="P801" s="24" t="str">
        <f aca="false">IF(OR(O801="",O801=0),"",(J801+H801)/O801)</f>
        <v/>
      </c>
      <c r="Q801" s="24" t="str">
        <f aca="false">IF(OR(O801="",E801=""),"",MAX(J801+H801-E801*O801,0))</f>
        <v/>
      </c>
      <c r="R801" s="26" t="str">
        <f aca="false">IF(A801="","",IF(COUNTIF(_TradeIds,A801)=0,"违规：交易编号不存在",IF(OR(B801="",B801&lt;1,B801&gt;5,B801&lt;&gt;INT(B801)),"违规：加仓序号须为1到5的整数",IF(COUNTIFS($A$2:$A$1001,A801,$B$2:$B$1001,B801)&gt;1,"违规：同一交易的加仓序号重复",IF(OR(D801="",E801="",F801=""),"计划不完整：请填写加仓价、新止损价和风险预算",IF(OR(D801&lt;=0,E801&lt;=0,F801&lt;=0,D801&lt;=E801),"违规：加仓价必须高于新止损价，金额须大于0",IF(AND(B801&gt;1,COUNTIFS($A$2:$A$1001,A801,$B$2:$B$1001,B801-1,$G$2:$G$1001,"&gt;0")=0),"违规：须先完成上一次加仓",IF(AND(B801&gt;1,E801&lt;SUMIFS($E$2:$E$1001,$A$2:$A$1001,A801,$B$2:$B$1001,B801-1)),"违规：新止损价不得低于上一次",IF(AND(B801&gt;1,F801&gt;SUMIFS($F$2:$F$1001,$A$2:$A$1001,A801,$B$2:$B$1001,B801-1)),"违规：风险预算须逐次不增加",IF(OR(_LockStatus="已锁仓",_LockStatus="解锁信息不完整"),"违规：锁仓期间禁止加仓",IF(G801="","计划可执行：建议股数见N列",IF(OR(G801&lt;=0,G801&lt;&gt;INT(G801),MOD(G801,100)&lt;&gt;0),"违规：实际股数须为100股整数倍",IF(G801&gt;N801,"违规：实际股数超过风险或金字塔上限",IF(AND(B801&gt;1,G801&gt;SUMIFS($G$2:$G$1001,$A$2:$A$1001,A801,$B$2:$B$1001,B801-1)),"违规：加仓股数须逐次不增加",IF(Q801&gt;F801,"违规：止损风险超过本次预算","通过")))))))))))))))</f>
        <v/>
      </c>
    </row>
    <row r="802" customFormat="false" ht="15" hidden="false" customHeight="false" outlineLevel="0" collapsed="false">
      <c r="A802" s="20"/>
      <c r="B802" s="21"/>
      <c r="C802" s="22"/>
      <c r="D802" s="23"/>
      <c r="E802" s="23"/>
      <c r="F802" s="23"/>
      <c r="G802" s="21"/>
      <c r="H802" s="24" t="str">
        <f aca="false">IF(OR(A802="",D802="",G802=""),"",D802*G802)</f>
        <v/>
      </c>
      <c r="I802" s="25" t="str">
        <f aca="false">IF(OR(A802="",B802=""),"",IFERROR(LOOKUP(2,1/(单次交易!$A$2:$A$201=A802),单次交易!$H$2:$H$201),0)+SUMIFS($G$2:$G$1001,$A$2:$A$1001,A802,$B$2:$B$1001,"&lt;"&amp;B802))</f>
        <v/>
      </c>
      <c r="J802" s="24" t="str">
        <f aca="false">IF(OR(A802="",B802=""),"",IFERROR(LOOKUP(2,1/(单次交易!$A$2:$A$201=A802),单次交易!$E$2:$E$201)*LOOKUP(2,1/(单次交易!$A$2:$A$201=A802),单次交易!$H$2:$H$201),0)+SUMIFS($H$2:$H$1001,$A$2:$A$1001,A802,$B$2:$B$1001,"&lt;"&amp;B802))</f>
        <v/>
      </c>
      <c r="K802" s="24" t="str">
        <f aca="false">IF(OR(E802="",I802="",J802=""),"",MAX(E802*I802-J802,0))</f>
        <v/>
      </c>
      <c r="L802" s="25" t="str">
        <f aca="false">IF(OR(D802="",E802="",F802="",D802&lt;=E802),"",FLOOR((F802+K802)/(D802-E802),100))</f>
        <v/>
      </c>
      <c r="M802" s="25" t="str">
        <f aca="false">IF(OR(A802="",B802="",L802=""),"",IF(B802=1,L802,IFERROR(SUMIFS($G$2:$G$1001,$A$2:$A$1001,A802,$B$2:$B$1001,B802-1),0)))</f>
        <v/>
      </c>
      <c r="N802" s="25" t="str">
        <f aca="false">IF(OR(L802="",M802=""),"",MIN(L802,M802))</f>
        <v/>
      </c>
      <c r="O802" s="25" t="str">
        <f aca="false">IF(OR(I802="",G802=""),"",I802+G802)</f>
        <v/>
      </c>
      <c r="P802" s="24" t="str">
        <f aca="false">IF(OR(O802="",O802=0),"",(J802+H802)/O802)</f>
        <v/>
      </c>
      <c r="Q802" s="24" t="str">
        <f aca="false">IF(OR(O802="",E802=""),"",MAX(J802+H802-E802*O802,0))</f>
        <v/>
      </c>
      <c r="R802" s="26" t="str">
        <f aca="false">IF(A802="","",IF(COUNTIF(_TradeIds,A802)=0,"违规：交易编号不存在",IF(OR(B802="",B802&lt;1,B802&gt;5,B802&lt;&gt;INT(B802)),"违规：加仓序号须为1到5的整数",IF(COUNTIFS($A$2:$A$1001,A802,$B$2:$B$1001,B802)&gt;1,"违规：同一交易的加仓序号重复",IF(OR(D802="",E802="",F802=""),"计划不完整：请填写加仓价、新止损价和风险预算",IF(OR(D802&lt;=0,E802&lt;=0,F802&lt;=0,D802&lt;=E802),"违规：加仓价必须高于新止损价，金额须大于0",IF(AND(B802&gt;1,COUNTIFS($A$2:$A$1001,A802,$B$2:$B$1001,B802-1,$G$2:$G$1001,"&gt;0")=0),"违规：须先完成上一次加仓",IF(AND(B802&gt;1,E802&lt;SUMIFS($E$2:$E$1001,$A$2:$A$1001,A802,$B$2:$B$1001,B802-1)),"违规：新止损价不得低于上一次",IF(AND(B802&gt;1,F802&gt;SUMIFS($F$2:$F$1001,$A$2:$A$1001,A802,$B$2:$B$1001,B802-1)),"违规：风险预算须逐次不增加",IF(OR(_LockStatus="已锁仓",_LockStatus="解锁信息不完整"),"违规：锁仓期间禁止加仓",IF(G802="","计划可执行：建议股数见N列",IF(OR(G802&lt;=0,G802&lt;&gt;INT(G802),MOD(G802,100)&lt;&gt;0),"违规：实际股数须为100股整数倍",IF(G802&gt;N802,"违规：实际股数超过风险或金字塔上限",IF(AND(B802&gt;1,G802&gt;SUMIFS($G$2:$G$1001,$A$2:$A$1001,A802,$B$2:$B$1001,B802-1)),"违规：加仓股数须逐次不增加",IF(Q802&gt;F802,"违规：止损风险超过本次预算","通过")))))))))))))))</f>
        <v/>
      </c>
    </row>
    <row r="803" customFormat="false" ht="15" hidden="false" customHeight="false" outlineLevel="0" collapsed="false">
      <c r="A803" s="20"/>
      <c r="B803" s="21"/>
      <c r="C803" s="22"/>
      <c r="D803" s="23"/>
      <c r="E803" s="23"/>
      <c r="F803" s="23"/>
      <c r="G803" s="21"/>
      <c r="H803" s="24" t="str">
        <f aca="false">IF(OR(A803="",D803="",G803=""),"",D803*G803)</f>
        <v/>
      </c>
      <c r="I803" s="25" t="str">
        <f aca="false">IF(OR(A803="",B803=""),"",IFERROR(LOOKUP(2,1/(单次交易!$A$2:$A$201=A803),单次交易!$H$2:$H$201),0)+SUMIFS($G$2:$G$1001,$A$2:$A$1001,A803,$B$2:$B$1001,"&lt;"&amp;B803))</f>
        <v/>
      </c>
      <c r="J803" s="24" t="str">
        <f aca="false">IF(OR(A803="",B803=""),"",IFERROR(LOOKUP(2,1/(单次交易!$A$2:$A$201=A803),单次交易!$E$2:$E$201)*LOOKUP(2,1/(单次交易!$A$2:$A$201=A803),单次交易!$H$2:$H$201),0)+SUMIFS($H$2:$H$1001,$A$2:$A$1001,A803,$B$2:$B$1001,"&lt;"&amp;B803))</f>
        <v/>
      </c>
      <c r="K803" s="24" t="str">
        <f aca="false">IF(OR(E803="",I803="",J803=""),"",MAX(E803*I803-J803,0))</f>
        <v/>
      </c>
      <c r="L803" s="25" t="str">
        <f aca="false">IF(OR(D803="",E803="",F803="",D803&lt;=E803),"",FLOOR((F803+K803)/(D803-E803),100))</f>
        <v/>
      </c>
      <c r="M803" s="25" t="str">
        <f aca="false">IF(OR(A803="",B803="",L803=""),"",IF(B803=1,L803,IFERROR(SUMIFS($G$2:$G$1001,$A$2:$A$1001,A803,$B$2:$B$1001,B803-1),0)))</f>
        <v/>
      </c>
      <c r="N803" s="25" t="str">
        <f aca="false">IF(OR(L803="",M803=""),"",MIN(L803,M803))</f>
        <v/>
      </c>
      <c r="O803" s="25" t="str">
        <f aca="false">IF(OR(I803="",G803=""),"",I803+G803)</f>
        <v/>
      </c>
      <c r="P803" s="24" t="str">
        <f aca="false">IF(OR(O803="",O803=0),"",(J803+H803)/O803)</f>
        <v/>
      </c>
      <c r="Q803" s="24" t="str">
        <f aca="false">IF(OR(O803="",E803=""),"",MAX(J803+H803-E803*O803,0))</f>
        <v/>
      </c>
      <c r="R803" s="26" t="str">
        <f aca="false">IF(A803="","",IF(COUNTIF(_TradeIds,A803)=0,"违规：交易编号不存在",IF(OR(B803="",B803&lt;1,B803&gt;5,B803&lt;&gt;INT(B803)),"违规：加仓序号须为1到5的整数",IF(COUNTIFS($A$2:$A$1001,A803,$B$2:$B$1001,B803)&gt;1,"违规：同一交易的加仓序号重复",IF(OR(D803="",E803="",F803=""),"计划不完整：请填写加仓价、新止损价和风险预算",IF(OR(D803&lt;=0,E803&lt;=0,F803&lt;=0,D803&lt;=E803),"违规：加仓价必须高于新止损价，金额须大于0",IF(AND(B803&gt;1,COUNTIFS($A$2:$A$1001,A803,$B$2:$B$1001,B803-1,$G$2:$G$1001,"&gt;0")=0),"违规：须先完成上一次加仓",IF(AND(B803&gt;1,E803&lt;SUMIFS($E$2:$E$1001,$A$2:$A$1001,A803,$B$2:$B$1001,B803-1)),"违规：新止损价不得低于上一次",IF(AND(B803&gt;1,F803&gt;SUMIFS($F$2:$F$1001,$A$2:$A$1001,A803,$B$2:$B$1001,B803-1)),"违规：风险预算须逐次不增加",IF(OR(_LockStatus="已锁仓",_LockStatus="解锁信息不完整"),"违规：锁仓期间禁止加仓",IF(G803="","计划可执行：建议股数见N列",IF(OR(G803&lt;=0,G803&lt;&gt;INT(G803),MOD(G803,100)&lt;&gt;0),"违规：实际股数须为100股整数倍",IF(G803&gt;N803,"违规：实际股数超过风险或金字塔上限",IF(AND(B803&gt;1,G803&gt;SUMIFS($G$2:$G$1001,$A$2:$A$1001,A803,$B$2:$B$1001,B803-1)),"违规：加仓股数须逐次不增加",IF(Q803&gt;F803,"违规：止损风险超过本次预算","通过")))))))))))))))</f>
        <v/>
      </c>
    </row>
    <row r="804" customFormat="false" ht="15" hidden="false" customHeight="false" outlineLevel="0" collapsed="false">
      <c r="A804" s="20"/>
      <c r="B804" s="21"/>
      <c r="C804" s="22"/>
      <c r="D804" s="23"/>
      <c r="E804" s="23"/>
      <c r="F804" s="23"/>
      <c r="G804" s="21"/>
      <c r="H804" s="24" t="str">
        <f aca="false">IF(OR(A804="",D804="",G804=""),"",D804*G804)</f>
        <v/>
      </c>
      <c r="I804" s="25" t="str">
        <f aca="false">IF(OR(A804="",B804=""),"",IFERROR(LOOKUP(2,1/(单次交易!$A$2:$A$201=A804),单次交易!$H$2:$H$201),0)+SUMIFS($G$2:$G$1001,$A$2:$A$1001,A804,$B$2:$B$1001,"&lt;"&amp;B804))</f>
        <v/>
      </c>
      <c r="J804" s="24" t="str">
        <f aca="false">IF(OR(A804="",B804=""),"",IFERROR(LOOKUP(2,1/(单次交易!$A$2:$A$201=A804),单次交易!$E$2:$E$201)*LOOKUP(2,1/(单次交易!$A$2:$A$201=A804),单次交易!$H$2:$H$201),0)+SUMIFS($H$2:$H$1001,$A$2:$A$1001,A804,$B$2:$B$1001,"&lt;"&amp;B804))</f>
        <v/>
      </c>
      <c r="K804" s="24" t="str">
        <f aca="false">IF(OR(E804="",I804="",J804=""),"",MAX(E804*I804-J804,0))</f>
        <v/>
      </c>
      <c r="L804" s="25" t="str">
        <f aca="false">IF(OR(D804="",E804="",F804="",D804&lt;=E804),"",FLOOR((F804+K804)/(D804-E804),100))</f>
        <v/>
      </c>
      <c r="M804" s="25" t="str">
        <f aca="false">IF(OR(A804="",B804="",L804=""),"",IF(B804=1,L804,IFERROR(SUMIFS($G$2:$G$1001,$A$2:$A$1001,A804,$B$2:$B$1001,B804-1),0)))</f>
        <v/>
      </c>
      <c r="N804" s="25" t="str">
        <f aca="false">IF(OR(L804="",M804=""),"",MIN(L804,M804))</f>
        <v/>
      </c>
      <c r="O804" s="25" t="str">
        <f aca="false">IF(OR(I804="",G804=""),"",I804+G804)</f>
        <v/>
      </c>
      <c r="P804" s="24" t="str">
        <f aca="false">IF(OR(O804="",O804=0),"",(J804+H804)/O804)</f>
        <v/>
      </c>
      <c r="Q804" s="24" t="str">
        <f aca="false">IF(OR(O804="",E804=""),"",MAX(J804+H804-E804*O804,0))</f>
        <v/>
      </c>
      <c r="R804" s="26" t="str">
        <f aca="false">IF(A804="","",IF(COUNTIF(_TradeIds,A804)=0,"违规：交易编号不存在",IF(OR(B804="",B804&lt;1,B804&gt;5,B804&lt;&gt;INT(B804)),"违规：加仓序号须为1到5的整数",IF(COUNTIFS($A$2:$A$1001,A804,$B$2:$B$1001,B804)&gt;1,"违规：同一交易的加仓序号重复",IF(OR(D804="",E804="",F804=""),"计划不完整：请填写加仓价、新止损价和风险预算",IF(OR(D804&lt;=0,E804&lt;=0,F804&lt;=0,D804&lt;=E804),"违规：加仓价必须高于新止损价，金额须大于0",IF(AND(B804&gt;1,COUNTIFS($A$2:$A$1001,A804,$B$2:$B$1001,B804-1,$G$2:$G$1001,"&gt;0")=0),"违规：须先完成上一次加仓",IF(AND(B804&gt;1,E804&lt;SUMIFS($E$2:$E$1001,$A$2:$A$1001,A804,$B$2:$B$1001,B804-1)),"违规：新止损价不得低于上一次",IF(AND(B804&gt;1,F804&gt;SUMIFS($F$2:$F$1001,$A$2:$A$1001,A804,$B$2:$B$1001,B804-1)),"违规：风险预算须逐次不增加",IF(OR(_LockStatus="已锁仓",_LockStatus="解锁信息不完整"),"违规：锁仓期间禁止加仓",IF(G804="","计划可执行：建议股数见N列",IF(OR(G804&lt;=0,G804&lt;&gt;INT(G804),MOD(G804,100)&lt;&gt;0),"违规：实际股数须为100股整数倍",IF(G804&gt;N804,"违规：实际股数超过风险或金字塔上限",IF(AND(B804&gt;1,G804&gt;SUMIFS($G$2:$G$1001,$A$2:$A$1001,A804,$B$2:$B$1001,B804-1)),"违规：加仓股数须逐次不增加",IF(Q804&gt;F804,"违规：止损风险超过本次预算","通过")))))))))))))))</f>
        <v/>
      </c>
    </row>
    <row r="805" customFormat="false" ht="15" hidden="false" customHeight="false" outlineLevel="0" collapsed="false">
      <c r="A805" s="20"/>
      <c r="B805" s="21"/>
      <c r="C805" s="22"/>
      <c r="D805" s="23"/>
      <c r="E805" s="23"/>
      <c r="F805" s="23"/>
      <c r="G805" s="21"/>
      <c r="H805" s="24" t="str">
        <f aca="false">IF(OR(A805="",D805="",G805=""),"",D805*G805)</f>
        <v/>
      </c>
      <c r="I805" s="25" t="str">
        <f aca="false">IF(OR(A805="",B805=""),"",IFERROR(LOOKUP(2,1/(单次交易!$A$2:$A$201=A805),单次交易!$H$2:$H$201),0)+SUMIFS($G$2:$G$1001,$A$2:$A$1001,A805,$B$2:$B$1001,"&lt;"&amp;B805))</f>
        <v/>
      </c>
      <c r="J805" s="24" t="str">
        <f aca="false">IF(OR(A805="",B805=""),"",IFERROR(LOOKUP(2,1/(单次交易!$A$2:$A$201=A805),单次交易!$E$2:$E$201)*LOOKUP(2,1/(单次交易!$A$2:$A$201=A805),单次交易!$H$2:$H$201),0)+SUMIFS($H$2:$H$1001,$A$2:$A$1001,A805,$B$2:$B$1001,"&lt;"&amp;B805))</f>
        <v/>
      </c>
      <c r="K805" s="24" t="str">
        <f aca="false">IF(OR(E805="",I805="",J805=""),"",MAX(E805*I805-J805,0))</f>
        <v/>
      </c>
      <c r="L805" s="25" t="str">
        <f aca="false">IF(OR(D805="",E805="",F805="",D805&lt;=E805),"",FLOOR((F805+K805)/(D805-E805),100))</f>
        <v/>
      </c>
      <c r="M805" s="25" t="str">
        <f aca="false">IF(OR(A805="",B805="",L805=""),"",IF(B805=1,L805,IFERROR(SUMIFS($G$2:$G$1001,$A$2:$A$1001,A805,$B$2:$B$1001,B805-1),0)))</f>
        <v/>
      </c>
      <c r="N805" s="25" t="str">
        <f aca="false">IF(OR(L805="",M805=""),"",MIN(L805,M805))</f>
        <v/>
      </c>
      <c r="O805" s="25" t="str">
        <f aca="false">IF(OR(I805="",G805=""),"",I805+G805)</f>
        <v/>
      </c>
      <c r="P805" s="24" t="str">
        <f aca="false">IF(OR(O805="",O805=0),"",(J805+H805)/O805)</f>
        <v/>
      </c>
      <c r="Q805" s="24" t="str">
        <f aca="false">IF(OR(O805="",E805=""),"",MAX(J805+H805-E805*O805,0))</f>
        <v/>
      </c>
      <c r="R805" s="26" t="str">
        <f aca="false">IF(A805="","",IF(COUNTIF(_TradeIds,A805)=0,"违规：交易编号不存在",IF(OR(B805="",B805&lt;1,B805&gt;5,B805&lt;&gt;INT(B805)),"违规：加仓序号须为1到5的整数",IF(COUNTIFS($A$2:$A$1001,A805,$B$2:$B$1001,B805)&gt;1,"违规：同一交易的加仓序号重复",IF(OR(D805="",E805="",F805=""),"计划不完整：请填写加仓价、新止损价和风险预算",IF(OR(D805&lt;=0,E805&lt;=0,F805&lt;=0,D805&lt;=E805),"违规：加仓价必须高于新止损价，金额须大于0",IF(AND(B805&gt;1,COUNTIFS($A$2:$A$1001,A805,$B$2:$B$1001,B805-1,$G$2:$G$1001,"&gt;0")=0),"违规：须先完成上一次加仓",IF(AND(B805&gt;1,E805&lt;SUMIFS($E$2:$E$1001,$A$2:$A$1001,A805,$B$2:$B$1001,B805-1)),"违规：新止损价不得低于上一次",IF(AND(B805&gt;1,F805&gt;SUMIFS($F$2:$F$1001,$A$2:$A$1001,A805,$B$2:$B$1001,B805-1)),"违规：风险预算须逐次不增加",IF(OR(_LockStatus="已锁仓",_LockStatus="解锁信息不完整"),"违规：锁仓期间禁止加仓",IF(G805="","计划可执行：建议股数见N列",IF(OR(G805&lt;=0,G805&lt;&gt;INT(G805),MOD(G805,100)&lt;&gt;0),"违规：实际股数须为100股整数倍",IF(G805&gt;N805,"违规：实际股数超过风险或金字塔上限",IF(AND(B805&gt;1,G805&gt;SUMIFS($G$2:$G$1001,$A$2:$A$1001,A805,$B$2:$B$1001,B805-1)),"违规：加仓股数须逐次不增加",IF(Q805&gt;F805,"违规：止损风险超过本次预算","通过")))))))))))))))</f>
        <v/>
      </c>
    </row>
    <row r="806" customFormat="false" ht="15" hidden="false" customHeight="false" outlineLevel="0" collapsed="false">
      <c r="A806" s="20"/>
      <c r="B806" s="21"/>
      <c r="C806" s="22"/>
      <c r="D806" s="23"/>
      <c r="E806" s="23"/>
      <c r="F806" s="23"/>
      <c r="G806" s="21"/>
      <c r="H806" s="24" t="str">
        <f aca="false">IF(OR(A806="",D806="",G806=""),"",D806*G806)</f>
        <v/>
      </c>
      <c r="I806" s="25" t="str">
        <f aca="false">IF(OR(A806="",B806=""),"",IFERROR(LOOKUP(2,1/(单次交易!$A$2:$A$201=A806),单次交易!$H$2:$H$201),0)+SUMIFS($G$2:$G$1001,$A$2:$A$1001,A806,$B$2:$B$1001,"&lt;"&amp;B806))</f>
        <v/>
      </c>
      <c r="J806" s="24" t="str">
        <f aca="false">IF(OR(A806="",B806=""),"",IFERROR(LOOKUP(2,1/(单次交易!$A$2:$A$201=A806),单次交易!$E$2:$E$201)*LOOKUP(2,1/(单次交易!$A$2:$A$201=A806),单次交易!$H$2:$H$201),0)+SUMIFS($H$2:$H$1001,$A$2:$A$1001,A806,$B$2:$B$1001,"&lt;"&amp;B806))</f>
        <v/>
      </c>
      <c r="K806" s="24" t="str">
        <f aca="false">IF(OR(E806="",I806="",J806=""),"",MAX(E806*I806-J806,0))</f>
        <v/>
      </c>
      <c r="L806" s="25" t="str">
        <f aca="false">IF(OR(D806="",E806="",F806="",D806&lt;=E806),"",FLOOR((F806+K806)/(D806-E806),100))</f>
        <v/>
      </c>
      <c r="M806" s="25" t="str">
        <f aca="false">IF(OR(A806="",B806="",L806=""),"",IF(B806=1,L806,IFERROR(SUMIFS($G$2:$G$1001,$A$2:$A$1001,A806,$B$2:$B$1001,B806-1),0)))</f>
        <v/>
      </c>
      <c r="N806" s="25" t="str">
        <f aca="false">IF(OR(L806="",M806=""),"",MIN(L806,M806))</f>
        <v/>
      </c>
      <c r="O806" s="25" t="str">
        <f aca="false">IF(OR(I806="",G806=""),"",I806+G806)</f>
        <v/>
      </c>
      <c r="P806" s="24" t="str">
        <f aca="false">IF(OR(O806="",O806=0),"",(J806+H806)/O806)</f>
        <v/>
      </c>
      <c r="Q806" s="24" t="str">
        <f aca="false">IF(OR(O806="",E806=""),"",MAX(J806+H806-E806*O806,0))</f>
        <v/>
      </c>
      <c r="R806" s="26" t="str">
        <f aca="false">IF(A806="","",IF(COUNTIF(_TradeIds,A806)=0,"违规：交易编号不存在",IF(OR(B806="",B806&lt;1,B806&gt;5,B806&lt;&gt;INT(B806)),"违规：加仓序号须为1到5的整数",IF(COUNTIFS($A$2:$A$1001,A806,$B$2:$B$1001,B806)&gt;1,"违规：同一交易的加仓序号重复",IF(OR(D806="",E806="",F806=""),"计划不完整：请填写加仓价、新止损价和风险预算",IF(OR(D806&lt;=0,E806&lt;=0,F806&lt;=0,D806&lt;=E806),"违规：加仓价必须高于新止损价，金额须大于0",IF(AND(B806&gt;1,COUNTIFS($A$2:$A$1001,A806,$B$2:$B$1001,B806-1,$G$2:$G$1001,"&gt;0")=0),"违规：须先完成上一次加仓",IF(AND(B806&gt;1,E806&lt;SUMIFS($E$2:$E$1001,$A$2:$A$1001,A806,$B$2:$B$1001,B806-1)),"违规：新止损价不得低于上一次",IF(AND(B806&gt;1,F806&gt;SUMIFS($F$2:$F$1001,$A$2:$A$1001,A806,$B$2:$B$1001,B806-1)),"违规：风险预算须逐次不增加",IF(OR(_LockStatus="已锁仓",_LockStatus="解锁信息不完整"),"违规：锁仓期间禁止加仓",IF(G806="","计划可执行：建议股数见N列",IF(OR(G806&lt;=0,G806&lt;&gt;INT(G806),MOD(G806,100)&lt;&gt;0),"违规：实际股数须为100股整数倍",IF(G806&gt;N806,"违规：实际股数超过风险或金字塔上限",IF(AND(B806&gt;1,G806&gt;SUMIFS($G$2:$G$1001,$A$2:$A$1001,A806,$B$2:$B$1001,B806-1)),"违规：加仓股数须逐次不增加",IF(Q806&gt;F806,"违规：止损风险超过本次预算","通过")))))))))))))))</f>
        <v/>
      </c>
    </row>
    <row r="807" customFormat="false" ht="15" hidden="false" customHeight="false" outlineLevel="0" collapsed="false">
      <c r="A807" s="20"/>
      <c r="B807" s="21"/>
      <c r="C807" s="22"/>
      <c r="D807" s="23"/>
      <c r="E807" s="23"/>
      <c r="F807" s="23"/>
      <c r="G807" s="21"/>
      <c r="H807" s="24" t="str">
        <f aca="false">IF(OR(A807="",D807="",G807=""),"",D807*G807)</f>
        <v/>
      </c>
      <c r="I807" s="25" t="str">
        <f aca="false">IF(OR(A807="",B807=""),"",IFERROR(LOOKUP(2,1/(单次交易!$A$2:$A$201=A807),单次交易!$H$2:$H$201),0)+SUMIFS($G$2:$G$1001,$A$2:$A$1001,A807,$B$2:$B$1001,"&lt;"&amp;B807))</f>
        <v/>
      </c>
      <c r="J807" s="24" t="str">
        <f aca="false">IF(OR(A807="",B807=""),"",IFERROR(LOOKUP(2,1/(单次交易!$A$2:$A$201=A807),单次交易!$E$2:$E$201)*LOOKUP(2,1/(单次交易!$A$2:$A$201=A807),单次交易!$H$2:$H$201),0)+SUMIFS($H$2:$H$1001,$A$2:$A$1001,A807,$B$2:$B$1001,"&lt;"&amp;B807))</f>
        <v/>
      </c>
      <c r="K807" s="24" t="str">
        <f aca="false">IF(OR(E807="",I807="",J807=""),"",MAX(E807*I807-J807,0))</f>
        <v/>
      </c>
      <c r="L807" s="25" t="str">
        <f aca="false">IF(OR(D807="",E807="",F807="",D807&lt;=E807),"",FLOOR((F807+K807)/(D807-E807),100))</f>
        <v/>
      </c>
      <c r="M807" s="25" t="str">
        <f aca="false">IF(OR(A807="",B807="",L807=""),"",IF(B807=1,L807,IFERROR(SUMIFS($G$2:$G$1001,$A$2:$A$1001,A807,$B$2:$B$1001,B807-1),0)))</f>
        <v/>
      </c>
      <c r="N807" s="25" t="str">
        <f aca="false">IF(OR(L807="",M807=""),"",MIN(L807,M807))</f>
        <v/>
      </c>
      <c r="O807" s="25" t="str">
        <f aca="false">IF(OR(I807="",G807=""),"",I807+G807)</f>
        <v/>
      </c>
      <c r="P807" s="24" t="str">
        <f aca="false">IF(OR(O807="",O807=0),"",(J807+H807)/O807)</f>
        <v/>
      </c>
      <c r="Q807" s="24" t="str">
        <f aca="false">IF(OR(O807="",E807=""),"",MAX(J807+H807-E807*O807,0))</f>
        <v/>
      </c>
      <c r="R807" s="26" t="str">
        <f aca="false">IF(A807="","",IF(COUNTIF(_TradeIds,A807)=0,"违规：交易编号不存在",IF(OR(B807="",B807&lt;1,B807&gt;5,B807&lt;&gt;INT(B807)),"违规：加仓序号须为1到5的整数",IF(COUNTIFS($A$2:$A$1001,A807,$B$2:$B$1001,B807)&gt;1,"违规：同一交易的加仓序号重复",IF(OR(D807="",E807="",F807=""),"计划不完整：请填写加仓价、新止损价和风险预算",IF(OR(D807&lt;=0,E807&lt;=0,F807&lt;=0,D807&lt;=E807),"违规：加仓价必须高于新止损价，金额须大于0",IF(AND(B807&gt;1,COUNTIFS($A$2:$A$1001,A807,$B$2:$B$1001,B807-1,$G$2:$G$1001,"&gt;0")=0),"违规：须先完成上一次加仓",IF(AND(B807&gt;1,E807&lt;SUMIFS($E$2:$E$1001,$A$2:$A$1001,A807,$B$2:$B$1001,B807-1)),"违规：新止损价不得低于上一次",IF(AND(B807&gt;1,F807&gt;SUMIFS($F$2:$F$1001,$A$2:$A$1001,A807,$B$2:$B$1001,B807-1)),"违规：风险预算须逐次不增加",IF(OR(_LockStatus="已锁仓",_LockStatus="解锁信息不完整"),"违规：锁仓期间禁止加仓",IF(G807="","计划可执行：建议股数见N列",IF(OR(G807&lt;=0,G807&lt;&gt;INT(G807),MOD(G807,100)&lt;&gt;0),"违规：实际股数须为100股整数倍",IF(G807&gt;N807,"违规：实际股数超过风险或金字塔上限",IF(AND(B807&gt;1,G807&gt;SUMIFS($G$2:$G$1001,$A$2:$A$1001,A807,$B$2:$B$1001,B807-1)),"违规：加仓股数须逐次不增加",IF(Q807&gt;F807,"违规：止损风险超过本次预算","通过")))))))))))))))</f>
        <v/>
      </c>
    </row>
    <row r="808" customFormat="false" ht="15" hidden="false" customHeight="false" outlineLevel="0" collapsed="false">
      <c r="A808" s="20"/>
      <c r="B808" s="21"/>
      <c r="C808" s="22"/>
      <c r="D808" s="23"/>
      <c r="E808" s="23"/>
      <c r="F808" s="23"/>
      <c r="G808" s="21"/>
      <c r="H808" s="24" t="str">
        <f aca="false">IF(OR(A808="",D808="",G808=""),"",D808*G808)</f>
        <v/>
      </c>
      <c r="I808" s="25" t="str">
        <f aca="false">IF(OR(A808="",B808=""),"",IFERROR(LOOKUP(2,1/(单次交易!$A$2:$A$201=A808),单次交易!$H$2:$H$201),0)+SUMIFS($G$2:$G$1001,$A$2:$A$1001,A808,$B$2:$B$1001,"&lt;"&amp;B808))</f>
        <v/>
      </c>
      <c r="J808" s="24" t="str">
        <f aca="false">IF(OR(A808="",B808=""),"",IFERROR(LOOKUP(2,1/(单次交易!$A$2:$A$201=A808),单次交易!$E$2:$E$201)*LOOKUP(2,1/(单次交易!$A$2:$A$201=A808),单次交易!$H$2:$H$201),0)+SUMIFS($H$2:$H$1001,$A$2:$A$1001,A808,$B$2:$B$1001,"&lt;"&amp;B808))</f>
        <v/>
      </c>
      <c r="K808" s="24" t="str">
        <f aca="false">IF(OR(E808="",I808="",J808=""),"",MAX(E808*I808-J808,0))</f>
        <v/>
      </c>
      <c r="L808" s="25" t="str">
        <f aca="false">IF(OR(D808="",E808="",F808="",D808&lt;=E808),"",FLOOR((F808+K808)/(D808-E808),100))</f>
        <v/>
      </c>
      <c r="M808" s="25" t="str">
        <f aca="false">IF(OR(A808="",B808="",L808=""),"",IF(B808=1,L808,IFERROR(SUMIFS($G$2:$G$1001,$A$2:$A$1001,A808,$B$2:$B$1001,B808-1),0)))</f>
        <v/>
      </c>
      <c r="N808" s="25" t="str">
        <f aca="false">IF(OR(L808="",M808=""),"",MIN(L808,M808))</f>
        <v/>
      </c>
      <c r="O808" s="25" t="str">
        <f aca="false">IF(OR(I808="",G808=""),"",I808+G808)</f>
        <v/>
      </c>
      <c r="P808" s="24" t="str">
        <f aca="false">IF(OR(O808="",O808=0),"",(J808+H808)/O808)</f>
        <v/>
      </c>
      <c r="Q808" s="24" t="str">
        <f aca="false">IF(OR(O808="",E808=""),"",MAX(J808+H808-E808*O808,0))</f>
        <v/>
      </c>
      <c r="R808" s="26" t="str">
        <f aca="false">IF(A808="","",IF(COUNTIF(_TradeIds,A808)=0,"违规：交易编号不存在",IF(OR(B808="",B808&lt;1,B808&gt;5,B808&lt;&gt;INT(B808)),"违规：加仓序号须为1到5的整数",IF(COUNTIFS($A$2:$A$1001,A808,$B$2:$B$1001,B808)&gt;1,"违规：同一交易的加仓序号重复",IF(OR(D808="",E808="",F808=""),"计划不完整：请填写加仓价、新止损价和风险预算",IF(OR(D808&lt;=0,E808&lt;=0,F808&lt;=0,D808&lt;=E808),"违规：加仓价必须高于新止损价，金额须大于0",IF(AND(B808&gt;1,COUNTIFS($A$2:$A$1001,A808,$B$2:$B$1001,B808-1,$G$2:$G$1001,"&gt;0")=0),"违规：须先完成上一次加仓",IF(AND(B808&gt;1,E808&lt;SUMIFS($E$2:$E$1001,$A$2:$A$1001,A808,$B$2:$B$1001,B808-1)),"违规：新止损价不得低于上一次",IF(AND(B808&gt;1,F808&gt;SUMIFS($F$2:$F$1001,$A$2:$A$1001,A808,$B$2:$B$1001,B808-1)),"违规：风险预算须逐次不增加",IF(OR(_LockStatus="已锁仓",_LockStatus="解锁信息不完整"),"违规：锁仓期间禁止加仓",IF(G808="","计划可执行：建议股数见N列",IF(OR(G808&lt;=0,G808&lt;&gt;INT(G808),MOD(G808,100)&lt;&gt;0),"违规：实际股数须为100股整数倍",IF(G808&gt;N808,"违规：实际股数超过风险或金字塔上限",IF(AND(B808&gt;1,G808&gt;SUMIFS($G$2:$G$1001,$A$2:$A$1001,A808,$B$2:$B$1001,B808-1)),"违规：加仓股数须逐次不增加",IF(Q808&gt;F808,"违规：止损风险超过本次预算","通过")))))))))))))))</f>
        <v/>
      </c>
    </row>
    <row r="809" customFormat="false" ht="15" hidden="false" customHeight="false" outlineLevel="0" collapsed="false">
      <c r="A809" s="20"/>
      <c r="B809" s="21"/>
      <c r="C809" s="22"/>
      <c r="D809" s="23"/>
      <c r="E809" s="23"/>
      <c r="F809" s="23"/>
      <c r="G809" s="21"/>
      <c r="H809" s="24" t="str">
        <f aca="false">IF(OR(A809="",D809="",G809=""),"",D809*G809)</f>
        <v/>
      </c>
      <c r="I809" s="25" t="str">
        <f aca="false">IF(OR(A809="",B809=""),"",IFERROR(LOOKUP(2,1/(单次交易!$A$2:$A$201=A809),单次交易!$H$2:$H$201),0)+SUMIFS($G$2:$G$1001,$A$2:$A$1001,A809,$B$2:$B$1001,"&lt;"&amp;B809))</f>
        <v/>
      </c>
      <c r="J809" s="24" t="str">
        <f aca="false">IF(OR(A809="",B809=""),"",IFERROR(LOOKUP(2,1/(单次交易!$A$2:$A$201=A809),单次交易!$E$2:$E$201)*LOOKUP(2,1/(单次交易!$A$2:$A$201=A809),单次交易!$H$2:$H$201),0)+SUMIFS($H$2:$H$1001,$A$2:$A$1001,A809,$B$2:$B$1001,"&lt;"&amp;B809))</f>
        <v/>
      </c>
      <c r="K809" s="24" t="str">
        <f aca="false">IF(OR(E809="",I809="",J809=""),"",MAX(E809*I809-J809,0))</f>
        <v/>
      </c>
      <c r="L809" s="25" t="str">
        <f aca="false">IF(OR(D809="",E809="",F809="",D809&lt;=E809),"",FLOOR((F809+K809)/(D809-E809),100))</f>
        <v/>
      </c>
      <c r="M809" s="25" t="str">
        <f aca="false">IF(OR(A809="",B809="",L809=""),"",IF(B809=1,L809,IFERROR(SUMIFS($G$2:$G$1001,$A$2:$A$1001,A809,$B$2:$B$1001,B809-1),0)))</f>
        <v/>
      </c>
      <c r="N809" s="25" t="str">
        <f aca="false">IF(OR(L809="",M809=""),"",MIN(L809,M809))</f>
        <v/>
      </c>
      <c r="O809" s="25" t="str">
        <f aca="false">IF(OR(I809="",G809=""),"",I809+G809)</f>
        <v/>
      </c>
      <c r="P809" s="24" t="str">
        <f aca="false">IF(OR(O809="",O809=0),"",(J809+H809)/O809)</f>
        <v/>
      </c>
      <c r="Q809" s="24" t="str">
        <f aca="false">IF(OR(O809="",E809=""),"",MAX(J809+H809-E809*O809,0))</f>
        <v/>
      </c>
      <c r="R809" s="26" t="str">
        <f aca="false">IF(A809="","",IF(COUNTIF(_TradeIds,A809)=0,"违规：交易编号不存在",IF(OR(B809="",B809&lt;1,B809&gt;5,B809&lt;&gt;INT(B809)),"违规：加仓序号须为1到5的整数",IF(COUNTIFS($A$2:$A$1001,A809,$B$2:$B$1001,B809)&gt;1,"违规：同一交易的加仓序号重复",IF(OR(D809="",E809="",F809=""),"计划不完整：请填写加仓价、新止损价和风险预算",IF(OR(D809&lt;=0,E809&lt;=0,F809&lt;=0,D809&lt;=E809),"违规：加仓价必须高于新止损价，金额须大于0",IF(AND(B809&gt;1,COUNTIFS($A$2:$A$1001,A809,$B$2:$B$1001,B809-1,$G$2:$G$1001,"&gt;0")=0),"违规：须先完成上一次加仓",IF(AND(B809&gt;1,E809&lt;SUMIFS($E$2:$E$1001,$A$2:$A$1001,A809,$B$2:$B$1001,B809-1)),"违规：新止损价不得低于上一次",IF(AND(B809&gt;1,F809&gt;SUMIFS($F$2:$F$1001,$A$2:$A$1001,A809,$B$2:$B$1001,B809-1)),"违规：风险预算须逐次不增加",IF(OR(_LockStatus="已锁仓",_LockStatus="解锁信息不完整"),"违规：锁仓期间禁止加仓",IF(G809="","计划可执行：建议股数见N列",IF(OR(G809&lt;=0,G809&lt;&gt;INT(G809),MOD(G809,100)&lt;&gt;0),"违规：实际股数须为100股整数倍",IF(G809&gt;N809,"违规：实际股数超过风险或金字塔上限",IF(AND(B809&gt;1,G809&gt;SUMIFS($G$2:$G$1001,$A$2:$A$1001,A809,$B$2:$B$1001,B809-1)),"违规：加仓股数须逐次不增加",IF(Q809&gt;F809,"违规：止损风险超过本次预算","通过")))))))))))))))</f>
        <v/>
      </c>
    </row>
    <row r="810" customFormat="false" ht="15" hidden="false" customHeight="false" outlineLevel="0" collapsed="false">
      <c r="A810" s="20"/>
      <c r="B810" s="21"/>
      <c r="C810" s="22"/>
      <c r="D810" s="23"/>
      <c r="E810" s="23"/>
      <c r="F810" s="23"/>
      <c r="G810" s="21"/>
      <c r="H810" s="24" t="str">
        <f aca="false">IF(OR(A810="",D810="",G810=""),"",D810*G810)</f>
        <v/>
      </c>
      <c r="I810" s="25" t="str">
        <f aca="false">IF(OR(A810="",B810=""),"",IFERROR(LOOKUP(2,1/(单次交易!$A$2:$A$201=A810),单次交易!$H$2:$H$201),0)+SUMIFS($G$2:$G$1001,$A$2:$A$1001,A810,$B$2:$B$1001,"&lt;"&amp;B810))</f>
        <v/>
      </c>
      <c r="J810" s="24" t="str">
        <f aca="false">IF(OR(A810="",B810=""),"",IFERROR(LOOKUP(2,1/(单次交易!$A$2:$A$201=A810),单次交易!$E$2:$E$201)*LOOKUP(2,1/(单次交易!$A$2:$A$201=A810),单次交易!$H$2:$H$201),0)+SUMIFS($H$2:$H$1001,$A$2:$A$1001,A810,$B$2:$B$1001,"&lt;"&amp;B810))</f>
        <v/>
      </c>
      <c r="K810" s="24" t="str">
        <f aca="false">IF(OR(E810="",I810="",J810=""),"",MAX(E810*I810-J810,0))</f>
        <v/>
      </c>
      <c r="L810" s="25" t="str">
        <f aca="false">IF(OR(D810="",E810="",F810="",D810&lt;=E810),"",FLOOR((F810+K810)/(D810-E810),100))</f>
        <v/>
      </c>
      <c r="M810" s="25" t="str">
        <f aca="false">IF(OR(A810="",B810="",L810=""),"",IF(B810=1,L810,IFERROR(SUMIFS($G$2:$G$1001,$A$2:$A$1001,A810,$B$2:$B$1001,B810-1),0)))</f>
        <v/>
      </c>
      <c r="N810" s="25" t="str">
        <f aca="false">IF(OR(L810="",M810=""),"",MIN(L810,M810))</f>
        <v/>
      </c>
      <c r="O810" s="25" t="str">
        <f aca="false">IF(OR(I810="",G810=""),"",I810+G810)</f>
        <v/>
      </c>
      <c r="P810" s="24" t="str">
        <f aca="false">IF(OR(O810="",O810=0),"",(J810+H810)/O810)</f>
        <v/>
      </c>
      <c r="Q810" s="24" t="str">
        <f aca="false">IF(OR(O810="",E810=""),"",MAX(J810+H810-E810*O810,0))</f>
        <v/>
      </c>
      <c r="R810" s="26" t="str">
        <f aca="false">IF(A810="","",IF(COUNTIF(_TradeIds,A810)=0,"违规：交易编号不存在",IF(OR(B810="",B810&lt;1,B810&gt;5,B810&lt;&gt;INT(B810)),"违规：加仓序号须为1到5的整数",IF(COUNTIFS($A$2:$A$1001,A810,$B$2:$B$1001,B810)&gt;1,"违规：同一交易的加仓序号重复",IF(OR(D810="",E810="",F810=""),"计划不完整：请填写加仓价、新止损价和风险预算",IF(OR(D810&lt;=0,E810&lt;=0,F810&lt;=0,D810&lt;=E810),"违规：加仓价必须高于新止损价，金额须大于0",IF(AND(B810&gt;1,COUNTIFS($A$2:$A$1001,A810,$B$2:$B$1001,B810-1,$G$2:$G$1001,"&gt;0")=0),"违规：须先完成上一次加仓",IF(AND(B810&gt;1,E810&lt;SUMIFS($E$2:$E$1001,$A$2:$A$1001,A810,$B$2:$B$1001,B810-1)),"违规：新止损价不得低于上一次",IF(AND(B810&gt;1,F810&gt;SUMIFS($F$2:$F$1001,$A$2:$A$1001,A810,$B$2:$B$1001,B810-1)),"违规：风险预算须逐次不增加",IF(OR(_LockStatus="已锁仓",_LockStatus="解锁信息不完整"),"违规：锁仓期间禁止加仓",IF(G810="","计划可执行：建议股数见N列",IF(OR(G810&lt;=0,G810&lt;&gt;INT(G810),MOD(G810,100)&lt;&gt;0),"违规：实际股数须为100股整数倍",IF(G810&gt;N810,"违规：实际股数超过风险或金字塔上限",IF(AND(B810&gt;1,G810&gt;SUMIFS($G$2:$G$1001,$A$2:$A$1001,A810,$B$2:$B$1001,B810-1)),"违规：加仓股数须逐次不增加",IF(Q810&gt;F810,"违规：止损风险超过本次预算","通过")))))))))))))))</f>
        <v/>
      </c>
    </row>
    <row r="811" customFormat="false" ht="15" hidden="false" customHeight="false" outlineLevel="0" collapsed="false">
      <c r="A811" s="20"/>
      <c r="B811" s="21"/>
      <c r="C811" s="22"/>
      <c r="D811" s="23"/>
      <c r="E811" s="23"/>
      <c r="F811" s="23"/>
      <c r="G811" s="21"/>
      <c r="H811" s="24" t="str">
        <f aca="false">IF(OR(A811="",D811="",G811=""),"",D811*G811)</f>
        <v/>
      </c>
      <c r="I811" s="25" t="str">
        <f aca="false">IF(OR(A811="",B811=""),"",IFERROR(LOOKUP(2,1/(单次交易!$A$2:$A$201=A811),单次交易!$H$2:$H$201),0)+SUMIFS($G$2:$G$1001,$A$2:$A$1001,A811,$B$2:$B$1001,"&lt;"&amp;B811))</f>
        <v/>
      </c>
      <c r="J811" s="24" t="str">
        <f aca="false">IF(OR(A811="",B811=""),"",IFERROR(LOOKUP(2,1/(单次交易!$A$2:$A$201=A811),单次交易!$E$2:$E$201)*LOOKUP(2,1/(单次交易!$A$2:$A$201=A811),单次交易!$H$2:$H$201),0)+SUMIFS($H$2:$H$1001,$A$2:$A$1001,A811,$B$2:$B$1001,"&lt;"&amp;B811))</f>
        <v/>
      </c>
      <c r="K811" s="24" t="str">
        <f aca="false">IF(OR(E811="",I811="",J811=""),"",MAX(E811*I811-J811,0))</f>
        <v/>
      </c>
      <c r="L811" s="25" t="str">
        <f aca="false">IF(OR(D811="",E811="",F811="",D811&lt;=E811),"",FLOOR((F811+K811)/(D811-E811),100))</f>
        <v/>
      </c>
      <c r="M811" s="25" t="str">
        <f aca="false">IF(OR(A811="",B811="",L811=""),"",IF(B811=1,L811,IFERROR(SUMIFS($G$2:$G$1001,$A$2:$A$1001,A811,$B$2:$B$1001,B811-1),0)))</f>
        <v/>
      </c>
      <c r="N811" s="25" t="str">
        <f aca="false">IF(OR(L811="",M811=""),"",MIN(L811,M811))</f>
        <v/>
      </c>
      <c r="O811" s="25" t="str">
        <f aca="false">IF(OR(I811="",G811=""),"",I811+G811)</f>
        <v/>
      </c>
      <c r="P811" s="24" t="str">
        <f aca="false">IF(OR(O811="",O811=0),"",(J811+H811)/O811)</f>
        <v/>
      </c>
      <c r="Q811" s="24" t="str">
        <f aca="false">IF(OR(O811="",E811=""),"",MAX(J811+H811-E811*O811,0))</f>
        <v/>
      </c>
      <c r="R811" s="26" t="str">
        <f aca="false">IF(A811="","",IF(COUNTIF(_TradeIds,A811)=0,"违规：交易编号不存在",IF(OR(B811="",B811&lt;1,B811&gt;5,B811&lt;&gt;INT(B811)),"违规：加仓序号须为1到5的整数",IF(COUNTIFS($A$2:$A$1001,A811,$B$2:$B$1001,B811)&gt;1,"违规：同一交易的加仓序号重复",IF(OR(D811="",E811="",F811=""),"计划不完整：请填写加仓价、新止损价和风险预算",IF(OR(D811&lt;=0,E811&lt;=0,F811&lt;=0,D811&lt;=E811),"违规：加仓价必须高于新止损价，金额须大于0",IF(AND(B811&gt;1,COUNTIFS($A$2:$A$1001,A811,$B$2:$B$1001,B811-1,$G$2:$G$1001,"&gt;0")=0),"违规：须先完成上一次加仓",IF(AND(B811&gt;1,E811&lt;SUMIFS($E$2:$E$1001,$A$2:$A$1001,A811,$B$2:$B$1001,B811-1)),"违规：新止损价不得低于上一次",IF(AND(B811&gt;1,F811&gt;SUMIFS($F$2:$F$1001,$A$2:$A$1001,A811,$B$2:$B$1001,B811-1)),"违规：风险预算须逐次不增加",IF(OR(_LockStatus="已锁仓",_LockStatus="解锁信息不完整"),"违规：锁仓期间禁止加仓",IF(G811="","计划可执行：建议股数见N列",IF(OR(G811&lt;=0,G811&lt;&gt;INT(G811),MOD(G811,100)&lt;&gt;0),"违规：实际股数须为100股整数倍",IF(G811&gt;N811,"违规：实际股数超过风险或金字塔上限",IF(AND(B811&gt;1,G811&gt;SUMIFS($G$2:$G$1001,$A$2:$A$1001,A811,$B$2:$B$1001,B811-1)),"违规：加仓股数须逐次不增加",IF(Q811&gt;F811,"违规：止损风险超过本次预算","通过")))))))))))))))</f>
        <v/>
      </c>
    </row>
    <row r="812" customFormat="false" ht="15" hidden="false" customHeight="false" outlineLevel="0" collapsed="false">
      <c r="A812" s="20"/>
      <c r="B812" s="21"/>
      <c r="C812" s="22"/>
      <c r="D812" s="23"/>
      <c r="E812" s="23"/>
      <c r="F812" s="23"/>
      <c r="G812" s="21"/>
      <c r="H812" s="24" t="str">
        <f aca="false">IF(OR(A812="",D812="",G812=""),"",D812*G812)</f>
        <v/>
      </c>
      <c r="I812" s="25" t="str">
        <f aca="false">IF(OR(A812="",B812=""),"",IFERROR(LOOKUP(2,1/(单次交易!$A$2:$A$201=A812),单次交易!$H$2:$H$201),0)+SUMIFS($G$2:$G$1001,$A$2:$A$1001,A812,$B$2:$B$1001,"&lt;"&amp;B812))</f>
        <v/>
      </c>
      <c r="J812" s="24" t="str">
        <f aca="false">IF(OR(A812="",B812=""),"",IFERROR(LOOKUP(2,1/(单次交易!$A$2:$A$201=A812),单次交易!$E$2:$E$201)*LOOKUP(2,1/(单次交易!$A$2:$A$201=A812),单次交易!$H$2:$H$201),0)+SUMIFS($H$2:$H$1001,$A$2:$A$1001,A812,$B$2:$B$1001,"&lt;"&amp;B812))</f>
        <v/>
      </c>
      <c r="K812" s="24" t="str">
        <f aca="false">IF(OR(E812="",I812="",J812=""),"",MAX(E812*I812-J812,0))</f>
        <v/>
      </c>
      <c r="L812" s="25" t="str">
        <f aca="false">IF(OR(D812="",E812="",F812="",D812&lt;=E812),"",FLOOR((F812+K812)/(D812-E812),100))</f>
        <v/>
      </c>
      <c r="M812" s="25" t="str">
        <f aca="false">IF(OR(A812="",B812="",L812=""),"",IF(B812=1,L812,IFERROR(SUMIFS($G$2:$G$1001,$A$2:$A$1001,A812,$B$2:$B$1001,B812-1),0)))</f>
        <v/>
      </c>
      <c r="N812" s="25" t="str">
        <f aca="false">IF(OR(L812="",M812=""),"",MIN(L812,M812))</f>
        <v/>
      </c>
      <c r="O812" s="25" t="str">
        <f aca="false">IF(OR(I812="",G812=""),"",I812+G812)</f>
        <v/>
      </c>
      <c r="P812" s="24" t="str">
        <f aca="false">IF(OR(O812="",O812=0),"",(J812+H812)/O812)</f>
        <v/>
      </c>
      <c r="Q812" s="24" t="str">
        <f aca="false">IF(OR(O812="",E812=""),"",MAX(J812+H812-E812*O812,0))</f>
        <v/>
      </c>
      <c r="R812" s="26" t="str">
        <f aca="false">IF(A812="","",IF(COUNTIF(_TradeIds,A812)=0,"违规：交易编号不存在",IF(OR(B812="",B812&lt;1,B812&gt;5,B812&lt;&gt;INT(B812)),"违规：加仓序号须为1到5的整数",IF(COUNTIFS($A$2:$A$1001,A812,$B$2:$B$1001,B812)&gt;1,"违规：同一交易的加仓序号重复",IF(OR(D812="",E812="",F812=""),"计划不完整：请填写加仓价、新止损价和风险预算",IF(OR(D812&lt;=0,E812&lt;=0,F812&lt;=0,D812&lt;=E812),"违规：加仓价必须高于新止损价，金额须大于0",IF(AND(B812&gt;1,COUNTIFS($A$2:$A$1001,A812,$B$2:$B$1001,B812-1,$G$2:$G$1001,"&gt;0")=0),"违规：须先完成上一次加仓",IF(AND(B812&gt;1,E812&lt;SUMIFS($E$2:$E$1001,$A$2:$A$1001,A812,$B$2:$B$1001,B812-1)),"违规：新止损价不得低于上一次",IF(AND(B812&gt;1,F812&gt;SUMIFS($F$2:$F$1001,$A$2:$A$1001,A812,$B$2:$B$1001,B812-1)),"违规：风险预算须逐次不增加",IF(OR(_LockStatus="已锁仓",_LockStatus="解锁信息不完整"),"违规：锁仓期间禁止加仓",IF(G812="","计划可执行：建议股数见N列",IF(OR(G812&lt;=0,G812&lt;&gt;INT(G812),MOD(G812,100)&lt;&gt;0),"违规：实际股数须为100股整数倍",IF(G812&gt;N812,"违规：实际股数超过风险或金字塔上限",IF(AND(B812&gt;1,G812&gt;SUMIFS($G$2:$G$1001,$A$2:$A$1001,A812,$B$2:$B$1001,B812-1)),"违规：加仓股数须逐次不增加",IF(Q812&gt;F812,"违规：止损风险超过本次预算","通过")))))))))))))))</f>
        <v/>
      </c>
    </row>
    <row r="813" customFormat="false" ht="15" hidden="false" customHeight="false" outlineLevel="0" collapsed="false">
      <c r="A813" s="20"/>
      <c r="B813" s="21"/>
      <c r="C813" s="22"/>
      <c r="D813" s="23"/>
      <c r="E813" s="23"/>
      <c r="F813" s="23"/>
      <c r="G813" s="21"/>
      <c r="H813" s="24" t="str">
        <f aca="false">IF(OR(A813="",D813="",G813=""),"",D813*G813)</f>
        <v/>
      </c>
      <c r="I813" s="25" t="str">
        <f aca="false">IF(OR(A813="",B813=""),"",IFERROR(LOOKUP(2,1/(单次交易!$A$2:$A$201=A813),单次交易!$H$2:$H$201),0)+SUMIFS($G$2:$G$1001,$A$2:$A$1001,A813,$B$2:$B$1001,"&lt;"&amp;B813))</f>
        <v/>
      </c>
      <c r="J813" s="24" t="str">
        <f aca="false">IF(OR(A813="",B813=""),"",IFERROR(LOOKUP(2,1/(单次交易!$A$2:$A$201=A813),单次交易!$E$2:$E$201)*LOOKUP(2,1/(单次交易!$A$2:$A$201=A813),单次交易!$H$2:$H$201),0)+SUMIFS($H$2:$H$1001,$A$2:$A$1001,A813,$B$2:$B$1001,"&lt;"&amp;B813))</f>
        <v/>
      </c>
      <c r="K813" s="24" t="str">
        <f aca="false">IF(OR(E813="",I813="",J813=""),"",MAX(E813*I813-J813,0))</f>
        <v/>
      </c>
      <c r="L813" s="25" t="str">
        <f aca="false">IF(OR(D813="",E813="",F813="",D813&lt;=E813),"",FLOOR((F813+K813)/(D813-E813),100))</f>
        <v/>
      </c>
      <c r="M813" s="25" t="str">
        <f aca="false">IF(OR(A813="",B813="",L813=""),"",IF(B813=1,L813,IFERROR(SUMIFS($G$2:$G$1001,$A$2:$A$1001,A813,$B$2:$B$1001,B813-1),0)))</f>
        <v/>
      </c>
      <c r="N813" s="25" t="str">
        <f aca="false">IF(OR(L813="",M813=""),"",MIN(L813,M813))</f>
        <v/>
      </c>
      <c r="O813" s="25" t="str">
        <f aca="false">IF(OR(I813="",G813=""),"",I813+G813)</f>
        <v/>
      </c>
      <c r="P813" s="24" t="str">
        <f aca="false">IF(OR(O813="",O813=0),"",(J813+H813)/O813)</f>
        <v/>
      </c>
      <c r="Q813" s="24" t="str">
        <f aca="false">IF(OR(O813="",E813=""),"",MAX(J813+H813-E813*O813,0))</f>
        <v/>
      </c>
      <c r="R813" s="26" t="str">
        <f aca="false">IF(A813="","",IF(COUNTIF(_TradeIds,A813)=0,"违规：交易编号不存在",IF(OR(B813="",B813&lt;1,B813&gt;5,B813&lt;&gt;INT(B813)),"违规：加仓序号须为1到5的整数",IF(COUNTIFS($A$2:$A$1001,A813,$B$2:$B$1001,B813)&gt;1,"违规：同一交易的加仓序号重复",IF(OR(D813="",E813="",F813=""),"计划不完整：请填写加仓价、新止损价和风险预算",IF(OR(D813&lt;=0,E813&lt;=0,F813&lt;=0,D813&lt;=E813),"违规：加仓价必须高于新止损价，金额须大于0",IF(AND(B813&gt;1,COUNTIFS($A$2:$A$1001,A813,$B$2:$B$1001,B813-1,$G$2:$G$1001,"&gt;0")=0),"违规：须先完成上一次加仓",IF(AND(B813&gt;1,E813&lt;SUMIFS($E$2:$E$1001,$A$2:$A$1001,A813,$B$2:$B$1001,B813-1)),"违规：新止损价不得低于上一次",IF(AND(B813&gt;1,F813&gt;SUMIFS($F$2:$F$1001,$A$2:$A$1001,A813,$B$2:$B$1001,B813-1)),"违规：风险预算须逐次不增加",IF(OR(_LockStatus="已锁仓",_LockStatus="解锁信息不完整"),"违规：锁仓期间禁止加仓",IF(G813="","计划可执行：建议股数见N列",IF(OR(G813&lt;=0,G813&lt;&gt;INT(G813),MOD(G813,100)&lt;&gt;0),"违规：实际股数须为100股整数倍",IF(G813&gt;N813,"违规：实际股数超过风险或金字塔上限",IF(AND(B813&gt;1,G813&gt;SUMIFS($G$2:$G$1001,$A$2:$A$1001,A813,$B$2:$B$1001,B813-1)),"违规：加仓股数须逐次不增加",IF(Q813&gt;F813,"违规：止损风险超过本次预算","通过")))))))))))))))</f>
        <v/>
      </c>
    </row>
    <row r="814" customFormat="false" ht="15" hidden="false" customHeight="false" outlineLevel="0" collapsed="false">
      <c r="A814" s="20"/>
      <c r="B814" s="21"/>
      <c r="C814" s="22"/>
      <c r="D814" s="23"/>
      <c r="E814" s="23"/>
      <c r="F814" s="23"/>
      <c r="G814" s="21"/>
      <c r="H814" s="24" t="str">
        <f aca="false">IF(OR(A814="",D814="",G814=""),"",D814*G814)</f>
        <v/>
      </c>
      <c r="I814" s="25" t="str">
        <f aca="false">IF(OR(A814="",B814=""),"",IFERROR(LOOKUP(2,1/(单次交易!$A$2:$A$201=A814),单次交易!$H$2:$H$201),0)+SUMIFS($G$2:$G$1001,$A$2:$A$1001,A814,$B$2:$B$1001,"&lt;"&amp;B814))</f>
        <v/>
      </c>
      <c r="J814" s="24" t="str">
        <f aca="false">IF(OR(A814="",B814=""),"",IFERROR(LOOKUP(2,1/(单次交易!$A$2:$A$201=A814),单次交易!$E$2:$E$201)*LOOKUP(2,1/(单次交易!$A$2:$A$201=A814),单次交易!$H$2:$H$201),0)+SUMIFS($H$2:$H$1001,$A$2:$A$1001,A814,$B$2:$B$1001,"&lt;"&amp;B814))</f>
        <v/>
      </c>
      <c r="K814" s="24" t="str">
        <f aca="false">IF(OR(E814="",I814="",J814=""),"",MAX(E814*I814-J814,0))</f>
        <v/>
      </c>
      <c r="L814" s="25" t="str">
        <f aca="false">IF(OR(D814="",E814="",F814="",D814&lt;=E814),"",FLOOR((F814+K814)/(D814-E814),100))</f>
        <v/>
      </c>
      <c r="M814" s="25" t="str">
        <f aca="false">IF(OR(A814="",B814="",L814=""),"",IF(B814=1,L814,IFERROR(SUMIFS($G$2:$G$1001,$A$2:$A$1001,A814,$B$2:$B$1001,B814-1),0)))</f>
        <v/>
      </c>
      <c r="N814" s="25" t="str">
        <f aca="false">IF(OR(L814="",M814=""),"",MIN(L814,M814))</f>
        <v/>
      </c>
      <c r="O814" s="25" t="str">
        <f aca="false">IF(OR(I814="",G814=""),"",I814+G814)</f>
        <v/>
      </c>
      <c r="P814" s="24" t="str">
        <f aca="false">IF(OR(O814="",O814=0),"",(J814+H814)/O814)</f>
        <v/>
      </c>
      <c r="Q814" s="24" t="str">
        <f aca="false">IF(OR(O814="",E814=""),"",MAX(J814+H814-E814*O814,0))</f>
        <v/>
      </c>
      <c r="R814" s="26" t="str">
        <f aca="false">IF(A814="","",IF(COUNTIF(_TradeIds,A814)=0,"违规：交易编号不存在",IF(OR(B814="",B814&lt;1,B814&gt;5,B814&lt;&gt;INT(B814)),"违规：加仓序号须为1到5的整数",IF(COUNTIFS($A$2:$A$1001,A814,$B$2:$B$1001,B814)&gt;1,"违规：同一交易的加仓序号重复",IF(OR(D814="",E814="",F814=""),"计划不完整：请填写加仓价、新止损价和风险预算",IF(OR(D814&lt;=0,E814&lt;=0,F814&lt;=0,D814&lt;=E814),"违规：加仓价必须高于新止损价，金额须大于0",IF(AND(B814&gt;1,COUNTIFS($A$2:$A$1001,A814,$B$2:$B$1001,B814-1,$G$2:$G$1001,"&gt;0")=0),"违规：须先完成上一次加仓",IF(AND(B814&gt;1,E814&lt;SUMIFS($E$2:$E$1001,$A$2:$A$1001,A814,$B$2:$B$1001,B814-1)),"违规：新止损价不得低于上一次",IF(AND(B814&gt;1,F814&gt;SUMIFS($F$2:$F$1001,$A$2:$A$1001,A814,$B$2:$B$1001,B814-1)),"违规：风险预算须逐次不增加",IF(OR(_LockStatus="已锁仓",_LockStatus="解锁信息不完整"),"违规：锁仓期间禁止加仓",IF(G814="","计划可执行：建议股数见N列",IF(OR(G814&lt;=0,G814&lt;&gt;INT(G814),MOD(G814,100)&lt;&gt;0),"违规：实际股数须为100股整数倍",IF(G814&gt;N814,"违规：实际股数超过风险或金字塔上限",IF(AND(B814&gt;1,G814&gt;SUMIFS($G$2:$G$1001,$A$2:$A$1001,A814,$B$2:$B$1001,B814-1)),"违规：加仓股数须逐次不增加",IF(Q814&gt;F814,"违规：止损风险超过本次预算","通过")))))))))))))))</f>
        <v/>
      </c>
    </row>
    <row r="815" customFormat="false" ht="15" hidden="false" customHeight="false" outlineLevel="0" collapsed="false">
      <c r="A815" s="20"/>
      <c r="B815" s="21"/>
      <c r="C815" s="22"/>
      <c r="D815" s="23"/>
      <c r="E815" s="23"/>
      <c r="F815" s="23"/>
      <c r="G815" s="21"/>
      <c r="H815" s="24" t="str">
        <f aca="false">IF(OR(A815="",D815="",G815=""),"",D815*G815)</f>
        <v/>
      </c>
      <c r="I815" s="25" t="str">
        <f aca="false">IF(OR(A815="",B815=""),"",IFERROR(LOOKUP(2,1/(单次交易!$A$2:$A$201=A815),单次交易!$H$2:$H$201),0)+SUMIFS($G$2:$G$1001,$A$2:$A$1001,A815,$B$2:$B$1001,"&lt;"&amp;B815))</f>
        <v/>
      </c>
      <c r="J815" s="24" t="str">
        <f aca="false">IF(OR(A815="",B815=""),"",IFERROR(LOOKUP(2,1/(单次交易!$A$2:$A$201=A815),单次交易!$E$2:$E$201)*LOOKUP(2,1/(单次交易!$A$2:$A$201=A815),单次交易!$H$2:$H$201),0)+SUMIFS($H$2:$H$1001,$A$2:$A$1001,A815,$B$2:$B$1001,"&lt;"&amp;B815))</f>
        <v/>
      </c>
      <c r="K815" s="24" t="str">
        <f aca="false">IF(OR(E815="",I815="",J815=""),"",MAX(E815*I815-J815,0))</f>
        <v/>
      </c>
      <c r="L815" s="25" t="str">
        <f aca="false">IF(OR(D815="",E815="",F815="",D815&lt;=E815),"",FLOOR((F815+K815)/(D815-E815),100))</f>
        <v/>
      </c>
      <c r="M815" s="25" t="str">
        <f aca="false">IF(OR(A815="",B815="",L815=""),"",IF(B815=1,L815,IFERROR(SUMIFS($G$2:$G$1001,$A$2:$A$1001,A815,$B$2:$B$1001,B815-1),0)))</f>
        <v/>
      </c>
      <c r="N815" s="25" t="str">
        <f aca="false">IF(OR(L815="",M815=""),"",MIN(L815,M815))</f>
        <v/>
      </c>
      <c r="O815" s="25" t="str">
        <f aca="false">IF(OR(I815="",G815=""),"",I815+G815)</f>
        <v/>
      </c>
      <c r="P815" s="24" t="str">
        <f aca="false">IF(OR(O815="",O815=0),"",(J815+H815)/O815)</f>
        <v/>
      </c>
      <c r="Q815" s="24" t="str">
        <f aca="false">IF(OR(O815="",E815=""),"",MAX(J815+H815-E815*O815,0))</f>
        <v/>
      </c>
      <c r="R815" s="26" t="str">
        <f aca="false">IF(A815="","",IF(COUNTIF(_TradeIds,A815)=0,"违规：交易编号不存在",IF(OR(B815="",B815&lt;1,B815&gt;5,B815&lt;&gt;INT(B815)),"违规：加仓序号须为1到5的整数",IF(COUNTIFS($A$2:$A$1001,A815,$B$2:$B$1001,B815)&gt;1,"违规：同一交易的加仓序号重复",IF(OR(D815="",E815="",F815=""),"计划不完整：请填写加仓价、新止损价和风险预算",IF(OR(D815&lt;=0,E815&lt;=0,F815&lt;=0,D815&lt;=E815),"违规：加仓价必须高于新止损价，金额须大于0",IF(AND(B815&gt;1,COUNTIFS($A$2:$A$1001,A815,$B$2:$B$1001,B815-1,$G$2:$G$1001,"&gt;0")=0),"违规：须先完成上一次加仓",IF(AND(B815&gt;1,E815&lt;SUMIFS($E$2:$E$1001,$A$2:$A$1001,A815,$B$2:$B$1001,B815-1)),"违规：新止损价不得低于上一次",IF(AND(B815&gt;1,F815&gt;SUMIFS($F$2:$F$1001,$A$2:$A$1001,A815,$B$2:$B$1001,B815-1)),"违规：风险预算须逐次不增加",IF(OR(_LockStatus="已锁仓",_LockStatus="解锁信息不完整"),"违规：锁仓期间禁止加仓",IF(G815="","计划可执行：建议股数见N列",IF(OR(G815&lt;=0,G815&lt;&gt;INT(G815),MOD(G815,100)&lt;&gt;0),"违规：实际股数须为100股整数倍",IF(G815&gt;N815,"违规：实际股数超过风险或金字塔上限",IF(AND(B815&gt;1,G815&gt;SUMIFS($G$2:$G$1001,$A$2:$A$1001,A815,$B$2:$B$1001,B815-1)),"违规：加仓股数须逐次不增加",IF(Q815&gt;F815,"违规：止损风险超过本次预算","通过")))))))))))))))</f>
        <v/>
      </c>
    </row>
    <row r="816" customFormat="false" ht="15" hidden="false" customHeight="false" outlineLevel="0" collapsed="false">
      <c r="A816" s="20"/>
      <c r="B816" s="21"/>
      <c r="C816" s="22"/>
      <c r="D816" s="23"/>
      <c r="E816" s="23"/>
      <c r="F816" s="23"/>
      <c r="G816" s="21"/>
      <c r="H816" s="24" t="str">
        <f aca="false">IF(OR(A816="",D816="",G816=""),"",D816*G816)</f>
        <v/>
      </c>
      <c r="I816" s="25" t="str">
        <f aca="false">IF(OR(A816="",B816=""),"",IFERROR(LOOKUP(2,1/(单次交易!$A$2:$A$201=A816),单次交易!$H$2:$H$201),0)+SUMIFS($G$2:$G$1001,$A$2:$A$1001,A816,$B$2:$B$1001,"&lt;"&amp;B816))</f>
        <v/>
      </c>
      <c r="J816" s="24" t="str">
        <f aca="false">IF(OR(A816="",B816=""),"",IFERROR(LOOKUP(2,1/(单次交易!$A$2:$A$201=A816),单次交易!$E$2:$E$201)*LOOKUP(2,1/(单次交易!$A$2:$A$201=A816),单次交易!$H$2:$H$201),0)+SUMIFS($H$2:$H$1001,$A$2:$A$1001,A816,$B$2:$B$1001,"&lt;"&amp;B816))</f>
        <v/>
      </c>
      <c r="K816" s="24" t="str">
        <f aca="false">IF(OR(E816="",I816="",J816=""),"",MAX(E816*I816-J816,0))</f>
        <v/>
      </c>
      <c r="L816" s="25" t="str">
        <f aca="false">IF(OR(D816="",E816="",F816="",D816&lt;=E816),"",FLOOR((F816+K816)/(D816-E816),100))</f>
        <v/>
      </c>
      <c r="M816" s="25" t="str">
        <f aca="false">IF(OR(A816="",B816="",L816=""),"",IF(B816=1,L816,IFERROR(SUMIFS($G$2:$G$1001,$A$2:$A$1001,A816,$B$2:$B$1001,B816-1),0)))</f>
        <v/>
      </c>
      <c r="N816" s="25" t="str">
        <f aca="false">IF(OR(L816="",M816=""),"",MIN(L816,M816))</f>
        <v/>
      </c>
      <c r="O816" s="25" t="str">
        <f aca="false">IF(OR(I816="",G816=""),"",I816+G816)</f>
        <v/>
      </c>
      <c r="P816" s="24" t="str">
        <f aca="false">IF(OR(O816="",O816=0),"",(J816+H816)/O816)</f>
        <v/>
      </c>
      <c r="Q816" s="24" t="str">
        <f aca="false">IF(OR(O816="",E816=""),"",MAX(J816+H816-E816*O816,0))</f>
        <v/>
      </c>
      <c r="R816" s="26" t="str">
        <f aca="false">IF(A816="","",IF(COUNTIF(_TradeIds,A816)=0,"违规：交易编号不存在",IF(OR(B816="",B816&lt;1,B816&gt;5,B816&lt;&gt;INT(B816)),"违规：加仓序号须为1到5的整数",IF(COUNTIFS($A$2:$A$1001,A816,$B$2:$B$1001,B816)&gt;1,"违规：同一交易的加仓序号重复",IF(OR(D816="",E816="",F816=""),"计划不完整：请填写加仓价、新止损价和风险预算",IF(OR(D816&lt;=0,E816&lt;=0,F816&lt;=0,D816&lt;=E816),"违规：加仓价必须高于新止损价，金额须大于0",IF(AND(B816&gt;1,COUNTIFS($A$2:$A$1001,A816,$B$2:$B$1001,B816-1,$G$2:$G$1001,"&gt;0")=0),"违规：须先完成上一次加仓",IF(AND(B816&gt;1,E816&lt;SUMIFS($E$2:$E$1001,$A$2:$A$1001,A816,$B$2:$B$1001,B816-1)),"违规：新止损价不得低于上一次",IF(AND(B816&gt;1,F816&gt;SUMIFS($F$2:$F$1001,$A$2:$A$1001,A816,$B$2:$B$1001,B816-1)),"违规：风险预算须逐次不增加",IF(OR(_LockStatus="已锁仓",_LockStatus="解锁信息不完整"),"违规：锁仓期间禁止加仓",IF(G816="","计划可执行：建议股数见N列",IF(OR(G816&lt;=0,G816&lt;&gt;INT(G816),MOD(G816,100)&lt;&gt;0),"违规：实际股数须为100股整数倍",IF(G816&gt;N816,"违规：实际股数超过风险或金字塔上限",IF(AND(B816&gt;1,G816&gt;SUMIFS($G$2:$G$1001,$A$2:$A$1001,A816,$B$2:$B$1001,B816-1)),"违规：加仓股数须逐次不增加",IF(Q816&gt;F816,"违规：止损风险超过本次预算","通过")))))))))))))))</f>
        <v/>
      </c>
    </row>
    <row r="817" customFormat="false" ht="15" hidden="false" customHeight="false" outlineLevel="0" collapsed="false">
      <c r="A817" s="20"/>
      <c r="B817" s="21"/>
      <c r="C817" s="22"/>
      <c r="D817" s="23"/>
      <c r="E817" s="23"/>
      <c r="F817" s="23"/>
      <c r="G817" s="21"/>
      <c r="H817" s="24" t="str">
        <f aca="false">IF(OR(A817="",D817="",G817=""),"",D817*G817)</f>
        <v/>
      </c>
      <c r="I817" s="25" t="str">
        <f aca="false">IF(OR(A817="",B817=""),"",IFERROR(LOOKUP(2,1/(单次交易!$A$2:$A$201=A817),单次交易!$H$2:$H$201),0)+SUMIFS($G$2:$G$1001,$A$2:$A$1001,A817,$B$2:$B$1001,"&lt;"&amp;B817))</f>
        <v/>
      </c>
      <c r="J817" s="24" t="str">
        <f aca="false">IF(OR(A817="",B817=""),"",IFERROR(LOOKUP(2,1/(单次交易!$A$2:$A$201=A817),单次交易!$E$2:$E$201)*LOOKUP(2,1/(单次交易!$A$2:$A$201=A817),单次交易!$H$2:$H$201),0)+SUMIFS($H$2:$H$1001,$A$2:$A$1001,A817,$B$2:$B$1001,"&lt;"&amp;B817))</f>
        <v/>
      </c>
      <c r="K817" s="24" t="str">
        <f aca="false">IF(OR(E817="",I817="",J817=""),"",MAX(E817*I817-J817,0))</f>
        <v/>
      </c>
      <c r="L817" s="25" t="str">
        <f aca="false">IF(OR(D817="",E817="",F817="",D817&lt;=E817),"",FLOOR((F817+K817)/(D817-E817),100))</f>
        <v/>
      </c>
      <c r="M817" s="25" t="str">
        <f aca="false">IF(OR(A817="",B817="",L817=""),"",IF(B817=1,L817,IFERROR(SUMIFS($G$2:$G$1001,$A$2:$A$1001,A817,$B$2:$B$1001,B817-1),0)))</f>
        <v/>
      </c>
      <c r="N817" s="25" t="str">
        <f aca="false">IF(OR(L817="",M817=""),"",MIN(L817,M817))</f>
        <v/>
      </c>
      <c r="O817" s="25" t="str">
        <f aca="false">IF(OR(I817="",G817=""),"",I817+G817)</f>
        <v/>
      </c>
      <c r="P817" s="24" t="str">
        <f aca="false">IF(OR(O817="",O817=0),"",(J817+H817)/O817)</f>
        <v/>
      </c>
      <c r="Q817" s="24" t="str">
        <f aca="false">IF(OR(O817="",E817=""),"",MAX(J817+H817-E817*O817,0))</f>
        <v/>
      </c>
      <c r="R817" s="26" t="str">
        <f aca="false">IF(A817="","",IF(COUNTIF(_TradeIds,A817)=0,"违规：交易编号不存在",IF(OR(B817="",B817&lt;1,B817&gt;5,B817&lt;&gt;INT(B817)),"违规：加仓序号须为1到5的整数",IF(COUNTIFS($A$2:$A$1001,A817,$B$2:$B$1001,B817)&gt;1,"违规：同一交易的加仓序号重复",IF(OR(D817="",E817="",F817=""),"计划不完整：请填写加仓价、新止损价和风险预算",IF(OR(D817&lt;=0,E817&lt;=0,F817&lt;=0,D817&lt;=E817),"违规：加仓价必须高于新止损价，金额须大于0",IF(AND(B817&gt;1,COUNTIFS($A$2:$A$1001,A817,$B$2:$B$1001,B817-1,$G$2:$G$1001,"&gt;0")=0),"违规：须先完成上一次加仓",IF(AND(B817&gt;1,E817&lt;SUMIFS($E$2:$E$1001,$A$2:$A$1001,A817,$B$2:$B$1001,B817-1)),"违规：新止损价不得低于上一次",IF(AND(B817&gt;1,F817&gt;SUMIFS($F$2:$F$1001,$A$2:$A$1001,A817,$B$2:$B$1001,B817-1)),"违规：风险预算须逐次不增加",IF(OR(_LockStatus="已锁仓",_LockStatus="解锁信息不完整"),"违规：锁仓期间禁止加仓",IF(G817="","计划可执行：建议股数见N列",IF(OR(G817&lt;=0,G817&lt;&gt;INT(G817),MOD(G817,100)&lt;&gt;0),"违规：实际股数须为100股整数倍",IF(G817&gt;N817,"违规：实际股数超过风险或金字塔上限",IF(AND(B817&gt;1,G817&gt;SUMIFS($G$2:$G$1001,$A$2:$A$1001,A817,$B$2:$B$1001,B817-1)),"违规：加仓股数须逐次不增加",IF(Q817&gt;F817,"违规：止损风险超过本次预算","通过")))))))))))))))</f>
        <v/>
      </c>
    </row>
    <row r="818" customFormat="false" ht="15" hidden="false" customHeight="false" outlineLevel="0" collapsed="false">
      <c r="A818" s="20"/>
      <c r="B818" s="21"/>
      <c r="C818" s="22"/>
      <c r="D818" s="23"/>
      <c r="E818" s="23"/>
      <c r="F818" s="23"/>
      <c r="G818" s="21"/>
      <c r="H818" s="24" t="str">
        <f aca="false">IF(OR(A818="",D818="",G818=""),"",D818*G818)</f>
        <v/>
      </c>
      <c r="I818" s="25" t="str">
        <f aca="false">IF(OR(A818="",B818=""),"",IFERROR(LOOKUP(2,1/(单次交易!$A$2:$A$201=A818),单次交易!$H$2:$H$201),0)+SUMIFS($G$2:$G$1001,$A$2:$A$1001,A818,$B$2:$B$1001,"&lt;"&amp;B818))</f>
        <v/>
      </c>
      <c r="J818" s="24" t="str">
        <f aca="false">IF(OR(A818="",B818=""),"",IFERROR(LOOKUP(2,1/(单次交易!$A$2:$A$201=A818),单次交易!$E$2:$E$201)*LOOKUP(2,1/(单次交易!$A$2:$A$201=A818),单次交易!$H$2:$H$201),0)+SUMIFS($H$2:$H$1001,$A$2:$A$1001,A818,$B$2:$B$1001,"&lt;"&amp;B818))</f>
        <v/>
      </c>
      <c r="K818" s="24" t="str">
        <f aca="false">IF(OR(E818="",I818="",J818=""),"",MAX(E818*I818-J818,0))</f>
        <v/>
      </c>
      <c r="L818" s="25" t="str">
        <f aca="false">IF(OR(D818="",E818="",F818="",D818&lt;=E818),"",FLOOR((F818+K818)/(D818-E818),100))</f>
        <v/>
      </c>
      <c r="M818" s="25" t="str">
        <f aca="false">IF(OR(A818="",B818="",L818=""),"",IF(B818=1,L818,IFERROR(SUMIFS($G$2:$G$1001,$A$2:$A$1001,A818,$B$2:$B$1001,B818-1),0)))</f>
        <v/>
      </c>
      <c r="N818" s="25" t="str">
        <f aca="false">IF(OR(L818="",M818=""),"",MIN(L818,M818))</f>
        <v/>
      </c>
      <c r="O818" s="25" t="str">
        <f aca="false">IF(OR(I818="",G818=""),"",I818+G818)</f>
        <v/>
      </c>
      <c r="P818" s="24" t="str">
        <f aca="false">IF(OR(O818="",O818=0),"",(J818+H818)/O818)</f>
        <v/>
      </c>
      <c r="Q818" s="24" t="str">
        <f aca="false">IF(OR(O818="",E818=""),"",MAX(J818+H818-E818*O818,0))</f>
        <v/>
      </c>
      <c r="R818" s="26" t="str">
        <f aca="false">IF(A818="","",IF(COUNTIF(_TradeIds,A818)=0,"违规：交易编号不存在",IF(OR(B818="",B818&lt;1,B818&gt;5,B818&lt;&gt;INT(B818)),"违规：加仓序号须为1到5的整数",IF(COUNTIFS($A$2:$A$1001,A818,$B$2:$B$1001,B818)&gt;1,"违规：同一交易的加仓序号重复",IF(OR(D818="",E818="",F818=""),"计划不完整：请填写加仓价、新止损价和风险预算",IF(OR(D818&lt;=0,E818&lt;=0,F818&lt;=0,D818&lt;=E818),"违规：加仓价必须高于新止损价，金额须大于0",IF(AND(B818&gt;1,COUNTIFS($A$2:$A$1001,A818,$B$2:$B$1001,B818-1,$G$2:$G$1001,"&gt;0")=0),"违规：须先完成上一次加仓",IF(AND(B818&gt;1,E818&lt;SUMIFS($E$2:$E$1001,$A$2:$A$1001,A818,$B$2:$B$1001,B818-1)),"违规：新止损价不得低于上一次",IF(AND(B818&gt;1,F818&gt;SUMIFS($F$2:$F$1001,$A$2:$A$1001,A818,$B$2:$B$1001,B818-1)),"违规：风险预算须逐次不增加",IF(OR(_LockStatus="已锁仓",_LockStatus="解锁信息不完整"),"违规：锁仓期间禁止加仓",IF(G818="","计划可执行：建议股数见N列",IF(OR(G818&lt;=0,G818&lt;&gt;INT(G818),MOD(G818,100)&lt;&gt;0),"违规：实际股数须为100股整数倍",IF(G818&gt;N818,"违规：实际股数超过风险或金字塔上限",IF(AND(B818&gt;1,G818&gt;SUMIFS($G$2:$G$1001,$A$2:$A$1001,A818,$B$2:$B$1001,B818-1)),"违规：加仓股数须逐次不增加",IF(Q818&gt;F818,"违规：止损风险超过本次预算","通过")))))))))))))))</f>
        <v/>
      </c>
    </row>
    <row r="819" customFormat="false" ht="15" hidden="false" customHeight="false" outlineLevel="0" collapsed="false">
      <c r="A819" s="20"/>
      <c r="B819" s="21"/>
      <c r="C819" s="22"/>
      <c r="D819" s="23"/>
      <c r="E819" s="23"/>
      <c r="F819" s="23"/>
      <c r="G819" s="21"/>
      <c r="H819" s="24" t="str">
        <f aca="false">IF(OR(A819="",D819="",G819=""),"",D819*G819)</f>
        <v/>
      </c>
      <c r="I819" s="25" t="str">
        <f aca="false">IF(OR(A819="",B819=""),"",IFERROR(LOOKUP(2,1/(单次交易!$A$2:$A$201=A819),单次交易!$H$2:$H$201),0)+SUMIFS($G$2:$G$1001,$A$2:$A$1001,A819,$B$2:$B$1001,"&lt;"&amp;B819))</f>
        <v/>
      </c>
      <c r="J819" s="24" t="str">
        <f aca="false">IF(OR(A819="",B819=""),"",IFERROR(LOOKUP(2,1/(单次交易!$A$2:$A$201=A819),单次交易!$E$2:$E$201)*LOOKUP(2,1/(单次交易!$A$2:$A$201=A819),单次交易!$H$2:$H$201),0)+SUMIFS($H$2:$H$1001,$A$2:$A$1001,A819,$B$2:$B$1001,"&lt;"&amp;B819))</f>
        <v/>
      </c>
      <c r="K819" s="24" t="str">
        <f aca="false">IF(OR(E819="",I819="",J819=""),"",MAX(E819*I819-J819,0))</f>
        <v/>
      </c>
      <c r="L819" s="25" t="str">
        <f aca="false">IF(OR(D819="",E819="",F819="",D819&lt;=E819),"",FLOOR((F819+K819)/(D819-E819),100))</f>
        <v/>
      </c>
      <c r="M819" s="25" t="str">
        <f aca="false">IF(OR(A819="",B819="",L819=""),"",IF(B819=1,L819,IFERROR(SUMIFS($G$2:$G$1001,$A$2:$A$1001,A819,$B$2:$B$1001,B819-1),0)))</f>
        <v/>
      </c>
      <c r="N819" s="25" t="str">
        <f aca="false">IF(OR(L819="",M819=""),"",MIN(L819,M819))</f>
        <v/>
      </c>
      <c r="O819" s="25" t="str">
        <f aca="false">IF(OR(I819="",G819=""),"",I819+G819)</f>
        <v/>
      </c>
      <c r="P819" s="24" t="str">
        <f aca="false">IF(OR(O819="",O819=0),"",(J819+H819)/O819)</f>
        <v/>
      </c>
      <c r="Q819" s="24" t="str">
        <f aca="false">IF(OR(O819="",E819=""),"",MAX(J819+H819-E819*O819,0))</f>
        <v/>
      </c>
      <c r="R819" s="26" t="str">
        <f aca="false">IF(A819="","",IF(COUNTIF(_TradeIds,A819)=0,"违规：交易编号不存在",IF(OR(B819="",B819&lt;1,B819&gt;5,B819&lt;&gt;INT(B819)),"违规：加仓序号须为1到5的整数",IF(COUNTIFS($A$2:$A$1001,A819,$B$2:$B$1001,B819)&gt;1,"违规：同一交易的加仓序号重复",IF(OR(D819="",E819="",F819=""),"计划不完整：请填写加仓价、新止损价和风险预算",IF(OR(D819&lt;=0,E819&lt;=0,F819&lt;=0,D819&lt;=E819),"违规：加仓价必须高于新止损价，金额须大于0",IF(AND(B819&gt;1,COUNTIFS($A$2:$A$1001,A819,$B$2:$B$1001,B819-1,$G$2:$G$1001,"&gt;0")=0),"违规：须先完成上一次加仓",IF(AND(B819&gt;1,E819&lt;SUMIFS($E$2:$E$1001,$A$2:$A$1001,A819,$B$2:$B$1001,B819-1)),"违规：新止损价不得低于上一次",IF(AND(B819&gt;1,F819&gt;SUMIFS($F$2:$F$1001,$A$2:$A$1001,A819,$B$2:$B$1001,B819-1)),"违规：风险预算须逐次不增加",IF(OR(_LockStatus="已锁仓",_LockStatus="解锁信息不完整"),"违规：锁仓期间禁止加仓",IF(G819="","计划可执行：建议股数见N列",IF(OR(G819&lt;=0,G819&lt;&gt;INT(G819),MOD(G819,100)&lt;&gt;0),"违规：实际股数须为100股整数倍",IF(G819&gt;N819,"违规：实际股数超过风险或金字塔上限",IF(AND(B819&gt;1,G819&gt;SUMIFS($G$2:$G$1001,$A$2:$A$1001,A819,$B$2:$B$1001,B819-1)),"违规：加仓股数须逐次不增加",IF(Q819&gt;F819,"违规：止损风险超过本次预算","通过")))))))))))))))</f>
        <v/>
      </c>
    </row>
    <row r="820" customFormat="false" ht="15" hidden="false" customHeight="false" outlineLevel="0" collapsed="false">
      <c r="A820" s="20"/>
      <c r="B820" s="21"/>
      <c r="C820" s="22"/>
      <c r="D820" s="23"/>
      <c r="E820" s="23"/>
      <c r="F820" s="23"/>
      <c r="G820" s="21"/>
      <c r="H820" s="24" t="str">
        <f aca="false">IF(OR(A820="",D820="",G820=""),"",D820*G820)</f>
        <v/>
      </c>
      <c r="I820" s="25" t="str">
        <f aca="false">IF(OR(A820="",B820=""),"",IFERROR(LOOKUP(2,1/(单次交易!$A$2:$A$201=A820),单次交易!$H$2:$H$201),0)+SUMIFS($G$2:$G$1001,$A$2:$A$1001,A820,$B$2:$B$1001,"&lt;"&amp;B820))</f>
        <v/>
      </c>
      <c r="J820" s="24" t="str">
        <f aca="false">IF(OR(A820="",B820=""),"",IFERROR(LOOKUP(2,1/(单次交易!$A$2:$A$201=A820),单次交易!$E$2:$E$201)*LOOKUP(2,1/(单次交易!$A$2:$A$201=A820),单次交易!$H$2:$H$201),0)+SUMIFS($H$2:$H$1001,$A$2:$A$1001,A820,$B$2:$B$1001,"&lt;"&amp;B820))</f>
        <v/>
      </c>
      <c r="K820" s="24" t="str">
        <f aca="false">IF(OR(E820="",I820="",J820=""),"",MAX(E820*I820-J820,0))</f>
        <v/>
      </c>
      <c r="L820" s="25" t="str">
        <f aca="false">IF(OR(D820="",E820="",F820="",D820&lt;=E820),"",FLOOR((F820+K820)/(D820-E820),100))</f>
        <v/>
      </c>
      <c r="M820" s="25" t="str">
        <f aca="false">IF(OR(A820="",B820="",L820=""),"",IF(B820=1,L820,IFERROR(SUMIFS($G$2:$G$1001,$A$2:$A$1001,A820,$B$2:$B$1001,B820-1),0)))</f>
        <v/>
      </c>
      <c r="N820" s="25" t="str">
        <f aca="false">IF(OR(L820="",M820=""),"",MIN(L820,M820))</f>
        <v/>
      </c>
      <c r="O820" s="25" t="str">
        <f aca="false">IF(OR(I820="",G820=""),"",I820+G820)</f>
        <v/>
      </c>
      <c r="P820" s="24" t="str">
        <f aca="false">IF(OR(O820="",O820=0),"",(J820+H820)/O820)</f>
        <v/>
      </c>
      <c r="Q820" s="24" t="str">
        <f aca="false">IF(OR(O820="",E820=""),"",MAX(J820+H820-E820*O820,0))</f>
        <v/>
      </c>
      <c r="R820" s="26" t="str">
        <f aca="false">IF(A820="","",IF(COUNTIF(_TradeIds,A820)=0,"违规：交易编号不存在",IF(OR(B820="",B820&lt;1,B820&gt;5,B820&lt;&gt;INT(B820)),"违规：加仓序号须为1到5的整数",IF(COUNTIFS($A$2:$A$1001,A820,$B$2:$B$1001,B820)&gt;1,"违规：同一交易的加仓序号重复",IF(OR(D820="",E820="",F820=""),"计划不完整：请填写加仓价、新止损价和风险预算",IF(OR(D820&lt;=0,E820&lt;=0,F820&lt;=0,D820&lt;=E820),"违规：加仓价必须高于新止损价，金额须大于0",IF(AND(B820&gt;1,COUNTIFS($A$2:$A$1001,A820,$B$2:$B$1001,B820-1,$G$2:$G$1001,"&gt;0")=0),"违规：须先完成上一次加仓",IF(AND(B820&gt;1,E820&lt;SUMIFS($E$2:$E$1001,$A$2:$A$1001,A820,$B$2:$B$1001,B820-1)),"违规：新止损价不得低于上一次",IF(AND(B820&gt;1,F820&gt;SUMIFS($F$2:$F$1001,$A$2:$A$1001,A820,$B$2:$B$1001,B820-1)),"违规：风险预算须逐次不增加",IF(OR(_LockStatus="已锁仓",_LockStatus="解锁信息不完整"),"违规：锁仓期间禁止加仓",IF(G820="","计划可执行：建议股数见N列",IF(OR(G820&lt;=0,G820&lt;&gt;INT(G820),MOD(G820,100)&lt;&gt;0),"违规：实际股数须为100股整数倍",IF(G820&gt;N820,"违规：实际股数超过风险或金字塔上限",IF(AND(B820&gt;1,G820&gt;SUMIFS($G$2:$G$1001,$A$2:$A$1001,A820,$B$2:$B$1001,B820-1)),"违规：加仓股数须逐次不增加",IF(Q820&gt;F820,"违规：止损风险超过本次预算","通过")))))))))))))))</f>
        <v/>
      </c>
    </row>
    <row r="821" customFormat="false" ht="15" hidden="false" customHeight="false" outlineLevel="0" collapsed="false">
      <c r="A821" s="20"/>
      <c r="B821" s="21"/>
      <c r="C821" s="22"/>
      <c r="D821" s="23"/>
      <c r="E821" s="23"/>
      <c r="F821" s="23"/>
      <c r="G821" s="21"/>
      <c r="H821" s="24" t="str">
        <f aca="false">IF(OR(A821="",D821="",G821=""),"",D821*G821)</f>
        <v/>
      </c>
      <c r="I821" s="25" t="str">
        <f aca="false">IF(OR(A821="",B821=""),"",IFERROR(LOOKUP(2,1/(单次交易!$A$2:$A$201=A821),单次交易!$H$2:$H$201),0)+SUMIFS($G$2:$G$1001,$A$2:$A$1001,A821,$B$2:$B$1001,"&lt;"&amp;B821))</f>
        <v/>
      </c>
      <c r="J821" s="24" t="str">
        <f aca="false">IF(OR(A821="",B821=""),"",IFERROR(LOOKUP(2,1/(单次交易!$A$2:$A$201=A821),单次交易!$E$2:$E$201)*LOOKUP(2,1/(单次交易!$A$2:$A$201=A821),单次交易!$H$2:$H$201),0)+SUMIFS($H$2:$H$1001,$A$2:$A$1001,A821,$B$2:$B$1001,"&lt;"&amp;B821))</f>
        <v/>
      </c>
      <c r="K821" s="24" t="str">
        <f aca="false">IF(OR(E821="",I821="",J821=""),"",MAX(E821*I821-J821,0))</f>
        <v/>
      </c>
      <c r="L821" s="25" t="str">
        <f aca="false">IF(OR(D821="",E821="",F821="",D821&lt;=E821),"",FLOOR((F821+K821)/(D821-E821),100))</f>
        <v/>
      </c>
      <c r="M821" s="25" t="str">
        <f aca="false">IF(OR(A821="",B821="",L821=""),"",IF(B821=1,L821,IFERROR(SUMIFS($G$2:$G$1001,$A$2:$A$1001,A821,$B$2:$B$1001,B821-1),0)))</f>
        <v/>
      </c>
      <c r="N821" s="25" t="str">
        <f aca="false">IF(OR(L821="",M821=""),"",MIN(L821,M821))</f>
        <v/>
      </c>
      <c r="O821" s="25" t="str">
        <f aca="false">IF(OR(I821="",G821=""),"",I821+G821)</f>
        <v/>
      </c>
      <c r="P821" s="24" t="str">
        <f aca="false">IF(OR(O821="",O821=0),"",(J821+H821)/O821)</f>
        <v/>
      </c>
      <c r="Q821" s="24" t="str">
        <f aca="false">IF(OR(O821="",E821=""),"",MAX(J821+H821-E821*O821,0))</f>
        <v/>
      </c>
      <c r="R821" s="26" t="str">
        <f aca="false">IF(A821="","",IF(COUNTIF(_TradeIds,A821)=0,"违规：交易编号不存在",IF(OR(B821="",B821&lt;1,B821&gt;5,B821&lt;&gt;INT(B821)),"违规：加仓序号须为1到5的整数",IF(COUNTIFS($A$2:$A$1001,A821,$B$2:$B$1001,B821)&gt;1,"违规：同一交易的加仓序号重复",IF(OR(D821="",E821="",F821=""),"计划不完整：请填写加仓价、新止损价和风险预算",IF(OR(D821&lt;=0,E821&lt;=0,F821&lt;=0,D821&lt;=E821),"违规：加仓价必须高于新止损价，金额须大于0",IF(AND(B821&gt;1,COUNTIFS($A$2:$A$1001,A821,$B$2:$B$1001,B821-1,$G$2:$G$1001,"&gt;0")=0),"违规：须先完成上一次加仓",IF(AND(B821&gt;1,E821&lt;SUMIFS($E$2:$E$1001,$A$2:$A$1001,A821,$B$2:$B$1001,B821-1)),"违规：新止损价不得低于上一次",IF(AND(B821&gt;1,F821&gt;SUMIFS($F$2:$F$1001,$A$2:$A$1001,A821,$B$2:$B$1001,B821-1)),"违规：风险预算须逐次不增加",IF(OR(_LockStatus="已锁仓",_LockStatus="解锁信息不完整"),"违规：锁仓期间禁止加仓",IF(G821="","计划可执行：建议股数见N列",IF(OR(G821&lt;=0,G821&lt;&gt;INT(G821),MOD(G821,100)&lt;&gt;0),"违规：实际股数须为100股整数倍",IF(G821&gt;N821,"违规：实际股数超过风险或金字塔上限",IF(AND(B821&gt;1,G821&gt;SUMIFS($G$2:$G$1001,$A$2:$A$1001,A821,$B$2:$B$1001,B821-1)),"违规：加仓股数须逐次不增加",IF(Q821&gt;F821,"违规：止损风险超过本次预算","通过")))))))))))))))</f>
        <v/>
      </c>
    </row>
    <row r="822" customFormat="false" ht="15" hidden="false" customHeight="false" outlineLevel="0" collapsed="false">
      <c r="A822" s="20"/>
      <c r="B822" s="21"/>
      <c r="C822" s="22"/>
      <c r="D822" s="23"/>
      <c r="E822" s="23"/>
      <c r="F822" s="23"/>
      <c r="G822" s="21"/>
      <c r="H822" s="24" t="str">
        <f aca="false">IF(OR(A822="",D822="",G822=""),"",D822*G822)</f>
        <v/>
      </c>
      <c r="I822" s="25" t="str">
        <f aca="false">IF(OR(A822="",B822=""),"",IFERROR(LOOKUP(2,1/(单次交易!$A$2:$A$201=A822),单次交易!$H$2:$H$201),0)+SUMIFS($G$2:$G$1001,$A$2:$A$1001,A822,$B$2:$B$1001,"&lt;"&amp;B822))</f>
        <v/>
      </c>
      <c r="J822" s="24" t="str">
        <f aca="false">IF(OR(A822="",B822=""),"",IFERROR(LOOKUP(2,1/(单次交易!$A$2:$A$201=A822),单次交易!$E$2:$E$201)*LOOKUP(2,1/(单次交易!$A$2:$A$201=A822),单次交易!$H$2:$H$201),0)+SUMIFS($H$2:$H$1001,$A$2:$A$1001,A822,$B$2:$B$1001,"&lt;"&amp;B822))</f>
        <v/>
      </c>
      <c r="K822" s="24" t="str">
        <f aca="false">IF(OR(E822="",I822="",J822=""),"",MAX(E822*I822-J822,0))</f>
        <v/>
      </c>
      <c r="L822" s="25" t="str">
        <f aca="false">IF(OR(D822="",E822="",F822="",D822&lt;=E822),"",FLOOR((F822+K822)/(D822-E822),100))</f>
        <v/>
      </c>
      <c r="M822" s="25" t="str">
        <f aca="false">IF(OR(A822="",B822="",L822=""),"",IF(B822=1,L822,IFERROR(SUMIFS($G$2:$G$1001,$A$2:$A$1001,A822,$B$2:$B$1001,B822-1),0)))</f>
        <v/>
      </c>
      <c r="N822" s="25" t="str">
        <f aca="false">IF(OR(L822="",M822=""),"",MIN(L822,M822))</f>
        <v/>
      </c>
      <c r="O822" s="25" t="str">
        <f aca="false">IF(OR(I822="",G822=""),"",I822+G822)</f>
        <v/>
      </c>
      <c r="P822" s="24" t="str">
        <f aca="false">IF(OR(O822="",O822=0),"",(J822+H822)/O822)</f>
        <v/>
      </c>
      <c r="Q822" s="24" t="str">
        <f aca="false">IF(OR(O822="",E822=""),"",MAX(J822+H822-E822*O822,0))</f>
        <v/>
      </c>
      <c r="R822" s="26" t="str">
        <f aca="false">IF(A822="","",IF(COUNTIF(_TradeIds,A822)=0,"违规：交易编号不存在",IF(OR(B822="",B822&lt;1,B822&gt;5,B822&lt;&gt;INT(B822)),"违规：加仓序号须为1到5的整数",IF(COUNTIFS($A$2:$A$1001,A822,$B$2:$B$1001,B822)&gt;1,"违规：同一交易的加仓序号重复",IF(OR(D822="",E822="",F822=""),"计划不完整：请填写加仓价、新止损价和风险预算",IF(OR(D822&lt;=0,E822&lt;=0,F822&lt;=0,D822&lt;=E822),"违规：加仓价必须高于新止损价，金额须大于0",IF(AND(B822&gt;1,COUNTIFS($A$2:$A$1001,A822,$B$2:$B$1001,B822-1,$G$2:$G$1001,"&gt;0")=0),"违规：须先完成上一次加仓",IF(AND(B822&gt;1,E822&lt;SUMIFS($E$2:$E$1001,$A$2:$A$1001,A822,$B$2:$B$1001,B822-1)),"违规：新止损价不得低于上一次",IF(AND(B822&gt;1,F822&gt;SUMIFS($F$2:$F$1001,$A$2:$A$1001,A822,$B$2:$B$1001,B822-1)),"违规：风险预算须逐次不增加",IF(OR(_LockStatus="已锁仓",_LockStatus="解锁信息不完整"),"违规：锁仓期间禁止加仓",IF(G822="","计划可执行：建议股数见N列",IF(OR(G822&lt;=0,G822&lt;&gt;INT(G822),MOD(G822,100)&lt;&gt;0),"违规：实际股数须为100股整数倍",IF(G822&gt;N822,"违规：实际股数超过风险或金字塔上限",IF(AND(B822&gt;1,G822&gt;SUMIFS($G$2:$G$1001,$A$2:$A$1001,A822,$B$2:$B$1001,B822-1)),"违规：加仓股数须逐次不增加",IF(Q822&gt;F822,"违规：止损风险超过本次预算","通过")))))))))))))))</f>
        <v/>
      </c>
    </row>
    <row r="823" customFormat="false" ht="15" hidden="false" customHeight="false" outlineLevel="0" collapsed="false">
      <c r="A823" s="20"/>
      <c r="B823" s="21"/>
      <c r="C823" s="22"/>
      <c r="D823" s="23"/>
      <c r="E823" s="23"/>
      <c r="F823" s="23"/>
      <c r="G823" s="21"/>
      <c r="H823" s="24" t="str">
        <f aca="false">IF(OR(A823="",D823="",G823=""),"",D823*G823)</f>
        <v/>
      </c>
      <c r="I823" s="25" t="str">
        <f aca="false">IF(OR(A823="",B823=""),"",IFERROR(LOOKUP(2,1/(单次交易!$A$2:$A$201=A823),单次交易!$H$2:$H$201),0)+SUMIFS($G$2:$G$1001,$A$2:$A$1001,A823,$B$2:$B$1001,"&lt;"&amp;B823))</f>
        <v/>
      </c>
      <c r="J823" s="24" t="str">
        <f aca="false">IF(OR(A823="",B823=""),"",IFERROR(LOOKUP(2,1/(单次交易!$A$2:$A$201=A823),单次交易!$E$2:$E$201)*LOOKUP(2,1/(单次交易!$A$2:$A$201=A823),单次交易!$H$2:$H$201),0)+SUMIFS($H$2:$H$1001,$A$2:$A$1001,A823,$B$2:$B$1001,"&lt;"&amp;B823))</f>
        <v/>
      </c>
      <c r="K823" s="24" t="str">
        <f aca="false">IF(OR(E823="",I823="",J823=""),"",MAX(E823*I823-J823,0))</f>
        <v/>
      </c>
      <c r="L823" s="25" t="str">
        <f aca="false">IF(OR(D823="",E823="",F823="",D823&lt;=E823),"",FLOOR((F823+K823)/(D823-E823),100))</f>
        <v/>
      </c>
      <c r="M823" s="25" t="str">
        <f aca="false">IF(OR(A823="",B823="",L823=""),"",IF(B823=1,L823,IFERROR(SUMIFS($G$2:$G$1001,$A$2:$A$1001,A823,$B$2:$B$1001,B823-1),0)))</f>
        <v/>
      </c>
      <c r="N823" s="25" t="str">
        <f aca="false">IF(OR(L823="",M823=""),"",MIN(L823,M823))</f>
        <v/>
      </c>
      <c r="O823" s="25" t="str">
        <f aca="false">IF(OR(I823="",G823=""),"",I823+G823)</f>
        <v/>
      </c>
      <c r="P823" s="24" t="str">
        <f aca="false">IF(OR(O823="",O823=0),"",(J823+H823)/O823)</f>
        <v/>
      </c>
      <c r="Q823" s="24" t="str">
        <f aca="false">IF(OR(O823="",E823=""),"",MAX(J823+H823-E823*O823,0))</f>
        <v/>
      </c>
      <c r="R823" s="26" t="str">
        <f aca="false">IF(A823="","",IF(COUNTIF(_TradeIds,A823)=0,"违规：交易编号不存在",IF(OR(B823="",B823&lt;1,B823&gt;5,B823&lt;&gt;INT(B823)),"违规：加仓序号须为1到5的整数",IF(COUNTIFS($A$2:$A$1001,A823,$B$2:$B$1001,B823)&gt;1,"违规：同一交易的加仓序号重复",IF(OR(D823="",E823="",F823=""),"计划不完整：请填写加仓价、新止损价和风险预算",IF(OR(D823&lt;=0,E823&lt;=0,F823&lt;=0,D823&lt;=E823),"违规：加仓价必须高于新止损价，金额须大于0",IF(AND(B823&gt;1,COUNTIFS($A$2:$A$1001,A823,$B$2:$B$1001,B823-1,$G$2:$G$1001,"&gt;0")=0),"违规：须先完成上一次加仓",IF(AND(B823&gt;1,E823&lt;SUMIFS($E$2:$E$1001,$A$2:$A$1001,A823,$B$2:$B$1001,B823-1)),"违规：新止损价不得低于上一次",IF(AND(B823&gt;1,F823&gt;SUMIFS($F$2:$F$1001,$A$2:$A$1001,A823,$B$2:$B$1001,B823-1)),"违规：风险预算须逐次不增加",IF(OR(_LockStatus="已锁仓",_LockStatus="解锁信息不完整"),"违规：锁仓期间禁止加仓",IF(G823="","计划可执行：建议股数见N列",IF(OR(G823&lt;=0,G823&lt;&gt;INT(G823),MOD(G823,100)&lt;&gt;0),"违规：实际股数须为100股整数倍",IF(G823&gt;N823,"违规：实际股数超过风险或金字塔上限",IF(AND(B823&gt;1,G823&gt;SUMIFS($G$2:$G$1001,$A$2:$A$1001,A823,$B$2:$B$1001,B823-1)),"违规：加仓股数须逐次不增加",IF(Q823&gt;F823,"违规：止损风险超过本次预算","通过")))))))))))))))</f>
        <v/>
      </c>
    </row>
    <row r="824" customFormat="false" ht="15" hidden="false" customHeight="false" outlineLevel="0" collapsed="false">
      <c r="A824" s="20"/>
      <c r="B824" s="21"/>
      <c r="C824" s="22"/>
      <c r="D824" s="23"/>
      <c r="E824" s="23"/>
      <c r="F824" s="23"/>
      <c r="G824" s="21"/>
      <c r="H824" s="24" t="str">
        <f aca="false">IF(OR(A824="",D824="",G824=""),"",D824*G824)</f>
        <v/>
      </c>
      <c r="I824" s="25" t="str">
        <f aca="false">IF(OR(A824="",B824=""),"",IFERROR(LOOKUP(2,1/(单次交易!$A$2:$A$201=A824),单次交易!$H$2:$H$201),0)+SUMIFS($G$2:$G$1001,$A$2:$A$1001,A824,$B$2:$B$1001,"&lt;"&amp;B824))</f>
        <v/>
      </c>
      <c r="J824" s="24" t="str">
        <f aca="false">IF(OR(A824="",B824=""),"",IFERROR(LOOKUP(2,1/(单次交易!$A$2:$A$201=A824),单次交易!$E$2:$E$201)*LOOKUP(2,1/(单次交易!$A$2:$A$201=A824),单次交易!$H$2:$H$201),0)+SUMIFS($H$2:$H$1001,$A$2:$A$1001,A824,$B$2:$B$1001,"&lt;"&amp;B824))</f>
        <v/>
      </c>
      <c r="K824" s="24" t="str">
        <f aca="false">IF(OR(E824="",I824="",J824=""),"",MAX(E824*I824-J824,0))</f>
        <v/>
      </c>
      <c r="L824" s="25" t="str">
        <f aca="false">IF(OR(D824="",E824="",F824="",D824&lt;=E824),"",FLOOR((F824+K824)/(D824-E824),100))</f>
        <v/>
      </c>
      <c r="M824" s="25" t="str">
        <f aca="false">IF(OR(A824="",B824="",L824=""),"",IF(B824=1,L824,IFERROR(SUMIFS($G$2:$G$1001,$A$2:$A$1001,A824,$B$2:$B$1001,B824-1),0)))</f>
        <v/>
      </c>
      <c r="N824" s="25" t="str">
        <f aca="false">IF(OR(L824="",M824=""),"",MIN(L824,M824))</f>
        <v/>
      </c>
      <c r="O824" s="25" t="str">
        <f aca="false">IF(OR(I824="",G824=""),"",I824+G824)</f>
        <v/>
      </c>
      <c r="P824" s="24" t="str">
        <f aca="false">IF(OR(O824="",O824=0),"",(J824+H824)/O824)</f>
        <v/>
      </c>
      <c r="Q824" s="24" t="str">
        <f aca="false">IF(OR(O824="",E824=""),"",MAX(J824+H824-E824*O824,0))</f>
        <v/>
      </c>
      <c r="R824" s="26" t="str">
        <f aca="false">IF(A824="","",IF(COUNTIF(_TradeIds,A824)=0,"违规：交易编号不存在",IF(OR(B824="",B824&lt;1,B824&gt;5,B824&lt;&gt;INT(B824)),"违规：加仓序号须为1到5的整数",IF(COUNTIFS($A$2:$A$1001,A824,$B$2:$B$1001,B824)&gt;1,"违规：同一交易的加仓序号重复",IF(OR(D824="",E824="",F824=""),"计划不完整：请填写加仓价、新止损价和风险预算",IF(OR(D824&lt;=0,E824&lt;=0,F824&lt;=0,D824&lt;=E824),"违规：加仓价必须高于新止损价，金额须大于0",IF(AND(B824&gt;1,COUNTIFS($A$2:$A$1001,A824,$B$2:$B$1001,B824-1,$G$2:$G$1001,"&gt;0")=0),"违规：须先完成上一次加仓",IF(AND(B824&gt;1,E824&lt;SUMIFS($E$2:$E$1001,$A$2:$A$1001,A824,$B$2:$B$1001,B824-1)),"违规：新止损价不得低于上一次",IF(AND(B824&gt;1,F824&gt;SUMIFS($F$2:$F$1001,$A$2:$A$1001,A824,$B$2:$B$1001,B824-1)),"违规：风险预算须逐次不增加",IF(OR(_LockStatus="已锁仓",_LockStatus="解锁信息不完整"),"违规：锁仓期间禁止加仓",IF(G824="","计划可执行：建议股数见N列",IF(OR(G824&lt;=0,G824&lt;&gt;INT(G824),MOD(G824,100)&lt;&gt;0),"违规：实际股数须为100股整数倍",IF(G824&gt;N824,"违规：实际股数超过风险或金字塔上限",IF(AND(B824&gt;1,G824&gt;SUMIFS($G$2:$G$1001,$A$2:$A$1001,A824,$B$2:$B$1001,B824-1)),"违规：加仓股数须逐次不增加",IF(Q824&gt;F824,"违规：止损风险超过本次预算","通过")))))))))))))))</f>
        <v/>
      </c>
    </row>
    <row r="825" customFormat="false" ht="15" hidden="false" customHeight="false" outlineLevel="0" collapsed="false">
      <c r="A825" s="20"/>
      <c r="B825" s="21"/>
      <c r="C825" s="22"/>
      <c r="D825" s="23"/>
      <c r="E825" s="23"/>
      <c r="F825" s="23"/>
      <c r="G825" s="21"/>
      <c r="H825" s="24" t="str">
        <f aca="false">IF(OR(A825="",D825="",G825=""),"",D825*G825)</f>
        <v/>
      </c>
      <c r="I825" s="25" t="str">
        <f aca="false">IF(OR(A825="",B825=""),"",IFERROR(LOOKUP(2,1/(单次交易!$A$2:$A$201=A825),单次交易!$H$2:$H$201),0)+SUMIFS($G$2:$G$1001,$A$2:$A$1001,A825,$B$2:$B$1001,"&lt;"&amp;B825))</f>
        <v/>
      </c>
      <c r="J825" s="24" t="str">
        <f aca="false">IF(OR(A825="",B825=""),"",IFERROR(LOOKUP(2,1/(单次交易!$A$2:$A$201=A825),单次交易!$E$2:$E$201)*LOOKUP(2,1/(单次交易!$A$2:$A$201=A825),单次交易!$H$2:$H$201),0)+SUMIFS($H$2:$H$1001,$A$2:$A$1001,A825,$B$2:$B$1001,"&lt;"&amp;B825))</f>
        <v/>
      </c>
      <c r="K825" s="24" t="str">
        <f aca="false">IF(OR(E825="",I825="",J825=""),"",MAX(E825*I825-J825,0))</f>
        <v/>
      </c>
      <c r="L825" s="25" t="str">
        <f aca="false">IF(OR(D825="",E825="",F825="",D825&lt;=E825),"",FLOOR((F825+K825)/(D825-E825),100))</f>
        <v/>
      </c>
      <c r="M825" s="25" t="str">
        <f aca="false">IF(OR(A825="",B825="",L825=""),"",IF(B825=1,L825,IFERROR(SUMIFS($G$2:$G$1001,$A$2:$A$1001,A825,$B$2:$B$1001,B825-1),0)))</f>
        <v/>
      </c>
      <c r="N825" s="25" t="str">
        <f aca="false">IF(OR(L825="",M825=""),"",MIN(L825,M825))</f>
        <v/>
      </c>
      <c r="O825" s="25" t="str">
        <f aca="false">IF(OR(I825="",G825=""),"",I825+G825)</f>
        <v/>
      </c>
      <c r="P825" s="24" t="str">
        <f aca="false">IF(OR(O825="",O825=0),"",(J825+H825)/O825)</f>
        <v/>
      </c>
      <c r="Q825" s="24" t="str">
        <f aca="false">IF(OR(O825="",E825=""),"",MAX(J825+H825-E825*O825,0))</f>
        <v/>
      </c>
      <c r="R825" s="26" t="str">
        <f aca="false">IF(A825="","",IF(COUNTIF(_TradeIds,A825)=0,"违规：交易编号不存在",IF(OR(B825="",B825&lt;1,B825&gt;5,B825&lt;&gt;INT(B825)),"违规：加仓序号须为1到5的整数",IF(COUNTIFS($A$2:$A$1001,A825,$B$2:$B$1001,B825)&gt;1,"违规：同一交易的加仓序号重复",IF(OR(D825="",E825="",F825=""),"计划不完整：请填写加仓价、新止损价和风险预算",IF(OR(D825&lt;=0,E825&lt;=0,F825&lt;=0,D825&lt;=E825),"违规：加仓价必须高于新止损价，金额须大于0",IF(AND(B825&gt;1,COUNTIFS($A$2:$A$1001,A825,$B$2:$B$1001,B825-1,$G$2:$G$1001,"&gt;0")=0),"违规：须先完成上一次加仓",IF(AND(B825&gt;1,E825&lt;SUMIFS($E$2:$E$1001,$A$2:$A$1001,A825,$B$2:$B$1001,B825-1)),"违规：新止损价不得低于上一次",IF(AND(B825&gt;1,F825&gt;SUMIFS($F$2:$F$1001,$A$2:$A$1001,A825,$B$2:$B$1001,B825-1)),"违规：风险预算须逐次不增加",IF(OR(_LockStatus="已锁仓",_LockStatus="解锁信息不完整"),"违规：锁仓期间禁止加仓",IF(G825="","计划可执行：建议股数见N列",IF(OR(G825&lt;=0,G825&lt;&gt;INT(G825),MOD(G825,100)&lt;&gt;0),"违规：实际股数须为100股整数倍",IF(G825&gt;N825,"违规：实际股数超过风险或金字塔上限",IF(AND(B825&gt;1,G825&gt;SUMIFS($G$2:$G$1001,$A$2:$A$1001,A825,$B$2:$B$1001,B825-1)),"违规：加仓股数须逐次不增加",IF(Q825&gt;F825,"违规：止损风险超过本次预算","通过")))))))))))))))</f>
        <v/>
      </c>
    </row>
    <row r="826" customFormat="false" ht="15" hidden="false" customHeight="false" outlineLevel="0" collapsed="false">
      <c r="A826" s="20"/>
      <c r="B826" s="21"/>
      <c r="C826" s="22"/>
      <c r="D826" s="23"/>
      <c r="E826" s="23"/>
      <c r="F826" s="23"/>
      <c r="G826" s="21"/>
      <c r="H826" s="24" t="str">
        <f aca="false">IF(OR(A826="",D826="",G826=""),"",D826*G826)</f>
        <v/>
      </c>
      <c r="I826" s="25" t="str">
        <f aca="false">IF(OR(A826="",B826=""),"",IFERROR(LOOKUP(2,1/(单次交易!$A$2:$A$201=A826),单次交易!$H$2:$H$201),0)+SUMIFS($G$2:$G$1001,$A$2:$A$1001,A826,$B$2:$B$1001,"&lt;"&amp;B826))</f>
        <v/>
      </c>
      <c r="J826" s="24" t="str">
        <f aca="false">IF(OR(A826="",B826=""),"",IFERROR(LOOKUP(2,1/(单次交易!$A$2:$A$201=A826),单次交易!$E$2:$E$201)*LOOKUP(2,1/(单次交易!$A$2:$A$201=A826),单次交易!$H$2:$H$201),0)+SUMIFS($H$2:$H$1001,$A$2:$A$1001,A826,$B$2:$B$1001,"&lt;"&amp;B826))</f>
        <v/>
      </c>
      <c r="K826" s="24" t="str">
        <f aca="false">IF(OR(E826="",I826="",J826=""),"",MAX(E826*I826-J826,0))</f>
        <v/>
      </c>
      <c r="L826" s="25" t="str">
        <f aca="false">IF(OR(D826="",E826="",F826="",D826&lt;=E826),"",FLOOR((F826+K826)/(D826-E826),100))</f>
        <v/>
      </c>
      <c r="M826" s="25" t="str">
        <f aca="false">IF(OR(A826="",B826="",L826=""),"",IF(B826=1,L826,IFERROR(SUMIFS($G$2:$G$1001,$A$2:$A$1001,A826,$B$2:$B$1001,B826-1),0)))</f>
        <v/>
      </c>
      <c r="N826" s="25" t="str">
        <f aca="false">IF(OR(L826="",M826=""),"",MIN(L826,M826))</f>
        <v/>
      </c>
      <c r="O826" s="25" t="str">
        <f aca="false">IF(OR(I826="",G826=""),"",I826+G826)</f>
        <v/>
      </c>
      <c r="P826" s="24" t="str">
        <f aca="false">IF(OR(O826="",O826=0),"",(J826+H826)/O826)</f>
        <v/>
      </c>
      <c r="Q826" s="24" t="str">
        <f aca="false">IF(OR(O826="",E826=""),"",MAX(J826+H826-E826*O826,0))</f>
        <v/>
      </c>
      <c r="R826" s="26" t="str">
        <f aca="false">IF(A826="","",IF(COUNTIF(_TradeIds,A826)=0,"违规：交易编号不存在",IF(OR(B826="",B826&lt;1,B826&gt;5,B826&lt;&gt;INT(B826)),"违规：加仓序号须为1到5的整数",IF(COUNTIFS($A$2:$A$1001,A826,$B$2:$B$1001,B826)&gt;1,"违规：同一交易的加仓序号重复",IF(OR(D826="",E826="",F826=""),"计划不完整：请填写加仓价、新止损价和风险预算",IF(OR(D826&lt;=0,E826&lt;=0,F826&lt;=0,D826&lt;=E826),"违规：加仓价必须高于新止损价，金额须大于0",IF(AND(B826&gt;1,COUNTIFS($A$2:$A$1001,A826,$B$2:$B$1001,B826-1,$G$2:$G$1001,"&gt;0")=0),"违规：须先完成上一次加仓",IF(AND(B826&gt;1,E826&lt;SUMIFS($E$2:$E$1001,$A$2:$A$1001,A826,$B$2:$B$1001,B826-1)),"违规：新止损价不得低于上一次",IF(AND(B826&gt;1,F826&gt;SUMIFS($F$2:$F$1001,$A$2:$A$1001,A826,$B$2:$B$1001,B826-1)),"违规：风险预算须逐次不增加",IF(OR(_LockStatus="已锁仓",_LockStatus="解锁信息不完整"),"违规：锁仓期间禁止加仓",IF(G826="","计划可执行：建议股数见N列",IF(OR(G826&lt;=0,G826&lt;&gt;INT(G826),MOD(G826,100)&lt;&gt;0),"违规：实际股数须为100股整数倍",IF(G826&gt;N826,"违规：实际股数超过风险或金字塔上限",IF(AND(B826&gt;1,G826&gt;SUMIFS($G$2:$G$1001,$A$2:$A$1001,A826,$B$2:$B$1001,B826-1)),"违规：加仓股数须逐次不增加",IF(Q826&gt;F826,"违规：止损风险超过本次预算","通过")))))))))))))))</f>
        <v/>
      </c>
    </row>
    <row r="827" customFormat="false" ht="15" hidden="false" customHeight="false" outlineLevel="0" collapsed="false">
      <c r="A827" s="20"/>
      <c r="B827" s="21"/>
      <c r="C827" s="22"/>
      <c r="D827" s="23"/>
      <c r="E827" s="23"/>
      <c r="F827" s="23"/>
      <c r="G827" s="21"/>
      <c r="H827" s="24" t="str">
        <f aca="false">IF(OR(A827="",D827="",G827=""),"",D827*G827)</f>
        <v/>
      </c>
      <c r="I827" s="25" t="str">
        <f aca="false">IF(OR(A827="",B827=""),"",IFERROR(LOOKUP(2,1/(单次交易!$A$2:$A$201=A827),单次交易!$H$2:$H$201),0)+SUMIFS($G$2:$G$1001,$A$2:$A$1001,A827,$B$2:$B$1001,"&lt;"&amp;B827))</f>
        <v/>
      </c>
      <c r="J827" s="24" t="str">
        <f aca="false">IF(OR(A827="",B827=""),"",IFERROR(LOOKUP(2,1/(单次交易!$A$2:$A$201=A827),单次交易!$E$2:$E$201)*LOOKUP(2,1/(单次交易!$A$2:$A$201=A827),单次交易!$H$2:$H$201),0)+SUMIFS($H$2:$H$1001,$A$2:$A$1001,A827,$B$2:$B$1001,"&lt;"&amp;B827))</f>
        <v/>
      </c>
      <c r="K827" s="24" t="str">
        <f aca="false">IF(OR(E827="",I827="",J827=""),"",MAX(E827*I827-J827,0))</f>
        <v/>
      </c>
      <c r="L827" s="25" t="str">
        <f aca="false">IF(OR(D827="",E827="",F827="",D827&lt;=E827),"",FLOOR((F827+K827)/(D827-E827),100))</f>
        <v/>
      </c>
      <c r="M827" s="25" t="str">
        <f aca="false">IF(OR(A827="",B827="",L827=""),"",IF(B827=1,L827,IFERROR(SUMIFS($G$2:$G$1001,$A$2:$A$1001,A827,$B$2:$B$1001,B827-1),0)))</f>
        <v/>
      </c>
      <c r="N827" s="25" t="str">
        <f aca="false">IF(OR(L827="",M827=""),"",MIN(L827,M827))</f>
        <v/>
      </c>
      <c r="O827" s="25" t="str">
        <f aca="false">IF(OR(I827="",G827=""),"",I827+G827)</f>
        <v/>
      </c>
      <c r="P827" s="24" t="str">
        <f aca="false">IF(OR(O827="",O827=0),"",(J827+H827)/O827)</f>
        <v/>
      </c>
      <c r="Q827" s="24" t="str">
        <f aca="false">IF(OR(O827="",E827=""),"",MAX(J827+H827-E827*O827,0))</f>
        <v/>
      </c>
      <c r="R827" s="26" t="str">
        <f aca="false">IF(A827="","",IF(COUNTIF(_TradeIds,A827)=0,"违规：交易编号不存在",IF(OR(B827="",B827&lt;1,B827&gt;5,B827&lt;&gt;INT(B827)),"违规：加仓序号须为1到5的整数",IF(COUNTIFS($A$2:$A$1001,A827,$B$2:$B$1001,B827)&gt;1,"违规：同一交易的加仓序号重复",IF(OR(D827="",E827="",F827=""),"计划不完整：请填写加仓价、新止损价和风险预算",IF(OR(D827&lt;=0,E827&lt;=0,F827&lt;=0,D827&lt;=E827),"违规：加仓价必须高于新止损价，金额须大于0",IF(AND(B827&gt;1,COUNTIFS($A$2:$A$1001,A827,$B$2:$B$1001,B827-1,$G$2:$G$1001,"&gt;0")=0),"违规：须先完成上一次加仓",IF(AND(B827&gt;1,E827&lt;SUMIFS($E$2:$E$1001,$A$2:$A$1001,A827,$B$2:$B$1001,B827-1)),"违规：新止损价不得低于上一次",IF(AND(B827&gt;1,F827&gt;SUMIFS($F$2:$F$1001,$A$2:$A$1001,A827,$B$2:$B$1001,B827-1)),"违规：风险预算须逐次不增加",IF(OR(_LockStatus="已锁仓",_LockStatus="解锁信息不完整"),"违规：锁仓期间禁止加仓",IF(G827="","计划可执行：建议股数见N列",IF(OR(G827&lt;=0,G827&lt;&gt;INT(G827),MOD(G827,100)&lt;&gt;0),"违规：实际股数须为100股整数倍",IF(G827&gt;N827,"违规：实际股数超过风险或金字塔上限",IF(AND(B827&gt;1,G827&gt;SUMIFS($G$2:$G$1001,$A$2:$A$1001,A827,$B$2:$B$1001,B827-1)),"违规：加仓股数须逐次不增加",IF(Q827&gt;F827,"违规：止损风险超过本次预算","通过")))))))))))))))</f>
        <v/>
      </c>
    </row>
    <row r="828" customFormat="false" ht="15" hidden="false" customHeight="false" outlineLevel="0" collapsed="false">
      <c r="A828" s="20"/>
      <c r="B828" s="21"/>
      <c r="C828" s="22"/>
      <c r="D828" s="23"/>
      <c r="E828" s="23"/>
      <c r="F828" s="23"/>
      <c r="G828" s="21"/>
      <c r="H828" s="24" t="str">
        <f aca="false">IF(OR(A828="",D828="",G828=""),"",D828*G828)</f>
        <v/>
      </c>
      <c r="I828" s="25" t="str">
        <f aca="false">IF(OR(A828="",B828=""),"",IFERROR(LOOKUP(2,1/(单次交易!$A$2:$A$201=A828),单次交易!$H$2:$H$201),0)+SUMIFS($G$2:$G$1001,$A$2:$A$1001,A828,$B$2:$B$1001,"&lt;"&amp;B828))</f>
        <v/>
      </c>
      <c r="J828" s="24" t="str">
        <f aca="false">IF(OR(A828="",B828=""),"",IFERROR(LOOKUP(2,1/(单次交易!$A$2:$A$201=A828),单次交易!$E$2:$E$201)*LOOKUP(2,1/(单次交易!$A$2:$A$201=A828),单次交易!$H$2:$H$201),0)+SUMIFS($H$2:$H$1001,$A$2:$A$1001,A828,$B$2:$B$1001,"&lt;"&amp;B828))</f>
        <v/>
      </c>
      <c r="K828" s="24" t="str">
        <f aca="false">IF(OR(E828="",I828="",J828=""),"",MAX(E828*I828-J828,0))</f>
        <v/>
      </c>
      <c r="L828" s="25" t="str">
        <f aca="false">IF(OR(D828="",E828="",F828="",D828&lt;=E828),"",FLOOR((F828+K828)/(D828-E828),100))</f>
        <v/>
      </c>
      <c r="M828" s="25" t="str">
        <f aca="false">IF(OR(A828="",B828="",L828=""),"",IF(B828=1,L828,IFERROR(SUMIFS($G$2:$G$1001,$A$2:$A$1001,A828,$B$2:$B$1001,B828-1),0)))</f>
        <v/>
      </c>
      <c r="N828" s="25" t="str">
        <f aca="false">IF(OR(L828="",M828=""),"",MIN(L828,M828))</f>
        <v/>
      </c>
      <c r="O828" s="25" t="str">
        <f aca="false">IF(OR(I828="",G828=""),"",I828+G828)</f>
        <v/>
      </c>
      <c r="P828" s="24" t="str">
        <f aca="false">IF(OR(O828="",O828=0),"",(J828+H828)/O828)</f>
        <v/>
      </c>
      <c r="Q828" s="24" t="str">
        <f aca="false">IF(OR(O828="",E828=""),"",MAX(J828+H828-E828*O828,0))</f>
        <v/>
      </c>
      <c r="R828" s="26" t="str">
        <f aca="false">IF(A828="","",IF(COUNTIF(_TradeIds,A828)=0,"违规：交易编号不存在",IF(OR(B828="",B828&lt;1,B828&gt;5,B828&lt;&gt;INT(B828)),"违规：加仓序号须为1到5的整数",IF(COUNTIFS($A$2:$A$1001,A828,$B$2:$B$1001,B828)&gt;1,"违规：同一交易的加仓序号重复",IF(OR(D828="",E828="",F828=""),"计划不完整：请填写加仓价、新止损价和风险预算",IF(OR(D828&lt;=0,E828&lt;=0,F828&lt;=0,D828&lt;=E828),"违规：加仓价必须高于新止损价，金额须大于0",IF(AND(B828&gt;1,COUNTIFS($A$2:$A$1001,A828,$B$2:$B$1001,B828-1,$G$2:$G$1001,"&gt;0")=0),"违规：须先完成上一次加仓",IF(AND(B828&gt;1,E828&lt;SUMIFS($E$2:$E$1001,$A$2:$A$1001,A828,$B$2:$B$1001,B828-1)),"违规：新止损价不得低于上一次",IF(AND(B828&gt;1,F828&gt;SUMIFS($F$2:$F$1001,$A$2:$A$1001,A828,$B$2:$B$1001,B828-1)),"违规：风险预算须逐次不增加",IF(OR(_LockStatus="已锁仓",_LockStatus="解锁信息不完整"),"违规：锁仓期间禁止加仓",IF(G828="","计划可执行：建议股数见N列",IF(OR(G828&lt;=0,G828&lt;&gt;INT(G828),MOD(G828,100)&lt;&gt;0),"违规：实际股数须为100股整数倍",IF(G828&gt;N828,"违规：实际股数超过风险或金字塔上限",IF(AND(B828&gt;1,G828&gt;SUMIFS($G$2:$G$1001,$A$2:$A$1001,A828,$B$2:$B$1001,B828-1)),"违规：加仓股数须逐次不增加",IF(Q828&gt;F828,"违规：止损风险超过本次预算","通过")))))))))))))))</f>
        <v/>
      </c>
    </row>
    <row r="829" customFormat="false" ht="15" hidden="false" customHeight="false" outlineLevel="0" collapsed="false">
      <c r="A829" s="20"/>
      <c r="B829" s="21"/>
      <c r="C829" s="22"/>
      <c r="D829" s="23"/>
      <c r="E829" s="23"/>
      <c r="F829" s="23"/>
      <c r="G829" s="21"/>
      <c r="H829" s="24" t="str">
        <f aca="false">IF(OR(A829="",D829="",G829=""),"",D829*G829)</f>
        <v/>
      </c>
      <c r="I829" s="25" t="str">
        <f aca="false">IF(OR(A829="",B829=""),"",IFERROR(LOOKUP(2,1/(单次交易!$A$2:$A$201=A829),单次交易!$H$2:$H$201),0)+SUMIFS($G$2:$G$1001,$A$2:$A$1001,A829,$B$2:$B$1001,"&lt;"&amp;B829))</f>
        <v/>
      </c>
      <c r="J829" s="24" t="str">
        <f aca="false">IF(OR(A829="",B829=""),"",IFERROR(LOOKUP(2,1/(单次交易!$A$2:$A$201=A829),单次交易!$E$2:$E$201)*LOOKUP(2,1/(单次交易!$A$2:$A$201=A829),单次交易!$H$2:$H$201),0)+SUMIFS($H$2:$H$1001,$A$2:$A$1001,A829,$B$2:$B$1001,"&lt;"&amp;B829))</f>
        <v/>
      </c>
      <c r="K829" s="24" t="str">
        <f aca="false">IF(OR(E829="",I829="",J829=""),"",MAX(E829*I829-J829,0))</f>
        <v/>
      </c>
      <c r="L829" s="25" t="str">
        <f aca="false">IF(OR(D829="",E829="",F829="",D829&lt;=E829),"",FLOOR((F829+K829)/(D829-E829),100))</f>
        <v/>
      </c>
      <c r="M829" s="25" t="str">
        <f aca="false">IF(OR(A829="",B829="",L829=""),"",IF(B829=1,L829,IFERROR(SUMIFS($G$2:$G$1001,$A$2:$A$1001,A829,$B$2:$B$1001,B829-1),0)))</f>
        <v/>
      </c>
      <c r="N829" s="25" t="str">
        <f aca="false">IF(OR(L829="",M829=""),"",MIN(L829,M829))</f>
        <v/>
      </c>
      <c r="O829" s="25" t="str">
        <f aca="false">IF(OR(I829="",G829=""),"",I829+G829)</f>
        <v/>
      </c>
      <c r="P829" s="24" t="str">
        <f aca="false">IF(OR(O829="",O829=0),"",(J829+H829)/O829)</f>
        <v/>
      </c>
      <c r="Q829" s="24" t="str">
        <f aca="false">IF(OR(O829="",E829=""),"",MAX(J829+H829-E829*O829,0))</f>
        <v/>
      </c>
      <c r="R829" s="26" t="str">
        <f aca="false">IF(A829="","",IF(COUNTIF(_TradeIds,A829)=0,"违规：交易编号不存在",IF(OR(B829="",B829&lt;1,B829&gt;5,B829&lt;&gt;INT(B829)),"违规：加仓序号须为1到5的整数",IF(COUNTIFS($A$2:$A$1001,A829,$B$2:$B$1001,B829)&gt;1,"违规：同一交易的加仓序号重复",IF(OR(D829="",E829="",F829=""),"计划不完整：请填写加仓价、新止损价和风险预算",IF(OR(D829&lt;=0,E829&lt;=0,F829&lt;=0,D829&lt;=E829),"违规：加仓价必须高于新止损价，金额须大于0",IF(AND(B829&gt;1,COUNTIFS($A$2:$A$1001,A829,$B$2:$B$1001,B829-1,$G$2:$G$1001,"&gt;0")=0),"违规：须先完成上一次加仓",IF(AND(B829&gt;1,E829&lt;SUMIFS($E$2:$E$1001,$A$2:$A$1001,A829,$B$2:$B$1001,B829-1)),"违规：新止损价不得低于上一次",IF(AND(B829&gt;1,F829&gt;SUMIFS($F$2:$F$1001,$A$2:$A$1001,A829,$B$2:$B$1001,B829-1)),"违规：风险预算须逐次不增加",IF(OR(_LockStatus="已锁仓",_LockStatus="解锁信息不完整"),"违规：锁仓期间禁止加仓",IF(G829="","计划可执行：建议股数见N列",IF(OR(G829&lt;=0,G829&lt;&gt;INT(G829),MOD(G829,100)&lt;&gt;0),"违规：实际股数须为100股整数倍",IF(G829&gt;N829,"违规：实际股数超过风险或金字塔上限",IF(AND(B829&gt;1,G829&gt;SUMIFS($G$2:$G$1001,$A$2:$A$1001,A829,$B$2:$B$1001,B829-1)),"违规：加仓股数须逐次不增加",IF(Q829&gt;F829,"违规：止损风险超过本次预算","通过")))))))))))))))</f>
        <v/>
      </c>
    </row>
    <row r="830" customFormat="false" ht="15" hidden="false" customHeight="false" outlineLevel="0" collapsed="false">
      <c r="A830" s="20"/>
      <c r="B830" s="21"/>
      <c r="C830" s="22"/>
      <c r="D830" s="23"/>
      <c r="E830" s="23"/>
      <c r="F830" s="23"/>
      <c r="G830" s="21"/>
      <c r="H830" s="24" t="str">
        <f aca="false">IF(OR(A830="",D830="",G830=""),"",D830*G830)</f>
        <v/>
      </c>
      <c r="I830" s="25" t="str">
        <f aca="false">IF(OR(A830="",B830=""),"",IFERROR(LOOKUP(2,1/(单次交易!$A$2:$A$201=A830),单次交易!$H$2:$H$201),0)+SUMIFS($G$2:$G$1001,$A$2:$A$1001,A830,$B$2:$B$1001,"&lt;"&amp;B830))</f>
        <v/>
      </c>
      <c r="J830" s="24" t="str">
        <f aca="false">IF(OR(A830="",B830=""),"",IFERROR(LOOKUP(2,1/(单次交易!$A$2:$A$201=A830),单次交易!$E$2:$E$201)*LOOKUP(2,1/(单次交易!$A$2:$A$201=A830),单次交易!$H$2:$H$201),0)+SUMIFS($H$2:$H$1001,$A$2:$A$1001,A830,$B$2:$B$1001,"&lt;"&amp;B830))</f>
        <v/>
      </c>
      <c r="K830" s="24" t="str">
        <f aca="false">IF(OR(E830="",I830="",J830=""),"",MAX(E830*I830-J830,0))</f>
        <v/>
      </c>
      <c r="L830" s="25" t="str">
        <f aca="false">IF(OR(D830="",E830="",F830="",D830&lt;=E830),"",FLOOR((F830+K830)/(D830-E830),100))</f>
        <v/>
      </c>
      <c r="M830" s="25" t="str">
        <f aca="false">IF(OR(A830="",B830="",L830=""),"",IF(B830=1,L830,IFERROR(SUMIFS($G$2:$G$1001,$A$2:$A$1001,A830,$B$2:$B$1001,B830-1),0)))</f>
        <v/>
      </c>
      <c r="N830" s="25" t="str">
        <f aca="false">IF(OR(L830="",M830=""),"",MIN(L830,M830))</f>
        <v/>
      </c>
      <c r="O830" s="25" t="str">
        <f aca="false">IF(OR(I830="",G830=""),"",I830+G830)</f>
        <v/>
      </c>
      <c r="P830" s="24" t="str">
        <f aca="false">IF(OR(O830="",O830=0),"",(J830+H830)/O830)</f>
        <v/>
      </c>
      <c r="Q830" s="24" t="str">
        <f aca="false">IF(OR(O830="",E830=""),"",MAX(J830+H830-E830*O830,0))</f>
        <v/>
      </c>
      <c r="R830" s="26" t="str">
        <f aca="false">IF(A830="","",IF(COUNTIF(_TradeIds,A830)=0,"违规：交易编号不存在",IF(OR(B830="",B830&lt;1,B830&gt;5,B830&lt;&gt;INT(B830)),"违规：加仓序号须为1到5的整数",IF(COUNTIFS($A$2:$A$1001,A830,$B$2:$B$1001,B830)&gt;1,"违规：同一交易的加仓序号重复",IF(OR(D830="",E830="",F830=""),"计划不完整：请填写加仓价、新止损价和风险预算",IF(OR(D830&lt;=0,E830&lt;=0,F830&lt;=0,D830&lt;=E830),"违规：加仓价必须高于新止损价，金额须大于0",IF(AND(B830&gt;1,COUNTIFS($A$2:$A$1001,A830,$B$2:$B$1001,B830-1,$G$2:$G$1001,"&gt;0")=0),"违规：须先完成上一次加仓",IF(AND(B830&gt;1,E830&lt;SUMIFS($E$2:$E$1001,$A$2:$A$1001,A830,$B$2:$B$1001,B830-1)),"违规：新止损价不得低于上一次",IF(AND(B830&gt;1,F830&gt;SUMIFS($F$2:$F$1001,$A$2:$A$1001,A830,$B$2:$B$1001,B830-1)),"违规：风险预算须逐次不增加",IF(OR(_LockStatus="已锁仓",_LockStatus="解锁信息不完整"),"违规：锁仓期间禁止加仓",IF(G830="","计划可执行：建议股数见N列",IF(OR(G830&lt;=0,G830&lt;&gt;INT(G830),MOD(G830,100)&lt;&gt;0),"违规：实际股数须为100股整数倍",IF(G830&gt;N830,"违规：实际股数超过风险或金字塔上限",IF(AND(B830&gt;1,G830&gt;SUMIFS($G$2:$G$1001,$A$2:$A$1001,A830,$B$2:$B$1001,B830-1)),"违规：加仓股数须逐次不增加",IF(Q830&gt;F830,"违规：止损风险超过本次预算","通过")))))))))))))))</f>
        <v/>
      </c>
    </row>
    <row r="831" customFormat="false" ht="15" hidden="false" customHeight="false" outlineLevel="0" collapsed="false">
      <c r="A831" s="20"/>
      <c r="B831" s="21"/>
      <c r="C831" s="22"/>
      <c r="D831" s="23"/>
      <c r="E831" s="23"/>
      <c r="F831" s="23"/>
      <c r="G831" s="21"/>
      <c r="H831" s="24" t="str">
        <f aca="false">IF(OR(A831="",D831="",G831=""),"",D831*G831)</f>
        <v/>
      </c>
      <c r="I831" s="25" t="str">
        <f aca="false">IF(OR(A831="",B831=""),"",IFERROR(LOOKUP(2,1/(单次交易!$A$2:$A$201=A831),单次交易!$H$2:$H$201),0)+SUMIFS($G$2:$G$1001,$A$2:$A$1001,A831,$B$2:$B$1001,"&lt;"&amp;B831))</f>
        <v/>
      </c>
      <c r="J831" s="24" t="str">
        <f aca="false">IF(OR(A831="",B831=""),"",IFERROR(LOOKUP(2,1/(单次交易!$A$2:$A$201=A831),单次交易!$E$2:$E$201)*LOOKUP(2,1/(单次交易!$A$2:$A$201=A831),单次交易!$H$2:$H$201),0)+SUMIFS($H$2:$H$1001,$A$2:$A$1001,A831,$B$2:$B$1001,"&lt;"&amp;B831))</f>
        <v/>
      </c>
      <c r="K831" s="24" t="str">
        <f aca="false">IF(OR(E831="",I831="",J831=""),"",MAX(E831*I831-J831,0))</f>
        <v/>
      </c>
      <c r="L831" s="25" t="str">
        <f aca="false">IF(OR(D831="",E831="",F831="",D831&lt;=E831),"",FLOOR((F831+K831)/(D831-E831),100))</f>
        <v/>
      </c>
      <c r="M831" s="25" t="str">
        <f aca="false">IF(OR(A831="",B831="",L831=""),"",IF(B831=1,L831,IFERROR(SUMIFS($G$2:$G$1001,$A$2:$A$1001,A831,$B$2:$B$1001,B831-1),0)))</f>
        <v/>
      </c>
      <c r="N831" s="25" t="str">
        <f aca="false">IF(OR(L831="",M831=""),"",MIN(L831,M831))</f>
        <v/>
      </c>
      <c r="O831" s="25" t="str">
        <f aca="false">IF(OR(I831="",G831=""),"",I831+G831)</f>
        <v/>
      </c>
      <c r="P831" s="24" t="str">
        <f aca="false">IF(OR(O831="",O831=0),"",(J831+H831)/O831)</f>
        <v/>
      </c>
      <c r="Q831" s="24" t="str">
        <f aca="false">IF(OR(O831="",E831=""),"",MAX(J831+H831-E831*O831,0))</f>
        <v/>
      </c>
      <c r="R831" s="26" t="str">
        <f aca="false">IF(A831="","",IF(COUNTIF(_TradeIds,A831)=0,"违规：交易编号不存在",IF(OR(B831="",B831&lt;1,B831&gt;5,B831&lt;&gt;INT(B831)),"违规：加仓序号须为1到5的整数",IF(COUNTIFS($A$2:$A$1001,A831,$B$2:$B$1001,B831)&gt;1,"违规：同一交易的加仓序号重复",IF(OR(D831="",E831="",F831=""),"计划不完整：请填写加仓价、新止损价和风险预算",IF(OR(D831&lt;=0,E831&lt;=0,F831&lt;=0,D831&lt;=E831),"违规：加仓价必须高于新止损价，金额须大于0",IF(AND(B831&gt;1,COUNTIFS($A$2:$A$1001,A831,$B$2:$B$1001,B831-1,$G$2:$G$1001,"&gt;0")=0),"违规：须先完成上一次加仓",IF(AND(B831&gt;1,E831&lt;SUMIFS($E$2:$E$1001,$A$2:$A$1001,A831,$B$2:$B$1001,B831-1)),"违规：新止损价不得低于上一次",IF(AND(B831&gt;1,F831&gt;SUMIFS($F$2:$F$1001,$A$2:$A$1001,A831,$B$2:$B$1001,B831-1)),"违规：风险预算须逐次不增加",IF(OR(_LockStatus="已锁仓",_LockStatus="解锁信息不完整"),"违规：锁仓期间禁止加仓",IF(G831="","计划可执行：建议股数见N列",IF(OR(G831&lt;=0,G831&lt;&gt;INT(G831),MOD(G831,100)&lt;&gt;0),"违规：实际股数须为100股整数倍",IF(G831&gt;N831,"违规：实际股数超过风险或金字塔上限",IF(AND(B831&gt;1,G831&gt;SUMIFS($G$2:$G$1001,$A$2:$A$1001,A831,$B$2:$B$1001,B831-1)),"违规：加仓股数须逐次不增加",IF(Q831&gt;F831,"违规：止损风险超过本次预算","通过")))))))))))))))</f>
        <v/>
      </c>
    </row>
    <row r="832" customFormat="false" ht="15" hidden="false" customHeight="false" outlineLevel="0" collapsed="false">
      <c r="A832" s="20"/>
      <c r="B832" s="21"/>
      <c r="C832" s="22"/>
      <c r="D832" s="23"/>
      <c r="E832" s="23"/>
      <c r="F832" s="23"/>
      <c r="G832" s="21"/>
      <c r="H832" s="24" t="str">
        <f aca="false">IF(OR(A832="",D832="",G832=""),"",D832*G832)</f>
        <v/>
      </c>
      <c r="I832" s="25" t="str">
        <f aca="false">IF(OR(A832="",B832=""),"",IFERROR(LOOKUP(2,1/(单次交易!$A$2:$A$201=A832),单次交易!$H$2:$H$201),0)+SUMIFS($G$2:$G$1001,$A$2:$A$1001,A832,$B$2:$B$1001,"&lt;"&amp;B832))</f>
        <v/>
      </c>
      <c r="J832" s="24" t="str">
        <f aca="false">IF(OR(A832="",B832=""),"",IFERROR(LOOKUP(2,1/(单次交易!$A$2:$A$201=A832),单次交易!$E$2:$E$201)*LOOKUP(2,1/(单次交易!$A$2:$A$201=A832),单次交易!$H$2:$H$201),0)+SUMIFS($H$2:$H$1001,$A$2:$A$1001,A832,$B$2:$B$1001,"&lt;"&amp;B832))</f>
        <v/>
      </c>
      <c r="K832" s="24" t="str">
        <f aca="false">IF(OR(E832="",I832="",J832=""),"",MAX(E832*I832-J832,0))</f>
        <v/>
      </c>
      <c r="L832" s="25" t="str">
        <f aca="false">IF(OR(D832="",E832="",F832="",D832&lt;=E832),"",FLOOR((F832+K832)/(D832-E832),100))</f>
        <v/>
      </c>
      <c r="M832" s="25" t="str">
        <f aca="false">IF(OR(A832="",B832="",L832=""),"",IF(B832=1,L832,IFERROR(SUMIFS($G$2:$G$1001,$A$2:$A$1001,A832,$B$2:$B$1001,B832-1),0)))</f>
        <v/>
      </c>
      <c r="N832" s="25" t="str">
        <f aca="false">IF(OR(L832="",M832=""),"",MIN(L832,M832))</f>
        <v/>
      </c>
      <c r="O832" s="25" t="str">
        <f aca="false">IF(OR(I832="",G832=""),"",I832+G832)</f>
        <v/>
      </c>
      <c r="P832" s="24" t="str">
        <f aca="false">IF(OR(O832="",O832=0),"",(J832+H832)/O832)</f>
        <v/>
      </c>
      <c r="Q832" s="24" t="str">
        <f aca="false">IF(OR(O832="",E832=""),"",MAX(J832+H832-E832*O832,0))</f>
        <v/>
      </c>
      <c r="R832" s="26" t="str">
        <f aca="false">IF(A832="","",IF(COUNTIF(_TradeIds,A832)=0,"违规：交易编号不存在",IF(OR(B832="",B832&lt;1,B832&gt;5,B832&lt;&gt;INT(B832)),"违规：加仓序号须为1到5的整数",IF(COUNTIFS($A$2:$A$1001,A832,$B$2:$B$1001,B832)&gt;1,"违规：同一交易的加仓序号重复",IF(OR(D832="",E832="",F832=""),"计划不完整：请填写加仓价、新止损价和风险预算",IF(OR(D832&lt;=0,E832&lt;=0,F832&lt;=0,D832&lt;=E832),"违规：加仓价必须高于新止损价，金额须大于0",IF(AND(B832&gt;1,COUNTIFS($A$2:$A$1001,A832,$B$2:$B$1001,B832-1,$G$2:$G$1001,"&gt;0")=0),"违规：须先完成上一次加仓",IF(AND(B832&gt;1,E832&lt;SUMIFS($E$2:$E$1001,$A$2:$A$1001,A832,$B$2:$B$1001,B832-1)),"违规：新止损价不得低于上一次",IF(AND(B832&gt;1,F832&gt;SUMIFS($F$2:$F$1001,$A$2:$A$1001,A832,$B$2:$B$1001,B832-1)),"违规：风险预算须逐次不增加",IF(OR(_LockStatus="已锁仓",_LockStatus="解锁信息不完整"),"违规：锁仓期间禁止加仓",IF(G832="","计划可执行：建议股数见N列",IF(OR(G832&lt;=0,G832&lt;&gt;INT(G832),MOD(G832,100)&lt;&gt;0),"违规：实际股数须为100股整数倍",IF(G832&gt;N832,"违规：实际股数超过风险或金字塔上限",IF(AND(B832&gt;1,G832&gt;SUMIFS($G$2:$G$1001,$A$2:$A$1001,A832,$B$2:$B$1001,B832-1)),"违规：加仓股数须逐次不增加",IF(Q832&gt;F832,"违规：止损风险超过本次预算","通过")))))))))))))))</f>
        <v/>
      </c>
    </row>
    <row r="833" customFormat="false" ht="15" hidden="false" customHeight="false" outlineLevel="0" collapsed="false">
      <c r="A833" s="20"/>
      <c r="B833" s="21"/>
      <c r="C833" s="22"/>
      <c r="D833" s="23"/>
      <c r="E833" s="23"/>
      <c r="F833" s="23"/>
      <c r="G833" s="21"/>
      <c r="H833" s="24" t="str">
        <f aca="false">IF(OR(A833="",D833="",G833=""),"",D833*G833)</f>
        <v/>
      </c>
      <c r="I833" s="25" t="str">
        <f aca="false">IF(OR(A833="",B833=""),"",IFERROR(LOOKUP(2,1/(单次交易!$A$2:$A$201=A833),单次交易!$H$2:$H$201),0)+SUMIFS($G$2:$G$1001,$A$2:$A$1001,A833,$B$2:$B$1001,"&lt;"&amp;B833))</f>
        <v/>
      </c>
      <c r="J833" s="24" t="str">
        <f aca="false">IF(OR(A833="",B833=""),"",IFERROR(LOOKUP(2,1/(单次交易!$A$2:$A$201=A833),单次交易!$E$2:$E$201)*LOOKUP(2,1/(单次交易!$A$2:$A$201=A833),单次交易!$H$2:$H$201),0)+SUMIFS($H$2:$H$1001,$A$2:$A$1001,A833,$B$2:$B$1001,"&lt;"&amp;B833))</f>
        <v/>
      </c>
      <c r="K833" s="24" t="str">
        <f aca="false">IF(OR(E833="",I833="",J833=""),"",MAX(E833*I833-J833,0))</f>
        <v/>
      </c>
      <c r="L833" s="25" t="str">
        <f aca="false">IF(OR(D833="",E833="",F833="",D833&lt;=E833),"",FLOOR((F833+K833)/(D833-E833),100))</f>
        <v/>
      </c>
      <c r="M833" s="25" t="str">
        <f aca="false">IF(OR(A833="",B833="",L833=""),"",IF(B833=1,L833,IFERROR(SUMIFS($G$2:$G$1001,$A$2:$A$1001,A833,$B$2:$B$1001,B833-1),0)))</f>
        <v/>
      </c>
      <c r="N833" s="25" t="str">
        <f aca="false">IF(OR(L833="",M833=""),"",MIN(L833,M833))</f>
        <v/>
      </c>
      <c r="O833" s="25" t="str">
        <f aca="false">IF(OR(I833="",G833=""),"",I833+G833)</f>
        <v/>
      </c>
      <c r="P833" s="24" t="str">
        <f aca="false">IF(OR(O833="",O833=0),"",(J833+H833)/O833)</f>
        <v/>
      </c>
      <c r="Q833" s="24" t="str">
        <f aca="false">IF(OR(O833="",E833=""),"",MAX(J833+H833-E833*O833,0))</f>
        <v/>
      </c>
      <c r="R833" s="26" t="str">
        <f aca="false">IF(A833="","",IF(COUNTIF(_TradeIds,A833)=0,"违规：交易编号不存在",IF(OR(B833="",B833&lt;1,B833&gt;5,B833&lt;&gt;INT(B833)),"违规：加仓序号须为1到5的整数",IF(COUNTIFS($A$2:$A$1001,A833,$B$2:$B$1001,B833)&gt;1,"违规：同一交易的加仓序号重复",IF(OR(D833="",E833="",F833=""),"计划不完整：请填写加仓价、新止损价和风险预算",IF(OR(D833&lt;=0,E833&lt;=0,F833&lt;=0,D833&lt;=E833),"违规：加仓价必须高于新止损价，金额须大于0",IF(AND(B833&gt;1,COUNTIFS($A$2:$A$1001,A833,$B$2:$B$1001,B833-1,$G$2:$G$1001,"&gt;0")=0),"违规：须先完成上一次加仓",IF(AND(B833&gt;1,E833&lt;SUMIFS($E$2:$E$1001,$A$2:$A$1001,A833,$B$2:$B$1001,B833-1)),"违规：新止损价不得低于上一次",IF(AND(B833&gt;1,F833&gt;SUMIFS($F$2:$F$1001,$A$2:$A$1001,A833,$B$2:$B$1001,B833-1)),"违规：风险预算须逐次不增加",IF(OR(_LockStatus="已锁仓",_LockStatus="解锁信息不完整"),"违规：锁仓期间禁止加仓",IF(G833="","计划可执行：建议股数见N列",IF(OR(G833&lt;=0,G833&lt;&gt;INT(G833),MOD(G833,100)&lt;&gt;0),"违规：实际股数须为100股整数倍",IF(G833&gt;N833,"违规：实际股数超过风险或金字塔上限",IF(AND(B833&gt;1,G833&gt;SUMIFS($G$2:$G$1001,$A$2:$A$1001,A833,$B$2:$B$1001,B833-1)),"违规：加仓股数须逐次不增加",IF(Q833&gt;F833,"违规：止损风险超过本次预算","通过")))))))))))))))</f>
        <v/>
      </c>
    </row>
    <row r="834" customFormat="false" ht="15" hidden="false" customHeight="false" outlineLevel="0" collapsed="false">
      <c r="A834" s="20"/>
      <c r="B834" s="21"/>
      <c r="C834" s="22"/>
      <c r="D834" s="23"/>
      <c r="E834" s="23"/>
      <c r="F834" s="23"/>
      <c r="G834" s="21"/>
      <c r="H834" s="24" t="str">
        <f aca="false">IF(OR(A834="",D834="",G834=""),"",D834*G834)</f>
        <v/>
      </c>
      <c r="I834" s="25" t="str">
        <f aca="false">IF(OR(A834="",B834=""),"",IFERROR(LOOKUP(2,1/(单次交易!$A$2:$A$201=A834),单次交易!$H$2:$H$201),0)+SUMIFS($G$2:$G$1001,$A$2:$A$1001,A834,$B$2:$B$1001,"&lt;"&amp;B834))</f>
        <v/>
      </c>
      <c r="J834" s="24" t="str">
        <f aca="false">IF(OR(A834="",B834=""),"",IFERROR(LOOKUP(2,1/(单次交易!$A$2:$A$201=A834),单次交易!$E$2:$E$201)*LOOKUP(2,1/(单次交易!$A$2:$A$201=A834),单次交易!$H$2:$H$201),0)+SUMIFS($H$2:$H$1001,$A$2:$A$1001,A834,$B$2:$B$1001,"&lt;"&amp;B834))</f>
        <v/>
      </c>
      <c r="K834" s="24" t="str">
        <f aca="false">IF(OR(E834="",I834="",J834=""),"",MAX(E834*I834-J834,0))</f>
        <v/>
      </c>
      <c r="L834" s="25" t="str">
        <f aca="false">IF(OR(D834="",E834="",F834="",D834&lt;=E834),"",FLOOR((F834+K834)/(D834-E834),100))</f>
        <v/>
      </c>
      <c r="M834" s="25" t="str">
        <f aca="false">IF(OR(A834="",B834="",L834=""),"",IF(B834=1,L834,IFERROR(SUMIFS($G$2:$G$1001,$A$2:$A$1001,A834,$B$2:$B$1001,B834-1),0)))</f>
        <v/>
      </c>
      <c r="N834" s="25" t="str">
        <f aca="false">IF(OR(L834="",M834=""),"",MIN(L834,M834))</f>
        <v/>
      </c>
      <c r="O834" s="25" t="str">
        <f aca="false">IF(OR(I834="",G834=""),"",I834+G834)</f>
        <v/>
      </c>
      <c r="P834" s="24" t="str">
        <f aca="false">IF(OR(O834="",O834=0),"",(J834+H834)/O834)</f>
        <v/>
      </c>
      <c r="Q834" s="24" t="str">
        <f aca="false">IF(OR(O834="",E834=""),"",MAX(J834+H834-E834*O834,0))</f>
        <v/>
      </c>
      <c r="R834" s="26" t="str">
        <f aca="false">IF(A834="","",IF(COUNTIF(_TradeIds,A834)=0,"违规：交易编号不存在",IF(OR(B834="",B834&lt;1,B834&gt;5,B834&lt;&gt;INT(B834)),"违规：加仓序号须为1到5的整数",IF(COUNTIFS($A$2:$A$1001,A834,$B$2:$B$1001,B834)&gt;1,"违规：同一交易的加仓序号重复",IF(OR(D834="",E834="",F834=""),"计划不完整：请填写加仓价、新止损价和风险预算",IF(OR(D834&lt;=0,E834&lt;=0,F834&lt;=0,D834&lt;=E834),"违规：加仓价必须高于新止损价，金额须大于0",IF(AND(B834&gt;1,COUNTIFS($A$2:$A$1001,A834,$B$2:$B$1001,B834-1,$G$2:$G$1001,"&gt;0")=0),"违规：须先完成上一次加仓",IF(AND(B834&gt;1,E834&lt;SUMIFS($E$2:$E$1001,$A$2:$A$1001,A834,$B$2:$B$1001,B834-1)),"违规：新止损价不得低于上一次",IF(AND(B834&gt;1,F834&gt;SUMIFS($F$2:$F$1001,$A$2:$A$1001,A834,$B$2:$B$1001,B834-1)),"违规：风险预算须逐次不增加",IF(OR(_LockStatus="已锁仓",_LockStatus="解锁信息不完整"),"违规：锁仓期间禁止加仓",IF(G834="","计划可执行：建议股数见N列",IF(OR(G834&lt;=0,G834&lt;&gt;INT(G834),MOD(G834,100)&lt;&gt;0),"违规：实际股数须为100股整数倍",IF(G834&gt;N834,"违规：实际股数超过风险或金字塔上限",IF(AND(B834&gt;1,G834&gt;SUMIFS($G$2:$G$1001,$A$2:$A$1001,A834,$B$2:$B$1001,B834-1)),"违规：加仓股数须逐次不增加",IF(Q834&gt;F834,"违规：止损风险超过本次预算","通过")))))))))))))))</f>
        <v/>
      </c>
    </row>
    <row r="835" customFormat="false" ht="15" hidden="false" customHeight="false" outlineLevel="0" collapsed="false">
      <c r="A835" s="20"/>
      <c r="B835" s="21"/>
      <c r="C835" s="22"/>
      <c r="D835" s="23"/>
      <c r="E835" s="23"/>
      <c r="F835" s="23"/>
      <c r="G835" s="21"/>
      <c r="H835" s="24" t="str">
        <f aca="false">IF(OR(A835="",D835="",G835=""),"",D835*G835)</f>
        <v/>
      </c>
      <c r="I835" s="25" t="str">
        <f aca="false">IF(OR(A835="",B835=""),"",IFERROR(LOOKUP(2,1/(单次交易!$A$2:$A$201=A835),单次交易!$H$2:$H$201),0)+SUMIFS($G$2:$G$1001,$A$2:$A$1001,A835,$B$2:$B$1001,"&lt;"&amp;B835))</f>
        <v/>
      </c>
      <c r="J835" s="24" t="str">
        <f aca="false">IF(OR(A835="",B835=""),"",IFERROR(LOOKUP(2,1/(单次交易!$A$2:$A$201=A835),单次交易!$E$2:$E$201)*LOOKUP(2,1/(单次交易!$A$2:$A$201=A835),单次交易!$H$2:$H$201),0)+SUMIFS($H$2:$H$1001,$A$2:$A$1001,A835,$B$2:$B$1001,"&lt;"&amp;B835))</f>
        <v/>
      </c>
      <c r="K835" s="24" t="str">
        <f aca="false">IF(OR(E835="",I835="",J835=""),"",MAX(E835*I835-J835,0))</f>
        <v/>
      </c>
      <c r="L835" s="25" t="str">
        <f aca="false">IF(OR(D835="",E835="",F835="",D835&lt;=E835),"",FLOOR((F835+K835)/(D835-E835),100))</f>
        <v/>
      </c>
      <c r="M835" s="25" t="str">
        <f aca="false">IF(OR(A835="",B835="",L835=""),"",IF(B835=1,L835,IFERROR(SUMIFS($G$2:$G$1001,$A$2:$A$1001,A835,$B$2:$B$1001,B835-1),0)))</f>
        <v/>
      </c>
      <c r="N835" s="25" t="str">
        <f aca="false">IF(OR(L835="",M835=""),"",MIN(L835,M835))</f>
        <v/>
      </c>
      <c r="O835" s="25" t="str">
        <f aca="false">IF(OR(I835="",G835=""),"",I835+G835)</f>
        <v/>
      </c>
      <c r="P835" s="24" t="str">
        <f aca="false">IF(OR(O835="",O835=0),"",(J835+H835)/O835)</f>
        <v/>
      </c>
      <c r="Q835" s="24" t="str">
        <f aca="false">IF(OR(O835="",E835=""),"",MAX(J835+H835-E835*O835,0))</f>
        <v/>
      </c>
      <c r="R835" s="26" t="str">
        <f aca="false">IF(A835="","",IF(COUNTIF(_TradeIds,A835)=0,"违规：交易编号不存在",IF(OR(B835="",B835&lt;1,B835&gt;5,B835&lt;&gt;INT(B835)),"违规：加仓序号须为1到5的整数",IF(COUNTIFS($A$2:$A$1001,A835,$B$2:$B$1001,B835)&gt;1,"违规：同一交易的加仓序号重复",IF(OR(D835="",E835="",F835=""),"计划不完整：请填写加仓价、新止损价和风险预算",IF(OR(D835&lt;=0,E835&lt;=0,F835&lt;=0,D835&lt;=E835),"违规：加仓价必须高于新止损价，金额须大于0",IF(AND(B835&gt;1,COUNTIFS($A$2:$A$1001,A835,$B$2:$B$1001,B835-1,$G$2:$G$1001,"&gt;0")=0),"违规：须先完成上一次加仓",IF(AND(B835&gt;1,E835&lt;SUMIFS($E$2:$E$1001,$A$2:$A$1001,A835,$B$2:$B$1001,B835-1)),"违规：新止损价不得低于上一次",IF(AND(B835&gt;1,F835&gt;SUMIFS($F$2:$F$1001,$A$2:$A$1001,A835,$B$2:$B$1001,B835-1)),"违规：风险预算须逐次不增加",IF(OR(_LockStatus="已锁仓",_LockStatus="解锁信息不完整"),"违规：锁仓期间禁止加仓",IF(G835="","计划可执行：建议股数见N列",IF(OR(G835&lt;=0,G835&lt;&gt;INT(G835),MOD(G835,100)&lt;&gt;0),"违规：实际股数须为100股整数倍",IF(G835&gt;N835,"违规：实际股数超过风险或金字塔上限",IF(AND(B835&gt;1,G835&gt;SUMIFS($G$2:$G$1001,$A$2:$A$1001,A835,$B$2:$B$1001,B835-1)),"违规：加仓股数须逐次不增加",IF(Q835&gt;F835,"违规：止损风险超过本次预算","通过")))))))))))))))</f>
        <v/>
      </c>
    </row>
    <row r="836" customFormat="false" ht="15" hidden="false" customHeight="false" outlineLevel="0" collapsed="false">
      <c r="A836" s="20"/>
      <c r="B836" s="21"/>
      <c r="C836" s="22"/>
      <c r="D836" s="23"/>
      <c r="E836" s="23"/>
      <c r="F836" s="23"/>
      <c r="G836" s="21"/>
      <c r="H836" s="24" t="str">
        <f aca="false">IF(OR(A836="",D836="",G836=""),"",D836*G836)</f>
        <v/>
      </c>
      <c r="I836" s="25" t="str">
        <f aca="false">IF(OR(A836="",B836=""),"",IFERROR(LOOKUP(2,1/(单次交易!$A$2:$A$201=A836),单次交易!$H$2:$H$201),0)+SUMIFS($G$2:$G$1001,$A$2:$A$1001,A836,$B$2:$B$1001,"&lt;"&amp;B836))</f>
        <v/>
      </c>
      <c r="J836" s="24" t="str">
        <f aca="false">IF(OR(A836="",B836=""),"",IFERROR(LOOKUP(2,1/(单次交易!$A$2:$A$201=A836),单次交易!$E$2:$E$201)*LOOKUP(2,1/(单次交易!$A$2:$A$201=A836),单次交易!$H$2:$H$201),0)+SUMIFS($H$2:$H$1001,$A$2:$A$1001,A836,$B$2:$B$1001,"&lt;"&amp;B836))</f>
        <v/>
      </c>
      <c r="K836" s="24" t="str">
        <f aca="false">IF(OR(E836="",I836="",J836=""),"",MAX(E836*I836-J836,0))</f>
        <v/>
      </c>
      <c r="L836" s="25" t="str">
        <f aca="false">IF(OR(D836="",E836="",F836="",D836&lt;=E836),"",FLOOR((F836+K836)/(D836-E836),100))</f>
        <v/>
      </c>
      <c r="M836" s="25" t="str">
        <f aca="false">IF(OR(A836="",B836="",L836=""),"",IF(B836=1,L836,IFERROR(SUMIFS($G$2:$G$1001,$A$2:$A$1001,A836,$B$2:$B$1001,B836-1),0)))</f>
        <v/>
      </c>
      <c r="N836" s="25" t="str">
        <f aca="false">IF(OR(L836="",M836=""),"",MIN(L836,M836))</f>
        <v/>
      </c>
      <c r="O836" s="25" t="str">
        <f aca="false">IF(OR(I836="",G836=""),"",I836+G836)</f>
        <v/>
      </c>
      <c r="P836" s="24" t="str">
        <f aca="false">IF(OR(O836="",O836=0),"",(J836+H836)/O836)</f>
        <v/>
      </c>
      <c r="Q836" s="24" t="str">
        <f aca="false">IF(OR(O836="",E836=""),"",MAX(J836+H836-E836*O836,0))</f>
        <v/>
      </c>
      <c r="R836" s="26" t="str">
        <f aca="false">IF(A836="","",IF(COUNTIF(_TradeIds,A836)=0,"违规：交易编号不存在",IF(OR(B836="",B836&lt;1,B836&gt;5,B836&lt;&gt;INT(B836)),"违规：加仓序号须为1到5的整数",IF(COUNTIFS($A$2:$A$1001,A836,$B$2:$B$1001,B836)&gt;1,"违规：同一交易的加仓序号重复",IF(OR(D836="",E836="",F836=""),"计划不完整：请填写加仓价、新止损价和风险预算",IF(OR(D836&lt;=0,E836&lt;=0,F836&lt;=0,D836&lt;=E836),"违规：加仓价必须高于新止损价，金额须大于0",IF(AND(B836&gt;1,COUNTIFS($A$2:$A$1001,A836,$B$2:$B$1001,B836-1,$G$2:$G$1001,"&gt;0")=0),"违规：须先完成上一次加仓",IF(AND(B836&gt;1,E836&lt;SUMIFS($E$2:$E$1001,$A$2:$A$1001,A836,$B$2:$B$1001,B836-1)),"违规：新止损价不得低于上一次",IF(AND(B836&gt;1,F836&gt;SUMIFS($F$2:$F$1001,$A$2:$A$1001,A836,$B$2:$B$1001,B836-1)),"违规：风险预算须逐次不增加",IF(OR(_LockStatus="已锁仓",_LockStatus="解锁信息不完整"),"违规：锁仓期间禁止加仓",IF(G836="","计划可执行：建议股数见N列",IF(OR(G836&lt;=0,G836&lt;&gt;INT(G836),MOD(G836,100)&lt;&gt;0),"违规：实际股数须为100股整数倍",IF(G836&gt;N836,"违规：实际股数超过风险或金字塔上限",IF(AND(B836&gt;1,G836&gt;SUMIFS($G$2:$G$1001,$A$2:$A$1001,A836,$B$2:$B$1001,B836-1)),"违规：加仓股数须逐次不增加",IF(Q836&gt;F836,"违规：止损风险超过本次预算","通过")))))))))))))))</f>
        <v/>
      </c>
    </row>
    <row r="837" customFormat="false" ht="15" hidden="false" customHeight="false" outlineLevel="0" collapsed="false">
      <c r="A837" s="20"/>
      <c r="B837" s="21"/>
      <c r="C837" s="22"/>
      <c r="D837" s="23"/>
      <c r="E837" s="23"/>
      <c r="F837" s="23"/>
      <c r="G837" s="21"/>
      <c r="H837" s="24" t="str">
        <f aca="false">IF(OR(A837="",D837="",G837=""),"",D837*G837)</f>
        <v/>
      </c>
      <c r="I837" s="25" t="str">
        <f aca="false">IF(OR(A837="",B837=""),"",IFERROR(LOOKUP(2,1/(单次交易!$A$2:$A$201=A837),单次交易!$H$2:$H$201),0)+SUMIFS($G$2:$G$1001,$A$2:$A$1001,A837,$B$2:$B$1001,"&lt;"&amp;B837))</f>
        <v/>
      </c>
      <c r="J837" s="24" t="str">
        <f aca="false">IF(OR(A837="",B837=""),"",IFERROR(LOOKUP(2,1/(单次交易!$A$2:$A$201=A837),单次交易!$E$2:$E$201)*LOOKUP(2,1/(单次交易!$A$2:$A$201=A837),单次交易!$H$2:$H$201),0)+SUMIFS($H$2:$H$1001,$A$2:$A$1001,A837,$B$2:$B$1001,"&lt;"&amp;B837))</f>
        <v/>
      </c>
      <c r="K837" s="24" t="str">
        <f aca="false">IF(OR(E837="",I837="",J837=""),"",MAX(E837*I837-J837,0))</f>
        <v/>
      </c>
      <c r="L837" s="25" t="str">
        <f aca="false">IF(OR(D837="",E837="",F837="",D837&lt;=E837),"",FLOOR((F837+K837)/(D837-E837),100))</f>
        <v/>
      </c>
      <c r="M837" s="25" t="str">
        <f aca="false">IF(OR(A837="",B837="",L837=""),"",IF(B837=1,L837,IFERROR(SUMIFS($G$2:$G$1001,$A$2:$A$1001,A837,$B$2:$B$1001,B837-1),0)))</f>
        <v/>
      </c>
      <c r="N837" s="25" t="str">
        <f aca="false">IF(OR(L837="",M837=""),"",MIN(L837,M837))</f>
        <v/>
      </c>
      <c r="O837" s="25" t="str">
        <f aca="false">IF(OR(I837="",G837=""),"",I837+G837)</f>
        <v/>
      </c>
      <c r="P837" s="24" t="str">
        <f aca="false">IF(OR(O837="",O837=0),"",(J837+H837)/O837)</f>
        <v/>
      </c>
      <c r="Q837" s="24" t="str">
        <f aca="false">IF(OR(O837="",E837=""),"",MAX(J837+H837-E837*O837,0))</f>
        <v/>
      </c>
      <c r="R837" s="26" t="str">
        <f aca="false">IF(A837="","",IF(COUNTIF(_TradeIds,A837)=0,"违规：交易编号不存在",IF(OR(B837="",B837&lt;1,B837&gt;5,B837&lt;&gt;INT(B837)),"违规：加仓序号须为1到5的整数",IF(COUNTIFS($A$2:$A$1001,A837,$B$2:$B$1001,B837)&gt;1,"违规：同一交易的加仓序号重复",IF(OR(D837="",E837="",F837=""),"计划不完整：请填写加仓价、新止损价和风险预算",IF(OR(D837&lt;=0,E837&lt;=0,F837&lt;=0,D837&lt;=E837),"违规：加仓价必须高于新止损价，金额须大于0",IF(AND(B837&gt;1,COUNTIFS($A$2:$A$1001,A837,$B$2:$B$1001,B837-1,$G$2:$G$1001,"&gt;0")=0),"违规：须先完成上一次加仓",IF(AND(B837&gt;1,E837&lt;SUMIFS($E$2:$E$1001,$A$2:$A$1001,A837,$B$2:$B$1001,B837-1)),"违规：新止损价不得低于上一次",IF(AND(B837&gt;1,F837&gt;SUMIFS($F$2:$F$1001,$A$2:$A$1001,A837,$B$2:$B$1001,B837-1)),"违规：风险预算须逐次不增加",IF(OR(_LockStatus="已锁仓",_LockStatus="解锁信息不完整"),"违规：锁仓期间禁止加仓",IF(G837="","计划可执行：建议股数见N列",IF(OR(G837&lt;=0,G837&lt;&gt;INT(G837),MOD(G837,100)&lt;&gt;0),"违规：实际股数须为100股整数倍",IF(G837&gt;N837,"违规：实际股数超过风险或金字塔上限",IF(AND(B837&gt;1,G837&gt;SUMIFS($G$2:$G$1001,$A$2:$A$1001,A837,$B$2:$B$1001,B837-1)),"违规：加仓股数须逐次不增加",IF(Q837&gt;F837,"违规：止损风险超过本次预算","通过")))))))))))))))</f>
        <v/>
      </c>
    </row>
    <row r="838" customFormat="false" ht="15" hidden="false" customHeight="false" outlineLevel="0" collapsed="false">
      <c r="A838" s="20"/>
      <c r="B838" s="21"/>
      <c r="C838" s="22"/>
      <c r="D838" s="23"/>
      <c r="E838" s="23"/>
      <c r="F838" s="23"/>
      <c r="G838" s="21"/>
      <c r="H838" s="24" t="str">
        <f aca="false">IF(OR(A838="",D838="",G838=""),"",D838*G838)</f>
        <v/>
      </c>
      <c r="I838" s="25" t="str">
        <f aca="false">IF(OR(A838="",B838=""),"",IFERROR(LOOKUP(2,1/(单次交易!$A$2:$A$201=A838),单次交易!$H$2:$H$201),0)+SUMIFS($G$2:$G$1001,$A$2:$A$1001,A838,$B$2:$B$1001,"&lt;"&amp;B838))</f>
        <v/>
      </c>
      <c r="J838" s="24" t="str">
        <f aca="false">IF(OR(A838="",B838=""),"",IFERROR(LOOKUP(2,1/(单次交易!$A$2:$A$201=A838),单次交易!$E$2:$E$201)*LOOKUP(2,1/(单次交易!$A$2:$A$201=A838),单次交易!$H$2:$H$201),0)+SUMIFS($H$2:$H$1001,$A$2:$A$1001,A838,$B$2:$B$1001,"&lt;"&amp;B838))</f>
        <v/>
      </c>
      <c r="K838" s="24" t="str">
        <f aca="false">IF(OR(E838="",I838="",J838=""),"",MAX(E838*I838-J838,0))</f>
        <v/>
      </c>
      <c r="L838" s="25" t="str">
        <f aca="false">IF(OR(D838="",E838="",F838="",D838&lt;=E838),"",FLOOR((F838+K838)/(D838-E838),100))</f>
        <v/>
      </c>
      <c r="M838" s="25" t="str">
        <f aca="false">IF(OR(A838="",B838="",L838=""),"",IF(B838=1,L838,IFERROR(SUMIFS($G$2:$G$1001,$A$2:$A$1001,A838,$B$2:$B$1001,B838-1),0)))</f>
        <v/>
      </c>
      <c r="N838" s="25" t="str">
        <f aca="false">IF(OR(L838="",M838=""),"",MIN(L838,M838))</f>
        <v/>
      </c>
      <c r="O838" s="25" t="str">
        <f aca="false">IF(OR(I838="",G838=""),"",I838+G838)</f>
        <v/>
      </c>
      <c r="P838" s="24" t="str">
        <f aca="false">IF(OR(O838="",O838=0),"",(J838+H838)/O838)</f>
        <v/>
      </c>
      <c r="Q838" s="24" t="str">
        <f aca="false">IF(OR(O838="",E838=""),"",MAX(J838+H838-E838*O838,0))</f>
        <v/>
      </c>
      <c r="R838" s="26" t="str">
        <f aca="false">IF(A838="","",IF(COUNTIF(_TradeIds,A838)=0,"违规：交易编号不存在",IF(OR(B838="",B838&lt;1,B838&gt;5,B838&lt;&gt;INT(B838)),"违规：加仓序号须为1到5的整数",IF(COUNTIFS($A$2:$A$1001,A838,$B$2:$B$1001,B838)&gt;1,"违规：同一交易的加仓序号重复",IF(OR(D838="",E838="",F838=""),"计划不完整：请填写加仓价、新止损价和风险预算",IF(OR(D838&lt;=0,E838&lt;=0,F838&lt;=0,D838&lt;=E838),"违规：加仓价必须高于新止损价，金额须大于0",IF(AND(B838&gt;1,COUNTIFS($A$2:$A$1001,A838,$B$2:$B$1001,B838-1,$G$2:$G$1001,"&gt;0")=0),"违规：须先完成上一次加仓",IF(AND(B838&gt;1,E838&lt;SUMIFS($E$2:$E$1001,$A$2:$A$1001,A838,$B$2:$B$1001,B838-1)),"违规：新止损价不得低于上一次",IF(AND(B838&gt;1,F838&gt;SUMIFS($F$2:$F$1001,$A$2:$A$1001,A838,$B$2:$B$1001,B838-1)),"违规：风险预算须逐次不增加",IF(OR(_LockStatus="已锁仓",_LockStatus="解锁信息不完整"),"违规：锁仓期间禁止加仓",IF(G838="","计划可执行：建议股数见N列",IF(OR(G838&lt;=0,G838&lt;&gt;INT(G838),MOD(G838,100)&lt;&gt;0),"违规：实际股数须为100股整数倍",IF(G838&gt;N838,"违规：实际股数超过风险或金字塔上限",IF(AND(B838&gt;1,G838&gt;SUMIFS($G$2:$G$1001,$A$2:$A$1001,A838,$B$2:$B$1001,B838-1)),"违规：加仓股数须逐次不增加",IF(Q838&gt;F838,"违规：止损风险超过本次预算","通过")))))))))))))))</f>
        <v/>
      </c>
    </row>
    <row r="839" customFormat="false" ht="15" hidden="false" customHeight="false" outlineLevel="0" collapsed="false">
      <c r="A839" s="20"/>
      <c r="B839" s="21"/>
      <c r="C839" s="22"/>
      <c r="D839" s="23"/>
      <c r="E839" s="23"/>
      <c r="F839" s="23"/>
      <c r="G839" s="21"/>
      <c r="H839" s="24" t="str">
        <f aca="false">IF(OR(A839="",D839="",G839=""),"",D839*G839)</f>
        <v/>
      </c>
      <c r="I839" s="25" t="str">
        <f aca="false">IF(OR(A839="",B839=""),"",IFERROR(LOOKUP(2,1/(单次交易!$A$2:$A$201=A839),单次交易!$H$2:$H$201),0)+SUMIFS($G$2:$G$1001,$A$2:$A$1001,A839,$B$2:$B$1001,"&lt;"&amp;B839))</f>
        <v/>
      </c>
      <c r="J839" s="24" t="str">
        <f aca="false">IF(OR(A839="",B839=""),"",IFERROR(LOOKUP(2,1/(单次交易!$A$2:$A$201=A839),单次交易!$E$2:$E$201)*LOOKUP(2,1/(单次交易!$A$2:$A$201=A839),单次交易!$H$2:$H$201),0)+SUMIFS($H$2:$H$1001,$A$2:$A$1001,A839,$B$2:$B$1001,"&lt;"&amp;B839))</f>
        <v/>
      </c>
      <c r="K839" s="24" t="str">
        <f aca="false">IF(OR(E839="",I839="",J839=""),"",MAX(E839*I839-J839,0))</f>
        <v/>
      </c>
      <c r="L839" s="25" t="str">
        <f aca="false">IF(OR(D839="",E839="",F839="",D839&lt;=E839),"",FLOOR((F839+K839)/(D839-E839),100))</f>
        <v/>
      </c>
      <c r="M839" s="25" t="str">
        <f aca="false">IF(OR(A839="",B839="",L839=""),"",IF(B839=1,L839,IFERROR(SUMIFS($G$2:$G$1001,$A$2:$A$1001,A839,$B$2:$B$1001,B839-1),0)))</f>
        <v/>
      </c>
      <c r="N839" s="25" t="str">
        <f aca="false">IF(OR(L839="",M839=""),"",MIN(L839,M839))</f>
        <v/>
      </c>
      <c r="O839" s="25" t="str">
        <f aca="false">IF(OR(I839="",G839=""),"",I839+G839)</f>
        <v/>
      </c>
      <c r="P839" s="24" t="str">
        <f aca="false">IF(OR(O839="",O839=0),"",(J839+H839)/O839)</f>
        <v/>
      </c>
      <c r="Q839" s="24" t="str">
        <f aca="false">IF(OR(O839="",E839=""),"",MAX(J839+H839-E839*O839,0))</f>
        <v/>
      </c>
      <c r="R839" s="26" t="str">
        <f aca="false">IF(A839="","",IF(COUNTIF(_TradeIds,A839)=0,"违规：交易编号不存在",IF(OR(B839="",B839&lt;1,B839&gt;5,B839&lt;&gt;INT(B839)),"违规：加仓序号须为1到5的整数",IF(COUNTIFS($A$2:$A$1001,A839,$B$2:$B$1001,B839)&gt;1,"违规：同一交易的加仓序号重复",IF(OR(D839="",E839="",F839=""),"计划不完整：请填写加仓价、新止损价和风险预算",IF(OR(D839&lt;=0,E839&lt;=0,F839&lt;=0,D839&lt;=E839),"违规：加仓价必须高于新止损价，金额须大于0",IF(AND(B839&gt;1,COUNTIFS($A$2:$A$1001,A839,$B$2:$B$1001,B839-1,$G$2:$G$1001,"&gt;0")=0),"违规：须先完成上一次加仓",IF(AND(B839&gt;1,E839&lt;SUMIFS($E$2:$E$1001,$A$2:$A$1001,A839,$B$2:$B$1001,B839-1)),"违规：新止损价不得低于上一次",IF(AND(B839&gt;1,F839&gt;SUMIFS($F$2:$F$1001,$A$2:$A$1001,A839,$B$2:$B$1001,B839-1)),"违规：风险预算须逐次不增加",IF(OR(_LockStatus="已锁仓",_LockStatus="解锁信息不完整"),"违规：锁仓期间禁止加仓",IF(G839="","计划可执行：建议股数见N列",IF(OR(G839&lt;=0,G839&lt;&gt;INT(G839),MOD(G839,100)&lt;&gt;0),"违规：实际股数须为100股整数倍",IF(G839&gt;N839,"违规：实际股数超过风险或金字塔上限",IF(AND(B839&gt;1,G839&gt;SUMIFS($G$2:$G$1001,$A$2:$A$1001,A839,$B$2:$B$1001,B839-1)),"违规：加仓股数须逐次不增加",IF(Q839&gt;F839,"违规：止损风险超过本次预算","通过")))))))))))))))</f>
        <v/>
      </c>
    </row>
    <row r="840" customFormat="false" ht="15" hidden="false" customHeight="false" outlineLevel="0" collapsed="false">
      <c r="A840" s="20"/>
      <c r="B840" s="21"/>
      <c r="C840" s="22"/>
      <c r="D840" s="23"/>
      <c r="E840" s="23"/>
      <c r="F840" s="23"/>
      <c r="G840" s="21"/>
      <c r="H840" s="24" t="str">
        <f aca="false">IF(OR(A840="",D840="",G840=""),"",D840*G840)</f>
        <v/>
      </c>
      <c r="I840" s="25" t="str">
        <f aca="false">IF(OR(A840="",B840=""),"",IFERROR(LOOKUP(2,1/(单次交易!$A$2:$A$201=A840),单次交易!$H$2:$H$201),0)+SUMIFS($G$2:$G$1001,$A$2:$A$1001,A840,$B$2:$B$1001,"&lt;"&amp;B840))</f>
        <v/>
      </c>
      <c r="J840" s="24" t="str">
        <f aca="false">IF(OR(A840="",B840=""),"",IFERROR(LOOKUP(2,1/(单次交易!$A$2:$A$201=A840),单次交易!$E$2:$E$201)*LOOKUP(2,1/(单次交易!$A$2:$A$201=A840),单次交易!$H$2:$H$201),0)+SUMIFS($H$2:$H$1001,$A$2:$A$1001,A840,$B$2:$B$1001,"&lt;"&amp;B840))</f>
        <v/>
      </c>
      <c r="K840" s="24" t="str">
        <f aca="false">IF(OR(E840="",I840="",J840=""),"",MAX(E840*I840-J840,0))</f>
        <v/>
      </c>
      <c r="L840" s="25" t="str">
        <f aca="false">IF(OR(D840="",E840="",F840="",D840&lt;=E840),"",FLOOR((F840+K840)/(D840-E840),100))</f>
        <v/>
      </c>
      <c r="M840" s="25" t="str">
        <f aca="false">IF(OR(A840="",B840="",L840=""),"",IF(B840=1,L840,IFERROR(SUMIFS($G$2:$G$1001,$A$2:$A$1001,A840,$B$2:$B$1001,B840-1),0)))</f>
        <v/>
      </c>
      <c r="N840" s="25" t="str">
        <f aca="false">IF(OR(L840="",M840=""),"",MIN(L840,M840))</f>
        <v/>
      </c>
      <c r="O840" s="25" t="str">
        <f aca="false">IF(OR(I840="",G840=""),"",I840+G840)</f>
        <v/>
      </c>
      <c r="P840" s="24" t="str">
        <f aca="false">IF(OR(O840="",O840=0),"",(J840+H840)/O840)</f>
        <v/>
      </c>
      <c r="Q840" s="24" t="str">
        <f aca="false">IF(OR(O840="",E840=""),"",MAX(J840+H840-E840*O840,0))</f>
        <v/>
      </c>
      <c r="R840" s="26" t="str">
        <f aca="false">IF(A840="","",IF(COUNTIF(_TradeIds,A840)=0,"违规：交易编号不存在",IF(OR(B840="",B840&lt;1,B840&gt;5,B840&lt;&gt;INT(B840)),"违规：加仓序号须为1到5的整数",IF(COUNTIFS($A$2:$A$1001,A840,$B$2:$B$1001,B840)&gt;1,"违规：同一交易的加仓序号重复",IF(OR(D840="",E840="",F840=""),"计划不完整：请填写加仓价、新止损价和风险预算",IF(OR(D840&lt;=0,E840&lt;=0,F840&lt;=0,D840&lt;=E840),"违规：加仓价必须高于新止损价，金额须大于0",IF(AND(B840&gt;1,COUNTIFS($A$2:$A$1001,A840,$B$2:$B$1001,B840-1,$G$2:$G$1001,"&gt;0")=0),"违规：须先完成上一次加仓",IF(AND(B840&gt;1,E840&lt;SUMIFS($E$2:$E$1001,$A$2:$A$1001,A840,$B$2:$B$1001,B840-1)),"违规：新止损价不得低于上一次",IF(AND(B840&gt;1,F840&gt;SUMIFS($F$2:$F$1001,$A$2:$A$1001,A840,$B$2:$B$1001,B840-1)),"违规：风险预算须逐次不增加",IF(OR(_LockStatus="已锁仓",_LockStatus="解锁信息不完整"),"违规：锁仓期间禁止加仓",IF(G840="","计划可执行：建议股数见N列",IF(OR(G840&lt;=0,G840&lt;&gt;INT(G840),MOD(G840,100)&lt;&gt;0),"违规：实际股数须为100股整数倍",IF(G840&gt;N840,"违规：实际股数超过风险或金字塔上限",IF(AND(B840&gt;1,G840&gt;SUMIFS($G$2:$G$1001,$A$2:$A$1001,A840,$B$2:$B$1001,B840-1)),"违规：加仓股数须逐次不增加",IF(Q840&gt;F840,"违规：止损风险超过本次预算","通过")))))))))))))))</f>
        <v/>
      </c>
    </row>
    <row r="841" customFormat="false" ht="15" hidden="false" customHeight="false" outlineLevel="0" collapsed="false">
      <c r="A841" s="20"/>
      <c r="B841" s="21"/>
      <c r="C841" s="22"/>
      <c r="D841" s="23"/>
      <c r="E841" s="23"/>
      <c r="F841" s="23"/>
      <c r="G841" s="21"/>
      <c r="H841" s="24" t="str">
        <f aca="false">IF(OR(A841="",D841="",G841=""),"",D841*G841)</f>
        <v/>
      </c>
      <c r="I841" s="25" t="str">
        <f aca="false">IF(OR(A841="",B841=""),"",IFERROR(LOOKUP(2,1/(单次交易!$A$2:$A$201=A841),单次交易!$H$2:$H$201),0)+SUMIFS($G$2:$G$1001,$A$2:$A$1001,A841,$B$2:$B$1001,"&lt;"&amp;B841))</f>
        <v/>
      </c>
      <c r="J841" s="24" t="str">
        <f aca="false">IF(OR(A841="",B841=""),"",IFERROR(LOOKUP(2,1/(单次交易!$A$2:$A$201=A841),单次交易!$E$2:$E$201)*LOOKUP(2,1/(单次交易!$A$2:$A$201=A841),单次交易!$H$2:$H$201),0)+SUMIFS($H$2:$H$1001,$A$2:$A$1001,A841,$B$2:$B$1001,"&lt;"&amp;B841))</f>
        <v/>
      </c>
      <c r="K841" s="24" t="str">
        <f aca="false">IF(OR(E841="",I841="",J841=""),"",MAX(E841*I841-J841,0))</f>
        <v/>
      </c>
      <c r="L841" s="25" t="str">
        <f aca="false">IF(OR(D841="",E841="",F841="",D841&lt;=E841),"",FLOOR((F841+K841)/(D841-E841),100))</f>
        <v/>
      </c>
      <c r="M841" s="25" t="str">
        <f aca="false">IF(OR(A841="",B841="",L841=""),"",IF(B841=1,L841,IFERROR(SUMIFS($G$2:$G$1001,$A$2:$A$1001,A841,$B$2:$B$1001,B841-1),0)))</f>
        <v/>
      </c>
      <c r="N841" s="25" t="str">
        <f aca="false">IF(OR(L841="",M841=""),"",MIN(L841,M841))</f>
        <v/>
      </c>
      <c r="O841" s="25" t="str">
        <f aca="false">IF(OR(I841="",G841=""),"",I841+G841)</f>
        <v/>
      </c>
      <c r="P841" s="24" t="str">
        <f aca="false">IF(OR(O841="",O841=0),"",(J841+H841)/O841)</f>
        <v/>
      </c>
      <c r="Q841" s="24" t="str">
        <f aca="false">IF(OR(O841="",E841=""),"",MAX(J841+H841-E841*O841,0))</f>
        <v/>
      </c>
      <c r="R841" s="26" t="str">
        <f aca="false">IF(A841="","",IF(COUNTIF(_TradeIds,A841)=0,"违规：交易编号不存在",IF(OR(B841="",B841&lt;1,B841&gt;5,B841&lt;&gt;INT(B841)),"违规：加仓序号须为1到5的整数",IF(COUNTIFS($A$2:$A$1001,A841,$B$2:$B$1001,B841)&gt;1,"违规：同一交易的加仓序号重复",IF(OR(D841="",E841="",F841=""),"计划不完整：请填写加仓价、新止损价和风险预算",IF(OR(D841&lt;=0,E841&lt;=0,F841&lt;=0,D841&lt;=E841),"违规：加仓价必须高于新止损价，金额须大于0",IF(AND(B841&gt;1,COUNTIFS($A$2:$A$1001,A841,$B$2:$B$1001,B841-1,$G$2:$G$1001,"&gt;0")=0),"违规：须先完成上一次加仓",IF(AND(B841&gt;1,E841&lt;SUMIFS($E$2:$E$1001,$A$2:$A$1001,A841,$B$2:$B$1001,B841-1)),"违规：新止损价不得低于上一次",IF(AND(B841&gt;1,F841&gt;SUMIFS($F$2:$F$1001,$A$2:$A$1001,A841,$B$2:$B$1001,B841-1)),"违规：风险预算须逐次不增加",IF(OR(_LockStatus="已锁仓",_LockStatus="解锁信息不完整"),"违规：锁仓期间禁止加仓",IF(G841="","计划可执行：建议股数见N列",IF(OR(G841&lt;=0,G841&lt;&gt;INT(G841),MOD(G841,100)&lt;&gt;0),"违规：实际股数须为100股整数倍",IF(G841&gt;N841,"违规：实际股数超过风险或金字塔上限",IF(AND(B841&gt;1,G841&gt;SUMIFS($G$2:$G$1001,$A$2:$A$1001,A841,$B$2:$B$1001,B841-1)),"违规：加仓股数须逐次不增加",IF(Q841&gt;F841,"违规：止损风险超过本次预算","通过")))))))))))))))</f>
        <v/>
      </c>
    </row>
    <row r="842" customFormat="false" ht="15" hidden="false" customHeight="false" outlineLevel="0" collapsed="false">
      <c r="A842" s="20"/>
      <c r="B842" s="21"/>
      <c r="C842" s="22"/>
      <c r="D842" s="23"/>
      <c r="E842" s="23"/>
      <c r="F842" s="23"/>
      <c r="G842" s="21"/>
      <c r="H842" s="24" t="str">
        <f aca="false">IF(OR(A842="",D842="",G842=""),"",D842*G842)</f>
        <v/>
      </c>
      <c r="I842" s="25" t="str">
        <f aca="false">IF(OR(A842="",B842=""),"",IFERROR(LOOKUP(2,1/(单次交易!$A$2:$A$201=A842),单次交易!$H$2:$H$201),0)+SUMIFS($G$2:$G$1001,$A$2:$A$1001,A842,$B$2:$B$1001,"&lt;"&amp;B842))</f>
        <v/>
      </c>
      <c r="J842" s="24" t="str">
        <f aca="false">IF(OR(A842="",B842=""),"",IFERROR(LOOKUP(2,1/(单次交易!$A$2:$A$201=A842),单次交易!$E$2:$E$201)*LOOKUP(2,1/(单次交易!$A$2:$A$201=A842),单次交易!$H$2:$H$201),0)+SUMIFS($H$2:$H$1001,$A$2:$A$1001,A842,$B$2:$B$1001,"&lt;"&amp;B842))</f>
        <v/>
      </c>
      <c r="K842" s="24" t="str">
        <f aca="false">IF(OR(E842="",I842="",J842=""),"",MAX(E842*I842-J842,0))</f>
        <v/>
      </c>
      <c r="L842" s="25" t="str">
        <f aca="false">IF(OR(D842="",E842="",F842="",D842&lt;=E842),"",FLOOR((F842+K842)/(D842-E842),100))</f>
        <v/>
      </c>
      <c r="M842" s="25" t="str">
        <f aca="false">IF(OR(A842="",B842="",L842=""),"",IF(B842=1,L842,IFERROR(SUMIFS($G$2:$G$1001,$A$2:$A$1001,A842,$B$2:$B$1001,B842-1),0)))</f>
        <v/>
      </c>
      <c r="N842" s="25" t="str">
        <f aca="false">IF(OR(L842="",M842=""),"",MIN(L842,M842))</f>
        <v/>
      </c>
      <c r="O842" s="25" t="str">
        <f aca="false">IF(OR(I842="",G842=""),"",I842+G842)</f>
        <v/>
      </c>
      <c r="P842" s="24" t="str">
        <f aca="false">IF(OR(O842="",O842=0),"",(J842+H842)/O842)</f>
        <v/>
      </c>
      <c r="Q842" s="24" t="str">
        <f aca="false">IF(OR(O842="",E842=""),"",MAX(J842+H842-E842*O842,0))</f>
        <v/>
      </c>
      <c r="R842" s="26" t="str">
        <f aca="false">IF(A842="","",IF(COUNTIF(_TradeIds,A842)=0,"违规：交易编号不存在",IF(OR(B842="",B842&lt;1,B842&gt;5,B842&lt;&gt;INT(B842)),"违规：加仓序号须为1到5的整数",IF(COUNTIFS($A$2:$A$1001,A842,$B$2:$B$1001,B842)&gt;1,"违规：同一交易的加仓序号重复",IF(OR(D842="",E842="",F842=""),"计划不完整：请填写加仓价、新止损价和风险预算",IF(OR(D842&lt;=0,E842&lt;=0,F842&lt;=0,D842&lt;=E842),"违规：加仓价必须高于新止损价，金额须大于0",IF(AND(B842&gt;1,COUNTIFS($A$2:$A$1001,A842,$B$2:$B$1001,B842-1,$G$2:$G$1001,"&gt;0")=0),"违规：须先完成上一次加仓",IF(AND(B842&gt;1,E842&lt;SUMIFS($E$2:$E$1001,$A$2:$A$1001,A842,$B$2:$B$1001,B842-1)),"违规：新止损价不得低于上一次",IF(AND(B842&gt;1,F842&gt;SUMIFS($F$2:$F$1001,$A$2:$A$1001,A842,$B$2:$B$1001,B842-1)),"违规：风险预算须逐次不增加",IF(OR(_LockStatus="已锁仓",_LockStatus="解锁信息不完整"),"违规：锁仓期间禁止加仓",IF(G842="","计划可执行：建议股数见N列",IF(OR(G842&lt;=0,G842&lt;&gt;INT(G842),MOD(G842,100)&lt;&gt;0),"违规：实际股数须为100股整数倍",IF(G842&gt;N842,"违规：实际股数超过风险或金字塔上限",IF(AND(B842&gt;1,G842&gt;SUMIFS($G$2:$G$1001,$A$2:$A$1001,A842,$B$2:$B$1001,B842-1)),"违规：加仓股数须逐次不增加",IF(Q842&gt;F842,"违规：止损风险超过本次预算","通过")))))))))))))))</f>
        <v/>
      </c>
    </row>
    <row r="843" customFormat="false" ht="15" hidden="false" customHeight="false" outlineLevel="0" collapsed="false">
      <c r="A843" s="20"/>
      <c r="B843" s="21"/>
      <c r="C843" s="22"/>
      <c r="D843" s="23"/>
      <c r="E843" s="23"/>
      <c r="F843" s="23"/>
      <c r="G843" s="21"/>
      <c r="H843" s="24" t="str">
        <f aca="false">IF(OR(A843="",D843="",G843=""),"",D843*G843)</f>
        <v/>
      </c>
      <c r="I843" s="25" t="str">
        <f aca="false">IF(OR(A843="",B843=""),"",IFERROR(LOOKUP(2,1/(单次交易!$A$2:$A$201=A843),单次交易!$H$2:$H$201),0)+SUMIFS($G$2:$G$1001,$A$2:$A$1001,A843,$B$2:$B$1001,"&lt;"&amp;B843))</f>
        <v/>
      </c>
      <c r="J843" s="24" t="str">
        <f aca="false">IF(OR(A843="",B843=""),"",IFERROR(LOOKUP(2,1/(单次交易!$A$2:$A$201=A843),单次交易!$E$2:$E$201)*LOOKUP(2,1/(单次交易!$A$2:$A$201=A843),单次交易!$H$2:$H$201),0)+SUMIFS($H$2:$H$1001,$A$2:$A$1001,A843,$B$2:$B$1001,"&lt;"&amp;B843))</f>
        <v/>
      </c>
      <c r="K843" s="24" t="str">
        <f aca="false">IF(OR(E843="",I843="",J843=""),"",MAX(E843*I843-J843,0))</f>
        <v/>
      </c>
      <c r="L843" s="25" t="str">
        <f aca="false">IF(OR(D843="",E843="",F843="",D843&lt;=E843),"",FLOOR((F843+K843)/(D843-E843),100))</f>
        <v/>
      </c>
      <c r="M843" s="25" t="str">
        <f aca="false">IF(OR(A843="",B843="",L843=""),"",IF(B843=1,L843,IFERROR(SUMIFS($G$2:$G$1001,$A$2:$A$1001,A843,$B$2:$B$1001,B843-1),0)))</f>
        <v/>
      </c>
      <c r="N843" s="25" t="str">
        <f aca="false">IF(OR(L843="",M843=""),"",MIN(L843,M843))</f>
        <v/>
      </c>
      <c r="O843" s="25" t="str">
        <f aca="false">IF(OR(I843="",G843=""),"",I843+G843)</f>
        <v/>
      </c>
      <c r="P843" s="24" t="str">
        <f aca="false">IF(OR(O843="",O843=0),"",(J843+H843)/O843)</f>
        <v/>
      </c>
      <c r="Q843" s="24" t="str">
        <f aca="false">IF(OR(O843="",E843=""),"",MAX(J843+H843-E843*O843,0))</f>
        <v/>
      </c>
      <c r="R843" s="26" t="str">
        <f aca="false">IF(A843="","",IF(COUNTIF(_TradeIds,A843)=0,"违规：交易编号不存在",IF(OR(B843="",B843&lt;1,B843&gt;5,B843&lt;&gt;INT(B843)),"违规：加仓序号须为1到5的整数",IF(COUNTIFS($A$2:$A$1001,A843,$B$2:$B$1001,B843)&gt;1,"违规：同一交易的加仓序号重复",IF(OR(D843="",E843="",F843=""),"计划不完整：请填写加仓价、新止损价和风险预算",IF(OR(D843&lt;=0,E843&lt;=0,F843&lt;=0,D843&lt;=E843),"违规：加仓价必须高于新止损价，金额须大于0",IF(AND(B843&gt;1,COUNTIFS($A$2:$A$1001,A843,$B$2:$B$1001,B843-1,$G$2:$G$1001,"&gt;0")=0),"违规：须先完成上一次加仓",IF(AND(B843&gt;1,E843&lt;SUMIFS($E$2:$E$1001,$A$2:$A$1001,A843,$B$2:$B$1001,B843-1)),"违规：新止损价不得低于上一次",IF(AND(B843&gt;1,F843&gt;SUMIFS($F$2:$F$1001,$A$2:$A$1001,A843,$B$2:$B$1001,B843-1)),"违规：风险预算须逐次不增加",IF(OR(_LockStatus="已锁仓",_LockStatus="解锁信息不完整"),"违规：锁仓期间禁止加仓",IF(G843="","计划可执行：建议股数见N列",IF(OR(G843&lt;=0,G843&lt;&gt;INT(G843),MOD(G843,100)&lt;&gt;0),"违规：实际股数须为100股整数倍",IF(G843&gt;N843,"违规：实际股数超过风险或金字塔上限",IF(AND(B843&gt;1,G843&gt;SUMIFS($G$2:$G$1001,$A$2:$A$1001,A843,$B$2:$B$1001,B843-1)),"违规：加仓股数须逐次不增加",IF(Q843&gt;F843,"违规：止损风险超过本次预算","通过")))))))))))))))</f>
        <v/>
      </c>
    </row>
    <row r="844" customFormat="false" ht="15" hidden="false" customHeight="false" outlineLevel="0" collapsed="false">
      <c r="A844" s="20"/>
      <c r="B844" s="21"/>
      <c r="C844" s="22"/>
      <c r="D844" s="23"/>
      <c r="E844" s="23"/>
      <c r="F844" s="23"/>
      <c r="G844" s="21"/>
      <c r="H844" s="24" t="str">
        <f aca="false">IF(OR(A844="",D844="",G844=""),"",D844*G844)</f>
        <v/>
      </c>
      <c r="I844" s="25" t="str">
        <f aca="false">IF(OR(A844="",B844=""),"",IFERROR(LOOKUP(2,1/(单次交易!$A$2:$A$201=A844),单次交易!$H$2:$H$201),0)+SUMIFS($G$2:$G$1001,$A$2:$A$1001,A844,$B$2:$B$1001,"&lt;"&amp;B844))</f>
        <v/>
      </c>
      <c r="J844" s="24" t="str">
        <f aca="false">IF(OR(A844="",B844=""),"",IFERROR(LOOKUP(2,1/(单次交易!$A$2:$A$201=A844),单次交易!$E$2:$E$201)*LOOKUP(2,1/(单次交易!$A$2:$A$201=A844),单次交易!$H$2:$H$201),0)+SUMIFS($H$2:$H$1001,$A$2:$A$1001,A844,$B$2:$B$1001,"&lt;"&amp;B844))</f>
        <v/>
      </c>
      <c r="K844" s="24" t="str">
        <f aca="false">IF(OR(E844="",I844="",J844=""),"",MAX(E844*I844-J844,0))</f>
        <v/>
      </c>
      <c r="L844" s="25" t="str">
        <f aca="false">IF(OR(D844="",E844="",F844="",D844&lt;=E844),"",FLOOR((F844+K844)/(D844-E844),100))</f>
        <v/>
      </c>
      <c r="M844" s="25" t="str">
        <f aca="false">IF(OR(A844="",B844="",L844=""),"",IF(B844=1,L844,IFERROR(SUMIFS($G$2:$G$1001,$A$2:$A$1001,A844,$B$2:$B$1001,B844-1),0)))</f>
        <v/>
      </c>
      <c r="N844" s="25" t="str">
        <f aca="false">IF(OR(L844="",M844=""),"",MIN(L844,M844))</f>
        <v/>
      </c>
      <c r="O844" s="25" t="str">
        <f aca="false">IF(OR(I844="",G844=""),"",I844+G844)</f>
        <v/>
      </c>
      <c r="P844" s="24" t="str">
        <f aca="false">IF(OR(O844="",O844=0),"",(J844+H844)/O844)</f>
        <v/>
      </c>
      <c r="Q844" s="24" t="str">
        <f aca="false">IF(OR(O844="",E844=""),"",MAX(J844+H844-E844*O844,0))</f>
        <v/>
      </c>
      <c r="R844" s="26" t="str">
        <f aca="false">IF(A844="","",IF(COUNTIF(_TradeIds,A844)=0,"违规：交易编号不存在",IF(OR(B844="",B844&lt;1,B844&gt;5,B844&lt;&gt;INT(B844)),"违规：加仓序号须为1到5的整数",IF(COUNTIFS($A$2:$A$1001,A844,$B$2:$B$1001,B844)&gt;1,"违规：同一交易的加仓序号重复",IF(OR(D844="",E844="",F844=""),"计划不完整：请填写加仓价、新止损价和风险预算",IF(OR(D844&lt;=0,E844&lt;=0,F844&lt;=0,D844&lt;=E844),"违规：加仓价必须高于新止损价，金额须大于0",IF(AND(B844&gt;1,COUNTIFS($A$2:$A$1001,A844,$B$2:$B$1001,B844-1,$G$2:$G$1001,"&gt;0")=0),"违规：须先完成上一次加仓",IF(AND(B844&gt;1,E844&lt;SUMIFS($E$2:$E$1001,$A$2:$A$1001,A844,$B$2:$B$1001,B844-1)),"违规：新止损价不得低于上一次",IF(AND(B844&gt;1,F844&gt;SUMIFS($F$2:$F$1001,$A$2:$A$1001,A844,$B$2:$B$1001,B844-1)),"违规：风险预算须逐次不增加",IF(OR(_LockStatus="已锁仓",_LockStatus="解锁信息不完整"),"违规：锁仓期间禁止加仓",IF(G844="","计划可执行：建议股数见N列",IF(OR(G844&lt;=0,G844&lt;&gt;INT(G844),MOD(G844,100)&lt;&gt;0),"违规：实际股数须为100股整数倍",IF(G844&gt;N844,"违规：实际股数超过风险或金字塔上限",IF(AND(B844&gt;1,G844&gt;SUMIFS($G$2:$G$1001,$A$2:$A$1001,A844,$B$2:$B$1001,B844-1)),"违规：加仓股数须逐次不增加",IF(Q844&gt;F844,"违规：止损风险超过本次预算","通过")))))))))))))))</f>
        <v/>
      </c>
    </row>
    <row r="845" customFormat="false" ht="15" hidden="false" customHeight="false" outlineLevel="0" collapsed="false">
      <c r="A845" s="20"/>
      <c r="B845" s="21"/>
      <c r="C845" s="22"/>
      <c r="D845" s="23"/>
      <c r="E845" s="23"/>
      <c r="F845" s="23"/>
      <c r="G845" s="21"/>
      <c r="H845" s="24" t="str">
        <f aca="false">IF(OR(A845="",D845="",G845=""),"",D845*G845)</f>
        <v/>
      </c>
      <c r="I845" s="25" t="str">
        <f aca="false">IF(OR(A845="",B845=""),"",IFERROR(LOOKUP(2,1/(单次交易!$A$2:$A$201=A845),单次交易!$H$2:$H$201),0)+SUMIFS($G$2:$G$1001,$A$2:$A$1001,A845,$B$2:$B$1001,"&lt;"&amp;B845))</f>
        <v/>
      </c>
      <c r="J845" s="24" t="str">
        <f aca="false">IF(OR(A845="",B845=""),"",IFERROR(LOOKUP(2,1/(单次交易!$A$2:$A$201=A845),单次交易!$E$2:$E$201)*LOOKUP(2,1/(单次交易!$A$2:$A$201=A845),单次交易!$H$2:$H$201),0)+SUMIFS($H$2:$H$1001,$A$2:$A$1001,A845,$B$2:$B$1001,"&lt;"&amp;B845))</f>
        <v/>
      </c>
      <c r="K845" s="24" t="str">
        <f aca="false">IF(OR(E845="",I845="",J845=""),"",MAX(E845*I845-J845,0))</f>
        <v/>
      </c>
      <c r="L845" s="25" t="str">
        <f aca="false">IF(OR(D845="",E845="",F845="",D845&lt;=E845),"",FLOOR((F845+K845)/(D845-E845),100))</f>
        <v/>
      </c>
      <c r="M845" s="25" t="str">
        <f aca="false">IF(OR(A845="",B845="",L845=""),"",IF(B845=1,L845,IFERROR(SUMIFS($G$2:$G$1001,$A$2:$A$1001,A845,$B$2:$B$1001,B845-1),0)))</f>
        <v/>
      </c>
      <c r="N845" s="25" t="str">
        <f aca="false">IF(OR(L845="",M845=""),"",MIN(L845,M845))</f>
        <v/>
      </c>
      <c r="O845" s="25" t="str">
        <f aca="false">IF(OR(I845="",G845=""),"",I845+G845)</f>
        <v/>
      </c>
      <c r="P845" s="24" t="str">
        <f aca="false">IF(OR(O845="",O845=0),"",(J845+H845)/O845)</f>
        <v/>
      </c>
      <c r="Q845" s="24" t="str">
        <f aca="false">IF(OR(O845="",E845=""),"",MAX(J845+H845-E845*O845,0))</f>
        <v/>
      </c>
      <c r="R845" s="26" t="str">
        <f aca="false">IF(A845="","",IF(COUNTIF(_TradeIds,A845)=0,"违规：交易编号不存在",IF(OR(B845="",B845&lt;1,B845&gt;5,B845&lt;&gt;INT(B845)),"违规：加仓序号须为1到5的整数",IF(COUNTIFS($A$2:$A$1001,A845,$B$2:$B$1001,B845)&gt;1,"违规：同一交易的加仓序号重复",IF(OR(D845="",E845="",F845=""),"计划不完整：请填写加仓价、新止损价和风险预算",IF(OR(D845&lt;=0,E845&lt;=0,F845&lt;=0,D845&lt;=E845),"违规：加仓价必须高于新止损价，金额须大于0",IF(AND(B845&gt;1,COUNTIFS($A$2:$A$1001,A845,$B$2:$B$1001,B845-1,$G$2:$G$1001,"&gt;0")=0),"违规：须先完成上一次加仓",IF(AND(B845&gt;1,E845&lt;SUMIFS($E$2:$E$1001,$A$2:$A$1001,A845,$B$2:$B$1001,B845-1)),"违规：新止损价不得低于上一次",IF(AND(B845&gt;1,F845&gt;SUMIFS($F$2:$F$1001,$A$2:$A$1001,A845,$B$2:$B$1001,B845-1)),"违规：风险预算须逐次不增加",IF(OR(_LockStatus="已锁仓",_LockStatus="解锁信息不完整"),"违规：锁仓期间禁止加仓",IF(G845="","计划可执行：建议股数见N列",IF(OR(G845&lt;=0,G845&lt;&gt;INT(G845),MOD(G845,100)&lt;&gt;0),"违规：实际股数须为100股整数倍",IF(G845&gt;N845,"违规：实际股数超过风险或金字塔上限",IF(AND(B845&gt;1,G845&gt;SUMIFS($G$2:$G$1001,$A$2:$A$1001,A845,$B$2:$B$1001,B845-1)),"违规：加仓股数须逐次不增加",IF(Q845&gt;F845,"违规：止损风险超过本次预算","通过")))))))))))))))</f>
        <v/>
      </c>
    </row>
    <row r="846" customFormat="false" ht="15" hidden="false" customHeight="false" outlineLevel="0" collapsed="false">
      <c r="A846" s="20"/>
      <c r="B846" s="21"/>
      <c r="C846" s="22"/>
      <c r="D846" s="23"/>
      <c r="E846" s="23"/>
      <c r="F846" s="23"/>
      <c r="G846" s="21"/>
      <c r="H846" s="24" t="str">
        <f aca="false">IF(OR(A846="",D846="",G846=""),"",D846*G846)</f>
        <v/>
      </c>
      <c r="I846" s="25" t="str">
        <f aca="false">IF(OR(A846="",B846=""),"",IFERROR(LOOKUP(2,1/(单次交易!$A$2:$A$201=A846),单次交易!$H$2:$H$201),0)+SUMIFS($G$2:$G$1001,$A$2:$A$1001,A846,$B$2:$B$1001,"&lt;"&amp;B846))</f>
        <v/>
      </c>
      <c r="J846" s="24" t="str">
        <f aca="false">IF(OR(A846="",B846=""),"",IFERROR(LOOKUP(2,1/(单次交易!$A$2:$A$201=A846),单次交易!$E$2:$E$201)*LOOKUP(2,1/(单次交易!$A$2:$A$201=A846),单次交易!$H$2:$H$201),0)+SUMIFS($H$2:$H$1001,$A$2:$A$1001,A846,$B$2:$B$1001,"&lt;"&amp;B846))</f>
        <v/>
      </c>
      <c r="K846" s="24" t="str">
        <f aca="false">IF(OR(E846="",I846="",J846=""),"",MAX(E846*I846-J846,0))</f>
        <v/>
      </c>
      <c r="L846" s="25" t="str">
        <f aca="false">IF(OR(D846="",E846="",F846="",D846&lt;=E846),"",FLOOR((F846+K846)/(D846-E846),100))</f>
        <v/>
      </c>
      <c r="M846" s="25" t="str">
        <f aca="false">IF(OR(A846="",B846="",L846=""),"",IF(B846=1,L846,IFERROR(SUMIFS($G$2:$G$1001,$A$2:$A$1001,A846,$B$2:$B$1001,B846-1),0)))</f>
        <v/>
      </c>
      <c r="N846" s="25" t="str">
        <f aca="false">IF(OR(L846="",M846=""),"",MIN(L846,M846))</f>
        <v/>
      </c>
      <c r="O846" s="25" t="str">
        <f aca="false">IF(OR(I846="",G846=""),"",I846+G846)</f>
        <v/>
      </c>
      <c r="P846" s="24" t="str">
        <f aca="false">IF(OR(O846="",O846=0),"",(J846+H846)/O846)</f>
        <v/>
      </c>
      <c r="Q846" s="24" t="str">
        <f aca="false">IF(OR(O846="",E846=""),"",MAX(J846+H846-E846*O846,0))</f>
        <v/>
      </c>
      <c r="R846" s="26" t="str">
        <f aca="false">IF(A846="","",IF(COUNTIF(_TradeIds,A846)=0,"违规：交易编号不存在",IF(OR(B846="",B846&lt;1,B846&gt;5,B846&lt;&gt;INT(B846)),"违规：加仓序号须为1到5的整数",IF(COUNTIFS($A$2:$A$1001,A846,$B$2:$B$1001,B846)&gt;1,"违规：同一交易的加仓序号重复",IF(OR(D846="",E846="",F846=""),"计划不完整：请填写加仓价、新止损价和风险预算",IF(OR(D846&lt;=0,E846&lt;=0,F846&lt;=0,D846&lt;=E846),"违规：加仓价必须高于新止损价，金额须大于0",IF(AND(B846&gt;1,COUNTIFS($A$2:$A$1001,A846,$B$2:$B$1001,B846-1,$G$2:$G$1001,"&gt;0")=0),"违规：须先完成上一次加仓",IF(AND(B846&gt;1,E846&lt;SUMIFS($E$2:$E$1001,$A$2:$A$1001,A846,$B$2:$B$1001,B846-1)),"违规：新止损价不得低于上一次",IF(AND(B846&gt;1,F846&gt;SUMIFS($F$2:$F$1001,$A$2:$A$1001,A846,$B$2:$B$1001,B846-1)),"违规：风险预算须逐次不增加",IF(OR(_LockStatus="已锁仓",_LockStatus="解锁信息不完整"),"违规：锁仓期间禁止加仓",IF(G846="","计划可执行：建议股数见N列",IF(OR(G846&lt;=0,G846&lt;&gt;INT(G846),MOD(G846,100)&lt;&gt;0),"违规：实际股数须为100股整数倍",IF(G846&gt;N846,"违规：实际股数超过风险或金字塔上限",IF(AND(B846&gt;1,G846&gt;SUMIFS($G$2:$G$1001,$A$2:$A$1001,A846,$B$2:$B$1001,B846-1)),"违规：加仓股数须逐次不增加",IF(Q846&gt;F846,"违规：止损风险超过本次预算","通过")))))))))))))))</f>
        <v/>
      </c>
    </row>
    <row r="847" customFormat="false" ht="15" hidden="false" customHeight="false" outlineLevel="0" collapsed="false">
      <c r="A847" s="20"/>
      <c r="B847" s="21"/>
      <c r="C847" s="22"/>
      <c r="D847" s="23"/>
      <c r="E847" s="23"/>
      <c r="F847" s="23"/>
      <c r="G847" s="21"/>
      <c r="H847" s="24" t="str">
        <f aca="false">IF(OR(A847="",D847="",G847=""),"",D847*G847)</f>
        <v/>
      </c>
      <c r="I847" s="25" t="str">
        <f aca="false">IF(OR(A847="",B847=""),"",IFERROR(LOOKUP(2,1/(单次交易!$A$2:$A$201=A847),单次交易!$H$2:$H$201),0)+SUMIFS($G$2:$G$1001,$A$2:$A$1001,A847,$B$2:$B$1001,"&lt;"&amp;B847))</f>
        <v/>
      </c>
      <c r="J847" s="24" t="str">
        <f aca="false">IF(OR(A847="",B847=""),"",IFERROR(LOOKUP(2,1/(单次交易!$A$2:$A$201=A847),单次交易!$E$2:$E$201)*LOOKUP(2,1/(单次交易!$A$2:$A$201=A847),单次交易!$H$2:$H$201),0)+SUMIFS($H$2:$H$1001,$A$2:$A$1001,A847,$B$2:$B$1001,"&lt;"&amp;B847))</f>
        <v/>
      </c>
      <c r="K847" s="24" t="str">
        <f aca="false">IF(OR(E847="",I847="",J847=""),"",MAX(E847*I847-J847,0))</f>
        <v/>
      </c>
      <c r="L847" s="25" t="str">
        <f aca="false">IF(OR(D847="",E847="",F847="",D847&lt;=E847),"",FLOOR((F847+K847)/(D847-E847),100))</f>
        <v/>
      </c>
      <c r="M847" s="25" t="str">
        <f aca="false">IF(OR(A847="",B847="",L847=""),"",IF(B847=1,L847,IFERROR(SUMIFS($G$2:$G$1001,$A$2:$A$1001,A847,$B$2:$B$1001,B847-1),0)))</f>
        <v/>
      </c>
      <c r="N847" s="25" t="str">
        <f aca="false">IF(OR(L847="",M847=""),"",MIN(L847,M847))</f>
        <v/>
      </c>
      <c r="O847" s="25" t="str">
        <f aca="false">IF(OR(I847="",G847=""),"",I847+G847)</f>
        <v/>
      </c>
      <c r="P847" s="24" t="str">
        <f aca="false">IF(OR(O847="",O847=0),"",(J847+H847)/O847)</f>
        <v/>
      </c>
      <c r="Q847" s="24" t="str">
        <f aca="false">IF(OR(O847="",E847=""),"",MAX(J847+H847-E847*O847,0))</f>
        <v/>
      </c>
      <c r="R847" s="26" t="str">
        <f aca="false">IF(A847="","",IF(COUNTIF(_TradeIds,A847)=0,"违规：交易编号不存在",IF(OR(B847="",B847&lt;1,B847&gt;5,B847&lt;&gt;INT(B847)),"违规：加仓序号须为1到5的整数",IF(COUNTIFS($A$2:$A$1001,A847,$B$2:$B$1001,B847)&gt;1,"违规：同一交易的加仓序号重复",IF(OR(D847="",E847="",F847=""),"计划不完整：请填写加仓价、新止损价和风险预算",IF(OR(D847&lt;=0,E847&lt;=0,F847&lt;=0,D847&lt;=E847),"违规：加仓价必须高于新止损价，金额须大于0",IF(AND(B847&gt;1,COUNTIFS($A$2:$A$1001,A847,$B$2:$B$1001,B847-1,$G$2:$G$1001,"&gt;0")=0),"违规：须先完成上一次加仓",IF(AND(B847&gt;1,E847&lt;SUMIFS($E$2:$E$1001,$A$2:$A$1001,A847,$B$2:$B$1001,B847-1)),"违规：新止损价不得低于上一次",IF(AND(B847&gt;1,F847&gt;SUMIFS($F$2:$F$1001,$A$2:$A$1001,A847,$B$2:$B$1001,B847-1)),"违规：风险预算须逐次不增加",IF(OR(_LockStatus="已锁仓",_LockStatus="解锁信息不完整"),"违规：锁仓期间禁止加仓",IF(G847="","计划可执行：建议股数见N列",IF(OR(G847&lt;=0,G847&lt;&gt;INT(G847),MOD(G847,100)&lt;&gt;0),"违规：实际股数须为100股整数倍",IF(G847&gt;N847,"违规：实际股数超过风险或金字塔上限",IF(AND(B847&gt;1,G847&gt;SUMIFS($G$2:$G$1001,$A$2:$A$1001,A847,$B$2:$B$1001,B847-1)),"违规：加仓股数须逐次不增加",IF(Q847&gt;F847,"违规：止损风险超过本次预算","通过")))))))))))))))</f>
        <v/>
      </c>
    </row>
    <row r="848" customFormat="false" ht="15" hidden="false" customHeight="false" outlineLevel="0" collapsed="false">
      <c r="A848" s="20"/>
      <c r="B848" s="21"/>
      <c r="C848" s="22"/>
      <c r="D848" s="23"/>
      <c r="E848" s="23"/>
      <c r="F848" s="23"/>
      <c r="G848" s="21"/>
      <c r="H848" s="24" t="str">
        <f aca="false">IF(OR(A848="",D848="",G848=""),"",D848*G848)</f>
        <v/>
      </c>
      <c r="I848" s="25" t="str">
        <f aca="false">IF(OR(A848="",B848=""),"",IFERROR(LOOKUP(2,1/(单次交易!$A$2:$A$201=A848),单次交易!$H$2:$H$201),0)+SUMIFS($G$2:$G$1001,$A$2:$A$1001,A848,$B$2:$B$1001,"&lt;"&amp;B848))</f>
        <v/>
      </c>
      <c r="J848" s="24" t="str">
        <f aca="false">IF(OR(A848="",B848=""),"",IFERROR(LOOKUP(2,1/(单次交易!$A$2:$A$201=A848),单次交易!$E$2:$E$201)*LOOKUP(2,1/(单次交易!$A$2:$A$201=A848),单次交易!$H$2:$H$201),0)+SUMIFS($H$2:$H$1001,$A$2:$A$1001,A848,$B$2:$B$1001,"&lt;"&amp;B848))</f>
        <v/>
      </c>
      <c r="K848" s="24" t="str">
        <f aca="false">IF(OR(E848="",I848="",J848=""),"",MAX(E848*I848-J848,0))</f>
        <v/>
      </c>
      <c r="L848" s="25" t="str">
        <f aca="false">IF(OR(D848="",E848="",F848="",D848&lt;=E848),"",FLOOR((F848+K848)/(D848-E848),100))</f>
        <v/>
      </c>
      <c r="M848" s="25" t="str">
        <f aca="false">IF(OR(A848="",B848="",L848=""),"",IF(B848=1,L848,IFERROR(SUMIFS($G$2:$G$1001,$A$2:$A$1001,A848,$B$2:$B$1001,B848-1),0)))</f>
        <v/>
      </c>
      <c r="N848" s="25" t="str">
        <f aca="false">IF(OR(L848="",M848=""),"",MIN(L848,M848))</f>
        <v/>
      </c>
      <c r="O848" s="25" t="str">
        <f aca="false">IF(OR(I848="",G848=""),"",I848+G848)</f>
        <v/>
      </c>
      <c r="P848" s="24" t="str">
        <f aca="false">IF(OR(O848="",O848=0),"",(J848+H848)/O848)</f>
        <v/>
      </c>
      <c r="Q848" s="24" t="str">
        <f aca="false">IF(OR(O848="",E848=""),"",MAX(J848+H848-E848*O848,0))</f>
        <v/>
      </c>
      <c r="R848" s="26" t="str">
        <f aca="false">IF(A848="","",IF(COUNTIF(_TradeIds,A848)=0,"违规：交易编号不存在",IF(OR(B848="",B848&lt;1,B848&gt;5,B848&lt;&gt;INT(B848)),"违规：加仓序号须为1到5的整数",IF(COUNTIFS($A$2:$A$1001,A848,$B$2:$B$1001,B848)&gt;1,"违规：同一交易的加仓序号重复",IF(OR(D848="",E848="",F848=""),"计划不完整：请填写加仓价、新止损价和风险预算",IF(OR(D848&lt;=0,E848&lt;=0,F848&lt;=0,D848&lt;=E848),"违规：加仓价必须高于新止损价，金额须大于0",IF(AND(B848&gt;1,COUNTIFS($A$2:$A$1001,A848,$B$2:$B$1001,B848-1,$G$2:$G$1001,"&gt;0")=0),"违规：须先完成上一次加仓",IF(AND(B848&gt;1,E848&lt;SUMIFS($E$2:$E$1001,$A$2:$A$1001,A848,$B$2:$B$1001,B848-1)),"违规：新止损价不得低于上一次",IF(AND(B848&gt;1,F848&gt;SUMIFS($F$2:$F$1001,$A$2:$A$1001,A848,$B$2:$B$1001,B848-1)),"违规：风险预算须逐次不增加",IF(OR(_LockStatus="已锁仓",_LockStatus="解锁信息不完整"),"违规：锁仓期间禁止加仓",IF(G848="","计划可执行：建议股数见N列",IF(OR(G848&lt;=0,G848&lt;&gt;INT(G848),MOD(G848,100)&lt;&gt;0),"违规：实际股数须为100股整数倍",IF(G848&gt;N848,"违规：实际股数超过风险或金字塔上限",IF(AND(B848&gt;1,G848&gt;SUMIFS($G$2:$G$1001,$A$2:$A$1001,A848,$B$2:$B$1001,B848-1)),"违规：加仓股数须逐次不增加",IF(Q848&gt;F848,"违规：止损风险超过本次预算","通过")))))))))))))))</f>
        <v/>
      </c>
    </row>
    <row r="849" customFormat="false" ht="15" hidden="false" customHeight="false" outlineLevel="0" collapsed="false">
      <c r="A849" s="20"/>
      <c r="B849" s="21"/>
      <c r="C849" s="22"/>
      <c r="D849" s="23"/>
      <c r="E849" s="23"/>
      <c r="F849" s="23"/>
      <c r="G849" s="21"/>
      <c r="H849" s="24" t="str">
        <f aca="false">IF(OR(A849="",D849="",G849=""),"",D849*G849)</f>
        <v/>
      </c>
      <c r="I849" s="25" t="str">
        <f aca="false">IF(OR(A849="",B849=""),"",IFERROR(LOOKUP(2,1/(单次交易!$A$2:$A$201=A849),单次交易!$H$2:$H$201),0)+SUMIFS($G$2:$G$1001,$A$2:$A$1001,A849,$B$2:$B$1001,"&lt;"&amp;B849))</f>
        <v/>
      </c>
      <c r="J849" s="24" t="str">
        <f aca="false">IF(OR(A849="",B849=""),"",IFERROR(LOOKUP(2,1/(单次交易!$A$2:$A$201=A849),单次交易!$E$2:$E$201)*LOOKUP(2,1/(单次交易!$A$2:$A$201=A849),单次交易!$H$2:$H$201),0)+SUMIFS($H$2:$H$1001,$A$2:$A$1001,A849,$B$2:$B$1001,"&lt;"&amp;B849))</f>
        <v/>
      </c>
      <c r="K849" s="24" t="str">
        <f aca="false">IF(OR(E849="",I849="",J849=""),"",MAX(E849*I849-J849,0))</f>
        <v/>
      </c>
      <c r="L849" s="25" t="str">
        <f aca="false">IF(OR(D849="",E849="",F849="",D849&lt;=E849),"",FLOOR((F849+K849)/(D849-E849),100))</f>
        <v/>
      </c>
      <c r="M849" s="25" t="str">
        <f aca="false">IF(OR(A849="",B849="",L849=""),"",IF(B849=1,L849,IFERROR(SUMIFS($G$2:$G$1001,$A$2:$A$1001,A849,$B$2:$B$1001,B849-1),0)))</f>
        <v/>
      </c>
      <c r="N849" s="25" t="str">
        <f aca="false">IF(OR(L849="",M849=""),"",MIN(L849,M849))</f>
        <v/>
      </c>
      <c r="O849" s="25" t="str">
        <f aca="false">IF(OR(I849="",G849=""),"",I849+G849)</f>
        <v/>
      </c>
      <c r="P849" s="24" t="str">
        <f aca="false">IF(OR(O849="",O849=0),"",(J849+H849)/O849)</f>
        <v/>
      </c>
      <c r="Q849" s="24" t="str">
        <f aca="false">IF(OR(O849="",E849=""),"",MAX(J849+H849-E849*O849,0))</f>
        <v/>
      </c>
      <c r="R849" s="26" t="str">
        <f aca="false">IF(A849="","",IF(COUNTIF(_TradeIds,A849)=0,"违规：交易编号不存在",IF(OR(B849="",B849&lt;1,B849&gt;5,B849&lt;&gt;INT(B849)),"违规：加仓序号须为1到5的整数",IF(COUNTIFS($A$2:$A$1001,A849,$B$2:$B$1001,B849)&gt;1,"违规：同一交易的加仓序号重复",IF(OR(D849="",E849="",F849=""),"计划不完整：请填写加仓价、新止损价和风险预算",IF(OR(D849&lt;=0,E849&lt;=0,F849&lt;=0,D849&lt;=E849),"违规：加仓价必须高于新止损价，金额须大于0",IF(AND(B849&gt;1,COUNTIFS($A$2:$A$1001,A849,$B$2:$B$1001,B849-1,$G$2:$G$1001,"&gt;0")=0),"违规：须先完成上一次加仓",IF(AND(B849&gt;1,E849&lt;SUMIFS($E$2:$E$1001,$A$2:$A$1001,A849,$B$2:$B$1001,B849-1)),"违规：新止损价不得低于上一次",IF(AND(B849&gt;1,F849&gt;SUMIFS($F$2:$F$1001,$A$2:$A$1001,A849,$B$2:$B$1001,B849-1)),"违规：风险预算须逐次不增加",IF(OR(_LockStatus="已锁仓",_LockStatus="解锁信息不完整"),"违规：锁仓期间禁止加仓",IF(G849="","计划可执行：建议股数见N列",IF(OR(G849&lt;=0,G849&lt;&gt;INT(G849),MOD(G849,100)&lt;&gt;0),"违规：实际股数须为100股整数倍",IF(G849&gt;N849,"违规：实际股数超过风险或金字塔上限",IF(AND(B849&gt;1,G849&gt;SUMIFS($G$2:$G$1001,$A$2:$A$1001,A849,$B$2:$B$1001,B849-1)),"违规：加仓股数须逐次不增加",IF(Q849&gt;F849,"违规：止损风险超过本次预算","通过")))))))))))))))</f>
        <v/>
      </c>
    </row>
    <row r="850" customFormat="false" ht="15" hidden="false" customHeight="false" outlineLevel="0" collapsed="false">
      <c r="A850" s="20"/>
      <c r="B850" s="21"/>
      <c r="C850" s="22"/>
      <c r="D850" s="23"/>
      <c r="E850" s="23"/>
      <c r="F850" s="23"/>
      <c r="G850" s="21"/>
      <c r="H850" s="24" t="str">
        <f aca="false">IF(OR(A850="",D850="",G850=""),"",D850*G850)</f>
        <v/>
      </c>
      <c r="I850" s="25" t="str">
        <f aca="false">IF(OR(A850="",B850=""),"",IFERROR(LOOKUP(2,1/(单次交易!$A$2:$A$201=A850),单次交易!$H$2:$H$201),0)+SUMIFS($G$2:$G$1001,$A$2:$A$1001,A850,$B$2:$B$1001,"&lt;"&amp;B850))</f>
        <v/>
      </c>
      <c r="J850" s="24" t="str">
        <f aca="false">IF(OR(A850="",B850=""),"",IFERROR(LOOKUP(2,1/(单次交易!$A$2:$A$201=A850),单次交易!$E$2:$E$201)*LOOKUP(2,1/(单次交易!$A$2:$A$201=A850),单次交易!$H$2:$H$201),0)+SUMIFS($H$2:$H$1001,$A$2:$A$1001,A850,$B$2:$B$1001,"&lt;"&amp;B850))</f>
        <v/>
      </c>
      <c r="K850" s="24" t="str">
        <f aca="false">IF(OR(E850="",I850="",J850=""),"",MAX(E850*I850-J850,0))</f>
        <v/>
      </c>
      <c r="L850" s="25" t="str">
        <f aca="false">IF(OR(D850="",E850="",F850="",D850&lt;=E850),"",FLOOR((F850+K850)/(D850-E850),100))</f>
        <v/>
      </c>
      <c r="M850" s="25" t="str">
        <f aca="false">IF(OR(A850="",B850="",L850=""),"",IF(B850=1,L850,IFERROR(SUMIFS($G$2:$G$1001,$A$2:$A$1001,A850,$B$2:$B$1001,B850-1),0)))</f>
        <v/>
      </c>
      <c r="N850" s="25" t="str">
        <f aca="false">IF(OR(L850="",M850=""),"",MIN(L850,M850))</f>
        <v/>
      </c>
      <c r="O850" s="25" t="str">
        <f aca="false">IF(OR(I850="",G850=""),"",I850+G850)</f>
        <v/>
      </c>
      <c r="P850" s="24" t="str">
        <f aca="false">IF(OR(O850="",O850=0),"",(J850+H850)/O850)</f>
        <v/>
      </c>
      <c r="Q850" s="24" t="str">
        <f aca="false">IF(OR(O850="",E850=""),"",MAX(J850+H850-E850*O850,0))</f>
        <v/>
      </c>
      <c r="R850" s="26" t="str">
        <f aca="false">IF(A850="","",IF(COUNTIF(_TradeIds,A850)=0,"违规：交易编号不存在",IF(OR(B850="",B850&lt;1,B850&gt;5,B850&lt;&gt;INT(B850)),"违规：加仓序号须为1到5的整数",IF(COUNTIFS($A$2:$A$1001,A850,$B$2:$B$1001,B850)&gt;1,"违规：同一交易的加仓序号重复",IF(OR(D850="",E850="",F850=""),"计划不完整：请填写加仓价、新止损价和风险预算",IF(OR(D850&lt;=0,E850&lt;=0,F850&lt;=0,D850&lt;=E850),"违规：加仓价必须高于新止损价，金额须大于0",IF(AND(B850&gt;1,COUNTIFS($A$2:$A$1001,A850,$B$2:$B$1001,B850-1,$G$2:$G$1001,"&gt;0")=0),"违规：须先完成上一次加仓",IF(AND(B850&gt;1,E850&lt;SUMIFS($E$2:$E$1001,$A$2:$A$1001,A850,$B$2:$B$1001,B850-1)),"违规：新止损价不得低于上一次",IF(AND(B850&gt;1,F850&gt;SUMIFS($F$2:$F$1001,$A$2:$A$1001,A850,$B$2:$B$1001,B850-1)),"违规：风险预算须逐次不增加",IF(OR(_LockStatus="已锁仓",_LockStatus="解锁信息不完整"),"违规：锁仓期间禁止加仓",IF(G850="","计划可执行：建议股数见N列",IF(OR(G850&lt;=0,G850&lt;&gt;INT(G850),MOD(G850,100)&lt;&gt;0),"违规：实际股数须为100股整数倍",IF(G850&gt;N850,"违规：实际股数超过风险或金字塔上限",IF(AND(B850&gt;1,G850&gt;SUMIFS($G$2:$G$1001,$A$2:$A$1001,A850,$B$2:$B$1001,B850-1)),"违规：加仓股数须逐次不增加",IF(Q850&gt;F850,"违规：止损风险超过本次预算","通过")))))))))))))))</f>
        <v/>
      </c>
    </row>
    <row r="851" customFormat="false" ht="15" hidden="false" customHeight="false" outlineLevel="0" collapsed="false">
      <c r="A851" s="20"/>
      <c r="B851" s="21"/>
      <c r="C851" s="22"/>
      <c r="D851" s="23"/>
      <c r="E851" s="23"/>
      <c r="F851" s="23"/>
      <c r="G851" s="21"/>
      <c r="H851" s="24" t="str">
        <f aca="false">IF(OR(A851="",D851="",G851=""),"",D851*G851)</f>
        <v/>
      </c>
      <c r="I851" s="25" t="str">
        <f aca="false">IF(OR(A851="",B851=""),"",IFERROR(LOOKUP(2,1/(单次交易!$A$2:$A$201=A851),单次交易!$H$2:$H$201),0)+SUMIFS($G$2:$G$1001,$A$2:$A$1001,A851,$B$2:$B$1001,"&lt;"&amp;B851))</f>
        <v/>
      </c>
      <c r="J851" s="24" t="str">
        <f aca="false">IF(OR(A851="",B851=""),"",IFERROR(LOOKUP(2,1/(单次交易!$A$2:$A$201=A851),单次交易!$E$2:$E$201)*LOOKUP(2,1/(单次交易!$A$2:$A$201=A851),单次交易!$H$2:$H$201),0)+SUMIFS($H$2:$H$1001,$A$2:$A$1001,A851,$B$2:$B$1001,"&lt;"&amp;B851))</f>
        <v/>
      </c>
      <c r="K851" s="24" t="str">
        <f aca="false">IF(OR(E851="",I851="",J851=""),"",MAX(E851*I851-J851,0))</f>
        <v/>
      </c>
      <c r="L851" s="25" t="str">
        <f aca="false">IF(OR(D851="",E851="",F851="",D851&lt;=E851),"",FLOOR((F851+K851)/(D851-E851),100))</f>
        <v/>
      </c>
      <c r="M851" s="25" t="str">
        <f aca="false">IF(OR(A851="",B851="",L851=""),"",IF(B851=1,L851,IFERROR(SUMIFS($G$2:$G$1001,$A$2:$A$1001,A851,$B$2:$B$1001,B851-1),0)))</f>
        <v/>
      </c>
      <c r="N851" s="25" t="str">
        <f aca="false">IF(OR(L851="",M851=""),"",MIN(L851,M851))</f>
        <v/>
      </c>
      <c r="O851" s="25" t="str">
        <f aca="false">IF(OR(I851="",G851=""),"",I851+G851)</f>
        <v/>
      </c>
      <c r="P851" s="24" t="str">
        <f aca="false">IF(OR(O851="",O851=0),"",(J851+H851)/O851)</f>
        <v/>
      </c>
      <c r="Q851" s="24" t="str">
        <f aca="false">IF(OR(O851="",E851=""),"",MAX(J851+H851-E851*O851,0))</f>
        <v/>
      </c>
      <c r="R851" s="26" t="str">
        <f aca="false">IF(A851="","",IF(COUNTIF(_TradeIds,A851)=0,"违规：交易编号不存在",IF(OR(B851="",B851&lt;1,B851&gt;5,B851&lt;&gt;INT(B851)),"违规：加仓序号须为1到5的整数",IF(COUNTIFS($A$2:$A$1001,A851,$B$2:$B$1001,B851)&gt;1,"违规：同一交易的加仓序号重复",IF(OR(D851="",E851="",F851=""),"计划不完整：请填写加仓价、新止损价和风险预算",IF(OR(D851&lt;=0,E851&lt;=0,F851&lt;=0,D851&lt;=E851),"违规：加仓价必须高于新止损价，金额须大于0",IF(AND(B851&gt;1,COUNTIFS($A$2:$A$1001,A851,$B$2:$B$1001,B851-1,$G$2:$G$1001,"&gt;0")=0),"违规：须先完成上一次加仓",IF(AND(B851&gt;1,E851&lt;SUMIFS($E$2:$E$1001,$A$2:$A$1001,A851,$B$2:$B$1001,B851-1)),"违规：新止损价不得低于上一次",IF(AND(B851&gt;1,F851&gt;SUMIFS($F$2:$F$1001,$A$2:$A$1001,A851,$B$2:$B$1001,B851-1)),"违规：风险预算须逐次不增加",IF(OR(_LockStatus="已锁仓",_LockStatus="解锁信息不完整"),"违规：锁仓期间禁止加仓",IF(G851="","计划可执行：建议股数见N列",IF(OR(G851&lt;=0,G851&lt;&gt;INT(G851),MOD(G851,100)&lt;&gt;0),"违规：实际股数须为100股整数倍",IF(G851&gt;N851,"违规：实际股数超过风险或金字塔上限",IF(AND(B851&gt;1,G851&gt;SUMIFS($G$2:$G$1001,$A$2:$A$1001,A851,$B$2:$B$1001,B851-1)),"违规：加仓股数须逐次不增加",IF(Q851&gt;F851,"违规：止损风险超过本次预算","通过")))))))))))))))</f>
        <v/>
      </c>
    </row>
    <row r="852" customFormat="false" ht="15" hidden="false" customHeight="false" outlineLevel="0" collapsed="false">
      <c r="A852" s="20"/>
      <c r="B852" s="21"/>
      <c r="C852" s="22"/>
      <c r="D852" s="23"/>
      <c r="E852" s="23"/>
      <c r="F852" s="23"/>
      <c r="G852" s="21"/>
      <c r="H852" s="24" t="str">
        <f aca="false">IF(OR(A852="",D852="",G852=""),"",D852*G852)</f>
        <v/>
      </c>
      <c r="I852" s="25" t="str">
        <f aca="false">IF(OR(A852="",B852=""),"",IFERROR(LOOKUP(2,1/(单次交易!$A$2:$A$201=A852),单次交易!$H$2:$H$201),0)+SUMIFS($G$2:$G$1001,$A$2:$A$1001,A852,$B$2:$B$1001,"&lt;"&amp;B852))</f>
        <v/>
      </c>
      <c r="J852" s="24" t="str">
        <f aca="false">IF(OR(A852="",B852=""),"",IFERROR(LOOKUP(2,1/(单次交易!$A$2:$A$201=A852),单次交易!$E$2:$E$201)*LOOKUP(2,1/(单次交易!$A$2:$A$201=A852),单次交易!$H$2:$H$201),0)+SUMIFS($H$2:$H$1001,$A$2:$A$1001,A852,$B$2:$B$1001,"&lt;"&amp;B852))</f>
        <v/>
      </c>
      <c r="K852" s="24" t="str">
        <f aca="false">IF(OR(E852="",I852="",J852=""),"",MAX(E852*I852-J852,0))</f>
        <v/>
      </c>
      <c r="L852" s="25" t="str">
        <f aca="false">IF(OR(D852="",E852="",F852="",D852&lt;=E852),"",FLOOR((F852+K852)/(D852-E852),100))</f>
        <v/>
      </c>
      <c r="M852" s="25" t="str">
        <f aca="false">IF(OR(A852="",B852="",L852=""),"",IF(B852=1,L852,IFERROR(SUMIFS($G$2:$G$1001,$A$2:$A$1001,A852,$B$2:$B$1001,B852-1),0)))</f>
        <v/>
      </c>
      <c r="N852" s="25" t="str">
        <f aca="false">IF(OR(L852="",M852=""),"",MIN(L852,M852))</f>
        <v/>
      </c>
      <c r="O852" s="25" t="str">
        <f aca="false">IF(OR(I852="",G852=""),"",I852+G852)</f>
        <v/>
      </c>
      <c r="P852" s="24" t="str">
        <f aca="false">IF(OR(O852="",O852=0),"",(J852+H852)/O852)</f>
        <v/>
      </c>
      <c r="Q852" s="24" t="str">
        <f aca="false">IF(OR(O852="",E852=""),"",MAX(J852+H852-E852*O852,0))</f>
        <v/>
      </c>
      <c r="R852" s="26" t="str">
        <f aca="false">IF(A852="","",IF(COUNTIF(_TradeIds,A852)=0,"违规：交易编号不存在",IF(OR(B852="",B852&lt;1,B852&gt;5,B852&lt;&gt;INT(B852)),"违规：加仓序号须为1到5的整数",IF(COUNTIFS($A$2:$A$1001,A852,$B$2:$B$1001,B852)&gt;1,"违规：同一交易的加仓序号重复",IF(OR(D852="",E852="",F852=""),"计划不完整：请填写加仓价、新止损价和风险预算",IF(OR(D852&lt;=0,E852&lt;=0,F852&lt;=0,D852&lt;=E852),"违规：加仓价必须高于新止损价，金额须大于0",IF(AND(B852&gt;1,COUNTIFS($A$2:$A$1001,A852,$B$2:$B$1001,B852-1,$G$2:$G$1001,"&gt;0")=0),"违规：须先完成上一次加仓",IF(AND(B852&gt;1,E852&lt;SUMIFS($E$2:$E$1001,$A$2:$A$1001,A852,$B$2:$B$1001,B852-1)),"违规：新止损价不得低于上一次",IF(AND(B852&gt;1,F852&gt;SUMIFS($F$2:$F$1001,$A$2:$A$1001,A852,$B$2:$B$1001,B852-1)),"违规：风险预算须逐次不增加",IF(OR(_LockStatus="已锁仓",_LockStatus="解锁信息不完整"),"违规：锁仓期间禁止加仓",IF(G852="","计划可执行：建议股数见N列",IF(OR(G852&lt;=0,G852&lt;&gt;INT(G852),MOD(G852,100)&lt;&gt;0),"违规：实际股数须为100股整数倍",IF(G852&gt;N852,"违规：实际股数超过风险或金字塔上限",IF(AND(B852&gt;1,G852&gt;SUMIFS($G$2:$G$1001,$A$2:$A$1001,A852,$B$2:$B$1001,B852-1)),"违规：加仓股数须逐次不增加",IF(Q852&gt;F852,"违规：止损风险超过本次预算","通过")))))))))))))))</f>
        <v/>
      </c>
    </row>
    <row r="853" customFormat="false" ht="15" hidden="false" customHeight="false" outlineLevel="0" collapsed="false">
      <c r="A853" s="20"/>
      <c r="B853" s="21"/>
      <c r="C853" s="22"/>
      <c r="D853" s="23"/>
      <c r="E853" s="23"/>
      <c r="F853" s="23"/>
      <c r="G853" s="21"/>
      <c r="H853" s="24" t="str">
        <f aca="false">IF(OR(A853="",D853="",G853=""),"",D853*G853)</f>
        <v/>
      </c>
      <c r="I853" s="25" t="str">
        <f aca="false">IF(OR(A853="",B853=""),"",IFERROR(LOOKUP(2,1/(单次交易!$A$2:$A$201=A853),单次交易!$H$2:$H$201),0)+SUMIFS($G$2:$G$1001,$A$2:$A$1001,A853,$B$2:$B$1001,"&lt;"&amp;B853))</f>
        <v/>
      </c>
      <c r="J853" s="24" t="str">
        <f aca="false">IF(OR(A853="",B853=""),"",IFERROR(LOOKUP(2,1/(单次交易!$A$2:$A$201=A853),单次交易!$E$2:$E$201)*LOOKUP(2,1/(单次交易!$A$2:$A$201=A853),单次交易!$H$2:$H$201),0)+SUMIFS($H$2:$H$1001,$A$2:$A$1001,A853,$B$2:$B$1001,"&lt;"&amp;B853))</f>
        <v/>
      </c>
      <c r="K853" s="24" t="str">
        <f aca="false">IF(OR(E853="",I853="",J853=""),"",MAX(E853*I853-J853,0))</f>
        <v/>
      </c>
      <c r="L853" s="25" t="str">
        <f aca="false">IF(OR(D853="",E853="",F853="",D853&lt;=E853),"",FLOOR((F853+K853)/(D853-E853),100))</f>
        <v/>
      </c>
      <c r="M853" s="25" t="str">
        <f aca="false">IF(OR(A853="",B853="",L853=""),"",IF(B853=1,L853,IFERROR(SUMIFS($G$2:$G$1001,$A$2:$A$1001,A853,$B$2:$B$1001,B853-1),0)))</f>
        <v/>
      </c>
      <c r="N853" s="25" t="str">
        <f aca="false">IF(OR(L853="",M853=""),"",MIN(L853,M853))</f>
        <v/>
      </c>
      <c r="O853" s="25" t="str">
        <f aca="false">IF(OR(I853="",G853=""),"",I853+G853)</f>
        <v/>
      </c>
      <c r="P853" s="24" t="str">
        <f aca="false">IF(OR(O853="",O853=0),"",(J853+H853)/O853)</f>
        <v/>
      </c>
      <c r="Q853" s="24" t="str">
        <f aca="false">IF(OR(O853="",E853=""),"",MAX(J853+H853-E853*O853,0))</f>
        <v/>
      </c>
      <c r="R853" s="26" t="str">
        <f aca="false">IF(A853="","",IF(COUNTIF(_TradeIds,A853)=0,"违规：交易编号不存在",IF(OR(B853="",B853&lt;1,B853&gt;5,B853&lt;&gt;INT(B853)),"违规：加仓序号须为1到5的整数",IF(COUNTIFS($A$2:$A$1001,A853,$B$2:$B$1001,B853)&gt;1,"违规：同一交易的加仓序号重复",IF(OR(D853="",E853="",F853=""),"计划不完整：请填写加仓价、新止损价和风险预算",IF(OR(D853&lt;=0,E853&lt;=0,F853&lt;=0,D853&lt;=E853),"违规：加仓价必须高于新止损价，金额须大于0",IF(AND(B853&gt;1,COUNTIFS($A$2:$A$1001,A853,$B$2:$B$1001,B853-1,$G$2:$G$1001,"&gt;0")=0),"违规：须先完成上一次加仓",IF(AND(B853&gt;1,E853&lt;SUMIFS($E$2:$E$1001,$A$2:$A$1001,A853,$B$2:$B$1001,B853-1)),"违规：新止损价不得低于上一次",IF(AND(B853&gt;1,F853&gt;SUMIFS($F$2:$F$1001,$A$2:$A$1001,A853,$B$2:$B$1001,B853-1)),"违规：风险预算须逐次不增加",IF(OR(_LockStatus="已锁仓",_LockStatus="解锁信息不完整"),"违规：锁仓期间禁止加仓",IF(G853="","计划可执行：建议股数见N列",IF(OR(G853&lt;=0,G853&lt;&gt;INT(G853),MOD(G853,100)&lt;&gt;0),"违规：实际股数须为100股整数倍",IF(G853&gt;N853,"违规：实际股数超过风险或金字塔上限",IF(AND(B853&gt;1,G853&gt;SUMIFS($G$2:$G$1001,$A$2:$A$1001,A853,$B$2:$B$1001,B853-1)),"违规：加仓股数须逐次不增加",IF(Q853&gt;F853,"违规：止损风险超过本次预算","通过")))))))))))))))</f>
        <v/>
      </c>
    </row>
    <row r="854" customFormat="false" ht="15" hidden="false" customHeight="false" outlineLevel="0" collapsed="false">
      <c r="A854" s="20"/>
      <c r="B854" s="21"/>
      <c r="C854" s="22"/>
      <c r="D854" s="23"/>
      <c r="E854" s="23"/>
      <c r="F854" s="23"/>
      <c r="G854" s="21"/>
      <c r="H854" s="24" t="str">
        <f aca="false">IF(OR(A854="",D854="",G854=""),"",D854*G854)</f>
        <v/>
      </c>
      <c r="I854" s="25" t="str">
        <f aca="false">IF(OR(A854="",B854=""),"",IFERROR(LOOKUP(2,1/(单次交易!$A$2:$A$201=A854),单次交易!$H$2:$H$201),0)+SUMIFS($G$2:$G$1001,$A$2:$A$1001,A854,$B$2:$B$1001,"&lt;"&amp;B854))</f>
        <v/>
      </c>
      <c r="J854" s="24" t="str">
        <f aca="false">IF(OR(A854="",B854=""),"",IFERROR(LOOKUP(2,1/(单次交易!$A$2:$A$201=A854),单次交易!$E$2:$E$201)*LOOKUP(2,1/(单次交易!$A$2:$A$201=A854),单次交易!$H$2:$H$201),0)+SUMIFS($H$2:$H$1001,$A$2:$A$1001,A854,$B$2:$B$1001,"&lt;"&amp;B854))</f>
        <v/>
      </c>
      <c r="K854" s="24" t="str">
        <f aca="false">IF(OR(E854="",I854="",J854=""),"",MAX(E854*I854-J854,0))</f>
        <v/>
      </c>
      <c r="L854" s="25" t="str">
        <f aca="false">IF(OR(D854="",E854="",F854="",D854&lt;=E854),"",FLOOR((F854+K854)/(D854-E854),100))</f>
        <v/>
      </c>
      <c r="M854" s="25" t="str">
        <f aca="false">IF(OR(A854="",B854="",L854=""),"",IF(B854=1,L854,IFERROR(SUMIFS($G$2:$G$1001,$A$2:$A$1001,A854,$B$2:$B$1001,B854-1),0)))</f>
        <v/>
      </c>
      <c r="N854" s="25" t="str">
        <f aca="false">IF(OR(L854="",M854=""),"",MIN(L854,M854))</f>
        <v/>
      </c>
      <c r="O854" s="25" t="str">
        <f aca="false">IF(OR(I854="",G854=""),"",I854+G854)</f>
        <v/>
      </c>
      <c r="P854" s="24" t="str">
        <f aca="false">IF(OR(O854="",O854=0),"",(J854+H854)/O854)</f>
        <v/>
      </c>
      <c r="Q854" s="24" t="str">
        <f aca="false">IF(OR(O854="",E854=""),"",MAX(J854+H854-E854*O854,0))</f>
        <v/>
      </c>
      <c r="R854" s="26" t="str">
        <f aca="false">IF(A854="","",IF(COUNTIF(_TradeIds,A854)=0,"违规：交易编号不存在",IF(OR(B854="",B854&lt;1,B854&gt;5,B854&lt;&gt;INT(B854)),"违规：加仓序号须为1到5的整数",IF(COUNTIFS($A$2:$A$1001,A854,$B$2:$B$1001,B854)&gt;1,"违规：同一交易的加仓序号重复",IF(OR(D854="",E854="",F854=""),"计划不完整：请填写加仓价、新止损价和风险预算",IF(OR(D854&lt;=0,E854&lt;=0,F854&lt;=0,D854&lt;=E854),"违规：加仓价必须高于新止损价，金额须大于0",IF(AND(B854&gt;1,COUNTIFS($A$2:$A$1001,A854,$B$2:$B$1001,B854-1,$G$2:$G$1001,"&gt;0")=0),"违规：须先完成上一次加仓",IF(AND(B854&gt;1,E854&lt;SUMIFS($E$2:$E$1001,$A$2:$A$1001,A854,$B$2:$B$1001,B854-1)),"违规：新止损价不得低于上一次",IF(AND(B854&gt;1,F854&gt;SUMIFS($F$2:$F$1001,$A$2:$A$1001,A854,$B$2:$B$1001,B854-1)),"违规：风险预算须逐次不增加",IF(OR(_LockStatus="已锁仓",_LockStatus="解锁信息不完整"),"违规：锁仓期间禁止加仓",IF(G854="","计划可执行：建议股数见N列",IF(OR(G854&lt;=0,G854&lt;&gt;INT(G854),MOD(G854,100)&lt;&gt;0),"违规：实际股数须为100股整数倍",IF(G854&gt;N854,"违规：实际股数超过风险或金字塔上限",IF(AND(B854&gt;1,G854&gt;SUMIFS($G$2:$G$1001,$A$2:$A$1001,A854,$B$2:$B$1001,B854-1)),"违规：加仓股数须逐次不增加",IF(Q854&gt;F854,"违规：止损风险超过本次预算","通过")))))))))))))))</f>
        <v/>
      </c>
    </row>
    <row r="855" customFormat="false" ht="15" hidden="false" customHeight="false" outlineLevel="0" collapsed="false">
      <c r="A855" s="20"/>
      <c r="B855" s="21"/>
      <c r="C855" s="22"/>
      <c r="D855" s="23"/>
      <c r="E855" s="23"/>
      <c r="F855" s="23"/>
      <c r="G855" s="21"/>
      <c r="H855" s="24" t="str">
        <f aca="false">IF(OR(A855="",D855="",G855=""),"",D855*G855)</f>
        <v/>
      </c>
      <c r="I855" s="25" t="str">
        <f aca="false">IF(OR(A855="",B855=""),"",IFERROR(LOOKUP(2,1/(单次交易!$A$2:$A$201=A855),单次交易!$H$2:$H$201),0)+SUMIFS($G$2:$G$1001,$A$2:$A$1001,A855,$B$2:$B$1001,"&lt;"&amp;B855))</f>
        <v/>
      </c>
      <c r="J855" s="24" t="str">
        <f aca="false">IF(OR(A855="",B855=""),"",IFERROR(LOOKUP(2,1/(单次交易!$A$2:$A$201=A855),单次交易!$E$2:$E$201)*LOOKUP(2,1/(单次交易!$A$2:$A$201=A855),单次交易!$H$2:$H$201),0)+SUMIFS($H$2:$H$1001,$A$2:$A$1001,A855,$B$2:$B$1001,"&lt;"&amp;B855))</f>
        <v/>
      </c>
      <c r="K855" s="24" t="str">
        <f aca="false">IF(OR(E855="",I855="",J855=""),"",MAX(E855*I855-J855,0))</f>
        <v/>
      </c>
      <c r="L855" s="25" t="str">
        <f aca="false">IF(OR(D855="",E855="",F855="",D855&lt;=E855),"",FLOOR((F855+K855)/(D855-E855),100))</f>
        <v/>
      </c>
      <c r="M855" s="25" t="str">
        <f aca="false">IF(OR(A855="",B855="",L855=""),"",IF(B855=1,L855,IFERROR(SUMIFS($G$2:$G$1001,$A$2:$A$1001,A855,$B$2:$B$1001,B855-1),0)))</f>
        <v/>
      </c>
      <c r="N855" s="25" t="str">
        <f aca="false">IF(OR(L855="",M855=""),"",MIN(L855,M855))</f>
        <v/>
      </c>
      <c r="O855" s="25" t="str">
        <f aca="false">IF(OR(I855="",G855=""),"",I855+G855)</f>
        <v/>
      </c>
      <c r="P855" s="24" t="str">
        <f aca="false">IF(OR(O855="",O855=0),"",(J855+H855)/O855)</f>
        <v/>
      </c>
      <c r="Q855" s="24" t="str">
        <f aca="false">IF(OR(O855="",E855=""),"",MAX(J855+H855-E855*O855,0))</f>
        <v/>
      </c>
      <c r="R855" s="26" t="str">
        <f aca="false">IF(A855="","",IF(COUNTIF(_TradeIds,A855)=0,"违规：交易编号不存在",IF(OR(B855="",B855&lt;1,B855&gt;5,B855&lt;&gt;INT(B855)),"违规：加仓序号须为1到5的整数",IF(COUNTIFS($A$2:$A$1001,A855,$B$2:$B$1001,B855)&gt;1,"违规：同一交易的加仓序号重复",IF(OR(D855="",E855="",F855=""),"计划不完整：请填写加仓价、新止损价和风险预算",IF(OR(D855&lt;=0,E855&lt;=0,F855&lt;=0,D855&lt;=E855),"违规：加仓价必须高于新止损价，金额须大于0",IF(AND(B855&gt;1,COUNTIFS($A$2:$A$1001,A855,$B$2:$B$1001,B855-1,$G$2:$G$1001,"&gt;0")=0),"违规：须先完成上一次加仓",IF(AND(B855&gt;1,E855&lt;SUMIFS($E$2:$E$1001,$A$2:$A$1001,A855,$B$2:$B$1001,B855-1)),"违规：新止损价不得低于上一次",IF(AND(B855&gt;1,F855&gt;SUMIFS($F$2:$F$1001,$A$2:$A$1001,A855,$B$2:$B$1001,B855-1)),"违规：风险预算须逐次不增加",IF(OR(_LockStatus="已锁仓",_LockStatus="解锁信息不完整"),"违规：锁仓期间禁止加仓",IF(G855="","计划可执行：建议股数见N列",IF(OR(G855&lt;=0,G855&lt;&gt;INT(G855),MOD(G855,100)&lt;&gt;0),"违规：实际股数须为100股整数倍",IF(G855&gt;N855,"违规：实际股数超过风险或金字塔上限",IF(AND(B855&gt;1,G855&gt;SUMIFS($G$2:$G$1001,$A$2:$A$1001,A855,$B$2:$B$1001,B855-1)),"违规：加仓股数须逐次不增加",IF(Q855&gt;F855,"违规：止损风险超过本次预算","通过")))))))))))))))</f>
        <v/>
      </c>
    </row>
    <row r="856" customFormat="false" ht="15" hidden="false" customHeight="false" outlineLevel="0" collapsed="false">
      <c r="A856" s="20"/>
      <c r="B856" s="21"/>
      <c r="C856" s="22"/>
      <c r="D856" s="23"/>
      <c r="E856" s="23"/>
      <c r="F856" s="23"/>
      <c r="G856" s="21"/>
      <c r="H856" s="24" t="str">
        <f aca="false">IF(OR(A856="",D856="",G856=""),"",D856*G856)</f>
        <v/>
      </c>
      <c r="I856" s="25" t="str">
        <f aca="false">IF(OR(A856="",B856=""),"",IFERROR(LOOKUP(2,1/(单次交易!$A$2:$A$201=A856),单次交易!$H$2:$H$201),0)+SUMIFS($G$2:$G$1001,$A$2:$A$1001,A856,$B$2:$B$1001,"&lt;"&amp;B856))</f>
        <v/>
      </c>
      <c r="J856" s="24" t="str">
        <f aca="false">IF(OR(A856="",B856=""),"",IFERROR(LOOKUP(2,1/(单次交易!$A$2:$A$201=A856),单次交易!$E$2:$E$201)*LOOKUP(2,1/(单次交易!$A$2:$A$201=A856),单次交易!$H$2:$H$201),0)+SUMIFS($H$2:$H$1001,$A$2:$A$1001,A856,$B$2:$B$1001,"&lt;"&amp;B856))</f>
        <v/>
      </c>
      <c r="K856" s="24" t="str">
        <f aca="false">IF(OR(E856="",I856="",J856=""),"",MAX(E856*I856-J856,0))</f>
        <v/>
      </c>
      <c r="L856" s="25" t="str">
        <f aca="false">IF(OR(D856="",E856="",F856="",D856&lt;=E856),"",FLOOR((F856+K856)/(D856-E856),100))</f>
        <v/>
      </c>
      <c r="M856" s="25" t="str">
        <f aca="false">IF(OR(A856="",B856="",L856=""),"",IF(B856=1,L856,IFERROR(SUMIFS($G$2:$G$1001,$A$2:$A$1001,A856,$B$2:$B$1001,B856-1),0)))</f>
        <v/>
      </c>
      <c r="N856" s="25" t="str">
        <f aca="false">IF(OR(L856="",M856=""),"",MIN(L856,M856))</f>
        <v/>
      </c>
      <c r="O856" s="25" t="str">
        <f aca="false">IF(OR(I856="",G856=""),"",I856+G856)</f>
        <v/>
      </c>
      <c r="P856" s="24" t="str">
        <f aca="false">IF(OR(O856="",O856=0),"",(J856+H856)/O856)</f>
        <v/>
      </c>
      <c r="Q856" s="24" t="str">
        <f aca="false">IF(OR(O856="",E856=""),"",MAX(J856+H856-E856*O856,0))</f>
        <v/>
      </c>
      <c r="R856" s="26" t="str">
        <f aca="false">IF(A856="","",IF(COUNTIF(_TradeIds,A856)=0,"违规：交易编号不存在",IF(OR(B856="",B856&lt;1,B856&gt;5,B856&lt;&gt;INT(B856)),"违规：加仓序号须为1到5的整数",IF(COUNTIFS($A$2:$A$1001,A856,$B$2:$B$1001,B856)&gt;1,"违规：同一交易的加仓序号重复",IF(OR(D856="",E856="",F856=""),"计划不完整：请填写加仓价、新止损价和风险预算",IF(OR(D856&lt;=0,E856&lt;=0,F856&lt;=0,D856&lt;=E856),"违规：加仓价必须高于新止损价，金额须大于0",IF(AND(B856&gt;1,COUNTIFS($A$2:$A$1001,A856,$B$2:$B$1001,B856-1,$G$2:$G$1001,"&gt;0")=0),"违规：须先完成上一次加仓",IF(AND(B856&gt;1,E856&lt;SUMIFS($E$2:$E$1001,$A$2:$A$1001,A856,$B$2:$B$1001,B856-1)),"违规：新止损价不得低于上一次",IF(AND(B856&gt;1,F856&gt;SUMIFS($F$2:$F$1001,$A$2:$A$1001,A856,$B$2:$B$1001,B856-1)),"违规：风险预算须逐次不增加",IF(OR(_LockStatus="已锁仓",_LockStatus="解锁信息不完整"),"违规：锁仓期间禁止加仓",IF(G856="","计划可执行：建议股数见N列",IF(OR(G856&lt;=0,G856&lt;&gt;INT(G856),MOD(G856,100)&lt;&gt;0),"违规：实际股数须为100股整数倍",IF(G856&gt;N856,"违规：实际股数超过风险或金字塔上限",IF(AND(B856&gt;1,G856&gt;SUMIFS($G$2:$G$1001,$A$2:$A$1001,A856,$B$2:$B$1001,B856-1)),"违规：加仓股数须逐次不增加",IF(Q856&gt;F856,"违规：止损风险超过本次预算","通过")))))))))))))))</f>
        <v/>
      </c>
    </row>
    <row r="857" customFormat="false" ht="15" hidden="false" customHeight="false" outlineLevel="0" collapsed="false">
      <c r="A857" s="20"/>
      <c r="B857" s="21"/>
      <c r="C857" s="22"/>
      <c r="D857" s="23"/>
      <c r="E857" s="23"/>
      <c r="F857" s="23"/>
      <c r="G857" s="21"/>
      <c r="H857" s="24" t="str">
        <f aca="false">IF(OR(A857="",D857="",G857=""),"",D857*G857)</f>
        <v/>
      </c>
      <c r="I857" s="25" t="str">
        <f aca="false">IF(OR(A857="",B857=""),"",IFERROR(LOOKUP(2,1/(单次交易!$A$2:$A$201=A857),单次交易!$H$2:$H$201),0)+SUMIFS($G$2:$G$1001,$A$2:$A$1001,A857,$B$2:$B$1001,"&lt;"&amp;B857))</f>
        <v/>
      </c>
      <c r="J857" s="24" t="str">
        <f aca="false">IF(OR(A857="",B857=""),"",IFERROR(LOOKUP(2,1/(单次交易!$A$2:$A$201=A857),单次交易!$E$2:$E$201)*LOOKUP(2,1/(单次交易!$A$2:$A$201=A857),单次交易!$H$2:$H$201),0)+SUMIFS($H$2:$H$1001,$A$2:$A$1001,A857,$B$2:$B$1001,"&lt;"&amp;B857))</f>
        <v/>
      </c>
      <c r="K857" s="24" t="str">
        <f aca="false">IF(OR(E857="",I857="",J857=""),"",MAX(E857*I857-J857,0))</f>
        <v/>
      </c>
      <c r="L857" s="25" t="str">
        <f aca="false">IF(OR(D857="",E857="",F857="",D857&lt;=E857),"",FLOOR((F857+K857)/(D857-E857),100))</f>
        <v/>
      </c>
      <c r="M857" s="25" t="str">
        <f aca="false">IF(OR(A857="",B857="",L857=""),"",IF(B857=1,L857,IFERROR(SUMIFS($G$2:$G$1001,$A$2:$A$1001,A857,$B$2:$B$1001,B857-1),0)))</f>
        <v/>
      </c>
      <c r="N857" s="25" t="str">
        <f aca="false">IF(OR(L857="",M857=""),"",MIN(L857,M857))</f>
        <v/>
      </c>
      <c r="O857" s="25" t="str">
        <f aca="false">IF(OR(I857="",G857=""),"",I857+G857)</f>
        <v/>
      </c>
      <c r="P857" s="24" t="str">
        <f aca="false">IF(OR(O857="",O857=0),"",(J857+H857)/O857)</f>
        <v/>
      </c>
      <c r="Q857" s="24" t="str">
        <f aca="false">IF(OR(O857="",E857=""),"",MAX(J857+H857-E857*O857,0))</f>
        <v/>
      </c>
      <c r="R857" s="26" t="str">
        <f aca="false">IF(A857="","",IF(COUNTIF(_TradeIds,A857)=0,"违规：交易编号不存在",IF(OR(B857="",B857&lt;1,B857&gt;5,B857&lt;&gt;INT(B857)),"违规：加仓序号须为1到5的整数",IF(COUNTIFS($A$2:$A$1001,A857,$B$2:$B$1001,B857)&gt;1,"违规：同一交易的加仓序号重复",IF(OR(D857="",E857="",F857=""),"计划不完整：请填写加仓价、新止损价和风险预算",IF(OR(D857&lt;=0,E857&lt;=0,F857&lt;=0,D857&lt;=E857),"违规：加仓价必须高于新止损价，金额须大于0",IF(AND(B857&gt;1,COUNTIFS($A$2:$A$1001,A857,$B$2:$B$1001,B857-1,$G$2:$G$1001,"&gt;0")=0),"违规：须先完成上一次加仓",IF(AND(B857&gt;1,E857&lt;SUMIFS($E$2:$E$1001,$A$2:$A$1001,A857,$B$2:$B$1001,B857-1)),"违规：新止损价不得低于上一次",IF(AND(B857&gt;1,F857&gt;SUMIFS($F$2:$F$1001,$A$2:$A$1001,A857,$B$2:$B$1001,B857-1)),"违规：风险预算须逐次不增加",IF(OR(_LockStatus="已锁仓",_LockStatus="解锁信息不完整"),"违规：锁仓期间禁止加仓",IF(G857="","计划可执行：建议股数见N列",IF(OR(G857&lt;=0,G857&lt;&gt;INT(G857),MOD(G857,100)&lt;&gt;0),"违规：实际股数须为100股整数倍",IF(G857&gt;N857,"违规：实际股数超过风险或金字塔上限",IF(AND(B857&gt;1,G857&gt;SUMIFS($G$2:$G$1001,$A$2:$A$1001,A857,$B$2:$B$1001,B857-1)),"违规：加仓股数须逐次不增加",IF(Q857&gt;F857,"违规：止损风险超过本次预算","通过")))))))))))))))</f>
        <v/>
      </c>
    </row>
    <row r="858" customFormat="false" ht="15" hidden="false" customHeight="false" outlineLevel="0" collapsed="false">
      <c r="A858" s="20"/>
      <c r="B858" s="21"/>
      <c r="C858" s="22"/>
      <c r="D858" s="23"/>
      <c r="E858" s="23"/>
      <c r="F858" s="23"/>
      <c r="G858" s="21"/>
      <c r="H858" s="24" t="str">
        <f aca="false">IF(OR(A858="",D858="",G858=""),"",D858*G858)</f>
        <v/>
      </c>
      <c r="I858" s="25" t="str">
        <f aca="false">IF(OR(A858="",B858=""),"",IFERROR(LOOKUP(2,1/(单次交易!$A$2:$A$201=A858),单次交易!$H$2:$H$201),0)+SUMIFS($G$2:$G$1001,$A$2:$A$1001,A858,$B$2:$B$1001,"&lt;"&amp;B858))</f>
        <v/>
      </c>
      <c r="J858" s="24" t="str">
        <f aca="false">IF(OR(A858="",B858=""),"",IFERROR(LOOKUP(2,1/(单次交易!$A$2:$A$201=A858),单次交易!$E$2:$E$201)*LOOKUP(2,1/(单次交易!$A$2:$A$201=A858),单次交易!$H$2:$H$201),0)+SUMIFS($H$2:$H$1001,$A$2:$A$1001,A858,$B$2:$B$1001,"&lt;"&amp;B858))</f>
        <v/>
      </c>
      <c r="K858" s="24" t="str">
        <f aca="false">IF(OR(E858="",I858="",J858=""),"",MAX(E858*I858-J858,0))</f>
        <v/>
      </c>
      <c r="L858" s="25" t="str">
        <f aca="false">IF(OR(D858="",E858="",F858="",D858&lt;=E858),"",FLOOR((F858+K858)/(D858-E858),100))</f>
        <v/>
      </c>
      <c r="M858" s="25" t="str">
        <f aca="false">IF(OR(A858="",B858="",L858=""),"",IF(B858=1,L858,IFERROR(SUMIFS($G$2:$G$1001,$A$2:$A$1001,A858,$B$2:$B$1001,B858-1),0)))</f>
        <v/>
      </c>
      <c r="N858" s="25" t="str">
        <f aca="false">IF(OR(L858="",M858=""),"",MIN(L858,M858))</f>
        <v/>
      </c>
      <c r="O858" s="25" t="str">
        <f aca="false">IF(OR(I858="",G858=""),"",I858+G858)</f>
        <v/>
      </c>
      <c r="P858" s="24" t="str">
        <f aca="false">IF(OR(O858="",O858=0),"",(J858+H858)/O858)</f>
        <v/>
      </c>
      <c r="Q858" s="24" t="str">
        <f aca="false">IF(OR(O858="",E858=""),"",MAX(J858+H858-E858*O858,0))</f>
        <v/>
      </c>
      <c r="R858" s="26" t="str">
        <f aca="false">IF(A858="","",IF(COUNTIF(_TradeIds,A858)=0,"违规：交易编号不存在",IF(OR(B858="",B858&lt;1,B858&gt;5,B858&lt;&gt;INT(B858)),"违规：加仓序号须为1到5的整数",IF(COUNTIFS($A$2:$A$1001,A858,$B$2:$B$1001,B858)&gt;1,"违规：同一交易的加仓序号重复",IF(OR(D858="",E858="",F858=""),"计划不完整：请填写加仓价、新止损价和风险预算",IF(OR(D858&lt;=0,E858&lt;=0,F858&lt;=0,D858&lt;=E858),"违规：加仓价必须高于新止损价，金额须大于0",IF(AND(B858&gt;1,COUNTIFS($A$2:$A$1001,A858,$B$2:$B$1001,B858-1,$G$2:$G$1001,"&gt;0")=0),"违规：须先完成上一次加仓",IF(AND(B858&gt;1,E858&lt;SUMIFS($E$2:$E$1001,$A$2:$A$1001,A858,$B$2:$B$1001,B858-1)),"违规：新止损价不得低于上一次",IF(AND(B858&gt;1,F858&gt;SUMIFS($F$2:$F$1001,$A$2:$A$1001,A858,$B$2:$B$1001,B858-1)),"违规：风险预算须逐次不增加",IF(OR(_LockStatus="已锁仓",_LockStatus="解锁信息不完整"),"违规：锁仓期间禁止加仓",IF(G858="","计划可执行：建议股数见N列",IF(OR(G858&lt;=0,G858&lt;&gt;INT(G858),MOD(G858,100)&lt;&gt;0),"违规：实际股数须为100股整数倍",IF(G858&gt;N858,"违规：实际股数超过风险或金字塔上限",IF(AND(B858&gt;1,G858&gt;SUMIFS($G$2:$G$1001,$A$2:$A$1001,A858,$B$2:$B$1001,B858-1)),"违规：加仓股数须逐次不增加",IF(Q858&gt;F858,"违规：止损风险超过本次预算","通过")))))))))))))))</f>
        <v/>
      </c>
    </row>
    <row r="859" customFormat="false" ht="15" hidden="false" customHeight="false" outlineLevel="0" collapsed="false">
      <c r="A859" s="20"/>
      <c r="B859" s="21"/>
      <c r="C859" s="22"/>
      <c r="D859" s="23"/>
      <c r="E859" s="23"/>
      <c r="F859" s="23"/>
      <c r="G859" s="21"/>
      <c r="H859" s="24" t="str">
        <f aca="false">IF(OR(A859="",D859="",G859=""),"",D859*G859)</f>
        <v/>
      </c>
      <c r="I859" s="25" t="str">
        <f aca="false">IF(OR(A859="",B859=""),"",IFERROR(LOOKUP(2,1/(单次交易!$A$2:$A$201=A859),单次交易!$H$2:$H$201),0)+SUMIFS($G$2:$G$1001,$A$2:$A$1001,A859,$B$2:$B$1001,"&lt;"&amp;B859))</f>
        <v/>
      </c>
      <c r="J859" s="24" t="str">
        <f aca="false">IF(OR(A859="",B859=""),"",IFERROR(LOOKUP(2,1/(单次交易!$A$2:$A$201=A859),单次交易!$E$2:$E$201)*LOOKUP(2,1/(单次交易!$A$2:$A$201=A859),单次交易!$H$2:$H$201),0)+SUMIFS($H$2:$H$1001,$A$2:$A$1001,A859,$B$2:$B$1001,"&lt;"&amp;B859))</f>
        <v/>
      </c>
      <c r="K859" s="24" t="str">
        <f aca="false">IF(OR(E859="",I859="",J859=""),"",MAX(E859*I859-J859,0))</f>
        <v/>
      </c>
      <c r="L859" s="25" t="str">
        <f aca="false">IF(OR(D859="",E859="",F859="",D859&lt;=E859),"",FLOOR((F859+K859)/(D859-E859),100))</f>
        <v/>
      </c>
      <c r="M859" s="25" t="str">
        <f aca="false">IF(OR(A859="",B859="",L859=""),"",IF(B859=1,L859,IFERROR(SUMIFS($G$2:$G$1001,$A$2:$A$1001,A859,$B$2:$B$1001,B859-1),0)))</f>
        <v/>
      </c>
      <c r="N859" s="25" t="str">
        <f aca="false">IF(OR(L859="",M859=""),"",MIN(L859,M859))</f>
        <v/>
      </c>
      <c r="O859" s="25" t="str">
        <f aca="false">IF(OR(I859="",G859=""),"",I859+G859)</f>
        <v/>
      </c>
      <c r="P859" s="24" t="str">
        <f aca="false">IF(OR(O859="",O859=0),"",(J859+H859)/O859)</f>
        <v/>
      </c>
      <c r="Q859" s="24" t="str">
        <f aca="false">IF(OR(O859="",E859=""),"",MAX(J859+H859-E859*O859,0))</f>
        <v/>
      </c>
      <c r="R859" s="26" t="str">
        <f aca="false">IF(A859="","",IF(COUNTIF(_TradeIds,A859)=0,"违规：交易编号不存在",IF(OR(B859="",B859&lt;1,B859&gt;5,B859&lt;&gt;INT(B859)),"违规：加仓序号须为1到5的整数",IF(COUNTIFS($A$2:$A$1001,A859,$B$2:$B$1001,B859)&gt;1,"违规：同一交易的加仓序号重复",IF(OR(D859="",E859="",F859=""),"计划不完整：请填写加仓价、新止损价和风险预算",IF(OR(D859&lt;=0,E859&lt;=0,F859&lt;=0,D859&lt;=E859),"违规：加仓价必须高于新止损价，金额须大于0",IF(AND(B859&gt;1,COUNTIFS($A$2:$A$1001,A859,$B$2:$B$1001,B859-1,$G$2:$G$1001,"&gt;0")=0),"违规：须先完成上一次加仓",IF(AND(B859&gt;1,E859&lt;SUMIFS($E$2:$E$1001,$A$2:$A$1001,A859,$B$2:$B$1001,B859-1)),"违规：新止损价不得低于上一次",IF(AND(B859&gt;1,F859&gt;SUMIFS($F$2:$F$1001,$A$2:$A$1001,A859,$B$2:$B$1001,B859-1)),"违规：风险预算须逐次不增加",IF(OR(_LockStatus="已锁仓",_LockStatus="解锁信息不完整"),"违规：锁仓期间禁止加仓",IF(G859="","计划可执行：建议股数见N列",IF(OR(G859&lt;=0,G859&lt;&gt;INT(G859),MOD(G859,100)&lt;&gt;0),"违规：实际股数须为100股整数倍",IF(G859&gt;N859,"违规：实际股数超过风险或金字塔上限",IF(AND(B859&gt;1,G859&gt;SUMIFS($G$2:$G$1001,$A$2:$A$1001,A859,$B$2:$B$1001,B859-1)),"违规：加仓股数须逐次不增加",IF(Q859&gt;F859,"违规：止损风险超过本次预算","通过")))))))))))))))</f>
        <v/>
      </c>
    </row>
    <row r="860" customFormat="false" ht="15" hidden="false" customHeight="false" outlineLevel="0" collapsed="false">
      <c r="A860" s="20"/>
      <c r="B860" s="21"/>
      <c r="C860" s="22"/>
      <c r="D860" s="23"/>
      <c r="E860" s="23"/>
      <c r="F860" s="23"/>
      <c r="G860" s="21"/>
      <c r="H860" s="24" t="str">
        <f aca="false">IF(OR(A860="",D860="",G860=""),"",D860*G860)</f>
        <v/>
      </c>
      <c r="I860" s="25" t="str">
        <f aca="false">IF(OR(A860="",B860=""),"",IFERROR(LOOKUP(2,1/(单次交易!$A$2:$A$201=A860),单次交易!$H$2:$H$201),0)+SUMIFS($G$2:$G$1001,$A$2:$A$1001,A860,$B$2:$B$1001,"&lt;"&amp;B860))</f>
        <v/>
      </c>
      <c r="J860" s="24" t="str">
        <f aca="false">IF(OR(A860="",B860=""),"",IFERROR(LOOKUP(2,1/(单次交易!$A$2:$A$201=A860),单次交易!$E$2:$E$201)*LOOKUP(2,1/(单次交易!$A$2:$A$201=A860),单次交易!$H$2:$H$201),0)+SUMIFS($H$2:$H$1001,$A$2:$A$1001,A860,$B$2:$B$1001,"&lt;"&amp;B860))</f>
        <v/>
      </c>
      <c r="K860" s="24" t="str">
        <f aca="false">IF(OR(E860="",I860="",J860=""),"",MAX(E860*I860-J860,0))</f>
        <v/>
      </c>
      <c r="L860" s="25" t="str">
        <f aca="false">IF(OR(D860="",E860="",F860="",D860&lt;=E860),"",FLOOR((F860+K860)/(D860-E860),100))</f>
        <v/>
      </c>
      <c r="M860" s="25" t="str">
        <f aca="false">IF(OR(A860="",B860="",L860=""),"",IF(B860=1,L860,IFERROR(SUMIFS($G$2:$G$1001,$A$2:$A$1001,A860,$B$2:$B$1001,B860-1),0)))</f>
        <v/>
      </c>
      <c r="N860" s="25" t="str">
        <f aca="false">IF(OR(L860="",M860=""),"",MIN(L860,M860))</f>
        <v/>
      </c>
      <c r="O860" s="25" t="str">
        <f aca="false">IF(OR(I860="",G860=""),"",I860+G860)</f>
        <v/>
      </c>
      <c r="P860" s="24" t="str">
        <f aca="false">IF(OR(O860="",O860=0),"",(J860+H860)/O860)</f>
        <v/>
      </c>
      <c r="Q860" s="24" t="str">
        <f aca="false">IF(OR(O860="",E860=""),"",MAX(J860+H860-E860*O860,0))</f>
        <v/>
      </c>
      <c r="R860" s="26" t="str">
        <f aca="false">IF(A860="","",IF(COUNTIF(_TradeIds,A860)=0,"违规：交易编号不存在",IF(OR(B860="",B860&lt;1,B860&gt;5,B860&lt;&gt;INT(B860)),"违规：加仓序号须为1到5的整数",IF(COUNTIFS($A$2:$A$1001,A860,$B$2:$B$1001,B860)&gt;1,"违规：同一交易的加仓序号重复",IF(OR(D860="",E860="",F860=""),"计划不完整：请填写加仓价、新止损价和风险预算",IF(OR(D860&lt;=0,E860&lt;=0,F860&lt;=0,D860&lt;=E860),"违规：加仓价必须高于新止损价，金额须大于0",IF(AND(B860&gt;1,COUNTIFS($A$2:$A$1001,A860,$B$2:$B$1001,B860-1,$G$2:$G$1001,"&gt;0")=0),"违规：须先完成上一次加仓",IF(AND(B860&gt;1,E860&lt;SUMIFS($E$2:$E$1001,$A$2:$A$1001,A860,$B$2:$B$1001,B860-1)),"违规：新止损价不得低于上一次",IF(AND(B860&gt;1,F860&gt;SUMIFS($F$2:$F$1001,$A$2:$A$1001,A860,$B$2:$B$1001,B860-1)),"违规：风险预算须逐次不增加",IF(OR(_LockStatus="已锁仓",_LockStatus="解锁信息不完整"),"违规：锁仓期间禁止加仓",IF(G860="","计划可执行：建议股数见N列",IF(OR(G860&lt;=0,G860&lt;&gt;INT(G860),MOD(G860,100)&lt;&gt;0),"违规：实际股数须为100股整数倍",IF(G860&gt;N860,"违规：实际股数超过风险或金字塔上限",IF(AND(B860&gt;1,G860&gt;SUMIFS($G$2:$G$1001,$A$2:$A$1001,A860,$B$2:$B$1001,B860-1)),"违规：加仓股数须逐次不增加",IF(Q860&gt;F860,"违规：止损风险超过本次预算","通过")))))))))))))))</f>
        <v/>
      </c>
    </row>
    <row r="861" customFormat="false" ht="15" hidden="false" customHeight="false" outlineLevel="0" collapsed="false">
      <c r="A861" s="20"/>
      <c r="B861" s="21"/>
      <c r="C861" s="22"/>
      <c r="D861" s="23"/>
      <c r="E861" s="23"/>
      <c r="F861" s="23"/>
      <c r="G861" s="21"/>
      <c r="H861" s="24" t="str">
        <f aca="false">IF(OR(A861="",D861="",G861=""),"",D861*G861)</f>
        <v/>
      </c>
      <c r="I861" s="25" t="str">
        <f aca="false">IF(OR(A861="",B861=""),"",IFERROR(LOOKUP(2,1/(单次交易!$A$2:$A$201=A861),单次交易!$H$2:$H$201),0)+SUMIFS($G$2:$G$1001,$A$2:$A$1001,A861,$B$2:$B$1001,"&lt;"&amp;B861))</f>
        <v/>
      </c>
      <c r="J861" s="24" t="str">
        <f aca="false">IF(OR(A861="",B861=""),"",IFERROR(LOOKUP(2,1/(单次交易!$A$2:$A$201=A861),单次交易!$E$2:$E$201)*LOOKUP(2,1/(单次交易!$A$2:$A$201=A861),单次交易!$H$2:$H$201),0)+SUMIFS($H$2:$H$1001,$A$2:$A$1001,A861,$B$2:$B$1001,"&lt;"&amp;B861))</f>
        <v/>
      </c>
      <c r="K861" s="24" t="str">
        <f aca="false">IF(OR(E861="",I861="",J861=""),"",MAX(E861*I861-J861,0))</f>
        <v/>
      </c>
      <c r="L861" s="25" t="str">
        <f aca="false">IF(OR(D861="",E861="",F861="",D861&lt;=E861),"",FLOOR((F861+K861)/(D861-E861),100))</f>
        <v/>
      </c>
      <c r="M861" s="25" t="str">
        <f aca="false">IF(OR(A861="",B861="",L861=""),"",IF(B861=1,L861,IFERROR(SUMIFS($G$2:$G$1001,$A$2:$A$1001,A861,$B$2:$B$1001,B861-1),0)))</f>
        <v/>
      </c>
      <c r="N861" s="25" t="str">
        <f aca="false">IF(OR(L861="",M861=""),"",MIN(L861,M861))</f>
        <v/>
      </c>
      <c r="O861" s="25" t="str">
        <f aca="false">IF(OR(I861="",G861=""),"",I861+G861)</f>
        <v/>
      </c>
      <c r="P861" s="24" t="str">
        <f aca="false">IF(OR(O861="",O861=0),"",(J861+H861)/O861)</f>
        <v/>
      </c>
      <c r="Q861" s="24" t="str">
        <f aca="false">IF(OR(O861="",E861=""),"",MAX(J861+H861-E861*O861,0))</f>
        <v/>
      </c>
      <c r="R861" s="26" t="str">
        <f aca="false">IF(A861="","",IF(COUNTIF(_TradeIds,A861)=0,"违规：交易编号不存在",IF(OR(B861="",B861&lt;1,B861&gt;5,B861&lt;&gt;INT(B861)),"违规：加仓序号须为1到5的整数",IF(COUNTIFS($A$2:$A$1001,A861,$B$2:$B$1001,B861)&gt;1,"违规：同一交易的加仓序号重复",IF(OR(D861="",E861="",F861=""),"计划不完整：请填写加仓价、新止损价和风险预算",IF(OR(D861&lt;=0,E861&lt;=0,F861&lt;=0,D861&lt;=E861),"违规：加仓价必须高于新止损价，金额须大于0",IF(AND(B861&gt;1,COUNTIFS($A$2:$A$1001,A861,$B$2:$B$1001,B861-1,$G$2:$G$1001,"&gt;0")=0),"违规：须先完成上一次加仓",IF(AND(B861&gt;1,E861&lt;SUMIFS($E$2:$E$1001,$A$2:$A$1001,A861,$B$2:$B$1001,B861-1)),"违规：新止损价不得低于上一次",IF(AND(B861&gt;1,F861&gt;SUMIFS($F$2:$F$1001,$A$2:$A$1001,A861,$B$2:$B$1001,B861-1)),"违规：风险预算须逐次不增加",IF(OR(_LockStatus="已锁仓",_LockStatus="解锁信息不完整"),"违规：锁仓期间禁止加仓",IF(G861="","计划可执行：建议股数见N列",IF(OR(G861&lt;=0,G861&lt;&gt;INT(G861),MOD(G861,100)&lt;&gt;0),"违规：实际股数须为100股整数倍",IF(G861&gt;N861,"违规：实际股数超过风险或金字塔上限",IF(AND(B861&gt;1,G861&gt;SUMIFS($G$2:$G$1001,$A$2:$A$1001,A861,$B$2:$B$1001,B861-1)),"违规：加仓股数须逐次不增加",IF(Q861&gt;F861,"违规：止损风险超过本次预算","通过")))))))))))))))</f>
        <v/>
      </c>
    </row>
    <row r="862" customFormat="false" ht="15" hidden="false" customHeight="false" outlineLevel="0" collapsed="false">
      <c r="A862" s="20"/>
      <c r="B862" s="21"/>
      <c r="C862" s="22"/>
      <c r="D862" s="23"/>
      <c r="E862" s="23"/>
      <c r="F862" s="23"/>
      <c r="G862" s="21"/>
      <c r="H862" s="24" t="str">
        <f aca="false">IF(OR(A862="",D862="",G862=""),"",D862*G862)</f>
        <v/>
      </c>
      <c r="I862" s="25" t="str">
        <f aca="false">IF(OR(A862="",B862=""),"",IFERROR(LOOKUP(2,1/(单次交易!$A$2:$A$201=A862),单次交易!$H$2:$H$201),0)+SUMIFS($G$2:$G$1001,$A$2:$A$1001,A862,$B$2:$B$1001,"&lt;"&amp;B862))</f>
        <v/>
      </c>
      <c r="J862" s="24" t="str">
        <f aca="false">IF(OR(A862="",B862=""),"",IFERROR(LOOKUP(2,1/(单次交易!$A$2:$A$201=A862),单次交易!$E$2:$E$201)*LOOKUP(2,1/(单次交易!$A$2:$A$201=A862),单次交易!$H$2:$H$201),0)+SUMIFS($H$2:$H$1001,$A$2:$A$1001,A862,$B$2:$B$1001,"&lt;"&amp;B862))</f>
        <v/>
      </c>
      <c r="K862" s="24" t="str">
        <f aca="false">IF(OR(E862="",I862="",J862=""),"",MAX(E862*I862-J862,0))</f>
        <v/>
      </c>
      <c r="L862" s="25" t="str">
        <f aca="false">IF(OR(D862="",E862="",F862="",D862&lt;=E862),"",FLOOR((F862+K862)/(D862-E862),100))</f>
        <v/>
      </c>
      <c r="M862" s="25" t="str">
        <f aca="false">IF(OR(A862="",B862="",L862=""),"",IF(B862=1,L862,IFERROR(SUMIFS($G$2:$G$1001,$A$2:$A$1001,A862,$B$2:$B$1001,B862-1),0)))</f>
        <v/>
      </c>
      <c r="N862" s="25" t="str">
        <f aca="false">IF(OR(L862="",M862=""),"",MIN(L862,M862))</f>
        <v/>
      </c>
      <c r="O862" s="25" t="str">
        <f aca="false">IF(OR(I862="",G862=""),"",I862+G862)</f>
        <v/>
      </c>
      <c r="P862" s="24" t="str">
        <f aca="false">IF(OR(O862="",O862=0),"",(J862+H862)/O862)</f>
        <v/>
      </c>
      <c r="Q862" s="24" t="str">
        <f aca="false">IF(OR(O862="",E862=""),"",MAX(J862+H862-E862*O862,0))</f>
        <v/>
      </c>
      <c r="R862" s="26" t="str">
        <f aca="false">IF(A862="","",IF(COUNTIF(_TradeIds,A862)=0,"违规：交易编号不存在",IF(OR(B862="",B862&lt;1,B862&gt;5,B862&lt;&gt;INT(B862)),"违规：加仓序号须为1到5的整数",IF(COUNTIFS($A$2:$A$1001,A862,$B$2:$B$1001,B862)&gt;1,"违规：同一交易的加仓序号重复",IF(OR(D862="",E862="",F862=""),"计划不完整：请填写加仓价、新止损价和风险预算",IF(OR(D862&lt;=0,E862&lt;=0,F862&lt;=0,D862&lt;=E862),"违规：加仓价必须高于新止损价，金额须大于0",IF(AND(B862&gt;1,COUNTIFS($A$2:$A$1001,A862,$B$2:$B$1001,B862-1,$G$2:$G$1001,"&gt;0")=0),"违规：须先完成上一次加仓",IF(AND(B862&gt;1,E862&lt;SUMIFS($E$2:$E$1001,$A$2:$A$1001,A862,$B$2:$B$1001,B862-1)),"违规：新止损价不得低于上一次",IF(AND(B862&gt;1,F862&gt;SUMIFS($F$2:$F$1001,$A$2:$A$1001,A862,$B$2:$B$1001,B862-1)),"违规：风险预算须逐次不增加",IF(OR(_LockStatus="已锁仓",_LockStatus="解锁信息不完整"),"违规：锁仓期间禁止加仓",IF(G862="","计划可执行：建议股数见N列",IF(OR(G862&lt;=0,G862&lt;&gt;INT(G862),MOD(G862,100)&lt;&gt;0),"违规：实际股数须为100股整数倍",IF(G862&gt;N862,"违规：实际股数超过风险或金字塔上限",IF(AND(B862&gt;1,G862&gt;SUMIFS($G$2:$G$1001,$A$2:$A$1001,A862,$B$2:$B$1001,B862-1)),"违规：加仓股数须逐次不增加",IF(Q862&gt;F862,"违规：止损风险超过本次预算","通过")))))))))))))))</f>
        <v/>
      </c>
    </row>
    <row r="863" customFormat="false" ht="15" hidden="false" customHeight="false" outlineLevel="0" collapsed="false">
      <c r="A863" s="20"/>
      <c r="B863" s="21"/>
      <c r="C863" s="22"/>
      <c r="D863" s="23"/>
      <c r="E863" s="23"/>
      <c r="F863" s="23"/>
      <c r="G863" s="21"/>
      <c r="H863" s="24" t="str">
        <f aca="false">IF(OR(A863="",D863="",G863=""),"",D863*G863)</f>
        <v/>
      </c>
      <c r="I863" s="25" t="str">
        <f aca="false">IF(OR(A863="",B863=""),"",IFERROR(LOOKUP(2,1/(单次交易!$A$2:$A$201=A863),单次交易!$H$2:$H$201),0)+SUMIFS($G$2:$G$1001,$A$2:$A$1001,A863,$B$2:$B$1001,"&lt;"&amp;B863))</f>
        <v/>
      </c>
      <c r="J863" s="24" t="str">
        <f aca="false">IF(OR(A863="",B863=""),"",IFERROR(LOOKUP(2,1/(单次交易!$A$2:$A$201=A863),单次交易!$E$2:$E$201)*LOOKUP(2,1/(单次交易!$A$2:$A$201=A863),单次交易!$H$2:$H$201),0)+SUMIFS($H$2:$H$1001,$A$2:$A$1001,A863,$B$2:$B$1001,"&lt;"&amp;B863))</f>
        <v/>
      </c>
      <c r="K863" s="24" t="str">
        <f aca="false">IF(OR(E863="",I863="",J863=""),"",MAX(E863*I863-J863,0))</f>
        <v/>
      </c>
      <c r="L863" s="25" t="str">
        <f aca="false">IF(OR(D863="",E863="",F863="",D863&lt;=E863),"",FLOOR((F863+K863)/(D863-E863),100))</f>
        <v/>
      </c>
      <c r="M863" s="25" t="str">
        <f aca="false">IF(OR(A863="",B863="",L863=""),"",IF(B863=1,L863,IFERROR(SUMIFS($G$2:$G$1001,$A$2:$A$1001,A863,$B$2:$B$1001,B863-1),0)))</f>
        <v/>
      </c>
      <c r="N863" s="25" t="str">
        <f aca="false">IF(OR(L863="",M863=""),"",MIN(L863,M863))</f>
        <v/>
      </c>
      <c r="O863" s="25" t="str">
        <f aca="false">IF(OR(I863="",G863=""),"",I863+G863)</f>
        <v/>
      </c>
      <c r="P863" s="24" t="str">
        <f aca="false">IF(OR(O863="",O863=0),"",(J863+H863)/O863)</f>
        <v/>
      </c>
      <c r="Q863" s="24" t="str">
        <f aca="false">IF(OR(O863="",E863=""),"",MAX(J863+H863-E863*O863,0))</f>
        <v/>
      </c>
      <c r="R863" s="26" t="str">
        <f aca="false">IF(A863="","",IF(COUNTIF(_TradeIds,A863)=0,"违规：交易编号不存在",IF(OR(B863="",B863&lt;1,B863&gt;5,B863&lt;&gt;INT(B863)),"违规：加仓序号须为1到5的整数",IF(COUNTIFS($A$2:$A$1001,A863,$B$2:$B$1001,B863)&gt;1,"违规：同一交易的加仓序号重复",IF(OR(D863="",E863="",F863=""),"计划不完整：请填写加仓价、新止损价和风险预算",IF(OR(D863&lt;=0,E863&lt;=0,F863&lt;=0,D863&lt;=E863),"违规：加仓价必须高于新止损价，金额须大于0",IF(AND(B863&gt;1,COUNTIFS($A$2:$A$1001,A863,$B$2:$B$1001,B863-1,$G$2:$G$1001,"&gt;0")=0),"违规：须先完成上一次加仓",IF(AND(B863&gt;1,E863&lt;SUMIFS($E$2:$E$1001,$A$2:$A$1001,A863,$B$2:$B$1001,B863-1)),"违规：新止损价不得低于上一次",IF(AND(B863&gt;1,F863&gt;SUMIFS($F$2:$F$1001,$A$2:$A$1001,A863,$B$2:$B$1001,B863-1)),"违规：风险预算须逐次不增加",IF(OR(_LockStatus="已锁仓",_LockStatus="解锁信息不完整"),"违规：锁仓期间禁止加仓",IF(G863="","计划可执行：建议股数见N列",IF(OR(G863&lt;=0,G863&lt;&gt;INT(G863),MOD(G863,100)&lt;&gt;0),"违规：实际股数须为100股整数倍",IF(G863&gt;N863,"违规：实际股数超过风险或金字塔上限",IF(AND(B863&gt;1,G863&gt;SUMIFS($G$2:$G$1001,$A$2:$A$1001,A863,$B$2:$B$1001,B863-1)),"违规：加仓股数须逐次不增加",IF(Q863&gt;F863,"违规：止损风险超过本次预算","通过")))))))))))))))</f>
        <v/>
      </c>
    </row>
    <row r="864" customFormat="false" ht="15" hidden="false" customHeight="false" outlineLevel="0" collapsed="false">
      <c r="A864" s="20"/>
      <c r="B864" s="21"/>
      <c r="C864" s="22"/>
      <c r="D864" s="23"/>
      <c r="E864" s="23"/>
      <c r="F864" s="23"/>
      <c r="G864" s="21"/>
      <c r="H864" s="24" t="str">
        <f aca="false">IF(OR(A864="",D864="",G864=""),"",D864*G864)</f>
        <v/>
      </c>
      <c r="I864" s="25" t="str">
        <f aca="false">IF(OR(A864="",B864=""),"",IFERROR(LOOKUP(2,1/(单次交易!$A$2:$A$201=A864),单次交易!$H$2:$H$201),0)+SUMIFS($G$2:$G$1001,$A$2:$A$1001,A864,$B$2:$B$1001,"&lt;"&amp;B864))</f>
        <v/>
      </c>
      <c r="J864" s="24" t="str">
        <f aca="false">IF(OR(A864="",B864=""),"",IFERROR(LOOKUP(2,1/(单次交易!$A$2:$A$201=A864),单次交易!$E$2:$E$201)*LOOKUP(2,1/(单次交易!$A$2:$A$201=A864),单次交易!$H$2:$H$201),0)+SUMIFS($H$2:$H$1001,$A$2:$A$1001,A864,$B$2:$B$1001,"&lt;"&amp;B864))</f>
        <v/>
      </c>
      <c r="K864" s="24" t="str">
        <f aca="false">IF(OR(E864="",I864="",J864=""),"",MAX(E864*I864-J864,0))</f>
        <v/>
      </c>
      <c r="L864" s="25" t="str">
        <f aca="false">IF(OR(D864="",E864="",F864="",D864&lt;=E864),"",FLOOR((F864+K864)/(D864-E864),100))</f>
        <v/>
      </c>
      <c r="M864" s="25" t="str">
        <f aca="false">IF(OR(A864="",B864="",L864=""),"",IF(B864=1,L864,IFERROR(SUMIFS($G$2:$G$1001,$A$2:$A$1001,A864,$B$2:$B$1001,B864-1),0)))</f>
        <v/>
      </c>
      <c r="N864" s="25" t="str">
        <f aca="false">IF(OR(L864="",M864=""),"",MIN(L864,M864))</f>
        <v/>
      </c>
      <c r="O864" s="25" t="str">
        <f aca="false">IF(OR(I864="",G864=""),"",I864+G864)</f>
        <v/>
      </c>
      <c r="P864" s="24" t="str">
        <f aca="false">IF(OR(O864="",O864=0),"",(J864+H864)/O864)</f>
        <v/>
      </c>
      <c r="Q864" s="24" t="str">
        <f aca="false">IF(OR(O864="",E864=""),"",MAX(J864+H864-E864*O864,0))</f>
        <v/>
      </c>
      <c r="R864" s="26" t="str">
        <f aca="false">IF(A864="","",IF(COUNTIF(_TradeIds,A864)=0,"违规：交易编号不存在",IF(OR(B864="",B864&lt;1,B864&gt;5,B864&lt;&gt;INT(B864)),"违规：加仓序号须为1到5的整数",IF(COUNTIFS($A$2:$A$1001,A864,$B$2:$B$1001,B864)&gt;1,"违规：同一交易的加仓序号重复",IF(OR(D864="",E864="",F864=""),"计划不完整：请填写加仓价、新止损价和风险预算",IF(OR(D864&lt;=0,E864&lt;=0,F864&lt;=0,D864&lt;=E864),"违规：加仓价必须高于新止损价，金额须大于0",IF(AND(B864&gt;1,COUNTIFS($A$2:$A$1001,A864,$B$2:$B$1001,B864-1,$G$2:$G$1001,"&gt;0")=0),"违规：须先完成上一次加仓",IF(AND(B864&gt;1,E864&lt;SUMIFS($E$2:$E$1001,$A$2:$A$1001,A864,$B$2:$B$1001,B864-1)),"违规：新止损价不得低于上一次",IF(AND(B864&gt;1,F864&gt;SUMIFS($F$2:$F$1001,$A$2:$A$1001,A864,$B$2:$B$1001,B864-1)),"违规：风险预算须逐次不增加",IF(OR(_LockStatus="已锁仓",_LockStatus="解锁信息不完整"),"违规：锁仓期间禁止加仓",IF(G864="","计划可执行：建议股数见N列",IF(OR(G864&lt;=0,G864&lt;&gt;INT(G864),MOD(G864,100)&lt;&gt;0),"违规：实际股数须为100股整数倍",IF(G864&gt;N864,"违规：实际股数超过风险或金字塔上限",IF(AND(B864&gt;1,G864&gt;SUMIFS($G$2:$G$1001,$A$2:$A$1001,A864,$B$2:$B$1001,B864-1)),"违规：加仓股数须逐次不增加",IF(Q864&gt;F864,"违规：止损风险超过本次预算","通过")))))))))))))))</f>
        <v/>
      </c>
    </row>
    <row r="865" customFormat="false" ht="15" hidden="false" customHeight="false" outlineLevel="0" collapsed="false">
      <c r="A865" s="20"/>
      <c r="B865" s="21"/>
      <c r="C865" s="22"/>
      <c r="D865" s="23"/>
      <c r="E865" s="23"/>
      <c r="F865" s="23"/>
      <c r="G865" s="21"/>
      <c r="H865" s="24" t="str">
        <f aca="false">IF(OR(A865="",D865="",G865=""),"",D865*G865)</f>
        <v/>
      </c>
      <c r="I865" s="25" t="str">
        <f aca="false">IF(OR(A865="",B865=""),"",IFERROR(LOOKUP(2,1/(单次交易!$A$2:$A$201=A865),单次交易!$H$2:$H$201),0)+SUMIFS($G$2:$G$1001,$A$2:$A$1001,A865,$B$2:$B$1001,"&lt;"&amp;B865))</f>
        <v/>
      </c>
      <c r="J865" s="24" t="str">
        <f aca="false">IF(OR(A865="",B865=""),"",IFERROR(LOOKUP(2,1/(单次交易!$A$2:$A$201=A865),单次交易!$E$2:$E$201)*LOOKUP(2,1/(单次交易!$A$2:$A$201=A865),单次交易!$H$2:$H$201),0)+SUMIFS($H$2:$H$1001,$A$2:$A$1001,A865,$B$2:$B$1001,"&lt;"&amp;B865))</f>
        <v/>
      </c>
      <c r="K865" s="24" t="str">
        <f aca="false">IF(OR(E865="",I865="",J865=""),"",MAX(E865*I865-J865,0))</f>
        <v/>
      </c>
      <c r="L865" s="25" t="str">
        <f aca="false">IF(OR(D865="",E865="",F865="",D865&lt;=E865),"",FLOOR((F865+K865)/(D865-E865),100))</f>
        <v/>
      </c>
      <c r="M865" s="25" t="str">
        <f aca="false">IF(OR(A865="",B865="",L865=""),"",IF(B865=1,L865,IFERROR(SUMIFS($G$2:$G$1001,$A$2:$A$1001,A865,$B$2:$B$1001,B865-1),0)))</f>
        <v/>
      </c>
      <c r="N865" s="25" t="str">
        <f aca="false">IF(OR(L865="",M865=""),"",MIN(L865,M865))</f>
        <v/>
      </c>
      <c r="O865" s="25" t="str">
        <f aca="false">IF(OR(I865="",G865=""),"",I865+G865)</f>
        <v/>
      </c>
      <c r="P865" s="24" t="str">
        <f aca="false">IF(OR(O865="",O865=0),"",(J865+H865)/O865)</f>
        <v/>
      </c>
      <c r="Q865" s="24" t="str">
        <f aca="false">IF(OR(O865="",E865=""),"",MAX(J865+H865-E865*O865,0))</f>
        <v/>
      </c>
      <c r="R865" s="26" t="str">
        <f aca="false">IF(A865="","",IF(COUNTIF(_TradeIds,A865)=0,"违规：交易编号不存在",IF(OR(B865="",B865&lt;1,B865&gt;5,B865&lt;&gt;INT(B865)),"违规：加仓序号须为1到5的整数",IF(COUNTIFS($A$2:$A$1001,A865,$B$2:$B$1001,B865)&gt;1,"违规：同一交易的加仓序号重复",IF(OR(D865="",E865="",F865=""),"计划不完整：请填写加仓价、新止损价和风险预算",IF(OR(D865&lt;=0,E865&lt;=0,F865&lt;=0,D865&lt;=E865),"违规：加仓价必须高于新止损价，金额须大于0",IF(AND(B865&gt;1,COUNTIFS($A$2:$A$1001,A865,$B$2:$B$1001,B865-1,$G$2:$G$1001,"&gt;0")=0),"违规：须先完成上一次加仓",IF(AND(B865&gt;1,E865&lt;SUMIFS($E$2:$E$1001,$A$2:$A$1001,A865,$B$2:$B$1001,B865-1)),"违规：新止损价不得低于上一次",IF(AND(B865&gt;1,F865&gt;SUMIFS($F$2:$F$1001,$A$2:$A$1001,A865,$B$2:$B$1001,B865-1)),"违规：风险预算须逐次不增加",IF(OR(_LockStatus="已锁仓",_LockStatus="解锁信息不完整"),"违规：锁仓期间禁止加仓",IF(G865="","计划可执行：建议股数见N列",IF(OR(G865&lt;=0,G865&lt;&gt;INT(G865),MOD(G865,100)&lt;&gt;0),"违规：实际股数须为100股整数倍",IF(G865&gt;N865,"违规：实际股数超过风险或金字塔上限",IF(AND(B865&gt;1,G865&gt;SUMIFS($G$2:$G$1001,$A$2:$A$1001,A865,$B$2:$B$1001,B865-1)),"违规：加仓股数须逐次不增加",IF(Q865&gt;F865,"违规：止损风险超过本次预算","通过")))))))))))))))</f>
        <v/>
      </c>
    </row>
    <row r="866" customFormat="false" ht="15" hidden="false" customHeight="false" outlineLevel="0" collapsed="false">
      <c r="A866" s="20"/>
      <c r="B866" s="21"/>
      <c r="C866" s="22"/>
      <c r="D866" s="23"/>
      <c r="E866" s="23"/>
      <c r="F866" s="23"/>
      <c r="G866" s="21"/>
      <c r="H866" s="24" t="str">
        <f aca="false">IF(OR(A866="",D866="",G866=""),"",D866*G866)</f>
        <v/>
      </c>
      <c r="I866" s="25" t="str">
        <f aca="false">IF(OR(A866="",B866=""),"",IFERROR(LOOKUP(2,1/(单次交易!$A$2:$A$201=A866),单次交易!$H$2:$H$201),0)+SUMIFS($G$2:$G$1001,$A$2:$A$1001,A866,$B$2:$B$1001,"&lt;"&amp;B866))</f>
        <v/>
      </c>
      <c r="J866" s="24" t="str">
        <f aca="false">IF(OR(A866="",B866=""),"",IFERROR(LOOKUP(2,1/(单次交易!$A$2:$A$201=A866),单次交易!$E$2:$E$201)*LOOKUP(2,1/(单次交易!$A$2:$A$201=A866),单次交易!$H$2:$H$201),0)+SUMIFS($H$2:$H$1001,$A$2:$A$1001,A866,$B$2:$B$1001,"&lt;"&amp;B866))</f>
        <v/>
      </c>
      <c r="K866" s="24" t="str">
        <f aca="false">IF(OR(E866="",I866="",J866=""),"",MAX(E866*I866-J866,0))</f>
        <v/>
      </c>
      <c r="L866" s="25" t="str">
        <f aca="false">IF(OR(D866="",E866="",F866="",D866&lt;=E866),"",FLOOR((F866+K866)/(D866-E866),100))</f>
        <v/>
      </c>
      <c r="M866" s="25" t="str">
        <f aca="false">IF(OR(A866="",B866="",L866=""),"",IF(B866=1,L866,IFERROR(SUMIFS($G$2:$G$1001,$A$2:$A$1001,A866,$B$2:$B$1001,B866-1),0)))</f>
        <v/>
      </c>
      <c r="N866" s="25" t="str">
        <f aca="false">IF(OR(L866="",M866=""),"",MIN(L866,M866))</f>
        <v/>
      </c>
      <c r="O866" s="25" t="str">
        <f aca="false">IF(OR(I866="",G866=""),"",I866+G866)</f>
        <v/>
      </c>
      <c r="P866" s="24" t="str">
        <f aca="false">IF(OR(O866="",O866=0),"",(J866+H866)/O866)</f>
        <v/>
      </c>
      <c r="Q866" s="24" t="str">
        <f aca="false">IF(OR(O866="",E866=""),"",MAX(J866+H866-E866*O866,0))</f>
        <v/>
      </c>
      <c r="R866" s="26" t="str">
        <f aca="false">IF(A866="","",IF(COUNTIF(_TradeIds,A866)=0,"违规：交易编号不存在",IF(OR(B866="",B866&lt;1,B866&gt;5,B866&lt;&gt;INT(B866)),"违规：加仓序号须为1到5的整数",IF(COUNTIFS($A$2:$A$1001,A866,$B$2:$B$1001,B866)&gt;1,"违规：同一交易的加仓序号重复",IF(OR(D866="",E866="",F866=""),"计划不完整：请填写加仓价、新止损价和风险预算",IF(OR(D866&lt;=0,E866&lt;=0,F866&lt;=0,D866&lt;=E866),"违规：加仓价必须高于新止损价，金额须大于0",IF(AND(B866&gt;1,COUNTIFS($A$2:$A$1001,A866,$B$2:$B$1001,B866-1,$G$2:$G$1001,"&gt;0")=0),"违规：须先完成上一次加仓",IF(AND(B866&gt;1,E866&lt;SUMIFS($E$2:$E$1001,$A$2:$A$1001,A866,$B$2:$B$1001,B866-1)),"违规：新止损价不得低于上一次",IF(AND(B866&gt;1,F866&gt;SUMIFS($F$2:$F$1001,$A$2:$A$1001,A866,$B$2:$B$1001,B866-1)),"违规：风险预算须逐次不增加",IF(OR(_LockStatus="已锁仓",_LockStatus="解锁信息不完整"),"违规：锁仓期间禁止加仓",IF(G866="","计划可执行：建议股数见N列",IF(OR(G866&lt;=0,G866&lt;&gt;INT(G866),MOD(G866,100)&lt;&gt;0),"违规：实际股数须为100股整数倍",IF(G866&gt;N866,"违规：实际股数超过风险或金字塔上限",IF(AND(B866&gt;1,G866&gt;SUMIFS($G$2:$G$1001,$A$2:$A$1001,A866,$B$2:$B$1001,B866-1)),"违规：加仓股数须逐次不增加",IF(Q866&gt;F866,"违规：止损风险超过本次预算","通过")))))))))))))))</f>
        <v/>
      </c>
    </row>
    <row r="867" customFormat="false" ht="15" hidden="false" customHeight="false" outlineLevel="0" collapsed="false">
      <c r="A867" s="20"/>
      <c r="B867" s="21"/>
      <c r="C867" s="22"/>
      <c r="D867" s="23"/>
      <c r="E867" s="23"/>
      <c r="F867" s="23"/>
      <c r="G867" s="21"/>
      <c r="H867" s="24" t="str">
        <f aca="false">IF(OR(A867="",D867="",G867=""),"",D867*G867)</f>
        <v/>
      </c>
      <c r="I867" s="25" t="str">
        <f aca="false">IF(OR(A867="",B867=""),"",IFERROR(LOOKUP(2,1/(单次交易!$A$2:$A$201=A867),单次交易!$H$2:$H$201),0)+SUMIFS($G$2:$G$1001,$A$2:$A$1001,A867,$B$2:$B$1001,"&lt;"&amp;B867))</f>
        <v/>
      </c>
      <c r="J867" s="24" t="str">
        <f aca="false">IF(OR(A867="",B867=""),"",IFERROR(LOOKUP(2,1/(单次交易!$A$2:$A$201=A867),单次交易!$E$2:$E$201)*LOOKUP(2,1/(单次交易!$A$2:$A$201=A867),单次交易!$H$2:$H$201),0)+SUMIFS($H$2:$H$1001,$A$2:$A$1001,A867,$B$2:$B$1001,"&lt;"&amp;B867))</f>
        <v/>
      </c>
      <c r="K867" s="24" t="str">
        <f aca="false">IF(OR(E867="",I867="",J867=""),"",MAX(E867*I867-J867,0))</f>
        <v/>
      </c>
      <c r="L867" s="25" t="str">
        <f aca="false">IF(OR(D867="",E867="",F867="",D867&lt;=E867),"",FLOOR((F867+K867)/(D867-E867),100))</f>
        <v/>
      </c>
      <c r="M867" s="25" t="str">
        <f aca="false">IF(OR(A867="",B867="",L867=""),"",IF(B867=1,L867,IFERROR(SUMIFS($G$2:$G$1001,$A$2:$A$1001,A867,$B$2:$B$1001,B867-1),0)))</f>
        <v/>
      </c>
      <c r="N867" s="25" t="str">
        <f aca="false">IF(OR(L867="",M867=""),"",MIN(L867,M867))</f>
        <v/>
      </c>
      <c r="O867" s="25" t="str">
        <f aca="false">IF(OR(I867="",G867=""),"",I867+G867)</f>
        <v/>
      </c>
      <c r="P867" s="24" t="str">
        <f aca="false">IF(OR(O867="",O867=0),"",(J867+H867)/O867)</f>
        <v/>
      </c>
      <c r="Q867" s="24" t="str">
        <f aca="false">IF(OR(O867="",E867=""),"",MAX(J867+H867-E867*O867,0))</f>
        <v/>
      </c>
      <c r="R867" s="26" t="str">
        <f aca="false">IF(A867="","",IF(COUNTIF(_TradeIds,A867)=0,"违规：交易编号不存在",IF(OR(B867="",B867&lt;1,B867&gt;5,B867&lt;&gt;INT(B867)),"违规：加仓序号须为1到5的整数",IF(COUNTIFS($A$2:$A$1001,A867,$B$2:$B$1001,B867)&gt;1,"违规：同一交易的加仓序号重复",IF(OR(D867="",E867="",F867=""),"计划不完整：请填写加仓价、新止损价和风险预算",IF(OR(D867&lt;=0,E867&lt;=0,F867&lt;=0,D867&lt;=E867),"违规：加仓价必须高于新止损价，金额须大于0",IF(AND(B867&gt;1,COUNTIFS($A$2:$A$1001,A867,$B$2:$B$1001,B867-1,$G$2:$G$1001,"&gt;0")=0),"违规：须先完成上一次加仓",IF(AND(B867&gt;1,E867&lt;SUMIFS($E$2:$E$1001,$A$2:$A$1001,A867,$B$2:$B$1001,B867-1)),"违规：新止损价不得低于上一次",IF(AND(B867&gt;1,F867&gt;SUMIFS($F$2:$F$1001,$A$2:$A$1001,A867,$B$2:$B$1001,B867-1)),"违规：风险预算须逐次不增加",IF(OR(_LockStatus="已锁仓",_LockStatus="解锁信息不完整"),"违规：锁仓期间禁止加仓",IF(G867="","计划可执行：建议股数见N列",IF(OR(G867&lt;=0,G867&lt;&gt;INT(G867),MOD(G867,100)&lt;&gt;0),"违规：实际股数须为100股整数倍",IF(G867&gt;N867,"违规：实际股数超过风险或金字塔上限",IF(AND(B867&gt;1,G867&gt;SUMIFS($G$2:$G$1001,$A$2:$A$1001,A867,$B$2:$B$1001,B867-1)),"违规：加仓股数须逐次不增加",IF(Q867&gt;F867,"违规：止损风险超过本次预算","通过")))))))))))))))</f>
        <v/>
      </c>
    </row>
    <row r="868" customFormat="false" ht="15" hidden="false" customHeight="false" outlineLevel="0" collapsed="false">
      <c r="A868" s="20"/>
      <c r="B868" s="21"/>
      <c r="C868" s="22"/>
      <c r="D868" s="23"/>
      <c r="E868" s="23"/>
      <c r="F868" s="23"/>
      <c r="G868" s="21"/>
      <c r="H868" s="24" t="str">
        <f aca="false">IF(OR(A868="",D868="",G868=""),"",D868*G868)</f>
        <v/>
      </c>
      <c r="I868" s="25" t="str">
        <f aca="false">IF(OR(A868="",B868=""),"",IFERROR(LOOKUP(2,1/(单次交易!$A$2:$A$201=A868),单次交易!$H$2:$H$201),0)+SUMIFS($G$2:$G$1001,$A$2:$A$1001,A868,$B$2:$B$1001,"&lt;"&amp;B868))</f>
        <v/>
      </c>
      <c r="J868" s="24" t="str">
        <f aca="false">IF(OR(A868="",B868=""),"",IFERROR(LOOKUP(2,1/(单次交易!$A$2:$A$201=A868),单次交易!$E$2:$E$201)*LOOKUP(2,1/(单次交易!$A$2:$A$201=A868),单次交易!$H$2:$H$201),0)+SUMIFS($H$2:$H$1001,$A$2:$A$1001,A868,$B$2:$B$1001,"&lt;"&amp;B868))</f>
        <v/>
      </c>
      <c r="K868" s="24" t="str">
        <f aca="false">IF(OR(E868="",I868="",J868=""),"",MAX(E868*I868-J868,0))</f>
        <v/>
      </c>
      <c r="L868" s="25" t="str">
        <f aca="false">IF(OR(D868="",E868="",F868="",D868&lt;=E868),"",FLOOR((F868+K868)/(D868-E868),100))</f>
        <v/>
      </c>
      <c r="M868" s="25" t="str">
        <f aca="false">IF(OR(A868="",B868="",L868=""),"",IF(B868=1,L868,IFERROR(SUMIFS($G$2:$G$1001,$A$2:$A$1001,A868,$B$2:$B$1001,B868-1),0)))</f>
        <v/>
      </c>
      <c r="N868" s="25" t="str">
        <f aca="false">IF(OR(L868="",M868=""),"",MIN(L868,M868))</f>
        <v/>
      </c>
      <c r="O868" s="25" t="str">
        <f aca="false">IF(OR(I868="",G868=""),"",I868+G868)</f>
        <v/>
      </c>
      <c r="P868" s="24" t="str">
        <f aca="false">IF(OR(O868="",O868=0),"",(J868+H868)/O868)</f>
        <v/>
      </c>
      <c r="Q868" s="24" t="str">
        <f aca="false">IF(OR(O868="",E868=""),"",MAX(J868+H868-E868*O868,0))</f>
        <v/>
      </c>
      <c r="R868" s="26" t="str">
        <f aca="false">IF(A868="","",IF(COUNTIF(_TradeIds,A868)=0,"违规：交易编号不存在",IF(OR(B868="",B868&lt;1,B868&gt;5,B868&lt;&gt;INT(B868)),"违规：加仓序号须为1到5的整数",IF(COUNTIFS($A$2:$A$1001,A868,$B$2:$B$1001,B868)&gt;1,"违规：同一交易的加仓序号重复",IF(OR(D868="",E868="",F868=""),"计划不完整：请填写加仓价、新止损价和风险预算",IF(OR(D868&lt;=0,E868&lt;=0,F868&lt;=0,D868&lt;=E868),"违规：加仓价必须高于新止损价，金额须大于0",IF(AND(B868&gt;1,COUNTIFS($A$2:$A$1001,A868,$B$2:$B$1001,B868-1,$G$2:$G$1001,"&gt;0")=0),"违规：须先完成上一次加仓",IF(AND(B868&gt;1,E868&lt;SUMIFS($E$2:$E$1001,$A$2:$A$1001,A868,$B$2:$B$1001,B868-1)),"违规：新止损价不得低于上一次",IF(AND(B868&gt;1,F868&gt;SUMIFS($F$2:$F$1001,$A$2:$A$1001,A868,$B$2:$B$1001,B868-1)),"违规：风险预算须逐次不增加",IF(OR(_LockStatus="已锁仓",_LockStatus="解锁信息不完整"),"违规：锁仓期间禁止加仓",IF(G868="","计划可执行：建议股数见N列",IF(OR(G868&lt;=0,G868&lt;&gt;INT(G868),MOD(G868,100)&lt;&gt;0),"违规：实际股数须为100股整数倍",IF(G868&gt;N868,"违规：实际股数超过风险或金字塔上限",IF(AND(B868&gt;1,G868&gt;SUMIFS($G$2:$G$1001,$A$2:$A$1001,A868,$B$2:$B$1001,B868-1)),"违规：加仓股数须逐次不增加",IF(Q868&gt;F868,"违规：止损风险超过本次预算","通过")))))))))))))))</f>
        <v/>
      </c>
    </row>
    <row r="869" customFormat="false" ht="15" hidden="false" customHeight="false" outlineLevel="0" collapsed="false">
      <c r="A869" s="20"/>
      <c r="B869" s="21"/>
      <c r="C869" s="22"/>
      <c r="D869" s="23"/>
      <c r="E869" s="23"/>
      <c r="F869" s="23"/>
      <c r="G869" s="21"/>
      <c r="H869" s="24" t="str">
        <f aca="false">IF(OR(A869="",D869="",G869=""),"",D869*G869)</f>
        <v/>
      </c>
      <c r="I869" s="25" t="str">
        <f aca="false">IF(OR(A869="",B869=""),"",IFERROR(LOOKUP(2,1/(单次交易!$A$2:$A$201=A869),单次交易!$H$2:$H$201),0)+SUMIFS($G$2:$G$1001,$A$2:$A$1001,A869,$B$2:$B$1001,"&lt;"&amp;B869))</f>
        <v/>
      </c>
      <c r="J869" s="24" t="str">
        <f aca="false">IF(OR(A869="",B869=""),"",IFERROR(LOOKUP(2,1/(单次交易!$A$2:$A$201=A869),单次交易!$E$2:$E$201)*LOOKUP(2,1/(单次交易!$A$2:$A$201=A869),单次交易!$H$2:$H$201),0)+SUMIFS($H$2:$H$1001,$A$2:$A$1001,A869,$B$2:$B$1001,"&lt;"&amp;B869))</f>
        <v/>
      </c>
      <c r="K869" s="24" t="str">
        <f aca="false">IF(OR(E869="",I869="",J869=""),"",MAX(E869*I869-J869,0))</f>
        <v/>
      </c>
      <c r="L869" s="25" t="str">
        <f aca="false">IF(OR(D869="",E869="",F869="",D869&lt;=E869),"",FLOOR((F869+K869)/(D869-E869),100))</f>
        <v/>
      </c>
      <c r="M869" s="25" t="str">
        <f aca="false">IF(OR(A869="",B869="",L869=""),"",IF(B869=1,L869,IFERROR(SUMIFS($G$2:$G$1001,$A$2:$A$1001,A869,$B$2:$B$1001,B869-1),0)))</f>
        <v/>
      </c>
      <c r="N869" s="25" t="str">
        <f aca="false">IF(OR(L869="",M869=""),"",MIN(L869,M869))</f>
        <v/>
      </c>
      <c r="O869" s="25" t="str">
        <f aca="false">IF(OR(I869="",G869=""),"",I869+G869)</f>
        <v/>
      </c>
      <c r="P869" s="24" t="str">
        <f aca="false">IF(OR(O869="",O869=0),"",(J869+H869)/O869)</f>
        <v/>
      </c>
      <c r="Q869" s="24" t="str">
        <f aca="false">IF(OR(O869="",E869=""),"",MAX(J869+H869-E869*O869,0))</f>
        <v/>
      </c>
      <c r="R869" s="26" t="str">
        <f aca="false">IF(A869="","",IF(COUNTIF(_TradeIds,A869)=0,"违规：交易编号不存在",IF(OR(B869="",B869&lt;1,B869&gt;5,B869&lt;&gt;INT(B869)),"违规：加仓序号须为1到5的整数",IF(COUNTIFS($A$2:$A$1001,A869,$B$2:$B$1001,B869)&gt;1,"违规：同一交易的加仓序号重复",IF(OR(D869="",E869="",F869=""),"计划不完整：请填写加仓价、新止损价和风险预算",IF(OR(D869&lt;=0,E869&lt;=0,F869&lt;=0,D869&lt;=E869),"违规：加仓价必须高于新止损价，金额须大于0",IF(AND(B869&gt;1,COUNTIFS($A$2:$A$1001,A869,$B$2:$B$1001,B869-1,$G$2:$G$1001,"&gt;0")=0),"违规：须先完成上一次加仓",IF(AND(B869&gt;1,E869&lt;SUMIFS($E$2:$E$1001,$A$2:$A$1001,A869,$B$2:$B$1001,B869-1)),"违规：新止损价不得低于上一次",IF(AND(B869&gt;1,F869&gt;SUMIFS($F$2:$F$1001,$A$2:$A$1001,A869,$B$2:$B$1001,B869-1)),"违规：风险预算须逐次不增加",IF(OR(_LockStatus="已锁仓",_LockStatus="解锁信息不完整"),"违规：锁仓期间禁止加仓",IF(G869="","计划可执行：建议股数见N列",IF(OR(G869&lt;=0,G869&lt;&gt;INT(G869),MOD(G869,100)&lt;&gt;0),"违规：实际股数须为100股整数倍",IF(G869&gt;N869,"违规：实际股数超过风险或金字塔上限",IF(AND(B869&gt;1,G869&gt;SUMIFS($G$2:$G$1001,$A$2:$A$1001,A869,$B$2:$B$1001,B869-1)),"违规：加仓股数须逐次不增加",IF(Q869&gt;F869,"违规：止损风险超过本次预算","通过")))))))))))))))</f>
        <v/>
      </c>
    </row>
    <row r="870" customFormat="false" ht="15" hidden="false" customHeight="false" outlineLevel="0" collapsed="false">
      <c r="A870" s="20"/>
      <c r="B870" s="21"/>
      <c r="C870" s="22"/>
      <c r="D870" s="23"/>
      <c r="E870" s="23"/>
      <c r="F870" s="23"/>
      <c r="G870" s="21"/>
      <c r="H870" s="24" t="str">
        <f aca="false">IF(OR(A870="",D870="",G870=""),"",D870*G870)</f>
        <v/>
      </c>
      <c r="I870" s="25" t="str">
        <f aca="false">IF(OR(A870="",B870=""),"",IFERROR(LOOKUP(2,1/(单次交易!$A$2:$A$201=A870),单次交易!$H$2:$H$201),0)+SUMIFS($G$2:$G$1001,$A$2:$A$1001,A870,$B$2:$B$1001,"&lt;"&amp;B870))</f>
        <v/>
      </c>
      <c r="J870" s="24" t="str">
        <f aca="false">IF(OR(A870="",B870=""),"",IFERROR(LOOKUP(2,1/(单次交易!$A$2:$A$201=A870),单次交易!$E$2:$E$201)*LOOKUP(2,1/(单次交易!$A$2:$A$201=A870),单次交易!$H$2:$H$201),0)+SUMIFS($H$2:$H$1001,$A$2:$A$1001,A870,$B$2:$B$1001,"&lt;"&amp;B870))</f>
        <v/>
      </c>
      <c r="K870" s="24" t="str">
        <f aca="false">IF(OR(E870="",I870="",J870=""),"",MAX(E870*I870-J870,0))</f>
        <v/>
      </c>
      <c r="L870" s="25" t="str">
        <f aca="false">IF(OR(D870="",E870="",F870="",D870&lt;=E870),"",FLOOR((F870+K870)/(D870-E870),100))</f>
        <v/>
      </c>
      <c r="M870" s="25" t="str">
        <f aca="false">IF(OR(A870="",B870="",L870=""),"",IF(B870=1,L870,IFERROR(SUMIFS($G$2:$G$1001,$A$2:$A$1001,A870,$B$2:$B$1001,B870-1),0)))</f>
        <v/>
      </c>
      <c r="N870" s="25" t="str">
        <f aca="false">IF(OR(L870="",M870=""),"",MIN(L870,M870))</f>
        <v/>
      </c>
      <c r="O870" s="25" t="str">
        <f aca="false">IF(OR(I870="",G870=""),"",I870+G870)</f>
        <v/>
      </c>
      <c r="P870" s="24" t="str">
        <f aca="false">IF(OR(O870="",O870=0),"",(J870+H870)/O870)</f>
        <v/>
      </c>
      <c r="Q870" s="24" t="str">
        <f aca="false">IF(OR(O870="",E870=""),"",MAX(J870+H870-E870*O870,0))</f>
        <v/>
      </c>
      <c r="R870" s="26" t="str">
        <f aca="false">IF(A870="","",IF(COUNTIF(_TradeIds,A870)=0,"违规：交易编号不存在",IF(OR(B870="",B870&lt;1,B870&gt;5,B870&lt;&gt;INT(B870)),"违规：加仓序号须为1到5的整数",IF(COUNTIFS($A$2:$A$1001,A870,$B$2:$B$1001,B870)&gt;1,"违规：同一交易的加仓序号重复",IF(OR(D870="",E870="",F870=""),"计划不完整：请填写加仓价、新止损价和风险预算",IF(OR(D870&lt;=0,E870&lt;=0,F870&lt;=0,D870&lt;=E870),"违规：加仓价必须高于新止损价，金额须大于0",IF(AND(B870&gt;1,COUNTIFS($A$2:$A$1001,A870,$B$2:$B$1001,B870-1,$G$2:$G$1001,"&gt;0")=0),"违规：须先完成上一次加仓",IF(AND(B870&gt;1,E870&lt;SUMIFS($E$2:$E$1001,$A$2:$A$1001,A870,$B$2:$B$1001,B870-1)),"违规：新止损价不得低于上一次",IF(AND(B870&gt;1,F870&gt;SUMIFS($F$2:$F$1001,$A$2:$A$1001,A870,$B$2:$B$1001,B870-1)),"违规：风险预算须逐次不增加",IF(OR(_LockStatus="已锁仓",_LockStatus="解锁信息不完整"),"违规：锁仓期间禁止加仓",IF(G870="","计划可执行：建议股数见N列",IF(OR(G870&lt;=0,G870&lt;&gt;INT(G870),MOD(G870,100)&lt;&gt;0),"违规：实际股数须为100股整数倍",IF(G870&gt;N870,"违规：实际股数超过风险或金字塔上限",IF(AND(B870&gt;1,G870&gt;SUMIFS($G$2:$G$1001,$A$2:$A$1001,A870,$B$2:$B$1001,B870-1)),"违规：加仓股数须逐次不增加",IF(Q870&gt;F870,"违规：止损风险超过本次预算","通过")))))))))))))))</f>
        <v/>
      </c>
    </row>
    <row r="871" customFormat="false" ht="15" hidden="false" customHeight="false" outlineLevel="0" collapsed="false">
      <c r="A871" s="20"/>
      <c r="B871" s="21"/>
      <c r="C871" s="22"/>
      <c r="D871" s="23"/>
      <c r="E871" s="23"/>
      <c r="F871" s="23"/>
      <c r="G871" s="21"/>
      <c r="H871" s="24" t="str">
        <f aca="false">IF(OR(A871="",D871="",G871=""),"",D871*G871)</f>
        <v/>
      </c>
      <c r="I871" s="25" t="str">
        <f aca="false">IF(OR(A871="",B871=""),"",IFERROR(LOOKUP(2,1/(单次交易!$A$2:$A$201=A871),单次交易!$H$2:$H$201),0)+SUMIFS($G$2:$G$1001,$A$2:$A$1001,A871,$B$2:$B$1001,"&lt;"&amp;B871))</f>
        <v/>
      </c>
      <c r="J871" s="24" t="str">
        <f aca="false">IF(OR(A871="",B871=""),"",IFERROR(LOOKUP(2,1/(单次交易!$A$2:$A$201=A871),单次交易!$E$2:$E$201)*LOOKUP(2,1/(单次交易!$A$2:$A$201=A871),单次交易!$H$2:$H$201),0)+SUMIFS($H$2:$H$1001,$A$2:$A$1001,A871,$B$2:$B$1001,"&lt;"&amp;B871))</f>
        <v/>
      </c>
      <c r="K871" s="24" t="str">
        <f aca="false">IF(OR(E871="",I871="",J871=""),"",MAX(E871*I871-J871,0))</f>
        <v/>
      </c>
      <c r="L871" s="25" t="str">
        <f aca="false">IF(OR(D871="",E871="",F871="",D871&lt;=E871),"",FLOOR((F871+K871)/(D871-E871),100))</f>
        <v/>
      </c>
      <c r="M871" s="25" t="str">
        <f aca="false">IF(OR(A871="",B871="",L871=""),"",IF(B871=1,L871,IFERROR(SUMIFS($G$2:$G$1001,$A$2:$A$1001,A871,$B$2:$B$1001,B871-1),0)))</f>
        <v/>
      </c>
      <c r="N871" s="25" t="str">
        <f aca="false">IF(OR(L871="",M871=""),"",MIN(L871,M871))</f>
        <v/>
      </c>
      <c r="O871" s="25" t="str">
        <f aca="false">IF(OR(I871="",G871=""),"",I871+G871)</f>
        <v/>
      </c>
      <c r="P871" s="24" t="str">
        <f aca="false">IF(OR(O871="",O871=0),"",(J871+H871)/O871)</f>
        <v/>
      </c>
      <c r="Q871" s="24" t="str">
        <f aca="false">IF(OR(O871="",E871=""),"",MAX(J871+H871-E871*O871,0))</f>
        <v/>
      </c>
      <c r="R871" s="26" t="str">
        <f aca="false">IF(A871="","",IF(COUNTIF(_TradeIds,A871)=0,"违规：交易编号不存在",IF(OR(B871="",B871&lt;1,B871&gt;5,B871&lt;&gt;INT(B871)),"违规：加仓序号须为1到5的整数",IF(COUNTIFS($A$2:$A$1001,A871,$B$2:$B$1001,B871)&gt;1,"违规：同一交易的加仓序号重复",IF(OR(D871="",E871="",F871=""),"计划不完整：请填写加仓价、新止损价和风险预算",IF(OR(D871&lt;=0,E871&lt;=0,F871&lt;=0,D871&lt;=E871),"违规：加仓价必须高于新止损价，金额须大于0",IF(AND(B871&gt;1,COUNTIFS($A$2:$A$1001,A871,$B$2:$B$1001,B871-1,$G$2:$G$1001,"&gt;0")=0),"违规：须先完成上一次加仓",IF(AND(B871&gt;1,E871&lt;SUMIFS($E$2:$E$1001,$A$2:$A$1001,A871,$B$2:$B$1001,B871-1)),"违规：新止损价不得低于上一次",IF(AND(B871&gt;1,F871&gt;SUMIFS($F$2:$F$1001,$A$2:$A$1001,A871,$B$2:$B$1001,B871-1)),"违规：风险预算须逐次不增加",IF(OR(_LockStatus="已锁仓",_LockStatus="解锁信息不完整"),"违规：锁仓期间禁止加仓",IF(G871="","计划可执行：建议股数见N列",IF(OR(G871&lt;=0,G871&lt;&gt;INT(G871),MOD(G871,100)&lt;&gt;0),"违规：实际股数须为100股整数倍",IF(G871&gt;N871,"违规：实际股数超过风险或金字塔上限",IF(AND(B871&gt;1,G871&gt;SUMIFS($G$2:$G$1001,$A$2:$A$1001,A871,$B$2:$B$1001,B871-1)),"违规：加仓股数须逐次不增加",IF(Q871&gt;F871,"违规：止损风险超过本次预算","通过")))))))))))))))</f>
        <v/>
      </c>
    </row>
    <row r="872" customFormat="false" ht="15" hidden="false" customHeight="false" outlineLevel="0" collapsed="false">
      <c r="A872" s="20"/>
      <c r="B872" s="21"/>
      <c r="C872" s="22"/>
      <c r="D872" s="23"/>
      <c r="E872" s="23"/>
      <c r="F872" s="23"/>
      <c r="G872" s="21"/>
      <c r="H872" s="24" t="str">
        <f aca="false">IF(OR(A872="",D872="",G872=""),"",D872*G872)</f>
        <v/>
      </c>
      <c r="I872" s="25" t="str">
        <f aca="false">IF(OR(A872="",B872=""),"",IFERROR(LOOKUP(2,1/(单次交易!$A$2:$A$201=A872),单次交易!$H$2:$H$201),0)+SUMIFS($G$2:$G$1001,$A$2:$A$1001,A872,$B$2:$B$1001,"&lt;"&amp;B872))</f>
        <v/>
      </c>
      <c r="J872" s="24" t="str">
        <f aca="false">IF(OR(A872="",B872=""),"",IFERROR(LOOKUP(2,1/(单次交易!$A$2:$A$201=A872),单次交易!$E$2:$E$201)*LOOKUP(2,1/(单次交易!$A$2:$A$201=A872),单次交易!$H$2:$H$201),0)+SUMIFS($H$2:$H$1001,$A$2:$A$1001,A872,$B$2:$B$1001,"&lt;"&amp;B872))</f>
        <v/>
      </c>
      <c r="K872" s="24" t="str">
        <f aca="false">IF(OR(E872="",I872="",J872=""),"",MAX(E872*I872-J872,0))</f>
        <v/>
      </c>
      <c r="L872" s="25" t="str">
        <f aca="false">IF(OR(D872="",E872="",F872="",D872&lt;=E872),"",FLOOR((F872+K872)/(D872-E872),100))</f>
        <v/>
      </c>
      <c r="M872" s="25" t="str">
        <f aca="false">IF(OR(A872="",B872="",L872=""),"",IF(B872=1,L872,IFERROR(SUMIFS($G$2:$G$1001,$A$2:$A$1001,A872,$B$2:$B$1001,B872-1),0)))</f>
        <v/>
      </c>
      <c r="N872" s="25" t="str">
        <f aca="false">IF(OR(L872="",M872=""),"",MIN(L872,M872))</f>
        <v/>
      </c>
      <c r="O872" s="25" t="str">
        <f aca="false">IF(OR(I872="",G872=""),"",I872+G872)</f>
        <v/>
      </c>
      <c r="P872" s="24" t="str">
        <f aca="false">IF(OR(O872="",O872=0),"",(J872+H872)/O872)</f>
        <v/>
      </c>
      <c r="Q872" s="24" t="str">
        <f aca="false">IF(OR(O872="",E872=""),"",MAX(J872+H872-E872*O872,0))</f>
        <v/>
      </c>
      <c r="R872" s="26" t="str">
        <f aca="false">IF(A872="","",IF(COUNTIF(_TradeIds,A872)=0,"违规：交易编号不存在",IF(OR(B872="",B872&lt;1,B872&gt;5,B872&lt;&gt;INT(B872)),"违规：加仓序号须为1到5的整数",IF(COUNTIFS($A$2:$A$1001,A872,$B$2:$B$1001,B872)&gt;1,"违规：同一交易的加仓序号重复",IF(OR(D872="",E872="",F872=""),"计划不完整：请填写加仓价、新止损价和风险预算",IF(OR(D872&lt;=0,E872&lt;=0,F872&lt;=0,D872&lt;=E872),"违规：加仓价必须高于新止损价，金额须大于0",IF(AND(B872&gt;1,COUNTIFS($A$2:$A$1001,A872,$B$2:$B$1001,B872-1,$G$2:$G$1001,"&gt;0")=0),"违规：须先完成上一次加仓",IF(AND(B872&gt;1,E872&lt;SUMIFS($E$2:$E$1001,$A$2:$A$1001,A872,$B$2:$B$1001,B872-1)),"违规：新止损价不得低于上一次",IF(AND(B872&gt;1,F872&gt;SUMIFS($F$2:$F$1001,$A$2:$A$1001,A872,$B$2:$B$1001,B872-1)),"违规：风险预算须逐次不增加",IF(OR(_LockStatus="已锁仓",_LockStatus="解锁信息不完整"),"违规：锁仓期间禁止加仓",IF(G872="","计划可执行：建议股数见N列",IF(OR(G872&lt;=0,G872&lt;&gt;INT(G872),MOD(G872,100)&lt;&gt;0),"违规：实际股数须为100股整数倍",IF(G872&gt;N872,"违规：实际股数超过风险或金字塔上限",IF(AND(B872&gt;1,G872&gt;SUMIFS($G$2:$G$1001,$A$2:$A$1001,A872,$B$2:$B$1001,B872-1)),"违规：加仓股数须逐次不增加",IF(Q872&gt;F872,"违规：止损风险超过本次预算","通过")))))))))))))))</f>
        <v/>
      </c>
    </row>
    <row r="873" customFormat="false" ht="15" hidden="false" customHeight="false" outlineLevel="0" collapsed="false">
      <c r="A873" s="20"/>
      <c r="B873" s="21"/>
      <c r="C873" s="22"/>
      <c r="D873" s="23"/>
      <c r="E873" s="23"/>
      <c r="F873" s="23"/>
      <c r="G873" s="21"/>
      <c r="H873" s="24" t="str">
        <f aca="false">IF(OR(A873="",D873="",G873=""),"",D873*G873)</f>
        <v/>
      </c>
      <c r="I873" s="25" t="str">
        <f aca="false">IF(OR(A873="",B873=""),"",IFERROR(LOOKUP(2,1/(单次交易!$A$2:$A$201=A873),单次交易!$H$2:$H$201),0)+SUMIFS($G$2:$G$1001,$A$2:$A$1001,A873,$B$2:$B$1001,"&lt;"&amp;B873))</f>
        <v/>
      </c>
      <c r="J873" s="24" t="str">
        <f aca="false">IF(OR(A873="",B873=""),"",IFERROR(LOOKUP(2,1/(单次交易!$A$2:$A$201=A873),单次交易!$E$2:$E$201)*LOOKUP(2,1/(单次交易!$A$2:$A$201=A873),单次交易!$H$2:$H$201),0)+SUMIFS($H$2:$H$1001,$A$2:$A$1001,A873,$B$2:$B$1001,"&lt;"&amp;B873))</f>
        <v/>
      </c>
      <c r="K873" s="24" t="str">
        <f aca="false">IF(OR(E873="",I873="",J873=""),"",MAX(E873*I873-J873,0))</f>
        <v/>
      </c>
      <c r="L873" s="25" t="str">
        <f aca="false">IF(OR(D873="",E873="",F873="",D873&lt;=E873),"",FLOOR((F873+K873)/(D873-E873),100))</f>
        <v/>
      </c>
      <c r="M873" s="25" t="str">
        <f aca="false">IF(OR(A873="",B873="",L873=""),"",IF(B873=1,L873,IFERROR(SUMIFS($G$2:$G$1001,$A$2:$A$1001,A873,$B$2:$B$1001,B873-1),0)))</f>
        <v/>
      </c>
      <c r="N873" s="25" t="str">
        <f aca="false">IF(OR(L873="",M873=""),"",MIN(L873,M873))</f>
        <v/>
      </c>
      <c r="O873" s="25" t="str">
        <f aca="false">IF(OR(I873="",G873=""),"",I873+G873)</f>
        <v/>
      </c>
      <c r="P873" s="24" t="str">
        <f aca="false">IF(OR(O873="",O873=0),"",(J873+H873)/O873)</f>
        <v/>
      </c>
      <c r="Q873" s="24" t="str">
        <f aca="false">IF(OR(O873="",E873=""),"",MAX(J873+H873-E873*O873,0))</f>
        <v/>
      </c>
      <c r="R873" s="26" t="str">
        <f aca="false">IF(A873="","",IF(COUNTIF(_TradeIds,A873)=0,"违规：交易编号不存在",IF(OR(B873="",B873&lt;1,B873&gt;5,B873&lt;&gt;INT(B873)),"违规：加仓序号须为1到5的整数",IF(COUNTIFS($A$2:$A$1001,A873,$B$2:$B$1001,B873)&gt;1,"违规：同一交易的加仓序号重复",IF(OR(D873="",E873="",F873=""),"计划不完整：请填写加仓价、新止损价和风险预算",IF(OR(D873&lt;=0,E873&lt;=0,F873&lt;=0,D873&lt;=E873),"违规：加仓价必须高于新止损价，金额须大于0",IF(AND(B873&gt;1,COUNTIFS($A$2:$A$1001,A873,$B$2:$B$1001,B873-1,$G$2:$G$1001,"&gt;0")=0),"违规：须先完成上一次加仓",IF(AND(B873&gt;1,E873&lt;SUMIFS($E$2:$E$1001,$A$2:$A$1001,A873,$B$2:$B$1001,B873-1)),"违规：新止损价不得低于上一次",IF(AND(B873&gt;1,F873&gt;SUMIFS($F$2:$F$1001,$A$2:$A$1001,A873,$B$2:$B$1001,B873-1)),"违规：风险预算须逐次不增加",IF(OR(_LockStatus="已锁仓",_LockStatus="解锁信息不完整"),"违规：锁仓期间禁止加仓",IF(G873="","计划可执行：建议股数见N列",IF(OR(G873&lt;=0,G873&lt;&gt;INT(G873),MOD(G873,100)&lt;&gt;0),"违规：实际股数须为100股整数倍",IF(G873&gt;N873,"违规：实际股数超过风险或金字塔上限",IF(AND(B873&gt;1,G873&gt;SUMIFS($G$2:$G$1001,$A$2:$A$1001,A873,$B$2:$B$1001,B873-1)),"违规：加仓股数须逐次不增加",IF(Q873&gt;F873,"违规：止损风险超过本次预算","通过")))))))))))))))</f>
        <v/>
      </c>
    </row>
    <row r="874" customFormat="false" ht="15" hidden="false" customHeight="false" outlineLevel="0" collapsed="false">
      <c r="A874" s="20"/>
      <c r="B874" s="21"/>
      <c r="C874" s="22"/>
      <c r="D874" s="23"/>
      <c r="E874" s="23"/>
      <c r="F874" s="23"/>
      <c r="G874" s="21"/>
      <c r="H874" s="24" t="str">
        <f aca="false">IF(OR(A874="",D874="",G874=""),"",D874*G874)</f>
        <v/>
      </c>
      <c r="I874" s="25" t="str">
        <f aca="false">IF(OR(A874="",B874=""),"",IFERROR(LOOKUP(2,1/(单次交易!$A$2:$A$201=A874),单次交易!$H$2:$H$201),0)+SUMIFS($G$2:$G$1001,$A$2:$A$1001,A874,$B$2:$B$1001,"&lt;"&amp;B874))</f>
        <v/>
      </c>
      <c r="J874" s="24" t="str">
        <f aca="false">IF(OR(A874="",B874=""),"",IFERROR(LOOKUP(2,1/(单次交易!$A$2:$A$201=A874),单次交易!$E$2:$E$201)*LOOKUP(2,1/(单次交易!$A$2:$A$201=A874),单次交易!$H$2:$H$201),0)+SUMIFS($H$2:$H$1001,$A$2:$A$1001,A874,$B$2:$B$1001,"&lt;"&amp;B874))</f>
        <v/>
      </c>
      <c r="K874" s="24" t="str">
        <f aca="false">IF(OR(E874="",I874="",J874=""),"",MAX(E874*I874-J874,0))</f>
        <v/>
      </c>
      <c r="L874" s="25" t="str">
        <f aca="false">IF(OR(D874="",E874="",F874="",D874&lt;=E874),"",FLOOR((F874+K874)/(D874-E874),100))</f>
        <v/>
      </c>
      <c r="M874" s="25" t="str">
        <f aca="false">IF(OR(A874="",B874="",L874=""),"",IF(B874=1,L874,IFERROR(SUMIFS($G$2:$G$1001,$A$2:$A$1001,A874,$B$2:$B$1001,B874-1),0)))</f>
        <v/>
      </c>
      <c r="N874" s="25" t="str">
        <f aca="false">IF(OR(L874="",M874=""),"",MIN(L874,M874))</f>
        <v/>
      </c>
      <c r="O874" s="25" t="str">
        <f aca="false">IF(OR(I874="",G874=""),"",I874+G874)</f>
        <v/>
      </c>
      <c r="P874" s="24" t="str">
        <f aca="false">IF(OR(O874="",O874=0),"",(J874+H874)/O874)</f>
        <v/>
      </c>
      <c r="Q874" s="24" t="str">
        <f aca="false">IF(OR(O874="",E874=""),"",MAX(J874+H874-E874*O874,0))</f>
        <v/>
      </c>
      <c r="R874" s="26" t="str">
        <f aca="false">IF(A874="","",IF(COUNTIF(_TradeIds,A874)=0,"违规：交易编号不存在",IF(OR(B874="",B874&lt;1,B874&gt;5,B874&lt;&gt;INT(B874)),"违规：加仓序号须为1到5的整数",IF(COUNTIFS($A$2:$A$1001,A874,$B$2:$B$1001,B874)&gt;1,"违规：同一交易的加仓序号重复",IF(OR(D874="",E874="",F874=""),"计划不完整：请填写加仓价、新止损价和风险预算",IF(OR(D874&lt;=0,E874&lt;=0,F874&lt;=0,D874&lt;=E874),"违规：加仓价必须高于新止损价，金额须大于0",IF(AND(B874&gt;1,COUNTIFS($A$2:$A$1001,A874,$B$2:$B$1001,B874-1,$G$2:$G$1001,"&gt;0")=0),"违规：须先完成上一次加仓",IF(AND(B874&gt;1,E874&lt;SUMIFS($E$2:$E$1001,$A$2:$A$1001,A874,$B$2:$B$1001,B874-1)),"违规：新止损价不得低于上一次",IF(AND(B874&gt;1,F874&gt;SUMIFS($F$2:$F$1001,$A$2:$A$1001,A874,$B$2:$B$1001,B874-1)),"违规：风险预算须逐次不增加",IF(OR(_LockStatus="已锁仓",_LockStatus="解锁信息不完整"),"违规：锁仓期间禁止加仓",IF(G874="","计划可执行：建议股数见N列",IF(OR(G874&lt;=0,G874&lt;&gt;INT(G874),MOD(G874,100)&lt;&gt;0),"违规：实际股数须为100股整数倍",IF(G874&gt;N874,"违规：实际股数超过风险或金字塔上限",IF(AND(B874&gt;1,G874&gt;SUMIFS($G$2:$G$1001,$A$2:$A$1001,A874,$B$2:$B$1001,B874-1)),"违规：加仓股数须逐次不增加",IF(Q874&gt;F874,"违规：止损风险超过本次预算","通过")))))))))))))))</f>
        <v/>
      </c>
    </row>
    <row r="875" customFormat="false" ht="15" hidden="false" customHeight="false" outlineLevel="0" collapsed="false">
      <c r="A875" s="20"/>
      <c r="B875" s="21"/>
      <c r="C875" s="22"/>
      <c r="D875" s="23"/>
      <c r="E875" s="23"/>
      <c r="F875" s="23"/>
      <c r="G875" s="21"/>
      <c r="H875" s="24" t="str">
        <f aca="false">IF(OR(A875="",D875="",G875=""),"",D875*G875)</f>
        <v/>
      </c>
      <c r="I875" s="25" t="str">
        <f aca="false">IF(OR(A875="",B875=""),"",IFERROR(LOOKUP(2,1/(单次交易!$A$2:$A$201=A875),单次交易!$H$2:$H$201),0)+SUMIFS($G$2:$G$1001,$A$2:$A$1001,A875,$B$2:$B$1001,"&lt;"&amp;B875))</f>
        <v/>
      </c>
      <c r="J875" s="24" t="str">
        <f aca="false">IF(OR(A875="",B875=""),"",IFERROR(LOOKUP(2,1/(单次交易!$A$2:$A$201=A875),单次交易!$E$2:$E$201)*LOOKUP(2,1/(单次交易!$A$2:$A$201=A875),单次交易!$H$2:$H$201),0)+SUMIFS($H$2:$H$1001,$A$2:$A$1001,A875,$B$2:$B$1001,"&lt;"&amp;B875))</f>
        <v/>
      </c>
      <c r="K875" s="24" t="str">
        <f aca="false">IF(OR(E875="",I875="",J875=""),"",MAX(E875*I875-J875,0))</f>
        <v/>
      </c>
      <c r="L875" s="25" t="str">
        <f aca="false">IF(OR(D875="",E875="",F875="",D875&lt;=E875),"",FLOOR((F875+K875)/(D875-E875),100))</f>
        <v/>
      </c>
      <c r="M875" s="25" t="str">
        <f aca="false">IF(OR(A875="",B875="",L875=""),"",IF(B875=1,L875,IFERROR(SUMIFS($G$2:$G$1001,$A$2:$A$1001,A875,$B$2:$B$1001,B875-1),0)))</f>
        <v/>
      </c>
      <c r="N875" s="25" t="str">
        <f aca="false">IF(OR(L875="",M875=""),"",MIN(L875,M875))</f>
        <v/>
      </c>
      <c r="O875" s="25" t="str">
        <f aca="false">IF(OR(I875="",G875=""),"",I875+G875)</f>
        <v/>
      </c>
      <c r="P875" s="24" t="str">
        <f aca="false">IF(OR(O875="",O875=0),"",(J875+H875)/O875)</f>
        <v/>
      </c>
      <c r="Q875" s="24" t="str">
        <f aca="false">IF(OR(O875="",E875=""),"",MAX(J875+H875-E875*O875,0))</f>
        <v/>
      </c>
      <c r="R875" s="26" t="str">
        <f aca="false">IF(A875="","",IF(COUNTIF(_TradeIds,A875)=0,"违规：交易编号不存在",IF(OR(B875="",B875&lt;1,B875&gt;5,B875&lt;&gt;INT(B875)),"违规：加仓序号须为1到5的整数",IF(COUNTIFS($A$2:$A$1001,A875,$B$2:$B$1001,B875)&gt;1,"违规：同一交易的加仓序号重复",IF(OR(D875="",E875="",F875=""),"计划不完整：请填写加仓价、新止损价和风险预算",IF(OR(D875&lt;=0,E875&lt;=0,F875&lt;=0,D875&lt;=E875),"违规：加仓价必须高于新止损价，金额须大于0",IF(AND(B875&gt;1,COUNTIFS($A$2:$A$1001,A875,$B$2:$B$1001,B875-1,$G$2:$G$1001,"&gt;0")=0),"违规：须先完成上一次加仓",IF(AND(B875&gt;1,E875&lt;SUMIFS($E$2:$E$1001,$A$2:$A$1001,A875,$B$2:$B$1001,B875-1)),"违规：新止损价不得低于上一次",IF(AND(B875&gt;1,F875&gt;SUMIFS($F$2:$F$1001,$A$2:$A$1001,A875,$B$2:$B$1001,B875-1)),"违规：风险预算须逐次不增加",IF(OR(_LockStatus="已锁仓",_LockStatus="解锁信息不完整"),"违规：锁仓期间禁止加仓",IF(G875="","计划可执行：建议股数见N列",IF(OR(G875&lt;=0,G875&lt;&gt;INT(G875),MOD(G875,100)&lt;&gt;0),"违规：实际股数须为100股整数倍",IF(G875&gt;N875,"违规：实际股数超过风险或金字塔上限",IF(AND(B875&gt;1,G875&gt;SUMIFS($G$2:$G$1001,$A$2:$A$1001,A875,$B$2:$B$1001,B875-1)),"违规：加仓股数须逐次不增加",IF(Q875&gt;F875,"违规：止损风险超过本次预算","通过")))))))))))))))</f>
        <v/>
      </c>
    </row>
    <row r="876" customFormat="false" ht="15" hidden="false" customHeight="false" outlineLevel="0" collapsed="false">
      <c r="A876" s="20"/>
      <c r="B876" s="21"/>
      <c r="C876" s="22"/>
      <c r="D876" s="23"/>
      <c r="E876" s="23"/>
      <c r="F876" s="23"/>
      <c r="G876" s="21"/>
      <c r="H876" s="24" t="str">
        <f aca="false">IF(OR(A876="",D876="",G876=""),"",D876*G876)</f>
        <v/>
      </c>
      <c r="I876" s="25" t="str">
        <f aca="false">IF(OR(A876="",B876=""),"",IFERROR(LOOKUP(2,1/(单次交易!$A$2:$A$201=A876),单次交易!$H$2:$H$201),0)+SUMIFS($G$2:$G$1001,$A$2:$A$1001,A876,$B$2:$B$1001,"&lt;"&amp;B876))</f>
        <v/>
      </c>
      <c r="J876" s="24" t="str">
        <f aca="false">IF(OR(A876="",B876=""),"",IFERROR(LOOKUP(2,1/(单次交易!$A$2:$A$201=A876),单次交易!$E$2:$E$201)*LOOKUP(2,1/(单次交易!$A$2:$A$201=A876),单次交易!$H$2:$H$201),0)+SUMIFS($H$2:$H$1001,$A$2:$A$1001,A876,$B$2:$B$1001,"&lt;"&amp;B876))</f>
        <v/>
      </c>
      <c r="K876" s="24" t="str">
        <f aca="false">IF(OR(E876="",I876="",J876=""),"",MAX(E876*I876-J876,0))</f>
        <v/>
      </c>
      <c r="L876" s="25" t="str">
        <f aca="false">IF(OR(D876="",E876="",F876="",D876&lt;=E876),"",FLOOR((F876+K876)/(D876-E876),100))</f>
        <v/>
      </c>
      <c r="M876" s="25" t="str">
        <f aca="false">IF(OR(A876="",B876="",L876=""),"",IF(B876=1,L876,IFERROR(SUMIFS($G$2:$G$1001,$A$2:$A$1001,A876,$B$2:$B$1001,B876-1),0)))</f>
        <v/>
      </c>
      <c r="N876" s="25" t="str">
        <f aca="false">IF(OR(L876="",M876=""),"",MIN(L876,M876))</f>
        <v/>
      </c>
      <c r="O876" s="25" t="str">
        <f aca="false">IF(OR(I876="",G876=""),"",I876+G876)</f>
        <v/>
      </c>
      <c r="P876" s="24" t="str">
        <f aca="false">IF(OR(O876="",O876=0),"",(J876+H876)/O876)</f>
        <v/>
      </c>
      <c r="Q876" s="24" t="str">
        <f aca="false">IF(OR(O876="",E876=""),"",MAX(J876+H876-E876*O876,0))</f>
        <v/>
      </c>
      <c r="R876" s="26" t="str">
        <f aca="false">IF(A876="","",IF(COUNTIF(_TradeIds,A876)=0,"违规：交易编号不存在",IF(OR(B876="",B876&lt;1,B876&gt;5,B876&lt;&gt;INT(B876)),"违规：加仓序号须为1到5的整数",IF(COUNTIFS($A$2:$A$1001,A876,$B$2:$B$1001,B876)&gt;1,"违规：同一交易的加仓序号重复",IF(OR(D876="",E876="",F876=""),"计划不完整：请填写加仓价、新止损价和风险预算",IF(OR(D876&lt;=0,E876&lt;=0,F876&lt;=0,D876&lt;=E876),"违规：加仓价必须高于新止损价，金额须大于0",IF(AND(B876&gt;1,COUNTIFS($A$2:$A$1001,A876,$B$2:$B$1001,B876-1,$G$2:$G$1001,"&gt;0")=0),"违规：须先完成上一次加仓",IF(AND(B876&gt;1,E876&lt;SUMIFS($E$2:$E$1001,$A$2:$A$1001,A876,$B$2:$B$1001,B876-1)),"违规：新止损价不得低于上一次",IF(AND(B876&gt;1,F876&gt;SUMIFS($F$2:$F$1001,$A$2:$A$1001,A876,$B$2:$B$1001,B876-1)),"违规：风险预算须逐次不增加",IF(OR(_LockStatus="已锁仓",_LockStatus="解锁信息不完整"),"违规：锁仓期间禁止加仓",IF(G876="","计划可执行：建议股数见N列",IF(OR(G876&lt;=0,G876&lt;&gt;INT(G876),MOD(G876,100)&lt;&gt;0),"违规：实际股数须为100股整数倍",IF(G876&gt;N876,"违规：实际股数超过风险或金字塔上限",IF(AND(B876&gt;1,G876&gt;SUMIFS($G$2:$G$1001,$A$2:$A$1001,A876,$B$2:$B$1001,B876-1)),"违规：加仓股数须逐次不增加",IF(Q876&gt;F876,"违规：止损风险超过本次预算","通过")))))))))))))))</f>
        <v/>
      </c>
    </row>
    <row r="877" customFormat="false" ht="15" hidden="false" customHeight="false" outlineLevel="0" collapsed="false">
      <c r="A877" s="20"/>
      <c r="B877" s="21"/>
      <c r="C877" s="22"/>
      <c r="D877" s="23"/>
      <c r="E877" s="23"/>
      <c r="F877" s="23"/>
      <c r="G877" s="21"/>
      <c r="H877" s="24" t="str">
        <f aca="false">IF(OR(A877="",D877="",G877=""),"",D877*G877)</f>
        <v/>
      </c>
      <c r="I877" s="25" t="str">
        <f aca="false">IF(OR(A877="",B877=""),"",IFERROR(LOOKUP(2,1/(单次交易!$A$2:$A$201=A877),单次交易!$H$2:$H$201),0)+SUMIFS($G$2:$G$1001,$A$2:$A$1001,A877,$B$2:$B$1001,"&lt;"&amp;B877))</f>
        <v/>
      </c>
      <c r="J877" s="24" t="str">
        <f aca="false">IF(OR(A877="",B877=""),"",IFERROR(LOOKUP(2,1/(单次交易!$A$2:$A$201=A877),单次交易!$E$2:$E$201)*LOOKUP(2,1/(单次交易!$A$2:$A$201=A877),单次交易!$H$2:$H$201),0)+SUMIFS($H$2:$H$1001,$A$2:$A$1001,A877,$B$2:$B$1001,"&lt;"&amp;B877))</f>
        <v/>
      </c>
      <c r="K877" s="24" t="str">
        <f aca="false">IF(OR(E877="",I877="",J877=""),"",MAX(E877*I877-J877,0))</f>
        <v/>
      </c>
      <c r="L877" s="25" t="str">
        <f aca="false">IF(OR(D877="",E877="",F877="",D877&lt;=E877),"",FLOOR((F877+K877)/(D877-E877),100))</f>
        <v/>
      </c>
      <c r="M877" s="25" t="str">
        <f aca="false">IF(OR(A877="",B877="",L877=""),"",IF(B877=1,L877,IFERROR(SUMIFS($G$2:$G$1001,$A$2:$A$1001,A877,$B$2:$B$1001,B877-1),0)))</f>
        <v/>
      </c>
      <c r="N877" s="25" t="str">
        <f aca="false">IF(OR(L877="",M877=""),"",MIN(L877,M877))</f>
        <v/>
      </c>
      <c r="O877" s="25" t="str">
        <f aca="false">IF(OR(I877="",G877=""),"",I877+G877)</f>
        <v/>
      </c>
      <c r="P877" s="24" t="str">
        <f aca="false">IF(OR(O877="",O877=0),"",(J877+H877)/O877)</f>
        <v/>
      </c>
      <c r="Q877" s="24" t="str">
        <f aca="false">IF(OR(O877="",E877=""),"",MAX(J877+H877-E877*O877,0))</f>
        <v/>
      </c>
      <c r="R877" s="26" t="str">
        <f aca="false">IF(A877="","",IF(COUNTIF(_TradeIds,A877)=0,"违规：交易编号不存在",IF(OR(B877="",B877&lt;1,B877&gt;5,B877&lt;&gt;INT(B877)),"违规：加仓序号须为1到5的整数",IF(COUNTIFS($A$2:$A$1001,A877,$B$2:$B$1001,B877)&gt;1,"违规：同一交易的加仓序号重复",IF(OR(D877="",E877="",F877=""),"计划不完整：请填写加仓价、新止损价和风险预算",IF(OR(D877&lt;=0,E877&lt;=0,F877&lt;=0,D877&lt;=E877),"违规：加仓价必须高于新止损价，金额须大于0",IF(AND(B877&gt;1,COUNTIFS($A$2:$A$1001,A877,$B$2:$B$1001,B877-1,$G$2:$G$1001,"&gt;0")=0),"违规：须先完成上一次加仓",IF(AND(B877&gt;1,E877&lt;SUMIFS($E$2:$E$1001,$A$2:$A$1001,A877,$B$2:$B$1001,B877-1)),"违规：新止损价不得低于上一次",IF(AND(B877&gt;1,F877&gt;SUMIFS($F$2:$F$1001,$A$2:$A$1001,A877,$B$2:$B$1001,B877-1)),"违规：风险预算须逐次不增加",IF(OR(_LockStatus="已锁仓",_LockStatus="解锁信息不完整"),"违规：锁仓期间禁止加仓",IF(G877="","计划可执行：建议股数见N列",IF(OR(G877&lt;=0,G877&lt;&gt;INT(G877),MOD(G877,100)&lt;&gt;0),"违规：实际股数须为100股整数倍",IF(G877&gt;N877,"违规：实际股数超过风险或金字塔上限",IF(AND(B877&gt;1,G877&gt;SUMIFS($G$2:$G$1001,$A$2:$A$1001,A877,$B$2:$B$1001,B877-1)),"违规：加仓股数须逐次不增加",IF(Q877&gt;F877,"违规：止损风险超过本次预算","通过")))))))))))))))</f>
        <v/>
      </c>
    </row>
    <row r="878" customFormat="false" ht="15" hidden="false" customHeight="false" outlineLevel="0" collapsed="false">
      <c r="A878" s="20"/>
      <c r="B878" s="21"/>
      <c r="C878" s="22"/>
      <c r="D878" s="23"/>
      <c r="E878" s="23"/>
      <c r="F878" s="23"/>
      <c r="G878" s="21"/>
      <c r="H878" s="24" t="str">
        <f aca="false">IF(OR(A878="",D878="",G878=""),"",D878*G878)</f>
        <v/>
      </c>
      <c r="I878" s="25" t="str">
        <f aca="false">IF(OR(A878="",B878=""),"",IFERROR(LOOKUP(2,1/(单次交易!$A$2:$A$201=A878),单次交易!$H$2:$H$201),0)+SUMIFS($G$2:$G$1001,$A$2:$A$1001,A878,$B$2:$B$1001,"&lt;"&amp;B878))</f>
        <v/>
      </c>
      <c r="J878" s="24" t="str">
        <f aca="false">IF(OR(A878="",B878=""),"",IFERROR(LOOKUP(2,1/(单次交易!$A$2:$A$201=A878),单次交易!$E$2:$E$201)*LOOKUP(2,1/(单次交易!$A$2:$A$201=A878),单次交易!$H$2:$H$201),0)+SUMIFS($H$2:$H$1001,$A$2:$A$1001,A878,$B$2:$B$1001,"&lt;"&amp;B878))</f>
        <v/>
      </c>
      <c r="K878" s="24" t="str">
        <f aca="false">IF(OR(E878="",I878="",J878=""),"",MAX(E878*I878-J878,0))</f>
        <v/>
      </c>
      <c r="L878" s="25" t="str">
        <f aca="false">IF(OR(D878="",E878="",F878="",D878&lt;=E878),"",FLOOR((F878+K878)/(D878-E878),100))</f>
        <v/>
      </c>
      <c r="M878" s="25" t="str">
        <f aca="false">IF(OR(A878="",B878="",L878=""),"",IF(B878=1,L878,IFERROR(SUMIFS($G$2:$G$1001,$A$2:$A$1001,A878,$B$2:$B$1001,B878-1),0)))</f>
        <v/>
      </c>
      <c r="N878" s="25" t="str">
        <f aca="false">IF(OR(L878="",M878=""),"",MIN(L878,M878))</f>
        <v/>
      </c>
      <c r="O878" s="25" t="str">
        <f aca="false">IF(OR(I878="",G878=""),"",I878+G878)</f>
        <v/>
      </c>
      <c r="P878" s="24" t="str">
        <f aca="false">IF(OR(O878="",O878=0),"",(J878+H878)/O878)</f>
        <v/>
      </c>
      <c r="Q878" s="24" t="str">
        <f aca="false">IF(OR(O878="",E878=""),"",MAX(J878+H878-E878*O878,0))</f>
        <v/>
      </c>
      <c r="R878" s="26" t="str">
        <f aca="false">IF(A878="","",IF(COUNTIF(_TradeIds,A878)=0,"违规：交易编号不存在",IF(OR(B878="",B878&lt;1,B878&gt;5,B878&lt;&gt;INT(B878)),"违规：加仓序号须为1到5的整数",IF(COUNTIFS($A$2:$A$1001,A878,$B$2:$B$1001,B878)&gt;1,"违规：同一交易的加仓序号重复",IF(OR(D878="",E878="",F878=""),"计划不完整：请填写加仓价、新止损价和风险预算",IF(OR(D878&lt;=0,E878&lt;=0,F878&lt;=0,D878&lt;=E878),"违规：加仓价必须高于新止损价，金额须大于0",IF(AND(B878&gt;1,COUNTIFS($A$2:$A$1001,A878,$B$2:$B$1001,B878-1,$G$2:$G$1001,"&gt;0")=0),"违规：须先完成上一次加仓",IF(AND(B878&gt;1,E878&lt;SUMIFS($E$2:$E$1001,$A$2:$A$1001,A878,$B$2:$B$1001,B878-1)),"违规：新止损价不得低于上一次",IF(AND(B878&gt;1,F878&gt;SUMIFS($F$2:$F$1001,$A$2:$A$1001,A878,$B$2:$B$1001,B878-1)),"违规：风险预算须逐次不增加",IF(OR(_LockStatus="已锁仓",_LockStatus="解锁信息不完整"),"违规：锁仓期间禁止加仓",IF(G878="","计划可执行：建议股数见N列",IF(OR(G878&lt;=0,G878&lt;&gt;INT(G878),MOD(G878,100)&lt;&gt;0),"违规：实际股数须为100股整数倍",IF(G878&gt;N878,"违规：实际股数超过风险或金字塔上限",IF(AND(B878&gt;1,G878&gt;SUMIFS($G$2:$G$1001,$A$2:$A$1001,A878,$B$2:$B$1001,B878-1)),"违规：加仓股数须逐次不增加",IF(Q878&gt;F878,"违规：止损风险超过本次预算","通过")))))))))))))))</f>
        <v/>
      </c>
    </row>
    <row r="879" customFormat="false" ht="15" hidden="false" customHeight="false" outlineLevel="0" collapsed="false">
      <c r="A879" s="20"/>
      <c r="B879" s="21"/>
      <c r="C879" s="22"/>
      <c r="D879" s="23"/>
      <c r="E879" s="23"/>
      <c r="F879" s="23"/>
      <c r="G879" s="21"/>
      <c r="H879" s="24" t="str">
        <f aca="false">IF(OR(A879="",D879="",G879=""),"",D879*G879)</f>
        <v/>
      </c>
      <c r="I879" s="25" t="str">
        <f aca="false">IF(OR(A879="",B879=""),"",IFERROR(LOOKUP(2,1/(单次交易!$A$2:$A$201=A879),单次交易!$H$2:$H$201),0)+SUMIFS($G$2:$G$1001,$A$2:$A$1001,A879,$B$2:$B$1001,"&lt;"&amp;B879))</f>
        <v/>
      </c>
      <c r="J879" s="24" t="str">
        <f aca="false">IF(OR(A879="",B879=""),"",IFERROR(LOOKUP(2,1/(单次交易!$A$2:$A$201=A879),单次交易!$E$2:$E$201)*LOOKUP(2,1/(单次交易!$A$2:$A$201=A879),单次交易!$H$2:$H$201),0)+SUMIFS($H$2:$H$1001,$A$2:$A$1001,A879,$B$2:$B$1001,"&lt;"&amp;B879))</f>
        <v/>
      </c>
      <c r="K879" s="24" t="str">
        <f aca="false">IF(OR(E879="",I879="",J879=""),"",MAX(E879*I879-J879,0))</f>
        <v/>
      </c>
      <c r="L879" s="25" t="str">
        <f aca="false">IF(OR(D879="",E879="",F879="",D879&lt;=E879),"",FLOOR((F879+K879)/(D879-E879),100))</f>
        <v/>
      </c>
      <c r="M879" s="25" t="str">
        <f aca="false">IF(OR(A879="",B879="",L879=""),"",IF(B879=1,L879,IFERROR(SUMIFS($G$2:$G$1001,$A$2:$A$1001,A879,$B$2:$B$1001,B879-1),0)))</f>
        <v/>
      </c>
      <c r="N879" s="25" t="str">
        <f aca="false">IF(OR(L879="",M879=""),"",MIN(L879,M879))</f>
        <v/>
      </c>
      <c r="O879" s="25" t="str">
        <f aca="false">IF(OR(I879="",G879=""),"",I879+G879)</f>
        <v/>
      </c>
      <c r="P879" s="24" t="str">
        <f aca="false">IF(OR(O879="",O879=0),"",(J879+H879)/O879)</f>
        <v/>
      </c>
      <c r="Q879" s="24" t="str">
        <f aca="false">IF(OR(O879="",E879=""),"",MAX(J879+H879-E879*O879,0))</f>
        <v/>
      </c>
      <c r="R879" s="26" t="str">
        <f aca="false">IF(A879="","",IF(COUNTIF(_TradeIds,A879)=0,"违规：交易编号不存在",IF(OR(B879="",B879&lt;1,B879&gt;5,B879&lt;&gt;INT(B879)),"违规：加仓序号须为1到5的整数",IF(COUNTIFS($A$2:$A$1001,A879,$B$2:$B$1001,B879)&gt;1,"违规：同一交易的加仓序号重复",IF(OR(D879="",E879="",F879=""),"计划不完整：请填写加仓价、新止损价和风险预算",IF(OR(D879&lt;=0,E879&lt;=0,F879&lt;=0,D879&lt;=E879),"违规：加仓价必须高于新止损价，金额须大于0",IF(AND(B879&gt;1,COUNTIFS($A$2:$A$1001,A879,$B$2:$B$1001,B879-1,$G$2:$G$1001,"&gt;0")=0),"违规：须先完成上一次加仓",IF(AND(B879&gt;1,E879&lt;SUMIFS($E$2:$E$1001,$A$2:$A$1001,A879,$B$2:$B$1001,B879-1)),"违规：新止损价不得低于上一次",IF(AND(B879&gt;1,F879&gt;SUMIFS($F$2:$F$1001,$A$2:$A$1001,A879,$B$2:$B$1001,B879-1)),"违规：风险预算须逐次不增加",IF(OR(_LockStatus="已锁仓",_LockStatus="解锁信息不完整"),"违规：锁仓期间禁止加仓",IF(G879="","计划可执行：建议股数见N列",IF(OR(G879&lt;=0,G879&lt;&gt;INT(G879),MOD(G879,100)&lt;&gt;0),"违规：实际股数须为100股整数倍",IF(G879&gt;N879,"违规：实际股数超过风险或金字塔上限",IF(AND(B879&gt;1,G879&gt;SUMIFS($G$2:$G$1001,$A$2:$A$1001,A879,$B$2:$B$1001,B879-1)),"违规：加仓股数须逐次不增加",IF(Q879&gt;F879,"违规：止损风险超过本次预算","通过")))))))))))))))</f>
        <v/>
      </c>
    </row>
    <row r="880" customFormat="false" ht="15" hidden="false" customHeight="false" outlineLevel="0" collapsed="false">
      <c r="A880" s="20"/>
      <c r="B880" s="21"/>
      <c r="C880" s="22"/>
      <c r="D880" s="23"/>
      <c r="E880" s="23"/>
      <c r="F880" s="23"/>
      <c r="G880" s="21"/>
      <c r="H880" s="24" t="str">
        <f aca="false">IF(OR(A880="",D880="",G880=""),"",D880*G880)</f>
        <v/>
      </c>
      <c r="I880" s="25" t="str">
        <f aca="false">IF(OR(A880="",B880=""),"",IFERROR(LOOKUP(2,1/(单次交易!$A$2:$A$201=A880),单次交易!$H$2:$H$201),0)+SUMIFS($G$2:$G$1001,$A$2:$A$1001,A880,$B$2:$B$1001,"&lt;"&amp;B880))</f>
        <v/>
      </c>
      <c r="J880" s="24" t="str">
        <f aca="false">IF(OR(A880="",B880=""),"",IFERROR(LOOKUP(2,1/(单次交易!$A$2:$A$201=A880),单次交易!$E$2:$E$201)*LOOKUP(2,1/(单次交易!$A$2:$A$201=A880),单次交易!$H$2:$H$201),0)+SUMIFS($H$2:$H$1001,$A$2:$A$1001,A880,$B$2:$B$1001,"&lt;"&amp;B880))</f>
        <v/>
      </c>
      <c r="K880" s="24" t="str">
        <f aca="false">IF(OR(E880="",I880="",J880=""),"",MAX(E880*I880-J880,0))</f>
        <v/>
      </c>
      <c r="L880" s="25" t="str">
        <f aca="false">IF(OR(D880="",E880="",F880="",D880&lt;=E880),"",FLOOR((F880+K880)/(D880-E880),100))</f>
        <v/>
      </c>
      <c r="M880" s="25" t="str">
        <f aca="false">IF(OR(A880="",B880="",L880=""),"",IF(B880=1,L880,IFERROR(SUMIFS($G$2:$G$1001,$A$2:$A$1001,A880,$B$2:$B$1001,B880-1),0)))</f>
        <v/>
      </c>
      <c r="N880" s="25" t="str">
        <f aca="false">IF(OR(L880="",M880=""),"",MIN(L880,M880))</f>
        <v/>
      </c>
      <c r="O880" s="25" t="str">
        <f aca="false">IF(OR(I880="",G880=""),"",I880+G880)</f>
        <v/>
      </c>
      <c r="P880" s="24" t="str">
        <f aca="false">IF(OR(O880="",O880=0),"",(J880+H880)/O880)</f>
        <v/>
      </c>
      <c r="Q880" s="24" t="str">
        <f aca="false">IF(OR(O880="",E880=""),"",MAX(J880+H880-E880*O880,0))</f>
        <v/>
      </c>
      <c r="R880" s="26" t="str">
        <f aca="false">IF(A880="","",IF(COUNTIF(_TradeIds,A880)=0,"违规：交易编号不存在",IF(OR(B880="",B880&lt;1,B880&gt;5,B880&lt;&gt;INT(B880)),"违规：加仓序号须为1到5的整数",IF(COUNTIFS($A$2:$A$1001,A880,$B$2:$B$1001,B880)&gt;1,"违规：同一交易的加仓序号重复",IF(OR(D880="",E880="",F880=""),"计划不完整：请填写加仓价、新止损价和风险预算",IF(OR(D880&lt;=0,E880&lt;=0,F880&lt;=0,D880&lt;=E880),"违规：加仓价必须高于新止损价，金额须大于0",IF(AND(B880&gt;1,COUNTIFS($A$2:$A$1001,A880,$B$2:$B$1001,B880-1,$G$2:$G$1001,"&gt;0")=0),"违规：须先完成上一次加仓",IF(AND(B880&gt;1,E880&lt;SUMIFS($E$2:$E$1001,$A$2:$A$1001,A880,$B$2:$B$1001,B880-1)),"违规：新止损价不得低于上一次",IF(AND(B880&gt;1,F880&gt;SUMIFS($F$2:$F$1001,$A$2:$A$1001,A880,$B$2:$B$1001,B880-1)),"违规：风险预算须逐次不增加",IF(OR(_LockStatus="已锁仓",_LockStatus="解锁信息不完整"),"违规：锁仓期间禁止加仓",IF(G880="","计划可执行：建议股数见N列",IF(OR(G880&lt;=0,G880&lt;&gt;INT(G880),MOD(G880,100)&lt;&gt;0),"违规：实际股数须为100股整数倍",IF(G880&gt;N880,"违规：实际股数超过风险或金字塔上限",IF(AND(B880&gt;1,G880&gt;SUMIFS($G$2:$G$1001,$A$2:$A$1001,A880,$B$2:$B$1001,B880-1)),"违规：加仓股数须逐次不增加",IF(Q880&gt;F880,"违规：止损风险超过本次预算","通过")))))))))))))))</f>
        <v/>
      </c>
    </row>
    <row r="881" customFormat="false" ht="15" hidden="false" customHeight="false" outlineLevel="0" collapsed="false">
      <c r="A881" s="20"/>
      <c r="B881" s="21"/>
      <c r="C881" s="22"/>
      <c r="D881" s="23"/>
      <c r="E881" s="23"/>
      <c r="F881" s="23"/>
      <c r="G881" s="21"/>
      <c r="H881" s="24" t="str">
        <f aca="false">IF(OR(A881="",D881="",G881=""),"",D881*G881)</f>
        <v/>
      </c>
      <c r="I881" s="25" t="str">
        <f aca="false">IF(OR(A881="",B881=""),"",IFERROR(LOOKUP(2,1/(单次交易!$A$2:$A$201=A881),单次交易!$H$2:$H$201),0)+SUMIFS($G$2:$G$1001,$A$2:$A$1001,A881,$B$2:$B$1001,"&lt;"&amp;B881))</f>
        <v/>
      </c>
      <c r="J881" s="24" t="str">
        <f aca="false">IF(OR(A881="",B881=""),"",IFERROR(LOOKUP(2,1/(单次交易!$A$2:$A$201=A881),单次交易!$E$2:$E$201)*LOOKUP(2,1/(单次交易!$A$2:$A$201=A881),单次交易!$H$2:$H$201),0)+SUMIFS($H$2:$H$1001,$A$2:$A$1001,A881,$B$2:$B$1001,"&lt;"&amp;B881))</f>
        <v/>
      </c>
      <c r="K881" s="24" t="str">
        <f aca="false">IF(OR(E881="",I881="",J881=""),"",MAX(E881*I881-J881,0))</f>
        <v/>
      </c>
      <c r="L881" s="25" t="str">
        <f aca="false">IF(OR(D881="",E881="",F881="",D881&lt;=E881),"",FLOOR((F881+K881)/(D881-E881),100))</f>
        <v/>
      </c>
      <c r="M881" s="25" t="str">
        <f aca="false">IF(OR(A881="",B881="",L881=""),"",IF(B881=1,L881,IFERROR(SUMIFS($G$2:$G$1001,$A$2:$A$1001,A881,$B$2:$B$1001,B881-1),0)))</f>
        <v/>
      </c>
      <c r="N881" s="25" t="str">
        <f aca="false">IF(OR(L881="",M881=""),"",MIN(L881,M881))</f>
        <v/>
      </c>
      <c r="O881" s="25" t="str">
        <f aca="false">IF(OR(I881="",G881=""),"",I881+G881)</f>
        <v/>
      </c>
      <c r="P881" s="24" t="str">
        <f aca="false">IF(OR(O881="",O881=0),"",(J881+H881)/O881)</f>
        <v/>
      </c>
      <c r="Q881" s="24" t="str">
        <f aca="false">IF(OR(O881="",E881=""),"",MAX(J881+H881-E881*O881,0))</f>
        <v/>
      </c>
      <c r="R881" s="26" t="str">
        <f aca="false">IF(A881="","",IF(COUNTIF(_TradeIds,A881)=0,"违规：交易编号不存在",IF(OR(B881="",B881&lt;1,B881&gt;5,B881&lt;&gt;INT(B881)),"违规：加仓序号须为1到5的整数",IF(COUNTIFS($A$2:$A$1001,A881,$B$2:$B$1001,B881)&gt;1,"违规：同一交易的加仓序号重复",IF(OR(D881="",E881="",F881=""),"计划不完整：请填写加仓价、新止损价和风险预算",IF(OR(D881&lt;=0,E881&lt;=0,F881&lt;=0,D881&lt;=E881),"违规：加仓价必须高于新止损价，金额须大于0",IF(AND(B881&gt;1,COUNTIFS($A$2:$A$1001,A881,$B$2:$B$1001,B881-1,$G$2:$G$1001,"&gt;0")=0),"违规：须先完成上一次加仓",IF(AND(B881&gt;1,E881&lt;SUMIFS($E$2:$E$1001,$A$2:$A$1001,A881,$B$2:$B$1001,B881-1)),"违规：新止损价不得低于上一次",IF(AND(B881&gt;1,F881&gt;SUMIFS($F$2:$F$1001,$A$2:$A$1001,A881,$B$2:$B$1001,B881-1)),"违规：风险预算须逐次不增加",IF(OR(_LockStatus="已锁仓",_LockStatus="解锁信息不完整"),"违规：锁仓期间禁止加仓",IF(G881="","计划可执行：建议股数见N列",IF(OR(G881&lt;=0,G881&lt;&gt;INT(G881),MOD(G881,100)&lt;&gt;0),"违规：实际股数须为100股整数倍",IF(G881&gt;N881,"违规：实际股数超过风险或金字塔上限",IF(AND(B881&gt;1,G881&gt;SUMIFS($G$2:$G$1001,$A$2:$A$1001,A881,$B$2:$B$1001,B881-1)),"违规：加仓股数须逐次不增加",IF(Q881&gt;F881,"违规：止损风险超过本次预算","通过")))))))))))))))</f>
        <v/>
      </c>
    </row>
    <row r="882" customFormat="false" ht="15" hidden="false" customHeight="false" outlineLevel="0" collapsed="false">
      <c r="A882" s="20"/>
      <c r="B882" s="21"/>
      <c r="C882" s="22"/>
      <c r="D882" s="23"/>
      <c r="E882" s="23"/>
      <c r="F882" s="23"/>
      <c r="G882" s="21"/>
      <c r="H882" s="24" t="str">
        <f aca="false">IF(OR(A882="",D882="",G882=""),"",D882*G882)</f>
        <v/>
      </c>
      <c r="I882" s="25" t="str">
        <f aca="false">IF(OR(A882="",B882=""),"",IFERROR(LOOKUP(2,1/(单次交易!$A$2:$A$201=A882),单次交易!$H$2:$H$201),0)+SUMIFS($G$2:$G$1001,$A$2:$A$1001,A882,$B$2:$B$1001,"&lt;"&amp;B882))</f>
        <v/>
      </c>
      <c r="J882" s="24" t="str">
        <f aca="false">IF(OR(A882="",B882=""),"",IFERROR(LOOKUP(2,1/(单次交易!$A$2:$A$201=A882),单次交易!$E$2:$E$201)*LOOKUP(2,1/(单次交易!$A$2:$A$201=A882),单次交易!$H$2:$H$201),0)+SUMIFS($H$2:$H$1001,$A$2:$A$1001,A882,$B$2:$B$1001,"&lt;"&amp;B882))</f>
        <v/>
      </c>
      <c r="K882" s="24" t="str">
        <f aca="false">IF(OR(E882="",I882="",J882=""),"",MAX(E882*I882-J882,0))</f>
        <v/>
      </c>
      <c r="L882" s="25" t="str">
        <f aca="false">IF(OR(D882="",E882="",F882="",D882&lt;=E882),"",FLOOR((F882+K882)/(D882-E882),100))</f>
        <v/>
      </c>
      <c r="M882" s="25" t="str">
        <f aca="false">IF(OR(A882="",B882="",L882=""),"",IF(B882=1,L882,IFERROR(SUMIFS($G$2:$G$1001,$A$2:$A$1001,A882,$B$2:$B$1001,B882-1),0)))</f>
        <v/>
      </c>
      <c r="N882" s="25" t="str">
        <f aca="false">IF(OR(L882="",M882=""),"",MIN(L882,M882))</f>
        <v/>
      </c>
      <c r="O882" s="25" t="str">
        <f aca="false">IF(OR(I882="",G882=""),"",I882+G882)</f>
        <v/>
      </c>
      <c r="P882" s="24" t="str">
        <f aca="false">IF(OR(O882="",O882=0),"",(J882+H882)/O882)</f>
        <v/>
      </c>
      <c r="Q882" s="24" t="str">
        <f aca="false">IF(OR(O882="",E882=""),"",MAX(J882+H882-E882*O882,0))</f>
        <v/>
      </c>
      <c r="R882" s="26" t="str">
        <f aca="false">IF(A882="","",IF(COUNTIF(_TradeIds,A882)=0,"违规：交易编号不存在",IF(OR(B882="",B882&lt;1,B882&gt;5,B882&lt;&gt;INT(B882)),"违规：加仓序号须为1到5的整数",IF(COUNTIFS($A$2:$A$1001,A882,$B$2:$B$1001,B882)&gt;1,"违规：同一交易的加仓序号重复",IF(OR(D882="",E882="",F882=""),"计划不完整：请填写加仓价、新止损价和风险预算",IF(OR(D882&lt;=0,E882&lt;=0,F882&lt;=0,D882&lt;=E882),"违规：加仓价必须高于新止损价，金额须大于0",IF(AND(B882&gt;1,COUNTIFS($A$2:$A$1001,A882,$B$2:$B$1001,B882-1,$G$2:$G$1001,"&gt;0")=0),"违规：须先完成上一次加仓",IF(AND(B882&gt;1,E882&lt;SUMIFS($E$2:$E$1001,$A$2:$A$1001,A882,$B$2:$B$1001,B882-1)),"违规：新止损价不得低于上一次",IF(AND(B882&gt;1,F882&gt;SUMIFS($F$2:$F$1001,$A$2:$A$1001,A882,$B$2:$B$1001,B882-1)),"违规：风险预算须逐次不增加",IF(OR(_LockStatus="已锁仓",_LockStatus="解锁信息不完整"),"违规：锁仓期间禁止加仓",IF(G882="","计划可执行：建议股数见N列",IF(OR(G882&lt;=0,G882&lt;&gt;INT(G882),MOD(G882,100)&lt;&gt;0),"违规：实际股数须为100股整数倍",IF(G882&gt;N882,"违规：实际股数超过风险或金字塔上限",IF(AND(B882&gt;1,G882&gt;SUMIFS($G$2:$G$1001,$A$2:$A$1001,A882,$B$2:$B$1001,B882-1)),"违规：加仓股数须逐次不增加",IF(Q882&gt;F882,"违规：止损风险超过本次预算","通过")))))))))))))))</f>
        <v/>
      </c>
    </row>
    <row r="883" customFormat="false" ht="15" hidden="false" customHeight="false" outlineLevel="0" collapsed="false">
      <c r="A883" s="20"/>
      <c r="B883" s="21"/>
      <c r="C883" s="22"/>
      <c r="D883" s="23"/>
      <c r="E883" s="23"/>
      <c r="F883" s="23"/>
      <c r="G883" s="21"/>
      <c r="H883" s="24" t="str">
        <f aca="false">IF(OR(A883="",D883="",G883=""),"",D883*G883)</f>
        <v/>
      </c>
      <c r="I883" s="25" t="str">
        <f aca="false">IF(OR(A883="",B883=""),"",IFERROR(LOOKUP(2,1/(单次交易!$A$2:$A$201=A883),单次交易!$H$2:$H$201),0)+SUMIFS($G$2:$G$1001,$A$2:$A$1001,A883,$B$2:$B$1001,"&lt;"&amp;B883))</f>
        <v/>
      </c>
      <c r="J883" s="24" t="str">
        <f aca="false">IF(OR(A883="",B883=""),"",IFERROR(LOOKUP(2,1/(单次交易!$A$2:$A$201=A883),单次交易!$E$2:$E$201)*LOOKUP(2,1/(单次交易!$A$2:$A$201=A883),单次交易!$H$2:$H$201),0)+SUMIFS($H$2:$H$1001,$A$2:$A$1001,A883,$B$2:$B$1001,"&lt;"&amp;B883))</f>
        <v/>
      </c>
      <c r="K883" s="24" t="str">
        <f aca="false">IF(OR(E883="",I883="",J883=""),"",MAX(E883*I883-J883,0))</f>
        <v/>
      </c>
      <c r="L883" s="25" t="str">
        <f aca="false">IF(OR(D883="",E883="",F883="",D883&lt;=E883),"",FLOOR((F883+K883)/(D883-E883),100))</f>
        <v/>
      </c>
      <c r="M883" s="25" t="str">
        <f aca="false">IF(OR(A883="",B883="",L883=""),"",IF(B883=1,L883,IFERROR(SUMIFS($G$2:$G$1001,$A$2:$A$1001,A883,$B$2:$B$1001,B883-1),0)))</f>
        <v/>
      </c>
      <c r="N883" s="25" t="str">
        <f aca="false">IF(OR(L883="",M883=""),"",MIN(L883,M883))</f>
        <v/>
      </c>
      <c r="O883" s="25" t="str">
        <f aca="false">IF(OR(I883="",G883=""),"",I883+G883)</f>
        <v/>
      </c>
      <c r="P883" s="24" t="str">
        <f aca="false">IF(OR(O883="",O883=0),"",(J883+H883)/O883)</f>
        <v/>
      </c>
      <c r="Q883" s="24" t="str">
        <f aca="false">IF(OR(O883="",E883=""),"",MAX(J883+H883-E883*O883,0))</f>
        <v/>
      </c>
      <c r="R883" s="26" t="str">
        <f aca="false">IF(A883="","",IF(COUNTIF(_TradeIds,A883)=0,"违规：交易编号不存在",IF(OR(B883="",B883&lt;1,B883&gt;5,B883&lt;&gt;INT(B883)),"违规：加仓序号须为1到5的整数",IF(COUNTIFS($A$2:$A$1001,A883,$B$2:$B$1001,B883)&gt;1,"违规：同一交易的加仓序号重复",IF(OR(D883="",E883="",F883=""),"计划不完整：请填写加仓价、新止损价和风险预算",IF(OR(D883&lt;=0,E883&lt;=0,F883&lt;=0,D883&lt;=E883),"违规：加仓价必须高于新止损价，金额须大于0",IF(AND(B883&gt;1,COUNTIFS($A$2:$A$1001,A883,$B$2:$B$1001,B883-1,$G$2:$G$1001,"&gt;0")=0),"违规：须先完成上一次加仓",IF(AND(B883&gt;1,E883&lt;SUMIFS($E$2:$E$1001,$A$2:$A$1001,A883,$B$2:$B$1001,B883-1)),"违规：新止损价不得低于上一次",IF(AND(B883&gt;1,F883&gt;SUMIFS($F$2:$F$1001,$A$2:$A$1001,A883,$B$2:$B$1001,B883-1)),"违规：风险预算须逐次不增加",IF(OR(_LockStatus="已锁仓",_LockStatus="解锁信息不完整"),"违规：锁仓期间禁止加仓",IF(G883="","计划可执行：建议股数见N列",IF(OR(G883&lt;=0,G883&lt;&gt;INT(G883),MOD(G883,100)&lt;&gt;0),"违规：实际股数须为100股整数倍",IF(G883&gt;N883,"违规：实际股数超过风险或金字塔上限",IF(AND(B883&gt;1,G883&gt;SUMIFS($G$2:$G$1001,$A$2:$A$1001,A883,$B$2:$B$1001,B883-1)),"违规：加仓股数须逐次不增加",IF(Q883&gt;F883,"违规：止损风险超过本次预算","通过")))))))))))))))</f>
        <v/>
      </c>
    </row>
    <row r="884" customFormat="false" ht="15" hidden="false" customHeight="false" outlineLevel="0" collapsed="false">
      <c r="A884" s="20"/>
      <c r="B884" s="21"/>
      <c r="C884" s="22"/>
      <c r="D884" s="23"/>
      <c r="E884" s="23"/>
      <c r="F884" s="23"/>
      <c r="G884" s="21"/>
      <c r="H884" s="24" t="str">
        <f aca="false">IF(OR(A884="",D884="",G884=""),"",D884*G884)</f>
        <v/>
      </c>
      <c r="I884" s="25" t="str">
        <f aca="false">IF(OR(A884="",B884=""),"",IFERROR(LOOKUP(2,1/(单次交易!$A$2:$A$201=A884),单次交易!$H$2:$H$201),0)+SUMIFS($G$2:$G$1001,$A$2:$A$1001,A884,$B$2:$B$1001,"&lt;"&amp;B884))</f>
        <v/>
      </c>
      <c r="J884" s="24" t="str">
        <f aca="false">IF(OR(A884="",B884=""),"",IFERROR(LOOKUP(2,1/(单次交易!$A$2:$A$201=A884),单次交易!$E$2:$E$201)*LOOKUP(2,1/(单次交易!$A$2:$A$201=A884),单次交易!$H$2:$H$201),0)+SUMIFS($H$2:$H$1001,$A$2:$A$1001,A884,$B$2:$B$1001,"&lt;"&amp;B884))</f>
        <v/>
      </c>
      <c r="K884" s="24" t="str">
        <f aca="false">IF(OR(E884="",I884="",J884=""),"",MAX(E884*I884-J884,0))</f>
        <v/>
      </c>
      <c r="L884" s="25" t="str">
        <f aca="false">IF(OR(D884="",E884="",F884="",D884&lt;=E884),"",FLOOR((F884+K884)/(D884-E884),100))</f>
        <v/>
      </c>
      <c r="M884" s="25" t="str">
        <f aca="false">IF(OR(A884="",B884="",L884=""),"",IF(B884=1,L884,IFERROR(SUMIFS($G$2:$G$1001,$A$2:$A$1001,A884,$B$2:$B$1001,B884-1),0)))</f>
        <v/>
      </c>
      <c r="N884" s="25" t="str">
        <f aca="false">IF(OR(L884="",M884=""),"",MIN(L884,M884))</f>
        <v/>
      </c>
      <c r="O884" s="25" t="str">
        <f aca="false">IF(OR(I884="",G884=""),"",I884+G884)</f>
        <v/>
      </c>
      <c r="P884" s="24" t="str">
        <f aca="false">IF(OR(O884="",O884=0),"",(J884+H884)/O884)</f>
        <v/>
      </c>
      <c r="Q884" s="24" t="str">
        <f aca="false">IF(OR(O884="",E884=""),"",MAX(J884+H884-E884*O884,0))</f>
        <v/>
      </c>
      <c r="R884" s="26" t="str">
        <f aca="false">IF(A884="","",IF(COUNTIF(_TradeIds,A884)=0,"违规：交易编号不存在",IF(OR(B884="",B884&lt;1,B884&gt;5,B884&lt;&gt;INT(B884)),"违规：加仓序号须为1到5的整数",IF(COUNTIFS($A$2:$A$1001,A884,$B$2:$B$1001,B884)&gt;1,"违规：同一交易的加仓序号重复",IF(OR(D884="",E884="",F884=""),"计划不完整：请填写加仓价、新止损价和风险预算",IF(OR(D884&lt;=0,E884&lt;=0,F884&lt;=0,D884&lt;=E884),"违规：加仓价必须高于新止损价，金额须大于0",IF(AND(B884&gt;1,COUNTIFS($A$2:$A$1001,A884,$B$2:$B$1001,B884-1,$G$2:$G$1001,"&gt;0")=0),"违规：须先完成上一次加仓",IF(AND(B884&gt;1,E884&lt;SUMIFS($E$2:$E$1001,$A$2:$A$1001,A884,$B$2:$B$1001,B884-1)),"违规：新止损价不得低于上一次",IF(AND(B884&gt;1,F884&gt;SUMIFS($F$2:$F$1001,$A$2:$A$1001,A884,$B$2:$B$1001,B884-1)),"违规：风险预算须逐次不增加",IF(OR(_LockStatus="已锁仓",_LockStatus="解锁信息不完整"),"违规：锁仓期间禁止加仓",IF(G884="","计划可执行：建议股数见N列",IF(OR(G884&lt;=0,G884&lt;&gt;INT(G884),MOD(G884,100)&lt;&gt;0),"违规：实际股数须为100股整数倍",IF(G884&gt;N884,"违规：实际股数超过风险或金字塔上限",IF(AND(B884&gt;1,G884&gt;SUMIFS($G$2:$G$1001,$A$2:$A$1001,A884,$B$2:$B$1001,B884-1)),"违规：加仓股数须逐次不增加",IF(Q884&gt;F884,"违规：止损风险超过本次预算","通过")))))))))))))))</f>
        <v/>
      </c>
    </row>
    <row r="885" customFormat="false" ht="15" hidden="false" customHeight="false" outlineLevel="0" collapsed="false">
      <c r="A885" s="20"/>
      <c r="B885" s="21"/>
      <c r="C885" s="22"/>
      <c r="D885" s="23"/>
      <c r="E885" s="23"/>
      <c r="F885" s="23"/>
      <c r="G885" s="21"/>
      <c r="H885" s="24" t="str">
        <f aca="false">IF(OR(A885="",D885="",G885=""),"",D885*G885)</f>
        <v/>
      </c>
      <c r="I885" s="25" t="str">
        <f aca="false">IF(OR(A885="",B885=""),"",IFERROR(LOOKUP(2,1/(单次交易!$A$2:$A$201=A885),单次交易!$H$2:$H$201),0)+SUMIFS($G$2:$G$1001,$A$2:$A$1001,A885,$B$2:$B$1001,"&lt;"&amp;B885))</f>
        <v/>
      </c>
      <c r="J885" s="24" t="str">
        <f aca="false">IF(OR(A885="",B885=""),"",IFERROR(LOOKUP(2,1/(单次交易!$A$2:$A$201=A885),单次交易!$E$2:$E$201)*LOOKUP(2,1/(单次交易!$A$2:$A$201=A885),单次交易!$H$2:$H$201),0)+SUMIFS($H$2:$H$1001,$A$2:$A$1001,A885,$B$2:$B$1001,"&lt;"&amp;B885))</f>
        <v/>
      </c>
      <c r="K885" s="24" t="str">
        <f aca="false">IF(OR(E885="",I885="",J885=""),"",MAX(E885*I885-J885,0))</f>
        <v/>
      </c>
      <c r="L885" s="25" t="str">
        <f aca="false">IF(OR(D885="",E885="",F885="",D885&lt;=E885),"",FLOOR((F885+K885)/(D885-E885),100))</f>
        <v/>
      </c>
      <c r="M885" s="25" t="str">
        <f aca="false">IF(OR(A885="",B885="",L885=""),"",IF(B885=1,L885,IFERROR(SUMIFS($G$2:$G$1001,$A$2:$A$1001,A885,$B$2:$B$1001,B885-1),0)))</f>
        <v/>
      </c>
      <c r="N885" s="25" t="str">
        <f aca="false">IF(OR(L885="",M885=""),"",MIN(L885,M885))</f>
        <v/>
      </c>
      <c r="O885" s="25" t="str">
        <f aca="false">IF(OR(I885="",G885=""),"",I885+G885)</f>
        <v/>
      </c>
      <c r="P885" s="24" t="str">
        <f aca="false">IF(OR(O885="",O885=0),"",(J885+H885)/O885)</f>
        <v/>
      </c>
      <c r="Q885" s="24" t="str">
        <f aca="false">IF(OR(O885="",E885=""),"",MAX(J885+H885-E885*O885,0))</f>
        <v/>
      </c>
      <c r="R885" s="26" t="str">
        <f aca="false">IF(A885="","",IF(COUNTIF(_TradeIds,A885)=0,"违规：交易编号不存在",IF(OR(B885="",B885&lt;1,B885&gt;5,B885&lt;&gt;INT(B885)),"违规：加仓序号须为1到5的整数",IF(COUNTIFS($A$2:$A$1001,A885,$B$2:$B$1001,B885)&gt;1,"违规：同一交易的加仓序号重复",IF(OR(D885="",E885="",F885=""),"计划不完整：请填写加仓价、新止损价和风险预算",IF(OR(D885&lt;=0,E885&lt;=0,F885&lt;=0,D885&lt;=E885),"违规：加仓价必须高于新止损价，金额须大于0",IF(AND(B885&gt;1,COUNTIFS($A$2:$A$1001,A885,$B$2:$B$1001,B885-1,$G$2:$G$1001,"&gt;0")=0),"违规：须先完成上一次加仓",IF(AND(B885&gt;1,E885&lt;SUMIFS($E$2:$E$1001,$A$2:$A$1001,A885,$B$2:$B$1001,B885-1)),"违规：新止损价不得低于上一次",IF(AND(B885&gt;1,F885&gt;SUMIFS($F$2:$F$1001,$A$2:$A$1001,A885,$B$2:$B$1001,B885-1)),"违规：风险预算须逐次不增加",IF(OR(_LockStatus="已锁仓",_LockStatus="解锁信息不完整"),"违规：锁仓期间禁止加仓",IF(G885="","计划可执行：建议股数见N列",IF(OR(G885&lt;=0,G885&lt;&gt;INT(G885),MOD(G885,100)&lt;&gt;0),"违规：实际股数须为100股整数倍",IF(G885&gt;N885,"违规：实际股数超过风险或金字塔上限",IF(AND(B885&gt;1,G885&gt;SUMIFS($G$2:$G$1001,$A$2:$A$1001,A885,$B$2:$B$1001,B885-1)),"违规：加仓股数须逐次不增加",IF(Q885&gt;F885,"违规：止损风险超过本次预算","通过")))))))))))))))</f>
        <v/>
      </c>
    </row>
    <row r="886" customFormat="false" ht="15" hidden="false" customHeight="false" outlineLevel="0" collapsed="false">
      <c r="A886" s="20"/>
      <c r="B886" s="21"/>
      <c r="C886" s="22"/>
      <c r="D886" s="23"/>
      <c r="E886" s="23"/>
      <c r="F886" s="23"/>
      <c r="G886" s="21"/>
      <c r="H886" s="24" t="str">
        <f aca="false">IF(OR(A886="",D886="",G886=""),"",D886*G886)</f>
        <v/>
      </c>
      <c r="I886" s="25" t="str">
        <f aca="false">IF(OR(A886="",B886=""),"",IFERROR(LOOKUP(2,1/(单次交易!$A$2:$A$201=A886),单次交易!$H$2:$H$201),0)+SUMIFS($G$2:$G$1001,$A$2:$A$1001,A886,$B$2:$B$1001,"&lt;"&amp;B886))</f>
        <v/>
      </c>
      <c r="J886" s="24" t="str">
        <f aca="false">IF(OR(A886="",B886=""),"",IFERROR(LOOKUP(2,1/(单次交易!$A$2:$A$201=A886),单次交易!$E$2:$E$201)*LOOKUP(2,1/(单次交易!$A$2:$A$201=A886),单次交易!$H$2:$H$201),0)+SUMIFS($H$2:$H$1001,$A$2:$A$1001,A886,$B$2:$B$1001,"&lt;"&amp;B886))</f>
        <v/>
      </c>
      <c r="K886" s="24" t="str">
        <f aca="false">IF(OR(E886="",I886="",J886=""),"",MAX(E886*I886-J886,0))</f>
        <v/>
      </c>
      <c r="L886" s="25" t="str">
        <f aca="false">IF(OR(D886="",E886="",F886="",D886&lt;=E886),"",FLOOR((F886+K886)/(D886-E886),100))</f>
        <v/>
      </c>
      <c r="M886" s="25" t="str">
        <f aca="false">IF(OR(A886="",B886="",L886=""),"",IF(B886=1,L886,IFERROR(SUMIFS($G$2:$G$1001,$A$2:$A$1001,A886,$B$2:$B$1001,B886-1),0)))</f>
        <v/>
      </c>
      <c r="N886" s="25" t="str">
        <f aca="false">IF(OR(L886="",M886=""),"",MIN(L886,M886))</f>
        <v/>
      </c>
      <c r="O886" s="25" t="str">
        <f aca="false">IF(OR(I886="",G886=""),"",I886+G886)</f>
        <v/>
      </c>
      <c r="P886" s="24" t="str">
        <f aca="false">IF(OR(O886="",O886=0),"",(J886+H886)/O886)</f>
        <v/>
      </c>
      <c r="Q886" s="24" t="str">
        <f aca="false">IF(OR(O886="",E886=""),"",MAX(J886+H886-E886*O886,0))</f>
        <v/>
      </c>
      <c r="R886" s="26" t="str">
        <f aca="false">IF(A886="","",IF(COUNTIF(_TradeIds,A886)=0,"违规：交易编号不存在",IF(OR(B886="",B886&lt;1,B886&gt;5,B886&lt;&gt;INT(B886)),"违规：加仓序号须为1到5的整数",IF(COUNTIFS($A$2:$A$1001,A886,$B$2:$B$1001,B886)&gt;1,"违规：同一交易的加仓序号重复",IF(OR(D886="",E886="",F886=""),"计划不完整：请填写加仓价、新止损价和风险预算",IF(OR(D886&lt;=0,E886&lt;=0,F886&lt;=0,D886&lt;=E886),"违规：加仓价必须高于新止损价，金额须大于0",IF(AND(B886&gt;1,COUNTIFS($A$2:$A$1001,A886,$B$2:$B$1001,B886-1,$G$2:$G$1001,"&gt;0")=0),"违规：须先完成上一次加仓",IF(AND(B886&gt;1,E886&lt;SUMIFS($E$2:$E$1001,$A$2:$A$1001,A886,$B$2:$B$1001,B886-1)),"违规：新止损价不得低于上一次",IF(AND(B886&gt;1,F886&gt;SUMIFS($F$2:$F$1001,$A$2:$A$1001,A886,$B$2:$B$1001,B886-1)),"违规：风险预算须逐次不增加",IF(OR(_LockStatus="已锁仓",_LockStatus="解锁信息不完整"),"违规：锁仓期间禁止加仓",IF(G886="","计划可执行：建议股数见N列",IF(OR(G886&lt;=0,G886&lt;&gt;INT(G886),MOD(G886,100)&lt;&gt;0),"违规：实际股数须为100股整数倍",IF(G886&gt;N886,"违规：实际股数超过风险或金字塔上限",IF(AND(B886&gt;1,G886&gt;SUMIFS($G$2:$G$1001,$A$2:$A$1001,A886,$B$2:$B$1001,B886-1)),"违规：加仓股数须逐次不增加",IF(Q886&gt;F886,"违规：止损风险超过本次预算","通过")))))))))))))))</f>
        <v/>
      </c>
    </row>
    <row r="887" customFormat="false" ht="15" hidden="false" customHeight="false" outlineLevel="0" collapsed="false">
      <c r="A887" s="20"/>
      <c r="B887" s="21"/>
      <c r="C887" s="22"/>
      <c r="D887" s="23"/>
      <c r="E887" s="23"/>
      <c r="F887" s="23"/>
      <c r="G887" s="21"/>
      <c r="H887" s="24" t="str">
        <f aca="false">IF(OR(A887="",D887="",G887=""),"",D887*G887)</f>
        <v/>
      </c>
      <c r="I887" s="25" t="str">
        <f aca="false">IF(OR(A887="",B887=""),"",IFERROR(LOOKUP(2,1/(单次交易!$A$2:$A$201=A887),单次交易!$H$2:$H$201),0)+SUMIFS($G$2:$G$1001,$A$2:$A$1001,A887,$B$2:$B$1001,"&lt;"&amp;B887))</f>
        <v/>
      </c>
      <c r="J887" s="24" t="str">
        <f aca="false">IF(OR(A887="",B887=""),"",IFERROR(LOOKUP(2,1/(单次交易!$A$2:$A$201=A887),单次交易!$E$2:$E$201)*LOOKUP(2,1/(单次交易!$A$2:$A$201=A887),单次交易!$H$2:$H$201),0)+SUMIFS($H$2:$H$1001,$A$2:$A$1001,A887,$B$2:$B$1001,"&lt;"&amp;B887))</f>
        <v/>
      </c>
      <c r="K887" s="24" t="str">
        <f aca="false">IF(OR(E887="",I887="",J887=""),"",MAX(E887*I887-J887,0))</f>
        <v/>
      </c>
      <c r="L887" s="25" t="str">
        <f aca="false">IF(OR(D887="",E887="",F887="",D887&lt;=E887),"",FLOOR((F887+K887)/(D887-E887),100))</f>
        <v/>
      </c>
      <c r="M887" s="25" t="str">
        <f aca="false">IF(OR(A887="",B887="",L887=""),"",IF(B887=1,L887,IFERROR(SUMIFS($G$2:$G$1001,$A$2:$A$1001,A887,$B$2:$B$1001,B887-1),0)))</f>
        <v/>
      </c>
      <c r="N887" s="25" t="str">
        <f aca="false">IF(OR(L887="",M887=""),"",MIN(L887,M887))</f>
        <v/>
      </c>
      <c r="O887" s="25" t="str">
        <f aca="false">IF(OR(I887="",G887=""),"",I887+G887)</f>
        <v/>
      </c>
      <c r="P887" s="24" t="str">
        <f aca="false">IF(OR(O887="",O887=0),"",(J887+H887)/O887)</f>
        <v/>
      </c>
      <c r="Q887" s="24" t="str">
        <f aca="false">IF(OR(O887="",E887=""),"",MAX(J887+H887-E887*O887,0))</f>
        <v/>
      </c>
      <c r="R887" s="26" t="str">
        <f aca="false">IF(A887="","",IF(COUNTIF(_TradeIds,A887)=0,"违规：交易编号不存在",IF(OR(B887="",B887&lt;1,B887&gt;5,B887&lt;&gt;INT(B887)),"违规：加仓序号须为1到5的整数",IF(COUNTIFS($A$2:$A$1001,A887,$B$2:$B$1001,B887)&gt;1,"违规：同一交易的加仓序号重复",IF(OR(D887="",E887="",F887=""),"计划不完整：请填写加仓价、新止损价和风险预算",IF(OR(D887&lt;=0,E887&lt;=0,F887&lt;=0,D887&lt;=E887),"违规：加仓价必须高于新止损价，金额须大于0",IF(AND(B887&gt;1,COUNTIFS($A$2:$A$1001,A887,$B$2:$B$1001,B887-1,$G$2:$G$1001,"&gt;0")=0),"违规：须先完成上一次加仓",IF(AND(B887&gt;1,E887&lt;SUMIFS($E$2:$E$1001,$A$2:$A$1001,A887,$B$2:$B$1001,B887-1)),"违规：新止损价不得低于上一次",IF(AND(B887&gt;1,F887&gt;SUMIFS($F$2:$F$1001,$A$2:$A$1001,A887,$B$2:$B$1001,B887-1)),"违规：风险预算须逐次不增加",IF(OR(_LockStatus="已锁仓",_LockStatus="解锁信息不完整"),"违规：锁仓期间禁止加仓",IF(G887="","计划可执行：建议股数见N列",IF(OR(G887&lt;=0,G887&lt;&gt;INT(G887),MOD(G887,100)&lt;&gt;0),"违规：实际股数须为100股整数倍",IF(G887&gt;N887,"违规：实际股数超过风险或金字塔上限",IF(AND(B887&gt;1,G887&gt;SUMIFS($G$2:$G$1001,$A$2:$A$1001,A887,$B$2:$B$1001,B887-1)),"违规：加仓股数须逐次不增加",IF(Q887&gt;F887,"违规：止损风险超过本次预算","通过")))))))))))))))</f>
        <v/>
      </c>
    </row>
    <row r="888" customFormat="false" ht="15" hidden="false" customHeight="false" outlineLevel="0" collapsed="false">
      <c r="A888" s="20"/>
      <c r="B888" s="21"/>
      <c r="C888" s="22"/>
      <c r="D888" s="23"/>
      <c r="E888" s="23"/>
      <c r="F888" s="23"/>
      <c r="G888" s="21"/>
      <c r="H888" s="24" t="str">
        <f aca="false">IF(OR(A888="",D888="",G888=""),"",D888*G888)</f>
        <v/>
      </c>
      <c r="I888" s="25" t="str">
        <f aca="false">IF(OR(A888="",B888=""),"",IFERROR(LOOKUP(2,1/(单次交易!$A$2:$A$201=A888),单次交易!$H$2:$H$201),0)+SUMIFS($G$2:$G$1001,$A$2:$A$1001,A888,$B$2:$B$1001,"&lt;"&amp;B888))</f>
        <v/>
      </c>
      <c r="J888" s="24" t="str">
        <f aca="false">IF(OR(A888="",B888=""),"",IFERROR(LOOKUP(2,1/(单次交易!$A$2:$A$201=A888),单次交易!$E$2:$E$201)*LOOKUP(2,1/(单次交易!$A$2:$A$201=A888),单次交易!$H$2:$H$201),0)+SUMIFS($H$2:$H$1001,$A$2:$A$1001,A888,$B$2:$B$1001,"&lt;"&amp;B888))</f>
        <v/>
      </c>
      <c r="K888" s="24" t="str">
        <f aca="false">IF(OR(E888="",I888="",J888=""),"",MAX(E888*I888-J888,0))</f>
        <v/>
      </c>
      <c r="L888" s="25" t="str">
        <f aca="false">IF(OR(D888="",E888="",F888="",D888&lt;=E888),"",FLOOR((F888+K888)/(D888-E888),100))</f>
        <v/>
      </c>
      <c r="M888" s="25" t="str">
        <f aca="false">IF(OR(A888="",B888="",L888=""),"",IF(B888=1,L888,IFERROR(SUMIFS($G$2:$G$1001,$A$2:$A$1001,A888,$B$2:$B$1001,B888-1),0)))</f>
        <v/>
      </c>
      <c r="N888" s="25" t="str">
        <f aca="false">IF(OR(L888="",M888=""),"",MIN(L888,M888))</f>
        <v/>
      </c>
      <c r="O888" s="25" t="str">
        <f aca="false">IF(OR(I888="",G888=""),"",I888+G888)</f>
        <v/>
      </c>
      <c r="P888" s="24" t="str">
        <f aca="false">IF(OR(O888="",O888=0),"",(J888+H888)/O888)</f>
        <v/>
      </c>
      <c r="Q888" s="24" t="str">
        <f aca="false">IF(OR(O888="",E888=""),"",MAX(J888+H888-E888*O888,0))</f>
        <v/>
      </c>
      <c r="R888" s="26" t="str">
        <f aca="false">IF(A888="","",IF(COUNTIF(_TradeIds,A888)=0,"违规：交易编号不存在",IF(OR(B888="",B888&lt;1,B888&gt;5,B888&lt;&gt;INT(B888)),"违规：加仓序号须为1到5的整数",IF(COUNTIFS($A$2:$A$1001,A888,$B$2:$B$1001,B888)&gt;1,"违规：同一交易的加仓序号重复",IF(OR(D888="",E888="",F888=""),"计划不完整：请填写加仓价、新止损价和风险预算",IF(OR(D888&lt;=0,E888&lt;=0,F888&lt;=0,D888&lt;=E888),"违规：加仓价必须高于新止损价，金额须大于0",IF(AND(B888&gt;1,COUNTIFS($A$2:$A$1001,A888,$B$2:$B$1001,B888-1,$G$2:$G$1001,"&gt;0")=0),"违规：须先完成上一次加仓",IF(AND(B888&gt;1,E888&lt;SUMIFS($E$2:$E$1001,$A$2:$A$1001,A888,$B$2:$B$1001,B888-1)),"违规：新止损价不得低于上一次",IF(AND(B888&gt;1,F888&gt;SUMIFS($F$2:$F$1001,$A$2:$A$1001,A888,$B$2:$B$1001,B888-1)),"违规：风险预算须逐次不增加",IF(OR(_LockStatus="已锁仓",_LockStatus="解锁信息不完整"),"违规：锁仓期间禁止加仓",IF(G888="","计划可执行：建议股数见N列",IF(OR(G888&lt;=0,G888&lt;&gt;INT(G888),MOD(G888,100)&lt;&gt;0),"违规：实际股数须为100股整数倍",IF(G888&gt;N888,"违规：实际股数超过风险或金字塔上限",IF(AND(B888&gt;1,G888&gt;SUMIFS($G$2:$G$1001,$A$2:$A$1001,A888,$B$2:$B$1001,B888-1)),"违规：加仓股数须逐次不增加",IF(Q888&gt;F888,"违规：止损风险超过本次预算","通过")))))))))))))))</f>
        <v/>
      </c>
    </row>
    <row r="889" customFormat="false" ht="15" hidden="false" customHeight="false" outlineLevel="0" collapsed="false">
      <c r="A889" s="20"/>
      <c r="B889" s="21"/>
      <c r="C889" s="22"/>
      <c r="D889" s="23"/>
      <c r="E889" s="23"/>
      <c r="F889" s="23"/>
      <c r="G889" s="21"/>
      <c r="H889" s="24" t="str">
        <f aca="false">IF(OR(A889="",D889="",G889=""),"",D889*G889)</f>
        <v/>
      </c>
      <c r="I889" s="25" t="str">
        <f aca="false">IF(OR(A889="",B889=""),"",IFERROR(LOOKUP(2,1/(单次交易!$A$2:$A$201=A889),单次交易!$H$2:$H$201),0)+SUMIFS($G$2:$G$1001,$A$2:$A$1001,A889,$B$2:$B$1001,"&lt;"&amp;B889))</f>
        <v/>
      </c>
      <c r="J889" s="24" t="str">
        <f aca="false">IF(OR(A889="",B889=""),"",IFERROR(LOOKUP(2,1/(单次交易!$A$2:$A$201=A889),单次交易!$E$2:$E$201)*LOOKUP(2,1/(单次交易!$A$2:$A$201=A889),单次交易!$H$2:$H$201),0)+SUMIFS($H$2:$H$1001,$A$2:$A$1001,A889,$B$2:$B$1001,"&lt;"&amp;B889))</f>
        <v/>
      </c>
      <c r="K889" s="24" t="str">
        <f aca="false">IF(OR(E889="",I889="",J889=""),"",MAX(E889*I889-J889,0))</f>
        <v/>
      </c>
      <c r="L889" s="25" t="str">
        <f aca="false">IF(OR(D889="",E889="",F889="",D889&lt;=E889),"",FLOOR((F889+K889)/(D889-E889),100))</f>
        <v/>
      </c>
      <c r="M889" s="25" t="str">
        <f aca="false">IF(OR(A889="",B889="",L889=""),"",IF(B889=1,L889,IFERROR(SUMIFS($G$2:$G$1001,$A$2:$A$1001,A889,$B$2:$B$1001,B889-1),0)))</f>
        <v/>
      </c>
      <c r="N889" s="25" t="str">
        <f aca="false">IF(OR(L889="",M889=""),"",MIN(L889,M889))</f>
        <v/>
      </c>
      <c r="O889" s="25" t="str">
        <f aca="false">IF(OR(I889="",G889=""),"",I889+G889)</f>
        <v/>
      </c>
      <c r="P889" s="24" t="str">
        <f aca="false">IF(OR(O889="",O889=0),"",(J889+H889)/O889)</f>
        <v/>
      </c>
      <c r="Q889" s="24" t="str">
        <f aca="false">IF(OR(O889="",E889=""),"",MAX(J889+H889-E889*O889,0))</f>
        <v/>
      </c>
      <c r="R889" s="26" t="str">
        <f aca="false">IF(A889="","",IF(COUNTIF(_TradeIds,A889)=0,"违规：交易编号不存在",IF(OR(B889="",B889&lt;1,B889&gt;5,B889&lt;&gt;INT(B889)),"违规：加仓序号须为1到5的整数",IF(COUNTIFS($A$2:$A$1001,A889,$B$2:$B$1001,B889)&gt;1,"违规：同一交易的加仓序号重复",IF(OR(D889="",E889="",F889=""),"计划不完整：请填写加仓价、新止损价和风险预算",IF(OR(D889&lt;=0,E889&lt;=0,F889&lt;=0,D889&lt;=E889),"违规：加仓价必须高于新止损价，金额须大于0",IF(AND(B889&gt;1,COUNTIFS($A$2:$A$1001,A889,$B$2:$B$1001,B889-1,$G$2:$G$1001,"&gt;0")=0),"违规：须先完成上一次加仓",IF(AND(B889&gt;1,E889&lt;SUMIFS($E$2:$E$1001,$A$2:$A$1001,A889,$B$2:$B$1001,B889-1)),"违规：新止损价不得低于上一次",IF(AND(B889&gt;1,F889&gt;SUMIFS($F$2:$F$1001,$A$2:$A$1001,A889,$B$2:$B$1001,B889-1)),"违规：风险预算须逐次不增加",IF(OR(_LockStatus="已锁仓",_LockStatus="解锁信息不完整"),"违规：锁仓期间禁止加仓",IF(G889="","计划可执行：建议股数见N列",IF(OR(G889&lt;=0,G889&lt;&gt;INT(G889),MOD(G889,100)&lt;&gt;0),"违规：实际股数须为100股整数倍",IF(G889&gt;N889,"违规：实际股数超过风险或金字塔上限",IF(AND(B889&gt;1,G889&gt;SUMIFS($G$2:$G$1001,$A$2:$A$1001,A889,$B$2:$B$1001,B889-1)),"违规：加仓股数须逐次不增加",IF(Q889&gt;F889,"违规：止损风险超过本次预算","通过")))))))))))))))</f>
        <v/>
      </c>
    </row>
    <row r="890" customFormat="false" ht="15" hidden="false" customHeight="false" outlineLevel="0" collapsed="false">
      <c r="A890" s="20"/>
      <c r="B890" s="21"/>
      <c r="C890" s="22"/>
      <c r="D890" s="23"/>
      <c r="E890" s="23"/>
      <c r="F890" s="23"/>
      <c r="G890" s="21"/>
      <c r="H890" s="24" t="str">
        <f aca="false">IF(OR(A890="",D890="",G890=""),"",D890*G890)</f>
        <v/>
      </c>
      <c r="I890" s="25" t="str">
        <f aca="false">IF(OR(A890="",B890=""),"",IFERROR(LOOKUP(2,1/(单次交易!$A$2:$A$201=A890),单次交易!$H$2:$H$201),0)+SUMIFS($G$2:$G$1001,$A$2:$A$1001,A890,$B$2:$B$1001,"&lt;"&amp;B890))</f>
        <v/>
      </c>
      <c r="J890" s="24" t="str">
        <f aca="false">IF(OR(A890="",B890=""),"",IFERROR(LOOKUP(2,1/(单次交易!$A$2:$A$201=A890),单次交易!$E$2:$E$201)*LOOKUP(2,1/(单次交易!$A$2:$A$201=A890),单次交易!$H$2:$H$201),0)+SUMIFS($H$2:$H$1001,$A$2:$A$1001,A890,$B$2:$B$1001,"&lt;"&amp;B890))</f>
        <v/>
      </c>
      <c r="K890" s="24" t="str">
        <f aca="false">IF(OR(E890="",I890="",J890=""),"",MAX(E890*I890-J890,0))</f>
        <v/>
      </c>
      <c r="L890" s="25" t="str">
        <f aca="false">IF(OR(D890="",E890="",F890="",D890&lt;=E890),"",FLOOR((F890+K890)/(D890-E890),100))</f>
        <v/>
      </c>
      <c r="M890" s="25" t="str">
        <f aca="false">IF(OR(A890="",B890="",L890=""),"",IF(B890=1,L890,IFERROR(SUMIFS($G$2:$G$1001,$A$2:$A$1001,A890,$B$2:$B$1001,B890-1),0)))</f>
        <v/>
      </c>
      <c r="N890" s="25" t="str">
        <f aca="false">IF(OR(L890="",M890=""),"",MIN(L890,M890))</f>
        <v/>
      </c>
      <c r="O890" s="25" t="str">
        <f aca="false">IF(OR(I890="",G890=""),"",I890+G890)</f>
        <v/>
      </c>
      <c r="P890" s="24" t="str">
        <f aca="false">IF(OR(O890="",O890=0),"",(J890+H890)/O890)</f>
        <v/>
      </c>
      <c r="Q890" s="24" t="str">
        <f aca="false">IF(OR(O890="",E890=""),"",MAX(J890+H890-E890*O890,0))</f>
        <v/>
      </c>
      <c r="R890" s="26" t="str">
        <f aca="false">IF(A890="","",IF(COUNTIF(_TradeIds,A890)=0,"违规：交易编号不存在",IF(OR(B890="",B890&lt;1,B890&gt;5,B890&lt;&gt;INT(B890)),"违规：加仓序号须为1到5的整数",IF(COUNTIFS($A$2:$A$1001,A890,$B$2:$B$1001,B890)&gt;1,"违规：同一交易的加仓序号重复",IF(OR(D890="",E890="",F890=""),"计划不完整：请填写加仓价、新止损价和风险预算",IF(OR(D890&lt;=0,E890&lt;=0,F890&lt;=0,D890&lt;=E890),"违规：加仓价必须高于新止损价，金额须大于0",IF(AND(B890&gt;1,COUNTIFS($A$2:$A$1001,A890,$B$2:$B$1001,B890-1,$G$2:$G$1001,"&gt;0")=0),"违规：须先完成上一次加仓",IF(AND(B890&gt;1,E890&lt;SUMIFS($E$2:$E$1001,$A$2:$A$1001,A890,$B$2:$B$1001,B890-1)),"违规：新止损价不得低于上一次",IF(AND(B890&gt;1,F890&gt;SUMIFS($F$2:$F$1001,$A$2:$A$1001,A890,$B$2:$B$1001,B890-1)),"违规：风险预算须逐次不增加",IF(OR(_LockStatus="已锁仓",_LockStatus="解锁信息不完整"),"违规：锁仓期间禁止加仓",IF(G890="","计划可执行：建议股数见N列",IF(OR(G890&lt;=0,G890&lt;&gt;INT(G890),MOD(G890,100)&lt;&gt;0),"违规：实际股数须为100股整数倍",IF(G890&gt;N890,"违规：实际股数超过风险或金字塔上限",IF(AND(B890&gt;1,G890&gt;SUMIFS($G$2:$G$1001,$A$2:$A$1001,A890,$B$2:$B$1001,B890-1)),"违规：加仓股数须逐次不增加",IF(Q890&gt;F890,"违规：止损风险超过本次预算","通过")))))))))))))))</f>
        <v/>
      </c>
    </row>
    <row r="891" customFormat="false" ht="15" hidden="false" customHeight="false" outlineLevel="0" collapsed="false">
      <c r="A891" s="20"/>
      <c r="B891" s="21"/>
      <c r="C891" s="22"/>
      <c r="D891" s="23"/>
      <c r="E891" s="23"/>
      <c r="F891" s="23"/>
      <c r="G891" s="21"/>
      <c r="H891" s="24" t="str">
        <f aca="false">IF(OR(A891="",D891="",G891=""),"",D891*G891)</f>
        <v/>
      </c>
      <c r="I891" s="25" t="str">
        <f aca="false">IF(OR(A891="",B891=""),"",IFERROR(LOOKUP(2,1/(单次交易!$A$2:$A$201=A891),单次交易!$H$2:$H$201),0)+SUMIFS($G$2:$G$1001,$A$2:$A$1001,A891,$B$2:$B$1001,"&lt;"&amp;B891))</f>
        <v/>
      </c>
      <c r="J891" s="24" t="str">
        <f aca="false">IF(OR(A891="",B891=""),"",IFERROR(LOOKUP(2,1/(单次交易!$A$2:$A$201=A891),单次交易!$E$2:$E$201)*LOOKUP(2,1/(单次交易!$A$2:$A$201=A891),单次交易!$H$2:$H$201),0)+SUMIFS($H$2:$H$1001,$A$2:$A$1001,A891,$B$2:$B$1001,"&lt;"&amp;B891))</f>
        <v/>
      </c>
      <c r="K891" s="24" t="str">
        <f aca="false">IF(OR(E891="",I891="",J891=""),"",MAX(E891*I891-J891,0))</f>
        <v/>
      </c>
      <c r="L891" s="25" t="str">
        <f aca="false">IF(OR(D891="",E891="",F891="",D891&lt;=E891),"",FLOOR((F891+K891)/(D891-E891),100))</f>
        <v/>
      </c>
      <c r="M891" s="25" t="str">
        <f aca="false">IF(OR(A891="",B891="",L891=""),"",IF(B891=1,L891,IFERROR(SUMIFS($G$2:$G$1001,$A$2:$A$1001,A891,$B$2:$B$1001,B891-1),0)))</f>
        <v/>
      </c>
      <c r="N891" s="25" t="str">
        <f aca="false">IF(OR(L891="",M891=""),"",MIN(L891,M891))</f>
        <v/>
      </c>
      <c r="O891" s="25" t="str">
        <f aca="false">IF(OR(I891="",G891=""),"",I891+G891)</f>
        <v/>
      </c>
      <c r="P891" s="24" t="str">
        <f aca="false">IF(OR(O891="",O891=0),"",(J891+H891)/O891)</f>
        <v/>
      </c>
      <c r="Q891" s="24" t="str">
        <f aca="false">IF(OR(O891="",E891=""),"",MAX(J891+H891-E891*O891,0))</f>
        <v/>
      </c>
      <c r="R891" s="26" t="str">
        <f aca="false">IF(A891="","",IF(COUNTIF(_TradeIds,A891)=0,"违规：交易编号不存在",IF(OR(B891="",B891&lt;1,B891&gt;5,B891&lt;&gt;INT(B891)),"违规：加仓序号须为1到5的整数",IF(COUNTIFS($A$2:$A$1001,A891,$B$2:$B$1001,B891)&gt;1,"违规：同一交易的加仓序号重复",IF(OR(D891="",E891="",F891=""),"计划不完整：请填写加仓价、新止损价和风险预算",IF(OR(D891&lt;=0,E891&lt;=0,F891&lt;=0,D891&lt;=E891),"违规：加仓价必须高于新止损价，金额须大于0",IF(AND(B891&gt;1,COUNTIFS($A$2:$A$1001,A891,$B$2:$B$1001,B891-1,$G$2:$G$1001,"&gt;0")=0),"违规：须先完成上一次加仓",IF(AND(B891&gt;1,E891&lt;SUMIFS($E$2:$E$1001,$A$2:$A$1001,A891,$B$2:$B$1001,B891-1)),"违规：新止损价不得低于上一次",IF(AND(B891&gt;1,F891&gt;SUMIFS($F$2:$F$1001,$A$2:$A$1001,A891,$B$2:$B$1001,B891-1)),"违规：风险预算须逐次不增加",IF(OR(_LockStatus="已锁仓",_LockStatus="解锁信息不完整"),"违规：锁仓期间禁止加仓",IF(G891="","计划可执行：建议股数见N列",IF(OR(G891&lt;=0,G891&lt;&gt;INT(G891),MOD(G891,100)&lt;&gt;0),"违规：实际股数须为100股整数倍",IF(G891&gt;N891,"违规：实际股数超过风险或金字塔上限",IF(AND(B891&gt;1,G891&gt;SUMIFS($G$2:$G$1001,$A$2:$A$1001,A891,$B$2:$B$1001,B891-1)),"违规：加仓股数须逐次不增加",IF(Q891&gt;F891,"违规：止损风险超过本次预算","通过")))))))))))))))</f>
        <v/>
      </c>
    </row>
    <row r="892" customFormat="false" ht="15" hidden="false" customHeight="false" outlineLevel="0" collapsed="false">
      <c r="A892" s="20"/>
      <c r="B892" s="21"/>
      <c r="C892" s="22"/>
      <c r="D892" s="23"/>
      <c r="E892" s="23"/>
      <c r="F892" s="23"/>
      <c r="G892" s="21"/>
      <c r="H892" s="24" t="str">
        <f aca="false">IF(OR(A892="",D892="",G892=""),"",D892*G892)</f>
        <v/>
      </c>
      <c r="I892" s="25" t="str">
        <f aca="false">IF(OR(A892="",B892=""),"",IFERROR(LOOKUP(2,1/(单次交易!$A$2:$A$201=A892),单次交易!$H$2:$H$201),0)+SUMIFS($G$2:$G$1001,$A$2:$A$1001,A892,$B$2:$B$1001,"&lt;"&amp;B892))</f>
        <v/>
      </c>
      <c r="J892" s="24" t="str">
        <f aca="false">IF(OR(A892="",B892=""),"",IFERROR(LOOKUP(2,1/(单次交易!$A$2:$A$201=A892),单次交易!$E$2:$E$201)*LOOKUP(2,1/(单次交易!$A$2:$A$201=A892),单次交易!$H$2:$H$201),0)+SUMIFS($H$2:$H$1001,$A$2:$A$1001,A892,$B$2:$B$1001,"&lt;"&amp;B892))</f>
        <v/>
      </c>
      <c r="K892" s="24" t="str">
        <f aca="false">IF(OR(E892="",I892="",J892=""),"",MAX(E892*I892-J892,0))</f>
        <v/>
      </c>
      <c r="L892" s="25" t="str">
        <f aca="false">IF(OR(D892="",E892="",F892="",D892&lt;=E892),"",FLOOR((F892+K892)/(D892-E892),100))</f>
        <v/>
      </c>
      <c r="M892" s="25" t="str">
        <f aca="false">IF(OR(A892="",B892="",L892=""),"",IF(B892=1,L892,IFERROR(SUMIFS($G$2:$G$1001,$A$2:$A$1001,A892,$B$2:$B$1001,B892-1),0)))</f>
        <v/>
      </c>
      <c r="N892" s="25" t="str">
        <f aca="false">IF(OR(L892="",M892=""),"",MIN(L892,M892))</f>
        <v/>
      </c>
      <c r="O892" s="25" t="str">
        <f aca="false">IF(OR(I892="",G892=""),"",I892+G892)</f>
        <v/>
      </c>
      <c r="P892" s="24" t="str">
        <f aca="false">IF(OR(O892="",O892=0),"",(J892+H892)/O892)</f>
        <v/>
      </c>
      <c r="Q892" s="24" t="str">
        <f aca="false">IF(OR(O892="",E892=""),"",MAX(J892+H892-E892*O892,0))</f>
        <v/>
      </c>
      <c r="R892" s="26" t="str">
        <f aca="false">IF(A892="","",IF(COUNTIF(_TradeIds,A892)=0,"违规：交易编号不存在",IF(OR(B892="",B892&lt;1,B892&gt;5,B892&lt;&gt;INT(B892)),"违规：加仓序号须为1到5的整数",IF(COUNTIFS($A$2:$A$1001,A892,$B$2:$B$1001,B892)&gt;1,"违规：同一交易的加仓序号重复",IF(OR(D892="",E892="",F892=""),"计划不完整：请填写加仓价、新止损价和风险预算",IF(OR(D892&lt;=0,E892&lt;=0,F892&lt;=0,D892&lt;=E892),"违规：加仓价必须高于新止损价，金额须大于0",IF(AND(B892&gt;1,COUNTIFS($A$2:$A$1001,A892,$B$2:$B$1001,B892-1,$G$2:$G$1001,"&gt;0")=0),"违规：须先完成上一次加仓",IF(AND(B892&gt;1,E892&lt;SUMIFS($E$2:$E$1001,$A$2:$A$1001,A892,$B$2:$B$1001,B892-1)),"违规：新止损价不得低于上一次",IF(AND(B892&gt;1,F892&gt;SUMIFS($F$2:$F$1001,$A$2:$A$1001,A892,$B$2:$B$1001,B892-1)),"违规：风险预算须逐次不增加",IF(OR(_LockStatus="已锁仓",_LockStatus="解锁信息不完整"),"违规：锁仓期间禁止加仓",IF(G892="","计划可执行：建议股数见N列",IF(OR(G892&lt;=0,G892&lt;&gt;INT(G892),MOD(G892,100)&lt;&gt;0),"违规：实际股数须为100股整数倍",IF(G892&gt;N892,"违规：实际股数超过风险或金字塔上限",IF(AND(B892&gt;1,G892&gt;SUMIFS($G$2:$G$1001,$A$2:$A$1001,A892,$B$2:$B$1001,B892-1)),"违规：加仓股数须逐次不增加",IF(Q892&gt;F892,"违规：止损风险超过本次预算","通过")))))))))))))))</f>
        <v/>
      </c>
    </row>
    <row r="893" customFormat="false" ht="15" hidden="false" customHeight="false" outlineLevel="0" collapsed="false">
      <c r="A893" s="20"/>
      <c r="B893" s="21"/>
      <c r="C893" s="22"/>
      <c r="D893" s="23"/>
      <c r="E893" s="23"/>
      <c r="F893" s="23"/>
      <c r="G893" s="21"/>
      <c r="H893" s="24" t="str">
        <f aca="false">IF(OR(A893="",D893="",G893=""),"",D893*G893)</f>
        <v/>
      </c>
      <c r="I893" s="25" t="str">
        <f aca="false">IF(OR(A893="",B893=""),"",IFERROR(LOOKUP(2,1/(单次交易!$A$2:$A$201=A893),单次交易!$H$2:$H$201),0)+SUMIFS($G$2:$G$1001,$A$2:$A$1001,A893,$B$2:$B$1001,"&lt;"&amp;B893))</f>
        <v/>
      </c>
      <c r="J893" s="24" t="str">
        <f aca="false">IF(OR(A893="",B893=""),"",IFERROR(LOOKUP(2,1/(单次交易!$A$2:$A$201=A893),单次交易!$E$2:$E$201)*LOOKUP(2,1/(单次交易!$A$2:$A$201=A893),单次交易!$H$2:$H$201),0)+SUMIFS($H$2:$H$1001,$A$2:$A$1001,A893,$B$2:$B$1001,"&lt;"&amp;B893))</f>
        <v/>
      </c>
      <c r="K893" s="24" t="str">
        <f aca="false">IF(OR(E893="",I893="",J893=""),"",MAX(E893*I893-J893,0))</f>
        <v/>
      </c>
      <c r="L893" s="25" t="str">
        <f aca="false">IF(OR(D893="",E893="",F893="",D893&lt;=E893),"",FLOOR((F893+K893)/(D893-E893),100))</f>
        <v/>
      </c>
      <c r="M893" s="25" t="str">
        <f aca="false">IF(OR(A893="",B893="",L893=""),"",IF(B893=1,L893,IFERROR(SUMIFS($G$2:$G$1001,$A$2:$A$1001,A893,$B$2:$B$1001,B893-1),0)))</f>
        <v/>
      </c>
      <c r="N893" s="25" t="str">
        <f aca="false">IF(OR(L893="",M893=""),"",MIN(L893,M893))</f>
        <v/>
      </c>
      <c r="O893" s="25" t="str">
        <f aca="false">IF(OR(I893="",G893=""),"",I893+G893)</f>
        <v/>
      </c>
      <c r="P893" s="24" t="str">
        <f aca="false">IF(OR(O893="",O893=0),"",(J893+H893)/O893)</f>
        <v/>
      </c>
      <c r="Q893" s="24" t="str">
        <f aca="false">IF(OR(O893="",E893=""),"",MAX(J893+H893-E893*O893,0))</f>
        <v/>
      </c>
      <c r="R893" s="26" t="str">
        <f aca="false">IF(A893="","",IF(COUNTIF(_TradeIds,A893)=0,"违规：交易编号不存在",IF(OR(B893="",B893&lt;1,B893&gt;5,B893&lt;&gt;INT(B893)),"违规：加仓序号须为1到5的整数",IF(COUNTIFS($A$2:$A$1001,A893,$B$2:$B$1001,B893)&gt;1,"违规：同一交易的加仓序号重复",IF(OR(D893="",E893="",F893=""),"计划不完整：请填写加仓价、新止损价和风险预算",IF(OR(D893&lt;=0,E893&lt;=0,F893&lt;=0,D893&lt;=E893),"违规：加仓价必须高于新止损价，金额须大于0",IF(AND(B893&gt;1,COUNTIFS($A$2:$A$1001,A893,$B$2:$B$1001,B893-1,$G$2:$G$1001,"&gt;0")=0),"违规：须先完成上一次加仓",IF(AND(B893&gt;1,E893&lt;SUMIFS($E$2:$E$1001,$A$2:$A$1001,A893,$B$2:$B$1001,B893-1)),"违规：新止损价不得低于上一次",IF(AND(B893&gt;1,F893&gt;SUMIFS($F$2:$F$1001,$A$2:$A$1001,A893,$B$2:$B$1001,B893-1)),"违规：风险预算须逐次不增加",IF(OR(_LockStatus="已锁仓",_LockStatus="解锁信息不完整"),"违规：锁仓期间禁止加仓",IF(G893="","计划可执行：建议股数见N列",IF(OR(G893&lt;=0,G893&lt;&gt;INT(G893),MOD(G893,100)&lt;&gt;0),"违规：实际股数须为100股整数倍",IF(G893&gt;N893,"违规：实际股数超过风险或金字塔上限",IF(AND(B893&gt;1,G893&gt;SUMIFS($G$2:$G$1001,$A$2:$A$1001,A893,$B$2:$B$1001,B893-1)),"违规：加仓股数须逐次不增加",IF(Q893&gt;F893,"违规：止损风险超过本次预算","通过")))))))))))))))</f>
        <v/>
      </c>
    </row>
    <row r="894" customFormat="false" ht="15" hidden="false" customHeight="false" outlineLevel="0" collapsed="false">
      <c r="A894" s="20"/>
      <c r="B894" s="21"/>
      <c r="C894" s="22"/>
      <c r="D894" s="23"/>
      <c r="E894" s="23"/>
      <c r="F894" s="23"/>
      <c r="G894" s="21"/>
      <c r="H894" s="24" t="str">
        <f aca="false">IF(OR(A894="",D894="",G894=""),"",D894*G894)</f>
        <v/>
      </c>
      <c r="I894" s="25" t="str">
        <f aca="false">IF(OR(A894="",B894=""),"",IFERROR(LOOKUP(2,1/(单次交易!$A$2:$A$201=A894),单次交易!$H$2:$H$201),0)+SUMIFS($G$2:$G$1001,$A$2:$A$1001,A894,$B$2:$B$1001,"&lt;"&amp;B894))</f>
        <v/>
      </c>
      <c r="J894" s="24" t="str">
        <f aca="false">IF(OR(A894="",B894=""),"",IFERROR(LOOKUP(2,1/(单次交易!$A$2:$A$201=A894),单次交易!$E$2:$E$201)*LOOKUP(2,1/(单次交易!$A$2:$A$201=A894),单次交易!$H$2:$H$201),0)+SUMIFS($H$2:$H$1001,$A$2:$A$1001,A894,$B$2:$B$1001,"&lt;"&amp;B894))</f>
        <v/>
      </c>
      <c r="K894" s="24" t="str">
        <f aca="false">IF(OR(E894="",I894="",J894=""),"",MAX(E894*I894-J894,0))</f>
        <v/>
      </c>
      <c r="L894" s="25" t="str">
        <f aca="false">IF(OR(D894="",E894="",F894="",D894&lt;=E894),"",FLOOR((F894+K894)/(D894-E894),100))</f>
        <v/>
      </c>
      <c r="M894" s="25" t="str">
        <f aca="false">IF(OR(A894="",B894="",L894=""),"",IF(B894=1,L894,IFERROR(SUMIFS($G$2:$G$1001,$A$2:$A$1001,A894,$B$2:$B$1001,B894-1),0)))</f>
        <v/>
      </c>
      <c r="N894" s="25" t="str">
        <f aca="false">IF(OR(L894="",M894=""),"",MIN(L894,M894))</f>
        <v/>
      </c>
      <c r="O894" s="25" t="str">
        <f aca="false">IF(OR(I894="",G894=""),"",I894+G894)</f>
        <v/>
      </c>
      <c r="P894" s="24" t="str">
        <f aca="false">IF(OR(O894="",O894=0),"",(J894+H894)/O894)</f>
        <v/>
      </c>
      <c r="Q894" s="24" t="str">
        <f aca="false">IF(OR(O894="",E894=""),"",MAX(J894+H894-E894*O894,0))</f>
        <v/>
      </c>
      <c r="R894" s="26" t="str">
        <f aca="false">IF(A894="","",IF(COUNTIF(_TradeIds,A894)=0,"违规：交易编号不存在",IF(OR(B894="",B894&lt;1,B894&gt;5,B894&lt;&gt;INT(B894)),"违规：加仓序号须为1到5的整数",IF(COUNTIFS($A$2:$A$1001,A894,$B$2:$B$1001,B894)&gt;1,"违规：同一交易的加仓序号重复",IF(OR(D894="",E894="",F894=""),"计划不完整：请填写加仓价、新止损价和风险预算",IF(OR(D894&lt;=0,E894&lt;=0,F894&lt;=0,D894&lt;=E894),"违规：加仓价必须高于新止损价，金额须大于0",IF(AND(B894&gt;1,COUNTIFS($A$2:$A$1001,A894,$B$2:$B$1001,B894-1,$G$2:$G$1001,"&gt;0")=0),"违规：须先完成上一次加仓",IF(AND(B894&gt;1,E894&lt;SUMIFS($E$2:$E$1001,$A$2:$A$1001,A894,$B$2:$B$1001,B894-1)),"违规：新止损价不得低于上一次",IF(AND(B894&gt;1,F894&gt;SUMIFS($F$2:$F$1001,$A$2:$A$1001,A894,$B$2:$B$1001,B894-1)),"违规：风险预算须逐次不增加",IF(OR(_LockStatus="已锁仓",_LockStatus="解锁信息不完整"),"违规：锁仓期间禁止加仓",IF(G894="","计划可执行：建议股数见N列",IF(OR(G894&lt;=0,G894&lt;&gt;INT(G894),MOD(G894,100)&lt;&gt;0),"违规：实际股数须为100股整数倍",IF(G894&gt;N894,"违规：实际股数超过风险或金字塔上限",IF(AND(B894&gt;1,G894&gt;SUMIFS($G$2:$G$1001,$A$2:$A$1001,A894,$B$2:$B$1001,B894-1)),"违规：加仓股数须逐次不增加",IF(Q894&gt;F894,"违规：止损风险超过本次预算","通过")))))))))))))))</f>
        <v/>
      </c>
    </row>
    <row r="895" customFormat="false" ht="15" hidden="false" customHeight="false" outlineLevel="0" collapsed="false">
      <c r="A895" s="20"/>
      <c r="B895" s="21"/>
      <c r="C895" s="22"/>
      <c r="D895" s="23"/>
      <c r="E895" s="23"/>
      <c r="F895" s="23"/>
      <c r="G895" s="21"/>
      <c r="H895" s="24" t="str">
        <f aca="false">IF(OR(A895="",D895="",G895=""),"",D895*G895)</f>
        <v/>
      </c>
      <c r="I895" s="25" t="str">
        <f aca="false">IF(OR(A895="",B895=""),"",IFERROR(LOOKUP(2,1/(单次交易!$A$2:$A$201=A895),单次交易!$H$2:$H$201),0)+SUMIFS($G$2:$G$1001,$A$2:$A$1001,A895,$B$2:$B$1001,"&lt;"&amp;B895))</f>
        <v/>
      </c>
      <c r="J895" s="24" t="str">
        <f aca="false">IF(OR(A895="",B895=""),"",IFERROR(LOOKUP(2,1/(单次交易!$A$2:$A$201=A895),单次交易!$E$2:$E$201)*LOOKUP(2,1/(单次交易!$A$2:$A$201=A895),单次交易!$H$2:$H$201),0)+SUMIFS($H$2:$H$1001,$A$2:$A$1001,A895,$B$2:$B$1001,"&lt;"&amp;B895))</f>
        <v/>
      </c>
      <c r="K895" s="24" t="str">
        <f aca="false">IF(OR(E895="",I895="",J895=""),"",MAX(E895*I895-J895,0))</f>
        <v/>
      </c>
      <c r="L895" s="25" t="str">
        <f aca="false">IF(OR(D895="",E895="",F895="",D895&lt;=E895),"",FLOOR((F895+K895)/(D895-E895),100))</f>
        <v/>
      </c>
      <c r="M895" s="25" t="str">
        <f aca="false">IF(OR(A895="",B895="",L895=""),"",IF(B895=1,L895,IFERROR(SUMIFS($G$2:$G$1001,$A$2:$A$1001,A895,$B$2:$B$1001,B895-1),0)))</f>
        <v/>
      </c>
      <c r="N895" s="25" t="str">
        <f aca="false">IF(OR(L895="",M895=""),"",MIN(L895,M895))</f>
        <v/>
      </c>
      <c r="O895" s="25" t="str">
        <f aca="false">IF(OR(I895="",G895=""),"",I895+G895)</f>
        <v/>
      </c>
      <c r="P895" s="24" t="str">
        <f aca="false">IF(OR(O895="",O895=0),"",(J895+H895)/O895)</f>
        <v/>
      </c>
      <c r="Q895" s="24" t="str">
        <f aca="false">IF(OR(O895="",E895=""),"",MAX(J895+H895-E895*O895,0))</f>
        <v/>
      </c>
      <c r="R895" s="26" t="str">
        <f aca="false">IF(A895="","",IF(COUNTIF(_TradeIds,A895)=0,"违规：交易编号不存在",IF(OR(B895="",B895&lt;1,B895&gt;5,B895&lt;&gt;INT(B895)),"违规：加仓序号须为1到5的整数",IF(COUNTIFS($A$2:$A$1001,A895,$B$2:$B$1001,B895)&gt;1,"违规：同一交易的加仓序号重复",IF(OR(D895="",E895="",F895=""),"计划不完整：请填写加仓价、新止损价和风险预算",IF(OR(D895&lt;=0,E895&lt;=0,F895&lt;=0,D895&lt;=E895),"违规：加仓价必须高于新止损价，金额须大于0",IF(AND(B895&gt;1,COUNTIFS($A$2:$A$1001,A895,$B$2:$B$1001,B895-1,$G$2:$G$1001,"&gt;0")=0),"违规：须先完成上一次加仓",IF(AND(B895&gt;1,E895&lt;SUMIFS($E$2:$E$1001,$A$2:$A$1001,A895,$B$2:$B$1001,B895-1)),"违规：新止损价不得低于上一次",IF(AND(B895&gt;1,F895&gt;SUMIFS($F$2:$F$1001,$A$2:$A$1001,A895,$B$2:$B$1001,B895-1)),"违规：风险预算须逐次不增加",IF(OR(_LockStatus="已锁仓",_LockStatus="解锁信息不完整"),"违规：锁仓期间禁止加仓",IF(G895="","计划可执行：建议股数见N列",IF(OR(G895&lt;=0,G895&lt;&gt;INT(G895),MOD(G895,100)&lt;&gt;0),"违规：实际股数须为100股整数倍",IF(G895&gt;N895,"违规：实际股数超过风险或金字塔上限",IF(AND(B895&gt;1,G895&gt;SUMIFS($G$2:$G$1001,$A$2:$A$1001,A895,$B$2:$B$1001,B895-1)),"违规：加仓股数须逐次不增加",IF(Q895&gt;F895,"违规：止损风险超过本次预算","通过")))))))))))))))</f>
        <v/>
      </c>
    </row>
    <row r="896" customFormat="false" ht="15" hidden="false" customHeight="false" outlineLevel="0" collapsed="false">
      <c r="A896" s="20"/>
      <c r="B896" s="21"/>
      <c r="C896" s="22"/>
      <c r="D896" s="23"/>
      <c r="E896" s="23"/>
      <c r="F896" s="23"/>
      <c r="G896" s="21"/>
      <c r="H896" s="24" t="str">
        <f aca="false">IF(OR(A896="",D896="",G896=""),"",D896*G896)</f>
        <v/>
      </c>
      <c r="I896" s="25" t="str">
        <f aca="false">IF(OR(A896="",B896=""),"",IFERROR(LOOKUP(2,1/(单次交易!$A$2:$A$201=A896),单次交易!$H$2:$H$201),0)+SUMIFS($G$2:$G$1001,$A$2:$A$1001,A896,$B$2:$B$1001,"&lt;"&amp;B896))</f>
        <v/>
      </c>
      <c r="J896" s="24" t="str">
        <f aca="false">IF(OR(A896="",B896=""),"",IFERROR(LOOKUP(2,1/(单次交易!$A$2:$A$201=A896),单次交易!$E$2:$E$201)*LOOKUP(2,1/(单次交易!$A$2:$A$201=A896),单次交易!$H$2:$H$201),0)+SUMIFS($H$2:$H$1001,$A$2:$A$1001,A896,$B$2:$B$1001,"&lt;"&amp;B896))</f>
        <v/>
      </c>
      <c r="K896" s="24" t="str">
        <f aca="false">IF(OR(E896="",I896="",J896=""),"",MAX(E896*I896-J896,0))</f>
        <v/>
      </c>
      <c r="L896" s="25" t="str">
        <f aca="false">IF(OR(D896="",E896="",F896="",D896&lt;=E896),"",FLOOR((F896+K896)/(D896-E896),100))</f>
        <v/>
      </c>
      <c r="M896" s="25" t="str">
        <f aca="false">IF(OR(A896="",B896="",L896=""),"",IF(B896=1,L896,IFERROR(SUMIFS($G$2:$G$1001,$A$2:$A$1001,A896,$B$2:$B$1001,B896-1),0)))</f>
        <v/>
      </c>
      <c r="N896" s="25" t="str">
        <f aca="false">IF(OR(L896="",M896=""),"",MIN(L896,M896))</f>
        <v/>
      </c>
      <c r="O896" s="25" t="str">
        <f aca="false">IF(OR(I896="",G896=""),"",I896+G896)</f>
        <v/>
      </c>
      <c r="P896" s="24" t="str">
        <f aca="false">IF(OR(O896="",O896=0),"",(J896+H896)/O896)</f>
        <v/>
      </c>
      <c r="Q896" s="24" t="str">
        <f aca="false">IF(OR(O896="",E896=""),"",MAX(J896+H896-E896*O896,0))</f>
        <v/>
      </c>
      <c r="R896" s="26" t="str">
        <f aca="false">IF(A896="","",IF(COUNTIF(_TradeIds,A896)=0,"违规：交易编号不存在",IF(OR(B896="",B896&lt;1,B896&gt;5,B896&lt;&gt;INT(B896)),"违规：加仓序号须为1到5的整数",IF(COUNTIFS($A$2:$A$1001,A896,$B$2:$B$1001,B896)&gt;1,"违规：同一交易的加仓序号重复",IF(OR(D896="",E896="",F896=""),"计划不完整：请填写加仓价、新止损价和风险预算",IF(OR(D896&lt;=0,E896&lt;=0,F896&lt;=0,D896&lt;=E896),"违规：加仓价必须高于新止损价，金额须大于0",IF(AND(B896&gt;1,COUNTIFS($A$2:$A$1001,A896,$B$2:$B$1001,B896-1,$G$2:$G$1001,"&gt;0")=0),"违规：须先完成上一次加仓",IF(AND(B896&gt;1,E896&lt;SUMIFS($E$2:$E$1001,$A$2:$A$1001,A896,$B$2:$B$1001,B896-1)),"违规：新止损价不得低于上一次",IF(AND(B896&gt;1,F896&gt;SUMIFS($F$2:$F$1001,$A$2:$A$1001,A896,$B$2:$B$1001,B896-1)),"违规：风险预算须逐次不增加",IF(OR(_LockStatus="已锁仓",_LockStatus="解锁信息不完整"),"违规：锁仓期间禁止加仓",IF(G896="","计划可执行：建议股数见N列",IF(OR(G896&lt;=0,G896&lt;&gt;INT(G896),MOD(G896,100)&lt;&gt;0),"违规：实际股数须为100股整数倍",IF(G896&gt;N896,"违规：实际股数超过风险或金字塔上限",IF(AND(B896&gt;1,G896&gt;SUMIFS($G$2:$G$1001,$A$2:$A$1001,A896,$B$2:$B$1001,B896-1)),"违规：加仓股数须逐次不增加",IF(Q896&gt;F896,"违规：止损风险超过本次预算","通过")))))))))))))))</f>
        <v/>
      </c>
    </row>
    <row r="897" customFormat="false" ht="15" hidden="false" customHeight="false" outlineLevel="0" collapsed="false">
      <c r="A897" s="20"/>
      <c r="B897" s="21"/>
      <c r="C897" s="22"/>
      <c r="D897" s="23"/>
      <c r="E897" s="23"/>
      <c r="F897" s="23"/>
      <c r="G897" s="21"/>
      <c r="H897" s="24" t="str">
        <f aca="false">IF(OR(A897="",D897="",G897=""),"",D897*G897)</f>
        <v/>
      </c>
      <c r="I897" s="25" t="str">
        <f aca="false">IF(OR(A897="",B897=""),"",IFERROR(LOOKUP(2,1/(单次交易!$A$2:$A$201=A897),单次交易!$H$2:$H$201),0)+SUMIFS($G$2:$G$1001,$A$2:$A$1001,A897,$B$2:$B$1001,"&lt;"&amp;B897))</f>
        <v/>
      </c>
      <c r="J897" s="24" t="str">
        <f aca="false">IF(OR(A897="",B897=""),"",IFERROR(LOOKUP(2,1/(单次交易!$A$2:$A$201=A897),单次交易!$E$2:$E$201)*LOOKUP(2,1/(单次交易!$A$2:$A$201=A897),单次交易!$H$2:$H$201),0)+SUMIFS($H$2:$H$1001,$A$2:$A$1001,A897,$B$2:$B$1001,"&lt;"&amp;B897))</f>
        <v/>
      </c>
      <c r="K897" s="24" t="str">
        <f aca="false">IF(OR(E897="",I897="",J897=""),"",MAX(E897*I897-J897,0))</f>
        <v/>
      </c>
      <c r="L897" s="25" t="str">
        <f aca="false">IF(OR(D897="",E897="",F897="",D897&lt;=E897),"",FLOOR((F897+K897)/(D897-E897),100))</f>
        <v/>
      </c>
      <c r="M897" s="25" t="str">
        <f aca="false">IF(OR(A897="",B897="",L897=""),"",IF(B897=1,L897,IFERROR(SUMIFS($G$2:$G$1001,$A$2:$A$1001,A897,$B$2:$B$1001,B897-1),0)))</f>
        <v/>
      </c>
      <c r="N897" s="25" t="str">
        <f aca="false">IF(OR(L897="",M897=""),"",MIN(L897,M897))</f>
        <v/>
      </c>
      <c r="O897" s="25" t="str">
        <f aca="false">IF(OR(I897="",G897=""),"",I897+G897)</f>
        <v/>
      </c>
      <c r="P897" s="24" t="str">
        <f aca="false">IF(OR(O897="",O897=0),"",(J897+H897)/O897)</f>
        <v/>
      </c>
      <c r="Q897" s="24" t="str">
        <f aca="false">IF(OR(O897="",E897=""),"",MAX(J897+H897-E897*O897,0))</f>
        <v/>
      </c>
      <c r="R897" s="26" t="str">
        <f aca="false">IF(A897="","",IF(COUNTIF(_TradeIds,A897)=0,"违规：交易编号不存在",IF(OR(B897="",B897&lt;1,B897&gt;5,B897&lt;&gt;INT(B897)),"违规：加仓序号须为1到5的整数",IF(COUNTIFS($A$2:$A$1001,A897,$B$2:$B$1001,B897)&gt;1,"违规：同一交易的加仓序号重复",IF(OR(D897="",E897="",F897=""),"计划不完整：请填写加仓价、新止损价和风险预算",IF(OR(D897&lt;=0,E897&lt;=0,F897&lt;=0,D897&lt;=E897),"违规：加仓价必须高于新止损价，金额须大于0",IF(AND(B897&gt;1,COUNTIFS($A$2:$A$1001,A897,$B$2:$B$1001,B897-1,$G$2:$G$1001,"&gt;0")=0),"违规：须先完成上一次加仓",IF(AND(B897&gt;1,E897&lt;SUMIFS($E$2:$E$1001,$A$2:$A$1001,A897,$B$2:$B$1001,B897-1)),"违规：新止损价不得低于上一次",IF(AND(B897&gt;1,F897&gt;SUMIFS($F$2:$F$1001,$A$2:$A$1001,A897,$B$2:$B$1001,B897-1)),"违规：风险预算须逐次不增加",IF(OR(_LockStatus="已锁仓",_LockStatus="解锁信息不完整"),"违规：锁仓期间禁止加仓",IF(G897="","计划可执行：建议股数见N列",IF(OR(G897&lt;=0,G897&lt;&gt;INT(G897),MOD(G897,100)&lt;&gt;0),"违规：实际股数须为100股整数倍",IF(G897&gt;N897,"违规：实际股数超过风险或金字塔上限",IF(AND(B897&gt;1,G897&gt;SUMIFS($G$2:$G$1001,$A$2:$A$1001,A897,$B$2:$B$1001,B897-1)),"违规：加仓股数须逐次不增加",IF(Q897&gt;F897,"违规：止损风险超过本次预算","通过")))))))))))))))</f>
        <v/>
      </c>
    </row>
    <row r="898" customFormat="false" ht="15" hidden="false" customHeight="false" outlineLevel="0" collapsed="false">
      <c r="A898" s="20"/>
      <c r="B898" s="21"/>
      <c r="C898" s="22"/>
      <c r="D898" s="23"/>
      <c r="E898" s="23"/>
      <c r="F898" s="23"/>
      <c r="G898" s="21"/>
      <c r="H898" s="24" t="str">
        <f aca="false">IF(OR(A898="",D898="",G898=""),"",D898*G898)</f>
        <v/>
      </c>
      <c r="I898" s="25" t="str">
        <f aca="false">IF(OR(A898="",B898=""),"",IFERROR(LOOKUP(2,1/(单次交易!$A$2:$A$201=A898),单次交易!$H$2:$H$201),0)+SUMIFS($G$2:$G$1001,$A$2:$A$1001,A898,$B$2:$B$1001,"&lt;"&amp;B898))</f>
        <v/>
      </c>
      <c r="J898" s="24" t="str">
        <f aca="false">IF(OR(A898="",B898=""),"",IFERROR(LOOKUP(2,1/(单次交易!$A$2:$A$201=A898),单次交易!$E$2:$E$201)*LOOKUP(2,1/(单次交易!$A$2:$A$201=A898),单次交易!$H$2:$H$201),0)+SUMIFS($H$2:$H$1001,$A$2:$A$1001,A898,$B$2:$B$1001,"&lt;"&amp;B898))</f>
        <v/>
      </c>
      <c r="K898" s="24" t="str">
        <f aca="false">IF(OR(E898="",I898="",J898=""),"",MAX(E898*I898-J898,0))</f>
        <v/>
      </c>
      <c r="L898" s="25" t="str">
        <f aca="false">IF(OR(D898="",E898="",F898="",D898&lt;=E898),"",FLOOR((F898+K898)/(D898-E898),100))</f>
        <v/>
      </c>
      <c r="M898" s="25" t="str">
        <f aca="false">IF(OR(A898="",B898="",L898=""),"",IF(B898=1,L898,IFERROR(SUMIFS($G$2:$G$1001,$A$2:$A$1001,A898,$B$2:$B$1001,B898-1),0)))</f>
        <v/>
      </c>
      <c r="N898" s="25" t="str">
        <f aca="false">IF(OR(L898="",M898=""),"",MIN(L898,M898))</f>
        <v/>
      </c>
      <c r="O898" s="25" t="str">
        <f aca="false">IF(OR(I898="",G898=""),"",I898+G898)</f>
        <v/>
      </c>
      <c r="P898" s="24" t="str">
        <f aca="false">IF(OR(O898="",O898=0),"",(J898+H898)/O898)</f>
        <v/>
      </c>
      <c r="Q898" s="24" t="str">
        <f aca="false">IF(OR(O898="",E898=""),"",MAX(J898+H898-E898*O898,0))</f>
        <v/>
      </c>
      <c r="R898" s="26" t="str">
        <f aca="false">IF(A898="","",IF(COUNTIF(_TradeIds,A898)=0,"违规：交易编号不存在",IF(OR(B898="",B898&lt;1,B898&gt;5,B898&lt;&gt;INT(B898)),"违规：加仓序号须为1到5的整数",IF(COUNTIFS($A$2:$A$1001,A898,$B$2:$B$1001,B898)&gt;1,"违规：同一交易的加仓序号重复",IF(OR(D898="",E898="",F898=""),"计划不完整：请填写加仓价、新止损价和风险预算",IF(OR(D898&lt;=0,E898&lt;=0,F898&lt;=0,D898&lt;=E898),"违规：加仓价必须高于新止损价，金额须大于0",IF(AND(B898&gt;1,COUNTIFS($A$2:$A$1001,A898,$B$2:$B$1001,B898-1,$G$2:$G$1001,"&gt;0")=0),"违规：须先完成上一次加仓",IF(AND(B898&gt;1,E898&lt;SUMIFS($E$2:$E$1001,$A$2:$A$1001,A898,$B$2:$B$1001,B898-1)),"违规：新止损价不得低于上一次",IF(AND(B898&gt;1,F898&gt;SUMIFS($F$2:$F$1001,$A$2:$A$1001,A898,$B$2:$B$1001,B898-1)),"违规：风险预算须逐次不增加",IF(OR(_LockStatus="已锁仓",_LockStatus="解锁信息不完整"),"违规：锁仓期间禁止加仓",IF(G898="","计划可执行：建议股数见N列",IF(OR(G898&lt;=0,G898&lt;&gt;INT(G898),MOD(G898,100)&lt;&gt;0),"违规：实际股数须为100股整数倍",IF(G898&gt;N898,"违规：实际股数超过风险或金字塔上限",IF(AND(B898&gt;1,G898&gt;SUMIFS($G$2:$G$1001,$A$2:$A$1001,A898,$B$2:$B$1001,B898-1)),"违规：加仓股数须逐次不增加",IF(Q898&gt;F898,"违规：止损风险超过本次预算","通过")))))))))))))))</f>
        <v/>
      </c>
    </row>
    <row r="899" customFormat="false" ht="15" hidden="false" customHeight="false" outlineLevel="0" collapsed="false">
      <c r="A899" s="20"/>
      <c r="B899" s="21"/>
      <c r="C899" s="22"/>
      <c r="D899" s="23"/>
      <c r="E899" s="23"/>
      <c r="F899" s="23"/>
      <c r="G899" s="21"/>
      <c r="H899" s="24" t="str">
        <f aca="false">IF(OR(A899="",D899="",G899=""),"",D899*G899)</f>
        <v/>
      </c>
      <c r="I899" s="25" t="str">
        <f aca="false">IF(OR(A899="",B899=""),"",IFERROR(LOOKUP(2,1/(单次交易!$A$2:$A$201=A899),单次交易!$H$2:$H$201),0)+SUMIFS($G$2:$G$1001,$A$2:$A$1001,A899,$B$2:$B$1001,"&lt;"&amp;B899))</f>
        <v/>
      </c>
      <c r="J899" s="24" t="str">
        <f aca="false">IF(OR(A899="",B899=""),"",IFERROR(LOOKUP(2,1/(单次交易!$A$2:$A$201=A899),单次交易!$E$2:$E$201)*LOOKUP(2,1/(单次交易!$A$2:$A$201=A899),单次交易!$H$2:$H$201),0)+SUMIFS($H$2:$H$1001,$A$2:$A$1001,A899,$B$2:$B$1001,"&lt;"&amp;B899))</f>
        <v/>
      </c>
      <c r="K899" s="24" t="str">
        <f aca="false">IF(OR(E899="",I899="",J899=""),"",MAX(E899*I899-J899,0))</f>
        <v/>
      </c>
      <c r="L899" s="25" t="str">
        <f aca="false">IF(OR(D899="",E899="",F899="",D899&lt;=E899),"",FLOOR((F899+K899)/(D899-E899),100))</f>
        <v/>
      </c>
      <c r="M899" s="25" t="str">
        <f aca="false">IF(OR(A899="",B899="",L899=""),"",IF(B899=1,L899,IFERROR(SUMIFS($G$2:$G$1001,$A$2:$A$1001,A899,$B$2:$B$1001,B899-1),0)))</f>
        <v/>
      </c>
      <c r="N899" s="25" t="str">
        <f aca="false">IF(OR(L899="",M899=""),"",MIN(L899,M899))</f>
        <v/>
      </c>
      <c r="O899" s="25" t="str">
        <f aca="false">IF(OR(I899="",G899=""),"",I899+G899)</f>
        <v/>
      </c>
      <c r="P899" s="24" t="str">
        <f aca="false">IF(OR(O899="",O899=0),"",(J899+H899)/O899)</f>
        <v/>
      </c>
      <c r="Q899" s="24" t="str">
        <f aca="false">IF(OR(O899="",E899=""),"",MAX(J899+H899-E899*O899,0))</f>
        <v/>
      </c>
      <c r="R899" s="26" t="str">
        <f aca="false">IF(A899="","",IF(COUNTIF(_TradeIds,A899)=0,"违规：交易编号不存在",IF(OR(B899="",B899&lt;1,B899&gt;5,B899&lt;&gt;INT(B899)),"违规：加仓序号须为1到5的整数",IF(COUNTIFS($A$2:$A$1001,A899,$B$2:$B$1001,B899)&gt;1,"违规：同一交易的加仓序号重复",IF(OR(D899="",E899="",F899=""),"计划不完整：请填写加仓价、新止损价和风险预算",IF(OR(D899&lt;=0,E899&lt;=0,F899&lt;=0,D899&lt;=E899),"违规：加仓价必须高于新止损价，金额须大于0",IF(AND(B899&gt;1,COUNTIFS($A$2:$A$1001,A899,$B$2:$B$1001,B899-1,$G$2:$G$1001,"&gt;0")=0),"违规：须先完成上一次加仓",IF(AND(B899&gt;1,E899&lt;SUMIFS($E$2:$E$1001,$A$2:$A$1001,A899,$B$2:$B$1001,B899-1)),"违规：新止损价不得低于上一次",IF(AND(B899&gt;1,F899&gt;SUMIFS($F$2:$F$1001,$A$2:$A$1001,A899,$B$2:$B$1001,B899-1)),"违规：风险预算须逐次不增加",IF(OR(_LockStatus="已锁仓",_LockStatus="解锁信息不完整"),"违规：锁仓期间禁止加仓",IF(G899="","计划可执行：建议股数见N列",IF(OR(G899&lt;=0,G899&lt;&gt;INT(G899),MOD(G899,100)&lt;&gt;0),"违规：实际股数须为100股整数倍",IF(G899&gt;N899,"违规：实际股数超过风险或金字塔上限",IF(AND(B899&gt;1,G899&gt;SUMIFS($G$2:$G$1001,$A$2:$A$1001,A899,$B$2:$B$1001,B899-1)),"违规：加仓股数须逐次不增加",IF(Q899&gt;F899,"违规：止损风险超过本次预算","通过")))))))))))))))</f>
        <v/>
      </c>
    </row>
    <row r="900" customFormat="false" ht="15" hidden="false" customHeight="false" outlineLevel="0" collapsed="false">
      <c r="A900" s="20"/>
      <c r="B900" s="21"/>
      <c r="C900" s="22"/>
      <c r="D900" s="23"/>
      <c r="E900" s="23"/>
      <c r="F900" s="23"/>
      <c r="G900" s="21"/>
      <c r="H900" s="24" t="str">
        <f aca="false">IF(OR(A900="",D900="",G900=""),"",D900*G900)</f>
        <v/>
      </c>
      <c r="I900" s="25" t="str">
        <f aca="false">IF(OR(A900="",B900=""),"",IFERROR(LOOKUP(2,1/(单次交易!$A$2:$A$201=A900),单次交易!$H$2:$H$201),0)+SUMIFS($G$2:$G$1001,$A$2:$A$1001,A900,$B$2:$B$1001,"&lt;"&amp;B900))</f>
        <v/>
      </c>
      <c r="J900" s="24" t="str">
        <f aca="false">IF(OR(A900="",B900=""),"",IFERROR(LOOKUP(2,1/(单次交易!$A$2:$A$201=A900),单次交易!$E$2:$E$201)*LOOKUP(2,1/(单次交易!$A$2:$A$201=A900),单次交易!$H$2:$H$201),0)+SUMIFS($H$2:$H$1001,$A$2:$A$1001,A900,$B$2:$B$1001,"&lt;"&amp;B900))</f>
        <v/>
      </c>
      <c r="K900" s="24" t="str">
        <f aca="false">IF(OR(E900="",I900="",J900=""),"",MAX(E900*I900-J900,0))</f>
        <v/>
      </c>
      <c r="L900" s="25" t="str">
        <f aca="false">IF(OR(D900="",E900="",F900="",D900&lt;=E900),"",FLOOR((F900+K900)/(D900-E900),100))</f>
        <v/>
      </c>
      <c r="M900" s="25" t="str">
        <f aca="false">IF(OR(A900="",B900="",L900=""),"",IF(B900=1,L900,IFERROR(SUMIFS($G$2:$G$1001,$A$2:$A$1001,A900,$B$2:$B$1001,B900-1),0)))</f>
        <v/>
      </c>
      <c r="N900" s="25" t="str">
        <f aca="false">IF(OR(L900="",M900=""),"",MIN(L900,M900))</f>
        <v/>
      </c>
      <c r="O900" s="25" t="str">
        <f aca="false">IF(OR(I900="",G900=""),"",I900+G900)</f>
        <v/>
      </c>
      <c r="P900" s="24" t="str">
        <f aca="false">IF(OR(O900="",O900=0),"",(J900+H900)/O900)</f>
        <v/>
      </c>
      <c r="Q900" s="24" t="str">
        <f aca="false">IF(OR(O900="",E900=""),"",MAX(J900+H900-E900*O900,0))</f>
        <v/>
      </c>
      <c r="R900" s="26" t="str">
        <f aca="false">IF(A900="","",IF(COUNTIF(_TradeIds,A900)=0,"违规：交易编号不存在",IF(OR(B900="",B900&lt;1,B900&gt;5,B900&lt;&gt;INT(B900)),"违规：加仓序号须为1到5的整数",IF(COUNTIFS($A$2:$A$1001,A900,$B$2:$B$1001,B900)&gt;1,"违规：同一交易的加仓序号重复",IF(OR(D900="",E900="",F900=""),"计划不完整：请填写加仓价、新止损价和风险预算",IF(OR(D900&lt;=0,E900&lt;=0,F900&lt;=0,D900&lt;=E900),"违规：加仓价必须高于新止损价，金额须大于0",IF(AND(B900&gt;1,COUNTIFS($A$2:$A$1001,A900,$B$2:$B$1001,B900-1,$G$2:$G$1001,"&gt;0")=0),"违规：须先完成上一次加仓",IF(AND(B900&gt;1,E900&lt;SUMIFS($E$2:$E$1001,$A$2:$A$1001,A900,$B$2:$B$1001,B900-1)),"违规：新止损价不得低于上一次",IF(AND(B900&gt;1,F900&gt;SUMIFS($F$2:$F$1001,$A$2:$A$1001,A900,$B$2:$B$1001,B900-1)),"违规：风险预算须逐次不增加",IF(OR(_LockStatus="已锁仓",_LockStatus="解锁信息不完整"),"违规：锁仓期间禁止加仓",IF(G900="","计划可执行：建议股数见N列",IF(OR(G900&lt;=0,G900&lt;&gt;INT(G900),MOD(G900,100)&lt;&gt;0),"违规：实际股数须为100股整数倍",IF(G900&gt;N900,"违规：实际股数超过风险或金字塔上限",IF(AND(B900&gt;1,G900&gt;SUMIFS($G$2:$G$1001,$A$2:$A$1001,A900,$B$2:$B$1001,B900-1)),"违规：加仓股数须逐次不增加",IF(Q900&gt;F900,"违规：止损风险超过本次预算","通过")))))))))))))))</f>
        <v/>
      </c>
    </row>
    <row r="901" customFormat="false" ht="15" hidden="false" customHeight="false" outlineLevel="0" collapsed="false">
      <c r="A901" s="20"/>
      <c r="B901" s="21"/>
      <c r="C901" s="22"/>
      <c r="D901" s="23"/>
      <c r="E901" s="23"/>
      <c r="F901" s="23"/>
      <c r="G901" s="21"/>
      <c r="H901" s="24" t="str">
        <f aca="false">IF(OR(A901="",D901="",G901=""),"",D901*G901)</f>
        <v/>
      </c>
      <c r="I901" s="25" t="str">
        <f aca="false">IF(OR(A901="",B901=""),"",IFERROR(LOOKUP(2,1/(单次交易!$A$2:$A$201=A901),单次交易!$H$2:$H$201),0)+SUMIFS($G$2:$G$1001,$A$2:$A$1001,A901,$B$2:$B$1001,"&lt;"&amp;B901))</f>
        <v/>
      </c>
      <c r="J901" s="24" t="str">
        <f aca="false">IF(OR(A901="",B901=""),"",IFERROR(LOOKUP(2,1/(单次交易!$A$2:$A$201=A901),单次交易!$E$2:$E$201)*LOOKUP(2,1/(单次交易!$A$2:$A$201=A901),单次交易!$H$2:$H$201),0)+SUMIFS($H$2:$H$1001,$A$2:$A$1001,A901,$B$2:$B$1001,"&lt;"&amp;B901))</f>
        <v/>
      </c>
      <c r="K901" s="24" t="str">
        <f aca="false">IF(OR(E901="",I901="",J901=""),"",MAX(E901*I901-J901,0))</f>
        <v/>
      </c>
      <c r="L901" s="25" t="str">
        <f aca="false">IF(OR(D901="",E901="",F901="",D901&lt;=E901),"",FLOOR((F901+K901)/(D901-E901),100))</f>
        <v/>
      </c>
      <c r="M901" s="25" t="str">
        <f aca="false">IF(OR(A901="",B901="",L901=""),"",IF(B901=1,L901,IFERROR(SUMIFS($G$2:$G$1001,$A$2:$A$1001,A901,$B$2:$B$1001,B901-1),0)))</f>
        <v/>
      </c>
      <c r="N901" s="25" t="str">
        <f aca="false">IF(OR(L901="",M901=""),"",MIN(L901,M901))</f>
        <v/>
      </c>
      <c r="O901" s="25" t="str">
        <f aca="false">IF(OR(I901="",G901=""),"",I901+G901)</f>
        <v/>
      </c>
      <c r="P901" s="24" t="str">
        <f aca="false">IF(OR(O901="",O901=0),"",(J901+H901)/O901)</f>
        <v/>
      </c>
      <c r="Q901" s="24" t="str">
        <f aca="false">IF(OR(O901="",E901=""),"",MAX(J901+H901-E901*O901,0))</f>
        <v/>
      </c>
      <c r="R901" s="26" t="str">
        <f aca="false">IF(A901="","",IF(COUNTIF(_TradeIds,A901)=0,"违规：交易编号不存在",IF(OR(B901="",B901&lt;1,B901&gt;5,B901&lt;&gt;INT(B901)),"违规：加仓序号须为1到5的整数",IF(COUNTIFS($A$2:$A$1001,A901,$B$2:$B$1001,B901)&gt;1,"违规：同一交易的加仓序号重复",IF(OR(D901="",E901="",F901=""),"计划不完整：请填写加仓价、新止损价和风险预算",IF(OR(D901&lt;=0,E901&lt;=0,F901&lt;=0,D901&lt;=E901),"违规：加仓价必须高于新止损价，金额须大于0",IF(AND(B901&gt;1,COUNTIFS($A$2:$A$1001,A901,$B$2:$B$1001,B901-1,$G$2:$G$1001,"&gt;0")=0),"违规：须先完成上一次加仓",IF(AND(B901&gt;1,E901&lt;SUMIFS($E$2:$E$1001,$A$2:$A$1001,A901,$B$2:$B$1001,B901-1)),"违规：新止损价不得低于上一次",IF(AND(B901&gt;1,F901&gt;SUMIFS($F$2:$F$1001,$A$2:$A$1001,A901,$B$2:$B$1001,B901-1)),"违规：风险预算须逐次不增加",IF(OR(_LockStatus="已锁仓",_LockStatus="解锁信息不完整"),"违规：锁仓期间禁止加仓",IF(G901="","计划可执行：建议股数见N列",IF(OR(G901&lt;=0,G901&lt;&gt;INT(G901),MOD(G901,100)&lt;&gt;0),"违规：实际股数须为100股整数倍",IF(G901&gt;N901,"违规：实际股数超过风险或金字塔上限",IF(AND(B901&gt;1,G901&gt;SUMIFS($G$2:$G$1001,$A$2:$A$1001,A901,$B$2:$B$1001,B901-1)),"违规：加仓股数须逐次不增加",IF(Q901&gt;F901,"违规：止损风险超过本次预算","通过")))))))))))))))</f>
        <v/>
      </c>
    </row>
    <row r="902" customFormat="false" ht="15" hidden="false" customHeight="false" outlineLevel="0" collapsed="false">
      <c r="A902" s="20"/>
      <c r="B902" s="21"/>
      <c r="C902" s="22"/>
      <c r="D902" s="23"/>
      <c r="E902" s="23"/>
      <c r="F902" s="23"/>
      <c r="G902" s="21"/>
      <c r="H902" s="24" t="str">
        <f aca="false">IF(OR(A902="",D902="",G902=""),"",D902*G902)</f>
        <v/>
      </c>
      <c r="I902" s="25" t="str">
        <f aca="false">IF(OR(A902="",B902=""),"",IFERROR(LOOKUP(2,1/(单次交易!$A$2:$A$201=A902),单次交易!$H$2:$H$201),0)+SUMIFS($G$2:$G$1001,$A$2:$A$1001,A902,$B$2:$B$1001,"&lt;"&amp;B902))</f>
        <v/>
      </c>
      <c r="J902" s="24" t="str">
        <f aca="false">IF(OR(A902="",B902=""),"",IFERROR(LOOKUP(2,1/(单次交易!$A$2:$A$201=A902),单次交易!$E$2:$E$201)*LOOKUP(2,1/(单次交易!$A$2:$A$201=A902),单次交易!$H$2:$H$201),0)+SUMIFS($H$2:$H$1001,$A$2:$A$1001,A902,$B$2:$B$1001,"&lt;"&amp;B902))</f>
        <v/>
      </c>
      <c r="K902" s="24" t="str">
        <f aca="false">IF(OR(E902="",I902="",J902=""),"",MAX(E902*I902-J902,0))</f>
        <v/>
      </c>
      <c r="L902" s="25" t="str">
        <f aca="false">IF(OR(D902="",E902="",F902="",D902&lt;=E902),"",FLOOR((F902+K902)/(D902-E902),100))</f>
        <v/>
      </c>
      <c r="M902" s="25" t="str">
        <f aca="false">IF(OR(A902="",B902="",L902=""),"",IF(B902=1,L902,IFERROR(SUMIFS($G$2:$G$1001,$A$2:$A$1001,A902,$B$2:$B$1001,B902-1),0)))</f>
        <v/>
      </c>
      <c r="N902" s="25" t="str">
        <f aca="false">IF(OR(L902="",M902=""),"",MIN(L902,M902))</f>
        <v/>
      </c>
      <c r="O902" s="25" t="str">
        <f aca="false">IF(OR(I902="",G902=""),"",I902+G902)</f>
        <v/>
      </c>
      <c r="P902" s="24" t="str">
        <f aca="false">IF(OR(O902="",O902=0),"",(J902+H902)/O902)</f>
        <v/>
      </c>
      <c r="Q902" s="24" t="str">
        <f aca="false">IF(OR(O902="",E902=""),"",MAX(J902+H902-E902*O902,0))</f>
        <v/>
      </c>
      <c r="R902" s="26" t="str">
        <f aca="false">IF(A902="","",IF(COUNTIF(_TradeIds,A902)=0,"违规：交易编号不存在",IF(OR(B902="",B902&lt;1,B902&gt;5,B902&lt;&gt;INT(B902)),"违规：加仓序号须为1到5的整数",IF(COUNTIFS($A$2:$A$1001,A902,$B$2:$B$1001,B902)&gt;1,"违规：同一交易的加仓序号重复",IF(OR(D902="",E902="",F902=""),"计划不完整：请填写加仓价、新止损价和风险预算",IF(OR(D902&lt;=0,E902&lt;=0,F902&lt;=0,D902&lt;=E902),"违规：加仓价必须高于新止损价，金额须大于0",IF(AND(B902&gt;1,COUNTIFS($A$2:$A$1001,A902,$B$2:$B$1001,B902-1,$G$2:$G$1001,"&gt;0")=0),"违规：须先完成上一次加仓",IF(AND(B902&gt;1,E902&lt;SUMIFS($E$2:$E$1001,$A$2:$A$1001,A902,$B$2:$B$1001,B902-1)),"违规：新止损价不得低于上一次",IF(AND(B902&gt;1,F902&gt;SUMIFS($F$2:$F$1001,$A$2:$A$1001,A902,$B$2:$B$1001,B902-1)),"违规：风险预算须逐次不增加",IF(OR(_LockStatus="已锁仓",_LockStatus="解锁信息不完整"),"违规：锁仓期间禁止加仓",IF(G902="","计划可执行：建议股数见N列",IF(OR(G902&lt;=0,G902&lt;&gt;INT(G902),MOD(G902,100)&lt;&gt;0),"违规：实际股数须为100股整数倍",IF(G902&gt;N902,"违规：实际股数超过风险或金字塔上限",IF(AND(B902&gt;1,G902&gt;SUMIFS($G$2:$G$1001,$A$2:$A$1001,A902,$B$2:$B$1001,B902-1)),"违规：加仓股数须逐次不增加",IF(Q902&gt;F902,"违规：止损风险超过本次预算","通过")))))))))))))))</f>
        <v/>
      </c>
    </row>
    <row r="903" customFormat="false" ht="15" hidden="false" customHeight="false" outlineLevel="0" collapsed="false">
      <c r="A903" s="20"/>
      <c r="B903" s="21"/>
      <c r="C903" s="22"/>
      <c r="D903" s="23"/>
      <c r="E903" s="23"/>
      <c r="F903" s="23"/>
      <c r="G903" s="21"/>
      <c r="H903" s="24" t="str">
        <f aca="false">IF(OR(A903="",D903="",G903=""),"",D903*G903)</f>
        <v/>
      </c>
      <c r="I903" s="25" t="str">
        <f aca="false">IF(OR(A903="",B903=""),"",IFERROR(LOOKUP(2,1/(单次交易!$A$2:$A$201=A903),单次交易!$H$2:$H$201),0)+SUMIFS($G$2:$G$1001,$A$2:$A$1001,A903,$B$2:$B$1001,"&lt;"&amp;B903))</f>
        <v/>
      </c>
      <c r="J903" s="24" t="str">
        <f aca="false">IF(OR(A903="",B903=""),"",IFERROR(LOOKUP(2,1/(单次交易!$A$2:$A$201=A903),单次交易!$E$2:$E$201)*LOOKUP(2,1/(单次交易!$A$2:$A$201=A903),单次交易!$H$2:$H$201),0)+SUMIFS($H$2:$H$1001,$A$2:$A$1001,A903,$B$2:$B$1001,"&lt;"&amp;B903))</f>
        <v/>
      </c>
      <c r="K903" s="24" t="str">
        <f aca="false">IF(OR(E903="",I903="",J903=""),"",MAX(E903*I903-J903,0))</f>
        <v/>
      </c>
      <c r="L903" s="25" t="str">
        <f aca="false">IF(OR(D903="",E903="",F903="",D903&lt;=E903),"",FLOOR((F903+K903)/(D903-E903),100))</f>
        <v/>
      </c>
      <c r="M903" s="25" t="str">
        <f aca="false">IF(OR(A903="",B903="",L903=""),"",IF(B903=1,L903,IFERROR(SUMIFS($G$2:$G$1001,$A$2:$A$1001,A903,$B$2:$B$1001,B903-1),0)))</f>
        <v/>
      </c>
      <c r="N903" s="25" t="str">
        <f aca="false">IF(OR(L903="",M903=""),"",MIN(L903,M903))</f>
        <v/>
      </c>
      <c r="O903" s="25" t="str">
        <f aca="false">IF(OR(I903="",G903=""),"",I903+G903)</f>
        <v/>
      </c>
      <c r="P903" s="24" t="str">
        <f aca="false">IF(OR(O903="",O903=0),"",(J903+H903)/O903)</f>
        <v/>
      </c>
      <c r="Q903" s="24" t="str">
        <f aca="false">IF(OR(O903="",E903=""),"",MAX(J903+H903-E903*O903,0))</f>
        <v/>
      </c>
      <c r="R903" s="26" t="str">
        <f aca="false">IF(A903="","",IF(COUNTIF(_TradeIds,A903)=0,"违规：交易编号不存在",IF(OR(B903="",B903&lt;1,B903&gt;5,B903&lt;&gt;INT(B903)),"违规：加仓序号须为1到5的整数",IF(COUNTIFS($A$2:$A$1001,A903,$B$2:$B$1001,B903)&gt;1,"违规：同一交易的加仓序号重复",IF(OR(D903="",E903="",F903=""),"计划不完整：请填写加仓价、新止损价和风险预算",IF(OR(D903&lt;=0,E903&lt;=0,F903&lt;=0,D903&lt;=E903),"违规：加仓价必须高于新止损价，金额须大于0",IF(AND(B903&gt;1,COUNTIFS($A$2:$A$1001,A903,$B$2:$B$1001,B903-1,$G$2:$G$1001,"&gt;0")=0),"违规：须先完成上一次加仓",IF(AND(B903&gt;1,E903&lt;SUMIFS($E$2:$E$1001,$A$2:$A$1001,A903,$B$2:$B$1001,B903-1)),"违规：新止损价不得低于上一次",IF(AND(B903&gt;1,F903&gt;SUMIFS($F$2:$F$1001,$A$2:$A$1001,A903,$B$2:$B$1001,B903-1)),"违规：风险预算须逐次不增加",IF(OR(_LockStatus="已锁仓",_LockStatus="解锁信息不完整"),"违规：锁仓期间禁止加仓",IF(G903="","计划可执行：建议股数见N列",IF(OR(G903&lt;=0,G903&lt;&gt;INT(G903),MOD(G903,100)&lt;&gt;0),"违规：实际股数须为100股整数倍",IF(G903&gt;N903,"违规：实际股数超过风险或金字塔上限",IF(AND(B903&gt;1,G903&gt;SUMIFS($G$2:$G$1001,$A$2:$A$1001,A903,$B$2:$B$1001,B903-1)),"违规：加仓股数须逐次不增加",IF(Q903&gt;F903,"违规：止损风险超过本次预算","通过")))))))))))))))</f>
        <v/>
      </c>
    </row>
    <row r="904" customFormat="false" ht="15" hidden="false" customHeight="false" outlineLevel="0" collapsed="false">
      <c r="A904" s="20"/>
      <c r="B904" s="21"/>
      <c r="C904" s="22"/>
      <c r="D904" s="23"/>
      <c r="E904" s="23"/>
      <c r="F904" s="23"/>
      <c r="G904" s="21"/>
      <c r="H904" s="24" t="str">
        <f aca="false">IF(OR(A904="",D904="",G904=""),"",D904*G904)</f>
        <v/>
      </c>
      <c r="I904" s="25" t="str">
        <f aca="false">IF(OR(A904="",B904=""),"",IFERROR(LOOKUP(2,1/(单次交易!$A$2:$A$201=A904),单次交易!$H$2:$H$201),0)+SUMIFS($G$2:$G$1001,$A$2:$A$1001,A904,$B$2:$B$1001,"&lt;"&amp;B904))</f>
        <v/>
      </c>
      <c r="J904" s="24" t="str">
        <f aca="false">IF(OR(A904="",B904=""),"",IFERROR(LOOKUP(2,1/(单次交易!$A$2:$A$201=A904),单次交易!$E$2:$E$201)*LOOKUP(2,1/(单次交易!$A$2:$A$201=A904),单次交易!$H$2:$H$201),0)+SUMIFS($H$2:$H$1001,$A$2:$A$1001,A904,$B$2:$B$1001,"&lt;"&amp;B904))</f>
        <v/>
      </c>
      <c r="K904" s="24" t="str">
        <f aca="false">IF(OR(E904="",I904="",J904=""),"",MAX(E904*I904-J904,0))</f>
        <v/>
      </c>
      <c r="L904" s="25" t="str">
        <f aca="false">IF(OR(D904="",E904="",F904="",D904&lt;=E904),"",FLOOR((F904+K904)/(D904-E904),100))</f>
        <v/>
      </c>
      <c r="M904" s="25" t="str">
        <f aca="false">IF(OR(A904="",B904="",L904=""),"",IF(B904=1,L904,IFERROR(SUMIFS($G$2:$G$1001,$A$2:$A$1001,A904,$B$2:$B$1001,B904-1),0)))</f>
        <v/>
      </c>
      <c r="N904" s="25" t="str">
        <f aca="false">IF(OR(L904="",M904=""),"",MIN(L904,M904))</f>
        <v/>
      </c>
      <c r="O904" s="25" t="str">
        <f aca="false">IF(OR(I904="",G904=""),"",I904+G904)</f>
        <v/>
      </c>
      <c r="P904" s="24" t="str">
        <f aca="false">IF(OR(O904="",O904=0),"",(J904+H904)/O904)</f>
        <v/>
      </c>
      <c r="Q904" s="24" t="str">
        <f aca="false">IF(OR(O904="",E904=""),"",MAX(J904+H904-E904*O904,0))</f>
        <v/>
      </c>
      <c r="R904" s="26" t="str">
        <f aca="false">IF(A904="","",IF(COUNTIF(_TradeIds,A904)=0,"违规：交易编号不存在",IF(OR(B904="",B904&lt;1,B904&gt;5,B904&lt;&gt;INT(B904)),"违规：加仓序号须为1到5的整数",IF(COUNTIFS($A$2:$A$1001,A904,$B$2:$B$1001,B904)&gt;1,"违规：同一交易的加仓序号重复",IF(OR(D904="",E904="",F904=""),"计划不完整：请填写加仓价、新止损价和风险预算",IF(OR(D904&lt;=0,E904&lt;=0,F904&lt;=0,D904&lt;=E904),"违规：加仓价必须高于新止损价，金额须大于0",IF(AND(B904&gt;1,COUNTIFS($A$2:$A$1001,A904,$B$2:$B$1001,B904-1,$G$2:$G$1001,"&gt;0")=0),"违规：须先完成上一次加仓",IF(AND(B904&gt;1,E904&lt;SUMIFS($E$2:$E$1001,$A$2:$A$1001,A904,$B$2:$B$1001,B904-1)),"违规：新止损价不得低于上一次",IF(AND(B904&gt;1,F904&gt;SUMIFS($F$2:$F$1001,$A$2:$A$1001,A904,$B$2:$B$1001,B904-1)),"违规：风险预算须逐次不增加",IF(OR(_LockStatus="已锁仓",_LockStatus="解锁信息不完整"),"违规：锁仓期间禁止加仓",IF(G904="","计划可执行：建议股数见N列",IF(OR(G904&lt;=0,G904&lt;&gt;INT(G904),MOD(G904,100)&lt;&gt;0),"违规：实际股数须为100股整数倍",IF(G904&gt;N904,"违规：实际股数超过风险或金字塔上限",IF(AND(B904&gt;1,G904&gt;SUMIFS($G$2:$G$1001,$A$2:$A$1001,A904,$B$2:$B$1001,B904-1)),"违规：加仓股数须逐次不增加",IF(Q904&gt;F904,"违规：止损风险超过本次预算","通过")))))))))))))))</f>
        <v/>
      </c>
    </row>
    <row r="905" customFormat="false" ht="15" hidden="false" customHeight="false" outlineLevel="0" collapsed="false">
      <c r="A905" s="20"/>
      <c r="B905" s="21"/>
      <c r="C905" s="22"/>
      <c r="D905" s="23"/>
      <c r="E905" s="23"/>
      <c r="F905" s="23"/>
      <c r="G905" s="21"/>
      <c r="H905" s="24" t="str">
        <f aca="false">IF(OR(A905="",D905="",G905=""),"",D905*G905)</f>
        <v/>
      </c>
      <c r="I905" s="25" t="str">
        <f aca="false">IF(OR(A905="",B905=""),"",IFERROR(LOOKUP(2,1/(单次交易!$A$2:$A$201=A905),单次交易!$H$2:$H$201),0)+SUMIFS($G$2:$G$1001,$A$2:$A$1001,A905,$B$2:$B$1001,"&lt;"&amp;B905))</f>
        <v/>
      </c>
      <c r="J905" s="24" t="str">
        <f aca="false">IF(OR(A905="",B905=""),"",IFERROR(LOOKUP(2,1/(单次交易!$A$2:$A$201=A905),单次交易!$E$2:$E$201)*LOOKUP(2,1/(单次交易!$A$2:$A$201=A905),单次交易!$H$2:$H$201),0)+SUMIFS($H$2:$H$1001,$A$2:$A$1001,A905,$B$2:$B$1001,"&lt;"&amp;B905))</f>
        <v/>
      </c>
      <c r="K905" s="24" t="str">
        <f aca="false">IF(OR(E905="",I905="",J905=""),"",MAX(E905*I905-J905,0))</f>
        <v/>
      </c>
      <c r="L905" s="25" t="str">
        <f aca="false">IF(OR(D905="",E905="",F905="",D905&lt;=E905),"",FLOOR((F905+K905)/(D905-E905),100))</f>
        <v/>
      </c>
      <c r="M905" s="25" t="str">
        <f aca="false">IF(OR(A905="",B905="",L905=""),"",IF(B905=1,L905,IFERROR(SUMIFS($G$2:$G$1001,$A$2:$A$1001,A905,$B$2:$B$1001,B905-1),0)))</f>
        <v/>
      </c>
      <c r="N905" s="25" t="str">
        <f aca="false">IF(OR(L905="",M905=""),"",MIN(L905,M905))</f>
        <v/>
      </c>
      <c r="O905" s="25" t="str">
        <f aca="false">IF(OR(I905="",G905=""),"",I905+G905)</f>
        <v/>
      </c>
      <c r="P905" s="24" t="str">
        <f aca="false">IF(OR(O905="",O905=0),"",(J905+H905)/O905)</f>
        <v/>
      </c>
      <c r="Q905" s="24" t="str">
        <f aca="false">IF(OR(O905="",E905=""),"",MAX(J905+H905-E905*O905,0))</f>
        <v/>
      </c>
      <c r="R905" s="26" t="str">
        <f aca="false">IF(A905="","",IF(COUNTIF(_TradeIds,A905)=0,"违规：交易编号不存在",IF(OR(B905="",B905&lt;1,B905&gt;5,B905&lt;&gt;INT(B905)),"违规：加仓序号须为1到5的整数",IF(COUNTIFS($A$2:$A$1001,A905,$B$2:$B$1001,B905)&gt;1,"违规：同一交易的加仓序号重复",IF(OR(D905="",E905="",F905=""),"计划不完整：请填写加仓价、新止损价和风险预算",IF(OR(D905&lt;=0,E905&lt;=0,F905&lt;=0,D905&lt;=E905),"违规：加仓价必须高于新止损价，金额须大于0",IF(AND(B905&gt;1,COUNTIFS($A$2:$A$1001,A905,$B$2:$B$1001,B905-1,$G$2:$G$1001,"&gt;0")=0),"违规：须先完成上一次加仓",IF(AND(B905&gt;1,E905&lt;SUMIFS($E$2:$E$1001,$A$2:$A$1001,A905,$B$2:$B$1001,B905-1)),"违规：新止损价不得低于上一次",IF(AND(B905&gt;1,F905&gt;SUMIFS($F$2:$F$1001,$A$2:$A$1001,A905,$B$2:$B$1001,B905-1)),"违规：风险预算须逐次不增加",IF(OR(_LockStatus="已锁仓",_LockStatus="解锁信息不完整"),"违规：锁仓期间禁止加仓",IF(G905="","计划可执行：建议股数见N列",IF(OR(G905&lt;=0,G905&lt;&gt;INT(G905),MOD(G905,100)&lt;&gt;0),"违规：实际股数须为100股整数倍",IF(G905&gt;N905,"违规：实际股数超过风险或金字塔上限",IF(AND(B905&gt;1,G905&gt;SUMIFS($G$2:$G$1001,$A$2:$A$1001,A905,$B$2:$B$1001,B905-1)),"违规：加仓股数须逐次不增加",IF(Q905&gt;F905,"违规：止损风险超过本次预算","通过")))))))))))))))</f>
        <v/>
      </c>
    </row>
    <row r="906" customFormat="false" ht="15" hidden="false" customHeight="false" outlineLevel="0" collapsed="false">
      <c r="A906" s="20"/>
      <c r="B906" s="21"/>
      <c r="C906" s="22"/>
      <c r="D906" s="23"/>
      <c r="E906" s="23"/>
      <c r="F906" s="23"/>
      <c r="G906" s="21"/>
      <c r="H906" s="24" t="str">
        <f aca="false">IF(OR(A906="",D906="",G906=""),"",D906*G906)</f>
        <v/>
      </c>
      <c r="I906" s="25" t="str">
        <f aca="false">IF(OR(A906="",B906=""),"",IFERROR(LOOKUP(2,1/(单次交易!$A$2:$A$201=A906),单次交易!$H$2:$H$201),0)+SUMIFS($G$2:$G$1001,$A$2:$A$1001,A906,$B$2:$B$1001,"&lt;"&amp;B906))</f>
        <v/>
      </c>
      <c r="J906" s="24" t="str">
        <f aca="false">IF(OR(A906="",B906=""),"",IFERROR(LOOKUP(2,1/(单次交易!$A$2:$A$201=A906),单次交易!$E$2:$E$201)*LOOKUP(2,1/(单次交易!$A$2:$A$201=A906),单次交易!$H$2:$H$201),0)+SUMIFS($H$2:$H$1001,$A$2:$A$1001,A906,$B$2:$B$1001,"&lt;"&amp;B906))</f>
        <v/>
      </c>
      <c r="K906" s="24" t="str">
        <f aca="false">IF(OR(E906="",I906="",J906=""),"",MAX(E906*I906-J906,0))</f>
        <v/>
      </c>
      <c r="L906" s="25" t="str">
        <f aca="false">IF(OR(D906="",E906="",F906="",D906&lt;=E906),"",FLOOR((F906+K906)/(D906-E906),100))</f>
        <v/>
      </c>
      <c r="M906" s="25" t="str">
        <f aca="false">IF(OR(A906="",B906="",L906=""),"",IF(B906=1,L906,IFERROR(SUMIFS($G$2:$G$1001,$A$2:$A$1001,A906,$B$2:$B$1001,B906-1),0)))</f>
        <v/>
      </c>
      <c r="N906" s="25" t="str">
        <f aca="false">IF(OR(L906="",M906=""),"",MIN(L906,M906))</f>
        <v/>
      </c>
      <c r="O906" s="25" t="str">
        <f aca="false">IF(OR(I906="",G906=""),"",I906+G906)</f>
        <v/>
      </c>
      <c r="P906" s="24" t="str">
        <f aca="false">IF(OR(O906="",O906=0),"",(J906+H906)/O906)</f>
        <v/>
      </c>
      <c r="Q906" s="24" t="str">
        <f aca="false">IF(OR(O906="",E906=""),"",MAX(J906+H906-E906*O906,0))</f>
        <v/>
      </c>
      <c r="R906" s="26" t="str">
        <f aca="false">IF(A906="","",IF(COUNTIF(_TradeIds,A906)=0,"违规：交易编号不存在",IF(OR(B906="",B906&lt;1,B906&gt;5,B906&lt;&gt;INT(B906)),"违规：加仓序号须为1到5的整数",IF(COUNTIFS($A$2:$A$1001,A906,$B$2:$B$1001,B906)&gt;1,"违规：同一交易的加仓序号重复",IF(OR(D906="",E906="",F906=""),"计划不完整：请填写加仓价、新止损价和风险预算",IF(OR(D906&lt;=0,E906&lt;=0,F906&lt;=0,D906&lt;=E906),"违规：加仓价必须高于新止损价，金额须大于0",IF(AND(B906&gt;1,COUNTIFS($A$2:$A$1001,A906,$B$2:$B$1001,B906-1,$G$2:$G$1001,"&gt;0")=0),"违规：须先完成上一次加仓",IF(AND(B906&gt;1,E906&lt;SUMIFS($E$2:$E$1001,$A$2:$A$1001,A906,$B$2:$B$1001,B906-1)),"违规：新止损价不得低于上一次",IF(AND(B906&gt;1,F906&gt;SUMIFS($F$2:$F$1001,$A$2:$A$1001,A906,$B$2:$B$1001,B906-1)),"违规：风险预算须逐次不增加",IF(OR(_LockStatus="已锁仓",_LockStatus="解锁信息不完整"),"违规：锁仓期间禁止加仓",IF(G906="","计划可执行：建议股数见N列",IF(OR(G906&lt;=0,G906&lt;&gt;INT(G906),MOD(G906,100)&lt;&gt;0),"违规：实际股数须为100股整数倍",IF(G906&gt;N906,"违规：实际股数超过风险或金字塔上限",IF(AND(B906&gt;1,G906&gt;SUMIFS($G$2:$G$1001,$A$2:$A$1001,A906,$B$2:$B$1001,B906-1)),"违规：加仓股数须逐次不增加",IF(Q906&gt;F906,"违规：止损风险超过本次预算","通过")))))))))))))))</f>
        <v/>
      </c>
    </row>
    <row r="907" customFormat="false" ht="15" hidden="false" customHeight="false" outlineLevel="0" collapsed="false">
      <c r="A907" s="20"/>
      <c r="B907" s="21"/>
      <c r="C907" s="22"/>
      <c r="D907" s="23"/>
      <c r="E907" s="23"/>
      <c r="F907" s="23"/>
      <c r="G907" s="21"/>
      <c r="H907" s="24" t="str">
        <f aca="false">IF(OR(A907="",D907="",G907=""),"",D907*G907)</f>
        <v/>
      </c>
      <c r="I907" s="25" t="str">
        <f aca="false">IF(OR(A907="",B907=""),"",IFERROR(LOOKUP(2,1/(单次交易!$A$2:$A$201=A907),单次交易!$H$2:$H$201),0)+SUMIFS($G$2:$G$1001,$A$2:$A$1001,A907,$B$2:$B$1001,"&lt;"&amp;B907))</f>
        <v/>
      </c>
      <c r="J907" s="24" t="str">
        <f aca="false">IF(OR(A907="",B907=""),"",IFERROR(LOOKUP(2,1/(单次交易!$A$2:$A$201=A907),单次交易!$E$2:$E$201)*LOOKUP(2,1/(单次交易!$A$2:$A$201=A907),单次交易!$H$2:$H$201),0)+SUMIFS($H$2:$H$1001,$A$2:$A$1001,A907,$B$2:$B$1001,"&lt;"&amp;B907))</f>
        <v/>
      </c>
      <c r="K907" s="24" t="str">
        <f aca="false">IF(OR(E907="",I907="",J907=""),"",MAX(E907*I907-J907,0))</f>
        <v/>
      </c>
      <c r="L907" s="25" t="str">
        <f aca="false">IF(OR(D907="",E907="",F907="",D907&lt;=E907),"",FLOOR((F907+K907)/(D907-E907),100))</f>
        <v/>
      </c>
      <c r="M907" s="25" t="str">
        <f aca="false">IF(OR(A907="",B907="",L907=""),"",IF(B907=1,L907,IFERROR(SUMIFS($G$2:$G$1001,$A$2:$A$1001,A907,$B$2:$B$1001,B907-1),0)))</f>
        <v/>
      </c>
      <c r="N907" s="25" t="str">
        <f aca="false">IF(OR(L907="",M907=""),"",MIN(L907,M907))</f>
        <v/>
      </c>
      <c r="O907" s="25" t="str">
        <f aca="false">IF(OR(I907="",G907=""),"",I907+G907)</f>
        <v/>
      </c>
      <c r="P907" s="24" t="str">
        <f aca="false">IF(OR(O907="",O907=0),"",(J907+H907)/O907)</f>
        <v/>
      </c>
      <c r="Q907" s="24" t="str">
        <f aca="false">IF(OR(O907="",E907=""),"",MAX(J907+H907-E907*O907,0))</f>
        <v/>
      </c>
      <c r="R907" s="26" t="str">
        <f aca="false">IF(A907="","",IF(COUNTIF(_TradeIds,A907)=0,"违规：交易编号不存在",IF(OR(B907="",B907&lt;1,B907&gt;5,B907&lt;&gt;INT(B907)),"违规：加仓序号须为1到5的整数",IF(COUNTIFS($A$2:$A$1001,A907,$B$2:$B$1001,B907)&gt;1,"违规：同一交易的加仓序号重复",IF(OR(D907="",E907="",F907=""),"计划不完整：请填写加仓价、新止损价和风险预算",IF(OR(D907&lt;=0,E907&lt;=0,F907&lt;=0,D907&lt;=E907),"违规：加仓价必须高于新止损价，金额须大于0",IF(AND(B907&gt;1,COUNTIFS($A$2:$A$1001,A907,$B$2:$B$1001,B907-1,$G$2:$G$1001,"&gt;0")=0),"违规：须先完成上一次加仓",IF(AND(B907&gt;1,E907&lt;SUMIFS($E$2:$E$1001,$A$2:$A$1001,A907,$B$2:$B$1001,B907-1)),"违规：新止损价不得低于上一次",IF(AND(B907&gt;1,F907&gt;SUMIFS($F$2:$F$1001,$A$2:$A$1001,A907,$B$2:$B$1001,B907-1)),"违规：风险预算须逐次不增加",IF(OR(_LockStatus="已锁仓",_LockStatus="解锁信息不完整"),"违规：锁仓期间禁止加仓",IF(G907="","计划可执行：建议股数见N列",IF(OR(G907&lt;=0,G907&lt;&gt;INT(G907),MOD(G907,100)&lt;&gt;0),"违规：实际股数须为100股整数倍",IF(G907&gt;N907,"违规：实际股数超过风险或金字塔上限",IF(AND(B907&gt;1,G907&gt;SUMIFS($G$2:$G$1001,$A$2:$A$1001,A907,$B$2:$B$1001,B907-1)),"违规：加仓股数须逐次不增加",IF(Q907&gt;F907,"违规：止损风险超过本次预算","通过")))))))))))))))</f>
        <v/>
      </c>
    </row>
    <row r="908" customFormat="false" ht="15" hidden="false" customHeight="false" outlineLevel="0" collapsed="false">
      <c r="A908" s="20"/>
      <c r="B908" s="21"/>
      <c r="C908" s="22"/>
      <c r="D908" s="23"/>
      <c r="E908" s="23"/>
      <c r="F908" s="23"/>
      <c r="G908" s="21"/>
      <c r="H908" s="24" t="str">
        <f aca="false">IF(OR(A908="",D908="",G908=""),"",D908*G908)</f>
        <v/>
      </c>
      <c r="I908" s="25" t="str">
        <f aca="false">IF(OR(A908="",B908=""),"",IFERROR(LOOKUP(2,1/(单次交易!$A$2:$A$201=A908),单次交易!$H$2:$H$201),0)+SUMIFS($G$2:$G$1001,$A$2:$A$1001,A908,$B$2:$B$1001,"&lt;"&amp;B908))</f>
        <v/>
      </c>
      <c r="J908" s="24" t="str">
        <f aca="false">IF(OR(A908="",B908=""),"",IFERROR(LOOKUP(2,1/(单次交易!$A$2:$A$201=A908),单次交易!$E$2:$E$201)*LOOKUP(2,1/(单次交易!$A$2:$A$201=A908),单次交易!$H$2:$H$201),0)+SUMIFS($H$2:$H$1001,$A$2:$A$1001,A908,$B$2:$B$1001,"&lt;"&amp;B908))</f>
        <v/>
      </c>
      <c r="K908" s="24" t="str">
        <f aca="false">IF(OR(E908="",I908="",J908=""),"",MAX(E908*I908-J908,0))</f>
        <v/>
      </c>
      <c r="L908" s="25" t="str">
        <f aca="false">IF(OR(D908="",E908="",F908="",D908&lt;=E908),"",FLOOR((F908+K908)/(D908-E908),100))</f>
        <v/>
      </c>
      <c r="M908" s="25" t="str">
        <f aca="false">IF(OR(A908="",B908="",L908=""),"",IF(B908=1,L908,IFERROR(SUMIFS($G$2:$G$1001,$A$2:$A$1001,A908,$B$2:$B$1001,B908-1),0)))</f>
        <v/>
      </c>
      <c r="N908" s="25" t="str">
        <f aca="false">IF(OR(L908="",M908=""),"",MIN(L908,M908))</f>
        <v/>
      </c>
      <c r="O908" s="25" t="str">
        <f aca="false">IF(OR(I908="",G908=""),"",I908+G908)</f>
        <v/>
      </c>
      <c r="P908" s="24" t="str">
        <f aca="false">IF(OR(O908="",O908=0),"",(J908+H908)/O908)</f>
        <v/>
      </c>
      <c r="Q908" s="24" t="str">
        <f aca="false">IF(OR(O908="",E908=""),"",MAX(J908+H908-E908*O908,0))</f>
        <v/>
      </c>
      <c r="R908" s="26" t="str">
        <f aca="false">IF(A908="","",IF(COUNTIF(_TradeIds,A908)=0,"违规：交易编号不存在",IF(OR(B908="",B908&lt;1,B908&gt;5,B908&lt;&gt;INT(B908)),"违规：加仓序号须为1到5的整数",IF(COUNTIFS($A$2:$A$1001,A908,$B$2:$B$1001,B908)&gt;1,"违规：同一交易的加仓序号重复",IF(OR(D908="",E908="",F908=""),"计划不完整：请填写加仓价、新止损价和风险预算",IF(OR(D908&lt;=0,E908&lt;=0,F908&lt;=0,D908&lt;=E908),"违规：加仓价必须高于新止损价，金额须大于0",IF(AND(B908&gt;1,COUNTIFS($A$2:$A$1001,A908,$B$2:$B$1001,B908-1,$G$2:$G$1001,"&gt;0")=0),"违规：须先完成上一次加仓",IF(AND(B908&gt;1,E908&lt;SUMIFS($E$2:$E$1001,$A$2:$A$1001,A908,$B$2:$B$1001,B908-1)),"违规：新止损价不得低于上一次",IF(AND(B908&gt;1,F908&gt;SUMIFS($F$2:$F$1001,$A$2:$A$1001,A908,$B$2:$B$1001,B908-1)),"违规：风险预算须逐次不增加",IF(OR(_LockStatus="已锁仓",_LockStatus="解锁信息不完整"),"违规：锁仓期间禁止加仓",IF(G908="","计划可执行：建议股数见N列",IF(OR(G908&lt;=0,G908&lt;&gt;INT(G908),MOD(G908,100)&lt;&gt;0),"违规：实际股数须为100股整数倍",IF(G908&gt;N908,"违规：实际股数超过风险或金字塔上限",IF(AND(B908&gt;1,G908&gt;SUMIFS($G$2:$G$1001,$A$2:$A$1001,A908,$B$2:$B$1001,B908-1)),"违规：加仓股数须逐次不增加",IF(Q908&gt;F908,"违规：止损风险超过本次预算","通过")))))))))))))))</f>
        <v/>
      </c>
    </row>
    <row r="909" customFormat="false" ht="15" hidden="false" customHeight="false" outlineLevel="0" collapsed="false">
      <c r="A909" s="20"/>
      <c r="B909" s="21"/>
      <c r="C909" s="22"/>
      <c r="D909" s="23"/>
      <c r="E909" s="23"/>
      <c r="F909" s="23"/>
      <c r="G909" s="21"/>
      <c r="H909" s="24" t="str">
        <f aca="false">IF(OR(A909="",D909="",G909=""),"",D909*G909)</f>
        <v/>
      </c>
      <c r="I909" s="25" t="str">
        <f aca="false">IF(OR(A909="",B909=""),"",IFERROR(LOOKUP(2,1/(单次交易!$A$2:$A$201=A909),单次交易!$H$2:$H$201),0)+SUMIFS($G$2:$G$1001,$A$2:$A$1001,A909,$B$2:$B$1001,"&lt;"&amp;B909))</f>
        <v/>
      </c>
      <c r="J909" s="24" t="str">
        <f aca="false">IF(OR(A909="",B909=""),"",IFERROR(LOOKUP(2,1/(单次交易!$A$2:$A$201=A909),单次交易!$E$2:$E$201)*LOOKUP(2,1/(单次交易!$A$2:$A$201=A909),单次交易!$H$2:$H$201),0)+SUMIFS($H$2:$H$1001,$A$2:$A$1001,A909,$B$2:$B$1001,"&lt;"&amp;B909))</f>
        <v/>
      </c>
      <c r="K909" s="24" t="str">
        <f aca="false">IF(OR(E909="",I909="",J909=""),"",MAX(E909*I909-J909,0))</f>
        <v/>
      </c>
      <c r="L909" s="25" t="str">
        <f aca="false">IF(OR(D909="",E909="",F909="",D909&lt;=E909),"",FLOOR((F909+K909)/(D909-E909),100))</f>
        <v/>
      </c>
      <c r="M909" s="25" t="str">
        <f aca="false">IF(OR(A909="",B909="",L909=""),"",IF(B909=1,L909,IFERROR(SUMIFS($G$2:$G$1001,$A$2:$A$1001,A909,$B$2:$B$1001,B909-1),0)))</f>
        <v/>
      </c>
      <c r="N909" s="25" t="str">
        <f aca="false">IF(OR(L909="",M909=""),"",MIN(L909,M909))</f>
        <v/>
      </c>
      <c r="O909" s="25" t="str">
        <f aca="false">IF(OR(I909="",G909=""),"",I909+G909)</f>
        <v/>
      </c>
      <c r="P909" s="24" t="str">
        <f aca="false">IF(OR(O909="",O909=0),"",(J909+H909)/O909)</f>
        <v/>
      </c>
      <c r="Q909" s="24" t="str">
        <f aca="false">IF(OR(O909="",E909=""),"",MAX(J909+H909-E909*O909,0))</f>
        <v/>
      </c>
      <c r="R909" s="26" t="str">
        <f aca="false">IF(A909="","",IF(COUNTIF(_TradeIds,A909)=0,"违规：交易编号不存在",IF(OR(B909="",B909&lt;1,B909&gt;5,B909&lt;&gt;INT(B909)),"违规：加仓序号须为1到5的整数",IF(COUNTIFS($A$2:$A$1001,A909,$B$2:$B$1001,B909)&gt;1,"违规：同一交易的加仓序号重复",IF(OR(D909="",E909="",F909=""),"计划不完整：请填写加仓价、新止损价和风险预算",IF(OR(D909&lt;=0,E909&lt;=0,F909&lt;=0,D909&lt;=E909),"违规：加仓价必须高于新止损价，金额须大于0",IF(AND(B909&gt;1,COUNTIFS($A$2:$A$1001,A909,$B$2:$B$1001,B909-1,$G$2:$G$1001,"&gt;0")=0),"违规：须先完成上一次加仓",IF(AND(B909&gt;1,E909&lt;SUMIFS($E$2:$E$1001,$A$2:$A$1001,A909,$B$2:$B$1001,B909-1)),"违规：新止损价不得低于上一次",IF(AND(B909&gt;1,F909&gt;SUMIFS($F$2:$F$1001,$A$2:$A$1001,A909,$B$2:$B$1001,B909-1)),"违规：风险预算须逐次不增加",IF(OR(_LockStatus="已锁仓",_LockStatus="解锁信息不完整"),"违规：锁仓期间禁止加仓",IF(G909="","计划可执行：建议股数见N列",IF(OR(G909&lt;=0,G909&lt;&gt;INT(G909),MOD(G909,100)&lt;&gt;0),"违规：实际股数须为100股整数倍",IF(G909&gt;N909,"违规：实际股数超过风险或金字塔上限",IF(AND(B909&gt;1,G909&gt;SUMIFS($G$2:$G$1001,$A$2:$A$1001,A909,$B$2:$B$1001,B909-1)),"违规：加仓股数须逐次不增加",IF(Q909&gt;F909,"违规：止损风险超过本次预算","通过")))))))))))))))</f>
        <v/>
      </c>
    </row>
    <row r="910" customFormat="false" ht="15" hidden="false" customHeight="false" outlineLevel="0" collapsed="false">
      <c r="A910" s="20"/>
      <c r="B910" s="21"/>
      <c r="C910" s="22"/>
      <c r="D910" s="23"/>
      <c r="E910" s="23"/>
      <c r="F910" s="23"/>
      <c r="G910" s="21"/>
      <c r="H910" s="24" t="str">
        <f aca="false">IF(OR(A910="",D910="",G910=""),"",D910*G910)</f>
        <v/>
      </c>
      <c r="I910" s="25" t="str">
        <f aca="false">IF(OR(A910="",B910=""),"",IFERROR(LOOKUP(2,1/(单次交易!$A$2:$A$201=A910),单次交易!$H$2:$H$201),0)+SUMIFS($G$2:$G$1001,$A$2:$A$1001,A910,$B$2:$B$1001,"&lt;"&amp;B910))</f>
        <v/>
      </c>
      <c r="J910" s="24" t="str">
        <f aca="false">IF(OR(A910="",B910=""),"",IFERROR(LOOKUP(2,1/(单次交易!$A$2:$A$201=A910),单次交易!$E$2:$E$201)*LOOKUP(2,1/(单次交易!$A$2:$A$201=A910),单次交易!$H$2:$H$201),0)+SUMIFS($H$2:$H$1001,$A$2:$A$1001,A910,$B$2:$B$1001,"&lt;"&amp;B910))</f>
        <v/>
      </c>
      <c r="K910" s="24" t="str">
        <f aca="false">IF(OR(E910="",I910="",J910=""),"",MAX(E910*I910-J910,0))</f>
        <v/>
      </c>
      <c r="L910" s="25" t="str">
        <f aca="false">IF(OR(D910="",E910="",F910="",D910&lt;=E910),"",FLOOR((F910+K910)/(D910-E910),100))</f>
        <v/>
      </c>
      <c r="M910" s="25" t="str">
        <f aca="false">IF(OR(A910="",B910="",L910=""),"",IF(B910=1,L910,IFERROR(SUMIFS($G$2:$G$1001,$A$2:$A$1001,A910,$B$2:$B$1001,B910-1),0)))</f>
        <v/>
      </c>
      <c r="N910" s="25" t="str">
        <f aca="false">IF(OR(L910="",M910=""),"",MIN(L910,M910))</f>
        <v/>
      </c>
      <c r="O910" s="25" t="str">
        <f aca="false">IF(OR(I910="",G910=""),"",I910+G910)</f>
        <v/>
      </c>
      <c r="P910" s="24" t="str">
        <f aca="false">IF(OR(O910="",O910=0),"",(J910+H910)/O910)</f>
        <v/>
      </c>
      <c r="Q910" s="24" t="str">
        <f aca="false">IF(OR(O910="",E910=""),"",MAX(J910+H910-E910*O910,0))</f>
        <v/>
      </c>
      <c r="R910" s="26" t="str">
        <f aca="false">IF(A910="","",IF(COUNTIF(_TradeIds,A910)=0,"违规：交易编号不存在",IF(OR(B910="",B910&lt;1,B910&gt;5,B910&lt;&gt;INT(B910)),"违规：加仓序号须为1到5的整数",IF(COUNTIFS($A$2:$A$1001,A910,$B$2:$B$1001,B910)&gt;1,"违规：同一交易的加仓序号重复",IF(OR(D910="",E910="",F910=""),"计划不完整：请填写加仓价、新止损价和风险预算",IF(OR(D910&lt;=0,E910&lt;=0,F910&lt;=0,D910&lt;=E910),"违规：加仓价必须高于新止损价，金额须大于0",IF(AND(B910&gt;1,COUNTIFS($A$2:$A$1001,A910,$B$2:$B$1001,B910-1,$G$2:$G$1001,"&gt;0")=0),"违规：须先完成上一次加仓",IF(AND(B910&gt;1,E910&lt;SUMIFS($E$2:$E$1001,$A$2:$A$1001,A910,$B$2:$B$1001,B910-1)),"违规：新止损价不得低于上一次",IF(AND(B910&gt;1,F910&gt;SUMIFS($F$2:$F$1001,$A$2:$A$1001,A910,$B$2:$B$1001,B910-1)),"违规：风险预算须逐次不增加",IF(OR(_LockStatus="已锁仓",_LockStatus="解锁信息不完整"),"违规：锁仓期间禁止加仓",IF(G910="","计划可执行：建议股数见N列",IF(OR(G910&lt;=0,G910&lt;&gt;INT(G910),MOD(G910,100)&lt;&gt;0),"违规：实际股数须为100股整数倍",IF(G910&gt;N910,"违规：实际股数超过风险或金字塔上限",IF(AND(B910&gt;1,G910&gt;SUMIFS($G$2:$G$1001,$A$2:$A$1001,A910,$B$2:$B$1001,B910-1)),"违规：加仓股数须逐次不增加",IF(Q910&gt;F910,"违规：止损风险超过本次预算","通过")))))))))))))))</f>
        <v/>
      </c>
    </row>
    <row r="911" customFormat="false" ht="15" hidden="false" customHeight="false" outlineLevel="0" collapsed="false">
      <c r="A911" s="20"/>
      <c r="B911" s="21"/>
      <c r="C911" s="22"/>
      <c r="D911" s="23"/>
      <c r="E911" s="23"/>
      <c r="F911" s="23"/>
      <c r="G911" s="21"/>
      <c r="H911" s="24" t="str">
        <f aca="false">IF(OR(A911="",D911="",G911=""),"",D911*G911)</f>
        <v/>
      </c>
      <c r="I911" s="25" t="str">
        <f aca="false">IF(OR(A911="",B911=""),"",IFERROR(LOOKUP(2,1/(单次交易!$A$2:$A$201=A911),单次交易!$H$2:$H$201),0)+SUMIFS($G$2:$G$1001,$A$2:$A$1001,A911,$B$2:$B$1001,"&lt;"&amp;B911))</f>
        <v/>
      </c>
      <c r="J911" s="24" t="str">
        <f aca="false">IF(OR(A911="",B911=""),"",IFERROR(LOOKUP(2,1/(单次交易!$A$2:$A$201=A911),单次交易!$E$2:$E$201)*LOOKUP(2,1/(单次交易!$A$2:$A$201=A911),单次交易!$H$2:$H$201),0)+SUMIFS($H$2:$H$1001,$A$2:$A$1001,A911,$B$2:$B$1001,"&lt;"&amp;B911))</f>
        <v/>
      </c>
      <c r="K911" s="24" t="str">
        <f aca="false">IF(OR(E911="",I911="",J911=""),"",MAX(E911*I911-J911,0))</f>
        <v/>
      </c>
      <c r="L911" s="25" t="str">
        <f aca="false">IF(OR(D911="",E911="",F911="",D911&lt;=E911),"",FLOOR((F911+K911)/(D911-E911),100))</f>
        <v/>
      </c>
      <c r="M911" s="25" t="str">
        <f aca="false">IF(OR(A911="",B911="",L911=""),"",IF(B911=1,L911,IFERROR(SUMIFS($G$2:$G$1001,$A$2:$A$1001,A911,$B$2:$B$1001,B911-1),0)))</f>
        <v/>
      </c>
      <c r="N911" s="25" t="str">
        <f aca="false">IF(OR(L911="",M911=""),"",MIN(L911,M911))</f>
        <v/>
      </c>
      <c r="O911" s="25" t="str">
        <f aca="false">IF(OR(I911="",G911=""),"",I911+G911)</f>
        <v/>
      </c>
      <c r="P911" s="24" t="str">
        <f aca="false">IF(OR(O911="",O911=0),"",(J911+H911)/O911)</f>
        <v/>
      </c>
      <c r="Q911" s="24" t="str">
        <f aca="false">IF(OR(O911="",E911=""),"",MAX(J911+H911-E911*O911,0))</f>
        <v/>
      </c>
      <c r="R911" s="26" t="str">
        <f aca="false">IF(A911="","",IF(COUNTIF(_TradeIds,A911)=0,"违规：交易编号不存在",IF(OR(B911="",B911&lt;1,B911&gt;5,B911&lt;&gt;INT(B911)),"违规：加仓序号须为1到5的整数",IF(COUNTIFS($A$2:$A$1001,A911,$B$2:$B$1001,B911)&gt;1,"违规：同一交易的加仓序号重复",IF(OR(D911="",E911="",F911=""),"计划不完整：请填写加仓价、新止损价和风险预算",IF(OR(D911&lt;=0,E911&lt;=0,F911&lt;=0,D911&lt;=E911),"违规：加仓价必须高于新止损价，金额须大于0",IF(AND(B911&gt;1,COUNTIFS($A$2:$A$1001,A911,$B$2:$B$1001,B911-1,$G$2:$G$1001,"&gt;0")=0),"违规：须先完成上一次加仓",IF(AND(B911&gt;1,E911&lt;SUMIFS($E$2:$E$1001,$A$2:$A$1001,A911,$B$2:$B$1001,B911-1)),"违规：新止损价不得低于上一次",IF(AND(B911&gt;1,F911&gt;SUMIFS($F$2:$F$1001,$A$2:$A$1001,A911,$B$2:$B$1001,B911-1)),"违规：风险预算须逐次不增加",IF(OR(_LockStatus="已锁仓",_LockStatus="解锁信息不完整"),"违规：锁仓期间禁止加仓",IF(G911="","计划可执行：建议股数见N列",IF(OR(G911&lt;=0,G911&lt;&gt;INT(G911),MOD(G911,100)&lt;&gt;0),"违规：实际股数须为100股整数倍",IF(G911&gt;N911,"违规：实际股数超过风险或金字塔上限",IF(AND(B911&gt;1,G911&gt;SUMIFS($G$2:$G$1001,$A$2:$A$1001,A911,$B$2:$B$1001,B911-1)),"违规：加仓股数须逐次不增加",IF(Q911&gt;F911,"违规：止损风险超过本次预算","通过")))))))))))))))</f>
        <v/>
      </c>
    </row>
    <row r="912" customFormat="false" ht="15" hidden="false" customHeight="false" outlineLevel="0" collapsed="false">
      <c r="A912" s="20"/>
      <c r="B912" s="21"/>
      <c r="C912" s="22"/>
      <c r="D912" s="23"/>
      <c r="E912" s="23"/>
      <c r="F912" s="23"/>
      <c r="G912" s="21"/>
      <c r="H912" s="24" t="str">
        <f aca="false">IF(OR(A912="",D912="",G912=""),"",D912*G912)</f>
        <v/>
      </c>
      <c r="I912" s="25" t="str">
        <f aca="false">IF(OR(A912="",B912=""),"",IFERROR(LOOKUP(2,1/(单次交易!$A$2:$A$201=A912),单次交易!$H$2:$H$201),0)+SUMIFS($G$2:$G$1001,$A$2:$A$1001,A912,$B$2:$B$1001,"&lt;"&amp;B912))</f>
        <v/>
      </c>
      <c r="J912" s="24" t="str">
        <f aca="false">IF(OR(A912="",B912=""),"",IFERROR(LOOKUP(2,1/(单次交易!$A$2:$A$201=A912),单次交易!$E$2:$E$201)*LOOKUP(2,1/(单次交易!$A$2:$A$201=A912),单次交易!$H$2:$H$201),0)+SUMIFS($H$2:$H$1001,$A$2:$A$1001,A912,$B$2:$B$1001,"&lt;"&amp;B912))</f>
        <v/>
      </c>
      <c r="K912" s="24" t="str">
        <f aca="false">IF(OR(E912="",I912="",J912=""),"",MAX(E912*I912-J912,0))</f>
        <v/>
      </c>
      <c r="L912" s="25" t="str">
        <f aca="false">IF(OR(D912="",E912="",F912="",D912&lt;=E912),"",FLOOR((F912+K912)/(D912-E912),100))</f>
        <v/>
      </c>
      <c r="M912" s="25" t="str">
        <f aca="false">IF(OR(A912="",B912="",L912=""),"",IF(B912=1,L912,IFERROR(SUMIFS($G$2:$G$1001,$A$2:$A$1001,A912,$B$2:$B$1001,B912-1),0)))</f>
        <v/>
      </c>
      <c r="N912" s="25" t="str">
        <f aca="false">IF(OR(L912="",M912=""),"",MIN(L912,M912))</f>
        <v/>
      </c>
      <c r="O912" s="25" t="str">
        <f aca="false">IF(OR(I912="",G912=""),"",I912+G912)</f>
        <v/>
      </c>
      <c r="P912" s="24" t="str">
        <f aca="false">IF(OR(O912="",O912=0),"",(J912+H912)/O912)</f>
        <v/>
      </c>
      <c r="Q912" s="24" t="str">
        <f aca="false">IF(OR(O912="",E912=""),"",MAX(J912+H912-E912*O912,0))</f>
        <v/>
      </c>
      <c r="R912" s="26" t="str">
        <f aca="false">IF(A912="","",IF(COUNTIF(_TradeIds,A912)=0,"违规：交易编号不存在",IF(OR(B912="",B912&lt;1,B912&gt;5,B912&lt;&gt;INT(B912)),"违规：加仓序号须为1到5的整数",IF(COUNTIFS($A$2:$A$1001,A912,$B$2:$B$1001,B912)&gt;1,"违规：同一交易的加仓序号重复",IF(OR(D912="",E912="",F912=""),"计划不完整：请填写加仓价、新止损价和风险预算",IF(OR(D912&lt;=0,E912&lt;=0,F912&lt;=0,D912&lt;=E912),"违规：加仓价必须高于新止损价，金额须大于0",IF(AND(B912&gt;1,COUNTIFS($A$2:$A$1001,A912,$B$2:$B$1001,B912-1,$G$2:$G$1001,"&gt;0")=0),"违规：须先完成上一次加仓",IF(AND(B912&gt;1,E912&lt;SUMIFS($E$2:$E$1001,$A$2:$A$1001,A912,$B$2:$B$1001,B912-1)),"违规：新止损价不得低于上一次",IF(AND(B912&gt;1,F912&gt;SUMIFS($F$2:$F$1001,$A$2:$A$1001,A912,$B$2:$B$1001,B912-1)),"违规：风险预算须逐次不增加",IF(OR(_LockStatus="已锁仓",_LockStatus="解锁信息不完整"),"违规：锁仓期间禁止加仓",IF(G912="","计划可执行：建议股数见N列",IF(OR(G912&lt;=0,G912&lt;&gt;INT(G912),MOD(G912,100)&lt;&gt;0),"违规：实际股数须为100股整数倍",IF(G912&gt;N912,"违规：实际股数超过风险或金字塔上限",IF(AND(B912&gt;1,G912&gt;SUMIFS($G$2:$G$1001,$A$2:$A$1001,A912,$B$2:$B$1001,B912-1)),"违规：加仓股数须逐次不增加",IF(Q912&gt;F912,"违规：止损风险超过本次预算","通过")))))))))))))))</f>
        <v/>
      </c>
    </row>
    <row r="913" customFormat="false" ht="15" hidden="false" customHeight="false" outlineLevel="0" collapsed="false">
      <c r="A913" s="20"/>
      <c r="B913" s="21"/>
      <c r="C913" s="22"/>
      <c r="D913" s="23"/>
      <c r="E913" s="23"/>
      <c r="F913" s="23"/>
      <c r="G913" s="21"/>
      <c r="H913" s="24" t="str">
        <f aca="false">IF(OR(A913="",D913="",G913=""),"",D913*G913)</f>
        <v/>
      </c>
      <c r="I913" s="25" t="str">
        <f aca="false">IF(OR(A913="",B913=""),"",IFERROR(LOOKUP(2,1/(单次交易!$A$2:$A$201=A913),单次交易!$H$2:$H$201),0)+SUMIFS($G$2:$G$1001,$A$2:$A$1001,A913,$B$2:$B$1001,"&lt;"&amp;B913))</f>
        <v/>
      </c>
      <c r="J913" s="24" t="str">
        <f aca="false">IF(OR(A913="",B913=""),"",IFERROR(LOOKUP(2,1/(单次交易!$A$2:$A$201=A913),单次交易!$E$2:$E$201)*LOOKUP(2,1/(单次交易!$A$2:$A$201=A913),单次交易!$H$2:$H$201),0)+SUMIFS($H$2:$H$1001,$A$2:$A$1001,A913,$B$2:$B$1001,"&lt;"&amp;B913))</f>
        <v/>
      </c>
      <c r="K913" s="24" t="str">
        <f aca="false">IF(OR(E913="",I913="",J913=""),"",MAX(E913*I913-J913,0))</f>
        <v/>
      </c>
      <c r="L913" s="25" t="str">
        <f aca="false">IF(OR(D913="",E913="",F913="",D913&lt;=E913),"",FLOOR((F913+K913)/(D913-E913),100))</f>
        <v/>
      </c>
      <c r="M913" s="25" t="str">
        <f aca="false">IF(OR(A913="",B913="",L913=""),"",IF(B913=1,L913,IFERROR(SUMIFS($G$2:$G$1001,$A$2:$A$1001,A913,$B$2:$B$1001,B913-1),0)))</f>
        <v/>
      </c>
      <c r="N913" s="25" t="str">
        <f aca="false">IF(OR(L913="",M913=""),"",MIN(L913,M913))</f>
        <v/>
      </c>
      <c r="O913" s="25" t="str">
        <f aca="false">IF(OR(I913="",G913=""),"",I913+G913)</f>
        <v/>
      </c>
      <c r="P913" s="24" t="str">
        <f aca="false">IF(OR(O913="",O913=0),"",(J913+H913)/O913)</f>
        <v/>
      </c>
      <c r="Q913" s="24" t="str">
        <f aca="false">IF(OR(O913="",E913=""),"",MAX(J913+H913-E913*O913,0))</f>
        <v/>
      </c>
      <c r="R913" s="26" t="str">
        <f aca="false">IF(A913="","",IF(COUNTIF(_TradeIds,A913)=0,"违规：交易编号不存在",IF(OR(B913="",B913&lt;1,B913&gt;5,B913&lt;&gt;INT(B913)),"违规：加仓序号须为1到5的整数",IF(COUNTIFS($A$2:$A$1001,A913,$B$2:$B$1001,B913)&gt;1,"违规：同一交易的加仓序号重复",IF(OR(D913="",E913="",F913=""),"计划不完整：请填写加仓价、新止损价和风险预算",IF(OR(D913&lt;=0,E913&lt;=0,F913&lt;=0,D913&lt;=E913),"违规：加仓价必须高于新止损价，金额须大于0",IF(AND(B913&gt;1,COUNTIFS($A$2:$A$1001,A913,$B$2:$B$1001,B913-1,$G$2:$G$1001,"&gt;0")=0),"违规：须先完成上一次加仓",IF(AND(B913&gt;1,E913&lt;SUMIFS($E$2:$E$1001,$A$2:$A$1001,A913,$B$2:$B$1001,B913-1)),"违规：新止损价不得低于上一次",IF(AND(B913&gt;1,F913&gt;SUMIFS($F$2:$F$1001,$A$2:$A$1001,A913,$B$2:$B$1001,B913-1)),"违规：风险预算须逐次不增加",IF(OR(_LockStatus="已锁仓",_LockStatus="解锁信息不完整"),"违规：锁仓期间禁止加仓",IF(G913="","计划可执行：建议股数见N列",IF(OR(G913&lt;=0,G913&lt;&gt;INT(G913),MOD(G913,100)&lt;&gt;0),"违规：实际股数须为100股整数倍",IF(G913&gt;N913,"违规：实际股数超过风险或金字塔上限",IF(AND(B913&gt;1,G913&gt;SUMIFS($G$2:$G$1001,$A$2:$A$1001,A913,$B$2:$B$1001,B913-1)),"违规：加仓股数须逐次不增加",IF(Q913&gt;F913,"违规：止损风险超过本次预算","通过")))))))))))))))</f>
        <v/>
      </c>
    </row>
    <row r="914" customFormat="false" ht="15" hidden="false" customHeight="false" outlineLevel="0" collapsed="false">
      <c r="A914" s="20"/>
      <c r="B914" s="21"/>
      <c r="C914" s="22"/>
      <c r="D914" s="23"/>
      <c r="E914" s="23"/>
      <c r="F914" s="23"/>
      <c r="G914" s="21"/>
      <c r="H914" s="24" t="str">
        <f aca="false">IF(OR(A914="",D914="",G914=""),"",D914*G914)</f>
        <v/>
      </c>
      <c r="I914" s="25" t="str">
        <f aca="false">IF(OR(A914="",B914=""),"",IFERROR(LOOKUP(2,1/(单次交易!$A$2:$A$201=A914),单次交易!$H$2:$H$201),0)+SUMIFS($G$2:$G$1001,$A$2:$A$1001,A914,$B$2:$B$1001,"&lt;"&amp;B914))</f>
        <v/>
      </c>
      <c r="J914" s="24" t="str">
        <f aca="false">IF(OR(A914="",B914=""),"",IFERROR(LOOKUP(2,1/(单次交易!$A$2:$A$201=A914),单次交易!$E$2:$E$201)*LOOKUP(2,1/(单次交易!$A$2:$A$201=A914),单次交易!$H$2:$H$201),0)+SUMIFS($H$2:$H$1001,$A$2:$A$1001,A914,$B$2:$B$1001,"&lt;"&amp;B914))</f>
        <v/>
      </c>
      <c r="K914" s="24" t="str">
        <f aca="false">IF(OR(E914="",I914="",J914=""),"",MAX(E914*I914-J914,0))</f>
        <v/>
      </c>
      <c r="L914" s="25" t="str">
        <f aca="false">IF(OR(D914="",E914="",F914="",D914&lt;=E914),"",FLOOR((F914+K914)/(D914-E914),100))</f>
        <v/>
      </c>
      <c r="M914" s="25" t="str">
        <f aca="false">IF(OR(A914="",B914="",L914=""),"",IF(B914=1,L914,IFERROR(SUMIFS($G$2:$G$1001,$A$2:$A$1001,A914,$B$2:$B$1001,B914-1),0)))</f>
        <v/>
      </c>
      <c r="N914" s="25" t="str">
        <f aca="false">IF(OR(L914="",M914=""),"",MIN(L914,M914))</f>
        <v/>
      </c>
      <c r="O914" s="25" t="str">
        <f aca="false">IF(OR(I914="",G914=""),"",I914+G914)</f>
        <v/>
      </c>
      <c r="P914" s="24" t="str">
        <f aca="false">IF(OR(O914="",O914=0),"",(J914+H914)/O914)</f>
        <v/>
      </c>
      <c r="Q914" s="24" t="str">
        <f aca="false">IF(OR(O914="",E914=""),"",MAX(J914+H914-E914*O914,0))</f>
        <v/>
      </c>
      <c r="R914" s="26" t="str">
        <f aca="false">IF(A914="","",IF(COUNTIF(_TradeIds,A914)=0,"违规：交易编号不存在",IF(OR(B914="",B914&lt;1,B914&gt;5,B914&lt;&gt;INT(B914)),"违规：加仓序号须为1到5的整数",IF(COUNTIFS($A$2:$A$1001,A914,$B$2:$B$1001,B914)&gt;1,"违规：同一交易的加仓序号重复",IF(OR(D914="",E914="",F914=""),"计划不完整：请填写加仓价、新止损价和风险预算",IF(OR(D914&lt;=0,E914&lt;=0,F914&lt;=0,D914&lt;=E914),"违规：加仓价必须高于新止损价，金额须大于0",IF(AND(B914&gt;1,COUNTIFS($A$2:$A$1001,A914,$B$2:$B$1001,B914-1,$G$2:$G$1001,"&gt;0")=0),"违规：须先完成上一次加仓",IF(AND(B914&gt;1,E914&lt;SUMIFS($E$2:$E$1001,$A$2:$A$1001,A914,$B$2:$B$1001,B914-1)),"违规：新止损价不得低于上一次",IF(AND(B914&gt;1,F914&gt;SUMIFS($F$2:$F$1001,$A$2:$A$1001,A914,$B$2:$B$1001,B914-1)),"违规：风险预算须逐次不增加",IF(OR(_LockStatus="已锁仓",_LockStatus="解锁信息不完整"),"违规：锁仓期间禁止加仓",IF(G914="","计划可执行：建议股数见N列",IF(OR(G914&lt;=0,G914&lt;&gt;INT(G914),MOD(G914,100)&lt;&gt;0),"违规：实际股数须为100股整数倍",IF(G914&gt;N914,"违规：实际股数超过风险或金字塔上限",IF(AND(B914&gt;1,G914&gt;SUMIFS($G$2:$G$1001,$A$2:$A$1001,A914,$B$2:$B$1001,B914-1)),"违规：加仓股数须逐次不增加",IF(Q914&gt;F914,"违规：止损风险超过本次预算","通过")))))))))))))))</f>
        <v/>
      </c>
    </row>
    <row r="915" customFormat="false" ht="15" hidden="false" customHeight="false" outlineLevel="0" collapsed="false">
      <c r="A915" s="20"/>
      <c r="B915" s="21"/>
      <c r="C915" s="22"/>
      <c r="D915" s="23"/>
      <c r="E915" s="23"/>
      <c r="F915" s="23"/>
      <c r="G915" s="21"/>
      <c r="H915" s="24" t="str">
        <f aca="false">IF(OR(A915="",D915="",G915=""),"",D915*G915)</f>
        <v/>
      </c>
      <c r="I915" s="25" t="str">
        <f aca="false">IF(OR(A915="",B915=""),"",IFERROR(LOOKUP(2,1/(单次交易!$A$2:$A$201=A915),单次交易!$H$2:$H$201),0)+SUMIFS($G$2:$G$1001,$A$2:$A$1001,A915,$B$2:$B$1001,"&lt;"&amp;B915))</f>
        <v/>
      </c>
      <c r="J915" s="24" t="str">
        <f aca="false">IF(OR(A915="",B915=""),"",IFERROR(LOOKUP(2,1/(单次交易!$A$2:$A$201=A915),单次交易!$E$2:$E$201)*LOOKUP(2,1/(单次交易!$A$2:$A$201=A915),单次交易!$H$2:$H$201),0)+SUMIFS($H$2:$H$1001,$A$2:$A$1001,A915,$B$2:$B$1001,"&lt;"&amp;B915))</f>
        <v/>
      </c>
      <c r="K915" s="24" t="str">
        <f aca="false">IF(OR(E915="",I915="",J915=""),"",MAX(E915*I915-J915,0))</f>
        <v/>
      </c>
      <c r="L915" s="25" t="str">
        <f aca="false">IF(OR(D915="",E915="",F915="",D915&lt;=E915),"",FLOOR((F915+K915)/(D915-E915),100))</f>
        <v/>
      </c>
      <c r="M915" s="25" t="str">
        <f aca="false">IF(OR(A915="",B915="",L915=""),"",IF(B915=1,L915,IFERROR(SUMIFS($G$2:$G$1001,$A$2:$A$1001,A915,$B$2:$B$1001,B915-1),0)))</f>
        <v/>
      </c>
      <c r="N915" s="25" t="str">
        <f aca="false">IF(OR(L915="",M915=""),"",MIN(L915,M915))</f>
        <v/>
      </c>
      <c r="O915" s="25" t="str">
        <f aca="false">IF(OR(I915="",G915=""),"",I915+G915)</f>
        <v/>
      </c>
      <c r="P915" s="24" t="str">
        <f aca="false">IF(OR(O915="",O915=0),"",(J915+H915)/O915)</f>
        <v/>
      </c>
      <c r="Q915" s="24" t="str">
        <f aca="false">IF(OR(O915="",E915=""),"",MAX(J915+H915-E915*O915,0))</f>
        <v/>
      </c>
      <c r="R915" s="26" t="str">
        <f aca="false">IF(A915="","",IF(COUNTIF(_TradeIds,A915)=0,"违规：交易编号不存在",IF(OR(B915="",B915&lt;1,B915&gt;5,B915&lt;&gt;INT(B915)),"违规：加仓序号须为1到5的整数",IF(COUNTIFS($A$2:$A$1001,A915,$B$2:$B$1001,B915)&gt;1,"违规：同一交易的加仓序号重复",IF(OR(D915="",E915="",F915=""),"计划不完整：请填写加仓价、新止损价和风险预算",IF(OR(D915&lt;=0,E915&lt;=0,F915&lt;=0,D915&lt;=E915),"违规：加仓价必须高于新止损价，金额须大于0",IF(AND(B915&gt;1,COUNTIFS($A$2:$A$1001,A915,$B$2:$B$1001,B915-1,$G$2:$G$1001,"&gt;0")=0),"违规：须先完成上一次加仓",IF(AND(B915&gt;1,E915&lt;SUMIFS($E$2:$E$1001,$A$2:$A$1001,A915,$B$2:$B$1001,B915-1)),"违规：新止损价不得低于上一次",IF(AND(B915&gt;1,F915&gt;SUMIFS($F$2:$F$1001,$A$2:$A$1001,A915,$B$2:$B$1001,B915-1)),"违规：风险预算须逐次不增加",IF(OR(_LockStatus="已锁仓",_LockStatus="解锁信息不完整"),"违规：锁仓期间禁止加仓",IF(G915="","计划可执行：建议股数见N列",IF(OR(G915&lt;=0,G915&lt;&gt;INT(G915),MOD(G915,100)&lt;&gt;0),"违规：实际股数须为100股整数倍",IF(G915&gt;N915,"违规：实际股数超过风险或金字塔上限",IF(AND(B915&gt;1,G915&gt;SUMIFS($G$2:$G$1001,$A$2:$A$1001,A915,$B$2:$B$1001,B915-1)),"违规：加仓股数须逐次不增加",IF(Q915&gt;F915,"违规：止损风险超过本次预算","通过")))))))))))))))</f>
        <v/>
      </c>
    </row>
    <row r="916" customFormat="false" ht="15" hidden="false" customHeight="false" outlineLevel="0" collapsed="false">
      <c r="A916" s="20"/>
      <c r="B916" s="21"/>
      <c r="C916" s="22"/>
      <c r="D916" s="23"/>
      <c r="E916" s="23"/>
      <c r="F916" s="23"/>
      <c r="G916" s="21"/>
      <c r="H916" s="24" t="str">
        <f aca="false">IF(OR(A916="",D916="",G916=""),"",D916*G916)</f>
        <v/>
      </c>
      <c r="I916" s="25" t="str">
        <f aca="false">IF(OR(A916="",B916=""),"",IFERROR(LOOKUP(2,1/(单次交易!$A$2:$A$201=A916),单次交易!$H$2:$H$201),0)+SUMIFS($G$2:$G$1001,$A$2:$A$1001,A916,$B$2:$B$1001,"&lt;"&amp;B916))</f>
        <v/>
      </c>
      <c r="J916" s="24" t="str">
        <f aca="false">IF(OR(A916="",B916=""),"",IFERROR(LOOKUP(2,1/(单次交易!$A$2:$A$201=A916),单次交易!$E$2:$E$201)*LOOKUP(2,1/(单次交易!$A$2:$A$201=A916),单次交易!$H$2:$H$201),0)+SUMIFS($H$2:$H$1001,$A$2:$A$1001,A916,$B$2:$B$1001,"&lt;"&amp;B916))</f>
        <v/>
      </c>
      <c r="K916" s="24" t="str">
        <f aca="false">IF(OR(E916="",I916="",J916=""),"",MAX(E916*I916-J916,0))</f>
        <v/>
      </c>
      <c r="L916" s="25" t="str">
        <f aca="false">IF(OR(D916="",E916="",F916="",D916&lt;=E916),"",FLOOR((F916+K916)/(D916-E916),100))</f>
        <v/>
      </c>
      <c r="M916" s="25" t="str">
        <f aca="false">IF(OR(A916="",B916="",L916=""),"",IF(B916=1,L916,IFERROR(SUMIFS($G$2:$G$1001,$A$2:$A$1001,A916,$B$2:$B$1001,B916-1),0)))</f>
        <v/>
      </c>
      <c r="N916" s="25" t="str">
        <f aca="false">IF(OR(L916="",M916=""),"",MIN(L916,M916))</f>
        <v/>
      </c>
      <c r="O916" s="25" t="str">
        <f aca="false">IF(OR(I916="",G916=""),"",I916+G916)</f>
        <v/>
      </c>
      <c r="P916" s="24" t="str">
        <f aca="false">IF(OR(O916="",O916=0),"",(J916+H916)/O916)</f>
        <v/>
      </c>
      <c r="Q916" s="24" t="str">
        <f aca="false">IF(OR(O916="",E916=""),"",MAX(J916+H916-E916*O916,0))</f>
        <v/>
      </c>
      <c r="R916" s="26" t="str">
        <f aca="false">IF(A916="","",IF(COUNTIF(_TradeIds,A916)=0,"违规：交易编号不存在",IF(OR(B916="",B916&lt;1,B916&gt;5,B916&lt;&gt;INT(B916)),"违规：加仓序号须为1到5的整数",IF(COUNTIFS($A$2:$A$1001,A916,$B$2:$B$1001,B916)&gt;1,"违规：同一交易的加仓序号重复",IF(OR(D916="",E916="",F916=""),"计划不完整：请填写加仓价、新止损价和风险预算",IF(OR(D916&lt;=0,E916&lt;=0,F916&lt;=0,D916&lt;=E916),"违规：加仓价必须高于新止损价，金额须大于0",IF(AND(B916&gt;1,COUNTIFS($A$2:$A$1001,A916,$B$2:$B$1001,B916-1,$G$2:$G$1001,"&gt;0")=0),"违规：须先完成上一次加仓",IF(AND(B916&gt;1,E916&lt;SUMIFS($E$2:$E$1001,$A$2:$A$1001,A916,$B$2:$B$1001,B916-1)),"违规：新止损价不得低于上一次",IF(AND(B916&gt;1,F916&gt;SUMIFS($F$2:$F$1001,$A$2:$A$1001,A916,$B$2:$B$1001,B916-1)),"违规：风险预算须逐次不增加",IF(OR(_LockStatus="已锁仓",_LockStatus="解锁信息不完整"),"违规：锁仓期间禁止加仓",IF(G916="","计划可执行：建议股数见N列",IF(OR(G916&lt;=0,G916&lt;&gt;INT(G916),MOD(G916,100)&lt;&gt;0),"违规：实际股数须为100股整数倍",IF(G916&gt;N916,"违规：实际股数超过风险或金字塔上限",IF(AND(B916&gt;1,G916&gt;SUMIFS($G$2:$G$1001,$A$2:$A$1001,A916,$B$2:$B$1001,B916-1)),"违规：加仓股数须逐次不增加",IF(Q916&gt;F916,"违规：止损风险超过本次预算","通过")))))))))))))))</f>
        <v/>
      </c>
    </row>
    <row r="917" customFormat="false" ht="15" hidden="false" customHeight="false" outlineLevel="0" collapsed="false">
      <c r="A917" s="20"/>
      <c r="B917" s="21"/>
      <c r="C917" s="22"/>
      <c r="D917" s="23"/>
      <c r="E917" s="23"/>
      <c r="F917" s="23"/>
      <c r="G917" s="21"/>
      <c r="H917" s="24" t="str">
        <f aca="false">IF(OR(A917="",D917="",G917=""),"",D917*G917)</f>
        <v/>
      </c>
      <c r="I917" s="25" t="str">
        <f aca="false">IF(OR(A917="",B917=""),"",IFERROR(LOOKUP(2,1/(单次交易!$A$2:$A$201=A917),单次交易!$H$2:$H$201),0)+SUMIFS($G$2:$G$1001,$A$2:$A$1001,A917,$B$2:$B$1001,"&lt;"&amp;B917))</f>
        <v/>
      </c>
      <c r="J917" s="24" t="str">
        <f aca="false">IF(OR(A917="",B917=""),"",IFERROR(LOOKUP(2,1/(单次交易!$A$2:$A$201=A917),单次交易!$E$2:$E$201)*LOOKUP(2,1/(单次交易!$A$2:$A$201=A917),单次交易!$H$2:$H$201),0)+SUMIFS($H$2:$H$1001,$A$2:$A$1001,A917,$B$2:$B$1001,"&lt;"&amp;B917))</f>
        <v/>
      </c>
      <c r="K917" s="24" t="str">
        <f aca="false">IF(OR(E917="",I917="",J917=""),"",MAX(E917*I917-J917,0))</f>
        <v/>
      </c>
      <c r="L917" s="25" t="str">
        <f aca="false">IF(OR(D917="",E917="",F917="",D917&lt;=E917),"",FLOOR((F917+K917)/(D917-E917),100))</f>
        <v/>
      </c>
      <c r="M917" s="25" t="str">
        <f aca="false">IF(OR(A917="",B917="",L917=""),"",IF(B917=1,L917,IFERROR(SUMIFS($G$2:$G$1001,$A$2:$A$1001,A917,$B$2:$B$1001,B917-1),0)))</f>
        <v/>
      </c>
      <c r="N917" s="25" t="str">
        <f aca="false">IF(OR(L917="",M917=""),"",MIN(L917,M917))</f>
        <v/>
      </c>
      <c r="O917" s="25" t="str">
        <f aca="false">IF(OR(I917="",G917=""),"",I917+G917)</f>
        <v/>
      </c>
      <c r="P917" s="24" t="str">
        <f aca="false">IF(OR(O917="",O917=0),"",(J917+H917)/O917)</f>
        <v/>
      </c>
      <c r="Q917" s="24" t="str">
        <f aca="false">IF(OR(O917="",E917=""),"",MAX(J917+H917-E917*O917,0))</f>
        <v/>
      </c>
      <c r="R917" s="26" t="str">
        <f aca="false">IF(A917="","",IF(COUNTIF(_TradeIds,A917)=0,"违规：交易编号不存在",IF(OR(B917="",B917&lt;1,B917&gt;5,B917&lt;&gt;INT(B917)),"违规：加仓序号须为1到5的整数",IF(COUNTIFS($A$2:$A$1001,A917,$B$2:$B$1001,B917)&gt;1,"违规：同一交易的加仓序号重复",IF(OR(D917="",E917="",F917=""),"计划不完整：请填写加仓价、新止损价和风险预算",IF(OR(D917&lt;=0,E917&lt;=0,F917&lt;=0,D917&lt;=E917),"违规：加仓价必须高于新止损价，金额须大于0",IF(AND(B917&gt;1,COUNTIFS($A$2:$A$1001,A917,$B$2:$B$1001,B917-1,$G$2:$G$1001,"&gt;0")=0),"违规：须先完成上一次加仓",IF(AND(B917&gt;1,E917&lt;SUMIFS($E$2:$E$1001,$A$2:$A$1001,A917,$B$2:$B$1001,B917-1)),"违规：新止损价不得低于上一次",IF(AND(B917&gt;1,F917&gt;SUMIFS($F$2:$F$1001,$A$2:$A$1001,A917,$B$2:$B$1001,B917-1)),"违规：风险预算须逐次不增加",IF(OR(_LockStatus="已锁仓",_LockStatus="解锁信息不完整"),"违规：锁仓期间禁止加仓",IF(G917="","计划可执行：建议股数见N列",IF(OR(G917&lt;=0,G917&lt;&gt;INT(G917),MOD(G917,100)&lt;&gt;0),"违规：实际股数须为100股整数倍",IF(G917&gt;N917,"违规：实际股数超过风险或金字塔上限",IF(AND(B917&gt;1,G917&gt;SUMIFS($G$2:$G$1001,$A$2:$A$1001,A917,$B$2:$B$1001,B917-1)),"违规：加仓股数须逐次不增加",IF(Q917&gt;F917,"违规：止损风险超过本次预算","通过")))))))))))))))</f>
        <v/>
      </c>
    </row>
    <row r="918" customFormat="false" ht="15" hidden="false" customHeight="false" outlineLevel="0" collapsed="false">
      <c r="A918" s="20"/>
      <c r="B918" s="21"/>
      <c r="C918" s="22"/>
      <c r="D918" s="23"/>
      <c r="E918" s="23"/>
      <c r="F918" s="23"/>
      <c r="G918" s="21"/>
      <c r="H918" s="24" t="str">
        <f aca="false">IF(OR(A918="",D918="",G918=""),"",D918*G918)</f>
        <v/>
      </c>
      <c r="I918" s="25" t="str">
        <f aca="false">IF(OR(A918="",B918=""),"",IFERROR(LOOKUP(2,1/(单次交易!$A$2:$A$201=A918),单次交易!$H$2:$H$201),0)+SUMIFS($G$2:$G$1001,$A$2:$A$1001,A918,$B$2:$B$1001,"&lt;"&amp;B918))</f>
        <v/>
      </c>
      <c r="J918" s="24" t="str">
        <f aca="false">IF(OR(A918="",B918=""),"",IFERROR(LOOKUP(2,1/(单次交易!$A$2:$A$201=A918),单次交易!$E$2:$E$201)*LOOKUP(2,1/(单次交易!$A$2:$A$201=A918),单次交易!$H$2:$H$201),0)+SUMIFS($H$2:$H$1001,$A$2:$A$1001,A918,$B$2:$B$1001,"&lt;"&amp;B918))</f>
        <v/>
      </c>
      <c r="K918" s="24" t="str">
        <f aca="false">IF(OR(E918="",I918="",J918=""),"",MAX(E918*I918-J918,0))</f>
        <v/>
      </c>
      <c r="L918" s="25" t="str">
        <f aca="false">IF(OR(D918="",E918="",F918="",D918&lt;=E918),"",FLOOR((F918+K918)/(D918-E918),100))</f>
        <v/>
      </c>
      <c r="M918" s="25" t="str">
        <f aca="false">IF(OR(A918="",B918="",L918=""),"",IF(B918=1,L918,IFERROR(SUMIFS($G$2:$G$1001,$A$2:$A$1001,A918,$B$2:$B$1001,B918-1),0)))</f>
        <v/>
      </c>
      <c r="N918" s="25" t="str">
        <f aca="false">IF(OR(L918="",M918=""),"",MIN(L918,M918))</f>
        <v/>
      </c>
      <c r="O918" s="25" t="str">
        <f aca="false">IF(OR(I918="",G918=""),"",I918+G918)</f>
        <v/>
      </c>
      <c r="P918" s="24" t="str">
        <f aca="false">IF(OR(O918="",O918=0),"",(J918+H918)/O918)</f>
        <v/>
      </c>
      <c r="Q918" s="24" t="str">
        <f aca="false">IF(OR(O918="",E918=""),"",MAX(J918+H918-E918*O918,0))</f>
        <v/>
      </c>
      <c r="R918" s="26" t="str">
        <f aca="false">IF(A918="","",IF(COUNTIF(_TradeIds,A918)=0,"违规：交易编号不存在",IF(OR(B918="",B918&lt;1,B918&gt;5,B918&lt;&gt;INT(B918)),"违规：加仓序号须为1到5的整数",IF(COUNTIFS($A$2:$A$1001,A918,$B$2:$B$1001,B918)&gt;1,"违规：同一交易的加仓序号重复",IF(OR(D918="",E918="",F918=""),"计划不完整：请填写加仓价、新止损价和风险预算",IF(OR(D918&lt;=0,E918&lt;=0,F918&lt;=0,D918&lt;=E918),"违规：加仓价必须高于新止损价，金额须大于0",IF(AND(B918&gt;1,COUNTIFS($A$2:$A$1001,A918,$B$2:$B$1001,B918-1,$G$2:$G$1001,"&gt;0")=0),"违规：须先完成上一次加仓",IF(AND(B918&gt;1,E918&lt;SUMIFS($E$2:$E$1001,$A$2:$A$1001,A918,$B$2:$B$1001,B918-1)),"违规：新止损价不得低于上一次",IF(AND(B918&gt;1,F918&gt;SUMIFS($F$2:$F$1001,$A$2:$A$1001,A918,$B$2:$B$1001,B918-1)),"违规：风险预算须逐次不增加",IF(OR(_LockStatus="已锁仓",_LockStatus="解锁信息不完整"),"违规：锁仓期间禁止加仓",IF(G918="","计划可执行：建议股数见N列",IF(OR(G918&lt;=0,G918&lt;&gt;INT(G918),MOD(G918,100)&lt;&gt;0),"违规：实际股数须为100股整数倍",IF(G918&gt;N918,"违规：实际股数超过风险或金字塔上限",IF(AND(B918&gt;1,G918&gt;SUMIFS($G$2:$G$1001,$A$2:$A$1001,A918,$B$2:$B$1001,B918-1)),"违规：加仓股数须逐次不增加",IF(Q918&gt;F918,"违规：止损风险超过本次预算","通过")))))))))))))))</f>
        <v/>
      </c>
    </row>
    <row r="919" customFormat="false" ht="15" hidden="false" customHeight="false" outlineLevel="0" collapsed="false">
      <c r="A919" s="20"/>
      <c r="B919" s="21"/>
      <c r="C919" s="22"/>
      <c r="D919" s="23"/>
      <c r="E919" s="23"/>
      <c r="F919" s="23"/>
      <c r="G919" s="21"/>
      <c r="H919" s="24" t="str">
        <f aca="false">IF(OR(A919="",D919="",G919=""),"",D919*G919)</f>
        <v/>
      </c>
      <c r="I919" s="25" t="str">
        <f aca="false">IF(OR(A919="",B919=""),"",IFERROR(LOOKUP(2,1/(单次交易!$A$2:$A$201=A919),单次交易!$H$2:$H$201),0)+SUMIFS($G$2:$G$1001,$A$2:$A$1001,A919,$B$2:$B$1001,"&lt;"&amp;B919))</f>
        <v/>
      </c>
      <c r="J919" s="24" t="str">
        <f aca="false">IF(OR(A919="",B919=""),"",IFERROR(LOOKUP(2,1/(单次交易!$A$2:$A$201=A919),单次交易!$E$2:$E$201)*LOOKUP(2,1/(单次交易!$A$2:$A$201=A919),单次交易!$H$2:$H$201),0)+SUMIFS($H$2:$H$1001,$A$2:$A$1001,A919,$B$2:$B$1001,"&lt;"&amp;B919))</f>
        <v/>
      </c>
      <c r="K919" s="24" t="str">
        <f aca="false">IF(OR(E919="",I919="",J919=""),"",MAX(E919*I919-J919,0))</f>
        <v/>
      </c>
      <c r="L919" s="25" t="str">
        <f aca="false">IF(OR(D919="",E919="",F919="",D919&lt;=E919),"",FLOOR((F919+K919)/(D919-E919),100))</f>
        <v/>
      </c>
      <c r="M919" s="25" t="str">
        <f aca="false">IF(OR(A919="",B919="",L919=""),"",IF(B919=1,L919,IFERROR(SUMIFS($G$2:$G$1001,$A$2:$A$1001,A919,$B$2:$B$1001,B919-1),0)))</f>
        <v/>
      </c>
      <c r="N919" s="25" t="str">
        <f aca="false">IF(OR(L919="",M919=""),"",MIN(L919,M919))</f>
        <v/>
      </c>
      <c r="O919" s="25" t="str">
        <f aca="false">IF(OR(I919="",G919=""),"",I919+G919)</f>
        <v/>
      </c>
      <c r="P919" s="24" t="str">
        <f aca="false">IF(OR(O919="",O919=0),"",(J919+H919)/O919)</f>
        <v/>
      </c>
      <c r="Q919" s="24" t="str">
        <f aca="false">IF(OR(O919="",E919=""),"",MAX(J919+H919-E919*O919,0))</f>
        <v/>
      </c>
      <c r="R919" s="26" t="str">
        <f aca="false">IF(A919="","",IF(COUNTIF(_TradeIds,A919)=0,"违规：交易编号不存在",IF(OR(B919="",B919&lt;1,B919&gt;5,B919&lt;&gt;INT(B919)),"违规：加仓序号须为1到5的整数",IF(COUNTIFS($A$2:$A$1001,A919,$B$2:$B$1001,B919)&gt;1,"违规：同一交易的加仓序号重复",IF(OR(D919="",E919="",F919=""),"计划不完整：请填写加仓价、新止损价和风险预算",IF(OR(D919&lt;=0,E919&lt;=0,F919&lt;=0,D919&lt;=E919),"违规：加仓价必须高于新止损价，金额须大于0",IF(AND(B919&gt;1,COUNTIFS($A$2:$A$1001,A919,$B$2:$B$1001,B919-1,$G$2:$G$1001,"&gt;0")=0),"违规：须先完成上一次加仓",IF(AND(B919&gt;1,E919&lt;SUMIFS($E$2:$E$1001,$A$2:$A$1001,A919,$B$2:$B$1001,B919-1)),"违规：新止损价不得低于上一次",IF(AND(B919&gt;1,F919&gt;SUMIFS($F$2:$F$1001,$A$2:$A$1001,A919,$B$2:$B$1001,B919-1)),"违规：风险预算须逐次不增加",IF(OR(_LockStatus="已锁仓",_LockStatus="解锁信息不完整"),"违规：锁仓期间禁止加仓",IF(G919="","计划可执行：建议股数见N列",IF(OR(G919&lt;=0,G919&lt;&gt;INT(G919),MOD(G919,100)&lt;&gt;0),"违规：实际股数须为100股整数倍",IF(G919&gt;N919,"违规：实际股数超过风险或金字塔上限",IF(AND(B919&gt;1,G919&gt;SUMIFS($G$2:$G$1001,$A$2:$A$1001,A919,$B$2:$B$1001,B919-1)),"违规：加仓股数须逐次不增加",IF(Q919&gt;F919,"违规：止损风险超过本次预算","通过")))))))))))))))</f>
        <v/>
      </c>
    </row>
    <row r="920" customFormat="false" ht="15" hidden="false" customHeight="false" outlineLevel="0" collapsed="false">
      <c r="A920" s="20"/>
      <c r="B920" s="21"/>
      <c r="C920" s="22"/>
      <c r="D920" s="23"/>
      <c r="E920" s="23"/>
      <c r="F920" s="23"/>
      <c r="G920" s="21"/>
      <c r="H920" s="24" t="str">
        <f aca="false">IF(OR(A920="",D920="",G920=""),"",D920*G920)</f>
        <v/>
      </c>
      <c r="I920" s="25" t="str">
        <f aca="false">IF(OR(A920="",B920=""),"",IFERROR(LOOKUP(2,1/(单次交易!$A$2:$A$201=A920),单次交易!$H$2:$H$201),0)+SUMIFS($G$2:$G$1001,$A$2:$A$1001,A920,$B$2:$B$1001,"&lt;"&amp;B920))</f>
        <v/>
      </c>
      <c r="J920" s="24" t="str">
        <f aca="false">IF(OR(A920="",B920=""),"",IFERROR(LOOKUP(2,1/(单次交易!$A$2:$A$201=A920),单次交易!$E$2:$E$201)*LOOKUP(2,1/(单次交易!$A$2:$A$201=A920),单次交易!$H$2:$H$201),0)+SUMIFS($H$2:$H$1001,$A$2:$A$1001,A920,$B$2:$B$1001,"&lt;"&amp;B920))</f>
        <v/>
      </c>
      <c r="K920" s="24" t="str">
        <f aca="false">IF(OR(E920="",I920="",J920=""),"",MAX(E920*I920-J920,0))</f>
        <v/>
      </c>
      <c r="L920" s="25" t="str">
        <f aca="false">IF(OR(D920="",E920="",F920="",D920&lt;=E920),"",FLOOR((F920+K920)/(D920-E920),100))</f>
        <v/>
      </c>
      <c r="M920" s="25" t="str">
        <f aca="false">IF(OR(A920="",B920="",L920=""),"",IF(B920=1,L920,IFERROR(SUMIFS($G$2:$G$1001,$A$2:$A$1001,A920,$B$2:$B$1001,B920-1),0)))</f>
        <v/>
      </c>
      <c r="N920" s="25" t="str">
        <f aca="false">IF(OR(L920="",M920=""),"",MIN(L920,M920))</f>
        <v/>
      </c>
      <c r="O920" s="25" t="str">
        <f aca="false">IF(OR(I920="",G920=""),"",I920+G920)</f>
        <v/>
      </c>
      <c r="P920" s="24" t="str">
        <f aca="false">IF(OR(O920="",O920=0),"",(J920+H920)/O920)</f>
        <v/>
      </c>
      <c r="Q920" s="24" t="str">
        <f aca="false">IF(OR(O920="",E920=""),"",MAX(J920+H920-E920*O920,0))</f>
        <v/>
      </c>
      <c r="R920" s="26" t="str">
        <f aca="false">IF(A920="","",IF(COUNTIF(_TradeIds,A920)=0,"违规：交易编号不存在",IF(OR(B920="",B920&lt;1,B920&gt;5,B920&lt;&gt;INT(B920)),"违规：加仓序号须为1到5的整数",IF(COUNTIFS($A$2:$A$1001,A920,$B$2:$B$1001,B920)&gt;1,"违规：同一交易的加仓序号重复",IF(OR(D920="",E920="",F920=""),"计划不完整：请填写加仓价、新止损价和风险预算",IF(OR(D920&lt;=0,E920&lt;=0,F920&lt;=0,D920&lt;=E920),"违规：加仓价必须高于新止损价，金额须大于0",IF(AND(B920&gt;1,COUNTIFS($A$2:$A$1001,A920,$B$2:$B$1001,B920-1,$G$2:$G$1001,"&gt;0")=0),"违规：须先完成上一次加仓",IF(AND(B920&gt;1,E920&lt;SUMIFS($E$2:$E$1001,$A$2:$A$1001,A920,$B$2:$B$1001,B920-1)),"违规：新止损价不得低于上一次",IF(AND(B920&gt;1,F920&gt;SUMIFS($F$2:$F$1001,$A$2:$A$1001,A920,$B$2:$B$1001,B920-1)),"违规：风险预算须逐次不增加",IF(OR(_LockStatus="已锁仓",_LockStatus="解锁信息不完整"),"违规：锁仓期间禁止加仓",IF(G920="","计划可执行：建议股数见N列",IF(OR(G920&lt;=0,G920&lt;&gt;INT(G920),MOD(G920,100)&lt;&gt;0),"违规：实际股数须为100股整数倍",IF(G920&gt;N920,"违规：实际股数超过风险或金字塔上限",IF(AND(B920&gt;1,G920&gt;SUMIFS($G$2:$G$1001,$A$2:$A$1001,A920,$B$2:$B$1001,B920-1)),"违规：加仓股数须逐次不增加",IF(Q920&gt;F920,"违规：止损风险超过本次预算","通过")))))))))))))))</f>
        <v/>
      </c>
    </row>
    <row r="921" customFormat="false" ht="15" hidden="false" customHeight="false" outlineLevel="0" collapsed="false">
      <c r="A921" s="20"/>
      <c r="B921" s="21"/>
      <c r="C921" s="22"/>
      <c r="D921" s="23"/>
      <c r="E921" s="23"/>
      <c r="F921" s="23"/>
      <c r="G921" s="21"/>
      <c r="H921" s="24" t="str">
        <f aca="false">IF(OR(A921="",D921="",G921=""),"",D921*G921)</f>
        <v/>
      </c>
      <c r="I921" s="25" t="str">
        <f aca="false">IF(OR(A921="",B921=""),"",IFERROR(LOOKUP(2,1/(单次交易!$A$2:$A$201=A921),单次交易!$H$2:$H$201),0)+SUMIFS($G$2:$G$1001,$A$2:$A$1001,A921,$B$2:$B$1001,"&lt;"&amp;B921))</f>
        <v/>
      </c>
      <c r="J921" s="24" t="str">
        <f aca="false">IF(OR(A921="",B921=""),"",IFERROR(LOOKUP(2,1/(单次交易!$A$2:$A$201=A921),单次交易!$E$2:$E$201)*LOOKUP(2,1/(单次交易!$A$2:$A$201=A921),单次交易!$H$2:$H$201),0)+SUMIFS($H$2:$H$1001,$A$2:$A$1001,A921,$B$2:$B$1001,"&lt;"&amp;B921))</f>
        <v/>
      </c>
      <c r="K921" s="24" t="str">
        <f aca="false">IF(OR(E921="",I921="",J921=""),"",MAX(E921*I921-J921,0))</f>
        <v/>
      </c>
      <c r="L921" s="25" t="str">
        <f aca="false">IF(OR(D921="",E921="",F921="",D921&lt;=E921),"",FLOOR((F921+K921)/(D921-E921),100))</f>
        <v/>
      </c>
      <c r="M921" s="25" t="str">
        <f aca="false">IF(OR(A921="",B921="",L921=""),"",IF(B921=1,L921,IFERROR(SUMIFS($G$2:$G$1001,$A$2:$A$1001,A921,$B$2:$B$1001,B921-1),0)))</f>
        <v/>
      </c>
      <c r="N921" s="25" t="str">
        <f aca="false">IF(OR(L921="",M921=""),"",MIN(L921,M921))</f>
        <v/>
      </c>
      <c r="O921" s="25" t="str">
        <f aca="false">IF(OR(I921="",G921=""),"",I921+G921)</f>
        <v/>
      </c>
      <c r="P921" s="24" t="str">
        <f aca="false">IF(OR(O921="",O921=0),"",(J921+H921)/O921)</f>
        <v/>
      </c>
      <c r="Q921" s="24" t="str">
        <f aca="false">IF(OR(O921="",E921=""),"",MAX(J921+H921-E921*O921,0))</f>
        <v/>
      </c>
      <c r="R921" s="26" t="str">
        <f aca="false">IF(A921="","",IF(COUNTIF(_TradeIds,A921)=0,"违规：交易编号不存在",IF(OR(B921="",B921&lt;1,B921&gt;5,B921&lt;&gt;INT(B921)),"违规：加仓序号须为1到5的整数",IF(COUNTIFS($A$2:$A$1001,A921,$B$2:$B$1001,B921)&gt;1,"违规：同一交易的加仓序号重复",IF(OR(D921="",E921="",F921=""),"计划不完整：请填写加仓价、新止损价和风险预算",IF(OR(D921&lt;=0,E921&lt;=0,F921&lt;=0,D921&lt;=E921),"违规：加仓价必须高于新止损价，金额须大于0",IF(AND(B921&gt;1,COUNTIFS($A$2:$A$1001,A921,$B$2:$B$1001,B921-1,$G$2:$G$1001,"&gt;0")=0),"违规：须先完成上一次加仓",IF(AND(B921&gt;1,E921&lt;SUMIFS($E$2:$E$1001,$A$2:$A$1001,A921,$B$2:$B$1001,B921-1)),"违规：新止损价不得低于上一次",IF(AND(B921&gt;1,F921&gt;SUMIFS($F$2:$F$1001,$A$2:$A$1001,A921,$B$2:$B$1001,B921-1)),"违规：风险预算须逐次不增加",IF(OR(_LockStatus="已锁仓",_LockStatus="解锁信息不完整"),"违规：锁仓期间禁止加仓",IF(G921="","计划可执行：建议股数见N列",IF(OR(G921&lt;=0,G921&lt;&gt;INT(G921),MOD(G921,100)&lt;&gt;0),"违规：实际股数须为100股整数倍",IF(G921&gt;N921,"违规：实际股数超过风险或金字塔上限",IF(AND(B921&gt;1,G921&gt;SUMIFS($G$2:$G$1001,$A$2:$A$1001,A921,$B$2:$B$1001,B921-1)),"违规：加仓股数须逐次不增加",IF(Q921&gt;F921,"违规：止损风险超过本次预算","通过")))))))))))))))</f>
        <v/>
      </c>
    </row>
    <row r="922" customFormat="false" ht="15" hidden="false" customHeight="false" outlineLevel="0" collapsed="false">
      <c r="A922" s="20"/>
      <c r="B922" s="21"/>
      <c r="C922" s="22"/>
      <c r="D922" s="23"/>
      <c r="E922" s="23"/>
      <c r="F922" s="23"/>
      <c r="G922" s="21"/>
      <c r="H922" s="24" t="str">
        <f aca="false">IF(OR(A922="",D922="",G922=""),"",D922*G922)</f>
        <v/>
      </c>
      <c r="I922" s="25" t="str">
        <f aca="false">IF(OR(A922="",B922=""),"",IFERROR(LOOKUP(2,1/(单次交易!$A$2:$A$201=A922),单次交易!$H$2:$H$201),0)+SUMIFS($G$2:$G$1001,$A$2:$A$1001,A922,$B$2:$B$1001,"&lt;"&amp;B922))</f>
        <v/>
      </c>
      <c r="J922" s="24" t="str">
        <f aca="false">IF(OR(A922="",B922=""),"",IFERROR(LOOKUP(2,1/(单次交易!$A$2:$A$201=A922),单次交易!$E$2:$E$201)*LOOKUP(2,1/(单次交易!$A$2:$A$201=A922),单次交易!$H$2:$H$201),0)+SUMIFS($H$2:$H$1001,$A$2:$A$1001,A922,$B$2:$B$1001,"&lt;"&amp;B922))</f>
        <v/>
      </c>
      <c r="K922" s="24" t="str">
        <f aca="false">IF(OR(E922="",I922="",J922=""),"",MAX(E922*I922-J922,0))</f>
        <v/>
      </c>
      <c r="L922" s="25" t="str">
        <f aca="false">IF(OR(D922="",E922="",F922="",D922&lt;=E922),"",FLOOR((F922+K922)/(D922-E922),100))</f>
        <v/>
      </c>
      <c r="M922" s="25" t="str">
        <f aca="false">IF(OR(A922="",B922="",L922=""),"",IF(B922=1,L922,IFERROR(SUMIFS($G$2:$G$1001,$A$2:$A$1001,A922,$B$2:$B$1001,B922-1),0)))</f>
        <v/>
      </c>
      <c r="N922" s="25" t="str">
        <f aca="false">IF(OR(L922="",M922=""),"",MIN(L922,M922))</f>
        <v/>
      </c>
      <c r="O922" s="25" t="str">
        <f aca="false">IF(OR(I922="",G922=""),"",I922+G922)</f>
        <v/>
      </c>
      <c r="P922" s="24" t="str">
        <f aca="false">IF(OR(O922="",O922=0),"",(J922+H922)/O922)</f>
        <v/>
      </c>
      <c r="Q922" s="24" t="str">
        <f aca="false">IF(OR(O922="",E922=""),"",MAX(J922+H922-E922*O922,0))</f>
        <v/>
      </c>
      <c r="R922" s="26" t="str">
        <f aca="false">IF(A922="","",IF(COUNTIF(_TradeIds,A922)=0,"违规：交易编号不存在",IF(OR(B922="",B922&lt;1,B922&gt;5,B922&lt;&gt;INT(B922)),"违规：加仓序号须为1到5的整数",IF(COUNTIFS($A$2:$A$1001,A922,$B$2:$B$1001,B922)&gt;1,"违规：同一交易的加仓序号重复",IF(OR(D922="",E922="",F922=""),"计划不完整：请填写加仓价、新止损价和风险预算",IF(OR(D922&lt;=0,E922&lt;=0,F922&lt;=0,D922&lt;=E922),"违规：加仓价必须高于新止损价，金额须大于0",IF(AND(B922&gt;1,COUNTIFS($A$2:$A$1001,A922,$B$2:$B$1001,B922-1,$G$2:$G$1001,"&gt;0")=0),"违规：须先完成上一次加仓",IF(AND(B922&gt;1,E922&lt;SUMIFS($E$2:$E$1001,$A$2:$A$1001,A922,$B$2:$B$1001,B922-1)),"违规：新止损价不得低于上一次",IF(AND(B922&gt;1,F922&gt;SUMIFS($F$2:$F$1001,$A$2:$A$1001,A922,$B$2:$B$1001,B922-1)),"违规：风险预算须逐次不增加",IF(OR(_LockStatus="已锁仓",_LockStatus="解锁信息不完整"),"违规：锁仓期间禁止加仓",IF(G922="","计划可执行：建议股数见N列",IF(OR(G922&lt;=0,G922&lt;&gt;INT(G922),MOD(G922,100)&lt;&gt;0),"违规：实际股数须为100股整数倍",IF(G922&gt;N922,"违规：实际股数超过风险或金字塔上限",IF(AND(B922&gt;1,G922&gt;SUMIFS($G$2:$G$1001,$A$2:$A$1001,A922,$B$2:$B$1001,B922-1)),"违规：加仓股数须逐次不增加",IF(Q922&gt;F922,"违规：止损风险超过本次预算","通过")))))))))))))))</f>
        <v/>
      </c>
    </row>
    <row r="923" customFormat="false" ht="15" hidden="false" customHeight="false" outlineLevel="0" collapsed="false">
      <c r="A923" s="20"/>
      <c r="B923" s="21"/>
      <c r="C923" s="22"/>
      <c r="D923" s="23"/>
      <c r="E923" s="23"/>
      <c r="F923" s="23"/>
      <c r="G923" s="21"/>
      <c r="H923" s="24" t="str">
        <f aca="false">IF(OR(A923="",D923="",G923=""),"",D923*G923)</f>
        <v/>
      </c>
      <c r="I923" s="25" t="str">
        <f aca="false">IF(OR(A923="",B923=""),"",IFERROR(LOOKUP(2,1/(单次交易!$A$2:$A$201=A923),单次交易!$H$2:$H$201),0)+SUMIFS($G$2:$G$1001,$A$2:$A$1001,A923,$B$2:$B$1001,"&lt;"&amp;B923))</f>
        <v/>
      </c>
      <c r="J923" s="24" t="str">
        <f aca="false">IF(OR(A923="",B923=""),"",IFERROR(LOOKUP(2,1/(单次交易!$A$2:$A$201=A923),单次交易!$E$2:$E$201)*LOOKUP(2,1/(单次交易!$A$2:$A$201=A923),单次交易!$H$2:$H$201),0)+SUMIFS($H$2:$H$1001,$A$2:$A$1001,A923,$B$2:$B$1001,"&lt;"&amp;B923))</f>
        <v/>
      </c>
      <c r="K923" s="24" t="str">
        <f aca="false">IF(OR(E923="",I923="",J923=""),"",MAX(E923*I923-J923,0))</f>
        <v/>
      </c>
      <c r="L923" s="25" t="str">
        <f aca="false">IF(OR(D923="",E923="",F923="",D923&lt;=E923),"",FLOOR((F923+K923)/(D923-E923),100))</f>
        <v/>
      </c>
      <c r="M923" s="25" t="str">
        <f aca="false">IF(OR(A923="",B923="",L923=""),"",IF(B923=1,L923,IFERROR(SUMIFS($G$2:$G$1001,$A$2:$A$1001,A923,$B$2:$B$1001,B923-1),0)))</f>
        <v/>
      </c>
      <c r="N923" s="25" t="str">
        <f aca="false">IF(OR(L923="",M923=""),"",MIN(L923,M923))</f>
        <v/>
      </c>
      <c r="O923" s="25" t="str">
        <f aca="false">IF(OR(I923="",G923=""),"",I923+G923)</f>
        <v/>
      </c>
      <c r="P923" s="24" t="str">
        <f aca="false">IF(OR(O923="",O923=0),"",(J923+H923)/O923)</f>
        <v/>
      </c>
      <c r="Q923" s="24" t="str">
        <f aca="false">IF(OR(O923="",E923=""),"",MAX(J923+H923-E923*O923,0))</f>
        <v/>
      </c>
      <c r="R923" s="26" t="str">
        <f aca="false">IF(A923="","",IF(COUNTIF(_TradeIds,A923)=0,"违规：交易编号不存在",IF(OR(B923="",B923&lt;1,B923&gt;5,B923&lt;&gt;INT(B923)),"违规：加仓序号须为1到5的整数",IF(COUNTIFS($A$2:$A$1001,A923,$B$2:$B$1001,B923)&gt;1,"违规：同一交易的加仓序号重复",IF(OR(D923="",E923="",F923=""),"计划不完整：请填写加仓价、新止损价和风险预算",IF(OR(D923&lt;=0,E923&lt;=0,F923&lt;=0,D923&lt;=E923),"违规：加仓价必须高于新止损价，金额须大于0",IF(AND(B923&gt;1,COUNTIFS($A$2:$A$1001,A923,$B$2:$B$1001,B923-1,$G$2:$G$1001,"&gt;0")=0),"违规：须先完成上一次加仓",IF(AND(B923&gt;1,E923&lt;SUMIFS($E$2:$E$1001,$A$2:$A$1001,A923,$B$2:$B$1001,B923-1)),"违规：新止损价不得低于上一次",IF(AND(B923&gt;1,F923&gt;SUMIFS($F$2:$F$1001,$A$2:$A$1001,A923,$B$2:$B$1001,B923-1)),"违规：风险预算须逐次不增加",IF(OR(_LockStatus="已锁仓",_LockStatus="解锁信息不完整"),"违规：锁仓期间禁止加仓",IF(G923="","计划可执行：建议股数见N列",IF(OR(G923&lt;=0,G923&lt;&gt;INT(G923),MOD(G923,100)&lt;&gt;0),"违规：实际股数须为100股整数倍",IF(G923&gt;N923,"违规：实际股数超过风险或金字塔上限",IF(AND(B923&gt;1,G923&gt;SUMIFS($G$2:$G$1001,$A$2:$A$1001,A923,$B$2:$B$1001,B923-1)),"违规：加仓股数须逐次不增加",IF(Q923&gt;F923,"违规：止损风险超过本次预算","通过")))))))))))))))</f>
        <v/>
      </c>
    </row>
    <row r="924" customFormat="false" ht="15" hidden="false" customHeight="false" outlineLevel="0" collapsed="false">
      <c r="A924" s="20"/>
      <c r="B924" s="21"/>
      <c r="C924" s="22"/>
      <c r="D924" s="23"/>
      <c r="E924" s="23"/>
      <c r="F924" s="23"/>
      <c r="G924" s="21"/>
      <c r="H924" s="24" t="str">
        <f aca="false">IF(OR(A924="",D924="",G924=""),"",D924*G924)</f>
        <v/>
      </c>
      <c r="I924" s="25" t="str">
        <f aca="false">IF(OR(A924="",B924=""),"",IFERROR(LOOKUP(2,1/(单次交易!$A$2:$A$201=A924),单次交易!$H$2:$H$201),0)+SUMIFS($G$2:$G$1001,$A$2:$A$1001,A924,$B$2:$B$1001,"&lt;"&amp;B924))</f>
        <v/>
      </c>
      <c r="J924" s="24" t="str">
        <f aca="false">IF(OR(A924="",B924=""),"",IFERROR(LOOKUP(2,1/(单次交易!$A$2:$A$201=A924),单次交易!$E$2:$E$201)*LOOKUP(2,1/(单次交易!$A$2:$A$201=A924),单次交易!$H$2:$H$201),0)+SUMIFS($H$2:$H$1001,$A$2:$A$1001,A924,$B$2:$B$1001,"&lt;"&amp;B924))</f>
        <v/>
      </c>
      <c r="K924" s="24" t="str">
        <f aca="false">IF(OR(E924="",I924="",J924=""),"",MAX(E924*I924-J924,0))</f>
        <v/>
      </c>
      <c r="L924" s="25" t="str">
        <f aca="false">IF(OR(D924="",E924="",F924="",D924&lt;=E924),"",FLOOR((F924+K924)/(D924-E924),100))</f>
        <v/>
      </c>
      <c r="M924" s="25" t="str">
        <f aca="false">IF(OR(A924="",B924="",L924=""),"",IF(B924=1,L924,IFERROR(SUMIFS($G$2:$G$1001,$A$2:$A$1001,A924,$B$2:$B$1001,B924-1),0)))</f>
        <v/>
      </c>
      <c r="N924" s="25" t="str">
        <f aca="false">IF(OR(L924="",M924=""),"",MIN(L924,M924))</f>
        <v/>
      </c>
      <c r="O924" s="25" t="str">
        <f aca="false">IF(OR(I924="",G924=""),"",I924+G924)</f>
        <v/>
      </c>
      <c r="P924" s="24" t="str">
        <f aca="false">IF(OR(O924="",O924=0),"",(J924+H924)/O924)</f>
        <v/>
      </c>
      <c r="Q924" s="24" t="str">
        <f aca="false">IF(OR(O924="",E924=""),"",MAX(J924+H924-E924*O924,0))</f>
        <v/>
      </c>
      <c r="R924" s="26" t="str">
        <f aca="false">IF(A924="","",IF(COUNTIF(_TradeIds,A924)=0,"违规：交易编号不存在",IF(OR(B924="",B924&lt;1,B924&gt;5,B924&lt;&gt;INT(B924)),"违规：加仓序号须为1到5的整数",IF(COUNTIFS($A$2:$A$1001,A924,$B$2:$B$1001,B924)&gt;1,"违规：同一交易的加仓序号重复",IF(OR(D924="",E924="",F924=""),"计划不完整：请填写加仓价、新止损价和风险预算",IF(OR(D924&lt;=0,E924&lt;=0,F924&lt;=0,D924&lt;=E924),"违规：加仓价必须高于新止损价，金额须大于0",IF(AND(B924&gt;1,COUNTIFS($A$2:$A$1001,A924,$B$2:$B$1001,B924-1,$G$2:$G$1001,"&gt;0")=0),"违规：须先完成上一次加仓",IF(AND(B924&gt;1,E924&lt;SUMIFS($E$2:$E$1001,$A$2:$A$1001,A924,$B$2:$B$1001,B924-1)),"违规：新止损价不得低于上一次",IF(AND(B924&gt;1,F924&gt;SUMIFS($F$2:$F$1001,$A$2:$A$1001,A924,$B$2:$B$1001,B924-1)),"违规：风险预算须逐次不增加",IF(OR(_LockStatus="已锁仓",_LockStatus="解锁信息不完整"),"违规：锁仓期间禁止加仓",IF(G924="","计划可执行：建议股数见N列",IF(OR(G924&lt;=0,G924&lt;&gt;INT(G924),MOD(G924,100)&lt;&gt;0),"违规：实际股数须为100股整数倍",IF(G924&gt;N924,"违规：实际股数超过风险或金字塔上限",IF(AND(B924&gt;1,G924&gt;SUMIFS($G$2:$G$1001,$A$2:$A$1001,A924,$B$2:$B$1001,B924-1)),"违规：加仓股数须逐次不增加",IF(Q924&gt;F924,"违规：止损风险超过本次预算","通过")))))))))))))))</f>
        <v/>
      </c>
    </row>
    <row r="925" customFormat="false" ht="15" hidden="false" customHeight="false" outlineLevel="0" collapsed="false">
      <c r="A925" s="20"/>
      <c r="B925" s="21"/>
      <c r="C925" s="22"/>
      <c r="D925" s="23"/>
      <c r="E925" s="23"/>
      <c r="F925" s="23"/>
      <c r="G925" s="21"/>
      <c r="H925" s="24" t="str">
        <f aca="false">IF(OR(A925="",D925="",G925=""),"",D925*G925)</f>
        <v/>
      </c>
      <c r="I925" s="25" t="str">
        <f aca="false">IF(OR(A925="",B925=""),"",IFERROR(LOOKUP(2,1/(单次交易!$A$2:$A$201=A925),单次交易!$H$2:$H$201),0)+SUMIFS($G$2:$G$1001,$A$2:$A$1001,A925,$B$2:$B$1001,"&lt;"&amp;B925))</f>
        <v/>
      </c>
      <c r="J925" s="24" t="str">
        <f aca="false">IF(OR(A925="",B925=""),"",IFERROR(LOOKUP(2,1/(单次交易!$A$2:$A$201=A925),单次交易!$E$2:$E$201)*LOOKUP(2,1/(单次交易!$A$2:$A$201=A925),单次交易!$H$2:$H$201),0)+SUMIFS($H$2:$H$1001,$A$2:$A$1001,A925,$B$2:$B$1001,"&lt;"&amp;B925))</f>
        <v/>
      </c>
      <c r="K925" s="24" t="str">
        <f aca="false">IF(OR(E925="",I925="",J925=""),"",MAX(E925*I925-J925,0))</f>
        <v/>
      </c>
      <c r="L925" s="25" t="str">
        <f aca="false">IF(OR(D925="",E925="",F925="",D925&lt;=E925),"",FLOOR((F925+K925)/(D925-E925),100))</f>
        <v/>
      </c>
      <c r="M925" s="25" t="str">
        <f aca="false">IF(OR(A925="",B925="",L925=""),"",IF(B925=1,L925,IFERROR(SUMIFS($G$2:$G$1001,$A$2:$A$1001,A925,$B$2:$B$1001,B925-1),0)))</f>
        <v/>
      </c>
      <c r="N925" s="25" t="str">
        <f aca="false">IF(OR(L925="",M925=""),"",MIN(L925,M925))</f>
        <v/>
      </c>
      <c r="O925" s="25" t="str">
        <f aca="false">IF(OR(I925="",G925=""),"",I925+G925)</f>
        <v/>
      </c>
      <c r="P925" s="24" t="str">
        <f aca="false">IF(OR(O925="",O925=0),"",(J925+H925)/O925)</f>
        <v/>
      </c>
      <c r="Q925" s="24" t="str">
        <f aca="false">IF(OR(O925="",E925=""),"",MAX(J925+H925-E925*O925,0))</f>
        <v/>
      </c>
      <c r="R925" s="26" t="str">
        <f aca="false">IF(A925="","",IF(COUNTIF(_TradeIds,A925)=0,"违规：交易编号不存在",IF(OR(B925="",B925&lt;1,B925&gt;5,B925&lt;&gt;INT(B925)),"违规：加仓序号须为1到5的整数",IF(COUNTIFS($A$2:$A$1001,A925,$B$2:$B$1001,B925)&gt;1,"违规：同一交易的加仓序号重复",IF(OR(D925="",E925="",F925=""),"计划不完整：请填写加仓价、新止损价和风险预算",IF(OR(D925&lt;=0,E925&lt;=0,F925&lt;=0,D925&lt;=E925),"违规：加仓价必须高于新止损价，金额须大于0",IF(AND(B925&gt;1,COUNTIFS($A$2:$A$1001,A925,$B$2:$B$1001,B925-1,$G$2:$G$1001,"&gt;0")=0),"违规：须先完成上一次加仓",IF(AND(B925&gt;1,E925&lt;SUMIFS($E$2:$E$1001,$A$2:$A$1001,A925,$B$2:$B$1001,B925-1)),"违规：新止损价不得低于上一次",IF(AND(B925&gt;1,F925&gt;SUMIFS($F$2:$F$1001,$A$2:$A$1001,A925,$B$2:$B$1001,B925-1)),"违规：风险预算须逐次不增加",IF(OR(_LockStatus="已锁仓",_LockStatus="解锁信息不完整"),"违规：锁仓期间禁止加仓",IF(G925="","计划可执行：建议股数见N列",IF(OR(G925&lt;=0,G925&lt;&gt;INT(G925),MOD(G925,100)&lt;&gt;0),"违规：实际股数须为100股整数倍",IF(G925&gt;N925,"违规：实际股数超过风险或金字塔上限",IF(AND(B925&gt;1,G925&gt;SUMIFS($G$2:$G$1001,$A$2:$A$1001,A925,$B$2:$B$1001,B925-1)),"违规：加仓股数须逐次不增加",IF(Q925&gt;F925,"违规：止损风险超过本次预算","通过")))))))))))))))</f>
        <v/>
      </c>
    </row>
    <row r="926" customFormat="false" ht="15" hidden="false" customHeight="false" outlineLevel="0" collapsed="false">
      <c r="A926" s="20"/>
      <c r="B926" s="21"/>
      <c r="C926" s="22"/>
      <c r="D926" s="23"/>
      <c r="E926" s="23"/>
      <c r="F926" s="23"/>
      <c r="G926" s="21"/>
      <c r="H926" s="24" t="str">
        <f aca="false">IF(OR(A926="",D926="",G926=""),"",D926*G926)</f>
        <v/>
      </c>
      <c r="I926" s="25" t="str">
        <f aca="false">IF(OR(A926="",B926=""),"",IFERROR(LOOKUP(2,1/(单次交易!$A$2:$A$201=A926),单次交易!$H$2:$H$201),0)+SUMIFS($G$2:$G$1001,$A$2:$A$1001,A926,$B$2:$B$1001,"&lt;"&amp;B926))</f>
        <v/>
      </c>
      <c r="J926" s="24" t="str">
        <f aca="false">IF(OR(A926="",B926=""),"",IFERROR(LOOKUP(2,1/(单次交易!$A$2:$A$201=A926),单次交易!$E$2:$E$201)*LOOKUP(2,1/(单次交易!$A$2:$A$201=A926),单次交易!$H$2:$H$201),0)+SUMIFS($H$2:$H$1001,$A$2:$A$1001,A926,$B$2:$B$1001,"&lt;"&amp;B926))</f>
        <v/>
      </c>
      <c r="K926" s="24" t="str">
        <f aca="false">IF(OR(E926="",I926="",J926=""),"",MAX(E926*I926-J926,0))</f>
        <v/>
      </c>
      <c r="L926" s="25" t="str">
        <f aca="false">IF(OR(D926="",E926="",F926="",D926&lt;=E926),"",FLOOR((F926+K926)/(D926-E926),100))</f>
        <v/>
      </c>
      <c r="M926" s="25" t="str">
        <f aca="false">IF(OR(A926="",B926="",L926=""),"",IF(B926=1,L926,IFERROR(SUMIFS($G$2:$G$1001,$A$2:$A$1001,A926,$B$2:$B$1001,B926-1),0)))</f>
        <v/>
      </c>
      <c r="N926" s="25" t="str">
        <f aca="false">IF(OR(L926="",M926=""),"",MIN(L926,M926))</f>
        <v/>
      </c>
      <c r="O926" s="25" t="str">
        <f aca="false">IF(OR(I926="",G926=""),"",I926+G926)</f>
        <v/>
      </c>
      <c r="P926" s="24" t="str">
        <f aca="false">IF(OR(O926="",O926=0),"",(J926+H926)/O926)</f>
        <v/>
      </c>
      <c r="Q926" s="24" t="str">
        <f aca="false">IF(OR(O926="",E926=""),"",MAX(J926+H926-E926*O926,0))</f>
        <v/>
      </c>
      <c r="R926" s="26" t="str">
        <f aca="false">IF(A926="","",IF(COUNTIF(_TradeIds,A926)=0,"违规：交易编号不存在",IF(OR(B926="",B926&lt;1,B926&gt;5,B926&lt;&gt;INT(B926)),"违规：加仓序号须为1到5的整数",IF(COUNTIFS($A$2:$A$1001,A926,$B$2:$B$1001,B926)&gt;1,"违规：同一交易的加仓序号重复",IF(OR(D926="",E926="",F926=""),"计划不完整：请填写加仓价、新止损价和风险预算",IF(OR(D926&lt;=0,E926&lt;=0,F926&lt;=0,D926&lt;=E926),"违规：加仓价必须高于新止损价，金额须大于0",IF(AND(B926&gt;1,COUNTIFS($A$2:$A$1001,A926,$B$2:$B$1001,B926-1,$G$2:$G$1001,"&gt;0")=0),"违规：须先完成上一次加仓",IF(AND(B926&gt;1,E926&lt;SUMIFS($E$2:$E$1001,$A$2:$A$1001,A926,$B$2:$B$1001,B926-1)),"违规：新止损价不得低于上一次",IF(AND(B926&gt;1,F926&gt;SUMIFS($F$2:$F$1001,$A$2:$A$1001,A926,$B$2:$B$1001,B926-1)),"违规：风险预算须逐次不增加",IF(OR(_LockStatus="已锁仓",_LockStatus="解锁信息不完整"),"违规：锁仓期间禁止加仓",IF(G926="","计划可执行：建议股数见N列",IF(OR(G926&lt;=0,G926&lt;&gt;INT(G926),MOD(G926,100)&lt;&gt;0),"违规：实际股数须为100股整数倍",IF(G926&gt;N926,"违规：实际股数超过风险或金字塔上限",IF(AND(B926&gt;1,G926&gt;SUMIFS($G$2:$G$1001,$A$2:$A$1001,A926,$B$2:$B$1001,B926-1)),"违规：加仓股数须逐次不增加",IF(Q926&gt;F926,"违规：止损风险超过本次预算","通过")))))))))))))))</f>
        <v/>
      </c>
    </row>
    <row r="927" customFormat="false" ht="15" hidden="false" customHeight="false" outlineLevel="0" collapsed="false">
      <c r="A927" s="20"/>
      <c r="B927" s="21"/>
      <c r="C927" s="22"/>
      <c r="D927" s="23"/>
      <c r="E927" s="23"/>
      <c r="F927" s="23"/>
      <c r="G927" s="21"/>
      <c r="H927" s="24" t="str">
        <f aca="false">IF(OR(A927="",D927="",G927=""),"",D927*G927)</f>
        <v/>
      </c>
      <c r="I927" s="25" t="str">
        <f aca="false">IF(OR(A927="",B927=""),"",IFERROR(LOOKUP(2,1/(单次交易!$A$2:$A$201=A927),单次交易!$H$2:$H$201),0)+SUMIFS($G$2:$G$1001,$A$2:$A$1001,A927,$B$2:$B$1001,"&lt;"&amp;B927))</f>
        <v/>
      </c>
      <c r="J927" s="24" t="str">
        <f aca="false">IF(OR(A927="",B927=""),"",IFERROR(LOOKUP(2,1/(单次交易!$A$2:$A$201=A927),单次交易!$E$2:$E$201)*LOOKUP(2,1/(单次交易!$A$2:$A$201=A927),单次交易!$H$2:$H$201),0)+SUMIFS($H$2:$H$1001,$A$2:$A$1001,A927,$B$2:$B$1001,"&lt;"&amp;B927))</f>
        <v/>
      </c>
      <c r="K927" s="24" t="str">
        <f aca="false">IF(OR(E927="",I927="",J927=""),"",MAX(E927*I927-J927,0))</f>
        <v/>
      </c>
      <c r="L927" s="25" t="str">
        <f aca="false">IF(OR(D927="",E927="",F927="",D927&lt;=E927),"",FLOOR((F927+K927)/(D927-E927),100))</f>
        <v/>
      </c>
      <c r="M927" s="25" t="str">
        <f aca="false">IF(OR(A927="",B927="",L927=""),"",IF(B927=1,L927,IFERROR(SUMIFS($G$2:$G$1001,$A$2:$A$1001,A927,$B$2:$B$1001,B927-1),0)))</f>
        <v/>
      </c>
      <c r="N927" s="25" t="str">
        <f aca="false">IF(OR(L927="",M927=""),"",MIN(L927,M927))</f>
        <v/>
      </c>
      <c r="O927" s="25" t="str">
        <f aca="false">IF(OR(I927="",G927=""),"",I927+G927)</f>
        <v/>
      </c>
      <c r="P927" s="24" t="str">
        <f aca="false">IF(OR(O927="",O927=0),"",(J927+H927)/O927)</f>
        <v/>
      </c>
      <c r="Q927" s="24" t="str">
        <f aca="false">IF(OR(O927="",E927=""),"",MAX(J927+H927-E927*O927,0))</f>
        <v/>
      </c>
      <c r="R927" s="26" t="str">
        <f aca="false">IF(A927="","",IF(COUNTIF(_TradeIds,A927)=0,"违规：交易编号不存在",IF(OR(B927="",B927&lt;1,B927&gt;5,B927&lt;&gt;INT(B927)),"违规：加仓序号须为1到5的整数",IF(COUNTIFS($A$2:$A$1001,A927,$B$2:$B$1001,B927)&gt;1,"违规：同一交易的加仓序号重复",IF(OR(D927="",E927="",F927=""),"计划不完整：请填写加仓价、新止损价和风险预算",IF(OR(D927&lt;=0,E927&lt;=0,F927&lt;=0,D927&lt;=E927),"违规：加仓价必须高于新止损价，金额须大于0",IF(AND(B927&gt;1,COUNTIFS($A$2:$A$1001,A927,$B$2:$B$1001,B927-1,$G$2:$G$1001,"&gt;0")=0),"违规：须先完成上一次加仓",IF(AND(B927&gt;1,E927&lt;SUMIFS($E$2:$E$1001,$A$2:$A$1001,A927,$B$2:$B$1001,B927-1)),"违规：新止损价不得低于上一次",IF(AND(B927&gt;1,F927&gt;SUMIFS($F$2:$F$1001,$A$2:$A$1001,A927,$B$2:$B$1001,B927-1)),"违规：风险预算须逐次不增加",IF(OR(_LockStatus="已锁仓",_LockStatus="解锁信息不完整"),"违规：锁仓期间禁止加仓",IF(G927="","计划可执行：建议股数见N列",IF(OR(G927&lt;=0,G927&lt;&gt;INT(G927),MOD(G927,100)&lt;&gt;0),"违规：实际股数须为100股整数倍",IF(G927&gt;N927,"违规：实际股数超过风险或金字塔上限",IF(AND(B927&gt;1,G927&gt;SUMIFS($G$2:$G$1001,$A$2:$A$1001,A927,$B$2:$B$1001,B927-1)),"违规：加仓股数须逐次不增加",IF(Q927&gt;F927,"违规：止损风险超过本次预算","通过")))))))))))))))</f>
        <v/>
      </c>
    </row>
    <row r="928" customFormat="false" ht="15" hidden="false" customHeight="false" outlineLevel="0" collapsed="false">
      <c r="A928" s="20"/>
      <c r="B928" s="21"/>
      <c r="C928" s="22"/>
      <c r="D928" s="23"/>
      <c r="E928" s="23"/>
      <c r="F928" s="23"/>
      <c r="G928" s="21"/>
      <c r="H928" s="24" t="str">
        <f aca="false">IF(OR(A928="",D928="",G928=""),"",D928*G928)</f>
        <v/>
      </c>
      <c r="I928" s="25" t="str">
        <f aca="false">IF(OR(A928="",B928=""),"",IFERROR(LOOKUP(2,1/(单次交易!$A$2:$A$201=A928),单次交易!$H$2:$H$201),0)+SUMIFS($G$2:$G$1001,$A$2:$A$1001,A928,$B$2:$B$1001,"&lt;"&amp;B928))</f>
        <v/>
      </c>
      <c r="J928" s="24" t="str">
        <f aca="false">IF(OR(A928="",B928=""),"",IFERROR(LOOKUP(2,1/(单次交易!$A$2:$A$201=A928),单次交易!$E$2:$E$201)*LOOKUP(2,1/(单次交易!$A$2:$A$201=A928),单次交易!$H$2:$H$201),0)+SUMIFS($H$2:$H$1001,$A$2:$A$1001,A928,$B$2:$B$1001,"&lt;"&amp;B928))</f>
        <v/>
      </c>
      <c r="K928" s="24" t="str">
        <f aca="false">IF(OR(E928="",I928="",J928=""),"",MAX(E928*I928-J928,0))</f>
        <v/>
      </c>
      <c r="L928" s="25" t="str">
        <f aca="false">IF(OR(D928="",E928="",F928="",D928&lt;=E928),"",FLOOR((F928+K928)/(D928-E928),100))</f>
        <v/>
      </c>
      <c r="M928" s="25" t="str">
        <f aca="false">IF(OR(A928="",B928="",L928=""),"",IF(B928=1,L928,IFERROR(SUMIFS($G$2:$G$1001,$A$2:$A$1001,A928,$B$2:$B$1001,B928-1),0)))</f>
        <v/>
      </c>
      <c r="N928" s="25" t="str">
        <f aca="false">IF(OR(L928="",M928=""),"",MIN(L928,M928))</f>
        <v/>
      </c>
      <c r="O928" s="25" t="str">
        <f aca="false">IF(OR(I928="",G928=""),"",I928+G928)</f>
        <v/>
      </c>
      <c r="P928" s="24" t="str">
        <f aca="false">IF(OR(O928="",O928=0),"",(J928+H928)/O928)</f>
        <v/>
      </c>
      <c r="Q928" s="24" t="str">
        <f aca="false">IF(OR(O928="",E928=""),"",MAX(J928+H928-E928*O928,0))</f>
        <v/>
      </c>
      <c r="R928" s="26" t="str">
        <f aca="false">IF(A928="","",IF(COUNTIF(_TradeIds,A928)=0,"违规：交易编号不存在",IF(OR(B928="",B928&lt;1,B928&gt;5,B928&lt;&gt;INT(B928)),"违规：加仓序号须为1到5的整数",IF(COUNTIFS($A$2:$A$1001,A928,$B$2:$B$1001,B928)&gt;1,"违规：同一交易的加仓序号重复",IF(OR(D928="",E928="",F928=""),"计划不完整：请填写加仓价、新止损价和风险预算",IF(OR(D928&lt;=0,E928&lt;=0,F928&lt;=0,D928&lt;=E928),"违规：加仓价必须高于新止损价，金额须大于0",IF(AND(B928&gt;1,COUNTIFS($A$2:$A$1001,A928,$B$2:$B$1001,B928-1,$G$2:$G$1001,"&gt;0")=0),"违规：须先完成上一次加仓",IF(AND(B928&gt;1,E928&lt;SUMIFS($E$2:$E$1001,$A$2:$A$1001,A928,$B$2:$B$1001,B928-1)),"违规：新止损价不得低于上一次",IF(AND(B928&gt;1,F928&gt;SUMIFS($F$2:$F$1001,$A$2:$A$1001,A928,$B$2:$B$1001,B928-1)),"违规：风险预算须逐次不增加",IF(OR(_LockStatus="已锁仓",_LockStatus="解锁信息不完整"),"违规：锁仓期间禁止加仓",IF(G928="","计划可执行：建议股数见N列",IF(OR(G928&lt;=0,G928&lt;&gt;INT(G928),MOD(G928,100)&lt;&gt;0),"违规：实际股数须为100股整数倍",IF(G928&gt;N928,"违规：实际股数超过风险或金字塔上限",IF(AND(B928&gt;1,G928&gt;SUMIFS($G$2:$G$1001,$A$2:$A$1001,A928,$B$2:$B$1001,B928-1)),"违规：加仓股数须逐次不增加",IF(Q928&gt;F928,"违规：止损风险超过本次预算","通过")))))))))))))))</f>
        <v/>
      </c>
    </row>
    <row r="929" customFormat="false" ht="15" hidden="false" customHeight="false" outlineLevel="0" collapsed="false">
      <c r="A929" s="20"/>
      <c r="B929" s="21"/>
      <c r="C929" s="22"/>
      <c r="D929" s="23"/>
      <c r="E929" s="23"/>
      <c r="F929" s="23"/>
      <c r="G929" s="21"/>
      <c r="H929" s="24" t="str">
        <f aca="false">IF(OR(A929="",D929="",G929=""),"",D929*G929)</f>
        <v/>
      </c>
      <c r="I929" s="25" t="str">
        <f aca="false">IF(OR(A929="",B929=""),"",IFERROR(LOOKUP(2,1/(单次交易!$A$2:$A$201=A929),单次交易!$H$2:$H$201),0)+SUMIFS($G$2:$G$1001,$A$2:$A$1001,A929,$B$2:$B$1001,"&lt;"&amp;B929))</f>
        <v/>
      </c>
      <c r="J929" s="24" t="str">
        <f aca="false">IF(OR(A929="",B929=""),"",IFERROR(LOOKUP(2,1/(单次交易!$A$2:$A$201=A929),单次交易!$E$2:$E$201)*LOOKUP(2,1/(单次交易!$A$2:$A$201=A929),单次交易!$H$2:$H$201),0)+SUMIFS($H$2:$H$1001,$A$2:$A$1001,A929,$B$2:$B$1001,"&lt;"&amp;B929))</f>
        <v/>
      </c>
      <c r="K929" s="24" t="str">
        <f aca="false">IF(OR(E929="",I929="",J929=""),"",MAX(E929*I929-J929,0))</f>
        <v/>
      </c>
      <c r="L929" s="25" t="str">
        <f aca="false">IF(OR(D929="",E929="",F929="",D929&lt;=E929),"",FLOOR((F929+K929)/(D929-E929),100))</f>
        <v/>
      </c>
      <c r="M929" s="25" t="str">
        <f aca="false">IF(OR(A929="",B929="",L929=""),"",IF(B929=1,L929,IFERROR(SUMIFS($G$2:$G$1001,$A$2:$A$1001,A929,$B$2:$B$1001,B929-1),0)))</f>
        <v/>
      </c>
      <c r="N929" s="25" t="str">
        <f aca="false">IF(OR(L929="",M929=""),"",MIN(L929,M929))</f>
        <v/>
      </c>
      <c r="O929" s="25" t="str">
        <f aca="false">IF(OR(I929="",G929=""),"",I929+G929)</f>
        <v/>
      </c>
      <c r="P929" s="24" t="str">
        <f aca="false">IF(OR(O929="",O929=0),"",(J929+H929)/O929)</f>
        <v/>
      </c>
      <c r="Q929" s="24" t="str">
        <f aca="false">IF(OR(O929="",E929=""),"",MAX(J929+H929-E929*O929,0))</f>
        <v/>
      </c>
      <c r="R929" s="26" t="str">
        <f aca="false">IF(A929="","",IF(COUNTIF(_TradeIds,A929)=0,"违规：交易编号不存在",IF(OR(B929="",B929&lt;1,B929&gt;5,B929&lt;&gt;INT(B929)),"违规：加仓序号须为1到5的整数",IF(COUNTIFS($A$2:$A$1001,A929,$B$2:$B$1001,B929)&gt;1,"违规：同一交易的加仓序号重复",IF(OR(D929="",E929="",F929=""),"计划不完整：请填写加仓价、新止损价和风险预算",IF(OR(D929&lt;=0,E929&lt;=0,F929&lt;=0,D929&lt;=E929),"违规：加仓价必须高于新止损价，金额须大于0",IF(AND(B929&gt;1,COUNTIFS($A$2:$A$1001,A929,$B$2:$B$1001,B929-1,$G$2:$G$1001,"&gt;0")=0),"违规：须先完成上一次加仓",IF(AND(B929&gt;1,E929&lt;SUMIFS($E$2:$E$1001,$A$2:$A$1001,A929,$B$2:$B$1001,B929-1)),"违规：新止损价不得低于上一次",IF(AND(B929&gt;1,F929&gt;SUMIFS($F$2:$F$1001,$A$2:$A$1001,A929,$B$2:$B$1001,B929-1)),"违规：风险预算须逐次不增加",IF(OR(_LockStatus="已锁仓",_LockStatus="解锁信息不完整"),"违规：锁仓期间禁止加仓",IF(G929="","计划可执行：建议股数见N列",IF(OR(G929&lt;=0,G929&lt;&gt;INT(G929),MOD(G929,100)&lt;&gt;0),"违规：实际股数须为100股整数倍",IF(G929&gt;N929,"违规：实际股数超过风险或金字塔上限",IF(AND(B929&gt;1,G929&gt;SUMIFS($G$2:$G$1001,$A$2:$A$1001,A929,$B$2:$B$1001,B929-1)),"违规：加仓股数须逐次不增加",IF(Q929&gt;F929,"违规：止损风险超过本次预算","通过")))))))))))))))</f>
        <v/>
      </c>
    </row>
    <row r="930" customFormat="false" ht="15" hidden="false" customHeight="false" outlineLevel="0" collapsed="false">
      <c r="A930" s="20"/>
      <c r="B930" s="21"/>
      <c r="C930" s="22"/>
      <c r="D930" s="23"/>
      <c r="E930" s="23"/>
      <c r="F930" s="23"/>
      <c r="G930" s="21"/>
      <c r="H930" s="24" t="str">
        <f aca="false">IF(OR(A930="",D930="",G930=""),"",D930*G930)</f>
        <v/>
      </c>
      <c r="I930" s="25" t="str">
        <f aca="false">IF(OR(A930="",B930=""),"",IFERROR(LOOKUP(2,1/(单次交易!$A$2:$A$201=A930),单次交易!$H$2:$H$201),0)+SUMIFS($G$2:$G$1001,$A$2:$A$1001,A930,$B$2:$B$1001,"&lt;"&amp;B930))</f>
        <v/>
      </c>
      <c r="J930" s="24" t="str">
        <f aca="false">IF(OR(A930="",B930=""),"",IFERROR(LOOKUP(2,1/(单次交易!$A$2:$A$201=A930),单次交易!$E$2:$E$201)*LOOKUP(2,1/(单次交易!$A$2:$A$201=A930),单次交易!$H$2:$H$201),0)+SUMIFS($H$2:$H$1001,$A$2:$A$1001,A930,$B$2:$B$1001,"&lt;"&amp;B930))</f>
        <v/>
      </c>
      <c r="K930" s="24" t="str">
        <f aca="false">IF(OR(E930="",I930="",J930=""),"",MAX(E930*I930-J930,0))</f>
        <v/>
      </c>
      <c r="L930" s="25" t="str">
        <f aca="false">IF(OR(D930="",E930="",F930="",D930&lt;=E930),"",FLOOR((F930+K930)/(D930-E930),100))</f>
        <v/>
      </c>
      <c r="M930" s="25" t="str">
        <f aca="false">IF(OR(A930="",B930="",L930=""),"",IF(B930=1,L930,IFERROR(SUMIFS($G$2:$G$1001,$A$2:$A$1001,A930,$B$2:$B$1001,B930-1),0)))</f>
        <v/>
      </c>
      <c r="N930" s="25" t="str">
        <f aca="false">IF(OR(L930="",M930=""),"",MIN(L930,M930))</f>
        <v/>
      </c>
      <c r="O930" s="25" t="str">
        <f aca="false">IF(OR(I930="",G930=""),"",I930+G930)</f>
        <v/>
      </c>
      <c r="P930" s="24" t="str">
        <f aca="false">IF(OR(O930="",O930=0),"",(J930+H930)/O930)</f>
        <v/>
      </c>
      <c r="Q930" s="24" t="str">
        <f aca="false">IF(OR(O930="",E930=""),"",MAX(J930+H930-E930*O930,0))</f>
        <v/>
      </c>
      <c r="R930" s="26" t="str">
        <f aca="false">IF(A930="","",IF(COUNTIF(_TradeIds,A930)=0,"违规：交易编号不存在",IF(OR(B930="",B930&lt;1,B930&gt;5,B930&lt;&gt;INT(B930)),"违规：加仓序号须为1到5的整数",IF(COUNTIFS($A$2:$A$1001,A930,$B$2:$B$1001,B930)&gt;1,"违规：同一交易的加仓序号重复",IF(OR(D930="",E930="",F930=""),"计划不完整：请填写加仓价、新止损价和风险预算",IF(OR(D930&lt;=0,E930&lt;=0,F930&lt;=0,D930&lt;=E930),"违规：加仓价必须高于新止损价，金额须大于0",IF(AND(B930&gt;1,COUNTIFS($A$2:$A$1001,A930,$B$2:$B$1001,B930-1,$G$2:$G$1001,"&gt;0")=0),"违规：须先完成上一次加仓",IF(AND(B930&gt;1,E930&lt;SUMIFS($E$2:$E$1001,$A$2:$A$1001,A930,$B$2:$B$1001,B930-1)),"违规：新止损价不得低于上一次",IF(AND(B930&gt;1,F930&gt;SUMIFS($F$2:$F$1001,$A$2:$A$1001,A930,$B$2:$B$1001,B930-1)),"违规：风险预算须逐次不增加",IF(OR(_LockStatus="已锁仓",_LockStatus="解锁信息不完整"),"违规：锁仓期间禁止加仓",IF(G930="","计划可执行：建议股数见N列",IF(OR(G930&lt;=0,G930&lt;&gt;INT(G930),MOD(G930,100)&lt;&gt;0),"违规：实际股数须为100股整数倍",IF(G930&gt;N930,"违规：实际股数超过风险或金字塔上限",IF(AND(B930&gt;1,G930&gt;SUMIFS($G$2:$G$1001,$A$2:$A$1001,A930,$B$2:$B$1001,B930-1)),"违规：加仓股数须逐次不增加",IF(Q930&gt;F930,"违规：止损风险超过本次预算","通过")))))))))))))))</f>
        <v/>
      </c>
    </row>
    <row r="931" customFormat="false" ht="15" hidden="false" customHeight="false" outlineLevel="0" collapsed="false">
      <c r="A931" s="20"/>
      <c r="B931" s="21"/>
      <c r="C931" s="22"/>
      <c r="D931" s="23"/>
      <c r="E931" s="23"/>
      <c r="F931" s="23"/>
      <c r="G931" s="21"/>
      <c r="H931" s="24" t="str">
        <f aca="false">IF(OR(A931="",D931="",G931=""),"",D931*G931)</f>
        <v/>
      </c>
      <c r="I931" s="25" t="str">
        <f aca="false">IF(OR(A931="",B931=""),"",IFERROR(LOOKUP(2,1/(单次交易!$A$2:$A$201=A931),单次交易!$H$2:$H$201),0)+SUMIFS($G$2:$G$1001,$A$2:$A$1001,A931,$B$2:$B$1001,"&lt;"&amp;B931))</f>
        <v/>
      </c>
      <c r="J931" s="24" t="str">
        <f aca="false">IF(OR(A931="",B931=""),"",IFERROR(LOOKUP(2,1/(单次交易!$A$2:$A$201=A931),单次交易!$E$2:$E$201)*LOOKUP(2,1/(单次交易!$A$2:$A$201=A931),单次交易!$H$2:$H$201),0)+SUMIFS($H$2:$H$1001,$A$2:$A$1001,A931,$B$2:$B$1001,"&lt;"&amp;B931))</f>
        <v/>
      </c>
      <c r="K931" s="24" t="str">
        <f aca="false">IF(OR(E931="",I931="",J931=""),"",MAX(E931*I931-J931,0))</f>
        <v/>
      </c>
      <c r="L931" s="25" t="str">
        <f aca="false">IF(OR(D931="",E931="",F931="",D931&lt;=E931),"",FLOOR((F931+K931)/(D931-E931),100))</f>
        <v/>
      </c>
      <c r="M931" s="25" t="str">
        <f aca="false">IF(OR(A931="",B931="",L931=""),"",IF(B931=1,L931,IFERROR(SUMIFS($G$2:$G$1001,$A$2:$A$1001,A931,$B$2:$B$1001,B931-1),0)))</f>
        <v/>
      </c>
      <c r="N931" s="25" t="str">
        <f aca="false">IF(OR(L931="",M931=""),"",MIN(L931,M931))</f>
        <v/>
      </c>
      <c r="O931" s="25" t="str">
        <f aca="false">IF(OR(I931="",G931=""),"",I931+G931)</f>
        <v/>
      </c>
      <c r="P931" s="24" t="str">
        <f aca="false">IF(OR(O931="",O931=0),"",(J931+H931)/O931)</f>
        <v/>
      </c>
      <c r="Q931" s="24" t="str">
        <f aca="false">IF(OR(O931="",E931=""),"",MAX(J931+H931-E931*O931,0))</f>
        <v/>
      </c>
      <c r="R931" s="26" t="str">
        <f aca="false">IF(A931="","",IF(COUNTIF(_TradeIds,A931)=0,"违规：交易编号不存在",IF(OR(B931="",B931&lt;1,B931&gt;5,B931&lt;&gt;INT(B931)),"违规：加仓序号须为1到5的整数",IF(COUNTIFS($A$2:$A$1001,A931,$B$2:$B$1001,B931)&gt;1,"违规：同一交易的加仓序号重复",IF(OR(D931="",E931="",F931=""),"计划不完整：请填写加仓价、新止损价和风险预算",IF(OR(D931&lt;=0,E931&lt;=0,F931&lt;=0,D931&lt;=E931),"违规：加仓价必须高于新止损价，金额须大于0",IF(AND(B931&gt;1,COUNTIFS($A$2:$A$1001,A931,$B$2:$B$1001,B931-1,$G$2:$G$1001,"&gt;0")=0),"违规：须先完成上一次加仓",IF(AND(B931&gt;1,E931&lt;SUMIFS($E$2:$E$1001,$A$2:$A$1001,A931,$B$2:$B$1001,B931-1)),"违规：新止损价不得低于上一次",IF(AND(B931&gt;1,F931&gt;SUMIFS($F$2:$F$1001,$A$2:$A$1001,A931,$B$2:$B$1001,B931-1)),"违规：风险预算须逐次不增加",IF(OR(_LockStatus="已锁仓",_LockStatus="解锁信息不完整"),"违规：锁仓期间禁止加仓",IF(G931="","计划可执行：建议股数见N列",IF(OR(G931&lt;=0,G931&lt;&gt;INT(G931),MOD(G931,100)&lt;&gt;0),"违规：实际股数须为100股整数倍",IF(G931&gt;N931,"违规：实际股数超过风险或金字塔上限",IF(AND(B931&gt;1,G931&gt;SUMIFS($G$2:$G$1001,$A$2:$A$1001,A931,$B$2:$B$1001,B931-1)),"违规：加仓股数须逐次不增加",IF(Q931&gt;F931,"违规：止损风险超过本次预算","通过")))))))))))))))</f>
        <v/>
      </c>
    </row>
    <row r="932" customFormat="false" ht="15" hidden="false" customHeight="false" outlineLevel="0" collapsed="false">
      <c r="A932" s="20"/>
      <c r="B932" s="21"/>
      <c r="C932" s="22"/>
      <c r="D932" s="23"/>
      <c r="E932" s="23"/>
      <c r="F932" s="23"/>
      <c r="G932" s="21"/>
      <c r="H932" s="24" t="str">
        <f aca="false">IF(OR(A932="",D932="",G932=""),"",D932*G932)</f>
        <v/>
      </c>
      <c r="I932" s="25" t="str">
        <f aca="false">IF(OR(A932="",B932=""),"",IFERROR(LOOKUP(2,1/(单次交易!$A$2:$A$201=A932),单次交易!$H$2:$H$201),0)+SUMIFS($G$2:$G$1001,$A$2:$A$1001,A932,$B$2:$B$1001,"&lt;"&amp;B932))</f>
        <v/>
      </c>
      <c r="J932" s="24" t="str">
        <f aca="false">IF(OR(A932="",B932=""),"",IFERROR(LOOKUP(2,1/(单次交易!$A$2:$A$201=A932),单次交易!$E$2:$E$201)*LOOKUP(2,1/(单次交易!$A$2:$A$201=A932),单次交易!$H$2:$H$201),0)+SUMIFS($H$2:$H$1001,$A$2:$A$1001,A932,$B$2:$B$1001,"&lt;"&amp;B932))</f>
        <v/>
      </c>
      <c r="K932" s="24" t="str">
        <f aca="false">IF(OR(E932="",I932="",J932=""),"",MAX(E932*I932-J932,0))</f>
        <v/>
      </c>
      <c r="L932" s="25" t="str">
        <f aca="false">IF(OR(D932="",E932="",F932="",D932&lt;=E932),"",FLOOR((F932+K932)/(D932-E932),100))</f>
        <v/>
      </c>
      <c r="M932" s="25" t="str">
        <f aca="false">IF(OR(A932="",B932="",L932=""),"",IF(B932=1,L932,IFERROR(SUMIFS($G$2:$G$1001,$A$2:$A$1001,A932,$B$2:$B$1001,B932-1),0)))</f>
        <v/>
      </c>
      <c r="N932" s="25" t="str">
        <f aca="false">IF(OR(L932="",M932=""),"",MIN(L932,M932))</f>
        <v/>
      </c>
      <c r="O932" s="25" t="str">
        <f aca="false">IF(OR(I932="",G932=""),"",I932+G932)</f>
        <v/>
      </c>
      <c r="P932" s="24" t="str">
        <f aca="false">IF(OR(O932="",O932=0),"",(J932+H932)/O932)</f>
        <v/>
      </c>
      <c r="Q932" s="24" t="str">
        <f aca="false">IF(OR(O932="",E932=""),"",MAX(J932+H932-E932*O932,0))</f>
        <v/>
      </c>
      <c r="R932" s="26" t="str">
        <f aca="false">IF(A932="","",IF(COUNTIF(_TradeIds,A932)=0,"违规：交易编号不存在",IF(OR(B932="",B932&lt;1,B932&gt;5,B932&lt;&gt;INT(B932)),"违规：加仓序号须为1到5的整数",IF(COUNTIFS($A$2:$A$1001,A932,$B$2:$B$1001,B932)&gt;1,"违规：同一交易的加仓序号重复",IF(OR(D932="",E932="",F932=""),"计划不完整：请填写加仓价、新止损价和风险预算",IF(OR(D932&lt;=0,E932&lt;=0,F932&lt;=0,D932&lt;=E932),"违规：加仓价必须高于新止损价，金额须大于0",IF(AND(B932&gt;1,COUNTIFS($A$2:$A$1001,A932,$B$2:$B$1001,B932-1,$G$2:$G$1001,"&gt;0")=0),"违规：须先完成上一次加仓",IF(AND(B932&gt;1,E932&lt;SUMIFS($E$2:$E$1001,$A$2:$A$1001,A932,$B$2:$B$1001,B932-1)),"违规：新止损价不得低于上一次",IF(AND(B932&gt;1,F932&gt;SUMIFS($F$2:$F$1001,$A$2:$A$1001,A932,$B$2:$B$1001,B932-1)),"违规：风险预算须逐次不增加",IF(OR(_LockStatus="已锁仓",_LockStatus="解锁信息不完整"),"违规：锁仓期间禁止加仓",IF(G932="","计划可执行：建议股数见N列",IF(OR(G932&lt;=0,G932&lt;&gt;INT(G932),MOD(G932,100)&lt;&gt;0),"违规：实际股数须为100股整数倍",IF(G932&gt;N932,"违规：实际股数超过风险或金字塔上限",IF(AND(B932&gt;1,G932&gt;SUMIFS($G$2:$G$1001,$A$2:$A$1001,A932,$B$2:$B$1001,B932-1)),"违规：加仓股数须逐次不增加",IF(Q932&gt;F932,"违规：止损风险超过本次预算","通过")))))))))))))))</f>
        <v/>
      </c>
    </row>
    <row r="933" customFormat="false" ht="15" hidden="false" customHeight="false" outlineLevel="0" collapsed="false">
      <c r="A933" s="20"/>
      <c r="B933" s="21"/>
      <c r="C933" s="22"/>
      <c r="D933" s="23"/>
      <c r="E933" s="23"/>
      <c r="F933" s="23"/>
      <c r="G933" s="21"/>
      <c r="H933" s="24" t="str">
        <f aca="false">IF(OR(A933="",D933="",G933=""),"",D933*G933)</f>
        <v/>
      </c>
      <c r="I933" s="25" t="str">
        <f aca="false">IF(OR(A933="",B933=""),"",IFERROR(LOOKUP(2,1/(单次交易!$A$2:$A$201=A933),单次交易!$H$2:$H$201),0)+SUMIFS($G$2:$G$1001,$A$2:$A$1001,A933,$B$2:$B$1001,"&lt;"&amp;B933))</f>
        <v/>
      </c>
      <c r="J933" s="24" t="str">
        <f aca="false">IF(OR(A933="",B933=""),"",IFERROR(LOOKUP(2,1/(单次交易!$A$2:$A$201=A933),单次交易!$E$2:$E$201)*LOOKUP(2,1/(单次交易!$A$2:$A$201=A933),单次交易!$H$2:$H$201),0)+SUMIFS($H$2:$H$1001,$A$2:$A$1001,A933,$B$2:$B$1001,"&lt;"&amp;B933))</f>
        <v/>
      </c>
      <c r="K933" s="24" t="str">
        <f aca="false">IF(OR(E933="",I933="",J933=""),"",MAX(E933*I933-J933,0))</f>
        <v/>
      </c>
      <c r="L933" s="25" t="str">
        <f aca="false">IF(OR(D933="",E933="",F933="",D933&lt;=E933),"",FLOOR((F933+K933)/(D933-E933),100))</f>
        <v/>
      </c>
      <c r="M933" s="25" t="str">
        <f aca="false">IF(OR(A933="",B933="",L933=""),"",IF(B933=1,L933,IFERROR(SUMIFS($G$2:$G$1001,$A$2:$A$1001,A933,$B$2:$B$1001,B933-1),0)))</f>
        <v/>
      </c>
      <c r="N933" s="25" t="str">
        <f aca="false">IF(OR(L933="",M933=""),"",MIN(L933,M933))</f>
        <v/>
      </c>
      <c r="O933" s="25" t="str">
        <f aca="false">IF(OR(I933="",G933=""),"",I933+G933)</f>
        <v/>
      </c>
      <c r="P933" s="24" t="str">
        <f aca="false">IF(OR(O933="",O933=0),"",(J933+H933)/O933)</f>
        <v/>
      </c>
      <c r="Q933" s="24" t="str">
        <f aca="false">IF(OR(O933="",E933=""),"",MAX(J933+H933-E933*O933,0))</f>
        <v/>
      </c>
      <c r="R933" s="26" t="str">
        <f aca="false">IF(A933="","",IF(COUNTIF(_TradeIds,A933)=0,"违规：交易编号不存在",IF(OR(B933="",B933&lt;1,B933&gt;5,B933&lt;&gt;INT(B933)),"违规：加仓序号须为1到5的整数",IF(COUNTIFS($A$2:$A$1001,A933,$B$2:$B$1001,B933)&gt;1,"违规：同一交易的加仓序号重复",IF(OR(D933="",E933="",F933=""),"计划不完整：请填写加仓价、新止损价和风险预算",IF(OR(D933&lt;=0,E933&lt;=0,F933&lt;=0,D933&lt;=E933),"违规：加仓价必须高于新止损价，金额须大于0",IF(AND(B933&gt;1,COUNTIFS($A$2:$A$1001,A933,$B$2:$B$1001,B933-1,$G$2:$G$1001,"&gt;0")=0),"违规：须先完成上一次加仓",IF(AND(B933&gt;1,E933&lt;SUMIFS($E$2:$E$1001,$A$2:$A$1001,A933,$B$2:$B$1001,B933-1)),"违规：新止损价不得低于上一次",IF(AND(B933&gt;1,F933&gt;SUMIFS($F$2:$F$1001,$A$2:$A$1001,A933,$B$2:$B$1001,B933-1)),"违规：风险预算须逐次不增加",IF(OR(_LockStatus="已锁仓",_LockStatus="解锁信息不完整"),"违规：锁仓期间禁止加仓",IF(G933="","计划可执行：建议股数见N列",IF(OR(G933&lt;=0,G933&lt;&gt;INT(G933),MOD(G933,100)&lt;&gt;0),"违规：实际股数须为100股整数倍",IF(G933&gt;N933,"违规：实际股数超过风险或金字塔上限",IF(AND(B933&gt;1,G933&gt;SUMIFS($G$2:$G$1001,$A$2:$A$1001,A933,$B$2:$B$1001,B933-1)),"违规：加仓股数须逐次不增加",IF(Q933&gt;F933,"违规：止损风险超过本次预算","通过")))))))))))))))</f>
        <v/>
      </c>
    </row>
    <row r="934" customFormat="false" ht="15" hidden="false" customHeight="false" outlineLevel="0" collapsed="false">
      <c r="A934" s="20"/>
      <c r="B934" s="21"/>
      <c r="C934" s="22"/>
      <c r="D934" s="23"/>
      <c r="E934" s="23"/>
      <c r="F934" s="23"/>
      <c r="G934" s="21"/>
      <c r="H934" s="24" t="str">
        <f aca="false">IF(OR(A934="",D934="",G934=""),"",D934*G934)</f>
        <v/>
      </c>
      <c r="I934" s="25" t="str">
        <f aca="false">IF(OR(A934="",B934=""),"",IFERROR(LOOKUP(2,1/(单次交易!$A$2:$A$201=A934),单次交易!$H$2:$H$201),0)+SUMIFS($G$2:$G$1001,$A$2:$A$1001,A934,$B$2:$B$1001,"&lt;"&amp;B934))</f>
        <v/>
      </c>
      <c r="J934" s="24" t="str">
        <f aca="false">IF(OR(A934="",B934=""),"",IFERROR(LOOKUP(2,1/(单次交易!$A$2:$A$201=A934),单次交易!$E$2:$E$201)*LOOKUP(2,1/(单次交易!$A$2:$A$201=A934),单次交易!$H$2:$H$201),0)+SUMIFS($H$2:$H$1001,$A$2:$A$1001,A934,$B$2:$B$1001,"&lt;"&amp;B934))</f>
        <v/>
      </c>
      <c r="K934" s="24" t="str">
        <f aca="false">IF(OR(E934="",I934="",J934=""),"",MAX(E934*I934-J934,0))</f>
        <v/>
      </c>
      <c r="L934" s="25" t="str">
        <f aca="false">IF(OR(D934="",E934="",F934="",D934&lt;=E934),"",FLOOR((F934+K934)/(D934-E934),100))</f>
        <v/>
      </c>
      <c r="M934" s="25" t="str">
        <f aca="false">IF(OR(A934="",B934="",L934=""),"",IF(B934=1,L934,IFERROR(SUMIFS($G$2:$G$1001,$A$2:$A$1001,A934,$B$2:$B$1001,B934-1),0)))</f>
        <v/>
      </c>
      <c r="N934" s="25" t="str">
        <f aca="false">IF(OR(L934="",M934=""),"",MIN(L934,M934))</f>
        <v/>
      </c>
      <c r="O934" s="25" t="str">
        <f aca="false">IF(OR(I934="",G934=""),"",I934+G934)</f>
        <v/>
      </c>
      <c r="P934" s="24" t="str">
        <f aca="false">IF(OR(O934="",O934=0),"",(J934+H934)/O934)</f>
        <v/>
      </c>
      <c r="Q934" s="24" t="str">
        <f aca="false">IF(OR(O934="",E934=""),"",MAX(J934+H934-E934*O934,0))</f>
        <v/>
      </c>
      <c r="R934" s="26" t="str">
        <f aca="false">IF(A934="","",IF(COUNTIF(_TradeIds,A934)=0,"违规：交易编号不存在",IF(OR(B934="",B934&lt;1,B934&gt;5,B934&lt;&gt;INT(B934)),"违规：加仓序号须为1到5的整数",IF(COUNTIFS($A$2:$A$1001,A934,$B$2:$B$1001,B934)&gt;1,"违规：同一交易的加仓序号重复",IF(OR(D934="",E934="",F934=""),"计划不完整：请填写加仓价、新止损价和风险预算",IF(OR(D934&lt;=0,E934&lt;=0,F934&lt;=0,D934&lt;=E934),"违规：加仓价必须高于新止损价，金额须大于0",IF(AND(B934&gt;1,COUNTIFS($A$2:$A$1001,A934,$B$2:$B$1001,B934-1,$G$2:$G$1001,"&gt;0")=0),"违规：须先完成上一次加仓",IF(AND(B934&gt;1,E934&lt;SUMIFS($E$2:$E$1001,$A$2:$A$1001,A934,$B$2:$B$1001,B934-1)),"违规：新止损价不得低于上一次",IF(AND(B934&gt;1,F934&gt;SUMIFS($F$2:$F$1001,$A$2:$A$1001,A934,$B$2:$B$1001,B934-1)),"违规：风险预算须逐次不增加",IF(OR(_LockStatus="已锁仓",_LockStatus="解锁信息不完整"),"违规：锁仓期间禁止加仓",IF(G934="","计划可执行：建议股数见N列",IF(OR(G934&lt;=0,G934&lt;&gt;INT(G934),MOD(G934,100)&lt;&gt;0),"违规：实际股数须为100股整数倍",IF(G934&gt;N934,"违规：实际股数超过风险或金字塔上限",IF(AND(B934&gt;1,G934&gt;SUMIFS($G$2:$G$1001,$A$2:$A$1001,A934,$B$2:$B$1001,B934-1)),"违规：加仓股数须逐次不增加",IF(Q934&gt;F934,"违规：止损风险超过本次预算","通过")))))))))))))))</f>
        <v/>
      </c>
    </row>
    <row r="935" customFormat="false" ht="15" hidden="false" customHeight="false" outlineLevel="0" collapsed="false">
      <c r="A935" s="20"/>
      <c r="B935" s="21"/>
      <c r="C935" s="22"/>
      <c r="D935" s="23"/>
      <c r="E935" s="23"/>
      <c r="F935" s="23"/>
      <c r="G935" s="21"/>
      <c r="H935" s="24" t="str">
        <f aca="false">IF(OR(A935="",D935="",G935=""),"",D935*G935)</f>
        <v/>
      </c>
      <c r="I935" s="25" t="str">
        <f aca="false">IF(OR(A935="",B935=""),"",IFERROR(LOOKUP(2,1/(单次交易!$A$2:$A$201=A935),单次交易!$H$2:$H$201),0)+SUMIFS($G$2:$G$1001,$A$2:$A$1001,A935,$B$2:$B$1001,"&lt;"&amp;B935))</f>
        <v/>
      </c>
      <c r="J935" s="24" t="str">
        <f aca="false">IF(OR(A935="",B935=""),"",IFERROR(LOOKUP(2,1/(单次交易!$A$2:$A$201=A935),单次交易!$E$2:$E$201)*LOOKUP(2,1/(单次交易!$A$2:$A$201=A935),单次交易!$H$2:$H$201),0)+SUMIFS($H$2:$H$1001,$A$2:$A$1001,A935,$B$2:$B$1001,"&lt;"&amp;B935))</f>
        <v/>
      </c>
      <c r="K935" s="24" t="str">
        <f aca="false">IF(OR(E935="",I935="",J935=""),"",MAX(E935*I935-J935,0))</f>
        <v/>
      </c>
      <c r="L935" s="25" t="str">
        <f aca="false">IF(OR(D935="",E935="",F935="",D935&lt;=E935),"",FLOOR((F935+K935)/(D935-E935),100))</f>
        <v/>
      </c>
      <c r="M935" s="25" t="str">
        <f aca="false">IF(OR(A935="",B935="",L935=""),"",IF(B935=1,L935,IFERROR(SUMIFS($G$2:$G$1001,$A$2:$A$1001,A935,$B$2:$B$1001,B935-1),0)))</f>
        <v/>
      </c>
      <c r="N935" s="25" t="str">
        <f aca="false">IF(OR(L935="",M935=""),"",MIN(L935,M935))</f>
        <v/>
      </c>
      <c r="O935" s="25" t="str">
        <f aca="false">IF(OR(I935="",G935=""),"",I935+G935)</f>
        <v/>
      </c>
      <c r="P935" s="24" t="str">
        <f aca="false">IF(OR(O935="",O935=0),"",(J935+H935)/O935)</f>
        <v/>
      </c>
      <c r="Q935" s="24" t="str">
        <f aca="false">IF(OR(O935="",E935=""),"",MAX(J935+H935-E935*O935,0))</f>
        <v/>
      </c>
      <c r="R935" s="26" t="str">
        <f aca="false">IF(A935="","",IF(COUNTIF(_TradeIds,A935)=0,"违规：交易编号不存在",IF(OR(B935="",B935&lt;1,B935&gt;5,B935&lt;&gt;INT(B935)),"违规：加仓序号须为1到5的整数",IF(COUNTIFS($A$2:$A$1001,A935,$B$2:$B$1001,B935)&gt;1,"违规：同一交易的加仓序号重复",IF(OR(D935="",E935="",F935=""),"计划不完整：请填写加仓价、新止损价和风险预算",IF(OR(D935&lt;=0,E935&lt;=0,F935&lt;=0,D935&lt;=E935),"违规：加仓价必须高于新止损价，金额须大于0",IF(AND(B935&gt;1,COUNTIFS($A$2:$A$1001,A935,$B$2:$B$1001,B935-1,$G$2:$G$1001,"&gt;0")=0),"违规：须先完成上一次加仓",IF(AND(B935&gt;1,E935&lt;SUMIFS($E$2:$E$1001,$A$2:$A$1001,A935,$B$2:$B$1001,B935-1)),"违规：新止损价不得低于上一次",IF(AND(B935&gt;1,F935&gt;SUMIFS($F$2:$F$1001,$A$2:$A$1001,A935,$B$2:$B$1001,B935-1)),"违规：风险预算须逐次不增加",IF(OR(_LockStatus="已锁仓",_LockStatus="解锁信息不完整"),"违规：锁仓期间禁止加仓",IF(G935="","计划可执行：建议股数见N列",IF(OR(G935&lt;=0,G935&lt;&gt;INT(G935),MOD(G935,100)&lt;&gt;0),"违规：实际股数须为100股整数倍",IF(G935&gt;N935,"违规：实际股数超过风险或金字塔上限",IF(AND(B935&gt;1,G935&gt;SUMIFS($G$2:$G$1001,$A$2:$A$1001,A935,$B$2:$B$1001,B935-1)),"违规：加仓股数须逐次不增加",IF(Q935&gt;F935,"违规：止损风险超过本次预算","通过")))))))))))))))</f>
        <v/>
      </c>
    </row>
    <row r="936" customFormat="false" ht="15" hidden="false" customHeight="false" outlineLevel="0" collapsed="false">
      <c r="A936" s="20"/>
      <c r="B936" s="21"/>
      <c r="C936" s="22"/>
      <c r="D936" s="23"/>
      <c r="E936" s="23"/>
      <c r="F936" s="23"/>
      <c r="G936" s="21"/>
      <c r="H936" s="24" t="str">
        <f aca="false">IF(OR(A936="",D936="",G936=""),"",D936*G936)</f>
        <v/>
      </c>
      <c r="I936" s="25" t="str">
        <f aca="false">IF(OR(A936="",B936=""),"",IFERROR(LOOKUP(2,1/(单次交易!$A$2:$A$201=A936),单次交易!$H$2:$H$201),0)+SUMIFS($G$2:$G$1001,$A$2:$A$1001,A936,$B$2:$B$1001,"&lt;"&amp;B936))</f>
        <v/>
      </c>
      <c r="J936" s="24" t="str">
        <f aca="false">IF(OR(A936="",B936=""),"",IFERROR(LOOKUP(2,1/(单次交易!$A$2:$A$201=A936),单次交易!$E$2:$E$201)*LOOKUP(2,1/(单次交易!$A$2:$A$201=A936),单次交易!$H$2:$H$201),0)+SUMIFS($H$2:$H$1001,$A$2:$A$1001,A936,$B$2:$B$1001,"&lt;"&amp;B936))</f>
        <v/>
      </c>
      <c r="K936" s="24" t="str">
        <f aca="false">IF(OR(E936="",I936="",J936=""),"",MAX(E936*I936-J936,0))</f>
        <v/>
      </c>
      <c r="L936" s="25" t="str">
        <f aca="false">IF(OR(D936="",E936="",F936="",D936&lt;=E936),"",FLOOR((F936+K936)/(D936-E936),100))</f>
        <v/>
      </c>
      <c r="M936" s="25" t="str">
        <f aca="false">IF(OR(A936="",B936="",L936=""),"",IF(B936=1,L936,IFERROR(SUMIFS($G$2:$G$1001,$A$2:$A$1001,A936,$B$2:$B$1001,B936-1),0)))</f>
        <v/>
      </c>
      <c r="N936" s="25" t="str">
        <f aca="false">IF(OR(L936="",M936=""),"",MIN(L936,M936))</f>
        <v/>
      </c>
      <c r="O936" s="25" t="str">
        <f aca="false">IF(OR(I936="",G936=""),"",I936+G936)</f>
        <v/>
      </c>
      <c r="P936" s="24" t="str">
        <f aca="false">IF(OR(O936="",O936=0),"",(J936+H936)/O936)</f>
        <v/>
      </c>
      <c r="Q936" s="24" t="str">
        <f aca="false">IF(OR(O936="",E936=""),"",MAX(J936+H936-E936*O936,0))</f>
        <v/>
      </c>
      <c r="R936" s="26" t="str">
        <f aca="false">IF(A936="","",IF(COUNTIF(_TradeIds,A936)=0,"违规：交易编号不存在",IF(OR(B936="",B936&lt;1,B936&gt;5,B936&lt;&gt;INT(B936)),"违规：加仓序号须为1到5的整数",IF(COUNTIFS($A$2:$A$1001,A936,$B$2:$B$1001,B936)&gt;1,"违规：同一交易的加仓序号重复",IF(OR(D936="",E936="",F936=""),"计划不完整：请填写加仓价、新止损价和风险预算",IF(OR(D936&lt;=0,E936&lt;=0,F936&lt;=0,D936&lt;=E936),"违规：加仓价必须高于新止损价，金额须大于0",IF(AND(B936&gt;1,COUNTIFS($A$2:$A$1001,A936,$B$2:$B$1001,B936-1,$G$2:$G$1001,"&gt;0")=0),"违规：须先完成上一次加仓",IF(AND(B936&gt;1,E936&lt;SUMIFS($E$2:$E$1001,$A$2:$A$1001,A936,$B$2:$B$1001,B936-1)),"违规：新止损价不得低于上一次",IF(AND(B936&gt;1,F936&gt;SUMIFS($F$2:$F$1001,$A$2:$A$1001,A936,$B$2:$B$1001,B936-1)),"违规：风险预算须逐次不增加",IF(OR(_LockStatus="已锁仓",_LockStatus="解锁信息不完整"),"违规：锁仓期间禁止加仓",IF(G936="","计划可执行：建议股数见N列",IF(OR(G936&lt;=0,G936&lt;&gt;INT(G936),MOD(G936,100)&lt;&gt;0),"违规：实际股数须为100股整数倍",IF(G936&gt;N936,"违规：实际股数超过风险或金字塔上限",IF(AND(B936&gt;1,G936&gt;SUMIFS($G$2:$G$1001,$A$2:$A$1001,A936,$B$2:$B$1001,B936-1)),"违规：加仓股数须逐次不增加",IF(Q936&gt;F936,"违规：止损风险超过本次预算","通过")))))))))))))))</f>
        <v/>
      </c>
    </row>
    <row r="937" customFormat="false" ht="15" hidden="false" customHeight="false" outlineLevel="0" collapsed="false">
      <c r="A937" s="20"/>
      <c r="B937" s="21"/>
      <c r="C937" s="22"/>
      <c r="D937" s="23"/>
      <c r="E937" s="23"/>
      <c r="F937" s="23"/>
      <c r="G937" s="21"/>
      <c r="H937" s="24" t="str">
        <f aca="false">IF(OR(A937="",D937="",G937=""),"",D937*G937)</f>
        <v/>
      </c>
      <c r="I937" s="25" t="str">
        <f aca="false">IF(OR(A937="",B937=""),"",IFERROR(LOOKUP(2,1/(单次交易!$A$2:$A$201=A937),单次交易!$H$2:$H$201),0)+SUMIFS($G$2:$G$1001,$A$2:$A$1001,A937,$B$2:$B$1001,"&lt;"&amp;B937))</f>
        <v/>
      </c>
      <c r="J937" s="24" t="str">
        <f aca="false">IF(OR(A937="",B937=""),"",IFERROR(LOOKUP(2,1/(单次交易!$A$2:$A$201=A937),单次交易!$E$2:$E$201)*LOOKUP(2,1/(单次交易!$A$2:$A$201=A937),单次交易!$H$2:$H$201),0)+SUMIFS($H$2:$H$1001,$A$2:$A$1001,A937,$B$2:$B$1001,"&lt;"&amp;B937))</f>
        <v/>
      </c>
      <c r="K937" s="24" t="str">
        <f aca="false">IF(OR(E937="",I937="",J937=""),"",MAX(E937*I937-J937,0))</f>
        <v/>
      </c>
      <c r="L937" s="25" t="str">
        <f aca="false">IF(OR(D937="",E937="",F937="",D937&lt;=E937),"",FLOOR((F937+K937)/(D937-E937),100))</f>
        <v/>
      </c>
      <c r="M937" s="25" t="str">
        <f aca="false">IF(OR(A937="",B937="",L937=""),"",IF(B937=1,L937,IFERROR(SUMIFS($G$2:$G$1001,$A$2:$A$1001,A937,$B$2:$B$1001,B937-1),0)))</f>
        <v/>
      </c>
      <c r="N937" s="25" t="str">
        <f aca="false">IF(OR(L937="",M937=""),"",MIN(L937,M937))</f>
        <v/>
      </c>
      <c r="O937" s="25" t="str">
        <f aca="false">IF(OR(I937="",G937=""),"",I937+G937)</f>
        <v/>
      </c>
      <c r="P937" s="24" t="str">
        <f aca="false">IF(OR(O937="",O937=0),"",(J937+H937)/O937)</f>
        <v/>
      </c>
      <c r="Q937" s="24" t="str">
        <f aca="false">IF(OR(O937="",E937=""),"",MAX(J937+H937-E937*O937,0))</f>
        <v/>
      </c>
      <c r="R937" s="26" t="str">
        <f aca="false">IF(A937="","",IF(COUNTIF(_TradeIds,A937)=0,"违规：交易编号不存在",IF(OR(B937="",B937&lt;1,B937&gt;5,B937&lt;&gt;INT(B937)),"违规：加仓序号须为1到5的整数",IF(COUNTIFS($A$2:$A$1001,A937,$B$2:$B$1001,B937)&gt;1,"违规：同一交易的加仓序号重复",IF(OR(D937="",E937="",F937=""),"计划不完整：请填写加仓价、新止损价和风险预算",IF(OR(D937&lt;=0,E937&lt;=0,F937&lt;=0,D937&lt;=E937),"违规：加仓价必须高于新止损价，金额须大于0",IF(AND(B937&gt;1,COUNTIFS($A$2:$A$1001,A937,$B$2:$B$1001,B937-1,$G$2:$G$1001,"&gt;0")=0),"违规：须先完成上一次加仓",IF(AND(B937&gt;1,E937&lt;SUMIFS($E$2:$E$1001,$A$2:$A$1001,A937,$B$2:$B$1001,B937-1)),"违规：新止损价不得低于上一次",IF(AND(B937&gt;1,F937&gt;SUMIFS($F$2:$F$1001,$A$2:$A$1001,A937,$B$2:$B$1001,B937-1)),"违规：风险预算须逐次不增加",IF(OR(_LockStatus="已锁仓",_LockStatus="解锁信息不完整"),"违规：锁仓期间禁止加仓",IF(G937="","计划可执行：建议股数见N列",IF(OR(G937&lt;=0,G937&lt;&gt;INT(G937),MOD(G937,100)&lt;&gt;0),"违规：实际股数须为100股整数倍",IF(G937&gt;N937,"违规：实际股数超过风险或金字塔上限",IF(AND(B937&gt;1,G937&gt;SUMIFS($G$2:$G$1001,$A$2:$A$1001,A937,$B$2:$B$1001,B937-1)),"违规：加仓股数须逐次不增加",IF(Q937&gt;F937,"违规：止损风险超过本次预算","通过")))))))))))))))</f>
        <v/>
      </c>
    </row>
    <row r="938" customFormat="false" ht="15" hidden="false" customHeight="false" outlineLevel="0" collapsed="false">
      <c r="A938" s="20"/>
      <c r="B938" s="21"/>
      <c r="C938" s="22"/>
      <c r="D938" s="23"/>
      <c r="E938" s="23"/>
      <c r="F938" s="23"/>
      <c r="G938" s="21"/>
      <c r="H938" s="24" t="str">
        <f aca="false">IF(OR(A938="",D938="",G938=""),"",D938*G938)</f>
        <v/>
      </c>
      <c r="I938" s="25" t="str">
        <f aca="false">IF(OR(A938="",B938=""),"",IFERROR(LOOKUP(2,1/(单次交易!$A$2:$A$201=A938),单次交易!$H$2:$H$201),0)+SUMIFS($G$2:$G$1001,$A$2:$A$1001,A938,$B$2:$B$1001,"&lt;"&amp;B938))</f>
        <v/>
      </c>
      <c r="J938" s="24" t="str">
        <f aca="false">IF(OR(A938="",B938=""),"",IFERROR(LOOKUP(2,1/(单次交易!$A$2:$A$201=A938),单次交易!$E$2:$E$201)*LOOKUP(2,1/(单次交易!$A$2:$A$201=A938),单次交易!$H$2:$H$201),0)+SUMIFS($H$2:$H$1001,$A$2:$A$1001,A938,$B$2:$B$1001,"&lt;"&amp;B938))</f>
        <v/>
      </c>
      <c r="K938" s="24" t="str">
        <f aca="false">IF(OR(E938="",I938="",J938=""),"",MAX(E938*I938-J938,0))</f>
        <v/>
      </c>
      <c r="L938" s="25" t="str">
        <f aca="false">IF(OR(D938="",E938="",F938="",D938&lt;=E938),"",FLOOR((F938+K938)/(D938-E938),100))</f>
        <v/>
      </c>
      <c r="M938" s="25" t="str">
        <f aca="false">IF(OR(A938="",B938="",L938=""),"",IF(B938=1,L938,IFERROR(SUMIFS($G$2:$G$1001,$A$2:$A$1001,A938,$B$2:$B$1001,B938-1),0)))</f>
        <v/>
      </c>
      <c r="N938" s="25" t="str">
        <f aca="false">IF(OR(L938="",M938=""),"",MIN(L938,M938))</f>
        <v/>
      </c>
      <c r="O938" s="25" t="str">
        <f aca="false">IF(OR(I938="",G938=""),"",I938+G938)</f>
        <v/>
      </c>
      <c r="P938" s="24" t="str">
        <f aca="false">IF(OR(O938="",O938=0),"",(J938+H938)/O938)</f>
        <v/>
      </c>
      <c r="Q938" s="24" t="str">
        <f aca="false">IF(OR(O938="",E938=""),"",MAX(J938+H938-E938*O938,0))</f>
        <v/>
      </c>
      <c r="R938" s="26" t="str">
        <f aca="false">IF(A938="","",IF(COUNTIF(_TradeIds,A938)=0,"违规：交易编号不存在",IF(OR(B938="",B938&lt;1,B938&gt;5,B938&lt;&gt;INT(B938)),"违规：加仓序号须为1到5的整数",IF(COUNTIFS($A$2:$A$1001,A938,$B$2:$B$1001,B938)&gt;1,"违规：同一交易的加仓序号重复",IF(OR(D938="",E938="",F938=""),"计划不完整：请填写加仓价、新止损价和风险预算",IF(OR(D938&lt;=0,E938&lt;=0,F938&lt;=0,D938&lt;=E938),"违规：加仓价必须高于新止损价，金额须大于0",IF(AND(B938&gt;1,COUNTIFS($A$2:$A$1001,A938,$B$2:$B$1001,B938-1,$G$2:$G$1001,"&gt;0")=0),"违规：须先完成上一次加仓",IF(AND(B938&gt;1,E938&lt;SUMIFS($E$2:$E$1001,$A$2:$A$1001,A938,$B$2:$B$1001,B938-1)),"违规：新止损价不得低于上一次",IF(AND(B938&gt;1,F938&gt;SUMIFS($F$2:$F$1001,$A$2:$A$1001,A938,$B$2:$B$1001,B938-1)),"违规：风险预算须逐次不增加",IF(OR(_LockStatus="已锁仓",_LockStatus="解锁信息不完整"),"违规：锁仓期间禁止加仓",IF(G938="","计划可执行：建议股数见N列",IF(OR(G938&lt;=0,G938&lt;&gt;INT(G938),MOD(G938,100)&lt;&gt;0),"违规：实际股数须为100股整数倍",IF(G938&gt;N938,"违规：实际股数超过风险或金字塔上限",IF(AND(B938&gt;1,G938&gt;SUMIFS($G$2:$G$1001,$A$2:$A$1001,A938,$B$2:$B$1001,B938-1)),"违规：加仓股数须逐次不增加",IF(Q938&gt;F938,"违规：止损风险超过本次预算","通过")))))))))))))))</f>
        <v/>
      </c>
    </row>
    <row r="939" customFormat="false" ht="15" hidden="false" customHeight="false" outlineLevel="0" collapsed="false">
      <c r="A939" s="20"/>
      <c r="B939" s="21"/>
      <c r="C939" s="22"/>
      <c r="D939" s="23"/>
      <c r="E939" s="23"/>
      <c r="F939" s="23"/>
      <c r="G939" s="21"/>
      <c r="H939" s="24" t="str">
        <f aca="false">IF(OR(A939="",D939="",G939=""),"",D939*G939)</f>
        <v/>
      </c>
      <c r="I939" s="25" t="str">
        <f aca="false">IF(OR(A939="",B939=""),"",IFERROR(LOOKUP(2,1/(单次交易!$A$2:$A$201=A939),单次交易!$H$2:$H$201),0)+SUMIFS($G$2:$G$1001,$A$2:$A$1001,A939,$B$2:$B$1001,"&lt;"&amp;B939))</f>
        <v/>
      </c>
      <c r="J939" s="24" t="str">
        <f aca="false">IF(OR(A939="",B939=""),"",IFERROR(LOOKUP(2,1/(单次交易!$A$2:$A$201=A939),单次交易!$E$2:$E$201)*LOOKUP(2,1/(单次交易!$A$2:$A$201=A939),单次交易!$H$2:$H$201),0)+SUMIFS($H$2:$H$1001,$A$2:$A$1001,A939,$B$2:$B$1001,"&lt;"&amp;B939))</f>
        <v/>
      </c>
      <c r="K939" s="24" t="str">
        <f aca="false">IF(OR(E939="",I939="",J939=""),"",MAX(E939*I939-J939,0))</f>
        <v/>
      </c>
      <c r="L939" s="25" t="str">
        <f aca="false">IF(OR(D939="",E939="",F939="",D939&lt;=E939),"",FLOOR((F939+K939)/(D939-E939),100))</f>
        <v/>
      </c>
      <c r="M939" s="25" t="str">
        <f aca="false">IF(OR(A939="",B939="",L939=""),"",IF(B939=1,L939,IFERROR(SUMIFS($G$2:$G$1001,$A$2:$A$1001,A939,$B$2:$B$1001,B939-1),0)))</f>
        <v/>
      </c>
      <c r="N939" s="25" t="str">
        <f aca="false">IF(OR(L939="",M939=""),"",MIN(L939,M939))</f>
        <v/>
      </c>
      <c r="O939" s="25" t="str">
        <f aca="false">IF(OR(I939="",G939=""),"",I939+G939)</f>
        <v/>
      </c>
      <c r="P939" s="24" t="str">
        <f aca="false">IF(OR(O939="",O939=0),"",(J939+H939)/O939)</f>
        <v/>
      </c>
      <c r="Q939" s="24" t="str">
        <f aca="false">IF(OR(O939="",E939=""),"",MAX(J939+H939-E939*O939,0))</f>
        <v/>
      </c>
      <c r="R939" s="26" t="str">
        <f aca="false">IF(A939="","",IF(COUNTIF(_TradeIds,A939)=0,"违规：交易编号不存在",IF(OR(B939="",B939&lt;1,B939&gt;5,B939&lt;&gt;INT(B939)),"违规：加仓序号须为1到5的整数",IF(COUNTIFS($A$2:$A$1001,A939,$B$2:$B$1001,B939)&gt;1,"违规：同一交易的加仓序号重复",IF(OR(D939="",E939="",F939=""),"计划不完整：请填写加仓价、新止损价和风险预算",IF(OR(D939&lt;=0,E939&lt;=0,F939&lt;=0,D939&lt;=E939),"违规：加仓价必须高于新止损价，金额须大于0",IF(AND(B939&gt;1,COUNTIFS($A$2:$A$1001,A939,$B$2:$B$1001,B939-1,$G$2:$G$1001,"&gt;0")=0),"违规：须先完成上一次加仓",IF(AND(B939&gt;1,E939&lt;SUMIFS($E$2:$E$1001,$A$2:$A$1001,A939,$B$2:$B$1001,B939-1)),"违规：新止损价不得低于上一次",IF(AND(B939&gt;1,F939&gt;SUMIFS($F$2:$F$1001,$A$2:$A$1001,A939,$B$2:$B$1001,B939-1)),"违规：风险预算须逐次不增加",IF(OR(_LockStatus="已锁仓",_LockStatus="解锁信息不完整"),"违规：锁仓期间禁止加仓",IF(G939="","计划可执行：建议股数见N列",IF(OR(G939&lt;=0,G939&lt;&gt;INT(G939),MOD(G939,100)&lt;&gt;0),"违规：实际股数须为100股整数倍",IF(G939&gt;N939,"违规：实际股数超过风险或金字塔上限",IF(AND(B939&gt;1,G939&gt;SUMIFS($G$2:$G$1001,$A$2:$A$1001,A939,$B$2:$B$1001,B939-1)),"违规：加仓股数须逐次不增加",IF(Q939&gt;F939,"违规：止损风险超过本次预算","通过")))))))))))))))</f>
        <v/>
      </c>
    </row>
    <row r="940" customFormat="false" ht="15" hidden="false" customHeight="false" outlineLevel="0" collapsed="false">
      <c r="A940" s="20"/>
      <c r="B940" s="21"/>
      <c r="C940" s="22"/>
      <c r="D940" s="23"/>
      <c r="E940" s="23"/>
      <c r="F940" s="23"/>
      <c r="G940" s="21"/>
      <c r="H940" s="24" t="str">
        <f aca="false">IF(OR(A940="",D940="",G940=""),"",D940*G940)</f>
        <v/>
      </c>
      <c r="I940" s="25" t="str">
        <f aca="false">IF(OR(A940="",B940=""),"",IFERROR(LOOKUP(2,1/(单次交易!$A$2:$A$201=A940),单次交易!$H$2:$H$201),0)+SUMIFS($G$2:$G$1001,$A$2:$A$1001,A940,$B$2:$B$1001,"&lt;"&amp;B940))</f>
        <v/>
      </c>
      <c r="J940" s="24" t="str">
        <f aca="false">IF(OR(A940="",B940=""),"",IFERROR(LOOKUP(2,1/(单次交易!$A$2:$A$201=A940),单次交易!$E$2:$E$201)*LOOKUP(2,1/(单次交易!$A$2:$A$201=A940),单次交易!$H$2:$H$201),0)+SUMIFS($H$2:$H$1001,$A$2:$A$1001,A940,$B$2:$B$1001,"&lt;"&amp;B940))</f>
        <v/>
      </c>
      <c r="K940" s="24" t="str">
        <f aca="false">IF(OR(E940="",I940="",J940=""),"",MAX(E940*I940-J940,0))</f>
        <v/>
      </c>
      <c r="L940" s="25" t="str">
        <f aca="false">IF(OR(D940="",E940="",F940="",D940&lt;=E940),"",FLOOR((F940+K940)/(D940-E940),100))</f>
        <v/>
      </c>
      <c r="M940" s="25" t="str">
        <f aca="false">IF(OR(A940="",B940="",L940=""),"",IF(B940=1,L940,IFERROR(SUMIFS($G$2:$G$1001,$A$2:$A$1001,A940,$B$2:$B$1001,B940-1),0)))</f>
        <v/>
      </c>
      <c r="N940" s="25" t="str">
        <f aca="false">IF(OR(L940="",M940=""),"",MIN(L940,M940))</f>
        <v/>
      </c>
      <c r="O940" s="25" t="str">
        <f aca="false">IF(OR(I940="",G940=""),"",I940+G940)</f>
        <v/>
      </c>
      <c r="P940" s="24" t="str">
        <f aca="false">IF(OR(O940="",O940=0),"",(J940+H940)/O940)</f>
        <v/>
      </c>
      <c r="Q940" s="24" t="str">
        <f aca="false">IF(OR(O940="",E940=""),"",MAX(J940+H940-E940*O940,0))</f>
        <v/>
      </c>
      <c r="R940" s="26" t="str">
        <f aca="false">IF(A940="","",IF(COUNTIF(_TradeIds,A940)=0,"违规：交易编号不存在",IF(OR(B940="",B940&lt;1,B940&gt;5,B940&lt;&gt;INT(B940)),"违规：加仓序号须为1到5的整数",IF(COUNTIFS($A$2:$A$1001,A940,$B$2:$B$1001,B940)&gt;1,"违规：同一交易的加仓序号重复",IF(OR(D940="",E940="",F940=""),"计划不完整：请填写加仓价、新止损价和风险预算",IF(OR(D940&lt;=0,E940&lt;=0,F940&lt;=0,D940&lt;=E940),"违规：加仓价必须高于新止损价，金额须大于0",IF(AND(B940&gt;1,COUNTIFS($A$2:$A$1001,A940,$B$2:$B$1001,B940-1,$G$2:$G$1001,"&gt;0")=0),"违规：须先完成上一次加仓",IF(AND(B940&gt;1,E940&lt;SUMIFS($E$2:$E$1001,$A$2:$A$1001,A940,$B$2:$B$1001,B940-1)),"违规：新止损价不得低于上一次",IF(AND(B940&gt;1,F940&gt;SUMIFS($F$2:$F$1001,$A$2:$A$1001,A940,$B$2:$B$1001,B940-1)),"违规：风险预算须逐次不增加",IF(OR(_LockStatus="已锁仓",_LockStatus="解锁信息不完整"),"违规：锁仓期间禁止加仓",IF(G940="","计划可执行：建议股数见N列",IF(OR(G940&lt;=0,G940&lt;&gt;INT(G940),MOD(G940,100)&lt;&gt;0),"违规：实际股数须为100股整数倍",IF(G940&gt;N940,"违规：实际股数超过风险或金字塔上限",IF(AND(B940&gt;1,G940&gt;SUMIFS($G$2:$G$1001,$A$2:$A$1001,A940,$B$2:$B$1001,B940-1)),"违规：加仓股数须逐次不增加",IF(Q940&gt;F940,"违规：止损风险超过本次预算","通过")))))))))))))))</f>
        <v/>
      </c>
    </row>
    <row r="941" customFormat="false" ht="15" hidden="false" customHeight="false" outlineLevel="0" collapsed="false">
      <c r="A941" s="20"/>
      <c r="B941" s="21"/>
      <c r="C941" s="22"/>
      <c r="D941" s="23"/>
      <c r="E941" s="23"/>
      <c r="F941" s="23"/>
      <c r="G941" s="21"/>
      <c r="H941" s="24" t="str">
        <f aca="false">IF(OR(A941="",D941="",G941=""),"",D941*G941)</f>
        <v/>
      </c>
      <c r="I941" s="25" t="str">
        <f aca="false">IF(OR(A941="",B941=""),"",IFERROR(LOOKUP(2,1/(单次交易!$A$2:$A$201=A941),单次交易!$H$2:$H$201),0)+SUMIFS($G$2:$G$1001,$A$2:$A$1001,A941,$B$2:$B$1001,"&lt;"&amp;B941))</f>
        <v/>
      </c>
      <c r="J941" s="24" t="str">
        <f aca="false">IF(OR(A941="",B941=""),"",IFERROR(LOOKUP(2,1/(单次交易!$A$2:$A$201=A941),单次交易!$E$2:$E$201)*LOOKUP(2,1/(单次交易!$A$2:$A$201=A941),单次交易!$H$2:$H$201),0)+SUMIFS($H$2:$H$1001,$A$2:$A$1001,A941,$B$2:$B$1001,"&lt;"&amp;B941))</f>
        <v/>
      </c>
      <c r="K941" s="24" t="str">
        <f aca="false">IF(OR(E941="",I941="",J941=""),"",MAX(E941*I941-J941,0))</f>
        <v/>
      </c>
      <c r="L941" s="25" t="str">
        <f aca="false">IF(OR(D941="",E941="",F941="",D941&lt;=E941),"",FLOOR((F941+K941)/(D941-E941),100))</f>
        <v/>
      </c>
      <c r="M941" s="25" t="str">
        <f aca="false">IF(OR(A941="",B941="",L941=""),"",IF(B941=1,L941,IFERROR(SUMIFS($G$2:$G$1001,$A$2:$A$1001,A941,$B$2:$B$1001,B941-1),0)))</f>
        <v/>
      </c>
      <c r="N941" s="25" t="str">
        <f aca="false">IF(OR(L941="",M941=""),"",MIN(L941,M941))</f>
        <v/>
      </c>
      <c r="O941" s="25" t="str">
        <f aca="false">IF(OR(I941="",G941=""),"",I941+G941)</f>
        <v/>
      </c>
      <c r="P941" s="24" t="str">
        <f aca="false">IF(OR(O941="",O941=0),"",(J941+H941)/O941)</f>
        <v/>
      </c>
      <c r="Q941" s="24" t="str">
        <f aca="false">IF(OR(O941="",E941=""),"",MAX(J941+H941-E941*O941,0))</f>
        <v/>
      </c>
      <c r="R941" s="26" t="str">
        <f aca="false">IF(A941="","",IF(COUNTIF(_TradeIds,A941)=0,"违规：交易编号不存在",IF(OR(B941="",B941&lt;1,B941&gt;5,B941&lt;&gt;INT(B941)),"违规：加仓序号须为1到5的整数",IF(COUNTIFS($A$2:$A$1001,A941,$B$2:$B$1001,B941)&gt;1,"违规：同一交易的加仓序号重复",IF(OR(D941="",E941="",F941=""),"计划不完整：请填写加仓价、新止损价和风险预算",IF(OR(D941&lt;=0,E941&lt;=0,F941&lt;=0,D941&lt;=E941),"违规：加仓价必须高于新止损价，金额须大于0",IF(AND(B941&gt;1,COUNTIFS($A$2:$A$1001,A941,$B$2:$B$1001,B941-1,$G$2:$G$1001,"&gt;0")=0),"违规：须先完成上一次加仓",IF(AND(B941&gt;1,E941&lt;SUMIFS($E$2:$E$1001,$A$2:$A$1001,A941,$B$2:$B$1001,B941-1)),"违规：新止损价不得低于上一次",IF(AND(B941&gt;1,F941&gt;SUMIFS($F$2:$F$1001,$A$2:$A$1001,A941,$B$2:$B$1001,B941-1)),"违规：风险预算须逐次不增加",IF(OR(_LockStatus="已锁仓",_LockStatus="解锁信息不完整"),"违规：锁仓期间禁止加仓",IF(G941="","计划可执行：建议股数见N列",IF(OR(G941&lt;=0,G941&lt;&gt;INT(G941),MOD(G941,100)&lt;&gt;0),"违规：实际股数须为100股整数倍",IF(G941&gt;N941,"违规：实际股数超过风险或金字塔上限",IF(AND(B941&gt;1,G941&gt;SUMIFS($G$2:$G$1001,$A$2:$A$1001,A941,$B$2:$B$1001,B941-1)),"违规：加仓股数须逐次不增加",IF(Q941&gt;F941,"违规：止损风险超过本次预算","通过")))))))))))))))</f>
        <v/>
      </c>
    </row>
    <row r="942" customFormat="false" ht="15" hidden="false" customHeight="false" outlineLevel="0" collapsed="false">
      <c r="A942" s="20"/>
      <c r="B942" s="21"/>
      <c r="C942" s="22"/>
      <c r="D942" s="23"/>
      <c r="E942" s="23"/>
      <c r="F942" s="23"/>
      <c r="G942" s="21"/>
      <c r="H942" s="24" t="str">
        <f aca="false">IF(OR(A942="",D942="",G942=""),"",D942*G942)</f>
        <v/>
      </c>
      <c r="I942" s="25" t="str">
        <f aca="false">IF(OR(A942="",B942=""),"",IFERROR(LOOKUP(2,1/(单次交易!$A$2:$A$201=A942),单次交易!$H$2:$H$201),0)+SUMIFS($G$2:$G$1001,$A$2:$A$1001,A942,$B$2:$B$1001,"&lt;"&amp;B942))</f>
        <v/>
      </c>
      <c r="J942" s="24" t="str">
        <f aca="false">IF(OR(A942="",B942=""),"",IFERROR(LOOKUP(2,1/(单次交易!$A$2:$A$201=A942),单次交易!$E$2:$E$201)*LOOKUP(2,1/(单次交易!$A$2:$A$201=A942),单次交易!$H$2:$H$201),0)+SUMIFS($H$2:$H$1001,$A$2:$A$1001,A942,$B$2:$B$1001,"&lt;"&amp;B942))</f>
        <v/>
      </c>
      <c r="K942" s="24" t="str">
        <f aca="false">IF(OR(E942="",I942="",J942=""),"",MAX(E942*I942-J942,0))</f>
        <v/>
      </c>
      <c r="L942" s="25" t="str">
        <f aca="false">IF(OR(D942="",E942="",F942="",D942&lt;=E942),"",FLOOR((F942+K942)/(D942-E942),100))</f>
        <v/>
      </c>
      <c r="M942" s="25" t="str">
        <f aca="false">IF(OR(A942="",B942="",L942=""),"",IF(B942=1,L942,IFERROR(SUMIFS($G$2:$G$1001,$A$2:$A$1001,A942,$B$2:$B$1001,B942-1),0)))</f>
        <v/>
      </c>
      <c r="N942" s="25" t="str">
        <f aca="false">IF(OR(L942="",M942=""),"",MIN(L942,M942))</f>
        <v/>
      </c>
      <c r="O942" s="25" t="str">
        <f aca="false">IF(OR(I942="",G942=""),"",I942+G942)</f>
        <v/>
      </c>
      <c r="P942" s="24" t="str">
        <f aca="false">IF(OR(O942="",O942=0),"",(J942+H942)/O942)</f>
        <v/>
      </c>
      <c r="Q942" s="24" t="str">
        <f aca="false">IF(OR(O942="",E942=""),"",MAX(J942+H942-E942*O942,0))</f>
        <v/>
      </c>
      <c r="R942" s="26" t="str">
        <f aca="false">IF(A942="","",IF(COUNTIF(_TradeIds,A942)=0,"违规：交易编号不存在",IF(OR(B942="",B942&lt;1,B942&gt;5,B942&lt;&gt;INT(B942)),"违规：加仓序号须为1到5的整数",IF(COUNTIFS($A$2:$A$1001,A942,$B$2:$B$1001,B942)&gt;1,"违规：同一交易的加仓序号重复",IF(OR(D942="",E942="",F942=""),"计划不完整：请填写加仓价、新止损价和风险预算",IF(OR(D942&lt;=0,E942&lt;=0,F942&lt;=0,D942&lt;=E942),"违规：加仓价必须高于新止损价，金额须大于0",IF(AND(B942&gt;1,COUNTIFS($A$2:$A$1001,A942,$B$2:$B$1001,B942-1,$G$2:$G$1001,"&gt;0")=0),"违规：须先完成上一次加仓",IF(AND(B942&gt;1,E942&lt;SUMIFS($E$2:$E$1001,$A$2:$A$1001,A942,$B$2:$B$1001,B942-1)),"违规：新止损价不得低于上一次",IF(AND(B942&gt;1,F942&gt;SUMIFS($F$2:$F$1001,$A$2:$A$1001,A942,$B$2:$B$1001,B942-1)),"违规：风险预算须逐次不增加",IF(OR(_LockStatus="已锁仓",_LockStatus="解锁信息不完整"),"违规：锁仓期间禁止加仓",IF(G942="","计划可执行：建议股数见N列",IF(OR(G942&lt;=0,G942&lt;&gt;INT(G942),MOD(G942,100)&lt;&gt;0),"违规：实际股数须为100股整数倍",IF(G942&gt;N942,"违规：实际股数超过风险或金字塔上限",IF(AND(B942&gt;1,G942&gt;SUMIFS($G$2:$G$1001,$A$2:$A$1001,A942,$B$2:$B$1001,B942-1)),"违规：加仓股数须逐次不增加",IF(Q942&gt;F942,"违规：止损风险超过本次预算","通过")))))))))))))))</f>
        <v/>
      </c>
    </row>
    <row r="943" customFormat="false" ht="15" hidden="false" customHeight="false" outlineLevel="0" collapsed="false">
      <c r="A943" s="20"/>
      <c r="B943" s="21"/>
      <c r="C943" s="22"/>
      <c r="D943" s="23"/>
      <c r="E943" s="23"/>
      <c r="F943" s="23"/>
      <c r="G943" s="21"/>
      <c r="H943" s="24" t="str">
        <f aca="false">IF(OR(A943="",D943="",G943=""),"",D943*G943)</f>
        <v/>
      </c>
      <c r="I943" s="25" t="str">
        <f aca="false">IF(OR(A943="",B943=""),"",IFERROR(LOOKUP(2,1/(单次交易!$A$2:$A$201=A943),单次交易!$H$2:$H$201),0)+SUMIFS($G$2:$G$1001,$A$2:$A$1001,A943,$B$2:$B$1001,"&lt;"&amp;B943))</f>
        <v/>
      </c>
      <c r="J943" s="24" t="str">
        <f aca="false">IF(OR(A943="",B943=""),"",IFERROR(LOOKUP(2,1/(单次交易!$A$2:$A$201=A943),单次交易!$E$2:$E$201)*LOOKUP(2,1/(单次交易!$A$2:$A$201=A943),单次交易!$H$2:$H$201),0)+SUMIFS($H$2:$H$1001,$A$2:$A$1001,A943,$B$2:$B$1001,"&lt;"&amp;B943))</f>
        <v/>
      </c>
      <c r="K943" s="24" t="str">
        <f aca="false">IF(OR(E943="",I943="",J943=""),"",MAX(E943*I943-J943,0))</f>
        <v/>
      </c>
      <c r="L943" s="25" t="str">
        <f aca="false">IF(OR(D943="",E943="",F943="",D943&lt;=E943),"",FLOOR((F943+K943)/(D943-E943),100))</f>
        <v/>
      </c>
      <c r="M943" s="25" t="str">
        <f aca="false">IF(OR(A943="",B943="",L943=""),"",IF(B943=1,L943,IFERROR(SUMIFS($G$2:$G$1001,$A$2:$A$1001,A943,$B$2:$B$1001,B943-1),0)))</f>
        <v/>
      </c>
      <c r="N943" s="25" t="str">
        <f aca="false">IF(OR(L943="",M943=""),"",MIN(L943,M943))</f>
        <v/>
      </c>
      <c r="O943" s="25" t="str">
        <f aca="false">IF(OR(I943="",G943=""),"",I943+G943)</f>
        <v/>
      </c>
      <c r="P943" s="24" t="str">
        <f aca="false">IF(OR(O943="",O943=0),"",(J943+H943)/O943)</f>
        <v/>
      </c>
      <c r="Q943" s="24" t="str">
        <f aca="false">IF(OR(O943="",E943=""),"",MAX(J943+H943-E943*O943,0))</f>
        <v/>
      </c>
      <c r="R943" s="26" t="str">
        <f aca="false">IF(A943="","",IF(COUNTIF(_TradeIds,A943)=0,"违规：交易编号不存在",IF(OR(B943="",B943&lt;1,B943&gt;5,B943&lt;&gt;INT(B943)),"违规：加仓序号须为1到5的整数",IF(COUNTIFS($A$2:$A$1001,A943,$B$2:$B$1001,B943)&gt;1,"违规：同一交易的加仓序号重复",IF(OR(D943="",E943="",F943=""),"计划不完整：请填写加仓价、新止损价和风险预算",IF(OR(D943&lt;=0,E943&lt;=0,F943&lt;=0,D943&lt;=E943),"违规：加仓价必须高于新止损价，金额须大于0",IF(AND(B943&gt;1,COUNTIFS($A$2:$A$1001,A943,$B$2:$B$1001,B943-1,$G$2:$G$1001,"&gt;0")=0),"违规：须先完成上一次加仓",IF(AND(B943&gt;1,E943&lt;SUMIFS($E$2:$E$1001,$A$2:$A$1001,A943,$B$2:$B$1001,B943-1)),"违规：新止损价不得低于上一次",IF(AND(B943&gt;1,F943&gt;SUMIFS($F$2:$F$1001,$A$2:$A$1001,A943,$B$2:$B$1001,B943-1)),"违规：风险预算须逐次不增加",IF(OR(_LockStatus="已锁仓",_LockStatus="解锁信息不完整"),"违规：锁仓期间禁止加仓",IF(G943="","计划可执行：建议股数见N列",IF(OR(G943&lt;=0,G943&lt;&gt;INT(G943),MOD(G943,100)&lt;&gt;0),"违规：实际股数须为100股整数倍",IF(G943&gt;N943,"违规：实际股数超过风险或金字塔上限",IF(AND(B943&gt;1,G943&gt;SUMIFS($G$2:$G$1001,$A$2:$A$1001,A943,$B$2:$B$1001,B943-1)),"违规：加仓股数须逐次不增加",IF(Q943&gt;F943,"违规：止损风险超过本次预算","通过")))))))))))))))</f>
        <v/>
      </c>
    </row>
    <row r="944" customFormat="false" ht="15" hidden="false" customHeight="false" outlineLevel="0" collapsed="false">
      <c r="A944" s="20"/>
      <c r="B944" s="21"/>
      <c r="C944" s="22"/>
      <c r="D944" s="23"/>
      <c r="E944" s="23"/>
      <c r="F944" s="23"/>
      <c r="G944" s="21"/>
      <c r="H944" s="24" t="str">
        <f aca="false">IF(OR(A944="",D944="",G944=""),"",D944*G944)</f>
        <v/>
      </c>
      <c r="I944" s="25" t="str">
        <f aca="false">IF(OR(A944="",B944=""),"",IFERROR(LOOKUP(2,1/(单次交易!$A$2:$A$201=A944),单次交易!$H$2:$H$201),0)+SUMIFS($G$2:$G$1001,$A$2:$A$1001,A944,$B$2:$B$1001,"&lt;"&amp;B944))</f>
        <v/>
      </c>
      <c r="J944" s="24" t="str">
        <f aca="false">IF(OR(A944="",B944=""),"",IFERROR(LOOKUP(2,1/(单次交易!$A$2:$A$201=A944),单次交易!$E$2:$E$201)*LOOKUP(2,1/(单次交易!$A$2:$A$201=A944),单次交易!$H$2:$H$201),0)+SUMIFS($H$2:$H$1001,$A$2:$A$1001,A944,$B$2:$B$1001,"&lt;"&amp;B944))</f>
        <v/>
      </c>
      <c r="K944" s="24" t="str">
        <f aca="false">IF(OR(E944="",I944="",J944=""),"",MAX(E944*I944-J944,0))</f>
        <v/>
      </c>
      <c r="L944" s="25" t="str">
        <f aca="false">IF(OR(D944="",E944="",F944="",D944&lt;=E944),"",FLOOR((F944+K944)/(D944-E944),100))</f>
        <v/>
      </c>
      <c r="M944" s="25" t="str">
        <f aca="false">IF(OR(A944="",B944="",L944=""),"",IF(B944=1,L944,IFERROR(SUMIFS($G$2:$G$1001,$A$2:$A$1001,A944,$B$2:$B$1001,B944-1),0)))</f>
        <v/>
      </c>
      <c r="N944" s="25" t="str">
        <f aca="false">IF(OR(L944="",M944=""),"",MIN(L944,M944))</f>
        <v/>
      </c>
      <c r="O944" s="25" t="str">
        <f aca="false">IF(OR(I944="",G944=""),"",I944+G944)</f>
        <v/>
      </c>
      <c r="P944" s="24" t="str">
        <f aca="false">IF(OR(O944="",O944=0),"",(J944+H944)/O944)</f>
        <v/>
      </c>
      <c r="Q944" s="24" t="str">
        <f aca="false">IF(OR(O944="",E944=""),"",MAX(J944+H944-E944*O944,0))</f>
        <v/>
      </c>
      <c r="R944" s="26" t="str">
        <f aca="false">IF(A944="","",IF(COUNTIF(_TradeIds,A944)=0,"违规：交易编号不存在",IF(OR(B944="",B944&lt;1,B944&gt;5,B944&lt;&gt;INT(B944)),"违规：加仓序号须为1到5的整数",IF(COUNTIFS($A$2:$A$1001,A944,$B$2:$B$1001,B944)&gt;1,"违规：同一交易的加仓序号重复",IF(OR(D944="",E944="",F944=""),"计划不完整：请填写加仓价、新止损价和风险预算",IF(OR(D944&lt;=0,E944&lt;=0,F944&lt;=0,D944&lt;=E944),"违规：加仓价必须高于新止损价，金额须大于0",IF(AND(B944&gt;1,COUNTIFS($A$2:$A$1001,A944,$B$2:$B$1001,B944-1,$G$2:$G$1001,"&gt;0")=0),"违规：须先完成上一次加仓",IF(AND(B944&gt;1,E944&lt;SUMIFS($E$2:$E$1001,$A$2:$A$1001,A944,$B$2:$B$1001,B944-1)),"违规：新止损价不得低于上一次",IF(AND(B944&gt;1,F944&gt;SUMIFS($F$2:$F$1001,$A$2:$A$1001,A944,$B$2:$B$1001,B944-1)),"违规：风险预算须逐次不增加",IF(OR(_LockStatus="已锁仓",_LockStatus="解锁信息不完整"),"违规：锁仓期间禁止加仓",IF(G944="","计划可执行：建议股数见N列",IF(OR(G944&lt;=0,G944&lt;&gt;INT(G944),MOD(G944,100)&lt;&gt;0),"违规：实际股数须为100股整数倍",IF(G944&gt;N944,"违规：实际股数超过风险或金字塔上限",IF(AND(B944&gt;1,G944&gt;SUMIFS($G$2:$G$1001,$A$2:$A$1001,A944,$B$2:$B$1001,B944-1)),"违规：加仓股数须逐次不增加",IF(Q944&gt;F944,"违规：止损风险超过本次预算","通过")))))))))))))))</f>
        <v/>
      </c>
    </row>
    <row r="945" customFormat="false" ht="15" hidden="false" customHeight="false" outlineLevel="0" collapsed="false">
      <c r="A945" s="20"/>
      <c r="B945" s="21"/>
      <c r="C945" s="22"/>
      <c r="D945" s="23"/>
      <c r="E945" s="23"/>
      <c r="F945" s="23"/>
      <c r="G945" s="21"/>
      <c r="H945" s="24" t="str">
        <f aca="false">IF(OR(A945="",D945="",G945=""),"",D945*G945)</f>
        <v/>
      </c>
      <c r="I945" s="25" t="str">
        <f aca="false">IF(OR(A945="",B945=""),"",IFERROR(LOOKUP(2,1/(单次交易!$A$2:$A$201=A945),单次交易!$H$2:$H$201),0)+SUMIFS($G$2:$G$1001,$A$2:$A$1001,A945,$B$2:$B$1001,"&lt;"&amp;B945))</f>
        <v/>
      </c>
      <c r="J945" s="24" t="str">
        <f aca="false">IF(OR(A945="",B945=""),"",IFERROR(LOOKUP(2,1/(单次交易!$A$2:$A$201=A945),单次交易!$E$2:$E$201)*LOOKUP(2,1/(单次交易!$A$2:$A$201=A945),单次交易!$H$2:$H$201),0)+SUMIFS($H$2:$H$1001,$A$2:$A$1001,A945,$B$2:$B$1001,"&lt;"&amp;B945))</f>
        <v/>
      </c>
      <c r="K945" s="24" t="str">
        <f aca="false">IF(OR(E945="",I945="",J945=""),"",MAX(E945*I945-J945,0))</f>
        <v/>
      </c>
      <c r="L945" s="25" t="str">
        <f aca="false">IF(OR(D945="",E945="",F945="",D945&lt;=E945),"",FLOOR((F945+K945)/(D945-E945),100))</f>
        <v/>
      </c>
      <c r="M945" s="25" t="str">
        <f aca="false">IF(OR(A945="",B945="",L945=""),"",IF(B945=1,L945,IFERROR(SUMIFS($G$2:$G$1001,$A$2:$A$1001,A945,$B$2:$B$1001,B945-1),0)))</f>
        <v/>
      </c>
      <c r="N945" s="25" t="str">
        <f aca="false">IF(OR(L945="",M945=""),"",MIN(L945,M945))</f>
        <v/>
      </c>
      <c r="O945" s="25" t="str">
        <f aca="false">IF(OR(I945="",G945=""),"",I945+G945)</f>
        <v/>
      </c>
      <c r="P945" s="24" t="str">
        <f aca="false">IF(OR(O945="",O945=0),"",(J945+H945)/O945)</f>
        <v/>
      </c>
      <c r="Q945" s="24" t="str">
        <f aca="false">IF(OR(O945="",E945=""),"",MAX(J945+H945-E945*O945,0))</f>
        <v/>
      </c>
      <c r="R945" s="26" t="str">
        <f aca="false">IF(A945="","",IF(COUNTIF(_TradeIds,A945)=0,"违规：交易编号不存在",IF(OR(B945="",B945&lt;1,B945&gt;5,B945&lt;&gt;INT(B945)),"违规：加仓序号须为1到5的整数",IF(COUNTIFS($A$2:$A$1001,A945,$B$2:$B$1001,B945)&gt;1,"违规：同一交易的加仓序号重复",IF(OR(D945="",E945="",F945=""),"计划不完整：请填写加仓价、新止损价和风险预算",IF(OR(D945&lt;=0,E945&lt;=0,F945&lt;=0,D945&lt;=E945),"违规：加仓价必须高于新止损价，金额须大于0",IF(AND(B945&gt;1,COUNTIFS($A$2:$A$1001,A945,$B$2:$B$1001,B945-1,$G$2:$G$1001,"&gt;0")=0),"违规：须先完成上一次加仓",IF(AND(B945&gt;1,E945&lt;SUMIFS($E$2:$E$1001,$A$2:$A$1001,A945,$B$2:$B$1001,B945-1)),"违规：新止损价不得低于上一次",IF(AND(B945&gt;1,F945&gt;SUMIFS($F$2:$F$1001,$A$2:$A$1001,A945,$B$2:$B$1001,B945-1)),"违规：风险预算须逐次不增加",IF(OR(_LockStatus="已锁仓",_LockStatus="解锁信息不完整"),"违规：锁仓期间禁止加仓",IF(G945="","计划可执行：建议股数见N列",IF(OR(G945&lt;=0,G945&lt;&gt;INT(G945),MOD(G945,100)&lt;&gt;0),"违规：实际股数须为100股整数倍",IF(G945&gt;N945,"违规：实际股数超过风险或金字塔上限",IF(AND(B945&gt;1,G945&gt;SUMIFS($G$2:$G$1001,$A$2:$A$1001,A945,$B$2:$B$1001,B945-1)),"违规：加仓股数须逐次不增加",IF(Q945&gt;F945,"违规：止损风险超过本次预算","通过")))))))))))))))</f>
        <v/>
      </c>
    </row>
    <row r="946" customFormat="false" ht="15" hidden="false" customHeight="false" outlineLevel="0" collapsed="false">
      <c r="A946" s="20"/>
      <c r="B946" s="21"/>
      <c r="C946" s="22"/>
      <c r="D946" s="23"/>
      <c r="E946" s="23"/>
      <c r="F946" s="23"/>
      <c r="G946" s="21"/>
      <c r="H946" s="24" t="str">
        <f aca="false">IF(OR(A946="",D946="",G946=""),"",D946*G946)</f>
        <v/>
      </c>
      <c r="I946" s="25" t="str">
        <f aca="false">IF(OR(A946="",B946=""),"",IFERROR(LOOKUP(2,1/(单次交易!$A$2:$A$201=A946),单次交易!$H$2:$H$201),0)+SUMIFS($G$2:$G$1001,$A$2:$A$1001,A946,$B$2:$B$1001,"&lt;"&amp;B946))</f>
        <v/>
      </c>
      <c r="J946" s="24" t="str">
        <f aca="false">IF(OR(A946="",B946=""),"",IFERROR(LOOKUP(2,1/(单次交易!$A$2:$A$201=A946),单次交易!$E$2:$E$201)*LOOKUP(2,1/(单次交易!$A$2:$A$201=A946),单次交易!$H$2:$H$201),0)+SUMIFS($H$2:$H$1001,$A$2:$A$1001,A946,$B$2:$B$1001,"&lt;"&amp;B946))</f>
        <v/>
      </c>
      <c r="K946" s="24" t="str">
        <f aca="false">IF(OR(E946="",I946="",J946=""),"",MAX(E946*I946-J946,0))</f>
        <v/>
      </c>
      <c r="L946" s="25" t="str">
        <f aca="false">IF(OR(D946="",E946="",F946="",D946&lt;=E946),"",FLOOR((F946+K946)/(D946-E946),100))</f>
        <v/>
      </c>
      <c r="M946" s="25" t="str">
        <f aca="false">IF(OR(A946="",B946="",L946=""),"",IF(B946=1,L946,IFERROR(SUMIFS($G$2:$G$1001,$A$2:$A$1001,A946,$B$2:$B$1001,B946-1),0)))</f>
        <v/>
      </c>
      <c r="N946" s="25" t="str">
        <f aca="false">IF(OR(L946="",M946=""),"",MIN(L946,M946))</f>
        <v/>
      </c>
      <c r="O946" s="25" t="str">
        <f aca="false">IF(OR(I946="",G946=""),"",I946+G946)</f>
        <v/>
      </c>
      <c r="P946" s="24" t="str">
        <f aca="false">IF(OR(O946="",O946=0),"",(J946+H946)/O946)</f>
        <v/>
      </c>
      <c r="Q946" s="24" t="str">
        <f aca="false">IF(OR(O946="",E946=""),"",MAX(J946+H946-E946*O946,0))</f>
        <v/>
      </c>
      <c r="R946" s="26" t="str">
        <f aca="false">IF(A946="","",IF(COUNTIF(_TradeIds,A946)=0,"违规：交易编号不存在",IF(OR(B946="",B946&lt;1,B946&gt;5,B946&lt;&gt;INT(B946)),"违规：加仓序号须为1到5的整数",IF(COUNTIFS($A$2:$A$1001,A946,$B$2:$B$1001,B946)&gt;1,"违规：同一交易的加仓序号重复",IF(OR(D946="",E946="",F946=""),"计划不完整：请填写加仓价、新止损价和风险预算",IF(OR(D946&lt;=0,E946&lt;=0,F946&lt;=0,D946&lt;=E946),"违规：加仓价必须高于新止损价，金额须大于0",IF(AND(B946&gt;1,COUNTIFS($A$2:$A$1001,A946,$B$2:$B$1001,B946-1,$G$2:$G$1001,"&gt;0")=0),"违规：须先完成上一次加仓",IF(AND(B946&gt;1,E946&lt;SUMIFS($E$2:$E$1001,$A$2:$A$1001,A946,$B$2:$B$1001,B946-1)),"违规：新止损价不得低于上一次",IF(AND(B946&gt;1,F946&gt;SUMIFS($F$2:$F$1001,$A$2:$A$1001,A946,$B$2:$B$1001,B946-1)),"违规：风险预算须逐次不增加",IF(OR(_LockStatus="已锁仓",_LockStatus="解锁信息不完整"),"违规：锁仓期间禁止加仓",IF(G946="","计划可执行：建议股数见N列",IF(OR(G946&lt;=0,G946&lt;&gt;INT(G946),MOD(G946,100)&lt;&gt;0),"违规：实际股数须为100股整数倍",IF(G946&gt;N946,"违规：实际股数超过风险或金字塔上限",IF(AND(B946&gt;1,G946&gt;SUMIFS($G$2:$G$1001,$A$2:$A$1001,A946,$B$2:$B$1001,B946-1)),"违规：加仓股数须逐次不增加",IF(Q946&gt;F946,"违规：止损风险超过本次预算","通过")))))))))))))))</f>
        <v/>
      </c>
    </row>
    <row r="947" customFormat="false" ht="15" hidden="false" customHeight="false" outlineLevel="0" collapsed="false">
      <c r="A947" s="20"/>
      <c r="B947" s="21"/>
      <c r="C947" s="22"/>
      <c r="D947" s="23"/>
      <c r="E947" s="23"/>
      <c r="F947" s="23"/>
      <c r="G947" s="21"/>
      <c r="H947" s="24" t="str">
        <f aca="false">IF(OR(A947="",D947="",G947=""),"",D947*G947)</f>
        <v/>
      </c>
      <c r="I947" s="25" t="str">
        <f aca="false">IF(OR(A947="",B947=""),"",IFERROR(LOOKUP(2,1/(单次交易!$A$2:$A$201=A947),单次交易!$H$2:$H$201),0)+SUMIFS($G$2:$G$1001,$A$2:$A$1001,A947,$B$2:$B$1001,"&lt;"&amp;B947))</f>
        <v/>
      </c>
      <c r="J947" s="24" t="str">
        <f aca="false">IF(OR(A947="",B947=""),"",IFERROR(LOOKUP(2,1/(单次交易!$A$2:$A$201=A947),单次交易!$E$2:$E$201)*LOOKUP(2,1/(单次交易!$A$2:$A$201=A947),单次交易!$H$2:$H$201),0)+SUMIFS($H$2:$H$1001,$A$2:$A$1001,A947,$B$2:$B$1001,"&lt;"&amp;B947))</f>
        <v/>
      </c>
      <c r="K947" s="24" t="str">
        <f aca="false">IF(OR(E947="",I947="",J947=""),"",MAX(E947*I947-J947,0))</f>
        <v/>
      </c>
      <c r="L947" s="25" t="str">
        <f aca="false">IF(OR(D947="",E947="",F947="",D947&lt;=E947),"",FLOOR((F947+K947)/(D947-E947),100))</f>
        <v/>
      </c>
      <c r="M947" s="25" t="str">
        <f aca="false">IF(OR(A947="",B947="",L947=""),"",IF(B947=1,L947,IFERROR(SUMIFS($G$2:$G$1001,$A$2:$A$1001,A947,$B$2:$B$1001,B947-1),0)))</f>
        <v/>
      </c>
      <c r="N947" s="25" t="str">
        <f aca="false">IF(OR(L947="",M947=""),"",MIN(L947,M947))</f>
        <v/>
      </c>
      <c r="O947" s="25" t="str">
        <f aca="false">IF(OR(I947="",G947=""),"",I947+G947)</f>
        <v/>
      </c>
      <c r="P947" s="24" t="str">
        <f aca="false">IF(OR(O947="",O947=0),"",(J947+H947)/O947)</f>
        <v/>
      </c>
      <c r="Q947" s="24" t="str">
        <f aca="false">IF(OR(O947="",E947=""),"",MAX(J947+H947-E947*O947,0))</f>
        <v/>
      </c>
      <c r="R947" s="26" t="str">
        <f aca="false">IF(A947="","",IF(COUNTIF(_TradeIds,A947)=0,"违规：交易编号不存在",IF(OR(B947="",B947&lt;1,B947&gt;5,B947&lt;&gt;INT(B947)),"违规：加仓序号须为1到5的整数",IF(COUNTIFS($A$2:$A$1001,A947,$B$2:$B$1001,B947)&gt;1,"违规：同一交易的加仓序号重复",IF(OR(D947="",E947="",F947=""),"计划不完整：请填写加仓价、新止损价和风险预算",IF(OR(D947&lt;=0,E947&lt;=0,F947&lt;=0,D947&lt;=E947),"违规：加仓价必须高于新止损价，金额须大于0",IF(AND(B947&gt;1,COUNTIFS($A$2:$A$1001,A947,$B$2:$B$1001,B947-1,$G$2:$G$1001,"&gt;0")=0),"违规：须先完成上一次加仓",IF(AND(B947&gt;1,E947&lt;SUMIFS($E$2:$E$1001,$A$2:$A$1001,A947,$B$2:$B$1001,B947-1)),"违规：新止损价不得低于上一次",IF(AND(B947&gt;1,F947&gt;SUMIFS($F$2:$F$1001,$A$2:$A$1001,A947,$B$2:$B$1001,B947-1)),"违规：风险预算须逐次不增加",IF(OR(_LockStatus="已锁仓",_LockStatus="解锁信息不完整"),"违规：锁仓期间禁止加仓",IF(G947="","计划可执行：建议股数见N列",IF(OR(G947&lt;=0,G947&lt;&gt;INT(G947),MOD(G947,100)&lt;&gt;0),"违规：实际股数须为100股整数倍",IF(G947&gt;N947,"违规：实际股数超过风险或金字塔上限",IF(AND(B947&gt;1,G947&gt;SUMIFS($G$2:$G$1001,$A$2:$A$1001,A947,$B$2:$B$1001,B947-1)),"违规：加仓股数须逐次不增加",IF(Q947&gt;F947,"违规：止损风险超过本次预算","通过")))))))))))))))</f>
        <v/>
      </c>
    </row>
    <row r="948" customFormat="false" ht="15" hidden="false" customHeight="false" outlineLevel="0" collapsed="false">
      <c r="A948" s="20"/>
      <c r="B948" s="21"/>
      <c r="C948" s="22"/>
      <c r="D948" s="23"/>
      <c r="E948" s="23"/>
      <c r="F948" s="23"/>
      <c r="G948" s="21"/>
      <c r="H948" s="24" t="str">
        <f aca="false">IF(OR(A948="",D948="",G948=""),"",D948*G948)</f>
        <v/>
      </c>
      <c r="I948" s="25" t="str">
        <f aca="false">IF(OR(A948="",B948=""),"",IFERROR(LOOKUP(2,1/(单次交易!$A$2:$A$201=A948),单次交易!$H$2:$H$201),0)+SUMIFS($G$2:$G$1001,$A$2:$A$1001,A948,$B$2:$B$1001,"&lt;"&amp;B948))</f>
        <v/>
      </c>
      <c r="J948" s="24" t="str">
        <f aca="false">IF(OR(A948="",B948=""),"",IFERROR(LOOKUP(2,1/(单次交易!$A$2:$A$201=A948),单次交易!$E$2:$E$201)*LOOKUP(2,1/(单次交易!$A$2:$A$201=A948),单次交易!$H$2:$H$201),0)+SUMIFS($H$2:$H$1001,$A$2:$A$1001,A948,$B$2:$B$1001,"&lt;"&amp;B948))</f>
        <v/>
      </c>
      <c r="K948" s="24" t="str">
        <f aca="false">IF(OR(E948="",I948="",J948=""),"",MAX(E948*I948-J948,0))</f>
        <v/>
      </c>
      <c r="L948" s="25" t="str">
        <f aca="false">IF(OR(D948="",E948="",F948="",D948&lt;=E948),"",FLOOR((F948+K948)/(D948-E948),100))</f>
        <v/>
      </c>
      <c r="M948" s="25" t="str">
        <f aca="false">IF(OR(A948="",B948="",L948=""),"",IF(B948=1,L948,IFERROR(SUMIFS($G$2:$G$1001,$A$2:$A$1001,A948,$B$2:$B$1001,B948-1),0)))</f>
        <v/>
      </c>
      <c r="N948" s="25" t="str">
        <f aca="false">IF(OR(L948="",M948=""),"",MIN(L948,M948))</f>
        <v/>
      </c>
      <c r="O948" s="25" t="str">
        <f aca="false">IF(OR(I948="",G948=""),"",I948+G948)</f>
        <v/>
      </c>
      <c r="P948" s="24" t="str">
        <f aca="false">IF(OR(O948="",O948=0),"",(J948+H948)/O948)</f>
        <v/>
      </c>
      <c r="Q948" s="24" t="str">
        <f aca="false">IF(OR(O948="",E948=""),"",MAX(J948+H948-E948*O948,0))</f>
        <v/>
      </c>
      <c r="R948" s="26" t="str">
        <f aca="false">IF(A948="","",IF(COUNTIF(_TradeIds,A948)=0,"违规：交易编号不存在",IF(OR(B948="",B948&lt;1,B948&gt;5,B948&lt;&gt;INT(B948)),"违规：加仓序号须为1到5的整数",IF(COUNTIFS($A$2:$A$1001,A948,$B$2:$B$1001,B948)&gt;1,"违规：同一交易的加仓序号重复",IF(OR(D948="",E948="",F948=""),"计划不完整：请填写加仓价、新止损价和风险预算",IF(OR(D948&lt;=0,E948&lt;=0,F948&lt;=0,D948&lt;=E948),"违规：加仓价必须高于新止损价，金额须大于0",IF(AND(B948&gt;1,COUNTIFS($A$2:$A$1001,A948,$B$2:$B$1001,B948-1,$G$2:$G$1001,"&gt;0")=0),"违规：须先完成上一次加仓",IF(AND(B948&gt;1,E948&lt;SUMIFS($E$2:$E$1001,$A$2:$A$1001,A948,$B$2:$B$1001,B948-1)),"违规：新止损价不得低于上一次",IF(AND(B948&gt;1,F948&gt;SUMIFS($F$2:$F$1001,$A$2:$A$1001,A948,$B$2:$B$1001,B948-1)),"违规：风险预算须逐次不增加",IF(OR(_LockStatus="已锁仓",_LockStatus="解锁信息不完整"),"违规：锁仓期间禁止加仓",IF(G948="","计划可执行：建议股数见N列",IF(OR(G948&lt;=0,G948&lt;&gt;INT(G948),MOD(G948,100)&lt;&gt;0),"违规：实际股数须为100股整数倍",IF(G948&gt;N948,"违规：实际股数超过风险或金字塔上限",IF(AND(B948&gt;1,G948&gt;SUMIFS($G$2:$G$1001,$A$2:$A$1001,A948,$B$2:$B$1001,B948-1)),"违规：加仓股数须逐次不增加",IF(Q948&gt;F948,"违规：止损风险超过本次预算","通过")))))))))))))))</f>
        <v/>
      </c>
    </row>
    <row r="949" customFormat="false" ht="15" hidden="false" customHeight="false" outlineLevel="0" collapsed="false">
      <c r="A949" s="20"/>
      <c r="B949" s="21"/>
      <c r="C949" s="22"/>
      <c r="D949" s="23"/>
      <c r="E949" s="23"/>
      <c r="F949" s="23"/>
      <c r="G949" s="21"/>
      <c r="H949" s="24" t="str">
        <f aca="false">IF(OR(A949="",D949="",G949=""),"",D949*G949)</f>
        <v/>
      </c>
      <c r="I949" s="25" t="str">
        <f aca="false">IF(OR(A949="",B949=""),"",IFERROR(LOOKUP(2,1/(单次交易!$A$2:$A$201=A949),单次交易!$H$2:$H$201),0)+SUMIFS($G$2:$G$1001,$A$2:$A$1001,A949,$B$2:$B$1001,"&lt;"&amp;B949))</f>
        <v/>
      </c>
      <c r="J949" s="24" t="str">
        <f aca="false">IF(OR(A949="",B949=""),"",IFERROR(LOOKUP(2,1/(单次交易!$A$2:$A$201=A949),单次交易!$E$2:$E$201)*LOOKUP(2,1/(单次交易!$A$2:$A$201=A949),单次交易!$H$2:$H$201),0)+SUMIFS($H$2:$H$1001,$A$2:$A$1001,A949,$B$2:$B$1001,"&lt;"&amp;B949))</f>
        <v/>
      </c>
      <c r="K949" s="24" t="str">
        <f aca="false">IF(OR(E949="",I949="",J949=""),"",MAX(E949*I949-J949,0))</f>
        <v/>
      </c>
      <c r="L949" s="25" t="str">
        <f aca="false">IF(OR(D949="",E949="",F949="",D949&lt;=E949),"",FLOOR((F949+K949)/(D949-E949),100))</f>
        <v/>
      </c>
      <c r="M949" s="25" t="str">
        <f aca="false">IF(OR(A949="",B949="",L949=""),"",IF(B949=1,L949,IFERROR(SUMIFS($G$2:$G$1001,$A$2:$A$1001,A949,$B$2:$B$1001,B949-1),0)))</f>
        <v/>
      </c>
      <c r="N949" s="25" t="str">
        <f aca="false">IF(OR(L949="",M949=""),"",MIN(L949,M949))</f>
        <v/>
      </c>
      <c r="O949" s="25" t="str">
        <f aca="false">IF(OR(I949="",G949=""),"",I949+G949)</f>
        <v/>
      </c>
      <c r="P949" s="24" t="str">
        <f aca="false">IF(OR(O949="",O949=0),"",(J949+H949)/O949)</f>
        <v/>
      </c>
      <c r="Q949" s="24" t="str">
        <f aca="false">IF(OR(O949="",E949=""),"",MAX(J949+H949-E949*O949,0))</f>
        <v/>
      </c>
      <c r="R949" s="26" t="str">
        <f aca="false">IF(A949="","",IF(COUNTIF(_TradeIds,A949)=0,"违规：交易编号不存在",IF(OR(B949="",B949&lt;1,B949&gt;5,B949&lt;&gt;INT(B949)),"违规：加仓序号须为1到5的整数",IF(COUNTIFS($A$2:$A$1001,A949,$B$2:$B$1001,B949)&gt;1,"违规：同一交易的加仓序号重复",IF(OR(D949="",E949="",F949=""),"计划不完整：请填写加仓价、新止损价和风险预算",IF(OR(D949&lt;=0,E949&lt;=0,F949&lt;=0,D949&lt;=E949),"违规：加仓价必须高于新止损价，金额须大于0",IF(AND(B949&gt;1,COUNTIFS($A$2:$A$1001,A949,$B$2:$B$1001,B949-1,$G$2:$G$1001,"&gt;0")=0),"违规：须先完成上一次加仓",IF(AND(B949&gt;1,E949&lt;SUMIFS($E$2:$E$1001,$A$2:$A$1001,A949,$B$2:$B$1001,B949-1)),"违规：新止损价不得低于上一次",IF(AND(B949&gt;1,F949&gt;SUMIFS($F$2:$F$1001,$A$2:$A$1001,A949,$B$2:$B$1001,B949-1)),"违规：风险预算须逐次不增加",IF(OR(_LockStatus="已锁仓",_LockStatus="解锁信息不完整"),"违规：锁仓期间禁止加仓",IF(G949="","计划可执行：建议股数见N列",IF(OR(G949&lt;=0,G949&lt;&gt;INT(G949),MOD(G949,100)&lt;&gt;0),"违规：实际股数须为100股整数倍",IF(G949&gt;N949,"违规：实际股数超过风险或金字塔上限",IF(AND(B949&gt;1,G949&gt;SUMIFS($G$2:$G$1001,$A$2:$A$1001,A949,$B$2:$B$1001,B949-1)),"违规：加仓股数须逐次不增加",IF(Q949&gt;F949,"违规：止损风险超过本次预算","通过")))))))))))))))</f>
        <v/>
      </c>
    </row>
    <row r="950" customFormat="false" ht="15" hidden="false" customHeight="false" outlineLevel="0" collapsed="false">
      <c r="A950" s="20"/>
      <c r="B950" s="21"/>
      <c r="C950" s="22"/>
      <c r="D950" s="23"/>
      <c r="E950" s="23"/>
      <c r="F950" s="23"/>
      <c r="G950" s="21"/>
      <c r="H950" s="24" t="str">
        <f aca="false">IF(OR(A950="",D950="",G950=""),"",D950*G950)</f>
        <v/>
      </c>
      <c r="I950" s="25" t="str">
        <f aca="false">IF(OR(A950="",B950=""),"",IFERROR(LOOKUP(2,1/(单次交易!$A$2:$A$201=A950),单次交易!$H$2:$H$201),0)+SUMIFS($G$2:$G$1001,$A$2:$A$1001,A950,$B$2:$B$1001,"&lt;"&amp;B950))</f>
        <v/>
      </c>
      <c r="J950" s="24" t="str">
        <f aca="false">IF(OR(A950="",B950=""),"",IFERROR(LOOKUP(2,1/(单次交易!$A$2:$A$201=A950),单次交易!$E$2:$E$201)*LOOKUP(2,1/(单次交易!$A$2:$A$201=A950),单次交易!$H$2:$H$201),0)+SUMIFS($H$2:$H$1001,$A$2:$A$1001,A950,$B$2:$B$1001,"&lt;"&amp;B950))</f>
        <v/>
      </c>
      <c r="K950" s="24" t="str">
        <f aca="false">IF(OR(E950="",I950="",J950=""),"",MAX(E950*I950-J950,0))</f>
        <v/>
      </c>
      <c r="L950" s="25" t="str">
        <f aca="false">IF(OR(D950="",E950="",F950="",D950&lt;=E950),"",FLOOR((F950+K950)/(D950-E950),100))</f>
        <v/>
      </c>
      <c r="M950" s="25" t="str">
        <f aca="false">IF(OR(A950="",B950="",L950=""),"",IF(B950=1,L950,IFERROR(SUMIFS($G$2:$G$1001,$A$2:$A$1001,A950,$B$2:$B$1001,B950-1),0)))</f>
        <v/>
      </c>
      <c r="N950" s="25" t="str">
        <f aca="false">IF(OR(L950="",M950=""),"",MIN(L950,M950))</f>
        <v/>
      </c>
      <c r="O950" s="25" t="str">
        <f aca="false">IF(OR(I950="",G950=""),"",I950+G950)</f>
        <v/>
      </c>
      <c r="P950" s="24" t="str">
        <f aca="false">IF(OR(O950="",O950=0),"",(J950+H950)/O950)</f>
        <v/>
      </c>
      <c r="Q950" s="24" t="str">
        <f aca="false">IF(OR(O950="",E950=""),"",MAX(J950+H950-E950*O950,0))</f>
        <v/>
      </c>
      <c r="R950" s="26" t="str">
        <f aca="false">IF(A950="","",IF(COUNTIF(_TradeIds,A950)=0,"违规：交易编号不存在",IF(OR(B950="",B950&lt;1,B950&gt;5,B950&lt;&gt;INT(B950)),"违规：加仓序号须为1到5的整数",IF(COUNTIFS($A$2:$A$1001,A950,$B$2:$B$1001,B950)&gt;1,"违规：同一交易的加仓序号重复",IF(OR(D950="",E950="",F950=""),"计划不完整：请填写加仓价、新止损价和风险预算",IF(OR(D950&lt;=0,E950&lt;=0,F950&lt;=0,D950&lt;=E950),"违规：加仓价必须高于新止损价，金额须大于0",IF(AND(B950&gt;1,COUNTIFS($A$2:$A$1001,A950,$B$2:$B$1001,B950-1,$G$2:$G$1001,"&gt;0")=0),"违规：须先完成上一次加仓",IF(AND(B950&gt;1,E950&lt;SUMIFS($E$2:$E$1001,$A$2:$A$1001,A950,$B$2:$B$1001,B950-1)),"违规：新止损价不得低于上一次",IF(AND(B950&gt;1,F950&gt;SUMIFS($F$2:$F$1001,$A$2:$A$1001,A950,$B$2:$B$1001,B950-1)),"违规：风险预算须逐次不增加",IF(OR(_LockStatus="已锁仓",_LockStatus="解锁信息不完整"),"违规：锁仓期间禁止加仓",IF(G950="","计划可执行：建议股数见N列",IF(OR(G950&lt;=0,G950&lt;&gt;INT(G950),MOD(G950,100)&lt;&gt;0),"违规：实际股数须为100股整数倍",IF(G950&gt;N950,"违规：实际股数超过风险或金字塔上限",IF(AND(B950&gt;1,G950&gt;SUMIFS($G$2:$G$1001,$A$2:$A$1001,A950,$B$2:$B$1001,B950-1)),"违规：加仓股数须逐次不增加",IF(Q950&gt;F950,"违规：止损风险超过本次预算","通过")))))))))))))))</f>
        <v/>
      </c>
    </row>
    <row r="951" customFormat="false" ht="15" hidden="false" customHeight="false" outlineLevel="0" collapsed="false">
      <c r="A951" s="20"/>
      <c r="B951" s="21"/>
      <c r="C951" s="22"/>
      <c r="D951" s="23"/>
      <c r="E951" s="23"/>
      <c r="F951" s="23"/>
      <c r="G951" s="21"/>
      <c r="H951" s="24" t="str">
        <f aca="false">IF(OR(A951="",D951="",G951=""),"",D951*G951)</f>
        <v/>
      </c>
      <c r="I951" s="25" t="str">
        <f aca="false">IF(OR(A951="",B951=""),"",IFERROR(LOOKUP(2,1/(单次交易!$A$2:$A$201=A951),单次交易!$H$2:$H$201),0)+SUMIFS($G$2:$G$1001,$A$2:$A$1001,A951,$B$2:$B$1001,"&lt;"&amp;B951))</f>
        <v/>
      </c>
      <c r="J951" s="24" t="str">
        <f aca="false">IF(OR(A951="",B951=""),"",IFERROR(LOOKUP(2,1/(单次交易!$A$2:$A$201=A951),单次交易!$E$2:$E$201)*LOOKUP(2,1/(单次交易!$A$2:$A$201=A951),单次交易!$H$2:$H$201),0)+SUMIFS($H$2:$H$1001,$A$2:$A$1001,A951,$B$2:$B$1001,"&lt;"&amp;B951))</f>
        <v/>
      </c>
      <c r="K951" s="24" t="str">
        <f aca="false">IF(OR(E951="",I951="",J951=""),"",MAX(E951*I951-J951,0))</f>
        <v/>
      </c>
      <c r="L951" s="25" t="str">
        <f aca="false">IF(OR(D951="",E951="",F951="",D951&lt;=E951),"",FLOOR((F951+K951)/(D951-E951),100))</f>
        <v/>
      </c>
      <c r="M951" s="25" t="str">
        <f aca="false">IF(OR(A951="",B951="",L951=""),"",IF(B951=1,L951,IFERROR(SUMIFS($G$2:$G$1001,$A$2:$A$1001,A951,$B$2:$B$1001,B951-1),0)))</f>
        <v/>
      </c>
      <c r="N951" s="25" t="str">
        <f aca="false">IF(OR(L951="",M951=""),"",MIN(L951,M951))</f>
        <v/>
      </c>
      <c r="O951" s="25" t="str">
        <f aca="false">IF(OR(I951="",G951=""),"",I951+G951)</f>
        <v/>
      </c>
      <c r="P951" s="24" t="str">
        <f aca="false">IF(OR(O951="",O951=0),"",(J951+H951)/O951)</f>
        <v/>
      </c>
      <c r="Q951" s="24" t="str">
        <f aca="false">IF(OR(O951="",E951=""),"",MAX(J951+H951-E951*O951,0))</f>
        <v/>
      </c>
      <c r="R951" s="26" t="str">
        <f aca="false">IF(A951="","",IF(COUNTIF(_TradeIds,A951)=0,"违规：交易编号不存在",IF(OR(B951="",B951&lt;1,B951&gt;5,B951&lt;&gt;INT(B951)),"违规：加仓序号须为1到5的整数",IF(COUNTIFS($A$2:$A$1001,A951,$B$2:$B$1001,B951)&gt;1,"违规：同一交易的加仓序号重复",IF(OR(D951="",E951="",F951=""),"计划不完整：请填写加仓价、新止损价和风险预算",IF(OR(D951&lt;=0,E951&lt;=0,F951&lt;=0,D951&lt;=E951),"违规：加仓价必须高于新止损价，金额须大于0",IF(AND(B951&gt;1,COUNTIFS($A$2:$A$1001,A951,$B$2:$B$1001,B951-1,$G$2:$G$1001,"&gt;0")=0),"违规：须先完成上一次加仓",IF(AND(B951&gt;1,E951&lt;SUMIFS($E$2:$E$1001,$A$2:$A$1001,A951,$B$2:$B$1001,B951-1)),"违规：新止损价不得低于上一次",IF(AND(B951&gt;1,F951&gt;SUMIFS($F$2:$F$1001,$A$2:$A$1001,A951,$B$2:$B$1001,B951-1)),"违规：风险预算须逐次不增加",IF(OR(_LockStatus="已锁仓",_LockStatus="解锁信息不完整"),"违规：锁仓期间禁止加仓",IF(G951="","计划可执行：建议股数见N列",IF(OR(G951&lt;=0,G951&lt;&gt;INT(G951),MOD(G951,100)&lt;&gt;0),"违规：实际股数须为100股整数倍",IF(G951&gt;N951,"违规：实际股数超过风险或金字塔上限",IF(AND(B951&gt;1,G951&gt;SUMIFS($G$2:$G$1001,$A$2:$A$1001,A951,$B$2:$B$1001,B951-1)),"违规：加仓股数须逐次不增加",IF(Q951&gt;F951,"违规：止损风险超过本次预算","通过")))))))))))))))</f>
        <v/>
      </c>
    </row>
    <row r="952" customFormat="false" ht="15" hidden="false" customHeight="false" outlineLevel="0" collapsed="false">
      <c r="A952" s="20"/>
      <c r="B952" s="21"/>
      <c r="C952" s="22"/>
      <c r="D952" s="23"/>
      <c r="E952" s="23"/>
      <c r="F952" s="23"/>
      <c r="G952" s="21"/>
      <c r="H952" s="24" t="str">
        <f aca="false">IF(OR(A952="",D952="",G952=""),"",D952*G952)</f>
        <v/>
      </c>
      <c r="I952" s="25" t="str">
        <f aca="false">IF(OR(A952="",B952=""),"",IFERROR(LOOKUP(2,1/(单次交易!$A$2:$A$201=A952),单次交易!$H$2:$H$201),0)+SUMIFS($G$2:$G$1001,$A$2:$A$1001,A952,$B$2:$B$1001,"&lt;"&amp;B952))</f>
        <v/>
      </c>
      <c r="J952" s="24" t="str">
        <f aca="false">IF(OR(A952="",B952=""),"",IFERROR(LOOKUP(2,1/(单次交易!$A$2:$A$201=A952),单次交易!$E$2:$E$201)*LOOKUP(2,1/(单次交易!$A$2:$A$201=A952),单次交易!$H$2:$H$201),0)+SUMIFS($H$2:$H$1001,$A$2:$A$1001,A952,$B$2:$B$1001,"&lt;"&amp;B952))</f>
        <v/>
      </c>
      <c r="K952" s="24" t="str">
        <f aca="false">IF(OR(E952="",I952="",J952=""),"",MAX(E952*I952-J952,0))</f>
        <v/>
      </c>
      <c r="L952" s="25" t="str">
        <f aca="false">IF(OR(D952="",E952="",F952="",D952&lt;=E952),"",FLOOR((F952+K952)/(D952-E952),100))</f>
        <v/>
      </c>
      <c r="M952" s="25" t="str">
        <f aca="false">IF(OR(A952="",B952="",L952=""),"",IF(B952=1,L952,IFERROR(SUMIFS($G$2:$G$1001,$A$2:$A$1001,A952,$B$2:$B$1001,B952-1),0)))</f>
        <v/>
      </c>
      <c r="N952" s="25" t="str">
        <f aca="false">IF(OR(L952="",M952=""),"",MIN(L952,M952))</f>
        <v/>
      </c>
      <c r="O952" s="25" t="str">
        <f aca="false">IF(OR(I952="",G952=""),"",I952+G952)</f>
        <v/>
      </c>
      <c r="P952" s="24" t="str">
        <f aca="false">IF(OR(O952="",O952=0),"",(J952+H952)/O952)</f>
        <v/>
      </c>
      <c r="Q952" s="24" t="str">
        <f aca="false">IF(OR(O952="",E952=""),"",MAX(J952+H952-E952*O952,0))</f>
        <v/>
      </c>
      <c r="R952" s="26" t="str">
        <f aca="false">IF(A952="","",IF(COUNTIF(_TradeIds,A952)=0,"违规：交易编号不存在",IF(OR(B952="",B952&lt;1,B952&gt;5,B952&lt;&gt;INT(B952)),"违规：加仓序号须为1到5的整数",IF(COUNTIFS($A$2:$A$1001,A952,$B$2:$B$1001,B952)&gt;1,"违规：同一交易的加仓序号重复",IF(OR(D952="",E952="",F952=""),"计划不完整：请填写加仓价、新止损价和风险预算",IF(OR(D952&lt;=0,E952&lt;=0,F952&lt;=0,D952&lt;=E952),"违规：加仓价必须高于新止损价，金额须大于0",IF(AND(B952&gt;1,COUNTIFS($A$2:$A$1001,A952,$B$2:$B$1001,B952-1,$G$2:$G$1001,"&gt;0")=0),"违规：须先完成上一次加仓",IF(AND(B952&gt;1,E952&lt;SUMIFS($E$2:$E$1001,$A$2:$A$1001,A952,$B$2:$B$1001,B952-1)),"违规：新止损价不得低于上一次",IF(AND(B952&gt;1,F952&gt;SUMIFS($F$2:$F$1001,$A$2:$A$1001,A952,$B$2:$B$1001,B952-1)),"违规：风险预算须逐次不增加",IF(OR(_LockStatus="已锁仓",_LockStatus="解锁信息不完整"),"违规：锁仓期间禁止加仓",IF(G952="","计划可执行：建议股数见N列",IF(OR(G952&lt;=0,G952&lt;&gt;INT(G952),MOD(G952,100)&lt;&gt;0),"违规：实际股数须为100股整数倍",IF(G952&gt;N952,"违规：实际股数超过风险或金字塔上限",IF(AND(B952&gt;1,G952&gt;SUMIFS($G$2:$G$1001,$A$2:$A$1001,A952,$B$2:$B$1001,B952-1)),"违规：加仓股数须逐次不增加",IF(Q952&gt;F952,"违规：止损风险超过本次预算","通过")))))))))))))))</f>
        <v/>
      </c>
    </row>
    <row r="953" customFormat="false" ht="15" hidden="false" customHeight="false" outlineLevel="0" collapsed="false">
      <c r="A953" s="20"/>
      <c r="B953" s="21"/>
      <c r="C953" s="22"/>
      <c r="D953" s="23"/>
      <c r="E953" s="23"/>
      <c r="F953" s="23"/>
      <c r="G953" s="21"/>
      <c r="H953" s="24" t="str">
        <f aca="false">IF(OR(A953="",D953="",G953=""),"",D953*G953)</f>
        <v/>
      </c>
      <c r="I953" s="25" t="str">
        <f aca="false">IF(OR(A953="",B953=""),"",IFERROR(LOOKUP(2,1/(单次交易!$A$2:$A$201=A953),单次交易!$H$2:$H$201),0)+SUMIFS($G$2:$G$1001,$A$2:$A$1001,A953,$B$2:$B$1001,"&lt;"&amp;B953))</f>
        <v/>
      </c>
      <c r="J953" s="24" t="str">
        <f aca="false">IF(OR(A953="",B953=""),"",IFERROR(LOOKUP(2,1/(单次交易!$A$2:$A$201=A953),单次交易!$E$2:$E$201)*LOOKUP(2,1/(单次交易!$A$2:$A$201=A953),单次交易!$H$2:$H$201),0)+SUMIFS($H$2:$H$1001,$A$2:$A$1001,A953,$B$2:$B$1001,"&lt;"&amp;B953))</f>
        <v/>
      </c>
      <c r="K953" s="24" t="str">
        <f aca="false">IF(OR(E953="",I953="",J953=""),"",MAX(E953*I953-J953,0))</f>
        <v/>
      </c>
      <c r="L953" s="25" t="str">
        <f aca="false">IF(OR(D953="",E953="",F953="",D953&lt;=E953),"",FLOOR((F953+K953)/(D953-E953),100))</f>
        <v/>
      </c>
      <c r="M953" s="25" t="str">
        <f aca="false">IF(OR(A953="",B953="",L953=""),"",IF(B953=1,L953,IFERROR(SUMIFS($G$2:$G$1001,$A$2:$A$1001,A953,$B$2:$B$1001,B953-1),0)))</f>
        <v/>
      </c>
      <c r="N953" s="25" t="str">
        <f aca="false">IF(OR(L953="",M953=""),"",MIN(L953,M953))</f>
        <v/>
      </c>
      <c r="O953" s="25" t="str">
        <f aca="false">IF(OR(I953="",G953=""),"",I953+G953)</f>
        <v/>
      </c>
      <c r="P953" s="24" t="str">
        <f aca="false">IF(OR(O953="",O953=0),"",(J953+H953)/O953)</f>
        <v/>
      </c>
      <c r="Q953" s="24" t="str">
        <f aca="false">IF(OR(O953="",E953=""),"",MAX(J953+H953-E953*O953,0))</f>
        <v/>
      </c>
      <c r="R953" s="26" t="str">
        <f aca="false">IF(A953="","",IF(COUNTIF(_TradeIds,A953)=0,"违规：交易编号不存在",IF(OR(B953="",B953&lt;1,B953&gt;5,B953&lt;&gt;INT(B953)),"违规：加仓序号须为1到5的整数",IF(COUNTIFS($A$2:$A$1001,A953,$B$2:$B$1001,B953)&gt;1,"违规：同一交易的加仓序号重复",IF(OR(D953="",E953="",F953=""),"计划不完整：请填写加仓价、新止损价和风险预算",IF(OR(D953&lt;=0,E953&lt;=0,F953&lt;=0,D953&lt;=E953),"违规：加仓价必须高于新止损价，金额须大于0",IF(AND(B953&gt;1,COUNTIFS($A$2:$A$1001,A953,$B$2:$B$1001,B953-1,$G$2:$G$1001,"&gt;0")=0),"违规：须先完成上一次加仓",IF(AND(B953&gt;1,E953&lt;SUMIFS($E$2:$E$1001,$A$2:$A$1001,A953,$B$2:$B$1001,B953-1)),"违规：新止损价不得低于上一次",IF(AND(B953&gt;1,F953&gt;SUMIFS($F$2:$F$1001,$A$2:$A$1001,A953,$B$2:$B$1001,B953-1)),"违规：风险预算须逐次不增加",IF(OR(_LockStatus="已锁仓",_LockStatus="解锁信息不完整"),"违规：锁仓期间禁止加仓",IF(G953="","计划可执行：建议股数见N列",IF(OR(G953&lt;=0,G953&lt;&gt;INT(G953),MOD(G953,100)&lt;&gt;0),"违规：实际股数须为100股整数倍",IF(G953&gt;N953,"违规：实际股数超过风险或金字塔上限",IF(AND(B953&gt;1,G953&gt;SUMIFS($G$2:$G$1001,$A$2:$A$1001,A953,$B$2:$B$1001,B953-1)),"违规：加仓股数须逐次不增加",IF(Q953&gt;F953,"违规：止损风险超过本次预算","通过")))))))))))))))</f>
        <v/>
      </c>
    </row>
    <row r="954" customFormat="false" ht="15" hidden="false" customHeight="false" outlineLevel="0" collapsed="false">
      <c r="A954" s="20"/>
      <c r="B954" s="21"/>
      <c r="C954" s="22"/>
      <c r="D954" s="23"/>
      <c r="E954" s="23"/>
      <c r="F954" s="23"/>
      <c r="G954" s="21"/>
      <c r="H954" s="24" t="str">
        <f aca="false">IF(OR(A954="",D954="",G954=""),"",D954*G954)</f>
        <v/>
      </c>
      <c r="I954" s="25" t="str">
        <f aca="false">IF(OR(A954="",B954=""),"",IFERROR(LOOKUP(2,1/(单次交易!$A$2:$A$201=A954),单次交易!$H$2:$H$201),0)+SUMIFS($G$2:$G$1001,$A$2:$A$1001,A954,$B$2:$B$1001,"&lt;"&amp;B954))</f>
        <v/>
      </c>
      <c r="J954" s="24" t="str">
        <f aca="false">IF(OR(A954="",B954=""),"",IFERROR(LOOKUP(2,1/(单次交易!$A$2:$A$201=A954),单次交易!$E$2:$E$201)*LOOKUP(2,1/(单次交易!$A$2:$A$201=A954),单次交易!$H$2:$H$201),0)+SUMIFS($H$2:$H$1001,$A$2:$A$1001,A954,$B$2:$B$1001,"&lt;"&amp;B954))</f>
        <v/>
      </c>
      <c r="K954" s="24" t="str">
        <f aca="false">IF(OR(E954="",I954="",J954=""),"",MAX(E954*I954-J954,0))</f>
        <v/>
      </c>
      <c r="L954" s="25" t="str">
        <f aca="false">IF(OR(D954="",E954="",F954="",D954&lt;=E954),"",FLOOR((F954+K954)/(D954-E954),100))</f>
        <v/>
      </c>
      <c r="M954" s="25" t="str">
        <f aca="false">IF(OR(A954="",B954="",L954=""),"",IF(B954=1,L954,IFERROR(SUMIFS($G$2:$G$1001,$A$2:$A$1001,A954,$B$2:$B$1001,B954-1),0)))</f>
        <v/>
      </c>
      <c r="N954" s="25" t="str">
        <f aca="false">IF(OR(L954="",M954=""),"",MIN(L954,M954))</f>
        <v/>
      </c>
      <c r="O954" s="25" t="str">
        <f aca="false">IF(OR(I954="",G954=""),"",I954+G954)</f>
        <v/>
      </c>
      <c r="P954" s="24" t="str">
        <f aca="false">IF(OR(O954="",O954=0),"",(J954+H954)/O954)</f>
        <v/>
      </c>
      <c r="Q954" s="24" t="str">
        <f aca="false">IF(OR(O954="",E954=""),"",MAX(J954+H954-E954*O954,0))</f>
        <v/>
      </c>
      <c r="R954" s="26" t="str">
        <f aca="false">IF(A954="","",IF(COUNTIF(_TradeIds,A954)=0,"违规：交易编号不存在",IF(OR(B954="",B954&lt;1,B954&gt;5,B954&lt;&gt;INT(B954)),"违规：加仓序号须为1到5的整数",IF(COUNTIFS($A$2:$A$1001,A954,$B$2:$B$1001,B954)&gt;1,"违规：同一交易的加仓序号重复",IF(OR(D954="",E954="",F954=""),"计划不完整：请填写加仓价、新止损价和风险预算",IF(OR(D954&lt;=0,E954&lt;=0,F954&lt;=0,D954&lt;=E954),"违规：加仓价必须高于新止损价，金额须大于0",IF(AND(B954&gt;1,COUNTIFS($A$2:$A$1001,A954,$B$2:$B$1001,B954-1,$G$2:$G$1001,"&gt;0")=0),"违规：须先完成上一次加仓",IF(AND(B954&gt;1,E954&lt;SUMIFS($E$2:$E$1001,$A$2:$A$1001,A954,$B$2:$B$1001,B954-1)),"违规：新止损价不得低于上一次",IF(AND(B954&gt;1,F954&gt;SUMIFS($F$2:$F$1001,$A$2:$A$1001,A954,$B$2:$B$1001,B954-1)),"违规：风险预算须逐次不增加",IF(OR(_LockStatus="已锁仓",_LockStatus="解锁信息不完整"),"违规：锁仓期间禁止加仓",IF(G954="","计划可执行：建议股数见N列",IF(OR(G954&lt;=0,G954&lt;&gt;INT(G954),MOD(G954,100)&lt;&gt;0),"违规：实际股数须为100股整数倍",IF(G954&gt;N954,"违规：实际股数超过风险或金字塔上限",IF(AND(B954&gt;1,G954&gt;SUMIFS($G$2:$G$1001,$A$2:$A$1001,A954,$B$2:$B$1001,B954-1)),"违规：加仓股数须逐次不增加",IF(Q954&gt;F954,"违规：止损风险超过本次预算","通过")))))))))))))))</f>
        <v/>
      </c>
    </row>
    <row r="955" customFormat="false" ht="15" hidden="false" customHeight="false" outlineLevel="0" collapsed="false">
      <c r="A955" s="20"/>
      <c r="B955" s="21"/>
      <c r="C955" s="22"/>
      <c r="D955" s="23"/>
      <c r="E955" s="23"/>
      <c r="F955" s="23"/>
      <c r="G955" s="21"/>
      <c r="H955" s="24" t="str">
        <f aca="false">IF(OR(A955="",D955="",G955=""),"",D955*G955)</f>
        <v/>
      </c>
      <c r="I955" s="25" t="str">
        <f aca="false">IF(OR(A955="",B955=""),"",IFERROR(LOOKUP(2,1/(单次交易!$A$2:$A$201=A955),单次交易!$H$2:$H$201),0)+SUMIFS($G$2:$G$1001,$A$2:$A$1001,A955,$B$2:$B$1001,"&lt;"&amp;B955))</f>
        <v/>
      </c>
      <c r="J955" s="24" t="str">
        <f aca="false">IF(OR(A955="",B955=""),"",IFERROR(LOOKUP(2,1/(单次交易!$A$2:$A$201=A955),单次交易!$E$2:$E$201)*LOOKUP(2,1/(单次交易!$A$2:$A$201=A955),单次交易!$H$2:$H$201),0)+SUMIFS($H$2:$H$1001,$A$2:$A$1001,A955,$B$2:$B$1001,"&lt;"&amp;B955))</f>
        <v/>
      </c>
      <c r="K955" s="24" t="str">
        <f aca="false">IF(OR(E955="",I955="",J955=""),"",MAX(E955*I955-J955,0))</f>
        <v/>
      </c>
      <c r="L955" s="25" t="str">
        <f aca="false">IF(OR(D955="",E955="",F955="",D955&lt;=E955),"",FLOOR((F955+K955)/(D955-E955),100))</f>
        <v/>
      </c>
      <c r="M955" s="25" t="str">
        <f aca="false">IF(OR(A955="",B955="",L955=""),"",IF(B955=1,L955,IFERROR(SUMIFS($G$2:$G$1001,$A$2:$A$1001,A955,$B$2:$B$1001,B955-1),0)))</f>
        <v/>
      </c>
      <c r="N955" s="25" t="str">
        <f aca="false">IF(OR(L955="",M955=""),"",MIN(L955,M955))</f>
        <v/>
      </c>
      <c r="O955" s="25" t="str">
        <f aca="false">IF(OR(I955="",G955=""),"",I955+G955)</f>
        <v/>
      </c>
      <c r="P955" s="24" t="str">
        <f aca="false">IF(OR(O955="",O955=0),"",(J955+H955)/O955)</f>
        <v/>
      </c>
      <c r="Q955" s="24" t="str">
        <f aca="false">IF(OR(O955="",E955=""),"",MAX(J955+H955-E955*O955,0))</f>
        <v/>
      </c>
      <c r="R955" s="26" t="str">
        <f aca="false">IF(A955="","",IF(COUNTIF(_TradeIds,A955)=0,"违规：交易编号不存在",IF(OR(B955="",B955&lt;1,B955&gt;5,B955&lt;&gt;INT(B955)),"违规：加仓序号须为1到5的整数",IF(COUNTIFS($A$2:$A$1001,A955,$B$2:$B$1001,B955)&gt;1,"违规：同一交易的加仓序号重复",IF(OR(D955="",E955="",F955=""),"计划不完整：请填写加仓价、新止损价和风险预算",IF(OR(D955&lt;=0,E955&lt;=0,F955&lt;=0,D955&lt;=E955),"违规：加仓价必须高于新止损价，金额须大于0",IF(AND(B955&gt;1,COUNTIFS($A$2:$A$1001,A955,$B$2:$B$1001,B955-1,$G$2:$G$1001,"&gt;0")=0),"违规：须先完成上一次加仓",IF(AND(B955&gt;1,E955&lt;SUMIFS($E$2:$E$1001,$A$2:$A$1001,A955,$B$2:$B$1001,B955-1)),"违规：新止损价不得低于上一次",IF(AND(B955&gt;1,F955&gt;SUMIFS($F$2:$F$1001,$A$2:$A$1001,A955,$B$2:$B$1001,B955-1)),"违规：风险预算须逐次不增加",IF(OR(_LockStatus="已锁仓",_LockStatus="解锁信息不完整"),"违规：锁仓期间禁止加仓",IF(G955="","计划可执行：建议股数见N列",IF(OR(G955&lt;=0,G955&lt;&gt;INT(G955),MOD(G955,100)&lt;&gt;0),"违规：实际股数须为100股整数倍",IF(G955&gt;N955,"违规：实际股数超过风险或金字塔上限",IF(AND(B955&gt;1,G955&gt;SUMIFS($G$2:$G$1001,$A$2:$A$1001,A955,$B$2:$B$1001,B955-1)),"违规：加仓股数须逐次不增加",IF(Q955&gt;F955,"违规：止损风险超过本次预算","通过")))))))))))))))</f>
        <v/>
      </c>
    </row>
    <row r="956" customFormat="false" ht="15" hidden="false" customHeight="false" outlineLevel="0" collapsed="false">
      <c r="A956" s="20"/>
      <c r="B956" s="21"/>
      <c r="C956" s="22"/>
      <c r="D956" s="23"/>
      <c r="E956" s="23"/>
      <c r="F956" s="23"/>
      <c r="G956" s="21"/>
      <c r="H956" s="24" t="str">
        <f aca="false">IF(OR(A956="",D956="",G956=""),"",D956*G956)</f>
        <v/>
      </c>
      <c r="I956" s="25" t="str">
        <f aca="false">IF(OR(A956="",B956=""),"",IFERROR(LOOKUP(2,1/(单次交易!$A$2:$A$201=A956),单次交易!$H$2:$H$201),0)+SUMIFS($G$2:$G$1001,$A$2:$A$1001,A956,$B$2:$B$1001,"&lt;"&amp;B956))</f>
        <v/>
      </c>
      <c r="J956" s="24" t="str">
        <f aca="false">IF(OR(A956="",B956=""),"",IFERROR(LOOKUP(2,1/(单次交易!$A$2:$A$201=A956),单次交易!$E$2:$E$201)*LOOKUP(2,1/(单次交易!$A$2:$A$201=A956),单次交易!$H$2:$H$201),0)+SUMIFS($H$2:$H$1001,$A$2:$A$1001,A956,$B$2:$B$1001,"&lt;"&amp;B956))</f>
        <v/>
      </c>
      <c r="K956" s="24" t="str">
        <f aca="false">IF(OR(E956="",I956="",J956=""),"",MAX(E956*I956-J956,0))</f>
        <v/>
      </c>
      <c r="L956" s="25" t="str">
        <f aca="false">IF(OR(D956="",E956="",F956="",D956&lt;=E956),"",FLOOR((F956+K956)/(D956-E956),100))</f>
        <v/>
      </c>
      <c r="M956" s="25" t="str">
        <f aca="false">IF(OR(A956="",B956="",L956=""),"",IF(B956=1,L956,IFERROR(SUMIFS($G$2:$G$1001,$A$2:$A$1001,A956,$B$2:$B$1001,B956-1),0)))</f>
        <v/>
      </c>
      <c r="N956" s="25" t="str">
        <f aca="false">IF(OR(L956="",M956=""),"",MIN(L956,M956))</f>
        <v/>
      </c>
      <c r="O956" s="25" t="str">
        <f aca="false">IF(OR(I956="",G956=""),"",I956+G956)</f>
        <v/>
      </c>
      <c r="P956" s="24" t="str">
        <f aca="false">IF(OR(O956="",O956=0),"",(J956+H956)/O956)</f>
        <v/>
      </c>
      <c r="Q956" s="24" t="str">
        <f aca="false">IF(OR(O956="",E956=""),"",MAX(J956+H956-E956*O956,0))</f>
        <v/>
      </c>
      <c r="R956" s="26" t="str">
        <f aca="false">IF(A956="","",IF(COUNTIF(_TradeIds,A956)=0,"违规：交易编号不存在",IF(OR(B956="",B956&lt;1,B956&gt;5,B956&lt;&gt;INT(B956)),"违规：加仓序号须为1到5的整数",IF(COUNTIFS($A$2:$A$1001,A956,$B$2:$B$1001,B956)&gt;1,"违规：同一交易的加仓序号重复",IF(OR(D956="",E956="",F956=""),"计划不完整：请填写加仓价、新止损价和风险预算",IF(OR(D956&lt;=0,E956&lt;=0,F956&lt;=0,D956&lt;=E956),"违规：加仓价必须高于新止损价，金额须大于0",IF(AND(B956&gt;1,COUNTIFS($A$2:$A$1001,A956,$B$2:$B$1001,B956-1,$G$2:$G$1001,"&gt;0")=0),"违规：须先完成上一次加仓",IF(AND(B956&gt;1,E956&lt;SUMIFS($E$2:$E$1001,$A$2:$A$1001,A956,$B$2:$B$1001,B956-1)),"违规：新止损价不得低于上一次",IF(AND(B956&gt;1,F956&gt;SUMIFS($F$2:$F$1001,$A$2:$A$1001,A956,$B$2:$B$1001,B956-1)),"违规：风险预算须逐次不增加",IF(OR(_LockStatus="已锁仓",_LockStatus="解锁信息不完整"),"违规：锁仓期间禁止加仓",IF(G956="","计划可执行：建议股数见N列",IF(OR(G956&lt;=0,G956&lt;&gt;INT(G956),MOD(G956,100)&lt;&gt;0),"违规：实际股数须为100股整数倍",IF(G956&gt;N956,"违规：实际股数超过风险或金字塔上限",IF(AND(B956&gt;1,G956&gt;SUMIFS($G$2:$G$1001,$A$2:$A$1001,A956,$B$2:$B$1001,B956-1)),"违规：加仓股数须逐次不增加",IF(Q956&gt;F956,"违规：止损风险超过本次预算","通过")))))))))))))))</f>
        <v/>
      </c>
    </row>
    <row r="957" customFormat="false" ht="15" hidden="false" customHeight="false" outlineLevel="0" collapsed="false">
      <c r="A957" s="20"/>
      <c r="B957" s="21"/>
      <c r="C957" s="22"/>
      <c r="D957" s="23"/>
      <c r="E957" s="23"/>
      <c r="F957" s="23"/>
      <c r="G957" s="21"/>
      <c r="H957" s="24" t="str">
        <f aca="false">IF(OR(A957="",D957="",G957=""),"",D957*G957)</f>
        <v/>
      </c>
      <c r="I957" s="25" t="str">
        <f aca="false">IF(OR(A957="",B957=""),"",IFERROR(LOOKUP(2,1/(单次交易!$A$2:$A$201=A957),单次交易!$H$2:$H$201),0)+SUMIFS($G$2:$G$1001,$A$2:$A$1001,A957,$B$2:$B$1001,"&lt;"&amp;B957))</f>
        <v/>
      </c>
      <c r="J957" s="24" t="str">
        <f aca="false">IF(OR(A957="",B957=""),"",IFERROR(LOOKUP(2,1/(单次交易!$A$2:$A$201=A957),单次交易!$E$2:$E$201)*LOOKUP(2,1/(单次交易!$A$2:$A$201=A957),单次交易!$H$2:$H$201),0)+SUMIFS($H$2:$H$1001,$A$2:$A$1001,A957,$B$2:$B$1001,"&lt;"&amp;B957))</f>
        <v/>
      </c>
      <c r="K957" s="24" t="str">
        <f aca="false">IF(OR(E957="",I957="",J957=""),"",MAX(E957*I957-J957,0))</f>
        <v/>
      </c>
      <c r="L957" s="25" t="str">
        <f aca="false">IF(OR(D957="",E957="",F957="",D957&lt;=E957),"",FLOOR((F957+K957)/(D957-E957),100))</f>
        <v/>
      </c>
      <c r="M957" s="25" t="str">
        <f aca="false">IF(OR(A957="",B957="",L957=""),"",IF(B957=1,L957,IFERROR(SUMIFS($G$2:$G$1001,$A$2:$A$1001,A957,$B$2:$B$1001,B957-1),0)))</f>
        <v/>
      </c>
      <c r="N957" s="25" t="str">
        <f aca="false">IF(OR(L957="",M957=""),"",MIN(L957,M957))</f>
        <v/>
      </c>
      <c r="O957" s="25" t="str">
        <f aca="false">IF(OR(I957="",G957=""),"",I957+G957)</f>
        <v/>
      </c>
      <c r="P957" s="24" t="str">
        <f aca="false">IF(OR(O957="",O957=0),"",(J957+H957)/O957)</f>
        <v/>
      </c>
      <c r="Q957" s="24" t="str">
        <f aca="false">IF(OR(O957="",E957=""),"",MAX(J957+H957-E957*O957,0))</f>
        <v/>
      </c>
      <c r="R957" s="26" t="str">
        <f aca="false">IF(A957="","",IF(COUNTIF(_TradeIds,A957)=0,"违规：交易编号不存在",IF(OR(B957="",B957&lt;1,B957&gt;5,B957&lt;&gt;INT(B957)),"违规：加仓序号须为1到5的整数",IF(COUNTIFS($A$2:$A$1001,A957,$B$2:$B$1001,B957)&gt;1,"违规：同一交易的加仓序号重复",IF(OR(D957="",E957="",F957=""),"计划不完整：请填写加仓价、新止损价和风险预算",IF(OR(D957&lt;=0,E957&lt;=0,F957&lt;=0,D957&lt;=E957),"违规：加仓价必须高于新止损价，金额须大于0",IF(AND(B957&gt;1,COUNTIFS($A$2:$A$1001,A957,$B$2:$B$1001,B957-1,$G$2:$G$1001,"&gt;0")=0),"违规：须先完成上一次加仓",IF(AND(B957&gt;1,E957&lt;SUMIFS($E$2:$E$1001,$A$2:$A$1001,A957,$B$2:$B$1001,B957-1)),"违规：新止损价不得低于上一次",IF(AND(B957&gt;1,F957&gt;SUMIFS($F$2:$F$1001,$A$2:$A$1001,A957,$B$2:$B$1001,B957-1)),"违规：风险预算须逐次不增加",IF(OR(_LockStatus="已锁仓",_LockStatus="解锁信息不完整"),"违规：锁仓期间禁止加仓",IF(G957="","计划可执行：建议股数见N列",IF(OR(G957&lt;=0,G957&lt;&gt;INT(G957),MOD(G957,100)&lt;&gt;0),"违规：实际股数须为100股整数倍",IF(G957&gt;N957,"违规：实际股数超过风险或金字塔上限",IF(AND(B957&gt;1,G957&gt;SUMIFS($G$2:$G$1001,$A$2:$A$1001,A957,$B$2:$B$1001,B957-1)),"违规：加仓股数须逐次不增加",IF(Q957&gt;F957,"违规：止损风险超过本次预算","通过")))))))))))))))</f>
        <v/>
      </c>
    </row>
    <row r="958" customFormat="false" ht="15" hidden="false" customHeight="false" outlineLevel="0" collapsed="false">
      <c r="A958" s="20"/>
      <c r="B958" s="21"/>
      <c r="C958" s="22"/>
      <c r="D958" s="23"/>
      <c r="E958" s="23"/>
      <c r="F958" s="23"/>
      <c r="G958" s="21"/>
      <c r="H958" s="24" t="str">
        <f aca="false">IF(OR(A958="",D958="",G958=""),"",D958*G958)</f>
        <v/>
      </c>
      <c r="I958" s="25" t="str">
        <f aca="false">IF(OR(A958="",B958=""),"",IFERROR(LOOKUP(2,1/(单次交易!$A$2:$A$201=A958),单次交易!$H$2:$H$201),0)+SUMIFS($G$2:$G$1001,$A$2:$A$1001,A958,$B$2:$B$1001,"&lt;"&amp;B958))</f>
        <v/>
      </c>
      <c r="J958" s="24" t="str">
        <f aca="false">IF(OR(A958="",B958=""),"",IFERROR(LOOKUP(2,1/(单次交易!$A$2:$A$201=A958),单次交易!$E$2:$E$201)*LOOKUP(2,1/(单次交易!$A$2:$A$201=A958),单次交易!$H$2:$H$201),0)+SUMIFS($H$2:$H$1001,$A$2:$A$1001,A958,$B$2:$B$1001,"&lt;"&amp;B958))</f>
        <v/>
      </c>
      <c r="K958" s="24" t="str">
        <f aca="false">IF(OR(E958="",I958="",J958=""),"",MAX(E958*I958-J958,0))</f>
        <v/>
      </c>
      <c r="L958" s="25" t="str">
        <f aca="false">IF(OR(D958="",E958="",F958="",D958&lt;=E958),"",FLOOR((F958+K958)/(D958-E958),100))</f>
        <v/>
      </c>
      <c r="M958" s="25" t="str">
        <f aca="false">IF(OR(A958="",B958="",L958=""),"",IF(B958=1,L958,IFERROR(SUMIFS($G$2:$G$1001,$A$2:$A$1001,A958,$B$2:$B$1001,B958-1),0)))</f>
        <v/>
      </c>
      <c r="N958" s="25" t="str">
        <f aca="false">IF(OR(L958="",M958=""),"",MIN(L958,M958))</f>
        <v/>
      </c>
      <c r="O958" s="25" t="str">
        <f aca="false">IF(OR(I958="",G958=""),"",I958+G958)</f>
        <v/>
      </c>
      <c r="P958" s="24" t="str">
        <f aca="false">IF(OR(O958="",O958=0),"",(J958+H958)/O958)</f>
        <v/>
      </c>
      <c r="Q958" s="24" t="str">
        <f aca="false">IF(OR(O958="",E958=""),"",MAX(J958+H958-E958*O958,0))</f>
        <v/>
      </c>
      <c r="R958" s="26" t="str">
        <f aca="false">IF(A958="","",IF(COUNTIF(_TradeIds,A958)=0,"违规：交易编号不存在",IF(OR(B958="",B958&lt;1,B958&gt;5,B958&lt;&gt;INT(B958)),"违规：加仓序号须为1到5的整数",IF(COUNTIFS($A$2:$A$1001,A958,$B$2:$B$1001,B958)&gt;1,"违规：同一交易的加仓序号重复",IF(OR(D958="",E958="",F958=""),"计划不完整：请填写加仓价、新止损价和风险预算",IF(OR(D958&lt;=0,E958&lt;=0,F958&lt;=0,D958&lt;=E958),"违规：加仓价必须高于新止损价，金额须大于0",IF(AND(B958&gt;1,COUNTIFS($A$2:$A$1001,A958,$B$2:$B$1001,B958-1,$G$2:$G$1001,"&gt;0")=0),"违规：须先完成上一次加仓",IF(AND(B958&gt;1,E958&lt;SUMIFS($E$2:$E$1001,$A$2:$A$1001,A958,$B$2:$B$1001,B958-1)),"违规：新止损价不得低于上一次",IF(AND(B958&gt;1,F958&gt;SUMIFS($F$2:$F$1001,$A$2:$A$1001,A958,$B$2:$B$1001,B958-1)),"违规：风险预算须逐次不增加",IF(OR(_LockStatus="已锁仓",_LockStatus="解锁信息不完整"),"违规：锁仓期间禁止加仓",IF(G958="","计划可执行：建议股数见N列",IF(OR(G958&lt;=0,G958&lt;&gt;INT(G958),MOD(G958,100)&lt;&gt;0),"违规：实际股数须为100股整数倍",IF(G958&gt;N958,"违规：实际股数超过风险或金字塔上限",IF(AND(B958&gt;1,G958&gt;SUMIFS($G$2:$G$1001,$A$2:$A$1001,A958,$B$2:$B$1001,B958-1)),"违规：加仓股数须逐次不增加",IF(Q958&gt;F958,"违规：止损风险超过本次预算","通过")))))))))))))))</f>
        <v/>
      </c>
    </row>
    <row r="959" customFormat="false" ht="15" hidden="false" customHeight="false" outlineLevel="0" collapsed="false">
      <c r="A959" s="20"/>
      <c r="B959" s="21"/>
      <c r="C959" s="22"/>
      <c r="D959" s="23"/>
      <c r="E959" s="23"/>
      <c r="F959" s="23"/>
      <c r="G959" s="21"/>
      <c r="H959" s="24" t="str">
        <f aca="false">IF(OR(A959="",D959="",G959=""),"",D959*G959)</f>
        <v/>
      </c>
      <c r="I959" s="25" t="str">
        <f aca="false">IF(OR(A959="",B959=""),"",IFERROR(LOOKUP(2,1/(单次交易!$A$2:$A$201=A959),单次交易!$H$2:$H$201),0)+SUMIFS($G$2:$G$1001,$A$2:$A$1001,A959,$B$2:$B$1001,"&lt;"&amp;B959))</f>
        <v/>
      </c>
      <c r="J959" s="24" t="str">
        <f aca="false">IF(OR(A959="",B959=""),"",IFERROR(LOOKUP(2,1/(单次交易!$A$2:$A$201=A959),单次交易!$E$2:$E$201)*LOOKUP(2,1/(单次交易!$A$2:$A$201=A959),单次交易!$H$2:$H$201),0)+SUMIFS($H$2:$H$1001,$A$2:$A$1001,A959,$B$2:$B$1001,"&lt;"&amp;B959))</f>
        <v/>
      </c>
      <c r="K959" s="24" t="str">
        <f aca="false">IF(OR(E959="",I959="",J959=""),"",MAX(E959*I959-J959,0))</f>
        <v/>
      </c>
      <c r="L959" s="25" t="str">
        <f aca="false">IF(OR(D959="",E959="",F959="",D959&lt;=E959),"",FLOOR((F959+K959)/(D959-E959),100))</f>
        <v/>
      </c>
      <c r="M959" s="25" t="str">
        <f aca="false">IF(OR(A959="",B959="",L959=""),"",IF(B959=1,L959,IFERROR(SUMIFS($G$2:$G$1001,$A$2:$A$1001,A959,$B$2:$B$1001,B959-1),0)))</f>
        <v/>
      </c>
      <c r="N959" s="25" t="str">
        <f aca="false">IF(OR(L959="",M959=""),"",MIN(L959,M959))</f>
        <v/>
      </c>
      <c r="O959" s="25" t="str">
        <f aca="false">IF(OR(I959="",G959=""),"",I959+G959)</f>
        <v/>
      </c>
      <c r="P959" s="24" t="str">
        <f aca="false">IF(OR(O959="",O959=0),"",(J959+H959)/O959)</f>
        <v/>
      </c>
      <c r="Q959" s="24" t="str">
        <f aca="false">IF(OR(O959="",E959=""),"",MAX(J959+H959-E959*O959,0))</f>
        <v/>
      </c>
      <c r="R959" s="26" t="str">
        <f aca="false">IF(A959="","",IF(COUNTIF(_TradeIds,A959)=0,"违规：交易编号不存在",IF(OR(B959="",B959&lt;1,B959&gt;5,B959&lt;&gt;INT(B959)),"违规：加仓序号须为1到5的整数",IF(COUNTIFS($A$2:$A$1001,A959,$B$2:$B$1001,B959)&gt;1,"违规：同一交易的加仓序号重复",IF(OR(D959="",E959="",F959=""),"计划不完整：请填写加仓价、新止损价和风险预算",IF(OR(D959&lt;=0,E959&lt;=0,F959&lt;=0,D959&lt;=E959),"违规：加仓价必须高于新止损价，金额须大于0",IF(AND(B959&gt;1,COUNTIFS($A$2:$A$1001,A959,$B$2:$B$1001,B959-1,$G$2:$G$1001,"&gt;0")=0),"违规：须先完成上一次加仓",IF(AND(B959&gt;1,E959&lt;SUMIFS($E$2:$E$1001,$A$2:$A$1001,A959,$B$2:$B$1001,B959-1)),"违规：新止损价不得低于上一次",IF(AND(B959&gt;1,F959&gt;SUMIFS($F$2:$F$1001,$A$2:$A$1001,A959,$B$2:$B$1001,B959-1)),"违规：风险预算须逐次不增加",IF(OR(_LockStatus="已锁仓",_LockStatus="解锁信息不完整"),"违规：锁仓期间禁止加仓",IF(G959="","计划可执行：建议股数见N列",IF(OR(G959&lt;=0,G959&lt;&gt;INT(G959),MOD(G959,100)&lt;&gt;0),"违规：实际股数须为100股整数倍",IF(G959&gt;N959,"违规：实际股数超过风险或金字塔上限",IF(AND(B959&gt;1,G959&gt;SUMIFS($G$2:$G$1001,$A$2:$A$1001,A959,$B$2:$B$1001,B959-1)),"违规：加仓股数须逐次不增加",IF(Q959&gt;F959,"违规：止损风险超过本次预算","通过")))))))))))))))</f>
        <v/>
      </c>
    </row>
    <row r="960" customFormat="false" ht="15" hidden="false" customHeight="false" outlineLevel="0" collapsed="false">
      <c r="A960" s="20"/>
      <c r="B960" s="21"/>
      <c r="C960" s="22"/>
      <c r="D960" s="23"/>
      <c r="E960" s="23"/>
      <c r="F960" s="23"/>
      <c r="G960" s="21"/>
      <c r="H960" s="24" t="str">
        <f aca="false">IF(OR(A960="",D960="",G960=""),"",D960*G960)</f>
        <v/>
      </c>
      <c r="I960" s="25" t="str">
        <f aca="false">IF(OR(A960="",B960=""),"",IFERROR(LOOKUP(2,1/(单次交易!$A$2:$A$201=A960),单次交易!$H$2:$H$201),0)+SUMIFS($G$2:$G$1001,$A$2:$A$1001,A960,$B$2:$B$1001,"&lt;"&amp;B960))</f>
        <v/>
      </c>
      <c r="J960" s="24" t="str">
        <f aca="false">IF(OR(A960="",B960=""),"",IFERROR(LOOKUP(2,1/(单次交易!$A$2:$A$201=A960),单次交易!$E$2:$E$201)*LOOKUP(2,1/(单次交易!$A$2:$A$201=A960),单次交易!$H$2:$H$201),0)+SUMIFS($H$2:$H$1001,$A$2:$A$1001,A960,$B$2:$B$1001,"&lt;"&amp;B960))</f>
        <v/>
      </c>
      <c r="K960" s="24" t="str">
        <f aca="false">IF(OR(E960="",I960="",J960=""),"",MAX(E960*I960-J960,0))</f>
        <v/>
      </c>
      <c r="L960" s="25" t="str">
        <f aca="false">IF(OR(D960="",E960="",F960="",D960&lt;=E960),"",FLOOR((F960+K960)/(D960-E960),100))</f>
        <v/>
      </c>
      <c r="M960" s="25" t="str">
        <f aca="false">IF(OR(A960="",B960="",L960=""),"",IF(B960=1,L960,IFERROR(SUMIFS($G$2:$G$1001,$A$2:$A$1001,A960,$B$2:$B$1001,B960-1),0)))</f>
        <v/>
      </c>
      <c r="N960" s="25" t="str">
        <f aca="false">IF(OR(L960="",M960=""),"",MIN(L960,M960))</f>
        <v/>
      </c>
      <c r="O960" s="25" t="str">
        <f aca="false">IF(OR(I960="",G960=""),"",I960+G960)</f>
        <v/>
      </c>
      <c r="P960" s="24" t="str">
        <f aca="false">IF(OR(O960="",O960=0),"",(J960+H960)/O960)</f>
        <v/>
      </c>
      <c r="Q960" s="24" t="str">
        <f aca="false">IF(OR(O960="",E960=""),"",MAX(J960+H960-E960*O960,0))</f>
        <v/>
      </c>
      <c r="R960" s="26" t="str">
        <f aca="false">IF(A960="","",IF(COUNTIF(_TradeIds,A960)=0,"违规：交易编号不存在",IF(OR(B960="",B960&lt;1,B960&gt;5,B960&lt;&gt;INT(B960)),"违规：加仓序号须为1到5的整数",IF(COUNTIFS($A$2:$A$1001,A960,$B$2:$B$1001,B960)&gt;1,"违规：同一交易的加仓序号重复",IF(OR(D960="",E960="",F960=""),"计划不完整：请填写加仓价、新止损价和风险预算",IF(OR(D960&lt;=0,E960&lt;=0,F960&lt;=0,D960&lt;=E960),"违规：加仓价必须高于新止损价，金额须大于0",IF(AND(B960&gt;1,COUNTIFS($A$2:$A$1001,A960,$B$2:$B$1001,B960-1,$G$2:$G$1001,"&gt;0")=0),"违规：须先完成上一次加仓",IF(AND(B960&gt;1,E960&lt;SUMIFS($E$2:$E$1001,$A$2:$A$1001,A960,$B$2:$B$1001,B960-1)),"违规：新止损价不得低于上一次",IF(AND(B960&gt;1,F960&gt;SUMIFS($F$2:$F$1001,$A$2:$A$1001,A960,$B$2:$B$1001,B960-1)),"违规：风险预算须逐次不增加",IF(OR(_LockStatus="已锁仓",_LockStatus="解锁信息不完整"),"违规：锁仓期间禁止加仓",IF(G960="","计划可执行：建议股数见N列",IF(OR(G960&lt;=0,G960&lt;&gt;INT(G960),MOD(G960,100)&lt;&gt;0),"违规：实际股数须为100股整数倍",IF(G960&gt;N960,"违规：实际股数超过风险或金字塔上限",IF(AND(B960&gt;1,G960&gt;SUMIFS($G$2:$G$1001,$A$2:$A$1001,A960,$B$2:$B$1001,B960-1)),"违规：加仓股数须逐次不增加",IF(Q960&gt;F960,"违规：止损风险超过本次预算","通过")))))))))))))))</f>
        <v/>
      </c>
    </row>
    <row r="961" customFormat="false" ht="15" hidden="false" customHeight="false" outlineLevel="0" collapsed="false">
      <c r="A961" s="20"/>
      <c r="B961" s="21"/>
      <c r="C961" s="22"/>
      <c r="D961" s="23"/>
      <c r="E961" s="23"/>
      <c r="F961" s="23"/>
      <c r="G961" s="21"/>
      <c r="H961" s="24" t="str">
        <f aca="false">IF(OR(A961="",D961="",G961=""),"",D961*G961)</f>
        <v/>
      </c>
      <c r="I961" s="25" t="str">
        <f aca="false">IF(OR(A961="",B961=""),"",IFERROR(LOOKUP(2,1/(单次交易!$A$2:$A$201=A961),单次交易!$H$2:$H$201),0)+SUMIFS($G$2:$G$1001,$A$2:$A$1001,A961,$B$2:$B$1001,"&lt;"&amp;B961))</f>
        <v/>
      </c>
      <c r="J961" s="24" t="str">
        <f aca="false">IF(OR(A961="",B961=""),"",IFERROR(LOOKUP(2,1/(单次交易!$A$2:$A$201=A961),单次交易!$E$2:$E$201)*LOOKUP(2,1/(单次交易!$A$2:$A$201=A961),单次交易!$H$2:$H$201),0)+SUMIFS($H$2:$H$1001,$A$2:$A$1001,A961,$B$2:$B$1001,"&lt;"&amp;B961))</f>
        <v/>
      </c>
      <c r="K961" s="24" t="str">
        <f aca="false">IF(OR(E961="",I961="",J961=""),"",MAX(E961*I961-J961,0))</f>
        <v/>
      </c>
      <c r="L961" s="25" t="str">
        <f aca="false">IF(OR(D961="",E961="",F961="",D961&lt;=E961),"",FLOOR((F961+K961)/(D961-E961),100))</f>
        <v/>
      </c>
      <c r="M961" s="25" t="str">
        <f aca="false">IF(OR(A961="",B961="",L961=""),"",IF(B961=1,L961,IFERROR(SUMIFS($G$2:$G$1001,$A$2:$A$1001,A961,$B$2:$B$1001,B961-1),0)))</f>
        <v/>
      </c>
      <c r="N961" s="25" t="str">
        <f aca="false">IF(OR(L961="",M961=""),"",MIN(L961,M961))</f>
        <v/>
      </c>
      <c r="O961" s="25" t="str">
        <f aca="false">IF(OR(I961="",G961=""),"",I961+G961)</f>
        <v/>
      </c>
      <c r="P961" s="24" t="str">
        <f aca="false">IF(OR(O961="",O961=0),"",(J961+H961)/O961)</f>
        <v/>
      </c>
      <c r="Q961" s="24" t="str">
        <f aca="false">IF(OR(O961="",E961=""),"",MAX(J961+H961-E961*O961,0))</f>
        <v/>
      </c>
      <c r="R961" s="26" t="str">
        <f aca="false">IF(A961="","",IF(COUNTIF(_TradeIds,A961)=0,"违规：交易编号不存在",IF(OR(B961="",B961&lt;1,B961&gt;5,B961&lt;&gt;INT(B961)),"违规：加仓序号须为1到5的整数",IF(COUNTIFS($A$2:$A$1001,A961,$B$2:$B$1001,B961)&gt;1,"违规：同一交易的加仓序号重复",IF(OR(D961="",E961="",F961=""),"计划不完整：请填写加仓价、新止损价和风险预算",IF(OR(D961&lt;=0,E961&lt;=0,F961&lt;=0,D961&lt;=E961),"违规：加仓价必须高于新止损价，金额须大于0",IF(AND(B961&gt;1,COUNTIFS($A$2:$A$1001,A961,$B$2:$B$1001,B961-1,$G$2:$G$1001,"&gt;0")=0),"违规：须先完成上一次加仓",IF(AND(B961&gt;1,E961&lt;SUMIFS($E$2:$E$1001,$A$2:$A$1001,A961,$B$2:$B$1001,B961-1)),"违规：新止损价不得低于上一次",IF(AND(B961&gt;1,F961&gt;SUMIFS($F$2:$F$1001,$A$2:$A$1001,A961,$B$2:$B$1001,B961-1)),"违规：风险预算须逐次不增加",IF(OR(_LockStatus="已锁仓",_LockStatus="解锁信息不完整"),"违规：锁仓期间禁止加仓",IF(G961="","计划可执行：建议股数见N列",IF(OR(G961&lt;=0,G961&lt;&gt;INT(G961),MOD(G961,100)&lt;&gt;0),"违规：实际股数须为100股整数倍",IF(G961&gt;N961,"违规：实际股数超过风险或金字塔上限",IF(AND(B961&gt;1,G961&gt;SUMIFS($G$2:$G$1001,$A$2:$A$1001,A961,$B$2:$B$1001,B961-1)),"违规：加仓股数须逐次不增加",IF(Q961&gt;F961,"违规：止损风险超过本次预算","通过")))))))))))))))</f>
        <v/>
      </c>
    </row>
    <row r="962" customFormat="false" ht="15" hidden="false" customHeight="false" outlineLevel="0" collapsed="false">
      <c r="A962" s="20"/>
      <c r="B962" s="21"/>
      <c r="C962" s="22"/>
      <c r="D962" s="23"/>
      <c r="E962" s="23"/>
      <c r="F962" s="23"/>
      <c r="G962" s="21"/>
      <c r="H962" s="24" t="str">
        <f aca="false">IF(OR(A962="",D962="",G962=""),"",D962*G962)</f>
        <v/>
      </c>
      <c r="I962" s="25" t="str">
        <f aca="false">IF(OR(A962="",B962=""),"",IFERROR(LOOKUP(2,1/(单次交易!$A$2:$A$201=A962),单次交易!$H$2:$H$201),0)+SUMIFS($G$2:$G$1001,$A$2:$A$1001,A962,$B$2:$B$1001,"&lt;"&amp;B962))</f>
        <v/>
      </c>
      <c r="J962" s="24" t="str">
        <f aca="false">IF(OR(A962="",B962=""),"",IFERROR(LOOKUP(2,1/(单次交易!$A$2:$A$201=A962),单次交易!$E$2:$E$201)*LOOKUP(2,1/(单次交易!$A$2:$A$201=A962),单次交易!$H$2:$H$201),0)+SUMIFS($H$2:$H$1001,$A$2:$A$1001,A962,$B$2:$B$1001,"&lt;"&amp;B962))</f>
        <v/>
      </c>
      <c r="K962" s="24" t="str">
        <f aca="false">IF(OR(E962="",I962="",J962=""),"",MAX(E962*I962-J962,0))</f>
        <v/>
      </c>
      <c r="L962" s="25" t="str">
        <f aca="false">IF(OR(D962="",E962="",F962="",D962&lt;=E962),"",FLOOR((F962+K962)/(D962-E962),100))</f>
        <v/>
      </c>
      <c r="M962" s="25" t="str">
        <f aca="false">IF(OR(A962="",B962="",L962=""),"",IF(B962=1,L962,IFERROR(SUMIFS($G$2:$G$1001,$A$2:$A$1001,A962,$B$2:$B$1001,B962-1),0)))</f>
        <v/>
      </c>
      <c r="N962" s="25" t="str">
        <f aca="false">IF(OR(L962="",M962=""),"",MIN(L962,M962))</f>
        <v/>
      </c>
      <c r="O962" s="25" t="str">
        <f aca="false">IF(OR(I962="",G962=""),"",I962+G962)</f>
        <v/>
      </c>
      <c r="P962" s="24" t="str">
        <f aca="false">IF(OR(O962="",O962=0),"",(J962+H962)/O962)</f>
        <v/>
      </c>
      <c r="Q962" s="24" t="str">
        <f aca="false">IF(OR(O962="",E962=""),"",MAX(J962+H962-E962*O962,0))</f>
        <v/>
      </c>
      <c r="R962" s="26" t="str">
        <f aca="false">IF(A962="","",IF(COUNTIF(_TradeIds,A962)=0,"违规：交易编号不存在",IF(OR(B962="",B962&lt;1,B962&gt;5,B962&lt;&gt;INT(B962)),"违规：加仓序号须为1到5的整数",IF(COUNTIFS($A$2:$A$1001,A962,$B$2:$B$1001,B962)&gt;1,"违规：同一交易的加仓序号重复",IF(OR(D962="",E962="",F962=""),"计划不完整：请填写加仓价、新止损价和风险预算",IF(OR(D962&lt;=0,E962&lt;=0,F962&lt;=0,D962&lt;=E962),"违规：加仓价必须高于新止损价，金额须大于0",IF(AND(B962&gt;1,COUNTIFS($A$2:$A$1001,A962,$B$2:$B$1001,B962-1,$G$2:$G$1001,"&gt;0")=0),"违规：须先完成上一次加仓",IF(AND(B962&gt;1,E962&lt;SUMIFS($E$2:$E$1001,$A$2:$A$1001,A962,$B$2:$B$1001,B962-1)),"违规：新止损价不得低于上一次",IF(AND(B962&gt;1,F962&gt;SUMIFS($F$2:$F$1001,$A$2:$A$1001,A962,$B$2:$B$1001,B962-1)),"违规：风险预算须逐次不增加",IF(OR(_LockStatus="已锁仓",_LockStatus="解锁信息不完整"),"违规：锁仓期间禁止加仓",IF(G962="","计划可执行：建议股数见N列",IF(OR(G962&lt;=0,G962&lt;&gt;INT(G962),MOD(G962,100)&lt;&gt;0),"违规：实际股数须为100股整数倍",IF(G962&gt;N962,"违规：实际股数超过风险或金字塔上限",IF(AND(B962&gt;1,G962&gt;SUMIFS($G$2:$G$1001,$A$2:$A$1001,A962,$B$2:$B$1001,B962-1)),"违规：加仓股数须逐次不增加",IF(Q962&gt;F962,"违规：止损风险超过本次预算","通过")))))))))))))))</f>
        <v/>
      </c>
    </row>
    <row r="963" customFormat="false" ht="15" hidden="false" customHeight="false" outlineLevel="0" collapsed="false">
      <c r="A963" s="20"/>
      <c r="B963" s="21"/>
      <c r="C963" s="22"/>
      <c r="D963" s="23"/>
      <c r="E963" s="23"/>
      <c r="F963" s="23"/>
      <c r="G963" s="21"/>
      <c r="H963" s="24" t="str">
        <f aca="false">IF(OR(A963="",D963="",G963=""),"",D963*G963)</f>
        <v/>
      </c>
      <c r="I963" s="25" t="str">
        <f aca="false">IF(OR(A963="",B963=""),"",IFERROR(LOOKUP(2,1/(单次交易!$A$2:$A$201=A963),单次交易!$H$2:$H$201),0)+SUMIFS($G$2:$G$1001,$A$2:$A$1001,A963,$B$2:$B$1001,"&lt;"&amp;B963))</f>
        <v/>
      </c>
      <c r="J963" s="24" t="str">
        <f aca="false">IF(OR(A963="",B963=""),"",IFERROR(LOOKUP(2,1/(单次交易!$A$2:$A$201=A963),单次交易!$E$2:$E$201)*LOOKUP(2,1/(单次交易!$A$2:$A$201=A963),单次交易!$H$2:$H$201),0)+SUMIFS($H$2:$H$1001,$A$2:$A$1001,A963,$B$2:$B$1001,"&lt;"&amp;B963))</f>
        <v/>
      </c>
      <c r="K963" s="24" t="str">
        <f aca="false">IF(OR(E963="",I963="",J963=""),"",MAX(E963*I963-J963,0))</f>
        <v/>
      </c>
      <c r="L963" s="25" t="str">
        <f aca="false">IF(OR(D963="",E963="",F963="",D963&lt;=E963),"",FLOOR((F963+K963)/(D963-E963),100))</f>
        <v/>
      </c>
      <c r="M963" s="25" t="str">
        <f aca="false">IF(OR(A963="",B963="",L963=""),"",IF(B963=1,L963,IFERROR(SUMIFS($G$2:$G$1001,$A$2:$A$1001,A963,$B$2:$B$1001,B963-1),0)))</f>
        <v/>
      </c>
      <c r="N963" s="25" t="str">
        <f aca="false">IF(OR(L963="",M963=""),"",MIN(L963,M963))</f>
        <v/>
      </c>
      <c r="O963" s="25" t="str">
        <f aca="false">IF(OR(I963="",G963=""),"",I963+G963)</f>
        <v/>
      </c>
      <c r="P963" s="24" t="str">
        <f aca="false">IF(OR(O963="",O963=0),"",(J963+H963)/O963)</f>
        <v/>
      </c>
      <c r="Q963" s="24" t="str">
        <f aca="false">IF(OR(O963="",E963=""),"",MAX(J963+H963-E963*O963,0))</f>
        <v/>
      </c>
      <c r="R963" s="26" t="str">
        <f aca="false">IF(A963="","",IF(COUNTIF(_TradeIds,A963)=0,"违规：交易编号不存在",IF(OR(B963="",B963&lt;1,B963&gt;5,B963&lt;&gt;INT(B963)),"违规：加仓序号须为1到5的整数",IF(COUNTIFS($A$2:$A$1001,A963,$B$2:$B$1001,B963)&gt;1,"违规：同一交易的加仓序号重复",IF(OR(D963="",E963="",F963=""),"计划不完整：请填写加仓价、新止损价和风险预算",IF(OR(D963&lt;=0,E963&lt;=0,F963&lt;=0,D963&lt;=E963),"违规：加仓价必须高于新止损价，金额须大于0",IF(AND(B963&gt;1,COUNTIFS($A$2:$A$1001,A963,$B$2:$B$1001,B963-1,$G$2:$G$1001,"&gt;0")=0),"违规：须先完成上一次加仓",IF(AND(B963&gt;1,E963&lt;SUMIFS($E$2:$E$1001,$A$2:$A$1001,A963,$B$2:$B$1001,B963-1)),"违规：新止损价不得低于上一次",IF(AND(B963&gt;1,F963&gt;SUMIFS($F$2:$F$1001,$A$2:$A$1001,A963,$B$2:$B$1001,B963-1)),"违规：风险预算须逐次不增加",IF(OR(_LockStatus="已锁仓",_LockStatus="解锁信息不完整"),"违规：锁仓期间禁止加仓",IF(G963="","计划可执行：建议股数见N列",IF(OR(G963&lt;=0,G963&lt;&gt;INT(G963),MOD(G963,100)&lt;&gt;0),"违规：实际股数须为100股整数倍",IF(G963&gt;N963,"违规：实际股数超过风险或金字塔上限",IF(AND(B963&gt;1,G963&gt;SUMIFS($G$2:$G$1001,$A$2:$A$1001,A963,$B$2:$B$1001,B963-1)),"违规：加仓股数须逐次不增加",IF(Q963&gt;F963,"违规：止损风险超过本次预算","通过")))))))))))))))</f>
        <v/>
      </c>
    </row>
    <row r="964" customFormat="false" ht="15" hidden="false" customHeight="false" outlineLevel="0" collapsed="false">
      <c r="A964" s="20"/>
      <c r="B964" s="21"/>
      <c r="C964" s="22"/>
      <c r="D964" s="23"/>
      <c r="E964" s="23"/>
      <c r="F964" s="23"/>
      <c r="G964" s="21"/>
      <c r="H964" s="24" t="str">
        <f aca="false">IF(OR(A964="",D964="",G964=""),"",D964*G964)</f>
        <v/>
      </c>
      <c r="I964" s="25" t="str">
        <f aca="false">IF(OR(A964="",B964=""),"",IFERROR(LOOKUP(2,1/(单次交易!$A$2:$A$201=A964),单次交易!$H$2:$H$201),0)+SUMIFS($G$2:$G$1001,$A$2:$A$1001,A964,$B$2:$B$1001,"&lt;"&amp;B964))</f>
        <v/>
      </c>
      <c r="J964" s="24" t="str">
        <f aca="false">IF(OR(A964="",B964=""),"",IFERROR(LOOKUP(2,1/(单次交易!$A$2:$A$201=A964),单次交易!$E$2:$E$201)*LOOKUP(2,1/(单次交易!$A$2:$A$201=A964),单次交易!$H$2:$H$201),0)+SUMIFS($H$2:$H$1001,$A$2:$A$1001,A964,$B$2:$B$1001,"&lt;"&amp;B964))</f>
        <v/>
      </c>
      <c r="K964" s="24" t="str">
        <f aca="false">IF(OR(E964="",I964="",J964=""),"",MAX(E964*I964-J964,0))</f>
        <v/>
      </c>
      <c r="L964" s="25" t="str">
        <f aca="false">IF(OR(D964="",E964="",F964="",D964&lt;=E964),"",FLOOR((F964+K964)/(D964-E964),100))</f>
        <v/>
      </c>
      <c r="M964" s="25" t="str">
        <f aca="false">IF(OR(A964="",B964="",L964=""),"",IF(B964=1,L964,IFERROR(SUMIFS($G$2:$G$1001,$A$2:$A$1001,A964,$B$2:$B$1001,B964-1),0)))</f>
        <v/>
      </c>
      <c r="N964" s="25" t="str">
        <f aca="false">IF(OR(L964="",M964=""),"",MIN(L964,M964))</f>
        <v/>
      </c>
      <c r="O964" s="25" t="str">
        <f aca="false">IF(OR(I964="",G964=""),"",I964+G964)</f>
        <v/>
      </c>
      <c r="P964" s="24" t="str">
        <f aca="false">IF(OR(O964="",O964=0),"",(J964+H964)/O964)</f>
        <v/>
      </c>
      <c r="Q964" s="24" t="str">
        <f aca="false">IF(OR(O964="",E964=""),"",MAX(J964+H964-E964*O964,0))</f>
        <v/>
      </c>
      <c r="R964" s="26" t="str">
        <f aca="false">IF(A964="","",IF(COUNTIF(_TradeIds,A964)=0,"违规：交易编号不存在",IF(OR(B964="",B964&lt;1,B964&gt;5,B964&lt;&gt;INT(B964)),"违规：加仓序号须为1到5的整数",IF(COUNTIFS($A$2:$A$1001,A964,$B$2:$B$1001,B964)&gt;1,"违规：同一交易的加仓序号重复",IF(OR(D964="",E964="",F964=""),"计划不完整：请填写加仓价、新止损价和风险预算",IF(OR(D964&lt;=0,E964&lt;=0,F964&lt;=0,D964&lt;=E964),"违规：加仓价必须高于新止损价，金额须大于0",IF(AND(B964&gt;1,COUNTIFS($A$2:$A$1001,A964,$B$2:$B$1001,B964-1,$G$2:$G$1001,"&gt;0")=0),"违规：须先完成上一次加仓",IF(AND(B964&gt;1,E964&lt;SUMIFS($E$2:$E$1001,$A$2:$A$1001,A964,$B$2:$B$1001,B964-1)),"违规：新止损价不得低于上一次",IF(AND(B964&gt;1,F964&gt;SUMIFS($F$2:$F$1001,$A$2:$A$1001,A964,$B$2:$B$1001,B964-1)),"违规：风险预算须逐次不增加",IF(OR(_LockStatus="已锁仓",_LockStatus="解锁信息不完整"),"违规：锁仓期间禁止加仓",IF(G964="","计划可执行：建议股数见N列",IF(OR(G964&lt;=0,G964&lt;&gt;INT(G964),MOD(G964,100)&lt;&gt;0),"违规：实际股数须为100股整数倍",IF(G964&gt;N964,"违规：实际股数超过风险或金字塔上限",IF(AND(B964&gt;1,G964&gt;SUMIFS($G$2:$G$1001,$A$2:$A$1001,A964,$B$2:$B$1001,B964-1)),"违规：加仓股数须逐次不增加",IF(Q964&gt;F964,"违规：止损风险超过本次预算","通过")))))))))))))))</f>
        <v/>
      </c>
    </row>
    <row r="965" customFormat="false" ht="15" hidden="false" customHeight="false" outlineLevel="0" collapsed="false">
      <c r="A965" s="20"/>
      <c r="B965" s="21"/>
      <c r="C965" s="22"/>
      <c r="D965" s="23"/>
      <c r="E965" s="23"/>
      <c r="F965" s="23"/>
      <c r="G965" s="21"/>
      <c r="H965" s="24" t="str">
        <f aca="false">IF(OR(A965="",D965="",G965=""),"",D965*G965)</f>
        <v/>
      </c>
      <c r="I965" s="25" t="str">
        <f aca="false">IF(OR(A965="",B965=""),"",IFERROR(LOOKUP(2,1/(单次交易!$A$2:$A$201=A965),单次交易!$H$2:$H$201),0)+SUMIFS($G$2:$G$1001,$A$2:$A$1001,A965,$B$2:$B$1001,"&lt;"&amp;B965))</f>
        <v/>
      </c>
      <c r="J965" s="24" t="str">
        <f aca="false">IF(OR(A965="",B965=""),"",IFERROR(LOOKUP(2,1/(单次交易!$A$2:$A$201=A965),单次交易!$E$2:$E$201)*LOOKUP(2,1/(单次交易!$A$2:$A$201=A965),单次交易!$H$2:$H$201),0)+SUMIFS($H$2:$H$1001,$A$2:$A$1001,A965,$B$2:$B$1001,"&lt;"&amp;B965))</f>
        <v/>
      </c>
      <c r="K965" s="24" t="str">
        <f aca="false">IF(OR(E965="",I965="",J965=""),"",MAX(E965*I965-J965,0))</f>
        <v/>
      </c>
      <c r="L965" s="25" t="str">
        <f aca="false">IF(OR(D965="",E965="",F965="",D965&lt;=E965),"",FLOOR((F965+K965)/(D965-E965),100))</f>
        <v/>
      </c>
      <c r="M965" s="25" t="str">
        <f aca="false">IF(OR(A965="",B965="",L965=""),"",IF(B965=1,L965,IFERROR(SUMIFS($G$2:$G$1001,$A$2:$A$1001,A965,$B$2:$B$1001,B965-1),0)))</f>
        <v/>
      </c>
      <c r="N965" s="25" t="str">
        <f aca="false">IF(OR(L965="",M965=""),"",MIN(L965,M965))</f>
        <v/>
      </c>
      <c r="O965" s="25" t="str">
        <f aca="false">IF(OR(I965="",G965=""),"",I965+G965)</f>
        <v/>
      </c>
      <c r="P965" s="24" t="str">
        <f aca="false">IF(OR(O965="",O965=0),"",(J965+H965)/O965)</f>
        <v/>
      </c>
      <c r="Q965" s="24" t="str">
        <f aca="false">IF(OR(O965="",E965=""),"",MAX(J965+H965-E965*O965,0))</f>
        <v/>
      </c>
      <c r="R965" s="26" t="str">
        <f aca="false">IF(A965="","",IF(COUNTIF(_TradeIds,A965)=0,"违规：交易编号不存在",IF(OR(B965="",B965&lt;1,B965&gt;5,B965&lt;&gt;INT(B965)),"违规：加仓序号须为1到5的整数",IF(COUNTIFS($A$2:$A$1001,A965,$B$2:$B$1001,B965)&gt;1,"违规：同一交易的加仓序号重复",IF(OR(D965="",E965="",F965=""),"计划不完整：请填写加仓价、新止损价和风险预算",IF(OR(D965&lt;=0,E965&lt;=0,F965&lt;=0,D965&lt;=E965),"违规：加仓价必须高于新止损价，金额须大于0",IF(AND(B965&gt;1,COUNTIFS($A$2:$A$1001,A965,$B$2:$B$1001,B965-1,$G$2:$G$1001,"&gt;0")=0),"违规：须先完成上一次加仓",IF(AND(B965&gt;1,E965&lt;SUMIFS($E$2:$E$1001,$A$2:$A$1001,A965,$B$2:$B$1001,B965-1)),"违规：新止损价不得低于上一次",IF(AND(B965&gt;1,F965&gt;SUMIFS($F$2:$F$1001,$A$2:$A$1001,A965,$B$2:$B$1001,B965-1)),"违规：风险预算须逐次不增加",IF(OR(_LockStatus="已锁仓",_LockStatus="解锁信息不完整"),"违规：锁仓期间禁止加仓",IF(G965="","计划可执行：建议股数见N列",IF(OR(G965&lt;=0,G965&lt;&gt;INT(G965),MOD(G965,100)&lt;&gt;0),"违规：实际股数须为100股整数倍",IF(G965&gt;N965,"违规：实际股数超过风险或金字塔上限",IF(AND(B965&gt;1,G965&gt;SUMIFS($G$2:$G$1001,$A$2:$A$1001,A965,$B$2:$B$1001,B965-1)),"违规：加仓股数须逐次不增加",IF(Q965&gt;F965,"违规：止损风险超过本次预算","通过")))))))))))))))</f>
        <v/>
      </c>
    </row>
    <row r="966" customFormat="false" ht="15" hidden="false" customHeight="false" outlineLevel="0" collapsed="false">
      <c r="A966" s="20"/>
      <c r="B966" s="21"/>
      <c r="C966" s="22"/>
      <c r="D966" s="23"/>
      <c r="E966" s="23"/>
      <c r="F966" s="23"/>
      <c r="G966" s="21"/>
      <c r="H966" s="24" t="str">
        <f aca="false">IF(OR(A966="",D966="",G966=""),"",D966*G966)</f>
        <v/>
      </c>
      <c r="I966" s="25" t="str">
        <f aca="false">IF(OR(A966="",B966=""),"",IFERROR(LOOKUP(2,1/(单次交易!$A$2:$A$201=A966),单次交易!$H$2:$H$201),0)+SUMIFS($G$2:$G$1001,$A$2:$A$1001,A966,$B$2:$B$1001,"&lt;"&amp;B966))</f>
        <v/>
      </c>
      <c r="J966" s="24" t="str">
        <f aca="false">IF(OR(A966="",B966=""),"",IFERROR(LOOKUP(2,1/(单次交易!$A$2:$A$201=A966),单次交易!$E$2:$E$201)*LOOKUP(2,1/(单次交易!$A$2:$A$201=A966),单次交易!$H$2:$H$201),0)+SUMIFS($H$2:$H$1001,$A$2:$A$1001,A966,$B$2:$B$1001,"&lt;"&amp;B966))</f>
        <v/>
      </c>
      <c r="K966" s="24" t="str">
        <f aca="false">IF(OR(E966="",I966="",J966=""),"",MAX(E966*I966-J966,0))</f>
        <v/>
      </c>
      <c r="L966" s="25" t="str">
        <f aca="false">IF(OR(D966="",E966="",F966="",D966&lt;=E966),"",FLOOR((F966+K966)/(D966-E966),100))</f>
        <v/>
      </c>
      <c r="M966" s="25" t="str">
        <f aca="false">IF(OR(A966="",B966="",L966=""),"",IF(B966=1,L966,IFERROR(SUMIFS($G$2:$G$1001,$A$2:$A$1001,A966,$B$2:$B$1001,B966-1),0)))</f>
        <v/>
      </c>
      <c r="N966" s="25" t="str">
        <f aca="false">IF(OR(L966="",M966=""),"",MIN(L966,M966))</f>
        <v/>
      </c>
      <c r="O966" s="25" t="str">
        <f aca="false">IF(OR(I966="",G966=""),"",I966+G966)</f>
        <v/>
      </c>
      <c r="P966" s="24" t="str">
        <f aca="false">IF(OR(O966="",O966=0),"",(J966+H966)/O966)</f>
        <v/>
      </c>
      <c r="Q966" s="24" t="str">
        <f aca="false">IF(OR(O966="",E966=""),"",MAX(J966+H966-E966*O966,0))</f>
        <v/>
      </c>
      <c r="R966" s="26" t="str">
        <f aca="false">IF(A966="","",IF(COUNTIF(_TradeIds,A966)=0,"违规：交易编号不存在",IF(OR(B966="",B966&lt;1,B966&gt;5,B966&lt;&gt;INT(B966)),"违规：加仓序号须为1到5的整数",IF(COUNTIFS($A$2:$A$1001,A966,$B$2:$B$1001,B966)&gt;1,"违规：同一交易的加仓序号重复",IF(OR(D966="",E966="",F966=""),"计划不完整：请填写加仓价、新止损价和风险预算",IF(OR(D966&lt;=0,E966&lt;=0,F966&lt;=0,D966&lt;=E966),"违规：加仓价必须高于新止损价，金额须大于0",IF(AND(B966&gt;1,COUNTIFS($A$2:$A$1001,A966,$B$2:$B$1001,B966-1,$G$2:$G$1001,"&gt;0")=0),"违规：须先完成上一次加仓",IF(AND(B966&gt;1,E966&lt;SUMIFS($E$2:$E$1001,$A$2:$A$1001,A966,$B$2:$B$1001,B966-1)),"违规：新止损价不得低于上一次",IF(AND(B966&gt;1,F966&gt;SUMIFS($F$2:$F$1001,$A$2:$A$1001,A966,$B$2:$B$1001,B966-1)),"违规：风险预算须逐次不增加",IF(OR(_LockStatus="已锁仓",_LockStatus="解锁信息不完整"),"违规：锁仓期间禁止加仓",IF(G966="","计划可执行：建议股数见N列",IF(OR(G966&lt;=0,G966&lt;&gt;INT(G966),MOD(G966,100)&lt;&gt;0),"违规：实际股数须为100股整数倍",IF(G966&gt;N966,"违规：实际股数超过风险或金字塔上限",IF(AND(B966&gt;1,G966&gt;SUMIFS($G$2:$G$1001,$A$2:$A$1001,A966,$B$2:$B$1001,B966-1)),"违规：加仓股数须逐次不增加",IF(Q966&gt;F966,"违规：止损风险超过本次预算","通过")))))))))))))))</f>
        <v/>
      </c>
    </row>
    <row r="967" customFormat="false" ht="15" hidden="false" customHeight="false" outlineLevel="0" collapsed="false">
      <c r="A967" s="20"/>
      <c r="B967" s="21"/>
      <c r="C967" s="22"/>
      <c r="D967" s="23"/>
      <c r="E967" s="23"/>
      <c r="F967" s="23"/>
      <c r="G967" s="21"/>
      <c r="H967" s="24" t="str">
        <f aca="false">IF(OR(A967="",D967="",G967=""),"",D967*G967)</f>
        <v/>
      </c>
      <c r="I967" s="25" t="str">
        <f aca="false">IF(OR(A967="",B967=""),"",IFERROR(LOOKUP(2,1/(单次交易!$A$2:$A$201=A967),单次交易!$H$2:$H$201),0)+SUMIFS($G$2:$G$1001,$A$2:$A$1001,A967,$B$2:$B$1001,"&lt;"&amp;B967))</f>
        <v/>
      </c>
      <c r="J967" s="24" t="str">
        <f aca="false">IF(OR(A967="",B967=""),"",IFERROR(LOOKUP(2,1/(单次交易!$A$2:$A$201=A967),单次交易!$E$2:$E$201)*LOOKUP(2,1/(单次交易!$A$2:$A$201=A967),单次交易!$H$2:$H$201),0)+SUMIFS($H$2:$H$1001,$A$2:$A$1001,A967,$B$2:$B$1001,"&lt;"&amp;B967))</f>
        <v/>
      </c>
      <c r="K967" s="24" t="str">
        <f aca="false">IF(OR(E967="",I967="",J967=""),"",MAX(E967*I967-J967,0))</f>
        <v/>
      </c>
      <c r="L967" s="25" t="str">
        <f aca="false">IF(OR(D967="",E967="",F967="",D967&lt;=E967),"",FLOOR((F967+K967)/(D967-E967),100))</f>
        <v/>
      </c>
      <c r="M967" s="25" t="str">
        <f aca="false">IF(OR(A967="",B967="",L967=""),"",IF(B967=1,L967,IFERROR(SUMIFS($G$2:$G$1001,$A$2:$A$1001,A967,$B$2:$B$1001,B967-1),0)))</f>
        <v/>
      </c>
      <c r="N967" s="25" t="str">
        <f aca="false">IF(OR(L967="",M967=""),"",MIN(L967,M967))</f>
        <v/>
      </c>
      <c r="O967" s="25" t="str">
        <f aca="false">IF(OR(I967="",G967=""),"",I967+G967)</f>
        <v/>
      </c>
      <c r="P967" s="24" t="str">
        <f aca="false">IF(OR(O967="",O967=0),"",(J967+H967)/O967)</f>
        <v/>
      </c>
      <c r="Q967" s="24" t="str">
        <f aca="false">IF(OR(O967="",E967=""),"",MAX(J967+H967-E967*O967,0))</f>
        <v/>
      </c>
      <c r="R967" s="26" t="str">
        <f aca="false">IF(A967="","",IF(COUNTIF(_TradeIds,A967)=0,"违规：交易编号不存在",IF(OR(B967="",B967&lt;1,B967&gt;5,B967&lt;&gt;INT(B967)),"违规：加仓序号须为1到5的整数",IF(COUNTIFS($A$2:$A$1001,A967,$B$2:$B$1001,B967)&gt;1,"违规：同一交易的加仓序号重复",IF(OR(D967="",E967="",F967=""),"计划不完整：请填写加仓价、新止损价和风险预算",IF(OR(D967&lt;=0,E967&lt;=0,F967&lt;=0,D967&lt;=E967),"违规：加仓价必须高于新止损价，金额须大于0",IF(AND(B967&gt;1,COUNTIFS($A$2:$A$1001,A967,$B$2:$B$1001,B967-1,$G$2:$G$1001,"&gt;0")=0),"违规：须先完成上一次加仓",IF(AND(B967&gt;1,E967&lt;SUMIFS($E$2:$E$1001,$A$2:$A$1001,A967,$B$2:$B$1001,B967-1)),"违规：新止损价不得低于上一次",IF(AND(B967&gt;1,F967&gt;SUMIFS($F$2:$F$1001,$A$2:$A$1001,A967,$B$2:$B$1001,B967-1)),"违规：风险预算须逐次不增加",IF(OR(_LockStatus="已锁仓",_LockStatus="解锁信息不完整"),"违规：锁仓期间禁止加仓",IF(G967="","计划可执行：建议股数见N列",IF(OR(G967&lt;=0,G967&lt;&gt;INT(G967),MOD(G967,100)&lt;&gt;0),"违规：实际股数须为100股整数倍",IF(G967&gt;N967,"违规：实际股数超过风险或金字塔上限",IF(AND(B967&gt;1,G967&gt;SUMIFS($G$2:$G$1001,$A$2:$A$1001,A967,$B$2:$B$1001,B967-1)),"违规：加仓股数须逐次不增加",IF(Q967&gt;F967,"违规：止损风险超过本次预算","通过")))))))))))))))</f>
        <v/>
      </c>
    </row>
    <row r="968" customFormat="false" ht="15" hidden="false" customHeight="false" outlineLevel="0" collapsed="false">
      <c r="A968" s="20"/>
      <c r="B968" s="21"/>
      <c r="C968" s="22"/>
      <c r="D968" s="23"/>
      <c r="E968" s="23"/>
      <c r="F968" s="23"/>
      <c r="G968" s="21"/>
      <c r="H968" s="24" t="str">
        <f aca="false">IF(OR(A968="",D968="",G968=""),"",D968*G968)</f>
        <v/>
      </c>
      <c r="I968" s="25" t="str">
        <f aca="false">IF(OR(A968="",B968=""),"",IFERROR(LOOKUP(2,1/(单次交易!$A$2:$A$201=A968),单次交易!$H$2:$H$201),0)+SUMIFS($G$2:$G$1001,$A$2:$A$1001,A968,$B$2:$B$1001,"&lt;"&amp;B968))</f>
        <v/>
      </c>
      <c r="J968" s="24" t="str">
        <f aca="false">IF(OR(A968="",B968=""),"",IFERROR(LOOKUP(2,1/(单次交易!$A$2:$A$201=A968),单次交易!$E$2:$E$201)*LOOKUP(2,1/(单次交易!$A$2:$A$201=A968),单次交易!$H$2:$H$201),0)+SUMIFS($H$2:$H$1001,$A$2:$A$1001,A968,$B$2:$B$1001,"&lt;"&amp;B968))</f>
        <v/>
      </c>
      <c r="K968" s="24" t="str">
        <f aca="false">IF(OR(E968="",I968="",J968=""),"",MAX(E968*I968-J968,0))</f>
        <v/>
      </c>
      <c r="L968" s="25" t="str">
        <f aca="false">IF(OR(D968="",E968="",F968="",D968&lt;=E968),"",FLOOR((F968+K968)/(D968-E968),100))</f>
        <v/>
      </c>
      <c r="M968" s="25" t="str">
        <f aca="false">IF(OR(A968="",B968="",L968=""),"",IF(B968=1,L968,IFERROR(SUMIFS($G$2:$G$1001,$A$2:$A$1001,A968,$B$2:$B$1001,B968-1),0)))</f>
        <v/>
      </c>
      <c r="N968" s="25" t="str">
        <f aca="false">IF(OR(L968="",M968=""),"",MIN(L968,M968))</f>
        <v/>
      </c>
      <c r="O968" s="25" t="str">
        <f aca="false">IF(OR(I968="",G968=""),"",I968+G968)</f>
        <v/>
      </c>
      <c r="P968" s="24" t="str">
        <f aca="false">IF(OR(O968="",O968=0),"",(J968+H968)/O968)</f>
        <v/>
      </c>
      <c r="Q968" s="24" t="str">
        <f aca="false">IF(OR(O968="",E968=""),"",MAX(J968+H968-E968*O968,0))</f>
        <v/>
      </c>
      <c r="R968" s="26" t="str">
        <f aca="false">IF(A968="","",IF(COUNTIF(_TradeIds,A968)=0,"违规：交易编号不存在",IF(OR(B968="",B968&lt;1,B968&gt;5,B968&lt;&gt;INT(B968)),"违规：加仓序号须为1到5的整数",IF(COUNTIFS($A$2:$A$1001,A968,$B$2:$B$1001,B968)&gt;1,"违规：同一交易的加仓序号重复",IF(OR(D968="",E968="",F968=""),"计划不完整：请填写加仓价、新止损价和风险预算",IF(OR(D968&lt;=0,E968&lt;=0,F968&lt;=0,D968&lt;=E968),"违规：加仓价必须高于新止损价，金额须大于0",IF(AND(B968&gt;1,COUNTIFS($A$2:$A$1001,A968,$B$2:$B$1001,B968-1,$G$2:$G$1001,"&gt;0")=0),"违规：须先完成上一次加仓",IF(AND(B968&gt;1,E968&lt;SUMIFS($E$2:$E$1001,$A$2:$A$1001,A968,$B$2:$B$1001,B968-1)),"违规：新止损价不得低于上一次",IF(AND(B968&gt;1,F968&gt;SUMIFS($F$2:$F$1001,$A$2:$A$1001,A968,$B$2:$B$1001,B968-1)),"违规：风险预算须逐次不增加",IF(OR(_LockStatus="已锁仓",_LockStatus="解锁信息不完整"),"违规：锁仓期间禁止加仓",IF(G968="","计划可执行：建议股数见N列",IF(OR(G968&lt;=0,G968&lt;&gt;INT(G968),MOD(G968,100)&lt;&gt;0),"违规：实际股数须为100股整数倍",IF(G968&gt;N968,"违规：实际股数超过风险或金字塔上限",IF(AND(B968&gt;1,G968&gt;SUMIFS($G$2:$G$1001,$A$2:$A$1001,A968,$B$2:$B$1001,B968-1)),"违规：加仓股数须逐次不增加",IF(Q968&gt;F968,"违规：止损风险超过本次预算","通过")))))))))))))))</f>
        <v/>
      </c>
    </row>
    <row r="969" customFormat="false" ht="15" hidden="false" customHeight="false" outlineLevel="0" collapsed="false">
      <c r="A969" s="20"/>
      <c r="B969" s="21"/>
      <c r="C969" s="22"/>
      <c r="D969" s="23"/>
      <c r="E969" s="23"/>
      <c r="F969" s="23"/>
      <c r="G969" s="21"/>
      <c r="H969" s="24" t="str">
        <f aca="false">IF(OR(A969="",D969="",G969=""),"",D969*G969)</f>
        <v/>
      </c>
      <c r="I969" s="25" t="str">
        <f aca="false">IF(OR(A969="",B969=""),"",IFERROR(LOOKUP(2,1/(单次交易!$A$2:$A$201=A969),单次交易!$H$2:$H$201),0)+SUMIFS($G$2:$G$1001,$A$2:$A$1001,A969,$B$2:$B$1001,"&lt;"&amp;B969))</f>
        <v/>
      </c>
      <c r="J969" s="24" t="str">
        <f aca="false">IF(OR(A969="",B969=""),"",IFERROR(LOOKUP(2,1/(单次交易!$A$2:$A$201=A969),单次交易!$E$2:$E$201)*LOOKUP(2,1/(单次交易!$A$2:$A$201=A969),单次交易!$H$2:$H$201),0)+SUMIFS($H$2:$H$1001,$A$2:$A$1001,A969,$B$2:$B$1001,"&lt;"&amp;B969))</f>
        <v/>
      </c>
      <c r="K969" s="24" t="str">
        <f aca="false">IF(OR(E969="",I969="",J969=""),"",MAX(E969*I969-J969,0))</f>
        <v/>
      </c>
      <c r="L969" s="25" t="str">
        <f aca="false">IF(OR(D969="",E969="",F969="",D969&lt;=E969),"",FLOOR((F969+K969)/(D969-E969),100))</f>
        <v/>
      </c>
      <c r="M969" s="25" t="str">
        <f aca="false">IF(OR(A969="",B969="",L969=""),"",IF(B969=1,L969,IFERROR(SUMIFS($G$2:$G$1001,$A$2:$A$1001,A969,$B$2:$B$1001,B969-1),0)))</f>
        <v/>
      </c>
      <c r="N969" s="25" t="str">
        <f aca="false">IF(OR(L969="",M969=""),"",MIN(L969,M969))</f>
        <v/>
      </c>
      <c r="O969" s="25" t="str">
        <f aca="false">IF(OR(I969="",G969=""),"",I969+G969)</f>
        <v/>
      </c>
      <c r="P969" s="24" t="str">
        <f aca="false">IF(OR(O969="",O969=0),"",(J969+H969)/O969)</f>
        <v/>
      </c>
      <c r="Q969" s="24" t="str">
        <f aca="false">IF(OR(O969="",E969=""),"",MAX(J969+H969-E969*O969,0))</f>
        <v/>
      </c>
      <c r="R969" s="26" t="str">
        <f aca="false">IF(A969="","",IF(COUNTIF(_TradeIds,A969)=0,"违规：交易编号不存在",IF(OR(B969="",B969&lt;1,B969&gt;5,B969&lt;&gt;INT(B969)),"违规：加仓序号须为1到5的整数",IF(COUNTIFS($A$2:$A$1001,A969,$B$2:$B$1001,B969)&gt;1,"违规：同一交易的加仓序号重复",IF(OR(D969="",E969="",F969=""),"计划不完整：请填写加仓价、新止损价和风险预算",IF(OR(D969&lt;=0,E969&lt;=0,F969&lt;=0,D969&lt;=E969),"违规：加仓价必须高于新止损价，金额须大于0",IF(AND(B969&gt;1,COUNTIFS($A$2:$A$1001,A969,$B$2:$B$1001,B969-1,$G$2:$G$1001,"&gt;0")=0),"违规：须先完成上一次加仓",IF(AND(B969&gt;1,E969&lt;SUMIFS($E$2:$E$1001,$A$2:$A$1001,A969,$B$2:$B$1001,B969-1)),"违规：新止损价不得低于上一次",IF(AND(B969&gt;1,F969&gt;SUMIFS($F$2:$F$1001,$A$2:$A$1001,A969,$B$2:$B$1001,B969-1)),"违规：风险预算须逐次不增加",IF(OR(_LockStatus="已锁仓",_LockStatus="解锁信息不完整"),"违规：锁仓期间禁止加仓",IF(G969="","计划可执行：建议股数见N列",IF(OR(G969&lt;=0,G969&lt;&gt;INT(G969),MOD(G969,100)&lt;&gt;0),"违规：实际股数须为100股整数倍",IF(G969&gt;N969,"违规：实际股数超过风险或金字塔上限",IF(AND(B969&gt;1,G969&gt;SUMIFS($G$2:$G$1001,$A$2:$A$1001,A969,$B$2:$B$1001,B969-1)),"违规：加仓股数须逐次不增加",IF(Q969&gt;F969,"违规：止损风险超过本次预算","通过")))))))))))))))</f>
        <v/>
      </c>
    </row>
    <row r="970" customFormat="false" ht="15" hidden="false" customHeight="false" outlineLevel="0" collapsed="false">
      <c r="A970" s="20"/>
      <c r="B970" s="21"/>
      <c r="C970" s="22"/>
      <c r="D970" s="23"/>
      <c r="E970" s="23"/>
      <c r="F970" s="23"/>
      <c r="G970" s="21"/>
      <c r="H970" s="24" t="str">
        <f aca="false">IF(OR(A970="",D970="",G970=""),"",D970*G970)</f>
        <v/>
      </c>
      <c r="I970" s="25" t="str">
        <f aca="false">IF(OR(A970="",B970=""),"",IFERROR(LOOKUP(2,1/(单次交易!$A$2:$A$201=A970),单次交易!$H$2:$H$201),0)+SUMIFS($G$2:$G$1001,$A$2:$A$1001,A970,$B$2:$B$1001,"&lt;"&amp;B970))</f>
        <v/>
      </c>
      <c r="J970" s="24" t="str">
        <f aca="false">IF(OR(A970="",B970=""),"",IFERROR(LOOKUP(2,1/(单次交易!$A$2:$A$201=A970),单次交易!$E$2:$E$201)*LOOKUP(2,1/(单次交易!$A$2:$A$201=A970),单次交易!$H$2:$H$201),0)+SUMIFS($H$2:$H$1001,$A$2:$A$1001,A970,$B$2:$B$1001,"&lt;"&amp;B970))</f>
        <v/>
      </c>
      <c r="K970" s="24" t="str">
        <f aca="false">IF(OR(E970="",I970="",J970=""),"",MAX(E970*I970-J970,0))</f>
        <v/>
      </c>
      <c r="L970" s="25" t="str">
        <f aca="false">IF(OR(D970="",E970="",F970="",D970&lt;=E970),"",FLOOR((F970+K970)/(D970-E970),100))</f>
        <v/>
      </c>
      <c r="M970" s="25" t="str">
        <f aca="false">IF(OR(A970="",B970="",L970=""),"",IF(B970=1,L970,IFERROR(SUMIFS($G$2:$G$1001,$A$2:$A$1001,A970,$B$2:$B$1001,B970-1),0)))</f>
        <v/>
      </c>
      <c r="N970" s="25" t="str">
        <f aca="false">IF(OR(L970="",M970=""),"",MIN(L970,M970))</f>
        <v/>
      </c>
      <c r="O970" s="25" t="str">
        <f aca="false">IF(OR(I970="",G970=""),"",I970+G970)</f>
        <v/>
      </c>
      <c r="P970" s="24" t="str">
        <f aca="false">IF(OR(O970="",O970=0),"",(J970+H970)/O970)</f>
        <v/>
      </c>
      <c r="Q970" s="24" t="str">
        <f aca="false">IF(OR(O970="",E970=""),"",MAX(J970+H970-E970*O970,0))</f>
        <v/>
      </c>
      <c r="R970" s="26" t="str">
        <f aca="false">IF(A970="","",IF(COUNTIF(_TradeIds,A970)=0,"违规：交易编号不存在",IF(OR(B970="",B970&lt;1,B970&gt;5,B970&lt;&gt;INT(B970)),"违规：加仓序号须为1到5的整数",IF(COUNTIFS($A$2:$A$1001,A970,$B$2:$B$1001,B970)&gt;1,"违规：同一交易的加仓序号重复",IF(OR(D970="",E970="",F970=""),"计划不完整：请填写加仓价、新止损价和风险预算",IF(OR(D970&lt;=0,E970&lt;=0,F970&lt;=0,D970&lt;=E970),"违规：加仓价必须高于新止损价，金额须大于0",IF(AND(B970&gt;1,COUNTIFS($A$2:$A$1001,A970,$B$2:$B$1001,B970-1,$G$2:$G$1001,"&gt;0")=0),"违规：须先完成上一次加仓",IF(AND(B970&gt;1,E970&lt;SUMIFS($E$2:$E$1001,$A$2:$A$1001,A970,$B$2:$B$1001,B970-1)),"违规：新止损价不得低于上一次",IF(AND(B970&gt;1,F970&gt;SUMIFS($F$2:$F$1001,$A$2:$A$1001,A970,$B$2:$B$1001,B970-1)),"违规：风险预算须逐次不增加",IF(OR(_LockStatus="已锁仓",_LockStatus="解锁信息不完整"),"违规：锁仓期间禁止加仓",IF(G970="","计划可执行：建议股数见N列",IF(OR(G970&lt;=0,G970&lt;&gt;INT(G970),MOD(G970,100)&lt;&gt;0),"违规：实际股数须为100股整数倍",IF(G970&gt;N970,"违规：实际股数超过风险或金字塔上限",IF(AND(B970&gt;1,G970&gt;SUMIFS($G$2:$G$1001,$A$2:$A$1001,A970,$B$2:$B$1001,B970-1)),"违规：加仓股数须逐次不增加",IF(Q970&gt;F970,"违规：止损风险超过本次预算","通过")))))))))))))))</f>
        <v/>
      </c>
    </row>
    <row r="971" customFormat="false" ht="15" hidden="false" customHeight="false" outlineLevel="0" collapsed="false">
      <c r="A971" s="20"/>
      <c r="B971" s="21"/>
      <c r="C971" s="22"/>
      <c r="D971" s="23"/>
      <c r="E971" s="23"/>
      <c r="F971" s="23"/>
      <c r="G971" s="21"/>
      <c r="H971" s="24" t="str">
        <f aca="false">IF(OR(A971="",D971="",G971=""),"",D971*G971)</f>
        <v/>
      </c>
      <c r="I971" s="25" t="str">
        <f aca="false">IF(OR(A971="",B971=""),"",IFERROR(LOOKUP(2,1/(单次交易!$A$2:$A$201=A971),单次交易!$H$2:$H$201),0)+SUMIFS($G$2:$G$1001,$A$2:$A$1001,A971,$B$2:$B$1001,"&lt;"&amp;B971))</f>
        <v/>
      </c>
      <c r="J971" s="24" t="str">
        <f aca="false">IF(OR(A971="",B971=""),"",IFERROR(LOOKUP(2,1/(单次交易!$A$2:$A$201=A971),单次交易!$E$2:$E$201)*LOOKUP(2,1/(单次交易!$A$2:$A$201=A971),单次交易!$H$2:$H$201),0)+SUMIFS($H$2:$H$1001,$A$2:$A$1001,A971,$B$2:$B$1001,"&lt;"&amp;B971))</f>
        <v/>
      </c>
      <c r="K971" s="24" t="str">
        <f aca="false">IF(OR(E971="",I971="",J971=""),"",MAX(E971*I971-J971,0))</f>
        <v/>
      </c>
      <c r="L971" s="25" t="str">
        <f aca="false">IF(OR(D971="",E971="",F971="",D971&lt;=E971),"",FLOOR((F971+K971)/(D971-E971),100))</f>
        <v/>
      </c>
      <c r="M971" s="25" t="str">
        <f aca="false">IF(OR(A971="",B971="",L971=""),"",IF(B971=1,L971,IFERROR(SUMIFS($G$2:$G$1001,$A$2:$A$1001,A971,$B$2:$B$1001,B971-1),0)))</f>
        <v/>
      </c>
      <c r="N971" s="25" t="str">
        <f aca="false">IF(OR(L971="",M971=""),"",MIN(L971,M971))</f>
        <v/>
      </c>
      <c r="O971" s="25" t="str">
        <f aca="false">IF(OR(I971="",G971=""),"",I971+G971)</f>
        <v/>
      </c>
      <c r="P971" s="24" t="str">
        <f aca="false">IF(OR(O971="",O971=0),"",(J971+H971)/O971)</f>
        <v/>
      </c>
      <c r="Q971" s="24" t="str">
        <f aca="false">IF(OR(O971="",E971=""),"",MAX(J971+H971-E971*O971,0))</f>
        <v/>
      </c>
      <c r="R971" s="26" t="str">
        <f aca="false">IF(A971="","",IF(COUNTIF(_TradeIds,A971)=0,"违规：交易编号不存在",IF(OR(B971="",B971&lt;1,B971&gt;5,B971&lt;&gt;INT(B971)),"违规：加仓序号须为1到5的整数",IF(COUNTIFS($A$2:$A$1001,A971,$B$2:$B$1001,B971)&gt;1,"违规：同一交易的加仓序号重复",IF(OR(D971="",E971="",F971=""),"计划不完整：请填写加仓价、新止损价和风险预算",IF(OR(D971&lt;=0,E971&lt;=0,F971&lt;=0,D971&lt;=E971),"违规：加仓价必须高于新止损价，金额须大于0",IF(AND(B971&gt;1,COUNTIFS($A$2:$A$1001,A971,$B$2:$B$1001,B971-1,$G$2:$G$1001,"&gt;0")=0),"违规：须先完成上一次加仓",IF(AND(B971&gt;1,E971&lt;SUMIFS($E$2:$E$1001,$A$2:$A$1001,A971,$B$2:$B$1001,B971-1)),"违规：新止损价不得低于上一次",IF(AND(B971&gt;1,F971&gt;SUMIFS($F$2:$F$1001,$A$2:$A$1001,A971,$B$2:$B$1001,B971-1)),"违规：风险预算须逐次不增加",IF(OR(_LockStatus="已锁仓",_LockStatus="解锁信息不完整"),"违规：锁仓期间禁止加仓",IF(G971="","计划可执行：建议股数见N列",IF(OR(G971&lt;=0,G971&lt;&gt;INT(G971),MOD(G971,100)&lt;&gt;0),"违规：实际股数须为100股整数倍",IF(G971&gt;N971,"违规：实际股数超过风险或金字塔上限",IF(AND(B971&gt;1,G971&gt;SUMIFS($G$2:$G$1001,$A$2:$A$1001,A971,$B$2:$B$1001,B971-1)),"违规：加仓股数须逐次不增加",IF(Q971&gt;F971,"违规：止损风险超过本次预算","通过")))))))))))))))</f>
        <v/>
      </c>
    </row>
    <row r="972" customFormat="false" ht="15" hidden="false" customHeight="false" outlineLevel="0" collapsed="false">
      <c r="A972" s="20"/>
      <c r="B972" s="21"/>
      <c r="C972" s="22"/>
      <c r="D972" s="23"/>
      <c r="E972" s="23"/>
      <c r="F972" s="23"/>
      <c r="G972" s="21"/>
      <c r="H972" s="24" t="str">
        <f aca="false">IF(OR(A972="",D972="",G972=""),"",D972*G972)</f>
        <v/>
      </c>
      <c r="I972" s="25" t="str">
        <f aca="false">IF(OR(A972="",B972=""),"",IFERROR(LOOKUP(2,1/(单次交易!$A$2:$A$201=A972),单次交易!$H$2:$H$201),0)+SUMIFS($G$2:$G$1001,$A$2:$A$1001,A972,$B$2:$B$1001,"&lt;"&amp;B972))</f>
        <v/>
      </c>
      <c r="J972" s="24" t="str">
        <f aca="false">IF(OR(A972="",B972=""),"",IFERROR(LOOKUP(2,1/(单次交易!$A$2:$A$201=A972),单次交易!$E$2:$E$201)*LOOKUP(2,1/(单次交易!$A$2:$A$201=A972),单次交易!$H$2:$H$201),0)+SUMIFS($H$2:$H$1001,$A$2:$A$1001,A972,$B$2:$B$1001,"&lt;"&amp;B972))</f>
        <v/>
      </c>
      <c r="K972" s="24" t="str">
        <f aca="false">IF(OR(E972="",I972="",J972=""),"",MAX(E972*I972-J972,0))</f>
        <v/>
      </c>
      <c r="L972" s="25" t="str">
        <f aca="false">IF(OR(D972="",E972="",F972="",D972&lt;=E972),"",FLOOR((F972+K972)/(D972-E972),100))</f>
        <v/>
      </c>
      <c r="M972" s="25" t="str">
        <f aca="false">IF(OR(A972="",B972="",L972=""),"",IF(B972=1,L972,IFERROR(SUMIFS($G$2:$G$1001,$A$2:$A$1001,A972,$B$2:$B$1001,B972-1),0)))</f>
        <v/>
      </c>
      <c r="N972" s="25" t="str">
        <f aca="false">IF(OR(L972="",M972=""),"",MIN(L972,M972))</f>
        <v/>
      </c>
      <c r="O972" s="25" t="str">
        <f aca="false">IF(OR(I972="",G972=""),"",I972+G972)</f>
        <v/>
      </c>
      <c r="P972" s="24" t="str">
        <f aca="false">IF(OR(O972="",O972=0),"",(J972+H972)/O972)</f>
        <v/>
      </c>
      <c r="Q972" s="24" t="str">
        <f aca="false">IF(OR(O972="",E972=""),"",MAX(J972+H972-E972*O972,0))</f>
        <v/>
      </c>
      <c r="R972" s="26" t="str">
        <f aca="false">IF(A972="","",IF(COUNTIF(_TradeIds,A972)=0,"违规：交易编号不存在",IF(OR(B972="",B972&lt;1,B972&gt;5,B972&lt;&gt;INT(B972)),"违规：加仓序号须为1到5的整数",IF(COUNTIFS($A$2:$A$1001,A972,$B$2:$B$1001,B972)&gt;1,"违规：同一交易的加仓序号重复",IF(OR(D972="",E972="",F972=""),"计划不完整：请填写加仓价、新止损价和风险预算",IF(OR(D972&lt;=0,E972&lt;=0,F972&lt;=0,D972&lt;=E972),"违规：加仓价必须高于新止损价，金额须大于0",IF(AND(B972&gt;1,COUNTIFS($A$2:$A$1001,A972,$B$2:$B$1001,B972-1,$G$2:$G$1001,"&gt;0")=0),"违规：须先完成上一次加仓",IF(AND(B972&gt;1,E972&lt;SUMIFS($E$2:$E$1001,$A$2:$A$1001,A972,$B$2:$B$1001,B972-1)),"违规：新止损价不得低于上一次",IF(AND(B972&gt;1,F972&gt;SUMIFS($F$2:$F$1001,$A$2:$A$1001,A972,$B$2:$B$1001,B972-1)),"违规：风险预算须逐次不增加",IF(OR(_LockStatus="已锁仓",_LockStatus="解锁信息不完整"),"违规：锁仓期间禁止加仓",IF(G972="","计划可执行：建议股数见N列",IF(OR(G972&lt;=0,G972&lt;&gt;INT(G972),MOD(G972,100)&lt;&gt;0),"违规：实际股数须为100股整数倍",IF(G972&gt;N972,"违规：实际股数超过风险或金字塔上限",IF(AND(B972&gt;1,G972&gt;SUMIFS($G$2:$G$1001,$A$2:$A$1001,A972,$B$2:$B$1001,B972-1)),"违规：加仓股数须逐次不增加",IF(Q972&gt;F972,"违规：止损风险超过本次预算","通过")))))))))))))))</f>
        <v/>
      </c>
    </row>
    <row r="973" customFormat="false" ht="15" hidden="false" customHeight="false" outlineLevel="0" collapsed="false">
      <c r="A973" s="20"/>
      <c r="B973" s="21"/>
      <c r="C973" s="22"/>
      <c r="D973" s="23"/>
      <c r="E973" s="23"/>
      <c r="F973" s="23"/>
      <c r="G973" s="21"/>
      <c r="H973" s="24" t="str">
        <f aca="false">IF(OR(A973="",D973="",G973=""),"",D973*G973)</f>
        <v/>
      </c>
      <c r="I973" s="25" t="str">
        <f aca="false">IF(OR(A973="",B973=""),"",IFERROR(LOOKUP(2,1/(单次交易!$A$2:$A$201=A973),单次交易!$H$2:$H$201),0)+SUMIFS($G$2:$G$1001,$A$2:$A$1001,A973,$B$2:$B$1001,"&lt;"&amp;B973))</f>
        <v/>
      </c>
      <c r="J973" s="24" t="str">
        <f aca="false">IF(OR(A973="",B973=""),"",IFERROR(LOOKUP(2,1/(单次交易!$A$2:$A$201=A973),单次交易!$E$2:$E$201)*LOOKUP(2,1/(单次交易!$A$2:$A$201=A973),单次交易!$H$2:$H$201),0)+SUMIFS($H$2:$H$1001,$A$2:$A$1001,A973,$B$2:$B$1001,"&lt;"&amp;B973))</f>
        <v/>
      </c>
      <c r="K973" s="24" t="str">
        <f aca="false">IF(OR(E973="",I973="",J973=""),"",MAX(E973*I973-J973,0))</f>
        <v/>
      </c>
      <c r="L973" s="25" t="str">
        <f aca="false">IF(OR(D973="",E973="",F973="",D973&lt;=E973),"",FLOOR((F973+K973)/(D973-E973),100))</f>
        <v/>
      </c>
      <c r="M973" s="25" t="str">
        <f aca="false">IF(OR(A973="",B973="",L973=""),"",IF(B973=1,L973,IFERROR(SUMIFS($G$2:$G$1001,$A$2:$A$1001,A973,$B$2:$B$1001,B973-1),0)))</f>
        <v/>
      </c>
      <c r="N973" s="25" t="str">
        <f aca="false">IF(OR(L973="",M973=""),"",MIN(L973,M973))</f>
        <v/>
      </c>
      <c r="O973" s="25" t="str">
        <f aca="false">IF(OR(I973="",G973=""),"",I973+G973)</f>
        <v/>
      </c>
      <c r="P973" s="24" t="str">
        <f aca="false">IF(OR(O973="",O973=0),"",(J973+H973)/O973)</f>
        <v/>
      </c>
      <c r="Q973" s="24" t="str">
        <f aca="false">IF(OR(O973="",E973=""),"",MAX(J973+H973-E973*O973,0))</f>
        <v/>
      </c>
      <c r="R973" s="26" t="str">
        <f aca="false">IF(A973="","",IF(COUNTIF(_TradeIds,A973)=0,"违规：交易编号不存在",IF(OR(B973="",B973&lt;1,B973&gt;5,B973&lt;&gt;INT(B973)),"违规：加仓序号须为1到5的整数",IF(COUNTIFS($A$2:$A$1001,A973,$B$2:$B$1001,B973)&gt;1,"违规：同一交易的加仓序号重复",IF(OR(D973="",E973="",F973=""),"计划不完整：请填写加仓价、新止损价和风险预算",IF(OR(D973&lt;=0,E973&lt;=0,F973&lt;=0,D973&lt;=E973),"违规：加仓价必须高于新止损价，金额须大于0",IF(AND(B973&gt;1,COUNTIFS($A$2:$A$1001,A973,$B$2:$B$1001,B973-1,$G$2:$G$1001,"&gt;0")=0),"违规：须先完成上一次加仓",IF(AND(B973&gt;1,E973&lt;SUMIFS($E$2:$E$1001,$A$2:$A$1001,A973,$B$2:$B$1001,B973-1)),"违规：新止损价不得低于上一次",IF(AND(B973&gt;1,F973&gt;SUMIFS($F$2:$F$1001,$A$2:$A$1001,A973,$B$2:$B$1001,B973-1)),"违规：风险预算须逐次不增加",IF(OR(_LockStatus="已锁仓",_LockStatus="解锁信息不完整"),"违规：锁仓期间禁止加仓",IF(G973="","计划可执行：建议股数见N列",IF(OR(G973&lt;=0,G973&lt;&gt;INT(G973),MOD(G973,100)&lt;&gt;0),"违规：实际股数须为100股整数倍",IF(G973&gt;N973,"违规：实际股数超过风险或金字塔上限",IF(AND(B973&gt;1,G973&gt;SUMIFS($G$2:$G$1001,$A$2:$A$1001,A973,$B$2:$B$1001,B973-1)),"违规：加仓股数须逐次不增加",IF(Q973&gt;F973,"违规：止损风险超过本次预算","通过")))))))))))))))</f>
        <v/>
      </c>
    </row>
    <row r="974" customFormat="false" ht="15" hidden="false" customHeight="false" outlineLevel="0" collapsed="false">
      <c r="A974" s="20"/>
      <c r="B974" s="21"/>
      <c r="C974" s="22"/>
      <c r="D974" s="23"/>
      <c r="E974" s="23"/>
      <c r="F974" s="23"/>
      <c r="G974" s="21"/>
      <c r="H974" s="24" t="str">
        <f aca="false">IF(OR(A974="",D974="",G974=""),"",D974*G974)</f>
        <v/>
      </c>
      <c r="I974" s="25" t="str">
        <f aca="false">IF(OR(A974="",B974=""),"",IFERROR(LOOKUP(2,1/(单次交易!$A$2:$A$201=A974),单次交易!$H$2:$H$201),0)+SUMIFS($G$2:$G$1001,$A$2:$A$1001,A974,$B$2:$B$1001,"&lt;"&amp;B974))</f>
        <v/>
      </c>
      <c r="J974" s="24" t="str">
        <f aca="false">IF(OR(A974="",B974=""),"",IFERROR(LOOKUP(2,1/(单次交易!$A$2:$A$201=A974),单次交易!$E$2:$E$201)*LOOKUP(2,1/(单次交易!$A$2:$A$201=A974),单次交易!$H$2:$H$201),0)+SUMIFS($H$2:$H$1001,$A$2:$A$1001,A974,$B$2:$B$1001,"&lt;"&amp;B974))</f>
        <v/>
      </c>
      <c r="K974" s="24" t="str">
        <f aca="false">IF(OR(E974="",I974="",J974=""),"",MAX(E974*I974-J974,0))</f>
        <v/>
      </c>
      <c r="L974" s="25" t="str">
        <f aca="false">IF(OR(D974="",E974="",F974="",D974&lt;=E974),"",FLOOR((F974+K974)/(D974-E974),100))</f>
        <v/>
      </c>
      <c r="M974" s="25" t="str">
        <f aca="false">IF(OR(A974="",B974="",L974=""),"",IF(B974=1,L974,IFERROR(SUMIFS($G$2:$G$1001,$A$2:$A$1001,A974,$B$2:$B$1001,B974-1),0)))</f>
        <v/>
      </c>
      <c r="N974" s="25" t="str">
        <f aca="false">IF(OR(L974="",M974=""),"",MIN(L974,M974))</f>
        <v/>
      </c>
      <c r="O974" s="25" t="str">
        <f aca="false">IF(OR(I974="",G974=""),"",I974+G974)</f>
        <v/>
      </c>
      <c r="P974" s="24" t="str">
        <f aca="false">IF(OR(O974="",O974=0),"",(J974+H974)/O974)</f>
        <v/>
      </c>
      <c r="Q974" s="24" t="str">
        <f aca="false">IF(OR(O974="",E974=""),"",MAX(J974+H974-E974*O974,0))</f>
        <v/>
      </c>
      <c r="R974" s="26" t="str">
        <f aca="false">IF(A974="","",IF(COUNTIF(_TradeIds,A974)=0,"违规：交易编号不存在",IF(OR(B974="",B974&lt;1,B974&gt;5,B974&lt;&gt;INT(B974)),"违规：加仓序号须为1到5的整数",IF(COUNTIFS($A$2:$A$1001,A974,$B$2:$B$1001,B974)&gt;1,"违规：同一交易的加仓序号重复",IF(OR(D974="",E974="",F974=""),"计划不完整：请填写加仓价、新止损价和风险预算",IF(OR(D974&lt;=0,E974&lt;=0,F974&lt;=0,D974&lt;=E974),"违规：加仓价必须高于新止损价，金额须大于0",IF(AND(B974&gt;1,COUNTIFS($A$2:$A$1001,A974,$B$2:$B$1001,B974-1,$G$2:$G$1001,"&gt;0")=0),"违规：须先完成上一次加仓",IF(AND(B974&gt;1,E974&lt;SUMIFS($E$2:$E$1001,$A$2:$A$1001,A974,$B$2:$B$1001,B974-1)),"违规：新止损价不得低于上一次",IF(AND(B974&gt;1,F974&gt;SUMIFS($F$2:$F$1001,$A$2:$A$1001,A974,$B$2:$B$1001,B974-1)),"违规：风险预算须逐次不增加",IF(OR(_LockStatus="已锁仓",_LockStatus="解锁信息不完整"),"违规：锁仓期间禁止加仓",IF(G974="","计划可执行：建议股数见N列",IF(OR(G974&lt;=0,G974&lt;&gt;INT(G974),MOD(G974,100)&lt;&gt;0),"违规：实际股数须为100股整数倍",IF(G974&gt;N974,"违规：实际股数超过风险或金字塔上限",IF(AND(B974&gt;1,G974&gt;SUMIFS($G$2:$G$1001,$A$2:$A$1001,A974,$B$2:$B$1001,B974-1)),"违规：加仓股数须逐次不增加",IF(Q974&gt;F974,"违规：止损风险超过本次预算","通过")))))))))))))))</f>
        <v/>
      </c>
    </row>
    <row r="975" customFormat="false" ht="15" hidden="false" customHeight="false" outlineLevel="0" collapsed="false">
      <c r="A975" s="20"/>
      <c r="B975" s="21"/>
      <c r="C975" s="22"/>
      <c r="D975" s="23"/>
      <c r="E975" s="23"/>
      <c r="F975" s="23"/>
      <c r="G975" s="21"/>
      <c r="H975" s="24" t="str">
        <f aca="false">IF(OR(A975="",D975="",G975=""),"",D975*G975)</f>
        <v/>
      </c>
      <c r="I975" s="25" t="str">
        <f aca="false">IF(OR(A975="",B975=""),"",IFERROR(LOOKUP(2,1/(单次交易!$A$2:$A$201=A975),单次交易!$H$2:$H$201),0)+SUMIFS($G$2:$G$1001,$A$2:$A$1001,A975,$B$2:$B$1001,"&lt;"&amp;B975))</f>
        <v/>
      </c>
      <c r="J975" s="24" t="str">
        <f aca="false">IF(OR(A975="",B975=""),"",IFERROR(LOOKUP(2,1/(单次交易!$A$2:$A$201=A975),单次交易!$E$2:$E$201)*LOOKUP(2,1/(单次交易!$A$2:$A$201=A975),单次交易!$H$2:$H$201),0)+SUMIFS($H$2:$H$1001,$A$2:$A$1001,A975,$B$2:$B$1001,"&lt;"&amp;B975))</f>
        <v/>
      </c>
      <c r="K975" s="24" t="str">
        <f aca="false">IF(OR(E975="",I975="",J975=""),"",MAX(E975*I975-J975,0))</f>
        <v/>
      </c>
      <c r="L975" s="25" t="str">
        <f aca="false">IF(OR(D975="",E975="",F975="",D975&lt;=E975),"",FLOOR((F975+K975)/(D975-E975),100))</f>
        <v/>
      </c>
      <c r="M975" s="25" t="str">
        <f aca="false">IF(OR(A975="",B975="",L975=""),"",IF(B975=1,L975,IFERROR(SUMIFS($G$2:$G$1001,$A$2:$A$1001,A975,$B$2:$B$1001,B975-1),0)))</f>
        <v/>
      </c>
      <c r="N975" s="25" t="str">
        <f aca="false">IF(OR(L975="",M975=""),"",MIN(L975,M975))</f>
        <v/>
      </c>
      <c r="O975" s="25" t="str">
        <f aca="false">IF(OR(I975="",G975=""),"",I975+G975)</f>
        <v/>
      </c>
      <c r="P975" s="24" t="str">
        <f aca="false">IF(OR(O975="",O975=0),"",(J975+H975)/O975)</f>
        <v/>
      </c>
      <c r="Q975" s="24" t="str">
        <f aca="false">IF(OR(O975="",E975=""),"",MAX(J975+H975-E975*O975,0))</f>
        <v/>
      </c>
      <c r="R975" s="26" t="str">
        <f aca="false">IF(A975="","",IF(COUNTIF(_TradeIds,A975)=0,"违规：交易编号不存在",IF(OR(B975="",B975&lt;1,B975&gt;5,B975&lt;&gt;INT(B975)),"违规：加仓序号须为1到5的整数",IF(COUNTIFS($A$2:$A$1001,A975,$B$2:$B$1001,B975)&gt;1,"违规：同一交易的加仓序号重复",IF(OR(D975="",E975="",F975=""),"计划不完整：请填写加仓价、新止损价和风险预算",IF(OR(D975&lt;=0,E975&lt;=0,F975&lt;=0,D975&lt;=E975),"违规：加仓价必须高于新止损价，金额须大于0",IF(AND(B975&gt;1,COUNTIFS($A$2:$A$1001,A975,$B$2:$B$1001,B975-1,$G$2:$G$1001,"&gt;0")=0),"违规：须先完成上一次加仓",IF(AND(B975&gt;1,E975&lt;SUMIFS($E$2:$E$1001,$A$2:$A$1001,A975,$B$2:$B$1001,B975-1)),"违规：新止损价不得低于上一次",IF(AND(B975&gt;1,F975&gt;SUMIFS($F$2:$F$1001,$A$2:$A$1001,A975,$B$2:$B$1001,B975-1)),"违规：风险预算须逐次不增加",IF(OR(_LockStatus="已锁仓",_LockStatus="解锁信息不完整"),"违规：锁仓期间禁止加仓",IF(G975="","计划可执行：建议股数见N列",IF(OR(G975&lt;=0,G975&lt;&gt;INT(G975),MOD(G975,100)&lt;&gt;0),"违规：实际股数须为100股整数倍",IF(G975&gt;N975,"违规：实际股数超过风险或金字塔上限",IF(AND(B975&gt;1,G975&gt;SUMIFS($G$2:$G$1001,$A$2:$A$1001,A975,$B$2:$B$1001,B975-1)),"违规：加仓股数须逐次不增加",IF(Q975&gt;F975,"违规：止损风险超过本次预算","通过")))))))))))))))</f>
        <v/>
      </c>
    </row>
    <row r="976" customFormat="false" ht="15" hidden="false" customHeight="false" outlineLevel="0" collapsed="false">
      <c r="A976" s="20"/>
      <c r="B976" s="21"/>
      <c r="C976" s="22"/>
      <c r="D976" s="23"/>
      <c r="E976" s="23"/>
      <c r="F976" s="23"/>
      <c r="G976" s="21"/>
      <c r="H976" s="24" t="str">
        <f aca="false">IF(OR(A976="",D976="",G976=""),"",D976*G976)</f>
        <v/>
      </c>
      <c r="I976" s="25" t="str">
        <f aca="false">IF(OR(A976="",B976=""),"",IFERROR(LOOKUP(2,1/(单次交易!$A$2:$A$201=A976),单次交易!$H$2:$H$201),0)+SUMIFS($G$2:$G$1001,$A$2:$A$1001,A976,$B$2:$B$1001,"&lt;"&amp;B976))</f>
        <v/>
      </c>
      <c r="J976" s="24" t="str">
        <f aca="false">IF(OR(A976="",B976=""),"",IFERROR(LOOKUP(2,1/(单次交易!$A$2:$A$201=A976),单次交易!$E$2:$E$201)*LOOKUP(2,1/(单次交易!$A$2:$A$201=A976),单次交易!$H$2:$H$201),0)+SUMIFS($H$2:$H$1001,$A$2:$A$1001,A976,$B$2:$B$1001,"&lt;"&amp;B976))</f>
        <v/>
      </c>
      <c r="K976" s="24" t="str">
        <f aca="false">IF(OR(E976="",I976="",J976=""),"",MAX(E976*I976-J976,0))</f>
        <v/>
      </c>
      <c r="L976" s="25" t="str">
        <f aca="false">IF(OR(D976="",E976="",F976="",D976&lt;=E976),"",FLOOR((F976+K976)/(D976-E976),100))</f>
        <v/>
      </c>
      <c r="M976" s="25" t="str">
        <f aca="false">IF(OR(A976="",B976="",L976=""),"",IF(B976=1,L976,IFERROR(SUMIFS($G$2:$G$1001,$A$2:$A$1001,A976,$B$2:$B$1001,B976-1),0)))</f>
        <v/>
      </c>
      <c r="N976" s="25" t="str">
        <f aca="false">IF(OR(L976="",M976=""),"",MIN(L976,M976))</f>
        <v/>
      </c>
      <c r="O976" s="25" t="str">
        <f aca="false">IF(OR(I976="",G976=""),"",I976+G976)</f>
        <v/>
      </c>
      <c r="P976" s="24" t="str">
        <f aca="false">IF(OR(O976="",O976=0),"",(J976+H976)/O976)</f>
        <v/>
      </c>
      <c r="Q976" s="24" t="str">
        <f aca="false">IF(OR(O976="",E976=""),"",MAX(J976+H976-E976*O976,0))</f>
        <v/>
      </c>
      <c r="R976" s="26" t="str">
        <f aca="false">IF(A976="","",IF(COUNTIF(_TradeIds,A976)=0,"违规：交易编号不存在",IF(OR(B976="",B976&lt;1,B976&gt;5,B976&lt;&gt;INT(B976)),"违规：加仓序号须为1到5的整数",IF(COUNTIFS($A$2:$A$1001,A976,$B$2:$B$1001,B976)&gt;1,"违规：同一交易的加仓序号重复",IF(OR(D976="",E976="",F976=""),"计划不完整：请填写加仓价、新止损价和风险预算",IF(OR(D976&lt;=0,E976&lt;=0,F976&lt;=0,D976&lt;=E976),"违规：加仓价必须高于新止损价，金额须大于0",IF(AND(B976&gt;1,COUNTIFS($A$2:$A$1001,A976,$B$2:$B$1001,B976-1,$G$2:$G$1001,"&gt;0")=0),"违规：须先完成上一次加仓",IF(AND(B976&gt;1,E976&lt;SUMIFS($E$2:$E$1001,$A$2:$A$1001,A976,$B$2:$B$1001,B976-1)),"违规：新止损价不得低于上一次",IF(AND(B976&gt;1,F976&gt;SUMIFS($F$2:$F$1001,$A$2:$A$1001,A976,$B$2:$B$1001,B976-1)),"违规：风险预算须逐次不增加",IF(OR(_LockStatus="已锁仓",_LockStatus="解锁信息不完整"),"违规：锁仓期间禁止加仓",IF(G976="","计划可执行：建议股数见N列",IF(OR(G976&lt;=0,G976&lt;&gt;INT(G976),MOD(G976,100)&lt;&gt;0),"违规：实际股数须为100股整数倍",IF(G976&gt;N976,"违规：实际股数超过风险或金字塔上限",IF(AND(B976&gt;1,G976&gt;SUMIFS($G$2:$G$1001,$A$2:$A$1001,A976,$B$2:$B$1001,B976-1)),"违规：加仓股数须逐次不增加",IF(Q976&gt;F976,"违规：止损风险超过本次预算","通过")))))))))))))))</f>
        <v/>
      </c>
    </row>
    <row r="977" customFormat="false" ht="15" hidden="false" customHeight="false" outlineLevel="0" collapsed="false">
      <c r="A977" s="20"/>
      <c r="B977" s="21"/>
      <c r="C977" s="22"/>
      <c r="D977" s="23"/>
      <c r="E977" s="23"/>
      <c r="F977" s="23"/>
      <c r="G977" s="21"/>
      <c r="H977" s="24" t="str">
        <f aca="false">IF(OR(A977="",D977="",G977=""),"",D977*G977)</f>
        <v/>
      </c>
      <c r="I977" s="25" t="str">
        <f aca="false">IF(OR(A977="",B977=""),"",IFERROR(LOOKUP(2,1/(单次交易!$A$2:$A$201=A977),单次交易!$H$2:$H$201),0)+SUMIFS($G$2:$G$1001,$A$2:$A$1001,A977,$B$2:$B$1001,"&lt;"&amp;B977))</f>
        <v/>
      </c>
      <c r="J977" s="24" t="str">
        <f aca="false">IF(OR(A977="",B977=""),"",IFERROR(LOOKUP(2,1/(单次交易!$A$2:$A$201=A977),单次交易!$E$2:$E$201)*LOOKUP(2,1/(单次交易!$A$2:$A$201=A977),单次交易!$H$2:$H$201),0)+SUMIFS($H$2:$H$1001,$A$2:$A$1001,A977,$B$2:$B$1001,"&lt;"&amp;B977))</f>
        <v/>
      </c>
      <c r="K977" s="24" t="str">
        <f aca="false">IF(OR(E977="",I977="",J977=""),"",MAX(E977*I977-J977,0))</f>
        <v/>
      </c>
      <c r="L977" s="25" t="str">
        <f aca="false">IF(OR(D977="",E977="",F977="",D977&lt;=E977),"",FLOOR((F977+K977)/(D977-E977),100))</f>
        <v/>
      </c>
      <c r="M977" s="25" t="str">
        <f aca="false">IF(OR(A977="",B977="",L977=""),"",IF(B977=1,L977,IFERROR(SUMIFS($G$2:$G$1001,$A$2:$A$1001,A977,$B$2:$B$1001,B977-1),0)))</f>
        <v/>
      </c>
      <c r="N977" s="25" t="str">
        <f aca="false">IF(OR(L977="",M977=""),"",MIN(L977,M977))</f>
        <v/>
      </c>
      <c r="O977" s="25" t="str">
        <f aca="false">IF(OR(I977="",G977=""),"",I977+G977)</f>
        <v/>
      </c>
      <c r="P977" s="24" t="str">
        <f aca="false">IF(OR(O977="",O977=0),"",(J977+H977)/O977)</f>
        <v/>
      </c>
      <c r="Q977" s="24" t="str">
        <f aca="false">IF(OR(O977="",E977=""),"",MAX(J977+H977-E977*O977,0))</f>
        <v/>
      </c>
      <c r="R977" s="26" t="str">
        <f aca="false">IF(A977="","",IF(COUNTIF(_TradeIds,A977)=0,"违规：交易编号不存在",IF(OR(B977="",B977&lt;1,B977&gt;5,B977&lt;&gt;INT(B977)),"违规：加仓序号须为1到5的整数",IF(COUNTIFS($A$2:$A$1001,A977,$B$2:$B$1001,B977)&gt;1,"违规：同一交易的加仓序号重复",IF(OR(D977="",E977="",F977=""),"计划不完整：请填写加仓价、新止损价和风险预算",IF(OR(D977&lt;=0,E977&lt;=0,F977&lt;=0,D977&lt;=E977),"违规：加仓价必须高于新止损价，金额须大于0",IF(AND(B977&gt;1,COUNTIFS($A$2:$A$1001,A977,$B$2:$B$1001,B977-1,$G$2:$G$1001,"&gt;0")=0),"违规：须先完成上一次加仓",IF(AND(B977&gt;1,E977&lt;SUMIFS($E$2:$E$1001,$A$2:$A$1001,A977,$B$2:$B$1001,B977-1)),"违规：新止损价不得低于上一次",IF(AND(B977&gt;1,F977&gt;SUMIFS($F$2:$F$1001,$A$2:$A$1001,A977,$B$2:$B$1001,B977-1)),"违规：风险预算须逐次不增加",IF(OR(_LockStatus="已锁仓",_LockStatus="解锁信息不完整"),"违规：锁仓期间禁止加仓",IF(G977="","计划可执行：建议股数见N列",IF(OR(G977&lt;=0,G977&lt;&gt;INT(G977),MOD(G977,100)&lt;&gt;0),"违规：实际股数须为100股整数倍",IF(G977&gt;N977,"违规：实际股数超过风险或金字塔上限",IF(AND(B977&gt;1,G977&gt;SUMIFS($G$2:$G$1001,$A$2:$A$1001,A977,$B$2:$B$1001,B977-1)),"违规：加仓股数须逐次不增加",IF(Q977&gt;F977,"违规：止损风险超过本次预算","通过")))))))))))))))</f>
        <v/>
      </c>
    </row>
    <row r="978" customFormat="false" ht="15" hidden="false" customHeight="false" outlineLevel="0" collapsed="false">
      <c r="A978" s="20"/>
      <c r="B978" s="21"/>
      <c r="C978" s="22"/>
      <c r="D978" s="23"/>
      <c r="E978" s="23"/>
      <c r="F978" s="23"/>
      <c r="G978" s="21"/>
      <c r="H978" s="24" t="str">
        <f aca="false">IF(OR(A978="",D978="",G978=""),"",D978*G978)</f>
        <v/>
      </c>
      <c r="I978" s="25" t="str">
        <f aca="false">IF(OR(A978="",B978=""),"",IFERROR(LOOKUP(2,1/(单次交易!$A$2:$A$201=A978),单次交易!$H$2:$H$201),0)+SUMIFS($G$2:$G$1001,$A$2:$A$1001,A978,$B$2:$B$1001,"&lt;"&amp;B978))</f>
        <v/>
      </c>
      <c r="J978" s="24" t="str">
        <f aca="false">IF(OR(A978="",B978=""),"",IFERROR(LOOKUP(2,1/(单次交易!$A$2:$A$201=A978),单次交易!$E$2:$E$201)*LOOKUP(2,1/(单次交易!$A$2:$A$201=A978),单次交易!$H$2:$H$201),0)+SUMIFS($H$2:$H$1001,$A$2:$A$1001,A978,$B$2:$B$1001,"&lt;"&amp;B978))</f>
        <v/>
      </c>
      <c r="K978" s="24" t="str">
        <f aca="false">IF(OR(E978="",I978="",J978=""),"",MAX(E978*I978-J978,0))</f>
        <v/>
      </c>
      <c r="L978" s="25" t="str">
        <f aca="false">IF(OR(D978="",E978="",F978="",D978&lt;=E978),"",FLOOR((F978+K978)/(D978-E978),100))</f>
        <v/>
      </c>
      <c r="M978" s="25" t="str">
        <f aca="false">IF(OR(A978="",B978="",L978=""),"",IF(B978=1,L978,IFERROR(SUMIFS($G$2:$G$1001,$A$2:$A$1001,A978,$B$2:$B$1001,B978-1),0)))</f>
        <v/>
      </c>
      <c r="N978" s="25" t="str">
        <f aca="false">IF(OR(L978="",M978=""),"",MIN(L978,M978))</f>
        <v/>
      </c>
      <c r="O978" s="25" t="str">
        <f aca="false">IF(OR(I978="",G978=""),"",I978+G978)</f>
        <v/>
      </c>
      <c r="P978" s="24" t="str">
        <f aca="false">IF(OR(O978="",O978=0),"",(J978+H978)/O978)</f>
        <v/>
      </c>
      <c r="Q978" s="24" t="str">
        <f aca="false">IF(OR(O978="",E978=""),"",MAX(J978+H978-E978*O978,0))</f>
        <v/>
      </c>
      <c r="R978" s="26" t="str">
        <f aca="false">IF(A978="","",IF(COUNTIF(_TradeIds,A978)=0,"违规：交易编号不存在",IF(OR(B978="",B978&lt;1,B978&gt;5,B978&lt;&gt;INT(B978)),"违规：加仓序号须为1到5的整数",IF(COUNTIFS($A$2:$A$1001,A978,$B$2:$B$1001,B978)&gt;1,"违规：同一交易的加仓序号重复",IF(OR(D978="",E978="",F978=""),"计划不完整：请填写加仓价、新止损价和风险预算",IF(OR(D978&lt;=0,E978&lt;=0,F978&lt;=0,D978&lt;=E978),"违规：加仓价必须高于新止损价，金额须大于0",IF(AND(B978&gt;1,COUNTIFS($A$2:$A$1001,A978,$B$2:$B$1001,B978-1,$G$2:$G$1001,"&gt;0")=0),"违规：须先完成上一次加仓",IF(AND(B978&gt;1,E978&lt;SUMIFS($E$2:$E$1001,$A$2:$A$1001,A978,$B$2:$B$1001,B978-1)),"违规：新止损价不得低于上一次",IF(AND(B978&gt;1,F978&gt;SUMIFS($F$2:$F$1001,$A$2:$A$1001,A978,$B$2:$B$1001,B978-1)),"违规：风险预算须逐次不增加",IF(OR(_LockStatus="已锁仓",_LockStatus="解锁信息不完整"),"违规：锁仓期间禁止加仓",IF(G978="","计划可执行：建议股数见N列",IF(OR(G978&lt;=0,G978&lt;&gt;INT(G978),MOD(G978,100)&lt;&gt;0),"违规：实际股数须为100股整数倍",IF(G978&gt;N978,"违规：实际股数超过风险或金字塔上限",IF(AND(B978&gt;1,G978&gt;SUMIFS($G$2:$G$1001,$A$2:$A$1001,A978,$B$2:$B$1001,B978-1)),"违规：加仓股数须逐次不增加",IF(Q978&gt;F978,"违规：止损风险超过本次预算","通过")))))))))))))))</f>
        <v/>
      </c>
    </row>
    <row r="979" customFormat="false" ht="15" hidden="false" customHeight="false" outlineLevel="0" collapsed="false">
      <c r="A979" s="20"/>
      <c r="B979" s="21"/>
      <c r="C979" s="22"/>
      <c r="D979" s="23"/>
      <c r="E979" s="23"/>
      <c r="F979" s="23"/>
      <c r="G979" s="21"/>
      <c r="H979" s="24" t="str">
        <f aca="false">IF(OR(A979="",D979="",G979=""),"",D979*G979)</f>
        <v/>
      </c>
      <c r="I979" s="25" t="str">
        <f aca="false">IF(OR(A979="",B979=""),"",IFERROR(LOOKUP(2,1/(单次交易!$A$2:$A$201=A979),单次交易!$H$2:$H$201),0)+SUMIFS($G$2:$G$1001,$A$2:$A$1001,A979,$B$2:$B$1001,"&lt;"&amp;B979))</f>
        <v/>
      </c>
      <c r="J979" s="24" t="str">
        <f aca="false">IF(OR(A979="",B979=""),"",IFERROR(LOOKUP(2,1/(单次交易!$A$2:$A$201=A979),单次交易!$E$2:$E$201)*LOOKUP(2,1/(单次交易!$A$2:$A$201=A979),单次交易!$H$2:$H$201),0)+SUMIFS($H$2:$H$1001,$A$2:$A$1001,A979,$B$2:$B$1001,"&lt;"&amp;B979))</f>
        <v/>
      </c>
      <c r="K979" s="24" t="str">
        <f aca="false">IF(OR(E979="",I979="",J979=""),"",MAX(E979*I979-J979,0))</f>
        <v/>
      </c>
      <c r="L979" s="25" t="str">
        <f aca="false">IF(OR(D979="",E979="",F979="",D979&lt;=E979),"",FLOOR((F979+K979)/(D979-E979),100))</f>
        <v/>
      </c>
      <c r="M979" s="25" t="str">
        <f aca="false">IF(OR(A979="",B979="",L979=""),"",IF(B979=1,L979,IFERROR(SUMIFS($G$2:$G$1001,$A$2:$A$1001,A979,$B$2:$B$1001,B979-1),0)))</f>
        <v/>
      </c>
      <c r="N979" s="25" t="str">
        <f aca="false">IF(OR(L979="",M979=""),"",MIN(L979,M979))</f>
        <v/>
      </c>
      <c r="O979" s="25" t="str">
        <f aca="false">IF(OR(I979="",G979=""),"",I979+G979)</f>
        <v/>
      </c>
      <c r="P979" s="24" t="str">
        <f aca="false">IF(OR(O979="",O979=0),"",(J979+H979)/O979)</f>
        <v/>
      </c>
      <c r="Q979" s="24" t="str">
        <f aca="false">IF(OR(O979="",E979=""),"",MAX(J979+H979-E979*O979,0))</f>
        <v/>
      </c>
      <c r="R979" s="26" t="str">
        <f aca="false">IF(A979="","",IF(COUNTIF(_TradeIds,A979)=0,"违规：交易编号不存在",IF(OR(B979="",B979&lt;1,B979&gt;5,B979&lt;&gt;INT(B979)),"违规：加仓序号须为1到5的整数",IF(COUNTIFS($A$2:$A$1001,A979,$B$2:$B$1001,B979)&gt;1,"违规：同一交易的加仓序号重复",IF(OR(D979="",E979="",F979=""),"计划不完整：请填写加仓价、新止损价和风险预算",IF(OR(D979&lt;=0,E979&lt;=0,F979&lt;=0,D979&lt;=E979),"违规：加仓价必须高于新止损价，金额须大于0",IF(AND(B979&gt;1,COUNTIFS($A$2:$A$1001,A979,$B$2:$B$1001,B979-1,$G$2:$G$1001,"&gt;0")=0),"违规：须先完成上一次加仓",IF(AND(B979&gt;1,E979&lt;SUMIFS($E$2:$E$1001,$A$2:$A$1001,A979,$B$2:$B$1001,B979-1)),"违规：新止损价不得低于上一次",IF(AND(B979&gt;1,F979&gt;SUMIFS($F$2:$F$1001,$A$2:$A$1001,A979,$B$2:$B$1001,B979-1)),"违规：风险预算须逐次不增加",IF(OR(_LockStatus="已锁仓",_LockStatus="解锁信息不完整"),"违规：锁仓期间禁止加仓",IF(G979="","计划可执行：建议股数见N列",IF(OR(G979&lt;=0,G979&lt;&gt;INT(G979),MOD(G979,100)&lt;&gt;0),"违规：实际股数须为100股整数倍",IF(G979&gt;N979,"违规：实际股数超过风险或金字塔上限",IF(AND(B979&gt;1,G979&gt;SUMIFS($G$2:$G$1001,$A$2:$A$1001,A979,$B$2:$B$1001,B979-1)),"违规：加仓股数须逐次不增加",IF(Q979&gt;F979,"违规：止损风险超过本次预算","通过")))))))))))))))</f>
        <v/>
      </c>
    </row>
    <row r="980" customFormat="false" ht="15" hidden="false" customHeight="false" outlineLevel="0" collapsed="false">
      <c r="A980" s="20"/>
      <c r="B980" s="21"/>
      <c r="C980" s="22"/>
      <c r="D980" s="23"/>
      <c r="E980" s="23"/>
      <c r="F980" s="23"/>
      <c r="G980" s="21"/>
      <c r="H980" s="24" t="str">
        <f aca="false">IF(OR(A980="",D980="",G980=""),"",D980*G980)</f>
        <v/>
      </c>
      <c r="I980" s="25" t="str">
        <f aca="false">IF(OR(A980="",B980=""),"",IFERROR(LOOKUP(2,1/(单次交易!$A$2:$A$201=A980),单次交易!$H$2:$H$201),0)+SUMIFS($G$2:$G$1001,$A$2:$A$1001,A980,$B$2:$B$1001,"&lt;"&amp;B980))</f>
        <v/>
      </c>
      <c r="J980" s="24" t="str">
        <f aca="false">IF(OR(A980="",B980=""),"",IFERROR(LOOKUP(2,1/(单次交易!$A$2:$A$201=A980),单次交易!$E$2:$E$201)*LOOKUP(2,1/(单次交易!$A$2:$A$201=A980),单次交易!$H$2:$H$201),0)+SUMIFS($H$2:$H$1001,$A$2:$A$1001,A980,$B$2:$B$1001,"&lt;"&amp;B980))</f>
        <v/>
      </c>
      <c r="K980" s="24" t="str">
        <f aca="false">IF(OR(E980="",I980="",J980=""),"",MAX(E980*I980-J980,0))</f>
        <v/>
      </c>
      <c r="L980" s="25" t="str">
        <f aca="false">IF(OR(D980="",E980="",F980="",D980&lt;=E980),"",FLOOR((F980+K980)/(D980-E980),100))</f>
        <v/>
      </c>
      <c r="M980" s="25" t="str">
        <f aca="false">IF(OR(A980="",B980="",L980=""),"",IF(B980=1,L980,IFERROR(SUMIFS($G$2:$G$1001,$A$2:$A$1001,A980,$B$2:$B$1001,B980-1),0)))</f>
        <v/>
      </c>
      <c r="N980" s="25" t="str">
        <f aca="false">IF(OR(L980="",M980=""),"",MIN(L980,M980))</f>
        <v/>
      </c>
      <c r="O980" s="25" t="str">
        <f aca="false">IF(OR(I980="",G980=""),"",I980+G980)</f>
        <v/>
      </c>
      <c r="P980" s="24" t="str">
        <f aca="false">IF(OR(O980="",O980=0),"",(J980+H980)/O980)</f>
        <v/>
      </c>
      <c r="Q980" s="24" t="str">
        <f aca="false">IF(OR(O980="",E980=""),"",MAX(J980+H980-E980*O980,0))</f>
        <v/>
      </c>
      <c r="R980" s="26" t="str">
        <f aca="false">IF(A980="","",IF(COUNTIF(_TradeIds,A980)=0,"违规：交易编号不存在",IF(OR(B980="",B980&lt;1,B980&gt;5,B980&lt;&gt;INT(B980)),"违规：加仓序号须为1到5的整数",IF(COUNTIFS($A$2:$A$1001,A980,$B$2:$B$1001,B980)&gt;1,"违规：同一交易的加仓序号重复",IF(OR(D980="",E980="",F980=""),"计划不完整：请填写加仓价、新止损价和风险预算",IF(OR(D980&lt;=0,E980&lt;=0,F980&lt;=0,D980&lt;=E980),"违规：加仓价必须高于新止损价，金额须大于0",IF(AND(B980&gt;1,COUNTIFS($A$2:$A$1001,A980,$B$2:$B$1001,B980-1,$G$2:$G$1001,"&gt;0")=0),"违规：须先完成上一次加仓",IF(AND(B980&gt;1,E980&lt;SUMIFS($E$2:$E$1001,$A$2:$A$1001,A980,$B$2:$B$1001,B980-1)),"违规：新止损价不得低于上一次",IF(AND(B980&gt;1,F980&gt;SUMIFS($F$2:$F$1001,$A$2:$A$1001,A980,$B$2:$B$1001,B980-1)),"违规：风险预算须逐次不增加",IF(OR(_LockStatus="已锁仓",_LockStatus="解锁信息不完整"),"违规：锁仓期间禁止加仓",IF(G980="","计划可执行：建议股数见N列",IF(OR(G980&lt;=0,G980&lt;&gt;INT(G980),MOD(G980,100)&lt;&gt;0),"违规：实际股数须为100股整数倍",IF(G980&gt;N980,"违规：实际股数超过风险或金字塔上限",IF(AND(B980&gt;1,G980&gt;SUMIFS($G$2:$G$1001,$A$2:$A$1001,A980,$B$2:$B$1001,B980-1)),"违规：加仓股数须逐次不增加",IF(Q980&gt;F980,"违规：止损风险超过本次预算","通过")))))))))))))))</f>
        <v/>
      </c>
    </row>
    <row r="981" customFormat="false" ht="15" hidden="false" customHeight="false" outlineLevel="0" collapsed="false">
      <c r="A981" s="20"/>
      <c r="B981" s="21"/>
      <c r="C981" s="22"/>
      <c r="D981" s="23"/>
      <c r="E981" s="23"/>
      <c r="F981" s="23"/>
      <c r="G981" s="21"/>
      <c r="H981" s="24" t="str">
        <f aca="false">IF(OR(A981="",D981="",G981=""),"",D981*G981)</f>
        <v/>
      </c>
      <c r="I981" s="25" t="str">
        <f aca="false">IF(OR(A981="",B981=""),"",IFERROR(LOOKUP(2,1/(单次交易!$A$2:$A$201=A981),单次交易!$H$2:$H$201),0)+SUMIFS($G$2:$G$1001,$A$2:$A$1001,A981,$B$2:$B$1001,"&lt;"&amp;B981))</f>
        <v/>
      </c>
      <c r="J981" s="24" t="str">
        <f aca="false">IF(OR(A981="",B981=""),"",IFERROR(LOOKUP(2,1/(单次交易!$A$2:$A$201=A981),单次交易!$E$2:$E$201)*LOOKUP(2,1/(单次交易!$A$2:$A$201=A981),单次交易!$H$2:$H$201),0)+SUMIFS($H$2:$H$1001,$A$2:$A$1001,A981,$B$2:$B$1001,"&lt;"&amp;B981))</f>
        <v/>
      </c>
      <c r="K981" s="24" t="str">
        <f aca="false">IF(OR(E981="",I981="",J981=""),"",MAX(E981*I981-J981,0))</f>
        <v/>
      </c>
      <c r="L981" s="25" t="str">
        <f aca="false">IF(OR(D981="",E981="",F981="",D981&lt;=E981),"",FLOOR((F981+K981)/(D981-E981),100))</f>
        <v/>
      </c>
      <c r="M981" s="25" t="str">
        <f aca="false">IF(OR(A981="",B981="",L981=""),"",IF(B981=1,L981,IFERROR(SUMIFS($G$2:$G$1001,$A$2:$A$1001,A981,$B$2:$B$1001,B981-1),0)))</f>
        <v/>
      </c>
      <c r="N981" s="25" t="str">
        <f aca="false">IF(OR(L981="",M981=""),"",MIN(L981,M981))</f>
        <v/>
      </c>
      <c r="O981" s="25" t="str">
        <f aca="false">IF(OR(I981="",G981=""),"",I981+G981)</f>
        <v/>
      </c>
      <c r="P981" s="24" t="str">
        <f aca="false">IF(OR(O981="",O981=0),"",(J981+H981)/O981)</f>
        <v/>
      </c>
      <c r="Q981" s="24" t="str">
        <f aca="false">IF(OR(O981="",E981=""),"",MAX(J981+H981-E981*O981,0))</f>
        <v/>
      </c>
      <c r="R981" s="26" t="str">
        <f aca="false">IF(A981="","",IF(COUNTIF(_TradeIds,A981)=0,"违规：交易编号不存在",IF(OR(B981="",B981&lt;1,B981&gt;5,B981&lt;&gt;INT(B981)),"违规：加仓序号须为1到5的整数",IF(COUNTIFS($A$2:$A$1001,A981,$B$2:$B$1001,B981)&gt;1,"违规：同一交易的加仓序号重复",IF(OR(D981="",E981="",F981=""),"计划不完整：请填写加仓价、新止损价和风险预算",IF(OR(D981&lt;=0,E981&lt;=0,F981&lt;=0,D981&lt;=E981),"违规：加仓价必须高于新止损价，金额须大于0",IF(AND(B981&gt;1,COUNTIFS($A$2:$A$1001,A981,$B$2:$B$1001,B981-1,$G$2:$G$1001,"&gt;0")=0),"违规：须先完成上一次加仓",IF(AND(B981&gt;1,E981&lt;SUMIFS($E$2:$E$1001,$A$2:$A$1001,A981,$B$2:$B$1001,B981-1)),"违规：新止损价不得低于上一次",IF(AND(B981&gt;1,F981&gt;SUMIFS($F$2:$F$1001,$A$2:$A$1001,A981,$B$2:$B$1001,B981-1)),"违规：风险预算须逐次不增加",IF(OR(_LockStatus="已锁仓",_LockStatus="解锁信息不完整"),"违规：锁仓期间禁止加仓",IF(G981="","计划可执行：建议股数见N列",IF(OR(G981&lt;=0,G981&lt;&gt;INT(G981),MOD(G981,100)&lt;&gt;0),"违规：实际股数须为100股整数倍",IF(G981&gt;N981,"违规：实际股数超过风险或金字塔上限",IF(AND(B981&gt;1,G981&gt;SUMIFS($G$2:$G$1001,$A$2:$A$1001,A981,$B$2:$B$1001,B981-1)),"违规：加仓股数须逐次不增加",IF(Q981&gt;F981,"违规：止损风险超过本次预算","通过")))))))))))))))</f>
        <v/>
      </c>
    </row>
    <row r="982" customFormat="false" ht="15" hidden="false" customHeight="false" outlineLevel="0" collapsed="false">
      <c r="A982" s="20"/>
      <c r="B982" s="21"/>
      <c r="C982" s="22"/>
      <c r="D982" s="23"/>
      <c r="E982" s="23"/>
      <c r="F982" s="23"/>
      <c r="G982" s="21"/>
      <c r="H982" s="24" t="str">
        <f aca="false">IF(OR(A982="",D982="",G982=""),"",D982*G982)</f>
        <v/>
      </c>
      <c r="I982" s="25" t="str">
        <f aca="false">IF(OR(A982="",B982=""),"",IFERROR(LOOKUP(2,1/(单次交易!$A$2:$A$201=A982),单次交易!$H$2:$H$201),0)+SUMIFS($G$2:$G$1001,$A$2:$A$1001,A982,$B$2:$B$1001,"&lt;"&amp;B982))</f>
        <v/>
      </c>
      <c r="J982" s="24" t="str">
        <f aca="false">IF(OR(A982="",B982=""),"",IFERROR(LOOKUP(2,1/(单次交易!$A$2:$A$201=A982),单次交易!$E$2:$E$201)*LOOKUP(2,1/(单次交易!$A$2:$A$201=A982),单次交易!$H$2:$H$201),0)+SUMIFS($H$2:$H$1001,$A$2:$A$1001,A982,$B$2:$B$1001,"&lt;"&amp;B982))</f>
        <v/>
      </c>
      <c r="K982" s="24" t="str">
        <f aca="false">IF(OR(E982="",I982="",J982=""),"",MAX(E982*I982-J982,0))</f>
        <v/>
      </c>
      <c r="L982" s="25" t="str">
        <f aca="false">IF(OR(D982="",E982="",F982="",D982&lt;=E982),"",FLOOR((F982+K982)/(D982-E982),100))</f>
        <v/>
      </c>
      <c r="M982" s="25" t="str">
        <f aca="false">IF(OR(A982="",B982="",L982=""),"",IF(B982=1,L982,IFERROR(SUMIFS($G$2:$G$1001,$A$2:$A$1001,A982,$B$2:$B$1001,B982-1),0)))</f>
        <v/>
      </c>
      <c r="N982" s="25" t="str">
        <f aca="false">IF(OR(L982="",M982=""),"",MIN(L982,M982))</f>
        <v/>
      </c>
      <c r="O982" s="25" t="str">
        <f aca="false">IF(OR(I982="",G982=""),"",I982+G982)</f>
        <v/>
      </c>
      <c r="P982" s="24" t="str">
        <f aca="false">IF(OR(O982="",O982=0),"",(J982+H982)/O982)</f>
        <v/>
      </c>
      <c r="Q982" s="24" t="str">
        <f aca="false">IF(OR(O982="",E982=""),"",MAX(J982+H982-E982*O982,0))</f>
        <v/>
      </c>
      <c r="R982" s="26" t="str">
        <f aca="false">IF(A982="","",IF(COUNTIF(_TradeIds,A982)=0,"违规：交易编号不存在",IF(OR(B982="",B982&lt;1,B982&gt;5,B982&lt;&gt;INT(B982)),"违规：加仓序号须为1到5的整数",IF(COUNTIFS($A$2:$A$1001,A982,$B$2:$B$1001,B982)&gt;1,"违规：同一交易的加仓序号重复",IF(OR(D982="",E982="",F982=""),"计划不完整：请填写加仓价、新止损价和风险预算",IF(OR(D982&lt;=0,E982&lt;=0,F982&lt;=0,D982&lt;=E982),"违规：加仓价必须高于新止损价，金额须大于0",IF(AND(B982&gt;1,COUNTIFS($A$2:$A$1001,A982,$B$2:$B$1001,B982-1,$G$2:$G$1001,"&gt;0")=0),"违规：须先完成上一次加仓",IF(AND(B982&gt;1,E982&lt;SUMIFS($E$2:$E$1001,$A$2:$A$1001,A982,$B$2:$B$1001,B982-1)),"违规：新止损价不得低于上一次",IF(AND(B982&gt;1,F982&gt;SUMIFS($F$2:$F$1001,$A$2:$A$1001,A982,$B$2:$B$1001,B982-1)),"违规：风险预算须逐次不增加",IF(OR(_LockStatus="已锁仓",_LockStatus="解锁信息不完整"),"违规：锁仓期间禁止加仓",IF(G982="","计划可执行：建议股数见N列",IF(OR(G982&lt;=0,G982&lt;&gt;INT(G982),MOD(G982,100)&lt;&gt;0),"违规：实际股数须为100股整数倍",IF(G982&gt;N982,"违规：实际股数超过风险或金字塔上限",IF(AND(B982&gt;1,G982&gt;SUMIFS($G$2:$G$1001,$A$2:$A$1001,A982,$B$2:$B$1001,B982-1)),"违规：加仓股数须逐次不增加",IF(Q982&gt;F982,"违规：止损风险超过本次预算","通过")))))))))))))))</f>
        <v/>
      </c>
    </row>
    <row r="983" customFormat="false" ht="15" hidden="false" customHeight="false" outlineLevel="0" collapsed="false">
      <c r="A983" s="20"/>
      <c r="B983" s="21"/>
      <c r="C983" s="22"/>
      <c r="D983" s="23"/>
      <c r="E983" s="23"/>
      <c r="F983" s="23"/>
      <c r="G983" s="21"/>
      <c r="H983" s="24" t="str">
        <f aca="false">IF(OR(A983="",D983="",G983=""),"",D983*G983)</f>
        <v/>
      </c>
      <c r="I983" s="25" t="str">
        <f aca="false">IF(OR(A983="",B983=""),"",IFERROR(LOOKUP(2,1/(单次交易!$A$2:$A$201=A983),单次交易!$H$2:$H$201),0)+SUMIFS($G$2:$G$1001,$A$2:$A$1001,A983,$B$2:$B$1001,"&lt;"&amp;B983))</f>
        <v/>
      </c>
      <c r="J983" s="24" t="str">
        <f aca="false">IF(OR(A983="",B983=""),"",IFERROR(LOOKUP(2,1/(单次交易!$A$2:$A$201=A983),单次交易!$E$2:$E$201)*LOOKUP(2,1/(单次交易!$A$2:$A$201=A983),单次交易!$H$2:$H$201),0)+SUMIFS($H$2:$H$1001,$A$2:$A$1001,A983,$B$2:$B$1001,"&lt;"&amp;B983))</f>
        <v/>
      </c>
      <c r="K983" s="24" t="str">
        <f aca="false">IF(OR(E983="",I983="",J983=""),"",MAX(E983*I983-J983,0))</f>
        <v/>
      </c>
      <c r="L983" s="25" t="str">
        <f aca="false">IF(OR(D983="",E983="",F983="",D983&lt;=E983),"",FLOOR((F983+K983)/(D983-E983),100))</f>
        <v/>
      </c>
      <c r="M983" s="25" t="str">
        <f aca="false">IF(OR(A983="",B983="",L983=""),"",IF(B983=1,L983,IFERROR(SUMIFS($G$2:$G$1001,$A$2:$A$1001,A983,$B$2:$B$1001,B983-1),0)))</f>
        <v/>
      </c>
      <c r="N983" s="25" t="str">
        <f aca="false">IF(OR(L983="",M983=""),"",MIN(L983,M983))</f>
        <v/>
      </c>
      <c r="O983" s="25" t="str">
        <f aca="false">IF(OR(I983="",G983=""),"",I983+G983)</f>
        <v/>
      </c>
      <c r="P983" s="24" t="str">
        <f aca="false">IF(OR(O983="",O983=0),"",(J983+H983)/O983)</f>
        <v/>
      </c>
      <c r="Q983" s="24" t="str">
        <f aca="false">IF(OR(O983="",E983=""),"",MAX(J983+H983-E983*O983,0))</f>
        <v/>
      </c>
      <c r="R983" s="26" t="str">
        <f aca="false">IF(A983="","",IF(COUNTIF(_TradeIds,A983)=0,"违规：交易编号不存在",IF(OR(B983="",B983&lt;1,B983&gt;5,B983&lt;&gt;INT(B983)),"违规：加仓序号须为1到5的整数",IF(COUNTIFS($A$2:$A$1001,A983,$B$2:$B$1001,B983)&gt;1,"违规：同一交易的加仓序号重复",IF(OR(D983="",E983="",F983=""),"计划不完整：请填写加仓价、新止损价和风险预算",IF(OR(D983&lt;=0,E983&lt;=0,F983&lt;=0,D983&lt;=E983),"违规：加仓价必须高于新止损价，金额须大于0",IF(AND(B983&gt;1,COUNTIFS($A$2:$A$1001,A983,$B$2:$B$1001,B983-1,$G$2:$G$1001,"&gt;0")=0),"违规：须先完成上一次加仓",IF(AND(B983&gt;1,E983&lt;SUMIFS($E$2:$E$1001,$A$2:$A$1001,A983,$B$2:$B$1001,B983-1)),"违规：新止损价不得低于上一次",IF(AND(B983&gt;1,F983&gt;SUMIFS($F$2:$F$1001,$A$2:$A$1001,A983,$B$2:$B$1001,B983-1)),"违规：风险预算须逐次不增加",IF(OR(_LockStatus="已锁仓",_LockStatus="解锁信息不完整"),"违规：锁仓期间禁止加仓",IF(G983="","计划可执行：建议股数见N列",IF(OR(G983&lt;=0,G983&lt;&gt;INT(G983),MOD(G983,100)&lt;&gt;0),"违规：实际股数须为100股整数倍",IF(G983&gt;N983,"违规：实际股数超过风险或金字塔上限",IF(AND(B983&gt;1,G983&gt;SUMIFS($G$2:$G$1001,$A$2:$A$1001,A983,$B$2:$B$1001,B983-1)),"违规：加仓股数须逐次不增加",IF(Q983&gt;F983,"违规：止损风险超过本次预算","通过")))))))))))))))</f>
        <v/>
      </c>
    </row>
    <row r="984" customFormat="false" ht="15" hidden="false" customHeight="false" outlineLevel="0" collapsed="false">
      <c r="A984" s="20"/>
      <c r="B984" s="21"/>
      <c r="C984" s="22"/>
      <c r="D984" s="23"/>
      <c r="E984" s="23"/>
      <c r="F984" s="23"/>
      <c r="G984" s="21"/>
      <c r="H984" s="24" t="str">
        <f aca="false">IF(OR(A984="",D984="",G984=""),"",D984*G984)</f>
        <v/>
      </c>
      <c r="I984" s="25" t="str">
        <f aca="false">IF(OR(A984="",B984=""),"",IFERROR(LOOKUP(2,1/(单次交易!$A$2:$A$201=A984),单次交易!$H$2:$H$201),0)+SUMIFS($G$2:$G$1001,$A$2:$A$1001,A984,$B$2:$B$1001,"&lt;"&amp;B984))</f>
        <v/>
      </c>
      <c r="J984" s="24" t="str">
        <f aca="false">IF(OR(A984="",B984=""),"",IFERROR(LOOKUP(2,1/(单次交易!$A$2:$A$201=A984),单次交易!$E$2:$E$201)*LOOKUP(2,1/(单次交易!$A$2:$A$201=A984),单次交易!$H$2:$H$201),0)+SUMIFS($H$2:$H$1001,$A$2:$A$1001,A984,$B$2:$B$1001,"&lt;"&amp;B984))</f>
        <v/>
      </c>
      <c r="K984" s="24" t="str">
        <f aca="false">IF(OR(E984="",I984="",J984=""),"",MAX(E984*I984-J984,0))</f>
        <v/>
      </c>
      <c r="L984" s="25" t="str">
        <f aca="false">IF(OR(D984="",E984="",F984="",D984&lt;=E984),"",FLOOR((F984+K984)/(D984-E984),100))</f>
        <v/>
      </c>
      <c r="M984" s="25" t="str">
        <f aca="false">IF(OR(A984="",B984="",L984=""),"",IF(B984=1,L984,IFERROR(SUMIFS($G$2:$G$1001,$A$2:$A$1001,A984,$B$2:$B$1001,B984-1),0)))</f>
        <v/>
      </c>
      <c r="N984" s="25" t="str">
        <f aca="false">IF(OR(L984="",M984=""),"",MIN(L984,M984))</f>
        <v/>
      </c>
      <c r="O984" s="25" t="str">
        <f aca="false">IF(OR(I984="",G984=""),"",I984+G984)</f>
        <v/>
      </c>
      <c r="P984" s="24" t="str">
        <f aca="false">IF(OR(O984="",O984=0),"",(J984+H984)/O984)</f>
        <v/>
      </c>
      <c r="Q984" s="24" t="str">
        <f aca="false">IF(OR(O984="",E984=""),"",MAX(J984+H984-E984*O984,0))</f>
        <v/>
      </c>
      <c r="R984" s="26" t="str">
        <f aca="false">IF(A984="","",IF(COUNTIF(_TradeIds,A984)=0,"违规：交易编号不存在",IF(OR(B984="",B984&lt;1,B984&gt;5,B984&lt;&gt;INT(B984)),"违规：加仓序号须为1到5的整数",IF(COUNTIFS($A$2:$A$1001,A984,$B$2:$B$1001,B984)&gt;1,"违规：同一交易的加仓序号重复",IF(OR(D984="",E984="",F984=""),"计划不完整：请填写加仓价、新止损价和风险预算",IF(OR(D984&lt;=0,E984&lt;=0,F984&lt;=0,D984&lt;=E984),"违规：加仓价必须高于新止损价，金额须大于0",IF(AND(B984&gt;1,COUNTIFS($A$2:$A$1001,A984,$B$2:$B$1001,B984-1,$G$2:$G$1001,"&gt;0")=0),"违规：须先完成上一次加仓",IF(AND(B984&gt;1,E984&lt;SUMIFS($E$2:$E$1001,$A$2:$A$1001,A984,$B$2:$B$1001,B984-1)),"违规：新止损价不得低于上一次",IF(AND(B984&gt;1,F984&gt;SUMIFS($F$2:$F$1001,$A$2:$A$1001,A984,$B$2:$B$1001,B984-1)),"违规：风险预算须逐次不增加",IF(OR(_LockStatus="已锁仓",_LockStatus="解锁信息不完整"),"违规：锁仓期间禁止加仓",IF(G984="","计划可执行：建议股数见N列",IF(OR(G984&lt;=0,G984&lt;&gt;INT(G984),MOD(G984,100)&lt;&gt;0),"违规：实际股数须为100股整数倍",IF(G984&gt;N984,"违规：实际股数超过风险或金字塔上限",IF(AND(B984&gt;1,G984&gt;SUMIFS($G$2:$G$1001,$A$2:$A$1001,A984,$B$2:$B$1001,B984-1)),"违规：加仓股数须逐次不增加",IF(Q984&gt;F984,"违规：止损风险超过本次预算","通过")))))))))))))))</f>
        <v/>
      </c>
    </row>
    <row r="985" customFormat="false" ht="15" hidden="false" customHeight="false" outlineLevel="0" collapsed="false">
      <c r="A985" s="20"/>
      <c r="B985" s="21"/>
      <c r="C985" s="22"/>
      <c r="D985" s="23"/>
      <c r="E985" s="23"/>
      <c r="F985" s="23"/>
      <c r="G985" s="21"/>
      <c r="H985" s="24" t="str">
        <f aca="false">IF(OR(A985="",D985="",G985=""),"",D985*G985)</f>
        <v/>
      </c>
      <c r="I985" s="25" t="str">
        <f aca="false">IF(OR(A985="",B985=""),"",IFERROR(LOOKUP(2,1/(单次交易!$A$2:$A$201=A985),单次交易!$H$2:$H$201),0)+SUMIFS($G$2:$G$1001,$A$2:$A$1001,A985,$B$2:$B$1001,"&lt;"&amp;B985))</f>
        <v/>
      </c>
      <c r="J985" s="24" t="str">
        <f aca="false">IF(OR(A985="",B985=""),"",IFERROR(LOOKUP(2,1/(单次交易!$A$2:$A$201=A985),单次交易!$E$2:$E$201)*LOOKUP(2,1/(单次交易!$A$2:$A$201=A985),单次交易!$H$2:$H$201),0)+SUMIFS($H$2:$H$1001,$A$2:$A$1001,A985,$B$2:$B$1001,"&lt;"&amp;B985))</f>
        <v/>
      </c>
      <c r="K985" s="24" t="str">
        <f aca="false">IF(OR(E985="",I985="",J985=""),"",MAX(E985*I985-J985,0))</f>
        <v/>
      </c>
      <c r="L985" s="25" t="str">
        <f aca="false">IF(OR(D985="",E985="",F985="",D985&lt;=E985),"",FLOOR((F985+K985)/(D985-E985),100))</f>
        <v/>
      </c>
      <c r="M985" s="25" t="str">
        <f aca="false">IF(OR(A985="",B985="",L985=""),"",IF(B985=1,L985,IFERROR(SUMIFS($G$2:$G$1001,$A$2:$A$1001,A985,$B$2:$B$1001,B985-1),0)))</f>
        <v/>
      </c>
      <c r="N985" s="25" t="str">
        <f aca="false">IF(OR(L985="",M985=""),"",MIN(L985,M985))</f>
        <v/>
      </c>
      <c r="O985" s="25" t="str">
        <f aca="false">IF(OR(I985="",G985=""),"",I985+G985)</f>
        <v/>
      </c>
      <c r="P985" s="24" t="str">
        <f aca="false">IF(OR(O985="",O985=0),"",(J985+H985)/O985)</f>
        <v/>
      </c>
      <c r="Q985" s="24" t="str">
        <f aca="false">IF(OR(O985="",E985=""),"",MAX(J985+H985-E985*O985,0))</f>
        <v/>
      </c>
      <c r="R985" s="26" t="str">
        <f aca="false">IF(A985="","",IF(COUNTIF(_TradeIds,A985)=0,"违规：交易编号不存在",IF(OR(B985="",B985&lt;1,B985&gt;5,B985&lt;&gt;INT(B985)),"违规：加仓序号须为1到5的整数",IF(COUNTIFS($A$2:$A$1001,A985,$B$2:$B$1001,B985)&gt;1,"违规：同一交易的加仓序号重复",IF(OR(D985="",E985="",F985=""),"计划不完整：请填写加仓价、新止损价和风险预算",IF(OR(D985&lt;=0,E985&lt;=0,F985&lt;=0,D985&lt;=E985),"违规：加仓价必须高于新止损价，金额须大于0",IF(AND(B985&gt;1,COUNTIFS($A$2:$A$1001,A985,$B$2:$B$1001,B985-1,$G$2:$G$1001,"&gt;0")=0),"违规：须先完成上一次加仓",IF(AND(B985&gt;1,E985&lt;SUMIFS($E$2:$E$1001,$A$2:$A$1001,A985,$B$2:$B$1001,B985-1)),"违规：新止损价不得低于上一次",IF(AND(B985&gt;1,F985&gt;SUMIFS($F$2:$F$1001,$A$2:$A$1001,A985,$B$2:$B$1001,B985-1)),"违规：风险预算须逐次不增加",IF(OR(_LockStatus="已锁仓",_LockStatus="解锁信息不完整"),"违规：锁仓期间禁止加仓",IF(G985="","计划可执行：建议股数见N列",IF(OR(G985&lt;=0,G985&lt;&gt;INT(G985),MOD(G985,100)&lt;&gt;0),"违规：实际股数须为100股整数倍",IF(G985&gt;N985,"违规：实际股数超过风险或金字塔上限",IF(AND(B985&gt;1,G985&gt;SUMIFS($G$2:$G$1001,$A$2:$A$1001,A985,$B$2:$B$1001,B985-1)),"违规：加仓股数须逐次不增加",IF(Q985&gt;F985,"违规：止损风险超过本次预算","通过")))))))))))))))</f>
        <v/>
      </c>
    </row>
    <row r="986" customFormat="false" ht="15" hidden="false" customHeight="false" outlineLevel="0" collapsed="false">
      <c r="A986" s="20"/>
      <c r="B986" s="21"/>
      <c r="C986" s="22"/>
      <c r="D986" s="23"/>
      <c r="E986" s="23"/>
      <c r="F986" s="23"/>
      <c r="G986" s="21"/>
      <c r="H986" s="24" t="str">
        <f aca="false">IF(OR(A986="",D986="",G986=""),"",D986*G986)</f>
        <v/>
      </c>
      <c r="I986" s="25" t="str">
        <f aca="false">IF(OR(A986="",B986=""),"",IFERROR(LOOKUP(2,1/(单次交易!$A$2:$A$201=A986),单次交易!$H$2:$H$201),0)+SUMIFS($G$2:$G$1001,$A$2:$A$1001,A986,$B$2:$B$1001,"&lt;"&amp;B986))</f>
        <v/>
      </c>
      <c r="J986" s="24" t="str">
        <f aca="false">IF(OR(A986="",B986=""),"",IFERROR(LOOKUP(2,1/(单次交易!$A$2:$A$201=A986),单次交易!$E$2:$E$201)*LOOKUP(2,1/(单次交易!$A$2:$A$201=A986),单次交易!$H$2:$H$201),0)+SUMIFS($H$2:$H$1001,$A$2:$A$1001,A986,$B$2:$B$1001,"&lt;"&amp;B986))</f>
        <v/>
      </c>
      <c r="K986" s="24" t="str">
        <f aca="false">IF(OR(E986="",I986="",J986=""),"",MAX(E986*I986-J986,0))</f>
        <v/>
      </c>
      <c r="L986" s="25" t="str">
        <f aca="false">IF(OR(D986="",E986="",F986="",D986&lt;=E986),"",FLOOR((F986+K986)/(D986-E986),100))</f>
        <v/>
      </c>
      <c r="M986" s="25" t="str">
        <f aca="false">IF(OR(A986="",B986="",L986=""),"",IF(B986=1,L986,IFERROR(SUMIFS($G$2:$G$1001,$A$2:$A$1001,A986,$B$2:$B$1001,B986-1),0)))</f>
        <v/>
      </c>
      <c r="N986" s="25" t="str">
        <f aca="false">IF(OR(L986="",M986=""),"",MIN(L986,M986))</f>
        <v/>
      </c>
      <c r="O986" s="25" t="str">
        <f aca="false">IF(OR(I986="",G986=""),"",I986+G986)</f>
        <v/>
      </c>
      <c r="P986" s="24" t="str">
        <f aca="false">IF(OR(O986="",O986=0),"",(J986+H986)/O986)</f>
        <v/>
      </c>
      <c r="Q986" s="24" t="str">
        <f aca="false">IF(OR(O986="",E986=""),"",MAX(J986+H986-E986*O986,0))</f>
        <v/>
      </c>
      <c r="R986" s="26" t="str">
        <f aca="false">IF(A986="","",IF(COUNTIF(_TradeIds,A986)=0,"违规：交易编号不存在",IF(OR(B986="",B986&lt;1,B986&gt;5,B986&lt;&gt;INT(B986)),"违规：加仓序号须为1到5的整数",IF(COUNTIFS($A$2:$A$1001,A986,$B$2:$B$1001,B986)&gt;1,"违规：同一交易的加仓序号重复",IF(OR(D986="",E986="",F986=""),"计划不完整：请填写加仓价、新止损价和风险预算",IF(OR(D986&lt;=0,E986&lt;=0,F986&lt;=0,D986&lt;=E986),"违规：加仓价必须高于新止损价，金额须大于0",IF(AND(B986&gt;1,COUNTIFS($A$2:$A$1001,A986,$B$2:$B$1001,B986-1,$G$2:$G$1001,"&gt;0")=0),"违规：须先完成上一次加仓",IF(AND(B986&gt;1,E986&lt;SUMIFS($E$2:$E$1001,$A$2:$A$1001,A986,$B$2:$B$1001,B986-1)),"违规：新止损价不得低于上一次",IF(AND(B986&gt;1,F986&gt;SUMIFS($F$2:$F$1001,$A$2:$A$1001,A986,$B$2:$B$1001,B986-1)),"违规：风险预算须逐次不增加",IF(OR(_LockStatus="已锁仓",_LockStatus="解锁信息不完整"),"违规：锁仓期间禁止加仓",IF(G986="","计划可执行：建议股数见N列",IF(OR(G986&lt;=0,G986&lt;&gt;INT(G986),MOD(G986,100)&lt;&gt;0),"违规：实际股数须为100股整数倍",IF(G986&gt;N986,"违规：实际股数超过风险或金字塔上限",IF(AND(B986&gt;1,G986&gt;SUMIFS($G$2:$G$1001,$A$2:$A$1001,A986,$B$2:$B$1001,B986-1)),"违规：加仓股数须逐次不增加",IF(Q986&gt;F986,"违规：止损风险超过本次预算","通过")))))))))))))))</f>
        <v/>
      </c>
    </row>
    <row r="987" customFormat="false" ht="15" hidden="false" customHeight="false" outlineLevel="0" collapsed="false">
      <c r="A987" s="20"/>
      <c r="B987" s="21"/>
      <c r="C987" s="22"/>
      <c r="D987" s="23"/>
      <c r="E987" s="23"/>
      <c r="F987" s="23"/>
      <c r="G987" s="21"/>
      <c r="H987" s="24" t="str">
        <f aca="false">IF(OR(A987="",D987="",G987=""),"",D987*G987)</f>
        <v/>
      </c>
      <c r="I987" s="25" t="str">
        <f aca="false">IF(OR(A987="",B987=""),"",IFERROR(LOOKUP(2,1/(单次交易!$A$2:$A$201=A987),单次交易!$H$2:$H$201),0)+SUMIFS($G$2:$G$1001,$A$2:$A$1001,A987,$B$2:$B$1001,"&lt;"&amp;B987))</f>
        <v/>
      </c>
      <c r="J987" s="24" t="str">
        <f aca="false">IF(OR(A987="",B987=""),"",IFERROR(LOOKUP(2,1/(单次交易!$A$2:$A$201=A987),单次交易!$E$2:$E$201)*LOOKUP(2,1/(单次交易!$A$2:$A$201=A987),单次交易!$H$2:$H$201),0)+SUMIFS($H$2:$H$1001,$A$2:$A$1001,A987,$B$2:$B$1001,"&lt;"&amp;B987))</f>
        <v/>
      </c>
      <c r="K987" s="24" t="str">
        <f aca="false">IF(OR(E987="",I987="",J987=""),"",MAX(E987*I987-J987,0))</f>
        <v/>
      </c>
      <c r="L987" s="25" t="str">
        <f aca="false">IF(OR(D987="",E987="",F987="",D987&lt;=E987),"",FLOOR((F987+K987)/(D987-E987),100))</f>
        <v/>
      </c>
      <c r="M987" s="25" t="str">
        <f aca="false">IF(OR(A987="",B987="",L987=""),"",IF(B987=1,L987,IFERROR(SUMIFS($G$2:$G$1001,$A$2:$A$1001,A987,$B$2:$B$1001,B987-1),0)))</f>
        <v/>
      </c>
      <c r="N987" s="25" t="str">
        <f aca="false">IF(OR(L987="",M987=""),"",MIN(L987,M987))</f>
        <v/>
      </c>
      <c r="O987" s="25" t="str">
        <f aca="false">IF(OR(I987="",G987=""),"",I987+G987)</f>
        <v/>
      </c>
      <c r="P987" s="24" t="str">
        <f aca="false">IF(OR(O987="",O987=0),"",(J987+H987)/O987)</f>
        <v/>
      </c>
      <c r="Q987" s="24" t="str">
        <f aca="false">IF(OR(O987="",E987=""),"",MAX(J987+H987-E987*O987,0))</f>
        <v/>
      </c>
      <c r="R987" s="26" t="str">
        <f aca="false">IF(A987="","",IF(COUNTIF(_TradeIds,A987)=0,"违规：交易编号不存在",IF(OR(B987="",B987&lt;1,B987&gt;5,B987&lt;&gt;INT(B987)),"违规：加仓序号须为1到5的整数",IF(COUNTIFS($A$2:$A$1001,A987,$B$2:$B$1001,B987)&gt;1,"违规：同一交易的加仓序号重复",IF(OR(D987="",E987="",F987=""),"计划不完整：请填写加仓价、新止损价和风险预算",IF(OR(D987&lt;=0,E987&lt;=0,F987&lt;=0,D987&lt;=E987),"违规：加仓价必须高于新止损价，金额须大于0",IF(AND(B987&gt;1,COUNTIFS($A$2:$A$1001,A987,$B$2:$B$1001,B987-1,$G$2:$G$1001,"&gt;0")=0),"违规：须先完成上一次加仓",IF(AND(B987&gt;1,E987&lt;SUMIFS($E$2:$E$1001,$A$2:$A$1001,A987,$B$2:$B$1001,B987-1)),"违规：新止损价不得低于上一次",IF(AND(B987&gt;1,F987&gt;SUMIFS($F$2:$F$1001,$A$2:$A$1001,A987,$B$2:$B$1001,B987-1)),"违规：风险预算须逐次不增加",IF(OR(_LockStatus="已锁仓",_LockStatus="解锁信息不完整"),"违规：锁仓期间禁止加仓",IF(G987="","计划可执行：建议股数见N列",IF(OR(G987&lt;=0,G987&lt;&gt;INT(G987),MOD(G987,100)&lt;&gt;0),"违规：实际股数须为100股整数倍",IF(G987&gt;N987,"违规：实际股数超过风险或金字塔上限",IF(AND(B987&gt;1,G987&gt;SUMIFS($G$2:$G$1001,$A$2:$A$1001,A987,$B$2:$B$1001,B987-1)),"违规：加仓股数须逐次不增加",IF(Q987&gt;F987,"违规：止损风险超过本次预算","通过")))))))))))))))</f>
        <v/>
      </c>
    </row>
    <row r="988" customFormat="false" ht="15" hidden="false" customHeight="false" outlineLevel="0" collapsed="false">
      <c r="A988" s="20"/>
      <c r="B988" s="21"/>
      <c r="C988" s="22"/>
      <c r="D988" s="23"/>
      <c r="E988" s="23"/>
      <c r="F988" s="23"/>
      <c r="G988" s="21"/>
      <c r="H988" s="24" t="str">
        <f aca="false">IF(OR(A988="",D988="",G988=""),"",D988*G988)</f>
        <v/>
      </c>
      <c r="I988" s="25" t="str">
        <f aca="false">IF(OR(A988="",B988=""),"",IFERROR(LOOKUP(2,1/(单次交易!$A$2:$A$201=A988),单次交易!$H$2:$H$201),0)+SUMIFS($G$2:$G$1001,$A$2:$A$1001,A988,$B$2:$B$1001,"&lt;"&amp;B988))</f>
        <v/>
      </c>
      <c r="J988" s="24" t="str">
        <f aca="false">IF(OR(A988="",B988=""),"",IFERROR(LOOKUP(2,1/(单次交易!$A$2:$A$201=A988),单次交易!$E$2:$E$201)*LOOKUP(2,1/(单次交易!$A$2:$A$201=A988),单次交易!$H$2:$H$201),0)+SUMIFS($H$2:$H$1001,$A$2:$A$1001,A988,$B$2:$B$1001,"&lt;"&amp;B988))</f>
        <v/>
      </c>
      <c r="K988" s="24" t="str">
        <f aca="false">IF(OR(E988="",I988="",J988=""),"",MAX(E988*I988-J988,0))</f>
        <v/>
      </c>
      <c r="L988" s="25" t="str">
        <f aca="false">IF(OR(D988="",E988="",F988="",D988&lt;=E988),"",FLOOR((F988+K988)/(D988-E988),100))</f>
        <v/>
      </c>
      <c r="M988" s="25" t="str">
        <f aca="false">IF(OR(A988="",B988="",L988=""),"",IF(B988=1,L988,IFERROR(SUMIFS($G$2:$G$1001,$A$2:$A$1001,A988,$B$2:$B$1001,B988-1),0)))</f>
        <v/>
      </c>
      <c r="N988" s="25" t="str">
        <f aca="false">IF(OR(L988="",M988=""),"",MIN(L988,M988))</f>
        <v/>
      </c>
      <c r="O988" s="25" t="str">
        <f aca="false">IF(OR(I988="",G988=""),"",I988+G988)</f>
        <v/>
      </c>
      <c r="P988" s="24" t="str">
        <f aca="false">IF(OR(O988="",O988=0),"",(J988+H988)/O988)</f>
        <v/>
      </c>
      <c r="Q988" s="24" t="str">
        <f aca="false">IF(OR(O988="",E988=""),"",MAX(J988+H988-E988*O988,0))</f>
        <v/>
      </c>
      <c r="R988" s="26" t="str">
        <f aca="false">IF(A988="","",IF(COUNTIF(_TradeIds,A988)=0,"违规：交易编号不存在",IF(OR(B988="",B988&lt;1,B988&gt;5,B988&lt;&gt;INT(B988)),"违规：加仓序号须为1到5的整数",IF(COUNTIFS($A$2:$A$1001,A988,$B$2:$B$1001,B988)&gt;1,"违规：同一交易的加仓序号重复",IF(OR(D988="",E988="",F988=""),"计划不完整：请填写加仓价、新止损价和风险预算",IF(OR(D988&lt;=0,E988&lt;=0,F988&lt;=0,D988&lt;=E988),"违规：加仓价必须高于新止损价，金额须大于0",IF(AND(B988&gt;1,COUNTIFS($A$2:$A$1001,A988,$B$2:$B$1001,B988-1,$G$2:$G$1001,"&gt;0")=0),"违规：须先完成上一次加仓",IF(AND(B988&gt;1,E988&lt;SUMIFS($E$2:$E$1001,$A$2:$A$1001,A988,$B$2:$B$1001,B988-1)),"违规：新止损价不得低于上一次",IF(AND(B988&gt;1,F988&gt;SUMIFS($F$2:$F$1001,$A$2:$A$1001,A988,$B$2:$B$1001,B988-1)),"违规：风险预算须逐次不增加",IF(OR(_LockStatus="已锁仓",_LockStatus="解锁信息不完整"),"违规：锁仓期间禁止加仓",IF(G988="","计划可执行：建议股数见N列",IF(OR(G988&lt;=0,G988&lt;&gt;INT(G988),MOD(G988,100)&lt;&gt;0),"违规：实际股数须为100股整数倍",IF(G988&gt;N988,"违规：实际股数超过风险或金字塔上限",IF(AND(B988&gt;1,G988&gt;SUMIFS($G$2:$G$1001,$A$2:$A$1001,A988,$B$2:$B$1001,B988-1)),"违规：加仓股数须逐次不增加",IF(Q988&gt;F988,"违规：止损风险超过本次预算","通过")))))))))))))))</f>
        <v/>
      </c>
    </row>
    <row r="989" customFormat="false" ht="15" hidden="false" customHeight="false" outlineLevel="0" collapsed="false">
      <c r="A989" s="20"/>
      <c r="B989" s="21"/>
      <c r="C989" s="22"/>
      <c r="D989" s="23"/>
      <c r="E989" s="23"/>
      <c r="F989" s="23"/>
      <c r="G989" s="21"/>
      <c r="H989" s="24" t="str">
        <f aca="false">IF(OR(A989="",D989="",G989=""),"",D989*G989)</f>
        <v/>
      </c>
      <c r="I989" s="25" t="str">
        <f aca="false">IF(OR(A989="",B989=""),"",IFERROR(LOOKUP(2,1/(单次交易!$A$2:$A$201=A989),单次交易!$H$2:$H$201),0)+SUMIFS($G$2:$G$1001,$A$2:$A$1001,A989,$B$2:$B$1001,"&lt;"&amp;B989))</f>
        <v/>
      </c>
      <c r="J989" s="24" t="str">
        <f aca="false">IF(OR(A989="",B989=""),"",IFERROR(LOOKUP(2,1/(单次交易!$A$2:$A$201=A989),单次交易!$E$2:$E$201)*LOOKUP(2,1/(单次交易!$A$2:$A$201=A989),单次交易!$H$2:$H$201),0)+SUMIFS($H$2:$H$1001,$A$2:$A$1001,A989,$B$2:$B$1001,"&lt;"&amp;B989))</f>
        <v/>
      </c>
      <c r="K989" s="24" t="str">
        <f aca="false">IF(OR(E989="",I989="",J989=""),"",MAX(E989*I989-J989,0))</f>
        <v/>
      </c>
      <c r="L989" s="25" t="str">
        <f aca="false">IF(OR(D989="",E989="",F989="",D989&lt;=E989),"",FLOOR((F989+K989)/(D989-E989),100))</f>
        <v/>
      </c>
      <c r="M989" s="25" t="str">
        <f aca="false">IF(OR(A989="",B989="",L989=""),"",IF(B989=1,L989,IFERROR(SUMIFS($G$2:$G$1001,$A$2:$A$1001,A989,$B$2:$B$1001,B989-1),0)))</f>
        <v/>
      </c>
      <c r="N989" s="25" t="str">
        <f aca="false">IF(OR(L989="",M989=""),"",MIN(L989,M989))</f>
        <v/>
      </c>
      <c r="O989" s="25" t="str">
        <f aca="false">IF(OR(I989="",G989=""),"",I989+G989)</f>
        <v/>
      </c>
      <c r="P989" s="24" t="str">
        <f aca="false">IF(OR(O989="",O989=0),"",(J989+H989)/O989)</f>
        <v/>
      </c>
      <c r="Q989" s="24" t="str">
        <f aca="false">IF(OR(O989="",E989=""),"",MAX(J989+H989-E989*O989,0))</f>
        <v/>
      </c>
      <c r="R989" s="26" t="str">
        <f aca="false">IF(A989="","",IF(COUNTIF(_TradeIds,A989)=0,"违规：交易编号不存在",IF(OR(B989="",B989&lt;1,B989&gt;5,B989&lt;&gt;INT(B989)),"违规：加仓序号须为1到5的整数",IF(COUNTIFS($A$2:$A$1001,A989,$B$2:$B$1001,B989)&gt;1,"违规：同一交易的加仓序号重复",IF(OR(D989="",E989="",F989=""),"计划不完整：请填写加仓价、新止损价和风险预算",IF(OR(D989&lt;=0,E989&lt;=0,F989&lt;=0,D989&lt;=E989),"违规：加仓价必须高于新止损价，金额须大于0",IF(AND(B989&gt;1,COUNTIFS($A$2:$A$1001,A989,$B$2:$B$1001,B989-1,$G$2:$G$1001,"&gt;0")=0),"违规：须先完成上一次加仓",IF(AND(B989&gt;1,E989&lt;SUMIFS($E$2:$E$1001,$A$2:$A$1001,A989,$B$2:$B$1001,B989-1)),"违规：新止损价不得低于上一次",IF(AND(B989&gt;1,F989&gt;SUMIFS($F$2:$F$1001,$A$2:$A$1001,A989,$B$2:$B$1001,B989-1)),"违规：风险预算须逐次不增加",IF(OR(_LockStatus="已锁仓",_LockStatus="解锁信息不完整"),"违规：锁仓期间禁止加仓",IF(G989="","计划可执行：建议股数见N列",IF(OR(G989&lt;=0,G989&lt;&gt;INT(G989),MOD(G989,100)&lt;&gt;0),"违规：实际股数须为100股整数倍",IF(G989&gt;N989,"违规：实际股数超过风险或金字塔上限",IF(AND(B989&gt;1,G989&gt;SUMIFS($G$2:$G$1001,$A$2:$A$1001,A989,$B$2:$B$1001,B989-1)),"违规：加仓股数须逐次不增加",IF(Q989&gt;F989,"违规：止损风险超过本次预算","通过")))))))))))))))</f>
        <v/>
      </c>
    </row>
    <row r="990" customFormat="false" ht="15" hidden="false" customHeight="false" outlineLevel="0" collapsed="false">
      <c r="A990" s="20"/>
      <c r="B990" s="21"/>
      <c r="C990" s="22"/>
      <c r="D990" s="23"/>
      <c r="E990" s="23"/>
      <c r="F990" s="23"/>
      <c r="G990" s="21"/>
      <c r="H990" s="24" t="str">
        <f aca="false">IF(OR(A990="",D990="",G990=""),"",D990*G990)</f>
        <v/>
      </c>
      <c r="I990" s="25" t="str">
        <f aca="false">IF(OR(A990="",B990=""),"",IFERROR(LOOKUP(2,1/(单次交易!$A$2:$A$201=A990),单次交易!$H$2:$H$201),0)+SUMIFS($G$2:$G$1001,$A$2:$A$1001,A990,$B$2:$B$1001,"&lt;"&amp;B990))</f>
        <v/>
      </c>
      <c r="J990" s="24" t="str">
        <f aca="false">IF(OR(A990="",B990=""),"",IFERROR(LOOKUP(2,1/(单次交易!$A$2:$A$201=A990),单次交易!$E$2:$E$201)*LOOKUP(2,1/(单次交易!$A$2:$A$201=A990),单次交易!$H$2:$H$201),0)+SUMIFS($H$2:$H$1001,$A$2:$A$1001,A990,$B$2:$B$1001,"&lt;"&amp;B990))</f>
        <v/>
      </c>
      <c r="K990" s="24" t="str">
        <f aca="false">IF(OR(E990="",I990="",J990=""),"",MAX(E990*I990-J990,0))</f>
        <v/>
      </c>
      <c r="L990" s="25" t="str">
        <f aca="false">IF(OR(D990="",E990="",F990="",D990&lt;=E990),"",FLOOR((F990+K990)/(D990-E990),100))</f>
        <v/>
      </c>
      <c r="M990" s="25" t="str">
        <f aca="false">IF(OR(A990="",B990="",L990=""),"",IF(B990=1,L990,IFERROR(SUMIFS($G$2:$G$1001,$A$2:$A$1001,A990,$B$2:$B$1001,B990-1),0)))</f>
        <v/>
      </c>
      <c r="N990" s="25" t="str">
        <f aca="false">IF(OR(L990="",M990=""),"",MIN(L990,M990))</f>
        <v/>
      </c>
      <c r="O990" s="25" t="str">
        <f aca="false">IF(OR(I990="",G990=""),"",I990+G990)</f>
        <v/>
      </c>
      <c r="P990" s="24" t="str">
        <f aca="false">IF(OR(O990="",O990=0),"",(J990+H990)/O990)</f>
        <v/>
      </c>
      <c r="Q990" s="24" t="str">
        <f aca="false">IF(OR(O990="",E990=""),"",MAX(J990+H990-E990*O990,0))</f>
        <v/>
      </c>
      <c r="R990" s="26" t="str">
        <f aca="false">IF(A990="","",IF(COUNTIF(_TradeIds,A990)=0,"违规：交易编号不存在",IF(OR(B990="",B990&lt;1,B990&gt;5,B990&lt;&gt;INT(B990)),"违规：加仓序号须为1到5的整数",IF(COUNTIFS($A$2:$A$1001,A990,$B$2:$B$1001,B990)&gt;1,"违规：同一交易的加仓序号重复",IF(OR(D990="",E990="",F990=""),"计划不完整：请填写加仓价、新止损价和风险预算",IF(OR(D990&lt;=0,E990&lt;=0,F990&lt;=0,D990&lt;=E990),"违规：加仓价必须高于新止损价，金额须大于0",IF(AND(B990&gt;1,COUNTIFS($A$2:$A$1001,A990,$B$2:$B$1001,B990-1,$G$2:$G$1001,"&gt;0")=0),"违规：须先完成上一次加仓",IF(AND(B990&gt;1,E990&lt;SUMIFS($E$2:$E$1001,$A$2:$A$1001,A990,$B$2:$B$1001,B990-1)),"违规：新止损价不得低于上一次",IF(AND(B990&gt;1,F990&gt;SUMIFS($F$2:$F$1001,$A$2:$A$1001,A990,$B$2:$B$1001,B990-1)),"违规：风险预算须逐次不增加",IF(OR(_LockStatus="已锁仓",_LockStatus="解锁信息不完整"),"违规：锁仓期间禁止加仓",IF(G990="","计划可执行：建议股数见N列",IF(OR(G990&lt;=0,G990&lt;&gt;INT(G990),MOD(G990,100)&lt;&gt;0),"违规：实际股数须为100股整数倍",IF(G990&gt;N990,"违规：实际股数超过风险或金字塔上限",IF(AND(B990&gt;1,G990&gt;SUMIFS($G$2:$G$1001,$A$2:$A$1001,A990,$B$2:$B$1001,B990-1)),"违规：加仓股数须逐次不增加",IF(Q990&gt;F990,"违规：止损风险超过本次预算","通过")))))))))))))))</f>
        <v/>
      </c>
    </row>
    <row r="991" customFormat="false" ht="15" hidden="false" customHeight="false" outlineLevel="0" collapsed="false">
      <c r="A991" s="20"/>
      <c r="B991" s="21"/>
      <c r="C991" s="22"/>
      <c r="D991" s="23"/>
      <c r="E991" s="23"/>
      <c r="F991" s="23"/>
      <c r="G991" s="21"/>
      <c r="H991" s="24" t="str">
        <f aca="false">IF(OR(A991="",D991="",G991=""),"",D991*G991)</f>
        <v/>
      </c>
      <c r="I991" s="25" t="str">
        <f aca="false">IF(OR(A991="",B991=""),"",IFERROR(LOOKUP(2,1/(单次交易!$A$2:$A$201=A991),单次交易!$H$2:$H$201),0)+SUMIFS($G$2:$G$1001,$A$2:$A$1001,A991,$B$2:$B$1001,"&lt;"&amp;B991))</f>
        <v/>
      </c>
      <c r="J991" s="24" t="str">
        <f aca="false">IF(OR(A991="",B991=""),"",IFERROR(LOOKUP(2,1/(单次交易!$A$2:$A$201=A991),单次交易!$E$2:$E$201)*LOOKUP(2,1/(单次交易!$A$2:$A$201=A991),单次交易!$H$2:$H$201),0)+SUMIFS($H$2:$H$1001,$A$2:$A$1001,A991,$B$2:$B$1001,"&lt;"&amp;B991))</f>
        <v/>
      </c>
      <c r="K991" s="24" t="str">
        <f aca="false">IF(OR(E991="",I991="",J991=""),"",MAX(E991*I991-J991,0))</f>
        <v/>
      </c>
      <c r="L991" s="25" t="str">
        <f aca="false">IF(OR(D991="",E991="",F991="",D991&lt;=E991),"",FLOOR((F991+K991)/(D991-E991),100))</f>
        <v/>
      </c>
      <c r="M991" s="25" t="str">
        <f aca="false">IF(OR(A991="",B991="",L991=""),"",IF(B991=1,L991,IFERROR(SUMIFS($G$2:$G$1001,$A$2:$A$1001,A991,$B$2:$B$1001,B991-1),0)))</f>
        <v/>
      </c>
      <c r="N991" s="25" t="str">
        <f aca="false">IF(OR(L991="",M991=""),"",MIN(L991,M991))</f>
        <v/>
      </c>
      <c r="O991" s="25" t="str">
        <f aca="false">IF(OR(I991="",G991=""),"",I991+G991)</f>
        <v/>
      </c>
      <c r="P991" s="24" t="str">
        <f aca="false">IF(OR(O991="",O991=0),"",(J991+H991)/O991)</f>
        <v/>
      </c>
      <c r="Q991" s="24" t="str">
        <f aca="false">IF(OR(O991="",E991=""),"",MAX(J991+H991-E991*O991,0))</f>
        <v/>
      </c>
      <c r="R991" s="26" t="str">
        <f aca="false">IF(A991="","",IF(COUNTIF(_TradeIds,A991)=0,"违规：交易编号不存在",IF(OR(B991="",B991&lt;1,B991&gt;5,B991&lt;&gt;INT(B991)),"违规：加仓序号须为1到5的整数",IF(COUNTIFS($A$2:$A$1001,A991,$B$2:$B$1001,B991)&gt;1,"违规：同一交易的加仓序号重复",IF(OR(D991="",E991="",F991=""),"计划不完整：请填写加仓价、新止损价和风险预算",IF(OR(D991&lt;=0,E991&lt;=0,F991&lt;=0,D991&lt;=E991),"违规：加仓价必须高于新止损价，金额须大于0",IF(AND(B991&gt;1,COUNTIFS($A$2:$A$1001,A991,$B$2:$B$1001,B991-1,$G$2:$G$1001,"&gt;0")=0),"违规：须先完成上一次加仓",IF(AND(B991&gt;1,E991&lt;SUMIFS($E$2:$E$1001,$A$2:$A$1001,A991,$B$2:$B$1001,B991-1)),"违规：新止损价不得低于上一次",IF(AND(B991&gt;1,F991&gt;SUMIFS($F$2:$F$1001,$A$2:$A$1001,A991,$B$2:$B$1001,B991-1)),"违规：风险预算须逐次不增加",IF(OR(_LockStatus="已锁仓",_LockStatus="解锁信息不完整"),"违规：锁仓期间禁止加仓",IF(G991="","计划可执行：建议股数见N列",IF(OR(G991&lt;=0,G991&lt;&gt;INT(G991),MOD(G991,100)&lt;&gt;0),"违规：实际股数须为100股整数倍",IF(G991&gt;N991,"违规：实际股数超过风险或金字塔上限",IF(AND(B991&gt;1,G991&gt;SUMIFS($G$2:$G$1001,$A$2:$A$1001,A991,$B$2:$B$1001,B991-1)),"违规：加仓股数须逐次不增加",IF(Q991&gt;F991,"违规：止损风险超过本次预算","通过")))))))))))))))</f>
        <v/>
      </c>
    </row>
    <row r="992" customFormat="false" ht="15" hidden="false" customHeight="false" outlineLevel="0" collapsed="false">
      <c r="A992" s="20"/>
      <c r="B992" s="21"/>
      <c r="C992" s="22"/>
      <c r="D992" s="23"/>
      <c r="E992" s="23"/>
      <c r="F992" s="23"/>
      <c r="G992" s="21"/>
      <c r="H992" s="24" t="str">
        <f aca="false">IF(OR(A992="",D992="",G992=""),"",D992*G992)</f>
        <v/>
      </c>
      <c r="I992" s="25" t="str">
        <f aca="false">IF(OR(A992="",B992=""),"",IFERROR(LOOKUP(2,1/(单次交易!$A$2:$A$201=A992),单次交易!$H$2:$H$201),0)+SUMIFS($G$2:$G$1001,$A$2:$A$1001,A992,$B$2:$B$1001,"&lt;"&amp;B992))</f>
        <v/>
      </c>
      <c r="J992" s="24" t="str">
        <f aca="false">IF(OR(A992="",B992=""),"",IFERROR(LOOKUP(2,1/(单次交易!$A$2:$A$201=A992),单次交易!$E$2:$E$201)*LOOKUP(2,1/(单次交易!$A$2:$A$201=A992),单次交易!$H$2:$H$201),0)+SUMIFS($H$2:$H$1001,$A$2:$A$1001,A992,$B$2:$B$1001,"&lt;"&amp;B992))</f>
        <v/>
      </c>
      <c r="K992" s="24" t="str">
        <f aca="false">IF(OR(E992="",I992="",J992=""),"",MAX(E992*I992-J992,0))</f>
        <v/>
      </c>
      <c r="L992" s="25" t="str">
        <f aca="false">IF(OR(D992="",E992="",F992="",D992&lt;=E992),"",FLOOR((F992+K992)/(D992-E992),100))</f>
        <v/>
      </c>
      <c r="M992" s="25" t="str">
        <f aca="false">IF(OR(A992="",B992="",L992=""),"",IF(B992=1,L992,IFERROR(SUMIFS($G$2:$G$1001,$A$2:$A$1001,A992,$B$2:$B$1001,B992-1),0)))</f>
        <v/>
      </c>
      <c r="N992" s="25" t="str">
        <f aca="false">IF(OR(L992="",M992=""),"",MIN(L992,M992))</f>
        <v/>
      </c>
      <c r="O992" s="25" t="str">
        <f aca="false">IF(OR(I992="",G992=""),"",I992+G992)</f>
        <v/>
      </c>
      <c r="P992" s="24" t="str">
        <f aca="false">IF(OR(O992="",O992=0),"",(J992+H992)/O992)</f>
        <v/>
      </c>
      <c r="Q992" s="24" t="str">
        <f aca="false">IF(OR(O992="",E992=""),"",MAX(J992+H992-E992*O992,0))</f>
        <v/>
      </c>
      <c r="R992" s="26" t="str">
        <f aca="false">IF(A992="","",IF(COUNTIF(_TradeIds,A992)=0,"违规：交易编号不存在",IF(OR(B992="",B992&lt;1,B992&gt;5,B992&lt;&gt;INT(B992)),"违规：加仓序号须为1到5的整数",IF(COUNTIFS($A$2:$A$1001,A992,$B$2:$B$1001,B992)&gt;1,"违规：同一交易的加仓序号重复",IF(OR(D992="",E992="",F992=""),"计划不完整：请填写加仓价、新止损价和风险预算",IF(OR(D992&lt;=0,E992&lt;=0,F992&lt;=0,D992&lt;=E992),"违规：加仓价必须高于新止损价，金额须大于0",IF(AND(B992&gt;1,COUNTIFS($A$2:$A$1001,A992,$B$2:$B$1001,B992-1,$G$2:$G$1001,"&gt;0")=0),"违规：须先完成上一次加仓",IF(AND(B992&gt;1,E992&lt;SUMIFS($E$2:$E$1001,$A$2:$A$1001,A992,$B$2:$B$1001,B992-1)),"违规：新止损价不得低于上一次",IF(AND(B992&gt;1,F992&gt;SUMIFS($F$2:$F$1001,$A$2:$A$1001,A992,$B$2:$B$1001,B992-1)),"违规：风险预算须逐次不增加",IF(OR(_LockStatus="已锁仓",_LockStatus="解锁信息不完整"),"违规：锁仓期间禁止加仓",IF(G992="","计划可执行：建议股数见N列",IF(OR(G992&lt;=0,G992&lt;&gt;INT(G992),MOD(G992,100)&lt;&gt;0),"违规：实际股数须为100股整数倍",IF(G992&gt;N992,"违规：实际股数超过风险或金字塔上限",IF(AND(B992&gt;1,G992&gt;SUMIFS($G$2:$G$1001,$A$2:$A$1001,A992,$B$2:$B$1001,B992-1)),"违规：加仓股数须逐次不增加",IF(Q992&gt;F992,"违规：止损风险超过本次预算","通过")))))))))))))))</f>
        <v/>
      </c>
    </row>
    <row r="993" customFormat="false" ht="15" hidden="false" customHeight="false" outlineLevel="0" collapsed="false">
      <c r="A993" s="20"/>
      <c r="B993" s="21"/>
      <c r="C993" s="22"/>
      <c r="D993" s="23"/>
      <c r="E993" s="23"/>
      <c r="F993" s="23"/>
      <c r="G993" s="21"/>
      <c r="H993" s="24" t="str">
        <f aca="false">IF(OR(A993="",D993="",G993=""),"",D993*G993)</f>
        <v/>
      </c>
      <c r="I993" s="25" t="str">
        <f aca="false">IF(OR(A993="",B993=""),"",IFERROR(LOOKUP(2,1/(单次交易!$A$2:$A$201=A993),单次交易!$H$2:$H$201),0)+SUMIFS($G$2:$G$1001,$A$2:$A$1001,A993,$B$2:$B$1001,"&lt;"&amp;B993))</f>
        <v/>
      </c>
      <c r="J993" s="24" t="str">
        <f aca="false">IF(OR(A993="",B993=""),"",IFERROR(LOOKUP(2,1/(单次交易!$A$2:$A$201=A993),单次交易!$E$2:$E$201)*LOOKUP(2,1/(单次交易!$A$2:$A$201=A993),单次交易!$H$2:$H$201),0)+SUMIFS($H$2:$H$1001,$A$2:$A$1001,A993,$B$2:$B$1001,"&lt;"&amp;B993))</f>
        <v/>
      </c>
      <c r="K993" s="24" t="str">
        <f aca="false">IF(OR(E993="",I993="",J993=""),"",MAX(E993*I993-J993,0))</f>
        <v/>
      </c>
      <c r="L993" s="25" t="str">
        <f aca="false">IF(OR(D993="",E993="",F993="",D993&lt;=E993),"",FLOOR((F993+K993)/(D993-E993),100))</f>
        <v/>
      </c>
      <c r="M993" s="25" t="str">
        <f aca="false">IF(OR(A993="",B993="",L993=""),"",IF(B993=1,L993,IFERROR(SUMIFS($G$2:$G$1001,$A$2:$A$1001,A993,$B$2:$B$1001,B993-1),0)))</f>
        <v/>
      </c>
      <c r="N993" s="25" t="str">
        <f aca="false">IF(OR(L993="",M993=""),"",MIN(L993,M993))</f>
        <v/>
      </c>
      <c r="O993" s="25" t="str">
        <f aca="false">IF(OR(I993="",G993=""),"",I993+G993)</f>
        <v/>
      </c>
      <c r="P993" s="24" t="str">
        <f aca="false">IF(OR(O993="",O993=0),"",(J993+H993)/O993)</f>
        <v/>
      </c>
      <c r="Q993" s="24" t="str">
        <f aca="false">IF(OR(O993="",E993=""),"",MAX(J993+H993-E993*O993,0))</f>
        <v/>
      </c>
      <c r="R993" s="26" t="str">
        <f aca="false">IF(A993="","",IF(COUNTIF(_TradeIds,A993)=0,"违规：交易编号不存在",IF(OR(B993="",B993&lt;1,B993&gt;5,B993&lt;&gt;INT(B993)),"违规：加仓序号须为1到5的整数",IF(COUNTIFS($A$2:$A$1001,A993,$B$2:$B$1001,B993)&gt;1,"违规：同一交易的加仓序号重复",IF(OR(D993="",E993="",F993=""),"计划不完整：请填写加仓价、新止损价和风险预算",IF(OR(D993&lt;=0,E993&lt;=0,F993&lt;=0,D993&lt;=E993),"违规：加仓价必须高于新止损价，金额须大于0",IF(AND(B993&gt;1,COUNTIFS($A$2:$A$1001,A993,$B$2:$B$1001,B993-1,$G$2:$G$1001,"&gt;0")=0),"违规：须先完成上一次加仓",IF(AND(B993&gt;1,E993&lt;SUMIFS($E$2:$E$1001,$A$2:$A$1001,A993,$B$2:$B$1001,B993-1)),"违规：新止损价不得低于上一次",IF(AND(B993&gt;1,F993&gt;SUMIFS($F$2:$F$1001,$A$2:$A$1001,A993,$B$2:$B$1001,B993-1)),"违规：风险预算须逐次不增加",IF(OR(_LockStatus="已锁仓",_LockStatus="解锁信息不完整"),"违规：锁仓期间禁止加仓",IF(G993="","计划可执行：建议股数见N列",IF(OR(G993&lt;=0,G993&lt;&gt;INT(G993),MOD(G993,100)&lt;&gt;0),"违规：实际股数须为100股整数倍",IF(G993&gt;N993,"违规：实际股数超过风险或金字塔上限",IF(AND(B993&gt;1,G993&gt;SUMIFS($G$2:$G$1001,$A$2:$A$1001,A993,$B$2:$B$1001,B993-1)),"违规：加仓股数须逐次不增加",IF(Q993&gt;F993,"违规：止损风险超过本次预算","通过")))))))))))))))</f>
        <v/>
      </c>
    </row>
    <row r="994" customFormat="false" ht="15" hidden="false" customHeight="false" outlineLevel="0" collapsed="false">
      <c r="A994" s="20"/>
      <c r="B994" s="21"/>
      <c r="C994" s="22"/>
      <c r="D994" s="23"/>
      <c r="E994" s="23"/>
      <c r="F994" s="23"/>
      <c r="G994" s="21"/>
      <c r="H994" s="24" t="str">
        <f aca="false">IF(OR(A994="",D994="",G994=""),"",D994*G994)</f>
        <v/>
      </c>
      <c r="I994" s="25" t="str">
        <f aca="false">IF(OR(A994="",B994=""),"",IFERROR(LOOKUP(2,1/(单次交易!$A$2:$A$201=A994),单次交易!$H$2:$H$201),0)+SUMIFS($G$2:$G$1001,$A$2:$A$1001,A994,$B$2:$B$1001,"&lt;"&amp;B994))</f>
        <v/>
      </c>
      <c r="J994" s="24" t="str">
        <f aca="false">IF(OR(A994="",B994=""),"",IFERROR(LOOKUP(2,1/(单次交易!$A$2:$A$201=A994),单次交易!$E$2:$E$201)*LOOKUP(2,1/(单次交易!$A$2:$A$201=A994),单次交易!$H$2:$H$201),0)+SUMIFS($H$2:$H$1001,$A$2:$A$1001,A994,$B$2:$B$1001,"&lt;"&amp;B994))</f>
        <v/>
      </c>
      <c r="K994" s="24" t="str">
        <f aca="false">IF(OR(E994="",I994="",J994=""),"",MAX(E994*I994-J994,0))</f>
        <v/>
      </c>
      <c r="L994" s="25" t="str">
        <f aca="false">IF(OR(D994="",E994="",F994="",D994&lt;=E994),"",FLOOR((F994+K994)/(D994-E994),100))</f>
        <v/>
      </c>
      <c r="M994" s="25" t="str">
        <f aca="false">IF(OR(A994="",B994="",L994=""),"",IF(B994=1,L994,IFERROR(SUMIFS($G$2:$G$1001,$A$2:$A$1001,A994,$B$2:$B$1001,B994-1),0)))</f>
        <v/>
      </c>
      <c r="N994" s="25" t="str">
        <f aca="false">IF(OR(L994="",M994=""),"",MIN(L994,M994))</f>
        <v/>
      </c>
      <c r="O994" s="25" t="str">
        <f aca="false">IF(OR(I994="",G994=""),"",I994+G994)</f>
        <v/>
      </c>
      <c r="P994" s="24" t="str">
        <f aca="false">IF(OR(O994="",O994=0),"",(J994+H994)/O994)</f>
        <v/>
      </c>
      <c r="Q994" s="24" t="str">
        <f aca="false">IF(OR(O994="",E994=""),"",MAX(J994+H994-E994*O994,0))</f>
        <v/>
      </c>
      <c r="R994" s="26" t="str">
        <f aca="false">IF(A994="","",IF(COUNTIF(_TradeIds,A994)=0,"违规：交易编号不存在",IF(OR(B994="",B994&lt;1,B994&gt;5,B994&lt;&gt;INT(B994)),"违规：加仓序号须为1到5的整数",IF(COUNTIFS($A$2:$A$1001,A994,$B$2:$B$1001,B994)&gt;1,"违规：同一交易的加仓序号重复",IF(OR(D994="",E994="",F994=""),"计划不完整：请填写加仓价、新止损价和风险预算",IF(OR(D994&lt;=0,E994&lt;=0,F994&lt;=0,D994&lt;=E994),"违规：加仓价必须高于新止损价，金额须大于0",IF(AND(B994&gt;1,COUNTIFS($A$2:$A$1001,A994,$B$2:$B$1001,B994-1,$G$2:$G$1001,"&gt;0")=0),"违规：须先完成上一次加仓",IF(AND(B994&gt;1,E994&lt;SUMIFS($E$2:$E$1001,$A$2:$A$1001,A994,$B$2:$B$1001,B994-1)),"违规：新止损价不得低于上一次",IF(AND(B994&gt;1,F994&gt;SUMIFS($F$2:$F$1001,$A$2:$A$1001,A994,$B$2:$B$1001,B994-1)),"违规：风险预算须逐次不增加",IF(OR(_LockStatus="已锁仓",_LockStatus="解锁信息不完整"),"违规：锁仓期间禁止加仓",IF(G994="","计划可执行：建议股数见N列",IF(OR(G994&lt;=0,G994&lt;&gt;INT(G994),MOD(G994,100)&lt;&gt;0),"违规：实际股数须为100股整数倍",IF(G994&gt;N994,"违规：实际股数超过风险或金字塔上限",IF(AND(B994&gt;1,G994&gt;SUMIFS($G$2:$G$1001,$A$2:$A$1001,A994,$B$2:$B$1001,B994-1)),"违规：加仓股数须逐次不增加",IF(Q994&gt;F994,"违规：止损风险超过本次预算","通过")))))))))))))))</f>
        <v/>
      </c>
    </row>
    <row r="995" customFormat="false" ht="15" hidden="false" customHeight="false" outlineLevel="0" collapsed="false">
      <c r="A995" s="20"/>
      <c r="B995" s="21"/>
      <c r="C995" s="22"/>
      <c r="D995" s="23"/>
      <c r="E995" s="23"/>
      <c r="F995" s="23"/>
      <c r="G995" s="21"/>
      <c r="H995" s="24" t="str">
        <f aca="false">IF(OR(A995="",D995="",G995=""),"",D995*G995)</f>
        <v/>
      </c>
      <c r="I995" s="25" t="str">
        <f aca="false">IF(OR(A995="",B995=""),"",IFERROR(LOOKUP(2,1/(单次交易!$A$2:$A$201=A995),单次交易!$H$2:$H$201),0)+SUMIFS($G$2:$G$1001,$A$2:$A$1001,A995,$B$2:$B$1001,"&lt;"&amp;B995))</f>
        <v/>
      </c>
      <c r="J995" s="24" t="str">
        <f aca="false">IF(OR(A995="",B995=""),"",IFERROR(LOOKUP(2,1/(单次交易!$A$2:$A$201=A995),单次交易!$E$2:$E$201)*LOOKUP(2,1/(单次交易!$A$2:$A$201=A995),单次交易!$H$2:$H$201),0)+SUMIFS($H$2:$H$1001,$A$2:$A$1001,A995,$B$2:$B$1001,"&lt;"&amp;B995))</f>
        <v/>
      </c>
      <c r="K995" s="24" t="str">
        <f aca="false">IF(OR(E995="",I995="",J995=""),"",MAX(E995*I995-J995,0))</f>
        <v/>
      </c>
      <c r="L995" s="25" t="str">
        <f aca="false">IF(OR(D995="",E995="",F995="",D995&lt;=E995),"",FLOOR((F995+K995)/(D995-E995),100))</f>
        <v/>
      </c>
      <c r="M995" s="25" t="str">
        <f aca="false">IF(OR(A995="",B995="",L995=""),"",IF(B995=1,L995,IFERROR(SUMIFS($G$2:$G$1001,$A$2:$A$1001,A995,$B$2:$B$1001,B995-1),0)))</f>
        <v/>
      </c>
      <c r="N995" s="25" t="str">
        <f aca="false">IF(OR(L995="",M995=""),"",MIN(L995,M995))</f>
        <v/>
      </c>
      <c r="O995" s="25" t="str">
        <f aca="false">IF(OR(I995="",G995=""),"",I995+G995)</f>
        <v/>
      </c>
      <c r="P995" s="24" t="str">
        <f aca="false">IF(OR(O995="",O995=0),"",(J995+H995)/O995)</f>
        <v/>
      </c>
      <c r="Q995" s="24" t="str">
        <f aca="false">IF(OR(O995="",E995=""),"",MAX(J995+H995-E995*O995,0))</f>
        <v/>
      </c>
      <c r="R995" s="26" t="str">
        <f aca="false">IF(A995="","",IF(COUNTIF(_TradeIds,A995)=0,"违规：交易编号不存在",IF(OR(B995="",B995&lt;1,B995&gt;5,B995&lt;&gt;INT(B995)),"违规：加仓序号须为1到5的整数",IF(COUNTIFS($A$2:$A$1001,A995,$B$2:$B$1001,B995)&gt;1,"违规：同一交易的加仓序号重复",IF(OR(D995="",E995="",F995=""),"计划不完整：请填写加仓价、新止损价和风险预算",IF(OR(D995&lt;=0,E995&lt;=0,F995&lt;=0,D995&lt;=E995),"违规：加仓价必须高于新止损价，金额须大于0",IF(AND(B995&gt;1,COUNTIFS($A$2:$A$1001,A995,$B$2:$B$1001,B995-1,$G$2:$G$1001,"&gt;0")=0),"违规：须先完成上一次加仓",IF(AND(B995&gt;1,E995&lt;SUMIFS($E$2:$E$1001,$A$2:$A$1001,A995,$B$2:$B$1001,B995-1)),"违规：新止损价不得低于上一次",IF(AND(B995&gt;1,F995&gt;SUMIFS($F$2:$F$1001,$A$2:$A$1001,A995,$B$2:$B$1001,B995-1)),"违规：风险预算须逐次不增加",IF(OR(_LockStatus="已锁仓",_LockStatus="解锁信息不完整"),"违规：锁仓期间禁止加仓",IF(G995="","计划可执行：建议股数见N列",IF(OR(G995&lt;=0,G995&lt;&gt;INT(G995),MOD(G995,100)&lt;&gt;0),"违规：实际股数须为100股整数倍",IF(G995&gt;N995,"违规：实际股数超过风险或金字塔上限",IF(AND(B995&gt;1,G995&gt;SUMIFS($G$2:$G$1001,$A$2:$A$1001,A995,$B$2:$B$1001,B995-1)),"违规：加仓股数须逐次不增加",IF(Q995&gt;F995,"违规：止损风险超过本次预算","通过")))))))))))))))</f>
        <v/>
      </c>
    </row>
    <row r="996" customFormat="false" ht="15" hidden="false" customHeight="false" outlineLevel="0" collapsed="false">
      <c r="A996" s="20"/>
      <c r="B996" s="21"/>
      <c r="C996" s="22"/>
      <c r="D996" s="23"/>
      <c r="E996" s="23"/>
      <c r="F996" s="23"/>
      <c r="G996" s="21"/>
      <c r="H996" s="24" t="str">
        <f aca="false">IF(OR(A996="",D996="",G996=""),"",D996*G996)</f>
        <v/>
      </c>
      <c r="I996" s="25" t="str">
        <f aca="false">IF(OR(A996="",B996=""),"",IFERROR(LOOKUP(2,1/(单次交易!$A$2:$A$201=A996),单次交易!$H$2:$H$201),0)+SUMIFS($G$2:$G$1001,$A$2:$A$1001,A996,$B$2:$B$1001,"&lt;"&amp;B996))</f>
        <v/>
      </c>
      <c r="J996" s="24" t="str">
        <f aca="false">IF(OR(A996="",B996=""),"",IFERROR(LOOKUP(2,1/(单次交易!$A$2:$A$201=A996),单次交易!$E$2:$E$201)*LOOKUP(2,1/(单次交易!$A$2:$A$201=A996),单次交易!$H$2:$H$201),0)+SUMIFS($H$2:$H$1001,$A$2:$A$1001,A996,$B$2:$B$1001,"&lt;"&amp;B996))</f>
        <v/>
      </c>
      <c r="K996" s="24" t="str">
        <f aca="false">IF(OR(E996="",I996="",J996=""),"",MAX(E996*I996-J996,0))</f>
        <v/>
      </c>
      <c r="L996" s="25" t="str">
        <f aca="false">IF(OR(D996="",E996="",F996="",D996&lt;=E996),"",FLOOR((F996+K996)/(D996-E996),100))</f>
        <v/>
      </c>
      <c r="M996" s="25" t="str">
        <f aca="false">IF(OR(A996="",B996="",L996=""),"",IF(B996=1,L996,IFERROR(SUMIFS($G$2:$G$1001,$A$2:$A$1001,A996,$B$2:$B$1001,B996-1),0)))</f>
        <v/>
      </c>
      <c r="N996" s="25" t="str">
        <f aca="false">IF(OR(L996="",M996=""),"",MIN(L996,M996))</f>
        <v/>
      </c>
      <c r="O996" s="25" t="str">
        <f aca="false">IF(OR(I996="",G996=""),"",I996+G996)</f>
        <v/>
      </c>
      <c r="P996" s="24" t="str">
        <f aca="false">IF(OR(O996="",O996=0),"",(J996+H996)/O996)</f>
        <v/>
      </c>
      <c r="Q996" s="24" t="str">
        <f aca="false">IF(OR(O996="",E996=""),"",MAX(J996+H996-E996*O996,0))</f>
        <v/>
      </c>
      <c r="R996" s="26" t="str">
        <f aca="false">IF(A996="","",IF(COUNTIF(_TradeIds,A996)=0,"违规：交易编号不存在",IF(OR(B996="",B996&lt;1,B996&gt;5,B996&lt;&gt;INT(B996)),"违规：加仓序号须为1到5的整数",IF(COUNTIFS($A$2:$A$1001,A996,$B$2:$B$1001,B996)&gt;1,"违规：同一交易的加仓序号重复",IF(OR(D996="",E996="",F996=""),"计划不完整：请填写加仓价、新止损价和风险预算",IF(OR(D996&lt;=0,E996&lt;=0,F996&lt;=0,D996&lt;=E996),"违规：加仓价必须高于新止损价，金额须大于0",IF(AND(B996&gt;1,COUNTIFS($A$2:$A$1001,A996,$B$2:$B$1001,B996-1,$G$2:$G$1001,"&gt;0")=0),"违规：须先完成上一次加仓",IF(AND(B996&gt;1,E996&lt;SUMIFS($E$2:$E$1001,$A$2:$A$1001,A996,$B$2:$B$1001,B996-1)),"违规：新止损价不得低于上一次",IF(AND(B996&gt;1,F996&gt;SUMIFS($F$2:$F$1001,$A$2:$A$1001,A996,$B$2:$B$1001,B996-1)),"违规：风险预算须逐次不增加",IF(OR(_LockStatus="已锁仓",_LockStatus="解锁信息不完整"),"违规：锁仓期间禁止加仓",IF(G996="","计划可执行：建议股数见N列",IF(OR(G996&lt;=0,G996&lt;&gt;INT(G996),MOD(G996,100)&lt;&gt;0),"违规：实际股数须为100股整数倍",IF(G996&gt;N996,"违规：实际股数超过风险或金字塔上限",IF(AND(B996&gt;1,G996&gt;SUMIFS($G$2:$G$1001,$A$2:$A$1001,A996,$B$2:$B$1001,B996-1)),"违规：加仓股数须逐次不增加",IF(Q996&gt;F996,"违规：止损风险超过本次预算","通过")))))))))))))))</f>
        <v/>
      </c>
    </row>
    <row r="997" customFormat="false" ht="15" hidden="false" customHeight="false" outlineLevel="0" collapsed="false">
      <c r="A997" s="20"/>
      <c r="B997" s="21"/>
      <c r="C997" s="22"/>
      <c r="D997" s="23"/>
      <c r="E997" s="23"/>
      <c r="F997" s="23"/>
      <c r="G997" s="21"/>
      <c r="H997" s="24" t="str">
        <f aca="false">IF(OR(A997="",D997="",G997=""),"",D997*G997)</f>
        <v/>
      </c>
      <c r="I997" s="25" t="str">
        <f aca="false">IF(OR(A997="",B997=""),"",IFERROR(LOOKUP(2,1/(单次交易!$A$2:$A$201=A997),单次交易!$H$2:$H$201),0)+SUMIFS($G$2:$G$1001,$A$2:$A$1001,A997,$B$2:$B$1001,"&lt;"&amp;B997))</f>
        <v/>
      </c>
      <c r="J997" s="24" t="str">
        <f aca="false">IF(OR(A997="",B997=""),"",IFERROR(LOOKUP(2,1/(单次交易!$A$2:$A$201=A997),单次交易!$E$2:$E$201)*LOOKUP(2,1/(单次交易!$A$2:$A$201=A997),单次交易!$H$2:$H$201),0)+SUMIFS($H$2:$H$1001,$A$2:$A$1001,A997,$B$2:$B$1001,"&lt;"&amp;B997))</f>
        <v/>
      </c>
      <c r="K997" s="24" t="str">
        <f aca="false">IF(OR(E997="",I997="",J997=""),"",MAX(E997*I997-J997,0))</f>
        <v/>
      </c>
      <c r="L997" s="25" t="str">
        <f aca="false">IF(OR(D997="",E997="",F997="",D997&lt;=E997),"",FLOOR((F997+K997)/(D997-E997),100))</f>
        <v/>
      </c>
      <c r="M997" s="25" t="str">
        <f aca="false">IF(OR(A997="",B997="",L997=""),"",IF(B997=1,L997,IFERROR(SUMIFS($G$2:$G$1001,$A$2:$A$1001,A997,$B$2:$B$1001,B997-1),0)))</f>
        <v/>
      </c>
      <c r="N997" s="25" t="str">
        <f aca="false">IF(OR(L997="",M997=""),"",MIN(L997,M997))</f>
        <v/>
      </c>
      <c r="O997" s="25" t="str">
        <f aca="false">IF(OR(I997="",G997=""),"",I997+G997)</f>
        <v/>
      </c>
      <c r="P997" s="24" t="str">
        <f aca="false">IF(OR(O997="",O997=0),"",(J997+H997)/O997)</f>
        <v/>
      </c>
      <c r="Q997" s="24" t="str">
        <f aca="false">IF(OR(O997="",E997=""),"",MAX(J997+H997-E997*O997,0))</f>
        <v/>
      </c>
      <c r="R997" s="26" t="str">
        <f aca="false">IF(A997="","",IF(COUNTIF(_TradeIds,A997)=0,"违规：交易编号不存在",IF(OR(B997="",B997&lt;1,B997&gt;5,B997&lt;&gt;INT(B997)),"违规：加仓序号须为1到5的整数",IF(COUNTIFS($A$2:$A$1001,A997,$B$2:$B$1001,B997)&gt;1,"违规：同一交易的加仓序号重复",IF(OR(D997="",E997="",F997=""),"计划不完整：请填写加仓价、新止损价和风险预算",IF(OR(D997&lt;=0,E997&lt;=0,F997&lt;=0,D997&lt;=E997),"违规：加仓价必须高于新止损价，金额须大于0",IF(AND(B997&gt;1,COUNTIFS($A$2:$A$1001,A997,$B$2:$B$1001,B997-1,$G$2:$G$1001,"&gt;0")=0),"违规：须先完成上一次加仓",IF(AND(B997&gt;1,E997&lt;SUMIFS($E$2:$E$1001,$A$2:$A$1001,A997,$B$2:$B$1001,B997-1)),"违规：新止损价不得低于上一次",IF(AND(B997&gt;1,F997&gt;SUMIFS($F$2:$F$1001,$A$2:$A$1001,A997,$B$2:$B$1001,B997-1)),"违规：风险预算须逐次不增加",IF(OR(_LockStatus="已锁仓",_LockStatus="解锁信息不完整"),"违规：锁仓期间禁止加仓",IF(G997="","计划可执行：建议股数见N列",IF(OR(G997&lt;=0,G997&lt;&gt;INT(G997),MOD(G997,100)&lt;&gt;0),"违规：实际股数须为100股整数倍",IF(G997&gt;N997,"违规：实际股数超过风险或金字塔上限",IF(AND(B997&gt;1,G997&gt;SUMIFS($G$2:$G$1001,$A$2:$A$1001,A997,$B$2:$B$1001,B997-1)),"违规：加仓股数须逐次不增加",IF(Q997&gt;F997,"违规：止损风险超过本次预算","通过")))))))))))))))</f>
        <v/>
      </c>
    </row>
    <row r="998" customFormat="false" ht="15" hidden="false" customHeight="false" outlineLevel="0" collapsed="false">
      <c r="A998" s="20"/>
      <c r="B998" s="21"/>
      <c r="C998" s="22"/>
      <c r="D998" s="23"/>
      <c r="E998" s="23"/>
      <c r="F998" s="23"/>
      <c r="G998" s="21"/>
      <c r="H998" s="24" t="str">
        <f aca="false">IF(OR(A998="",D998="",G998=""),"",D998*G998)</f>
        <v/>
      </c>
      <c r="I998" s="25" t="str">
        <f aca="false">IF(OR(A998="",B998=""),"",IFERROR(LOOKUP(2,1/(单次交易!$A$2:$A$201=A998),单次交易!$H$2:$H$201),0)+SUMIFS($G$2:$G$1001,$A$2:$A$1001,A998,$B$2:$B$1001,"&lt;"&amp;B998))</f>
        <v/>
      </c>
      <c r="J998" s="24" t="str">
        <f aca="false">IF(OR(A998="",B998=""),"",IFERROR(LOOKUP(2,1/(单次交易!$A$2:$A$201=A998),单次交易!$E$2:$E$201)*LOOKUP(2,1/(单次交易!$A$2:$A$201=A998),单次交易!$H$2:$H$201),0)+SUMIFS($H$2:$H$1001,$A$2:$A$1001,A998,$B$2:$B$1001,"&lt;"&amp;B998))</f>
        <v/>
      </c>
      <c r="K998" s="24" t="str">
        <f aca="false">IF(OR(E998="",I998="",J998=""),"",MAX(E998*I998-J998,0))</f>
        <v/>
      </c>
      <c r="L998" s="25" t="str">
        <f aca="false">IF(OR(D998="",E998="",F998="",D998&lt;=E998),"",FLOOR((F998+K998)/(D998-E998),100))</f>
        <v/>
      </c>
      <c r="M998" s="25" t="str">
        <f aca="false">IF(OR(A998="",B998="",L998=""),"",IF(B998=1,L998,IFERROR(SUMIFS($G$2:$G$1001,$A$2:$A$1001,A998,$B$2:$B$1001,B998-1),0)))</f>
        <v/>
      </c>
      <c r="N998" s="25" t="str">
        <f aca="false">IF(OR(L998="",M998=""),"",MIN(L998,M998))</f>
        <v/>
      </c>
      <c r="O998" s="25" t="str">
        <f aca="false">IF(OR(I998="",G998=""),"",I998+G998)</f>
        <v/>
      </c>
      <c r="P998" s="24" t="str">
        <f aca="false">IF(OR(O998="",O998=0),"",(J998+H998)/O998)</f>
        <v/>
      </c>
      <c r="Q998" s="24" t="str">
        <f aca="false">IF(OR(O998="",E998=""),"",MAX(J998+H998-E998*O998,0))</f>
        <v/>
      </c>
      <c r="R998" s="26" t="str">
        <f aca="false">IF(A998="","",IF(COUNTIF(_TradeIds,A998)=0,"违规：交易编号不存在",IF(OR(B998="",B998&lt;1,B998&gt;5,B998&lt;&gt;INT(B998)),"违规：加仓序号须为1到5的整数",IF(COUNTIFS($A$2:$A$1001,A998,$B$2:$B$1001,B998)&gt;1,"违规：同一交易的加仓序号重复",IF(OR(D998="",E998="",F998=""),"计划不完整：请填写加仓价、新止损价和风险预算",IF(OR(D998&lt;=0,E998&lt;=0,F998&lt;=0,D998&lt;=E998),"违规：加仓价必须高于新止损价，金额须大于0",IF(AND(B998&gt;1,COUNTIFS($A$2:$A$1001,A998,$B$2:$B$1001,B998-1,$G$2:$G$1001,"&gt;0")=0),"违规：须先完成上一次加仓",IF(AND(B998&gt;1,E998&lt;SUMIFS($E$2:$E$1001,$A$2:$A$1001,A998,$B$2:$B$1001,B998-1)),"违规：新止损价不得低于上一次",IF(AND(B998&gt;1,F998&gt;SUMIFS($F$2:$F$1001,$A$2:$A$1001,A998,$B$2:$B$1001,B998-1)),"违规：风险预算须逐次不增加",IF(OR(_LockStatus="已锁仓",_LockStatus="解锁信息不完整"),"违规：锁仓期间禁止加仓",IF(G998="","计划可执行：建议股数见N列",IF(OR(G998&lt;=0,G998&lt;&gt;INT(G998),MOD(G998,100)&lt;&gt;0),"违规：实际股数须为100股整数倍",IF(G998&gt;N998,"违规：实际股数超过风险或金字塔上限",IF(AND(B998&gt;1,G998&gt;SUMIFS($G$2:$G$1001,$A$2:$A$1001,A998,$B$2:$B$1001,B998-1)),"违规：加仓股数须逐次不增加",IF(Q998&gt;F998,"违规：止损风险超过本次预算","通过")))))))))))))))</f>
        <v/>
      </c>
    </row>
    <row r="999" customFormat="false" ht="15" hidden="false" customHeight="false" outlineLevel="0" collapsed="false">
      <c r="A999" s="20"/>
      <c r="B999" s="21"/>
      <c r="C999" s="22"/>
      <c r="D999" s="23"/>
      <c r="E999" s="23"/>
      <c r="F999" s="23"/>
      <c r="G999" s="21"/>
      <c r="H999" s="24" t="str">
        <f aca="false">IF(OR(A999="",D999="",G999=""),"",D999*G999)</f>
        <v/>
      </c>
      <c r="I999" s="25" t="str">
        <f aca="false">IF(OR(A999="",B999=""),"",IFERROR(LOOKUP(2,1/(单次交易!$A$2:$A$201=A999),单次交易!$H$2:$H$201),0)+SUMIFS($G$2:$G$1001,$A$2:$A$1001,A999,$B$2:$B$1001,"&lt;"&amp;B999))</f>
        <v/>
      </c>
      <c r="J999" s="24" t="str">
        <f aca="false">IF(OR(A999="",B999=""),"",IFERROR(LOOKUP(2,1/(单次交易!$A$2:$A$201=A999),单次交易!$E$2:$E$201)*LOOKUP(2,1/(单次交易!$A$2:$A$201=A999),单次交易!$H$2:$H$201),0)+SUMIFS($H$2:$H$1001,$A$2:$A$1001,A999,$B$2:$B$1001,"&lt;"&amp;B999))</f>
        <v/>
      </c>
      <c r="K999" s="24" t="str">
        <f aca="false">IF(OR(E999="",I999="",J999=""),"",MAX(E999*I999-J999,0))</f>
        <v/>
      </c>
      <c r="L999" s="25" t="str">
        <f aca="false">IF(OR(D999="",E999="",F999="",D999&lt;=E999),"",FLOOR((F999+K999)/(D999-E999),100))</f>
        <v/>
      </c>
      <c r="M999" s="25" t="str">
        <f aca="false">IF(OR(A999="",B999="",L999=""),"",IF(B999=1,L999,IFERROR(SUMIFS($G$2:$G$1001,$A$2:$A$1001,A999,$B$2:$B$1001,B999-1),0)))</f>
        <v/>
      </c>
      <c r="N999" s="25" t="str">
        <f aca="false">IF(OR(L999="",M999=""),"",MIN(L999,M999))</f>
        <v/>
      </c>
      <c r="O999" s="25" t="str">
        <f aca="false">IF(OR(I999="",G999=""),"",I999+G999)</f>
        <v/>
      </c>
      <c r="P999" s="24" t="str">
        <f aca="false">IF(OR(O999="",O999=0),"",(J999+H999)/O999)</f>
        <v/>
      </c>
      <c r="Q999" s="24" t="str">
        <f aca="false">IF(OR(O999="",E999=""),"",MAX(J999+H999-E999*O999,0))</f>
        <v/>
      </c>
      <c r="R999" s="26" t="str">
        <f aca="false">IF(A999="","",IF(COUNTIF(_TradeIds,A999)=0,"违规：交易编号不存在",IF(OR(B999="",B999&lt;1,B999&gt;5,B999&lt;&gt;INT(B999)),"违规：加仓序号须为1到5的整数",IF(COUNTIFS($A$2:$A$1001,A999,$B$2:$B$1001,B999)&gt;1,"违规：同一交易的加仓序号重复",IF(OR(D999="",E999="",F999=""),"计划不完整：请填写加仓价、新止损价和风险预算",IF(OR(D999&lt;=0,E999&lt;=0,F999&lt;=0,D999&lt;=E999),"违规：加仓价必须高于新止损价，金额须大于0",IF(AND(B999&gt;1,COUNTIFS($A$2:$A$1001,A999,$B$2:$B$1001,B999-1,$G$2:$G$1001,"&gt;0")=0),"违规：须先完成上一次加仓",IF(AND(B999&gt;1,E999&lt;SUMIFS($E$2:$E$1001,$A$2:$A$1001,A999,$B$2:$B$1001,B999-1)),"违规：新止损价不得低于上一次",IF(AND(B999&gt;1,F999&gt;SUMIFS($F$2:$F$1001,$A$2:$A$1001,A999,$B$2:$B$1001,B999-1)),"违规：风险预算须逐次不增加",IF(OR(_LockStatus="已锁仓",_LockStatus="解锁信息不完整"),"违规：锁仓期间禁止加仓",IF(G999="","计划可执行：建议股数见N列",IF(OR(G999&lt;=0,G999&lt;&gt;INT(G999),MOD(G999,100)&lt;&gt;0),"违规：实际股数须为100股整数倍",IF(G999&gt;N999,"违规：实际股数超过风险或金字塔上限",IF(AND(B999&gt;1,G999&gt;SUMIFS($G$2:$G$1001,$A$2:$A$1001,A999,$B$2:$B$1001,B999-1)),"违规：加仓股数须逐次不增加",IF(Q999&gt;F999,"违规：止损风险超过本次预算","通过")))))))))))))))</f>
        <v/>
      </c>
    </row>
    <row r="1000" customFormat="false" ht="15" hidden="false" customHeight="false" outlineLevel="0" collapsed="false">
      <c r="A1000" s="20"/>
      <c r="B1000" s="21"/>
      <c r="C1000" s="22"/>
      <c r="D1000" s="23"/>
      <c r="E1000" s="23"/>
      <c r="F1000" s="23"/>
      <c r="G1000" s="21"/>
      <c r="H1000" s="24" t="str">
        <f aca="false">IF(OR(A1000="",D1000="",G1000=""),"",D1000*G1000)</f>
        <v/>
      </c>
      <c r="I1000" s="25" t="str">
        <f aca="false">IF(OR(A1000="",B1000=""),"",IFERROR(LOOKUP(2,1/(单次交易!$A$2:$A$201=A1000),单次交易!$H$2:$H$201),0)+SUMIFS($G$2:$G$1001,$A$2:$A$1001,A1000,$B$2:$B$1001,"&lt;"&amp;B1000))</f>
        <v/>
      </c>
      <c r="J1000" s="24" t="str">
        <f aca="false">IF(OR(A1000="",B1000=""),"",IFERROR(LOOKUP(2,1/(单次交易!$A$2:$A$201=A1000),单次交易!$E$2:$E$201)*LOOKUP(2,1/(单次交易!$A$2:$A$201=A1000),单次交易!$H$2:$H$201),0)+SUMIFS($H$2:$H$1001,$A$2:$A$1001,A1000,$B$2:$B$1001,"&lt;"&amp;B1000))</f>
        <v/>
      </c>
      <c r="K1000" s="24" t="str">
        <f aca="false">IF(OR(E1000="",I1000="",J1000=""),"",MAX(E1000*I1000-J1000,0))</f>
        <v/>
      </c>
      <c r="L1000" s="25" t="str">
        <f aca="false">IF(OR(D1000="",E1000="",F1000="",D1000&lt;=E1000),"",FLOOR((F1000+K1000)/(D1000-E1000),100))</f>
        <v/>
      </c>
      <c r="M1000" s="25" t="str">
        <f aca="false">IF(OR(A1000="",B1000="",L1000=""),"",IF(B1000=1,L1000,IFERROR(SUMIFS($G$2:$G$1001,$A$2:$A$1001,A1000,$B$2:$B$1001,B1000-1),0)))</f>
        <v/>
      </c>
      <c r="N1000" s="25" t="str">
        <f aca="false">IF(OR(L1000="",M1000=""),"",MIN(L1000,M1000))</f>
        <v/>
      </c>
      <c r="O1000" s="25" t="str">
        <f aca="false">IF(OR(I1000="",G1000=""),"",I1000+G1000)</f>
        <v/>
      </c>
      <c r="P1000" s="24" t="str">
        <f aca="false">IF(OR(O1000="",O1000=0),"",(J1000+H1000)/O1000)</f>
        <v/>
      </c>
      <c r="Q1000" s="24" t="str">
        <f aca="false">IF(OR(O1000="",E1000=""),"",MAX(J1000+H1000-E1000*O1000,0))</f>
        <v/>
      </c>
      <c r="R1000" s="26" t="str">
        <f aca="false">IF(A1000="","",IF(COUNTIF(_TradeIds,A1000)=0,"违规：交易编号不存在",IF(OR(B1000="",B1000&lt;1,B1000&gt;5,B1000&lt;&gt;INT(B1000)),"违规：加仓序号须为1到5的整数",IF(COUNTIFS($A$2:$A$1001,A1000,$B$2:$B$1001,B1000)&gt;1,"违规：同一交易的加仓序号重复",IF(OR(D1000="",E1000="",F1000=""),"计划不完整：请填写加仓价、新止损价和风险预算",IF(OR(D1000&lt;=0,E1000&lt;=0,F1000&lt;=0,D1000&lt;=E1000),"违规：加仓价必须高于新止损价，金额须大于0",IF(AND(B1000&gt;1,COUNTIFS($A$2:$A$1001,A1000,$B$2:$B$1001,B1000-1,$G$2:$G$1001,"&gt;0")=0),"违规：须先完成上一次加仓",IF(AND(B1000&gt;1,E1000&lt;SUMIFS($E$2:$E$1001,$A$2:$A$1001,A1000,$B$2:$B$1001,B1000-1)),"违规：新止损价不得低于上一次",IF(AND(B1000&gt;1,F1000&gt;SUMIFS($F$2:$F$1001,$A$2:$A$1001,A1000,$B$2:$B$1001,B1000-1)),"违规：风险预算须逐次不增加",IF(OR(_LockStatus="已锁仓",_LockStatus="解锁信息不完整"),"违规：锁仓期间禁止加仓",IF(G1000="","计划可执行：建议股数见N列",IF(OR(G1000&lt;=0,G1000&lt;&gt;INT(G1000),MOD(G1000,100)&lt;&gt;0),"违规：实际股数须为100股整数倍",IF(G1000&gt;N1000,"违规：实际股数超过风险或金字塔上限",IF(AND(B1000&gt;1,G1000&gt;SUMIFS($G$2:$G$1001,$A$2:$A$1001,A1000,$B$2:$B$1001,B1000-1)),"违规：加仓股数须逐次不增加",IF(Q1000&gt;F1000,"违规：止损风险超过本次预算","通过")))))))))))))))</f>
        <v/>
      </c>
    </row>
    <row r="1001" customFormat="false" ht="15" hidden="false" customHeight="false" outlineLevel="0" collapsed="false">
      <c r="A1001" s="20"/>
      <c r="B1001" s="21"/>
      <c r="C1001" s="22"/>
      <c r="D1001" s="23"/>
      <c r="E1001" s="23"/>
      <c r="F1001" s="23"/>
      <c r="G1001" s="21"/>
      <c r="H1001" s="24" t="str">
        <f aca="false">IF(OR(A1001="",D1001="",G1001=""),"",D1001*G1001)</f>
        <v/>
      </c>
      <c r="I1001" s="25" t="str">
        <f aca="false">IF(OR(A1001="",B1001=""),"",IFERROR(LOOKUP(2,1/(单次交易!$A$2:$A$201=A1001),单次交易!$H$2:$H$201),0)+SUMIFS($G$2:$G$1001,$A$2:$A$1001,A1001,$B$2:$B$1001,"&lt;"&amp;B1001))</f>
        <v/>
      </c>
      <c r="J1001" s="24" t="str">
        <f aca="false">IF(OR(A1001="",B1001=""),"",IFERROR(LOOKUP(2,1/(单次交易!$A$2:$A$201=A1001),单次交易!$E$2:$E$201)*LOOKUP(2,1/(单次交易!$A$2:$A$201=A1001),单次交易!$H$2:$H$201),0)+SUMIFS($H$2:$H$1001,$A$2:$A$1001,A1001,$B$2:$B$1001,"&lt;"&amp;B1001))</f>
        <v/>
      </c>
      <c r="K1001" s="24" t="str">
        <f aca="false">IF(OR(E1001="",I1001="",J1001=""),"",MAX(E1001*I1001-J1001,0))</f>
        <v/>
      </c>
      <c r="L1001" s="25" t="str">
        <f aca="false">IF(OR(D1001="",E1001="",F1001="",D1001&lt;=E1001),"",FLOOR((F1001+K1001)/(D1001-E1001),100))</f>
        <v/>
      </c>
      <c r="M1001" s="25" t="str">
        <f aca="false">IF(OR(A1001="",B1001="",L1001=""),"",IF(B1001=1,L1001,IFERROR(SUMIFS($G$2:$G$1001,$A$2:$A$1001,A1001,$B$2:$B$1001,B1001-1),0)))</f>
        <v/>
      </c>
      <c r="N1001" s="25" t="str">
        <f aca="false">IF(OR(L1001="",M1001=""),"",MIN(L1001,M1001))</f>
        <v/>
      </c>
      <c r="O1001" s="25" t="str">
        <f aca="false">IF(OR(I1001="",G1001=""),"",I1001+G1001)</f>
        <v/>
      </c>
      <c r="P1001" s="24" t="str">
        <f aca="false">IF(OR(O1001="",O1001=0),"",(J1001+H1001)/O1001)</f>
        <v/>
      </c>
      <c r="Q1001" s="24" t="str">
        <f aca="false">IF(OR(O1001="",E1001=""),"",MAX(J1001+H1001-E1001*O1001,0))</f>
        <v/>
      </c>
      <c r="R1001" s="26" t="str">
        <f aca="false">IF(A1001="","",IF(COUNTIF(_TradeIds,A1001)=0,"违规：交易编号不存在",IF(OR(B1001="",B1001&lt;1,B1001&gt;5,B1001&lt;&gt;INT(B1001)),"违规：加仓序号须为1到5的整数",IF(COUNTIFS($A$2:$A$1001,A1001,$B$2:$B$1001,B1001)&gt;1,"违规：同一交易的加仓序号重复",IF(OR(D1001="",E1001="",F1001=""),"计划不完整：请填写加仓价、新止损价和风险预算",IF(OR(D1001&lt;=0,E1001&lt;=0,F1001&lt;=0,D1001&lt;=E1001),"违规：加仓价必须高于新止损价，金额须大于0",IF(AND(B1001&gt;1,COUNTIFS($A$2:$A$1001,A1001,$B$2:$B$1001,B1001-1,$G$2:$G$1001,"&gt;0")=0),"违规：须先完成上一次加仓",IF(AND(B1001&gt;1,E1001&lt;SUMIFS($E$2:$E$1001,$A$2:$A$1001,A1001,$B$2:$B$1001,B1001-1)),"违规：新止损价不得低于上一次",IF(AND(B1001&gt;1,F1001&gt;SUMIFS($F$2:$F$1001,$A$2:$A$1001,A1001,$B$2:$B$1001,B1001-1)),"违规：风险预算须逐次不增加",IF(OR(_LockStatus="已锁仓",_LockStatus="解锁信息不完整"),"违规：锁仓期间禁止加仓",IF(G1001="","计划可执行：建议股数见N列",IF(OR(G1001&lt;=0,G1001&lt;&gt;INT(G1001),MOD(G1001,100)&lt;&gt;0),"违规：实际股数须为100股整数倍",IF(G1001&gt;N1001,"违规：实际股数超过风险或金字塔上限",IF(AND(B1001&gt;1,G1001&gt;SUMIFS($G$2:$G$1001,$A$2:$A$1001,A1001,$B$2:$B$1001,B1001-1)),"违规：加仓股数须逐次不增加",IF(Q1001&gt;F1001,"违规：止损风险超过本次预算","通过")))))))))))))))</f>
        <v/>
      </c>
    </row>
  </sheetData>
  <conditionalFormatting sqref="R2:R1001">
    <cfRule type="expression" priority="2" aboveAverage="0" equalAverage="0" bottom="0" percent="0" rank="0" text="" dxfId="8">
      <formula>ISNUMBER(SEARCH("违规",$R2))</formula>
    </cfRule>
    <cfRule type="expression" priority="3" aboveAverage="0" equalAverage="0" bottom="0" percent="0" rank="0" text="" dxfId="7">
      <formula>ISNUMBER(SEARCH("通过",$R2))</formula>
    </cfRule>
    <cfRule type="expression" priority="4" aboveAverage="0" equalAverage="0" bottom="0" percent="0" rank="0" text="" dxfId="9">
      <formula>ISNUMBER(SEARCH("计划可执行",$R2))</formula>
    </cfRule>
  </conditionalFormatting>
  <dataValidations count="5">
    <dataValidation allowBlank="false" error="请从单次交易表已有交易编号中选择" errorStyle="stop" errorTitle="交易编号无效" operator="between" showDropDown="false" showErrorMessage="true" showInputMessage="false" sqref="A2:A1001" type="list">
      <formula1>_TradeIds</formula1>
      <formula2>0</formula2>
    </dataValidation>
    <dataValidation allowBlank="false" error="每笔交易最多加仓5次，请填写1到5" errorStyle="stop" errorTitle="加仓序号无效" operator="between" showDropDown="false" showErrorMessage="true" showInputMessage="false" sqref="B2:B1001" type="whole">
      <formula1>1</formula1>
      <formula2>5</formula2>
    </dataValidation>
    <dataValidation allowBlank="false" errorStyle="stop" operator="between" showDropDown="false" showErrorMessage="false" showInputMessage="false" sqref="C2:C1001" type="date">
      <formula1>DATE(2000,1,1)</formula1>
      <formula2>DATE(2100,12,31)</formula2>
    </dataValidation>
    <dataValidation allowBlank="false" error="请输入大于0的数值" errorStyle="stop" errorTitle="金额无效" operator="greaterThan" showDropDown="false" showErrorMessage="true" showInputMessage="false" sqref="D2:F1001" type="decimal">
      <formula1>0</formula1>
      <formula2>0</formula2>
    </dataValidation>
    <dataValidation allowBlank="false" error="实际加仓股数须为100股整数倍；风险与金字塔限制由规则检查列提示" errorStyle="stop" errorTitle="实际股数无效" operator="between" showDropDown="false" showErrorMessage="true" showInputMessage="false" sqref="G2:G1001" type="custom">
      <formula1>OR(G2="",AND(ISNUMBER(G2),G2&gt;0,G2=INT(G2),MOD(G2,100)=0))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8" activeCellId="0" sqref="B18"/>
    </sheetView>
  </sheetViews>
  <sheetFormatPr defaultColWidth="9.00390625" defaultRowHeight="13.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72"/>
  </cols>
  <sheetData>
    <row r="1" customFormat="false" ht="17.15" hidden="false" customHeight="false" outlineLevel="0" collapsed="false">
      <c r="A1" s="27" t="s">
        <v>61</v>
      </c>
      <c r="B1" s="27" t="s">
        <v>62</v>
      </c>
      <c r="C1" s="27" t="s">
        <v>63</v>
      </c>
    </row>
    <row r="2" customFormat="false" ht="17.15" hidden="false" customHeight="false" outlineLevel="0" collapsed="false">
      <c r="A2" s="28" t="s">
        <v>64</v>
      </c>
      <c r="B2" s="7" t="n">
        <f aca="false">COUNT(单次交易!M2:M201)</f>
        <v>0</v>
      </c>
      <c r="C2" s="28" t="s">
        <v>65</v>
      </c>
    </row>
    <row r="3" customFormat="false" ht="17.15" hidden="false" customHeight="false" outlineLevel="0" collapsed="false">
      <c r="A3" s="28" t="s">
        <v>66</v>
      </c>
      <c r="B3" s="7" t="n">
        <f aca="false">COUNTIF(单次交易!X2:X201,"&gt;0")</f>
        <v>0</v>
      </c>
      <c r="C3" s="28" t="s">
        <v>67</v>
      </c>
    </row>
    <row r="4" customFormat="false" ht="17.15" hidden="false" customHeight="false" outlineLevel="0" collapsed="false">
      <c r="A4" s="28" t="s">
        <v>68</v>
      </c>
      <c r="B4" s="7" t="n">
        <f aca="false">COUNTIF(单次交易!X2:X201,"&lt;0")</f>
        <v>0</v>
      </c>
      <c r="C4" s="28" t="s">
        <v>69</v>
      </c>
    </row>
    <row r="5" customFormat="false" ht="17.15" hidden="false" customHeight="false" outlineLevel="0" collapsed="false">
      <c r="A5" s="28" t="s">
        <v>70</v>
      </c>
      <c r="B5" s="7" t="n">
        <f aca="false">COUNTIFS(单次交易!M2:M201,"&lt;&gt;",单次交易!X2:X201,"=0")</f>
        <v>0</v>
      </c>
      <c r="C5" s="28" t="s">
        <v>71</v>
      </c>
    </row>
    <row r="6" customFormat="false" ht="17.15" hidden="false" customHeight="false" outlineLevel="0" collapsed="false">
      <c r="A6" s="28" t="s">
        <v>72</v>
      </c>
      <c r="B6" s="9" t="str">
        <f aca="false">IFERROR(B3/(B3+B4),"")</f>
        <v/>
      </c>
      <c r="C6" s="28" t="s">
        <v>73</v>
      </c>
    </row>
    <row r="7" customFormat="false" ht="17.15" hidden="false" customHeight="false" outlineLevel="0" collapsed="false">
      <c r="A7" s="28" t="s">
        <v>74</v>
      </c>
      <c r="B7" s="9" t="str">
        <f aca="false">IFERROR(B4/(B3+B4),"")</f>
        <v/>
      </c>
      <c r="C7" s="28" t="s">
        <v>75</v>
      </c>
    </row>
    <row r="8" customFormat="false" ht="17.15" hidden="false" customHeight="false" outlineLevel="0" collapsed="false">
      <c r="A8" s="28" t="s">
        <v>76</v>
      </c>
      <c r="B8" s="9" t="str">
        <f aca="false">IFERROR(AVERAGEIF(单次交易!X2:X201,"&gt;0",单次交易!AE2:AE201),"")</f>
        <v/>
      </c>
      <c r="C8" s="28" t="s">
        <v>77</v>
      </c>
    </row>
    <row r="9" customFormat="false" ht="17.15" hidden="false" customHeight="false" outlineLevel="0" collapsed="false">
      <c r="A9" s="28" t="s">
        <v>78</v>
      </c>
      <c r="B9" s="9" t="str">
        <f aca="false">IFERROR(-AVERAGEIF(单次交易!X2:X201,"&lt;0",单次交易!AE2:AE201),"")</f>
        <v/>
      </c>
      <c r="C9" s="28" t="s">
        <v>79</v>
      </c>
    </row>
    <row r="10" customFormat="false" ht="17.15" hidden="false" customHeight="false" outlineLevel="0" collapsed="false">
      <c r="A10" s="28" t="s">
        <v>80</v>
      </c>
      <c r="B10" s="7" t="n">
        <f aca="false">SUMIF(单次交易!X2:X201,"&gt;0",单次交易!AA2:AA201)</f>
        <v>0</v>
      </c>
      <c r="C10" s="28" t="s">
        <v>81</v>
      </c>
    </row>
    <row r="11" customFormat="false" ht="17.15" hidden="false" customHeight="false" outlineLevel="0" collapsed="false">
      <c r="A11" s="28" t="s">
        <v>82</v>
      </c>
      <c r="B11" s="7" t="n">
        <f aca="false">SUMIF(单次交易!X2:X201,"&lt;0",单次交易!AA2:AA201)</f>
        <v>0</v>
      </c>
      <c r="C11" s="28" t="s">
        <v>81</v>
      </c>
    </row>
    <row r="12" customFormat="false" ht="17.15" hidden="false" customHeight="false" outlineLevel="0" collapsed="false">
      <c r="A12" s="28" t="s">
        <v>83</v>
      </c>
      <c r="B12" s="11" t="str">
        <f aca="false">IFERROR(SUMPRODUCT(单次交易!AO2:AO201,单次交易!AP2:AP201)/COUNT(单次交易!AP2:AP201),"")</f>
        <v/>
      </c>
      <c r="C12" s="28" t="s">
        <v>84</v>
      </c>
    </row>
    <row r="13" customFormat="false" ht="17.15" hidden="false" customHeight="false" outlineLevel="0" collapsed="false">
      <c r="A13" s="28" t="s">
        <v>85</v>
      </c>
      <c r="B13" s="9" t="str">
        <f aca="false">IF(OR(B6="",B7="",B8="",B9=""),"",B6*B8-B7*B9)</f>
        <v/>
      </c>
      <c r="C13" s="28" t="s">
        <v>86</v>
      </c>
    </row>
    <row r="14" customFormat="false" ht="17.15" hidden="false" customHeight="false" outlineLevel="0" collapsed="false">
      <c r="A14" s="28" t="s">
        <v>87</v>
      </c>
      <c r="B14" s="9" t="str">
        <f aca="false">IF(COUNT(单次交易!AE2:AE201)=0,"",EXP(SUMPRODUCT(IFERROR(LN(1+单次交易!AE2:AE201),0)))-1)</f>
        <v/>
      </c>
      <c r="C14" s="28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3" activeCellId="0" sqref="A33"/>
    </sheetView>
  </sheetViews>
  <sheetFormatPr defaultColWidth="9.00390625" defaultRowHeight="13.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72"/>
  </cols>
  <sheetData>
    <row r="1" customFormat="false" ht="17.15" hidden="false" customHeight="false" outlineLevel="0" collapsed="false">
      <c r="A1" s="27" t="s">
        <v>61</v>
      </c>
      <c r="B1" s="27" t="s">
        <v>89</v>
      </c>
      <c r="C1" s="27" t="s">
        <v>90</v>
      </c>
    </row>
    <row r="2" customFormat="false" ht="17.15" hidden="false" customHeight="false" outlineLevel="0" collapsed="false">
      <c r="A2" s="28" t="s">
        <v>91</v>
      </c>
      <c r="B2" s="5" t="n">
        <v>100000</v>
      </c>
      <c r="C2" s="28" t="s">
        <v>92</v>
      </c>
    </row>
    <row r="3" customFormat="false" ht="17.15" hidden="false" customHeight="false" outlineLevel="0" collapsed="false">
      <c r="A3" s="28" t="s">
        <v>93</v>
      </c>
      <c r="B3" s="11" t="n">
        <f aca="false">IF(B2="","",B2+SUM(单次交易!X2:X201))</f>
        <v>100000</v>
      </c>
      <c r="C3" s="28" t="s">
        <v>94</v>
      </c>
    </row>
    <row r="4" customFormat="false" ht="17.15" hidden="false" customHeight="false" outlineLevel="0" collapsed="false">
      <c r="A4" s="28" t="s">
        <v>95</v>
      </c>
      <c r="B4" s="6" t="n">
        <v>0.02</v>
      </c>
      <c r="C4" s="28" t="s">
        <v>96</v>
      </c>
    </row>
    <row r="5" customFormat="false" ht="17.15" hidden="false" customHeight="false" outlineLevel="0" collapsed="false">
      <c r="A5" s="28" t="s">
        <v>97</v>
      </c>
      <c r="B5" s="11" t="n">
        <f aca="false">IF(B3="","",B3*B4)</f>
        <v>2000</v>
      </c>
      <c r="C5" s="28" t="s">
        <v>98</v>
      </c>
    </row>
    <row r="6" customFormat="false" ht="17.15" hidden="false" customHeight="false" outlineLevel="0" collapsed="false">
      <c r="A6" s="28" t="s">
        <v>99</v>
      </c>
      <c r="B6" s="6" t="n">
        <v>0.06</v>
      </c>
      <c r="C6" s="28" t="s">
        <v>100</v>
      </c>
    </row>
    <row r="7" customFormat="false" ht="17.15" hidden="false" customHeight="false" outlineLevel="0" collapsed="false">
      <c r="A7" s="28" t="s">
        <v>101</v>
      </c>
      <c r="B7" s="11" t="n">
        <f aca="false">IF(B3="","",B3*B6)</f>
        <v>6000</v>
      </c>
      <c r="C7" s="28" t="s">
        <v>102</v>
      </c>
    </row>
    <row r="8" customFormat="false" ht="17.15" hidden="false" customHeight="false" outlineLevel="0" collapsed="false">
      <c r="A8" s="28" t="s">
        <v>103</v>
      </c>
      <c r="B8" s="11" t="n">
        <f aca="true">SUMIFS(单次交易!X2:X201,单次交易!X2:X201,"&lt;0",单次交易!M2:M201,"&gt;="&amp;EOMONTH(TODAY(),-1)+1,单次交易!M2:M201,"&lt;="&amp;EOMONTH(TODAY(),0))</f>
        <v>0</v>
      </c>
      <c r="C8" s="28" t="s">
        <v>104</v>
      </c>
    </row>
    <row r="9" customFormat="false" ht="17.15" hidden="false" customHeight="false" outlineLevel="0" collapsed="false">
      <c r="A9" s="28" t="s">
        <v>105</v>
      </c>
      <c r="B9" s="11" t="n">
        <f aca="false">IFERROR(SUM(单次交易!AQ2:AQ201),0)</f>
        <v>0</v>
      </c>
      <c r="C9" s="28" t="s">
        <v>106</v>
      </c>
    </row>
    <row r="10" customFormat="false" ht="17.15" hidden="false" customHeight="false" outlineLevel="0" collapsed="false">
      <c r="A10" s="28" t="s">
        <v>107</v>
      </c>
      <c r="B10" s="11" t="n">
        <f aca="false">IF(OR(B7="",B9=""),"",B7-B9)</f>
        <v>6000</v>
      </c>
      <c r="C10" s="28" t="s">
        <v>108</v>
      </c>
    </row>
    <row r="11" customFormat="false" ht="17.15" hidden="false" customHeight="false" outlineLevel="0" collapsed="false">
      <c r="A11" s="28" t="s">
        <v>109</v>
      </c>
      <c r="B11" s="9" t="n">
        <f aca="false">IF(OR(B2="",B3="",B2&lt;=0),"",B3/B2-1)</f>
        <v>0</v>
      </c>
      <c r="C11" s="28" t="s">
        <v>110</v>
      </c>
    </row>
    <row r="12" customFormat="false" ht="13.5" hidden="false" customHeight="false" outlineLevel="0" collapsed="false">
      <c r="A12" s="28"/>
      <c r="B12" s="28"/>
      <c r="C12" s="28"/>
    </row>
    <row r="13" customFormat="false" ht="17.15" hidden="false" customHeight="false" outlineLevel="0" collapsed="false">
      <c r="A13" s="28" t="s">
        <v>111</v>
      </c>
      <c r="B13" s="6" t="n">
        <v>0.06</v>
      </c>
      <c r="C13" s="28" t="s">
        <v>112</v>
      </c>
    </row>
    <row r="14" customFormat="false" ht="17.15" hidden="false" customHeight="false" outlineLevel="0" collapsed="false">
      <c r="A14" s="28" t="s">
        <v>113</v>
      </c>
      <c r="B14" s="12" t="n">
        <f aca="false">IFERROR(LOOKUP(2,1/((单次交易!$M$2:$M$201&lt;&gt;"")*(单次交易!$X$2:$X$201&gt;0)),ROW(单次交易!$X$2:$X$201)-1),0)</f>
        <v>0</v>
      </c>
      <c r="C14" s="28" t="s">
        <v>114</v>
      </c>
    </row>
    <row r="15" customFormat="false" ht="17.15" hidden="false" customHeight="false" outlineLevel="0" collapsed="false">
      <c r="A15" s="28" t="s">
        <v>115</v>
      </c>
      <c r="B15" s="12" t="n">
        <f aca="false">IFERROR(LOOKUP(2,1/(单次交易!$M$2:$M$201&lt;&gt;""),ROW(单次交易!$M$2:$M$201)-1),0)</f>
        <v>0</v>
      </c>
      <c r="C15" s="28" t="s">
        <v>116</v>
      </c>
    </row>
    <row r="16" customFormat="false" ht="17.15" hidden="false" customHeight="false" outlineLevel="0" collapsed="false">
      <c r="A16" s="28" t="s">
        <v>117</v>
      </c>
      <c r="B16" s="29"/>
      <c r="C16" s="28" t="s">
        <v>118</v>
      </c>
    </row>
    <row r="17" customFormat="false" ht="27" hidden="false" customHeight="true" outlineLevel="0" collapsed="false">
      <c r="A17" s="28" t="s">
        <v>119</v>
      </c>
      <c r="B17" s="16"/>
      <c r="C17" s="30" t="s">
        <v>120</v>
      </c>
    </row>
    <row r="18" customFormat="false" ht="17.15" hidden="false" customHeight="false" outlineLevel="0" collapsed="false">
      <c r="A18" s="28" t="s">
        <v>121</v>
      </c>
      <c r="B18" s="12" t="n">
        <f aca="false">MAX(B14,IF(AND(ISNUMBER(B16),B16&gt;=1,B16&lt;=B15,B17&lt;&gt;""),B16,0))</f>
        <v>0</v>
      </c>
      <c r="C18" s="28" t="s">
        <v>122</v>
      </c>
    </row>
    <row r="19" customFormat="false" ht="17.15" hidden="false" customHeight="false" outlineLevel="0" collapsed="false">
      <c r="A19" s="28" t="s">
        <v>123</v>
      </c>
      <c r="B19" s="11" t="n">
        <f aca="false">IF(B2="","",IF(B18=0,B2,B2+SUM(单次交易!$X$2:INDEX(单次交易!$X:$X,B18+1))))</f>
        <v>100000</v>
      </c>
      <c r="C19" s="28" t="s">
        <v>124</v>
      </c>
    </row>
    <row r="20" customFormat="false" ht="17.15" hidden="false" customHeight="false" outlineLevel="0" collapsed="false">
      <c r="A20" s="28" t="s">
        <v>125</v>
      </c>
      <c r="B20" s="11" t="n">
        <f aca="false">IF(B18&gt;=B15,0,-SUMPRODUCT((ROW(单次交易!$X$2:$X$201)-1&gt;B18)*(单次交易!$M$2:$M$201&lt;&gt;"")*(IFERROR(单次交易!$X$2:$X$201,0)&lt;0)*IFERROR(单次交易!$X$2:$X$201,0)))</f>
        <v>0</v>
      </c>
      <c r="C20" s="28" t="s">
        <v>126</v>
      </c>
    </row>
    <row r="21" customFormat="false" ht="17.15" hidden="false" customHeight="false" outlineLevel="0" collapsed="false">
      <c r="A21" s="28" t="s">
        <v>127</v>
      </c>
      <c r="B21" s="9" t="n">
        <f aca="false">IF(OR(B19="",B19&lt;=0),"",B20/B19)</f>
        <v>0</v>
      </c>
      <c r="C21" s="28" t="s">
        <v>128</v>
      </c>
    </row>
    <row r="22" customFormat="false" ht="17.15" hidden="false" customHeight="false" outlineLevel="0" collapsed="false">
      <c r="A22" s="28" t="s">
        <v>129</v>
      </c>
      <c r="B22" s="9" t="n">
        <f aca="false">IF(OR(B13="",B13&lt;=0,B21=""),"",B21/B13)</f>
        <v>0</v>
      </c>
      <c r="C22" s="28" t="s">
        <v>130</v>
      </c>
    </row>
    <row r="23" customFormat="false" ht="17.15" hidden="false" customHeight="false" outlineLevel="0" collapsed="false">
      <c r="A23" s="28" t="s">
        <v>131</v>
      </c>
      <c r="B23" s="7" t="str">
        <f aca="false">IF(OR(AND(B16&lt;&gt;"",B17=""),AND(B16="",B17&lt;&gt;""),AND(B16&lt;&gt;"",OR(NOT(ISNUMBER(B16)),B16&lt;1,B16&gt;B15,B16&lt;&gt;INT(B16)))),"解锁信息不完整",IF(B22&gt;=1,"已锁仓",IF(B22&gt;=0.8,"接近锁仓","正常")))</f>
        <v>正常</v>
      </c>
      <c r="C23" s="28" t="s">
        <v>132</v>
      </c>
    </row>
  </sheetData>
  <conditionalFormatting sqref="B8">
    <cfRule type="cellIs" priority="2" operator="lessThan" aboveAverage="0" equalAverage="0" bottom="0" percent="0" rank="0" text="" dxfId="8">
      <formula>0</formula>
    </cfRule>
  </conditionalFormatting>
  <conditionalFormatting sqref="B10">
    <cfRule type="cellIs" priority="3" operator="lessThan" aboveAverage="0" equalAverage="0" bottom="0" percent="0" rank="0" text="" dxfId="8">
      <formula>0</formula>
    </cfRule>
  </conditionalFormatting>
  <conditionalFormatting sqref="B23">
    <cfRule type="expression" priority="4" aboveAverage="0" equalAverage="0" bottom="0" percent="0" rank="0" text="" dxfId="8">
      <formula>$B$23="已锁仓"</formula>
    </cfRule>
    <cfRule type="expression" priority="5" aboveAverage="0" equalAverage="0" bottom="0" percent="0" rank="0" text="" dxfId="9">
      <formula>OR($B$23="接近锁仓",$B$23="解锁信息不完整")</formula>
    </cfRule>
    <cfRule type="expression" priority="6" aboveAverage="0" equalAverage="0" bottom="0" percent="0" rank="0" text="" dxfId="7">
      <formula>$B$23="正常"</formula>
    </cfRule>
  </conditionalFormatting>
  <dataValidations count="3">
    <dataValidation allowBlank="false" errorStyle="stop" operator="greaterThan" showDropDown="false" showErrorMessage="false" showInputMessage="false" sqref="B2" type="decimal">
      <formula1>0</formula1>
      <formula2>0</formula2>
    </dataValidation>
    <dataValidation allowBlank="false" errorStyle="stop" operator="between" showDropDown="false" showErrorMessage="false" showInputMessage="false" sqref="B4 B6 B13" type="decimal">
      <formula1>0</formula1>
      <formula2>1</formula2>
    </dataValidation>
    <dataValidation allowBlank="false" error="请填写1到最近已完成记录序号之间的整数，并同时填写解锁原因" errorStyle="stop" errorTitle="解锁序号无效" operator="between" showDropDown="false" showErrorMessage="true" showInputMessage="false" sqref="B16" type="custom">
      <formula1>OR(B16="",AND(ISNUMBER(B16),B16=INT(B16),B16&gt;=1,B16&lt;=B15))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6" activeCellId="0" sqref="C26"/>
    </sheetView>
  </sheetViews>
  <sheetFormatPr defaultColWidth="9.00390625" defaultRowHeight="13.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72"/>
  </cols>
  <sheetData>
    <row r="1" customFormat="false" ht="17.15" hidden="false" customHeight="false" outlineLevel="0" collapsed="false">
      <c r="A1" s="27" t="s">
        <v>61</v>
      </c>
      <c r="B1" s="27" t="s">
        <v>89</v>
      </c>
      <c r="C1" s="27" t="s">
        <v>63</v>
      </c>
    </row>
    <row r="2" customFormat="false" ht="17.15" hidden="false" customHeight="false" outlineLevel="0" collapsed="false">
      <c r="A2" s="28" t="s">
        <v>133</v>
      </c>
      <c r="B2" s="11" t="n">
        <f aca="false">账户数据!B3</f>
        <v>100000</v>
      </c>
      <c r="C2" s="28" t="s">
        <v>134</v>
      </c>
    </row>
    <row r="3" customFormat="false" ht="17.15" hidden="false" customHeight="false" outlineLevel="0" collapsed="false">
      <c r="A3" s="28" t="s">
        <v>135</v>
      </c>
      <c r="B3" s="6" t="n">
        <v>0.1</v>
      </c>
      <c r="C3" s="28" t="s">
        <v>136</v>
      </c>
    </row>
    <row r="4" customFormat="false" ht="17.15" hidden="false" customHeight="false" outlineLevel="0" collapsed="false">
      <c r="A4" s="28" t="s">
        <v>137</v>
      </c>
      <c r="B4" s="11" t="n">
        <f aca="false">IF(OR(B2="",B3=""),"",B2*B3)</f>
        <v>10000</v>
      </c>
      <c r="C4" s="28" t="s">
        <v>138</v>
      </c>
    </row>
    <row r="5" customFormat="false" ht="17.15" hidden="false" customHeight="false" outlineLevel="0" collapsed="false">
      <c r="A5" s="28" t="s">
        <v>83</v>
      </c>
      <c r="B5" s="11" t="str">
        <f aca="false">多次统计数据!B12</f>
        <v/>
      </c>
      <c r="C5" s="28" t="s">
        <v>139</v>
      </c>
    </row>
    <row r="6" customFormat="false" ht="17.15" hidden="false" customHeight="false" outlineLevel="0" collapsed="false">
      <c r="A6" s="28" t="s">
        <v>140</v>
      </c>
      <c r="B6" s="9" t="str">
        <f aca="false">多次统计数据!B13</f>
        <v/>
      </c>
      <c r="C6" s="28" t="s">
        <v>141</v>
      </c>
    </row>
    <row r="7" customFormat="false" ht="17.15" hidden="false" customHeight="false" outlineLevel="0" collapsed="false">
      <c r="A7" s="28" t="s">
        <v>142</v>
      </c>
      <c r="B7" s="7" t="str">
        <f aca="false">IF(OR(B3="",B6="",B3&lt;=0,B6&lt;=0),"暂不可计算",ROUNDUP(LN(1+B3)/LN(1+B6),0))</f>
        <v>暂不可计算</v>
      </c>
      <c r="C7" s="28" t="s">
        <v>143</v>
      </c>
    </row>
  </sheetData>
  <dataValidations count="1">
    <dataValidation allowBlank="false" errorStyle="stop" operator="greaterThan" showDropDown="false" showErrorMessage="false" showInputMessage="false" sqref="B3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2026-07-25T16:10:00Z</dcterms:created>
  <dc:creator>openpyxl</dc:creator>
  <dc:description>支持每笔交易最多五次加仓；按新止损价、风险预算和底仓锁定利润计算建议股数。</dc:description>
  <dc:language>en-US</dc:language>
  <cp:lastModifiedBy>Codex</cp:lastModifiedBy>
  <dcterms:modified xsi:type="dcterms:W3CDTF">2026-09-09T01:49:59Z</dcterms:modified>
  <cp:revision>0</cp:revision>
  <dc:subject/>
  <dc:title>交易管理系统（五次加仓版）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736BDD0092250DAC96416F6ACC401849_42</vt:lpwstr>
  </property>
  <property fmtid="{D5CDD505-2E9C-101B-9397-08002B2CF9AE}" pid="4" name="KSOProductBuildVer">
    <vt:lpwstr>2052-12.1.25205.25205</vt:lpwstr>
  </property>
  <property fmtid="{D5CDD505-2E9C-101B-9397-08002B2CF9AE}" pid="5" name="OfficeCLI.LastModified">
    <vt:lpwstr>2026-09-08T09:28:02Z</vt:lpwstr>
  </property>
  <property fmtid="{D5CDD505-2E9C-101B-9397-08002B2CF9AE}" pid="6" name="OfficeCLI.Version">
    <vt:lpwstr>1.0.143</vt:lpwstr>
  </property>
</Properties>
</file>