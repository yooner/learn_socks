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60"/>
  </bookViews>
  <sheets>
    <sheet name="单次交易" sheetId="1" r:id="rId1"/>
    <sheet name="持仓跟踪" sheetId="2" r:id="rId2"/>
    <sheet name="买入理由" sheetId="3" r:id="rId3"/>
    <sheet name="多次统计数据" sheetId="4" r:id="rId4"/>
    <sheet name="账户数据" sheetId="5" r:id="rId5"/>
    <sheet name="目标收益" sheetId="6" r:id="rId6"/>
    <sheet name="技术指标" sheetId="7" r:id="rId7"/>
  </sheets>
  <definedNames>
    <definedName name="_LockStatus">账户数据!$B$23</definedName>
    <definedName name="_AccountRiskLimit">账户数据!$B$7</definedName>
    <definedName name="_TrackRule">持仓跟踪!$AC$2:$AC$157</definedName>
    <definedName name="_TrackTradeId">持仓跟踪!$B$2:$B$157</definedName>
    <definedName name="_TrackType">持仓跟踪!$A$2:$A$157</definedName>
    <definedName name="_TradeIds">单次交易!$A$2:$A$98</definedName>
    <definedName name="技术指标列表">技术指标!$A$2:$A$201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s>
  <commentList>
    <comment ref="C1" authorId="0">
      <text>
        <r>
          <rPr>
            <sz val="11"/>
            <color rgb="FF000000"/>
            <rFont val="宋体"/>
            <scheme val="minor"/>
            <charset val="0"/>
          </rPr>
          <t>开仓时从“账户数据”的当前总金额复制，并粘贴为数值；不要保留公式。</t>
        </r>
      </text>
    </comment>
    <comment ref="D1" authorId="0">
      <text>
        <r>
          <rPr>
            <sz val="11"/>
            <color rgb="FF000000"/>
            <rFont val="宋体"/>
            <scheme val="minor"/>
            <charset val="0"/>
          </rPr>
          <t>开仓时从“账户数据”的单次交易允许亏损比例复制，并粘贴为数值。</t>
        </r>
      </text>
    </comment>
    <comment ref="F1" authorId="0">
      <text>
        <r>
          <rPr>
            <sz val="11"/>
            <color rgb="FF000000"/>
            <rFont val="宋体"/>
            <scheme val="minor"/>
            <charset val="0"/>
          </rPr>
          <t>按账户快照、本次风险比例和止损距离计算；仅作仓位建议。</t>
        </r>
      </text>
    </comment>
    <comment ref="G1" authorId="0">
      <text>
        <r>
          <rPr>
            <sz val="11"/>
            <color rgb="FF000000"/>
            <rFont val="宋体"/>
            <scheme val="minor"/>
            <charset val="0"/>
          </rPr>
          <t>开仓前必须在“持仓跟踪”填写至少一条规则有效的止损计划；同时检查连续亏损锁仓和原有风险额度。</t>
        </r>
      </text>
    </comment>
    <comment ref="H1" authorId="0">
      <text>
        <r>
          <rPr>
            <sz val="11"/>
            <color rgb="FF000000"/>
            <rFont val="宋体"/>
            <scheme val="minor"/>
            <charset val="0"/>
          </rPr>
          <t>手动填写实际成交股数；后续盈亏、收益率和统计均引用此列。</t>
        </r>
      </text>
    </comment>
    <comment ref="L1" authorId="0">
      <text>
        <r>
          <rPr>
            <sz val="11"/>
            <color rgb="FF000000"/>
            <rFont val="宋体"/>
            <scheme val="minor"/>
            <charset val="0"/>
          </rPr>
          <t>卖出股数由“持仓跟踪”同步，按累计买入股数一次性全部卖出。</t>
        </r>
      </text>
    </comment>
    <comment ref="AE1" authorId="0">
      <text>
        <r>
          <rPr>
            <sz val="11"/>
            <color rgb="FF000000"/>
            <rFont val="宋体"/>
            <scheme val="minor"/>
            <charset val="0"/>
          </rPr>
          <t>实际盈亏金额÷买入时账户金额快照；用于账户口径统计与逐笔复利。</t>
        </r>
      </text>
    </comment>
    <comment ref="AG1" authorId="0">
      <text>
        <r>
          <rPr>
            <sz val="11"/>
            <color rgb="FF000000"/>
            <rFont val="宋体"/>
            <scheme val="minor"/>
            <charset val="0"/>
          </rPr>
          <t>开仓前必选：短期博反弹、突破冲新高或趋势波段。同时必须选择预期持有周期并填写选择理由。</t>
        </r>
      </text>
    </comment>
    <comment ref="AK1" authorId="0">
      <text>
        <r>
          <rPr>
            <sz val="11"/>
            <color rgb="FF000000"/>
            <rFont val="宋体"/>
            <scheme val="minor"/>
            <charset val="0"/>
          </rPr>
          <t>需要第二批时先填价格，再填股数；股数录入时会检查锁仓和风险上限。</t>
        </r>
      </text>
    </comment>
    <comment ref="AM1" authorId="0">
      <text>
        <r>
          <rPr>
            <sz val="11"/>
            <color rgb="FF000000"/>
            <rFont val="宋体"/>
            <scheme val="minor"/>
            <charset val="0"/>
          </rPr>
          <t>第三批必须在第二批完整后填写，同样采用先价格、后股数。</t>
        </r>
      </text>
    </comment>
    <comment ref="AR1" authorId="0">
      <text>
        <r>
          <rPr>
            <sz val="11"/>
            <color rgb="FF000000"/>
            <rFont val="宋体"/>
            <scheme val="minor"/>
            <charset val="0"/>
          </rPr>
          <t>持续审计价格股数配对、批次顺序、整手、锁仓及风险上限；粘贴绕过验证时仍会显示违规。</t>
        </r>
      </text>
    </comment>
  </commentList>
</comments>
</file>

<file path=xl/comments2.xml><?xml version="1.0" encoding="utf-8"?>
<comments xmlns="http://schemas.openxmlformats.org/spreadsheetml/2006/main">
  <authors>
    <author>Codex</author>
  </authors>
  <commentList>
    <comment ref="A1" authorId="0">
      <text>
        <r>
          <rPr>
            <sz val="11"/>
            <color rgb="FF000000"/>
            <rFont val="宋体"/>
            <scheme val="minor"/>
            <charset val="0"/>
          </rPr>
          <t>同一张表同时记录止损计划和每日跟踪；先选择记录类型，再填写对应的蓝色输入列。</t>
        </r>
      </text>
    </comment>
    <comment ref="S1" authorId="0">
      <text>
        <r>
          <rPr>
            <sz val="11"/>
            <color rgb="FF000000"/>
            <rFont val="宋体"/>
            <scheme val="minor"/>
            <charset val="0"/>
          </rPr>
          <t>当前有效止损取初始止损、已激活计划止损和历次人工上调止损的最大值，只升不降。</t>
        </r>
      </text>
    </comment>
  </commentList>
</comments>
</file>

<file path=xl/comments3.xml><?xml version="1.0" encoding="utf-8"?>
<comments xmlns="http://schemas.openxmlformats.org/spreadsheetml/2006/main">
  <authors>
    <author>Codex</author>
  </authors>
  <commentList>
    <comment ref="A1" authorId="0">
      <text>
        <r>
          <rPr>
            <sz val="11"/>
            <color rgb="FF000000"/>
            <rFont val="宋体"/>
            <scheme val="minor"/>
            <charset val="0"/>
          </rPr>
          <t>可在本列继续添加或修改指标；买入理由页的三个下拉框会引用A2:A201。</t>
        </r>
      </text>
    </comment>
  </commentList>
</comments>
</file>

<file path=xl/sharedStrings.xml><?xml version="1.0" encoding="utf-8"?>
<sst xmlns="http://schemas.openxmlformats.org/spreadsheetml/2006/main" count="718" uniqueCount="319">
  <si>
    <t>交易编号</t>
  </si>
  <si>
    <t>股票代码</t>
  </si>
  <si>
    <t>买入时账户金额</t>
  </si>
  <si>
    <t>本次允许亏损比例</t>
  </si>
  <si>
    <t>第一批买入价</t>
  </si>
  <si>
    <t>买入建议股数</t>
  </si>
  <si>
    <t>开仓风险告警</t>
  </si>
  <si>
    <t>第一批买入股数</t>
  </si>
  <si>
    <t>首次买入日期</t>
  </si>
  <si>
    <t>期望卖出价</t>
  </si>
  <si>
    <t>实际卖出价</t>
  </si>
  <si>
    <t>卖出股数</t>
  </si>
  <si>
    <t>卖出日期</t>
  </si>
  <si>
    <t>止损价</t>
  </si>
  <si>
    <t>买入总费用</t>
  </si>
  <si>
    <t>卖出费用</t>
  </si>
  <si>
    <t>买入价的由来</t>
  </si>
  <si>
    <t>止损价的由来</t>
  </si>
  <si>
    <t>期望卖出价的由来</t>
  </si>
  <si>
    <t>实际卖出价的由来</t>
  </si>
  <si>
    <t>期望盈利比例</t>
  </si>
  <si>
    <t>期望止损比例</t>
  </si>
  <si>
    <t>盈亏比</t>
  </si>
  <si>
    <t>实际盈亏金额</t>
  </si>
  <si>
    <t>单笔仓位收益率</t>
  </si>
  <si>
    <t>账户收益率与平均盈利率差值</t>
  </si>
  <si>
    <t>持有天数</t>
  </si>
  <si>
    <t>复利容许平均亏损上限</t>
  </si>
  <si>
    <t>复利风险判断</t>
  </si>
  <si>
    <t>交易打分评价</t>
  </si>
  <si>
    <t>实际账户收益率</t>
  </si>
  <si>
    <t>列1</t>
  </si>
  <si>
    <t>交易预期类型</t>
  </si>
  <si>
    <t>预期持有周期</t>
  </si>
  <si>
    <t>预期选择理由</t>
  </si>
  <si>
    <t>周期匹配检查</t>
  </si>
  <si>
    <t>第二批买入价</t>
  </si>
  <si>
    <t>第二批买入股数</t>
  </si>
  <si>
    <t>第三批买入价</t>
  </si>
  <si>
    <t>第三批买入股数</t>
  </si>
  <si>
    <t>实际加权买入价</t>
  </si>
  <si>
    <t>累计买入股数</t>
  </si>
  <si>
    <t>当前持仓风险</t>
  </si>
  <si>
    <t>分仓规则检查</t>
  </si>
  <si>
    <t>节电风能</t>
  </si>
  <si>
    <t>4-良好</t>
  </si>
  <si>
    <t>短期博反弹</t>
  </si>
  <si>
    <t>4～10个交易日</t>
  </si>
  <si>
    <t>不一定能冲到4块，但是最近交易量上来了</t>
  </si>
  <si>
    <t>4块压力很大</t>
  </si>
  <si>
    <t>3-一般</t>
  </si>
  <si>
    <t>3.3有压力，甚至3都有压力</t>
  </si>
  <si>
    <t>3块有压力</t>
  </si>
  <si>
    <t>1-差</t>
  </si>
  <si>
    <t>贪婪</t>
  </si>
  <si>
    <t>2块有压力</t>
  </si>
  <si>
    <t>2-较差</t>
  </si>
  <si>
    <t>趋势波段</t>
  </si>
  <si>
    <t>21～60个交易日</t>
  </si>
  <si>
    <t>恒瑞医药</t>
  </si>
  <si>
    <t>突破冲新高</t>
  </si>
  <si>
    <t>11～20个交易日</t>
  </si>
  <si>
    <t>上方有卖压，但是消耗了，获利的已经走了</t>
  </si>
  <si>
    <t>5-优秀</t>
  </si>
  <si>
    <t>五粮液</t>
  </si>
  <si>
    <t>不分析</t>
  </si>
  <si>
    <t>1～3个交易日</t>
  </si>
  <si>
    <t>京东方</t>
  </si>
  <si>
    <t>没有及时止顺</t>
  </si>
  <si>
    <t>比亚迪</t>
  </si>
  <si>
    <t>记录类型</t>
  </si>
  <si>
    <t>止损阶段序号</t>
  </si>
  <si>
    <t>激活价</t>
  </si>
  <si>
    <t>激活后止损价</t>
  </si>
  <si>
    <t>止损依据</t>
  </si>
  <si>
    <t>记录日期</t>
  </si>
  <si>
    <t>收盘价</t>
  </si>
  <si>
    <t>成交量</t>
  </si>
  <si>
    <t>量价分析</t>
  </si>
  <si>
    <t>当前阶段</t>
  </si>
  <si>
    <t>阶段判断理由</t>
  </si>
  <si>
    <t>初始止损</t>
  </si>
  <si>
    <t>历史最高收盘价</t>
  </si>
  <si>
    <t>已激活止损阶段</t>
  </si>
  <si>
    <t>当前计划止损</t>
  </si>
  <si>
    <t>人工上调止损</t>
  </si>
  <si>
    <t>当前有效止损</t>
  </si>
  <si>
    <t>下一阶段激活价</t>
  </si>
  <si>
    <t>下一阶段止损价</t>
  </si>
  <si>
    <t>距离下一阶段涨幅</t>
  </si>
  <si>
    <t>止损判断</t>
  </si>
  <si>
    <t>卖出动作</t>
  </si>
  <si>
    <t>实际卖出股数</t>
  </si>
  <si>
    <t>执行检查</t>
  </si>
  <si>
    <t>规则检查</t>
  </si>
  <si>
    <t>每日跟踪</t>
  </si>
  <si>
    <t>执行卖出</t>
  </si>
  <si>
    <t>所属板块</t>
  </si>
  <si>
    <t>阶段</t>
  </si>
  <si>
    <t>技术指标1</t>
  </si>
  <si>
    <t>技术指标2</t>
  </si>
  <si>
    <t>技术指标3</t>
  </si>
  <si>
    <t>综述</t>
  </si>
  <si>
    <t>列2</t>
  </si>
  <si>
    <t>列3</t>
  </si>
  <si>
    <t>买入理由1，买入量上升，买入理由2，有sow，买入理由3，没有跌破支撑 买入理由4，有可能跨越小溪一下子到4块以上，不买理由</t>
  </si>
  <si>
    <t>不买理由1，没有明显的sow，可能继续下跌没 买入理由1，下降趋势已经停止，不买理由2，可能持续吸筹，买入理由2，下发支撑明显</t>
  </si>
  <si>
    <t>不买理由1，没有交易量，可能吸筹持续时间很长，买入理由2，没有供应，前方有sow 这是自然回测，可能有第二波高开，重点看跌不跌破支撑，没跌破就上冲，跌破就下跌</t>
  </si>
  <si>
    <t>1.不买理由1 话没有看到明显的拉升型号，不买理由2，上方供应多，买入理由1 成交量明显变大 买入理由2 没破支撑</t>
  </si>
  <si>
    <t>1.不买理由1 没有看到sow，交易量也不大，买入理由2，低点有支撑没有破之前的低点，前方可能是震仓，之前有明显吸筹拉高测试痕迹，不买理由2  之前可能是派发，派发下跌，然后再派发</t>
  </si>
  <si>
    <t>1.不买理由1，还是下降阶段  2 买入理由1 成交量走高，一直慢慢涨，说明在吸筹，目前还没遇到压力，压力在3块附近，</t>
  </si>
  <si>
    <t>1.下跌过程中，买入理由2 成交量不见，底部稳</t>
  </si>
  <si>
    <t>不买理由1，上方4块压力位</t>
  </si>
  <si>
    <t>买入理由，支撑没破，不买理由不强势，买入理由，趋势趋稳，不买理由可能要很长一段时间</t>
  </si>
  <si>
    <t>不买理由1 3块压力巨大，买入理由，没有跌破sow，不买理由2，但是走的时间太长了，可能是派发，</t>
  </si>
  <si>
    <t>不买理由，已经高位 买入理由，温和上涨，不买理由可能回调比较大，甩开，买入理由，成交量不叫稳定，一直有人买</t>
  </si>
  <si>
    <t>买入理由，又出现了买入量，且站上了30，不买理由没有之前强势，供应变多了，要小心，跌破就跑</t>
  </si>
  <si>
    <t>找不到什么不好的理由，本身就很危险</t>
  </si>
  <si>
    <t>买入理由 挺好的，交易量有，没有跌破，不买理由，没找到</t>
  </si>
  <si>
    <t>震仓，冲击50，就看能不能冲成功，短期</t>
  </si>
  <si>
    <t>买入更多，感觉跌不下去，然后震仓</t>
  </si>
  <si>
    <t>突破箱体了，形态不错</t>
  </si>
  <si>
    <t>不买理由，最近供应更大，买入理由突破了箱体，</t>
  </si>
  <si>
    <t>不买理由拉伸的太快，后面交易量没更上，买入理由100诱惑很大，</t>
  </si>
  <si>
    <t>不买理由，后续主力不买没有需求，买入理由sow很明显，不买理由还没有震仓</t>
  </si>
  <si>
    <t>局势很好</t>
  </si>
  <si>
    <t>不买理由，没有继续往上冲，充不太动，交易量都萎缩了，买入理由，整体需求大于供应，走势是好的，上升趋势中</t>
  </si>
  <si>
    <t>不买理由上方压力很大，冲不成功就下跌严重，买入理由，持续冲击，但是现在是震荡行情，</t>
  </si>
  <si>
    <t>不买理由，上方压力大，买入理由进行了试探，后就再次上攻，45有支撑，这次没有大跌</t>
  </si>
  <si>
    <t>买入理由，供应减少，持续上冲，形态不错，不买理由上方压力大，很没有突破区间</t>
  </si>
  <si>
    <t>不买理由，下跌趋势，买入理由博反弹，不买理由上升不强势，买入理由有主力吸筹的感觉，均线上方压力大</t>
  </si>
  <si>
    <t>现在不是那么强势，是比较温和的上涨，上方抛压不大，但是走势会长</t>
  </si>
  <si>
    <t>交易量不大，不强势，之前是震仓要上升，不买理由又回到震荡区</t>
  </si>
  <si>
    <t>不买理由，可能出现回调，买入理由，出现sow然后买入量很平均，，供应越来越少</t>
  </si>
  <si>
    <t>博反弹就很危险，买入理由低概率事件，买入理由，交易量大</t>
  </si>
  <si>
    <t>可能制定止损太低了，买入理由，sow买入交易量大</t>
  </si>
  <si>
    <t>不买理由</t>
  </si>
  <si>
    <t>不买理由就是注意要跑路</t>
  </si>
  <si>
    <t>注意冲不动了</t>
  </si>
  <si>
    <t>保持记录</t>
  </si>
  <si>
    <t>不买理由，交易量更不上 买入理由供应也不多</t>
  </si>
  <si>
    <t>不买理由，会回到震荡区间</t>
  </si>
  <si>
    <t>一定要记得反弹，要保住本金，已经反弹很高的高度拉伸的很快</t>
  </si>
  <si>
    <t>低处反弹，要保住本金，有sow，但是比较急迫，供应不多，要关注165</t>
  </si>
  <si>
    <t>成交与供应不足，反弹的概率已经不大了，要注意没有那么强势</t>
  </si>
  <si>
    <t>上方有抛压，看是否与供应出来，这个sow太强了，有点迷惑性，会不会是出货呢</t>
  </si>
  <si>
    <t>连续涨会不会回调确认1.5，买入理由突破前期1.6，，低点反弹一定要注意本金</t>
  </si>
  <si>
    <t>1.5的支撑是有力的，弹起来了，总归有点怕，不是那么舒服，谨慎记得压力位置，不是那么容易突破的</t>
  </si>
  <si>
    <t>1.可能继续震荡，没有强势突破没有跳出区间，小心，及时止损</t>
  </si>
  <si>
    <t>形态好不少，涨多跌少，</t>
  </si>
  <si>
    <t>位置不好，会回调</t>
  </si>
  <si>
    <t>可能买入不足，或者正仓，随时跑</t>
  </si>
  <si>
    <t>走钢丝啊，这可能是派发，但是需求🈶上来了，供应可能减少了，不要贪，走一步算一步，这边散户已经进来接盘了，拉这么高这么急，就是吸引目光，1个月翻倍了，是不是游资打发，成功了，这么多的交易量，早就派发完毕了</t>
  </si>
  <si>
    <t>整体量更大了，说明之前不是派发是吸筹，会被震下车，要用大回撤才能抓住，或者就机会把握的准</t>
  </si>
  <si>
    <t>挺好的就是2块压力大，要注意不要贪，赚到就是你自己的</t>
  </si>
  <si>
    <t>供应不足，没人跟着</t>
  </si>
  <si>
    <t>是不是派发啊，建立了支撑，现在突破了区间，试一下</t>
  </si>
  <si>
    <t>就是走钢丝让人不舒服，这是要启动了，拿稳</t>
  </si>
  <si>
    <t>上升额慢，好消息，</t>
  </si>
  <si>
    <t>支撑，+ 供应减少，反弹，但是多高不知道，收益不高啊，下降趋势，上传200</t>
  </si>
  <si>
    <t>稍微拉的有点急，需要及时止损，赚到的就是你的了，</t>
  </si>
  <si>
    <t>走势良好就怕震仓</t>
  </si>
  <si>
    <t>低位反弹，已经上了一段时间，可能回落</t>
  </si>
  <si>
    <t>到达高位要止损都是自己的钱，自己的钱，下一次还可以，不用等待，图形已经不好了，当时你会买入嘛</t>
  </si>
  <si>
    <t>支撑区进过了试探，肯能站不稳</t>
  </si>
  <si>
    <t>冲高回落，止损</t>
  </si>
  <si>
    <t>止损，有可能回落区测试的</t>
  </si>
  <si>
    <t>支撑有效</t>
  </si>
  <si>
    <t>回撤有效</t>
  </si>
  <si>
    <t>测试支撑，然后弹起来了，之前还有一个震仓</t>
  </si>
  <si>
    <t>试探了支撑，可能继续回落，震出去</t>
  </si>
  <si>
    <t>回调完毕</t>
  </si>
  <si>
    <t>真正的支撑在7.5，可能继续磨，大概率一点一点上攻</t>
  </si>
  <si>
    <t>7快是真的支撑，之前是震仓</t>
  </si>
  <si>
    <t>赚到的就是自己的钱，后面有的是机会赚</t>
  </si>
  <si>
    <t>赚到的就是自己的钱，后面有的是机会，可能会反复好几次</t>
  </si>
  <si>
    <t>赚到的钱就是自己的钱，后面有的是机会， 可能会反复好几次</t>
  </si>
  <si>
    <t>多交易，不要看，多尝试，亏了没什么</t>
  </si>
  <si>
    <t>震荡区间不适合交易其实等待越过去再买风险小</t>
  </si>
  <si>
    <t>可能还会回调</t>
  </si>
  <si>
    <t>会回调</t>
  </si>
  <si>
    <t>回调去人</t>
  </si>
  <si>
    <t>回调确认</t>
  </si>
  <si>
    <t>上方压力大</t>
  </si>
  <si>
    <t>放大，然后持有</t>
  </si>
  <si>
    <t>指标</t>
  </si>
  <si>
    <t>当前统计</t>
  </si>
  <si>
    <t>口径说明</t>
  </si>
  <si>
    <t>已完成交易数</t>
  </si>
  <si>
    <t>存在卖出日期的交易</t>
  </si>
  <si>
    <t>盈利交易数</t>
  </si>
  <si>
    <t>实际盈亏金额大于0</t>
  </si>
  <si>
    <t>亏损交易数</t>
  </si>
  <si>
    <t>实际盈亏金额小于0</t>
  </si>
  <si>
    <t>持平交易数</t>
  </si>
  <si>
    <t>已卖出且实际盈亏为0；不进入胜负样本</t>
  </si>
  <si>
    <t>盈利概率</t>
  </si>
  <si>
    <t>盈利数÷胜负交易数</t>
  </si>
  <si>
    <t>亏损概率</t>
  </si>
  <si>
    <t>亏损数÷胜负交易数</t>
  </si>
  <si>
    <t>平均盈利百分比</t>
  </si>
  <si>
    <t>盈利交易实际账户收益率的平均值</t>
  </si>
  <si>
    <t>平均亏损百分比</t>
  </si>
  <si>
    <t>亏损交易实际账户收益率绝对值的平均值</t>
  </si>
  <si>
    <t>盈利的持有总天数</t>
  </si>
  <si>
    <t>自然日</t>
  </si>
  <si>
    <t>亏损的持有总天数</t>
  </si>
  <si>
    <t>平均交易金额</t>
  </si>
  <si>
    <t>实际加权买入价×累计买入股数的平均值，包含未卖出交易</t>
  </si>
  <si>
    <t>期望收益率</t>
  </si>
  <si>
    <t>盈利贡献减亏损贡献</t>
  </si>
  <si>
    <t>迄今为止的复利净利润率</t>
  </si>
  <si>
    <t>按每笔实际账户收益率逐笔连乘</t>
  </si>
  <si>
    <t>值</t>
  </si>
  <si>
    <t>录入/计算说明</t>
  </si>
  <si>
    <t>初始总金额</t>
  </si>
  <si>
    <t>手动输入；当前金额从此值开始累计</t>
  </si>
  <si>
    <t>当前总金额</t>
  </si>
  <si>
    <t>初始总金额＋全部已实现盈亏</t>
  </si>
  <si>
    <t>单次交易允许的亏损比例</t>
  </si>
  <si>
    <t>默认1%，可调整；开仓时复制为交易快照</t>
  </si>
  <si>
    <t>单次交易允许的亏损金额</t>
  </si>
  <si>
    <t>当前总金额×单次允许亏损比例</t>
  </si>
  <si>
    <t>当月允许最大亏损比例</t>
  </si>
  <si>
    <t>默认5%，可调整</t>
  </si>
  <si>
    <t>当月允许最大亏损金额</t>
  </si>
  <si>
    <t>当前总金额×当月最大亏损比例</t>
  </si>
  <si>
    <t>当月亏损金额</t>
  </si>
  <si>
    <t>按卖出日期统计本月已实现亏损，保留负号</t>
  </si>
  <si>
    <t>当前未平仓理论亏损</t>
  </si>
  <si>
    <t>未平仓三批持仓按当前有效止损计算的风险合计</t>
  </si>
  <si>
    <t>当月剩余可开仓风险额度</t>
  </si>
  <si>
    <t>当月允许最大亏损金额－当前未平仓理论亏损</t>
  </si>
  <si>
    <t>账户实际累计收益率</t>
  </si>
  <si>
    <t>当前总金额÷初始总金额－1；无入金出金时为账户权威累计收益</t>
  </si>
  <si>
    <t>连续亏损锁仓比例</t>
  </si>
  <si>
    <t>从最近盈利或有效手动解锁后的下一笔开始累计；默认6%</t>
  </si>
  <si>
    <t>最近盈利记录序号</t>
  </si>
  <si>
    <t>按工作表记录顺序查找最近一笔已平仓盈利交易</t>
  </si>
  <si>
    <t>最近已完成记录序号</t>
  </si>
  <si>
    <t>按工作表记录顺序查找最后一笔已平仓交易</t>
  </si>
  <si>
    <t>手动解锁截至记录序号</t>
  </si>
  <si>
    <t>锁仓复盘后填写当前最近已完成记录序号；须同时填写解锁原因</t>
  </si>
  <si>
    <t>手动解锁原因</t>
  </si>
  <si>
    <t>已完成</t>
  </si>
  <si>
    <t>例如：已完成复盘，开始新的模拟周期</t>
  </si>
  <si>
    <t>当前周期起点序号</t>
  </si>
  <si>
    <t>取最近盈利序号与有效手动解锁序号中的较大值</t>
  </si>
  <si>
    <t>周期起点账户金额</t>
  </si>
  <si>
    <t>初始金额加上周期起点及以前的全部已实现盈亏</t>
  </si>
  <si>
    <t>当前周期累计亏损</t>
  </si>
  <si>
    <t>仅累计周期起点之后的已平仓亏损；盈利会自动成为新起点</t>
  </si>
  <si>
    <t>连续亏损比例</t>
  </si>
  <si>
    <t>当前周期累计亏损÷周期起点账户金额</t>
  </si>
  <si>
    <t>锁仓风险使用率</t>
  </si>
  <si>
    <t>达到80%预警，达到100%锁仓</t>
  </si>
  <si>
    <t>连续亏损锁仓状态</t>
  </si>
  <si>
    <t>锁仓时禁止新开仓；有效手动解锁后从下一笔重新累计</t>
  </si>
  <si>
    <t>总金额</t>
  </si>
  <si>
    <t>来自账户当前总金额</t>
  </si>
  <si>
    <t>目标收益率</t>
  </si>
  <si>
    <t>手动输入</t>
  </si>
  <si>
    <t>目标收益金额</t>
  </si>
  <si>
    <t>总金额×目标收益率</t>
  </si>
  <si>
    <t>来自历史交易统计</t>
  </si>
  <si>
    <t>历史期望收益率</t>
  </si>
  <si>
    <t>来自历史胜率与平均盈亏</t>
  </si>
  <si>
    <t>所需投资笔数</t>
  </si>
  <si>
    <t>按目标收益率与历史账户期望收益率复利计算并向上取整</t>
  </si>
  <si>
    <t>技术指标</t>
  </si>
  <si>
    <t>分类</t>
  </si>
  <si>
    <t>说明</t>
  </si>
  <si>
    <t>蜡烛图</t>
  </si>
  <si>
    <t>价格形态</t>
  </si>
  <si>
    <t>观察实体、上下影线及组合形态</t>
  </si>
  <si>
    <t>趋势线</t>
  </si>
  <si>
    <t>趋势</t>
  </si>
  <si>
    <t>连接关键高点或低点判断趋势方向</t>
  </si>
  <si>
    <t>MACD</t>
  </si>
  <si>
    <t>动量</t>
  </si>
  <si>
    <t>观察快慢线、信号线和柱状图</t>
  </si>
  <si>
    <t>移动平均线</t>
  </si>
  <si>
    <t>观察价格与不同周期均线的位置关系</t>
  </si>
  <si>
    <t>量价</t>
  </si>
  <si>
    <t>确认突破、回调和趋势的参与强度</t>
  </si>
  <si>
    <t>RSI</t>
  </si>
  <si>
    <t>衡量相对强弱及超买超卖状态</t>
  </si>
  <si>
    <t>KDJ</t>
  </si>
  <si>
    <t>观察随机指标交叉和极值区域</t>
  </si>
  <si>
    <t>布林带</t>
  </si>
  <si>
    <t>波动</t>
  </si>
  <si>
    <t>观察价格相对中轨和上下轨的位置</t>
  </si>
  <si>
    <t>支撑位</t>
  </si>
  <si>
    <t>关键价位</t>
  </si>
  <si>
    <t>记录预期获得买盘支撑的价格区域</t>
  </si>
  <si>
    <t>压力位</t>
  </si>
  <si>
    <t>记录预期遇到卖压的价格区域</t>
  </si>
  <si>
    <t>缺口</t>
  </si>
  <si>
    <t>观察跳空缺口是否回补或延续</t>
  </si>
  <si>
    <t>形态突破</t>
  </si>
  <si>
    <t>观察平台、箱体或整理形态的突破</t>
  </si>
  <si>
    <t>均线金叉</t>
  </si>
  <si>
    <t>短周期均线上穿长周期均线</t>
  </si>
  <si>
    <t>均线死叉</t>
  </si>
  <si>
    <t>短周期均线下穿长周期均线</t>
  </si>
  <si>
    <t>量价背离</t>
  </si>
  <si>
    <t>价格和成交量变化方向不一致</t>
  </si>
  <si>
    <t>趋势背离</t>
  </si>
  <si>
    <t>价格走势与动量指标走势不一致</t>
  </si>
  <si>
    <t>ATR</t>
  </si>
  <si>
    <t>衡量真实波动幅度并辅助设置止损</t>
  </si>
  <si>
    <t>换手率</t>
  </si>
  <si>
    <t>衡量筹码交换活跃程度</t>
  </si>
  <si>
    <t>相对强弱</t>
  </si>
  <si>
    <t>比较</t>
  </si>
  <si>
    <t>比较个股与板块或指数的强弱</t>
  </si>
  <si>
    <t>板块共振</t>
  </si>
  <si>
    <t>市场环境</t>
  </si>
  <si>
    <t>确认个股信号与所属板块方向一致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</si>
</sst>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 numFmtId="177" formatCode="yyyy\-mm\-dd"/>
  </numFmts>
  <fonts count="25">
    <font>
      <sz val="11"/>
      <color theme="1"/>
      <name val="宋体"/>
      <charset val="134"/>
      <scheme val="minor"/>
    </font>
    <font>
      <b/>
      <sz val="11"/>
      <color rgb="FFFFFFFF"/>
      <name val="宋体"/>
      <charset val="134"/>
      <scheme val="minor"/>
    </font>
    <font>
      <b/>
      <sz val="11"/>
      <color rgb="FFFFFFFF"/>
      <name val="宋体"/>
      <charset val="134"/>
    </font>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0"/>
      <scheme val="minor"/>
    </font>
  </fonts>
  <fills count="36">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3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xf numFmtId="176" fontId="0" fillId="4" borderId="1" xfId="0" applyNumberFormat="1" applyFill="1" applyBorder="1" applyAlignment="1">
      <alignment vertical="top" wrapText="1"/>
    </xf>
    <xf numFmtId="10" fontId="0" fillId="3" borderId="1" xfId="0" applyNumberFormat="1" applyFill="1" applyBorder="1" applyAlignment="1">
      <alignment vertical="top" wrapText="1"/>
    </xf>
    <xf numFmtId="10" fontId="0" fillId="4" borderId="1" xfId="0" applyNumberFormat="1" applyFill="1" applyBorder="1" applyAlignment="1">
      <alignment vertical="top" wrapText="1"/>
    </xf>
    <xf numFmtId="0" fontId="0" fillId="4" borderId="1" xfId="0" applyFill="1" applyBorder="1" applyAlignment="1">
      <alignment vertical="top" wrapText="1"/>
    </xf>
    <xf numFmtId="0" fontId="2" fillId="2" borderId="1" xfId="0" applyFont="1" applyFill="1" applyBorder="1" applyAlignment="1">
      <alignment vertical="top" wrapText="1"/>
    </xf>
    <xf numFmtId="176" fontId="0" fillId="3" borderId="1" xfId="0" applyNumberFormat="1" applyFill="1" applyBorder="1" applyAlignment="1">
      <alignment vertical="top" wrapText="1"/>
    </xf>
    <xf numFmtId="1" fontId="0" fillId="4" borderId="1" xfId="0" applyNumberFormat="1" applyFill="1" applyBorder="1" applyAlignment="1">
      <alignment vertical="top" wrapText="1"/>
    </xf>
    <xf numFmtId="1" fontId="0" fillId="3" borderId="1" xfId="0" applyNumberFormat="1" applyFill="1" applyBorder="1" applyAlignment="1">
      <alignment vertical="top" wrapText="1"/>
    </xf>
    <xf numFmtId="177" fontId="0" fillId="3" borderId="1" xfId="0" applyNumberFormat="1" applyFill="1" applyBorder="1" applyAlignment="1">
      <alignment vertical="top" wrapText="1"/>
    </xf>
    <xf numFmtId="0" fontId="0" fillId="3" borderId="1" xfId="0" applyFont="1" applyFill="1" applyBorder="1" applyAlignment="1">
      <alignment vertical="top" wrapText="1"/>
    </xf>
    <xf numFmtId="0" fontId="3" fillId="3" borderId="1" xfId="0" applyFont="1" applyFill="1" applyBorder="1" applyAlignment="1">
      <alignment vertical="top" wrapText="1"/>
    </xf>
    <xf numFmtId="0" fontId="2" fillId="2" borderId="1" xfId="0" applyFont="1" applyFill="1" applyBorder="1" applyAlignment="1">
      <alignment horizontal="center" vertical="center" wrapText="1"/>
    </xf>
    <xf numFmtId="0" fontId="4" fillId="0" borderId="0" xfId="0" applyFont="1"/>
    <xf numFmtId="177" fontId="0" fillId="4" borderId="1" xfId="0" applyNumberFormat="1" applyFill="1" applyBorder="1" applyAlignment="1">
      <alignment vertical="top" wrapText="1"/>
    </xf>
    <xf numFmtId="2" fontId="0" fillId="4" borderId="1" xfId="0" applyNumberFormat="1" applyFill="1" applyBorder="1" applyAlignment="1">
      <alignment vertical="top" wrapText="1"/>
    </xf>
    <xf numFmtId="177" fontId="0" fillId="4" borderId="1" xfId="0" applyNumberFormat="1" applyFont="1" applyFill="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vertical="top" wrapText="1"/>
    </xf>
    <xf numFmtId="176" fontId="4" fillId="3" borderId="1" xfId="0" applyNumberFormat="1" applyFont="1" applyFill="1" applyBorder="1" applyAlignment="1">
      <alignment vertical="top" wrapText="1"/>
    </xf>
    <xf numFmtId="10" fontId="4" fillId="3" borderId="1" xfId="0" applyNumberFormat="1" applyFont="1" applyFill="1" applyBorder="1" applyAlignment="1">
      <alignment vertical="top" wrapText="1"/>
    </xf>
    <xf numFmtId="0" fontId="4" fillId="4" borderId="1" xfId="0" applyFont="1" applyFill="1" applyBorder="1" applyAlignment="1">
      <alignment vertical="top" wrapText="1"/>
    </xf>
    <xf numFmtId="0" fontId="4" fillId="4" borderId="1" xfId="0" applyFont="1" applyFill="1" applyBorder="1" applyAlignment="1">
      <alignment vertical="top" wrapText="1"/>
    </xf>
    <xf numFmtId="177" fontId="4" fillId="3" borderId="1" xfId="0" applyNumberFormat="1" applyFont="1" applyFill="1" applyBorder="1" applyAlignment="1">
      <alignment vertical="top" wrapText="1"/>
    </xf>
    <xf numFmtId="176" fontId="4" fillId="4" borderId="1" xfId="0" applyNumberFormat="1" applyFont="1" applyFill="1" applyBorder="1" applyAlignment="1">
      <alignment vertical="top" wrapText="1"/>
    </xf>
    <xf numFmtId="177" fontId="4" fillId="4" borderId="1" xfId="0" applyNumberFormat="1" applyFont="1" applyFill="1" applyBorder="1" applyAlignment="1">
      <alignment vertical="top" wrapText="1"/>
    </xf>
    <xf numFmtId="176" fontId="4" fillId="4" borderId="1" xfId="0" applyNumberFormat="1" applyFont="1" applyFill="1" applyBorder="1" applyAlignment="1">
      <alignment vertical="top" wrapText="1"/>
    </xf>
    <xf numFmtId="10" fontId="4" fillId="4" borderId="1" xfId="0" applyNumberFormat="1" applyFont="1" applyFill="1" applyBorder="1" applyAlignment="1">
      <alignment vertical="top" wrapText="1"/>
    </xf>
    <xf numFmtId="2" fontId="4" fillId="4" borderId="1" xfId="0" applyNumberFormat="1" applyFont="1" applyFill="1" applyBorder="1" applyAlignment="1">
      <alignment vertical="top" wrapText="1"/>
    </xf>
    <xf numFmtId="1" fontId="4" fillId="4" borderId="1" xfId="0" applyNumberFormat="1" applyFont="1" applyFill="1" applyBorder="1" applyAlignment="1">
      <alignment vertical="top" wrapText="1"/>
    </xf>
    <xf numFmtId="1" fontId="4" fillId="3" borderId="1" xfId="0" applyNumberFormat="1" applyFont="1" applyFill="1" applyBorder="1" applyAlignment="1">
      <alignment vertical="top" wrapText="1"/>
    </xf>
    <xf numFmtId="177" fontId="4" fillId="4" borderId="1" xfId="0" applyNumberFormat="1" applyFont="1" applyFill="1" applyBorder="1" applyAlignment="1">
      <alignment vertical="top" wrapText="1"/>
    </xf>
    <xf numFmtId="10" fontId="4" fillId="4" borderId="1" xfId="0" applyNumberFormat="1" applyFont="1" applyFill="1" applyBorder="1" applyAlignment="1">
      <alignment vertical="top" wrapText="1"/>
    </xf>
    <xf numFmtId="1" fontId="4" fillId="4" borderId="1" xfId="0" applyNumberFormat="1"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fgColor rgb="FFFFC7CE"/>
        </patternFill>
      </fill>
    </dxf>
    <dxf>
      <fill>
        <patternFill patternType="solid">
          <fgColor rgb="FFC6EFCE"/>
        </patternFill>
      </fill>
    </dxf>
    <dxf>
      <fill>
        <patternFill patternType="solid">
          <f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1" name="TradeRecords" displayName="TradeRecords" ref="A1:AR98">
  <autoFilter xmlns:etc="http://www.wps.cn/officeDocument/2017/etCustomData" ref="A1:AR98" etc:filterBottomFollowUsedRange="0"/>
  <tableColumns count="44">
    <tableColumn id="1" name="交易编号"/>
    <tableColumn id="2" name="股票代码"/>
    <tableColumn id="3" name="买入时账户金额"/>
    <tableColumn id="4" name="本次允许亏损比例"/>
    <tableColumn id="5" name="第一批买入价"/>
    <tableColumn id="6" name="买入建议股数">
      <calculatedColumnFormula>IF(OR(C2="",D2="",E2="",N2="",C2&lt;=0,D2&lt;=0,E2&lt;=N2),"",ROUNDDOWN((C2*D2)/(E2-N2)/100,0)*100)</calculatedColumnFormula>
    </tableColumn>
    <tableColumn id="7" name="开仓风险告警">
      <calculatedColumnFormula>IF(OR(A2="",F2="",E2="",N2="",E2&lt;=N2,账户数据!$B$7=""),"",IF(账户数据!$B$9+IF(H2="",F2*(E2-N2),0)&gt;=账户数据!$B$7,"禁止开仓","允许开仓"))</calculatedColumnFormula>
    </tableColumn>
    <tableColumn id="8" name="第一批买入股数"/>
    <tableColumn id="9" name="首次买入日期"/>
    <tableColumn id="10" name="期望卖出价"/>
    <tableColumn id="11" name="实际卖出价">
      <calculatedColumnFormula>IF(A2="","",IFERROR(LOOKUP(2,1/((持仓跟踪!$B$2:$B$157=A2)*(持仓跟踪!$X$2:$X$157="执行卖出")*(持仓跟踪!$Y$2:$Y$157&lt;&gt;"")),持仓跟踪!$Y$2:$Y$157),""))</calculatedColumnFormula>
    </tableColumn>
    <tableColumn id="12" name="卖出股数">
      <calculatedColumnFormula>IF(K2="","",H2)</calculatedColumnFormula>
    </tableColumn>
    <tableColumn id="13" name="卖出日期">
      <calculatedColumnFormula>IF(A2="","",IFERROR(LOOKUP(2,1/((持仓跟踪!$B$2:$B$157=A2)*(持仓跟踪!$X$2:$X$157="执行卖出")*(持仓跟踪!$H$2:$H$157&lt;&gt;"")),持仓跟踪!$H$2:$H$157),""))</calculatedColumnFormula>
    </tableColumn>
    <tableColumn id="14" name="止损价"/>
    <tableColumn id="15" name="买入总费用"/>
    <tableColumn id="16" name="卖出费用">
      <calculatedColumnFormula>IF(A2="","",IFERROR(LOOKUP(2,1/((持仓跟踪!$B$2:$B$157=A2)*(持仓跟踪!$X$2:$X$157="执行卖出")*(持仓跟踪!$AA$2:$AA$157&lt;&gt;"")),持仓跟踪!$AA$2:$AA$157),""))</calculatedColumnFormula>
    </tableColumn>
    <tableColumn id="17" name="买入价的由来"/>
    <tableColumn id="18" name="止损价的由来"/>
    <tableColumn id="19" name="期望卖出价的由来"/>
    <tableColumn id="20" name="实际卖出价的由来"/>
    <tableColumn id="21" name="期望盈利比例">
      <calculatedColumnFormula>IF(OR(E2="",J2="",E2&lt;=0),"",(J2-E2)/E2)</calculatedColumnFormula>
    </tableColumn>
    <tableColumn id="22" name="期望止损比例">
      <calculatedColumnFormula>IF(OR(E2="",N2="",E2&lt;=0),"",(E2-N2)/E2)</calculatedColumnFormula>
    </tableColumn>
    <tableColumn id="23" name="盈亏比">
      <calculatedColumnFormula>IF(OR(U2="",V2="",V2&lt;=0),"",U2/V2)</calculatedColumnFormula>
    </tableColumn>
    <tableColumn id="24" name="实际盈亏金额">
      <calculatedColumnFormula>IF(OR(K2="",L2="",E2="",H2=""),"",K2*L2-E2*H2-IF(O2="",0,O2)-IF(P2="",0,P2))</calculatedColumnFormula>
    </tableColumn>
    <tableColumn id="25" name="单笔仓位收益率">
      <calculatedColumnFormula>IF(OR(X2="",E2="",H2=""),"",IF(E2*H2+IF(O2="",0,O2)&lt;=0,"",X2/(E2*H2+IF(O2="",0,O2))))</calculatedColumnFormula>
    </tableColumn>
    <tableColumn id="26" name="账户收益率与平均盈利率差值">
      <calculatedColumnFormula>IF(OR(AE2="",多次统计数据!$B$8=""),"",AE2-多次统计数据!$B$8)</calculatedColumnFormula>
    </tableColumn>
    <tableColumn id="27" name="持有天数">
      <calculatedColumnFormula>IF(OR(I2="",M2="",M2&lt;I2),"",M2-I2)</calculatedColumnFormula>
    </tableColumn>
    <tableColumn id="28" name="复利容许平均亏损上限">
      <calculatedColumnFormula>IF(OR(A2="",多次统计数据!$B$8="",多次统计数据!$B$6&lt;=0,多次统计数据!$B$6&gt;=1),"",1-POWER(1+多次统计数据!$B$8,-多次统计数据!$B$6/(1-多次统计数据!$B$6)))</calculatedColumnFormula>
    </tableColumn>
    <tableColumn id="29" name="复利风险判断">
      <calculatedColumnFormula>IF(OR(AB2="",多次统计数据!$B$9=""),"",IF(多次统计数据!$B$9&lt;AB2,"低于上限","达到或超过上限"))</calculatedColumnFormula>
    </tableColumn>
    <tableColumn id="30" name="交易打分评价"/>
    <tableColumn id="31" name="实际账户收益率">
      <calculatedColumnFormula>IF(OR(X2="",C2="",C2&lt;=0),"",X2/C2)</calculatedColumnFormula>
    </tableColumn>
    <tableColumn id="32" name="列1"/>
    <tableColumn id="33" name="交易预期类型"/>
    <tableColumn id="34" name="预期持有周期"/>
    <tableColumn id="35" name="预期选择理由"/>
    <tableColumn id="36" name="周期匹配检查">
      <calculatedColumnFormula>IF(OR(AG2="",AH2=""),"",IF(OR(AND(AG2="短期博反弹",OR(AH2="1～3个交易日",AH2="4～10个交易日")),AND(AG2="突破冲新高",OR(AH2="4～10个交易日",AH2="11～20个交易日")),AND(AG2="趋势波段",OR(AH2="11～20个交易日",AH2="21～60个交易日",AH2="60个交易日以上"))),"匹配","周期与交易预期不匹配，请重新确认"))</calculatedColumnFormula>
    </tableColumn>
    <tableColumn id="37" name="第二批买入价"/>
    <tableColumn id="38" name="第二批买入股数"/>
    <tableColumn id="39" name="第三批买入价"/>
    <tableColumn id="40" name="第三批买入股数"/>
    <tableColumn id="41" name="实际加权买入价">
      <calculatedColumnFormula>IF(OR(A2="",H2="",H2&lt;=0),"",(E2*H2+IF(AND(AK2&lt;&gt;"",AL2&lt;&gt;""),AK2*AL2,0)+IF(AND(AM2&lt;&gt;"",AN2&lt;&gt;""),AM2*AN2,0))/AP2)</calculatedColumnFormula>
    </tableColumn>
    <tableColumn id="42" name="累计买入股数">
      <calculatedColumnFormula>IF(OR(A2="",H2="",H2&lt;=0),"",H2+IF(AL2="",0,AL2)+IF(AN2="",0,AN2))</calculatedColumnFormula>
    </tableColumn>
    <tableColumn id="43" name="当前持仓风险">
      <calculatedColumnFormula>IF(A2="","",IF(M2&lt;&gt;"",0,IF(OR(H2="",N2=""),"",MAX(E2-MAX(N2,IFERROR(SUMPRODUCT(MAX(((持仓跟踪!$A$2:$A$157="每日跟踪")*(持仓跟踪!$B$2:$B$157=A2))*持仓跟踪!$S$2:$S$157)),0)),0)*H2+IF(OR(AK2="",AL2=""),0,MAX(AK2-MAX(N2,IFERROR(SUMPRODUCT(MAX(((持仓跟踪!$A$2:$A$157="每日跟踪")*(持仓跟踪!$B$2:$B$157=A2))*持仓跟踪!$S$2:$S$157)),0)),0)*AL2)+IF(OR(AM2="",AN2=""),0,MAX(AM2-MAX(N2,IFERROR(SUMPRODUCT(MAX(((持仓跟踪!$A$2:$A$157="每日跟踪")*(持仓跟踪!$B$2:$B$157=A2))*持仓跟踪!$S$2:$S$157)),0)),0)*AN2))))</calculatedColumnFormula>
    </tableColumn>
    <tableColumn id="44" name="分仓规则检查">
      <calculatedColumnFormula>IF(A2="","",IF(OR(E2="",H2=""),"违规：第一批价格或股数缺失",IF(OR(AND(AK2="",AL2&lt;&gt;""),AND(AK2&lt;&gt;"",AL2="")),"违规：第二批价格与股数须成对填写",IF(OR(AND(AM2="",AN2&lt;&gt;""),AND(AM2&lt;&gt;"",AN2="")),"违规：第三批价格与股数须成对填写",IF(AND(OR(AM2&lt;&gt;"",AN2&lt;&gt;""),OR(AK2="",AL2="")),"违规：必须先完成第二批",IF(OR(H2&lt;=0,H2&lt;&gt;INT(H2),MOD(H2,100)&lt;&gt;0,AND(AL2&lt;&gt;"",OR(AL2&lt;=0,AL2&lt;&gt;INT(AL2),MOD(AL2,100)&lt;&gt;0)),AND(AN2&lt;&gt;"",OR(AN2&lt;=0,AN2&lt;&gt;INT(AN2),MOD(AN2,100)&lt;&gt;0))),"违规：股数须为100股整数倍",IF(AND(OR(AL2&lt;&gt;"",AN2&lt;&gt;""),OR(_LockStatus="已锁仓",_LockStatus="解锁信息不完整")),"违规：锁仓期间禁止加仓",IF(AQ2&gt;C2*D2,"违规：超过单笔风险上限",IF(SUM($AQ$2:$AQ$201)&gt;账户数据!$B$7,"违规：超过账户风险上限","通过")))))))))</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PositionTracking" displayName="PositionTracking" ref="A1:AC157">
  <autoFilter xmlns:etc="http://www.wps.cn/officeDocument/2017/etCustomData" ref="A1:AC157" etc:filterBottomFollowUsedRange="0"/>
  <tableColumns count="29">
    <tableColumn id="1" name="记录类型"/>
    <tableColumn id="2" name="交易编号"/>
    <tableColumn id="3" name="股票代码">
      <calculatedColumnFormula>IF(B2="","",IFERROR(LOOKUP(2,1/(单次交易!$A$2:$A$98=B2),单次交易!$B$2:$B$98),""))</calculatedColumnFormula>
    </tableColumn>
    <tableColumn id="4" name="止损阶段序号"/>
    <tableColumn id="5" name="激活价"/>
    <tableColumn id="6" name="激活后止损价"/>
    <tableColumn id="7" name="止损依据"/>
    <tableColumn id="8" name="记录日期"/>
    <tableColumn id="9" name="收盘价"/>
    <tableColumn id="10" name="成交量"/>
    <tableColumn id="11" name="量价分析"/>
    <tableColumn id="12" name="当前阶段"/>
    <tableColumn id="13" name="阶段判断理由"/>
    <tableColumn id="14" name="初始止损">
      <calculatedColumnFormula>IF(B2="","",IFERROR(LOOKUP(2,1/(单次交易!$A$2:$A$98=B2),单次交易!$N$2:$N$98),""))</calculatedColumnFormula>
    </tableColumn>
    <tableColumn id="15" name="历史最高收盘价">
      <calculatedColumnFormula>IF(A2&lt;&gt;"每日跟踪","",IF(OR(B2="",H2="",I2=""),"",IFERROR(SUMPRODUCT(MAX((($A$2:$A$497="每日跟踪")*($B$2:$B$497=B2)*($H$2:$H$497&lt;=H2))*$I$2:$I$497)),"")))</calculatedColumnFormula>
    </tableColumn>
    <tableColumn id="16" name="已激活止损阶段">
      <calculatedColumnFormula>IF(A2&lt;&gt;"每日跟踪","",IF(O2="","",IFERROR(SUMPRODUCT(MAX((($A$2:$A$497="止损计划")*($B$2:$B$497=B2)*($E$2:$E$497&lt;=O2))*$D$2:$D$497)),0)))</calculatedColumnFormula>
    </tableColumn>
    <tableColumn id="17" name="当前计划止损">
      <calculatedColumnFormula>IF(A2&lt;&gt;"每日跟踪","",IF(N2="","",MAX(N2,IFERROR(SUMPRODUCT(MAX((($A$2:$A$497="止损计划")*($B$2:$B$497=B2)*($E$2:$E$497&lt;=O2))*$F$2:$F$497)),0))))</calculatedColumnFormula>
    </tableColumn>
    <tableColumn id="18" name="人工上调止损"/>
    <tableColumn id="19" name="当前有效止损">
      <calculatedColumnFormula>IF(A2&lt;&gt;"每日跟踪","",IF(Q2="","",MAX(Q2,IFERROR(SUMPRODUCT(MAX((($A$2:$A$497="每日跟踪")*($B$2:$B$497=B2)*($H$2:$H$497&lt;=H2))*$R$2:$R$497)),0))))</calculatedColumnFormula>
    </tableColumn>
    <tableColumn id="20" name="下一阶段激活价">
      <calculatedColumnFormula>IF(A2&lt;&gt;"每日跟踪","",IF(O2="","",IF(COUNTIFS($A$2:$A$497,"止损计划",$B$2:$B$497,B2,$E$2:$E$497,"&gt;"&amp;O2)=0,"",INDEX($E$2:$E$497,MATCH(1,INDEX(($A$2:$A$497="止损计划")*($B$2:$B$497=B2)*($E$2:$E$497&gt;O2),0),0)))))</calculatedColumnFormula>
    </tableColumn>
    <tableColumn id="21" name="下一阶段止损价">
      <calculatedColumnFormula>IF(OR(A2&lt;&gt;"每日跟踪",T2=""),"",IFERROR(SUMIFS($F$2:$F$497,$A$2:$A$497,"止损计划",$B$2:$B$497,B2,$E$2:$E$497,T2),""))</calculatedColumnFormula>
    </tableColumn>
    <tableColumn id="22" name="距离下一阶段涨幅">
      <calculatedColumnFormula>IF(OR(A2&lt;&gt;"每日跟踪",T2="",I2="",I2&lt;=0),"",T2/I2-1)</calculatedColumnFormula>
    </tableColumn>
    <tableColumn id="23" name="止损判断">
      <calculatedColumnFormula>IF(A2&lt;&gt;"每日跟踪","",IF(OR(I2="",S2=""),"",IF(I2&lt;=S2,"触发止损：应全部卖出","继续观察")))</calculatedColumnFormula>
    </tableColumn>
    <tableColumn id="24" name="卖出动作"/>
    <tableColumn id="25" name="实际卖出价"/>
    <tableColumn id="26" name="实际卖出股数">
      <calculatedColumnFormula>IF(X2&lt;&gt;"执行卖出","",IFERROR(LOOKUP(2,1/(单次交易!$A$2:$A$98=B2),单次交易!$AP$2:$AP$98),""))</calculatedColumnFormula>
    </tableColumn>
    <tableColumn id="27" name="卖出费用"/>
    <tableColumn id="28" name="执行检查">
      <calculatedColumnFormula>IF(A2&lt;&gt;"每日跟踪","",IF(OR(B2="",H2="",I2="",J2="",K2="",L2="",M2=""),"待补充每日记录",IF(W2="触发止损：应全部卖出",IF(X2&lt;&gt;"执行卖出","违规：触发止损但未执行",IF(Y2="","待补充实际卖出价","卖出记录完整")),IF(X2="","待选择卖出动作",IF(X2="执行卖出",IF(Y2="","待补充实际卖出价","卖出记录完整"),"正常")))))</calculatedColumnFormula>
    </tableColumn>
    <tableColumn id="29" name="规则检查">
      <calculatedColumnFormula>IF(A2="","",IF(A2="止损计划",IF(OR(B2="",D2="",E2="",F2="",G2=""),"计划不完整",IF(OR(D2&lt;1,D2&lt;&gt;INT(D2)),"阶段序号无效",IF(COUNTIFS($A$2:$A$497,"止损计划",$B$2:$B$497,B2,$D$2:$D$497,D2)&gt;1,"阶段序号重复",IF(E2&lt;=IFERROR(LOOKUP(2,1/(单次交易!$A$2:$A$98=B2),单次交易!$E$2:$E$98),0),"激活价须高于买入价",IF(F2&lt;N2,"止损价不得低于初始止损",IF(F2&gt;E2,"止损价不得高于激活价",IF(AND(COUNTIFS($A$2:$A$497,"止损计划",$B$2:$B$497,B2,$D$2:$D$497,"&lt;"&amp;D2)&gt;0,OR(E2&lt;=SUMPRODUCT(MAX((($A$2:$A$497="止损计划")*($B$2:$B$497=B2)*($D$2:$D$497&lt;D2))*$E$2:$E$497)),F2&lt;SUMPRODUCT(MAX((($A$2:$A$497="止损计划")*($B$2:$B$497=B2)*($D$2:$D$497&lt;D2))*$F$2:$F$497)))),"阶段价格必须逐级提高","计划有效"))))))),IF(A2="每日跟踪",IF(OR(B2="",H2="",I2="",J2=""),"每日数据不完整",IF(COUNTIFS($A$2:$A$497,"每日跟踪",$B$2:$B$497,B2,$H$2:$H$497,H2)&gt;1,"同一交易日期重复",IF(AND(R2&lt;&gt;"",R2&lt;S2),"人工止损无效：不能下调","跟踪有效"))),"记录类型无效")))</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radeReasonLog" displayName="TradeReasonLog" ref="A1:L399">
  <autoFilter xmlns:etc="http://www.wps.cn/officeDocument/2017/etCustomData" ref="A1:L399" etc:filterBottomFollowUsedRange="0"/>
  <tableColumns count="12">
    <tableColumn id="1" name="交易编号"/>
    <tableColumn id="2" name="股票代码"/>
    <tableColumn id="3" name="所属板块"/>
    <tableColumn id="4" name="阶段"/>
    <tableColumn id="5" name="记录日期"/>
    <tableColumn id="6" name="技术指标1"/>
    <tableColumn id="7" name="技术指标2"/>
    <tableColumn id="8" name="技术指标3"/>
    <tableColumn id="9" name="综述"/>
    <tableColumn id="10" name="列1"/>
    <tableColumn id="11" name="列2"/>
    <tableColumn id="12" name="列3"/>
  </tableColumns>
  <tableStyleInfo name="TableStyleMedium2" showFirstColumn="0" showLastColumn="0" showRowStripes="1" showColumnStripes="0"/>
</table>
</file>

<file path=xl/tables/table4.xml><?xml version="1.0" encoding="utf-8"?>
<table xmlns="http://schemas.openxmlformats.org/spreadsheetml/2006/main" id="4" name="TechnicalIndicatorCatalog" displayName="TechnicalIndicatorCatalog" ref="A1:C201">
  <autoFilter xmlns:etc="http://www.wps.cn/officeDocument/2017/etCustomData" ref="A1:C201" etc:filterBottomFollowUsedRange="0"/>
  <tableColumns count="3">
    <tableColumn id="1" name="技术指标"/>
    <tableColumn id="2" name="分类"/>
    <tableColumn id="3" name="说明"/>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18"/>
  <sheetViews>
    <sheetView tabSelected="1" zoomScale="115" zoomScaleNormal="115" topLeftCell="A72" workbookViewId="0">
      <pane xSplit="2" topLeftCell="C1" activePane="topRight" state="frozen"/>
      <selection/>
      <selection pane="topRight" activeCell="E98" sqref="E98"/>
    </sheetView>
  </sheetViews>
  <sheetFormatPr defaultColWidth="9" defaultRowHeight="16.8"/>
  <cols>
    <col min="1" max="2" width="14" customWidth="1"/>
    <col min="3" max="3" width="17" customWidth="1"/>
    <col min="4" max="4" width="18" customWidth="1"/>
    <col min="5" max="5" width="14" customWidth="1"/>
    <col min="6" max="6" width="16" customWidth="1"/>
    <col min="7" max="7" width="20.625" customWidth="1"/>
    <col min="8" max="8" width="16" customWidth="1"/>
    <col min="9" max="9" width="13" customWidth="1"/>
    <col min="10" max="10" width="14.375" customWidth="1"/>
    <col min="11" max="11" width="15" customWidth="1"/>
    <col min="12" max="12" width="14" customWidth="1"/>
    <col min="13" max="13" width="13" customWidth="1"/>
    <col min="14" max="16" width="14" customWidth="1"/>
    <col min="17" max="20" width="24" customWidth="1"/>
    <col min="21" max="27" width="14" customWidth="1"/>
    <col min="28" max="28" width="22" customWidth="1"/>
    <col min="29" max="31" width="18" customWidth="1"/>
    <col min="32" max="32" width="20" customWidth="1"/>
    <col min="33" max="33" width="18" customWidth="1"/>
    <col min="34" max="34" width="20" customWidth="1"/>
    <col min="35" max="35" width="42" customWidth="1"/>
    <col min="36" max="36" width="32" customWidth="1"/>
    <col min="37" max="37" width="20.875" customWidth="1"/>
    <col min="38" max="38" width="18" customWidth="1"/>
    <col min="39" max="39" width="16" customWidth="1"/>
    <col min="40" max="43" width="18" customWidth="1"/>
    <col min="44" max="44" width="28" customWidth="1"/>
  </cols>
  <sheetData>
    <row r="1" ht="42" customHeight="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t="s">
        <v>31</v>
      </c>
      <c r="AG1" s="16" t="s">
        <v>32</v>
      </c>
      <c r="AH1" s="16" t="s">
        <v>33</v>
      </c>
      <c r="AI1" s="16" t="s">
        <v>34</v>
      </c>
      <c r="AJ1" s="16" t="s">
        <v>35</v>
      </c>
      <c r="AK1" s="16" t="s">
        <v>36</v>
      </c>
      <c r="AL1" s="16" t="s">
        <v>37</v>
      </c>
      <c r="AM1" s="16" t="s">
        <v>38</v>
      </c>
      <c r="AN1" s="16" t="s">
        <v>39</v>
      </c>
      <c r="AO1" s="16" t="s">
        <v>40</v>
      </c>
      <c r="AP1" s="16" t="s">
        <v>41</v>
      </c>
      <c r="AQ1" s="16" t="s">
        <v>42</v>
      </c>
      <c r="AR1" s="16" t="s">
        <v>43</v>
      </c>
    </row>
    <row r="2" ht="17" spans="1:44">
      <c r="A2" s="2">
        <v>1</v>
      </c>
      <c r="B2" s="2" t="s">
        <v>44</v>
      </c>
      <c r="C2" s="10">
        <v>100000</v>
      </c>
      <c r="D2" s="6">
        <v>0.02</v>
      </c>
      <c r="E2" s="10">
        <v>3.9</v>
      </c>
      <c r="F2" s="8">
        <f>IF(OR(C2="",D2="",E2="",N2="",C2&lt;=0,D2&lt;=0,E2&lt;=N2),"",ROUNDDOWN((C2*D2)/(E2-N2)/100,0)*100)</f>
        <v>10000</v>
      </c>
      <c r="G2" s="8" t="str">
        <f ca="1">IF(A2="","",IF(H2&lt;&gt;"","已开仓",IF(账户数据!$B$23="已锁仓","禁止开仓：连续亏损达到上限",IF(账户数据!$B$23="解锁信息不完整","禁止开仓：请完整填写解锁信息",IF(OR(F2="",E2="",N2="",E2&lt;=N2,账户数据!$B$7=""),"",IF(OR(AG2="",AH2="",AI2=""),"禁止开仓：交易预期未填写完整",IF(COUNTIFS(持仓跟踪!$A$2:$A$157,"止损计划",持仓跟踪!$B$2:$B$157,A2,持仓跟踪!$AC$2:$AC$157,"计划有效")=0,"禁止开仓：请先填写止损计划",IF(账户数据!$B$9+F2*(E2-N2)&gt;=账户数据!$B$7,"禁止开仓：风险额度不足",IF(AJ2="周期与交易预期不匹配，请重新确认",IF(账户数据!$B$23="接近锁仓","允许开仓（接近锁仓；周期需复核）","允许开仓（周期需复核）"),IF(账户数据!$B$23="接近锁仓","允许开仓（接近锁仓）","允许开仓"))))))))))</f>
        <v>已开仓</v>
      </c>
      <c r="H2" s="2">
        <v>5000</v>
      </c>
      <c r="I2" s="13">
        <v>42570</v>
      </c>
      <c r="J2" s="10">
        <v>4</v>
      </c>
      <c r="K2" s="5">
        <v>3.68</v>
      </c>
      <c r="L2" s="8">
        <v>5000</v>
      </c>
      <c r="M2" s="18">
        <f>IF(A2="","",IFERROR(LOOKUP(2,1/((持仓跟踪!$B$2:$B$157=A2)*(持仓跟踪!$X$2:$X$157="执行卖出")*(持仓跟踪!$H$2:$H$157&lt;&gt;"")),持仓跟踪!$H$2:$H$157),""))</f>
        <v>42578</v>
      </c>
      <c r="N2" s="10">
        <v>3.7</v>
      </c>
      <c r="O2" s="10"/>
      <c r="P2" s="5" t="str">
        <f>IF(A2="","",IFERROR(LOOKUP(2,1/((持仓跟踪!$B$2:$B$157=A2)*(持仓跟踪!$X$2:$X$157="执行卖出")*(持仓跟踪!$AA$2:$AA$157&lt;&gt;"")),持仓跟踪!$AA$2:$AA$157),""))</f>
        <v/>
      </c>
      <c r="Q2" s="2"/>
      <c r="R2" s="2"/>
      <c r="S2" s="2"/>
      <c r="T2" s="2"/>
      <c r="U2" s="7">
        <f>IF(OR(AO2="",J2="",AO2&lt;=0),"",(J2-AO2)/AO2)</f>
        <v>0.0256410256410257</v>
      </c>
      <c r="V2" s="7">
        <f>IF(OR(AO2="",N2="",AO2&lt;=0),"",(AO2-N2)/AO2)</f>
        <v>0.0512820512820512</v>
      </c>
      <c r="W2" s="19">
        <f>IF(OR(U2="",V2="",V2&lt;=0),"",U2/V2)</f>
        <v>0.500000000000001</v>
      </c>
      <c r="X2" s="5">
        <f>IF(OR(K2="",L2="",AP2=""),"",K2*L2-(E2*H2+IF(AND(AK2&lt;&gt;"",AL2&lt;&gt;""),AK2*AL2,0)+IF(AND(AM2&lt;&gt;"",AN2&lt;&gt;""),AM2*AN2,0))-IF(O2="",0,O2)-IF(P2="",0,P2))</f>
        <v>-1100</v>
      </c>
      <c r="Y2" s="7">
        <f>IF(OR(X2="",AP2=""),"",IF((E2*H2+IF(AND(AK2&lt;&gt;"",AL2&lt;&gt;""),AK2*AL2,0)+IF(AND(AM2&lt;&gt;"",AN2&lt;&gt;""),AM2*AN2,0))+IF(O2="",0,O2)&lt;=0,"",X2/((E2*H2+IF(AND(AK2&lt;&gt;"",AL2&lt;&gt;""),AK2*AL2,0)+IF(AND(AM2&lt;&gt;"",AN2&lt;&gt;""),AM2*AN2,0))+IF(O2="",0,O2))))</f>
        <v>-0.0564102564102564</v>
      </c>
      <c r="Z2" s="7">
        <f>IF(OR(AE2="",多次统计数据!$B$8=""),"",AE2-多次统计数据!$B$8)</f>
        <v>-0.083548626922961</v>
      </c>
      <c r="AA2" s="11">
        <f>IF(OR(I2="",M2="",M2&lt;I2),"",M2-I2)</f>
        <v>8</v>
      </c>
      <c r="AB2" s="7">
        <f>IF(OR(A2="",多次统计数据!$B$8="",多次统计数据!$B$6&lt;=0,多次统计数据!$B$6&gt;=1),"",1-POWER(1+多次统计数据!$B$8,-多次统计数据!$B$6/(1-多次统计数据!$B$6)))</f>
        <v>0.0530166567311223</v>
      </c>
      <c r="AC2" s="8" t="str">
        <f>IF(OR(AB2="",多次统计数据!$B$9=""),"",IF(多次统计数据!$B$9&lt;AB2,"低于上限","达到或超过上限"))</f>
        <v>低于上限</v>
      </c>
      <c r="AD2" s="2" t="s">
        <v>45</v>
      </c>
      <c r="AE2" s="7">
        <f>IF(OR(X2="",C2="",C2&lt;=0),"",X2/C2)</f>
        <v>-0.011</v>
      </c>
      <c r="AG2" s="2" t="s">
        <v>46</v>
      </c>
      <c r="AH2" s="2" t="s">
        <v>47</v>
      </c>
      <c r="AI2" s="2" t="s">
        <v>48</v>
      </c>
      <c r="AJ2" s="8" t="str">
        <f>IF(OR(AG2="",AH2=""),"",IF(OR(AND(AG2="短期博反弹",OR(AH2="1～3个交易日",AH2="4～10个交易日")),AND(AG2="突破冲新高",OR(AH2="4～10个交易日",AH2="11～20个交易日")),AND(AG2="趋势波段",OR(AH2="11～20个交易日",AH2="21～60个交易日",AH2="60个交易日以上"))),"匹配","周期与交易预期不匹配，请重新确认"))</f>
        <v>匹配</v>
      </c>
      <c r="AK2" s="10"/>
      <c r="AL2" s="12"/>
      <c r="AM2" s="10"/>
      <c r="AN2" s="12"/>
      <c r="AO2" s="5">
        <f>IF(OR(A2="",H2="",H2&lt;=0),"",(E2*H2+IF(AND(AK2&lt;&gt;"",AL2&lt;&gt;""),AK2*AL2,0)+IF(AND(AM2&lt;&gt;"",AN2&lt;&gt;""),AM2*AN2,0))/AP2)</f>
        <v>3.9</v>
      </c>
      <c r="AP2" s="11">
        <f>IF(OR(A2="",H2="",H2&lt;=0),"",H2+IF(AL2="",0,AL2)+IF(AN2="",0,AN2))</f>
        <v>5000</v>
      </c>
      <c r="AQ2" s="5">
        <f>IF(A2="","",IF(M2&lt;&gt;"",0,IF(OR(H2="",N2=""),"",MAX(E2-MAX(N2,IFERROR(SUMPRODUCT(MAX(((持仓跟踪!$A$2:$A$157="每日跟踪")*(持仓跟踪!$B$2:$B$157=A2))*持仓跟踪!$S$2:$S$157)),0)),0)*H2+IF(OR(AK2="",AL2=""),0,MAX(AK2-MAX(N2,IFERROR(SUMPRODUCT(MAX(((持仓跟踪!$A$2:$A$157="每日跟踪")*(持仓跟踪!$B$2:$B$157=A2))*持仓跟踪!$S$2:$S$157)),0)),0)*AL2)+IF(OR(AM2="",AN2=""),0,MAX(AM2-MAX(N2,IFERROR(SUMPRODUCT(MAX(((持仓跟踪!$A$2:$A$157="每日跟踪")*(持仓跟踪!$B$2:$B$157=A2))*持仓跟踪!$S$2:$S$157)),0)),0)*AN2))))</f>
        <v>0</v>
      </c>
      <c r="AR2" s="8" t="str">
        <f ca="1">IF(A2="","",IF(OR(E2="",H2=""),"违规：第一批价格或股数缺失",IF(OR(AND(AK2="",AL2&lt;&gt;""),AND(AK2&lt;&gt;"",AL2="")),"违规：第二批价格与股数须成对填写",IF(OR(AND(AM2="",AN2&lt;&gt;""),AND(AM2&lt;&gt;"",AN2="")),"违规：第三批价格与股数须成对填写",IF(AND(OR(AM2&lt;&gt;"",AN2&lt;&gt;""),OR(AK2="",AL2="")),"违规：必须先完成第二批",IF(OR(H2&lt;=0,H2&lt;&gt;INT(H2),MOD(H2,100)&lt;&gt;0,AND(AL2&lt;&gt;"",OR(AL2&lt;=0,AL2&lt;&gt;INT(AL2),MOD(AL2,100)&lt;&gt;0)),AND(AN2&lt;&gt;"",OR(AN2&lt;=0,AN2&lt;&gt;INT(AN2),MOD(AN2,100)&lt;&gt;0))),"违规：股数须为100股整数倍",IF(AND(OR(AL2&lt;&gt;"",AN2&lt;&gt;""),OR(_LockStatus="已锁仓",_LockStatus="解锁信息不完整")),"违规：锁仓期间禁止加仓",IF(AQ2&gt;C2*D2,"违规：超过单笔风险上限",IF(SUM($AQ$2:$AQ$98)&gt;账户数据!$B$7,"违规：超过账户风险上限","通过")))))))))</f>
        <v>通过</v>
      </c>
    </row>
    <row r="3" ht="17" spans="1:44">
      <c r="A3" s="2">
        <v>2</v>
      </c>
      <c r="B3" s="2" t="s">
        <v>44</v>
      </c>
      <c r="C3" s="10">
        <v>98900</v>
      </c>
      <c r="D3" s="6">
        <v>0.02</v>
      </c>
      <c r="E3" s="10">
        <v>3.7</v>
      </c>
      <c r="F3" s="8">
        <f>IF(OR(C3="",D3="",E3="",N3="",C3&lt;=0,D3&lt;=0,E3&lt;=N3),"",ROUNDDOWN((C3*D3)/(E3-N3)/100,0)*100)</f>
        <v>9800</v>
      </c>
      <c r="G3" s="8" t="str">
        <f ca="1">IF(A3="","",IF(H3&lt;&gt;"","已开仓",IF(账户数据!$B$23="已锁仓","禁止开仓：连续亏损达到上限",IF(账户数据!$B$23="解锁信息不完整","禁止开仓：请完整填写解锁信息",IF(OR(F3="",E3="",N3="",E3&lt;=N3,账户数据!$B$7=""),"",IF(OR(AG3="",AH3="",AI3=""),"禁止开仓：交易预期未填写完整",IF(COUNTIFS(持仓跟踪!$A$2:$A$157,"止损计划",持仓跟踪!$B$2:$B$157,A3,持仓跟踪!$AC$2:$AC$157,"计划有效")=0,"禁止开仓：请先填写止损计划",IF(账户数据!$B$9+F3*(E3-N3)&gt;=账户数据!$B$7,"禁止开仓：风险额度不足",IF(AJ3="周期与交易预期不匹配，请重新确认",IF(账户数据!$B$23="接近锁仓","允许开仓（接近锁仓；周期需复核）","允许开仓（周期需复核）"),IF(账户数据!$B$23="接近锁仓","允许开仓（接近锁仓）","允许开仓"))))))))))</f>
        <v>已开仓</v>
      </c>
      <c r="H3" s="2">
        <v>9800</v>
      </c>
      <c r="I3" s="13">
        <v>42653</v>
      </c>
      <c r="J3" s="10">
        <v>4</v>
      </c>
      <c r="K3" s="5">
        <v>4.22</v>
      </c>
      <c r="L3" s="8">
        <v>9800</v>
      </c>
      <c r="M3" s="18">
        <f>IF(A3="","",IFERROR(LOOKUP(2,1/((持仓跟踪!$B$2:$B$157=A3)*(持仓跟踪!$X$2:$X$157="执行卖出")*(持仓跟踪!$H$2:$H$157&lt;&gt;"")),持仓跟踪!$H$2:$H$157),""))</f>
        <v>42663</v>
      </c>
      <c r="N3" s="10">
        <v>3.5</v>
      </c>
      <c r="O3" s="10"/>
      <c r="P3" s="5" t="str">
        <f>IF(A3="","",IFERROR(LOOKUP(2,1/((持仓跟踪!$B$2:$B$157=A3)*(持仓跟踪!$X$2:$X$157="执行卖出")*(持仓跟踪!$AA$2:$AA$157&lt;&gt;"")),持仓跟踪!$AA$2:$AA$157),""))</f>
        <v/>
      </c>
      <c r="Q3" s="2"/>
      <c r="R3" s="2"/>
      <c r="S3" s="2"/>
      <c r="T3" s="2"/>
      <c r="U3" s="7">
        <f>IF(OR(AO3="",J3="",AO3&lt;=0),"",(J3-AO3)/AO3)</f>
        <v>0.081081081081081</v>
      </c>
      <c r="V3" s="7">
        <f>IF(OR(AO3="",N3="",AO3&lt;=0),"",(AO3-N3)/AO3)</f>
        <v>0.0540540540540541</v>
      </c>
      <c r="W3" s="19">
        <f>IF(OR(U3="",V3="",V3&lt;=0),"",U3/V3)</f>
        <v>1.5</v>
      </c>
      <c r="X3" s="5">
        <f>IF(OR(K3="",L3="",AP3=""),"",K3*L3-(E3*H3+IF(AND(AK3&lt;&gt;"",AL3&lt;&gt;""),AK3*AL3,0)+IF(AND(AM3&lt;&gt;"",AN3&lt;&gt;""),AM3*AN3,0))-IF(O3="",0,O3)-IF(P3="",0,P3))</f>
        <v>5096</v>
      </c>
      <c r="Y3" s="7">
        <f>IF(OR(X3="",AP3=""),"",IF((E3*H3+IF(AND(AK3&lt;&gt;"",AL3&lt;&gt;""),AK3*AL3,0)+IF(AND(AM3&lt;&gt;"",AN3&lt;&gt;""),AM3*AN3,0))+IF(O3="",0,O3)&lt;=0,"",X3/((E3*H3+IF(AND(AK3&lt;&gt;"",AL3&lt;&gt;""),AK3*AL3,0)+IF(AND(AM3&lt;&gt;"",AN3&lt;&gt;""),AM3*AN3,0))+IF(O3="",0,O3))))</f>
        <v>0.140540540540541</v>
      </c>
      <c r="Z3" s="7">
        <f>IF(OR(AE3="",多次统计数据!$B$8=""),"",AE3-多次统计数据!$B$8)</f>
        <v>-0.0210218321807972</v>
      </c>
      <c r="AA3" s="11">
        <f>IF(OR(I3="",M3="",M3&lt;I3),"",M3-I3)</f>
        <v>10</v>
      </c>
      <c r="AB3" s="7">
        <f>IF(OR(A3="",多次统计数据!$B$8="",多次统计数据!$B$6&lt;=0,多次统计数据!$B$6&gt;=1),"",1-POWER(1+多次统计数据!$B$8,-多次统计数据!$B$6/(1-多次统计数据!$B$6)))</f>
        <v>0.0530166567311223</v>
      </c>
      <c r="AC3" s="8" t="str">
        <f>IF(OR(AB3="",多次统计数据!$B$9=""),"",IF(多次统计数据!$B$9&lt;AB3,"低于上限","达到或超过上限"))</f>
        <v>低于上限</v>
      </c>
      <c r="AD3" s="2" t="s">
        <v>45</v>
      </c>
      <c r="AE3" s="7">
        <f>IF(OR(X3="",C3="",C3&lt;=0),"",X3/C3)</f>
        <v>0.0515267947421638</v>
      </c>
      <c r="AG3" s="2" t="s">
        <v>46</v>
      </c>
      <c r="AH3" s="2" t="s">
        <v>47</v>
      </c>
      <c r="AI3" s="2" t="s">
        <v>49</v>
      </c>
      <c r="AJ3" s="8" t="str">
        <f>IF(OR(AG3="",AH3=""),"",IF(OR(AND(AG3="短期博反弹",OR(AH3="1～3个交易日",AH3="4～10个交易日")),AND(AG3="突破冲新高",OR(AH3="4～10个交易日",AH3="11～20个交易日")),AND(AG3="趋势波段",OR(AH3="11～20个交易日",AH3="21～60个交易日",AH3="60个交易日以上"))),"匹配","周期与交易预期不匹配，请重新确认"))</f>
        <v>匹配</v>
      </c>
      <c r="AK3" s="10"/>
      <c r="AL3" s="12"/>
      <c r="AM3" s="10"/>
      <c r="AN3" s="12"/>
      <c r="AO3" s="5">
        <f>IF(OR(A3="",H3="",H3&lt;=0),"",(E3*H3+IF(AND(AK3&lt;&gt;"",AL3&lt;&gt;""),AK3*AL3,0)+IF(AND(AM3&lt;&gt;"",AN3&lt;&gt;""),AM3*AN3,0))/AP3)</f>
        <v>3.7</v>
      </c>
      <c r="AP3" s="11">
        <f>IF(OR(A3="",H3="",H3&lt;=0),"",H3+IF(AL3="",0,AL3)+IF(AN3="",0,AN3))</f>
        <v>9800</v>
      </c>
      <c r="AQ3" s="5">
        <f>IF(A3="","",IF(M3&lt;&gt;"",0,IF(OR(H3="",N3=""),"",MAX(E3-MAX(N3,IFERROR(SUMPRODUCT(MAX(((持仓跟踪!$A$2:$A$157="每日跟踪")*(持仓跟踪!$B$2:$B$157=A3))*持仓跟踪!$S$2:$S$157)),0)),0)*H3+IF(OR(AK3="",AL3=""),0,MAX(AK3-MAX(N3,IFERROR(SUMPRODUCT(MAX(((持仓跟踪!$A$2:$A$157="每日跟踪")*(持仓跟踪!$B$2:$B$157=A3))*持仓跟踪!$S$2:$S$157)),0)),0)*AL3)+IF(OR(AM3="",AN3=""),0,MAX(AM3-MAX(N3,IFERROR(SUMPRODUCT(MAX(((持仓跟踪!$A$2:$A$157="每日跟踪")*(持仓跟踪!$B$2:$B$157=A3))*持仓跟踪!$S$2:$S$157)),0)),0)*AN3))))</f>
        <v>0</v>
      </c>
      <c r="AR3" s="8" t="str">
        <f ca="1">IF(A3="","",IF(OR(E3="",H3=""),"违规：第一批价格或股数缺失",IF(OR(AND(AK3="",AL3&lt;&gt;""),AND(AK3&lt;&gt;"",AL3="")),"违规：第二批价格与股数须成对填写",IF(OR(AND(AM3="",AN3&lt;&gt;""),AND(AM3&lt;&gt;"",AN3="")),"违规：第三批价格与股数须成对填写",IF(AND(OR(AM3&lt;&gt;"",AN3&lt;&gt;""),OR(AK3="",AL3="")),"违规：必须先完成第二批",IF(OR(H3&lt;=0,H3&lt;&gt;INT(H3),MOD(H3,100)&lt;&gt;0,AND(AL3&lt;&gt;"",OR(AL3&lt;=0,AL3&lt;&gt;INT(AL3),MOD(AL3,100)&lt;&gt;0)),AND(AN3&lt;&gt;"",OR(AN3&lt;=0,AN3&lt;&gt;INT(AN3),MOD(AN3,100)&lt;&gt;0))),"违规：股数须为100股整数倍",IF(AND(OR(AL3&lt;&gt;"",AN3&lt;&gt;""),OR(_LockStatus="已锁仓",_LockStatus="解锁信息不完整")),"违规：锁仓期间禁止加仓",IF(AQ3&gt;C3*D3,"违规：超过单笔风险上限",IF(SUM($AQ$2:$AQ$98)&gt;账户数据!$B$7,"违规：超过账户风险上限","通过")))))))))</f>
        <v>通过</v>
      </c>
    </row>
    <row r="4" ht="17" spans="1:44">
      <c r="A4" s="2">
        <v>3</v>
      </c>
      <c r="B4" s="2" t="s">
        <v>44</v>
      </c>
      <c r="C4" s="10">
        <v>103996</v>
      </c>
      <c r="D4" s="6">
        <v>0.02</v>
      </c>
      <c r="E4" s="10">
        <v>3.93</v>
      </c>
      <c r="F4" s="8">
        <f>IF(OR(C4="",D4="",E4="",N4="",C4&lt;=0,D4&lt;=0,E4&lt;=N4),"",ROUNDDOWN((C4*D4)/(E4-N4)/100,0)*100)</f>
        <v>9000</v>
      </c>
      <c r="G4" s="8" t="str">
        <f ca="1">IF(A4="","",IF(H4&lt;&gt;"","已开仓",IF(账户数据!$B$23="已锁仓","禁止开仓：连续亏损达到上限",IF(账户数据!$B$23="解锁信息不完整","禁止开仓：请完整填写解锁信息",IF(OR(F4="",E4="",N4="",E4&lt;=N4,账户数据!$B$7=""),"",IF(OR(AG4="",AH4="",AI4=""),"禁止开仓：交易预期未填写完整",IF(COUNTIFS(持仓跟踪!$A$2:$A$157,"止损计划",持仓跟踪!$B$2:$B$157,A4,持仓跟踪!$AC$2:$AC$157,"计划有效")=0,"禁止开仓：请先填写止损计划",IF(账户数据!$B$9+F4*(E4-N4)&gt;=账户数据!$B$7,"禁止开仓：风险额度不足",IF(AJ4="周期与交易预期不匹配，请重新确认",IF(账户数据!$B$23="接近锁仓","允许开仓（接近锁仓；周期需复核）","允许开仓（周期需复核）"),IF(账户数据!$B$23="接近锁仓","允许开仓（接近锁仓）","允许开仓"))))))))))</f>
        <v>已开仓</v>
      </c>
      <c r="H4" s="2">
        <v>9000</v>
      </c>
      <c r="I4" s="13">
        <v>42684</v>
      </c>
      <c r="J4" s="10">
        <v>4.5</v>
      </c>
      <c r="K4" s="5">
        <f>IF(A4="","",IFERROR(LOOKUP(2,1/((持仓跟踪!$B$2:$B$157=A4)*(持仓跟踪!$X$2:$X$157="执行卖出")*(持仓跟踪!$Y$2:$Y$157&lt;&gt;"")),持仓跟踪!$Y$2:$Y$157),""))</f>
        <v>3.69</v>
      </c>
      <c r="L4" s="8">
        <f>IF(A4="","",IFERROR(LOOKUP(2,1/((持仓跟踪!$B$2:$B$157=A4)*(持仓跟踪!$X$2:$X$157="执行卖出")*(持仓跟踪!$Z$2:$Z$157&lt;&gt;"")),持仓跟踪!$Z$2:$Z$157),""))</f>
        <v>9000</v>
      </c>
      <c r="M4" s="18">
        <f>IF(A4="","",IFERROR(LOOKUP(2,1/((持仓跟踪!$B$2:$B$157=A4)*(持仓跟踪!$X$2:$X$157="执行卖出")*(持仓跟踪!$H$2:$H$157&lt;&gt;"")),持仓跟踪!$H$2:$H$157),""))</f>
        <v>42716</v>
      </c>
      <c r="N4" s="10">
        <v>3.7</v>
      </c>
      <c r="O4" s="10"/>
      <c r="P4" s="5" t="str">
        <f>IF(A4="","",IFERROR(LOOKUP(2,1/((持仓跟踪!$B$2:$B$157=A4)*(持仓跟踪!$X$2:$X$157="执行卖出")*(持仓跟踪!$AA$2:$AA$157&lt;&gt;"")),持仓跟踪!$AA$2:$AA$157),""))</f>
        <v/>
      </c>
      <c r="Q4" s="2"/>
      <c r="R4" s="2"/>
      <c r="S4" s="2"/>
      <c r="T4" s="2"/>
      <c r="U4" s="7">
        <f>IF(OR(AO4="",J4="",AO4&lt;=0),"",(J4-AO4)/AO4)</f>
        <v>0.145038167938931</v>
      </c>
      <c r="V4" s="7">
        <f>IF(OR(AO4="",N4="",AO4&lt;=0),"",(AO4-N4)/AO4)</f>
        <v>0.0585241730279898</v>
      </c>
      <c r="W4" s="19">
        <f>IF(OR(U4="",V4="",V4&lt;=0),"",U4/V4)</f>
        <v>2.47826086956522</v>
      </c>
      <c r="X4" s="5">
        <f>IF(OR(K4="",L4="",AP4=""),"",K4*L4-(E4*H4+IF(AND(AK4&lt;&gt;"",AL4&lt;&gt;""),AK4*AL4,0)+IF(AND(AM4&lt;&gt;"",AN4&lt;&gt;""),AM4*AN4,0))-IF(O4="",0,O4)-IF(P4="",0,P4))</f>
        <v>-2160</v>
      </c>
      <c r="Y4" s="7">
        <f>IF(OR(X4="",AP4=""),"",IF((E4*H4+IF(AND(AK4&lt;&gt;"",AL4&lt;&gt;""),AK4*AL4,0)+IF(AND(AM4&lt;&gt;"",AN4&lt;&gt;""),AM4*AN4,0))+IF(O4="",0,O4)&lt;=0,"",X4/((E4*H4+IF(AND(AK4&lt;&gt;"",AL4&lt;&gt;""),AK4*AL4,0)+IF(AND(AM4&lt;&gt;"",AN4&lt;&gt;""),AM4*AN4,0))+IF(O4="",0,O4))))</f>
        <v>-0.0610687022900763</v>
      </c>
      <c r="Z4" s="7">
        <f>IF(OR(AE4="",多次统计数据!$B$8=""),"",AE4-多次统计数据!$B$8)</f>
        <v>-0.0933186565394847</v>
      </c>
      <c r="AA4" s="11">
        <f>IF(OR(I4="",M4="",M4&lt;I4),"",M4-I4)</f>
        <v>32</v>
      </c>
      <c r="AB4" s="7">
        <f>IF(OR(A4="",多次统计数据!$B$8="",多次统计数据!$B$6&lt;=0,多次统计数据!$B$6&gt;=1),"",1-POWER(1+多次统计数据!$B$8,-多次统计数据!$B$6/(1-多次统计数据!$B$6)))</f>
        <v>0.0530166567311223</v>
      </c>
      <c r="AC4" s="8" t="str">
        <f>IF(OR(AB4="",多次统计数据!$B$9=""),"",IF(多次统计数据!$B$9&lt;AB4,"低于上限","达到或超过上限"))</f>
        <v>低于上限</v>
      </c>
      <c r="AD4" s="2" t="s">
        <v>45</v>
      </c>
      <c r="AE4" s="7">
        <f>IF(OR(X4="",C4="",C4&lt;=0),"",X4/C4)</f>
        <v>-0.0207700296165237</v>
      </c>
      <c r="AG4" s="2" t="s">
        <v>46</v>
      </c>
      <c r="AH4" s="2" t="s">
        <v>47</v>
      </c>
      <c r="AI4" s="2" t="s">
        <v>49</v>
      </c>
      <c r="AJ4" s="8" t="str">
        <f>IF(OR(AG4="",AH4=""),"",IF(OR(AND(AG4="短期博反弹",OR(AH4="1～3个交易日",AH4="4～10个交易日")),AND(AG4="突破冲新高",OR(AH4="4～10个交易日",AH4="11～20个交易日")),AND(AG4="趋势波段",OR(AH4="11～20个交易日",AH4="21～60个交易日",AH4="60个交易日以上"))),"匹配","周期与交易预期不匹配，请重新确认"))</f>
        <v>匹配</v>
      </c>
      <c r="AK4" s="10"/>
      <c r="AL4" s="12"/>
      <c r="AM4" s="10"/>
      <c r="AN4" s="12"/>
      <c r="AO4" s="5">
        <f>IF(OR(A4="",H4="",H4&lt;=0),"",(E4*H4+IF(AND(AK4&lt;&gt;"",AL4&lt;&gt;""),AK4*AL4,0)+IF(AND(AM4&lt;&gt;"",AN4&lt;&gt;""),AM4*AN4,0))/AP4)</f>
        <v>3.93</v>
      </c>
      <c r="AP4" s="11">
        <f>IF(OR(A4="",H4="",H4&lt;=0),"",H4+IF(AL4="",0,AL4)+IF(AN4="",0,AN4))</f>
        <v>9000</v>
      </c>
      <c r="AQ4" s="5">
        <f>IF(A4="","",IF(M4&lt;&gt;"",0,IF(OR(H4="",N4=""),"",MAX(E4-MAX(N4,IFERROR(SUMPRODUCT(MAX(((持仓跟踪!$A$2:$A$157="每日跟踪")*(持仓跟踪!$B$2:$B$157=A4))*持仓跟踪!$S$2:$S$157)),0)),0)*H4+IF(OR(AK4="",AL4=""),0,MAX(AK4-MAX(N4,IFERROR(SUMPRODUCT(MAX(((持仓跟踪!$A$2:$A$157="每日跟踪")*(持仓跟踪!$B$2:$B$157=A4))*持仓跟踪!$S$2:$S$157)),0)),0)*AL4)+IF(OR(AM4="",AN4=""),0,MAX(AM4-MAX(N4,IFERROR(SUMPRODUCT(MAX(((持仓跟踪!$A$2:$A$157="每日跟踪")*(持仓跟踪!$B$2:$B$157=A4))*持仓跟踪!$S$2:$S$157)),0)),0)*AN4))))</f>
        <v>0</v>
      </c>
      <c r="AR4" s="8" t="str">
        <f ca="1">IF(A4="","",IF(OR(E4="",H4=""),"违规：第一批价格或股数缺失",IF(OR(AND(AK4="",AL4&lt;&gt;""),AND(AK4&lt;&gt;"",AL4="")),"违规：第二批价格与股数须成对填写",IF(OR(AND(AM4="",AN4&lt;&gt;""),AND(AM4&lt;&gt;"",AN4="")),"违规：第三批价格与股数须成对填写",IF(AND(OR(AM4&lt;&gt;"",AN4&lt;&gt;""),OR(AK4="",AL4="")),"违规：必须先完成第二批",IF(OR(H4&lt;=0,H4&lt;&gt;INT(H4),MOD(H4,100)&lt;&gt;0,AND(AL4&lt;&gt;"",OR(AL4&lt;=0,AL4&lt;&gt;INT(AL4),MOD(AL4,100)&lt;&gt;0)),AND(AN4&lt;&gt;"",OR(AN4&lt;=0,AN4&lt;&gt;INT(AN4),MOD(AN4,100)&lt;&gt;0))),"违规：股数须为100股整数倍",IF(AND(OR(AL4&lt;&gt;"",AN4&lt;&gt;""),OR(_LockStatus="已锁仓",_LockStatus="解锁信息不完整")),"违规：锁仓期间禁止加仓",IF(AQ4&gt;C4*D4,"违规：超过单笔风险上限",IF(SUM($AQ$2:$AQ$98)&gt;账户数据!$B$7,"违规：超过账户风险上限","通过")))))))))</f>
        <v>通过</v>
      </c>
    </row>
    <row r="5" ht="17" spans="1:44">
      <c r="A5" s="2">
        <v>4</v>
      </c>
      <c r="B5" s="2" t="s">
        <v>44</v>
      </c>
      <c r="C5" s="10">
        <v>101836</v>
      </c>
      <c r="D5" s="6">
        <v>0.02</v>
      </c>
      <c r="E5" s="10">
        <v>3.4</v>
      </c>
      <c r="F5" s="8">
        <f>IF(OR(C5="",D5="",E5="",N5="",C5&lt;=0,D5&lt;=0,E5&lt;=N5),"",ROUNDDOWN((C5*D5)/(E5-N5)/100,0)*100)</f>
        <v>10100</v>
      </c>
      <c r="G5" s="8" t="str">
        <f ca="1">IF(A5="","",IF(H5&lt;&gt;"","已开仓",IF(账户数据!$B$23="已锁仓","禁止开仓：连续亏损达到上限",IF(账户数据!$B$23="解锁信息不完整","禁止开仓：请完整填写解锁信息",IF(OR(F5="",E5="",N5="",E5&lt;=N5,账户数据!$B$7=""),"",IF(OR(AG5="",AH5="",AI5=""),"禁止开仓：交易预期未填写完整",IF(COUNTIFS(持仓跟踪!$A$2:$A$157,"止损计划",持仓跟踪!$B$2:$B$157,A5,持仓跟踪!$AC$2:$AC$157,"计划有效")=0,"禁止开仓：请先填写止损计划",IF(账户数据!$B$9+F5*(E5-N5)&gt;=账户数据!$B$7,"禁止开仓：风险额度不足",IF(AJ5="周期与交易预期不匹配，请重新确认",IF(账户数据!$B$23="接近锁仓","允许开仓（接近锁仓；周期需复核）","允许开仓（周期需复核）"),IF(账户数据!$B$23="接近锁仓","允许开仓（接近锁仓）","允许开仓"))))))))))</f>
        <v>已开仓</v>
      </c>
      <c r="H5" s="2">
        <v>10100</v>
      </c>
      <c r="I5" s="13">
        <v>42825</v>
      </c>
      <c r="J5" s="10">
        <v>3.7</v>
      </c>
      <c r="K5" s="5">
        <v>3.49</v>
      </c>
      <c r="L5" s="8">
        <f>IF(A5="","",IFERROR(LOOKUP(2,1/((持仓跟踪!$B$2:$B$157=A5)*(持仓跟踪!$X$2:$X$157="执行卖出")*(持仓跟踪!$Z$2:$Z$157&lt;&gt;"")),持仓跟踪!$Z$2:$Z$157),""))</f>
        <v>10100</v>
      </c>
      <c r="M5" s="18">
        <f>IF(A5="","",IFERROR(LOOKUP(2,1/((持仓跟踪!$B$2:$B$157=A5)*(持仓跟踪!$X$2:$X$157="执行卖出")*(持仓跟踪!$H$2:$H$157&lt;&gt;"")),持仓跟踪!$H$2:$H$157),""))</f>
        <v>42838</v>
      </c>
      <c r="N5" s="10">
        <v>3.2</v>
      </c>
      <c r="O5" s="10"/>
      <c r="P5" s="5" t="str">
        <f>IF(A5="","",IFERROR(LOOKUP(2,1/((持仓跟踪!$B$2:$B$157=A5)*(持仓跟踪!$X$2:$X$157="执行卖出")*(持仓跟踪!$AA$2:$AA$157&lt;&gt;"")),持仓跟踪!$AA$2:$AA$157),""))</f>
        <v/>
      </c>
      <c r="Q5" s="2"/>
      <c r="R5" s="2"/>
      <c r="S5" s="2"/>
      <c r="T5" s="2"/>
      <c r="U5" s="7">
        <f>IF(OR(AO5="",J5="",AO5&lt;=0),"",(J5-AO5)/AO5)</f>
        <v>0.0882352941176471</v>
      </c>
      <c r="V5" s="7">
        <f>IF(OR(AO5="",N5="",AO5&lt;=0),"",(AO5-N5)/AO5)</f>
        <v>0.0588235294117646</v>
      </c>
      <c r="W5" s="19">
        <f>IF(OR(U5="",V5="",V5&lt;=0),"",U5/V5)</f>
        <v>1.5</v>
      </c>
      <c r="X5" s="5">
        <f>IF(OR(K5="",L5="",AP5=""),"",K5*L5-(E5*H5+IF(AND(AK5&lt;&gt;"",AL5&lt;&gt;""),AK5*AL5,0)+IF(AND(AM5&lt;&gt;"",AN5&lt;&gt;""),AM5*AN5,0))-IF(O5="",0,O5)-IF(P5="",0,P5))</f>
        <v>909</v>
      </c>
      <c r="Y5" s="7">
        <f>IF(OR(X5="",AP5=""),"",IF((E5*H5+IF(AND(AK5&lt;&gt;"",AL5&lt;&gt;""),AK5*AL5,0)+IF(AND(AM5&lt;&gt;"",AN5&lt;&gt;""),AM5*AN5,0))+IF(O5="",0,O5)&lt;=0,"",X5/((E5*H5+IF(AND(AK5&lt;&gt;"",AL5&lt;&gt;""),AK5*AL5,0)+IF(AND(AM5&lt;&gt;"",AN5&lt;&gt;""),AM5*AN5,0))+IF(O5="",0,O5))))</f>
        <v>0.0264705882352941</v>
      </c>
      <c r="Z5" s="7">
        <f>IF(OR(AE5="",多次统计数据!$B$8=""),"",AE5-多次统计数据!$B$8)</f>
        <v>-0.0636225104219201</v>
      </c>
      <c r="AA5" s="11">
        <f>IF(OR(I5="",M5="",M5&lt;I5),"",M5-I5)</f>
        <v>13</v>
      </c>
      <c r="AB5" s="7">
        <f>IF(OR(A5="",多次统计数据!$B$8="",多次统计数据!$B$6&lt;=0,多次统计数据!$B$6&gt;=1),"",1-POWER(1+多次统计数据!$B$8,-多次统计数据!$B$6/(1-多次统计数据!$B$6)))</f>
        <v>0.0530166567311223</v>
      </c>
      <c r="AC5" s="8" t="str">
        <f>IF(OR(AB5="",多次统计数据!$B$9=""),"",IF(多次统计数据!$B$9&lt;AB5,"低于上限","达到或超过上限"))</f>
        <v>低于上限</v>
      </c>
      <c r="AD5" s="2" t="s">
        <v>50</v>
      </c>
      <c r="AE5" s="7">
        <f>IF(OR(X5="",C5="",C5&lt;=0),"",X5/C5)</f>
        <v>0.00892611650104089</v>
      </c>
      <c r="AG5" s="2" t="s">
        <v>46</v>
      </c>
      <c r="AH5" s="2" t="s">
        <v>47</v>
      </c>
      <c r="AI5" s="2" t="s">
        <v>49</v>
      </c>
      <c r="AJ5" s="8" t="str">
        <f>IF(OR(AG5="",AH5=""),"",IF(OR(AND(AG5="短期博反弹",OR(AH5="1～3个交易日",AH5="4～10个交易日")),AND(AG5="突破冲新高",OR(AH5="4～10个交易日",AH5="11～20个交易日")),AND(AG5="趋势波段",OR(AH5="11～20个交易日",AH5="21～60个交易日",AH5="60个交易日以上"))),"匹配","周期与交易预期不匹配，请重新确认"))</f>
        <v>匹配</v>
      </c>
      <c r="AK5" s="10"/>
      <c r="AL5" s="12"/>
      <c r="AM5" s="10"/>
      <c r="AN5" s="12"/>
      <c r="AO5" s="5">
        <f>IF(OR(A5="",H5="",H5&lt;=0),"",(E5*H5+IF(AND(AK5&lt;&gt;"",AL5&lt;&gt;""),AK5*AL5,0)+IF(AND(AM5&lt;&gt;"",AN5&lt;&gt;""),AM5*AN5,0))/AP5)</f>
        <v>3.4</v>
      </c>
      <c r="AP5" s="11">
        <f>IF(OR(A5="",H5="",H5&lt;=0),"",H5+IF(AL5="",0,AL5)+IF(AN5="",0,AN5))</f>
        <v>10100</v>
      </c>
      <c r="AQ5" s="5">
        <f>IF(A5="","",IF(M5&lt;&gt;"",0,IF(OR(H5="",N5=""),"",MAX(E5-MAX(N5,IFERROR(SUMPRODUCT(MAX(((持仓跟踪!$A$2:$A$157="每日跟踪")*(持仓跟踪!$B$2:$B$157=A5))*持仓跟踪!$S$2:$S$157)),0)),0)*H5+IF(OR(AK5="",AL5=""),0,MAX(AK5-MAX(N5,IFERROR(SUMPRODUCT(MAX(((持仓跟踪!$A$2:$A$157="每日跟踪")*(持仓跟踪!$B$2:$B$157=A5))*持仓跟踪!$S$2:$S$157)),0)),0)*AL5)+IF(OR(AM5="",AN5=""),0,MAX(AM5-MAX(N5,IFERROR(SUMPRODUCT(MAX(((持仓跟踪!$A$2:$A$157="每日跟踪")*(持仓跟踪!$B$2:$B$157=A5))*持仓跟踪!$S$2:$S$157)),0)),0)*AN5))))</f>
        <v>0</v>
      </c>
      <c r="AR5" s="8" t="str">
        <f ca="1">IF(A5="","",IF(OR(E5="",H5=""),"违规：第一批价格或股数缺失",IF(OR(AND(AK5="",AL5&lt;&gt;""),AND(AK5&lt;&gt;"",AL5="")),"违规：第二批价格与股数须成对填写",IF(OR(AND(AM5="",AN5&lt;&gt;""),AND(AM5&lt;&gt;"",AN5="")),"违规：第三批价格与股数须成对填写",IF(AND(OR(AM5&lt;&gt;"",AN5&lt;&gt;""),OR(AK5="",AL5="")),"违规：必须先完成第二批",IF(OR(H5&lt;=0,H5&lt;&gt;INT(H5),MOD(H5,100)&lt;&gt;0,AND(AL5&lt;&gt;"",OR(AL5&lt;=0,AL5&lt;&gt;INT(AL5),MOD(AL5,100)&lt;&gt;0)),AND(AN5&lt;&gt;"",OR(AN5&lt;=0,AN5&lt;&gt;INT(AN5),MOD(AN5,100)&lt;&gt;0))),"违规：股数须为100股整数倍",IF(AND(OR(AL5&lt;&gt;"",AN5&lt;&gt;""),OR(_LockStatus="已锁仓",_LockStatus="解锁信息不完整")),"违规：锁仓期间禁止加仓",IF(AQ5&gt;C5*D5,"违规：超过单笔风险上限",IF(SUM($AQ$2:$AQ$98)&gt;账户数据!$B$7,"违规：超过账户风险上限","通过")))))))))</f>
        <v>通过</v>
      </c>
    </row>
    <row r="6" ht="17" spans="1:44">
      <c r="A6" s="2">
        <v>5</v>
      </c>
      <c r="B6" s="2" t="s">
        <v>44</v>
      </c>
      <c r="C6" s="10">
        <v>102745</v>
      </c>
      <c r="D6" s="6">
        <v>0.02</v>
      </c>
      <c r="E6" s="10">
        <v>2.87</v>
      </c>
      <c r="F6" s="8">
        <f>IF(OR(C6="",D6="",E6="",N6="",C6&lt;=0,D6&lt;=0,E6&lt;=N6),"",ROUNDDOWN((C6*D6)/(E6-N6)/100,0)*100)</f>
        <v>17100</v>
      </c>
      <c r="G6" s="8" t="str">
        <f ca="1">IF(A6="","",IF(H6&lt;&gt;"","已开仓",IF(账户数据!$B$23="已锁仓","禁止开仓：连续亏损达到上限",IF(账户数据!$B$23="解锁信息不完整","禁止开仓：请完整填写解锁信息",IF(OR(F6="",E6="",N6="",E6&lt;=N6,账户数据!$B$7=""),"",IF(OR(AG6="",AH6="",AI6=""),"禁止开仓：交易预期未填写完整",IF(COUNTIFS(持仓跟踪!$A$2:$A$157,"止损计划",持仓跟踪!$B$2:$B$157,A6,持仓跟踪!$AC$2:$AC$157,"计划有效")=0,"禁止开仓：请先填写止损计划",IF(账户数据!$B$9+F6*(E6-N6)&gt;=账户数据!$B$7,"禁止开仓：风险额度不足",IF(AJ6="周期与交易预期不匹配，请重新确认",IF(账户数据!$B$23="接近锁仓","允许开仓（接近锁仓；周期需复核）","允许开仓（周期需复核）"),IF(账户数据!$B$23="接近锁仓","允许开仓（接近锁仓）","允许开仓"))))))))))</f>
        <v>已开仓</v>
      </c>
      <c r="H6" s="2">
        <v>17100</v>
      </c>
      <c r="I6" s="13">
        <v>43060</v>
      </c>
      <c r="J6" s="10">
        <v>3.2</v>
      </c>
      <c r="K6" s="5">
        <v>2.74</v>
      </c>
      <c r="L6" s="8">
        <v>17100</v>
      </c>
      <c r="M6" s="18">
        <f>IF(A6="","",IFERROR(LOOKUP(2,1/((持仓跟踪!$B$2:$B$157=A6)*(持仓跟踪!$X$2:$X$157="执行卖出")*(持仓跟踪!$H$2:$H$157&lt;&gt;"")),持仓跟踪!$H$2:$H$157),""))</f>
        <v>43074</v>
      </c>
      <c r="N6" s="10">
        <v>2.75</v>
      </c>
      <c r="O6" s="10"/>
      <c r="P6" s="5" t="str">
        <f>IF(A6="","",IFERROR(LOOKUP(2,1/((持仓跟踪!$B$2:$B$157=A6)*(持仓跟踪!$X$2:$X$157="执行卖出")*(持仓跟踪!$AA$2:$AA$157&lt;&gt;"")),持仓跟踪!$AA$2:$AA$157),""))</f>
        <v/>
      </c>
      <c r="Q6" s="2"/>
      <c r="R6" s="2"/>
      <c r="S6" s="2"/>
      <c r="T6" s="2"/>
      <c r="U6" s="7">
        <f>IF(OR(AO6="",J6="",AO6&lt;=0),"",(J6-AO6)/AO6)</f>
        <v>0.114982578397213</v>
      </c>
      <c r="V6" s="7">
        <f>IF(OR(AO6="",N6="",AO6&lt;=0),"",(AO6-N6)/AO6)</f>
        <v>0.0418118466898955</v>
      </c>
      <c r="W6" s="19">
        <f>IF(OR(U6="",V6="",V6&lt;=0),"",U6/V6)</f>
        <v>2.75</v>
      </c>
      <c r="X6" s="5">
        <f>IF(OR(K6="",L6="",AP6=""),"",K6*L6-(E6*H6+IF(AND(AK6&lt;&gt;"",AL6&lt;&gt;""),AK6*AL6,0)+IF(AND(AM6&lt;&gt;"",AN6&lt;&gt;""),AM6*AN6,0))-IF(O6="",0,O6)-IF(P6="",0,P6))</f>
        <v>-2222.99999999999</v>
      </c>
      <c r="Y6" s="7">
        <f>IF(OR(X6="",AP6=""),"",IF((E6*H6+IF(AND(AK6&lt;&gt;"",AL6&lt;&gt;""),AK6*AL6,0)+IF(AND(AM6&lt;&gt;"",AN6&lt;&gt;""),AM6*AN6,0))+IF(O6="",0,O6)&lt;=0,"",X6/((E6*H6+IF(AND(AK6&lt;&gt;"",AL6&lt;&gt;""),AK6*AL6,0)+IF(AND(AM6&lt;&gt;"",AN6&lt;&gt;""),AM6*AN6,0))+IF(O6="",0,O6))))</f>
        <v>-0.0452961672473866</v>
      </c>
      <c r="Z6" s="7">
        <f>IF(OR(AE6="",多次统计数据!$B$8=""),"",AE6-多次统计数据!$B$8)</f>
        <v>-0.0941847162703744</v>
      </c>
      <c r="AA6" s="11">
        <f>IF(OR(I6="",M6="",M6&lt;I6),"",M6-I6)</f>
        <v>14</v>
      </c>
      <c r="AB6" s="7">
        <f>IF(OR(A6="",多次统计数据!$B$8="",多次统计数据!$B$6&lt;=0,多次统计数据!$B$6&gt;=1),"",1-POWER(1+多次统计数据!$B$8,-多次统计数据!$B$6/(1-多次统计数据!$B$6)))</f>
        <v>0.0530166567311223</v>
      </c>
      <c r="AC6" s="8" t="str">
        <f>IF(OR(AB6="",多次统计数据!$B$9=""),"",IF(多次统计数据!$B$9&lt;AB6,"低于上限","达到或超过上限"))</f>
        <v>低于上限</v>
      </c>
      <c r="AD6" s="2" t="s">
        <v>50</v>
      </c>
      <c r="AE6" s="7">
        <f>IF(OR(X6="",C6="",C6&lt;=0),"",X6/C6)</f>
        <v>-0.0216360893474134</v>
      </c>
      <c r="AG6" s="2" t="s">
        <v>46</v>
      </c>
      <c r="AH6" s="2" t="s">
        <v>47</v>
      </c>
      <c r="AI6" s="2" t="s">
        <v>51</v>
      </c>
      <c r="AJ6" s="8" t="str">
        <f>IF(OR(AG6="",AH6=""),"",IF(OR(AND(AG6="短期博反弹",OR(AH6="1～3个交易日",AH6="4～10个交易日")),AND(AG6="突破冲新高",OR(AH6="4～10个交易日",AH6="11～20个交易日")),AND(AG6="趋势波段",OR(AH6="11～20个交易日",AH6="21～60个交易日",AH6="60个交易日以上"))),"匹配","周期与交易预期不匹配，请重新确认"))</f>
        <v>匹配</v>
      </c>
      <c r="AK6" s="10"/>
      <c r="AL6" s="12"/>
      <c r="AM6" s="10"/>
      <c r="AN6" s="12"/>
      <c r="AO6" s="5">
        <f>IF(OR(A6="",H6="",H6&lt;=0),"",(E6*H6+IF(AND(AK6&lt;&gt;"",AL6&lt;&gt;""),AK6*AL6,0)+IF(AND(AM6&lt;&gt;"",AN6&lt;&gt;""),AM6*AN6,0))/AP6)</f>
        <v>2.87</v>
      </c>
      <c r="AP6" s="11">
        <f>IF(OR(A6="",H6="",H6&lt;=0),"",H6+IF(AL6="",0,AL6)+IF(AN6="",0,AN6))</f>
        <v>17100</v>
      </c>
      <c r="AQ6" s="5">
        <f>IF(A6="","",IF(M6&lt;&gt;"",0,IF(OR(H6="",N6=""),"",MAX(E6-MAX(N6,IFERROR(SUMPRODUCT(MAX(((持仓跟踪!$A$2:$A$157="每日跟踪")*(持仓跟踪!$B$2:$B$157=A6))*持仓跟踪!$S$2:$S$157)),0)),0)*H6+IF(OR(AK6="",AL6=""),0,MAX(AK6-MAX(N6,IFERROR(SUMPRODUCT(MAX(((持仓跟踪!$A$2:$A$157="每日跟踪")*(持仓跟踪!$B$2:$B$157=A6))*持仓跟踪!$S$2:$S$157)),0)),0)*AL6)+IF(OR(AM6="",AN6=""),0,MAX(AM6-MAX(N6,IFERROR(SUMPRODUCT(MAX(((持仓跟踪!$A$2:$A$157="每日跟踪")*(持仓跟踪!$B$2:$B$157=A6))*持仓跟踪!$S$2:$S$157)),0)),0)*AN6))))</f>
        <v>0</v>
      </c>
      <c r="AR6" s="8" t="str">
        <f ca="1">IF(A6="","",IF(OR(E6="",H6=""),"违规：第一批价格或股数缺失",IF(OR(AND(AK6="",AL6&lt;&gt;""),AND(AK6&lt;&gt;"",AL6="")),"违规：第二批价格与股数须成对填写",IF(OR(AND(AM6="",AN6&lt;&gt;""),AND(AM6&lt;&gt;"",AN6="")),"违规：第三批价格与股数须成对填写",IF(AND(OR(AM6&lt;&gt;"",AN6&lt;&gt;""),OR(AK6="",AL6="")),"违规：必须先完成第二批",IF(OR(H6&lt;=0,H6&lt;&gt;INT(H6),MOD(H6,100)&lt;&gt;0,AND(AL6&lt;&gt;"",OR(AL6&lt;=0,AL6&lt;&gt;INT(AL6),MOD(AL6,100)&lt;&gt;0)),AND(AN6&lt;&gt;"",OR(AN6&lt;=0,AN6&lt;&gt;INT(AN6),MOD(AN6,100)&lt;&gt;0))),"违规：股数须为100股整数倍",IF(AND(OR(AL6&lt;&gt;"",AN6&lt;&gt;""),OR(_LockStatus="已锁仓",_LockStatus="解锁信息不完整")),"违规：锁仓期间禁止加仓",IF(AQ6&gt;C6*D6,"违规：超过单笔风险上限",IF(SUM($AQ$2:$AQ$98)&gt;账户数据!$B$7,"违规：超过账户风险上限","通过")))))))))</f>
        <v>通过</v>
      </c>
    </row>
    <row r="7" ht="17" spans="1:44">
      <c r="A7" s="2">
        <v>6</v>
      </c>
      <c r="B7" s="2" t="s">
        <v>44</v>
      </c>
      <c r="C7" s="10">
        <v>100522</v>
      </c>
      <c r="D7" s="6">
        <v>0.02</v>
      </c>
      <c r="E7" s="10">
        <v>2.57</v>
      </c>
      <c r="F7" s="8">
        <f>IF(OR(C7="",D7="",E7="",N7="",C7&lt;=0,D7&lt;=0,E7&lt;=N7),"",ROUNDDOWN((C7*D7)/(E7-N7)/100,0)*100)</f>
        <v>11800</v>
      </c>
      <c r="G7" s="8" t="str">
        <f ca="1">IF(A7="","",IF(H7&lt;&gt;"","已开仓",IF(账户数据!$B$23="已锁仓","禁止开仓：连续亏损达到上限",IF(账户数据!$B$23="解锁信息不完整","禁止开仓：请完整填写解锁信息",IF(OR(F7="",E7="",N7="",E7&lt;=N7,账户数据!$B$7=""),"",IF(OR(AG7="",AH7="",AI7=""),"禁止开仓：交易预期未填写完整",IF(COUNTIFS(持仓跟踪!$A$2:$A$157,"止损计划",持仓跟踪!$B$2:$B$157,A7,持仓跟踪!$AC$2:$AC$157,"计划有效")=0,"禁止开仓：请先填写止损计划",IF(账户数据!$B$9+F7*(E7-N7)&gt;=账户数据!$B$7,"禁止开仓：风险额度不足",IF(AJ7="周期与交易预期不匹配，请重新确认",IF(账户数据!$B$23="接近锁仓","允许开仓（接近锁仓；周期需复核）","允许开仓（周期需复核）"),IF(账户数据!$B$23="接近锁仓","允许开仓（接近锁仓）","允许开仓"))))))))))</f>
        <v>已开仓</v>
      </c>
      <c r="H7" s="2">
        <v>11800</v>
      </c>
      <c r="I7" s="13">
        <v>43173</v>
      </c>
      <c r="J7" s="10">
        <v>3</v>
      </c>
      <c r="K7" s="5">
        <f>IF(A7="","",IFERROR(LOOKUP(2,1/((持仓跟踪!$B$2:$B$157=A7)*(持仓跟踪!$X$2:$X$157="执行卖出")*(持仓跟踪!$Y$2:$Y$157&lt;&gt;"")),持仓跟踪!$Y$2:$Y$157),""))</f>
        <v>2.38</v>
      </c>
      <c r="L7" s="8">
        <f>IF(A7="","",IFERROR(LOOKUP(2,1/((持仓跟踪!$B$2:$B$157=A7)*(持仓跟踪!$X$2:$X$157="执行卖出")*(持仓跟踪!$Z$2:$Z$157&lt;&gt;"")),持仓跟踪!$Z$2:$Z$157),""))</f>
        <v>11800</v>
      </c>
      <c r="M7" s="18">
        <f>IF(A7="","",IFERROR(LOOKUP(2,1/((持仓跟踪!$B$2:$B$157=A7)*(持仓跟踪!$X$2:$X$157="执行卖出")*(持仓跟踪!$H$2:$H$157&lt;&gt;"")),持仓跟踪!$H$2:$H$157),""))</f>
        <v>43182</v>
      </c>
      <c r="N7" s="10">
        <v>2.4</v>
      </c>
      <c r="O7" s="10"/>
      <c r="P7" s="5" t="str">
        <f>IF(A7="","",IFERROR(LOOKUP(2,1/((持仓跟踪!$B$2:$B$157=A7)*(持仓跟踪!$X$2:$X$157="执行卖出")*(持仓跟踪!$AA$2:$AA$157&lt;&gt;"")),持仓跟踪!$AA$2:$AA$157),""))</f>
        <v/>
      </c>
      <c r="Q7" s="2"/>
      <c r="R7" s="2"/>
      <c r="S7" s="2"/>
      <c r="T7" s="2"/>
      <c r="U7" s="7">
        <f>IF(OR(AO7="",J7="",AO7&lt;=0),"",(J7-AO7)/AO7)</f>
        <v>0.167315175097276</v>
      </c>
      <c r="V7" s="7">
        <f>IF(OR(AO7="",N7="",AO7&lt;=0),"",(AO7-N7)/AO7)</f>
        <v>0.066147859922179</v>
      </c>
      <c r="W7" s="19">
        <f>IF(OR(U7="",V7="",V7&lt;=0),"",U7/V7)</f>
        <v>2.52941176470588</v>
      </c>
      <c r="X7" s="5">
        <f>IF(OR(K7="",L7="",AP7=""),"",K7*L7-(E7*H7+IF(AND(AK7&lt;&gt;"",AL7&lt;&gt;""),AK7*AL7,0)+IF(AND(AM7&lt;&gt;"",AN7&lt;&gt;""),AM7*AN7,0))-IF(O7="",0,O7)-IF(P7="",0,P7))</f>
        <v>-2242</v>
      </c>
      <c r="Y7" s="7">
        <f>IF(OR(X7="",AP7=""),"",IF((E7*H7+IF(AND(AK7&lt;&gt;"",AL7&lt;&gt;""),AK7*AL7,0)+IF(AND(AM7&lt;&gt;"",AN7&lt;&gt;""),AM7*AN7,0))+IF(O7="",0,O7)&lt;=0,"",X7/((E7*H7+IF(AND(AK7&lt;&gt;"",AL7&lt;&gt;""),AK7*AL7,0)+IF(AND(AM7&lt;&gt;"",AN7&lt;&gt;""),AM7*AN7,0))+IF(O7="",0,O7))))</f>
        <v>-0.0739299610894941</v>
      </c>
      <c r="Z7" s="7">
        <f>IF(OR(AE7="",多次统计数据!$B$8=""),"",AE7-多次统计数据!$B$8)</f>
        <v>-0.0948522022597031</v>
      </c>
      <c r="AA7" s="11">
        <f>IF(OR(I7="",M7="",M7&lt;I7),"",M7-I7)</f>
        <v>9</v>
      </c>
      <c r="AB7" s="7">
        <f>IF(OR(A7="",多次统计数据!$B$8="",多次统计数据!$B$6&lt;=0,多次统计数据!$B$6&gt;=1),"",1-POWER(1+多次统计数据!$B$8,-多次统计数据!$B$6/(1-多次统计数据!$B$6)))</f>
        <v>0.0530166567311223</v>
      </c>
      <c r="AC7" s="8" t="str">
        <f>IF(OR(AB7="",多次统计数据!$B$9=""),"",IF(多次统计数据!$B$9&lt;AB7,"低于上限","达到或超过上限"))</f>
        <v>低于上限</v>
      </c>
      <c r="AD7" s="2" t="s">
        <v>50</v>
      </c>
      <c r="AE7" s="7">
        <f>IF(OR(X7="",C7="",C7&lt;=0),"",X7/C7)</f>
        <v>-0.0223035753367422</v>
      </c>
      <c r="AG7" s="2" t="s">
        <v>46</v>
      </c>
      <c r="AH7" s="2" t="s">
        <v>47</v>
      </c>
      <c r="AI7" s="2" t="s">
        <v>52</v>
      </c>
      <c r="AJ7" s="8" t="str">
        <f>IF(OR(AG7="",AH7=""),"",IF(OR(AND(AG7="短期博反弹",OR(AH7="1～3个交易日",AH7="4～10个交易日")),AND(AG7="突破冲新高",OR(AH7="4～10个交易日",AH7="11～20个交易日")),AND(AG7="趋势波段",OR(AH7="11～20个交易日",AH7="21～60个交易日",AH7="60个交易日以上"))),"匹配","周期与交易预期不匹配，请重新确认"))</f>
        <v>匹配</v>
      </c>
      <c r="AK7" s="10"/>
      <c r="AL7" s="12"/>
      <c r="AM7" s="10"/>
      <c r="AN7" s="12"/>
      <c r="AO7" s="5">
        <f>IF(OR(A7="",H7="",H7&lt;=0),"",(E7*H7+IF(AND(AK7&lt;&gt;"",AL7&lt;&gt;""),AK7*AL7,0)+IF(AND(AM7&lt;&gt;"",AN7&lt;&gt;""),AM7*AN7,0))/AP7)</f>
        <v>2.57</v>
      </c>
      <c r="AP7" s="11">
        <f>IF(OR(A7="",H7="",H7&lt;=0),"",H7+IF(AL7="",0,AL7)+IF(AN7="",0,AN7))</f>
        <v>11800</v>
      </c>
      <c r="AQ7" s="5">
        <f>IF(A7="","",IF(M7&lt;&gt;"",0,IF(OR(H7="",N7=""),"",MAX(E7-MAX(N7,IFERROR(SUMPRODUCT(MAX(((持仓跟踪!$A$2:$A$157="每日跟踪")*(持仓跟踪!$B$2:$B$157=A7))*持仓跟踪!$S$2:$S$157)),0)),0)*H7+IF(OR(AK7="",AL7=""),0,MAX(AK7-MAX(N7,IFERROR(SUMPRODUCT(MAX(((持仓跟踪!$A$2:$A$157="每日跟踪")*(持仓跟踪!$B$2:$B$157=A7))*持仓跟踪!$S$2:$S$157)),0)),0)*AL7)+IF(OR(AM7="",AN7=""),0,MAX(AM7-MAX(N7,IFERROR(SUMPRODUCT(MAX(((持仓跟踪!$A$2:$A$157="每日跟踪")*(持仓跟踪!$B$2:$B$157=A7))*持仓跟踪!$S$2:$S$157)),0)),0)*AN7))))</f>
        <v>0</v>
      </c>
      <c r="AR7" s="8" t="str">
        <f ca="1">IF(A7="","",IF(OR(E7="",H7=""),"违规：第一批价格或股数缺失",IF(OR(AND(AK7="",AL7&lt;&gt;""),AND(AK7&lt;&gt;"",AL7="")),"违规：第二批价格与股数须成对填写",IF(OR(AND(AM7="",AN7&lt;&gt;""),AND(AM7&lt;&gt;"",AN7="")),"违规：第三批价格与股数须成对填写",IF(AND(OR(AM7&lt;&gt;"",AN7&lt;&gt;""),OR(AK7="",AL7="")),"违规：必须先完成第二批",IF(OR(H7&lt;=0,H7&lt;&gt;INT(H7),MOD(H7,100)&lt;&gt;0,AND(AL7&lt;&gt;"",OR(AL7&lt;=0,AL7&lt;&gt;INT(AL7),MOD(AL7,100)&lt;&gt;0)),AND(AN7&lt;&gt;"",OR(AN7&lt;=0,AN7&lt;&gt;INT(AN7),MOD(AN7,100)&lt;&gt;0))),"违规：股数须为100股整数倍",IF(AND(OR(AL7&lt;&gt;"",AN7&lt;&gt;""),OR(_LockStatus="已锁仓",_LockStatus="解锁信息不完整")),"违规：锁仓期间禁止加仓",IF(AQ7&gt;C7*D7,"违规：超过单笔风险上限",IF(SUM($AQ$2:$AQ$98)&gt;账户数据!$B$7,"违规：超过账户风险上限","通过")))))))))</f>
        <v>通过</v>
      </c>
    </row>
    <row r="8" ht="17" spans="1:44">
      <c r="A8" s="2">
        <v>7</v>
      </c>
      <c r="B8" s="2" t="s">
        <v>44</v>
      </c>
      <c r="C8" s="10">
        <v>98280</v>
      </c>
      <c r="D8" s="6">
        <v>0.02</v>
      </c>
      <c r="E8" s="10">
        <v>1.91</v>
      </c>
      <c r="F8" s="8">
        <f>IF(OR(C8="",D8="",E8="",N8="",C8&lt;=0,D8&lt;=0,E8&lt;=N8),"",ROUNDDOWN((C8*D8)/(E8-N8)/100,0)*100)</f>
        <v>32700</v>
      </c>
      <c r="G8" s="8" t="str">
        <f ca="1">IF(A8="","",IF(H8&lt;&gt;"","已开仓",IF(账户数据!$B$23="已锁仓","禁止开仓：连续亏损达到上限",IF(账户数据!$B$23="解锁信息不完整","禁止开仓：请完整填写解锁信息",IF(OR(F8="",E8="",N8="",E8&lt;=N8,账户数据!$B$7=""),"",IF(OR(AG8="",AH8="",AI8=""),"禁止开仓：交易预期未填写完整",IF(COUNTIFS(持仓跟踪!$A$2:$A$157,"止损计划",持仓跟踪!$B$2:$B$157,A8,持仓跟踪!$AC$2:$AC$157,"计划有效")=0,"禁止开仓：请先填写止损计划",IF(账户数据!$B$9+F8*(E8-N8)&gt;=账户数据!$B$7,"禁止开仓：风险额度不足",IF(AJ8="周期与交易预期不匹配，请重新确认",IF(账户数据!$B$23="接近锁仓","允许开仓（接近锁仓；周期需复核）","允许开仓（周期需复核）"),IF(账户数据!$B$23="接近锁仓","允许开仓（接近锁仓）","允许开仓"))))))))))</f>
        <v>已开仓</v>
      </c>
      <c r="H8" s="2">
        <v>32700</v>
      </c>
      <c r="I8" s="13">
        <v>43790</v>
      </c>
      <c r="J8" s="10">
        <v>2</v>
      </c>
      <c r="K8" s="5">
        <v>2.14</v>
      </c>
      <c r="L8" s="8">
        <f>IF(A8="","",IFERROR(LOOKUP(2,1/((持仓跟踪!$B$2:$B$157=A8)*(持仓跟踪!$X$2:$X$157="执行卖出")*(持仓跟踪!$Z$2:$Z$157&lt;&gt;"")),持仓跟踪!$Z$2:$Z$157),""))</f>
        <v>32700</v>
      </c>
      <c r="M8" s="18">
        <v>44391</v>
      </c>
      <c r="N8" s="10">
        <v>1.85</v>
      </c>
      <c r="O8" s="10"/>
      <c r="P8" s="5" t="str">
        <f>IF(A8="","",IFERROR(LOOKUP(2,1/((持仓跟踪!$B$2:$B$157=A8)*(持仓跟踪!$X$2:$X$157="执行卖出")*(持仓跟踪!$AA$2:$AA$157&lt;&gt;"")),持仓跟踪!$AA$2:$AA$157),""))</f>
        <v/>
      </c>
      <c r="Q8" s="2"/>
      <c r="R8" s="2"/>
      <c r="S8" s="2"/>
      <c r="T8" s="2"/>
      <c r="U8" s="7">
        <f>IF(OR(AO8="",J8="",AO8&lt;=0),"",(J8-AO8)/AO8)</f>
        <v>0.0471204188481676</v>
      </c>
      <c r="V8" s="7">
        <f>IF(OR(AO8="",N8="",AO8&lt;=0),"",(AO8-N8)/AO8)</f>
        <v>0.0314136125654449</v>
      </c>
      <c r="W8" s="19">
        <f>IF(OR(U8="",V8="",V8&lt;=0),"",U8/V8)</f>
        <v>1.50000000000001</v>
      </c>
      <c r="X8" s="5">
        <f>IF(OR(K8="",L8="",AP8=""),"",K8*L8-(E8*H8+IF(AND(AK8&lt;&gt;"",AL8&lt;&gt;""),AK8*AL8,0)+IF(AND(AM8&lt;&gt;"",AN8&lt;&gt;""),AM8*AN8,0))-IF(O8="",0,O8)-IF(P8="",0,P8))</f>
        <v>7521</v>
      </c>
      <c r="Y8" s="7">
        <f>IF(OR(X8="",AP8=""),"",IF((E8*H8+IF(AND(AK8&lt;&gt;"",AL8&lt;&gt;""),AK8*AL8,0)+IF(AND(AM8&lt;&gt;"",AN8&lt;&gt;""),AM8*AN8,0))+IF(O8="",0,O8)&lt;=0,"",X8/((E8*H8+IF(AND(AK8&lt;&gt;"",AL8&lt;&gt;""),AK8*AL8,0)+IF(AND(AM8&lt;&gt;"",AN8&lt;&gt;""),AM8*AN8,0))+IF(O8="",0,O8))))</f>
        <v>0.120418848167539</v>
      </c>
      <c r="Z8" s="7">
        <f>IF(OR(AE8="",多次统计数据!$B$8=""),"",AE8-多次统计数据!$B$8)</f>
        <v>0.00397762460329057</v>
      </c>
      <c r="AA8" s="11">
        <f>IF(OR(I8="",M8="",M8&lt;I8),"",M8-I8)</f>
        <v>601</v>
      </c>
      <c r="AB8" s="7">
        <f>IF(OR(A8="",多次统计数据!$B$8="",多次统计数据!$B$6&lt;=0,多次统计数据!$B$6&gt;=1),"",1-POWER(1+多次统计数据!$B$8,-多次统计数据!$B$6/(1-多次统计数据!$B$6)))</f>
        <v>0.0530166567311223</v>
      </c>
      <c r="AC8" s="8" t="str">
        <f>IF(OR(AB8="",多次统计数据!$B$9=""),"",IF(多次统计数据!$B$9&lt;AB8,"低于上限","达到或超过上限"))</f>
        <v>低于上限</v>
      </c>
      <c r="AD8" s="2" t="s">
        <v>53</v>
      </c>
      <c r="AE8" s="7">
        <f>IF(OR(X8="",C8="",C8&lt;=0),"",X8/C8)</f>
        <v>0.0765262515262515</v>
      </c>
      <c r="AF8" t="s">
        <v>54</v>
      </c>
      <c r="AG8" s="2" t="s">
        <v>46</v>
      </c>
      <c r="AH8" s="2" t="s">
        <v>47</v>
      </c>
      <c r="AI8" s="2" t="s">
        <v>55</v>
      </c>
      <c r="AJ8" s="8" t="str">
        <f>IF(OR(AG8="",AH8=""),"",IF(OR(AND(AG8="短期博反弹",OR(AH8="1～3个交易日",AH8="4～10个交易日")),AND(AG8="突破冲新高",OR(AH8="4～10个交易日",AH8="11～20个交易日")),AND(AG8="趋势波段",OR(AH8="11～20个交易日",AH8="21～60个交易日",AH8="60个交易日以上"))),"匹配","周期与交易预期不匹配，请重新确认"))</f>
        <v>匹配</v>
      </c>
      <c r="AK8" s="10"/>
      <c r="AL8" s="12"/>
      <c r="AM8" s="10"/>
      <c r="AN8" s="12"/>
      <c r="AO8" s="5">
        <f>IF(OR(A8="",H8="",H8&lt;=0),"",(E8*H8+IF(AND(AK8&lt;&gt;"",AL8&lt;&gt;""),AK8*AL8,0)+IF(AND(AM8&lt;&gt;"",AN8&lt;&gt;""),AM8*AN8,0))/AP8)</f>
        <v>1.91</v>
      </c>
      <c r="AP8" s="11">
        <f>IF(OR(A8="",H8="",H8&lt;=0),"",H8+IF(AL8="",0,AL8)+IF(AN8="",0,AN8))</f>
        <v>32700</v>
      </c>
      <c r="AQ8" s="5">
        <f>IF(A8="","",IF(M8&lt;&gt;"",0,IF(OR(H8="",N8=""),"",MAX(E8-MAX(N8,IFERROR(SUMPRODUCT(MAX(((持仓跟踪!$A$2:$A$157="每日跟踪")*(持仓跟踪!$B$2:$B$157=A8))*持仓跟踪!$S$2:$S$157)),0)),0)*H8+IF(OR(AK8="",AL8=""),0,MAX(AK8-MAX(N8,IFERROR(SUMPRODUCT(MAX(((持仓跟踪!$A$2:$A$157="每日跟踪")*(持仓跟踪!$B$2:$B$157=A8))*持仓跟踪!$S$2:$S$157)),0)),0)*AL8)+IF(OR(AM8="",AN8=""),0,MAX(AM8-MAX(N8,IFERROR(SUMPRODUCT(MAX(((持仓跟踪!$A$2:$A$157="每日跟踪")*(持仓跟踪!$B$2:$B$157=A8))*持仓跟踪!$S$2:$S$157)),0)),0)*AN8))))</f>
        <v>0</v>
      </c>
      <c r="AR8" s="8" t="str">
        <f ca="1">IF(A8="","",IF(OR(E8="",H8=""),"违规：第一批价格或股数缺失",IF(OR(AND(AK8="",AL8&lt;&gt;""),AND(AK8&lt;&gt;"",AL8="")),"违规：第二批价格与股数须成对填写",IF(OR(AND(AM8="",AN8&lt;&gt;""),AND(AM8&lt;&gt;"",AN8="")),"违规：第三批价格与股数须成对填写",IF(AND(OR(AM8&lt;&gt;"",AN8&lt;&gt;""),OR(AK8="",AL8="")),"违规：必须先完成第二批",IF(OR(H8&lt;=0,H8&lt;&gt;INT(H8),MOD(H8,100)&lt;&gt;0,AND(AL8&lt;&gt;"",OR(AL8&lt;=0,AL8&lt;&gt;INT(AL8),MOD(AL8,100)&lt;&gt;0)),AND(AN8&lt;&gt;"",OR(AN8&lt;=0,AN8&lt;&gt;INT(AN8),MOD(AN8,100)&lt;&gt;0))),"违规：股数须为100股整数倍",IF(AND(OR(AL8&lt;&gt;"",AN8&lt;&gt;""),OR(_LockStatus="已锁仓",_LockStatus="解锁信息不完整")),"违规：锁仓期间禁止加仓",IF(AQ8&gt;C8*D8,"违规：超过单笔风险上限",IF(SUM($AQ$2:$AQ$98)&gt;账户数据!$B$7,"违规：超过账户风险上限","通过")))))))))</f>
        <v>通过</v>
      </c>
    </row>
    <row r="9" ht="17" spans="1:44">
      <c r="A9" s="2">
        <v>8</v>
      </c>
      <c r="B9" s="2" t="s">
        <v>44</v>
      </c>
      <c r="C9" s="10">
        <v>105801</v>
      </c>
      <c r="D9" s="6">
        <v>0.02</v>
      </c>
      <c r="E9" s="10">
        <v>3.83</v>
      </c>
      <c r="F9" s="8">
        <f>IF(OR(C9="",D9="",E9="",N9="",C9&lt;=0,D9&lt;=0,E9&lt;=N9),"",ROUNDDOWN((C9*D9)/(E9-N9)/100,0)*100)</f>
        <v>6400</v>
      </c>
      <c r="G9" s="8" t="str">
        <f ca="1">IF(A9="","",IF(H9&lt;&gt;"","已开仓",IF(账户数据!$B$23="已锁仓","禁止开仓：连续亏损达到上限",IF(账户数据!$B$23="解锁信息不完整","禁止开仓：请完整填写解锁信息",IF(OR(F9="",E9="",N9="",E9&lt;=N9,账户数据!$B$7=""),"",IF(OR(AG9="",AH9="",AI9=""),"禁止开仓：交易预期未填写完整",IF(COUNTIFS(持仓跟踪!$A$2:$A$157,"止损计划",持仓跟踪!$B$2:$B$157,A9,持仓跟踪!$AC$2:$AC$157,"计划有效")=0,"禁止开仓：请先填写止损计划",IF(账户数据!$B$9+F9*(E9-N9)&gt;=账户数据!$B$7,"禁止开仓：风险额度不足",IF(AJ9="周期与交易预期不匹配，请重新确认",IF(账户数据!$B$23="接近锁仓","允许开仓（接近锁仓；周期需复核）","允许开仓（周期需复核）"),IF(账户数据!$B$23="接近锁仓","允许开仓（接近锁仓）","允许开仓"))))))))))</f>
        <v>已开仓</v>
      </c>
      <c r="H9" s="2">
        <v>6400</v>
      </c>
      <c r="I9" s="13">
        <v>44900</v>
      </c>
      <c r="J9" s="10">
        <v>4.5</v>
      </c>
      <c r="K9" s="5">
        <f>IF(A9="","",IFERROR(LOOKUP(2,1/((持仓跟踪!$B$2:$B$157=A9)*(持仓跟踪!$X$2:$X$157="执行卖出")*(持仓跟踪!$Y$2:$Y$157&lt;&gt;"")),持仓跟踪!$Y$2:$Y$157),""))</f>
        <v>3.47</v>
      </c>
      <c r="L9" s="8">
        <f>IF(A9="","",IFERROR(LOOKUP(2,1/((持仓跟踪!$B$2:$B$157=A9)*(持仓跟踪!$X$2:$X$157="执行卖出")*(持仓跟踪!$Z$2:$Z$157&lt;&gt;"")),持仓跟踪!$Z$2:$Z$157),""))</f>
        <v>6400</v>
      </c>
      <c r="M9" s="18">
        <f>IF(A9="","",IFERROR(LOOKUP(2,1/((持仓跟踪!$B$2:$B$157=A9)*(持仓跟踪!$X$2:$X$157="执行卖出")*(持仓跟踪!$H$2:$H$157&lt;&gt;"")),持仓跟踪!$H$2:$H$157),""))</f>
        <v>44914</v>
      </c>
      <c r="N9" s="10">
        <v>3.5</v>
      </c>
      <c r="O9" s="10"/>
      <c r="P9" s="5" t="str">
        <f>IF(A9="","",IFERROR(LOOKUP(2,1/((持仓跟踪!$B$2:$B$157=A9)*(持仓跟踪!$X$2:$X$157="执行卖出")*(持仓跟踪!$AA$2:$AA$157&lt;&gt;"")),持仓跟踪!$AA$2:$AA$157),""))</f>
        <v/>
      </c>
      <c r="Q9" s="2"/>
      <c r="R9" s="2"/>
      <c r="S9" s="2"/>
      <c r="T9" s="2"/>
      <c r="U9" s="7">
        <f>IF(OR(AO9="",J9="",AO9&lt;=0),"",(J9-AO9)/AO9)</f>
        <v>0.174934725848564</v>
      </c>
      <c r="V9" s="7">
        <f>IF(OR(AO9="",N9="",AO9&lt;=0),"",(AO9-N9)/AO9)</f>
        <v>0.0861618798955614</v>
      </c>
      <c r="W9" s="19">
        <f>IF(OR(U9="",V9="",V9&lt;=0),"",U9/V9)</f>
        <v>2.03030303030303</v>
      </c>
      <c r="X9" s="5">
        <f>IF(OR(K9="",L9="",AP9=""),"",K9*L9-(E9*H9+IF(AND(AK9&lt;&gt;"",AL9&lt;&gt;""),AK9*AL9,0)+IF(AND(AM9&lt;&gt;"",AN9&lt;&gt;""),AM9*AN9,0))-IF(O9="",0,O9)-IF(P9="",0,P9))</f>
        <v>-2304</v>
      </c>
      <c r="Y9" s="7">
        <f>IF(OR(X9="",AP9=""),"",IF((E9*H9+IF(AND(AK9&lt;&gt;"",AL9&lt;&gt;""),AK9*AL9,0)+IF(AND(AM9&lt;&gt;"",AN9&lt;&gt;""),AM9*AN9,0))+IF(O9="",0,O9)&lt;=0,"",X9/((E9*H9+IF(AND(AK9&lt;&gt;"",AL9&lt;&gt;""),AK9*AL9,0)+IF(AND(AM9&lt;&gt;"",AN9&lt;&gt;""),AM9*AN9,0))+IF(O9="",0,O9))))</f>
        <v>-0.0939947780678851</v>
      </c>
      <c r="Z9" s="7">
        <f>IF(OR(AE9="",多次统计数据!$B$8=""),"",AE9-多次统计数据!$B$8)</f>
        <v>-0.0943253587118855</v>
      </c>
      <c r="AA9" s="11">
        <f>IF(OR(I9="",M9="",M9&lt;I9),"",M9-I9)</f>
        <v>14</v>
      </c>
      <c r="AB9" s="7">
        <f>IF(OR(A9="",多次统计数据!$B$8="",多次统计数据!$B$6&lt;=0,多次统计数据!$B$6&gt;=1),"",1-POWER(1+多次统计数据!$B$8,-多次统计数据!$B$6/(1-多次统计数据!$B$6)))</f>
        <v>0.0530166567311223</v>
      </c>
      <c r="AC9" s="8" t="str">
        <f>IF(OR(AB9="",多次统计数据!$B$9=""),"",IF(多次统计数据!$B$9&lt;AB9,"低于上限","达到或超过上限"))</f>
        <v>低于上限</v>
      </c>
      <c r="AD9" s="2" t="s">
        <v>50</v>
      </c>
      <c r="AE9" s="7">
        <f>IF(OR(X9="",C9="",C9&lt;=0),"",X9/C9)</f>
        <v>-0.0217767317889245</v>
      </c>
      <c r="AG9" s="2" t="s">
        <v>46</v>
      </c>
      <c r="AH9" s="2" t="s">
        <v>47</v>
      </c>
      <c r="AI9" s="2" t="s">
        <v>49</v>
      </c>
      <c r="AJ9" s="8" t="str">
        <f>IF(OR(AG9="",AH9=""),"",IF(OR(AND(AG9="短期博反弹",OR(AH9="1～3个交易日",AH9="4～10个交易日")),AND(AG9="突破冲新高",OR(AH9="4～10个交易日",AH9="11～20个交易日")),AND(AG9="趋势波段",OR(AH9="11～20个交易日",AH9="21～60个交易日",AH9="60个交易日以上"))),"匹配","周期与交易预期不匹配，请重新确认"))</f>
        <v>匹配</v>
      </c>
      <c r="AK9" s="10"/>
      <c r="AL9" s="12"/>
      <c r="AM9" s="10"/>
      <c r="AN9" s="12"/>
      <c r="AO9" s="5">
        <f>IF(OR(A9="",H9="",H9&lt;=0),"",(E9*H9+IF(AND(AK9&lt;&gt;"",AL9&lt;&gt;""),AK9*AL9,0)+IF(AND(AM9&lt;&gt;"",AN9&lt;&gt;""),AM9*AN9,0))/AP9)</f>
        <v>3.83</v>
      </c>
      <c r="AP9" s="11">
        <f>IF(OR(A9="",H9="",H9&lt;=0),"",H9+IF(AL9="",0,AL9)+IF(AN9="",0,AN9))</f>
        <v>6400</v>
      </c>
      <c r="AQ9" s="5">
        <f>IF(A9="","",IF(M9&lt;&gt;"",0,IF(OR(H9="",N9=""),"",MAX(E9-MAX(N9,IFERROR(SUMPRODUCT(MAX(((持仓跟踪!$A$2:$A$157="每日跟踪")*(持仓跟踪!$B$2:$B$157=A9))*持仓跟踪!$S$2:$S$157)),0)),0)*H9+IF(OR(AK9="",AL9=""),0,MAX(AK9-MAX(N9,IFERROR(SUMPRODUCT(MAX(((持仓跟踪!$A$2:$A$157="每日跟踪")*(持仓跟踪!$B$2:$B$157=A9))*持仓跟踪!$S$2:$S$157)),0)),0)*AL9)+IF(OR(AM9="",AN9=""),0,MAX(AM9-MAX(N9,IFERROR(SUMPRODUCT(MAX(((持仓跟踪!$A$2:$A$157="每日跟踪")*(持仓跟踪!$B$2:$B$157=A9))*持仓跟踪!$S$2:$S$157)),0)),0)*AN9))))</f>
        <v>0</v>
      </c>
      <c r="AR9" s="8" t="str">
        <f ca="1">IF(A9="","",IF(OR(E9="",H9=""),"违规：第一批价格或股数缺失",IF(OR(AND(AK9="",AL9&lt;&gt;""),AND(AK9&lt;&gt;"",AL9="")),"违规：第二批价格与股数须成对填写",IF(OR(AND(AM9="",AN9&lt;&gt;""),AND(AM9&lt;&gt;"",AN9="")),"违规：第三批价格与股数须成对填写",IF(AND(OR(AM9&lt;&gt;"",AN9&lt;&gt;""),OR(AK9="",AL9="")),"违规：必须先完成第二批",IF(OR(H9&lt;=0,H9&lt;&gt;INT(H9),MOD(H9,100)&lt;&gt;0,AND(AL9&lt;&gt;"",OR(AL9&lt;=0,AL9&lt;&gt;INT(AL9),MOD(AL9,100)&lt;&gt;0)),AND(AN9&lt;&gt;"",OR(AN9&lt;=0,AN9&lt;&gt;INT(AN9),MOD(AN9,100)&lt;&gt;0))),"违规：股数须为100股整数倍",IF(AND(OR(AL9&lt;&gt;"",AN9&lt;&gt;""),OR(_LockStatus="已锁仓",_LockStatus="解锁信息不完整")),"违规：锁仓期间禁止加仓",IF(AQ9&gt;C9*D9,"违规：超过单笔风险上限",IF(SUM($AQ$2:$AQ$98)&gt;账户数据!$B$7,"违规：超过账户风险上限","通过")))))))))</f>
        <v>通过</v>
      </c>
    </row>
    <row r="10" ht="17" spans="1:44">
      <c r="A10" s="2">
        <v>9</v>
      </c>
      <c r="B10" s="2" t="s">
        <v>44</v>
      </c>
      <c r="C10" s="10">
        <v>103497</v>
      </c>
      <c r="D10" s="6">
        <v>0.02</v>
      </c>
      <c r="E10" s="10">
        <v>3.68</v>
      </c>
      <c r="F10" s="8">
        <f>IF(OR(C10="",D10="",E10="",N10="",C10&lt;=0,D10&lt;=0,E10&lt;=N10),"",ROUNDDOWN((C10*D10)/(E10-N10)/100,0)*100)</f>
        <v>11400</v>
      </c>
      <c r="G10" s="8" t="str">
        <f ca="1">IF(A10="","",IF(H10&lt;&gt;"","已开仓",IF(账户数据!$B$23="已锁仓","禁止开仓：连续亏损达到上限",IF(账户数据!$B$23="解锁信息不完整","禁止开仓：请完整填写解锁信息",IF(OR(F10="",E10="",N10="",E10&lt;=N10,账户数据!$B$7=""),"",IF(OR(AG10="",AH10="",AI10=""),"禁止开仓：交易预期未填写完整",IF(COUNTIFS(持仓跟踪!$A$2:$A$157,"止损计划",持仓跟踪!$B$2:$B$157,A10,持仓跟踪!$AC$2:$AC$157,"计划有效")=0,"禁止开仓：请先填写止损计划",IF(账户数据!$B$9+F10*(E10-N10)&gt;=账户数据!$B$7,"禁止开仓：风险额度不足",IF(AJ10="周期与交易预期不匹配，请重新确认",IF(账户数据!$B$23="接近锁仓","允许开仓（接近锁仓；周期需复核）","允许开仓（周期需复核）"),IF(账户数据!$B$23="接近锁仓","允许开仓（接近锁仓）","允许开仓"))))))))))</f>
        <v>已开仓</v>
      </c>
      <c r="H10" s="2">
        <v>11400</v>
      </c>
      <c r="I10" s="13">
        <v>45000</v>
      </c>
      <c r="J10" s="10">
        <v>4</v>
      </c>
      <c r="K10" s="5">
        <f>IF(A10="","",IFERROR(LOOKUP(2,1/((持仓跟踪!$B$2:$B$157=A10)*(持仓跟踪!$X$2:$X$157="执行卖出")*(持仓跟踪!$Y$2:$Y$157&lt;&gt;"")),持仓跟踪!$Y$2:$Y$157),""))</f>
        <v>3.46</v>
      </c>
      <c r="L10" s="8">
        <f>IF(A10="","",IFERROR(LOOKUP(2,1/((持仓跟踪!$B$2:$B$157=A10)*(持仓跟踪!$X$2:$X$157="执行卖出")*(持仓跟踪!$Z$2:$Z$157&lt;&gt;"")),持仓跟踪!$Z$2:$Z$157),""))</f>
        <v>11400</v>
      </c>
      <c r="M10" s="18">
        <f>IF(A10="","",IFERROR(LOOKUP(2,1/((持仓跟踪!$B$2:$B$157=A10)*(持仓跟踪!$X$2:$X$157="执行卖出")*(持仓跟踪!$H$2:$H$157&lt;&gt;"")),持仓跟踪!$H$2:$H$157),""))</f>
        <v>45041</v>
      </c>
      <c r="N10" s="10">
        <v>3.5</v>
      </c>
      <c r="O10" s="10"/>
      <c r="P10" s="5" t="str">
        <f>IF(A10="","",IFERROR(LOOKUP(2,1/((持仓跟踪!$B$2:$B$157=A10)*(持仓跟踪!$X$2:$X$157="执行卖出")*(持仓跟踪!$AA$2:$AA$157&lt;&gt;"")),持仓跟踪!$AA$2:$AA$157),""))</f>
        <v/>
      </c>
      <c r="Q10" s="2"/>
      <c r="R10" s="2"/>
      <c r="S10" s="2"/>
      <c r="T10" s="2"/>
      <c r="U10" s="7">
        <f>IF(OR(AO10="",J10="",AO10&lt;=0),"",(J10-AO10)/AO10)</f>
        <v>0.0869565217391304</v>
      </c>
      <c r="V10" s="7">
        <f>IF(OR(AO10="",N10="",AO10&lt;=0),"",(AO10-N10)/AO10)</f>
        <v>0.0489130434782609</v>
      </c>
      <c r="W10" s="19">
        <f>IF(OR(U10="",V10="",V10&lt;=0),"",U10/V10)</f>
        <v>1.77777777777778</v>
      </c>
      <c r="X10" s="5">
        <f>IF(OR(K10="",L10="",AP10=""),"",K10*L10-(E10*H10+IF(AND(AK10&lt;&gt;"",AL10&lt;&gt;""),AK10*AL10,0)+IF(AND(AM10&lt;&gt;"",AN10&lt;&gt;""),AM10*AN10,0))-IF(O10="",0,O10)-IF(P10="",0,P10))</f>
        <v>-2508</v>
      </c>
      <c r="Y10" s="7">
        <f>IF(OR(X10="",AP10=""),"",IF((E10*H10+IF(AND(AK10&lt;&gt;"",AL10&lt;&gt;""),AK10*AL10,0)+IF(AND(AM10&lt;&gt;"",AN10&lt;&gt;""),AM10*AN10,0))+IF(O10="",0,O10)&lt;=0,"",X10/((E10*H10+IF(AND(AK10&lt;&gt;"",AL10&lt;&gt;""),AK10*AL10,0)+IF(AND(AM10&lt;&gt;"",AN10&lt;&gt;""),AM10*AN10,0))+IF(O10="",0,O10))))</f>
        <v>-0.0597826086956522</v>
      </c>
      <c r="Z10" s="7">
        <f>IF(OR(AE10="",多次统计数据!$B$8=""),"",AE10-多次统计数据!$B$8)</f>
        <v>-0.0967812133747422</v>
      </c>
      <c r="AA10" s="11">
        <f>IF(OR(I10="",M10="",M10&lt;I10),"",M10-I10)</f>
        <v>41</v>
      </c>
      <c r="AB10" s="7">
        <f>IF(OR(A10="",多次统计数据!$B$8="",多次统计数据!$B$6&lt;=0,多次统计数据!$B$6&gt;=1),"",1-POWER(1+多次统计数据!$B$8,-多次统计数据!$B$6/(1-多次统计数据!$B$6)))</f>
        <v>0.0530166567311223</v>
      </c>
      <c r="AC10" s="8" t="str">
        <f>IF(OR(AB10="",多次统计数据!$B$9=""),"",IF(多次统计数据!$B$9&lt;AB10,"低于上限","达到或超过上限"))</f>
        <v>低于上限</v>
      </c>
      <c r="AD10" s="2" t="s">
        <v>56</v>
      </c>
      <c r="AE10" s="7">
        <f>IF(OR(X10="",C10="",C10&lt;=0),"",X10/C10)</f>
        <v>-0.0242325864517812</v>
      </c>
      <c r="AG10" s="2" t="s">
        <v>46</v>
      </c>
      <c r="AH10" s="2" t="s">
        <v>47</v>
      </c>
      <c r="AI10" s="2"/>
      <c r="AJ10" s="8" t="str">
        <f>IF(OR(AG10="",AH10=""),"",IF(OR(AND(AG10="短期博反弹",OR(AH10="1～3个交易日",AH10="4～10个交易日")),AND(AG10="突破冲新高",OR(AH10="4～10个交易日",AH10="11～20个交易日")),AND(AG10="趋势波段",OR(AH10="11～20个交易日",AH10="21～60个交易日",AH10="60个交易日以上"))),"匹配","周期与交易预期不匹配，请重新确认"))</f>
        <v>匹配</v>
      </c>
      <c r="AK10" s="10"/>
      <c r="AL10" s="12"/>
      <c r="AM10" s="10"/>
      <c r="AN10" s="12"/>
      <c r="AO10" s="5">
        <f>IF(OR(A10="",H10="",H10&lt;=0),"",(E10*H10+IF(AND(AK10&lt;&gt;"",AL10&lt;&gt;""),AK10*AL10,0)+IF(AND(AM10&lt;&gt;"",AN10&lt;&gt;""),AM10*AN10,0))/AP10)</f>
        <v>3.68</v>
      </c>
      <c r="AP10" s="11">
        <f>IF(OR(A10="",H10="",H10&lt;=0),"",H10+IF(AL10="",0,AL10)+IF(AN10="",0,AN10))</f>
        <v>11400</v>
      </c>
      <c r="AQ10" s="5">
        <f>IF(A10="","",IF(M10&lt;&gt;"",0,IF(OR(H10="",N10=""),"",MAX(E10-MAX(N10,IFERROR(SUMPRODUCT(MAX(((持仓跟踪!$A$2:$A$157="每日跟踪")*(持仓跟踪!$B$2:$B$157=A10))*持仓跟踪!$S$2:$S$157)),0)),0)*H10+IF(OR(AK10="",AL10=""),0,MAX(AK10-MAX(N10,IFERROR(SUMPRODUCT(MAX(((持仓跟踪!$A$2:$A$157="每日跟踪")*(持仓跟踪!$B$2:$B$157=A10))*持仓跟踪!$S$2:$S$157)),0)),0)*AL10)+IF(OR(AM10="",AN10=""),0,MAX(AM10-MAX(N10,IFERROR(SUMPRODUCT(MAX(((持仓跟踪!$A$2:$A$157="每日跟踪")*(持仓跟踪!$B$2:$B$157=A10))*持仓跟踪!$S$2:$S$157)),0)),0)*AN10))))</f>
        <v>0</v>
      </c>
      <c r="AR10" s="8" t="str">
        <f ca="1">IF(A10="","",IF(OR(E10="",H10=""),"违规：第一批价格或股数缺失",IF(OR(AND(AK10="",AL10&lt;&gt;""),AND(AK10&lt;&gt;"",AL10="")),"违规：第二批价格与股数须成对填写",IF(OR(AND(AM10="",AN10&lt;&gt;""),AND(AM10&lt;&gt;"",AN10="")),"违规：第三批价格与股数须成对填写",IF(AND(OR(AM10&lt;&gt;"",AN10&lt;&gt;""),OR(AK10="",AL10="")),"违规：必须先完成第二批",IF(OR(H10&lt;=0,H10&lt;&gt;INT(H10),MOD(H10,100)&lt;&gt;0,AND(AL10&lt;&gt;"",OR(AL10&lt;=0,AL10&lt;&gt;INT(AL10),MOD(AL10,100)&lt;&gt;0)),AND(AN10&lt;&gt;"",OR(AN10&lt;=0,AN10&lt;&gt;INT(AN10),MOD(AN10,100)&lt;&gt;0))),"违规：股数须为100股整数倍",IF(AND(OR(AL10&lt;&gt;"",AN10&lt;&gt;""),OR(_LockStatus="已锁仓",_LockStatus="解锁信息不完整")),"违规：锁仓期间禁止加仓",IF(AQ10&gt;C10*D10,"违规：超过单笔风险上限",IF(SUM($AQ$2:$AQ$98)&gt;账户数据!$B$7,"违规：超过账户风险上限","通过")))))))))</f>
        <v>通过</v>
      </c>
    </row>
    <row r="11" ht="17" spans="1:44">
      <c r="A11" s="2">
        <v>10</v>
      </c>
      <c r="B11" s="2" t="s">
        <v>44</v>
      </c>
      <c r="C11" s="10">
        <v>100989</v>
      </c>
      <c r="D11" s="6">
        <v>0.02</v>
      </c>
      <c r="E11" s="10">
        <v>2.86</v>
      </c>
      <c r="F11" s="8">
        <f>IF(OR(C11="",D11="",E11="",N11="",C11&lt;=0,D11&lt;=0,E11&lt;=N11),"",ROUNDDOWN((C11*D11)/(E11-N11)/100,0)*100)</f>
        <v>18300</v>
      </c>
      <c r="G11" s="8" t="str">
        <f ca="1">IF(A11="","",IF(H11&lt;&gt;"","已开仓",IF(账户数据!$B$23="已锁仓","禁止开仓：连续亏损达到上限",IF(账户数据!$B$23="解锁信息不完整","禁止开仓：请完整填写解锁信息",IF(OR(F11="",E11="",N11="",E11&lt;=N11,账户数据!$B$7=""),"",IF(OR(AG11="",AH11="",AI11=""),"禁止开仓：交易预期未填写完整",IF(COUNTIFS(持仓跟踪!$A$2:$A$157,"止损计划",持仓跟踪!$B$2:$B$157,A11,持仓跟踪!$AC$2:$AC$157,"计划有效")=0,"禁止开仓：请先填写止损计划",IF(账户数据!$B$9+F11*(E11-N11)&gt;=账户数据!$B$7,"禁止开仓：风险额度不足",IF(AJ11="周期与交易预期不匹配，请重新确认",IF(账户数据!$B$23="接近锁仓","允许开仓（接近锁仓；周期需复核）","允许开仓（周期需复核）"),IF(账户数据!$B$23="接近锁仓","允许开仓（接近锁仓）","允许开仓"))))))))))</f>
        <v>已开仓</v>
      </c>
      <c r="H11" s="2">
        <v>18300</v>
      </c>
      <c r="I11" s="13">
        <v>45357</v>
      </c>
      <c r="J11" s="10">
        <v>3</v>
      </c>
      <c r="K11" s="5">
        <f>IF(A11="","",IFERROR(LOOKUP(2,1/((持仓跟踪!$B$2:$B$157=A11)*(持仓跟踪!$X$2:$X$157="执行卖出")*(持仓跟踪!$Y$2:$Y$157&lt;&gt;"")),持仓跟踪!$Y$2:$Y$157),""))</f>
        <v>2.78</v>
      </c>
      <c r="L11" s="8">
        <f>IF(A11="","",IFERROR(LOOKUP(2,1/((持仓跟踪!$B$2:$B$157=A11)*(持仓跟踪!$X$2:$X$157="执行卖出")*(持仓跟踪!$Z$2:$Z$157&lt;&gt;"")),持仓跟踪!$Z$2:$Z$157),""))</f>
        <v>18300</v>
      </c>
      <c r="M11" s="18">
        <f>IF(A11="","",IFERROR(LOOKUP(2,1/((持仓跟踪!$B$2:$B$157=A11)*(持仓跟踪!$X$2:$X$157="执行卖出")*(持仓跟踪!$H$2:$H$157&lt;&gt;"")),持仓跟踪!$H$2:$H$157),""))</f>
        <v>45373</v>
      </c>
      <c r="N11" s="10">
        <v>2.75</v>
      </c>
      <c r="O11" s="10"/>
      <c r="P11" s="5" t="str">
        <f>IF(A11="","",IFERROR(LOOKUP(2,1/((持仓跟踪!$B$2:$B$157=A11)*(持仓跟踪!$X$2:$X$157="执行卖出")*(持仓跟踪!$AA$2:$AA$157&lt;&gt;"")),持仓跟踪!$AA$2:$AA$157),""))</f>
        <v/>
      </c>
      <c r="Q11" s="2"/>
      <c r="R11" s="2"/>
      <c r="S11" s="2"/>
      <c r="T11" s="2"/>
      <c r="U11" s="7">
        <f>IF(OR(AO11="",J11="",AO11&lt;=0),"",(J11-AO11)/AO11)</f>
        <v>0.048951048951049</v>
      </c>
      <c r="V11" s="7">
        <f>IF(OR(AO11="",N11="",AO11&lt;=0),"",(AO11-N11)/AO11)</f>
        <v>0.0384615384615384</v>
      </c>
      <c r="W11" s="19">
        <f>IF(OR(U11="",V11="",V11&lt;=0),"",U11/V11)</f>
        <v>1.27272727272728</v>
      </c>
      <c r="X11" s="5">
        <f>IF(OR(K11="",L11="",AP11=""),"",K11*L11-(E11*H11+IF(AND(AK11&lt;&gt;"",AL11&lt;&gt;""),AK11*AL11,0)+IF(AND(AM11&lt;&gt;"",AN11&lt;&gt;""),AM11*AN11,0))-IF(O11="",0,O11)-IF(P11="",0,P11))</f>
        <v>-1464</v>
      </c>
      <c r="Y11" s="7">
        <f>IF(OR(X11="",AP11=""),"",IF((E11*H11+IF(AND(AK11&lt;&gt;"",AL11&lt;&gt;""),AK11*AL11,0)+IF(AND(AM11&lt;&gt;"",AN11&lt;&gt;""),AM11*AN11,0))+IF(O11="",0,O11)&lt;=0,"",X11/((E11*H11+IF(AND(AK11&lt;&gt;"",AL11&lt;&gt;""),AK11*AL11,0)+IF(AND(AM11&lt;&gt;"",AN11&lt;&gt;""),AM11*AN11,0))+IF(O11="",0,O11))))</f>
        <v>-0.027972027972028</v>
      </c>
      <c r="Z11" s="7">
        <f>IF(OR(AE11="",多次统计数据!$B$8=""),"",AE11-多次统计数据!$B$8)</f>
        <v>-0.0870452552686224</v>
      </c>
      <c r="AA11" s="11">
        <f>IF(OR(I11="",M11="",M11&lt;I11),"",M11-I11)</f>
        <v>16</v>
      </c>
      <c r="AB11" s="7">
        <f>IF(OR(A11="",多次统计数据!$B$8="",多次统计数据!$B$6&lt;=0,多次统计数据!$B$6&gt;=1),"",1-POWER(1+多次统计数据!$B$8,-多次统计数据!$B$6/(1-多次统计数据!$B$6)))</f>
        <v>0.0530166567311223</v>
      </c>
      <c r="AC11" s="8" t="str">
        <f>IF(OR(AB11="",多次统计数据!$B$9=""),"",IF(多次统计数据!$B$9&lt;AB11,"低于上限","达到或超过上限"))</f>
        <v>低于上限</v>
      </c>
      <c r="AD11" s="2" t="s">
        <v>50</v>
      </c>
      <c r="AE11" s="7">
        <f>IF(OR(X11="",C11="",C11&lt;=0),"",X11/C11)</f>
        <v>-0.0144966283456614</v>
      </c>
      <c r="AG11" s="2" t="s">
        <v>57</v>
      </c>
      <c r="AH11" s="2" t="s">
        <v>58</v>
      </c>
      <c r="AI11" s="2"/>
      <c r="AJ11" s="8" t="str">
        <f>IF(OR(AG11="",AH11=""),"",IF(OR(AND(AG11="短期博反弹",OR(AH11="1～3个交易日",AH11="4～10个交易日")),AND(AG11="突破冲新高",OR(AH11="4～10个交易日",AH11="11～20个交易日")),AND(AG11="趋势波段",OR(AH11="11～20个交易日",AH11="21～60个交易日",AH11="60个交易日以上"))),"匹配","周期与交易预期不匹配，请重新确认"))</f>
        <v>匹配</v>
      </c>
      <c r="AK11" s="10"/>
      <c r="AL11" s="12"/>
      <c r="AM11" s="10"/>
      <c r="AN11" s="12"/>
      <c r="AO11" s="5">
        <f>IF(OR(A11="",H11="",H11&lt;=0),"",(E11*H11+IF(AND(AK11&lt;&gt;"",AL11&lt;&gt;""),AK11*AL11,0)+IF(AND(AM11&lt;&gt;"",AN11&lt;&gt;""),AM11*AN11,0))/AP11)</f>
        <v>2.86</v>
      </c>
      <c r="AP11" s="11">
        <f>IF(OR(A11="",H11="",H11&lt;=0),"",H11+IF(AL11="",0,AL11)+IF(AN11="",0,AN11))</f>
        <v>18300</v>
      </c>
      <c r="AQ11" s="5">
        <f>IF(A11="","",IF(M11&lt;&gt;"",0,IF(OR(H11="",N11=""),"",MAX(E11-MAX(N11,IFERROR(SUMPRODUCT(MAX(((持仓跟踪!$A$2:$A$157="每日跟踪")*(持仓跟踪!$B$2:$B$157=A11))*持仓跟踪!$S$2:$S$157)),0)),0)*H11+IF(OR(AK11="",AL11=""),0,MAX(AK11-MAX(N11,IFERROR(SUMPRODUCT(MAX(((持仓跟踪!$A$2:$A$157="每日跟踪")*(持仓跟踪!$B$2:$B$157=A11))*持仓跟踪!$S$2:$S$157)),0)),0)*AL11)+IF(OR(AM11="",AN11=""),0,MAX(AM11-MAX(N11,IFERROR(SUMPRODUCT(MAX(((持仓跟踪!$A$2:$A$157="每日跟踪")*(持仓跟踪!$B$2:$B$157=A11))*持仓跟踪!$S$2:$S$157)),0)),0)*AN11))))</f>
        <v>0</v>
      </c>
      <c r="AR11" s="8" t="str">
        <f ca="1">IF(A11="","",IF(OR(E11="",H11=""),"违规：第一批价格或股数缺失",IF(OR(AND(AK11="",AL11&lt;&gt;""),AND(AK11&lt;&gt;"",AL11="")),"违规：第二批价格与股数须成对填写",IF(OR(AND(AM11="",AN11&lt;&gt;""),AND(AM11&lt;&gt;"",AN11="")),"违规：第三批价格与股数须成对填写",IF(AND(OR(AM11&lt;&gt;"",AN11&lt;&gt;""),OR(AK11="",AL11="")),"违规：必须先完成第二批",IF(OR(H11&lt;=0,H11&lt;&gt;INT(H11),MOD(H11,100)&lt;&gt;0,AND(AL11&lt;&gt;"",OR(AL11&lt;=0,AL11&lt;&gt;INT(AL11),MOD(AL11,100)&lt;&gt;0)),AND(AN11&lt;&gt;"",OR(AN11&lt;=0,AN11&lt;&gt;INT(AN11),MOD(AN11,100)&lt;&gt;0))),"违规：股数须为100股整数倍",IF(AND(OR(AL11&lt;&gt;"",AN11&lt;&gt;""),OR(_LockStatus="已锁仓",_LockStatus="解锁信息不完整")),"违规：锁仓期间禁止加仓",IF(AQ11&gt;C11*D11,"违规：超过单笔风险上限",IF(SUM($AQ$2:$AQ$98)&gt;账户数据!$B$7,"违规：超过账户风险上限","通过")))))))))</f>
        <v>通过</v>
      </c>
    </row>
    <row r="12" ht="17" spans="1:44">
      <c r="A12" s="2">
        <v>11</v>
      </c>
      <c r="B12" s="2" t="s">
        <v>59</v>
      </c>
      <c r="C12" s="10">
        <v>99525</v>
      </c>
      <c r="D12" s="6">
        <v>0.02</v>
      </c>
      <c r="E12" s="10">
        <v>20.5</v>
      </c>
      <c r="F12" s="8">
        <f>IF(OR(C12="",D12="",E12="",N12="",C12&lt;=0,D12&lt;=0,E12&lt;=N12),"",ROUNDDOWN((C12*D12)/(E12-N12)/100,0)*100)</f>
        <v>1900</v>
      </c>
      <c r="G12" s="8" t="str">
        <f ca="1">IF(A12="","",IF(H12&lt;&gt;"","已开仓",IF(账户数据!$B$23="已锁仓","禁止开仓：连续亏损达到上限",IF(账户数据!$B$23="解锁信息不完整","禁止开仓：请完整填写解锁信息",IF(OR(F12="",E12="",N12="",E12&lt;=N12,账户数据!$B$7=""),"",IF(OR(AG12="",AH12="",AI12=""),"禁止开仓：交易预期未填写完整",IF(COUNTIFS(持仓跟踪!$A$2:$A$157,"止损计划",持仓跟踪!$B$2:$B$157,A12,持仓跟踪!$AC$2:$AC$157,"计划有效")=0,"禁止开仓：请先填写止损计划",IF(账户数据!$B$9+F12*(E12-N12)&gt;=账户数据!$B$7,"禁止开仓：风险额度不足",IF(AJ12="周期与交易预期不匹配，请重新确认",IF(账户数据!$B$23="接近锁仓","允许开仓（接近锁仓；周期需复核）","允许开仓（周期需复核）"),IF(账户数据!$B$23="接近锁仓","允许开仓（接近锁仓）","允许开仓"))))))))))</f>
        <v>已开仓</v>
      </c>
      <c r="H12" s="2">
        <v>1900</v>
      </c>
      <c r="I12" s="13">
        <v>42815</v>
      </c>
      <c r="J12" s="10">
        <v>23</v>
      </c>
      <c r="K12" s="5">
        <f>IF(A12="","",IFERROR(LOOKUP(2,1/((持仓跟踪!$B$2:$B$157=A12)*(持仓跟踪!$X$2:$X$157="执行卖出")*(持仓跟踪!$Y$2:$Y$157&lt;&gt;"")),持仓跟踪!$Y$2:$Y$157),""))</f>
        <v>29.25</v>
      </c>
      <c r="L12" s="8">
        <f>IF(A12="","",IFERROR(LOOKUP(2,1/((持仓跟踪!$B$2:$B$157=A12)*(持仓跟踪!$X$2:$X$157="执行卖出")*(持仓跟踪!$Z$2:$Z$157&lt;&gt;"")),持仓跟踪!$Z$2:$Z$157),""))</f>
        <v>1900</v>
      </c>
      <c r="M12" s="18">
        <f>IF(A12="","",IFERROR(LOOKUP(2,1/((持仓跟踪!$B$2:$B$157=A12)*(持仓跟踪!$X$2:$X$157="执行卖出")*(持仓跟踪!$H$2:$H$157&lt;&gt;"")),持仓跟踪!$H$2:$H$157),""))</f>
        <v>43059</v>
      </c>
      <c r="N12" s="10">
        <v>19.5</v>
      </c>
      <c r="O12" s="10"/>
      <c r="P12" s="5" t="str">
        <f>IF(A12="","",IFERROR(LOOKUP(2,1/((持仓跟踪!$B$2:$B$157=A12)*(持仓跟踪!$X$2:$X$157="执行卖出")*(持仓跟踪!$AA$2:$AA$157&lt;&gt;"")),持仓跟踪!$AA$2:$AA$157),""))</f>
        <v/>
      </c>
      <c r="Q12" s="2"/>
      <c r="R12" s="2"/>
      <c r="S12" s="2"/>
      <c r="T12" s="2"/>
      <c r="U12" s="7">
        <f>IF(OR(AO12="",J12="",AO12&lt;=0),"",(J12-AO12)/AO12)</f>
        <v>0.121951219512195</v>
      </c>
      <c r="V12" s="7">
        <f>IF(OR(AO12="",N12="",AO12&lt;=0),"",(AO12-N12)/AO12)</f>
        <v>0.0487804878048781</v>
      </c>
      <c r="W12" s="19">
        <f>IF(OR(U12="",V12="",V12&lt;=0),"",U12/V12)</f>
        <v>2.5</v>
      </c>
      <c r="X12" s="5">
        <f>IF(OR(K12="",L12="",AP12=""),"",K12*L12-(E12*H12+IF(AND(AK12&lt;&gt;"",AL12&lt;&gt;""),AK12*AL12,0)+IF(AND(AM12&lt;&gt;"",AN12&lt;&gt;""),AM12*AN12,0))-IF(O12="",0,O12)-IF(P12="",0,P12))</f>
        <v>16625</v>
      </c>
      <c r="Y12" s="7">
        <f>IF(OR(X12="",AP12=""),"",IF((E12*H12+IF(AND(AK12&lt;&gt;"",AL12&lt;&gt;""),AK12*AL12,0)+IF(AND(AM12&lt;&gt;"",AN12&lt;&gt;""),AM12*AN12,0))+IF(O12="",0,O12)&lt;=0,"",X12/((E12*H12+IF(AND(AK12&lt;&gt;"",AL12&lt;&gt;""),AK12*AL12,0)+IF(AND(AM12&lt;&gt;"",AN12&lt;&gt;""),AM12*AN12,0))+IF(O12="",0,O12))))</f>
        <v>0.426829268292683</v>
      </c>
      <c r="Z12" s="7">
        <f>IF(OR(AE12="",多次统计数据!$B$8=""),"",AE12-多次统计数据!$B$8)</f>
        <v>0.0944948294950245</v>
      </c>
      <c r="AA12" s="11">
        <f>IF(OR(I12="",M12="",M12&lt;I12),"",M12-I12)</f>
        <v>244</v>
      </c>
      <c r="AB12" s="7">
        <f>IF(OR(A12="",多次统计数据!$B$8="",多次统计数据!$B$6&lt;=0,多次统计数据!$B$6&gt;=1),"",1-POWER(1+多次统计数据!$B$8,-多次统计数据!$B$6/(1-多次统计数据!$B$6)))</f>
        <v>0.0530166567311223</v>
      </c>
      <c r="AC12" s="8" t="str">
        <f>IF(OR(AB12="",多次统计数据!$B$9=""),"",IF(多次统计数据!$B$9&lt;AB12,"低于上限","达到或超过上限"))</f>
        <v>低于上限</v>
      </c>
      <c r="AD12" s="2"/>
      <c r="AE12" s="7">
        <f>IF(OR(X12="",C12="",C12&lt;=0),"",X12/C12)</f>
        <v>0.167043456417985</v>
      </c>
      <c r="AG12" s="2" t="s">
        <v>60</v>
      </c>
      <c r="AH12" s="2" t="s">
        <v>61</v>
      </c>
      <c r="AI12" s="14" t="s">
        <v>62</v>
      </c>
      <c r="AJ12" s="8" t="str">
        <f>IF(OR(AG12="",AH12=""),"",IF(OR(AND(AG12="短期博反弹",OR(AH12="1～3个交易日",AH12="4～10个交易日")),AND(AG12="突破冲新高",OR(AH12="4～10个交易日",AH12="11～20个交易日")),AND(AG12="趋势波段",OR(AH12="11～20个交易日",AH12="21～60个交易日",AH12="60个交易日以上"))),"匹配","周期与交易预期不匹配，请重新确认"))</f>
        <v>匹配</v>
      </c>
      <c r="AK12" s="10"/>
      <c r="AL12" s="12"/>
      <c r="AM12" s="10"/>
      <c r="AN12" s="12"/>
      <c r="AO12" s="5">
        <f>IF(OR(A12="",H12="",H12&lt;=0),"",(E12*H12+IF(AND(AK12&lt;&gt;"",AL12&lt;&gt;""),AK12*AL12,0)+IF(AND(AM12&lt;&gt;"",AN12&lt;&gt;""),AM12*AN12,0))/AP12)</f>
        <v>20.5</v>
      </c>
      <c r="AP12" s="11">
        <f>IF(OR(A12="",H12="",H12&lt;=0),"",H12+IF(AL12="",0,AL12)+IF(AN12="",0,AN12))</f>
        <v>1900</v>
      </c>
      <c r="AQ12" s="5">
        <f>IF(A12="","",IF(M12&lt;&gt;"",0,IF(OR(H12="",N12=""),"",MAX(E12-MAX(N12,IFERROR(SUMPRODUCT(MAX(((持仓跟踪!$A$2:$A$157="每日跟踪")*(持仓跟踪!$B$2:$B$157=A12))*持仓跟踪!$S$2:$S$157)),0)),0)*H12+IF(OR(AK12="",AL12=""),0,MAX(AK12-MAX(N12,IFERROR(SUMPRODUCT(MAX(((持仓跟踪!$A$2:$A$157="每日跟踪")*(持仓跟踪!$B$2:$B$157=A12))*持仓跟踪!$S$2:$S$157)),0)),0)*AL12)+IF(OR(AM12="",AN12=""),0,MAX(AM12-MAX(N12,IFERROR(SUMPRODUCT(MAX(((持仓跟踪!$A$2:$A$157="每日跟踪")*(持仓跟踪!$B$2:$B$157=A12))*持仓跟踪!$S$2:$S$157)),0)),0)*AN12))))</f>
        <v>0</v>
      </c>
      <c r="AR12" s="8" t="str">
        <f ca="1">IF(A12="","",IF(OR(E12="",H12=""),"违规：第一批价格或股数缺失",IF(OR(AND(AK12="",AL12&lt;&gt;""),AND(AK12&lt;&gt;"",AL12="")),"违规：第二批价格与股数须成对填写",IF(OR(AND(AM12="",AN12&lt;&gt;""),AND(AM12&lt;&gt;"",AN12="")),"违规：第三批价格与股数须成对填写",IF(AND(OR(AM12&lt;&gt;"",AN12&lt;&gt;""),OR(AK12="",AL12="")),"违规：必须先完成第二批",IF(OR(H12&lt;=0,H12&lt;&gt;INT(H12),MOD(H12,100)&lt;&gt;0,AND(AL12&lt;&gt;"",OR(AL12&lt;=0,AL12&lt;&gt;INT(AL12),MOD(AL12,100)&lt;&gt;0)),AND(AN12&lt;&gt;"",OR(AN12&lt;=0,AN12&lt;&gt;INT(AN12),MOD(AN12,100)&lt;&gt;0))),"违规：股数须为100股整数倍",IF(AND(OR(AL12&lt;&gt;"",AN12&lt;&gt;""),OR(_LockStatus="已锁仓",_LockStatus="解锁信息不完整")),"违规：锁仓期间禁止加仓",IF(AQ12&gt;C12*D12,"违规：超过单笔风险上限",IF(SUM($AQ$2:$AQ$98)&gt;账户数据!$B$7,"违规：超过账户风险上限","通过")))))))))</f>
        <v>通过</v>
      </c>
    </row>
    <row r="13" ht="17" spans="1:44">
      <c r="A13" s="2">
        <v>12</v>
      </c>
      <c r="B13" s="2" t="s">
        <v>59</v>
      </c>
      <c r="C13" s="10">
        <v>116150</v>
      </c>
      <c r="D13" s="6">
        <v>0.02</v>
      </c>
      <c r="E13" s="10">
        <v>31.91</v>
      </c>
      <c r="F13" s="8">
        <f>IF(OR(C13="",D13="",E13="",N13="",C13&lt;=0,D13&lt;=0,E13&lt;=N13),"",ROUNDDOWN((C13*D13)/(E13-N13)/100,0)*100)</f>
        <v>1200</v>
      </c>
      <c r="G13" s="8" t="str">
        <f ca="1">IF(A13="","",IF(H13&lt;&gt;"","已开仓",IF(账户数据!$B$23="已锁仓","禁止开仓：连续亏损达到上限",IF(账户数据!$B$23="解锁信息不完整","禁止开仓：请完整填写解锁信息",IF(OR(F13="",E13="",N13="",E13&lt;=N13,账户数据!$B$7=""),"",IF(OR(AG13="",AH13="",AI13=""),"禁止开仓：交易预期未填写完整",IF(COUNTIFS(持仓跟踪!$A$2:$A$157,"止损计划",持仓跟踪!$B$2:$B$157,A13,持仓跟踪!$AC$2:$AC$157,"计划有效")=0,"禁止开仓：请先填写止损计划",IF(账户数据!$B$9+F13*(E13-N13)&gt;=账户数据!$B$7,"禁止开仓：风险额度不足",IF(AJ13="周期与交易预期不匹配，请重新确认",IF(账户数据!$B$23="接近锁仓","允许开仓（接近锁仓；周期需复核）","允许开仓（周期需复核）"),IF(账户数据!$B$23="接近锁仓","允许开仓（接近锁仓）","允许开仓"))))))))))</f>
        <v>已开仓</v>
      </c>
      <c r="H13" s="2">
        <v>1200</v>
      </c>
      <c r="I13" s="13">
        <v>43110</v>
      </c>
      <c r="J13" s="10">
        <v>35</v>
      </c>
      <c r="K13" s="5">
        <v>29.29</v>
      </c>
      <c r="L13" s="8">
        <f>IF(A13="","",IFERROR(LOOKUP(2,1/((持仓跟踪!$B$2:$B$157=A13)*(持仓跟踪!$X$2:$X$157="执行卖出")*(持仓跟踪!$Z$2:$Z$157&lt;&gt;"")),持仓跟踪!$Z$2:$Z$157),""))</f>
        <v>1200</v>
      </c>
      <c r="M13" s="18">
        <f>IF(A13="","",IFERROR(LOOKUP(2,1/((持仓跟踪!$B$2:$B$157=A13)*(持仓跟踪!$X$2:$X$157="执行卖出")*(持仓跟踪!$H$2:$H$157&lt;&gt;"")),持仓跟踪!$H$2:$H$157),""))</f>
        <v>43311</v>
      </c>
      <c r="N13" s="10">
        <v>30</v>
      </c>
      <c r="O13" s="10"/>
      <c r="P13" s="5" t="str">
        <f>IF(A13="","",IFERROR(LOOKUP(2,1/((持仓跟踪!$B$2:$B$157=A13)*(持仓跟踪!$X$2:$X$157="执行卖出")*(持仓跟踪!$AA$2:$AA$157&lt;&gt;"")),持仓跟踪!$AA$2:$AA$157),""))</f>
        <v/>
      </c>
      <c r="Q13" s="2"/>
      <c r="R13" s="2"/>
      <c r="S13" s="2"/>
      <c r="T13" s="2"/>
      <c r="U13" s="7">
        <f>IF(OR(AO13="",J13="",AO13&lt;=0),"",(J13-AO13)/AO13)</f>
        <v>0.0968348480100282</v>
      </c>
      <c r="V13" s="7">
        <f>IF(OR(AO13="",N13="",AO13&lt;=0),"",(AO13-N13)/AO13)</f>
        <v>0.059855844562833</v>
      </c>
      <c r="W13" s="19">
        <f>IF(OR(U13="",V13="",V13&lt;=0),"",U13/V13)</f>
        <v>1.61780104712042</v>
      </c>
      <c r="X13" s="5">
        <f>IF(OR(K13="",L13="",AP13=""),"",K13*L13-(E13*H13+IF(AND(AK13&lt;&gt;"",AL13&lt;&gt;""),AK13*AL13,0)+IF(AND(AM13&lt;&gt;"",AN13&lt;&gt;""),AM13*AN13,0))-IF(O13="",0,O13)-IF(P13="",0,P13))</f>
        <v>-3144</v>
      </c>
      <c r="Y13" s="7">
        <f>IF(OR(X13="",AP13=""),"",IF((E13*H13+IF(AND(AK13&lt;&gt;"",AL13&lt;&gt;""),AK13*AL13,0)+IF(AND(AM13&lt;&gt;"",AN13&lt;&gt;""),AM13*AN13,0))+IF(O13="",0,O13)&lt;=0,"",X13/((E13*H13+IF(AND(AK13&lt;&gt;"",AL13&lt;&gt;""),AK13*AL13,0)+IF(AND(AM13&lt;&gt;"",AN13&lt;&gt;""),AM13*AN13,0))+IF(O13="",0,O13))))</f>
        <v>-0.0821059229081793</v>
      </c>
      <c r="Z13" s="7">
        <f>IF(OR(AE13="",多次统计数据!$B$8=""),"",AE13-多次统计数据!$B$8)</f>
        <v>-0.0996170728979932</v>
      </c>
      <c r="AA13" s="11">
        <f>IF(OR(I13="",M13="",M13&lt;I13),"",M13-I13)</f>
        <v>201</v>
      </c>
      <c r="AB13" s="7">
        <f>IF(OR(A13="",多次统计数据!$B$8="",多次统计数据!$B$6&lt;=0,多次统计数据!$B$6&gt;=1),"",1-POWER(1+多次统计数据!$B$8,-多次统计数据!$B$6/(1-多次统计数据!$B$6)))</f>
        <v>0.0530166567311223</v>
      </c>
      <c r="AC13" s="8" t="str">
        <f>IF(OR(AB13="",多次统计数据!$B$9=""),"",IF(多次统计数据!$B$9&lt;AB13,"低于上限","达到或超过上限"))</f>
        <v>低于上限</v>
      </c>
      <c r="AD13" s="2"/>
      <c r="AE13" s="7">
        <f>IF(OR(X13="",C13="",C13&lt;=0),"",X13/C13)</f>
        <v>-0.0270684459750323</v>
      </c>
      <c r="AG13" s="2" t="s">
        <v>60</v>
      </c>
      <c r="AH13" s="2" t="s">
        <v>61</v>
      </c>
      <c r="AI13" s="2"/>
      <c r="AJ13" s="8" t="str">
        <f>IF(OR(AG13="",AH13=""),"",IF(OR(AND(AG13="短期博反弹",OR(AH13="1～3个交易日",AH13="4～10个交易日")),AND(AG13="突破冲新高",OR(AH13="4～10个交易日",AH13="11～20个交易日")),AND(AG13="趋势波段",OR(AH13="11～20个交易日",AH13="21～60个交易日",AH13="60个交易日以上"))),"匹配","周期与交易预期不匹配，请重新确认"))</f>
        <v>匹配</v>
      </c>
      <c r="AK13" s="10"/>
      <c r="AL13" s="12"/>
      <c r="AM13" s="10"/>
      <c r="AN13" s="12"/>
      <c r="AO13" s="5">
        <f>IF(OR(A13="",H13="",H13&lt;=0),"",(E13*H13+IF(AND(AK13&lt;&gt;"",AL13&lt;&gt;""),AK13*AL13,0)+IF(AND(AM13&lt;&gt;"",AN13&lt;&gt;""),AM13*AN13,0))/AP13)</f>
        <v>31.91</v>
      </c>
      <c r="AP13" s="11">
        <f>IF(OR(A13="",H13="",H13&lt;=0),"",H13+IF(AL13="",0,AL13)+IF(AN13="",0,AN13))</f>
        <v>1200</v>
      </c>
      <c r="AQ13" s="5">
        <f>IF(A13="","",IF(M13&lt;&gt;"",0,IF(OR(H13="",N13=""),"",MAX(E13-MAX(N13,IFERROR(SUMPRODUCT(MAX(((持仓跟踪!$A$2:$A$157="每日跟踪")*(持仓跟踪!$B$2:$B$157=A13))*持仓跟踪!$S$2:$S$157)),0)),0)*H13+IF(OR(AK13="",AL13=""),0,MAX(AK13-MAX(N13,IFERROR(SUMPRODUCT(MAX(((持仓跟踪!$A$2:$A$157="每日跟踪")*(持仓跟踪!$B$2:$B$157=A13))*持仓跟踪!$S$2:$S$157)),0)),0)*AL13)+IF(OR(AM13="",AN13=""),0,MAX(AM13-MAX(N13,IFERROR(SUMPRODUCT(MAX(((持仓跟踪!$A$2:$A$157="每日跟踪")*(持仓跟踪!$B$2:$B$157=A13))*持仓跟踪!$S$2:$S$157)),0)),0)*AN13))))</f>
        <v>0</v>
      </c>
      <c r="AR13" s="8" t="str">
        <f ca="1">IF(A13="","",IF(OR(E13="",H13=""),"违规：第一批价格或股数缺失",IF(OR(AND(AK13="",AL13&lt;&gt;""),AND(AK13&lt;&gt;"",AL13="")),"违规：第二批价格与股数须成对填写",IF(OR(AND(AM13="",AN13&lt;&gt;""),AND(AM13&lt;&gt;"",AN13="")),"违规：第三批价格与股数须成对填写",IF(AND(OR(AM13&lt;&gt;"",AN13&lt;&gt;""),OR(AK13="",AL13="")),"违规：必须先完成第二批",IF(OR(H13&lt;=0,H13&lt;&gt;INT(H13),MOD(H13,100)&lt;&gt;0,AND(AL13&lt;&gt;"",OR(AL13&lt;=0,AL13&lt;&gt;INT(AL13),MOD(AL13,100)&lt;&gt;0)),AND(AN13&lt;&gt;"",OR(AN13&lt;=0,AN13&lt;&gt;INT(AN13),MOD(AN13,100)&lt;&gt;0))),"违规：股数须为100股整数倍",IF(AND(OR(AL13&lt;&gt;"",AN13&lt;&gt;""),OR(_LockStatus="已锁仓",_LockStatus="解锁信息不完整")),"违规：锁仓期间禁止加仓",IF(AQ13&gt;C13*D13,"违规：超过单笔风险上限",IF(SUM($AQ$2:$AQ$98)&gt;账户数据!$B$7,"违规：超过账户风险上限","通过")))))))))</f>
        <v>通过</v>
      </c>
    </row>
    <row r="14" ht="17" spans="1:44">
      <c r="A14" s="2">
        <v>13</v>
      </c>
      <c r="B14" s="2" t="s">
        <v>59</v>
      </c>
      <c r="C14" s="10">
        <v>113006</v>
      </c>
      <c r="D14" s="6">
        <v>0.02</v>
      </c>
      <c r="E14" s="10">
        <v>41.91</v>
      </c>
      <c r="F14" s="8">
        <f>IF(OR(C14="",D14="",E14="",N14="",C14&lt;=0,D14&lt;=0,E14&lt;=N14),"",ROUNDDOWN((C14*D14)/(E14-N14)/100,0)*100)</f>
        <v>700</v>
      </c>
      <c r="G14" s="8" t="str">
        <f ca="1">IF(A14="","",IF(H14&lt;&gt;"","已开仓",IF(账户数据!$B$23="已锁仓","禁止开仓：连续亏损达到上限",IF(账户数据!$B$23="解锁信息不完整","禁止开仓：请完整填写解锁信息",IF(OR(F14="",E14="",N14="",E14&lt;=N14,账户数据!$B$7=""),"",IF(OR(AG14="",AH14="",AI14=""),"禁止开仓：交易预期未填写完整",IF(COUNTIFS(持仓跟踪!$A$2:$A$157,"止损计划",持仓跟踪!$B$2:$B$157,A14,持仓跟踪!$AC$2:$AC$157,"计划有效")=0,"禁止开仓：请先填写止损计划",IF(账户数据!$B$9+F14*(E14-N14)&gt;=账户数据!$B$7,"禁止开仓：风险额度不足",IF(AJ14="周期与交易预期不匹配，请重新确认",IF(账户数据!$B$23="接近锁仓","允许开仓（接近锁仓；周期需复核）","允许开仓（周期需复核）"),IF(账户数据!$B$23="接近锁仓","允许开仓（接近锁仓）","允许开仓"))))))))))</f>
        <v>已开仓</v>
      </c>
      <c r="H14" s="2">
        <v>700</v>
      </c>
      <c r="I14" s="13">
        <v>43245</v>
      </c>
      <c r="J14" s="10">
        <v>50</v>
      </c>
      <c r="K14" s="5">
        <v>38.49</v>
      </c>
      <c r="L14" s="8">
        <v>700</v>
      </c>
      <c r="M14" s="20">
        <v>43311</v>
      </c>
      <c r="N14" s="10">
        <v>39</v>
      </c>
      <c r="O14" s="10"/>
      <c r="P14" s="5" t="str">
        <f>IF(A14="","",IFERROR(LOOKUP(2,1/((持仓跟踪!$B$2:$B$157=A14)*(持仓跟踪!$X$2:$X$157="执行卖出")*(持仓跟踪!$AA$2:$AA$157&lt;&gt;"")),持仓跟踪!$AA$2:$AA$157),""))</f>
        <v/>
      </c>
      <c r="Q14" s="2"/>
      <c r="R14" s="2"/>
      <c r="S14" s="2"/>
      <c r="T14" s="2"/>
      <c r="U14" s="7">
        <f>IF(OR(AO14="",J14="",AO14&lt;=0),"",(J14-AO14)/AO14)</f>
        <v>0.193032689095681</v>
      </c>
      <c r="V14" s="7">
        <f>IF(OR(AO14="",N14="",AO14&lt;=0),"",(AO14-N14)/AO14)</f>
        <v>0.0694345025053686</v>
      </c>
      <c r="W14" s="19">
        <f>IF(OR(U14="",V14="",V14&lt;=0),"",U14/V14)</f>
        <v>2.78006872852234</v>
      </c>
      <c r="X14" s="5">
        <f>IF(OR(K14="",L14="",AP14=""),"",K14*L14-(E14*H14+IF(AND(AK14&lt;&gt;"",AL14&lt;&gt;""),AK14*AL14,0)+IF(AND(AM14&lt;&gt;"",AN14&lt;&gt;""),AM14*AN14,0))-IF(O14="",0,O14)-IF(P14="",0,P14))</f>
        <v>-2394</v>
      </c>
      <c r="Y14" s="7">
        <f>IF(OR(X14="",AP14=""),"",IF((E14*H14+IF(AND(AK14&lt;&gt;"",AL14&lt;&gt;""),AK14*AL14,0)+IF(AND(AM14&lt;&gt;"",AN14&lt;&gt;""),AM14*AN14,0))+IF(O14="",0,O14)&lt;=0,"",X14/((E14*H14+IF(AND(AK14&lt;&gt;"",AL14&lt;&gt;""),AK14*AL14,0)+IF(AND(AM14&lt;&gt;"",AN14&lt;&gt;""),AM14*AN14,0))+IF(O14="",0,O14))))</f>
        <v>-0.0816034359341445</v>
      </c>
      <c r="Z14" s="7">
        <f>IF(OR(AE14="",多次统计数据!$B$8=""),"",AE14-多次统计数据!$B$8)</f>
        <v>-0.0937333427787562</v>
      </c>
      <c r="AA14" s="11">
        <f>IF(OR(I14="",M14="",M14&lt;I14),"",M14-I14)</f>
        <v>66</v>
      </c>
      <c r="AB14" s="7">
        <f>IF(OR(A14="",多次统计数据!$B$8="",多次统计数据!$B$6&lt;=0,多次统计数据!$B$6&gt;=1),"",1-POWER(1+多次统计数据!$B$8,-多次统计数据!$B$6/(1-多次统计数据!$B$6)))</f>
        <v>0.0530166567311223</v>
      </c>
      <c r="AC14" s="8" t="str">
        <f>IF(OR(AB14="",多次统计数据!$B$9=""),"",IF(多次统计数据!$B$9&lt;AB14,"低于上限","达到或超过上限"))</f>
        <v>低于上限</v>
      </c>
      <c r="AD14" s="2"/>
      <c r="AE14" s="7">
        <f>IF(OR(X14="",C14="",C14&lt;=0),"",X14/C14)</f>
        <v>-0.0211847158557952</v>
      </c>
      <c r="AG14" s="2" t="s">
        <v>60</v>
      </c>
      <c r="AH14" s="2" t="s">
        <v>61</v>
      </c>
      <c r="AI14" s="2"/>
      <c r="AJ14" s="8" t="str">
        <f>IF(OR(AG14="",AH14=""),"",IF(OR(AND(AG14="短期博反弹",OR(AH14="1～3个交易日",AH14="4～10个交易日")),AND(AG14="突破冲新高",OR(AH14="4～10个交易日",AH14="11～20个交易日")),AND(AG14="趋势波段",OR(AH14="11～20个交易日",AH14="21～60个交易日",AH14="60个交易日以上"))),"匹配","周期与交易预期不匹配，请重新确认"))</f>
        <v>匹配</v>
      </c>
      <c r="AK14" s="10"/>
      <c r="AL14" s="12"/>
      <c r="AM14" s="10"/>
      <c r="AN14" s="12"/>
      <c r="AO14" s="5">
        <f>IF(OR(A14="",H14="",H14&lt;=0),"",(E14*H14+IF(AND(AK14&lt;&gt;"",AL14&lt;&gt;""),AK14*AL14,0)+IF(AND(AM14&lt;&gt;"",AN14&lt;&gt;""),AM14*AN14,0))/AP14)</f>
        <v>41.91</v>
      </c>
      <c r="AP14" s="11">
        <f>IF(OR(A14="",H14="",H14&lt;=0),"",H14+IF(AL14="",0,AL14)+IF(AN14="",0,AN14))</f>
        <v>700</v>
      </c>
      <c r="AQ14" s="5">
        <f>IF(A14="","",IF(M14&lt;&gt;"",0,IF(OR(H14="",N14=""),"",MAX(E14-MAX(N14,IFERROR(SUMPRODUCT(MAX(((持仓跟踪!$A$2:$A$157="每日跟踪")*(持仓跟踪!$B$2:$B$157=A14))*持仓跟踪!$S$2:$S$157)),0)),0)*H14+IF(OR(AK14="",AL14=""),0,MAX(AK14-MAX(N14,IFERROR(SUMPRODUCT(MAX(((持仓跟踪!$A$2:$A$157="每日跟踪")*(持仓跟踪!$B$2:$B$157=A14))*持仓跟踪!$S$2:$S$157)),0)),0)*AL14)+IF(OR(AM14="",AN14=""),0,MAX(AM14-MAX(N14,IFERROR(SUMPRODUCT(MAX(((持仓跟踪!$A$2:$A$157="每日跟踪")*(持仓跟踪!$B$2:$B$157=A14))*持仓跟踪!$S$2:$S$157)),0)),0)*AN14))))</f>
        <v>0</v>
      </c>
      <c r="AR14" s="8" t="str">
        <f ca="1">IF(A14="","",IF(OR(E14="",H14=""),"违规：第一批价格或股数缺失",IF(OR(AND(AK14="",AL14&lt;&gt;""),AND(AK14&lt;&gt;"",AL14="")),"违规：第二批价格与股数须成对填写",IF(OR(AND(AM14="",AN14&lt;&gt;""),AND(AM14&lt;&gt;"",AN14="")),"违规：第三批价格与股数须成对填写",IF(AND(OR(AM14&lt;&gt;"",AN14&lt;&gt;""),OR(AK14="",AL14="")),"违规：必须先完成第二批",IF(OR(H14&lt;=0,H14&lt;&gt;INT(H14),MOD(H14,100)&lt;&gt;0,AND(AL14&lt;&gt;"",OR(AL14&lt;=0,AL14&lt;&gt;INT(AL14),MOD(AL14,100)&lt;&gt;0)),AND(AN14&lt;&gt;"",OR(AN14&lt;=0,AN14&lt;&gt;INT(AN14),MOD(AN14,100)&lt;&gt;0))),"违规：股数须为100股整数倍",IF(AND(OR(AL14&lt;&gt;"",AN14&lt;&gt;""),OR(_LockStatus="已锁仓",_LockStatus="解锁信息不完整")),"违规：锁仓期间禁止加仓",IF(AQ14&gt;C14*D14,"违规：超过单笔风险上限",IF(SUM($AQ$2:$AQ$98)&gt;账户数据!$B$7,"违规：超过账户风险上限","通过")))))))))</f>
        <v>通过</v>
      </c>
    </row>
    <row r="15" ht="17" spans="1:44">
      <c r="A15" s="2">
        <v>14</v>
      </c>
      <c r="B15" s="2" t="s">
        <v>59</v>
      </c>
      <c r="C15" s="10">
        <v>110612</v>
      </c>
      <c r="D15" s="6">
        <v>0.02</v>
      </c>
      <c r="E15" s="10">
        <v>42.06</v>
      </c>
      <c r="F15" s="8">
        <f>IF(OR(C15="",D15="",E15="",N15="",C15&lt;=0,D15&lt;=0,E15&lt;=N15),"",ROUNDDOWN((C15*D15)/(E15-N15)/100,0)*100)</f>
        <v>700</v>
      </c>
      <c r="G15" s="8" t="str">
        <f ca="1">IF(A15="","",IF(H15&lt;&gt;"","已开仓",IF(账户数据!$B$23="已锁仓","禁止开仓：连续亏损达到上限",IF(账户数据!$B$23="解锁信息不完整","禁止开仓：请完整填写解锁信息",IF(OR(F15="",E15="",N15="",E15&lt;=N15,账户数据!$B$7=""),"",IF(OR(AG15="",AH15="",AI15=""),"禁止开仓：交易预期未填写完整",IF(COUNTIFS(持仓跟踪!$A$2:$A$157,"止损计划",持仓跟踪!$B$2:$B$157,A15,持仓跟踪!$AC$2:$AC$157,"计划有效")=0,"禁止开仓：请先填写止损计划",IF(账户数据!$B$9+F15*(E15-N15)&gt;=账户数据!$B$7,"禁止开仓：风险额度不足",IF(AJ15="周期与交易预期不匹配，请重新确认",IF(账户数据!$B$23="接近锁仓","允许开仓（接近锁仓；周期需复核）","允许开仓（周期需复核）"),IF(账户数据!$B$23="接近锁仓","允许开仓（接近锁仓）","允许开仓"))))))))))</f>
        <v>已开仓</v>
      </c>
      <c r="H15" s="2">
        <v>700</v>
      </c>
      <c r="I15" s="13">
        <v>43542</v>
      </c>
      <c r="J15" s="10">
        <v>48</v>
      </c>
      <c r="K15" s="5">
        <v>41.91</v>
      </c>
      <c r="L15" s="8">
        <f>IF(A15="","",IFERROR(LOOKUP(2,1/((持仓跟踪!$B$2:$B$157=A15)*(持仓跟踪!$X$2:$X$157="执行卖出")*(持仓跟踪!$Z$2:$Z$157&lt;&gt;"")),持仓跟踪!$Z$2:$Z$157),""))</f>
        <v>700</v>
      </c>
      <c r="M15" s="18">
        <f>IF(A15="","",IFERROR(LOOKUP(2,1/((持仓跟踪!$B$2:$B$157=A15)*(持仓跟踪!$X$2:$X$157="执行卖出")*(持仓跟踪!$H$2:$H$157&lt;&gt;"")),持仓跟踪!$H$2:$H$157),""))</f>
        <v>43577</v>
      </c>
      <c r="N15" s="10">
        <v>39</v>
      </c>
      <c r="O15" s="10"/>
      <c r="P15" s="5" t="str">
        <f>IF(A15="","",IFERROR(LOOKUP(2,1/((持仓跟踪!$B$2:$B$157=A15)*(持仓跟踪!$X$2:$X$157="执行卖出")*(持仓跟踪!$AA$2:$AA$157&lt;&gt;"")),持仓跟踪!$AA$2:$AA$157),""))</f>
        <v/>
      </c>
      <c r="Q15" s="2"/>
      <c r="R15" s="2"/>
      <c r="S15" s="2"/>
      <c r="T15" s="2"/>
      <c r="U15" s="7">
        <f>IF(OR(AO15="",J15="",AO15&lt;=0),"",(J15-AO15)/AO15)</f>
        <v>0.141226818830242</v>
      </c>
      <c r="V15" s="7">
        <f>IF(OR(AO15="",N15="",AO15&lt;=0),"",(AO15-N15)/AO15)</f>
        <v>0.072753209700428</v>
      </c>
      <c r="W15" s="19">
        <f>IF(OR(U15="",V15="",V15&lt;=0),"",U15/V15)</f>
        <v>1.94117647058823</v>
      </c>
      <c r="X15" s="5">
        <f>IF(OR(K15="",L15="",AP15=""),"",K15*L15-(E15*H15+IF(AND(AK15&lt;&gt;"",AL15&lt;&gt;""),AK15*AL15,0)+IF(AND(AM15&lt;&gt;"",AN15&lt;&gt;""),AM15*AN15,0))-IF(O15="",0,O15)-IF(P15="",0,P15))</f>
        <v>-105.000000000004</v>
      </c>
      <c r="Y15" s="7">
        <f>IF(OR(X15="",AP15=""),"",IF((E15*H15+IF(AND(AK15&lt;&gt;"",AL15&lt;&gt;""),AK15*AL15,0)+IF(AND(AM15&lt;&gt;"",AN15&lt;&gt;""),AM15*AN15,0))+IF(O15="",0,O15)&lt;=0,"",X15/((E15*H15+IF(AND(AK15&lt;&gt;"",AL15&lt;&gt;""),AK15*AL15,0)+IF(AND(AM15&lt;&gt;"",AN15&lt;&gt;""),AM15*AN15,0))+IF(O15="",0,O15))))</f>
        <v>-0.00356633380884463</v>
      </c>
      <c r="Z15" s="7">
        <f>IF(OR(AE15="",多次统计数据!$B$8=""),"",AE15-多次统计数据!$B$8)</f>
        <v>-0.0734978910172726</v>
      </c>
      <c r="AA15" s="11">
        <f>IF(OR(I15="",M15="",M15&lt;I15),"",M15-I15)</f>
        <v>35</v>
      </c>
      <c r="AB15" s="7">
        <f>IF(OR(A15="",多次统计数据!$B$8="",多次统计数据!$B$6&lt;=0,多次统计数据!$B$6&gt;=1),"",1-POWER(1+多次统计数据!$B$8,-多次统计数据!$B$6/(1-多次统计数据!$B$6)))</f>
        <v>0.0530166567311223</v>
      </c>
      <c r="AC15" s="8" t="str">
        <f>IF(OR(AB15="",多次统计数据!$B$9=""),"",IF(多次统计数据!$B$9&lt;AB15,"低于上限","达到或超过上限"))</f>
        <v>低于上限</v>
      </c>
      <c r="AD15" s="2"/>
      <c r="AE15" s="7">
        <f>IF(OR(X15="",C15="",C15&lt;=0),"",X15/C15)</f>
        <v>-0.000949264094311681</v>
      </c>
      <c r="AG15" s="2" t="s">
        <v>60</v>
      </c>
      <c r="AH15" s="2" t="s">
        <v>61</v>
      </c>
      <c r="AI15" s="2"/>
      <c r="AJ15" s="8" t="str">
        <f>IF(OR(AG15="",AH15=""),"",IF(OR(AND(AG15="短期博反弹",OR(AH15="1～3个交易日",AH15="4～10个交易日")),AND(AG15="突破冲新高",OR(AH15="4～10个交易日",AH15="11～20个交易日")),AND(AG15="趋势波段",OR(AH15="11～20个交易日",AH15="21～60个交易日",AH15="60个交易日以上"))),"匹配","周期与交易预期不匹配，请重新确认"))</f>
        <v>匹配</v>
      </c>
      <c r="AK15" s="10"/>
      <c r="AL15" s="12"/>
      <c r="AM15" s="10"/>
      <c r="AN15" s="12"/>
      <c r="AO15" s="5">
        <f>IF(OR(A15="",H15="",H15&lt;=0),"",(E15*H15+IF(AND(AK15&lt;&gt;"",AL15&lt;&gt;""),AK15*AL15,0)+IF(AND(AM15&lt;&gt;"",AN15&lt;&gt;""),AM15*AN15,0))/AP15)</f>
        <v>42.06</v>
      </c>
      <c r="AP15" s="11">
        <f>IF(OR(A15="",H15="",H15&lt;=0),"",H15+IF(AL15="",0,AL15)+IF(AN15="",0,AN15))</f>
        <v>700</v>
      </c>
      <c r="AQ15" s="5">
        <f>IF(A15="","",IF(M15&lt;&gt;"",0,IF(OR(H15="",N15=""),"",MAX(E15-MAX(N15,IFERROR(SUMPRODUCT(MAX(((持仓跟踪!$A$2:$A$157="每日跟踪")*(持仓跟踪!$B$2:$B$157=A15))*持仓跟踪!$S$2:$S$157)),0)),0)*H15+IF(OR(AK15="",AL15=""),0,MAX(AK15-MAX(N15,IFERROR(SUMPRODUCT(MAX(((持仓跟踪!$A$2:$A$157="每日跟踪")*(持仓跟踪!$B$2:$B$157=A15))*持仓跟踪!$S$2:$S$157)),0)),0)*AL15)+IF(OR(AM15="",AN15=""),0,MAX(AM15-MAX(N15,IFERROR(SUMPRODUCT(MAX(((持仓跟踪!$A$2:$A$157="每日跟踪")*(持仓跟踪!$B$2:$B$157=A15))*持仓跟踪!$S$2:$S$157)),0)),0)*AN15))))</f>
        <v>0</v>
      </c>
      <c r="AR15" s="8" t="str">
        <f ca="1">IF(A15="","",IF(OR(E15="",H15=""),"违规：第一批价格或股数缺失",IF(OR(AND(AK15="",AL15&lt;&gt;""),AND(AK15&lt;&gt;"",AL15="")),"违规：第二批价格与股数须成对填写",IF(OR(AND(AM15="",AN15&lt;&gt;""),AND(AM15&lt;&gt;"",AN15="")),"违规：第三批价格与股数须成对填写",IF(AND(OR(AM15&lt;&gt;"",AN15&lt;&gt;""),OR(AK15="",AL15="")),"违规：必须先完成第二批",IF(OR(H15&lt;=0,H15&lt;&gt;INT(H15),MOD(H15,100)&lt;&gt;0,AND(AL15&lt;&gt;"",OR(AL15&lt;=0,AL15&lt;&gt;INT(AL15),MOD(AL15,100)&lt;&gt;0)),AND(AN15&lt;&gt;"",OR(AN15&lt;=0,AN15&lt;&gt;INT(AN15),MOD(AN15,100)&lt;&gt;0))),"违规：股数须为100股整数倍",IF(AND(OR(AL15&lt;&gt;"",AN15&lt;&gt;""),OR(_LockStatus="已锁仓",_LockStatus="解锁信息不完整")),"违规：锁仓期间禁止加仓",IF(AQ15&gt;C15*D15,"违规：超过单笔风险上限",IF(SUM($AQ$2:$AQ$98)&gt;账户数据!$B$7,"违规：超过账户风险上限","通过")))))))))</f>
        <v>通过</v>
      </c>
    </row>
    <row r="16" ht="17" spans="1:44">
      <c r="A16" s="2">
        <v>15</v>
      </c>
      <c r="B16" s="2" t="s">
        <v>59</v>
      </c>
      <c r="C16" s="10">
        <v>110507</v>
      </c>
      <c r="D16" s="6">
        <v>0.02</v>
      </c>
      <c r="E16" s="10">
        <v>48.86</v>
      </c>
      <c r="F16" s="8">
        <f>IF(OR(C16="",D16="",E16="",N16="",C16&lt;=0,D16&lt;=0,E16&lt;=N16),"",ROUNDDOWN((C16*D16)/(E16-N16)/100,0)*100)</f>
        <v>1600</v>
      </c>
      <c r="G16" s="8" t="str">
        <f ca="1">IF(A16="","",IF(H16&lt;&gt;"","已开仓",IF(账户数据!$B$23="已锁仓","禁止开仓：连续亏损达到上限",IF(账户数据!$B$23="解锁信息不完整","禁止开仓：请完整填写解锁信息",IF(OR(F16="",E16="",N16="",E16&lt;=N16,账户数据!$B$7=""),"",IF(OR(AG16="",AH16="",AI16=""),"禁止开仓：交易预期未填写完整",IF(COUNTIFS(持仓跟踪!$A$2:$A$157,"止损计划",持仓跟踪!$B$2:$B$157,A16,持仓跟踪!$AC$2:$AC$157,"计划有效")=0,"禁止开仓：请先填写止损计划",IF(账户数据!$B$9+F16*(E16-N16)&gt;=账户数据!$B$7,"禁止开仓：风险额度不足",IF(AJ16="周期与交易预期不匹配，请重新确认",IF(账户数据!$B$23="接近锁仓","允许开仓（接近锁仓；周期需复核）","允许开仓（周期需复核）"),IF(账户数据!$B$23="接近锁仓","允许开仓（接近锁仓）","允许开仓"))))))))))</f>
        <v>已开仓</v>
      </c>
      <c r="H16" s="2">
        <v>1600</v>
      </c>
      <c r="I16" s="13">
        <v>43696</v>
      </c>
      <c r="J16" s="10">
        <v>50</v>
      </c>
      <c r="K16" s="5">
        <f>IF(A16="","",IFERROR(LOOKUP(2,1/((持仓跟踪!$B$2:$B$157=A16)*(持仓跟踪!$X$2:$X$157="执行卖出")*(持仓跟踪!$Y$2:$Y$157&lt;&gt;"")),持仓跟踪!$Y$2:$Y$157),""))</f>
        <v>58.41</v>
      </c>
      <c r="L16" s="8">
        <f>IF(A16="","",IFERROR(LOOKUP(2,1/((持仓跟踪!$B$2:$B$157=A16)*(持仓跟踪!$X$2:$X$157="执行卖出")*(持仓跟踪!$Z$2:$Z$157&lt;&gt;"")),持仓跟踪!$Z$2:$Z$157),""))</f>
        <v>1600</v>
      </c>
      <c r="M16" s="18">
        <f>IF(A16="","",IFERROR(LOOKUP(2,1/((持仓跟踪!$B$2:$B$157=A16)*(持仓跟踪!$X$2:$X$157="执行卖出")*(持仓跟踪!$H$2:$H$157&lt;&gt;"")),持仓跟踪!$H$2:$H$157),""))</f>
        <v>43798</v>
      </c>
      <c r="N16" s="10">
        <v>47.5</v>
      </c>
      <c r="O16" s="10"/>
      <c r="P16" s="5" t="str">
        <f>IF(A16="","",IFERROR(LOOKUP(2,1/((持仓跟踪!$B$2:$B$157=A16)*(持仓跟踪!$X$2:$X$157="执行卖出")*(持仓跟踪!$AA$2:$AA$157&lt;&gt;"")),持仓跟踪!$AA$2:$AA$157),""))</f>
        <v/>
      </c>
      <c r="Q16" s="2"/>
      <c r="R16" s="2"/>
      <c r="S16" s="2"/>
      <c r="T16" s="2"/>
      <c r="U16" s="7">
        <f>IF(OR(AO16="",J16="",AO16&lt;=0),"",(J16-AO16)/AO16)</f>
        <v>0.0233319688907082</v>
      </c>
      <c r="V16" s="7">
        <f>IF(OR(AO16="",N16="",AO16&lt;=0),"",(AO16-N16)/AO16)</f>
        <v>0.0278346295538273</v>
      </c>
      <c r="W16" s="19">
        <f>IF(OR(U16="",V16="",V16&lt;=0),"",U16/V16)</f>
        <v>0.838235294117648</v>
      </c>
      <c r="X16" s="5">
        <f>IF(OR(K16="",L16="",AP16=""),"",K16*L16-(E16*H16+IF(AND(AK16&lt;&gt;"",AL16&lt;&gt;""),AK16*AL16,0)+IF(AND(AM16&lt;&gt;"",AN16&lt;&gt;""),AM16*AN16,0))-IF(O16="",0,O16)-IF(P16="",0,P16))</f>
        <v>15280</v>
      </c>
      <c r="Y16" s="7">
        <f>IF(OR(X16="",AP16=""),"",IF((E16*H16+IF(AND(AK16&lt;&gt;"",AL16&lt;&gt;""),AK16*AL16,0)+IF(AND(AM16&lt;&gt;"",AN16&lt;&gt;""),AM16*AN16,0))+IF(O16="",0,O16)&lt;=0,"",X16/((E16*H16+IF(AND(AK16&lt;&gt;"",AL16&lt;&gt;""),AK16*AL16,0)+IF(AND(AM16&lt;&gt;"",AN16&lt;&gt;""),AM16*AN16,0))+IF(O16="",0,O16))))</f>
        <v>0.195456406058125</v>
      </c>
      <c r="Z16" s="7">
        <f>IF(OR(AE16="",多次统计数据!$B$8=""),"",AE16-多次统计数据!$B$8)</f>
        <v>0.0657231567649502</v>
      </c>
      <c r="AA16" s="11">
        <f>IF(OR(I16="",M16="",M16&lt;I16),"",M16-I16)</f>
        <v>102</v>
      </c>
      <c r="AB16" s="7">
        <f>IF(OR(A16="",多次统计数据!$B$8="",多次统计数据!$B$6&lt;=0,多次统计数据!$B$6&gt;=1),"",1-POWER(1+多次统计数据!$B$8,-多次统计数据!$B$6/(1-多次统计数据!$B$6)))</f>
        <v>0.0530166567311223</v>
      </c>
      <c r="AC16" s="8" t="str">
        <f>IF(OR(AB16="",多次统计数据!$B$9=""),"",IF(多次统计数据!$B$9&lt;AB16,"低于上限","达到或超过上限"))</f>
        <v>低于上限</v>
      </c>
      <c r="AD16" s="2" t="s">
        <v>45</v>
      </c>
      <c r="AE16" s="7">
        <f>IF(OR(X16="",C16="",C16&lt;=0),"",X16/C16)</f>
        <v>0.138271783687911</v>
      </c>
      <c r="AG16" s="2" t="s">
        <v>60</v>
      </c>
      <c r="AH16" s="2" t="s">
        <v>47</v>
      </c>
      <c r="AI16" s="2"/>
      <c r="AJ16" s="8" t="str">
        <f>IF(OR(AG16="",AH16=""),"",IF(OR(AND(AG16="短期博反弹",OR(AH16="1～3个交易日",AH16="4～10个交易日")),AND(AG16="突破冲新高",OR(AH16="4～10个交易日",AH16="11～20个交易日")),AND(AG16="趋势波段",OR(AH16="11～20个交易日",AH16="21～60个交易日",AH16="60个交易日以上"))),"匹配","周期与交易预期不匹配，请重新确认"))</f>
        <v>匹配</v>
      </c>
      <c r="AK16" s="10"/>
      <c r="AL16" s="12"/>
      <c r="AM16" s="10"/>
      <c r="AN16" s="12"/>
      <c r="AO16" s="5">
        <f>IF(OR(A16="",H16="",H16&lt;=0),"",(E16*H16+IF(AND(AK16&lt;&gt;"",AL16&lt;&gt;""),AK16*AL16,0)+IF(AND(AM16&lt;&gt;"",AN16&lt;&gt;""),AM16*AN16,0))/AP16)</f>
        <v>48.86</v>
      </c>
      <c r="AP16" s="11">
        <f>IF(OR(A16="",H16="",H16&lt;=0),"",H16+IF(AL16="",0,AL16)+IF(AN16="",0,AN16))</f>
        <v>1600</v>
      </c>
      <c r="AQ16" s="5">
        <f>IF(A16="","",IF(M16&lt;&gt;"",0,IF(OR(H16="",N16=""),"",MAX(E16-MAX(N16,IFERROR(SUMPRODUCT(MAX(((持仓跟踪!$A$2:$A$157="每日跟踪")*(持仓跟踪!$B$2:$B$157=A16))*持仓跟踪!$S$2:$S$157)),0)),0)*H16+IF(OR(AK16="",AL16=""),0,MAX(AK16-MAX(N16,IFERROR(SUMPRODUCT(MAX(((持仓跟踪!$A$2:$A$157="每日跟踪")*(持仓跟踪!$B$2:$B$157=A16))*持仓跟踪!$S$2:$S$157)),0)),0)*AL16)+IF(OR(AM16="",AN16=""),0,MAX(AM16-MAX(N16,IFERROR(SUMPRODUCT(MAX(((持仓跟踪!$A$2:$A$157="每日跟踪")*(持仓跟踪!$B$2:$B$157=A16))*持仓跟踪!$S$2:$S$157)),0)),0)*AN16))))</f>
        <v>0</v>
      </c>
      <c r="AR16" s="8" t="str">
        <f ca="1">IF(A16="","",IF(OR(E16="",H16=""),"违规：第一批价格或股数缺失",IF(OR(AND(AK16="",AL16&lt;&gt;""),AND(AK16&lt;&gt;"",AL16="")),"违规：第二批价格与股数须成对填写",IF(OR(AND(AM16="",AN16&lt;&gt;""),AND(AM16&lt;&gt;"",AN16="")),"违规：第三批价格与股数须成对填写",IF(AND(OR(AM16&lt;&gt;"",AN16&lt;&gt;""),OR(AK16="",AL16="")),"违规：必须先完成第二批",IF(OR(H16&lt;=0,H16&lt;&gt;INT(H16),MOD(H16,100)&lt;&gt;0,AND(AL16&lt;&gt;"",OR(AL16&lt;=0,AL16&lt;&gt;INT(AL16),MOD(AL16,100)&lt;&gt;0)),AND(AN16&lt;&gt;"",OR(AN16&lt;=0,AN16&lt;&gt;INT(AN16),MOD(AN16,100)&lt;&gt;0))),"违规：股数须为100股整数倍",IF(AND(OR(AL16&lt;&gt;"",AN16&lt;&gt;""),OR(_LockStatus="已锁仓",_LockStatus="解锁信息不完整")),"违规：锁仓期间禁止加仓",IF(AQ16&gt;C16*D16,"违规：超过单笔风险上限",IF(SUM($AQ$2:$AQ$98)&gt;账户数据!$B$7,"违规：超过账户风险上限","通过")))))))))</f>
        <v>通过</v>
      </c>
    </row>
    <row r="17" ht="17" spans="1:44">
      <c r="A17" s="2">
        <v>16</v>
      </c>
      <c r="B17" s="2" t="s">
        <v>59</v>
      </c>
      <c r="C17" s="10">
        <v>125787</v>
      </c>
      <c r="D17" s="6">
        <v>0.02</v>
      </c>
      <c r="E17" s="10">
        <v>62.26</v>
      </c>
      <c r="F17" s="8">
        <f>IF(OR(C17="",D17="",E17="",N17="",C17&lt;=0,D17&lt;=0,E17&lt;=N17),"",ROUNDDOWN((C17*D17)/(E17-N17)/100,0)*100)</f>
        <v>1100</v>
      </c>
      <c r="G17" s="8" t="str">
        <f ca="1">IF(A17="","",IF(H17&lt;&gt;"","已开仓",IF(账户数据!$B$23="已锁仓","禁止开仓：连续亏损达到上限",IF(账户数据!$B$23="解锁信息不完整","禁止开仓：请完整填写解锁信息",IF(OR(F17="",E17="",N17="",E17&lt;=N17,账户数据!$B$7=""),"",IF(OR(AG17="",AH17="",AI17=""),"禁止开仓：交易预期未填写完整",IF(COUNTIFS(持仓跟踪!$A$2:$A$157,"止损计划",持仓跟踪!$B$2:$B$157,A17,持仓跟踪!$AC$2:$AC$157,"计划有效")=0,"禁止开仓：请先填写止损计划",IF(账户数据!$B$9+F17*(E17-N17)&gt;=账户数据!$B$7,"禁止开仓：风险额度不足",IF(AJ17="周期与交易预期不匹配，请重新确认",IF(账户数据!$B$23="接近锁仓","允许开仓（接近锁仓；周期需复核）","允许开仓（周期需复核）"),IF(账户数据!$B$23="接近锁仓","允许开仓（接近锁仓）","允许开仓"))))))))))</f>
        <v>已开仓</v>
      </c>
      <c r="H17" s="2">
        <v>1100</v>
      </c>
      <c r="I17" s="13">
        <v>43874</v>
      </c>
      <c r="J17" s="10">
        <v>70</v>
      </c>
      <c r="K17" s="5">
        <f>IF(A17="","",IFERROR(LOOKUP(2,1/((持仓跟踪!$B$2:$B$157=A17)*(持仓跟踪!$X$2:$X$157="执行卖出")*(持仓跟踪!$Y$2:$Y$157&lt;&gt;"")),持仓跟踪!$Y$2:$Y$157),""))</f>
        <v>58.95</v>
      </c>
      <c r="L17" s="8">
        <f>IF(A17="","",IFERROR(LOOKUP(2,1/((持仓跟踪!$B$2:$B$157=A17)*(持仓跟踪!$X$2:$X$157="执行卖出")*(持仓跟踪!$Z$2:$Z$157&lt;&gt;"")),持仓跟踪!$Z$2:$Z$157),""))</f>
        <v>1100</v>
      </c>
      <c r="M17" s="18">
        <f>IF(A17="","",IFERROR(LOOKUP(2,1/((持仓跟踪!$B$2:$B$157=A17)*(持仓跟踪!$X$2:$X$157="执行卖出")*(持仓跟踪!$H$2:$H$157&lt;&gt;"")),持仓跟踪!$H$2:$H$157),""))</f>
        <v>43887</v>
      </c>
      <c r="N17" s="10">
        <v>60</v>
      </c>
      <c r="O17" s="10"/>
      <c r="P17" s="5" t="str">
        <f>IF(A17="","",IFERROR(LOOKUP(2,1/((持仓跟踪!$B$2:$B$157=A17)*(持仓跟踪!$X$2:$X$157="执行卖出")*(持仓跟踪!$AA$2:$AA$157&lt;&gt;"")),持仓跟踪!$AA$2:$AA$157),""))</f>
        <v/>
      </c>
      <c r="Q17" s="2"/>
      <c r="R17" s="2"/>
      <c r="S17" s="2"/>
      <c r="T17" s="2"/>
      <c r="U17" s="7">
        <f>IF(OR(AO17="",J17="",AO17&lt;=0),"",(J17-AO17)/AO17)</f>
        <v>0.12431737873434</v>
      </c>
      <c r="V17" s="7">
        <f>IF(OR(AO17="",N17="",AO17&lt;=0),"",(AO17-N17)/AO17)</f>
        <v>0.0362993896562801</v>
      </c>
      <c r="W17" s="19">
        <f>IF(OR(U17="",V17="",V17&lt;=0),"",U17/V17)</f>
        <v>3.42477876106195</v>
      </c>
      <c r="X17" s="5">
        <f>IF(OR(K17="",L17="",AP17=""),"",K17*L17-(E17*H17+IF(AND(AK17&lt;&gt;"",AL17&lt;&gt;""),AK17*AL17,0)+IF(AND(AM17&lt;&gt;"",AN17&lt;&gt;""),AM17*AN17,0))-IF(O17="",0,O17)-IF(P17="",0,P17))</f>
        <v>-3641</v>
      </c>
      <c r="Y17" s="7">
        <f>IF(OR(X17="",AP17=""),"",IF((E17*H17+IF(AND(AK17&lt;&gt;"",AL17&lt;&gt;""),AK17*AL17,0)+IF(AND(AM17&lt;&gt;"",AN17&lt;&gt;""),AM17*AN17,0))+IF(O17="",0,O17)&lt;=0,"",X17/((E17*H17+IF(AND(AK17&lt;&gt;"",AL17&lt;&gt;""),AK17*AL17,0)+IF(AND(AM17&lt;&gt;"",AN17&lt;&gt;""),AM17*AN17,0))+IF(O17="",0,O17))))</f>
        <v>-0.0531641503372952</v>
      </c>
      <c r="Z17" s="7">
        <f>IF(OR(AE17="",多次统计数据!$B$8=""),"",AE17-多次统计数据!$B$8)</f>
        <v>-0.101494384433674</v>
      </c>
      <c r="AA17" s="11">
        <f>IF(OR(I17="",M17="",M17&lt;I17),"",M17-I17)</f>
        <v>13</v>
      </c>
      <c r="AB17" s="7">
        <f>IF(OR(A17="",多次统计数据!$B$8="",多次统计数据!$B$6&lt;=0,多次统计数据!$B$6&gt;=1),"",1-POWER(1+多次统计数据!$B$8,-多次统计数据!$B$6/(1-多次统计数据!$B$6)))</f>
        <v>0.0530166567311223</v>
      </c>
      <c r="AC17" s="8" t="str">
        <f>IF(OR(AB17="",多次统计数据!$B$9=""),"",IF(多次统计数据!$B$9&lt;AB17,"低于上限","达到或超过上限"))</f>
        <v>低于上限</v>
      </c>
      <c r="AD17" s="2" t="s">
        <v>50</v>
      </c>
      <c r="AE17" s="7">
        <f>IF(OR(X17="",C17="",C17&lt;=0),"",X17/C17)</f>
        <v>-0.0289457575107126</v>
      </c>
      <c r="AG17" s="2" t="s">
        <v>60</v>
      </c>
      <c r="AH17" s="2" t="s">
        <v>47</v>
      </c>
      <c r="AI17" s="2"/>
      <c r="AJ17" s="8" t="str">
        <f>IF(OR(AG17="",AH17=""),"",IF(OR(AND(AG17="短期博反弹",OR(AH17="1～3个交易日",AH17="4～10个交易日")),AND(AG17="突破冲新高",OR(AH17="4～10个交易日",AH17="11～20个交易日")),AND(AG17="趋势波段",OR(AH17="11～20个交易日",AH17="21～60个交易日",AH17="60个交易日以上"))),"匹配","周期与交易预期不匹配，请重新确认"))</f>
        <v>匹配</v>
      </c>
      <c r="AK17" s="10"/>
      <c r="AL17" s="12"/>
      <c r="AM17" s="10"/>
      <c r="AN17" s="12"/>
      <c r="AO17" s="5">
        <f>IF(OR(A17="",H17="",H17&lt;=0),"",(E17*H17+IF(AND(AK17&lt;&gt;"",AL17&lt;&gt;""),AK17*AL17,0)+IF(AND(AM17&lt;&gt;"",AN17&lt;&gt;""),AM17*AN17,0))/AP17)</f>
        <v>62.26</v>
      </c>
      <c r="AP17" s="11">
        <f>IF(OR(A17="",H17="",H17&lt;=0),"",H17+IF(AL17="",0,AL17)+IF(AN17="",0,AN17))</f>
        <v>1100</v>
      </c>
      <c r="AQ17" s="5">
        <f>IF(A17="","",IF(M17&lt;&gt;"",0,IF(OR(H17="",N17=""),"",MAX(E17-MAX(N17,IFERROR(SUMPRODUCT(MAX(((持仓跟踪!$A$2:$A$157="每日跟踪")*(持仓跟踪!$B$2:$B$157=A17))*持仓跟踪!$S$2:$S$157)),0)),0)*H17+IF(OR(AK17="",AL17=""),0,MAX(AK17-MAX(N17,IFERROR(SUMPRODUCT(MAX(((持仓跟踪!$A$2:$A$157="每日跟踪")*(持仓跟踪!$B$2:$B$157=A17))*持仓跟踪!$S$2:$S$157)),0)),0)*AL17)+IF(OR(AM17="",AN17=""),0,MAX(AM17-MAX(N17,IFERROR(SUMPRODUCT(MAX(((持仓跟踪!$A$2:$A$157="每日跟踪")*(持仓跟踪!$B$2:$B$157=A17))*持仓跟踪!$S$2:$S$157)),0)),0)*AN17))))</f>
        <v>0</v>
      </c>
      <c r="AR17" s="8" t="str">
        <f ca="1">IF(A17="","",IF(OR(E17="",H17=""),"违规：第一批价格或股数缺失",IF(OR(AND(AK17="",AL17&lt;&gt;""),AND(AK17&lt;&gt;"",AL17="")),"违规：第二批价格与股数须成对填写",IF(OR(AND(AM17="",AN17&lt;&gt;""),AND(AM17&lt;&gt;"",AN17="")),"违规：第三批价格与股数须成对填写",IF(AND(OR(AM17&lt;&gt;"",AN17&lt;&gt;""),OR(AK17="",AL17="")),"违规：必须先完成第二批",IF(OR(H17&lt;=0,H17&lt;&gt;INT(H17),MOD(H17,100)&lt;&gt;0,AND(AL17&lt;&gt;"",OR(AL17&lt;=0,AL17&lt;&gt;INT(AL17),MOD(AL17,100)&lt;&gt;0)),AND(AN17&lt;&gt;"",OR(AN17&lt;=0,AN17&lt;&gt;INT(AN17),MOD(AN17,100)&lt;&gt;0))),"违规：股数须为100股整数倍",IF(AND(OR(AL17&lt;&gt;"",AN17&lt;&gt;""),OR(_LockStatus="已锁仓",_LockStatus="解锁信息不完整")),"违规：锁仓期间禁止加仓",IF(AQ17&gt;C17*D17,"违规：超过单笔风险上限",IF(SUM($AQ$2:$AQ$98)&gt;账户数据!$B$7,"违规：超过账户风险上限","通过")))))))))</f>
        <v>通过</v>
      </c>
    </row>
    <row r="18" ht="17" spans="1:44">
      <c r="A18" s="2">
        <v>17</v>
      </c>
      <c r="B18" s="2" t="s">
        <v>59</v>
      </c>
      <c r="C18" s="10">
        <v>122416</v>
      </c>
      <c r="D18" s="6">
        <v>0.02</v>
      </c>
      <c r="E18" s="10">
        <v>65.41</v>
      </c>
      <c r="F18" s="8">
        <f>IF(OR(C18="",D18="",E18="",N18="",C18&lt;=0,D18&lt;=0,E18&lt;=N18),"",ROUNDDOWN((C18*D18)/(E18-N18)/100,0)*100)</f>
        <v>1200</v>
      </c>
      <c r="G18" s="8" t="str">
        <f ca="1">IF(A18="","",IF(H18&lt;&gt;"","已开仓",IF(账户数据!$B$23="已锁仓","禁止开仓：连续亏损达到上限",IF(账户数据!$B$23="解锁信息不完整","禁止开仓：请完整填写解锁信息",IF(OR(F18="",E18="",N18="",E18&lt;=N18,账户数据!$B$7=""),"",IF(OR(AG18="",AH18="",AI18=""),"禁止开仓：交易预期未填写完整",IF(COUNTIFS(持仓跟踪!$A$2:$A$157,"止损计划",持仓跟踪!$B$2:$B$157,A18,持仓跟踪!$AC$2:$AC$157,"计划有效")=0,"禁止开仓：请先填写止损计划",IF(账户数据!$B$9+F18*(E18-N18)&gt;=账户数据!$B$7,"禁止开仓：风险额度不足",IF(AJ18="周期与交易预期不匹配，请重新确认",IF(账户数据!$B$23="接近锁仓","允许开仓（接近锁仓；周期需复核）","允许开仓（周期需复核）"),IF(账户数据!$B$23="接近锁仓","允许开仓（接近锁仓）","允许开仓"))))))))))</f>
        <v>已开仓</v>
      </c>
      <c r="H18" s="2">
        <v>1200</v>
      </c>
      <c r="I18" s="13">
        <v>43928</v>
      </c>
      <c r="J18" s="10">
        <v>70</v>
      </c>
      <c r="K18" s="5">
        <f>IF(A18="","",IFERROR(LOOKUP(2,1/((持仓跟踪!$B$2:$B$157=A18)*(持仓跟踪!$X$2:$X$157="执行卖出")*(持仓跟踪!$Y$2:$Y$157&lt;&gt;"")),持仓跟踪!$Y$2:$Y$157),""))</f>
        <v>63.61</v>
      </c>
      <c r="L18" s="8">
        <f>IF(A18="","",IFERROR(LOOKUP(2,1/((持仓跟踪!$B$2:$B$157=A18)*(持仓跟踪!$X$2:$X$157="执行卖出")*(持仓跟踪!$Z$2:$Z$157&lt;&gt;"")),持仓跟踪!$Z$2:$Z$157),""))</f>
        <v>1200</v>
      </c>
      <c r="M18" s="18">
        <f>IF(A18="","",IFERROR(LOOKUP(2,1/((持仓跟踪!$B$2:$B$157=A18)*(持仓跟踪!$X$2:$X$157="执行卖出")*(持仓跟踪!$H$2:$H$157&lt;&gt;"")),持仓跟踪!$H$2:$H$157),""))</f>
        <v>43950</v>
      </c>
      <c r="N18" s="10">
        <v>63.5</v>
      </c>
      <c r="O18" s="10"/>
      <c r="P18" s="5" t="str">
        <f>IF(A18="","",IFERROR(LOOKUP(2,1/((持仓跟踪!$B$2:$B$157=A18)*(持仓跟踪!$X$2:$X$157="执行卖出")*(持仓跟踪!$AA$2:$AA$157&lt;&gt;"")),持仓跟踪!$AA$2:$AA$157),""))</f>
        <v/>
      </c>
      <c r="Q18" s="2"/>
      <c r="R18" s="2"/>
      <c r="S18" s="2"/>
      <c r="T18" s="2"/>
      <c r="U18" s="7">
        <f>IF(OR(AO18="",J18="",AO18&lt;=0),"",(J18-AO18)/AO18)</f>
        <v>0.0701727564592571</v>
      </c>
      <c r="V18" s="7">
        <f>IF(OR(AO18="",N18="",AO18&lt;=0),"",(AO18-N18)/AO18)</f>
        <v>0.0292004280691025</v>
      </c>
      <c r="W18" s="19">
        <f>IF(OR(U18="",V18="",V18&lt;=0),"",U18/V18)</f>
        <v>2.40314136125655</v>
      </c>
      <c r="X18" s="5">
        <f>IF(OR(K18="",L18="",AP18=""),"",K18*L18-(E18*H18+IF(AND(AK18&lt;&gt;"",AL18&lt;&gt;""),AK18*AL18,0)+IF(AND(AM18&lt;&gt;"",AN18&lt;&gt;""),AM18*AN18,0))-IF(O18="",0,O18)-IF(P18="",0,P18))</f>
        <v>-2160</v>
      </c>
      <c r="Y18" s="7">
        <f>IF(OR(X18="",AP18=""),"",IF((E18*H18+IF(AND(AK18&lt;&gt;"",AL18&lt;&gt;""),AK18*AL18,0)+IF(AND(AM18&lt;&gt;"",AN18&lt;&gt;""),AM18*AN18,0))+IF(O18="",0,O18)&lt;=0,"",X18/((E18*H18+IF(AND(AK18&lt;&gt;"",AL18&lt;&gt;""),AK18*AL18,0)+IF(AND(AM18&lt;&gt;"",AN18&lt;&gt;""),AM18*AN18,0))+IF(O18="",0,O18))))</f>
        <v>-0.027518728023238</v>
      </c>
      <c r="Z18" s="7">
        <f>IF(OR(AE18="",多次统计数据!$B$8=""),"",AE18-多次统计数据!$B$8)</f>
        <v>-0.0901933792429191</v>
      </c>
      <c r="AA18" s="11">
        <f>IF(OR(I18="",M18="",M18&lt;I18),"",M18-I18)</f>
        <v>22</v>
      </c>
      <c r="AB18" s="7">
        <f>IF(OR(A18="",多次统计数据!$B$8="",多次统计数据!$B$6&lt;=0,多次统计数据!$B$6&gt;=1),"",1-POWER(1+多次统计数据!$B$8,-多次统计数据!$B$6/(1-多次统计数据!$B$6)))</f>
        <v>0.0530166567311223</v>
      </c>
      <c r="AC18" s="8" t="str">
        <f>IF(OR(AB18="",多次统计数据!$B$9=""),"",IF(多次统计数据!$B$9&lt;AB18,"低于上限","达到或超过上限"))</f>
        <v>低于上限</v>
      </c>
      <c r="AD18" s="2"/>
      <c r="AE18" s="7">
        <f>IF(OR(X18="",C18="",C18&lt;=0),"",X18/C18)</f>
        <v>-0.0176447523199582</v>
      </c>
      <c r="AG18" s="2" t="s">
        <v>60</v>
      </c>
      <c r="AH18" s="2" t="s">
        <v>47</v>
      </c>
      <c r="AI18" s="2"/>
      <c r="AJ18" s="8" t="str">
        <f>IF(OR(AG18="",AH18=""),"",IF(OR(AND(AG18="短期博反弹",OR(AH18="1～3个交易日",AH18="4～10个交易日")),AND(AG18="突破冲新高",OR(AH18="4～10个交易日",AH18="11～20个交易日")),AND(AG18="趋势波段",OR(AH18="11～20个交易日",AH18="21～60个交易日",AH18="60个交易日以上"))),"匹配","周期与交易预期不匹配，请重新确认"))</f>
        <v>匹配</v>
      </c>
      <c r="AK18" s="10"/>
      <c r="AL18" s="12"/>
      <c r="AM18" s="10"/>
      <c r="AN18" s="12"/>
      <c r="AO18" s="5">
        <f>IF(OR(A18="",H18="",H18&lt;=0),"",(E18*H18+IF(AND(AK18&lt;&gt;"",AL18&lt;&gt;""),AK18*AL18,0)+IF(AND(AM18&lt;&gt;"",AN18&lt;&gt;""),AM18*AN18,0))/AP18)</f>
        <v>65.41</v>
      </c>
      <c r="AP18" s="11">
        <f>IF(OR(A18="",H18="",H18&lt;=0),"",H18+IF(AL18="",0,AL18)+IF(AN18="",0,AN18))</f>
        <v>1200</v>
      </c>
      <c r="AQ18" s="5">
        <f>IF(A18="","",IF(M18&lt;&gt;"",0,IF(OR(H18="",N18=""),"",MAX(E18-MAX(N18,IFERROR(SUMPRODUCT(MAX(((持仓跟踪!$A$2:$A$157="每日跟踪")*(持仓跟踪!$B$2:$B$157=A18))*持仓跟踪!$S$2:$S$157)),0)),0)*H18+IF(OR(AK18="",AL18=""),0,MAX(AK18-MAX(N18,IFERROR(SUMPRODUCT(MAX(((持仓跟踪!$A$2:$A$157="每日跟踪")*(持仓跟踪!$B$2:$B$157=A18))*持仓跟踪!$S$2:$S$157)),0)),0)*AL18)+IF(OR(AM18="",AN18=""),0,MAX(AM18-MAX(N18,IFERROR(SUMPRODUCT(MAX(((持仓跟踪!$A$2:$A$157="每日跟踪")*(持仓跟踪!$B$2:$B$157=A18))*持仓跟踪!$S$2:$S$157)),0)),0)*AN18))))</f>
        <v>0</v>
      </c>
      <c r="AR18" s="8" t="str">
        <f ca="1">IF(A18="","",IF(OR(E18="",H18=""),"违规：第一批价格或股数缺失",IF(OR(AND(AK18="",AL18&lt;&gt;""),AND(AK18&lt;&gt;"",AL18="")),"违规：第二批价格与股数须成对填写",IF(OR(AND(AM18="",AN18&lt;&gt;""),AND(AM18&lt;&gt;"",AN18="")),"违规：第三批价格与股数须成对填写",IF(AND(OR(AM18&lt;&gt;"",AN18&lt;&gt;""),OR(AK18="",AL18="")),"违规：必须先完成第二批",IF(OR(H18&lt;=0,H18&lt;&gt;INT(H18),MOD(H18,100)&lt;&gt;0,AND(AL18&lt;&gt;"",OR(AL18&lt;=0,AL18&lt;&gt;INT(AL18),MOD(AL18,100)&lt;&gt;0)),AND(AN18&lt;&gt;"",OR(AN18&lt;=0,AN18&lt;&gt;INT(AN18),MOD(AN18,100)&lt;&gt;0))),"违规：股数须为100股整数倍",IF(AND(OR(AL18&lt;&gt;"",AN18&lt;&gt;""),OR(_LockStatus="已锁仓",_LockStatus="解锁信息不完整")),"违规：锁仓期间禁止加仓",IF(AQ18&gt;C18*D18,"违规：超过单笔风险上限",IF(SUM($AQ$2:$AQ$98)&gt;账户数据!$B$7,"违规：超过账户风险上限","通过")))))))))</f>
        <v>通过</v>
      </c>
    </row>
    <row r="19" ht="17" spans="1:44">
      <c r="A19" s="2">
        <v>18</v>
      </c>
      <c r="B19" s="2" t="s">
        <v>59</v>
      </c>
      <c r="C19" s="10">
        <v>119986</v>
      </c>
      <c r="D19" s="6">
        <v>0.02</v>
      </c>
      <c r="E19" s="10">
        <v>69.36</v>
      </c>
      <c r="F19" s="8">
        <f>IF(OR(C19="",D19="",E19="",N19="",C19&lt;=0,D19&lt;=0,E19&lt;=N19),"",ROUNDDOWN((C19*D19)/(E19-N19)/100,0)*100)</f>
        <v>1700</v>
      </c>
      <c r="G19" s="8" t="str">
        <f ca="1">IF(A19="","",IF(H19&lt;&gt;"","已开仓",IF(账户数据!$B$23="已锁仓","禁止开仓：连续亏损达到上限",IF(账户数据!$B$23="解锁信息不完整","禁止开仓：请完整填写解锁信息",IF(OR(F19="",E19="",N19="",E19&lt;=N19,账户数据!$B$7=""),"",IF(OR(AG19="",AH19="",AI19=""),"禁止开仓：交易预期未填写完整",IF(COUNTIFS(持仓跟踪!$A$2:$A$157,"止损计划",持仓跟踪!$B$2:$B$157,A19,持仓跟踪!$AC$2:$AC$157,"计划有效")=0,"禁止开仓：请先填写止损计划",IF(账户数据!$B$9+F19*(E19-N19)&gt;=账户数据!$B$7,"禁止开仓：风险额度不足",IF(AJ19="周期与交易预期不匹配，请重新确认",IF(账户数据!$B$23="接近锁仓","允许开仓（接近锁仓；周期需复核）","允许开仓（周期需复核）"),IF(账户数据!$B$23="接近锁仓","允许开仓（接近锁仓）","允许开仓"))))))))))</f>
        <v>已开仓</v>
      </c>
      <c r="H19" s="2">
        <v>500</v>
      </c>
      <c r="I19" s="13">
        <v>43992</v>
      </c>
      <c r="J19" s="10">
        <v>80</v>
      </c>
      <c r="K19" s="5">
        <f>IF(A19="","",IFERROR(LOOKUP(2,1/((持仓跟踪!$B$2:$B$157=A19)*(持仓跟踪!$X$2:$X$157="执行卖出")*(持仓跟踪!$Y$2:$Y$157&lt;&gt;"")),持仓跟踪!$Y$2:$Y$157),""))</f>
        <v>79.21</v>
      </c>
      <c r="L19" s="8">
        <f>IF(A19="","",IFERROR(LOOKUP(2,1/((持仓跟踪!$B$2:$B$157=A19)*(持仓跟踪!$X$2:$X$157="执行卖出")*(持仓跟踪!$Z$2:$Z$157&lt;&gt;"")),持仓跟踪!$Z$2:$Z$157),""))</f>
        <v>500</v>
      </c>
      <c r="M19" s="18">
        <f>IF(A19="","",IFERROR(LOOKUP(2,1/((持仓跟踪!$B$2:$B$157=A19)*(持仓跟踪!$X$2:$X$157="执行卖出")*(持仓跟踪!$H$2:$H$157&lt;&gt;"")),持仓跟踪!$H$2:$H$157),""))</f>
        <v>44028</v>
      </c>
      <c r="N19" s="10">
        <v>68</v>
      </c>
      <c r="O19" s="10"/>
      <c r="P19" s="5" t="str">
        <f>IF(A19="","",IFERROR(LOOKUP(2,1/((持仓跟踪!$B$2:$B$157=A19)*(持仓跟踪!$X$2:$X$157="执行卖出")*(持仓跟踪!$AA$2:$AA$157&lt;&gt;"")),持仓跟踪!$AA$2:$AA$157),""))</f>
        <v/>
      </c>
      <c r="Q19" s="2"/>
      <c r="R19" s="2"/>
      <c r="S19" s="2"/>
      <c r="T19" s="2"/>
      <c r="U19" s="7">
        <f>IF(OR(AO19="",J19="",AO19&lt;=0),"",(J19-AO19)/AO19)</f>
        <v>0.153402537485582</v>
      </c>
      <c r="V19" s="7">
        <f>IF(OR(AO19="",N19="",AO19&lt;=0),"",(AO19-N19)/AO19)</f>
        <v>0.0196078431372549</v>
      </c>
      <c r="W19" s="19">
        <f>IF(OR(U19="",V19="",V19&lt;=0),"",U19/V19)</f>
        <v>7.82352941176471</v>
      </c>
      <c r="X19" s="5">
        <f>IF(OR(K19="",L19="",AP19=""),"",K19*L19-(E19*H19+IF(AND(AK19&lt;&gt;"",AL19&lt;&gt;""),AK19*AL19,0)+IF(AND(AM19&lt;&gt;"",AN19&lt;&gt;""),AM19*AN19,0))-IF(O19="",0,O19)-IF(P19="",0,P19))</f>
        <v>4925</v>
      </c>
      <c r="Y19" s="7">
        <f>IF(OR(X19="",AP19=""),"",IF((E19*H19+IF(AND(AK19&lt;&gt;"",AL19&lt;&gt;""),AK19*AL19,0)+IF(AND(AM19&lt;&gt;"",AN19&lt;&gt;""),AM19*AN19,0))+IF(O19="",0,O19)&lt;=0,"",X19/((E19*H19+IF(AND(AK19&lt;&gt;"",AL19&lt;&gt;""),AK19*AL19,0)+IF(AND(AM19&lt;&gt;"",AN19&lt;&gt;""),AM19*AN19,0))+IF(O19="",0,O19))))</f>
        <v>0.142012687427912</v>
      </c>
      <c r="Z19" s="7">
        <f>IF(OR(AE19="",多次统计数据!$B$8=""),"",AE19-多次统计数据!$B$8)</f>
        <v>-0.031502171503162</v>
      </c>
      <c r="AA19" s="11">
        <f>IF(OR(I19="",M19="",M19&lt;I19),"",M19-I19)</f>
        <v>36</v>
      </c>
      <c r="AB19" s="7">
        <f>IF(OR(A19="",多次统计数据!$B$8="",多次统计数据!$B$6&lt;=0,多次统计数据!$B$6&gt;=1),"",1-POWER(1+多次统计数据!$B$8,-多次统计数据!$B$6/(1-多次统计数据!$B$6)))</f>
        <v>0.0530166567311223</v>
      </c>
      <c r="AC19" s="8" t="str">
        <f>IF(OR(AB19="",多次统计数据!$B$9=""),"",IF(多次统计数据!$B$9&lt;AB19,"低于上限","达到或超过上限"))</f>
        <v>低于上限</v>
      </c>
      <c r="AD19" s="2" t="s">
        <v>63</v>
      </c>
      <c r="AE19" s="7">
        <f>IF(OR(X19="",C19="",C19&lt;=0),"",X19/C19)</f>
        <v>0.041046455419799</v>
      </c>
      <c r="AG19" s="2" t="s">
        <v>60</v>
      </c>
      <c r="AH19" s="2" t="s">
        <v>61</v>
      </c>
      <c r="AI19" s="2"/>
      <c r="AJ19" s="8" t="str">
        <f>IF(OR(AG19="",AH19=""),"",IF(OR(AND(AG19="短期博反弹",OR(AH19="1～3个交易日",AH19="4～10个交易日")),AND(AG19="突破冲新高",OR(AH19="4～10个交易日",AH19="11～20个交易日")),AND(AG19="趋势波段",OR(AH19="11～20个交易日",AH19="21～60个交易日",AH19="60个交易日以上"))),"匹配","周期与交易预期不匹配，请重新确认"))</f>
        <v>匹配</v>
      </c>
      <c r="AK19" s="10"/>
      <c r="AL19" s="12"/>
      <c r="AM19" s="10"/>
      <c r="AN19" s="12"/>
      <c r="AO19" s="5">
        <f>IF(OR(A19="",H19="",H19&lt;=0),"",(E19*H19+IF(AND(AK19&lt;&gt;"",AL19&lt;&gt;""),AK19*AL19,0)+IF(AND(AM19&lt;&gt;"",AN19&lt;&gt;""),AM19*AN19,0))/AP19)</f>
        <v>69.36</v>
      </c>
      <c r="AP19" s="11">
        <f>IF(OR(A19="",H19="",H19&lt;=0),"",H19+IF(AL19="",0,AL19)+IF(AN19="",0,AN19))</f>
        <v>500</v>
      </c>
      <c r="AQ19" s="5">
        <f>IF(A19="","",IF(M19&lt;&gt;"",0,IF(OR(H19="",N19=""),"",MAX(E19-MAX(N19,IFERROR(SUMPRODUCT(MAX(((持仓跟踪!$A$2:$A$157="每日跟踪")*(持仓跟踪!$B$2:$B$157=A19))*持仓跟踪!$S$2:$S$157)),0)),0)*H19+IF(OR(AK19="",AL19=""),0,MAX(AK19-MAX(N19,IFERROR(SUMPRODUCT(MAX(((持仓跟踪!$A$2:$A$157="每日跟踪")*(持仓跟踪!$B$2:$B$157=A19))*持仓跟踪!$S$2:$S$157)),0)),0)*AL19)+IF(OR(AM19="",AN19=""),0,MAX(AM19-MAX(N19,IFERROR(SUMPRODUCT(MAX(((持仓跟踪!$A$2:$A$157="每日跟踪")*(持仓跟踪!$B$2:$B$157=A19))*持仓跟踪!$S$2:$S$157)),0)),0)*AN19))))</f>
        <v>0</v>
      </c>
      <c r="AR19" s="8" t="str">
        <f ca="1">IF(A19="","",IF(OR(E19="",H19=""),"违规：第一批价格或股数缺失",IF(OR(AND(AK19="",AL19&lt;&gt;""),AND(AK19&lt;&gt;"",AL19="")),"违规：第二批价格与股数须成对填写",IF(OR(AND(AM19="",AN19&lt;&gt;""),AND(AM19&lt;&gt;"",AN19="")),"违规：第三批价格与股数须成对填写",IF(AND(OR(AM19&lt;&gt;"",AN19&lt;&gt;""),OR(AK19="",AL19="")),"违规：必须先完成第二批",IF(OR(H19&lt;=0,H19&lt;&gt;INT(H19),MOD(H19,100)&lt;&gt;0,AND(AL19&lt;&gt;"",OR(AL19&lt;=0,AL19&lt;&gt;INT(AL19),MOD(AL19,100)&lt;&gt;0)),AND(AN19&lt;&gt;"",OR(AN19&lt;=0,AN19&lt;&gt;INT(AN19),MOD(AN19,100)&lt;&gt;0))),"违规：股数须为100股整数倍",IF(AND(OR(AL19&lt;&gt;"",AN19&lt;&gt;""),OR(_LockStatus="已锁仓",_LockStatus="解锁信息不完整")),"违规：锁仓期间禁止加仓",IF(AQ19&gt;C19*D19,"违规：超过单笔风险上限",IF(SUM($AQ$2:$AQ$98)&gt;账户数据!$B$7,"违规：超过账户风险上限","通过")))))))))</f>
        <v>通过</v>
      </c>
    </row>
    <row r="20" ht="17" spans="1:44">
      <c r="A20" s="2">
        <v>19</v>
      </c>
      <c r="B20" s="2" t="s">
        <v>59</v>
      </c>
      <c r="C20" s="10">
        <v>124911</v>
      </c>
      <c r="D20" s="6">
        <v>0.02</v>
      </c>
      <c r="E20" s="10">
        <v>92.83</v>
      </c>
      <c r="F20" s="8">
        <f>IF(OR(C20="",D20="",E20="",N20="",C20&lt;=0,D20&lt;=0,E20&lt;=N20),"",ROUNDDOWN((C20*D20)/(E20-N20)/100,0)*100)</f>
        <v>300</v>
      </c>
      <c r="G20" s="8" t="str">
        <f ca="1">IF(A20="","",IF(H20&lt;&gt;"","已开仓",IF(账户数据!$B$23="已锁仓","禁止开仓：连续亏损达到上限",IF(账户数据!$B$23="解锁信息不完整","禁止开仓：请完整填写解锁信息",IF(OR(F20="",E20="",N20="",E20&lt;=N20,账户数据!$B$7=""),"",IF(OR(AG20="",AH20="",AI20=""),"禁止开仓：交易预期未填写完整",IF(COUNTIFS(持仓跟踪!$A$2:$A$157,"止损计划",持仓跟踪!$B$2:$B$157,A20,持仓跟踪!$AC$2:$AC$157,"计划有效")=0,"禁止开仓：请先填写止损计划",IF(账户数据!$B$9+F20*(E20-N20)&gt;=账户数据!$B$7,"禁止开仓：风险额度不足",IF(AJ20="周期与交易预期不匹配，请重新确认",IF(账户数据!$B$23="接近锁仓","允许开仓（接近锁仓；周期需复核）","允许开仓（周期需复核）"),IF(账户数据!$B$23="接近锁仓","允许开仓（接近锁仓）","允许开仓"))))))))))</f>
        <v>已开仓</v>
      </c>
      <c r="H20" s="2">
        <v>300</v>
      </c>
      <c r="I20" s="13">
        <v>44195</v>
      </c>
      <c r="J20" s="10">
        <v>100</v>
      </c>
      <c r="K20" s="5">
        <f>IF(A20="","",IFERROR(LOOKUP(2,1/((持仓跟踪!$B$2:$B$157=A20)*(持仓跟踪!$X$2:$X$157="执行卖出")*(持仓跟踪!$Y$2:$Y$157&lt;&gt;"")),持仓跟踪!$Y$2:$Y$157),""))</f>
        <v>85.38</v>
      </c>
      <c r="L20" s="8">
        <f>IF(A20="","",IFERROR(LOOKUP(2,1/((持仓跟踪!$B$2:$B$157=A20)*(持仓跟踪!$X$2:$X$157="执行卖出")*(持仓跟踪!$Z$2:$Z$157&lt;&gt;"")),持仓跟踪!$Z$2:$Z$157),""))</f>
        <v>300</v>
      </c>
      <c r="M20" s="18">
        <f>IF(A20="","",IFERROR(LOOKUP(2,1/((持仓跟踪!$B$2:$B$157=A20)*(持仓跟踪!$X$2:$X$157="执行卖出")*(持仓跟踪!$H$2:$H$157&lt;&gt;"")),持仓跟踪!$H$2:$H$157),""))</f>
        <v>44225</v>
      </c>
      <c r="N20" s="10">
        <v>86</v>
      </c>
      <c r="O20" s="10"/>
      <c r="P20" s="5" t="str">
        <f>IF(A20="","",IFERROR(LOOKUP(2,1/((持仓跟踪!$B$2:$B$157=A20)*(持仓跟踪!$X$2:$X$157="执行卖出")*(持仓跟踪!$AA$2:$AA$157&lt;&gt;"")),持仓跟踪!$AA$2:$AA$157),""))</f>
        <v/>
      </c>
      <c r="Q20" s="2"/>
      <c r="R20" s="2"/>
      <c r="S20" s="2"/>
      <c r="T20" s="2"/>
      <c r="U20" s="7">
        <f>IF(OR(AO20="",J20="",AO20&lt;=0),"",(J20-AO20)/AO20)</f>
        <v>0.0772379618657762</v>
      </c>
      <c r="V20" s="7">
        <f>IF(OR(AO20="",N20="",AO20&lt;=0),"",(AO20-N20)/AO20)</f>
        <v>0.0735753527954325</v>
      </c>
      <c r="W20" s="19">
        <f>IF(OR(U20="",V20="",V20&lt;=0),"",U20/V20)</f>
        <v>1.0497803806735</v>
      </c>
      <c r="X20" s="5">
        <f>IF(OR(K20="",L20="",AP20=""),"",K20*L20-(E20*H20+IF(AND(AK20&lt;&gt;"",AL20&lt;&gt;""),AK20*AL20,0)+IF(AND(AM20&lt;&gt;"",AN20&lt;&gt;""),AM20*AN20,0))-IF(O20="",0,O20)-IF(P20="",0,P20))</f>
        <v>-2235</v>
      </c>
      <c r="Y20" s="7">
        <f>IF(OR(X20="",AP20=""),"",IF((E20*H20+IF(AND(AK20&lt;&gt;"",AL20&lt;&gt;""),AK20*AL20,0)+IF(AND(AM20&lt;&gt;"",AN20&lt;&gt;""),AM20*AN20,0))+IF(O20="",0,O20)&lt;=0,"",X20/((E20*H20+IF(AND(AK20&lt;&gt;"",AL20&lt;&gt;""),AK20*AL20,0)+IF(AND(AM20&lt;&gt;"",AN20&lt;&gt;""),AM20*AN20,0))+IF(O20="",0,O20))))</f>
        <v>-0.0802542281590003</v>
      </c>
      <c r="Z20" s="7">
        <f>IF(OR(AE20="",多次统计数据!$B$8=""),"",AE20-多次统计数据!$B$8)</f>
        <v>-0.090441366553578</v>
      </c>
      <c r="AA20" s="11">
        <f>IF(OR(I20="",M20="",M20&lt;I20),"",M20-I20)</f>
        <v>30</v>
      </c>
      <c r="AB20" s="7">
        <f>IF(OR(A20="",多次统计数据!$B$8="",多次统计数据!$B$6&lt;=0,多次统计数据!$B$6&gt;=1),"",1-POWER(1+多次统计数据!$B$8,-多次统计数据!$B$6/(1-多次统计数据!$B$6)))</f>
        <v>0.0530166567311223</v>
      </c>
      <c r="AC20" s="8" t="str">
        <f>IF(OR(AB20="",多次统计数据!$B$9=""),"",IF(多次统计数据!$B$9&lt;AB20,"低于上限","达到或超过上限"))</f>
        <v>低于上限</v>
      </c>
      <c r="AD20" s="2"/>
      <c r="AE20" s="7">
        <f>IF(OR(X20="",C20="",C20&lt;=0),"",X20/C20)</f>
        <v>-0.017892739630617</v>
      </c>
      <c r="AG20" s="2" t="s">
        <v>60</v>
      </c>
      <c r="AH20" s="2" t="s">
        <v>47</v>
      </c>
      <c r="AI20" s="2"/>
      <c r="AJ20" s="8" t="str">
        <f>IF(OR(AG20="",AH20=""),"",IF(OR(AND(AG20="短期博反弹",OR(AH20="1～3个交易日",AH20="4～10个交易日")),AND(AG20="突破冲新高",OR(AH20="4～10个交易日",AH20="11～20个交易日")),AND(AG20="趋势波段",OR(AH20="11～20个交易日",AH20="21～60个交易日",AH20="60个交易日以上"))),"匹配","周期与交易预期不匹配，请重新确认"))</f>
        <v>匹配</v>
      </c>
      <c r="AK20" s="10"/>
      <c r="AL20" s="12"/>
      <c r="AM20" s="10"/>
      <c r="AN20" s="12"/>
      <c r="AO20" s="5">
        <f>IF(OR(A20="",H20="",H20&lt;=0),"",(E20*H20+IF(AND(AK20&lt;&gt;"",AL20&lt;&gt;""),AK20*AL20,0)+IF(AND(AM20&lt;&gt;"",AN20&lt;&gt;""),AM20*AN20,0))/AP20)</f>
        <v>92.83</v>
      </c>
      <c r="AP20" s="11">
        <f>IF(OR(A20="",H20="",H20&lt;=0),"",H20+IF(AL20="",0,AL20)+IF(AN20="",0,AN20))</f>
        <v>300</v>
      </c>
      <c r="AQ20" s="5">
        <f>IF(A20="","",IF(M20&lt;&gt;"",0,IF(OR(H20="",N20=""),"",MAX(E20-MAX(N20,IFERROR(SUMPRODUCT(MAX(((持仓跟踪!$A$2:$A$157="每日跟踪")*(持仓跟踪!$B$2:$B$157=A20))*持仓跟踪!$S$2:$S$157)),0)),0)*H20+IF(OR(AK20="",AL20=""),0,MAX(AK20-MAX(N20,IFERROR(SUMPRODUCT(MAX(((持仓跟踪!$A$2:$A$157="每日跟踪")*(持仓跟踪!$B$2:$B$157=A20))*持仓跟踪!$S$2:$S$157)),0)),0)*AL20)+IF(OR(AM20="",AN20=""),0,MAX(AM20-MAX(N20,IFERROR(SUMPRODUCT(MAX(((持仓跟踪!$A$2:$A$157="每日跟踪")*(持仓跟踪!$B$2:$B$157=A20))*持仓跟踪!$S$2:$S$157)),0)),0)*AN20))))</f>
        <v>0</v>
      </c>
      <c r="AR20" s="8" t="str">
        <f ca="1">IF(A20="","",IF(OR(E20="",H20=""),"违规：第一批价格或股数缺失",IF(OR(AND(AK20="",AL20&lt;&gt;""),AND(AK20&lt;&gt;"",AL20="")),"违规：第二批价格与股数须成对填写",IF(OR(AND(AM20="",AN20&lt;&gt;""),AND(AM20&lt;&gt;"",AN20="")),"违规：第三批价格与股数须成对填写",IF(AND(OR(AM20&lt;&gt;"",AN20&lt;&gt;""),OR(AK20="",AL20="")),"违规：必须先完成第二批",IF(OR(H20&lt;=0,H20&lt;&gt;INT(H20),MOD(H20,100)&lt;&gt;0,AND(AL20&lt;&gt;"",OR(AL20&lt;=0,AL20&lt;&gt;INT(AL20),MOD(AL20,100)&lt;&gt;0)),AND(AN20&lt;&gt;"",OR(AN20&lt;=0,AN20&lt;&gt;INT(AN20),MOD(AN20,100)&lt;&gt;0))),"违规：股数须为100股整数倍",IF(AND(OR(AL20&lt;&gt;"",AN20&lt;&gt;""),OR(_LockStatus="已锁仓",_LockStatus="解锁信息不完整")),"违规：锁仓期间禁止加仓",IF(AQ20&gt;C20*D20,"违规：超过单笔风险上限",IF(SUM($AQ$2:$AQ$98)&gt;账户数据!$B$7,"违规：超过账户风险上限","通过")))))))))</f>
        <v>通过</v>
      </c>
    </row>
    <row r="21" ht="17" spans="1:44">
      <c r="A21" s="2">
        <v>20</v>
      </c>
      <c r="B21" s="2" t="s">
        <v>59</v>
      </c>
      <c r="C21" s="10">
        <v>122676</v>
      </c>
      <c r="D21" s="6">
        <v>0.02</v>
      </c>
      <c r="E21" s="10">
        <v>52.45</v>
      </c>
      <c r="F21" s="8">
        <f>IF(OR(C21="",D21="",E21="",N21="",C21&lt;=0,D21&lt;=0,E21&lt;=N21),"",ROUNDDOWN((C21*D21)/(E21-N21)/100,0)*100)</f>
        <v>1000</v>
      </c>
      <c r="G21" s="8" t="str">
        <f ca="1">IF(A21="","",IF(H21&lt;&gt;"","已开仓",IF(账户数据!$B$23="已锁仓","禁止开仓：连续亏损达到上限",IF(账户数据!$B$23="解锁信息不完整","禁止开仓：请完整填写解锁信息",IF(OR(F21="",E21="",N21="",E21&lt;=N21,账户数据!$B$7=""),"",IF(OR(AG21="",AH21="",AI21=""),"禁止开仓：交易预期未填写完整",IF(COUNTIFS(持仓跟踪!$A$2:$A$157,"止损计划",持仓跟踪!$B$2:$B$157,A21,持仓跟踪!$AC$2:$AC$157,"计划有效")=0,"禁止开仓：请先填写止损计划",IF(账户数据!$B$9+F21*(E21-N21)&gt;=账户数据!$B$7,"禁止开仓：风险额度不足",IF(AJ21="周期与交易预期不匹配，请重新确认",IF(账户数据!$B$23="接近锁仓","允许开仓（接近锁仓；周期需复核）","允许开仓（周期需复核）"),IF(账户数据!$B$23="接近锁仓","允许开仓（接近锁仓）","允许开仓"))))))))))</f>
        <v>已开仓</v>
      </c>
      <c r="H21" s="2">
        <v>1000</v>
      </c>
      <c r="I21" s="13">
        <v>44501</v>
      </c>
      <c r="J21" s="10">
        <v>58</v>
      </c>
      <c r="K21" s="5">
        <f>IF(A21="","",IFERROR(LOOKUP(2,1/((持仓跟踪!$B$2:$B$157=A21)*(持仓跟踪!$X$2:$X$157="执行卖出")*(持仓跟踪!$Y$2:$Y$157&lt;&gt;"")),持仓跟踪!$Y$2:$Y$157),""))</f>
        <v>49.25</v>
      </c>
      <c r="L21" s="8">
        <f>IF(A21="","",IFERROR(LOOKUP(2,1/((持仓跟踪!$B$2:$B$157=A21)*(持仓跟踪!$X$2:$X$157="执行卖出")*(持仓跟踪!$Z$2:$Z$157&lt;&gt;"")),持仓跟踪!$Z$2:$Z$157),""))</f>
        <v>1000</v>
      </c>
      <c r="M21" s="18">
        <f>IF(A21="","",IFERROR(LOOKUP(2,1/((持仓跟踪!$B$2:$B$157=A21)*(持仓跟踪!$X$2:$X$157="执行卖出")*(持仓跟踪!$H$2:$H$157&lt;&gt;"")),持仓跟踪!$H$2:$H$157),""))</f>
        <v>44530</v>
      </c>
      <c r="N21" s="10">
        <v>50</v>
      </c>
      <c r="O21" s="10"/>
      <c r="P21" s="5" t="str">
        <f>IF(A21="","",IFERROR(LOOKUP(2,1/((持仓跟踪!$B$2:$B$157=A21)*(持仓跟踪!$X$2:$X$157="执行卖出")*(持仓跟踪!$AA$2:$AA$157&lt;&gt;"")),持仓跟踪!$AA$2:$AA$157),""))</f>
        <v/>
      </c>
      <c r="Q21" s="2"/>
      <c r="R21" s="2"/>
      <c r="S21" s="2"/>
      <c r="T21" s="2"/>
      <c r="U21" s="7">
        <f>IF(OR(AO21="",J21="",AO21&lt;=0),"",(J21-AO21)/AO21)</f>
        <v>0.105815061963775</v>
      </c>
      <c r="V21" s="7">
        <f>IF(OR(AO21="",N21="",AO21&lt;=0),"",(AO21-N21)/AO21)</f>
        <v>0.0467111534795043</v>
      </c>
      <c r="W21" s="19">
        <f>IF(OR(U21="",V21="",V21&lt;=0),"",U21/V21)</f>
        <v>2.26530612244898</v>
      </c>
      <c r="X21" s="5">
        <f>IF(OR(K21="",L21="",AP21=""),"",K21*L21-(E21*H21+IF(AND(AK21&lt;&gt;"",AL21&lt;&gt;""),AK21*AL21,0)+IF(AND(AM21&lt;&gt;"",AN21&lt;&gt;""),AM21*AN21,0))-IF(O21="",0,O21)-IF(P21="",0,P21))</f>
        <v>-3200</v>
      </c>
      <c r="Y21" s="7">
        <f>IF(OR(X21="",AP21=""),"",IF((E21*H21+IF(AND(AK21&lt;&gt;"",AL21&lt;&gt;""),AK21*AL21,0)+IF(AND(AM21&lt;&gt;"",AN21&lt;&gt;""),AM21*AN21,0))+IF(O21="",0,O21)&lt;=0,"",X21/((E21*H21+IF(AND(AK21&lt;&gt;"",AL21&lt;&gt;""),AK21*AL21,0)+IF(AND(AM21&lt;&gt;"",AN21&lt;&gt;""),AM21*AN21,0))+IF(O21="",0,O21))))</f>
        <v>-0.0610104861773117</v>
      </c>
      <c r="Z21" s="7">
        <f>IF(OR(AE21="",多次统计数据!$B$8=""),"",AE21-多次统计数据!$B$8)</f>
        <v>-0.0986335987185852</v>
      </c>
      <c r="AA21" s="11">
        <f>IF(OR(I21="",M21="",M21&lt;I21),"",M21-I21)</f>
        <v>29</v>
      </c>
      <c r="AB21" s="7">
        <f>IF(OR(A21="",多次统计数据!$B$8="",多次统计数据!$B$6&lt;=0,多次统计数据!$B$6&gt;=1),"",1-POWER(1+多次统计数据!$B$8,-多次统计数据!$B$6/(1-多次统计数据!$B$6)))</f>
        <v>0.0530166567311223</v>
      </c>
      <c r="AC21" s="8" t="str">
        <f>IF(OR(AB21="",多次统计数据!$B$9=""),"",IF(多次统计数据!$B$9&lt;AB21,"低于上限","达到或超过上限"))</f>
        <v>低于上限</v>
      </c>
      <c r="AD21" s="2"/>
      <c r="AE21" s="7">
        <f>IF(OR(X21="",C21="",C21&lt;=0),"",X21/C21)</f>
        <v>-0.0260849717956242</v>
      </c>
      <c r="AG21" s="2" t="s">
        <v>46</v>
      </c>
      <c r="AH21" s="2" t="s">
        <v>47</v>
      </c>
      <c r="AI21" s="2"/>
      <c r="AJ21" s="8" t="str">
        <f>IF(OR(AG21="",AH21=""),"",IF(OR(AND(AG21="短期博反弹",OR(AH21="1～3个交易日",AH21="4～10个交易日")),AND(AG21="突破冲新高",OR(AH21="4～10个交易日",AH21="11～20个交易日")),AND(AG21="趋势波段",OR(AH21="11～20个交易日",AH21="21～60个交易日",AH21="60个交易日以上"))),"匹配","周期与交易预期不匹配，请重新确认"))</f>
        <v>匹配</v>
      </c>
      <c r="AK21" s="10"/>
      <c r="AL21" s="12"/>
      <c r="AM21" s="10"/>
      <c r="AN21" s="12"/>
      <c r="AO21" s="5">
        <f>IF(OR(A21="",H21="",H21&lt;=0),"",(E21*H21+IF(AND(AK21&lt;&gt;"",AL21&lt;&gt;""),AK21*AL21,0)+IF(AND(AM21&lt;&gt;"",AN21&lt;&gt;""),AM21*AN21,0))/AP21)</f>
        <v>52.45</v>
      </c>
      <c r="AP21" s="11">
        <f>IF(OR(A21="",H21="",H21&lt;=0),"",H21+IF(AL21="",0,AL21)+IF(AN21="",0,AN21))</f>
        <v>1000</v>
      </c>
      <c r="AQ21" s="5">
        <f>IF(A21="","",IF(M21&lt;&gt;"",0,IF(OR(H21="",N21=""),"",MAX(E21-MAX(N21,IFERROR(SUMPRODUCT(MAX(((持仓跟踪!$A$2:$A$157="每日跟踪")*(持仓跟踪!$B$2:$B$157=A21))*持仓跟踪!$S$2:$S$157)),0)),0)*H21+IF(OR(AK21="",AL21=""),0,MAX(AK21-MAX(N21,IFERROR(SUMPRODUCT(MAX(((持仓跟踪!$A$2:$A$157="每日跟踪")*(持仓跟踪!$B$2:$B$157=A21))*持仓跟踪!$S$2:$S$157)),0)),0)*AL21)+IF(OR(AM21="",AN21=""),0,MAX(AM21-MAX(N21,IFERROR(SUMPRODUCT(MAX(((持仓跟踪!$A$2:$A$157="每日跟踪")*(持仓跟踪!$B$2:$B$157=A21))*持仓跟踪!$S$2:$S$157)),0)),0)*AN21))))</f>
        <v>0</v>
      </c>
      <c r="AR21" s="8" t="str">
        <f ca="1">IF(A21="","",IF(OR(E21="",H21=""),"违规：第一批价格或股数缺失",IF(OR(AND(AK21="",AL21&lt;&gt;""),AND(AK21&lt;&gt;"",AL21="")),"违规：第二批价格与股数须成对填写",IF(OR(AND(AM21="",AN21&lt;&gt;""),AND(AM21&lt;&gt;"",AN21="")),"违规：第三批价格与股数须成对填写",IF(AND(OR(AM21&lt;&gt;"",AN21&lt;&gt;""),OR(AK21="",AL21="")),"违规：必须先完成第二批",IF(OR(H21&lt;=0,H21&lt;&gt;INT(H21),MOD(H21,100)&lt;&gt;0,AND(AL21&lt;&gt;"",OR(AL21&lt;=0,AL21&lt;&gt;INT(AL21),MOD(AL21,100)&lt;&gt;0)),AND(AN21&lt;&gt;"",OR(AN21&lt;=0,AN21&lt;&gt;INT(AN21),MOD(AN21,100)&lt;&gt;0))),"违规：股数须为100股整数倍",IF(AND(OR(AL21&lt;&gt;"",AN21&lt;&gt;""),OR(_LockStatus="已锁仓",_LockStatus="解锁信息不完整")),"违规：锁仓期间禁止加仓",IF(AQ21&gt;C21*D21,"违规：超过单笔风险上限",IF(SUM($AQ$2:$AQ$98)&gt;账户数据!$B$7,"违规：超过账户风险上限","通过")))))))))</f>
        <v>通过</v>
      </c>
    </row>
    <row r="22" ht="17" spans="1:44">
      <c r="A22" s="2">
        <v>21</v>
      </c>
      <c r="B22" s="2" t="s">
        <v>59</v>
      </c>
      <c r="C22" s="10">
        <v>119476</v>
      </c>
      <c r="D22" s="6">
        <v>0.02</v>
      </c>
      <c r="E22" s="10">
        <v>36.17</v>
      </c>
      <c r="F22" s="8">
        <f>IF(OR(C22="",D22="",E22="",N22="",C22&lt;=0,D22&lt;=0,E22&lt;=N22),"",ROUNDDOWN((C22*D22)/(E22-N22)/100,0)*100)</f>
        <v>2000</v>
      </c>
      <c r="G22" s="8" t="str">
        <f ca="1">IF(A22="","",IF(H22&lt;&gt;"","已开仓",IF(账户数据!$B$23="已锁仓","禁止开仓：连续亏损达到上限",IF(账户数据!$B$23="解锁信息不完整","禁止开仓：请完整填写解锁信息",IF(OR(F22="",E22="",N22="",E22&lt;=N22,账户数据!$B$7=""),"",IF(OR(AG22="",AH22="",AI22=""),"禁止开仓：交易预期未填写完整",IF(COUNTIFS(持仓跟踪!$A$2:$A$157,"止损计划",持仓跟踪!$B$2:$B$157,A22,持仓跟踪!$AC$2:$AC$157,"计划有效")=0,"禁止开仓：请先填写止损计划",IF(账户数据!$B$9+F22*(E22-N22)&gt;=账户数据!$B$7,"禁止开仓：风险额度不足",IF(AJ22="周期与交易预期不匹配，请重新确认",IF(账户数据!$B$23="接近锁仓","允许开仓（接近锁仓；周期需复核）","允许开仓（周期需复核）"),IF(账户数据!$B$23="接近锁仓","允许开仓（接近锁仓）","允许开仓"))))))))))</f>
        <v>已开仓</v>
      </c>
      <c r="H22" s="2">
        <v>2000</v>
      </c>
      <c r="I22" s="13">
        <v>44743</v>
      </c>
      <c r="J22" s="10">
        <v>40</v>
      </c>
      <c r="K22" s="5">
        <f>IF(A22="","",IFERROR(LOOKUP(2,1/((持仓跟踪!$B$2:$B$157=A22)*(持仓跟踪!$X$2:$X$157="执行卖出")*(持仓跟踪!$Y$2:$Y$157&lt;&gt;"")),持仓跟踪!$Y$2:$Y$157),""))</f>
        <v>37.19</v>
      </c>
      <c r="L22" s="8">
        <f>IF(A22="","",IFERROR(LOOKUP(2,1/((持仓跟踪!$B$2:$B$157=A22)*(持仓跟踪!$X$2:$X$157="执行卖出")*(持仓跟踪!$Z$2:$Z$157&lt;&gt;"")),持仓跟踪!$Z$2:$Z$157),""))</f>
        <v>2000</v>
      </c>
      <c r="M22" s="18">
        <f>IF(A22="","",IFERROR(LOOKUP(2,1/((持仓跟踪!$B$2:$B$157=A22)*(持仓跟踪!$X$2:$X$157="执行卖出")*(持仓跟踪!$H$2:$H$157&lt;&gt;"")),持仓跟踪!$H$2:$H$157),""))</f>
        <v>44760</v>
      </c>
      <c r="N22" s="10">
        <v>35</v>
      </c>
      <c r="O22" s="10"/>
      <c r="P22" s="5" t="str">
        <f>IF(A22="","",IFERROR(LOOKUP(2,1/((持仓跟踪!$B$2:$B$157=A22)*(持仓跟踪!$X$2:$X$157="执行卖出")*(持仓跟踪!$AA$2:$AA$157&lt;&gt;"")),持仓跟踪!$AA$2:$AA$157),""))</f>
        <v/>
      </c>
      <c r="Q22" s="2"/>
      <c r="R22" s="2"/>
      <c r="S22" s="2"/>
      <c r="T22" s="2"/>
      <c r="U22" s="7">
        <f>IF(OR(AO22="",J22="",AO22&lt;=0),"",(J22-AO22)/AO22)</f>
        <v>0.105888858169754</v>
      </c>
      <c r="V22" s="7">
        <f>IF(OR(AO22="",N22="",AO22&lt;=0),"",(AO22-N22)/AO22)</f>
        <v>0.0323472491014654</v>
      </c>
      <c r="W22" s="19">
        <f>IF(OR(U22="",V22="",V22&lt;=0),"",U22/V22)</f>
        <v>3.27350427350427</v>
      </c>
      <c r="X22" s="5">
        <f>IF(OR(K22="",L22="",AP22=""),"",K22*L22-(E22*H22+IF(AND(AK22&lt;&gt;"",AL22&lt;&gt;""),AK22*AL22,0)+IF(AND(AM22&lt;&gt;"",AN22&lt;&gt;""),AM22*AN22,0))-IF(O22="",0,O22)-IF(P22="",0,P22))</f>
        <v>2040</v>
      </c>
      <c r="Y22" s="7">
        <f>IF(OR(X22="",AP22=""),"",IF((E22*H22+IF(AND(AK22&lt;&gt;"",AL22&lt;&gt;""),AK22*AL22,0)+IF(AND(AM22&lt;&gt;"",AN22&lt;&gt;""),AM22*AN22,0))+IF(O22="",0,O22)&lt;=0,"",X22/((E22*H22+IF(AND(AK22&lt;&gt;"",AL22&lt;&gt;""),AK22*AL22,0)+IF(AND(AM22&lt;&gt;"",AN22&lt;&gt;""),AM22*AN22,0))+IF(O22="",0,O22))))</f>
        <v>0.0282001658833287</v>
      </c>
      <c r="Z22" s="7">
        <f>IF(OR(AE22="",多次统计数据!$B$8=""),"",AE22-多次统计数据!$B$8)</f>
        <v>-0.0554740680157327</v>
      </c>
      <c r="AA22" s="11">
        <f>IF(OR(I22="",M22="",M22&lt;I22),"",M22-I22)</f>
        <v>17</v>
      </c>
      <c r="AB22" s="7">
        <f>IF(OR(A22="",多次统计数据!$B$8="",多次统计数据!$B$6&lt;=0,多次统计数据!$B$6&gt;=1),"",1-POWER(1+多次统计数据!$B$8,-多次统计数据!$B$6/(1-多次统计数据!$B$6)))</f>
        <v>0.0530166567311223</v>
      </c>
      <c r="AC22" s="8" t="str">
        <f>IF(OR(AB22="",多次统计数据!$B$9=""),"",IF(多次统计数据!$B$9&lt;AB22,"低于上限","达到或超过上限"))</f>
        <v>低于上限</v>
      </c>
      <c r="AD22" s="2" t="s">
        <v>45</v>
      </c>
      <c r="AE22" s="7">
        <f>IF(OR(X22="",C22="",C22&lt;=0),"",X22/C22)</f>
        <v>0.0170745589072282</v>
      </c>
      <c r="AG22" s="2" t="s">
        <v>46</v>
      </c>
      <c r="AH22" s="2" t="s">
        <v>47</v>
      </c>
      <c r="AI22" s="2"/>
      <c r="AJ22" s="8" t="str">
        <f>IF(OR(AG22="",AH22=""),"",IF(OR(AND(AG22="短期博反弹",OR(AH22="1～3个交易日",AH22="4～10个交易日")),AND(AG22="突破冲新高",OR(AH22="4～10个交易日",AH22="11～20个交易日")),AND(AG22="趋势波段",OR(AH22="11～20个交易日",AH22="21～60个交易日",AH22="60个交易日以上"))),"匹配","周期与交易预期不匹配，请重新确认"))</f>
        <v>匹配</v>
      </c>
      <c r="AK22" s="10"/>
      <c r="AL22" s="12"/>
      <c r="AM22" s="10"/>
      <c r="AN22" s="12"/>
      <c r="AO22" s="5">
        <f>IF(OR(A22="",H22="",H22&lt;=0),"",(E22*H22+IF(AND(AK22&lt;&gt;"",AL22&lt;&gt;""),AK22*AL22,0)+IF(AND(AM22&lt;&gt;"",AN22&lt;&gt;""),AM22*AN22,0))/AP22)</f>
        <v>36.17</v>
      </c>
      <c r="AP22" s="11">
        <f>IF(OR(A22="",H22="",H22&lt;=0),"",H22+IF(AL22="",0,AL22)+IF(AN22="",0,AN22))</f>
        <v>2000</v>
      </c>
      <c r="AQ22" s="5">
        <f>IF(A22="","",IF(M22&lt;&gt;"",0,IF(OR(H22="",N22=""),"",MAX(E22-MAX(N22,IFERROR(SUMPRODUCT(MAX(((持仓跟踪!$A$2:$A$157="每日跟踪")*(持仓跟踪!$B$2:$B$157=A22))*持仓跟踪!$S$2:$S$157)),0)),0)*H22+IF(OR(AK22="",AL22=""),0,MAX(AK22-MAX(N22,IFERROR(SUMPRODUCT(MAX(((持仓跟踪!$A$2:$A$157="每日跟踪")*(持仓跟踪!$B$2:$B$157=A22))*持仓跟踪!$S$2:$S$157)),0)),0)*AL22)+IF(OR(AM22="",AN22=""),0,MAX(AM22-MAX(N22,IFERROR(SUMPRODUCT(MAX(((持仓跟踪!$A$2:$A$157="每日跟踪")*(持仓跟踪!$B$2:$B$157=A22))*持仓跟踪!$S$2:$S$157)),0)),0)*AN22))))</f>
        <v>0</v>
      </c>
      <c r="AR22" s="8" t="str">
        <f ca="1">IF(A22="","",IF(OR(E22="",H22=""),"违规：第一批价格或股数缺失",IF(OR(AND(AK22="",AL22&lt;&gt;""),AND(AK22&lt;&gt;"",AL22="")),"违规：第二批价格与股数须成对填写",IF(OR(AND(AM22="",AN22&lt;&gt;""),AND(AM22&lt;&gt;"",AN22="")),"违规：第三批价格与股数须成对填写",IF(AND(OR(AM22&lt;&gt;"",AN22&lt;&gt;""),OR(AK22="",AL22="")),"违规：必须先完成第二批",IF(OR(H22&lt;=0,H22&lt;&gt;INT(H22),MOD(H22,100)&lt;&gt;0,AND(AL22&lt;&gt;"",OR(AL22&lt;=0,AL22&lt;&gt;INT(AL22),MOD(AL22,100)&lt;&gt;0)),AND(AN22&lt;&gt;"",OR(AN22&lt;=0,AN22&lt;&gt;INT(AN22),MOD(AN22,100)&lt;&gt;0))),"违规：股数须为100股整数倍",IF(AND(OR(AL22&lt;&gt;"",AN22&lt;&gt;""),OR(_LockStatus="已锁仓",_LockStatus="解锁信息不完整")),"违规：锁仓期间禁止加仓",IF(AQ22&gt;C22*D22,"违规：超过单笔风险上限",IF(SUM($AQ$2:$AQ$98)&gt;账户数据!$B$7,"违规：超过账户风险上限","通过")))))))))</f>
        <v>通过</v>
      </c>
    </row>
    <row r="23" ht="17" spans="1:44">
      <c r="A23" s="2">
        <v>22</v>
      </c>
      <c r="B23" s="2" t="s">
        <v>59</v>
      </c>
      <c r="C23" s="10">
        <v>121516</v>
      </c>
      <c r="D23" s="6">
        <v>0.02</v>
      </c>
      <c r="E23" s="10">
        <v>48.37</v>
      </c>
      <c r="F23" s="8">
        <f>IF(OR(C23="",D23="",E23="",N23="",C23&lt;=0,D23&lt;=0,E23&lt;=N23),"",ROUNDDOWN((C23*D23)/(E23-N23)/100,0)*100)</f>
        <v>1700</v>
      </c>
      <c r="G23" s="8" t="str">
        <f ca="1">IF(A23="","",IF(H23&lt;&gt;"","已开仓",IF(账户数据!$B$23="已锁仓","禁止开仓：连续亏损达到上限",IF(账户数据!$B$23="解锁信息不完整","禁止开仓：请完整填写解锁信息",IF(OR(F23="",E23="",N23="",E23&lt;=N23,账户数据!$B$7=""),"",IF(OR(AG23="",AH23="",AI23=""),"禁止开仓：交易预期未填写完整",IF(COUNTIFS(持仓跟踪!$A$2:$A$157,"止损计划",持仓跟踪!$B$2:$B$157,A23,持仓跟踪!$AC$2:$AC$157,"计划有效")=0,"禁止开仓：请先填写止损计划",IF(账户数据!$B$9+F23*(E23-N23)&gt;=账户数据!$B$7,"禁止开仓：风险额度不足",IF(AJ23="周期与交易预期不匹配，请重新确认",IF(账户数据!$B$23="接近锁仓","允许开仓（接近锁仓；周期需复核）","允许开仓（周期需复核）"),IF(账户数据!$B$23="接近锁仓","允许开仓（接近锁仓）","允许开仓"))))))))))</f>
        <v>已开仓</v>
      </c>
      <c r="H23" s="2">
        <v>1700</v>
      </c>
      <c r="I23" s="13">
        <v>45065</v>
      </c>
      <c r="J23" s="10">
        <v>50</v>
      </c>
      <c r="K23" s="5">
        <f>IF(A23="","",IFERROR(LOOKUP(2,1/((持仓跟踪!$B$2:$B$157=A23)*(持仓跟踪!$X$2:$X$157="执行卖出")*(持仓跟踪!$Y$2:$Y$157&lt;&gt;"")),持仓跟踪!$Y$2:$Y$157),""))</f>
        <v>44.79</v>
      </c>
      <c r="L23" s="8">
        <v>1700</v>
      </c>
      <c r="M23" s="18">
        <f>IF(A23="","",IFERROR(LOOKUP(2,1/((持仓跟踪!$B$2:$B$157=A23)*(持仓跟踪!$X$2:$X$157="执行卖出")*(持仓跟踪!$H$2:$H$157&lt;&gt;"")),持仓跟踪!$H$2:$H$157),""))</f>
        <v>45077</v>
      </c>
      <c r="N23" s="10">
        <v>47</v>
      </c>
      <c r="O23" s="10"/>
      <c r="P23" s="5" t="str">
        <f>IF(A23="","",IFERROR(LOOKUP(2,1/((持仓跟踪!$B$2:$B$157=A23)*(持仓跟踪!$X$2:$X$157="执行卖出")*(持仓跟踪!$AA$2:$AA$157&lt;&gt;"")),持仓跟踪!$AA$2:$AA$157),""))</f>
        <v/>
      </c>
      <c r="Q23" s="2"/>
      <c r="R23" s="2"/>
      <c r="S23" s="2"/>
      <c r="T23" s="2"/>
      <c r="U23" s="7">
        <f>IF(OR(AO23="",J23="",AO23&lt;=0),"",(J23-AO23)/AO23)</f>
        <v>0.0336985734959686</v>
      </c>
      <c r="V23" s="7">
        <f>IF(OR(AO23="",N23="",AO23&lt;=0),"",(AO23-N23)/AO23)</f>
        <v>0.0283233409137895</v>
      </c>
      <c r="W23" s="19">
        <f>IF(OR(U23="",V23="",V23&lt;=0),"",U23/V23)</f>
        <v>1.18978102189781</v>
      </c>
      <c r="X23" s="5">
        <f>IF(OR(K23="",L23="",AP23=""),"",K23*L23-(E23*H23+IF(AND(AK23&lt;&gt;"",AL23&lt;&gt;""),AK23*AL23,0)+IF(AND(AM23&lt;&gt;"",AN23&lt;&gt;""),AM23*AN23,0))-IF(O23="",0,O23)-IF(P23="",0,P23))</f>
        <v>-6086</v>
      </c>
      <c r="Y23" s="7">
        <f>IF(OR(X23="",AP23=""),"",IF((E23*H23+IF(AND(AK23&lt;&gt;"",AL23&lt;&gt;""),AK23*AL23,0)+IF(AND(AM23&lt;&gt;"",AN23&lt;&gt;""),AM23*AN23,0))+IF(O23="",0,O23)&lt;=0,"",X23/((E23*H23+IF(AND(AK23&lt;&gt;"",AL23&lt;&gt;""),AK23*AL23,0)+IF(AND(AM23&lt;&gt;"",AN23&lt;&gt;""),AM23*AN23,0))+IF(O23="",0,O23))))</f>
        <v>-0.0740128178623114</v>
      </c>
      <c r="Z23" s="7">
        <f>IF(OR(AE23="",多次统计数据!$B$8=""),"",AE23-多次统计数据!$B$8)</f>
        <v>-0.122632566486475</v>
      </c>
      <c r="AA23" s="11">
        <f>IF(OR(I23="",M23="",M23&lt;I23),"",M23-I23)</f>
        <v>12</v>
      </c>
      <c r="AB23" s="7">
        <f>IF(OR(A23="",多次统计数据!$B$8="",多次统计数据!$B$6&lt;=0,多次统计数据!$B$6&gt;=1),"",1-POWER(1+多次统计数据!$B$8,-多次统计数据!$B$6/(1-多次统计数据!$B$6)))</f>
        <v>0.0530166567311223</v>
      </c>
      <c r="AC23" s="8" t="str">
        <f>IF(OR(AB23="",多次统计数据!$B$9=""),"",IF(多次统计数据!$B$9&lt;AB23,"低于上限","达到或超过上限"))</f>
        <v>低于上限</v>
      </c>
      <c r="AD23" s="2" t="s">
        <v>50</v>
      </c>
      <c r="AE23" s="7">
        <f>IF(OR(X23="",C23="",C23&lt;=0),"",X23/C23)</f>
        <v>-0.0500839395635143</v>
      </c>
      <c r="AG23" s="2" t="s">
        <v>60</v>
      </c>
      <c r="AH23" s="2" t="s">
        <v>47</v>
      </c>
      <c r="AI23" s="2"/>
      <c r="AJ23" s="8" t="str">
        <f>IF(OR(AG23="",AH23=""),"",IF(OR(AND(AG23="短期博反弹",OR(AH23="1～3个交易日",AH23="4～10个交易日")),AND(AG23="突破冲新高",OR(AH23="4～10个交易日",AH23="11～20个交易日")),AND(AG23="趋势波段",OR(AH23="11～20个交易日",AH23="21～60个交易日",AH23="60个交易日以上"))),"匹配","周期与交易预期不匹配，请重新确认"))</f>
        <v>匹配</v>
      </c>
      <c r="AK23" s="10"/>
      <c r="AL23" s="12"/>
      <c r="AM23" s="10"/>
      <c r="AN23" s="12"/>
      <c r="AO23" s="5">
        <f>IF(OR(A23="",H23="",H23&lt;=0),"",(E23*H23+IF(AND(AK23&lt;&gt;"",AL23&lt;&gt;""),AK23*AL23,0)+IF(AND(AM23&lt;&gt;"",AN23&lt;&gt;""),AM23*AN23,0))/AP23)</f>
        <v>48.37</v>
      </c>
      <c r="AP23" s="11">
        <f>IF(OR(A23="",H23="",H23&lt;=0),"",H23+IF(AL23="",0,AL23)+IF(AN23="",0,AN23))</f>
        <v>1700</v>
      </c>
      <c r="AQ23" s="5">
        <f>IF(A23="","",IF(M23&lt;&gt;"",0,IF(OR(H23="",N23=""),"",MAX(E23-MAX(N23,IFERROR(SUMPRODUCT(MAX(((持仓跟踪!$A$2:$A$157="每日跟踪")*(持仓跟踪!$B$2:$B$157=A23))*持仓跟踪!$S$2:$S$157)),0)),0)*H23+IF(OR(AK23="",AL23=""),0,MAX(AK23-MAX(N23,IFERROR(SUMPRODUCT(MAX(((持仓跟踪!$A$2:$A$157="每日跟踪")*(持仓跟踪!$B$2:$B$157=A23))*持仓跟踪!$S$2:$S$157)),0)),0)*AL23)+IF(OR(AM23="",AN23=""),0,MAX(AM23-MAX(N23,IFERROR(SUMPRODUCT(MAX(((持仓跟踪!$A$2:$A$157="每日跟踪")*(持仓跟踪!$B$2:$B$157=A23))*持仓跟踪!$S$2:$S$157)),0)),0)*AN23))))</f>
        <v>0</v>
      </c>
      <c r="AR23" s="8" t="str">
        <f ca="1">IF(A23="","",IF(OR(E23="",H23=""),"违规：第一批价格或股数缺失",IF(OR(AND(AK23="",AL23&lt;&gt;""),AND(AK23&lt;&gt;"",AL23="")),"违规：第二批价格与股数须成对填写",IF(OR(AND(AM23="",AN23&lt;&gt;""),AND(AM23&lt;&gt;"",AN23="")),"违规：第三批价格与股数须成对填写",IF(AND(OR(AM23&lt;&gt;"",AN23&lt;&gt;""),OR(AK23="",AL23="")),"违规：必须先完成第二批",IF(OR(H23&lt;=0,H23&lt;&gt;INT(H23),MOD(H23,100)&lt;&gt;0,AND(AL23&lt;&gt;"",OR(AL23&lt;=0,AL23&lt;&gt;INT(AL23),MOD(AL23,100)&lt;&gt;0)),AND(AN23&lt;&gt;"",OR(AN23&lt;=0,AN23&lt;&gt;INT(AN23),MOD(AN23,100)&lt;&gt;0))),"违规：股数须为100股整数倍",IF(AND(OR(AL23&lt;&gt;"",AN23&lt;&gt;""),OR(_LockStatus="已锁仓",_LockStatus="解锁信息不完整")),"违规：锁仓期间禁止加仓",IF(AQ23&gt;C23*D23,"违规：超过单笔风险上限",IF(SUM($AQ$2:$AQ$98)&gt;账户数据!$B$7,"违规：超过账户风险上限","通过")))))))))</f>
        <v>通过</v>
      </c>
    </row>
    <row r="24" ht="17" spans="1:44">
      <c r="A24" s="2">
        <v>23</v>
      </c>
      <c r="B24" s="2" t="s">
        <v>59</v>
      </c>
      <c r="C24" s="10">
        <v>115430</v>
      </c>
      <c r="D24" s="6">
        <v>0.02</v>
      </c>
      <c r="E24" s="10">
        <v>46.76</v>
      </c>
      <c r="F24" s="8">
        <f>IF(OR(C24="",D24="",E24="",N24="",C24&lt;=0,D24&lt;=0,E24&lt;=N24),"",ROUNDDOWN((C24*D24)/(E24-N24)/100,0)*100)</f>
        <v>1300</v>
      </c>
      <c r="G24" s="8" t="str">
        <f ca="1">IF(A24="","",IF(H24&lt;&gt;"","已开仓",IF(账户数据!$B$23="已锁仓","禁止开仓：连续亏损达到上限",IF(账户数据!$B$23="解锁信息不完整","禁止开仓：请完整填写解锁信息",IF(OR(F24="",E24="",N24="",E24&lt;=N24,账户数据!$B$7=""),"",IF(OR(AG24="",AH24="",AI24=""),"禁止开仓：交易预期未填写完整",IF(COUNTIFS(持仓跟踪!$A$2:$A$157,"止损计划",持仓跟踪!$B$2:$B$157,A24,持仓跟踪!$AC$2:$AC$157,"计划有效")=0,"禁止开仓：请先填写止损计划",IF(账户数据!$B$9+F24*(E24-N24)&gt;=账户数据!$B$7,"禁止开仓：风险额度不足",IF(AJ24="周期与交易预期不匹配，请重新确认",IF(账户数据!$B$23="接近锁仓","允许开仓（接近锁仓；周期需复核）","允许开仓（周期需复核）"),IF(账户数据!$B$23="接近锁仓","允许开仓（接近锁仓）","允许开仓"))))))))))</f>
        <v>已开仓</v>
      </c>
      <c r="H24" s="2">
        <v>1300</v>
      </c>
      <c r="I24" s="13">
        <v>45110</v>
      </c>
      <c r="J24" s="10">
        <v>50</v>
      </c>
      <c r="K24" s="5">
        <f>IF(A24="","",IFERROR(LOOKUP(2,1/((持仓跟踪!$B$2:$B$157=A24)*(持仓跟踪!$X$2:$X$157="执行卖出")*(持仓跟踪!$Y$2:$Y$157&lt;&gt;"")),持仓跟踪!$Y$2:$Y$157),""))</f>
        <v>48.59</v>
      </c>
      <c r="L24" s="8">
        <f>IF(A24="","",IFERROR(LOOKUP(2,1/((持仓跟踪!$B$2:$B$157=A24)*(持仓跟踪!$X$2:$X$157="执行卖出")*(持仓跟踪!$Z$2:$Z$157&lt;&gt;"")),持仓跟踪!$Z$2:$Z$157),""))</f>
        <v>1300</v>
      </c>
      <c r="M24" s="18">
        <f>IF(A24="","",IFERROR(LOOKUP(2,1/((持仓跟踪!$B$2:$B$157=A24)*(持仓跟踪!$X$2:$X$157="执行卖出")*(持仓跟踪!$H$2:$H$157&lt;&gt;"")),持仓跟踪!$H$2:$H$157),""))</f>
        <v>45112</v>
      </c>
      <c r="N24" s="10">
        <v>45</v>
      </c>
      <c r="O24" s="10"/>
      <c r="P24" s="5" t="str">
        <f>IF(A24="","",IFERROR(LOOKUP(2,1/((持仓跟踪!$B$2:$B$157=A24)*(持仓跟踪!$X$2:$X$157="执行卖出")*(持仓跟踪!$AA$2:$AA$157&lt;&gt;"")),持仓跟踪!$AA$2:$AA$157),""))</f>
        <v/>
      </c>
      <c r="Q24" s="2"/>
      <c r="R24" s="2"/>
      <c r="S24" s="2"/>
      <c r="T24" s="2"/>
      <c r="U24" s="7">
        <f>IF(OR(AO24="",J24="",AO24&lt;=0),"",(J24-AO24)/AO24)</f>
        <v>0.0692899914456801</v>
      </c>
      <c r="V24" s="7">
        <f>IF(OR(AO24="",N24="",AO24&lt;=0),"",(AO24-N24)/AO24)</f>
        <v>0.0376390076988879</v>
      </c>
      <c r="W24" s="19">
        <f>IF(OR(U24="",V24="",V24&lt;=0),"",U24/V24)</f>
        <v>1.84090909090909</v>
      </c>
      <c r="X24" s="5">
        <f>IF(OR(K24="",L24="",AP24=""),"",K24*L24-(E24*H24+IF(AND(AK24&lt;&gt;"",AL24&lt;&gt;""),AK24*AL24,0)+IF(AND(AM24&lt;&gt;"",AN24&lt;&gt;""),AM24*AN24,0))-IF(O24="",0,O24)-IF(P24="",0,P24))</f>
        <v>2379.00000000001</v>
      </c>
      <c r="Y24" s="7">
        <f>IF(OR(X24="",AP24=""),"",IF((E24*H24+IF(AND(AK24&lt;&gt;"",AL24&lt;&gt;""),AK24*AL24,0)+IF(AND(AM24&lt;&gt;"",AN24&lt;&gt;""),AM24*AN24,0))+IF(O24="",0,O24)&lt;=0,"",X24/((E24*H24+IF(AND(AK24&lt;&gt;"",AL24&lt;&gt;""),AK24*AL24,0)+IF(AND(AM24&lt;&gt;"",AN24&lt;&gt;""),AM24*AN24,0))+IF(O24="",0,O24))))</f>
        <v>0.039136013686912</v>
      </c>
      <c r="Z24" s="7">
        <f>IF(OR(AE24="",多次统计数据!$B$8=""),"",AE24-多次统计数据!$B$8)</f>
        <v>-0.051938733481048</v>
      </c>
      <c r="AA24" s="11">
        <f>IF(OR(I24="",M24="",M24&lt;I24),"",M24-I24)</f>
        <v>2</v>
      </c>
      <c r="AB24" s="7">
        <f>IF(OR(A24="",多次统计数据!$B$8="",多次统计数据!$B$6&lt;=0,多次统计数据!$B$6&gt;=1),"",1-POWER(1+多次统计数据!$B$8,-多次统计数据!$B$6/(1-多次统计数据!$B$6)))</f>
        <v>0.0530166567311223</v>
      </c>
      <c r="AC24" s="8" t="str">
        <f>IF(OR(AB24="",多次统计数据!$B$9=""),"",IF(多次统计数据!$B$9&lt;AB24,"低于上限","达到或超过上限"))</f>
        <v>低于上限</v>
      </c>
      <c r="AD24" s="2" t="s">
        <v>45</v>
      </c>
      <c r="AE24" s="7">
        <f>IF(OR(X24="",C24="",C24&lt;=0),"",X24/C24)</f>
        <v>0.0206098934419129</v>
      </c>
      <c r="AG24" s="2" t="s">
        <v>60</v>
      </c>
      <c r="AH24" s="2" t="s">
        <v>47</v>
      </c>
      <c r="AI24" s="2"/>
      <c r="AJ24" s="8" t="str">
        <f>IF(OR(AG24="",AH24=""),"",IF(OR(AND(AG24="短期博反弹",OR(AH24="1～3个交易日",AH24="4～10个交易日")),AND(AG24="突破冲新高",OR(AH24="4～10个交易日",AH24="11～20个交易日")),AND(AG24="趋势波段",OR(AH24="11～20个交易日",AH24="21～60个交易日",AH24="60个交易日以上"))),"匹配","周期与交易预期不匹配，请重新确认"))</f>
        <v>匹配</v>
      </c>
      <c r="AK24" s="10"/>
      <c r="AL24" s="12"/>
      <c r="AM24" s="10"/>
      <c r="AN24" s="12"/>
      <c r="AO24" s="5">
        <f>IF(OR(A24="",H24="",H24&lt;=0),"",(E24*H24+IF(AND(AK24&lt;&gt;"",AL24&lt;&gt;""),AK24*AL24,0)+IF(AND(AM24&lt;&gt;"",AN24&lt;&gt;""),AM24*AN24,0))/AP24)</f>
        <v>46.76</v>
      </c>
      <c r="AP24" s="11">
        <f>IF(OR(A24="",H24="",H24&lt;=0),"",H24+IF(AL24="",0,AL24)+IF(AN24="",0,AN24))</f>
        <v>1300</v>
      </c>
      <c r="AQ24" s="5">
        <f>IF(A24="","",IF(M24&lt;&gt;"",0,IF(OR(H24="",N24=""),"",MAX(E24-MAX(N24,IFERROR(SUMPRODUCT(MAX(((持仓跟踪!$A$2:$A$157="每日跟踪")*(持仓跟踪!$B$2:$B$157=A24))*持仓跟踪!$S$2:$S$157)),0)),0)*H24+IF(OR(AK24="",AL24=""),0,MAX(AK24-MAX(N24,IFERROR(SUMPRODUCT(MAX(((持仓跟踪!$A$2:$A$157="每日跟踪")*(持仓跟踪!$B$2:$B$157=A24))*持仓跟踪!$S$2:$S$157)),0)),0)*AL24)+IF(OR(AM24="",AN24=""),0,MAX(AM24-MAX(N24,IFERROR(SUMPRODUCT(MAX(((持仓跟踪!$A$2:$A$157="每日跟踪")*(持仓跟踪!$B$2:$B$157=A24))*持仓跟踪!$S$2:$S$157)),0)),0)*AN24))))</f>
        <v>0</v>
      </c>
      <c r="AR24" s="8" t="str">
        <f ca="1">IF(A24="","",IF(OR(E24="",H24=""),"违规：第一批价格或股数缺失",IF(OR(AND(AK24="",AL24&lt;&gt;""),AND(AK24&lt;&gt;"",AL24="")),"违规：第二批价格与股数须成对填写",IF(OR(AND(AM24="",AN24&lt;&gt;""),AND(AM24&lt;&gt;"",AN24="")),"违规：第三批价格与股数须成对填写",IF(AND(OR(AM24&lt;&gt;"",AN24&lt;&gt;""),OR(AK24="",AL24="")),"违规：必须先完成第二批",IF(OR(H24&lt;=0,H24&lt;&gt;INT(H24),MOD(H24,100)&lt;&gt;0,AND(AL24&lt;&gt;"",OR(AL24&lt;=0,AL24&lt;&gt;INT(AL24),MOD(AL24,100)&lt;&gt;0)),AND(AN24&lt;&gt;"",OR(AN24&lt;=0,AN24&lt;&gt;INT(AN24),MOD(AN24,100)&lt;&gt;0))),"违规：股数须为100股整数倍",IF(AND(OR(AL24&lt;&gt;"",AN24&lt;&gt;""),OR(_LockStatus="已锁仓",_LockStatus="解锁信息不完整")),"违规：锁仓期间禁止加仓",IF(AQ24&gt;C24*D24,"违规：超过单笔风险上限",IF(SUM($AQ$2:$AQ$98)&gt;账户数据!$B$7,"违规：超过账户风险上限","通过")))))))))</f>
        <v>通过</v>
      </c>
    </row>
    <row r="25" ht="17" spans="1:44">
      <c r="A25" s="2">
        <v>24</v>
      </c>
      <c r="B25" s="2" t="s">
        <v>59</v>
      </c>
      <c r="C25" s="10">
        <v>117809</v>
      </c>
      <c r="D25" s="6">
        <v>0.02</v>
      </c>
      <c r="E25" s="10">
        <v>46.69</v>
      </c>
      <c r="F25" s="8">
        <f>IF(OR(C25="",D25="",E25="",N25="",C25&lt;=0,D25&lt;=0,E25&lt;=N25),"",ROUNDDOWN((C25*D25)/(E25-N25)/100,0)*100)</f>
        <v>1300</v>
      </c>
      <c r="G25" s="8" t="str">
        <f ca="1">IF(A25="","",IF(H25&lt;&gt;"","已开仓",IF(账户数据!$B$23="已锁仓","禁止开仓：连续亏损达到上限",IF(账户数据!$B$23="解锁信息不完整","禁止开仓：请完整填写解锁信息",IF(OR(F25="",E25="",N25="",E25&lt;=N25,账户数据!$B$7=""),"",IF(OR(AG25="",AH25="",AI25=""),"禁止开仓：交易预期未填写完整",IF(COUNTIFS(持仓跟踪!$A$2:$A$157,"止损计划",持仓跟踪!$B$2:$B$157,A25,持仓跟踪!$AC$2:$AC$157,"计划有效")=0,"禁止开仓：请先填写止损计划",IF(账户数据!$B$9+F25*(E25-N25)&gt;=账户数据!$B$7,"禁止开仓：风险额度不足",IF(AJ25="周期与交易预期不匹配，请重新确认",IF(账户数据!$B$23="接近锁仓","允许开仓（接近锁仓；周期需复核）","允许开仓（周期需复核）"),IF(账户数据!$B$23="接近锁仓","允许开仓（接近锁仓）","允许开仓"))))))))))</f>
        <v>已开仓</v>
      </c>
      <c r="H25" s="2">
        <v>1300</v>
      </c>
      <c r="I25" s="13">
        <v>45131</v>
      </c>
      <c r="J25" s="10">
        <v>50</v>
      </c>
      <c r="K25" s="5">
        <f>IF(A25="","",IFERROR(LOOKUP(2,1/((持仓跟踪!$B$2:$B$157=A25)*(持仓跟踪!$X$2:$X$157="执行卖出")*(持仓跟踪!$Y$2:$Y$157&lt;&gt;"")),持仓跟踪!$Y$2:$Y$157),""))</f>
        <v>47.16</v>
      </c>
      <c r="L25" s="8">
        <f>IF(A25="","",IFERROR(LOOKUP(2,1/((持仓跟踪!$B$2:$B$157=A25)*(持仓跟踪!$X$2:$X$157="执行卖出")*(持仓跟踪!$Z$2:$Z$157&lt;&gt;"")),持仓跟踪!$Z$2:$Z$157),""))</f>
        <v>1300</v>
      </c>
      <c r="M25" s="18">
        <f>IF(A25="","",IFERROR(LOOKUP(2,1/((持仓跟踪!$B$2:$B$157=A25)*(持仓跟踪!$X$2:$X$157="执行卖出")*(持仓跟踪!$H$2:$H$157&lt;&gt;"")),持仓跟踪!$H$2:$H$157),""))</f>
        <v>45132</v>
      </c>
      <c r="N25" s="10">
        <v>45</v>
      </c>
      <c r="O25" s="10"/>
      <c r="P25" s="5" t="str">
        <f>IF(A25="","",IFERROR(LOOKUP(2,1/((持仓跟踪!$B$2:$B$157=A25)*(持仓跟踪!$X$2:$X$157="执行卖出")*(持仓跟踪!$AA$2:$AA$157&lt;&gt;"")),持仓跟踪!$AA$2:$AA$157),""))</f>
        <v/>
      </c>
      <c r="Q25" s="2"/>
      <c r="R25" s="2"/>
      <c r="S25" s="2"/>
      <c r="T25" s="2"/>
      <c r="U25" s="7">
        <f>IF(OR(AO25="",J25="",AO25&lt;=0),"",(J25-AO25)/AO25)</f>
        <v>0.0708931248661384</v>
      </c>
      <c r="V25" s="7">
        <f>IF(OR(AO25="",N25="",AO25&lt;=0),"",(AO25-N25)/AO25)</f>
        <v>0.0361961876204754</v>
      </c>
      <c r="W25" s="19">
        <f>IF(OR(U25="",V25="",V25&lt;=0),"",U25/V25)</f>
        <v>1.95857988165681</v>
      </c>
      <c r="X25" s="5">
        <f>IF(OR(K25="",L25="",AP25=""),"",K25*L25-(E25*H25+IF(AND(AK25&lt;&gt;"",AL25&lt;&gt;""),AK25*AL25,0)+IF(AND(AM25&lt;&gt;"",AN25&lt;&gt;""),AM25*AN25,0))-IF(O25="",0,O25)-IF(P25="",0,P25))</f>
        <v>610.999999999993</v>
      </c>
      <c r="Y25" s="7">
        <f>IF(OR(X25="",AP25=""),"",IF((E25*H25+IF(AND(AK25&lt;&gt;"",AL25&lt;&gt;""),AK25*AL25,0)+IF(AND(AM25&lt;&gt;"",AN25&lt;&gt;""),AM25*AN25,0))+IF(O25="",0,O25)&lt;=0,"",X25/((E25*H25+IF(AND(AK25&lt;&gt;"",AL25&lt;&gt;""),AK25*AL25,0)+IF(AND(AM25&lt;&gt;"",AN25&lt;&gt;""),AM25*AN25,0))+IF(O25="",0,O25))))</f>
        <v>0.0100663953737416</v>
      </c>
      <c r="Z25" s="7">
        <f>IF(OR(AE25="",多次统计数据!$B$8=""),"",AE25-多次统计数据!$B$8)</f>
        <v>-0.0673622659488419</v>
      </c>
      <c r="AA25" s="11">
        <f>IF(OR(I25="",M25="",M25&lt;I25),"",M25-I25)</f>
        <v>1</v>
      </c>
      <c r="AB25" s="7">
        <f>IF(OR(A25="",多次统计数据!$B$8="",多次统计数据!$B$6&lt;=0,多次统计数据!$B$6&gt;=1),"",1-POWER(1+多次统计数据!$B$8,-多次统计数据!$B$6/(1-多次统计数据!$B$6)))</f>
        <v>0.0530166567311223</v>
      </c>
      <c r="AC25" s="8" t="str">
        <f>IF(OR(AB25="",多次统计数据!$B$9=""),"",IF(多次统计数据!$B$9&lt;AB25,"低于上限","达到或超过上限"))</f>
        <v>低于上限</v>
      </c>
      <c r="AD25" s="2" t="s">
        <v>45</v>
      </c>
      <c r="AE25" s="7">
        <f>IF(OR(X25="",C25="",C25&lt;=0),"",X25/C25)</f>
        <v>0.00518636097411906</v>
      </c>
      <c r="AG25" s="2" t="s">
        <v>60</v>
      </c>
      <c r="AH25" s="2" t="s">
        <v>47</v>
      </c>
      <c r="AI25" s="2"/>
      <c r="AJ25" s="8" t="str">
        <f>IF(OR(AG25="",AH25=""),"",IF(OR(AND(AG25="短期博反弹",OR(AH25="1～3个交易日",AH25="4～10个交易日")),AND(AG25="突破冲新高",OR(AH25="4～10个交易日",AH25="11～20个交易日")),AND(AG25="趋势波段",OR(AH25="11～20个交易日",AH25="21～60个交易日",AH25="60个交易日以上"))),"匹配","周期与交易预期不匹配，请重新确认"))</f>
        <v>匹配</v>
      </c>
      <c r="AK25" s="10"/>
      <c r="AL25" s="12"/>
      <c r="AM25" s="10"/>
      <c r="AN25" s="12"/>
      <c r="AO25" s="5">
        <f>IF(OR(A25="",H25="",H25&lt;=0),"",(E25*H25+IF(AND(AK25&lt;&gt;"",AL25&lt;&gt;""),AK25*AL25,0)+IF(AND(AM25&lt;&gt;"",AN25&lt;&gt;""),AM25*AN25,0))/AP25)</f>
        <v>46.69</v>
      </c>
      <c r="AP25" s="11">
        <f>IF(OR(A25="",H25="",H25&lt;=0),"",H25+IF(AL25="",0,AL25)+IF(AN25="",0,AN25))</f>
        <v>1300</v>
      </c>
      <c r="AQ25" s="5">
        <f>IF(A25="","",IF(M25&lt;&gt;"",0,IF(OR(H25="",N25=""),"",MAX(E25-MAX(N25,IFERROR(SUMPRODUCT(MAX(((持仓跟踪!$A$2:$A$157="每日跟踪")*(持仓跟踪!$B$2:$B$157=A25))*持仓跟踪!$S$2:$S$157)),0)),0)*H25+IF(OR(AK25="",AL25=""),0,MAX(AK25-MAX(N25,IFERROR(SUMPRODUCT(MAX(((持仓跟踪!$A$2:$A$157="每日跟踪")*(持仓跟踪!$B$2:$B$157=A25))*持仓跟踪!$S$2:$S$157)),0)),0)*AL25)+IF(OR(AM25="",AN25=""),0,MAX(AM25-MAX(N25,IFERROR(SUMPRODUCT(MAX(((持仓跟踪!$A$2:$A$157="每日跟踪")*(持仓跟踪!$B$2:$B$157=A25))*持仓跟踪!$S$2:$S$157)),0)),0)*AN25))))</f>
        <v>0</v>
      </c>
      <c r="AR25" s="8" t="str">
        <f ca="1">IF(A25="","",IF(OR(E25="",H25=""),"违规：第一批价格或股数缺失",IF(OR(AND(AK25="",AL25&lt;&gt;""),AND(AK25&lt;&gt;"",AL25="")),"违规：第二批价格与股数须成对填写",IF(OR(AND(AM25="",AN25&lt;&gt;""),AND(AM25&lt;&gt;"",AN25="")),"违规：第三批价格与股数须成对填写",IF(AND(OR(AM25&lt;&gt;"",AN25&lt;&gt;""),OR(AK25="",AL25="")),"违规：必须先完成第二批",IF(OR(H25&lt;=0,H25&lt;&gt;INT(H25),MOD(H25,100)&lt;&gt;0,AND(AL25&lt;&gt;"",OR(AL25&lt;=0,AL25&lt;&gt;INT(AL25),MOD(AL25,100)&lt;&gt;0)),AND(AN25&lt;&gt;"",OR(AN25&lt;=0,AN25&lt;&gt;INT(AN25),MOD(AN25,100)&lt;&gt;0))),"违规：股数须为100股整数倍",IF(AND(OR(AL25&lt;&gt;"",AN25&lt;&gt;""),OR(_LockStatus="已锁仓",_LockStatus="解锁信息不完整")),"违规：锁仓期间禁止加仓",IF(AQ25&gt;C25*D25,"违规：超过单笔风险上限",IF(SUM($AQ$2:$AQ$98)&gt;账户数据!$B$7,"违规：超过账户风险上限","通过")))))))))</f>
        <v>通过</v>
      </c>
    </row>
    <row r="26" ht="17" spans="1:44">
      <c r="A26" s="2">
        <v>25</v>
      </c>
      <c r="B26" s="2" t="s">
        <v>59</v>
      </c>
      <c r="C26" s="10">
        <v>118420</v>
      </c>
      <c r="D26" s="6">
        <v>0.02</v>
      </c>
      <c r="E26" s="10">
        <v>48.45</v>
      </c>
      <c r="F26" s="8">
        <f>IF(OR(C26="",D26="",E26="",N26="",C26&lt;=0,D26&lt;=0,E26&lt;=N26),"",ROUNDDOWN((C26*D26)/(E26-N26)/100,0)*100)</f>
        <v>1600</v>
      </c>
      <c r="G26" s="8" t="str">
        <f ca="1">IF(A26="","",IF(H26&lt;&gt;"","已开仓",IF(账户数据!$B$23="已锁仓","禁止开仓：连续亏损达到上限",IF(账户数据!$B$23="解锁信息不完整","禁止开仓：请完整填写解锁信息",IF(OR(F26="",E26="",N26="",E26&lt;=N26,账户数据!$B$7=""),"",IF(OR(AG26="",AH26="",AI26=""),"禁止开仓：交易预期未填写完整",IF(COUNTIFS(持仓跟踪!$A$2:$A$157,"止损计划",持仓跟踪!$B$2:$B$157,A26,持仓跟踪!$AC$2:$AC$157,"计划有效")=0,"禁止开仓：请先填写止损计划",IF(账户数据!$B$9+F26*(E26-N26)&gt;=账户数据!$B$7,"禁止开仓：风险额度不足",IF(AJ26="周期与交易预期不匹配，请重新确认",IF(账户数据!$B$23="接近锁仓","允许开仓（接近锁仓；周期需复核）","允许开仓（周期需复核）"),IF(账户数据!$B$23="接近锁仓","允许开仓（接近锁仓）","允许开仓"))))))))))</f>
        <v>已开仓</v>
      </c>
      <c r="H26" s="2">
        <v>1600</v>
      </c>
      <c r="I26" s="13">
        <v>45135</v>
      </c>
      <c r="J26" s="10">
        <v>50</v>
      </c>
      <c r="K26" s="5">
        <f>IF(A26="","",IFERROR(LOOKUP(2,1/((持仓跟踪!$B$2:$B$157=A26)*(持仓跟踪!$X$2:$X$157="执行卖出")*(持仓跟踪!$Y$2:$Y$157&lt;&gt;"")),持仓跟踪!$Y$2:$Y$157),""))</f>
        <v>43.98</v>
      </c>
      <c r="L26" s="8">
        <f>IF(A26="","",IFERROR(LOOKUP(2,1/((持仓跟踪!$B$2:$B$157=A26)*(持仓跟踪!$X$2:$X$157="执行卖出")*(持仓跟踪!$Z$2:$Z$157&lt;&gt;"")),持仓跟踪!$Z$2:$Z$157),""))</f>
        <v>1600</v>
      </c>
      <c r="M26" s="18">
        <f>IF(A26="","",IFERROR(LOOKUP(2,1/((持仓跟踪!$B$2:$B$157=A26)*(持仓跟踪!$X$2:$X$157="执行卖出")*(持仓跟踪!$H$2:$H$157&lt;&gt;"")),持仓跟踪!$H$2:$H$157),""))</f>
        <v>45138</v>
      </c>
      <c r="N26" s="10">
        <v>47</v>
      </c>
      <c r="O26" s="10"/>
      <c r="P26" s="5" t="str">
        <f>IF(A26="","",IFERROR(LOOKUP(2,1/((持仓跟踪!$B$2:$B$157=A26)*(持仓跟踪!$X$2:$X$157="执行卖出")*(持仓跟踪!$AA$2:$AA$157&lt;&gt;"")),持仓跟踪!$AA$2:$AA$157),""))</f>
        <v/>
      </c>
      <c r="Q26" s="2"/>
      <c r="R26" s="2"/>
      <c r="S26" s="2"/>
      <c r="T26" s="2"/>
      <c r="U26" s="7">
        <f>IF(OR(AO26="",J26="",AO26&lt;=0),"",(J26-AO26)/AO26)</f>
        <v>0.0319917440660474</v>
      </c>
      <c r="V26" s="7">
        <f>IF(OR(AO26="",N26="",AO26&lt;=0),"",(AO26-N26)/AO26)</f>
        <v>0.0299277605779154</v>
      </c>
      <c r="W26" s="19">
        <f>IF(OR(U26="",V26="",V26&lt;=0),"",U26/V26)</f>
        <v>1.06896551724138</v>
      </c>
      <c r="X26" s="5">
        <f>IF(OR(K26="",L26="",AP26=""),"",K26*L26-(E26*H26+IF(AND(AK26&lt;&gt;"",AL26&lt;&gt;""),AK26*AL26,0)+IF(AND(AM26&lt;&gt;"",AN26&lt;&gt;""),AM26*AN26,0))-IF(O26="",0,O26)-IF(P26="",0,P26))</f>
        <v>-7152</v>
      </c>
      <c r="Y26" s="7">
        <f>IF(OR(X26="",AP26=""),"",IF((E26*H26+IF(AND(AK26&lt;&gt;"",AL26&lt;&gt;""),AK26*AL26,0)+IF(AND(AM26&lt;&gt;"",AN26&lt;&gt;""),AM26*AN26,0))+IF(O26="",0,O26)&lt;=0,"",X26/((E26*H26+IF(AND(AK26&lt;&gt;"",AL26&lt;&gt;""),AK26*AL26,0)+IF(AND(AM26&lt;&gt;"",AN26&lt;&gt;""),AM26*AN26,0))+IF(O26="",0,O26))))</f>
        <v>-0.0922600619195046</v>
      </c>
      <c r="Z26" s="7">
        <f>IF(OR(AE26="",多次统计数据!$B$8=""),"",AE26-多次统计数据!$B$8)</f>
        <v>-0.132943830435881</v>
      </c>
      <c r="AA26" s="11">
        <f>IF(OR(I26="",M26="",M26&lt;I26),"",M26-I26)</f>
        <v>3</v>
      </c>
      <c r="AB26" s="7">
        <f>IF(OR(A26="",多次统计数据!$B$8="",多次统计数据!$B$6&lt;=0,多次统计数据!$B$6&gt;=1),"",1-POWER(1+多次统计数据!$B$8,-多次统计数据!$B$6/(1-多次统计数据!$B$6)))</f>
        <v>0.0530166567311223</v>
      </c>
      <c r="AC26" s="8" t="str">
        <f>IF(OR(AB26="",多次统计数据!$B$9=""),"",IF(多次统计数据!$B$9&lt;AB26,"低于上限","达到或超过上限"))</f>
        <v>低于上限</v>
      </c>
      <c r="AD26" s="2" t="s">
        <v>50</v>
      </c>
      <c r="AE26" s="7">
        <f>IF(OR(X26="",C26="",C26&lt;=0),"",X26/C26)</f>
        <v>-0.0603952035129201</v>
      </c>
      <c r="AG26" s="2" t="s">
        <v>60</v>
      </c>
      <c r="AH26" s="2" t="s">
        <v>47</v>
      </c>
      <c r="AI26" s="2"/>
      <c r="AJ26" s="8" t="str">
        <f>IF(OR(AG26="",AH26=""),"",IF(OR(AND(AG26="短期博反弹",OR(AH26="1～3个交易日",AH26="4～10个交易日")),AND(AG26="突破冲新高",OR(AH26="4～10个交易日",AH26="11～20个交易日")),AND(AG26="趋势波段",OR(AH26="11～20个交易日",AH26="21～60个交易日",AH26="60个交易日以上"))),"匹配","周期与交易预期不匹配，请重新确认"))</f>
        <v>匹配</v>
      </c>
      <c r="AK26" s="10"/>
      <c r="AL26" s="12"/>
      <c r="AM26" s="10"/>
      <c r="AN26" s="12"/>
      <c r="AO26" s="5">
        <f>IF(OR(A26="",H26="",H26&lt;=0),"",(E26*H26+IF(AND(AK26&lt;&gt;"",AL26&lt;&gt;""),AK26*AL26,0)+IF(AND(AM26&lt;&gt;"",AN26&lt;&gt;""),AM26*AN26,0))/AP26)</f>
        <v>48.45</v>
      </c>
      <c r="AP26" s="11">
        <f>IF(OR(A26="",H26="",H26&lt;=0),"",H26+IF(AL26="",0,AL26)+IF(AN26="",0,AN26))</f>
        <v>1600</v>
      </c>
      <c r="AQ26" s="5">
        <f>IF(A26="","",IF(M26&lt;&gt;"",0,IF(OR(H26="",N26=""),"",MAX(E26-MAX(N26,IFERROR(SUMPRODUCT(MAX(((持仓跟踪!$A$2:$A$157="每日跟踪")*(持仓跟踪!$B$2:$B$157=A26))*持仓跟踪!$S$2:$S$157)),0)),0)*H26+IF(OR(AK26="",AL26=""),0,MAX(AK26-MAX(N26,IFERROR(SUMPRODUCT(MAX(((持仓跟踪!$A$2:$A$157="每日跟踪")*(持仓跟踪!$B$2:$B$157=A26))*持仓跟踪!$S$2:$S$157)),0)),0)*AL26)+IF(OR(AM26="",AN26=""),0,MAX(AM26-MAX(N26,IFERROR(SUMPRODUCT(MAX(((持仓跟踪!$A$2:$A$157="每日跟踪")*(持仓跟踪!$B$2:$B$157=A26))*持仓跟踪!$S$2:$S$157)),0)),0)*AN26))))</f>
        <v>0</v>
      </c>
      <c r="AR26" s="8" t="str">
        <f ca="1">IF(A26="","",IF(OR(E26="",H26=""),"违规：第一批价格或股数缺失",IF(OR(AND(AK26="",AL26&lt;&gt;""),AND(AK26&lt;&gt;"",AL26="")),"违规：第二批价格与股数须成对填写",IF(OR(AND(AM26="",AN26&lt;&gt;""),AND(AM26&lt;&gt;"",AN26="")),"违规：第三批价格与股数须成对填写",IF(AND(OR(AM26&lt;&gt;"",AN26&lt;&gt;""),OR(AK26="",AL26="")),"违规：必须先完成第二批",IF(OR(H26&lt;=0,H26&lt;&gt;INT(H26),MOD(H26,100)&lt;&gt;0,AND(AL26&lt;&gt;"",OR(AL26&lt;=0,AL26&lt;&gt;INT(AL26),MOD(AL26,100)&lt;&gt;0)),AND(AN26&lt;&gt;"",OR(AN26&lt;=0,AN26&lt;&gt;INT(AN26),MOD(AN26,100)&lt;&gt;0))),"违规：股数须为100股整数倍",IF(AND(OR(AL26&lt;&gt;"",AN26&lt;&gt;""),OR(_LockStatus="已锁仓",_LockStatus="解锁信息不完整")),"违规：锁仓期间禁止加仓",IF(AQ26&gt;C26*D26,"违规：超过单笔风险上限",IF(SUM($AQ$2:$AQ$98)&gt;账户数据!$B$7,"违规：超过账户风险上限","通过")))))))))</f>
        <v>通过</v>
      </c>
    </row>
    <row r="27" ht="17" spans="1:44">
      <c r="A27" s="2">
        <v>26</v>
      </c>
      <c r="B27" s="2" t="s">
        <v>59</v>
      </c>
      <c r="C27" s="10">
        <v>111268</v>
      </c>
      <c r="D27" s="6">
        <v>0.02</v>
      </c>
      <c r="E27" s="10">
        <v>43</v>
      </c>
      <c r="F27" s="8">
        <f>IF(OR(C27="",D27="",E27="",N27="",C27&lt;=0,D27&lt;=0,E27&lt;=N27),"",ROUNDDOWN((C27*D27)/(E27-N27)/100,0)*100)</f>
        <v>1400</v>
      </c>
      <c r="G27" s="8" t="str">
        <f ca="1">IF(A27="","",IF(H27&lt;&gt;"","已开仓",IF(账户数据!$B$23="已锁仓","禁止开仓：连续亏损达到上限",IF(账户数据!$B$23="解锁信息不完整","禁止开仓：请完整填写解锁信息",IF(OR(F27="",E27="",N27="",E27&lt;=N27,账户数据!$B$7=""),"",IF(OR(AG27="",AH27="",AI27=""),"禁止开仓：交易预期未填写完整",IF(COUNTIFS(持仓跟踪!$A$2:$A$157,"止损计划",持仓跟踪!$B$2:$B$157,A27,持仓跟踪!$AC$2:$AC$157,"计划有效")=0,"禁止开仓：请先填写止损计划",IF(账户数据!$B$9+F27*(E27-N27)&gt;=账户数据!$B$7,"禁止开仓：风险额度不足",IF(AJ27="周期与交易预期不匹配，请重新确认",IF(账户数据!$B$23="接近锁仓","允许开仓（接近锁仓；周期需复核）","允许开仓（周期需复核）"),IF(账户数据!$B$23="接近锁仓","允许开仓（接近锁仓）","允许开仓"))))))))))</f>
        <v>已开仓</v>
      </c>
      <c r="H27" s="2">
        <v>1400</v>
      </c>
      <c r="I27" s="13">
        <v>45184</v>
      </c>
      <c r="J27" s="10">
        <v>45</v>
      </c>
      <c r="K27" s="5">
        <f>IF(A27="","",IFERROR(LOOKUP(2,1/((持仓跟踪!$B$2:$B$157=A27)*(持仓跟踪!$X$2:$X$157="执行卖出")*(持仓跟踪!$Y$2:$Y$157&lt;&gt;"")),持仓跟踪!$Y$2:$Y$157),""))</f>
        <v>43.63</v>
      </c>
      <c r="L27" s="8">
        <f>IF(A27="","",IFERROR(LOOKUP(2,1/((持仓跟踪!$B$2:$B$157=A27)*(持仓跟踪!$X$2:$X$157="执行卖出")*(持仓跟踪!$Z$2:$Z$157&lt;&gt;"")),持仓跟踪!$Z$2:$Z$157),""))</f>
        <v>1400</v>
      </c>
      <c r="M27" s="18">
        <f>IF(A27="","",IFERROR(LOOKUP(2,1/((持仓跟踪!$B$2:$B$157=A27)*(持仓跟踪!$X$2:$X$157="执行卖出")*(持仓跟踪!$H$2:$H$157&lt;&gt;"")),持仓跟踪!$H$2:$H$157),""))</f>
        <v>45215</v>
      </c>
      <c r="N27" s="10">
        <v>41.5</v>
      </c>
      <c r="O27" s="10"/>
      <c r="P27" s="5" t="str">
        <f>IF(A27="","",IFERROR(LOOKUP(2,1/((持仓跟踪!$B$2:$B$157=A27)*(持仓跟踪!$X$2:$X$157="执行卖出")*(持仓跟踪!$AA$2:$AA$157&lt;&gt;"")),持仓跟踪!$AA$2:$AA$157),""))</f>
        <v/>
      </c>
      <c r="Q27" s="2"/>
      <c r="R27" s="2"/>
      <c r="S27" s="2"/>
      <c r="T27" s="2"/>
      <c r="U27" s="7">
        <f>IF(OR(AO27="",J27="",AO27&lt;=0),"",(J27-AO27)/AO27)</f>
        <v>0.0465116279069767</v>
      </c>
      <c r="V27" s="7">
        <f>IF(OR(AO27="",N27="",AO27&lt;=0),"",(AO27-N27)/AO27)</f>
        <v>0.0348837209302326</v>
      </c>
      <c r="W27" s="19">
        <f>IF(OR(U27="",V27="",V27&lt;=0),"",U27/V27)</f>
        <v>1.33333333333333</v>
      </c>
      <c r="X27" s="5">
        <f>IF(OR(K27="",L27="",AP27=""),"",K27*L27-(E27*H27+IF(AND(AK27&lt;&gt;"",AL27&lt;&gt;""),AK27*AL27,0)+IF(AND(AM27&lt;&gt;"",AN27&lt;&gt;""),AM27*AN27,0))-IF(O27="",0,O27)-IF(P27="",0,P27))</f>
        <v>882</v>
      </c>
      <c r="Y27" s="7">
        <f>IF(OR(X27="",AP27=""),"",IF((E27*H27+IF(AND(AK27&lt;&gt;"",AL27&lt;&gt;""),AK27*AL27,0)+IF(AND(AM27&lt;&gt;"",AN27&lt;&gt;""),AM27*AN27,0))+IF(O27="",0,O27)&lt;=0,"",X27/((E27*H27+IF(AND(AK27&lt;&gt;"",AL27&lt;&gt;""),AK27*AL27,0)+IF(AND(AM27&lt;&gt;"",AN27&lt;&gt;""),AM27*AN27,0))+IF(O27="",0,O27))))</f>
        <v>0.0146511627906977</v>
      </c>
      <c r="Z27" s="7">
        <f>IF(OR(AE27="",多次统计数据!$B$8=""),"",AE27-多次统计数据!$B$8)</f>
        <v>-0.0646218195749364</v>
      </c>
      <c r="AA27" s="11">
        <f>IF(OR(I27="",M27="",M27&lt;I27),"",M27-I27)</f>
        <v>31</v>
      </c>
      <c r="AB27" s="7">
        <f>IF(OR(A27="",多次统计数据!$B$8="",多次统计数据!$B$6&lt;=0,多次统计数据!$B$6&gt;=1),"",1-POWER(1+多次统计数据!$B$8,-多次统计数据!$B$6/(1-多次统计数据!$B$6)))</f>
        <v>0.0530166567311223</v>
      </c>
      <c r="AC27" s="8" t="str">
        <f>IF(OR(AB27="",多次统计数据!$B$9=""),"",IF(多次统计数据!$B$9&lt;AB27,"低于上限","达到或超过上限"))</f>
        <v>低于上限</v>
      </c>
      <c r="AD27" s="2" t="s">
        <v>50</v>
      </c>
      <c r="AE27" s="7">
        <f>IF(OR(X27="",C27="",C27&lt;=0),"",X27/C27)</f>
        <v>0.00792680734802459</v>
      </c>
      <c r="AG27" s="2" t="s">
        <v>60</v>
      </c>
      <c r="AH27" s="2" t="s">
        <v>47</v>
      </c>
      <c r="AI27" s="2"/>
      <c r="AJ27" s="8" t="str">
        <f>IF(OR(AG27="",AH27=""),"",IF(OR(AND(AG27="短期博反弹",OR(AH27="1～3个交易日",AH27="4～10个交易日")),AND(AG27="突破冲新高",OR(AH27="4～10个交易日",AH27="11～20个交易日")),AND(AG27="趋势波段",OR(AH27="11～20个交易日",AH27="21～60个交易日",AH27="60个交易日以上"))),"匹配","周期与交易预期不匹配，请重新确认"))</f>
        <v>匹配</v>
      </c>
      <c r="AK27" s="10"/>
      <c r="AL27" s="12"/>
      <c r="AM27" s="10"/>
      <c r="AN27" s="12"/>
      <c r="AO27" s="5">
        <f>IF(OR(A27="",H27="",H27&lt;=0),"",(E27*H27+IF(AND(AK27&lt;&gt;"",AL27&lt;&gt;""),AK27*AL27,0)+IF(AND(AM27&lt;&gt;"",AN27&lt;&gt;""),AM27*AN27,0))/AP27)</f>
        <v>43</v>
      </c>
      <c r="AP27" s="11">
        <f>IF(OR(A27="",H27="",H27&lt;=0),"",H27+IF(AL27="",0,AL27)+IF(AN27="",0,AN27))</f>
        <v>1400</v>
      </c>
      <c r="AQ27" s="5">
        <f>IF(A27="","",IF(M27&lt;&gt;"",0,IF(OR(H27="",N27=""),"",MAX(E27-MAX(N27,IFERROR(SUMPRODUCT(MAX(((持仓跟踪!$A$2:$A$157="每日跟踪")*(持仓跟踪!$B$2:$B$157=A27))*持仓跟踪!$S$2:$S$157)),0)),0)*H27+IF(OR(AK27="",AL27=""),0,MAX(AK27-MAX(N27,IFERROR(SUMPRODUCT(MAX(((持仓跟踪!$A$2:$A$157="每日跟踪")*(持仓跟踪!$B$2:$B$157=A27))*持仓跟踪!$S$2:$S$157)),0)),0)*AL27)+IF(OR(AM27="",AN27=""),0,MAX(AM27-MAX(N27,IFERROR(SUMPRODUCT(MAX(((持仓跟踪!$A$2:$A$157="每日跟踪")*(持仓跟踪!$B$2:$B$157=A27))*持仓跟踪!$S$2:$S$157)),0)),0)*AN27))))</f>
        <v>0</v>
      </c>
      <c r="AR27" s="8" t="str">
        <f ca="1">IF(A27="","",IF(OR(E27="",H27=""),"违规：第一批价格或股数缺失",IF(OR(AND(AK27="",AL27&lt;&gt;""),AND(AK27&lt;&gt;"",AL27="")),"违规：第二批价格与股数须成对填写",IF(OR(AND(AM27="",AN27&lt;&gt;""),AND(AM27&lt;&gt;"",AN27="")),"违规：第三批价格与股数须成对填写",IF(AND(OR(AM27&lt;&gt;"",AN27&lt;&gt;""),OR(AK27="",AL27="")),"违规：必须先完成第二批",IF(OR(H27&lt;=0,H27&lt;&gt;INT(H27),MOD(H27,100)&lt;&gt;0,AND(AL27&lt;&gt;"",OR(AL27&lt;=0,AL27&lt;&gt;INT(AL27),MOD(AL27,100)&lt;&gt;0)),AND(AN27&lt;&gt;"",OR(AN27&lt;=0,AN27&lt;&gt;INT(AN27),MOD(AN27,100)&lt;&gt;0))),"违规：股数须为100股整数倍",IF(AND(OR(AL27&lt;&gt;"",AN27&lt;&gt;""),OR(_LockStatus="已锁仓",_LockStatus="解锁信息不完整")),"违规：锁仓期间禁止加仓",IF(AQ27&gt;C27*D27,"违规：超过单笔风险上限",IF(SUM($AQ$2:$AQ$98)&gt;账户数据!$B$7,"违规：超过账户风险上限","通过")))))))))</f>
        <v>通过</v>
      </c>
    </row>
    <row r="28" ht="17" spans="1:44">
      <c r="A28" s="2">
        <v>27</v>
      </c>
      <c r="B28" s="2" t="s">
        <v>59</v>
      </c>
      <c r="C28" s="10">
        <v>112510</v>
      </c>
      <c r="D28" s="6">
        <v>0.02</v>
      </c>
      <c r="E28" s="10">
        <v>46.73</v>
      </c>
      <c r="F28" s="8">
        <f>IF(OR(C28="",D28="",E28="",N28="",C28&lt;=0,D28&lt;=0,E28&lt;=N28),"",ROUNDDOWN((C28*D28)/(E28-N28)/100,0)*100)</f>
        <v>3000</v>
      </c>
      <c r="G28" s="8" t="str">
        <f ca="1">IF(A28="","",IF(H28&lt;&gt;"","已开仓",IF(账户数据!$B$23="已锁仓","禁止开仓：连续亏损达到上限",IF(账户数据!$B$23="解锁信息不完整","禁止开仓：请完整填写解锁信息",IF(OR(F28="",E28="",N28="",E28&lt;=N28,账户数据!$B$7=""),"",IF(OR(AG28="",AH28="",AI28=""),"禁止开仓：交易预期未填写完整",IF(COUNTIFS(持仓跟踪!$A$2:$A$157,"止损计划",持仓跟踪!$B$2:$B$157,A28,持仓跟踪!$AC$2:$AC$157,"计划有效")=0,"禁止开仓：请先填写止损计划",IF(账户数据!$B$9+F28*(E28-N28)&gt;=账户数据!$B$7,"禁止开仓：风险额度不足",IF(AJ28="周期与交易预期不匹配，请重新确认",IF(账户数据!$B$23="接近锁仓","允许开仓（接近锁仓；周期需复核）","允许开仓（周期需复核）"),IF(账户数据!$B$23="接近锁仓","允许开仓（接近锁仓）","允许开仓"))))))))))</f>
        <v>已开仓</v>
      </c>
      <c r="H28" s="2">
        <v>3000</v>
      </c>
      <c r="I28" s="13">
        <v>45245</v>
      </c>
      <c r="J28" s="10">
        <v>50</v>
      </c>
      <c r="K28" s="5">
        <f>IF(A28="","",IFERROR(LOOKUP(2,1/((持仓跟踪!$B$2:$B$157=A28)*(持仓跟踪!$X$2:$X$157="执行卖出")*(持仓跟踪!$Y$2:$Y$157&lt;&gt;"")),持仓跟踪!$Y$2:$Y$157),""))</f>
        <v>45.39</v>
      </c>
      <c r="L28" s="8">
        <f>IF(A28="","",IFERROR(LOOKUP(2,1/((持仓跟踪!$B$2:$B$157=A28)*(持仓跟踪!$X$2:$X$157="执行卖出")*(持仓跟踪!$Z$2:$Z$157&lt;&gt;"")),持仓跟踪!$Z$2:$Z$157),""))</f>
        <v>3000</v>
      </c>
      <c r="M28" s="18">
        <f>IF(A28="","",IFERROR(LOOKUP(2,1/((持仓跟踪!$B$2:$B$157=A28)*(持仓跟踪!$X$2:$X$157="执行卖出")*(持仓跟踪!$H$2:$H$157&lt;&gt;"")),持仓跟踪!$H$2:$H$157),""))</f>
        <v>45264</v>
      </c>
      <c r="N28" s="10">
        <v>46</v>
      </c>
      <c r="O28" s="10"/>
      <c r="P28" s="5" t="str">
        <f>IF(A28="","",IFERROR(LOOKUP(2,1/((持仓跟踪!$B$2:$B$157=A28)*(持仓跟踪!$X$2:$X$157="执行卖出")*(持仓跟踪!$AA$2:$AA$157&lt;&gt;"")),持仓跟踪!$AA$2:$AA$157),""))</f>
        <v/>
      </c>
      <c r="Q28" s="2"/>
      <c r="R28" s="2"/>
      <c r="S28" s="2"/>
      <c r="T28" s="2"/>
      <c r="U28" s="7">
        <f>IF(OR(AO28="",J28="",AO28&lt;=0),"",(J28-AO28)/AO28)</f>
        <v>0.0699764605178687</v>
      </c>
      <c r="V28" s="7">
        <f>IF(OR(AO28="",N28="",AO28&lt;=0),"",(AO28-N28)/AO28)</f>
        <v>0.0156216563235608</v>
      </c>
      <c r="W28" s="19">
        <f>IF(OR(U28="",V28="",V28&lt;=0),"",U28/V28)</f>
        <v>4.47945205479454</v>
      </c>
      <c r="X28" s="5">
        <f>IF(OR(K28="",L28="",AP28=""),"",K28*L28-(E28*H28+IF(AND(AK28&lt;&gt;"",AL28&lt;&gt;""),AK28*AL28,0)+IF(AND(AM28&lt;&gt;"",AN28&lt;&gt;""),AM28*AN28,0))-IF(O28="",0,O28)-IF(P28="",0,P28))</f>
        <v>-4020</v>
      </c>
      <c r="Y28" s="7">
        <f>IF(OR(X28="",AP28=""),"",IF((E28*H28+IF(AND(AK28&lt;&gt;"",AL28&lt;&gt;""),AK28*AL28,0)+IF(AND(AM28&lt;&gt;"",AN28&lt;&gt;""),AM28*AN28,0))+IF(O28="",0,O28)&lt;=0,"",X28/((E28*H28+IF(AND(AK28&lt;&gt;"",AL28&lt;&gt;""),AK28*AL28,0)+IF(AND(AM28&lt;&gt;"",AN28&lt;&gt;""),AM28*AN28,0))+IF(O28="",0,O28))))</f>
        <v>-0.0286753691418789</v>
      </c>
      <c r="Z28" s="7">
        <f>IF(OR(AE28="",多次统计数据!$B$8=""),"",AE28-多次统计数据!$B$8)</f>
        <v>-0.10827878424231</v>
      </c>
      <c r="AA28" s="11">
        <f>IF(OR(I28="",M28="",M28&lt;I28),"",M28-I28)</f>
        <v>19</v>
      </c>
      <c r="AB28" s="7">
        <f>IF(OR(A28="",多次统计数据!$B$8="",多次统计数据!$B$6&lt;=0,多次统计数据!$B$6&gt;=1),"",1-POWER(1+多次统计数据!$B$8,-多次统计数据!$B$6/(1-多次统计数据!$B$6)))</f>
        <v>0.0530166567311223</v>
      </c>
      <c r="AC28" s="8" t="str">
        <f>IF(OR(AB28="",多次统计数据!$B$9=""),"",IF(多次统计数据!$B$9&lt;AB28,"低于上限","达到或超过上限"))</f>
        <v>低于上限</v>
      </c>
      <c r="AD28" s="2" t="s">
        <v>50</v>
      </c>
      <c r="AE28" s="7">
        <f>IF(OR(X28="",C28="",C28&lt;=0),"",X28/C28)</f>
        <v>-0.0357301573193494</v>
      </c>
      <c r="AG28" s="2" t="s">
        <v>60</v>
      </c>
      <c r="AH28" s="2" t="s">
        <v>47</v>
      </c>
      <c r="AI28" s="2"/>
      <c r="AJ28" s="8" t="str">
        <f>IF(OR(AG28="",AH28=""),"",IF(OR(AND(AG28="短期博反弹",OR(AH28="1～3个交易日",AH28="4～10个交易日")),AND(AG28="突破冲新高",OR(AH28="4～10个交易日",AH28="11～20个交易日")),AND(AG28="趋势波段",OR(AH28="11～20个交易日",AH28="21～60个交易日",AH28="60个交易日以上"))),"匹配","周期与交易预期不匹配，请重新确认"))</f>
        <v>匹配</v>
      </c>
      <c r="AK28" s="10"/>
      <c r="AL28" s="12"/>
      <c r="AM28" s="10"/>
      <c r="AN28" s="12"/>
      <c r="AO28" s="5">
        <f>IF(OR(A28="",H28="",H28&lt;=0),"",(E28*H28+IF(AND(AK28&lt;&gt;"",AL28&lt;&gt;""),AK28*AL28,0)+IF(AND(AM28&lt;&gt;"",AN28&lt;&gt;""),AM28*AN28,0))/AP28)</f>
        <v>46.73</v>
      </c>
      <c r="AP28" s="11">
        <f>IF(OR(A28="",H28="",H28&lt;=0),"",H28+IF(AL28="",0,AL28)+IF(AN28="",0,AN28))</f>
        <v>3000</v>
      </c>
      <c r="AQ28" s="5">
        <f>IF(A28="","",IF(M28&lt;&gt;"",0,IF(OR(H28="",N28=""),"",MAX(E28-MAX(N28,IFERROR(SUMPRODUCT(MAX(((持仓跟踪!$A$2:$A$157="每日跟踪")*(持仓跟踪!$B$2:$B$157=A28))*持仓跟踪!$S$2:$S$157)),0)),0)*H28+IF(OR(AK28="",AL28=""),0,MAX(AK28-MAX(N28,IFERROR(SUMPRODUCT(MAX(((持仓跟踪!$A$2:$A$157="每日跟踪")*(持仓跟踪!$B$2:$B$157=A28))*持仓跟踪!$S$2:$S$157)),0)),0)*AL28)+IF(OR(AM28="",AN28=""),0,MAX(AM28-MAX(N28,IFERROR(SUMPRODUCT(MAX(((持仓跟踪!$A$2:$A$157="每日跟踪")*(持仓跟踪!$B$2:$B$157=A28))*持仓跟踪!$S$2:$S$157)),0)),0)*AN28))))</f>
        <v>0</v>
      </c>
      <c r="AR28" s="8" t="str">
        <f ca="1">IF(A28="","",IF(OR(E28="",H28=""),"违规：第一批价格或股数缺失",IF(OR(AND(AK28="",AL28&lt;&gt;""),AND(AK28&lt;&gt;"",AL28="")),"违规：第二批价格与股数须成对填写",IF(OR(AND(AM28="",AN28&lt;&gt;""),AND(AM28&lt;&gt;"",AN28="")),"违规：第三批价格与股数须成对填写",IF(AND(OR(AM28&lt;&gt;"",AN28&lt;&gt;""),OR(AK28="",AL28="")),"违规：必须先完成第二批",IF(OR(H28&lt;=0,H28&lt;&gt;INT(H28),MOD(H28,100)&lt;&gt;0,AND(AL28&lt;&gt;"",OR(AL28&lt;=0,AL28&lt;&gt;INT(AL28),MOD(AL28,100)&lt;&gt;0)),AND(AN28&lt;&gt;"",OR(AN28&lt;=0,AN28&lt;&gt;INT(AN28),MOD(AN28,100)&lt;&gt;0))),"违规：股数须为100股整数倍",IF(AND(OR(AL28&lt;&gt;"",AN28&lt;&gt;""),OR(_LockStatus="已锁仓",_LockStatus="解锁信息不完整")),"违规：锁仓期间禁止加仓",IF(AQ28&gt;C28*D28,"违规：超过单笔风险上限",IF(SUM($AQ$2:$AQ$98)&gt;账户数据!$B$7,"违规：超过账户风险上限","通过")))))))))</f>
        <v>通过</v>
      </c>
    </row>
    <row r="29" ht="17" spans="1:44">
      <c r="A29" s="2">
        <v>28</v>
      </c>
      <c r="B29" s="2" t="s">
        <v>59</v>
      </c>
      <c r="C29" s="10">
        <v>108130</v>
      </c>
      <c r="D29" s="6">
        <v>0.02</v>
      </c>
      <c r="E29" s="10">
        <v>46.56</v>
      </c>
      <c r="F29" s="8">
        <f>IF(OR(C29="",D29="",E29="",N29="",C29&lt;=0,D29&lt;=0,E29&lt;=N29),"",ROUNDDOWN((C29*D29)/(E29-N29)/100,0)*100)</f>
        <v>3800</v>
      </c>
      <c r="G29" s="8" t="str">
        <f ca="1">IF(A29="","",IF(H29&lt;&gt;"","已开仓",IF(账户数据!$B$23="已锁仓","禁止开仓：连续亏损达到上限",IF(账户数据!$B$23="解锁信息不完整","禁止开仓：请完整填写解锁信息",IF(OR(F29="",E29="",N29="",E29&lt;=N29,账户数据!$B$7=""),"",IF(OR(AG29="",AH29="",AI29=""),"禁止开仓：交易预期未填写完整",IF(COUNTIFS(持仓跟踪!$A$2:$A$157,"止损计划",持仓跟踪!$B$2:$B$157,A29,持仓跟踪!$AC$2:$AC$157,"计划有效")=0,"禁止开仓：请先填写止损计划",IF(账户数据!$B$9+F29*(E29-N29)&gt;=账户数据!$B$7,"禁止开仓：风险额度不足",IF(AJ29="周期与交易预期不匹配，请重新确认",IF(账户数据!$B$23="接近锁仓","允许开仓（接近锁仓；周期需复核）","允许开仓（周期需复核）"),IF(账户数据!$B$23="接近锁仓","允许开仓（接近锁仓）","允许开仓"))))))))))</f>
        <v>已开仓</v>
      </c>
      <c r="H29" s="2">
        <v>3800</v>
      </c>
      <c r="I29" s="13">
        <v>45418</v>
      </c>
      <c r="J29" s="10">
        <v>50</v>
      </c>
      <c r="K29" s="5">
        <f>IF(A29="","",IFERROR(LOOKUP(2,1/((持仓跟踪!$B$2:$B$157=A29)*(持仓跟踪!$X$2:$X$157="执行卖出")*(持仓跟踪!$Y$2:$Y$157&lt;&gt;"")),持仓跟踪!$Y$2:$Y$157),""))</f>
        <v>44.73</v>
      </c>
      <c r="L29" s="8">
        <f>IF(A29="","",IFERROR(LOOKUP(2,1/((持仓跟踪!$B$2:$B$157=A29)*(持仓跟踪!$X$2:$X$157="执行卖出")*(持仓跟踪!$Z$2:$Z$157&lt;&gt;"")),持仓跟踪!$Z$2:$Z$157),""))</f>
        <v>3800</v>
      </c>
      <c r="M29" s="18">
        <f>IF(A29="","",IFERROR(LOOKUP(2,1/((持仓跟踪!$B$2:$B$157=A29)*(持仓跟踪!$X$2:$X$157="执行卖出")*(持仓跟踪!$H$2:$H$157&lt;&gt;"")),持仓跟踪!$H$2:$H$157),""))</f>
        <v>45060</v>
      </c>
      <c r="N29" s="10">
        <v>46</v>
      </c>
      <c r="O29" s="10"/>
      <c r="P29" s="5" t="str">
        <f>IF(A29="","",IFERROR(LOOKUP(2,1/((持仓跟踪!$B$2:$B$157=A29)*(持仓跟踪!$X$2:$X$157="执行卖出")*(持仓跟踪!$AA$2:$AA$157&lt;&gt;"")),持仓跟踪!$AA$2:$AA$157),""))</f>
        <v/>
      </c>
      <c r="Q29" s="2"/>
      <c r="R29" s="2"/>
      <c r="S29" s="2"/>
      <c r="T29" s="2"/>
      <c r="U29" s="7">
        <f>IF(OR(AO29="",J29="",AO29&lt;=0),"",(J29-AO29)/AO29)</f>
        <v>0.0738831615120274</v>
      </c>
      <c r="V29" s="7">
        <f>IF(OR(AO29="",N29="",AO29&lt;=0),"",(AO29-N29)/AO29)</f>
        <v>0.0120274914089348</v>
      </c>
      <c r="W29" s="19">
        <f>IF(OR(U29="",V29="",V29&lt;=0),"",U29/V29)</f>
        <v>6.14285714285711</v>
      </c>
      <c r="X29" s="5">
        <f>IF(OR(K29="",L29="",AP29=""),"",K29*L29-(E29*H29+IF(AND(AK29&lt;&gt;"",AL29&lt;&gt;""),AK29*AL29,0)+IF(AND(AM29&lt;&gt;"",AN29&lt;&gt;""),AM29*AN29,0))-IF(O29="",0,O29)-IF(P29="",0,P29))</f>
        <v>-6954</v>
      </c>
      <c r="Y29" s="7">
        <f>IF(OR(X29="",AP29=""),"",IF((E29*H29+IF(AND(AK29&lt;&gt;"",AL29&lt;&gt;""),AK29*AL29,0)+IF(AND(AM29&lt;&gt;"",AN29&lt;&gt;""),AM29*AN29,0))+IF(O29="",0,O29)&lt;=0,"",X29/((E29*H29+IF(AND(AK29&lt;&gt;"",AL29&lt;&gt;""),AK29*AL29,0)+IF(AND(AM29&lt;&gt;"",AN29&lt;&gt;""),AM29*AN29,0))+IF(O29="",0,O29))))</f>
        <v>-0.0393041237113402</v>
      </c>
      <c r="Z29" s="7">
        <f>IF(OR(AE29="",多次统计数据!$B$8=""),"",AE29-多次统计数据!$B$8)</f>
        <v>-0.136860103848883</v>
      </c>
      <c r="AA29" s="11" t="str">
        <f>IF(OR(I29="",M29="",M29&lt;I29),"",M29-I29)</f>
        <v/>
      </c>
      <c r="AB29" s="7">
        <f>IF(OR(A29="",多次统计数据!$B$8="",多次统计数据!$B$6&lt;=0,多次统计数据!$B$6&gt;=1),"",1-POWER(1+多次统计数据!$B$8,-多次统计数据!$B$6/(1-多次统计数据!$B$6)))</f>
        <v>0.0530166567311223</v>
      </c>
      <c r="AC29" s="8" t="str">
        <f>IF(OR(AB29="",多次统计数据!$B$9=""),"",IF(多次统计数据!$B$9&lt;AB29,"低于上限","达到或超过上限"))</f>
        <v>低于上限</v>
      </c>
      <c r="AD29" s="2"/>
      <c r="AE29" s="7">
        <f>IF(OR(X29="",C29="",C29&lt;=0),"",X29/C29)</f>
        <v>-0.0643114769259225</v>
      </c>
      <c r="AG29" s="2" t="s">
        <v>60</v>
      </c>
      <c r="AH29" s="2" t="s">
        <v>47</v>
      </c>
      <c r="AI29" s="2"/>
      <c r="AJ29" s="8" t="str">
        <f>IF(OR(AG29="",AH29=""),"",IF(OR(AND(AG29="短期博反弹",OR(AH29="1～3个交易日",AH29="4～10个交易日")),AND(AG29="突破冲新高",OR(AH29="4～10个交易日",AH29="11～20个交易日")),AND(AG29="趋势波段",OR(AH29="11～20个交易日",AH29="21～60个交易日",AH29="60个交易日以上"))),"匹配","周期与交易预期不匹配，请重新确认"))</f>
        <v>匹配</v>
      </c>
      <c r="AK29" s="10"/>
      <c r="AL29" s="12"/>
      <c r="AM29" s="10"/>
      <c r="AN29" s="12"/>
      <c r="AO29" s="5">
        <f>IF(OR(A29="",H29="",H29&lt;=0),"",(E29*H29+IF(AND(AK29&lt;&gt;"",AL29&lt;&gt;""),AK29*AL29,0)+IF(AND(AM29&lt;&gt;"",AN29&lt;&gt;""),AM29*AN29,0))/AP29)</f>
        <v>46.56</v>
      </c>
      <c r="AP29" s="11">
        <f>IF(OR(A29="",H29="",H29&lt;=0),"",H29+IF(AL29="",0,AL29)+IF(AN29="",0,AN29))</f>
        <v>3800</v>
      </c>
      <c r="AQ29" s="5">
        <f>IF(A29="","",IF(M29&lt;&gt;"",0,IF(OR(H29="",N29=""),"",MAX(E29-MAX(N29,IFERROR(SUMPRODUCT(MAX(((持仓跟踪!$A$2:$A$157="每日跟踪")*(持仓跟踪!$B$2:$B$157=A29))*持仓跟踪!$S$2:$S$157)),0)),0)*H29+IF(OR(AK29="",AL29=""),0,MAX(AK29-MAX(N29,IFERROR(SUMPRODUCT(MAX(((持仓跟踪!$A$2:$A$157="每日跟踪")*(持仓跟踪!$B$2:$B$157=A29))*持仓跟踪!$S$2:$S$157)),0)),0)*AL29)+IF(OR(AM29="",AN29=""),0,MAX(AM29-MAX(N29,IFERROR(SUMPRODUCT(MAX(((持仓跟踪!$A$2:$A$157="每日跟踪")*(持仓跟踪!$B$2:$B$157=A29))*持仓跟踪!$S$2:$S$157)),0)),0)*AN29))))</f>
        <v>0</v>
      </c>
      <c r="AR29" s="8" t="str">
        <f ca="1">IF(A29="","",IF(OR(E29="",H29=""),"违规：第一批价格或股数缺失",IF(OR(AND(AK29="",AL29&lt;&gt;""),AND(AK29&lt;&gt;"",AL29="")),"违规：第二批价格与股数须成对填写",IF(OR(AND(AM29="",AN29&lt;&gt;""),AND(AM29&lt;&gt;"",AN29="")),"违规：第三批价格与股数须成对填写",IF(AND(OR(AM29&lt;&gt;"",AN29&lt;&gt;""),OR(AK29="",AL29="")),"违规：必须先完成第二批",IF(OR(H29&lt;=0,H29&lt;&gt;INT(H29),MOD(H29,100)&lt;&gt;0,AND(AL29&lt;&gt;"",OR(AL29&lt;=0,AL29&lt;&gt;INT(AL29),MOD(AL29,100)&lt;&gt;0)),AND(AN29&lt;&gt;"",OR(AN29&lt;=0,AN29&lt;&gt;INT(AN29),MOD(AN29,100)&lt;&gt;0))),"违规：股数须为100股整数倍",IF(AND(OR(AL29&lt;&gt;"",AN29&lt;&gt;""),OR(_LockStatus="已锁仓",_LockStatus="解锁信息不完整")),"违规：锁仓期间禁止加仓",IF(AQ29&gt;C29*D29,"违规：超过单笔风险上限",IF(SUM($AQ$2:$AQ$98)&gt;账户数据!$B$7,"违规：超过账户风险上限","通过")))))))))</f>
        <v>通过</v>
      </c>
    </row>
    <row r="30" ht="17" spans="1:44">
      <c r="A30" s="2">
        <v>29</v>
      </c>
      <c r="B30" s="2" t="s">
        <v>64</v>
      </c>
      <c r="C30" s="10">
        <v>101176</v>
      </c>
      <c r="D30" s="6">
        <v>0.02</v>
      </c>
      <c r="E30" s="10">
        <v>39.99</v>
      </c>
      <c r="F30" s="8">
        <f>IF(OR(C30="",D30="",E30="",N30="",C30&lt;=0,D30&lt;=0,E30&lt;=N30),"",ROUNDDOWN((C30*D30)/(E30-N30)/100,0)*100)</f>
        <v>1000</v>
      </c>
      <c r="G30" s="8" t="str">
        <f ca="1">IF(A30="","",IF(H30&lt;&gt;"","已开仓",IF(账户数据!$B$23="已锁仓","禁止开仓：连续亏损达到上限",IF(账户数据!$B$23="解锁信息不完整","禁止开仓：请完整填写解锁信息",IF(OR(F30="",E30="",N30="",E30&lt;=N30,账户数据!$B$7=""),"",IF(OR(AG30="",AH30="",AI30=""),"禁止开仓：交易预期未填写完整",IF(COUNTIFS(持仓跟踪!$A$2:$A$157,"止损计划",持仓跟踪!$B$2:$B$157,A30,持仓跟踪!$AC$2:$AC$157,"计划有效")=0,"禁止开仓：请先填写止损计划",IF(账户数据!$B$9+F30*(E30-N30)&gt;=账户数据!$B$7,"禁止开仓：风险额度不足",IF(AJ30="周期与交易预期不匹配，请重新确认",IF(账户数据!$B$23="接近锁仓","允许开仓（接近锁仓；周期需复核）","允许开仓（周期需复核）"),IF(账户数据!$B$23="接近锁仓","允许开仓（接近锁仓）","允许开仓"))))))))))</f>
        <v>已开仓</v>
      </c>
      <c r="H30" s="2">
        <v>1000</v>
      </c>
      <c r="I30" s="13">
        <v>43045</v>
      </c>
      <c r="J30" s="10">
        <v>45</v>
      </c>
      <c r="K30" s="5">
        <f>IF(A30="","",IFERROR(LOOKUP(2,1/((持仓跟踪!$B$2:$B$157=A30)*(持仓跟踪!$X$2:$X$157="执行卖出")*(持仓跟踪!$Y$2:$Y$157&lt;&gt;"")),持仓跟踪!$Y$2:$Y$157),""))</f>
        <v>41.74</v>
      </c>
      <c r="L30" s="8">
        <f>IF(A30="","",IFERROR(LOOKUP(2,1/((持仓跟踪!$B$2:$B$157=A30)*(持仓跟踪!$X$2:$X$157="执行卖出")*(持仓跟踪!$Z$2:$Z$157&lt;&gt;"")),持仓跟踪!$Z$2:$Z$157),""))</f>
        <v>1000</v>
      </c>
      <c r="M30" s="18">
        <f>IF(A30="","",IFERROR(LOOKUP(2,1/((持仓跟踪!$B$2:$B$157=A30)*(持仓跟踪!$X$2:$X$157="执行卖出")*(持仓跟踪!$H$2:$H$157&lt;&gt;"")),持仓跟踪!$H$2:$H$157),""))</f>
        <v>43061</v>
      </c>
      <c r="N30" s="10">
        <v>38</v>
      </c>
      <c r="O30" s="10"/>
      <c r="P30" s="5" t="str">
        <f>IF(A30="","",IFERROR(LOOKUP(2,1/((持仓跟踪!$B$2:$B$157=A30)*(持仓跟踪!$X$2:$X$157="执行卖出")*(持仓跟踪!$AA$2:$AA$157&lt;&gt;"")),持仓跟踪!$AA$2:$AA$157),""))</f>
        <v/>
      </c>
      <c r="Q30" s="2"/>
      <c r="R30" s="2"/>
      <c r="S30" s="2"/>
      <c r="T30" s="2"/>
      <c r="U30" s="7">
        <f>IF(OR(AO30="",J30="",AO30&lt;=0),"",(J30-AO30)/AO30)</f>
        <v>0.125281320330082</v>
      </c>
      <c r="V30" s="7">
        <f>IF(OR(AO30="",N30="",AO30&lt;=0),"",(AO30-N30)/AO30)</f>
        <v>0.0497624406101526</v>
      </c>
      <c r="W30" s="19">
        <f>IF(OR(U30="",V30="",V30&lt;=0),"",U30/V30)</f>
        <v>2.51758793969849</v>
      </c>
      <c r="X30" s="5">
        <f>IF(OR(K30="",L30="",AP30=""),"",K30*L30-(E30*H30+IF(AND(AK30&lt;&gt;"",AL30&lt;&gt;""),AK30*AL30,0)+IF(AND(AM30&lt;&gt;"",AN30&lt;&gt;""),AM30*AN30,0))-IF(O30="",0,O30)-IF(P30="",0,P30))</f>
        <v>1750</v>
      </c>
      <c r="Y30" s="7">
        <f>IF(OR(X30="",AP30=""),"",IF((E30*H30+IF(AND(AK30&lt;&gt;"",AL30&lt;&gt;""),AK30*AL30,0)+IF(AND(AM30&lt;&gt;"",AN30&lt;&gt;""),AM30*AN30,0))+IF(O30="",0,O30)&lt;=0,"",X30/((E30*H30+IF(AND(AK30&lt;&gt;"",AL30&lt;&gt;""),AK30*AL30,0)+IF(AND(AM30&lt;&gt;"",AN30&lt;&gt;""),AM30*AN30,0))+IF(O30="",0,O30))))</f>
        <v>0.0437609402350588</v>
      </c>
      <c r="Z30" s="7">
        <f>IF(OR(AE30="",多次统计数据!$B$8=""),"",AE30-多次统计数据!$B$8)</f>
        <v>-0.0552520348457885</v>
      </c>
      <c r="AA30" s="11">
        <f>IF(OR(I30="",M30="",M30&lt;I30),"",M30-I30)</f>
        <v>16</v>
      </c>
      <c r="AB30" s="7">
        <f>IF(OR(A30="",多次统计数据!$B$8="",多次统计数据!$B$6&lt;=0,多次统计数据!$B$6&gt;=1),"",1-POWER(1+多次统计数据!$B$8,-多次统计数据!$B$6/(1-多次统计数据!$B$6)))</f>
        <v>0.0530166567311223</v>
      </c>
      <c r="AC30" s="8" t="str">
        <f>IF(OR(AB30="",多次统计数据!$B$9=""),"",IF(多次统计数据!$B$9&lt;AB30,"低于上限","达到或超过上限"))</f>
        <v>低于上限</v>
      </c>
      <c r="AD30" s="2" t="s">
        <v>56</v>
      </c>
      <c r="AE30" s="7">
        <f>IF(OR(X30="",C30="",C30&lt;=0),"",X30/C30)</f>
        <v>0.0172965920771725</v>
      </c>
      <c r="AF30" t="s">
        <v>65</v>
      </c>
      <c r="AG30" s="2" t="s">
        <v>60</v>
      </c>
      <c r="AH30" s="2" t="s">
        <v>47</v>
      </c>
      <c r="AI30" s="2"/>
      <c r="AJ30" s="8" t="str">
        <f>IF(OR(AG30="",AH30=""),"",IF(OR(AND(AG30="短期博反弹",OR(AH30="1～3个交易日",AH30="4～10个交易日")),AND(AG30="突破冲新高",OR(AH30="4～10个交易日",AH30="11～20个交易日")),AND(AG30="趋势波段",OR(AH30="11～20个交易日",AH30="21～60个交易日",AH30="60个交易日以上"))),"匹配","周期与交易预期不匹配，请重新确认"))</f>
        <v>匹配</v>
      </c>
      <c r="AK30" s="10"/>
      <c r="AL30" s="12"/>
      <c r="AM30" s="10"/>
      <c r="AN30" s="12"/>
      <c r="AO30" s="5">
        <f>IF(OR(A30="",H30="",H30&lt;=0),"",(E30*H30+IF(AND(AK30&lt;&gt;"",AL30&lt;&gt;""),AK30*AL30,0)+IF(AND(AM30&lt;&gt;"",AN30&lt;&gt;""),AM30*AN30,0))/AP30)</f>
        <v>39.99</v>
      </c>
      <c r="AP30" s="11">
        <f>IF(OR(A30="",H30="",H30&lt;=0),"",H30+IF(AL30="",0,AL30)+IF(AN30="",0,AN30))</f>
        <v>1000</v>
      </c>
      <c r="AQ30" s="5">
        <f>IF(A30="","",IF(M30&lt;&gt;"",0,IF(OR(H30="",N30=""),"",MAX(E30-MAX(N30,IFERROR(SUMPRODUCT(MAX(((持仓跟踪!$A$2:$A$157="每日跟踪")*(持仓跟踪!$B$2:$B$157=A30))*持仓跟踪!$S$2:$S$157)),0)),0)*H30+IF(OR(AK30="",AL30=""),0,MAX(AK30-MAX(N30,IFERROR(SUMPRODUCT(MAX(((持仓跟踪!$A$2:$A$157="每日跟踪")*(持仓跟踪!$B$2:$B$157=A30))*持仓跟踪!$S$2:$S$157)),0)),0)*AL30)+IF(OR(AM30="",AN30=""),0,MAX(AM30-MAX(N30,IFERROR(SUMPRODUCT(MAX(((持仓跟踪!$A$2:$A$157="每日跟踪")*(持仓跟踪!$B$2:$B$157=A30))*持仓跟踪!$S$2:$S$157)),0)),0)*AN30))))</f>
        <v>0</v>
      </c>
      <c r="AR30" s="8" t="str">
        <f ca="1">IF(A30="","",IF(OR(E30="",H30=""),"违规：第一批价格或股数缺失",IF(OR(AND(AK30="",AL30&lt;&gt;""),AND(AK30&lt;&gt;"",AL30="")),"违规：第二批价格与股数须成对填写",IF(OR(AND(AM30="",AN30&lt;&gt;""),AND(AM30&lt;&gt;"",AN30="")),"违规：第三批价格与股数须成对填写",IF(AND(OR(AM30&lt;&gt;"",AN30&lt;&gt;""),OR(AK30="",AL30="")),"违规：必须先完成第二批",IF(OR(H30&lt;=0,H30&lt;&gt;INT(H30),MOD(H30,100)&lt;&gt;0,AND(AL30&lt;&gt;"",OR(AL30&lt;=0,AL30&lt;&gt;INT(AL30),MOD(AL30,100)&lt;&gt;0)),AND(AN30&lt;&gt;"",OR(AN30&lt;=0,AN30&lt;&gt;INT(AN30),MOD(AN30,100)&lt;&gt;0))),"违规：股数须为100股整数倍",IF(AND(OR(AL30&lt;&gt;"",AN30&lt;&gt;""),OR(_LockStatus="已锁仓",_LockStatus="解锁信息不完整")),"违规：锁仓期间禁止加仓",IF(AQ30&gt;C30*D30,"违规：超过单笔风险上限",IF(SUM($AQ$2:$AQ$98)&gt;账户数据!$B$7,"违规：超过账户风险上限","通过")))))))))</f>
        <v>通过</v>
      </c>
    </row>
    <row r="31" ht="17" spans="1:44">
      <c r="A31" s="2">
        <v>30</v>
      </c>
      <c r="B31" s="2" t="s">
        <v>64</v>
      </c>
      <c r="C31" s="10">
        <v>102920</v>
      </c>
      <c r="D31" s="6">
        <v>0.02</v>
      </c>
      <c r="E31" s="10">
        <v>38.3</v>
      </c>
      <c r="F31" s="8">
        <f>IF(OR(C31="",D31="",E31="",N31="",C31&lt;=0,D31&lt;=0,E31&lt;=N31),"",ROUNDDOWN((C31*D31)/(E31-N31)/100,0)*100)</f>
        <v>600</v>
      </c>
      <c r="G31" s="8" t="str">
        <f ca="1">IF(A31="","",IF(H31&lt;&gt;"","已开仓",IF(账户数据!$B$23="已锁仓","禁止开仓：连续亏损达到上限",IF(账户数据!$B$23="解锁信息不完整","禁止开仓：请完整填写解锁信息",IF(OR(F31="",E31="",N31="",E31&lt;=N31,账户数据!$B$7=""),"",IF(OR(AG31="",AH31="",AI31=""),"禁止开仓：交易预期未填写完整",IF(COUNTIFS(持仓跟踪!$A$2:$A$157,"止损计划",持仓跟踪!$B$2:$B$157,A31,持仓跟踪!$AC$2:$AC$157,"计划有效")=0,"禁止开仓：请先填写止损计划",IF(账户数据!$B$9+F31*(E31-N31)&gt;=账户数据!$B$7,"禁止开仓：风险额度不足",IF(AJ31="周期与交易预期不匹配，请重新确认",IF(账户数据!$B$23="接近锁仓","允许开仓（接近锁仓；周期需复核）","允许开仓（周期需复核）"),IF(账户数据!$B$23="接近锁仓","允许开仓（接近锁仓）","允许开仓"))))))))))</f>
        <v>已开仓</v>
      </c>
      <c r="H31" s="2">
        <v>600</v>
      </c>
      <c r="I31" s="13">
        <v>43063</v>
      </c>
      <c r="J31" s="10">
        <v>40</v>
      </c>
      <c r="K31" s="5">
        <f>IF(A31="","",IFERROR(LOOKUP(2,1/((持仓跟踪!$B$2:$B$157=A31)*(持仓跟踪!$X$2:$X$157="执行卖出")*(持仓跟踪!$Y$2:$Y$157&lt;&gt;"")),持仓跟踪!$Y$2:$Y$157),""))</f>
        <v>44.53</v>
      </c>
      <c r="L31" s="8">
        <f>IF(A31="","",IFERROR(LOOKUP(2,1/((持仓跟踪!$B$2:$B$157=A31)*(持仓跟踪!$X$2:$X$157="执行卖出")*(持仓跟踪!$Z$2:$Z$157&lt;&gt;"")),持仓跟踪!$Z$2:$Z$157),""))</f>
        <v>600</v>
      </c>
      <c r="M31" s="18">
        <f>IF(A31="","",IFERROR(LOOKUP(2,1/((持仓跟踪!$B$2:$B$157=A31)*(持仓跟踪!$X$2:$X$157="执行卖出")*(持仓跟踪!$H$2:$H$157&lt;&gt;"")),持仓跟踪!$H$2:$H$157),""))</f>
        <v>43083</v>
      </c>
      <c r="N31" s="10">
        <v>35</v>
      </c>
      <c r="O31" s="10"/>
      <c r="P31" s="5" t="str">
        <f>IF(A31="","",IFERROR(LOOKUP(2,1/((持仓跟踪!$B$2:$B$157=A31)*(持仓跟踪!$X$2:$X$157="执行卖出")*(持仓跟踪!$AA$2:$AA$157&lt;&gt;"")),持仓跟踪!$AA$2:$AA$157),""))</f>
        <v/>
      </c>
      <c r="Q31" s="2"/>
      <c r="R31" s="2"/>
      <c r="S31" s="2"/>
      <c r="T31" s="2"/>
      <c r="U31" s="7">
        <f>IF(OR(AO31="",J31="",AO31&lt;=0),"",(J31-AO31)/AO31)</f>
        <v>0.0443864229765014</v>
      </c>
      <c r="V31" s="7">
        <f>IF(OR(AO31="",N31="",AO31&lt;=0),"",(AO31-N31)/AO31)</f>
        <v>0.0861618798955613</v>
      </c>
      <c r="W31" s="19">
        <f>IF(OR(U31="",V31="",V31&lt;=0),"",U31/V31)</f>
        <v>0.515151515151516</v>
      </c>
      <c r="X31" s="5">
        <f>IF(OR(K31="",L31="",AP31=""),"",K31*L31-(E31*H31+IF(AND(AK31&lt;&gt;"",AL31&lt;&gt;""),AK31*AL31,0)+IF(AND(AM31&lt;&gt;"",AN31&lt;&gt;""),AM31*AN31,0))-IF(O31="",0,O31)-IF(P31="",0,P31))</f>
        <v>3738</v>
      </c>
      <c r="Y31" s="7">
        <f>IF(OR(X31="",AP31=""),"",IF((E31*H31+IF(AND(AK31&lt;&gt;"",AL31&lt;&gt;""),AK31*AL31,0)+IF(AND(AM31&lt;&gt;"",AN31&lt;&gt;""),AM31*AN31,0))+IF(O31="",0,O31)&lt;=0,"",X31/((E31*H31+IF(AND(AK31&lt;&gt;"",AL31&lt;&gt;""),AK31*AL31,0)+IF(AND(AM31&lt;&gt;"",AN31&lt;&gt;""),AM31*AN31,0))+IF(O31="",0,O31))))</f>
        <v>0.16266318537859</v>
      </c>
      <c r="Z31" s="7">
        <f>IF(OR(AE31="",多次统计数据!$B$8=""),"",AE31-多次统计数据!$B$8)</f>
        <v>-0.0362291554888374</v>
      </c>
      <c r="AA31" s="11">
        <f>IF(OR(I31="",M31="",M31&lt;I31),"",M31-I31)</f>
        <v>20</v>
      </c>
      <c r="AB31" s="7">
        <f>IF(OR(A31="",多次统计数据!$B$8="",多次统计数据!$B$6&lt;=0,多次统计数据!$B$6&gt;=1),"",1-POWER(1+多次统计数据!$B$8,-多次统计数据!$B$6/(1-多次统计数据!$B$6)))</f>
        <v>0.0530166567311223</v>
      </c>
      <c r="AC31" s="8" t="str">
        <f>IF(OR(AB31="",多次统计数据!$B$9=""),"",IF(多次统计数据!$B$9&lt;AB31,"低于上限","达到或超过上限"))</f>
        <v>低于上限</v>
      </c>
      <c r="AD31" s="2"/>
      <c r="AE31" s="7">
        <f>IF(OR(X31="",C31="",C31&lt;=0),"",X31/C31)</f>
        <v>0.0363194714341236</v>
      </c>
      <c r="AG31" s="2" t="s">
        <v>46</v>
      </c>
      <c r="AH31" s="2" t="s">
        <v>66</v>
      </c>
      <c r="AI31" s="2"/>
      <c r="AJ31" s="8" t="str">
        <f>IF(OR(AG31="",AH31=""),"",IF(OR(AND(AG31="短期博反弹",OR(AH31="1～3个交易日",AH31="4～10个交易日")),AND(AG31="突破冲新高",OR(AH31="4～10个交易日",AH31="11～20个交易日")),AND(AG31="趋势波段",OR(AH31="11～20个交易日",AH31="21～60个交易日",AH31="60个交易日以上"))),"匹配","周期与交易预期不匹配，请重新确认"))</f>
        <v>匹配</v>
      </c>
      <c r="AK31" s="10"/>
      <c r="AL31" s="12"/>
      <c r="AM31" s="10"/>
      <c r="AN31" s="12"/>
      <c r="AO31" s="5">
        <f>IF(OR(A31="",H31="",H31&lt;=0),"",(E31*H31+IF(AND(AK31&lt;&gt;"",AL31&lt;&gt;""),AK31*AL31,0)+IF(AND(AM31&lt;&gt;"",AN31&lt;&gt;""),AM31*AN31,0))/AP31)</f>
        <v>38.3</v>
      </c>
      <c r="AP31" s="11">
        <f>IF(OR(A31="",H31="",H31&lt;=0),"",H31+IF(AL31="",0,AL31)+IF(AN31="",0,AN31))</f>
        <v>600</v>
      </c>
      <c r="AQ31" s="5">
        <f>IF(A31="","",IF(M31&lt;&gt;"",0,IF(OR(H31="",N31=""),"",MAX(E31-MAX(N31,IFERROR(SUMPRODUCT(MAX(((持仓跟踪!$A$2:$A$157="每日跟踪")*(持仓跟踪!$B$2:$B$157=A31))*持仓跟踪!$S$2:$S$157)),0)),0)*H31+IF(OR(AK31="",AL31=""),0,MAX(AK31-MAX(N31,IFERROR(SUMPRODUCT(MAX(((持仓跟踪!$A$2:$A$157="每日跟踪")*(持仓跟踪!$B$2:$B$157=A31))*持仓跟踪!$S$2:$S$157)),0)),0)*AL31)+IF(OR(AM31="",AN31=""),0,MAX(AM31-MAX(N31,IFERROR(SUMPRODUCT(MAX(((持仓跟踪!$A$2:$A$157="每日跟踪")*(持仓跟踪!$B$2:$B$157=A31))*持仓跟踪!$S$2:$S$157)),0)),0)*AN31))))</f>
        <v>0</v>
      </c>
      <c r="AR31" s="8" t="str">
        <f ca="1">IF(A31="","",IF(OR(E31="",H31=""),"违规：第一批价格或股数缺失",IF(OR(AND(AK31="",AL31&lt;&gt;""),AND(AK31&lt;&gt;"",AL31="")),"违规：第二批价格与股数须成对填写",IF(OR(AND(AM31="",AN31&lt;&gt;""),AND(AM31&lt;&gt;"",AN31="")),"违规：第三批价格与股数须成对填写",IF(AND(OR(AM31&lt;&gt;"",AN31&lt;&gt;""),OR(AK31="",AL31="")),"违规：必须先完成第二批",IF(OR(H31&lt;=0,H31&lt;&gt;INT(H31),MOD(H31,100)&lt;&gt;0,AND(AL31&lt;&gt;"",OR(AL31&lt;=0,AL31&lt;&gt;INT(AL31),MOD(AL31,100)&lt;&gt;0)),AND(AN31&lt;&gt;"",OR(AN31&lt;=0,AN31&lt;&gt;INT(AN31),MOD(AN31,100)&lt;&gt;0))),"违规：股数须为100股整数倍",IF(AND(OR(AL31&lt;&gt;"",AN31&lt;&gt;""),OR(_LockStatus="已锁仓",_LockStatus="解锁信息不完整")),"违规：锁仓期间禁止加仓",IF(AQ31&gt;C31*D31,"违规：超过单笔风险上限",IF(SUM($AQ$2:$AQ$98)&gt;账户数据!$B$7,"违规：超过账户风险上限","通过")))))))))</f>
        <v>通过</v>
      </c>
    </row>
    <row r="32" ht="34" spans="1:44">
      <c r="A32" s="2">
        <v>31</v>
      </c>
      <c r="B32" s="2" t="s">
        <v>64</v>
      </c>
      <c r="C32" s="10">
        <v>106664</v>
      </c>
      <c r="D32" s="6">
        <v>0.02</v>
      </c>
      <c r="E32" s="10">
        <v>50.7</v>
      </c>
      <c r="F32" s="8">
        <f>IF(OR(C32="",D32="",E32="",N32="",C32&lt;=0,D32&lt;=0,E32&lt;=N32),"",ROUNDDOWN((C32*D32)/(E32-N32)/100,0)*100)</f>
        <v>700</v>
      </c>
      <c r="G32" s="8" t="str">
        <f ca="1">IF(A32="","",IF(H32&lt;&gt;"","已开仓",IF(账户数据!$B$23="已锁仓","禁止开仓：连续亏损达到上限",IF(账户数据!$B$23="解锁信息不完整","禁止开仓：请完整填写解锁信息",IF(OR(F32="",E32="",N32="",E32&lt;=N32,账户数据!$B$7=""),"",IF(OR(AG32="",AH32="",AI32=""),"禁止开仓：交易预期未填写完整",IF(COUNTIFS(持仓跟踪!$A$2:$A$157,"止损计划",持仓跟踪!$B$2:$B$157,A32,持仓跟踪!$AC$2:$AC$157,"计划有效")=0,"禁止开仓：请先填写止损计划",IF(账户数据!$B$9+F32*(E32-N32)&gt;=账户数据!$B$7,"禁止开仓：风险额度不足",IF(AJ32="周期与交易预期不匹配，请重新确认",IF(账户数据!$B$23="接近锁仓","允许开仓（接近锁仓；周期需复核）","允许开仓（周期需复核）"),IF(账户数据!$B$23="接近锁仓","允许开仓（接近锁仓）","允许开仓"))))))))))</f>
        <v>已开仓</v>
      </c>
      <c r="H32" s="2">
        <v>700</v>
      </c>
      <c r="I32" s="13">
        <v>43097</v>
      </c>
      <c r="J32" s="10">
        <v>60</v>
      </c>
      <c r="K32" s="5">
        <f>IF(A32="","",IFERROR(LOOKUP(2,1/((持仓跟踪!$B$2:$B$157=A32)*(持仓跟踪!$X$2:$X$157="执行卖出")*(持仓跟踪!$Y$2:$Y$157&lt;&gt;"")),持仓跟踪!$Y$2:$Y$157),""))</f>
        <v>54.22</v>
      </c>
      <c r="L32" s="8">
        <f>IF(A32="","",IFERROR(LOOKUP(2,1/((持仓跟踪!$B$2:$B$157=A32)*(持仓跟踪!$X$2:$X$157="执行卖出")*(持仓跟踪!$Z$2:$Z$157&lt;&gt;"")),持仓跟踪!$Z$2:$Z$157),""))</f>
        <v>700</v>
      </c>
      <c r="M32" s="18">
        <f>IF(A32="","",IFERROR(LOOKUP(2,1/((持仓跟踪!$B$2:$B$157=A32)*(持仓跟踪!$X$2:$X$157="执行卖出")*(持仓跟踪!$H$2:$H$157&lt;&gt;"")),持仓跟踪!$H$2:$H$157),""))</f>
        <v>43131</v>
      </c>
      <c r="N32" s="10">
        <v>48</v>
      </c>
      <c r="O32" s="10"/>
      <c r="P32" s="5" t="str">
        <f>IF(A32="","",IFERROR(LOOKUP(2,1/((持仓跟踪!$B$2:$B$157=A32)*(持仓跟踪!$X$2:$X$157="执行卖出")*(持仓跟踪!$AA$2:$AA$157&lt;&gt;"")),持仓跟踪!$AA$2:$AA$157),""))</f>
        <v/>
      </c>
      <c r="Q32" s="2"/>
      <c r="R32" s="2"/>
      <c r="S32" s="2"/>
      <c r="T32" s="2"/>
      <c r="U32" s="7">
        <f>IF(OR(AO32="",J32="",AO32&lt;=0),"",(J32-AO32)/AO32)</f>
        <v>0.183431952662722</v>
      </c>
      <c r="V32" s="7">
        <f>IF(OR(AO32="",N32="",AO32&lt;=0),"",(AO32-N32)/AO32)</f>
        <v>0.0532544378698225</v>
      </c>
      <c r="W32" s="19">
        <f>IF(OR(U32="",V32="",V32&lt;=0),"",U32/V32)</f>
        <v>3.44444444444444</v>
      </c>
      <c r="X32" s="5">
        <f>IF(OR(K32="",L32="",AP32=""),"",K32*L32-(E32*H32+IF(AND(AK32&lt;&gt;"",AL32&lt;&gt;""),AK32*AL32,0)+IF(AND(AM32&lt;&gt;"",AN32&lt;&gt;""),AM32*AN32,0))-IF(O32="",0,O32)-IF(P32="",0,P32))</f>
        <v>2464</v>
      </c>
      <c r="Y32" s="7">
        <f>IF(OR(X32="",AP32=""),"",IF((E32*H32+IF(AND(AK32&lt;&gt;"",AL32&lt;&gt;""),AK32*AL32,0)+IF(AND(AM32&lt;&gt;"",AN32&lt;&gt;""),AM32*AN32,0))+IF(O32="",0,O32)&lt;=0,"",X32/((E32*H32+IF(AND(AK32&lt;&gt;"",AL32&lt;&gt;""),AK32*AL32,0)+IF(AND(AM32&lt;&gt;"",AN32&lt;&gt;""),AM32*AN32,0))+IF(O32="",0,O32))))</f>
        <v>0.0694280078895464</v>
      </c>
      <c r="Z32" s="7">
        <f>IF(OR(AE32="",多次统计数据!$B$8=""),"",AE32-多次统计数据!$B$8)</f>
        <v>-0.0494480494085231</v>
      </c>
      <c r="AA32" s="11">
        <f>IF(OR(I32="",M32="",M32&lt;I32),"",M32-I32)</f>
        <v>34</v>
      </c>
      <c r="AB32" s="7">
        <f>IF(OR(A32="",多次统计数据!$B$8="",多次统计数据!$B$6&lt;=0,多次统计数据!$B$6&gt;=1),"",1-POWER(1+多次统计数据!$B$8,-多次统计数据!$B$6/(1-多次统计数据!$B$6)))</f>
        <v>0.0530166567311223</v>
      </c>
      <c r="AC32" s="8" t="str">
        <f>IF(OR(AB32="",多次统计数据!$B$9=""),"",IF(多次统计数据!$B$9&lt;AB32,"低于上限","达到或超过上限"))</f>
        <v>低于上限</v>
      </c>
      <c r="AD32" s="2" t="s">
        <v>45</v>
      </c>
      <c r="AE32" s="7">
        <f>IF(OR(X32="",C32="",C32&lt;=0),"",X32/C32)</f>
        <v>0.0231005775144379</v>
      </c>
      <c r="AG32" s="2" t="s">
        <v>60</v>
      </c>
      <c r="AH32" s="2" t="s">
        <v>47</v>
      </c>
      <c r="AI32" s="2"/>
      <c r="AJ32" s="8" t="str">
        <f>IF(OR(AG32="",AH32=""),"",IF(OR(AND(AG32="短期博反弹",OR(AH32="1～3个交易日",AH32="4～10个交易日")),AND(AG32="突破冲新高",OR(AH32="4～10个交易日",AH32="11～20个交易日")),AND(AG32="趋势波段",OR(AH32="11～20个交易日",AH32="21～60个交易日",AH32="60个交易日以上"))),"匹配","周期与交易预期不匹配，请重新确认"))</f>
        <v>匹配</v>
      </c>
      <c r="AK32" s="10"/>
      <c r="AL32" s="12"/>
      <c r="AM32" s="10"/>
      <c r="AN32" s="12"/>
      <c r="AO32" s="5">
        <f>IF(OR(A32="",H32="",H32&lt;=0),"",(E32*H32+IF(AND(AK32&lt;&gt;"",AL32&lt;&gt;""),AK32*AL32,0)+IF(AND(AM32&lt;&gt;"",AN32&lt;&gt;""),AM32*AN32,0))/AP32)</f>
        <v>50.7</v>
      </c>
      <c r="AP32" s="11">
        <f>IF(OR(A32="",H32="",H32&lt;=0),"",H32+IF(AL32="",0,AL32)+IF(AN32="",0,AN32))</f>
        <v>700</v>
      </c>
      <c r="AQ32" s="5">
        <f>IF(A32="","",IF(M32&lt;&gt;"",0,IF(OR(H32="",N32=""),"",MAX(E32-MAX(N32,IFERROR(SUMPRODUCT(MAX(((持仓跟踪!$A$2:$A$157="每日跟踪")*(持仓跟踪!$B$2:$B$157=A32))*持仓跟踪!$S$2:$S$157)),0)),0)*H32+IF(OR(AK32="",AL32=""),0,MAX(AK32-MAX(N32,IFERROR(SUMPRODUCT(MAX(((持仓跟踪!$A$2:$A$157="每日跟踪")*(持仓跟踪!$B$2:$B$157=A32))*持仓跟踪!$S$2:$S$157)),0)),0)*AL32)+IF(OR(AM32="",AN32=""),0,MAX(AM32-MAX(N32,IFERROR(SUMPRODUCT(MAX(((持仓跟踪!$A$2:$A$157="每日跟踪")*(持仓跟踪!$B$2:$B$157=A32))*持仓跟踪!$S$2:$S$157)),0)),0)*AN32))))</f>
        <v>0</v>
      </c>
      <c r="AR32" s="8" t="str">
        <f ca="1">IF(A32="","",IF(OR(E32="",H32=""),"违规：第一批价格或股数缺失",IF(OR(AND(AK32="",AL32&lt;&gt;""),AND(AK32&lt;&gt;"",AL32="")),"违规：第二批价格与股数须成对填写",IF(OR(AND(AM32="",AN32&lt;&gt;""),AND(AM32&lt;&gt;"",AN32="")),"违规：第三批价格与股数须成对填写",IF(AND(OR(AM32&lt;&gt;"",AN32&lt;&gt;""),OR(AK32="",AL32="")),"违规：必须先完成第二批",IF(OR(H32&lt;=0,H32&lt;&gt;INT(H32),MOD(H32,100)&lt;&gt;0,AND(AL32&lt;&gt;"",OR(AL32&lt;=0,AL32&lt;&gt;INT(AL32),MOD(AL32,100)&lt;&gt;0)),AND(AN32&lt;&gt;"",OR(AN32&lt;=0,AN32&lt;&gt;INT(AN32),MOD(AN32,100)&lt;&gt;0))),"违规：股数须为100股整数倍",IF(AND(OR(AL32&lt;&gt;"",AN32&lt;&gt;""),OR(_LockStatus="已锁仓",_LockStatus="解锁信息不完整")),"违规：锁仓期间禁止加仓",IF(AQ32&gt;C32*D32,"违规：超过单笔风险上限",IF(SUM($AQ$2:$AQ$98)&gt;账户数据!$B$7,"违规：超过账户风险上限","通过")))))))))</f>
        <v>通过</v>
      </c>
    </row>
    <row r="33" ht="17" spans="1:44">
      <c r="A33" s="2">
        <v>32</v>
      </c>
      <c r="B33" s="2" t="s">
        <v>64</v>
      </c>
      <c r="C33" s="10">
        <v>109128</v>
      </c>
      <c r="D33" s="6">
        <v>0.02</v>
      </c>
      <c r="E33" s="10">
        <v>52.32</v>
      </c>
      <c r="F33" s="8">
        <f>IF(OR(C33="",D33="",E33="",N33="",C33&lt;=0,D33&lt;=0,E33&lt;=N33),"",ROUNDDOWN((C33*D33)/(E33-N33)/100,0)*100)</f>
        <v>900</v>
      </c>
      <c r="G33" s="8" t="str">
        <f ca="1">IF(A33="","",IF(H33&lt;&gt;"","已开仓",IF(账户数据!$B$23="已锁仓","禁止开仓：连续亏损达到上限",IF(账户数据!$B$23="解锁信息不完整","禁止开仓：请完整填写解锁信息",IF(OR(F33="",E33="",N33="",E33&lt;=N33,账户数据!$B$7=""),"",IF(OR(AG33="",AH33="",AI33=""),"禁止开仓：交易预期未填写完整",IF(COUNTIFS(持仓跟踪!$A$2:$A$157,"止损计划",持仓跟踪!$B$2:$B$157,A33,持仓跟踪!$AC$2:$AC$157,"计划有效")=0,"禁止开仓：请先填写止损计划",IF(账户数据!$B$9+F33*(E33-N33)&gt;=账户数据!$B$7,"禁止开仓：风险额度不足",IF(AJ33="周期与交易预期不匹配，请重新确认",IF(账户数据!$B$23="接近锁仓","允许开仓（接近锁仓；周期需复核）","允许开仓（周期需复核）"),IF(账户数据!$B$23="接近锁仓","允许开仓（接近锁仓）","允许开仓"))))))))))</f>
        <v>已开仓</v>
      </c>
      <c r="H33" s="2">
        <v>900</v>
      </c>
      <c r="I33" s="13">
        <v>43262</v>
      </c>
      <c r="J33" s="10">
        <v>60</v>
      </c>
      <c r="K33" s="5">
        <f>IF(A33="","",IFERROR(LOOKUP(2,1/((持仓跟踪!$B$2:$B$157=A33)*(持仓跟踪!$X$2:$X$157="执行卖出")*(持仓跟踪!$Y$2:$Y$157&lt;&gt;"")),持仓跟踪!$Y$2:$Y$157),""))</f>
        <v>46.39</v>
      </c>
      <c r="L33" s="8">
        <f>IF(A33="","",IFERROR(LOOKUP(2,1/((持仓跟踪!$B$2:$B$157=A33)*(持仓跟踪!$X$2:$X$157="执行卖出")*(持仓跟踪!$Z$2:$Z$157&lt;&gt;"")),持仓跟踪!$Z$2:$Z$157),""))</f>
        <v>900</v>
      </c>
      <c r="M33" s="18">
        <f>IF(A33="","",IFERROR(LOOKUP(2,1/((持仓跟踪!$B$2:$B$157=A33)*(持仓跟踪!$X$2:$X$157="执行卖出")*(持仓跟踪!$H$2:$H$157&lt;&gt;"")),持仓跟踪!$H$2:$H$157),""))</f>
        <v>43278</v>
      </c>
      <c r="N33" s="10">
        <v>50</v>
      </c>
      <c r="O33" s="10"/>
      <c r="P33" s="5" t="str">
        <f>IF(A33="","",IFERROR(LOOKUP(2,1/((持仓跟踪!$B$2:$B$157=A33)*(持仓跟踪!$X$2:$X$157="执行卖出")*(持仓跟踪!$AA$2:$AA$157&lt;&gt;"")),持仓跟踪!$AA$2:$AA$157),""))</f>
        <v/>
      </c>
      <c r="Q33" s="2"/>
      <c r="R33" s="2"/>
      <c r="S33" s="2"/>
      <c r="T33" s="2"/>
      <c r="U33" s="7">
        <f>IF(OR(AO33="",J33="",AO33&lt;=0),"",(J33-AO33)/AO33)</f>
        <v>0.146788990825688</v>
      </c>
      <c r="V33" s="7">
        <f>IF(OR(AO33="",N33="",AO33&lt;=0),"",(AO33-N33)/AO33)</f>
        <v>0.0443425076452599</v>
      </c>
      <c r="W33" s="19">
        <f>IF(OR(U33="",V33="",V33&lt;=0),"",U33/V33)</f>
        <v>3.31034482758621</v>
      </c>
      <c r="X33" s="5">
        <f>IF(OR(K33="",L33="",AP33=""),"",K33*L33-(E33*H33+IF(AND(AK33&lt;&gt;"",AL33&lt;&gt;""),AK33*AL33,0)+IF(AND(AM33&lt;&gt;"",AN33&lt;&gt;""),AM33*AN33,0))-IF(O33="",0,O33)-IF(P33="",0,P33))</f>
        <v>-5337</v>
      </c>
      <c r="Y33" s="7">
        <f>IF(OR(X33="",AP33=""),"",IF((E33*H33+IF(AND(AK33&lt;&gt;"",AL33&lt;&gt;""),AK33*AL33,0)+IF(AND(AM33&lt;&gt;"",AN33&lt;&gt;""),AM33*AN33,0))+IF(O33="",0,O33)&lt;=0,"",X33/((E33*H33+IF(AND(AK33&lt;&gt;"",AL33&lt;&gt;""),AK33*AL33,0)+IF(AND(AM33&lt;&gt;"",AN33&lt;&gt;""),AM33*AN33,0))+IF(O33="",0,O33))))</f>
        <v>-0.113340978593272</v>
      </c>
      <c r="Z33" s="7">
        <f>IF(OR(AE33="",多次统计数据!$B$8=""),"",AE33-多次统计数据!$B$8)</f>
        <v>-0.12145449892648</v>
      </c>
      <c r="AA33" s="11">
        <f>IF(OR(I33="",M33="",M33&lt;I33),"",M33-I33)</f>
        <v>16</v>
      </c>
      <c r="AB33" s="7">
        <f>IF(OR(A33="",多次统计数据!$B$8="",多次统计数据!$B$6&lt;=0,多次统计数据!$B$6&gt;=1),"",1-POWER(1+多次统计数据!$B$8,-多次统计数据!$B$6/(1-多次统计数据!$B$6)))</f>
        <v>0.0530166567311223</v>
      </c>
      <c r="AC33" s="8" t="str">
        <f>IF(OR(AB33="",多次统计数据!$B$9=""),"",IF(多次统计数据!$B$9&lt;AB33,"低于上限","达到或超过上限"))</f>
        <v>低于上限</v>
      </c>
      <c r="AD33" s="2"/>
      <c r="AE33" s="7">
        <f>IF(OR(X33="",C33="",C33&lt;=0),"",X33/C33)</f>
        <v>-0.0489058720035188</v>
      </c>
      <c r="AG33" s="2" t="s">
        <v>60</v>
      </c>
      <c r="AH33" s="2" t="s">
        <v>47</v>
      </c>
      <c r="AI33" s="2"/>
      <c r="AJ33" s="8" t="str">
        <f>IF(OR(AG33="",AH33=""),"",IF(OR(AND(AG33="短期博反弹",OR(AH33="1～3个交易日",AH33="4～10个交易日")),AND(AG33="突破冲新高",OR(AH33="4～10个交易日",AH33="11～20个交易日")),AND(AG33="趋势波段",OR(AH33="11～20个交易日",AH33="21～60个交易日",AH33="60个交易日以上"))),"匹配","周期与交易预期不匹配，请重新确认"))</f>
        <v>匹配</v>
      </c>
      <c r="AK33" s="10"/>
      <c r="AL33" s="12"/>
      <c r="AM33" s="10"/>
      <c r="AN33" s="12"/>
      <c r="AO33" s="5">
        <f>IF(OR(A33="",H33="",H33&lt;=0),"",(E33*H33+IF(AND(AK33&lt;&gt;"",AL33&lt;&gt;""),AK33*AL33,0)+IF(AND(AM33&lt;&gt;"",AN33&lt;&gt;""),AM33*AN33,0))/AP33)</f>
        <v>52.32</v>
      </c>
      <c r="AP33" s="11">
        <f>IF(OR(A33="",H33="",H33&lt;=0),"",H33+IF(AL33="",0,AL33)+IF(AN33="",0,AN33))</f>
        <v>900</v>
      </c>
      <c r="AQ33" s="5">
        <f>IF(A33="","",IF(M33&lt;&gt;"",0,IF(OR(H33="",N33=""),"",MAX(E33-MAX(N33,IFERROR(SUMPRODUCT(MAX(((持仓跟踪!$A$2:$A$157="每日跟踪")*(持仓跟踪!$B$2:$B$157=A33))*持仓跟踪!$S$2:$S$157)),0)),0)*H33+IF(OR(AK33="",AL33=""),0,MAX(AK33-MAX(N33,IFERROR(SUMPRODUCT(MAX(((持仓跟踪!$A$2:$A$157="每日跟踪")*(持仓跟踪!$B$2:$B$157=A33))*持仓跟踪!$S$2:$S$157)),0)),0)*AL33)+IF(OR(AM33="",AN33=""),0,MAX(AM33-MAX(N33,IFERROR(SUMPRODUCT(MAX(((持仓跟踪!$A$2:$A$157="每日跟踪")*(持仓跟踪!$B$2:$B$157=A33))*持仓跟踪!$S$2:$S$157)),0)),0)*AN33))))</f>
        <v>0</v>
      </c>
      <c r="AR33" s="8" t="str">
        <f ca="1">IF(A33="","",IF(OR(E33="",H33=""),"违规：第一批价格或股数缺失",IF(OR(AND(AK33="",AL33&lt;&gt;""),AND(AK33&lt;&gt;"",AL33="")),"违规：第二批价格与股数须成对填写",IF(OR(AND(AM33="",AN33&lt;&gt;""),AND(AM33&lt;&gt;"",AN33="")),"违规：第三批价格与股数须成对填写",IF(AND(OR(AM33&lt;&gt;"",AN33&lt;&gt;""),OR(AK33="",AL33="")),"违规：必须先完成第二批",IF(OR(H33&lt;=0,H33&lt;&gt;INT(H33),MOD(H33,100)&lt;&gt;0,AND(AL33&lt;&gt;"",OR(AL33&lt;=0,AL33&lt;&gt;INT(AL33),MOD(AL33,100)&lt;&gt;0)),AND(AN33&lt;&gt;"",OR(AN33&lt;=0,AN33&lt;&gt;INT(AN33),MOD(AN33,100)&lt;&gt;0))),"违规：股数须为100股整数倍",IF(AND(OR(AL33&lt;&gt;"",AN33&lt;&gt;""),OR(_LockStatus="已锁仓",_LockStatus="解锁信息不完整")),"违规：锁仓期间禁止加仓",IF(AQ33&gt;C33*D33,"违规：超过单笔风险上限",IF(SUM($AQ$2:$AQ$98)&gt;账户数据!$B$7,"违规：超过账户风险上限","通过")))))))))</f>
        <v>通过</v>
      </c>
    </row>
    <row r="34" ht="17" spans="1:44">
      <c r="A34" s="2">
        <v>33</v>
      </c>
      <c r="B34" s="2" t="s">
        <v>64</v>
      </c>
      <c r="C34" s="10">
        <v>103791</v>
      </c>
      <c r="D34" s="6">
        <v>0.02</v>
      </c>
      <c r="E34" s="10">
        <v>42.64</v>
      </c>
      <c r="F34" s="8">
        <f>IF(OR(C34="",D34="",E34="",N34="",C34&lt;=0,D34&lt;=0,E34&lt;=N34),"",ROUNDDOWN((C34*D34)/(E34-N34)/100,0)*100)</f>
        <v>700</v>
      </c>
      <c r="G34" s="8" t="str">
        <f ca="1">IF(A34="","",IF(H34&lt;&gt;"","已开仓",IF(账户数据!$B$23="已锁仓","禁止开仓：连续亏损达到上限",IF(账户数据!$B$23="解锁信息不完整","禁止开仓：请完整填写解锁信息",IF(OR(F34="",E34="",N34="",E34&lt;=N34,账户数据!$B$7=""),"",IF(OR(AG34="",AH34="",AI34=""),"禁止开仓：交易预期未填写完整",IF(COUNTIFS(持仓跟踪!$A$2:$A$157,"止损计划",持仓跟踪!$B$2:$B$157,A34,持仓跟踪!$AC$2:$AC$157,"计划有效")=0,"禁止开仓：请先填写止损计划",IF(账户数据!$B$9+F34*(E34-N34)&gt;=账户数据!$B$7,"禁止开仓：风险额度不足",IF(AJ34="周期与交易预期不匹配，请重新确认",IF(账户数据!$B$23="接近锁仓","允许开仓（接近锁仓；周期需复核）","允许开仓（周期需复核）"),IF(账户数据!$B$23="接近锁仓","允许开仓（接近锁仓）","允许开仓"))))))))))</f>
        <v>已开仓</v>
      </c>
      <c r="H34" s="2">
        <v>700</v>
      </c>
      <c r="I34" s="13">
        <v>43504</v>
      </c>
      <c r="J34" s="10">
        <v>50</v>
      </c>
      <c r="K34" s="5">
        <f>IF(A34="","",IFERROR(LOOKUP(2,1/((持仓跟踪!$B$2:$B$157=A34)*(持仓跟踪!$X$2:$X$157="执行卖出")*(持仓跟踪!$Y$2:$Y$157&lt;&gt;"")),持仓跟踪!$Y$2:$Y$157),""))</f>
        <v>72.6</v>
      </c>
      <c r="L34" s="8">
        <f>IF(A34="","",IFERROR(LOOKUP(2,1/((持仓跟踪!$B$2:$B$157=A34)*(持仓跟踪!$X$2:$X$157="执行卖出")*(持仓跟踪!$Z$2:$Z$157&lt;&gt;"")),持仓跟踪!$Z$2:$Z$157),""))</f>
        <v>700</v>
      </c>
      <c r="M34" s="18">
        <f>IF(A34="","",IFERROR(LOOKUP(2,1/((持仓跟踪!$B$2:$B$157=A34)*(持仓跟踪!$X$2:$X$157="执行卖出")*(持仓跟踪!$H$2:$H$157&lt;&gt;"")),持仓跟踪!$H$2:$H$157),""))</f>
        <v>43619</v>
      </c>
      <c r="N34" s="10">
        <v>40</v>
      </c>
      <c r="O34" s="10"/>
      <c r="P34" s="5" t="str">
        <f>IF(A34="","",IFERROR(LOOKUP(2,1/((持仓跟踪!$B$2:$B$157=A34)*(持仓跟踪!$X$2:$X$157="执行卖出")*(持仓跟踪!$AA$2:$AA$157&lt;&gt;"")),持仓跟踪!$AA$2:$AA$157),""))</f>
        <v/>
      </c>
      <c r="Q34" s="2"/>
      <c r="R34" s="2"/>
      <c r="S34" s="2"/>
      <c r="T34" s="2"/>
      <c r="U34" s="7">
        <f>IF(OR(AO34="",J34="",AO34&lt;=0),"",(J34-AO34)/AO34)</f>
        <v>0.172607879924953</v>
      </c>
      <c r="V34" s="7">
        <f>IF(OR(AO34="",N34="",AO34&lt;=0),"",(AO34-N34)/AO34)</f>
        <v>0.0619136960600375</v>
      </c>
      <c r="W34" s="19">
        <f>IF(OR(U34="",V34="",V34&lt;=0),"",U34/V34)</f>
        <v>2.78787878787879</v>
      </c>
      <c r="X34" s="5">
        <f>IF(OR(K34="",L34="",AP34=""),"",K34*L34-(E34*H34+IF(AND(AK34&lt;&gt;"",AL34&lt;&gt;""),AK34*AL34,0)+IF(AND(AM34&lt;&gt;"",AN34&lt;&gt;""),AM34*AN34,0))-IF(O34="",0,O34)-IF(P34="",0,P34))</f>
        <v>20972</v>
      </c>
      <c r="Y34" s="7">
        <f>IF(OR(X34="",AP34=""),"",IF((E34*H34+IF(AND(AK34&lt;&gt;"",AL34&lt;&gt;""),AK34*AL34,0)+IF(AND(AM34&lt;&gt;"",AN34&lt;&gt;""),AM34*AN34,0))+IF(O34="",0,O34)&lt;=0,"",X34/((E34*H34+IF(AND(AK34&lt;&gt;"",AL34&lt;&gt;""),AK34*AL34,0)+IF(AND(AM34&lt;&gt;"",AN34&lt;&gt;""),AM34*AN34,0))+IF(O34="",0,O34))))</f>
        <v>0.702626641651032</v>
      </c>
      <c r="Z34" s="7">
        <f>IF(OR(AE34="",多次统计数据!$B$8=""),"",AE34-多次统计数据!$B$8)</f>
        <v>0.129511281932335</v>
      </c>
      <c r="AA34" s="11">
        <f>IF(OR(I34="",M34="",M34&lt;I34),"",M34-I34)</f>
        <v>115</v>
      </c>
      <c r="AB34" s="7">
        <f>IF(OR(A34="",多次统计数据!$B$8="",多次统计数据!$B$6&lt;=0,多次统计数据!$B$6&gt;=1),"",1-POWER(1+多次统计数据!$B$8,-多次统计数据!$B$6/(1-多次统计数据!$B$6)))</f>
        <v>0.0530166567311223</v>
      </c>
      <c r="AC34" s="8" t="str">
        <f>IF(OR(AB34="",多次统计数据!$B$9=""),"",IF(多次统计数据!$B$9&lt;AB34,"低于上限","达到或超过上限"))</f>
        <v>低于上限</v>
      </c>
      <c r="AD34" s="2"/>
      <c r="AE34" s="7">
        <f>IF(OR(X34="",C34="",C34&lt;=0),"",X34/C34)</f>
        <v>0.202059908855296</v>
      </c>
      <c r="AG34" s="2"/>
      <c r="AH34" s="2"/>
      <c r="AI34" s="2"/>
      <c r="AJ34" s="8" t="str">
        <f>IF(OR(AG34="",AH34=""),"",IF(OR(AND(AG34="短期博反弹",OR(AH34="1～3个交易日",AH34="4～10个交易日")),AND(AG34="突破冲新高",OR(AH34="4～10个交易日",AH34="11～20个交易日")),AND(AG34="趋势波段",OR(AH34="11～20个交易日",AH34="21～60个交易日",AH34="60个交易日以上"))),"匹配","周期与交易预期不匹配，请重新确认"))</f>
        <v/>
      </c>
      <c r="AK34" s="10"/>
      <c r="AL34" s="12"/>
      <c r="AM34" s="10"/>
      <c r="AN34" s="12"/>
      <c r="AO34" s="5">
        <f>IF(OR(A34="",H34="",H34&lt;=0),"",(E34*H34+IF(AND(AK34&lt;&gt;"",AL34&lt;&gt;""),AK34*AL34,0)+IF(AND(AM34&lt;&gt;"",AN34&lt;&gt;""),AM34*AN34,0))/AP34)</f>
        <v>42.64</v>
      </c>
      <c r="AP34" s="11">
        <f>IF(OR(A34="",H34="",H34&lt;=0),"",H34+IF(AL34="",0,AL34)+IF(AN34="",0,AN34))</f>
        <v>700</v>
      </c>
      <c r="AQ34" s="5">
        <f>IF(A34="","",IF(M34&lt;&gt;"",0,IF(OR(H34="",N34=""),"",MAX(E34-MAX(N34,IFERROR(SUMPRODUCT(MAX(((持仓跟踪!$A$2:$A$157="每日跟踪")*(持仓跟踪!$B$2:$B$157=A34))*持仓跟踪!$S$2:$S$157)),0)),0)*H34+IF(OR(AK34="",AL34=""),0,MAX(AK34-MAX(N34,IFERROR(SUMPRODUCT(MAX(((持仓跟踪!$A$2:$A$157="每日跟踪")*(持仓跟踪!$B$2:$B$157=A34))*持仓跟踪!$S$2:$S$157)),0)),0)*AL34)+IF(OR(AM34="",AN34=""),0,MAX(AM34-MAX(N34,IFERROR(SUMPRODUCT(MAX(((持仓跟踪!$A$2:$A$157="每日跟踪")*(持仓跟踪!$B$2:$B$157=A34))*持仓跟踪!$S$2:$S$157)),0)),0)*AN34))))</f>
        <v>0</v>
      </c>
      <c r="AR34" s="8" t="str">
        <f ca="1">IF(A34="","",IF(OR(E34="",H34=""),"违规：第一批价格或股数缺失",IF(OR(AND(AK34="",AL34&lt;&gt;""),AND(AK34&lt;&gt;"",AL34="")),"违规：第二批价格与股数须成对填写",IF(OR(AND(AM34="",AN34&lt;&gt;""),AND(AM34&lt;&gt;"",AN34="")),"违规：第三批价格与股数须成对填写",IF(AND(OR(AM34&lt;&gt;"",AN34&lt;&gt;""),OR(AK34="",AL34="")),"违规：必须先完成第二批",IF(OR(H34&lt;=0,H34&lt;&gt;INT(H34),MOD(H34,100)&lt;&gt;0,AND(AL34&lt;&gt;"",OR(AL34&lt;=0,AL34&lt;&gt;INT(AL34),MOD(AL34,100)&lt;&gt;0)),AND(AN34&lt;&gt;"",OR(AN34&lt;=0,AN34&lt;&gt;INT(AN34),MOD(AN34,100)&lt;&gt;0))),"违规：股数须为100股整数倍",IF(AND(OR(AL34&lt;&gt;"",AN34&lt;&gt;""),OR(_LockStatus="已锁仓",_LockStatus="解锁信息不完整")),"违规：锁仓期间禁止加仓",IF(AQ34&gt;C34*D34,"违规：超过单笔风险上限",IF(SUM($AQ$2:$AQ$98)&gt;账户数据!$B$7,"违规：超过账户风险上限","通过")))))))))</f>
        <v>通过</v>
      </c>
    </row>
    <row r="35" ht="17" spans="1:44">
      <c r="A35" s="2">
        <v>34</v>
      </c>
      <c r="B35" s="2" t="s">
        <v>64</v>
      </c>
      <c r="C35" s="10">
        <v>124763</v>
      </c>
      <c r="D35" s="6">
        <v>0.02</v>
      </c>
      <c r="E35" s="10">
        <v>102.65</v>
      </c>
      <c r="F35" s="8">
        <f>IF(OR(C35="",D35="",E35="",N35="",C35&lt;=0,D35&lt;=0,E35&lt;=N35),"",ROUNDDOWN((C35*D35)/(E35-N35)/100,0)*100)</f>
        <v>900</v>
      </c>
      <c r="G35" s="8" t="str">
        <f ca="1">IF(A35="","",IF(H35&lt;&gt;"","已开仓",IF(账户数据!$B$23="已锁仓","禁止开仓：连续亏损达到上限",IF(账户数据!$B$23="解锁信息不完整","禁止开仓：请完整填写解锁信息",IF(OR(F35="",E35="",N35="",E35&lt;=N35,账户数据!$B$7=""),"",IF(OR(AG35="",AH35="",AI35=""),"禁止开仓：交易预期未填写完整",IF(COUNTIFS(持仓跟踪!$A$2:$A$157,"止损计划",持仓跟踪!$B$2:$B$157,A35,持仓跟踪!$AC$2:$AC$157,"计划有效")=0,"禁止开仓：请先填写止损计划",IF(账户数据!$B$9+F35*(E35-N35)&gt;=账户数据!$B$7,"禁止开仓：风险额度不足",IF(AJ35="周期与交易预期不匹配，请重新确认",IF(账户数据!$B$23="接近锁仓","允许开仓（接近锁仓；周期需复核）","允许开仓（周期需复核）"),IF(账户数据!$B$23="接近锁仓","允许开仓（接近锁仓）","允许开仓"))))))))))</f>
        <v>已开仓</v>
      </c>
      <c r="H35" s="2">
        <v>900</v>
      </c>
      <c r="I35" s="13">
        <v>43651</v>
      </c>
      <c r="J35" s="10">
        <v>110</v>
      </c>
      <c r="K35" s="5">
        <f>IF(A35="","",IFERROR(LOOKUP(2,1/((持仓跟踪!$B$2:$B$157=A35)*(持仓跟踪!$X$2:$X$157="执行卖出")*(持仓跟踪!$Y$2:$Y$157&lt;&gt;"")),持仓跟踪!$Y$2:$Y$157),""))</f>
        <v>93.44</v>
      </c>
      <c r="L35" s="8">
        <f>IF(A35="","",IFERROR(LOOKUP(2,1/((持仓跟踪!$B$2:$B$157=A35)*(持仓跟踪!$X$2:$X$157="执行卖出")*(持仓跟踪!$Z$2:$Z$157&lt;&gt;"")),持仓跟踪!$Z$2:$Z$157),""))</f>
        <v>900</v>
      </c>
      <c r="M35" s="18">
        <f>IF(A35="","",IFERROR(LOOKUP(2,1/((持仓跟踪!$B$2:$B$157=A35)*(持仓跟踪!$X$2:$X$157="执行卖出")*(持仓跟踪!$H$2:$H$157&lt;&gt;"")),持仓跟踪!$H$2:$H$157),""))</f>
        <v>43889</v>
      </c>
      <c r="N35" s="10">
        <v>100</v>
      </c>
      <c r="O35" s="10"/>
      <c r="P35" s="5" t="str">
        <f>IF(A35="","",IFERROR(LOOKUP(2,1/((持仓跟踪!$B$2:$B$157=A35)*(持仓跟踪!$X$2:$X$157="执行卖出")*(持仓跟踪!$AA$2:$AA$157&lt;&gt;"")),持仓跟踪!$AA$2:$AA$157),""))</f>
        <v/>
      </c>
      <c r="Q35" s="2"/>
      <c r="R35" s="2"/>
      <c r="S35" s="2"/>
      <c r="T35" s="2"/>
      <c r="U35" s="7">
        <f>IF(OR(AO35="",J35="",AO35&lt;=0),"",(J35-AO35)/AO35)</f>
        <v>0.071602532878714</v>
      </c>
      <c r="V35" s="7">
        <f>IF(OR(AO35="",N35="",AO35&lt;=0),"",(AO35-N35)/AO35)</f>
        <v>0.0258158792011691</v>
      </c>
      <c r="W35" s="19">
        <f>IF(OR(U35="",V35="",V35&lt;=0),"",U35/V35)</f>
        <v>2.77358490566037</v>
      </c>
      <c r="X35" s="5">
        <f>IF(OR(K35="",L35="",AP35=""),"",K35*L35-(E35*H35+IF(AND(AK35&lt;&gt;"",AL35&lt;&gt;""),AK35*AL35,0)+IF(AND(AM35&lt;&gt;"",AN35&lt;&gt;""),AM35*AN35,0))-IF(O35="",0,O35)-IF(P35="",0,P35))</f>
        <v>-8289</v>
      </c>
      <c r="Y35" s="7">
        <f>IF(OR(X35="",AP35=""),"",IF((E35*H35+IF(AND(AK35&lt;&gt;"",AL35&lt;&gt;""),AK35*AL35,0)+IF(AND(AM35&lt;&gt;"",AN35&lt;&gt;""),AM35*AN35,0))+IF(O35="",0,O35)&lt;=0,"",X35/((E35*H35+IF(AND(AK35&lt;&gt;"",AL35&lt;&gt;""),AK35*AL35,0)+IF(AND(AM35&lt;&gt;"",AN35&lt;&gt;""),AM35*AN35,0))+IF(O35="",0,O35))))</f>
        <v>-0.0897223575255723</v>
      </c>
      <c r="Z35" s="7">
        <f>IF(OR(AE35="",多次统计数据!$B$8=""),"",AE35-多次统计数据!$B$8)</f>
        <v>-0.138986593307226</v>
      </c>
      <c r="AA35" s="11">
        <f>IF(OR(I35="",M35="",M35&lt;I35),"",M35-I35)</f>
        <v>238</v>
      </c>
      <c r="AB35" s="7">
        <f>IF(OR(A35="",多次统计数据!$B$8="",多次统计数据!$B$6&lt;=0,多次统计数据!$B$6&gt;=1),"",1-POWER(1+多次统计数据!$B$8,-多次统计数据!$B$6/(1-多次统计数据!$B$6)))</f>
        <v>0.0530166567311223</v>
      </c>
      <c r="AC35" s="8" t="str">
        <f>IF(OR(AB35="",多次统计数据!$B$9=""),"",IF(多次统计数据!$B$9&lt;AB35,"低于上限","达到或超过上限"))</f>
        <v>低于上限</v>
      </c>
      <c r="AD35" s="2"/>
      <c r="AE35" s="7">
        <f>IF(OR(X35="",C35="",C35&lt;=0),"",X35/C35)</f>
        <v>-0.0664379663842646</v>
      </c>
      <c r="AG35" s="2"/>
      <c r="AH35" s="2"/>
      <c r="AI35" s="2"/>
      <c r="AJ35" s="8" t="str">
        <f>IF(OR(AG35="",AH35=""),"",IF(OR(AND(AG35="短期博反弹",OR(AH35="1～3个交易日",AH35="4～10个交易日")),AND(AG35="突破冲新高",OR(AH35="4～10个交易日",AH35="11～20个交易日")),AND(AG35="趋势波段",OR(AH35="11～20个交易日",AH35="21～60个交易日",AH35="60个交易日以上"))),"匹配","周期与交易预期不匹配，请重新确认"))</f>
        <v/>
      </c>
      <c r="AK35" s="10"/>
      <c r="AL35" s="12"/>
      <c r="AM35" s="10"/>
      <c r="AN35" s="12"/>
      <c r="AO35" s="5">
        <f>IF(OR(A35="",H35="",H35&lt;=0),"",(E35*H35+IF(AND(AK35&lt;&gt;"",AL35&lt;&gt;""),AK35*AL35,0)+IF(AND(AM35&lt;&gt;"",AN35&lt;&gt;""),AM35*AN35,0))/AP35)</f>
        <v>102.65</v>
      </c>
      <c r="AP35" s="11">
        <f>IF(OR(A35="",H35="",H35&lt;=0),"",H35+IF(AL35="",0,AL35)+IF(AN35="",0,AN35))</f>
        <v>900</v>
      </c>
      <c r="AQ35" s="5">
        <f>IF(A35="","",IF(M35&lt;&gt;"",0,IF(OR(H35="",N35=""),"",MAX(E35-MAX(N35,IFERROR(SUMPRODUCT(MAX(((持仓跟踪!$A$2:$A$157="每日跟踪")*(持仓跟踪!$B$2:$B$157=A35))*持仓跟踪!$S$2:$S$157)),0)),0)*H35+IF(OR(AK35="",AL35=""),0,MAX(AK35-MAX(N35,IFERROR(SUMPRODUCT(MAX(((持仓跟踪!$A$2:$A$157="每日跟踪")*(持仓跟踪!$B$2:$B$157=A35))*持仓跟踪!$S$2:$S$157)),0)),0)*AL35)+IF(OR(AM35="",AN35=""),0,MAX(AM35-MAX(N35,IFERROR(SUMPRODUCT(MAX(((持仓跟踪!$A$2:$A$157="每日跟踪")*(持仓跟踪!$B$2:$B$157=A35))*持仓跟踪!$S$2:$S$157)),0)),0)*AN35))))</f>
        <v>0</v>
      </c>
      <c r="AR35" s="8" t="str">
        <f ca="1">IF(A35="","",IF(OR(E35="",H35=""),"违规：第一批价格或股数缺失",IF(OR(AND(AK35="",AL35&lt;&gt;""),AND(AK35&lt;&gt;"",AL35="")),"违规：第二批价格与股数须成对填写",IF(OR(AND(AM35="",AN35&lt;&gt;""),AND(AM35&lt;&gt;"",AN35="")),"违规：第三批价格与股数须成对填写",IF(AND(OR(AM35&lt;&gt;"",AN35&lt;&gt;""),OR(AK35="",AL35="")),"违规：必须先完成第二批",IF(OR(H35&lt;=0,H35&lt;&gt;INT(H35),MOD(H35,100)&lt;&gt;0,AND(AL35&lt;&gt;"",OR(AL35&lt;=0,AL35&lt;&gt;INT(AL35),MOD(AL35,100)&lt;&gt;0)),AND(AN35&lt;&gt;"",OR(AN35&lt;=0,AN35&lt;&gt;INT(AN35),MOD(AN35,100)&lt;&gt;0))),"违规：股数须为100股整数倍",IF(AND(OR(AL35&lt;&gt;"",AN35&lt;&gt;""),OR(_LockStatus="已锁仓",_LockStatus="解锁信息不完整")),"违规：锁仓期间禁止加仓",IF(AQ35&gt;C35*D35,"违规：超过单笔风险上限",IF(SUM($AQ$2:$AQ$98)&gt;账户数据!$B$7,"违规：超过账户风险上限","通过")))))))))</f>
        <v>通过</v>
      </c>
    </row>
    <row r="36" ht="17" spans="1:44">
      <c r="A36" s="2">
        <v>35</v>
      </c>
      <c r="B36" s="2" t="s">
        <v>64</v>
      </c>
      <c r="C36" s="10">
        <v>116474</v>
      </c>
      <c r="D36" s="6">
        <v>0.02</v>
      </c>
      <c r="E36" s="10">
        <v>118.06</v>
      </c>
      <c r="F36" s="8">
        <f>IF(OR(C36="",D36="",E36="",N36="",C36&lt;=0,D36&lt;=0,E36&lt;=N36),"",ROUNDDOWN((C36*D36)/(E36-N36)/100,0)*100)</f>
        <v>700</v>
      </c>
      <c r="G36" s="8" t="str">
        <f ca="1">IF(A36="","",IF(H36&lt;&gt;"","已开仓",IF(账户数据!$B$23="已锁仓","禁止开仓：连续亏损达到上限",IF(账户数据!$B$23="解锁信息不完整","禁止开仓：请完整填写解锁信息",IF(OR(F36="",E36="",N36="",E36&lt;=N36,账户数据!$B$7=""),"",IF(OR(AG36="",AH36="",AI36=""),"禁止开仓：交易预期未填写完整",IF(COUNTIFS(持仓跟踪!$A$2:$A$157,"止损计划",持仓跟踪!$B$2:$B$157,A36,持仓跟踪!$AC$2:$AC$157,"计划有效")=0,"禁止开仓：请先填写止损计划",IF(账户数据!$B$9+F36*(E36-N36)&gt;=账户数据!$B$7,"禁止开仓：风险额度不足",IF(AJ36="周期与交易预期不匹配，请重新确认",IF(账户数据!$B$23="接近锁仓","允许开仓（接近锁仓；周期需复核）","允许开仓（周期需复核）"),IF(账户数据!$B$23="接近锁仓","允许开仓（接近锁仓）","允许开仓"))))))))))</f>
        <v>已开仓</v>
      </c>
      <c r="H36" s="2">
        <v>700</v>
      </c>
      <c r="I36" s="13">
        <v>43966</v>
      </c>
      <c r="J36" s="10">
        <v>130</v>
      </c>
      <c r="K36" s="5">
        <f>IF(A36="","",IFERROR(LOOKUP(2,1/((持仓跟踪!$B$2:$B$157=A36)*(持仓跟踪!$X$2:$X$157="执行卖出")*(持仓跟踪!$Y$2:$Y$157&lt;&gt;"")),持仓跟踪!$Y$2:$Y$157),""))</f>
        <v>192.04</v>
      </c>
      <c r="L36" s="8">
        <f>IF(A36="","",IFERROR(LOOKUP(2,1/((持仓跟踪!$B$2:$B$157=A36)*(持仓跟踪!$X$2:$X$157="执行卖出")*(持仓跟踪!$Z$2:$Z$157&lt;&gt;"")),持仓跟踪!$Z$2:$Z$157),""))</f>
        <v>700</v>
      </c>
      <c r="M36" s="18">
        <f>IF(A36="","",IFERROR(LOOKUP(2,1/((持仓跟踪!$B$2:$B$157=A36)*(持仓跟踪!$X$2:$X$157="执行卖出")*(持仓跟踪!$H$2:$H$157&lt;&gt;"")),持仓跟踪!$H$2:$H$157),""))</f>
        <v>44083</v>
      </c>
      <c r="N36" s="10">
        <v>115</v>
      </c>
      <c r="O36" s="10"/>
      <c r="P36" s="5" t="str">
        <f>IF(A36="","",IFERROR(LOOKUP(2,1/((持仓跟踪!$B$2:$B$157=A36)*(持仓跟踪!$X$2:$X$157="执行卖出")*(持仓跟踪!$AA$2:$AA$157&lt;&gt;"")),持仓跟踪!$AA$2:$AA$157),""))</f>
        <v/>
      </c>
      <c r="Q36" s="2"/>
      <c r="R36" s="2"/>
      <c r="S36" s="2"/>
      <c r="T36" s="2"/>
      <c r="U36" s="7">
        <f>IF(OR(AO36="",J36="",AO36&lt;=0),"",(J36-AO36)/AO36)</f>
        <v>0.101135016093512</v>
      </c>
      <c r="V36" s="7">
        <f>IF(OR(AO36="",N36="",AO36&lt;=0),"",(AO36-N36)/AO36)</f>
        <v>0.0259190242249704</v>
      </c>
      <c r="W36" s="19">
        <f>IF(OR(U36="",V36="",V36&lt;=0),"",U36/V36)</f>
        <v>3.90196078431372</v>
      </c>
      <c r="X36" s="5">
        <f>IF(OR(K36="",L36="",AP36=""),"",K36*L36-(E36*H36+IF(AND(AK36&lt;&gt;"",AL36&lt;&gt;""),AK36*AL36,0)+IF(AND(AM36&lt;&gt;"",AN36&lt;&gt;""),AM36*AN36,0))-IF(O36="",0,O36)-IF(P36="",0,P36))</f>
        <v>51786</v>
      </c>
      <c r="Y36" s="7">
        <f>IF(OR(X36="",AP36=""),"",IF((E36*H36+IF(AND(AK36&lt;&gt;"",AL36&lt;&gt;""),AK36*AL36,0)+IF(AND(AM36&lt;&gt;"",AN36&lt;&gt;""),AM36*AN36,0))+IF(O36="",0,O36)&lt;=0,"",X36/((E36*H36+IF(AND(AK36&lt;&gt;"",AL36&lt;&gt;""),AK36*AL36,0)+IF(AND(AM36&lt;&gt;"",AN36&lt;&gt;""),AM36*AN36,0))+IF(O36="",0,O36))))</f>
        <v>0.626630526850754</v>
      </c>
      <c r="Z36" s="7">
        <f>IF(OR(AE36="",多次统计数据!$B$8=""),"",AE36-多次统计数据!$B$8)</f>
        <v>0.372065621750563</v>
      </c>
      <c r="AA36" s="11">
        <f>IF(OR(I36="",M36="",M36&lt;I36),"",M36-I36)</f>
        <v>117</v>
      </c>
      <c r="AB36" s="7">
        <f>IF(OR(A36="",多次统计数据!$B$8="",多次统计数据!$B$6&lt;=0,多次统计数据!$B$6&gt;=1),"",1-POWER(1+多次统计数据!$B$8,-多次统计数据!$B$6/(1-多次统计数据!$B$6)))</f>
        <v>0.0530166567311223</v>
      </c>
      <c r="AC36" s="8" t="str">
        <f>IF(OR(AB36="",多次统计数据!$B$9=""),"",IF(多次统计数据!$B$9&lt;AB36,"低于上限","达到或超过上限"))</f>
        <v>低于上限</v>
      </c>
      <c r="AD36" s="2"/>
      <c r="AE36" s="7">
        <f>IF(OR(X36="",C36="",C36&lt;=0),"",X36/C36)</f>
        <v>0.444614248673524</v>
      </c>
      <c r="AG36" s="2" t="s">
        <v>60</v>
      </c>
      <c r="AH36" s="2" t="s">
        <v>47</v>
      </c>
      <c r="AI36" s="2"/>
      <c r="AJ36" s="8" t="str">
        <f>IF(OR(AG36="",AH36=""),"",IF(OR(AND(AG36="短期博反弹",OR(AH36="1～3个交易日",AH36="4～10个交易日")),AND(AG36="突破冲新高",OR(AH36="4～10个交易日",AH36="11～20个交易日")),AND(AG36="趋势波段",OR(AH36="11～20个交易日",AH36="21～60个交易日",AH36="60个交易日以上"))),"匹配","周期与交易预期不匹配，请重新确认"))</f>
        <v>匹配</v>
      </c>
      <c r="AK36" s="10"/>
      <c r="AL36" s="12"/>
      <c r="AM36" s="10"/>
      <c r="AN36" s="12"/>
      <c r="AO36" s="5">
        <f>IF(OR(A36="",H36="",H36&lt;=0),"",(E36*H36+IF(AND(AK36&lt;&gt;"",AL36&lt;&gt;""),AK36*AL36,0)+IF(AND(AM36&lt;&gt;"",AN36&lt;&gt;""),AM36*AN36,0))/AP36)</f>
        <v>118.06</v>
      </c>
      <c r="AP36" s="11">
        <f>IF(OR(A36="",H36="",H36&lt;=0),"",H36+IF(AL36="",0,AL36)+IF(AN36="",0,AN36))</f>
        <v>700</v>
      </c>
      <c r="AQ36" s="5">
        <f>IF(A36="","",IF(M36&lt;&gt;"",0,IF(OR(H36="",N36=""),"",MAX(E36-MAX(N36,IFERROR(SUMPRODUCT(MAX(((持仓跟踪!$A$2:$A$157="每日跟踪")*(持仓跟踪!$B$2:$B$157=A36))*持仓跟踪!$S$2:$S$157)),0)),0)*H36+IF(OR(AK36="",AL36=""),0,MAX(AK36-MAX(N36,IFERROR(SUMPRODUCT(MAX(((持仓跟踪!$A$2:$A$157="每日跟踪")*(持仓跟踪!$B$2:$B$157=A36))*持仓跟踪!$S$2:$S$157)),0)),0)*AL36)+IF(OR(AM36="",AN36=""),0,MAX(AM36-MAX(N36,IFERROR(SUMPRODUCT(MAX(((持仓跟踪!$A$2:$A$157="每日跟踪")*(持仓跟踪!$B$2:$B$157=A36))*持仓跟踪!$S$2:$S$157)),0)),0)*AN36))))</f>
        <v>0</v>
      </c>
      <c r="AR36" s="8" t="str">
        <f ca="1">IF(A36="","",IF(OR(E36="",H36=""),"违规：第一批价格或股数缺失",IF(OR(AND(AK36="",AL36&lt;&gt;""),AND(AK36&lt;&gt;"",AL36="")),"违规：第二批价格与股数须成对填写",IF(OR(AND(AM36="",AN36&lt;&gt;""),AND(AM36&lt;&gt;"",AN36="")),"违规：第三批价格与股数须成对填写",IF(AND(OR(AM36&lt;&gt;"",AN36&lt;&gt;""),OR(AK36="",AL36="")),"违规：必须先完成第二批",IF(OR(H36&lt;=0,H36&lt;&gt;INT(H36),MOD(H36,100)&lt;&gt;0,AND(AL36&lt;&gt;"",OR(AL36&lt;=0,AL36&lt;&gt;INT(AL36),MOD(AL36,100)&lt;&gt;0)),AND(AN36&lt;&gt;"",OR(AN36&lt;=0,AN36&lt;&gt;INT(AN36),MOD(AN36,100)&lt;&gt;0))),"违规：股数须为100股整数倍",IF(AND(OR(AL36&lt;&gt;"",AN36&lt;&gt;""),OR(_LockStatus="已锁仓",_LockStatus="解锁信息不完整")),"违规：锁仓期间禁止加仓",IF(AQ36&gt;C36*D36,"违规：超过单笔风险上限",IF(SUM($AQ$2:$AQ$98)&gt;账户数据!$B$7,"违规：超过账户风险上限","通过")))))))))</f>
        <v>通过</v>
      </c>
    </row>
    <row r="37" ht="17" spans="1:44">
      <c r="A37" s="2">
        <v>36</v>
      </c>
      <c r="B37" s="2" t="s">
        <v>64</v>
      </c>
      <c r="C37" s="10">
        <v>168260</v>
      </c>
      <c r="D37" s="6">
        <v>0.02</v>
      </c>
      <c r="E37" s="10">
        <v>214.44</v>
      </c>
      <c r="F37" s="8">
        <f>IF(OR(C37="",D37="",E37="",N37="",C37&lt;=0,D37&lt;=0,E37&lt;=N37),"",ROUNDDOWN((C37*D37)/(E37-N37)/100,0)*100)</f>
        <v>300</v>
      </c>
      <c r="G37" s="8" t="str">
        <f ca="1">IF(A37="","",IF(H37&lt;&gt;"","已开仓",IF(账户数据!$B$23="已锁仓","禁止开仓：连续亏损达到上限",IF(账户数据!$B$23="解锁信息不完整","禁止开仓：请完整填写解锁信息",IF(OR(F37="",E37="",N37="",E37&lt;=N37,账户数据!$B$7=""),"",IF(OR(AG37="",AH37="",AI37=""),"禁止开仓：交易预期未填写完整",IF(COUNTIFS(持仓跟踪!$A$2:$A$157,"止损计划",持仓跟踪!$B$2:$B$157,A37,持仓跟踪!$AC$2:$AC$157,"计划有效")=0,"禁止开仓：请先填写止损计划",IF(账户数据!$B$9+F37*(E37-N37)&gt;=账户数据!$B$7,"禁止开仓：风险额度不足",IF(AJ37="周期与交易预期不匹配，请重新确认",IF(账户数据!$B$23="接近锁仓","允许开仓（接近锁仓；周期需复核）","允许开仓（周期需复核）"),IF(账户数据!$B$23="接近锁仓","允许开仓（接近锁仓）","允许开仓"))))))))))</f>
        <v>已开仓</v>
      </c>
      <c r="H37" s="2">
        <v>300</v>
      </c>
      <c r="I37" s="13">
        <v>44118</v>
      </c>
      <c r="J37" s="10">
        <v>230</v>
      </c>
      <c r="K37" s="5">
        <f>IF(A37="","",IFERROR(LOOKUP(2,1/((持仓跟踪!$B$2:$B$157=A37)*(持仓跟踪!$X$2:$X$157="执行卖出")*(持仓跟踪!$Y$2:$Y$157&lt;&gt;"")),持仓跟踪!$Y$2:$Y$157),""))</f>
        <v>238.76</v>
      </c>
      <c r="L37" s="8">
        <f>IF(A37="","",IFERROR(LOOKUP(2,1/((持仓跟踪!$B$2:$B$157=A37)*(持仓跟踪!$X$2:$X$157="执行卖出")*(持仓跟踪!$Z$2:$Z$157&lt;&gt;"")),持仓跟踪!$Z$2:$Z$157),""))</f>
        <v>300</v>
      </c>
      <c r="M37" s="18">
        <f>IF(A37="","",IFERROR(LOOKUP(2,1/((持仓跟踪!$B$2:$B$157=A37)*(持仓跟踪!$X$2:$X$157="执行卖出")*(持仓跟踪!$H$2:$H$157&lt;&gt;"")),持仓跟踪!$H$2:$H$157),""))</f>
        <v>44153</v>
      </c>
      <c r="N37" s="10">
        <v>205</v>
      </c>
      <c r="O37" s="10"/>
      <c r="P37" s="5" t="str">
        <f>IF(A37="","",IFERROR(LOOKUP(2,1/((持仓跟踪!$B$2:$B$157=A37)*(持仓跟踪!$X$2:$X$157="执行卖出")*(持仓跟踪!$AA$2:$AA$157&lt;&gt;"")),持仓跟踪!$AA$2:$AA$157),""))</f>
        <v/>
      </c>
      <c r="Q37" s="2"/>
      <c r="R37" s="2"/>
      <c r="S37" s="2"/>
      <c r="T37" s="2"/>
      <c r="U37" s="7">
        <f>IF(OR(AO37="",J37="",AO37&lt;=0),"",(J37-AO37)/AO37)</f>
        <v>0.0725610893490021</v>
      </c>
      <c r="V37" s="7">
        <f>IF(OR(AO37="",N37="",AO37&lt;=0),"",(AO37-N37)/AO37)</f>
        <v>0.0440216377541503</v>
      </c>
      <c r="W37" s="19">
        <f>IF(OR(U37="",V37="",V37&lt;=0),"",U37/V37)</f>
        <v>1.64830508474576</v>
      </c>
      <c r="X37" s="5">
        <f>IF(OR(K37="",L37="",AP37=""),"",K37*L37-(E37*H37+IF(AND(AK37&lt;&gt;"",AL37&lt;&gt;""),AK37*AL37,0)+IF(AND(AM37&lt;&gt;"",AN37&lt;&gt;""),AM37*AN37,0))-IF(O37="",0,O37)-IF(P37="",0,P37))</f>
        <v>7296</v>
      </c>
      <c r="Y37" s="7">
        <f>IF(OR(X37="",AP37=""),"",IF((E37*H37+IF(AND(AK37&lt;&gt;"",AL37&lt;&gt;""),AK37*AL37,0)+IF(AND(AM37&lt;&gt;"",AN37&lt;&gt;""),AM37*AN37,0))+IF(O37="",0,O37)&lt;=0,"",X37/((E37*H37+IF(AND(AK37&lt;&gt;"",AL37&lt;&gt;""),AK37*AL37,0)+IF(AND(AM37&lt;&gt;"",AN37&lt;&gt;""),AM37*AN37,0))+IF(O37="",0,O37))))</f>
        <v>0.113411676925947</v>
      </c>
      <c r="Z37" s="7">
        <f>IF(OR(AE37="",多次统计数据!$B$8=""),"",AE37-多次统计数据!$B$8)</f>
        <v>-0.0291871625226281</v>
      </c>
      <c r="AA37" s="11">
        <f>IF(OR(I37="",M37="",M37&lt;I37),"",M37-I37)</f>
        <v>35</v>
      </c>
      <c r="AB37" s="7">
        <f>IF(OR(A37="",多次统计数据!$B$8="",多次统计数据!$B$6&lt;=0,多次统计数据!$B$6&gt;=1),"",1-POWER(1+多次统计数据!$B$8,-多次统计数据!$B$6/(1-多次统计数据!$B$6)))</f>
        <v>0.0530166567311223</v>
      </c>
      <c r="AC37" s="8" t="str">
        <f>IF(OR(AB37="",多次统计数据!$B$9=""),"",IF(多次统计数据!$B$9&lt;AB37,"低于上限","达到或超过上限"))</f>
        <v>低于上限</v>
      </c>
      <c r="AD37" s="2"/>
      <c r="AE37" s="7">
        <f>IF(OR(X37="",C37="",C37&lt;=0),"",X37/C37)</f>
        <v>0.0433614644003328</v>
      </c>
      <c r="AG37" s="2" t="s">
        <v>60</v>
      </c>
      <c r="AH37" s="2" t="s">
        <v>47</v>
      </c>
      <c r="AI37" s="2"/>
      <c r="AJ37" s="8" t="str">
        <f>IF(OR(AG37="",AH37=""),"",IF(OR(AND(AG37="短期博反弹",OR(AH37="1～3个交易日",AH37="4～10个交易日")),AND(AG37="突破冲新高",OR(AH37="4～10个交易日",AH37="11～20个交易日")),AND(AG37="趋势波段",OR(AH37="11～20个交易日",AH37="21～60个交易日",AH37="60个交易日以上"))),"匹配","周期与交易预期不匹配，请重新确认"))</f>
        <v>匹配</v>
      </c>
      <c r="AK37" s="10"/>
      <c r="AL37" s="12"/>
      <c r="AM37" s="10"/>
      <c r="AN37" s="12"/>
      <c r="AO37" s="5">
        <f>IF(OR(A37="",H37="",H37&lt;=0),"",(E37*H37+IF(AND(AK37&lt;&gt;"",AL37&lt;&gt;""),AK37*AL37,0)+IF(AND(AM37&lt;&gt;"",AN37&lt;&gt;""),AM37*AN37,0))/AP37)</f>
        <v>214.44</v>
      </c>
      <c r="AP37" s="11">
        <f>IF(OR(A37="",H37="",H37&lt;=0),"",H37+IF(AL37="",0,AL37)+IF(AN37="",0,AN37))</f>
        <v>300</v>
      </c>
      <c r="AQ37" s="5">
        <f>IF(A37="","",IF(M37&lt;&gt;"",0,IF(OR(H37="",N37=""),"",MAX(E37-MAX(N37,IFERROR(SUMPRODUCT(MAX(((持仓跟踪!$A$2:$A$157="每日跟踪")*(持仓跟踪!$B$2:$B$157=A37))*持仓跟踪!$S$2:$S$157)),0)),0)*H37+IF(OR(AK37="",AL37=""),0,MAX(AK37-MAX(N37,IFERROR(SUMPRODUCT(MAX(((持仓跟踪!$A$2:$A$157="每日跟踪")*(持仓跟踪!$B$2:$B$157=A37))*持仓跟踪!$S$2:$S$157)),0)),0)*AL37)+IF(OR(AM37="",AN37=""),0,MAX(AM37-MAX(N37,IFERROR(SUMPRODUCT(MAX(((持仓跟踪!$A$2:$A$157="每日跟踪")*(持仓跟踪!$B$2:$B$157=A37))*持仓跟踪!$S$2:$S$157)),0)),0)*AN37))))</f>
        <v>0</v>
      </c>
      <c r="AR37" s="8" t="str">
        <f ca="1">IF(A37="","",IF(OR(E37="",H37=""),"违规：第一批价格或股数缺失",IF(OR(AND(AK37="",AL37&lt;&gt;""),AND(AK37&lt;&gt;"",AL37="")),"违规：第二批价格与股数须成对填写",IF(OR(AND(AM37="",AN37&lt;&gt;""),AND(AM37&lt;&gt;"",AN37="")),"违规：第三批价格与股数须成对填写",IF(AND(OR(AM37&lt;&gt;"",AN37&lt;&gt;""),OR(AK37="",AL37="")),"违规：必须先完成第二批",IF(OR(H37&lt;=0,H37&lt;&gt;INT(H37),MOD(H37,100)&lt;&gt;0,AND(AL37&lt;&gt;"",OR(AL37&lt;=0,AL37&lt;&gt;INT(AL37),MOD(AL37,100)&lt;&gt;0)),AND(AN37&lt;&gt;"",OR(AN37&lt;=0,AN37&lt;&gt;INT(AN37),MOD(AN37,100)&lt;&gt;0))),"违规：股数须为100股整数倍",IF(AND(OR(AL37&lt;&gt;"",AN37&lt;&gt;""),OR(_LockStatus="已锁仓",_LockStatus="解锁信息不完整")),"违规：锁仓期间禁止加仓",IF(AQ37&gt;C37*D37,"违规：超过单笔风险上限",IF(SUM($AQ$2:$AQ$98)&gt;账户数据!$B$7,"违规：超过账户风险上限","通过")))))))))</f>
        <v>通过</v>
      </c>
    </row>
    <row r="38" ht="17" spans="1:44">
      <c r="A38" s="2">
        <v>37</v>
      </c>
      <c r="B38" s="2" t="s">
        <v>64</v>
      </c>
      <c r="C38" s="10">
        <v>175556</v>
      </c>
      <c r="D38" s="6">
        <v>0.02</v>
      </c>
      <c r="E38" s="10">
        <v>257.02</v>
      </c>
      <c r="F38" s="8">
        <f>IF(OR(C38="",D38="",E38="",N38="",C38&lt;=0,D38&lt;=0,E38&lt;=N38),"",ROUNDDOWN((C38*D38)/(E38-N38)/100,0)*100)</f>
        <v>500</v>
      </c>
      <c r="G38" s="8" t="str">
        <f ca="1">IF(A38="","",IF(H38&lt;&gt;"","已开仓",IF(账户数据!$B$23="已锁仓","禁止开仓：连续亏损达到上限",IF(账户数据!$B$23="解锁信息不完整","禁止开仓：请完整填写解锁信息",IF(OR(F38="",E38="",N38="",E38&lt;=N38,账户数据!$B$7=""),"",IF(OR(AG38="",AH38="",AI38=""),"禁止开仓：交易预期未填写完整",IF(COUNTIFS(持仓跟踪!$A$2:$A$157,"止损计划",持仓跟踪!$B$2:$B$157,A38,持仓跟踪!$AC$2:$AC$157,"计划有效")=0,"禁止开仓：请先填写止损计划",IF(账户数据!$B$9+F38*(E38-N38)&gt;=账户数据!$B$7,"禁止开仓：风险额度不足",IF(AJ38="周期与交易预期不匹配，请重新确认",IF(账户数据!$B$23="接近锁仓","允许开仓（接近锁仓；周期需复核）","允许开仓（周期需复核）"),IF(账户数据!$B$23="接近锁仓","允许开仓（接近锁仓）","允许开仓"))))))))))</f>
        <v>已开仓</v>
      </c>
      <c r="H38" s="2">
        <v>500</v>
      </c>
      <c r="I38" s="13">
        <v>44186</v>
      </c>
      <c r="J38" s="10">
        <v>270</v>
      </c>
      <c r="K38" s="5">
        <f>IF(A38="","",IFERROR(LOOKUP(2,1/((持仓跟踪!$B$2:$B$157=A38)*(持仓跟踪!$X$2:$X$157="执行卖出")*(持仓跟踪!$Y$2:$Y$157&lt;&gt;"")),持仓跟踪!$Y$2:$Y$157),""))</f>
        <v>303.34</v>
      </c>
      <c r="L38" s="8">
        <f>IF(A38="","",IFERROR(LOOKUP(2,1/((持仓跟踪!$B$2:$B$157=A38)*(持仓跟踪!$X$2:$X$157="执行卖出")*(持仓跟踪!$Z$2:$Z$157&lt;&gt;"")),持仓跟踪!$Z$2:$Z$157),""))</f>
        <v>500</v>
      </c>
      <c r="M38" s="18">
        <f>IF(A38="","",IFERROR(LOOKUP(2,1/((持仓跟踪!$B$2:$B$157=A38)*(持仓跟踪!$X$2:$X$157="执行卖出")*(持仓跟踪!$H$2:$H$157&lt;&gt;"")),持仓跟踪!$H$2:$H$157),""))</f>
        <v>44202</v>
      </c>
      <c r="N38" s="10">
        <v>250</v>
      </c>
      <c r="O38" s="10"/>
      <c r="P38" s="5" t="str">
        <f>IF(A38="","",IFERROR(LOOKUP(2,1/((持仓跟踪!$B$2:$B$157=A38)*(持仓跟踪!$X$2:$X$157="执行卖出")*(持仓跟踪!$AA$2:$AA$157&lt;&gt;"")),持仓跟踪!$AA$2:$AA$157),""))</f>
        <v/>
      </c>
      <c r="Q38" s="2"/>
      <c r="R38" s="2"/>
      <c r="S38" s="2"/>
      <c r="T38" s="2"/>
      <c r="U38" s="7">
        <f>IF(OR(AO38="",J38="",AO38&lt;=0),"",(J38-AO38)/AO38)</f>
        <v>0.0505019064664229</v>
      </c>
      <c r="V38" s="7">
        <f>IF(OR(AO38="",N38="",AO38&lt;=0),"",(AO38-N38)/AO38)</f>
        <v>0.0273130495681269</v>
      </c>
      <c r="W38" s="19">
        <f>IF(OR(U38="",V38="",V38&lt;=0),"",U38/V38)</f>
        <v>1.84900284900286</v>
      </c>
      <c r="X38" s="5">
        <f>IF(OR(K38="",L38="",AP38=""),"",K38*L38-(E38*H38+IF(AND(AK38&lt;&gt;"",AL38&lt;&gt;""),AK38*AL38,0)+IF(AND(AM38&lt;&gt;"",AN38&lt;&gt;""),AM38*AN38,0))-IF(O38="",0,O38)-IF(P38="",0,P38))</f>
        <v>23160</v>
      </c>
      <c r="Y38" s="7">
        <f>IF(OR(X38="",AP38=""),"",IF((E38*H38+IF(AND(AK38&lt;&gt;"",AL38&lt;&gt;""),AK38*AL38,0)+IF(AND(AM38&lt;&gt;"",AN38&lt;&gt;""),AM38*AN38,0))+IF(O38="",0,O38)&lt;=0,"",X38/((E38*H38+IF(AND(AK38&lt;&gt;"",AL38&lt;&gt;""),AK38*AL38,0)+IF(AND(AM38&lt;&gt;"",AN38&lt;&gt;""),AM38*AN38,0))+IF(O38="",0,O38))))</f>
        <v>0.180219438176018</v>
      </c>
      <c r="Z38" s="7">
        <f>IF(OR(AE38="",多次统计数据!$B$8=""),"",AE38-多次统计数据!$B$8)</f>
        <v>0.0593750897258577</v>
      </c>
      <c r="AA38" s="11">
        <f>IF(OR(I38="",M38="",M38&lt;I38),"",M38-I38)</f>
        <v>16</v>
      </c>
      <c r="AB38" s="7">
        <f>IF(OR(A38="",多次统计数据!$B$8="",多次统计数据!$B$6&lt;=0,多次统计数据!$B$6&gt;=1),"",1-POWER(1+多次统计数据!$B$8,-多次统计数据!$B$6/(1-多次统计数据!$B$6)))</f>
        <v>0.0530166567311223</v>
      </c>
      <c r="AC38" s="8" t="str">
        <f>IF(OR(AB38="",多次统计数据!$B$9=""),"",IF(多次统计数据!$B$9&lt;AB38,"低于上限","达到或超过上限"))</f>
        <v>低于上限</v>
      </c>
      <c r="AD38" s="2"/>
      <c r="AE38" s="7">
        <f>IF(OR(X38="",C38="",C38&lt;=0),"",X38/C38)</f>
        <v>0.131923716648819</v>
      </c>
      <c r="AG38" s="2" t="s">
        <v>60</v>
      </c>
      <c r="AH38" s="2" t="s">
        <v>47</v>
      </c>
      <c r="AI38" s="2"/>
      <c r="AJ38" s="8" t="str">
        <f>IF(OR(AG38="",AH38=""),"",IF(OR(AND(AG38="短期博反弹",OR(AH38="1～3个交易日",AH38="4～10个交易日")),AND(AG38="突破冲新高",OR(AH38="4～10个交易日",AH38="11～20个交易日")),AND(AG38="趋势波段",OR(AH38="11～20个交易日",AH38="21～60个交易日",AH38="60个交易日以上"))),"匹配","周期与交易预期不匹配，请重新确认"))</f>
        <v>匹配</v>
      </c>
      <c r="AK38" s="10"/>
      <c r="AL38" s="12"/>
      <c r="AM38" s="10"/>
      <c r="AN38" s="12"/>
      <c r="AO38" s="5">
        <f>IF(OR(A38="",H38="",H38&lt;=0),"",(E38*H38+IF(AND(AK38&lt;&gt;"",AL38&lt;&gt;""),AK38*AL38,0)+IF(AND(AM38&lt;&gt;"",AN38&lt;&gt;""),AM38*AN38,0))/AP38)</f>
        <v>257.02</v>
      </c>
      <c r="AP38" s="11">
        <f>IF(OR(A38="",H38="",H38&lt;=0),"",H38+IF(AL38="",0,AL38)+IF(AN38="",0,AN38))</f>
        <v>500</v>
      </c>
      <c r="AQ38" s="5">
        <f>IF(A38="","",IF(M38&lt;&gt;"",0,IF(OR(H38="",N38=""),"",MAX(E38-MAX(N38,IFERROR(SUMPRODUCT(MAX(((持仓跟踪!$A$2:$A$157="每日跟踪")*(持仓跟踪!$B$2:$B$157=A38))*持仓跟踪!$S$2:$S$157)),0)),0)*H38+IF(OR(AK38="",AL38=""),0,MAX(AK38-MAX(N38,IFERROR(SUMPRODUCT(MAX(((持仓跟踪!$A$2:$A$157="每日跟踪")*(持仓跟踪!$B$2:$B$157=A38))*持仓跟踪!$S$2:$S$157)),0)),0)*AL38)+IF(OR(AM38="",AN38=""),0,MAX(AM38-MAX(N38,IFERROR(SUMPRODUCT(MAX(((持仓跟踪!$A$2:$A$157="每日跟踪")*(持仓跟踪!$B$2:$B$157=A38))*持仓跟踪!$S$2:$S$157)),0)),0)*AN38))))</f>
        <v>0</v>
      </c>
      <c r="AR38" s="8" t="str">
        <f ca="1">IF(A38="","",IF(OR(E38="",H38=""),"违规：第一批价格或股数缺失",IF(OR(AND(AK38="",AL38&lt;&gt;""),AND(AK38&lt;&gt;"",AL38="")),"违规：第二批价格与股数须成对填写",IF(OR(AND(AM38="",AN38&lt;&gt;""),AND(AM38&lt;&gt;"",AN38="")),"违规：第三批价格与股数须成对填写",IF(AND(OR(AM38&lt;&gt;"",AN38&lt;&gt;""),OR(AK38="",AL38="")),"违规：必须先完成第二批",IF(OR(H38&lt;=0,H38&lt;&gt;INT(H38),MOD(H38,100)&lt;&gt;0,AND(AL38&lt;&gt;"",OR(AL38&lt;=0,AL38&lt;&gt;INT(AL38),MOD(AL38,100)&lt;&gt;0)),AND(AN38&lt;&gt;"",OR(AN38&lt;=0,AN38&lt;&gt;INT(AN38),MOD(AN38,100)&lt;&gt;0))),"违规：股数须为100股整数倍",IF(AND(OR(AL38&lt;&gt;"",AN38&lt;&gt;""),OR(_LockStatus="已锁仓",_LockStatus="解锁信息不完整")),"违规：锁仓期间禁止加仓",IF(AQ38&gt;C38*D38,"违规：超过单笔风险上限",IF(SUM($AQ$2:$AQ$98)&gt;账户数据!$B$7,"违规：超过账户风险上限","通过")))))))))</f>
        <v>通过</v>
      </c>
    </row>
    <row r="39" ht="17" spans="1:44">
      <c r="A39" s="2">
        <v>38</v>
      </c>
      <c r="B39" s="2" t="s">
        <v>64</v>
      </c>
      <c r="C39" s="10">
        <v>198716</v>
      </c>
      <c r="D39" s="6">
        <v>0.02</v>
      </c>
      <c r="E39" s="10">
        <v>171.71</v>
      </c>
      <c r="F39" s="8">
        <f>IF(OR(C39="",D39="",E39="",N39="",C39&lt;=0,D39&lt;=0,E39&lt;=N39),"",ROUNDDOWN((C39*D39)/(E39-N39)/100,0)*100)</f>
        <v>500</v>
      </c>
      <c r="G39" s="8" t="str">
        <f ca="1">IF(A39="","",IF(H39&lt;&gt;"","已开仓",IF(账户数据!$B$23="已锁仓","禁止开仓：连续亏损达到上限",IF(账户数据!$B$23="解锁信息不完整","禁止开仓：请完整填写解锁信息",IF(OR(F39="",E39="",N39="",E39&lt;=N39,账户数据!$B$7=""),"",IF(OR(AG39="",AH39="",AI39=""),"禁止开仓：交易预期未填写完整",IF(COUNTIFS(持仓跟踪!$A$2:$A$157,"止损计划",持仓跟踪!$B$2:$B$157,A39,持仓跟踪!$AC$2:$AC$157,"计划有效")=0,"禁止开仓：请先填写止损计划",IF(账户数据!$B$9+F39*(E39-N39)&gt;=账户数据!$B$7,"禁止开仓：风险额度不足",IF(AJ39="周期与交易预期不匹配，请重新确认",IF(账户数据!$B$23="接近锁仓","允许开仓（接近锁仓；周期需复核）","允许开仓（周期需复核）"),IF(账户数据!$B$23="接近锁仓","允许开仓（接近锁仓）","允许开仓"))))))))))</f>
        <v>已开仓</v>
      </c>
      <c r="H39" s="2">
        <v>500</v>
      </c>
      <c r="I39" s="13">
        <v>44908</v>
      </c>
      <c r="J39" s="10">
        <v>180</v>
      </c>
      <c r="K39" s="5">
        <f>IF(A39="","",IFERROR(LOOKUP(2,1/((持仓跟踪!$B$2:$B$157=A39)*(持仓跟踪!$X$2:$X$157="执行卖出")*(持仓跟踪!$Y$2:$Y$157&lt;&gt;"")),持仓跟踪!$Y$2:$Y$157),""))</f>
        <v>193.16</v>
      </c>
      <c r="L39" s="8">
        <f>IF(A39="","",IFERROR(LOOKUP(2,1/((持仓跟踪!$B$2:$B$157=A39)*(持仓跟踪!$X$2:$X$157="执行卖出")*(持仓跟踪!$Z$2:$Z$157&lt;&gt;"")),持仓跟踪!$Z$2:$Z$157),""))</f>
        <v>500</v>
      </c>
      <c r="M39" s="18">
        <f>IF(A39="","",IFERROR(LOOKUP(2,1/((持仓跟踪!$B$2:$B$157=A39)*(持仓跟踪!$X$2:$X$157="执行卖出")*(持仓跟踪!$H$2:$H$157&lt;&gt;"")),持仓跟踪!$H$2:$H$157),""))</f>
        <v>44959</v>
      </c>
      <c r="N39" s="10">
        <v>165</v>
      </c>
      <c r="O39" s="10"/>
      <c r="P39" s="5" t="str">
        <f>IF(A39="","",IFERROR(LOOKUP(2,1/((持仓跟踪!$B$2:$B$157=A39)*(持仓跟踪!$X$2:$X$157="执行卖出")*(持仓跟踪!$AA$2:$AA$157&lt;&gt;"")),持仓跟踪!$AA$2:$AA$157),""))</f>
        <v/>
      </c>
      <c r="Q39" s="2"/>
      <c r="R39" s="2"/>
      <c r="S39" s="2"/>
      <c r="T39" s="2"/>
      <c r="U39" s="7">
        <f>IF(OR(AO39="",J39="",AO39&lt;=0),"",(J39-AO39)/AO39)</f>
        <v>0.0482790751849047</v>
      </c>
      <c r="V39" s="7">
        <f>IF(OR(AO39="",N39="",AO39&lt;=0),"",(AO39-N39)/AO39)</f>
        <v>0.0390775144138373</v>
      </c>
      <c r="W39" s="19">
        <f>IF(OR(U39="",V39="",V39&lt;=0),"",U39/V39)</f>
        <v>1.2354694485842</v>
      </c>
      <c r="X39" s="5">
        <f>IF(OR(K39="",L39="",AP39=""),"",K39*L39-(E39*H39+IF(AND(AK39&lt;&gt;"",AL39&lt;&gt;""),AK39*AL39,0)+IF(AND(AM39&lt;&gt;"",AN39&lt;&gt;""),AM39*AN39,0))-IF(O39="",0,O39)-IF(P39="",0,P39))</f>
        <v>10725</v>
      </c>
      <c r="Y39" s="7">
        <f>IF(OR(X39="",AP39=""),"",IF((E39*H39+IF(AND(AK39&lt;&gt;"",AL39&lt;&gt;""),AK39*AL39,0)+IF(AND(AM39&lt;&gt;"",AN39&lt;&gt;""),AM39*AN39,0))+IF(O39="",0,O39)&lt;=0,"",X39/((E39*H39+IF(AND(AK39&lt;&gt;"",AL39&lt;&gt;""),AK39*AL39,0)+IF(AND(AM39&lt;&gt;"",AN39&lt;&gt;""),AM39*AN39,0))+IF(O39="",0,O39))))</f>
        <v>0.124919923126201</v>
      </c>
      <c r="Z39" s="7">
        <f>IF(OR(AE39="",多次统计数据!$B$8=""),"",AE39-多次统计数据!$B$8)</f>
        <v>-0.0185771299121516</v>
      </c>
      <c r="AA39" s="11">
        <f>IF(OR(I39="",M39="",M39&lt;I39),"",M39-I39)</f>
        <v>51</v>
      </c>
      <c r="AB39" s="7">
        <f>IF(OR(A39="",多次统计数据!$B$8="",多次统计数据!$B$6&lt;=0,多次统计数据!$B$6&gt;=1),"",1-POWER(1+多次统计数据!$B$8,-多次统计数据!$B$6/(1-多次统计数据!$B$6)))</f>
        <v>0.0530166567311223</v>
      </c>
      <c r="AC39" s="8" t="str">
        <f>IF(OR(AB39="",多次统计数据!$B$9=""),"",IF(多次统计数据!$B$9&lt;AB39,"低于上限","达到或超过上限"))</f>
        <v>低于上限</v>
      </c>
      <c r="AD39" s="2"/>
      <c r="AE39" s="7">
        <f>IF(OR(X39="",C39="",C39&lt;=0),"",X39/C39)</f>
        <v>0.0539714970108094</v>
      </c>
      <c r="AG39" s="2" t="s">
        <v>46</v>
      </c>
      <c r="AH39" s="2" t="s">
        <v>47</v>
      </c>
      <c r="AI39" s="2"/>
      <c r="AJ39" s="8" t="str">
        <f>IF(OR(AG39="",AH39=""),"",IF(OR(AND(AG39="短期博反弹",OR(AH39="1～3个交易日",AH39="4～10个交易日")),AND(AG39="突破冲新高",OR(AH39="4～10个交易日",AH39="11～20个交易日")),AND(AG39="趋势波段",OR(AH39="11～20个交易日",AH39="21～60个交易日",AH39="60个交易日以上"))),"匹配","周期与交易预期不匹配，请重新确认"))</f>
        <v>匹配</v>
      </c>
      <c r="AK39" s="10"/>
      <c r="AL39" s="12"/>
      <c r="AM39" s="10"/>
      <c r="AN39" s="12"/>
      <c r="AO39" s="5">
        <f>IF(OR(A39="",H39="",H39&lt;=0),"",(E39*H39+IF(AND(AK39&lt;&gt;"",AL39&lt;&gt;""),AK39*AL39,0)+IF(AND(AM39&lt;&gt;"",AN39&lt;&gt;""),AM39*AN39,0))/AP39)</f>
        <v>171.71</v>
      </c>
      <c r="AP39" s="11">
        <f>IF(OR(A39="",H39="",H39&lt;=0),"",H39+IF(AL39="",0,AL39)+IF(AN39="",0,AN39))</f>
        <v>500</v>
      </c>
      <c r="AQ39" s="5">
        <f>IF(A39="","",IF(M39&lt;&gt;"",0,IF(OR(H39="",N39=""),"",MAX(E39-MAX(N39,IFERROR(SUMPRODUCT(MAX(((持仓跟踪!$A$2:$A$157="每日跟踪")*(持仓跟踪!$B$2:$B$157=A39))*持仓跟踪!$S$2:$S$157)),0)),0)*H39+IF(OR(AK39="",AL39=""),0,MAX(AK39-MAX(N39,IFERROR(SUMPRODUCT(MAX(((持仓跟踪!$A$2:$A$157="每日跟踪")*(持仓跟踪!$B$2:$B$157=A39))*持仓跟踪!$S$2:$S$157)),0)),0)*AL39)+IF(OR(AM39="",AN39=""),0,MAX(AM39-MAX(N39,IFERROR(SUMPRODUCT(MAX(((持仓跟踪!$A$2:$A$157="每日跟踪")*(持仓跟踪!$B$2:$B$157=A39))*持仓跟踪!$S$2:$S$157)),0)),0)*AN39))))</f>
        <v>0</v>
      </c>
      <c r="AR39" s="8" t="str">
        <f ca="1">IF(A39="","",IF(OR(E39="",H39=""),"违规：第一批价格或股数缺失",IF(OR(AND(AK39="",AL39&lt;&gt;""),AND(AK39&lt;&gt;"",AL39="")),"违规：第二批价格与股数须成对填写",IF(OR(AND(AM39="",AN39&lt;&gt;""),AND(AM39&lt;&gt;"",AN39="")),"违规：第三批价格与股数须成对填写",IF(AND(OR(AM39&lt;&gt;"",AN39&lt;&gt;""),OR(AK39="",AL39="")),"违规：必须先完成第二批",IF(OR(H39&lt;=0,H39&lt;&gt;INT(H39),MOD(H39,100)&lt;&gt;0,AND(AL39&lt;&gt;"",OR(AL39&lt;=0,AL39&lt;&gt;INT(AL39),MOD(AL39,100)&lt;&gt;0)),AND(AN39&lt;&gt;"",OR(AN39&lt;=0,AN39&lt;&gt;INT(AN39),MOD(AN39,100)&lt;&gt;0))),"违规：股数须为100股整数倍",IF(AND(OR(AL39&lt;&gt;"",AN39&lt;&gt;""),OR(_LockStatus="已锁仓",_LockStatus="解锁信息不完整")),"违规：锁仓期间禁止加仓",IF(AQ39&gt;C39*D39,"违规：超过单笔风险上限",IF(SUM($AQ$2:$AQ$98)&gt;账户数据!$B$7,"违规：超过账户风险上限","通过")))))))))</f>
        <v>通过</v>
      </c>
    </row>
    <row r="40" ht="17" spans="1:44">
      <c r="A40" s="2">
        <v>39</v>
      </c>
      <c r="B40" s="2" t="s">
        <v>64</v>
      </c>
      <c r="C40" s="10">
        <v>209441</v>
      </c>
      <c r="D40" s="6">
        <v>0.02</v>
      </c>
      <c r="E40" s="10">
        <v>162.89</v>
      </c>
      <c r="F40" s="8">
        <f>IF(OR(C40="",D40="",E40="",N40="",C40&lt;=0,D40&lt;=0,E40&lt;=N40),"",ROUNDDOWN((C40*D40)/(E40-N40)/100,0)*100)</f>
        <v>800</v>
      </c>
      <c r="G40" s="8" t="str">
        <f ca="1">IF(A40="","",IF(H40&lt;&gt;"","已开仓",IF(账户数据!$B$23="已锁仓","禁止开仓：连续亏损达到上限",IF(账户数据!$B$23="解锁信息不完整","禁止开仓：请完整填写解锁信息",IF(OR(F40="",E40="",N40="",E40&lt;=N40,账户数据!$B$7=""),"",IF(OR(AG40="",AH40="",AI40=""),"禁止开仓：交易预期未填写完整",IF(COUNTIFS(持仓跟踪!$A$2:$A$157,"止损计划",持仓跟踪!$B$2:$B$157,A40,持仓跟踪!$AC$2:$AC$157,"计划有效")=0,"禁止开仓：请先填写止损计划",IF(账户数据!$B$9+F40*(E40-N40)&gt;=账户数据!$B$7,"禁止开仓：风险额度不足",IF(AJ40="周期与交易预期不匹配，请重新确认",IF(账户数据!$B$23="接近锁仓","允许开仓（接近锁仓；周期需复核）","允许开仓（周期需复核）"),IF(账户数据!$B$23="接近锁仓","允许开仓（接近锁仓）","允许开仓"))))))))))</f>
        <v>已开仓</v>
      </c>
      <c r="H40" s="2">
        <v>800</v>
      </c>
      <c r="I40" s="13">
        <v>45134</v>
      </c>
      <c r="J40" s="10">
        <v>170</v>
      </c>
      <c r="K40" s="5">
        <f>IF(A40="","",IFERROR(LOOKUP(2,1/((持仓跟踪!$B$2:$B$157=A40)*(持仓跟踪!$X$2:$X$157="执行卖出")*(持仓跟踪!$Y$2:$Y$157&lt;&gt;"")),持仓跟踪!$Y$2:$Y$157),""))</f>
        <v>165.43</v>
      </c>
      <c r="L40" s="8">
        <f>IF(A40="","",IFERROR(LOOKUP(2,1/((持仓跟踪!$B$2:$B$157=A40)*(持仓跟踪!$X$2:$X$157="执行卖出")*(持仓跟踪!$Z$2:$Z$157&lt;&gt;"")),持仓跟踪!$Z$2:$Z$157),""))</f>
        <v>800</v>
      </c>
      <c r="M40" s="18">
        <f>IF(A40="","",IFERROR(LOOKUP(2,1/((持仓跟踪!$B$2:$B$157=A40)*(持仓跟踪!$X$2:$X$157="执行卖出")*(持仓跟踪!$H$2:$H$157&lt;&gt;"")),持仓跟踪!$H$2:$H$157),""))</f>
        <v>45138</v>
      </c>
      <c r="N40" s="10">
        <v>158</v>
      </c>
      <c r="O40" s="10"/>
      <c r="P40" s="5" t="str">
        <f>IF(A40="","",IFERROR(LOOKUP(2,1/((持仓跟踪!$B$2:$B$157=A40)*(持仓跟踪!$X$2:$X$157="执行卖出")*(持仓跟踪!$AA$2:$AA$157&lt;&gt;"")),持仓跟踪!$AA$2:$AA$157),""))</f>
        <v/>
      </c>
      <c r="Q40" s="2"/>
      <c r="R40" s="2"/>
      <c r="S40" s="2"/>
      <c r="T40" s="2"/>
      <c r="U40" s="7">
        <f>IF(OR(AO40="",J40="",AO40&lt;=0),"",(J40-AO40)/AO40)</f>
        <v>0.0436490883418259</v>
      </c>
      <c r="V40" s="7">
        <f>IF(OR(AO40="",N40="",AO40&lt;=0),"",(AO40-N40)/AO40)</f>
        <v>0.0300202590705383</v>
      </c>
      <c r="W40" s="19">
        <f>IF(OR(U40="",V40="",V40&lt;=0),"",U40/V40)</f>
        <v>1.45398773006136</v>
      </c>
      <c r="X40" s="5">
        <f>IF(OR(K40="",L40="",AP40=""),"",K40*L40-(E40*H40+IF(AND(AK40&lt;&gt;"",AL40&lt;&gt;""),AK40*AL40,0)+IF(AND(AM40&lt;&gt;"",AN40&lt;&gt;""),AM40*AN40,0))-IF(O40="",0,O40)-IF(P40="",0,P40))</f>
        <v>2032.00000000001</v>
      </c>
      <c r="Y40" s="7">
        <f>IF(OR(X40="",AP40=""),"",IF((E40*H40+IF(AND(AK40&lt;&gt;"",AL40&lt;&gt;""),AK40*AL40,0)+IF(AND(AM40&lt;&gt;"",AN40&lt;&gt;""),AM40*AN40,0))+IF(O40="",0,O40)&lt;=0,"",X40/((E40*H40+IF(AND(AK40&lt;&gt;"",AL40&lt;&gt;""),AK40*AL40,0)+IF(AND(AM40&lt;&gt;"",AN40&lt;&gt;""),AM40*AN40,0))+IF(O40="",0,O40))))</f>
        <v>0.0155933452022839</v>
      </c>
      <c r="Z40" s="7">
        <f>IF(OR(AE40="",多次统计数据!$B$8=""),"",AE40-多次统计数据!$B$8)</f>
        <v>-0.0628466106033291</v>
      </c>
      <c r="AA40" s="11">
        <f>IF(OR(I40="",M40="",M40&lt;I40),"",M40-I40)</f>
        <v>4</v>
      </c>
      <c r="AB40" s="7">
        <f>IF(OR(A40="",多次统计数据!$B$8="",多次统计数据!$B$6&lt;=0,多次统计数据!$B$6&gt;=1),"",1-POWER(1+多次统计数据!$B$8,-多次统计数据!$B$6/(1-多次统计数据!$B$6)))</f>
        <v>0.0530166567311223</v>
      </c>
      <c r="AC40" s="8" t="str">
        <f>IF(OR(AB40="",多次统计数据!$B$9=""),"",IF(多次统计数据!$B$9&lt;AB40,"低于上限","达到或超过上限"))</f>
        <v>低于上限</v>
      </c>
      <c r="AD40" s="2"/>
      <c r="AE40" s="7">
        <f>IF(OR(X40="",C40="",C40&lt;=0),"",X40/C40)</f>
        <v>0.00970201631963185</v>
      </c>
      <c r="AG40" s="2" t="s">
        <v>46</v>
      </c>
      <c r="AH40" s="2" t="s">
        <v>47</v>
      </c>
      <c r="AI40" s="2"/>
      <c r="AJ40" s="8" t="str">
        <f>IF(OR(AG40="",AH40=""),"",IF(OR(AND(AG40="短期博反弹",OR(AH40="1～3个交易日",AH40="4～10个交易日")),AND(AG40="突破冲新高",OR(AH40="4～10个交易日",AH40="11～20个交易日")),AND(AG40="趋势波段",OR(AH40="11～20个交易日",AH40="21～60个交易日",AH40="60个交易日以上"))),"匹配","周期与交易预期不匹配，请重新确认"))</f>
        <v>匹配</v>
      </c>
      <c r="AK40" s="10"/>
      <c r="AL40" s="12"/>
      <c r="AM40" s="10"/>
      <c r="AN40" s="12"/>
      <c r="AO40" s="5">
        <f>IF(OR(A40="",H40="",H40&lt;=0),"",(E40*H40+IF(AND(AK40&lt;&gt;"",AL40&lt;&gt;""),AK40*AL40,0)+IF(AND(AM40&lt;&gt;"",AN40&lt;&gt;""),AM40*AN40,0))/AP40)</f>
        <v>162.89</v>
      </c>
      <c r="AP40" s="11">
        <f>IF(OR(A40="",H40="",H40&lt;=0),"",H40+IF(AL40="",0,AL40)+IF(AN40="",0,AN40))</f>
        <v>800</v>
      </c>
      <c r="AQ40" s="5">
        <f>IF(A40="","",IF(M40&lt;&gt;"",0,IF(OR(H40="",N40=""),"",MAX(E40-MAX(N40,IFERROR(SUMPRODUCT(MAX(((持仓跟踪!$A$2:$A$157="每日跟踪")*(持仓跟踪!$B$2:$B$157=A40))*持仓跟踪!$S$2:$S$157)),0)),0)*H40+IF(OR(AK40="",AL40=""),0,MAX(AK40-MAX(N40,IFERROR(SUMPRODUCT(MAX(((持仓跟踪!$A$2:$A$157="每日跟踪")*(持仓跟踪!$B$2:$B$157=A40))*持仓跟踪!$S$2:$S$157)),0)),0)*AL40)+IF(OR(AM40="",AN40=""),0,MAX(AM40-MAX(N40,IFERROR(SUMPRODUCT(MAX(((持仓跟踪!$A$2:$A$157="每日跟踪")*(持仓跟踪!$B$2:$B$157=A40))*持仓跟踪!$S$2:$S$157)),0)),0)*AN40))))</f>
        <v>0</v>
      </c>
      <c r="AR40" s="8" t="str">
        <f ca="1">IF(A40="","",IF(OR(E40="",H40=""),"违规：第一批价格或股数缺失",IF(OR(AND(AK40="",AL40&lt;&gt;""),AND(AK40&lt;&gt;"",AL40="")),"违规：第二批价格与股数须成对填写",IF(OR(AND(AM40="",AN40&lt;&gt;""),AND(AM40&lt;&gt;"",AN40="")),"违规：第三批价格与股数须成对填写",IF(AND(OR(AM40&lt;&gt;"",AN40&lt;&gt;""),OR(AK40="",AL40="")),"违规：必须先完成第二批",IF(OR(H40&lt;=0,H40&lt;&gt;INT(H40),MOD(H40,100)&lt;&gt;0,AND(AL40&lt;&gt;"",OR(AL40&lt;=0,AL40&lt;&gt;INT(AL40),MOD(AL40,100)&lt;&gt;0)),AND(AN40&lt;&gt;"",OR(AN40&lt;=0,AN40&lt;&gt;INT(AN40),MOD(AN40,100)&lt;&gt;0))),"违规：股数须为100股整数倍",IF(AND(OR(AL40&lt;&gt;"",AN40&lt;&gt;""),OR(_LockStatus="已锁仓",_LockStatus="解锁信息不完整")),"违规：锁仓期间禁止加仓",IF(AQ40&gt;C40*D40,"违规：超过单笔风险上限",IF(SUM($AQ$2:$AQ$98)&gt;账户数据!$B$7,"违规：超过账户风险上限","通过")))))))))</f>
        <v>通过</v>
      </c>
    </row>
    <row r="41" ht="34" spans="1:44">
      <c r="A41" s="2">
        <v>40</v>
      </c>
      <c r="B41" s="2" t="s">
        <v>64</v>
      </c>
      <c r="C41" s="10">
        <v>211473</v>
      </c>
      <c r="D41" s="6">
        <v>0.02</v>
      </c>
      <c r="E41" s="10">
        <v>133.99</v>
      </c>
      <c r="F41" s="8">
        <f>IF(OR(C41="",D41="",E41="",N41="",C41&lt;=0,D41&lt;=0,E41&lt;=N41),"",ROUNDDOWN((C41*D41)/(E41-N41)/100,0)*100)</f>
        <v>400</v>
      </c>
      <c r="G41" s="8" t="str">
        <f ca="1">IF(A41="","",IF(H41&lt;&gt;"","已开仓",IF(账户数据!$B$23="已锁仓","禁止开仓：连续亏损达到上限",IF(账户数据!$B$23="解锁信息不完整","禁止开仓：请完整填写解锁信息",IF(OR(F41="",E41="",N41="",E41&lt;=N41,账户数据!$B$7=""),"",IF(OR(AG41="",AH41="",AI41=""),"禁止开仓：交易预期未填写完整",IF(COUNTIFS(持仓跟踪!$A$2:$A$157,"止损计划",持仓跟踪!$B$2:$B$157,A41,持仓跟踪!$AC$2:$AC$157,"计划有效")=0,"禁止开仓：请先填写止损计划",IF(账户数据!$B$9+F41*(E41-N41)&gt;=账户数据!$B$7,"禁止开仓：风险额度不足",IF(AJ41="周期与交易预期不匹配，请重新确认",IF(账户数据!$B$23="接近锁仓","允许开仓（接近锁仓；周期需复核）","允许开仓（周期需复核）"),IF(账户数据!$B$23="接近锁仓","允许开仓（接近锁仓）","允许开仓"))))))))))</f>
        <v>已开仓</v>
      </c>
      <c r="H41" s="2">
        <v>400</v>
      </c>
      <c r="I41" s="13">
        <v>45365</v>
      </c>
      <c r="J41" s="10">
        <v>150</v>
      </c>
      <c r="K41" s="5">
        <f>IF(A41="","",IFERROR(LOOKUP(2,1/((持仓跟踪!$B$2:$B$157=A41)*(持仓跟踪!$X$2:$X$157="执行卖出")*(持仓跟踪!$Y$2:$Y$157&lt;&gt;"")),持仓跟踪!$Y$2:$Y$157),""))</f>
        <v>137.86</v>
      </c>
      <c r="L41" s="8">
        <f>IF(A41="","",IFERROR(LOOKUP(2,1/((持仓跟踪!$B$2:$B$157=A41)*(持仓跟踪!$X$2:$X$157="执行卖出")*(持仓跟踪!$Z$2:$Z$157&lt;&gt;"")),持仓跟踪!$Z$2:$Z$157),""))</f>
        <v>400</v>
      </c>
      <c r="M41" s="18">
        <f>IF(A41="","",IFERROR(LOOKUP(2,1/((持仓跟踪!$B$2:$B$157=A41)*(持仓跟踪!$X$2:$X$157="执行卖出")*(持仓跟踪!$H$2:$H$157&lt;&gt;"")),持仓跟踪!$H$2:$H$157),""))</f>
        <v>45373</v>
      </c>
      <c r="N41" s="10">
        <v>125</v>
      </c>
      <c r="O41" s="10"/>
      <c r="P41" s="5" t="str">
        <f>IF(A41="","",IFERROR(LOOKUP(2,1/((持仓跟踪!$B$2:$B$157=A41)*(持仓跟踪!$X$2:$X$157="执行卖出")*(持仓跟踪!$AA$2:$AA$157&lt;&gt;"")),持仓跟踪!$AA$2:$AA$157),""))</f>
        <v/>
      </c>
      <c r="Q41" s="2"/>
      <c r="R41" s="2"/>
      <c r="S41" s="2"/>
      <c r="T41" s="2"/>
      <c r="U41" s="7">
        <f>IF(OR(AO41="",J41="",AO41&lt;=0),"",(J41-AO41)/AO41)</f>
        <v>0.119486528845436</v>
      </c>
      <c r="V41" s="7">
        <f>IF(OR(AO41="",N41="",AO41&lt;=0),"",(AO41-N41)/AO41)</f>
        <v>0.0670945592954699</v>
      </c>
      <c r="W41" s="19">
        <f>IF(OR(U41="",V41="",V41&lt;=0),"",U41/V41)</f>
        <v>1.78086763070078</v>
      </c>
      <c r="X41" s="5">
        <f>IF(OR(K41="",L41="",AP41=""),"",K41*L41-(E41*H41+IF(AND(AK41&lt;&gt;"",AL41&lt;&gt;""),AK41*AL41,0)+IF(AND(AM41&lt;&gt;"",AN41&lt;&gt;""),AM41*AN41,0))-IF(O41="",0,O41)-IF(P41="",0,P41))</f>
        <v>1548.00000000001</v>
      </c>
      <c r="Y41" s="7">
        <f>IF(OR(X41="",AP41=""),"",IF((E41*H41+IF(AND(AK41&lt;&gt;"",AL41&lt;&gt;""),AK41*AL41,0)+IF(AND(AM41&lt;&gt;"",AN41&lt;&gt;""),AM41*AN41,0))+IF(O41="",0,O41)&lt;=0,"",X41/((E41*H41+IF(AND(AK41&lt;&gt;"",AL41&lt;&gt;""),AK41*AL41,0)+IF(AND(AM41&lt;&gt;"",AN41&lt;&gt;""),AM41*AN41,0))+IF(O41="",0,O41))))</f>
        <v>0.0288827524442124</v>
      </c>
      <c r="Z41" s="7">
        <f>IF(OR(AE41="",多次统计数据!$B$8=""),"",AE41-多次统计数据!$B$8)</f>
        <v>-0.0652285435080569</v>
      </c>
      <c r="AA41" s="11">
        <f>IF(OR(I41="",M41="",M41&lt;I41),"",M41-I41)</f>
        <v>8</v>
      </c>
      <c r="AB41" s="7">
        <f>IF(OR(A41="",多次统计数据!$B$8="",多次统计数据!$B$6&lt;=0,多次统计数据!$B$6&gt;=1),"",1-POWER(1+多次统计数据!$B$8,-多次统计数据!$B$6/(1-多次统计数据!$B$6)))</f>
        <v>0.0530166567311223</v>
      </c>
      <c r="AC41" s="8" t="str">
        <f>IF(OR(AB41="",多次统计数据!$B$9=""),"",IF(多次统计数据!$B$9&lt;AB41,"低于上限","达到或超过上限"))</f>
        <v>低于上限</v>
      </c>
      <c r="AD41" s="2"/>
      <c r="AE41" s="7">
        <f>IF(OR(X41="",C41="",C41&lt;=0),"",X41/C41)</f>
        <v>0.00732008341490406</v>
      </c>
      <c r="AG41" s="2"/>
      <c r="AH41" s="2"/>
      <c r="AI41" s="2"/>
      <c r="AJ41" s="8" t="str">
        <f>IF(OR(AG41="",AH41=""),"",IF(OR(AND(AG41="短期博反弹",OR(AH41="1～3个交易日",AH41="4～10个交易日")),AND(AG41="突破冲新高",OR(AH41="4～10个交易日",AH41="11～20个交易日")),AND(AG41="趋势波段",OR(AH41="11～20个交易日",AH41="21～60个交易日",AH41="60个交易日以上"))),"匹配","周期与交易预期不匹配，请重新确认"))</f>
        <v/>
      </c>
      <c r="AK41" s="10"/>
      <c r="AL41" s="12"/>
      <c r="AM41" s="10"/>
      <c r="AN41" s="12"/>
      <c r="AO41" s="5">
        <f>IF(OR(A41="",H41="",H41&lt;=0),"",(E41*H41+IF(AND(AK41&lt;&gt;"",AL41&lt;&gt;""),AK41*AL41,0)+IF(AND(AM41&lt;&gt;"",AN41&lt;&gt;""),AM41*AN41,0))/AP41)</f>
        <v>133.99</v>
      </c>
      <c r="AP41" s="11">
        <f>IF(OR(A41="",H41="",H41&lt;=0),"",H41+IF(AL41="",0,AL41)+IF(AN41="",0,AN41))</f>
        <v>400</v>
      </c>
      <c r="AQ41" s="5">
        <f>IF(A41="","",IF(M41&lt;&gt;"",0,IF(OR(H41="",N41=""),"",MAX(E41-MAX(N41,IFERROR(SUMPRODUCT(MAX(((持仓跟踪!$A$2:$A$157="每日跟踪")*(持仓跟踪!$B$2:$B$157=A41))*持仓跟踪!$S$2:$S$157)),0)),0)*H41+IF(OR(AK41="",AL41=""),0,MAX(AK41-MAX(N41,IFERROR(SUMPRODUCT(MAX(((持仓跟踪!$A$2:$A$157="每日跟踪")*(持仓跟踪!$B$2:$B$157=A41))*持仓跟踪!$S$2:$S$157)),0)),0)*AL41)+IF(OR(AM41="",AN41=""),0,MAX(AM41-MAX(N41,IFERROR(SUMPRODUCT(MAX(((持仓跟踪!$A$2:$A$157="每日跟踪")*(持仓跟踪!$B$2:$B$157=A41))*持仓跟踪!$S$2:$S$157)),0)),0)*AN41))))</f>
        <v>0</v>
      </c>
      <c r="AR41" s="8" t="str">
        <f ca="1">IF(A41="","",IF(OR(E41="",H41=""),"违规：第一批价格或股数缺失",IF(OR(AND(AK41="",AL41&lt;&gt;""),AND(AK41&lt;&gt;"",AL41="")),"违规：第二批价格与股数须成对填写",IF(OR(AND(AM41="",AN41&lt;&gt;""),AND(AM41&lt;&gt;"",AN41="")),"违规：第三批价格与股数须成对填写",IF(AND(OR(AM41&lt;&gt;"",AN41&lt;&gt;""),OR(AK41="",AL41="")),"违规：必须先完成第二批",IF(OR(H41&lt;=0,H41&lt;&gt;INT(H41),MOD(H41,100)&lt;&gt;0,AND(AL41&lt;&gt;"",OR(AL41&lt;=0,AL41&lt;&gt;INT(AL41),MOD(AL41,100)&lt;&gt;0)),AND(AN41&lt;&gt;"",OR(AN41&lt;=0,AN41&lt;&gt;INT(AN41),MOD(AN41,100)&lt;&gt;0))),"违规：股数须为100股整数倍",IF(AND(OR(AL41&lt;&gt;"",AN41&lt;&gt;""),OR(_LockStatus="已锁仓",_LockStatus="解锁信息不完整")),"违规：锁仓期间禁止加仓",IF(AQ41&gt;C41*D41,"违规：超过单笔风险上限",IF(SUM($AQ$2:$AQ$98)&gt;账户数据!$B$7,"违规：超过账户风险上限","通过")))))))))</f>
        <v>通过</v>
      </c>
    </row>
    <row r="42" ht="17" spans="1:44">
      <c r="A42" s="2">
        <v>41</v>
      </c>
      <c r="B42" s="2" t="s">
        <v>67</v>
      </c>
      <c r="C42" s="10">
        <v>213021</v>
      </c>
      <c r="D42" s="6">
        <v>0.02</v>
      </c>
      <c r="E42" s="10">
        <v>1.75</v>
      </c>
      <c r="F42" s="8">
        <f>IF(OR(C42="",D42="",E42="",N42="",C42&lt;=0,D42&lt;=0,E42&lt;=N42),"",ROUNDDOWN((C42*D42)/(E42-N42)/100,0)*100)</f>
        <v>42600</v>
      </c>
      <c r="G42" s="8" t="str">
        <f ca="1">IF(A42="","",IF(H42&lt;&gt;"","已开仓",IF(账户数据!$B$23="已锁仓","禁止开仓：连续亏损达到上限",IF(账户数据!$B$23="解锁信息不完整","禁止开仓：请完整填写解锁信息",IF(OR(F42="",E42="",N42="",E42&lt;=N42,账户数据!$B$7=""),"",IF(OR(AG42="",AH42="",AI42=""),"禁止开仓：交易预期未填写完整",IF(COUNTIFS(持仓跟踪!$A$2:$A$157,"止损计划",持仓跟踪!$B$2:$B$157,A42,持仓跟踪!$AC$2:$AC$157,"计划有效")=0,"禁止开仓：请先填写止损计划",IF(账户数据!$B$9+F42*(E42-N42)&gt;=账户数据!$B$7,"禁止开仓：风险额度不足",IF(AJ42="周期与交易预期不匹配，请重新确认",IF(账户数据!$B$23="接近锁仓","允许开仓（接近锁仓；周期需复核）","允许开仓（周期需复核）"),IF(账户数据!$B$23="接近锁仓","允许开仓（接近锁仓）","允许开仓"))))))))))</f>
        <v>已开仓</v>
      </c>
      <c r="H42" s="2">
        <v>42600</v>
      </c>
      <c r="I42" s="13">
        <v>44942</v>
      </c>
      <c r="J42" s="10">
        <v>2</v>
      </c>
      <c r="K42" s="5">
        <f>IF(A42="","",IFERROR(LOOKUP(2,1/((持仓跟踪!$B$2:$B$157=A42)*(持仓跟踪!$X$2:$X$157="执行卖出")*(持仓跟踪!$Y$2:$Y$157&lt;&gt;"")),持仓跟踪!$Y$2:$Y$157),""))</f>
        <v>1.68</v>
      </c>
      <c r="L42" s="8">
        <f>IF(A42="","",IFERROR(LOOKUP(2,1/((持仓跟踪!$B$2:$B$157=A42)*(持仓跟踪!$X$2:$X$157="执行卖出")*(持仓跟踪!$Z$2:$Z$157&lt;&gt;"")),持仓跟踪!$Z$2:$Z$157),""))</f>
        <v>42600</v>
      </c>
      <c r="M42" s="18">
        <f>IF(A42="","",IFERROR(LOOKUP(2,1/((持仓跟踪!$B$2:$B$157=A42)*(持仓跟踪!$X$2:$X$157="执行卖出")*(持仓跟踪!$H$2:$H$157&lt;&gt;"")),持仓跟踪!$H$2:$H$157),""))</f>
        <v>41298</v>
      </c>
      <c r="N42" s="10">
        <v>1.65</v>
      </c>
      <c r="O42" s="10"/>
      <c r="P42" s="5" t="str">
        <f>IF(A42="","",IFERROR(LOOKUP(2,1/((持仓跟踪!$B$2:$B$157=A42)*(持仓跟踪!$X$2:$X$157="执行卖出")*(持仓跟踪!$AA$2:$AA$157&lt;&gt;"")),持仓跟踪!$AA$2:$AA$157),""))</f>
        <v/>
      </c>
      <c r="Q42" s="2"/>
      <c r="R42" s="2"/>
      <c r="S42" s="2"/>
      <c r="T42" s="2"/>
      <c r="U42" s="7">
        <f>IF(OR(AO42="",J42="",AO42&lt;=0),"",(J42-AO42)/AO42)</f>
        <v>0.142857142857143</v>
      </c>
      <c r="V42" s="7">
        <f>IF(OR(AO42="",N42="",AO42&lt;=0),"",(AO42-N42)/AO42)</f>
        <v>0.0571428571428572</v>
      </c>
      <c r="W42" s="19">
        <f>IF(OR(U42="",V42="",V42&lt;=0),"",U42/V42)</f>
        <v>2.5</v>
      </c>
      <c r="X42" s="5">
        <f>IF(OR(K42="",L42="",AP42=""),"",K42*L42-(E42*H42+IF(AND(AK42&lt;&gt;"",AL42&lt;&gt;""),AK42*AL42,0)+IF(AND(AM42&lt;&gt;"",AN42&lt;&gt;""),AM42*AN42,0))-IF(O42="",0,O42)-IF(P42="",0,P42))</f>
        <v>-2982</v>
      </c>
      <c r="Y42" s="7">
        <f>IF(OR(X42="",AP42=""),"",IF((E42*H42+IF(AND(AK42&lt;&gt;"",AL42&lt;&gt;""),AK42*AL42,0)+IF(AND(AM42&lt;&gt;"",AN42&lt;&gt;""),AM42*AN42,0))+IF(O42="",0,O42)&lt;=0,"",X42/((E42*H42+IF(AND(AK42&lt;&gt;"",AL42&lt;&gt;""),AK42*AL42,0)+IF(AND(AM42&lt;&gt;"",AN42&lt;&gt;""),AM42*AN42,0))+IF(O42="",0,O42))))</f>
        <v>-0.04</v>
      </c>
      <c r="Z42" s="7">
        <f>IF(OR(AE42="",多次统计数据!$B$8=""),"",AE42-多次统计数据!$B$8)</f>
        <v>-0.0865472467773415</v>
      </c>
      <c r="AA42" s="11" t="str">
        <f>IF(OR(I42="",M42="",M42&lt;I42),"",M42-I42)</f>
        <v/>
      </c>
      <c r="AB42" s="7">
        <f>IF(OR(A42="",多次统计数据!$B$8="",多次统计数据!$B$6&lt;=0,多次统计数据!$B$6&gt;=1),"",1-POWER(1+多次统计数据!$B$8,-多次统计数据!$B$6/(1-多次统计数据!$B$6)))</f>
        <v>0.0530166567311223</v>
      </c>
      <c r="AC42" s="8" t="str">
        <f>IF(OR(AB42="",多次统计数据!$B$9=""),"",IF(多次统计数据!$B$9&lt;AB42,"低于上限","达到或超过上限"))</f>
        <v>低于上限</v>
      </c>
      <c r="AD42" s="2"/>
      <c r="AE42" s="7">
        <f>IF(OR(X42="",C42="",C42&lt;=0),"",X42/C42)</f>
        <v>-0.0139986198543806</v>
      </c>
      <c r="AG42" s="2"/>
      <c r="AH42" s="2"/>
      <c r="AI42" s="2"/>
      <c r="AJ42" s="8" t="str">
        <f>IF(OR(AG42="",AH42=""),"",IF(OR(AND(AG42="短期博反弹",OR(AH42="1～3个交易日",AH42="4～10个交易日")),AND(AG42="突破冲新高",OR(AH42="4～10个交易日",AH42="11～20个交易日")),AND(AG42="趋势波段",OR(AH42="11～20个交易日",AH42="21～60个交易日",AH42="60个交易日以上"))),"匹配","周期与交易预期不匹配，请重新确认"))</f>
        <v/>
      </c>
      <c r="AK42" s="10"/>
      <c r="AL42" s="12"/>
      <c r="AM42" s="10"/>
      <c r="AN42" s="12"/>
      <c r="AO42" s="5">
        <f>IF(OR(A42="",H42="",H42&lt;=0),"",(E42*H42+IF(AND(AK42&lt;&gt;"",AL42&lt;&gt;""),AK42*AL42,0)+IF(AND(AM42&lt;&gt;"",AN42&lt;&gt;""),AM42*AN42,0))/AP42)</f>
        <v>1.75</v>
      </c>
      <c r="AP42" s="11">
        <f>IF(OR(A42="",H42="",H42&lt;=0),"",H42+IF(AL42="",0,AL42)+IF(AN42="",0,AN42))</f>
        <v>42600</v>
      </c>
      <c r="AQ42" s="5">
        <f>IF(A42="","",IF(M42&lt;&gt;"",0,IF(OR(H42="",N42=""),"",MAX(E42-MAX(N42,IFERROR(SUMPRODUCT(MAX(((持仓跟踪!$A$2:$A$157="每日跟踪")*(持仓跟踪!$B$2:$B$157=A42))*持仓跟踪!$S$2:$S$157)),0)),0)*H42+IF(OR(AK42="",AL42=""),0,MAX(AK42-MAX(N42,IFERROR(SUMPRODUCT(MAX(((持仓跟踪!$A$2:$A$157="每日跟踪")*(持仓跟踪!$B$2:$B$157=A42))*持仓跟踪!$S$2:$S$157)),0)),0)*AL42)+IF(OR(AM42="",AN42=""),0,MAX(AM42-MAX(N42,IFERROR(SUMPRODUCT(MAX(((持仓跟踪!$A$2:$A$157="每日跟踪")*(持仓跟踪!$B$2:$B$157=A42))*持仓跟踪!$S$2:$S$157)),0)),0)*AN42))))</f>
        <v>0</v>
      </c>
      <c r="AR42" s="8" t="str">
        <f ca="1">IF(A42="","",IF(OR(E42="",H42=""),"违规：第一批价格或股数缺失",IF(OR(AND(AK42="",AL42&lt;&gt;""),AND(AK42&lt;&gt;"",AL42="")),"违规：第二批价格与股数须成对填写",IF(OR(AND(AM42="",AN42&lt;&gt;""),AND(AM42&lt;&gt;"",AN42="")),"违规：第三批价格与股数须成对填写",IF(AND(OR(AM42&lt;&gt;"",AN42&lt;&gt;""),OR(AK42="",AL42="")),"违规：必须先完成第二批",IF(OR(H42&lt;=0,H42&lt;&gt;INT(H42),MOD(H42,100)&lt;&gt;0,AND(AL42&lt;&gt;"",OR(AL42&lt;=0,AL42&lt;&gt;INT(AL42),MOD(AL42,100)&lt;&gt;0)),AND(AN42&lt;&gt;"",OR(AN42&lt;=0,AN42&lt;&gt;INT(AN42),MOD(AN42,100)&lt;&gt;0))),"违规：股数须为100股整数倍",IF(AND(OR(AL42&lt;&gt;"",AN42&lt;&gt;""),OR(_LockStatus="已锁仓",_LockStatus="解锁信息不完整")),"违规：锁仓期间禁止加仓",IF(AQ42&gt;C42*D42,"违规：超过单笔风险上限",IF(SUM($AQ$2:$AQ$98)&gt;账户数据!$B$7,"违规：超过账户风险上限","通过")))))))))</f>
        <v>通过</v>
      </c>
    </row>
    <row r="43" ht="17" spans="1:44">
      <c r="A43" s="2">
        <v>42</v>
      </c>
      <c r="B43" s="2" t="s">
        <v>67</v>
      </c>
      <c r="C43" s="10">
        <v>210039</v>
      </c>
      <c r="D43" s="6">
        <v>0.02</v>
      </c>
      <c r="E43" s="10">
        <v>1.8</v>
      </c>
      <c r="F43" s="8">
        <f>IF(OR(C43="",D43="",E43="",N43="",C43&lt;=0,D43&lt;=0,E43&lt;=N43),"",ROUNDDOWN((C43*D43)/(E43-N43)/100,0)*100)</f>
        <v>42000</v>
      </c>
      <c r="G43" s="8" t="str">
        <f ca="1">IF(A43="","",IF(H43&lt;&gt;"","已开仓",IF(账户数据!$B$23="已锁仓","禁止开仓：连续亏损达到上限",IF(账户数据!$B$23="解锁信息不完整","禁止开仓：请完整填写解锁信息",IF(OR(F43="",E43="",N43="",E43&lt;=N43,账户数据!$B$7=""),"",IF(OR(AG43="",AH43="",AI43=""),"禁止开仓：交易预期未填写完整",IF(COUNTIFS(持仓跟踪!$A$2:$A$157,"止损计划",持仓跟踪!$B$2:$B$157,A43,持仓跟踪!$AC$2:$AC$157,"计划有效")=0,"禁止开仓：请先填写止损计划",IF(账户数据!$B$9+F43*(E43-N43)&gt;=账户数据!$B$7,"禁止开仓：风险额度不足",IF(AJ43="周期与交易预期不匹配，请重新确认",IF(账户数据!$B$23="接近锁仓","允许开仓（接近锁仓；周期需复核）","允许开仓（周期需复核）"),IF(账户数据!$B$23="接近锁仓","允许开仓（接近锁仓）","允许开仓"))))))))))</f>
        <v>已开仓</v>
      </c>
      <c r="H43" s="2">
        <v>42000</v>
      </c>
      <c r="I43" s="13">
        <v>41346</v>
      </c>
      <c r="J43" s="10">
        <v>2</v>
      </c>
      <c r="K43" s="5">
        <f>IF(A43="","",IFERROR(LOOKUP(2,1/((持仓跟踪!$B$2:$B$157=A43)*(持仓跟踪!$X$2:$X$157="执行卖出")*(持仓跟踪!$Y$2:$Y$157&lt;&gt;"")),持仓跟踪!$Y$2:$Y$157),""))</f>
        <v>1.89</v>
      </c>
      <c r="L43" s="8">
        <f>IF(A43="","",IFERROR(LOOKUP(2,1/((持仓跟踪!$B$2:$B$157=A43)*(持仓跟踪!$X$2:$X$157="执行卖出")*(持仓跟踪!$Z$2:$Z$157&lt;&gt;"")),持仓跟踪!$Z$2:$Z$157),""))</f>
        <v>42000</v>
      </c>
      <c r="M43" s="18">
        <f>IF(A43="","",IFERROR(LOOKUP(2,1/((持仓跟踪!$B$2:$B$157=A43)*(持仓跟踪!$X$2:$X$157="执行卖出")*(持仓跟踪!$H$2:$H$157&lt;&gt;"")),持仓跟踪!$H$2:$H$157),""))</f>
        <v>41428</v>
      </c>
      <c r="N43" s="10">
        <v>1.7</v>
      </c>
      <c r="O43" s="10"/>
      <c r="P43" s="5" t="str">
        <f>IF(A43="","",IFERROR(LOOKUP(2,1/((持仓跟踪!$B$2:$B$157=A43)*(持仓跟踪!$X$2:$X$157="执行卖出")*(持仓跟踪!$AA$2:$AA$157&lt;&gt;"")),持仓跟踪!$AA$2:$AA$157),""))</f>
        <v/>
      </c>
      <c r="Q43" s="2"/>
      <c r="R43" s="2"/>
      <c r="S43" s="2"/>
      <c r="T43" s="2"/>
      <c r="U43" s="7">
        <f>IF(OR(AO43="",J43="",AO43&lt;=0),"",(J43-AO43)/AO43)</f>
        <v>0.111111111111111</v>
      </c>
      <c r="V43" s="7">
        <f>IF(OR(AO43="",N43="",AO43&lt;=0),"",(AO43-N43)/AO43)</f>
        <v>0.0555555555555556</v>
      </c>
      <c r="W43" s="19">
        <f>IF(OR(U43="",V43="",V43&lt;=0),"",U43/V43)</f>
        <v>2</v>
      </c>
      <c r="X43" s="5">
        <f>IF(OR(K43="",L43="",AP43=""),"",K43*L43-(E43*H43+IF(AND(AK43&lt;&gt;"",AL43&lt;&gt;""),AK43*AL43,0)+IF(AND(AM43&lt;&gt;"",AN43&lt;&gt;""),AM43*AN43,0))-IF(O43="",0,O43)-IF(P43="",0,P43))</f>
        <v>3780</v>
      </c>
      <c r="Y43" s="7">
        <f>IF(OR(X43="",AP43=""),"",IF((E43*H43+IF(AND(AK43&lt;&gt;"",AL43&lt;&gt;""),AK43*AL43,0)+IF(AND(AM43&lt;&gt;"",AN43&lt;&gt;""),AM43*AN43,0))+IF(O43="",0,O43)&lt;=0,"",X43/((E43*H43+IF(AND(AK43&lt;&gt;"",AL43&lt;&gt;""),AK43*AL43,0)+IF(AND(AM43&lt;&gt;"",AN43&lt;&gt;""),AM43*AN43,0))+IF(O43="",0,O43))))</f>
        <v>0.05</v>
      </c>
      <c r="Z43" s="7">
        <f>IF(OR(AE43="",多次统计数据!$B$8=""),"",AE43-多次统计数据!$B$8)</f>
        <v>-0.0545519691594028</v>
      </c>
      <c r="AA43" s="11">
        <f>IF(OR(I43="",M43="",M43&lt;I43),"",M43-I43)</f>
        <v>82</v>
      </c>
      <c r="AB43" s="7">
        <f>IF(OR(A43="",多次统计数据!$B$8="",多次统计数据!$B$6&lt;=0,多次统计数据!$B$6&gt;=1),"",1-POWER(1+多次统计数据!$B$8,-多次统计数据!$B$6/(1-多次统计数据!$B$6)))</f>
        <v>0.0530166567311223</v>
      </c>
      <c r="AC43" s="8" t="str">
        <f>IF(OR(AB43="",多次统计数据!$B$9=""),"",IF(多次统计数据!$B$9&lt;AB43,"低于上限","达到或超过上限"))</f>
        <v>低于上限</v>
      </c>
      <c r="AD43" s="2"/>
      <c r="AE43" s="7">
        <f>IF(OR(X43="",C43="",C43&lt;=0),"",X43/C43)</f>
        <v>0.0179966577635582</v>
      </c>
      <c r="AG43" s="2" t="s">
        <v>60</v>
      </c>
      <c r="AH43" s="2" t="s">
        <v>47</v>
      </c>
      <c r="AI43" s="2"/>
      <c r="AJ43" s="8" t="str">
        <f>IF(OR(AG43="",AH43=""),"",IF(OR(AND(AG43="短期博反弹",OR(AH43="1～3个交易日",AH43="4～10个交易日")),AND(AG43="突破冲新高",OR(AH43="4～10个交易日",AH43="11～20个交易日")),AND(AG43="趋势波段",OR(AH43="11～20个交易日",AH43="21～60个交易日",AH43="60个交易日以上"))),"匹配","周期与交易预期不匹配，请重新确认"))</f>
        <v>匹配</v>
      </c>
      <c r="AK43" s="10"/>
      <c r="AL43" s="12"/>
      <c r="AM43" s="10"/>
      <c r="AN43" s="12"/>
      <c r="AO43" s="5">
        <f>IF(OR(A43="",H43="",H43&lt;=0),"",(E43*H43+IF(AND(AK43&lt;&gt;"",AL43&lt;&gt;""),AK43*AL43,0)+IF(AND(AM43&lt;&gt;"",AN43&lt;&gt;""),AM43*AN43,0))/AP43)</f>
        <v>1.8</v>
      </c>
      <c r="AP43" s="11">
        <f>IF(OR(A43="",H43="",H43&lt;=0),"",H43+IF(AL43="",0,AL43)+IF(AN43="",0,AN43))</f>
        <v>42000</v>
      </c>
      <c r="AQ43" s="5">
        <f>IF(A43="","",IF(M43&lt;&gt;"",0,IF(OR(H43="",N43=""),"",MAX(E43-MAX(N43,IFERROR(SUMPRODUCT(MAX(((持仓跟踪!$A$2:$A$157="每日跟踪")*(持仓跟踪!$B$2:$B$157=A43))*持仓跟踪!$S$2:$S$157)),0)),0)*H43+IF(OR(AK43="",AL43=""),0,MAX(AK43-MAX(N43,IFERROR(SUMPRODUCT(MAX(((持仓跟踪!$A$2:$A$157="每日跟踪")*(持仓跟踪!$B$2:$B$157=A43))*持仓跟踪!$S$2:$S$157)),0)),0)*AL43)+IF(OR(AM43="",AN43=""),0,MAX(AM43-MAX(N43,IFERROR(SUMPRODUCT(MAX(((持仓跟踪!$A$2:$A$157="每日跟踪")*(持仓跟踪!$B$2:$B$157=A43))*持仓跟踪!$S$2:$S$157)),0)),0)*AN43))))</f>
        <v>0</v>
      </c>
      <c r="AR43" s="8" t="str">
        <f ca="1">IF(A43="","",IF(OR(E43="",H43=""),"违规：第一批价格或股数缺失",IF(OR(AND(AK43="",AL43&lt;&gt;""),AND(AK43&lt;&gt;"",AL43="")),"违规：第二批价格与股数须成对填写",IF(OR(AND(AM43="",AN43&lt;&gt;""),AND(AM43&lt;&gt;"",AN43="")),"违规：第三批价格与股数须成对填写",IF(AND(OR(AM43&lt;&gt;"",AN43&lt;&gt;""),OR(AK43="",AL43="")),"违规：必须先完成第二批",IF(OR(H43&lt;=0,H43&lt;&gt;INT(H43),MOD(H43,100)&lt;&gt;0,AND(AL43&lt;&gt;"",OR(AL43&lt;=0,AL43&lt;&gt;INT(AL43),MOD(AL43,100)&lt;&gt;0)),AND(AN43&lt;&gt;"",OR(AN43&lt;=0,AN43&lt;&gt;INT(AN43),MOD(AN43,100)&lt;&gt;0))),"违规：股数须为100股整数倍",IF(AND(OR(AL43&lt;&gt;"",AN43&lt;&gt;""),OR(_LockStatus="已锁仓",_LockStatus="解锁信息不完整")),"违规：锁仓期间禁止加仓",IF(AQ43&gt;C43*D43,"违规：超过单笔风险上限",IF(SUM($AQ$2:$AQ$98)&gt;账户数据!$B$7,"违规：超过账户风险上限","通过")))))))))</f>
        <v>通过</v>
      </c>
    </row>
    <row r="44" ht="17" spans="1:44">
      <c r="A44" s="2">
        <v>43</v>
      </c>
      <c r="B44" s="2" t="s">
        <v>67</v>
      </c>
      <c r="C44" s="10">
        <v>213819</v>
      </c>
      <c r="D44" s="6">
        <v>0.02</v>
      </c>
      <c r="E44" s="10">
        <v>1.59</v>
      </c>
      <c r="F44" s="8">
        <f>IF(OR(C44="",D44="",E44="",N44="",C44&lt;=0,D44&lt;=0,E44&lt;=N44),"",ROUNDDOWN((C44*D44)/(E44-N44)/100,0)*100)</f>
        <v>47500</v>
      </c>
      <c r="G44" s="8" t="str">
        <f ca="1">IF(A44="","",IF(H44&lt;&gt;"","已开仓",IF(账户数据!$B$23="已锁仓","禁止开仓：连续亏损达到上限",IF(账户数据!$B$23="解锁信息不完整","禁止开仓：请完整填写解锁信息",IF(OR(F44="",E44="",N44="",E44&lt;=N44,账户数据!$B$7=""),"",IF(OR(AG44="",AH44="",AI44=""),"禁止开仓：交易预期未填写完整",IF(COUNTIFS(持仓跟踪!$A$2:$A$157,"止损计划",持仓跟踪!$B$2:$B$157,A44,持仓跟踪!$AC$2:$AC$157,"计划有效")=0,"禁止开仓：请先填写止损计划",IF(账户数据!$B$9+F44*(E44-N44)&gt;=账户数据!$B$7,"禁止开仓：风险额度不足",IF(AJ44="周期与交易预期不匹配，请重新确认",IF(账户数据!$B$23="接近锁仓","允许开仓（接近锁仓；周期需复核）","允许开仓（周期需复核）"),IF(账户数据!$B$23="接近锁仓","允许开仓（接近锁仓）","允许开仓"))))))))))</f>
        <v>已开仓</v>
      </c>
      <c r="H44" s="2">
        <v>47500</v>
      </c>
      <c r="I44" s="13">
        <v>41687</v>
      </c>
      <c r="J44" s="10">
        <v>1.8</v>
      </c>
      <c r="K44" s="5">
        <f>IF(A44="","",IFERROR(LOOKUP(2,1/((持仓跟踪!$B$2:$B$157=A44)*(持仓跟踪!$X$2:$X$157="执行卖出")*(持仓跟踪!$Y$2:$Y$157&lt;&gt;"")),持仓跟踪!$Y$2:$Y$157),""))</f>
        <v>1.77</v>
      </c>
      <c r="L44" s="8">
        <f>IF(A44="","",IFERROR(LOOKUP(2,1/((持仓跟踪!$B$2:$B$157=A44)*(持仓跟踪!$X$2:$X$157="执行卖出")*(持仓跟踪!$Z$2:$Z$157&lt;&gt;"")),持仓跟踪!$Z$2:$Z$157),""))</f>
        <v>47500</v>
      </c>
      <c r="M44" s="18">
        <f>IF(A44="","",IFERROR(LOOKUP(2,1/((持仓跟踪!$B$2:$B$157=A44)*(持仓跟踪!$X$2:$X$157="执行卖出")*(持仓跟踪!$H$2:$H$157&lt;&gt;"")),持仓跟踪!$H$2:$H$157),""))</f>
        <v>41696</v>
      </c>
      <c r="N44" s="10">
        <v>1.5</v>
      </c>
      <c r="O44" s="10"/>
      <c r="P44" s="5" t="str">
        <f>IF(A44="","",IFERROR(LOOKUP(2,1/((持仓跟踪!$B$2:$B$157=A44)*(持仓跟踪!$X$2:$X$157="执行卖出")*(持仓跟踪!$AA$2:$AA$157&lt;&gt;"")),持仓跟踪!$AA$2:$AA$157),""))</f>
        <v/>
      </c>
      <c r="Q44" s="2"/>
      <c r="R44" s="2"/>
      <c r="S44" s="2"/>
      <c r="T44" s="2"/>
      <c r="U44" s="7">
        <f>IF(OR(AO44="",J44="",AO44&lt;=0),"",(J44-AO44)/AO44)</f>
        <v>0.132075471698113</v>
      </c>
      <c r="V44" s="7">
        <f>IF(OR(AO44="",N44="",AO44&lt;=0),"",(AO44-N44)/AO44)</f>
        <v>0.0566037735849057</v>
      </c>
      <c r="W44" s="19">
        <f>IF(OR(U44="",V44="",V44&lt;=0),"",U44/V44)</f>
        <v>2.33333333333333</v>
      </c>
      <c r="X44" s="5">
        <f>IF(OR(K44="",L44="",AP44=""),"",K44*L44-(E44*H44+IF(AND(AK44&lt;&gt;"",AL44&lt;&gt;""),AK44*AL44,0)+IF(AND(AM44&lt;&gt;"",AN44&lt;&gt;""),AM44*AN44,0))-IF(O44="",0,O44)-IF(P44="",0,P44))</f>
        <v>8550</v>
      </c>
      <c r="Y44" s="7">
        <f>IF(OR(X44="",AP44=""),"",IF((E44*H44+IF(AND(AK44&lt;&gt;"",AL44&lt;&gt;""),AK44*AL44,0)+IF(AND(AM44&lt;&gt;"",AN44&lt;&gt;""),AM44*AN44,0))+IF(O44="",0,O44)&lt;=0,"",X44/((E44*H44+IF(AND(AK44&lt;&gt;"",AL44&lt;&gt;""),AK44*AL44,0)+IF(AND(AM44&lt;&gt;"",AN44&lt;&gt;""),AM44*AN44,0))+IF(O44="",0,O44))))</f>
        <v>0.113207547169811</v>
      </c>
      <c r="Z44" s="7">
        <f>IF(OR(AE44="",多次统计数据!$B$8=""),"",AE44-多次统计数据!$B$8)</f>
        <v>-0.032561535036833</v>
      </c>
      <c r="AA44" s="11">
        <f>IF(OR(I44="",M44="",M44&lt;I44),"",M44-I44)</f>
        <v>9</v>
      </c>
      <c r="AB44" s="7">
        <f>IF(OR(A44="",多次统计数据!$B$8="",多次统计数据!$B$6&lt;=0,多次统计数据!$B$6&gt;=1),"",1-POWER(1+多次统计数据!$B$8,-多次统计数据!$B$6/(1-多次统计数据!$B$6)))</f>
        <v>0.0530166567311223</v>
      </c>
      <c r="AC44" s="8" t="str">
        <f>IF(OR(AB44="",多次统计数据!$B$9=""),"",IF(多次统计数据!$B$9&lt;AB44,"低于上限","达到或超过上限"))</f>
        <v>低于上限</v>
      </c>
      <c r="AD44" s="2"/>
      <c r="AE44" s="7">
        <f>IF(OR(X44="",C44="",C44&lt;=0),"",X44/C44)</f>
        <v>0.039987091886128</v>
      </c>
      <c r="AG44" s="2" t="s">
        <v>60</v>
      </c>
      <c r="AH44" s="2" t="s">
        <v>47</v>
      </c>
      <c r="AI44" s="2"/>
      <c r="AJ44" s="8" t="str">
        <f>IF(OR(AG44="",AH44=""),"",IF(OR(AND(AG44="短期博反弹",OR(AH44="1～3个交易日",AH44="4～10个交易日")),AND(AG44="突破冲新高",OR(AH44="4～10个交易日",AH44="11～20个交易日")),AND(AG44="趋势波段",OR(AH44="11～20个交易日",AH44="21～60个交易日",AH44="60个交易日以上"))),"匹配","周期与交易预期不匹配，请重新确认"))</f>
        <v>匹配</v>
      </c>
      <c r="AK44" s="10"/>
      <c r="AL44" s="12"/>
      <c r="AM44" s="10"/>
      <c r="AN44" s="12"/>
      <c r="AO44" s="5">
        <f>IF(OR(A44="",H44="",H44&lt;=0),"",(E44*H44+IF(AND(AK44&lt;&gt;"",AL44&lt;&gt;""),AK44*AL44,0)+IF(AND(AM44&lt;&gt;"",AN44&lt;&gt;""),AM44*AN44,0))/AP44)</f>
        <v>1.59</v>
      </c>
      <c r="AP44" s="11">
        <f>IF(OR(A44="",H44="",H44&lt;=0),"",H44+IF(AL44="",0,AL44)+IF(AN44="",0,AN44))</f>
        <v>47500</v>
      </c>
      <c r="AQ44" s="5">
        <f>IF(A44="","",IF(M44&lt;&gt;"",0,IF(OR(H44="",N44=""),"",MAX(E44-MAX(N44,IFERROR(SUMPRODUCT(MAX(((持仓跟踪!$A$2:$A$157="每日跟踪")*(持仓跟踪!$B$2:$B$157=A44))*持仓跟踪!$S$2:$S$157)),0)),0)*H44+IF(OR(AK44="",AL44=""),0,MAX(AK44-MAX(N44,IFERROR(SUMPRODUCT(MAX(((持仓跟踪!$A$2:$A$157="每日跟踪")*(持仓跟踪!$B$2:$B$157=A44))*持仓跟踪!$S$2:$S$157)),0)),0)*AL44)+IF(OR(AM44="",AN44=""),0,MAX(AM44-MAX(N44,IFERROR(SUMPRODUCT(MAX(((持仓跟踪!$A$2:$A$157="每日跟踪")*(持仓跟踪!$B$2:$B$157=A44))*持仓跟踪!$S$2:$S$157)),0)),0)*AN44))))</f>
        <v>0</v>
      </c>
      <c r="AR44" s="8" t="str">
        <f ca="1">IF(A44="","",IF(OR(E44="",H44=""),"违规：第一批价格或股数缺失",IF(OR(AND(AK44="",AL44&lt;&gt;""),AND(AK44&lt;&gt;"",AL44="")),"违规：第二批价格与股数须成对填写",IF(OR(AND(AM44="",AN44&lt;&gt;""),AND(AM44&lt;&gt;"",AN44="")),"违规：第三批价格与股数须成对填写",IF(AND(OR(AM44&lt;&gt;"",AN44&lt;&gt;""),OR(AK44="",AL44="")),"违规：必须先完成第二批",IF(OR(H44&lt;=0,H44&lt;&gt;INT(H44),MOD(H44,100)&lt;&gt;0,AND(AL44&lt;&gt;"",OR(AL44&lt;=0,AL44&lt;&gt;INT(AL44),MOD(AL44,100)&lt;&gt;0)),AND(AN44&lt;&gt;"",OR(AN44&lt;=0,AN44&lt;&gt;INT(AN44),MOD(AN44,100)&lt;&gt;0))),"违规：股数须为100股整数倍",IF(AND(OR(AL44&lt;&gt;"",AN44&lt;&gt;""),OR(_LockStatus="已锁仓",_LockStatus="解锁信息不完整")),"违规：锁仓期间禁止加仓",IF(AQ44&gt;C44*D44,"违规：超过单笔风险上限",IF(SUM($AQ$2:$AQ$98)&gt;账户数据!$B$7,"违规：超过账户风险上限","通过")))))))))</f>
        <v>通过</v>
      </c>
    </row>
    <row r="45" ht="17" spans="1:44">
      <c r="A45" s="2">
        <v>44</v>
      </c>
      <c r="B45" s="2" t="s">
        <v>67</v>
      </c>
      <c r="C45" s="10">
        <v>222369</v>
      </c>
      <c r="D45" s="6">
        <v>0.02</v>
      </c>
      <c r="E45" s="10">
        <v>1.68</v>
      </c>
      <c r="F45" s="8">
        <f>IF(OR(C45="",D45="",E45="",N45="",C45&lt;=0,D45&lt;=0,E45&lt;=N45),"",ROUNDDOWN((C45*D45)/(E45-N45)/100,0)*100)</f>
        <v>148200</v>
      </c>
      <c r="G45" s="8" t="str">
        <f ca="1">IF(A45="","",IF(H45&lt;&gt;"","已开仓",IF(账户数据!$B$23="已锁仓","禁止开仓：连续亏损达到上限",IF(账户数据!$B$23="解锁信息不完整","禁止开仓：请完整填写解锁信息",IF(OR(F45="",E45="",N45="",E45&lt;=N45,账户数据!$B$7=""),"",IF(OR(AG45="",AH45="",AI45=""),"禁止开仓：交易预期未填写完整",IF(COUNTIFS(持仓跟踪!$A$2:$A$157,"止损计划",持仓跟踪!$B$2:$B$157,A45,持仓跟踪!$AC$2:$AC$157,"计划有效")=0,"禁止开仓：请先填写止损计划",IF(账户数据!$B$9+F45*(E45-N45)&gt;=账户数据!$B$7,"禁止开仓：风险额度不足",IF(AJ45="周期与交易预期不匹配，请重新确认",IF(账户数据!$B$23="接近锁仓","允许开仓（接近锁仓；周期需复核）","允许开仓（周期需复核）"),IF(账户数据!$B$23="接近锁仓","允许开仓（接近锁仓）","允许开仓"))))))))))</f>
        <v>已开仓</v>
      </c>
      <c r="H45" s="2">
        <v>60000</v>
      </c>
      <c r="I45" s="13">
        <v>41723</v>
      </c>
      <c r="J45" s="10">
        <v>1.8</v>
      </c>
      <c r="K45" s="5">
        <f>IF(A45="","",IFERROR(LOOKUP(2,1/((持仓跟踪!$B$2:$B$157=A45)*(持仓跟踪!$X$2:$X$157="执行卖出")*(持仓跟踪!$Y$2:$Y$157&lt;&gt;"")),持仓跟踪!$Y$2:$Y$157),""))</f>
        <v>1.61</v>
      </c>
      <c r="L45" s="8">
        <f>IF(A45="","",IFERROR(LOOKUP(2,1/((持仓跟踪!$B$2:$B$157=A45)*(持仓跟踪!$X$2:$X$157="执行卖出")*(持仓跟踪!$Z$2:$Z$157&lt;&gt;"")),持仓跟踪!$Z$2:$Z$157),""))</f>
        <v>60000</v>
      </c>
      <c r="M45" s="18">
        <f>IF(A45="","",IFERROR(LOOKUP(2,1/((持仓跟踪!$B$2:$B$157=A45)*(持仓跟踪!$X$2:$X$157="执行卖出")*(持仓跟踪!$H$2:$H$157&lt;&gt;"")),持仓跟踪!$H$2:$H$157),""))</f>
        <v>41731</v>
      </c>
      <c r="N45" s="10">
        <v>1.65</v>
      </c>
      <c r="O45" s="10"/>
      <c r="P45" s="5" t="str">
        <f>IF(A45="","",IFERROR(LOOKUP(2,1/((持仓跟踪!$B$2:$B$157=A45)*(持仓跟踪!$X$2:$X$157="执行卖出")*(持仓跟踪!$AA$2:$AA$157&lt;&gt;"")),持仓跟踪!$AA$2:$AA$157),""))</f>
        <v/>
      </c>
      <c r="Q45" s="2"/>
      <c r="R45" s="2"/>
      <c r="S45" s="2"/>
      <c r="T45" s="2"/>
      <c r="U45" s="7">
        <f>IF(OR(AO45="",J45="",AO45&lt;=0),"",(J45-AO45)/AO45)</f>
        <v>0.0714285714285715</v>
      </c>
      <c r="V45" s="7">
        <f>IF(OR(AO45="",N45="",AO45&lt;=0),"",(AO45-N45)/AO45)</f>
        <v>0.0178571428571429</v>
      </c>
      <c r="W45" s="19">
        <f>IF(OR(U45="",V45="",V45&lt;=0),"",U45/V45)</f>
        <v>4</v>
      </c>
      <c r="X45" s="5">
        <f>IF(OR(K45="",L45="",AP45=""),"",K45*L45-(E45*H45+IF(AND(AK45&lt;&gt;"",AL45&lt;&gt;""),AK45*AL45,0)+IF(AND(AM45&lt;&gt;"",AN45&lt;&gt;""),AM45*AN45,0))-IF(O45="",0,O45)-IF(P45="",0,P45))</f>
        <v>-4200</v>
      </c>
      <c r="Y45" s="7">
        <f>IF(OR(X45="",AP45=""),"",IF((E45*H45+IF(AND(AK45&lt;&gt;"",AL45&lt;&gt;""),AK45*AL45,0)+IF(AND(AM45&lt;&gt;"",AN45&lt;&gt;""),AM45*AN45,0))+IF(O45="",0,O45)&lt;=0,"",X45/((E45*H45+IF(AND(AK45&lt;&gt;"",AL45&lt;&gt;""),AK45*AL45,0)+IF(AND(AM45&lt;&gt;"",AN45&lt;&gt;""),AM45*AN45,0))+IF(O45="",0,O45))))</f>
        <v>-0.0416666666666667</v>
      </c>
      <c r="Z45" s="7">
        <f>IF(OR(AE45="",多次统计数据!$B$8=""),"",AE45-多次统计数据!$B$8)</f>
        <v>-0.0914361517128373</v>
      </c>
      <c r="AA45" s="11">
        <f>IF(OR(I45="",M45="",M45&lt;I45),"",M45-I45)</f>
        <v>8</v>
      </c>
      <c r="AB45" s="7">
        <f>IF(OR(A45="",多次统计数据!$B$8="",多次统计数据!$B$6&lt;=0,多次统计数据!$B$6&gt;=1),"",1-POWER(1+多次统计数据!$B$8,-多次统计数据!$B$6/(1-多次统计数据!$B$6)))</f>
        <v>0.0530166567311223</v>
      </c>
      <c r="AC45" s="8" t="str">
        <f>IF(OR(AB45="",多次统计数据!$B$9=""),"",IF(多次统计数据!$B$9&lt;AB45,"低于上限","达到或超过上限"))</f>
        <v>低于上限</v>
      </c>
      <c r="AD45" s="2"/>
      <c r="AE45" s="7">
        <f>IF(OR(X45="",C45="",C45&lt;=0),"",X45/C45)</f>
        <v>-0.0188875247898763</v>
      </c>
      <c r="AG45" s="2"/>
      <c r="AH45" s="2"/>
      <c r="AI45" s="2"/>
      <c r="AJ45" s="8" t="str">
        <f>IF(OR(AG45="",AH45=""),"",IF(OR(AND(AG45="短期博反弹",OR(AH45="1～3个交易日",AH45="4～10个交易日")),AND(AG45="突破冲新高",OR(AH45="4～10个交易日",AH45="11～20个交易日")),AND(AG45="趋势波段",OR(AH45="11～20个交易日",AH45="21～60个交易日",AH45="60个交易日以上"))),"匹配","周期与交易预期不匹配，请重新确认"))</f>
        <v/>
      </c>
      <c r="AK45" s="10"/>
      <c r="AL45" s="12"/>
      <c r="AM45" s="10"/>
      <c r="AN45" s="12"/>
      <c r="AO45" s="5">
        <f>IF(OR(A45="",H45="",H45&lt;=0),"",(E45*H45+IF(AND(AK45&lt;&gt;"",AL45&lt;&gt;""),AK45*AL45,0)+IF(AND(AM45&lt;&gt;"",AN45&lt;&gt;""),AM45*AN45,0))/AP45)</f>
        <v>1.68</v>
      </c>
      <c r="AP45" s="11">
        <f>IF(OR(A45="",H45="",H45&lt;=0),"",H45+IF(AL45="",0,AL45)+IF(AN45="",0,AN45))</f>
        <v>60000</v>
      </c>
      <c r="AQ45" s="5">
        <f>IF(A45="","",IF(M45&lt;&gt;"",0,IF(OR(H45="",N45=""),"",MAX(E45-MAX(N45,IFERROR(SUMPRODUCT(MAX(((持仓跟踪!$A$2:$A$157="每日跟踪")*(持仓跟踪!$B$2:$B$157=A45))*持仓跟踪!$S$2:$S$157)),0)),0)*H45+IF(OR(AK45="",AL45=""),0,MAX(AK45-MAX(N45,IFERROR(SUMPRODUCT(MAX(((持仓跟踪!$A$2:$A$157="每日跟踪")*(持仓跟踪!$B$2:$B$157=A45))*持仓跟踪!$S$2:$S$157)),0)),0)*AL45)+IF(OR(AM45="",AN45=""),0,MAX(AM45-MAX(N45,IFERROR(SUMPRODUCT(MAX(((持仓跟踪!$A$2:$A$157="每日跟踪")*(持仓跟踪!$B$2:$B$157=A45))*持仓跟踪!$S$2:$S$157)),0)),0)*AN45))))</f>
        <v>0</v>
      </c>
      <c r="AR45" s="8" t="str">
        <f ca="1">IF(A45="","",IF(OR(E45="",H45=""),"违规：第一批价格或股数缺失",IF(OR(AND(AK45="",AL45&lt;&gt;""),AND(AK45&lt;&gt;"",AL45="")),"违规：第二批价格与股数须成对填写",IF(OR(AND(AM45="",AN45&lt;&gt;""),AND(AM45&lt;&gt;"",AN45="")),"违规：第三批价格与股数须成对填写",IF(AND(OR(AM45&lt;&gt;"",AN45&lt;&gt;""),OR(AK45="",AL45="")),"违规：必须先完成第二批",IF(OR(H45&lt;=0,H45&lt;&gt;INT(H45),MOD(H45,100)&lt;&gt;0,AND(AL45&lt;&gt;"",OR(AL45&lt;=0,AL45&lt;&gt;INT(AL45),MOD(AL45,100)&lt;&gt;0)),AND(AN45&lt;&gt;"",OR(AN45&lt;=0,AN45&lt;&gt;INT(AN45),MOD(AN45,100)&lt;&gt;0))),"违规：股数须为100股整数倍",IF(AND(OR(AL45&lt;&gt;"",AN45&lt;&gt;""),OR(_LockStatus="已锁仓",_LockStatus="解锁信息不完整")),"违规：锁仓期间禁止加仓",IF(AQ45&gt;C45*D45,"违规：超过单笔风险上限",IF(SUM($AQ$2:$AQ$98)&gt;账户数据!$B$7,"违规：超过账户风险上限","通过")))))))))</f>
        <v>通过</v>
      </c>
    </row>
    <row r="46" ht="17" spans="1:44">
      <c r="A46" s="2">
        <v>45</v>
      </c>
      <c r="B46" s="2" t="s">
        <v>67</v>
      </c>
      <c r="C46" s="10">
        <v>218169</v>
      </c>
      <c r="D46" s="6">
        <v>0.02</v>
      </c>
      <c r="E46" s="10">
        <v>1.65</v>
      </c>
      <c r="F46" s="8">
        <f>IF(OR(C46="",D46="",E46="",N46="",C46&lt;=0,D46&lt;=0,E46&lt;=N46),"",ROUNDDOWN((C46*D46)/(E46-N46)/100,0)*100)</f>
        <v>87200</v>
      </c>
      <c r="G46" s="8" t="str">
        <f ca="1">IF(A46="","",IF(H46&lt;&gt;"","已开仓",IF(账户数据!$B$23="已锁仓","禁止开仓：连续亏损达到上限",IF(账户数据!$B$23="解锁信息不完整","禁止开仓：请完整填写解锁信息",IF(OR(F46="",E46="",N46="",E46&lt;=N46,账户数据!$B$7=""),"",IF(OR(AG46="",AH46="",AI46=""),"禁止开仓：交易预期未填写完整",IF(COUNTIFS(持仓跟踪!$A$2:$A$157,"止损计划",持仓跟踪!$B$2:$B$157,A46,持仓跟踪!$AC$2:$AC$157,"计划有效")=0,"禁止开仓：请先填写止损计划",IF(账户数据!$B$9+F46*(E46-N46)&gt;=账户数据!$B$7,"禁止开仓：风险额度不足",IF(AJ46="周期与交易预期不匹配，请重新确认",IF(账户数据!$B$23="接近锁仓","允许开仓（接近锁仓；周期需复核）","允许开仓（周期需复核）"),IF(账户数据!$B$23="接近锁仓","允许开仓（接近锁仓）","允许开仓"))))))))))</f>
        <v>已开仓</v>
      </c>
      <c r="H46" s="2">
        <v>87200</v>
      </c>
      <c r="I46" s="13">
        <v>41743</v>
      </c>
      <c r="J46" s="10">
        <v>1.8</v>
      </c>
      <c r="K46" s="5">
        <f>IF(A46="","",IFERROR(LOOKUP(2,1/((持仓跟踪!$B$2:$B$157=A46)*(持仓跟踪!$X$2:$X$157="执行卖出")*(持仓跟踪!$Y$2:$Y$157&lt;&gt;"")),持仓跟踪!$Y$2:$Y$157),""))</f>
        <v>1.46</v>
      </c>
      <c r="L46" s="8">
        <f>IF(A46="","",IFERROR(LOOKUP(2,1/((持仓跟踪!$B$2:$B$157=A46)*(持仓跟踪!$X$2:$X$157="执行卖出")*(持仓跟踪!$Z$2:$Z$157&lt;&gt;"")),持仓跟踪!$Z$2:$Z$157),""))</f>
        <v>87200</v>
      </c>
      <c r="M46" s="18">
        <f>IF(A46="","",IFERROR(LOOKUP(2,1/((持仓跟踪!$B$2:$B$157=A46)*(持仓跟踪!$X$2:$X$157="执行卖出")*(持仓跟踪!$H$2:$H$157&lt;&gt;"")),持仓跟踪!$H$2:$H$157),""))</f>
        <v>41757</v>
      </c>
      <c r="N46" s="10">
        <v>1.6</v>
      </c>
      <c r="O46" s="10"/>
      <c r="P46" s="5" t="str">
        <f>IF(A46="","",IFERROR(LOOKUP(2,1/((持仓跟踪!$B$2:$B$157=A46)*(持仓跟踪!$X$2:$X$157="执行卖出")*(持仓跟踪!$AA$2:$AA$157&lt;&gt;"")),持仓跟踪!$AA$2:$AA$157),""))</f>
        <v/>
      </c>
      <c r="Q46" s="2"/>
      <c r="R46" s="2"/>
      <c r="S46" s="2"/>
      <c r="T46" s="2"/>
      <c r="U46" s="7">
        <f>IF(OR(AO46="",J46="",AO46&lt;=0),"",(J46-AO46)/AO46)</f>
        <v>0.090909090909091</v>
      </c>
      <c r="V46" s="7">
        <f>IF(OR(AO46="",N46="",AO46&lt;=0),"",(AO46-N46)/AO46)</f>
        <v>0.0303030303030302</v>
      </c>
      <c r="W46" s="19">
        <f>IF(OR(U46="",V46="",V46&lt;=0),"",U46/V46)</f>
        <v>3.00000000000001</v>
      </c>
      <c r="X46" s="5">
        <f>IF(OR(K46="",L46="",AP46=""),"",K46*L46-(E46*H46+IF(AND(AK46&lt;&gt;"",AL46&lt;&gt;""),AK46*AL46,0)+IF(AND(AM46&lt;&gt;"",AN46&lt;&gt;""),AM46*AN46,0))-IF(O46="",0,O46)-IF(P46="",0,P46))</f>
        <v>-16568</v>
      </c>
      <c r="Y46" s="7">
        <f>IF(OR(X46="",AP46=""),"",IF((E46*H46+IF(AND(AK46&lt;&gt;"",AL46&lt;&gt;""),AK46*AL46,0)+IF(AND(AM46&lt;&gt;"",AN46&lt;&gt;""),AM46*AN46,0))+IF(O46="",0,O46)&lt;=0,"",X46/((E46*H46+IF(AND(AK46&lt;&gt;"",AL46&lt;&gt;""),AK46*AL46,0)+IF(AND(AM46&lt;&gt;"",AN46&lt;&gt;""),AM46*AN46,0))+IF(O46="",0,O46))))</f>
        <v>-0.115151515151515</v>
      </c>
      <c r="Z46" s="7">
        <f>IF(OR(AE46="",多次统计数据!$B$8=""),"",AE46-多次统计数据!$B$8)</f>
        <v>-0.14848975513091</v>
      </c>
      <c r="AA46" s="11">
        <f>IF(OR(I46="",M46="",M46&lt;I46),"",M46-I46)</f>
        <v>14</v>
      </c>
      <c r="AB46" s="7">
        <f>IF(OR(A46="",多次统计数据!$B$8="",多次统计数据!$B$6&lt;=0,多次统计数据!$B$6&gt;=1),"",1-POWER(1+多次统计数据!$B$8,-多次统计数据!$B$6/(1-多次统计数据!$B$6)))</f>
        <v>0.0530166567311223</v>
      </c>
      <c r="AC46" s="8" t="str">
        <f>IF(OR(AB46="",多次统计数据!$B$9=""),"",IF(多次统计数据!$B$9&lt;AB46,"低于上限","达到或超过上限"))</f>
        <v>低于上限</v>
      </c>
      <c r="AD46" s="2" t="s">
        <v>53</v>
      </c>
      <c r="AE46" s="7">
        <f>IF(OR(X46="",C46="",C46&lt;=0),"",X46/C46)</f>
        <v>-0.0759411282079489</v>
      </c>
      <c r="AF46" t="s">
        <v>68</v>
      </c>
      <c r="AG46" s="2"/>
      <c r="AH46" s="2"/>
      <c r="AI46" s="2"/>
      <c r="AJ46" s="8" t="str">
        <f>IF(OR(AG46="",AH46=""),"",IF(OR(AND(AG46="短期博反弹",OR(AH46="1～3个交易日",AH46="4～10个交易日")),AND(AG46="突破冲新高",OR(AH46="4～10个交易日",AH46="11～20个交易日")),AND(AG46="趋势波段",OR(AH46="11～20个交易日",AH46="21～60个交易日",AH46="60个交易日以上"))),"匹配","周期与交易预期不匹配，请重新确认"))</f>
        <v/>
      </c>
      <c r="AK46" s="10"/>
      <c r="AL46" s="12"/>
      <c r="AM46" s="10"/>
      <c r="AN46" s="12"/>
      <c r="AO46" s="5">
        <f>IF(OR(A46="",H46="",H46&lt;=0),"",(E46*H46+IF(AND(AK46&lt;&gt;"",AL46&lt;&gt;""),AK46*AL46,0)+IF(AND(AM46&lt;&gt;"",AN46&lt;&gt;""),AM46*AN46,0))/AP46)</f>
        <v>1.65</v>
      </c>
      <c r="AP46" s="11">
        <f>IF(OR(A46="",H46="",H46&lt;=0),"",H46+IF(AL46="",0,AL46)+IF(AN46="",0,AN46))</f>
        <v>87200</v>
      </c>
      <c r="AQ46" s="5">
        <f>IF(A46="","",IF(M46&lt;&gt;"",0,IF(OR(H46="",N46=""),"",MAX(E46-MAX(N46,IFERROR(SUMPRODUCT(MAX(((持仓跟踪!$A$2:$A$157="每日跟踪")*(持仓跟踪!$B$2:$B$157=A46))*持仓跟踪!$S$2:$S$157)),0)),0)*H46+IF(OR(AK46="",AL46=""),0,MAX(AK46-MAX(N46,IFERROR(SUMPRODUCT(MAX(((持仓跟踪!$A$2:$A$157="每日跟踪")*(持仓跟踪!$B$2:$B$157=A46))*持仓跟踪!$S$2:$S$157)),0)),0)*AL46)+IF(OR(AM46="",AN46=""),0,MAX(AM46-MAX(N46,IFERROR(SUMPRODUCT(MAX(((持仓跟踪!$A$2:$A$157="每日跟踪")*(持仓跟踪!$B$2:$B$157=A46))*持仓跟踪!$S$2:$S$157)),0)),0)*AN46))))</f>
        <v>0</v>
      </c>
      <c r="AR46" s="8" t="str">
        <f ca="1">IF(A46="","",IF(OR(E46="",H46=""),"违规：第一批价格或股数缺失",IF(OR(AND(AK46="",AL46&lt;&gt;""),AND(AK46&lt;&gt;"",AL46="")),"违规：第二批价格与股数须成对填写",IF(OR(AND(AM46="",AN46&lt;&gt;""),AND(AM46&lt;&gt;"",AN46="")),"违规：第三批价格与股数须成对填写",IF(AND(OR(AM46&lt;&gt;"",AN46&lt;&gt;""),OR(AK46="",AL46="")),"违规：必须先完成第二批",IF(OR(H46&lt;=0,H46&lt;&gt;INT(H46),MOD(H46,100)&lt;&gt;0,AND(AL46&lt;&gt;"",OR(AL46&lt;=0,AL46&lt;&gt;INT(AL46),MOD(AL46,100)&lt;&gt;0)),AND(AN46&lt;&gt;"",OR(AN46&lt;=0,AN46&lt;&gt;INT(AN46),MOD(AN46,100)&lt;&gt;0))),"违规：股数须为100股整数倍",IF(AND(OR(AL46&lt;&gt;"",AN46&lt;&gt;""),OR(_LockStatus="已锁仓",_LockStatus="解锁信息不完整")),"违规：锁仓期间禁止加仓",IF(AQ46&gt;C46*D46,"违规：超过单笔风险上限",IF(SUM($AQ$2:$AQ$98)&gt;账户数据!$B$7,"违规：超过账户风险上限","通过")))))))))</f>
        <v>通过</v>
      </c>
    </row>
    <row r="47" ht="17" spans="1:44">
      <c r="A47" s="2">
        <v>46</v>
      </c>
      <c r="B47" s="2" t="s">
        <v>67</v>
      </c>
      <c r="C47" s="10">
        <v>201061</v>
      </c>
      <c r="D47" s="6">
        <v>0.02</v>
      </c>
      <c r="E47" s="10">
        <v>1.64</v>
      </c>
      <c r="F47" s="8">
        <f>IF(OR(C47="",D47="",E47="",N47="",C47&lt;=0,D47&lt;=0,E47&lt;=N47),"",ROUNDDOWN((C47*D47)/(E47-N47)/100,0)*100)</f>
        <v>100500</v>
      </c>
      <c r="G47" s="8" t="str">
        <f ca="1">IF(A47="","",IF(H47&lt;&gt;"","已开仓",IF(账户数据!$B$23="已锁仓","禁止开仓：连续亏损达到上限",IF(账户数据!$B$23="解锁信息不完整","禁止开仓：请完整填写解锁信息",IF(OR(F47="",E47="",N47="",E47&lt;=N47,账户数据!$B$7=""),"",IF(OR(AG47="",AH47="",AI47=""),"禁止开仓：交易预期未填写完整",IF(COUNTIFS(持仓跟踪!$A$2:$A$157,"止损计划",持仓跟踪!$B$2:$B$157,A47,持仓跟踪!$AC$2:$AC$157,"计划有效")=0,"禁止开仓：请先填写止损计划",IF(账户数据!$B$9+F47*(E47-N47)&gt;=账户数据!$B$7,"禁止开仓：风险额度不足",IF(AJ47="周期与交易预期不匹配，请重新确认",IF(账户数据!$B$23="接近锁仓","允许开仓（接近锁仓；周期需复核）","允许开仓（周期需复核）"),IF(账户数据!$B$23="接近锁仓","允许开仓（接近锁仓）","允许开仓"))))))))))</f>
        <v>已开仓</v>
      </c>
      <c r="H47" s="2">
        <v>100500</v>
      </c>
      <c r="I47" s="13">
        <v>41859</v>
      </c>
      <c r="J47" s="10">
        <v>1.8</v>
      </c>
      <c r="K47" s="5">
        <f>IF(A47="","",IFERROR(LOOKUP(2,1/((持仓跟踪!$B$2:$B$157=A47)*(持仓跟踪!$X$2:$X$157="执行卖出")*(持仓跟踪!$Y$2:$Y$157&lt;&gt;"")),持仓跟踪!$Y$2:$Y$157),""))</f>
        <v>1.7</v>
      </c>
      <c r="L47" s="8">
        <f>IF(A47="","",IFERROR(LOOKUP(2,1/((持仓跟踪!$B$2:$B$157=A47)*(持仓跟踪!$X$2:$X$157="执行卖出")*(持仓跟踪!$Z$2:$Z$157&lt;&gt;"")),持仓跟踪!$Z$2:$Z$157),""))</f>
        <v>100500</v>
      </c>
      <c r="M47" s="18">
        <f>IF(A47="","",IFERROR(LOOKUP(2,1/((持仓跟踪!$B$2:$B$157=A47)*(持仓跟踪!$X$2:$X$157="执行卖出")*(持仓跟踪!$H$2:$H$157&lt;&gt;"")),持仓跟踪!$H$2:$H$157),""))</f>
        <v>41869</v>
      </c>
      <c r="N47" s="10">
        <v>1.6</v>
      </c>
      <c r="O47" s="10"/>
      <c r="P47" s="5" t="str">
        <f>IF(A47="","",IFERROR(LOOKUP(2,1/((持仓跟踪!$B$2:$B$157=A47)*(持仓跟踪!$X$2:$X$157="执行卖出")*(持仓跟踪!$AA$2:$AA$157&lt;&gt;"")),持仓跟踪!$AA$2:$AA$157),""))</f>
        <v/>
      </c>
      <c r="Q47" s="2"/>
      <c r="R47" s="2"/>
      <c r="S47" s="2"/>
      <c r="T47" s="2"/>
      <c r="U47" s="7">
        <f>IF(OR(AO47="",J47="",AO47&lt;=0),"",(J47-AO47)/AO47)</f>
        <v>0.0975609756097562</v>
      </c>
      <c r="V47" s="7">
        <f>IF(OR(AO47="",N47="",AO47&lt;=0),"",(AO47-N47)/AO47)</f>
        <v>0.0243902439024389</v>
      </c>
      <c r="W47" s="19">
        <f>IF(OR(U47="",V47="",V47&lt;=0),"",U47/V47)</f>
        <v>4.00000000000002</v>
      </c>
      <c r="X47" s="5">
        <f>IF(OR(K47="",L47="",AP47=""),"",K47*L47-(E47*H47+IF(AND(AK47&lt;&gt;"",AL47&lt;&gt;""),AK47*AL47,0)+IF(AND(AM47&lt;&gt;"",AN47&lt;&gt;""),AM47*AN47,0))-IF(O47="",0,O47)-IF(P47="",0,P47))</f>
        <v>6030</v>
      </c>
      <c r="Y47" s="7">
        <f>IF(OR(X47="",AP47=""),"",IF((E47*H47+IF(AND(AK47&lt;&gt;"",AL47&lt;&gt;""),AK47*AL47,0)+IF(AND(AM47&lt;&gt;"",AN47&lt;&gt;""),AM47*AN47,0))+IF(O47="",0,O47)&lt;=0,"",X47/((E47*H47+IF(AND(AK47&lt;&gt;"",AL47&lt;&gt;""),AK47*AL47,0)+IF(AND(AM47&lt;&gt;"",AN47&lt;&gt;""),AM47*AN47,0))+IF(O47="",0,O47))))</f>
        <v>0.0365853658536585</v>
      </c>
      <c r="Z47" s="7">
        <f>IF(OR(AE47="",多次统计数据!$B$8=""),"",AE47-多次统计数据!$B$8)</f>
        <v>-0.0425577286383608</v>
      </c>
      <c r="AA47" s="11">
        <f>IF(OR(I47="",M47="",M47&lt;I47),"",M47-I47)</f>
        <v>10</v>
      </c>
      <c r="AB47" s="7">
        <f>IF(OR(A47="",多次统计数据!$B$8="",多次统计数据!$B$6&lt;=0,多次统计数据!$B$6&gt;=1),"",1-POWER(1+多次统计数据!$B$8,-多次统计数据!$B$6/(1-多次统计数据!$B$6)))</f>
        <v>0.0530166567311223</v>
      </c>
      <c r="AC47" s="8" t="str">
        <f>IF(OR(AB47="",多次统计数据!$B$9=""),"",IF(多次统计数据!$B$9&lt;AB47,"低于上限","达到或超过上限"))</f>
        <v>低于上限</v>
      </c>
      <c r="AD47" s="2"/>
      <c r="AE47" s="7">
        <f>IF(OR(X47="",C47="",C47&lt;=0),"",X47/C47)</f>
        <v>0.0299908982846002</v>
      </c>
      <c r="AG47" s="2"/>
      <c r="AH47" s="2"/>
      <c r="AI47" s="2"/>
      <c r="AJ47" s="8" t="str">
        <f>IF(OR(AG47="",AH47=""),"",IF(OR(AND(AG47="短期博反弹",OR(AH47="1～3个交易日",AH47="4～10个交易日")),AND(AG47="突破冲新高",OR(AH47="4～10个交易日",AH47="11～20个交易日")),AND(AG47="趋势波段",OR(AH47="11～20个交易日",AH47="21～60个交易日",AH47="60个交易日以上"))),"匹配","周期与交易预期不匹配，请重新确认"))</f>
        <v/>
      </c>
      <c r="AK47" s="10"/>
      <c r="AL47" s="12"/>
      <c r="AM47" s="10"/>
      <c r="AN47" s="12"/>
      <c r="AO47" s="5">
        <f>IF(OR(A47="",H47="",H47&lt;=0),"",(E47*H47+IF(AND(AK47&lt;&gt;"",AL47&lt;&gt;""),AK47*AL47,0)+IF(AND(AM47&lt;&gt;"",AN47&lt;&gt;""),AM47*AN47,0))/AP47)</f>
        <v>1.64</v>
      </c>
      <c r="AP47" s="11">
        <f>IF(OR(A47="",H47="",H47&lt;=0),"",H47+IF(AL47="",0,AL47)+IF(AN47="",0,AN47))</f>
        <v>100500</v>
      </c>
      <c r="AQ47" s="5">
        <f>IF(A47="","",IF(M47&lt;&gt;"",0,IF(OR(H47="",N47=""),"",MAX(E47-MAX(N47,IFERROR(SUMPRODUCT(MAX(((持仓跟踪!$A$2:$A$157="每日跟踪")*(持仓跟踪!$B$2:$B$157=A47))*持仓跟踪!$S$2:$S$157)),0)),0)*H47+IF(OR(AK47="",AL47=""),0,MAX(AK47-MAX(N47,IFERROR(SUMPRODUCT(MAX(((持仓跟踪!$A$2:$A$157="每日跟踪")*(持仓跟踪!$B$2:$B$157=A47))*持仓跟踪!$S$2:$S$157)),0)),0)*AL47)+IF(OR(AM47="",AN47=""),0,MAX(AM47-MAX(N47,IFERROR(SUMPRODUCT(MAX(((持仓跟踪!$A$2:$A$157="每日跟踪")*(持仓跟踪!$B$2:$B$157=A47))*持仓跟踪!$S$2:$S$157)),0)),0)*AN47))))</f>
        <v>0</v>
      </c>
      <c r="AR47" s="8" t="str">
        <f ca="1">IF(A47="","",IF(OR(E47="",H47=""),"违规：第一批价格或股数缺失",IF(OR(AND(AK47="",AL47&lt;&gt;""),AND(AK47&lt;&gt;"",AL47="")),"违规：第二批价格与股数须成对填写",IF(OR(AND(AM47="",AN47&lt;&gt;""),AND(AM47&lt;&gt;"",AN47="")),"违规：第三批价格与股数须成对填写",IF(AND(OR(AM47&lt;&gt;"",AN47&lt;&gt;""),OR(AK47="",AL47="")),"违规：必须先完成第二批",IF(OR(H47&lt;=0,H47&lt;&gt;INT(H47),MOD(H47,100)&lt;&gt;0,AND(AL47&lt;&gt;"",OR(AL47&lt;=0,AL47&lt;&gt;INT(AL47),MOD(AL47,100)&lt;&gt;0)),AND(AN47&lt;&gt;"",OR(AN47&lt;=0,AN47&lt;&gt;INT(AN47),MOD(AN47,100)&lt;&gt;0))),"违规：股数须为100股整数倍",IF(AND(OR(AL47&lt;&gt;"",AN47&lt;&gt;""),OR(_LockStatus="已锁仓",_LockStatus="解锁信息不完整")),"违规：锁仓期间禁止加仓",IF(AQ47&gt;C47*D47,"违规：超过单笔风险上限",IF(SUM($AQ$2:$AQ$98)&gt;账户数据!$B$7,"违规：超过账户风险上限","通过")))))))))</f>
        <v>通过</v>
      </c>
    </row>
    <row r="48" ht="17" spans="1:44">
      <c r="A48" s="2">
        <v>47</v>
      </c>
      <c r="B48" s="2" t="s">
        <v>67</v>
      </c>
      <c r="C48" s="10">
        <v>207631</v>
      </c>
      <c r="D48" s="6">
        <v>0.02</v>
      </c>
      <c r="E48" s="10">
        <v>1.8</v>
      </c>
      <c r="F48" s="8">
        <f>IF(OR(C48="",D48="",E48="",N48="",C48&lt;=0,D48&lt;=0,E48&lt;=N48),"",ROUNDDOWN((C48*D48)/(E48-N48)/100,0)*100)</f>
        <v>41500</v>
      </c>
      <c r="G48" s="8" t="str">
        <f ca="1">IF(A48="","",IF(H48&lt;&gt;"","已开仓",IF(账户数据!$B$23="已锁仓","禁止开仓：连续亏损达到上限",IF(账户数据!$B$23="解锁信息不完整","禁止开仓：请完整填写解锁信息",IF(OR(F48="",E48="",N48="",E48&lt;=N48,账户数据!$B$7=""),"",IF(OR(AG48="",AH48="",AI48=""),"禁止开仓：交易预期未填写完整",IF(COUNTIFS(持仓跟踪!$A$2:$A$157,"止损计划",持仓跟踪!$B$2:$B$157,A48,持仓跟踪!$AC$2:$AC$157,"计划有效")=0,"禁止开仓：请先填写止损计划",IF(账户数据!$B$9+F48*(E48-N48)&gt;=账户数据!$B$7,"禁止开仓：风险额度不足",IF(AJ48="周期与交易预期不匹配，请重新确认",IF(账户数据!$B$23="接近锁仓","允许开仓（接近锁仓；周期需复核）","允许开仓（周期需复核）"),IF(账户数据!$B$23="接近锁仓","允许开仓（接近锁仓）","允许开仓"))))))))))</f>
        <v>已开仓</v>
      </c>
      <c r="H48" s="2">
        <v>41500</v>
      </c>
      <c r="I48" s="13">
        <v>41908</v>
      </c>
      <c r="J48" s="10">
        <v>2</v>
      </c>
      <c r="K48" s="5">
        <f>IF(A48="","",IFERROR(LOOKUP(2,1/((持仓跟踪!$B$2:$B$157=A48)*(持仓跟踪!$X$2:$X$157="执行卖出")*(持仓跟踪!$Y$2:$Y$157&lt;&gt;"")),持仓跟踪!$Y$2:$Y$157),""))</f>
        <v>2.38</v>
      </c>
      <c r="L48" s="8">
        <f>IF(A48="","",IFERROR(LOOKUP(2,1/((持仓跟踪!$B$2:$B$157=A48)*(持仓跟踪!$X$2:$X$157="执行卖出")*(持仓跟踪!$Z$2:$Z$157&lt;&gt;"")),持仓跟踪!$Z$2:$Z$157),""))</f>
        <v>41500</v>
      </c>
      <c r="M48" s="18">
        <f>IF(A48="","",IFERROR(LOOKUP(2,1/((持仓跟踪!$B$2:$B$157=A48)*(持仓跟踪!$X$2:$X$157="执行卖出")*(持仓跟踪!$H$2:$H$157&lt;&gt;"")),持仓跟踪!$H$2:$H$157),""))</f>
        <v>41982</v>
      </c>
      <c r="N48" s="10">
        <v>1.7</v>
      </c>
      <c r="O48" s="10"/>
      <c r="P48" s="5" t="str">
        <f>IF(A48="","",IFERROR(LOOKUP(2,1/((持仓跟踪!$B$2:$B$157=A48)*(持仓跟踪!$X$2:$X$157="执行卖出")*(持仓跟踪!$AA$2:$AA$157&lt;&gt;"")),持仓跟踪!$AA$2:$AA$157),""))</f>
        <v/>
      </c>
      <c r="Q48" s="2"/>
      <c r="R48" s="2"/>
      <c r="S48" s="2"/>
      <c r="T48" s="2"/>
      <c r="U48" s="7">
        <f>IF(OR(AO48="",J48="",AO48&lt;=0),"",(J48-AO48)/AO48)</f>
        <v>0.111111111111111</v>
      </c>
      <c r="V48" s="7">
        <f>IF(OR(AO48="",N48="",AO48&lt;=0),"",(AO48-N48)/AO48)</f>
        <v>0.0555555555555556</v>
      </c>
      <c r="W48" s="19">
        <f>IF(OR(U48="",V48="",V48&lt;=0),"",U48/V48)</f>
        <v>2</v>
      </c>
      <c r="X48" s="5">
        <f>IF(OR(K48="",L48="",AP48=""),"",K48*L48-(E48*H48+IF(AND(AK48&lt;&gt;"",AL48&lt;&gt;""),AK48*AL48,0)+IF(AND(AM48&lt;&gt;"",AN48&lt;&gt;""),AM48*AN48,0))-IF(O48="",0,O48)-IF(P48="",0,P48))</f>
        <v>24070</v>
      </c>
      <c r="Y48" s="7">
        <f>IF(OR(X48="",AP48=""),"",IF((E48*H48+IF(AND(AK48&lt;&gt;"",AL48&lt;&gt;""),AK48*AL48,0)+IF(AND(AM48&lt;&gt;"",AN48&lt;&gt;""),AM48*AN48,0))+IF(O48="",0,O48)&lt;=0,"",X48/((E48*H48+IF(AND(AK48&lt;&gt;"",AL48&lt;&gt;""),AK48*AL48,0)+IF(AND(AM48&lt;&gt;"",AN48&lt;&gt;""),AM48*AN48,0))+IF(O48="",0,O48))))</f>
        <v>0.322222222222222</v>
      </c>
      <c r="Z48" s="7">
        <f>IF(OR(AE48="",多次统计数据!$B$8=""),"",AE48-多次统计数据!$B$8)</f>
        <v>0.0433781855472386</v>
      </c>
      <c r="AA48" s="11">
        <f>IF(OR(I48="",M48="",M48&lt;I48),"",M48-I48)</f>
        <v>74</v>
      </c>
      <c r="AB48" s="7">
        <f>IF(OR(A48="",多次统计数据!$B$8="",多次统计数据!$B$6&lt;=0,多次统计数据!$B$6&gt;=1),"",1-POWER(1+多次统计数据!$B$8,-多次统计数据!$B$6/(1-多次统计数据!$B$6)))</f>
        <v>0.0530166567311223</v>
      </c>
      <c r="AC48" s="8" t="str">
        <f>IF(OR(AB48="",多次统计数据!$B$9=""),"",IF(多次统计数据!$B$9&lt;AB48,"低于上限","达到或超过上限"))</f>
        <v>低于上限</v>
      </c>
      <c r="AD48" s="2"/>
      <c r="AE48" s="7">
        <f>IF(OR(X48="",C48="",C48&lt;=0),"",X48/C48)</f>
        <v>0.1159268124702</v>
      </c>
      <c r="AG48" s="2"/>
      <c r="AH48" s="2"/>
      <c r="AI48" s="2"/>
      <c r="AJ48" s="8" t="str">
        <f>IF(OR(AG48="",AH48=""),"",IF(OR(AND(AG48="短期博反弹",OR(AH48="1～3个交易日",AH48="4～10个交易日")),AND(AG48="突破冲新高",OR(AH48="4～10个交易日",AH48="11～20个交易日")),AND(AG48="趋势波段",OR(AH48="11～20个交易日",AH48="21～60个交易日",AH48="60个交易日以上"))),"匹配","周期与交易预期不匹配，请重新确认"))</f>
        <v/>
      </c>
      <c r="AK48" s="10"/>
      <c r="AL48" s="12"/>
      <c r="AM48" s="10"/>
      <c r="AN48" s="12"/>
      <c r="AO48" s="5">
        <f>IF(OR(A48="",H48="",H48&lt;=0),"",(E48*H48+IF(AND(AK48&lt;&gt;"",AL48&lt;&gt;""),AK48*AL48,0)+IF(AND(AM48&lt;&gt;"",AN48&lt;&gt;""),AM48*AN48,0))/AP48)</f>
        <v>1.8</v>
      </c>
      <c r="AP48" s="11">
        <f>IF(OR(A48="",H48="",H48&lt;=0),"",H48+IF(AL48="",0,AL48)+IF(AN48="",0,AN48))</f>
        <v>41500</v>
      </c>
      <c r="AQ48" s="5">
        <f>IF(A48="","",IF(M48&lt;&gt;"",0,IF(OR(H48="",N48=""),"",MAX(E48-MAX(N48,IFERROR(SUMPRODUCT(MAX(((持仓跟踪!$A$2:$A$157="每日跟踪")*(持仓跟踪!$B$2:$B$157=A48))*持仓跟踪!$S$2:$S$157)),0)),0)*H48+IF(OR(AK48="",AL48=""),0,MAX(AK48-MAX(N48,IFERROR(SUMPRODUCT(MAX(((持仓跟踪!$A$2:$A$157="每日跟踪")*(持仓跟踪!$B$2:$B$157=A48))*持仓跟踪!$S$2:$S$157)),0)),0)*AL48)+IF(OR(AM48="",AN48=""),0,MAX(AM48-MAX(N48,IFERROR(SUMPRODUCT(MAX(((持仓跟踪!$A$2:$A$157="每日跟踪")*(持仓跟踪!$B$2:$B$157=A48))*持仓跟踪!$S$2:$S$157)),0)),0)*AN48))))</f>
        <v>0</v>
      </c>
      <c r="AR48" s="8" t="str">
        <f ca="1">IF(A48="","",IF(OR(E48="",H48=""),"违规：第一批价格或股数缺失",IF(OR(AND(AK48="",AL48&lt;&gt;""),AND(AK48&lt;&gt;"",AL48="")),"违规：第二批价格与股数须成对填写",IF(OR(AND(AM48="",AN48&lt;&gt;""),AND(AM48&lt;&gt;"",AN48="")),"违规：第三批价格与股数须成对填写",IF(AND(OR(AM48&lt;&gt;"",AN48&lt;&gt;""),OR(AK48="",AL48="")),"违规：必须先完成第二批",IF(OR(H48&lt;=0,H48&lt;&gt;INT(H48),MOD(H48,100)&lt;&gt;0,AND(AL48&lt;&gt;"",OR(AL48&lt;=0,AL48&lt;&gt;INT(AL48),MOD(AL48,100)&lt;&gt;0)),AND(AN48&lt;&gt;"",OR(AN48&lt;=0,AN48&lt;&gt;INT(AN48),MOD(AN48,100)&lt;&gt;0))),"违规：股数须为100股整数倍",IF(AND(OR(AL48&lt;&gt;"",AN48&lt;&gt;""),OR(_LockStatus="已锁仓",_LockStatus="解锁信息不完整")),"违规：锁仓期间禁止加仓",IF(AQ48&gt;C48*D48,"违规：超过单笔风险上限",IF(SUM($AQ$2:$AQ$98)&gt;账户数据!$B$7,"违规：超过账户风险上限","通过")))))))))</f>
        <v>通过</v>
      </c>
    </row>
    <row r="49" ht="17" spans="1:44">
      <c r="A49" s="2">
        <v>48</v>
      </c>
      <c r="B49" s="2" t="s">
        <v>67</v>
      </c>
      <c r="C49" s="10">
        <v>231701</v>
      </c>
      <c r="D49" s="6">
        <v>0.02</v>
      </c>
      <c r="E49" s="10">
        <v>2.57</v>
      </c>
      <c r="F49" s="8">
        <f>IF(OR(C49="",D49="",E49="",N49="",C49&lt;=0,D49&lt;=0,E49&lt;=N49),"",ROUNDDOWN((C49*D49)/(E49-N49)/100,0)*100)</f>
        <v>17100</v>
      </c>
      <c r="G49" s="8" t="str">
        <f ca="1">IF(A49="","",IF(H49&lt;&gt;"","已开仓",IF(账户数据!$B$23="已锁仓","禁止开仓：连续亏损达到上限",IF(账户数据!$B$23="解锁信息不完整","禁止开仓：请完整填写解锁信息",IF(OR(F49="",E49="",N49="",E49&lt;=N49,账户数据!$B$7=""),"",IF(OR(AG49="",AH49="",AI49=""),"禁止开仓：交易预期未填写完整",IF(COUNTIFS(持仓跟踪!$A$2:$A$157,"止损计划",持仓跟踪!$B$2:$B$157,A49,持仓跟踪!$AC$2:$AC$157,"计划有效")=0,"禁止开仓：请先填写止损计划",IF(账户数据!$B$9+F49*(E49-N49)&gt;=账户数据!$B$7,"禁止开仓：风险额度不足",IF(AJ49="周期与交易预期不匹配，请重新确认",IF(账户数据!$B$23="接近锁仓","允许开仓（接近锁仓；周期需复核）","允许开仓（周期需复核）"),IF(账户数据!$B$23="接近锁仓","允许开仓（接近锁仓）","允许开仓"))))))))))</f>
        <v>已开仓</v>
      </c>
      <c r="H49" s="2">
        <v>17100</v>
      </c>
      <c r="I49" s="13">
        <v>41989</v>
      </c>
      <c r="J49" s="10">
        <v>3</v>
      </c>
      <c r="K49" s="5">
        <f>IF(A49="","",IFERROR(LOOKUP(2,1/((持仓跟踪!$B$2:$B$157=A49)*(持仓跟踪!$X$2:$X$157="执行卖出")*(持仓跟踪!$Y$2:$Y$157&lt;&gt;"")),持仓跟踪!$Y$2:$Y$157),""))</f>
        <v>2.56</v>
      </c>
      <c r="L49" s="8">
        <f>IF(A49="","",IFERROR(LOOKUP(2,1/((持仓跟踪!$B$2:$B$157=A49)*(持仓跟踪!$X$2:$X$157="执行卖出")*(持仓跟踪!$Z$2:$Z$157&lt;&gt;"")),持仓跟踪!$Z$2:$Z$157),""))</f>
        <v>17100</v>
      </c>
      <c r="M49" s="18">
        <f>IF(A49="","",IFERROR(LOOKUP(2,1/((持仓跟踪!$B$2:$B$157=A49)*(持仓跟踪!$X$2:$X$157="执行卖出")*(持仓跟踪!$H$2:$H$157&lt;&gt;"")),持仓跟踪!$H$2:$H$157),""))</f>
        <v>42016</v>
      </c>
      <c r="N49" s="10">
        <v>2.3</v>
      </c>
      <c r="O49" s="10"/>
      <c r="P49" s="5" t="str">
        <f>IF(A49="","",IFERROR(LOOKUP(2,1/((持仓跟踪!$B$2:$B$157=A49)*(持仓跟踪!$X$2:$X$157="执行卖出")*(持仓跟踪!$AA$2:$AA$157&lt;&gt;"")),持仓跟踪!$AA$2:$AA$157),""))</f>
        <v/>
      </c>
      <c r="Q49" s="2"/>
      <c r="R49" s="2"/>
      <c r="S49" s="2"/>
      <c r="T49" s="2"/>
      <c r="U49" s="7">
        <f>IF(OR(AO49="",J49="",AO49&lt;=0),"",(J49-AO49)/AO49)</f>
        <v>0.167315175097276</v>
      </c>
      <c r="V49" s="7">
        <f>IF(OR(AO49="",N49="",AO49&lt;=0),"",(AO49-N49)/AO49)</f>
        <v>0.105058365758755</v>
      </c>
      <c r="W49" s="19">
        <f>IF(OR(U49="",V49="",V49&lt;=0),"",U49/V49)</f>
        <v>1.59259259259259</v>
      </c>
      <c r="X49" s="5">
        <f>IF(OR(K49="",L49="",AP49=""),"",K49*L49-(E49*H49+IF(AND(AK49&lt;&gt;"",AL49&lt;&gt;""),AK49*AL49,0)+IF(AND(AM49&lt;&gt;"",AN49&lt;&gt;""),AM49*AN49,0))-IF(O49="",0,O49)-IF(P49="",0,P49))</f>
        <v>-171</v>
      </c>
      <c r="Y49" s="7">
        <f>IF(OR(X49="",AP49=""),"",IF((E49*H49+IF(AND(AK49&lt;&gt;"",AL49&lt;&gt;""),AK49*AL49,0)+IF(AND(AM49&lt;&gt;"",AN49&lt;&gt;""),AM49*AN49,0))+IF(O49="",0,O49)&lt;=0,"",X49/((E49*H49+IF(AND(AK49&lt;&gt;"",AL49&lt;&gt;""),AK49*AL49,0)+IF(AND(AM49&lt;&gt;"",AN49&lt;&gt;""),AM49*AN49,0))+IF(O49="",0,O49))))</f>
        <v>-0.00389105058365759</v>
      </c>
      <c r="Z49" s="7">
        <f>IF(OR(AE49="",多次统计数据!$B$8=""),"",AE49-多次统计数据!$B$8)</f>
        <v>-0.07328664704372</v>
      </c>
      <c r="AA49" s="11">
        <f>IF(OR(I49="",M49="",M49&lt;I49),"",M49-I49)</f>
        <v>27</v>
      </c>
      <c r="AB49" s="7">
        <f>IF(OR(A49="",多次统计数据!$B$8="",多次统计数据!$B$6&lt;=0,多次统计数据!$B$6&gt;=1),"",1-POWER(1+多次统计数据!$B$8,-多次统计数据!$B$6/(1-多次统计数据!$B$6)))</f>
        <v>0.0530166567311223</v>
      </c>
      <c r="AC49" s="8" t="str">
        <f>IF(OR(AB49="",多次统计数据!$B$9=""),"",IF(多次统计数据!$B$9&lt;AB49,"低于上限","达到或超过上限"))</f>
        <v>低于上限</v>
      </c>
      <c r="AD49" s="2"/>
      <c r="AE49" s="7">
        <f>IF(OR(X49="",C49="",C49&lt;=0),"",X49/C49)</f>
        <v>-0.000738020120759082</v>
      </c>
      <c r="AG49" s="2" t="s">
        <v>57</v>
      </c>
      <c r="AH49" s="2" t="s">
        <v>61</v>
      </c>
      <c r="AI49" s="2"/>
      <c r="AJ49" s="8" t="str">
        <f>IF(OR(AG49="",AH49=""),"",IF(OR(AND(AG49="短期博反弹",OR(AH49="1～3个交易日",AH49="4～10个交易日")),AND(AG49="突破冲新高",OR(AH49="4～10个交易日",AH49="11～20个交易日")),AND(AG49="趋势波段",OR(AH49="11～20个交易日",AH49="21～60个交易日",AH49="60个交易日以上"))),"匹配","周期与交易预期不匹配，请重新确认"))</f>
        <v>匹配</v>
      </c>
      <c r="AK49" s="10"/>
      <c r="AL49" s="12"/>
      <c r="AM49" s="10"/>
      <c r="AN49" s="12"/>
      <c r="AO49" s="5">
        <f>IF(OR(A49="",H49="",H49&lt;=0),"",(E49*H49+IF(AND(AK49&lt;&gt;"",AL49&lt;&gt;""),AK49*AL49,0)+IF(AND(AM49&lt;&gt;"",AN49&lt;&gt;""),AM49*AN49,0))/AP49)</f>
        <v>2.57</v>
      </c>
      <c r="AP49" s="11">
        <f>IF(OR(A49="",H49="",H49&lt;=0),"",H49+IF(AL49="",0,AL49)+IF(AN49="",0,AN49))</f>
        <v>17100</v>
      </c>
      <c r="AQ49" s="5">
        <f>IF(A49="","",IF(M49&lt;&gt;"",0,IF(OR(H49="",N49=""),"",MAX(E49-MAX(N49,IFERROR(SUMPRODUCT(MAX(((持仓跟踪!$A$2:$A$157="每日跟踪")*(持仓跟踪!$B$2:$B$157=A49))*持仓跟踪!$S$2:$S$157)),0)),0)*H49+IF(OR(AK49="",AL49=""),0,MAX(AK49-MAX(N49,IFERROR(SUMPRODUCT(MAX(((持仓跟踪!$A$2:$A$157="每日跟踪")*(持仓跟踪!$B$2:$B$157=A49))*持仓跟踪!$S$2:$S$157)),0)),0)*AL49)+IF(OR(AM49="",AN49=""),0,MAX(AM49-MAX(N49,IFERROR(SUMPRODUCT(MAX(((持仓跟踪!$A$2:$A$157="每日跟踪")*(持仓跟踪!$B$2:$B$157=A49))*持仓跟踪!$S$2:$S$157)),0)),0)*AN49))))</f>
        <v>0</v>
      </c>
      <c r="AR49" s="8" t="str">
        <f ca="1">IF(A49="","",IF(OR(E49="",H49=""),"违规：第一批价格或股数缺失",IF(OR(AND(AK49="",AL49&lt;&gt;""),AND(AK49&lt;&gt;"",AL49="")),"违规：第二批价格与股数须成对填写",IF(OR(AND(AM49="",AN49&lt;&gt;""),AND(AM49&lt;&gt;"",AN49="")),"违规：第三批价格与股数须成对填写",IF(AND(OR(AM49&lt;&gt;"",AN49&lt;&gt;""),OR(AK49="",AL49="")),"违规：必须先完成第二批",IF(OR(H49&lt;=0,H49&lt;&gt;INT(H49),MOD(H49,100)&lt;&gt;0,AND(AL49&lt;&gt;"",OR(AL49&lt;=0,AL49&lt;&gt;INT(AL49),MOD(AL49,100)&lt;&gt;0)),AND(AN49&lt;&gt;"",OR(AN49&lt;=0,AN49&lt;&gt;INT(AN49),MOD(AN49,100)&lt;&gt;0))),"违规：股数须为100股整数倍",IF(AND(OR(AL49&lt;&gt;"",AN49&lt;&gt;""),OR(_LockStatus="已锁仓",_LockStatus="解锁信息不完整")),"违规：锁仓期间禁止加仓",IF(AQ49&gt;C49*D49,"违规：超过单笔风险上限",IF(SUM($AQ$2:$AQ$98)&gt;账户数据!$B$7,"违规：超过账户风险上限","通过")))))))))</f>
        <v>通过</v>
      </c>
    </row>
    <row r="50" ht="17" spans="1:44">
      <c r="A50" s="2">
        <v>49</v>
      </c>
      <c r="B50" s="2" t="s">
        <v>67</v>
      </c>
      <c r="C50" s="10">
        <v>231530</v>
      </c>
      <c r="D50" s="6">
        <v>0.02</v>
      </c>
      <c r="E50" s="10">
        <v>4.06</v>
      </c>
      <c r="F50" s="8">
        <f>IF(OR(C50="",D50="",E50="",N50="",C50&lt;=0,D50&lt;=0,E50&lt;=N50),"",ROUNDDOWN((C50*D50)/(E50-N50)/100,0)*100)</f>
        <v>12800</v>
      </c>
      <c r="G50" s="8" t="str">
        <f ca="1">IF(A50="","",IF(H50&lt;&gt;"","已开仓",IF(账户数据!$B$23="已锁仓","禁止开仓：连续亏损达到上限",IF(账户数据!$B$23="解锁信息不完整","禁止开仓：请完整填写解锁信息",IF(OR(F50="",E50="",N50="",E50&lt;=N50,账户数据!$B$7=""),"",IF(OR(AG50="",AH50="",AI50=""),"禁止开仓：交易预期未填写完整",IF(COUNTIFS(持仓跟踪!$A$2:$A$157,"止损计划",持仓跟踪!$B$2:$B$157,A50,持仓跟踪!$AC$2:$AC$157,"计划有效")=0,"禁止开仓：请先填写止损计划",IF(账户数据!$B$9+F50*(E50-N50)&gt;=账户数据!$B$7,"禁止开仓：风险额度不足",IF(AJ50="周期与交易预期不匹配，请重新确认",IF(账户数据!$B$23="接近锁仓","允许开仓（接近锁仓；周期需复核）","允许开仓（周期需复核）"),IF(账户数据!$B$23="接近锁仓","允许开仓（接近锁仓）","允许开仓"))))))))))</f>
        <v>已开仓</v>
      </c>
      <c r="H50" s="2">
        <v>12800</v>
      </c>
      <c r="I50" s="13">
        <v>42032</v>
      </c>
      <c r="J50" s="10">
        <v>4.5</v>
      </c>
      <c r="K50" s="5">
        <f>IF(A50="","",IFERROR(LOOKUP(2,1/((持仓跟踪!$B$2:$B$157=A50)*(持仓跟踪!$X$2:$X$157="执行卖出")*(持仓跟踪!$Y$2:$Y$157&lt;&gt;"")),持仓跟踪!$Y$2:$Y$157),""))</f>
        <v>3.63</v>
      </c>
      <c r="L50" s="8">
        <f>IF(A50="","",IFERROR(LOOKUP(2,1/((持仓跟踪!$B$2:$B$157=A50)*(持仓跟踪!$X$2:$X$157="执行卖出")*(持仓跟踪!$Z$2:$Z$157&lt;&gt;"")),持仓跟踪!$Z$2:$Z$157),""))</f>
        <v>12800</v>
      </c>
      <c r="M50" s="18">
        <f>IF(A50="","",IFERROR(LOOKUP(2,1/((持仓跟踪!$B$2:$B$157=A50)*(持仓跟踪!$X$2:$X$157="执行卖出")*(持仓跟踪!$H$2:$H$157&lt;&gt;"")),持仓跟踪!$H$2:$H$157),""))</f>
        <v>42131</v>
      </c>
      <c r="N50" s="10">
        <v>3.7</v>
      </c>
      <c r="O50" s="10"/>
      <c r="P50" s="5" t="str">
        <f>IF(A50="","",IFERROR(LOOKUP(2,1/((持仓跟踪!$B$2:$B$157=A50)*(持仓跟踪!$X$2:$X$157="执行卖出")*(持仓跟踪!$AA$2:$AA$157&lt;&gt;"")),持仓跟踪!$AA$2:$AA$157),""))</f>
        <v/>
      </c>
      <c r="Q50" s="2"/>
      <c r="R50" s="2"/>
      <c r="S50" s="2"/>
      <c r="T50" s="2"/>
      <c r="U50" s="7">
        <f>IF(OR(AO50="",J50="",AO50&lt;=0),"",(J50-AO50)/AO50)</f>
        <v>0.108374384236453</v>
      </c>
      <c r="V50" s="7">
        <f>IF(OR(AO50="",N50="",AO50&lt;=0),"",(AO50-N50)/AO50)</f>
        <v>0.0886699507389161</v>
      </c>
      <c r="W50" s="19">
        <f>IF(OR(U50="",V50="",V50&lt;=0),"",U50/V50)</f>
        <v>1.22222222222223</v>
      </c>
      <c r="X50" s="5">
        <f>IF(OR(K50="",L50="",AP50=""),"",K50*L50-(E50*H50+IF(AND(AK50&lt;&gt;"",AL50&lt;&gt;""),AK50*AL50,0)+IF(AND(AM50&lt;&gt;"",AN50&lt;&gt;""),AM50*AN50,0))-IF(O50="",0,O50)-IF(P50="",0,P50))</f>
        <v>-5503.99999999999</v>
      </c>
      <c r="Y50" s="7">
        <f>IF(OR(X50="",AP50=""),"",IF((E50*H50+IF(AND(AK50&lt;&gt;"",AL50&lt;&gt;""),AK50*AL50,0)+IF(AND(AM50&lt;&gt;"",AN50&lt;&gt;""),AM50*AN50,0))+IF(O50="",0,O50)&lt;=0,"",X50/((E50*H50+IF(AND(AK50&lt;&gt;"",AL50&lt;&gt;""),AK50*AL50,0)+IF(AND(AM50&lt;&gt;"",AN50&lt;&gt;""),AM50*AN50,0))+IF(O50="",0,O50))))</f>
        <v>-0.105911330049261</v>
      </c>
      <c r="Z50" s="7">
        <f>IF(OR(AE50="",多次统计数据!$B$8=""),"",AE50-多次统计数据!$B$8)</f>
        <v>-0.0963209242494413</v>
      </c>
      <c r="AA50" s="11">
        <f>IF(OR(I50="",M50="",M50&lt;I50),"",M50-I50)</f>
        <v>99</v>
      </c>
      <c r="AB50" s="7">
        <f>IF(OR(A50="",多次统计数据!$B$8="",多次统计数据!$B$6&lt;=0,多次统计数据!$B$6&gt;=1),"",1-POWER(1+多次统计数据!$B$8,-多次统计数据!$B$6/(1-多次统计数据!$B$6)))</f>
        <v>0.0530166567311223</v>
      </c>
      <c r="AC50" s="8" t="str">
        <f>IF(OR(AB50="",多次统计数据!$B$9=""),"",IF(多次统计数据!$B$9&lt;AB50,"低于上限","达到或超过上限"))</f>
        <v>低于上限</v>
      </c>
      <c r="AD50" s="2"/>
      <c r="AE50" s="7">
        <f>IF(OR(X50="",C50="",C50&lt;=0),"",X50/C50)</f>
        <v>-0.0237722973264803</v>
      </c>
      <c r="AG50" s="2"/>
      <c r="AH50" s="2"/>
      <c r="AI50" s="2"/>
      <c r="AJ50" s="8" t="str">
        <f>IF(OR(AG50="",AH50=""),"",IF(OR(AND(AG50="短期博反弹",OR(AH50="1～3个交易日",AH50="4～10个交易日")),AND(AG50="突破冲新高",OR(AH50="4～10个交易日",AH50="11～20个交易日")),AND(AG50="趋势波段",OR(AH50="11～20个交易日",AH50="21～60个交易日",AH50="60个交易日以上"))),"匹配","周期与交易预期不匹配，请重新确认"))</f>
        <v/>
      </c>
      <c r="AK50" s="10"/>
      <c r="AL50" s="12"/>
      <c r="AM50" s="10"/>
      <c r="AN50" s="12"/>
      <c r="AO50" s="5">
        <f>IF(OR(A50="",H50="",H50&lt;=0),"",(E50*H50+IF(AND(AK50&lt;&gt;"",AL50&lt;&gt;""),AK50*AL50,0)+IF(AND(AM50&lt;&gt;"",AN50&lt;&gt;""),AM50*AN50,0))/AP50)</f>
        <v>4.06</v>
      </c>
      <c r="AP50" s="11">
        <f>IF(OR(A50="",H50="",H50&lt;=0),"",H50+IF(AL50="",0,AL50)+IF(AN50="",0,AN50))</f>
        <v>12800</v>
      </c>
      <c r="AQ50" s="5">
        <f>IF(A50="","",IF(M50&lt;&gt;"",0,IF(OR(H50="",N50=""),"",MAX(E50-MAX(N50,IFERROR(SUMPRODUCT(MAX(((持仓跟踪!$A$2:$A$157="每日跟踪")*(持仓跟踪!$B$2:$B$157=A50))*持仓跟踪!$S$2:$S$157)),0)),0)*H50+IF(OR(AK50="",AL50=""),0,MAX(AK50-MAX(N50,IFERROR(SUMPRODUCT(MAX(((持仓跟踪!$A$2:$A$157="每日跟踪")*(持仓跟踪!$B$2:$B$157=A50))*持仓跟踪!$S$2:$S$157)),0)),0)*AL50)+IF(OR(AM50="",AN50=""),0,MAX(AM50-MAX(N50,IFERROR(SUMPRODUCT(MAX(((持仓跟踪!$A$2:$A$157="每日跟踪")*(持仓跟踪!$B$2:$B$157=A50))*持仓跟踪!$S$2:$S$157)),0)),0)*AN50))))</f>
        <v>0</v>
      </c>
      <c r="AR50" s="8" t="str">
        <f ca="1">IF(A50="","",IF(OR(E50="",H50=""),"违规：第一批价格或股数缺失",IF(OR(AND(AK50="",AL50&lt;&gt;""),AND(AK50&lt;&gt;"",AL50="")),"违规：第二批价格与股数须成对填写",IF(OR(AND(AM50="",AN50&lt;&gt;""),AND(AM50&lt;&gt;"",AN50="")),"违规：第三批价格与股数须成对填写",IF(AND(OR(AM50&lt;&gt;"",AN50&lt;&gt;""),OR(AK50="",AL50="")),"违规：必须先完成第二批",IF(OR(H50&lt;=0,H50&lt;&gt;INT(H50),MOD(H50,100)&lt;&gt;0,AND(AL50&lt;&gt;"",OR(AL50&lt;=0,AL50&lt;&gt;INT(AL50),MOD(AL50,100)&lt;&gt;0)),AND(AN50&lt;&gt;"",OR(AN50&lt;=0,AN50&lt;&gt;INT(AN50),MOD(AN50,100)&lt;&gt;0))),"违规：股数须为100股整数倍",IF(AND(OR(AL50&lt;&gt;"",AN50&lt;&gt;""),OR(_LockStatus="已锁仓",_LockStatus="解锁信息不完整")),"违规：锁仓期间禁止加仓",IF(AQ50&gt;C50*D50,"违规：超过单笔风险上限",IF(SUM($AQ$2:$AQ$98)&gt;账户数据!$B$7,"违规：超过账户风险上限","通过")))))))))</f>
        <v>通过</v>
      </c>
    </row>
    <row r="51" s="17" customFormat="1" ht="17" spans="1:44">
      <c r="A51" s="21">
        <v>50</v>
      </c>
      <c r="B51" s="22" t="s">
        <v>67</v>
      </c>
      <c r="C51" s="23">
        <v>226026</v>
      </c>
      <c r="D51" s="24">
        <v>0.02</v>
      </c>
      <c r="E51" s="23">
        <v>4.44</v>
      </c>
      <c r="F51" s="25">
        <f>IF(OR(C51="",D51="",E51="",N51="",C51&lt;=0,D51&lt;=0,E51&lt;=N51),"",ROUNDDOWN((C51*D51)/(E51-N51)/100,0)*100)</f>
        <v>18800</v>
      </c>
      <c r="G51" s="26" t="str">
        <f ca="1">IF(A51="","",IF(H51&lt;&gt;"","已开仓",IF(账户数据!$B$23="已锁仓","禁止开仓：连续亏损达到上限",IF(账户数据!$B$23="解锁信息不完整","禁止开仓：请完整填写解锁信息",IF(OR(F51="",E51="",N51="",E51&lt;=N51,账户数据!$B$7=""),"",IF(OR(AG51="",AH51="",AI51=""),"禁止开仓：交易预期未填写完整",IF(COUNTIFS(持仓跟踪!$A$2:$A$157,"止损计划",持仓跟踪!$B$2:$B$157,A51,持仓跟踪!$AC$2:$AC$157,"计划有效")=0,"禁止开仓：请先填写止损计划",IF(账户数据!$B$9+F51*(E51-N51)&gt;=账户数据!$B$7,"禁止开仓：风险额度不足",IF(AJ51="周期与交易预期不匹配，请重新确认",IF(账户数据!$B$23="接近锁仓","允许开仓（接近锁仓；周期需复核）","允许开仓（周期需复核）"),IF(账户数据!$B$23="接近锁仓","允许开仓（接近锁仓）","允许开仓"))))))))))</f>
        <v>已开仓</v>
      </c>
      <c r="H51" s="21">
        <v>18800</v>
      </c>
      <c r="I51" s="27">
        <v>42159</v>
      </c>
      <c r="J51" s="23">
        <v>5</v>
      </c>
      <c r="K51" s="28">
        <f>IF(A51="","",IFERROR(LOOKUP(2,1/((持仓跟踪!$B$2:$B$157=A51)*(持仓跟踪!$X$2:$X$157="执行卖出")*(持仓跟踪!$Y$2:$Y$157&lt;&gt;"")),持仓跟踪!$Y$2:$Y$157),""))</f>
        <v>3.03</v>
      </c>
      <c r="L51" s="25">
        <f>IF(A51="","",IFERROR(LOOKUP(2,1/((持仓跟踪!$B$2:$B$157=A51)*(持仓跟踪!$X$2:$X$157="执行卖出")*(持仓跟踪!$Z$2:$Z$157&lt;&gt;"")),持仓跟踪!$Z$2:$Z$157),""))</f>
        <v>18800</v>
      </c>
      <c r="M51" s="29">
        <f>IF(A51="","",IFERROR(LOOKUP(2,1/((持仓跟踪!$B$2:$B$157=A51)*(持仓跟踪!$X$2:$X$157="执行卖出")*(持仓跟踪!$H$2:$H$157&lt;&gt;"")),持仓跟踪!$H$2:$H$157),""))</f>
        <v>42221</v>
      </c>
      <c r="N51" s="23">
        <v>4.2</v>
      </c>
      <c r="O51" s="23"/>
      <c r="P51" s="30" t="str">
        <f>IF(A51="","",IFERROR(LOOKUP(2,1/((持仓跟踪!$B$2:$B$157=A51)*(持仓跟踪!$X$2:$X$157="执行卖出")*(持仓跟踪!$AA$2:$AA$157&lt;&gt;"")),持仓跟踪!$AA$2:$AA$157),""))</f>
        <v/>
      </c>
      <c r="Q51" s="21"/>
      <c r="R51" s="21"/>
      <c r="S51" s="21"/>
      <c r="T51" s="21"/>
      <c r="U51" s="31">
        <f>IF(OR(AO51="",J51="",AO51&lt;=0),"",(J51-AO51)/AO51)</f>
        <v>0.126126126126126</v>
      </c>
      <c r="V51" s="31">
        <f>IF(OR(AO51="",N51="",AO51&lt;=0),"",(AO51-N51)/AO51)</f>
        <v>0.0540540540540541</v>
      </c>
      <c r="W51" s="32">
        <f>IF(OR(U51="",V51="",V51&lt;=0),"",U51/V51)</f>
        <v>2.33333333333333</v>
      </c>
      <c r="X51" s="28">
        <f>IF(OR(K51="",L51="",AP51=""),"",K51*L51-(E51*H51+IF(AND(AK51&lt;&gt;"",AL51&lt;&gt;""),AK51*AL51,0)+IF(AND(AM51&lt;&gt;"",AN51&lt;&gt;""),AM51*AN51,0))-IF(O51="",0,O51)-IF(P51="",0,P51))</f>
        <v>-26508</v>
      </c>
      <c r="Y51" s="31">
        <f>IF(OR(X51="",AP51=""),"",IF((E51*H51+IF(AND(AK51&lt;&gt;"",AL51&lt;&gt;""),AK51*AL51,0)+IF(AND(AM51&lt;&gt;"",AN51&lt;&gt;""),AM51*AN51,0))+IF(O51="",0,O51)&lt;=0,"",X51/((E51*H51+IF(AND(AK51&lt;&gt;"",AL51&lt;&gt;""),AK51*AL51,0)+IF(AND(AM51&lt;&gt;"",AN51&lt;&gt;""),AM51*AN51,0))+IF(O51="",0,O51))))</f>
        <v>-0.317567567567568</v>
      </c>
      <c r="Z51" s="31">
        <f>IF(OR(AE51="",多次统计数据!$B$8=""),"",AE51-多次统计数据!$B$8)</f>
        <v>-0.18982717009941</v>
      </c>
      <c r="AA51" s="33">
        <f>IF(OR(I51="",M51="",M51&lt;I51),"",M51-I51)</f>
        <v>62</v>
      </c>
      <c r="AB51" s="31">
        <f>IF(OR(A51="",多次统计数据!$B$8="",多次统计数据!$B$6&lt;=0,多次统计数据!$B$6&gt;=1),"",1-POWER(1+多次统计数据!$B$8,-多次统计数据!$B$6/(1-多次统计数据!$B$6)))</f>
        <v>0.0530166567311223</v>
      </c>
      <c r="AC51" s="26" t="str">
        <f>IF(OR(AB51="",多次统计数据!$B$9=""),"",IF(多次统计数据!$B$9&lt;AB51,"低于上限","达到或超过上限"))</f>
        <v>低于上限</v>
      </c>
      <c r="AD51" s="21"/>
      <c r="AE51" s="31">
        <f>IF(OR(X51="",C51="",C51&lt;=0),"",X51/C51)</f>
        <v>-0.117278543176449</v>
      </c>
      <c r="AG51" s="22" t="s">
        <v>60</v>
      </c>
      <c r="AH51" s="22" t="s">
        <v>47</v>
      </c>
      <c r="AI51" s="21"/>
      <c r="AJ51" s="26" t="str">
        <f>IF(OR(AG51="",AH51=""),"",IF(OR(AND(AG51="短期博反弹",OR(AH51="1～3个交易日",AH51="4～10个交易日")),AND(AG51="突破冲新高",OR(AH51="4～10个交易日",AH51="11～20个交易日")),AND(AG51="趋势波段",OR(AH51="11～20个交易日",AH51="21～60个交易日",AH51="60个交易日以上"))),"匹配","周期与交易预期不匹配，请重新确认"))</f>
        <v>匹配</v>
      </c>
      <c r="AK51" s="23"/>
      <c r="AL51" s="34"/>
      <c r="AM51" s="23"/>
      <c r="AN51" s="34"/>
      <c r="AO51" s="28">
        <f>IF(OR(A51="",H51="",H51&lt;=0),"",(E51*H51+IF(AND(AK51&lt;&gt;"",AL51&lt;&gt;""),AK51*AL51,0)+IF(AND(AM51&lt;&gt;"",AN51&lt;&gt;""),AM51*AN51,0))/AP51)</f>
        <v>4.44</v>
      </c>
      <c r="AP51" s="33">
        <f>IF(OR(A51="",H51="",H51&lt;=0),"",H51+IF(AL51="",0,AL51)+IF(AN51="",0,AN51))</f>
        <v>18800</v>
      </c>
      <c r="AQ51" s="28">
        <f>IF(A51="","",IF(M51&lt;&gt;"",0,IF(OR(H51="",N51=""),"",MAX(E51-MAX(N51,IFERROR(SUMPRODUCT(MAX(((持仓跟踪!$A$2:$A$157="每日跟踪")*(持仓跟踪!$B$2:$B$157=A51))*持仓跟踪!$S$2:$S$157)),0)),0)*H51+IF(OR(AK51="",AL51=""),0,MAX(AK51-MAX(N51,IFERROR(SUMPRODUCT(MAX(((持仓跟踪!$A$2:$A$157="每日跟踪")*(持仓跟踪!$B$2:$B$157=A51))*持仓跟踪!$S$2:$S$157)),0)),0)*AL51)+IF(OR(AM51="",AN51=""),0,MAX(AM51-MAX(N51,IFERROR(SUMPRODUCT(MAX(((持仓跟踪!$A$2:$A$157="每日跟踪")*(持仓跟踪!$B$2:$B$157=A51))*持仓跟踪!$S$2:$S$157)),0)),0)*AN51))))</f>
        <v>0</v>
      </c>
      <c r="AR51" s="26" t="str">
        <f ca="1">IF(A51="","",IF(OR(E51="",H51=""),"违规：第一批价格或股数缺失",IF(OR(AND(AK51="",AL51&lt;&gt;""),AND(AK51&lt;&gt;"",AL51="")),"违规：第二批价格与股数须成对填写",IF(OR(AND(AM51="",AN51&lt;&gt;""),AND(AM51&lt;&gt;"",AN51="")),"违规：第三批价格与股数须成对填写",IF(AND(OR(AM51&lt;&gt;"",AN51&lt;&gt;""),OR(AK51="",AL51="")),"违规：必须先完成第二批",IF(OR(H51&lt;=0,H51&lt;&gt;INT(H51),MOD(H51,100)&lt;&gt;0,AND(AL51&lt;&gt;"",OR(AL51&lt;=0,AL51&lt;&gt;INT(AL51),MOD(AL51,100)&lt;&gt;0)),AND(AN51&lt;&gt;"",OR(AN51&lt;=0,AN51&lt;&gt;INT(AN51),MOD(AN51,100)&lt;&gt;0))),"违规：股数须为100股整数倍",IF(AND(OR(AL51&lt;&gt;"",AN51&lt;&gt;""),OR(_LockStatus="已锁仓",_LockStatus="解锁信息不完整")),"违规：锁仓期间禁止加仓",IF(AQ51&gt;C51*D51,"违规：超过单笔风险上限",IF(SUM($AQ$2:$AQ$98)&gt;账户数据!$B$7,"违规：超过账户风险上限","通过")))))))))</f>
        <v>通过</v>
      </c>
    </row>
    <row r="52" ht="17" spans="1:44">
      <c r="A52" s="2">
        <v>51</v>
      </c>
      <c r="B52" s="2" t="s">
        <v>67</v>
      </c>
      <c r="C52" s="10">
        <v>199518</v>
      </c>
      <c r="D52" s="6">
        <v>0.02</v>
      </c>
      <c r="E52" s="10">
        <v>1.89</v>
      </c>
      <c r="F52" s="8">
        <f>IF(OR(C52="",D52="",E52="",N52="",C52&lt;=0,D52&lt;=0,E52&lt;=N52),"",ROUNDDOWN((C52*D52)/(E52-N52)/100,0)*100)</f>
        <v>44300</v>
      </c>
      <c r="G52" s="8" t="str">
        <f ca="1">IF(A52="","",IF(H52&lt;&gt;"","已开仓",IF(账户数据!$B$23="已锁仓","禁止开仓：连续亏损达到上限",IF(账户数据!$B$23="解锁信息不完整","禁止开仓：请完整填写解锁信息",IF(OR(F52="",E52="",N52="",E52&lt;=N52,账户数据!$B$7=""),"",IF(OR(AG52="",AH52="",AI52=""),"禁止开仓：交易预期未填写完整",IF(COUNTIFS(持仓跟踪!$A$2:$A$157,"止损计划",持仓跟踪!$B$2:$B$157,A52,持仓跟踪!$AC$2:$AC$157,"计划有效")=0,"禁止开仓：请先填写止损计划",IF(账户数据!$B$9+F52*(E52-N52)&gt;=账户数据!$B$7,"禁止开仓：风险额度不足",IF(AJ52="周期与交易预期不匹配，请重新确认",IF(账户数据!$B$23="接近锁仓","允许开仓（接近锁仓；周期需复核）","允许开仓（周期需复核）"),IF(账户数据!$B$23="接近锁仓","允许开仓（接近锁仓）","允许开仓"))))))))))</f>
        <v>已开仓</v>
      </c>
      <c r="H52" s="2">
        <v>44300</v>
      </c>
      <c r="I52" s="13">
        <v>42667</v>
      </c>
      <c r="J52" s="10">
        <v>2</v>
      </c>
      <c r="K52" s="5">
        <f>IF(A52="","",IFERROR(LOOKUP(2,1/((持仓跟踪!$B$2:$B$157=A52)*(持仓跟踪!$X$2:$X$157="执行卖出")*(持仓跟踪!$Y$2:$Y$157&lt;&gt;"")),持仓跟踪!$Y$2:$Y$157),""))</f>
        <v>2.03</v>
      </c>
      <c r="L52" s="8">
        <f>IF(A52="","",IFERROR(LOOKUP(2,1/((持仓跟踪!$B$2:$B$157=A52)*(持仓跟踪!$X$2:$X$157="执行卖出")*(持仓跟踪!$Z$2:$Z$157&lt;&gt;"")),持仓跟踪!$Z$2:$Z$157),""))</f>
        <v>44300</v>
      </c>
      <c r="M52" s="18">
        <f>IF(A52="","",IFERROR(LOOKUP(2,1/((持仓跟踪!$B$2:$B$157=A52)*(持仓跟踪!$X$2:$X$157="执行卖出")*(持仓跟踪!$H$2:$H$157&lt;&gt;"")),持仓跟踪!$H$2:$H$157),""))</f>
        <v>42682</v>
      </c>
      <c r="N52" s="10">
        <v>1.8</v>
      </c>
      <c r="O52" s="10"/>
      <c r="P52" s="5" t="str">
        <f>IF(A52="","",IFERROR(LOOKUP(2,1/((持仓跟踪!$B$2:$B$157=A52)*(持仓跟踪!$X$2:$X$157="执行卖出")*(持仓跟踪!$AA$2:$AA$157&lt;&gt;"")),持仓跟踪!$AA$2:$AA$157),""))</f>
        <v/>
      </c>
      <c r="Q52" s="2"/>
      <c r="R52" s="2"/>
      <c r="S52" s="2"/>
      <c r="T52" s="2"/>
      <c r="U52" s="7">
        <f>IF(OR(AO52="",J52="",AO52&lt;=0),"",(J52-AO52)/AO52)</f>
        <v>0.0582010582010583</v>
      </c>
      <c r="V52" s="7">
        <f>IF(OR(AO52="",N52="",AO52&lt;=0),"",(AO52-N52)/AO52)</f>
        <v>0.0476190476190475</v>
      </c>
      <c r="W52" s="19">
        <f>IF(OR(U52="",V52="",V52&lt;=0),"",U52/V52)</f>
        <v>1.22222222222223</v>
      </c>
      <c r="X52" s="5">
        <f>IF(OR(K52="",L52="",AP52=""),"",K52*L52-(E52*H52+IF(AND(AK52&lt;&gt;"",AL52&lt;&gt;""),AK52*AL52,0)+IF(AND(AM52&lt;&gt;"",AN52&lt;&gt;""),AM52*AN52,0))-IF(O52="",0,O52)-IF(P52="",0,P52))</f>
        <v>6201.99999999999</v>
      </c>
      <c r="Y52" s="7">
        <f>IF(OR(X52="",AP52=""),"",IF((E52*H52+IF(AND(AK52&lt;&gt;"",AL52&lt;&gt;""),AK52*AL52,0)+IF(AND(AM52&lt;&gt;"",AN52&lt;&gt;""),AM52*AN52,0))+IF(O52="",0,O52)&lt;=0,"",X52/((E52*H52+IF(AND(AK52&lt;&gt;"",AL52&lt;&gt;""),AK52*AL52,0)+IF(AND(AM52&lt;&gt;"",AN52&lt;&gt;""),AM52*AN52,0))+IF(O52="",0,O52))))</f>
        <v>0.0740740740740739</v>
      </c>
      <c r="Z52" s="7">
        <f>IF(OR(AE52="",多次统计数据!$B$8=""),"",AE52-多次统计数据!$B$8)</f>
        <v>-0.0414637122786683</v>
      </c>
      <c r="AA52" s="11">
        <f>IF(OR(I52="",M52="",M52&lt;I52),"",M52-I52)</f>
        <v>15</v>
      </c>
      <c r="AB52" s="7">
        <f>IF(OR(A52="",多次统计数据!$B$8="",多次统计数据!$B$6&lt;=0,多次统计数据!$B$6&gt;=1),"",1-POWER(1+多次统计数据!$B$8,-多次统计数据!$B$6/(1-多次统计数据!$B$6)))</f>
        <v>0.0530166567311223</v>
      </c>
      <c r="AC52" s="8" t="str">
        <f>IF(OR(AB52="",多次统计数据!$B$9=""),"",IF(多次统计数据!$B$9&lt;AB52,"低于上限","达到或超过上限"))</f>
        <v>低于上限</v>
      </c>
      <c r="AD52" s="2"/>
      <c r="AE52" s="7">
        <f>IF(OR(X52="",C52="",C52&lt;=0),"",X52/C52)</f>
        <v>0.0310849146442927</v>
      </c>
      <c r="AG52" s="2"/>
      <c r="AH52" s="2"/>
      <c r="AI52" s="2"/>
      <c r="AJ52" s="8" t="str">
        <f>IF(OR(AG52="",AH52=""),"",IF(OR(AND(AG52="短期博反弹",OR(AH52="1～3个交易日",AH52="4～10个交易日")),AND(AG52="突破冲新高",OR(AH52="4～10个交易日",AH52="11～20个交易日")),AND(AG52="趋势波段",OR(AH52="11～20个交易日",AH52="21～60个交易日",AH52="60个交易日以上"))),"匹配","周期与交易预期不匹配，请重新确认"))</f>
        <v/>
      </c>
      <c r="AK52" s="10"/>
      <c r="AL52" s="12"/>
      <c r="AM52" s="10"/>
      <c r="AN52" s="12"/>
      <c r="AO52" s="5">
        <f>IF(OR(A52="",H52="",H52&lt;=0),"",(E52*H52+IF(AND(AK52&lt;&gt;"",AL52&lt;&gt;""),AK52*AL52,0)+IF(AND(AM52&lt;&gt;"",AN52&lt;&gt;""),AM52*AN52,0))/AP52)</f>
        <v>1.89</v>
      </c>
      <c r="AP52" s="11">
        <f>IF(OR(A52="",H52="",H52&lt;=0),"",H52+IF(AL52="",0,AL52)+IF(AN52="",0,AN52))</f>
        <v>44300</v>
      </c>
      <c r="AQ52" s="5">
        <f>IF(A52="","",IF(M52&lt;&gt;"",0,IF(OR(H52="",N52=""),"",MAX(E52-MAX(N52,IFERROR(SUMPRODUCT(MAX(((持仓跟踪!$A$2:$A$157="每日跟踪")*(持仓跟踪!$B$2:$B$157=A52))*持仓跟踪!$S$2:$S$157)),0)),0)*H52+IF(OR(AK52="",AL52=""),0,MAX(AK52-MAX(N52,IFERROR(SUMPRODUCT(MAX(((持仓跟踪!$A$2:$A$157="每日跟踪")*(持仓跟踪!$B$2:$B$157=A52))*持仓跟踪!$S$2:$S$157)),0)),0)*AL52)+IF(OR(AM52="",AN52=""),0,MAX(AM52-MAX(N52,IFERROR(SUMPRODUCT(MAX(((持仓跟踪!$A$2:$A$157="每日跟踪")*(持仓跟踪!$B$2:$B$157=A52))*持仓跟踪!$S$2:$S$157)),0)),0)*AN52))))</f>
        <v>0</v>
      </c>
      <c r="AR52" s="8" t="str">
        <f ca="1">IF(A52="","",IF(OR(E52="",H52=""),"违规：第一批价格或股数缺失",IF(OR(AND(AK52="",AL52&lt;&gt;""),AND(AK52&lt;&gt;"",AL52="")),"违规：第二批价格与股数须成对填写",IF(OR(AND(AM52="",AN52&lt;&gt;""),AND(AM52&lt;&gt;"",AN52="")),"违规：第三批价格与股数须成对填写",IF(AND(OR(AM52&lt;&gt;"",AN52&lt;&gt;""),OR(AK52="",AL52="")),"违规：必须先完成第二批",IF(OR(H52&lt;=0,H52&lt;&gt;INT(H52),MOD(H52,100)&lt;&gt;0,AND(AL52&lt;&gt;"",OR(AL52&lt;=0,AL52&lt;&gt;INT(AL52),MOD(AL52,100)&lt;&gt;0)),AND(AN52&lt;&gt;"",OR(AN52&lt;=0,AN52&lt;&gt;INT(AN52),MOD(AN52,100)&lt;&gt;0))),"违规：股数须为100股整数倍",IF(AND(OR(AL52&lt;&gt;"",AN52&lt;&gt;""),OR(_LockStatus="已锁仓",_LockStatus="解锁信息不完整")),"违规：锁仓期间禁止加仓",IF(AQ52&gt;C52*D52,"违规：超过单笔风险上限",IF(SUM($AQ$2:$AQ$98)&gt;账户数据!$B$7,"违规：超过账户风险上限","通过")))))))))</f>
        <v>通过</v>
      </c>
    </row>
    <row r="53" ht="17" spans="1:44">
      <c r="A53" s="2">
        <v>52</v>
      </c>
      <c r="B53" s="2" t="s">
        <v>67</v>
      </c>
      <c r="C53" s="10">
        <v>205720</v>
      </c>
      <c r="D53" s="6">
        <v>0.02</v>
      </c>
      <c r="E53" s="10">
        <v>2.52</v>
      </c>
      <c r="F53" s="8">
        <f>IF(OR(C53="",D53="",E53="",N53="",C53&lt;=0,D53&lt;=0,E53&lt;=N53),"",ROUNDDOWN((C53*D53)/(E53-N53)/100,0)*100)</f>
        <v>34200</v>
      </c>
      <c r="G53" s="8" t="str">
        <f ca="1">IF(A53="","",IF(H53&lt;&gt;"","已开仓",IF(账户数据!$B$23="已锁仓","禁止开仓：连续亏损达到上限",IF(账户数据!$B$23="解锁信息不完整","禁止开仓：请完整填写解锁信息",IF(OR(F53="",E53="",N53="",E53&lt;=N53,账户数据!$B$7=""),"",IF(OR(AG53="",AH53="",AI53=""),"禁止开仓：交易预期未填写完整",IF(COUNTIFS(持仓跟踪!$A$2:$A$157,"止损计划",持仓跟踪!$B$2:$B$157,A53,持仓跟踪!$AC$2:$AC$157,"计划有效")=0,"禁止开仓：请先填写止损计划",IF(账户数据!$B$9+F53*(E53-N53)&gt;=账户数据!$B$7,"禁止开仓：风险额度不足",IF(AJ53="周期与交易预期不匹配，请重新确认",IF(账户数据!$B$23="接近锁仓","允许开仓（接近锁仓；周期需复核）","允许开仓（周期需复核）"),IF(账户数据!$B$23="接近锁仓","允许开仓（接近锁仓）","允许开仓"))))))))))</f>
        <v>已开仓</v>
      </c>
      <c r="H53" s="2">
        <v>34200</v>
      </c>
      <c r="I53" s="13">
        <v>42741</v>
      </c>
      <c r="J53" s="10">
        <v>2.6</v>
      </c>
      <c r="K53" s="5">
        <f>IF(A53="","",IFERROR(LOOKUP(2,1/((持仓跟踪!$B$2:$B$157=A53)*(持仓跟踪!$X$2:$X$157="执行卖出")*(持仓跟踪!$Y$2:$Y$157&lt;&gt;"")),持仓跟踪!$Y$2:$Y$157),""))</f>
        <v>2.58</v>
      </c>
      <c r="L53" s="8">
        <f>IF(A53="","",IFERROR(LOOKUP(2,1/((持仓跟踪!$B$2:$B$157=A53)*(持仓跟踪!$X$2:$X$157="执行卖出")*(持仓跟踪!$Z$2:$Z$157&lt;&gt;"")),持仓跟踪!$Z$2:$Z$157),""))</f>
        <v>34200</v>
      </c>
      <c r="M53" s="18">
        <f>IF(A53="","",IFERROR(LOOKUP(2,1/((持仓跟踪!$B$2:$B$157=A53)*(持仓跟踪!$X$2:$X$157="执行卖出")*(持仓跟踪!$H$2:$H$157&lt;&gt;"")),持仓跟踪!$H$2:$H$157),""))</f>
        <v>42769</v>
      </c>
      <c r="N53" s="10">
        <v>2.4</v>
      </c>
      <c r="O53" s="10"/>
      <c r="P53" s="5" t="str">
        <f>IF(A53="","",IFERROR(LOOKUP(2,1/((持仓跟踪!$B$2:$B$157=A53)*(持仓跟踪!$X$2:$X$157="执行卖出")*(持仓跟踪!$AA$2:$AA$157&lt;&gt;"")),持仓跟踪!$AA$2:$AA$157),""))</f>
        <v/>
      </c>
      <c r="Q53" s="2"/>
      <c r="R53" s="2"/>
      <c r="S53" s="2"/>
      <c r="T53" s="2"/>
      <c r="U53" s="7">
        <f>IF(OR(AO53="",J53="",AO53&lt;=0),"",(J53-AO53)/AO53)</f>
        <v>0.0317460317460318</v>
      </c>
      <c r="V53" s="7">
        <f>IF(OR(AO53="",N53="",AO53&lt;=0),"",(AO53-N53)/AO53)</f>
        <v>0.0476190476190477</v>
      </c>
      <c r="W53" s="19">
        <f>IF(OR(U53="",V53="",V53&lt;=0),"",U53/V53)</f>
        <v>0.666666666666667</v>
      </c>
      <c r="X53" s="5">
        <f>IF(OR(K53="",L53="",AP53=""),"",K53*L53-(E53*H53+IF(AND(AK53&lt;&gt;"",AL53&lt;&gt;""),AK53*AL53,0)+IF(AND(AM53&lt;&gt;"",AN53&lt;&gt;""),AM53*AN53,0))-IF(O53="",0,O53)-IF(P53="",0,P53))</f>
        <v>2052</v>
      </c>
      <c r="Y53" s="7">
        <f>IF(OR(X53="",AP53=""),"",IF((E53*H53+IF(AND(AK53&lt;&gt;"",AL53&lt;&gt;""),AK53*AL53,0)+IF(AND(AM53&lt;&gt;"",AN53&lt;&gt;""),AM53*AN53,0))+IF(O53="",0,O53)&lt;=0,"",X53/((E53*H53+IF(AND(AK53&lt;&gt;"",AL53&lt;&gt;""),AK53*AL53,0)+IF(AND(AM53&lt;&gt;"",AN53&lt;&gt;""),AM53*AN53,0))+IF(O53="",0,O53))))</f>
        <v>0.0238095238095238</v>
      </c>
      <c r="Z53" s="7">
        <f>IF(OR(AE53="",多次统计数据!$B$8=""),"",AE53-多次统计数据!$B$8)</f>
        <v>-0.0625739039985977</v>
      </c>
      <c r="AA53" s="11" t="e">
        <f>IF(OR(#REF!="",M53="",M53&lt;#REF!),"",M53-#REF!)</f>
        <v>#REF!</v>
      </c>
      <c r="AB53" s="7">
        <f>IF(OR(A53="",多次统计数据!$B$8="",多次统计数据!$B$6&lt;=0,多次统计数据!$B$6&gt;=1),"",1-POWER(1+多次统计数据!$B$8,-多次统计数据!$B$6/(1-多次统计数据!$B$6)))</f>
        <v>0.0530166567311223</v>
      </c>
      <c r="AC53" s="8" t="str">
        <f>IF(OR(AB53="",多次统计数据!$B$9=""),"",IF(多次统计数据!$B$9&lt;AB53,"低于上限","达到或超过上限"))</f>
        <v>低于上限</v>
      </c>
      <c r="AD53" s="2"/>
      <c r="AE53" s="7">
        <f>IF(OR(X53="",C53="",C53&lt;=0),"",X53/C53)</f>
        <v>0.00997472292436321</v>
      </c>
      <c r="AG53" s="2"/>
      <c r="AH53" s="2"/>
      <c r="AI53" s="2"/>
      <c r="AJ53" s="8" t="str">
        <f>IF(OR(AG53="",AH53=""),"",IF(OR(AND(AG53="短期博反弹",OR(AH53="1～3个交易日",AH53="4～10个交易日")),AND(AG53="突破冲新高",OR(AH53="4～10个交易日",AH53="11～20个交易日")),AND(AG53="趋势波段",OR(AH53="11～20个交易日",AH53="21～60个交易日",AH53="60个交易日以上"))),"匹配","周期与交易预期不匹配，请重新确认"))</f>
        <v/>
      </c>
      <c r="AK53" s="10"/>
      <c r="AL53" s="12"/>
      <c r="AM53" s="10"/>
      <c r="AN53" s="12"/>
      <c r="AO53" s="5">
        <f>IF(OR(A53="",H53="",H53&lt;=0),"",(E53*H53+IF(AND(AK53&lt;&gt;"",AL53&lt;&gt;""),AK53*AL53,0)+IF(AND(AM53&lt;&gt;"",AN53&lt;&gt;""),AM53*AN53,0))/AP53)</f>
        <v>2.52</v>
      </c>
      <c r="AP53" s="11">
        <f>IF(OR(A53="",H53="",H53&lt;=0),"",H53+IF(AL53="",0,AL53)+IF(AN53="",0,AN53))</f>
        <v>34200</v>
      </c>
      <c r="AQ53" s="5">
        <f>IF(A53="","",IF(M53&lt;&gt;"",0,IF(OR(H53="",N53=""),"",MAX(E53-MAX(N53,IFERROR(SUMPRODUCT(MAX(((持仓跟踪!$A$2:$A$157="每日跟踪")*(持仓跟踪!$B$2:$B$157=A53))*持仓跟踪!$S$2:$S$157)),0)),0)*H53+IF(OR(AK53="",AL53=""),0,MAX(AK53-MAX(N53,IFERROR(SUMPRODUCT(MAX(((持仓跟踪!$A$2:$A$157="每日跟踪")*(持仓跟踪!$B$2:$B$157=A53))*持仓跟踪!$S$2:$S$157)),0)),0)*AL53)+IF(OR(AM53="",AN53=""),0,MAX(AM53-MAX(N53,IFERROR(SUMPRODUCT(MAX(((持仓跟踪!$A$2:$A$157="每日跟踪")*(持仓跟踪!$B$2:$B$157=A53))*持仓跟踪!$S$2:$S$157)),0)),0)*AN53))))</f>
        <v>0</v>
      </c>
      <c r="AR53" s="8" t="str">
        <f ca="1">IF(A53="","",IF(OR(E53="",H53=""),"违规：第一批价格或股数缺失",IF(OR(AND(AK53="",AL53&lt;&gt;""),AND(AK53&lt;&gt;"",AL53="")),"违规：第二批价格与股数须成对填写",IF(OR(AND(AM53="",AN53&lt;&gt;""),AND(AM53&lt;&gt;"",AN53="")),"违规：第三批价格与股数须成对填写",IF(AND(OR(AM53&lt;&gt;"",AN53&lt;&gt;""),OR(AK53="",AL53="")),"违规：必须先完成第二批",IF(OR(H53&lt;=0,H53&lt;&gt;INT(H53),MOD(H53,100)&lt;&gt;0,AND(AL53&lt;&gt;"",OR(AL53&lt;=0,AL53&lt;&gt;INT(AL53),MOD(AL53,100)&lt;&gt;0)),AND(AN53&lt;&gt;"",OR(AN53&lt;=0,AN53&lt;&gt;INT(AN53),MOD(AN53,100)&lt;&gt;0))),"违规：股数须为100股整数倍",IF(AND(OR(AL53&lt;&gt;"",AN53&lt;&gt;""),OR(_LockStatus="已锁仓",_LockStatus="解锁信息不完整")),"违规：锁仓期间禁止加仓",IF(AQ53&gt;C53*D53,"违规：超过单笔风险上限",IF(SUM($AQ$2:$AQ$98)&gt;账户数据!$B$7,"违规：超过账户风险上限","通过")))))))))</f>
        <v>通过</v>
      </c>
    </row>
    <row r="54" ht="17" spans="1:44">
      <c r="A54" s="2">
        <v>53</v>
      </c>
      <c r="B54" s="2" t="s">
        <v>67</v>
      </c>
      <c r="C54" s="10">
        <v>207772</v>
      </c>
      <c r="D54" s="6">
        <v>0.02</v>
      </c>
      <c r="E54" s="10">
        <v>2.7</v>
      </c>
      <c r="F54" s="8">
        <f>IF(OR(C54="",D54="",E54="",N54="",C54&lt;=0,D54&lt;=0,E54&lt;=N54),"",ROUNDDOWN((C54*D54)/(E54-N54)/100,0)*100)</f>
        <v>41500</v>
      </c>
      <c r="G54" s="8" t="str">
        <f ca="1">IF(A54="","",IF(H54&lt;&gt;"","已开仓",IF(账户数据!$B$23="已锁仓","禁止开仓：连续亏损达到上限",IF(账户数据!$B$23="解锁信息不完整","禁止开仓：请完整填写解锁信息",IF(OR(F54="",E54="",N54="",E54&lt;=N54,账户数据!$B$7=""),"",IF(OR(AG54="",AH54="",AI54=""),"禁止开仓：交易预期未填写完整",IF(COUNTIFS(持仓跟踪!$A$2:$A$157,"止损计划",持仓跟踪!$B$2:$B$157,A54,持仓跟踪!$AC$2:$AC$157,"计划有效")=0,"禁止开仓：请先填写止损计划",IF(账户数据!$B$9+F54*(E54-N54)&gt;=账户数据!$B$7,"禁止开仓：风险额度不足",IF(AJ54="周期与交易预期不匹配，请重新确认",IF(账户数据!$B$23="接近锁仓","允许开仓（接近锁仓；周期需复核）","允许开仓（周期需复核）"),IF(账户数据!$B$23="接近锁仓","允许开仓（接近锁仓）","允许开仓"))))))))))</f>
        <v>已开仓</v>
      </c>
      <c r="H54" s="2">
        <v>41500</v>
      </c>
      <c r="I54" s="13">
        <v>42788</v>
      </c>
      <c r="J54" s="10">
        <v>3</v>
      </c>
      <c r="K54" s="5">
        <f>IF(A54="","",IFERROR(LOOKUP(2,1/((持仓跟踪!$B$2:$B$157=A54)*(持仓跟踪!$X$2:$X$157="执行卖出")*(持仓跟踪!$Y$2:$Y$157&lt;&gt;"")),持仓跟踪!$Y$2:$Y$157),""))</f>
        <v>2.59</v>
      </c>
      <c r="L54" s="8">
        <f>IF(A54="","",IFERROR(LOOKUP(2,1/((持仓跟踪!$B$2:$B$157=A54)*(持仓跟踪!$X$2:$X$157="执行卖出")*(持仓跟踪!$Z$2:$Z$157&lt;&gt;"")),持仓跟踪!$Z$2:$Z$157),""))</f>
        <v>41500</v>
      </c>
      <c r="M54" s="18">
        <f>IF(A54="","",IFERROR(LOOKUP(2,1/((持仓跟踪!$B$2:$B$157=A54)*(持仓跟踪!$X$2:$X$157="执行卖出")*(持仓跟踪!$H$2:$H$157&lt;&gt;"")),持仓跟踪!$H$2:$H$157),""))</f>
        <v>42810</v>
      </c>
      <c r="N54" s="10">
        <v>2.6</v>
      </c>
      <c r="O54" s="10"/>
      <c r="P54" s="5" t="str">
        <f>IF(A54="","",IFERROR(LOOKUP(2,1/((持仓跟踪!$B$2:$B$157=A54)*(持仓跟踪!$X$2:$X$157="执行卖出")*(持仓跟踪!$AA$2:$AA$157&lt;&gt;"")),持仓跟踪!$AA$2:$AA$157),""))</f>
        <v/>
      </c>
      <c r="Q54" s="2"/>
      <c r="R54" s="2"/>
      <c r="S54" s="2"/>
      <c r="T54" s="2"/>
      <c r="U54" s="7">
        <f>IF(OR(AO54="",J54="",AO54&lt;=0),"",(J54-AO54)/AO54)</f>
        <v>0.111111111111111</v>
      </c>
      <c r="V54" s="7">
        <f>IF(OR(AO54="",N54="",AO54&lt;=0),"",(AO54-N54)/AO54)</f>
        <v>0.0370370370370371</v>
      </c>
      <c r="W54" s="19">
        <f>IF(OR(U54="",V54="",V54&lt;=0),"",U54/V54)</f>
        <v>2.99999999999999</v>
      </c>
      <c r="X54" s="5">
        <f>IF(OR(K54="",L54="",AP54=""),"",K54*L54-(E54*H54+IF(AND(AK54&lt;&gt;"",AL54&lt;&gt;""),AK54*AL54,0)+IF(AND(AM54&lt;&gt;"",AN54&lt;&gt;""),AM54*AN54,0))-IF(O54="",0,O54)-IF(P54="",0,P54))</f>
        <v>-4565.00000000001</v>
      </c>
      <c r="Y54" s="7">
        <f>IF(OR(X54="",AP54=""),"",IF((E54*H54+IF(AND(AK54&lt;&gt;"",AL54&lt;&gt;""),AK54*AL54,0)+IF(AND(AM54&lt;&gt;"",AN54&lt;&gt;""),AM54*AN54,0))+IF(O54="",0,O54)&lt;=0,"",X54/((E54*H54+IF(AND(AK54&lt;&gt;"",AL54&lt;&gt;""),AK54*AL54,0)+IF(AND(AM54&lt;&gt;"",AN54&lt;&gt;""),AM54*AN54,0))+IF(O54="",0,O54))))</f>
        <v>-0.0407407407407409</v>
      </c>
      <c r="Z54" s="7">
        <f>IF(OR(AE54="",多次统计数据!$B$8=""),"",AE54-多次统计数据!$B$8)</f>
        <v>-0.0945198261220832</v>
      </c>
      <c r="AA54" s="11">
        <f>IF(OR(I54="",M54="",M54&lt;I54),"",M54-I54)</f>
        <v>22</v>
      </c>
      <c r="AB54" s="7">
        <f>IF(OR(A54="",多次统计数据!$B$8="",多次统计数据!$B$6&lt;=0,多次统计数据!$B$6&gt;=1),"",1-POWER(1+多次统计数据!$B$8,-多次统计数据!$B$6/(1-多次统计数据!$B$6)))</f>
        <v>0.0530166567311223</v>
      </c>
      <c r="AC54" s="8" t="str">
        <f>IF(OR(AB54="",多次统计数据!$B$9=""),"",IF(多次统计数据!$B$9&lt;AB54,"低于上限","达到或超过上限"))</f>
        <v>低于上限</v>
      </c>
      <c r="AD54" s="2"/>
      <c r="AE54" s="7">
        <f>IF(OR(X54="",C54="",C54&lt;=0),"",X54/C54)</f>
        <v>-0.0219711991991222</v>
      </c>
      <c r="AG54" s="2"/>
      <c r="AH54" s="2"/>
      <c r="AI54" s="2"/>
      <c r="AJ54" s="8" t="str">
        <f>IF(OR(AG54="",AH54=""),"",IF(OR(AND(AG54="短期博反弹",OR(AH54="1～3个交易日",AH54="4～10个交易日")),AND(AG54="突破冲新高",OR(AH54="4～10个交易日",AH54="11～20个交易日")),AND(AG54="趋势波段",OR(AH54="11～20个交易日",AH54="21～60个交易日",AH54="60个交易日以上"))),"匹配","周期与交易预期不匹配，请重新确认"))</f>
        <v/>
      </c>
      <c r="AK54" s="10"/>
      <c r="AL54" s="12"/>
      <c r="AM54" s="10"/>
      <c r="AN54" s="12"/>
      <c r="AO54" s="5">
        <f>IF(OR(A54="",H54="",H54&lt;=0),"",(E54*H54+IF(AND(AK54&lt;&gt;"",AL54&lt;&gt;""),AK54*AL54,0)+IF(AND(AM54&lt;&gt;"",AN54&lt;&gt;""),AM54*AN54,0))/AP54)</f>
        <v>2.7</v>
      </c>
      <c r="AP54" s="11">
        <f>IF(OR(A54="",H54="",H54&lt;=0),"",H54+IF(AL54="",0,AL54)+IF(AN54="",0,AN54))</f>
        <v>41500</v>
      </c>
      <c r="AQ54" s="5">
        <f>IF(A54="","",IF(M54&lt;&gt;"",0,IF(OR(H54="",N54=""),"",MAX(E54-MAX(N54,IFERROR(SUMPRODUCT(MAX(((持仓跟踪!$A$2:$A$157="每日跟踪")*(持仓跟踪!$B$2:$B$157=A54))*持仓跟踪!$S$2:$S$157)),0)),0)*H54+IF(OR(AK54="",AL54=""),0,MAX(AK54-MAX(N54,IFERROR(SUMPRODUCT(MAX(((持仓跟踪!$A$2:$A$157="每日跟踪")*(持仓跟踪!$B$2:$B$157=A54))*持仓跟踪!$S$2:$S$157)),0)),0)*AL54)+IF(OR(AM54="",AN54=""),0,MAX(AM54-MAX(N54,IFERROR(SUMPRODUCT(MAX(((持仓跟踪!$A$2:$A$157="每日跟踪")*(持仓跟踪!$B$2:$B$157=A54))*持仓跟踪!$S$2:$S$157)),0)),0)*AN54))))</f>
        <v>0</v>
      </c>
      <c r="AR54" s="8" t="str">
        <f ca="1">IF(A54="","",IF(OR(E54="",H54=""),"违规：第一批价格或股数缺失",IF(OR(AND(AK54="",AL54&lt;&gt;""),AND(AK54&lt;&gt;"",AL54="")),"违规：第二批价格与股数须成对填写",IF(OR(AND(AM54="",AN54&lt;&gt;""),AND(AM54&lt;&gt;"",AN54="")),"违规：第三批价格与股数须成对填写",IF(AND(OR(AM54&lt;&gt;"",AN54&lt;&gt;""),OR(AK54="",AL54="")),"违规：必须先完成第二批",IF(OR(H54&lt;=0,H54&lt;&gt;INT(H54),MOD(H54,100)&lt;&gt;0,AND(AL54&lt;&gt;"",OR(AL54&lt;=0,AL54&lt;&gt;INT(AL54),MOD(AL54,100)&lt;&gt;0)),AND(AN54&lt;&gt;"",OR(AN54&lt;=0,AN54&lt;&gt;INT(AN54),MOD(AN54,100)&lt;&gt;0))),"违规：股数须为100股整数倍",IF(AND(OR(AL54&lt;&gt;"",AN54&lt;&gt;""),OR(_LockStatus="已锁仓",_LockStatus="解锁信息不完整")),"违规：锁仓期间禁止加仓",IF(AQ54&gt;C54*D54,"违规：超过单笔风险上限",IF(SUM($AQ$2:$AQ$98)&gt;账户数据!$B$7,"违规：超过账户风险上限","通过")))))))))</f>
        <v>通过</v>
      </c>
    </row>
    <row r="55" ht="17" spans="1:44">
      <c r="A55" s="2">
        <v>54</v>
      </c>
      <c r="B55" s="2" t="s">
        <v>67</v>
      </c>
      <c r="C55" s="10">
        <v>203207</v>
      </c>
      <c r="D55" s="6">
        <v>0.02</v>
      </c>
      <c r="E55" s="10">
        <v>3.16</v>
      </c>
      <c r="F55" s="8">
        <f>IF(OR(C55="",D55="",E55="",N55="",C55&lt;=0,D55&lt;=0,E55&lt;=N55),"",ROUNDDOWN((C55*D55)/(E55-N55)/100,0)*100)</f>
        <v>25400</v>
      </c>
      <c r="G55" s="8" t="str">
        <f ca="1">IF(A55="","",IF(H55&lt;&gt;"","已开仓",IF(账户数据!$B$23="已锁仓","禁止开仓：连续亏损达到上限",IF(账户数据!$B$23="解锁信息不完整","禁止开仓：请完整填写解锁信息",IF(OR(F55="",E55="",N55="",E55&lt;=N55,账户数据!$B$7=""),"",IF(OR(AG55="",AH55="",AI55=""),"禁止开仓：交易预期未填写完整",IF(COUNTIFS(持仓跟踪!$A$2:$A$157,"止损计划",持仓跟踪!$B$2:$B$157,A55,持仓跟踪!$AC$2:$AC$157,"计划有效")=0,"禁止开仓：请先填写止损计划",IF(账户数据!$B$9+F55*(E55-N55)&gt;=账户数据!$B$7,"禁止开仓：风险额度不足",IF(AJ55="周期与交易预期不匹配，请重新确认",IF(账户数据!$B$23="接近锁仓","允许开仓（接近锁仓；周期需复核）","允许开仓（周期需复核）"),IF(账户数据!$B$23="接近锁仓","允许开仓（接近锁仓）","允许开仓"))))))))))</f>
        <v>已开仓</v>
      </c>
      <c r="H55" s="2">
        <v>25400</v>
      </c>
      <c r="I55" s="13">
        <v>42835</v>
      </c>
      <c r="J55" s="10">
        <v>3.5</v>
      </c>
      <c r="K55" s="5">
        <f>IF(A55="","",IFERROR(LOOKUP(2,1/((持仓跟踪!$B$2:$B$157=A55)*(持仓跟踪!$X$2:$X$157="执行卖出")*(持仓跟踪!$Y$2:$Y$157&lt;&gt;"")),持仓跟踪!$Y$2:$Y$157),""))</f>
        <v>3.15</v>
      </c>
      <c r="L55" s="8">
        <f>IF(A55="","",IFERROR(LOOKUP(2,1/((持仓跟踪!$B$2:$B$157=A55)*(持仓跟踪!$X$2:$X$157="执行卖出")*(持仓跟踪!$Z$2:$Z$157&lt;&gt;"")),持仓跟踪!$Z$2:$Z$157),""))</f>
        <v>25400</v>
      </c>
      <c r="M55" s="18">
        <f>IF(A55="","",IFERROR(LOOKUP(2,1/((持仓跟踪!$B$2:$B$157=A55)*(持仓跟踪!$X$2:$X$157="执行卖出")*(持仓跟踪!$H$2:$H$157&lt;&gt;"")),持仓跟踪!$H$2:$H$157),""))</f>
        <v>42866</v>
      </c>
      <c r="N55" s="10">
        <v>3</v>
      </c>
      <c r="O55" s="10"/>
      <c r="P55" s="5" t="str">
        <f>IF(A55="","",IFERROR(LOOKUP(2,1/((持仓跟踪!$B$2:$B$157=A55)*(持仓跟踪!$X$2:$X$157="执行卖出")*(持仓跟踪!$AA$2:$AA$157&lt;&gt;"")),持仓跟踪!$AA$2:$AA$157),""))</f>
        <v/>
      </c>
      <c r="Q55" s="2"/>
      <c r="R55" s="2"/>
      <c r="S55" s="2"/>
      <c r="T55" s="2"/>
      <c r="U55" s="7">
        <f>IF(OR(AO55="",J55="",AO55&lt;=0),"",(J55-AO55)/AO55)</f>
        <v>0.107594936708861</v>
      </c>
      <c r="V55" s="7">
        <f>IF(OR(AO55="",N55="",AO55&lt;=0),"",(AO55-N55)/AO55)</f>
        <v>0.0506329113924051</v>
      </c>
      <c r="W55" s="19">
        <f>IF(OR(U55="",V55="",V55&lt;=0),"",U55/V55)</f>
        <v>2.125</v>
      </c>
      <c r="X55" s="5">
        <f>IF(OR(K55="",L55="",AP55=""),"",K55*L55-(E55*H55+IF(AND(AK55&lt;&gt;"",AL55&lt;&gt;""),AK55*AL55,0)+IF(AND(AM55&lt;&gt;"",AN55&lt;&gt;""),AM55*AN55,0))-IF(O55="",0,O55)-IF(P55="",0,P55))</f>
        <v>-254</v>
      </c>
      <c r="Y55" s="7">
        <f>IF(OR(X55="",AP55=""),"",IF((E55*H55+IF(AND(AK55&lt;&gt;"",AL55&lt;&gt;""),AK55*AL55,0)+IF(AND(AM55&lt;&gt;"",AN55&lt;&gt;""),AM55*AN55,0))+IF(O55="",0,O55)&lt;=0,"",X55/((E55*H55+IF(AND(AK55&lt;&gt;"",AL55&lt;&gt;""),AK55*AL55,0)+IF(AND(AM55&lt;&gt;"",AN55&lt;&gt;""),AM55*AN55,0))+IF(O55="",0,O55))))</f>
        <v>-0.00316455696202532</v>
      </c>
      <c r="Z55" s="7">
        <f>IF(OR(AE55="",多次统计数据!$B$8=""),"",AE55-多次统计数据!$B$8)</f>
        <v>-0.0737985838634207</v>
      </c>
      <c r="AA55" s="11">
        <f>IF(OR(I53="",M55="",M55&lt;I53),"",M55-I53)</f>
        <v>125</v>
      </c>
      <c r="AB55" s="7">
        <f>IF(OR(A55="",多次统计数据!$B$8="",多次统计数据!$B$6&lt;=0,多次统计数据!$B$6&gt;=1),"",1-POWER(1+多次统计数据!$B$8,-多次统计数据!$B$6/(1-多次统计数据!$B$6)))</f>
        <v>0.0530166567311223</v>
      </c>
      <c r="AC55" s="8" t="str">
        <f>IF(OR(AB55="",多次统计数据!$B$9=""),"",IF(多次统计数据!$B$9&lt;AB55,"低于上限","达到或超过上限"))</f>
        <v>低于上限</v>
      </c>
      <c r="AD55" s="2"/>
      <c r="AE55" s="7">
        <f>IF(OR(X55="",C55="",C55&lt;=0),"",X55/C55)</f>
        <v>-0.00124995694045973</v>
      </c>
      <c r="AG55" s="2"/>
      <c r="AH55" s="2"/>
      <c r="AI55" s="2"/>
      <c r="AJ55" s="8" t="str">
        <f>IF(OR(AG55="",AH55=""),"",IF(OR(AND(AG55="短期博反弹",OR(AH55="1～3个交易日",AH55="4～10个交易日")),AND(AG55="突破冲新高",OR(AH55="4～10个交易日",AH55="11～20个交易日")),AND(AG55="趋势波段",OR(AH55="11～20个交易日",AH55="21～60个交易日",AH55="60个交易日以上"))),"匹配","周期与交易预期不匹配，请重新确认"))</f>
        <v/>
      </c>
      <c r="AK55" s="10"/>
      <c r="AL55" s="12"/>
      <c r="AM55" s="10"/>
      <c r="AN55" s="12"/>
      <c r="AO55" s="5">
        <f>IF(OR(A55="",H55="",H55&lt;=0),"",(E55*H55+IF(AND(AK55&lt;&gt;"",AL55&lt;&gt;""),AK55*AL55,0)+IF(AND(AM55&lt;&gt;"",AN55&lt;&gt;""),AM55*AN55,0))/AP55)</f>
        <v>3.16</v>
      </c>
      <c r="AP55" s="11">
        <f>IF(OR(A55="",H55="",H55&lt;=0),"",H55+IF(AL55="",0,AL55)+IF(AN55="",0,AN55))</f>
        <v>25400</v>
      </c>
      <c r="AQ55" s="5">
        <f>IF(A55="","",IF(M55&lt;&gt;"",0,IF(OR(H55="",N55=""),"",MAX(E55-MAX(N55,IFERROR(SUMPRODUCT(MAX(((持仓跟踪!$A$2:$A$157="每日跟踪")*(持仓跟踪!$B$2:$B$157=A55))*持仓跟踪!$S$2:$S$157)),0)),0)*H55+IF(OR(AK55="",AL55=""),0,MAX(AK55-MAX(N55,IFERROR(SUMPRODUCT(MAX(((持仓跟踪!$A$2:$A$157="每日跟踪")*(持仓跟踪!$B$2:$B$157=A55))*持仓跟踪!$S$2:$S$157)),0)),0)*AL55)+IF(OR(AM55="",AN55=""),0,MAX(AM55-MAX(N55,IFERROR(SUMPRODUCT(MAX(((持仓跟踪!$A$2:$A$157="每日跟踪")*(持仓跟踪!$B$2:$B$157=A55))*持仓跟踪!$S$2:$S$157)),0)),0)*AN55))))</f>
        <v>0</v>
      </c>
      <c r="AR55" s="8" t="str">
        <f ca="1">IF(A55="","",IF(OR(E55="",H55=""),"违规：第一批价格或股数缺失",IF(OR(AND(AK55="",AL55&lt;&gt;""),AND(AK55&lt;&gt;"",AL55="")),"违规：第二批价格与股数须成对填写",IF(OR(AND(AM55="",AN55&lt;&gt;""),AND(AM55&lt;&gt;"",AN55="")),"违规：第三批价格与股数须成对填写",IF(AND(OR(AM55&lt;&gt;"",AN55&lt;&gt;""),OR(AK55="",AL55="")),"违规：必须先完成第二批",IF(OR(H55&lt;=0,H55&lt;&gt;INT(H55),MOD(H55,100)&lt;&gt;0,AND(AL55&lt;&gt;"",OR(AL55&lt;=0,AL55&lt;&gt;INT(AL55),MOD(AL55,100)&lt;&gt;0)),AND(AN55&lt;&gt;"",OR(AN55&lt;=0,AN55&lt;&gt;INT(AN55),MOD(AN55,100)&lt;&gt;0))),"违规：股数须为100股整数倍",IF(AND(OR(AL55&lt;&gt;"",AN55&lt;&gt;""),OR(_LockStatus="已锁仓",_LockStatus="解锁信息不完整")),"违规：锁仓期间禁止加仓",IF(AQ55&gt;C55*D55,"违规：超过单笔风险上限",IF(SUM($AQ$2:$AQ$98)&gt;账户数据!$B$7,"违规：超过账户风险上限","通过")))))))))</f>
        <v>通过</v>
      </c>
    </row>
    <row r="56" s="17" customFormat="1" ht="17" spans="1:44">
      <c r="A56" s="21">
        <v>55</v>
      </c>
      <c r="B56" s="22" t="s">
        <v>67</v>
      </c>
      <c r="C56" s="23">
        <v>202953</v>
      </c>
      <c r="D56" s="24">
        <v>0.02</v>
      </c>
      <c r="E56" s="23">
        <v>3.54</v>
      </c>
      <c r="F56" s="25">
        <f>IF(OR(C56="",D56="",E56="",N56="",C56&lt;=0,D56&lt;=0,E56&lt;=N56),"",ROUNDDOWN((C56*D56)/(E56-N56)/100,0)*100)</f>
        <v>28900</v>
      </c>
      <c r="G56" s="26" t="str">
        <f ca="1">IF(A56="","",IF(H56&lt;&gt;"","已开仓",IF(账户数据!$B$23="已锁仓","禁止开仓：连续亏损达到上限",IF(账户数据!$B$23="解锁信息不完整","禁止开仓：请完整填写解锁信息",IF(OR(F56="",E56="",N56="",E56&lt;=N56,账户数据!$B$7=""),"",IF(OR(AG56="",AH56="",AI56=""),"禁止开仓：交易预期未填写完整",IF(COUNTIFS(持仓跟踪!$A$2:$A$157,"止损计划",持仓跟踪!$B$2:$B$157,A56,持仓跟踪!$AC$2:$AC$157,"计划有效")=0,"禁止开仓：请先填写止损计划",IF(账户数据!$B$9+F56*(E56-N56)&gt;=账户数据!$B$7,"禁止开仓：风险额度不足",IF(AJ56="周期与交易预期不匹配，请重新确认",IF(账户数据!$B$23="接近锁仓","允许开仓（接近锁仓；周期需复核）","允许开仓（周期需复核）"),IF(账户数据!$B$23="接近锁仓","允许开仓（接近锁仓）","允许开仓"))))))))))</f>
        <v>已开仓</v>
      </c>
      <c r="H56" s="21">
        <v>28900</v>
      </c>
      <c r="I56" s="27">
        <v>42871</v>
      </c>
      <c r="J56" s="23">
        <v>4</v>
      </c>
      <c r="K56" s="30">
        <f>IF(A56="","",IFERROR(LOOKUP(2,1/((持仓跟踪!$B$2:$B$157=A56)*(持仓跟踪!$X$2:$X$157="执行卖出")*(持仓跟踪!$Y$2:$Y$157&lt;&gt;"")),持仓跟踪!$Y$2:$Y$157),""))</f>
        <v>5.52</v>
      </c>
      <c r="L56" s="26">
        <f>IF(A56="","",IFERROR(LOOKUP(2,1/((持仓跟踪!$B$2:$B$157=A56)*(持仓跟踪!$X$2:$X$157="执行卖出")*(持仓跟踪!$Z$2:$Z$157&lt;&gt;"")),持仓跟踪!$Z$2:$Z$157),""))</f>
        <v>28900</v>
      </c>
      <c r="M56" s="35">
        <f>IF(A56="","",IFERROR(LOOKUP(2,1/((持仓跟踪!$B$2:$B$157=A56)*(持仓跟踪!$X$2:$X$157="执行卖出")*(持仓跟踪!$H$2:$H$157&lt;&gt;"")),持仓跟踪!$H$2:$H$157),""))</f>
        <v>43053</v>
      </c>
      <c r="N56" s="23">
        <v>3.4</v>
      </c>
      <c r="O56" s="23"/>
      <c r="P56" s="30" t="str">
        <f>IF(A56="","",IFERROR(LOOKUP(2,1/((持仓跟踪!$B$2:$B$157=A56)*(持仓跟踪!$X$2:$X$157="执行卖出")*(持仓跟踪!$AA$2:$AA$157&lt;&gt;"")),持仓跟踪!$AA$2:$AA$157),""))</f>
        <v/>
      </c>
      <c r="Q56" s="21"/>
      <c r="R56" s="21"/>
      <c r="S56" s="21"/>
      <c r="T56" s="21"/>
      <c r="U56" s="31">
        <f>IF(OR(AO56="",J56="",AO56&lt;=0),"",(J56-AO56)/AO56)</f>
        <v>0.129943502824859</v>
      </c>
      <c r="V56" s="31">
        <f>IF(OR(AO56="",N56="",AO56&lt;=0),"",(AO56-N56)/AO56)</f>
        <v>0.0395480225988701</v>
      </c>
      <c r="W56" s="32">
        <f>IF(OR(U56="",V56="",V56&lt;=0),"",U56/V56)</f>
        <v>3.28571428571428</v>
      </c>
      <c r="X56" s="30">
        <f>IF(OR(K56="",L56="",AP56=""),"",K56*L56-(E56*H56+IF(AND(AK56&lt;&gt;"",AL56&lt;&gt;""),AK56*AL56,0)+IF(AND(AM56&lt;&gt;"",AN56&lt;&gt;""),AM56*AN56,0))-IF(O56="",0,O56)-IF(P56="",0,P56))</f>
        <v>57222</v>
      </c>
      <c r="Y56" s="36">
        <f>IF(OR(X56="",AP56=""),"",IF((E56*H56+IF(AND(AK56&lt;&gt;"",AL56&lt;&gt;""),AK56*AL56,0)+IF(AND(AM56&lt;&gt;"",AN56&lt;&gt;""),AM56*AN56,0))+IF(O56="",0,O56)&lt;=0,"",X56/((E56*H56+IF(AND(AK56&lt;&gt;"",AL56&lt;&gt;""),AK56*AL56,0)+IF(AND(AM56&lt;&gt;"",AN56&lt;&gt;""),AM56*AN56,0))+IF(O56="",0,O56))))</f>
        <v>0.559322033898305</v>
      </c>
      <c r="Z56" s="36">
        <f>IF(OR(AE56="",多次统计数据!$B$8=""),"",AE56-多次统计数据!$B$8)</f>
        <v>0.209398424857501</v>
      </c>
      <c r="AA56" s="37">
        <f>IF(OR(I56="",M56="",M56&lt;I56),"",M56-I56)</f>
        <v>182</v>
      </c>
      <c r="AB56" s="31">
        <f>IF(OR(A56="",多次统计数据!$B$8="",多次统计数据!$B$6&lt;=0,多次统计数据!$B$6&gt;=1),"",1-POWER(1+多次统计数据!$B$8,-多次统计数据!$B$6/(1-多次统计数据!$B$6)))</f>
        <v>0.0530166567311223</v>
      </c>
      <c r="AC56" s="26" t="str">
        <f>IF(OR(AB56="",多次统计数据!$B$9=""),"",IF(多次统计数据!$B$9&lt;AB56,"低于上限","达到或超过上限"))</f>
        <v>低于上限</v>
      </c>
      <c r="AD56" s="21"/>
      <c r="AE56" s="36">
        <f>IF(OR(X56="",C56="",C56&lt;=0),"",X56/C56)</f>
        <v>0.281947051780461</v>
      </c>
      <c r="AG56" s="21"/>
      <c r="AH56" s="21"/>
      <c r="AI56" s="21"/>
      <c r="AJ56" s="26" t="str">
        <f>IF(OR(AG56="",AH56=""),"",IF(OR(AND(AG56="短期博反弹",OR(AH56="1～3个交易日",AH56="4～10个交易日")),AND(AG56="突破冲新高",OR(AH56="4～10个交易日",AH56="11～20个交易日")),AND(AG56="趋势波段",OR(AH56="11～20个交易日",AH56="21～60个交易日",AH56="60个交易日以上"))),"匹配","周期与交易预期不匹配，请重新确认"))</f>
        <v/>
      </c>
      <c r="AK56" s="23"/>
      <c r="AL56" s="34"/>
      <c r="AM56" s="23"/>
      <c r="AN56" s="34"/>
      <c r="AO56" s="28">
        <f>IF(OR(A56="",H56="",H56&lt;=0),"",(E56*H56+IF(AND(AK56&lt;&gt;"",AL56&lt;&gt;""),AK56*AL56,0)+IF(AND(AM56&lt;&gt;"",AN56&lt;&gt;""),AM56*AN56,0))/AP56)</f>
        <v>3.54</v>
      </c>
      <c r="AP56" s="33">
        <f>IF(OR(A56="",H56="",H56&lt;=0),"",H56+IF(AL56="",0,AL56)+IF(AN56="",0,AN56))</f>
        <v>28900</v>
      </c>
      <c r="AQ56" s="28">
        <f>IF(A56="","",IF(M56&lt;&gt;"",0,IF(OR(H56="",N56=""),"",MAX(E56-MAX(N56,IFERROR(SUMPRODUCT(MAX(((持仓跟踪!$A$2:$A$157="每日跟踪")*(持仓跟踪!$B$2:$B$157=A56))*持仓跟踪!$S$2:$S$157)),0)),0)*H56+IF(OR(AK56="",AL56=""),0,MAX(AK56-MAX(N56,IFERROR(SUMPRODUCT(MAX(((持仓跟踪!$A$2:$A$157="每日跟踪")*(持仓跟踪!$B$2:$B$157=A56))*持仓跟踪!$S$2:$S$157)),0)),0)*AL56)+IF(OR(AM56="",AN56=""),0,MAX(AM56-MAX(N56,IFERROR(SUMPRODUCT(MAX(((持仓跟踪!$A$2:$A$157="每日跟踪")*(持仓跟踪!$B$2:$B$157=A56))*持仓跟踪!$S$2:$S$157)),0)),0)*AN56))))</f>
        <v>0</v>
      </c>
      <c r="AR56" s="26" t="str">
        <f ca="1">IF(A56="","",IF(OR(E56="",H56=""),"违规：第一批价格或股数缺失",IF(OR(AND(AK56="",AL56&lt;&gt;""),AND(AK56&lt;&gt;"",AL56="")),"违规：第二批价格与股数须成对填写",IF(OR(AND(AM56="",AN56&lt;&gt;""),AND(AM56&lt;&gt;"",AN56="")),"违规：第三批价格与股数须成对填写",IF(AND(OR(AM56&lt;&gt;"",AN56&lt;&gt;""),OR(AK56="",AL56="")),"违规：必须先完成第二批",IF(OR(H56&lt;=0,H56&lt;&gt;INT(H56),MOD(H56,100)&lt;&gt;0,AND(AL56&lt;&gt;"",OR(AL56&lt;=0,AL56&lt;&gt;INT(AL56),MOD(AL56,100)&lt;&gt;0)),AND(AN56&lt;&gt;"",OR(AN56&lt;=0,AN56&lt;&gt;INT(AN56),MOD(AN56,100)&lt;&gt;0))),"违规：股数须为100股整数倍",IF(AND(OR(AL56&lt;&gt;"",AN56&lt;&gt;""),OR(_LockStatus="已锁仓",_LockStatus="解锁信息不完整")),"违规：锁仓期间禁止加仓",IF(AQ56&gt;C56*D56,"违规：超过单笔风险上限",IF(SUM($AQ$2:$AQ$98)&gt;账户数据!$B$7,"违规：超过账户风险上限","通过")))))))))</f>
        <v>通过</v>
      </c>
    </row>
    <row r="57" ht="17" spans="1:44">
      <c r="A57" s="2">
        <v>56</v>
      </c>
      <c r="B57" s="2" t="s">
        <v>67</v>
      </c>
      <c r="C57" s="10">
        <v>260175</v>
      </c>
      <c r="D57" s="6">
        <v>0.02</v>
      </c>
      <c r="E57" s="10">
        <v>5.66</v>
      </c>
      <c r="F57" s="8">
        <f>IF(OR(C57="",D57="",E57="",N57="",C57&lt;=0,D57&lt;=0,E57&lt;=N57),"",ROUNDDOWN((C57*D57)/(E57-N57)/100,0)*100)</f>
        <v>47300</v>
      </c>
      <c r="G57" s="8" t="str">
        <f ca="1">IF(A57="","",IF(H57&lt;&gt;"","已开仓",IF(账户数据!$B$23="已锁仓","禁止开仓：连续亏损达到上限",IF(账户数据!$B$23="解锁信息不完整","禁止开仓：请完整填写解锁信息",IF(OR(F57="",E57="",N57="",E57&lt;=N57,账户数据!$B$7=""),"",IF(OR(AG57="",AH57="",AI57=""),"禁止开仓：交易预期未填写完整",IF(COUNTIFS(持仓跟踪!$A$2:$A$157,"止损计划",持仓跟踪!$B$2:$B$157,A57,持仓跟踪!$AC$2:$AC$157,"计划有效")=0,"禁止开仓：请先填写止损计划",IF(账户数据!$B$9+F57*(E57-N57)&gt;=账户数据!$B$7,"禁止开仓：风险额度不足",IF(AJ57="周期与交易预期不匹配，请重新确认",IF(账户数据!$B$23="接近锁仓","允许开仓（接近锁仓；周期需复核）","允许开仓（周期需复核）"),IF(账户数据!$B$23="接近锁仓","允许开仓（接近锁仓）","允许开仓"))))))))))</f>
        <v>已开仓</v>
      </c>
      <c r="H57" s="2">
        <v>27300</v>
      </c>
      <c r="I57" s="13">
        <v>43115</v>
      </c>
      <c r="J57" s="10">
        <v>6</v>
      </c>
      <c r="K57" s="5">
        <f>IF(A57="","",IFERROR(LOOKUP(2,1/((持仓跟踪!$B$2:$B$157=A57)*(持仓跟踪!$X$2:$X$157="执行卖出")*(持仓跟踪!$Y$2:$Y$157&lt;&gt;"")),持仓跟踪!$Y$2:$Y$157),""))</f>
        <v>5.75</v>
      </c>
      <c r="L57" s="8">
        <f>IF(A57="","",IFERROR(LOOKUP(2,1/((持仓跟踪!$B$2:$B$157=A57)*(持仓跟踪!$X$2:$X$157="执行卖出")*(持仓跟踪!$Z$2:$Z$157&lt;&gt;"")),持仓跟踪!$Z$2:$Z$157),""))</f>
        <v>27300</v>
      </c>
      <c r="M57" s="18">
        <f>IF(A57="","",IFERROR(LOOKUP(2,1/((持仓跟踪!$B$2:$B$157=A57)*(持仓跟踪!$X$2:$X$157="执行卖出")*(持仓跟踪!$H$2:$H$157&lt;&gt;"")),持仓跟踪!$H$2:$H$157),""))</f>
        <v>43118</v>
      </c>
      <c r="N57" s="10">
        <v>5.55</v>
      </c>
      <c r="O57" s="10"/>
      <c r="P57" s="5" t="str">
        <f>IF(A57="","",IFERROR(LOOKUP(2,1/((持仓跟踪!$B$2:$B$157=A57)*(持仓跟踪!$X$2:$X$157="执行卖出")*(持仓跟踪!$AA$2:$AA$157&lt;&gt;"")),持仓跟踪!$AA$2:$AA$157),""))</f>
        <v/>
      </c>
      <c r="Q57" s="2"/>
      <c r="R57" s="2"/>
      <c r="S57" s="2"/>
      <c r="T57" s="2"/>
      <c r="U57" s="7">
        <f>IF(OR(AO57="",J57="",AO57&lt;=0),"",(J57-AO57)/AO57)</f>
        <v>0.0600706713780918</v>
      </c>
      <c r="V57" s="7">
        <f>IF(OR(AO57="",N57="",AO57&lt;=0),"",(AO57-N57)/AO57)</f>
        <v>0.0194346289752651</v>
      </c>
      <c r="W57" s="19">
        <f>IF(OR(U57="",V57="",V57&lt;=0),"",U57/V57)</f>
        <v>3.09090909090908</v>
      </c>
      <c r="X57" s="5">
        <f>IF(OR(K57="",L57="",AP57=""),"",K57*L57-(E57*H57+IF(AND(AK57&lt;&gt;"",AL57&lt;&gt;""),AK57*AL57,0)+IF(AND(AM57&lt;&gt;"",AN57&lt;&gt;""),AM57*AN57,0))-IF(O57="",0,O57)-IF(P57="",0,P57))</f>
        <v>2457</v>
      </c>
      <c r="Y57" s="7">
        <f>IF(OR(X57="",AP57=""),"",IF((E57*H57+IF(AND(AK57&lt;&gt;"",AL57&lt;&gt;""),AK57*AL57,0)+IF(AND(AM57&lt;&gt;"",AN57&lt;&gt;""),AM57*AN57,0))+IF(O57="",0,O57)&lt;=0,"",X57/((E57*H57+IF(AND(AK57&lt;&gt;"",AL57&lt;&gt;""),AK57*AL57,0)+IF(AND(AM57&lt;&gt;"",AN57&lt;&gt;""),AM57*AN57,0))+IF(O57="",0,O57))))</f>
        <v>0.0159010600706714</v>
      </c>
      <c r="Z57" s="7">
        <f>IF(OR(AE57="",多次统计数据!$B$8=""),"",AE57-多次统计数据!$B$8)</f>
        <v>-0.0631049832216061</v>
      </c>
      <c r="AA57" s="11">
        <f>IF(OR(I57="",M57="",M57&lt;I57),"",M57-I57)</f>
        <v>3</v>
      </c>
      <c r="AB57" s="7">
        <f>IF(OR(A57="",多次统计数据!$B$8="",多次统计数据!$B$6&lt;=0,多次统计数据!$B$6&gt;=1),"",1-POWER(1+多次统计数据!$B$8,-多次统计数据!$B$6/(1-多次统计数据!$B$6)))</f>
        <v>0.0530166567311223</v>
      </c>
      <c r="AC57" s="8" t="str">
        <f>IF(OR(AB57="",多次统计数据!$B$9=""),"",IF(多次统计数据!$B$9&lt;AB57,"低于上限","达到或超过上限"))</f>
        <v>低于上限</v>
      </c>
      <c r="AD57" s="2"/>
      <c r="AE57" s="7">
        <f>IF(OR(X57="",C57="",C57&lt;=0),"",X57/C57)</f>
        <v>0.00944364370135486</v>
      </c>
      <c r="AG57" s="2" t="s">
        <v>60</v>
      </c>
      <c r="AH57" s="2" t="s">
        <v>47</v>
      </c>
      <c r="AI57" s="2"/>
      <c r="AJ57" s="8" t="str">
        <f>IF(OR(AG57="",AH57=""),"",IF(OR(AND(AG57="短期博反弹",OR(AH57="1～3个交易日",AH57="4～10个交易日")),AND(AG57="突破冲新高",OR(AH57="4～10个交易日",AH57="11～20个交易日")),AND(AG57="趋势波段",OR(AH57="11～20个交易日",AH57="21～60个交易日",AH57="60个交易日以上"))),"匹配","周期与交易预期不匹配，请重新确认"))</f>
        <v>匹配</v>
      </c>
      <c r="AK57" s="10"/>
      <c r="AL57" s="12"/>
      <c r="AM57" s="10"/>
      <c r="AN57" s="12"/>
      <c r="AO57" s="5">
        <f>IF(OR(A57="",H57="",H57&lt;=0),"",(E57*H57+IF(AND(AK57&lt;&gt;"",AL57&lt;&gt;""),AK57*AL57,0)+IF(AND(AM57&lt;&gt;"",AN57&lt;&gt;""),AM57*AN57,0))/AP57)</f>
        <v>5.66</v>
      </c>
      <c r="AP57" s="11">
        <f>IF(OR(A57="",H57="",H57&lt;=0),"",H57+IF(AL57="",0,AL57)+IF(AN57="",0,AN57))</f>
        <v>27300</v>
      </c>
      <c r="AQ57" s="5">
        <f>IF(A57="","",IF(M57&lt;&gt;"",0,IF(OR(H57="",N57=""),"",MAX(E57-MAX(N57,IFERROR(SUMPRODUCT(MAX(((持仓跟踪!$A$2:$A$157="每日跟踪")*(持仓跟踪!$B$2:$B$157=A57))*持仓跟踪!$S$2:$S$157)),0)),0)*H57+IF(OR(AK57="",AL57=""),0,MAX(AK57-MAX(N57,IFERROR(SUMPRODUCT(MAX(((持仓跟踪!$A$2:$A$157="每日跟踪")*(持仓跟踪!$B$2:$B$157=A57))*持仓跟踪!$S$2:$S$157)),0)),0)*AL57)+IF(OR(AM57="",AN57=""),0,MAX(AM57-MAX(N57,IFERROR(SUMPRODUCT(MAX(((持仓跟踪!$A$2:$A$157="每日跟踪")*(持仓跟踪!$B$2:$B$157=A57))*持仓跟踪!$S$2:$S$157)),0)),0)*AN57))))</f>
        <v>0</v>
      </c>
      <c r="AR57" s="8" t="str">
        <f ca="1">IF(A57="","",IF(OR(E57="",H57=""),"违规：第一批价格或股数缺失",IF(OR(AND(AK57="",AL57&lt;&gt;""),AND(AK57&lt;&gt;"",AL57="")),"违规：第二批价格与股数须成对填写",IF(OR(AND(AM57="",AN57&lt;&gt;""),AND(AM57&lt;&gt;"",AN57="")),"违规：第三批价格与股数须成对填写",IF(AND(OR(AM57&lt;&gt;"",AN57&lt;&gt;""),OR(AK57="",AL57="")),"违规：必须先完成第二批",IF(OR(H57&lt;=0,H57&lt;&gt;INT(H57),MOD(H57,100)&lt;&gt;0,AND(AL57&lt;&gt;"",OR(AL57&lt;=0,AL57&lt;&gt;INT(AL57),MOD(AL57,100)&lt;&gt;0)),AND(AN57&lt;&gt;"",OR(AN57&lt;=0,AN57&lt;&gt;INT(AN57),MOD(AN57,100)&lt;&gt;0))),"违规：股数须为100股整数倍",IF(AND(OR(AL57&lt;&gt;"",AN57&lt;&gt;""),OR(_LockStatus="已锁仓",_LockStatus="解锁信息不完整")),"违规：锁仓期间禁止加仓",IF(AQ57&gt;C57*D57,"违规：超过单笔风险上限",IF(SUM($AQ$2:$AQ$98)&gt;账户数据!$B$7,"违规：超过账户风险上限","通过")))))))))</f>
        <v>通过</v>
      </c>
    </row>
    <row r="58" s="17" customFormat="1" ht="17" spans="1:44">
      <c r="A58" s="21">
        <v>57</v>
      </c>
      <c r="B58" s="22" t="s">
        <v>67</v>
      </c>
      <c r="C58" s="23">
        <v>262632</v>
      </c>
      <c r="D58" s="24">
        <v>0.02</v>
      </c>
      <c r="E58" s="23">
        <v>3.31</v>
      </c>
      <c r="F58" s="25">
        <f>IF(OR(C58="",D58="",E58="",N58="",C58&lt;=0,D58&lt;=0,E58&lt;=N58),"",ROUNDDOWN((C58*D58)/(E58-N58)/100,0)*100)</f>
        <v>25000</v>
      </c>
      <c r="G58" s="26" t="str">
        <f ca="1">IF(A58="","",IF(H58&lt;&gt;"","已开仓",IF(账户数据!$B$23="已锁仓","禁止开仓：连续亏损达到上限",IF(账户数据!$B$23="解锁信息不完整","禁止开仓：请完整填写解锁信息",IF(OR(F58="",E58="",N58="",E58&lt;=N58,账户数据!$B$7=""),"",IF(OR(AG58="",AH58="",AI58=""),"禁止开仓：交易预期未填写完整",IF(COUNTIFS(持仓跟踪!$A$2:$A$157,"止损计划",持仓跟踪!$B$2:$B$157,A58,持仓跟踪!$AC$2:$AC$157,"计划有效")=0,"禁止开仓：请先填写止损计划",IF(账户数据!$B$9+F58*(E58-N58)&gt;=账户数据!$B$7,"禁止开仓：风险额度不足",IF(AJ58="周期与交易预期不匹配，请重新确认",IF(账户数据!$B$23="接近锁仓","允许开仓（接近锁仓；周期需复核）","允许开仓（周期需复核）"),IF(账户数据!$B$23="接近锁仓","允许开仓（接近锁仓）","允许开仓"))))))))))</f>
        <v>已开仓</v>
      </c>
      <c r="H58" s="21">
        <v>25000</v>
      </c>
      <c r="I58" s="27">
        <v>43542</v>
      </c>
      <c r="J58" s="23">
        <v>3.8</v>
      </c>
      <c r="K58" s="30">
        <f>IF(A58="","",IFERROR(LOOKUP(2,1/((持仓跟踪!$B$2:$B$157=A58)*(持仓跟踪!$X$2:$X$157="执行卖出")*(持仓跟踪!$Y$2:$Y$157&lt;&gt;"")),持仓跟踪!$Y$2:$Y$157),""))</f>
        <v>3.01</v>
      </c>
      <c r="L58" s="26">
        <f>IF(A58="","",IFERROR(LOOKUP(2,1/((持仓跟踪!$B$2:$B$157=A58)*(持仓跟踪!$X$2:$X$157="执行卖出")*(持仓跟踪!$Z$2:$Z$157&lt;&gt;"")),持仓跟踪!$Z$2:$Z$157),""))</f>
        <v>25000</v>
      </c>
      <c r="M58" s="35">
        <f>IF(A58="","",IFERROR(LOOKUP(2,1/((持仓跟踪!$B$2:$B$157=A58)*(持仓跟踪!$X$2:$X$157="执行卖出")*(持仓跟踪!$H$2:$H$157&lt;&gt;"")),持仓跟踪!$H$2:$H$157),""))</f>
        <v>43558</v>
      </c>
      <c r="N58" s="23">
        <v>3.1</v>
      </c>
      <c r="O58" s="23"/>
      <c r="P58" s="30" t="str">
        <f>IF(A58="","",IFERROR(LOOKUP(2,1/((持仓跟踪!$B$2:$B$157=A58)*(持仓跟踪!$X$2:$X$157="执行卖出")*(持仓跟踪!$AA$2:$AA$157&lt;&gt;"")),持仓跟踪!$AA$2:$AA$157),""))</f>
        <v/>
      </c>
      <c r="Q58" s="21"/>
      <c r="R58" s="21"/>
      <c r="S58" s="21"/>
      <c r="T58" s="21"/>
      <c r="U58" s="31">
        <f>IF(OR(AO58="",J58="",AO58&lt;=0),"",(J58-AO58)/AO58)</f>
        <v>0.148036253776435</v>
      </c>
      <c r="V58" s="31">
        <f>IF(OR(AO58="",N58="",AO58&lt;=0),"",(AO58-N58)/AO58)</f>
        <v>0.0634441087613293</v>
      </c>
      <c r="W58" s="32">
        <f>IF(OR(U58="",V58="",V58&lt;=0),"",U58/V58)</f>
        <v>2.33333333333333</v>
      </c>
      <c r="X58" s="30">
        <f>IF(OR(K58="",L58="",AP58=""),"",K58*L58-(E58*H58+IF(AND(AK58&lt;&gt;"",AL58&lt;&gt;""),AK58*AL58,0)+IF(AND(AM58&lt;&gt;"",AN58&lt;&gt;""),AM58*AN58,0))-IF(O58="",0,O58)-IF(P58="",0,P58))</f>
        <v>-7500</v>
      </c>
      <c r="Y58" s="36">
        <f>IF(OR(X58="",AP58=""),"",IF((E58*H58+IF(AND(AK58&lt;&gt;"",AL58&lt;&gt;""),AK58*AL58,0)+IF(AND(AM58&lt;&gt;"",AN58&lt;&gt;""),AM58*AN58,0))+IF(O58="",0,O58)&lt;=0,"",X58/((E58*H58+IF(AND(AK58&lt;&gt;"",AL58&lt;&gt;""),AK58*AL58,0)+IF(AND(AM58&lt;&gt;"",AN58&lt;&gt;""),AM58*AN58,0))+IF(O58="",0,O58))))</f>
        <v>-0.0906344410876133</v>
      </c>
      <c r="Z58" s="36">
        <f>IF(OR(AE58="",多次统计数据!$B$8=""),"",AE58-多次统计数据!$B$8)</f>
        <v>-0.101105695368543</v>
      </c>
      <c r="AA58" s="37">
        <f>IF(OR(I58="",M58="",M58&lt;I58),"",M58-I58)</f>
        <v>16</v>
      </c>
      <c r="AB58" s="31">
        <f>IF(OR(A58="",多次统计数据!$B$8="",多次统计数据!$B$6&lt;=0,多次统计数据!$B$6&gt;=1),"",1-POWER(1+多次统计数据!$B$8,-多次统计数据!$B$6/(1-多次统计数据!$B$6)))</f>
        <v>0.0530166567311223</v>
      </c>
      <c r="AC58" s="26" t="str">
        <f>IF(OR(AB58="",多次统计数据!$B$9=""),"",IF(多次统计数据!$B$9&lt;AB58,"低于上限","达到或超过上限"))</f>
        <v>低于上限</v>
      </c>
      <c r="AD58" s="21"/>
      <c r="AE58" s="36">
        <f>IF(OR(X58="",C58="",C58&lt;=0),"",X58/C58)</f>
        <v>-0.0285570684455816</v>
      </c>
      <c r="AG58" s="22" t="s">
        <v>46</v>
      </c>
      <c r="AH58" s="21"/>
      <c r="AI58" s="21"/>
      <c r="AJ58" s="26" t="str">
        <f>IF(OR(AG58="",AH58=""),"",IF(OR(AND(AG58="短期博反弹",OR(AH58="1～3个交易日",AH58="4～10个交易日")),AND(AG58="突破冲新高",OR(AH58="4～10个交易日",AH58="11～20个交易日")),AND(AG58="趋势波段",OR(AH58="11～20个交易日",AH58="21～60个交易日",AH58="60个交易日以上"))),"匹配","周期与交易预期不匹配，请重新确认"))</f>
        <v/>
      </c>
      <c r="AK58" s="23"/>
      <c r="AL58" s="34"/>
      <c r="AM58" s="23"/>
      <c r="AN58" s="34"/>
      <c r="AO58" s="28">
        <f>IF(OR(A58="",H58="",H58&lt;=0),"",(E58*H58+IF(AND(AK58&lt;&gt;"",AL58&lt;&gt;""),AK58*AL58,0)+IF(AND(AM58&lt;&gt;"",AN58&lt;&gt;""),AM58*AN58,0))/AP58)</f>
        <v>3.31</v>
      </c>
      <c r="AP58" s="33">
        <f>IF(OR(A58="",H58="",H58&lt;=0),"",H58+IF(AL58="",0,AL58)+IF(AN58="",0,AN58))</f>
        <v>25000</v>
      </c>
      <c r="AQ58" s="28">
        <f>IF(A58="","",IF(M58&lt;&gt;"",0,IF(OR(H58="",N58=""),"",MAX(E58-MAX(N58,IFERROR(SUMPRODUCT(MAX(((持仓跟踪!$A$2:$A$157="每日跟踪")*(持仓跟踪!$B$2:$B$157=A58))*持仓跟踪!$S$2:$S$157)),0)),0)*H58+IF(OR(AK58="",AL58=""),0,MAX(AK58-MAX(N58,IFERROR(SUMPRODUCT(MAX(((持仓跟踪!$A$2:$A$157="每日跟踪")*(持仓跟踪!$B$2:$B$157=A58))*持仓跟踪!$S$2:$S$157)),0)),0)*AL58)+IF(OR(AM58="",AN58=""),0,MAX(AM58-MAX(N58,IFERROR(SUMPRODUCT(MAX(((持仓跟踪!$A$2:$A$157="每日跟踪")*(持仓跟踪!$B$2:$B$157=A58))*持仓跟踪!$S$2:$S$157)),0)),0)*AN58))))</f>
        <v>0</v>
      </c>
      <c r="AR58" s="26" t="str">
        <f ca="1">IF(A58="","",IF(OR(E58="",H58=""),"违规：第一批价格或股数缺失",IF(OR(AND(AK58="",AL58&lt;&gt;""),AND(AK58&lt;&gt;"",AL58="")),"违规：第二批价格与股数须成对填写",IF(OR(AND(AM58="",AN58&lt;&gt;""),AND(AM58&lt;&gt;"",AN58="")),"违规：第三批价格与股数须成对填写",IF(AND(OR(AM58&lt;&gt;"",AN58&lt;&gt;""),OR(AK58="",AL58="")),"违规：必须先完成第二批",IF(OR(H58&lt;=0,H58&lt;&gt;INT(H58),MOD(H58,100)&lt;&gt;0,AND(AL58&lt;&gt;"",OR(AL58&lt;=0,AL58&lt;&gt;INT(AL58),MOD(AL58,100)&lt;&gt;0)),AND(AN58&lt;&gt;"",OR(AN58&lt;=0,AN58&lt;&gt;INT(AN58),MOD(AN58,100)&lt;&gt;0))),"违规：股数须为100股整数倍",IF(AND(OR(AL58&lt;&gt;"",AN58&lt;&gt;""),OR(_LockStatus="已锁仓",_LockStatus="解锁信息不完整")),"违规：锁仓期间禁止加仓",IF(AQ58&gt;C58*D58,"违规：超过单笔风险上限",IF(SUM($AQ$2:$AQ$98)&gt;账户数据!$B$7,"违规：超过账户风险上限","通过")))))))))</f>
        <v>通过</v>
      </c>
    </row>
    <row r="59" ht="17" spans="1:44">
      <c r="A59" s="2">
        <v>58</v>
      </c>
      <c r="B59" s="2" t="s">
        <v>67</v>
      </c>
      <c r="C59" s="10">
        <v>255132</v>
      </c>
      <c r="D59" s="6">
        <v>0.02</v>
      </c>
      <c r="E59" s="10">
        <v>4.27</v>
      </c>
      <c r="F59" s="8">
        <f>IF(OR(C59="",D59="",E59="",N59="",C59&lt;=0,D59&lt;=0,E59&lt;=N59),"",ROUNDDOWN((C59*D59)/(E59-N59)/100,0)*100)</f>
        <v>18800</v>
      </c>
      <c r="G59" s="8" t="str">
        <f ca="1">IF(A59="","",IF(H59&lt;&gt;"","已开仓",IF(账户数据!$B$23="已锁仓","禁止开仓：连续亏损达到上限",IF(账户数据!$B$23="解锁信息不完整","禁止开仓：请完整填写解锁信息",IF(OR(F59="",E59="",N59="",E59&lt;=N59,账户数据!$B$7=""),"",IF(OR(AG59="",AH59="",AI59=""),"禁止开仓：交易预期未填写完整",IF(COUNTIFS(持仓跟踪!$A$2:$A$157,"止损计划",持仓跟踪!$B$2:$B$157,A59,持仓跟踪!$AC$2:$AC$157,"计划有效")=0,"禁止开仓：请先填写止损计划",IF(账户数据!$B$9+F59*(E59-N59)&gt;=账户数据!$B$7,"禁止开仓：风险额度不足",IF(AJ59="周期与交易预期不匹配，请重新确认",IF(账户数据!$B$23="接近锁仓","允许开仓（接近锁仓；周期需复核）","允许开仓（周期需复核）"),IF(账户数据!$B$23="接近锁仓","允许开仓（接近锁仓）","允许开仓"))))))))))</f>
        <v>已开仓</v>
      </c>
      <c r="H59" s="2">
        <v>18800</v>
      </c>
      <c r="I59" s="13">
        <v>43992</v>
      </c>
      <c r="J59" s="10">
        <v>4.8</v>
      </c>
      <c r="K59" s="5">
        <f>IF(A59="","",IFERROR(LOOKUP(2,1/((持仓跟踪!$B$2:$B$157=A59)*(持仓跟踪!$X$2:$X$157="执行卖出")*(持仓跟踪!$Y$2:$Y$157&lt;&gt;"")),持仓跟踪!$Y$2:$Y$157),""))</f>
        <v>3.89</v>
      </c>
      <c r="L59" s="8">
        <f>IF(A59="","",IFERROR(LOOKUP(2,1/((持仓跟踪!$B$2:$B$157=A59)*(持仓跟踪!$X$2:$X$157="执行卖出")*(持仓跟踪!$Z$2:$Z$157&lt;&gt;"")),持仓跟踪!$Z$2:$Z$157),""))</f>
        <v>18800</v>
      </c>
      <c r="M59" s="18">
        <f>IF(A59="","",IFERROR(LOOKUP(2,1/((持仓跟踪!$B$2:$B$157=A59)*(持仓跟踪!$X$2:$X$157="执行卖出")*(持仓跟踪!$H$2:$H$157&lt;&gt;"")),持仓跟踪!$H$2:$H$157),""))</f>
        <v>43997</v>
      </c>
      <c r="N59" s="10">
        <v>4</v>
      </c>
      <c r="O59" s="10"/>
      <c r="P59" s="5" t="str">
        <f>IF(A59="","",IFERROR(LOOKUP(2,1/((持仓跟踪!$B$2:$B$157=A59)*(持仓跟踪!$X$2:$X$157="执行卖出")*(持仓跟踪!$AA$2:$AA$157&lt;&gt;"")),持仓跟踪!$AA$2:$AA$157),""))</f>
        <v/>
      </c>
      <c r="Q59" s="2"/>
      <c r="R59" s="2"/>
      <c r="S59" s="2"/>
      <c r="T59" s="2"/>
      <c r="U59" s="7">
        <f>IF(OR(AO59="",J59="",AO59&lt;=0),"",(J59-AO59)/AO59)</f>
        <v>0.124121779859485</v>
      </c>
      <c r="V59" s="7">
        <f>IF(OR(AO59="",N59="",AO59&lt;=0),"",(AO59-N59)/AO59)</f>
        <v>0.0632318501170959</v>
      </c>
      <c r="W59" s="19">
        <f>IF(OR(U59="",V59="",V59&lt;=0),"",U59/V59)</f>
        <v>1.96296296296297</v>
      </c>
      <c r="X59" s="5">
        <f>IF(OR(K59="",L59="",AP59=""),"",K59*L59-(E59*H59+IF(AND(AK59&lt;&gt;"",AL59&lt;&gt;""),AK59*AL59,0)+IF(AND(AM59&lt;&gt;"",AN59&lt;&gt;""),AM59*AN59,0))-IF(O59="",0,O59)-IF(P59="",0,P59))</f>
        <v>-7143.99999999999</v>
      </c>
      <c r="Y59" s="7">
        <f>IF(OR(X59="",AP59=""),"",IF((E59*H59+IF(AND(AK59&lt;&gt;"",AL59&lt;&gt;""),AK59*AL59,0)+IF(AND(AM59&lt;&gt;"",AN59&lt;&gt;""),AM59*AN59,0))+IF(O59="",0,O59)&lt;=0,"",X59/((E59*H59+IF(AND(AK59&lt;&gt;"",AL59&lt;&gt;""),AK59*AL59,0)+IF(AND(AM59&lt;&gt;"",AN59&lt;&gt;""),AM59*AN59,0))+IF(O59="",0,O59))))</f>
        <v>-0.0889929742388757</v>
      </c>
      <c r="Z59" s="7">
        <f>IF(OR(AE59="",多次统计数据!$B$8=""),"",AE59-多次统计数据!$B$8)</f>
        <v>-0.100549818463026</v>
      </c>
      <c r="AA59" s="11">
        <f>IF(OR(I59="",M59="",M59&lt;I59),"",M59-I59)</f>
        <v>5</v>
      </c>
      <c r="AB59" s="7">
        <f>IF(OR(A59="",多次统计数据!$B$8="",多次统计数据!$B$6&lt;=0,多次统计数据!$B$6&gt;=1),"",1-POWER(1+多次统计数据!$B$8,-多次统计数据!$B$6/(1-多次统计数据!$B$6)))</f>
        <v>0.0530166567311223</v>
      </c>
      <c r="AC59" s="8" t="str">
        <f>IF(OR(AB59="",多次统计数据!$B$9=""),"",IF(多次统计数据!$B$9&lt;AB59,"低于上限","达到或超过上限"))</f>
        <v>低于上限</v>
      </c>
      <c r="AD59" s="2"/>
      <c r="AE59" s="7">
        <f>IF(OR(X59="",C59="",C59&lt;=0),"",X59/C59)</f>
        <v>-0.0280011915400655</v>
      </c>
      <c r="AG59" s="2"/>
      <c r="AH59" s="2"/>
      <c r="AI59" s="2"/>
      <c r="AJ59" s="8" t="str">
        <f>IF(OR(AG59="",AH59=""),"",IF(OR(AND(AG59="短期博反弹",OR(AH59="1～3个交易日",AH59="4～10个交易日")),AND(AG59="突破冲新高",OR(AH59="4～10个交易日",AH59="11～20个交易日")),AND(AG59="趋势波段",OR(AH59="11～20个交易日",AH59="21～60个交易日",AH59="60个交易日以上"))),"匹配","周期与交易预期不匹配，请重新确认"))</f>
        <v/>
      </c>
      <c r="AK59" s="10"/>
      <c r="AL59" s="12"/>
      <c r="AM59" s="10"/>
      <c r="AN59" s="12"/>
      <c r="AO59" s="5">
        <f>IF(OR(A59="",H59="",H59&lt;=0),"",(E59*H59+IF(AND(AK59&lt;&gt;"",AL59&lt;&gt;""),AK59*AL59,0)+IF(AND(AM59&lt;&gt;"",AN59&lt;&gt;""),AM59*AN59,0))/AP59)</f>
        <v>4.27</v>
      </c>
      <c r="AP59" s="11">
        <f>IF(OR(A59="",H59="",H59&lt;=0),"",H59+IF(AL59="",0,AL59)+IF(AN59="",0,AN59))</f>
        <v>18800</v>
      </c>
      <c r="AQ59" s="5">
        <f>IF(A59="","",IF(M59&lt;&gt;"",0,IF(OR(H59="",N59=""),"",MAX(E59-MAX(N59,IFERROR(SUMPRODUCT(MAX(((持仓跟踪!$A$2:$A$157="每日跟踪")*(持仓跟踪!$B$2:$B$157=A59))*持仓跟踪!$S$2:$S$157)),0)),0)*H59+IF(OR(AK59="",AL59=""),0,MAX(AK59-MAX(N59,IFERROR(SUMPRODUCT(MAX(((持仓跟踪!$A$2:$A$157="每日跟踪")*(持仓跟踪!$B$2:$B$157=A59))*持仓跟踪!$S$2:$S$157)),0)),0)*AL59)+IF(OR(AM59="",AN59=""),0,MAX(AM59-MAX(N59,IFERROR(SUMPRODUCT(MAX(((持仓跟踪!$A$2:$A$157="每日跟踪")*(持仓跟踪!$B$2:$B$157=A59))*持仓跟踪!$S$2:$S$157)),0)),0)*AN59))))</f>
        <v>0</v>
      </c>
      <c r="AR59" s="8" t="str">
        <f ca="1">IF(A59="","",IF(OR(E59="",H59=""),"违规：第一批价格或股数缺失",IF(OR(AND(AK59="",AL59&lt;&gt;""),AND(AK59&lt;&gt;"",AL59="")),"违规：第二批价格与股数须成对填写",IF(OR(AND(AM59="",AN59&lt;&gt;""),AND(AM59&lt;&gt;"",AN59="")),"违规：第三批价格与股数须成对填写",IF(AND(OR(AM59&lt;&gt;"",AN59&lt;&gt;""),OR(AK59="",AL59="")),"违规：必须先完成第二批",IF(OR(H59&lt;=0,H59&lt;&gt;INT(H59),MOD(H59,100)&lt;&gt;0,AND(AL59&lt;&gt;"",OR(AL59&lt;=0,AL59&lt;&gt;INT(AL59),MOD(AL59,100)&lt;&gt;0)),AND(AN59&lt;&gt;"",OR(AN59&lt;=0,AN59&lt;&gt;INT(AN59),MOD(AN59,100)&lt;&gt;0))),"违规：股数须为100股整数倍",IF(AND(OR(AL59&lt;&gt;"",AN59&lt;&gt;""),OR(_LockStatus="已锁仓",_LockStatus="解锁信息不完整")),"违规：锁仓期间禁止加仓",IF(AQ59&gt;C59*D59,"违规：超过单笔风险上限",IF(SUM($AQ$2:$AQ$98)&gt;账户数据!$B$7,"违规：超过账户风险上限","通过")))))))))</f>
        <v>通过</v>
      </c>
    </row>
    <row r="60" s="17" customFormat="1" ht="17" spans="1:44">
      <c r="A60" s="21">
        <v>59</v>
      </c>
      <c r="B60" s="22" t="s">
        <v>67</v>
      </c>
      <c r="C60" s="23">
        <v>247988</v>
      </c>
      <c r="D60" s="24">
        <v>0.02</v>
      </c>
      <c r="E60" s="23">
        <v>4.77</v>
      </c>
      <c r="F60" s="25">
        <f>IF(OR(C60="",D60="",E60="",N60="",C60&lt;=0,D60&lt;=0,E60&lt;=N60),"",ROUNDDOWN((C60*D60)/(E60-N60)/100,0)*100)</f>
        <v>18300</v>
      </c>
      <c r="G60" s="26" t="str">
        <f ca="1">IF(A60="","",IF(H60&lt;&gt;"","已开仓",IF(账户数据!$B$23="已锁仓","禁止开仓：连续亏损达到上限",IF(账户数据!$B$23="解锁信息不完整","禁止开仓：请完整填写解锁信息",IF(OR(F60="",E60="",N60="",E60&lt;=N60,账户数据!$B$7=""),"",IF(OR(AG60="",AH60="",AI60=""),"禁止开仓：交易预期未填写完整",IF(COUNTIFS(持仓跟踪!$A$2:$A$157,"止损计划",持仓跟踪!$B$2:$B$157,A60,持仓跟踪!$AC$2:$AC$157,"计划有效")=0,"禁止开仓：请先填写止损计划",IF(账户数据!$B$9+F60*(E60-N60)&gt;=账户数据!$B$7,"禁止开仓：风险额度不足",IF(AJ60="周期与交易预期不匹配，请重新确认",IF(账户数据!$B$23="接近锁仓","允许开仓（接近锁仓；周期需复核）","允许开仓（周期需复核）"),IF(账户数据!$B$23="接近锁仓","允许开仓（接近锁仓）","允许开仓"))))))))))</f>
        <v>已开仓</v>
      </c>
      <c r="H60" s="21">
        <v>18300</v>
      </c>
      <c r="I60" s="27">
        <v>44020</v>
      </c>
      <c r="J60" s="23">
        <v>5</v>
      </c>
      <c r="K60" s="28">
        <f>IF(A60="","",IFERROR(LOOKUP(2,1/((持仓跟踪!$B$2:$B$157=A60)*(持仓跟踪!$X$2:$X$157="执行卖出")*(持仓跟踪!$Y$2:$Y$157&lt;&gt;"")),持仓跟踪!$Y$2:$Y$157),""))</f>
        <v>3.96</v>
      </c>
      <c r="L60" s="25">
        <f>IF(A60="","",IFERROR(LOOKUP(2,1/((持仓跟踪!$B$2:$B$157=A60)*(持仓跟踪!$X$2:$X$157="执行卖出")*(持仓跟踪!$Z$2:$Z$157&lt;&gt;"")),持仓跟踪!$Z$2:$Z$157),""))</f>
        <v>18300</v>
      </c>
      <c r="M60" s="29">
        <f>IF(A60="","",IFERROR(LOOKUP(2,1/((持仓跟踪!$B$2:$B$157=A60)*(持仓跟踪!$X$2:$X$157="执行卖出")*(持仓跟踪!$H$2:$H$157&lt;&gt;"")),持仓跟踪!$H$2:$H$157),""))</f>
        <v>44039</v>
      </c>
      <c r="N60" s="23">
        <v>4.5</v>
      </c>
      <c r="O60" s="23"/>
      <c r="P60" s="30" t="str">
        <f>IF(A60="","",IFERROR(LOOKUP(2,1/((持仓跟踪!$B$2:$B$157=A60)*(持仓跟踪!$X$2:$X$157="执行卖出")*(持仓跟踪!$AA$2:$AA$157&lt;&gt;"")),持仓跟踪!$AA$2:$AA$157),""))</f>
        <v/>
      </c>
      <c r="Q60" s="21"/>
      <c r="R60" s="21"/>
      <c r="S60" s="21"/>
      <c r="T60" s="21"/>
      <c r="U60" s="31">
        <f>IF(OR(AO60="",J60="",AO60&lt;=0),"",(J60-AO60)/AO60)</f>
        <v>0.0482180293501049</v>
      </c>
      <c r="V60" s="31">
        <f>IF(OR(AO60="",N60="",AO60&lt;=0),"",(AO60-N60)/AO60)</f>
        <v>0.0566037735849056</v>
      </c>
      <c r="W60" s="32">
        <f>IF(OR(U60="",V60="",V60&lt;=0),"",U60/V60)</f>
        <v>0.851851851851855</v>
      </c>
      <c r="X60" s="28">
        <f>IF(OR(K60="",L60="",AP60=""),"",K60*L60-(E60*H60+IF(AND(AK60&lt;&gt;"",AL60&lt;&gt;""),AK60*AL60,0)+IF(AND(AM60&lt;&gt;"",AN60&lt;&gt;""),AM60*AN60,0))-IF(O60="",0,O60)-IF(P60="",0,P60))</f>
        <v>-14823</v>
      </c>
      <c r="Y60" s="31">
        <f>IF(OR(X60="",AP60=""),"",IF((E60*H60+IF(AND(AK60&lt;&gt;"",AL60&lt;&gt;""),AK60*AL60,0)+IF(AND(AM60&lt;&gt;"",AN60&lt;&gt;""),AM60*AN60,0))+IF(O60="",0,O60)&lt;=0,"",X60/((E60*H60+IF(AND(AK60&lt;&gt;"",AL60&lt;&gt;""),AK60*AL60,0)+IF(AND(AM60&lt;&gt;"",AN60&lt;&gt;""),AM60*AN60,0))+IF(O60="",0,O60))))</f>
        <v>-0.169811320754717</v>
      </c>
      <c r="Z60" s="31">
        <f>IF(OR(AE60="",多次统计数据!$B$8=""),"",AE60-多次统计数据!$B$8)</f>
        <v>-0.132321680457809</v>
      </c>
      <c r="AA60" s="33">
        <f>IF(OR(I60="",M60="",M60&lt;I60),"",M60-I60)</f>
        <v>19</v>
      </c>
      <c r="AB60" s="31">
        <f>IF(OR(A60="",多次统计数据!$B$8="",多次统计数据!$B$6&lt;=0,多次统计数据!$B$6&gt;=1),"",1-POWER(1+多次统计数据!$B$8,-多次统计数据!$B$6/(1-多次统计数据!$B$6)))</f>
        <v>0.0530166567311223</v>
      </c>
      <c r="AC60" s="26" t="str">
        <f>IF(OR(AB60="",多次统计数据!$B$9=""),"",IF(多次统计数据!$B$9&lt;AB60,"低于上限","达到或超过上限"))</f>
        <v>低于上限</v>
      </c>
      <c r="AD60" s="21"/>
      <c r="AE60" s="31">
        <f>IF(OR(X60="",C60="",C60&lt;=0),"",X60/C60)</f>
        <v>-0.0597730535348484</v>
      </c>
      <c r="AG60" s="22" t="s">
        <v>60</v>
      </c>
      <c r="AH60" s="22" t="s">
        <v>47</v>
      </c>
      <c r="AI60" s="21"/>
      <c r="AJ60" s="26" t="str">
        <f>IF(OR(AG60="",AH60=""),"",IF(OR(AND(AG60="短期博反弹",OR(AH60="1～3个交易日",AH60="4～10个交易日")),AND(AG60="突破冲新高",OR(AH60="4～10个交易日",AH60="11～20个交易日")),AND(AG60="趋势波段",OR(AH60="11～20个交易日",AH60="21～60个交易日",AH60="60个交易日以上"))),"匹配","周期与交易预期不匹配，请重新确认"))</f>
        <v>匹配</v>
      </c>
      <c r="AK60" s="23"/>
      <c r="AL60" s="34"/>
      <c r="AM60" s="23"/>
      <c r="AN60" s="34"/>
      <c r="AO60" s="28">
        <f>IF(OR(A60="",H60="",H60&lt;=0),"",(E60*H60+IF(AND(AK60&lt;&gt;"",AL60&lt;&gt;""),AK60*AL60,0)+IF(AND(AM60&lt;&gt;"",AN60&lt;&gt;""),AM60*AN60,0))/AP60)</f>
        <v>4.77</v>
      </c>
      <c r="AP60" s="33">
        <f>IF(OR(A60="",H60="",H60&lt;=0),"",H60+IF(AL60="",0,AL60)+IF(AN60="",0,AN60))</f>
        <v>18300</v>
      </c>
      <c r="AQ60" s="28">
        <f>IF(A60="","",IF(M60&lt;&gt;"",0,IF(OR(H60="",N60=""),"",MAX(E60-MAX(N60,IFERROR(SUMPRODUCT(MAX(((持仓跟踪!$A$2:$A$157="每日跟踪")*(持仓跟踪!$B$2:$B$157=A60))*持仓跟踪!$S$2:$S$157)),0)),0)*H60+IF(OR(AK60="",AL60=""),0,MAX(AK60-MAX(N60,IFERROR(SUMPRODUCT(MAX(((持仓跟踪!$A$2:$A$157="每日跟踪")*(持仓跟踪!$B$2:$B$157=A60))*持仓跟踪!$S$2:$S$157)),0)),0)*AL60)+IF(OR(AM60="",AN60=""),0,MAX(AM60-MAX(N60,IFERROR(SUMPRODUCT(MAX(((持仓跟踪!$A$2:$A$157="每日跟踪")*(持仓跟踪!$B$2:$B$157=A60))*持仓跟踪!$S$2:$S$157)),0)),0)*AN60))))</f>
        <v>0</v>
      </c>
      <c r="AR60" s="26" t="str">
        <f ca="1">IF(A60="","",IF(OR(E60="",H60=""),"违规：第一批价格或股数缺失",IF(OR(AND(AK60="",AL60&lt;&gt;""),AND(AK60&lt;&gt;"",AL60="")),"违规：第二批价格与股数须成对填写",IF(OR(AND(AM60="",AN60&lt;&gt;""),AND(AM60&lt;&gt;"",AN60="")),"违规：第三批价格与股数须成对填写",IF(AND(OR(AM60&lt;&gt;"",AN60&lt;&gt;""),OR(AK60="",AL60="")),"违规：必须先完成第二批",IF(OR(H60&lt;=0,H60&lt;&gt;INT(H60),MOD(H60,100)&lt;&gt;0,AND(AL60&lt;&gt;"",OR(AL60&lt;=0,AL60&lt;&gt;INT(AL60),MOD(AL60,100)&lt;&gt;0)),AND(AN60&lt;&gt;"",OR(AN60&lt;=0,AN60&lt;&gt;INT(AN60),MOD(AN60,100)&lt;&gt;0))),"违规：股数须为100股整数倍",IF(AND(OR(AL60&lt;&gt;"",AN60&lt;&gt;""),OR(_LockStatus="已锁仓",_LockStatus="解锁信息不完整")),"违规：锁仓期间禁止加仓",IF(AQ60&gt;C60*D60,"违规：超过单笔风险上限",IF(SUM($AQ$2:$AQ$98)&gt;账户数据!$B$7,"违规：超过账户风险上限","通过")))))))))</f>
        <v>通过</v>
      </c>
    </row>
    <row r="61" s="17" customFormat="1" ht="17" spans="1:44">
      <c r="A61" s="21">
        <v>60</v>
      </c>
      <c r="B61" s="22" t="s">
        <v>67</v>
      </c>
      <c r="C61" s="23">
        <v>233165</v>
      </c>
      <c r="D61" s="24">
        <v>0.02</v>
      </c>
      <c r="E61" s="23">
        <v>3.89</v>
      </c>
      <c r="F61" s="25">
        <f>IF(OR(C61="",D61="",E61="",N61="",C61&lt;=0,D61&lt;=0,E61&lt;=N61),"",ROUNDDOWN((C61*D61)/(E61-N61)/100,0)*100)</f>
        <v>38800</v>
      </c>
      <c r="G61" s="26" t="str">
        <f ca="1">IF(A61="","",IF(H61&lt;&gt;"","已开仓",IF(账户数据!$B$23="已锁仓","禁止开仓：连续亏损达到上限",IF(账户数据!$B$23="解锁信息不完整","禁止开仓：请完整填写解锁信息",IF(OR(F61="",E61="",N61="",E61&lt;=N61,账户数据!$B$7=""),"",IF(OR(AG61="",AH61="",AI61=""),"禁止开仓：交易预期未填写完整",IF(COUNTIFS(持仓跟踪!$A$2:$A$157,"止损计划",持仓跟踪!$B$2:$B$157,A61,持仓跟踪!$AC$2:$AC$157,"计划有效")=0,"禁止开仓：请先填写止损计划",IF(账户数据!$B$9+F61*(E61-N61)&gt;=账户数据!$B$7,"禁止开仓：风险额度不足",IF(AJ61="周期与交易预期不匹配，请重新确认",IF(账户数据!$B$23="接近锁仓","允许开仓（接近锁仓；周期需复核）","允许开仓（周期需复核）"),IF(账户数据!$B$23="接近锁仓","允许开仓（接近锁仓）","允许开仓"))))))))))</f>
        <v>已开仓</v>
      </c>
      <c r="H61" s="21">
        <v>38800</v>
      </c>
      <c r="I61" s="27">
        <v>45090</v>
      </c>
      <c r="J61" s="23">
        <v>4</v>
      </c>
      <c r="K61" s="30">
        <f>IF(A61="","",IFERROR(LOOKUP(2,1/((持仓跟踪!$B$2:$B$157=A61)*(持仓跟踪!$X$2:$X$157="执行卖出")*(持仓跟踪!$Y$2:$Y$157&lt;&gt;"")),持仓跟踪!$Y$2:$Y$157),""))</f>
        <v>3.63</v>
      </c>
      <c r="L61" s="26">
        <f>IF(A61="","",IFERROR(LOOKUP(2,1/((持仓跟踪!$B$2:$B$157=A61)*(持仓跟踪!$X$2:$X$157="执行卖出")*(持仓跟踪!$Z$2:$Z$157&lt;&gt;"")),持仓跟踪!$Z$2:$Z$157),""))</f>
        <v>38800</v>
      </c>
      <c r="M61" s="35">
        <f>IF(A61="","",IFERROR(LOOKUP(2,1/((持仓跟踪!$B$2:$B$157=A61)*(持仓跟踪!$X$2:$X$157="执行卖出")*(持仓跟踪!$H$2:$H$157&lt;&gt;"")),持仓跟踪!$H$2:$H$157),""))</f>
        <v>45163</v>
      </c>
      <c r="N61" s="23">
        <v>3.77</v>
      </c>
      <c r="O61" s="23"/>
      <c r="P61" s="30" t="str">
        <f>IF(A61="","",IFERROR(LOOKUP(2,1/((持仓跟踪!$B$2:$B$157=A61)*(持仓跟踪!$X$2:$X$157="执行卖出")*(持仓跟踪!$AA$2:$AA$157&lt;&gt;"")),持仓跟踪!$AA$2:$AA$157),""))</f>
        <v/>
      </c>
      <c r="Q61" s="21"/>
      <c r="R61" s="21"/>
      <c r="S61" s="21"/>
      <c r="T61" s="21"/>
      <c r="U61" s="31">
        <f>IF(OR(AO61="",J61="",AO61&lt;=0),"",(J61-AO61)/AO61)</f>
        <v>0.0282776349614396</v>
      </c>
      <c r="V61" s="31">
        <f>IF(OR(AO61="",N61="",AO61&lt;=0),"",(AO61-N61)/AO61)</f>
        <v>0.0308483290488432</v>
      </c>
      <c r="W61" s="32">
        <f>IF(OR(U61="",V61="",V61&lt;=0),"",U61/V61)</f>
        <v>0.916666666666665</v>
      </c>
      <c r="X61" s="30">
        <f>IF(OR(K61="",L61="",AP61=""),"",K61*L61-(E61*H61+IF(AND(AK61&lt;&gt;"",AL61&lt;&gt;""),AK61*AL61,0)+IF(AND(AM61&lt;&gt;"",AN61&lt;&gt;""),AM61*AN61,0))-IF(O61="",0,O61)-IF(P61="",0,P61))</f>
        <v>-10088</v>
      </c>
      <c r="Y61" s="36">
        <f>IF(OR(X61="",AP61=""),"",IF((E61*H61+IF(AND(AK61&lt;&gt;"",AL61&lt;&gt;""),AK61*AL61,0)+IF(AND(AM61&lt;&gt;"",AN61&lt;&gt;""),AM61*AN61,0))+IF(O61="",0,O61)&lt;=0,"",X61/((E61*H61+IF(AND(AK61&lt;&gt;"",AL61&lt;&gt;""),AK61*AL61,0)+IF(AND(AM61&lt;&gt;"",AN61&lt;&gt;""),AM61*AN61,0))+IF(O61="",0,O61))))</f>
        <v>-0.0668380462724936</v>
      </c>
      <c r="Z61" s="36">
        <f>IF(OR(AE61="",多次统计数据!$B$8=""),"",AE61-多次统计数据!$B$8)</f>
        <v>-0.115814125604152</v>
      </c>
      <c r="AA61" s="37">
        <f>IF(OR(I61="",M61="",M61&lt;I61),"",M61-I61)</f>
        <v>73</v>
      </c>
      <c r="AB61" s="31">
        <f>IF(OR(A61="",多次统计数据!$B$8="",多次统计数据!$B$6&lt;=0,多次统计数据!$B$6&gt;=1),"",1-POWER(1+多次统计数据!$B$8,-多次统计数据!$B$6/(1-多次统计数据!$B$6)))</f>
        <v>0.0530166567311223</v>
      </c>
      <c r="AC61" s="26" t="str">
        <f>IF(OR(AB61="",多次统计数据!$B$9=""),"",IF(多次统计数据!$B$9&lt;AB61,"低于上限","达到或超过上限"))</f>
        <v>低于上限</v>
      </c>
      <c r="AD61" s="21"/>
      <c r="AE61" s="36">
        <f>IF(OR(X61="",C61="",C61&lt;=0),"",X61/C61)</f>
        <v>-0.0432654986811914</v>
      </c>
      <c r="AG61" s="22" t="s">
        <v>46</v>
      </c>
      <c r="AH61" s="22" t="s">
        <v>47</v>
      </c>
      <c r="AI61" s="21"/>
      <c r="AJ61" s="26" t="str">
        <f>IF(OR(AG61="",AH61=""),"",IF(OR(AND(AG61="短期博反弹",OR(AH61="1～3个交易日",AH61="4～10个交易日")),AND(AG61="突破冲新高",OR(AH61="4～10个交易日",AH61="11～20个交易日")),AND(AG61="趋势波段",OR(AH61="11～20个交易日",AH61="21～60个交易日",AH61="60个交易日以上"))),"匹配","周期与交易预期不匹配，请重新确认"))</f>
        <v>匹配</v>
      </c>
      <c r="AK61" s="23"/>
      <c r="AL61" s="34"/>
      <c r="AM61" s="23"/>
      <c r="AN61" s="34"/>
      <c r="AO61" s="28">
        <f>IF(OR(A61="",H61="",H61&lt;=0),"",(E61*H61+IF(AND(AK61&lt;&gt;"",AL61&lt;&gt;""),AK61*AL61,0)+IF(AND(AM61&lt;&gt;"",AN61&lt;&gt;""),AM61*AN61,0))/AP61)</f>
        <v>3.89</v>
      </c>
      <c r="AP61" s="33">
        <f>IF(OR(A61="",H61="",H61&lt;=0),"",H61+IF(AL61="",0,AL61)+IF(AN61="",0,AN61))</f>
        <v>38800</v>
      </c>
      <c r="AQ61" s="28">
        <f>IF(A61="","",IF(M61&lt;&gt;"",0,IF(OR(H61="",N61=""),"",MAX(E61-MAX(N61,IFERROR(SUMPRODUCT(MAX(((持仓跟踪!$A$2:$A$157="每日跟踪")*(持仓跟踪!$B$2:$B$157=A61))*持仓跟踪!$S$2:$S$157)),0)),0)*H61+IF(OR(AK61="",AL61=""),0,MAX(AK61-MAX(N61,IFERROR(SUMPRODUCT(MAX(((持仓跟踪!$A$2:$A$157="每日跟踪")*(持仓跟踪!$B$2:$B$157=A61))*持仓跟踪!$S$2:$S$157)),0)),0)*AL61)+IF(OR(AM61="",AN61=""),0,MAX(AM61-MAX(N61,IFERROR(SUMPRODUCT(MAX(((持仓跟踪!$A$2:$A$157="每日跟踪")*(持仓跟踪!$B$2:$B$157=A61))*持仓跟踪!$S$2:$S$157)),0)),0)*AN61))))</f>
        <v>0</v>
      </c>
      <c r="AR61" s="26" t="str">
        <f ca="1">IF(A61="","",IF(OR(E61="",H61=""),"违规：第一批价格或股数缺失",IF(OR(AND(AK61="",AL61&lt;&gt;""),AND(AK61&lt;&gt;"",AL61="")),"违规：第二批价格与股数须成对填写",IF(OR(AND(AM61="",AN61&lt;&gt;""),AND(AM61&lt;&gt;"",AN61="")),"违规：第三批价格与股数须成对填写",IF(AND(OR(AM61&lt;&gt;"",AN61&lt;&gt;""),OR(AK61="",AL61="")),"违规：必须先完成第二批",IF(OR(H61&lt;=0,H61&lt;&gt;INT(H61),MOD(H61,100)&lt;&gt;0,AND(AL61&lt;&gt;"",OR(AL61&lt;=0,AL61&lt;&gt;INT(AL61),MOD(AL61,100)&lt;&gt;0)),AND(AN61&lt;&gt;"",OR(AN61&lt;=0,AN61&lt;&gt;INT(AN61),MOD(AN61,100)&lt;&gt;0))),"违规：股数须为100股整数倍",IF(AND(OR(AL61&lt;&gt;"",AN61&lt;&gt;""),OR(_LockStatus="已锁仓",_LockStatus="解锁信息不完整")),"违规：锁仓期间禁止加仓",IF(AQ61&gt;C61*D61,"违规：超过单笔风险上限",IF(SUM($AQ$2:$AQ$98)&gt;账户数据!$B$7,"违规：超过账户风险上限","通过")))))))))</f>
        <v>通过</v>
      </c>
    </row>
    <row r="62" ht="17" spans="1:44">
      <c r="A62" s="2">
        <v>61</v>
      </c>
      <c r="B62" s="2" t="s">
        <v>67</v>
      </c>
      <c r="C62" s="10">
        <v>223077</v>
      </c>
      <c r="D62" s="6">
        <v>0.02</v>
      </c>
      <c r="E62" s="10">
        <v>3.8</v>
      </c>
      <c r="F62" s="8">
        <f>IF(OR(C62="",D62="",E62="",N62="",C62&lt;=0,D62&lt;=0,E62&lt;=N62),"",ROUNDDOWN((C62*D62)/(E62-N62)/100,0)*100)</f>
        <v>89200</v>
      </c>
      <c r="G62" s="8" t="str">
        <f ca="1">IF(A62="","",IF(H62&lt;&gt;"","已开仓",IF(账户数据!$B$23="已锁仓","禁止开仓：连续亏损达到上限",IF(账户数据!$B$23="解锁信息不完整","禁止开仓：请完整填写解锁信息",IF(OR(F62="",E62="",N62="",E62&lt;=N62,账户数据!$B$7=""),"",IF(OR(AG62="",AH62="",AI62=""),"禁止开仓：交易预期未填写完整",IF(COUNTIFS(持仓跟踪!$A$2:$A$157,"止损计划",持仓跟踪!$B$2:$B$157,A62,持仓跟踪!$AC$2:$AC$157,"计划有效")=0,"禁止开仓：请先填写止损计划",IF(账户数据!$B$9+F62*(E62-N62)&gt;=账户数据!$B$7,"禁止开仓：风险额度不足",IF(AJ62="周期与交易预期不匹配，请重新确认",IF(账户数据!$B$23="接近锁仓","允许开仓（接近锁仓；周期需复核）","允许开仓（周期需复核）"),IF(账户数据!$B$23="接近锁仓","允许开仓（接近锁仓）","允许开仓"))))))))))</f>
        <v>已开仓</v>
      </c>
      <c r="H62" s="2">
        <v>89200</v>
      </c>
      <c r="I62" s="13">
        <v>45351</v>
      </c>
      <c r="J62" s="10">
        <v>4</v>
      </c>
      <c r="K62" s="5">
        <f>IF(A62="","",IFERROR(LOOKUP(2,1/((持仓跟踪!$B$2:$B$157=A62)*(持仓跟踪!$X$2:$X$157="执行卖出")*(持仓跟踪!$Y$2:$Y$157&lt;&gt;"")),持仓跟踪!$Y$2:$Y$157),""))</f>
        <v>4.22</v>
      </c>
      <c r="L62" s="8">
        <f>IF(A62="","",IFERROR(LOOKUP(2,1/((持仓跟踪!$B$2:$B$157=A62)*(持仓跟踪!$X$2:$X$157="执行卖出")*(持仓跟踪!$Z$2:$Z$157&lt;&gt;"")),持仓跟踪!$Z$2:$Z$157),""))</f>
        <v>89200</v>
      </c>
      <c r="M62" s="18">
        <f>IF(A62="","",IFERROR(LOOKUP(2,1/((持仓跟踪!$B$2:$B$157=A62)*(持仓跟踪!$X$2:$X$157="执行卖出")*(持仓跟踪!$H$2:$H$157&lt;&gt;"")),持仓跟踪!$H$2:$H$157),""))</f>
        <v>45777</v>
      </c>
      <c r="N62" s="10">
        <v>3.75</v>
      </c>
      <c r="O62" s="10"/>
      <c r="P62" s="5" t="str">
        <f>IF(A62="","",IFERROR(LOOKUP(2,1/((持仓跟踪!$B$2:$B$157=A62)*(持仓跟踪!$X$2:$X$157="执行卖出")*(持仓跟踪!$AA$2:$AA$157&lt;&gt;"")),持仓跟踪!$AA$2:$AA$157),""))</f>
        <v/>
      </c>
      <c r="Q62" s="2"/>
      <c r="R62" s="2"/>
      <c r="S62" s="2"/>
      <c r="T62" s="2"/>
      <c r="U62" s="7">
        <f>IF(OR(AO62="",J62="",AO62&lt;=0),"",(J62-AO62)/AO62)</f>
        <v>0.0526315789473685</v>
      </c>
      <c r="V62" s="7">
        <f>IF(OR(AO62="",N62="",AO62&lt;=0),"",(AO62-N62)/AO62)</f>
        <v>0.0131578947368421</v>
      </c>
      <c r="W62" s="19">
        <f>IF(OR(U62="",V62="",V62&lt;=0),"",U62/V62)</f>
        <v>4.00000000000002</v>
      </c>
      <c r="X62" s="5">
        <f>IF(OR(K62="",L62="",AP62=""),"",K62*L62-(E62*H62+IF(AND(AK62&lt;&gt;"",AL62&lt;&gt;""),AK62*AL62,0)+IF(AND(AM62&lt;&gt;"",AN62&lt;&gt;""),AM62*AN62,0))-IF(O62="",0,O62)-IF(P62="",0,P62))</f>
        <v>37464</v>
      </c>
      <c r="Y62" s="7">
        <f>IF(OR(X62="",AP62=""),"",IF((E62*H62+IF(AND(AK62&lt;&gt;"",AL62&lt;&gt;""),AK62*AL62,0)+IF(AND(AM62&lt;&gt;"",AN62&lt;&gt;""),AM62*AN62,0))+IF(O62="",0,O62)&lt;=0,"",X62/((E62*H62+IF(AND(AK62&lt;&gt;"",AL62&lt;&gt;""),AK62*AL62,0)+IF(AND(AM62&lt;&gt;"",AN62&lt;&gt;""),AM62*AN62,0))+IF(O62="",0,O62))))</f>
        <v>0.110526315789474</v>
      </c>
      <c r="Z62" s="7">
        <f>IF(OR(AE62="",多次统计数据!$B$8=""),"",AE62-多次统计数据!$B$8)</f>
        <v>0.095393384131518</v>
      </c>
      <c r="AA62" s="11">
        <f>IF(OR(I62="",M62="",M62&lt;I62),"",M62-I62)</f>
        <v>426</v>
      </c>
      <c r="AB62" s="7">
        <f>IF(OR(A62="",多次统计数据!$B$8="",多次统计数据!$B$6&lt;=0,多次统计数据!$B$6&gt;=1),"",1-POWER(1+多次统计数据!$B$8,-多次统计数据!$B$6/(1-多次统计数据!$B$6)))</f>
        <v>0.0530166567311223</v>
      </c>
      <c r="AC62" s="8" t="str">
        <f>IF(OR(AB62="",多次统计数据!$B$9=""),"",IF(多次统计数据!$B$9&lt;AB62,"低于上限","达到或超过上限"))</f>
        <v>低于上限</v>
      </c>
      <c r="AD62" s="2"/>
      <c r="AE62" s="7">
        <f>IF(OR(X62="",C62="",C62&lt;=0),"",X62/C62)</f>
        <v>0.167942011054479</v>
      </c>
      <c r="AG62" s="2"/>
      <c r="AH62" s="2"/>
      <c r="AI62" s="2"/>
      <c r="AJ62" s="8" t="str">
        <f>IF(OR(AG62="",AH62=""),"",IF(OR(AND(AG62="短期博反弹",OR(AH62="1～3个交易日",AH62="4～10个交易日")),AND(AG62="突破冲新高",OR(AH62="4～10个交易日",AH62="11～20个交易日")),AND(AG62="趋势波段",OR(AH62="11～20个交易日",AH62="21～60个交易日",AH62="60个交易日以上"))),"匹配","周期与交易预期不匹配，请重新确认"))</f>
        <v/>
      </c>
      <c r="AK62" s="10"/>
      <c r="AL62" s="12"/>
      <c r="AM62" s="10"/>
      <c r="AN62" s="12"/>
      <c r="AO62" s="5">
        <f>IF(OR(A62="",H62="",H62&lt;=0),"",(E62*H62+IF(AND(AK62&lt;&gt;"",AL62&lt;&gt;""),AK62*AL62,0)+IF(AND(AM62&lt;&gt;"",AN62&lt;&gt;""),AM62*AN62,0))/AP62)</f>
        <v>3.8</v>
      </c>
      <c r="AP62" s="11">
        <f>IF(OR(A62="",H62="",H62&lt;=0),"",H62+IF(AL62="",0,AL62)+IF(AN62="",0,AN62))</f>
        <v>89200</v>
      </c>
      <c r="AQ62" s="5">
        <f>IF(A62="","",IF(M62&lt;&gt;"",0,IF(OR(H62="",N62=""),"",MAX(E62-MAX(N62,IFERROR(SUMPRODUCT(MAX(((持仓跟踪!$A$2:$A$157="每日跟踪")*(持仓跟踪!$B$2:$B$157=A62))*持仓跟踪!$S$2:$S$157)),0)),0)*H62+IF(OR(AK62="",AL62=""),0,MAX(AK62-MAX(N62,IFERROR(SUMPRODUCT(MAX(((持仓跟踪!$A$2:$A$157="每日跟踪")*(持仓跟踪!$B$2:$B$157=A62))*持仓跟踪!$S$2:$S$157)),0)),0)*AL62)+IF(OR(AM62="",AN62=""),0,MAX(AM62-MAX(N62,IFERROR(SUMPRODUCT(MAX(((持仓跟踪!$A$2:$A$157="每日跟踪")*(持仓跟踪!$B$2:$B$157=A62))*持仓跟踪!$S$2:$S$157)),0)),0)*AN62))))</f>
        <v>0</v>
      </c>
      <c r="AR62" s="8" t="str">
        <f ca="1">IF(A62="","",IF(OR(E62="",H62=""),"违规：第一批价格或股数缺失",IF(OR(AND(AK62="",AL62&lt;&gt;""),AND(AK62&lt;&gt;"",AL62="")),"违规：第二批价格与股数须成对填写",IF(OR(AND(AM62="",AN62&lt;&gt;""),AND(AM62&lt;&gt;"",AN62="")),"违规：第三批价格与股数须成对填写",IF(AND(OR(AM62&lt;&gt;"",AN62&lt;&gt;""),OR(AK62="",AL62="")),"违规：必须先完成第二批",IF(OR(H62&lt;=0,H62&lt;&gt;INT(H62),MOD(H62,100)&lt;&gt;0,AND(AL62&lt;&gt;"",OR(AL62&lt;=0,AL62&lt;&gt;INT(AL62),MOD(AL62,100)&lt;&gt;0)),AND(AN62&lt;&gt;"",OR(AN62&lt;=0,AN62&lt;&gt;INT(AN62),MOD(AN62,100)&lt;&gt;0))),"违规：股数须为100股整数倍",IF(AND(OR(AL62&lt;&gt;"",AN62&lt;&gt;""),OR(_LockStatus="已锁仓",_LockStatus="解锁信息不完整")),"违规：锁仓期间禁止加仓",IF(AQ62&gt;C62*D62,"违规：超过单笔风险上限",IF(SUM($AQ$2:$AQ$98)&gt;账户数据!$B$7,"违规：超过账户风险上限","通过")))))))))</f>
        <v>通过</v>
      </c>
    </row>
    <row r="63" s="17" customFormat="1" ht="17" spans="1:44">
      <c r="A63" s="21">
        <v>62</v>
      </c>
      <c r="B63" s="22" t="s">
        <v>67</v>
      </c>
      <c r="C63" s="23">
        <v>260541</v>
      </c>
      <c r="D63" s="24">
        <v>0.02</v>
      </c>
      <c r="E63" s="23">
        <v>4.08</v>
      </c>
      <c r="F63" s="25">
        <f>IF(OR(C63="",D63="",E63="",N63="",C63&lt;=0,D63&lt;=0,E63&lt;=N63),"",ROUNDDOWN((C63*D63)/(E63-N63)/100,0)*100)</f>
        <v>65100</v>
      </c>
      <c r="G63" s="26" t="str">
        <f ca="1">IF(A63="","",IF(H63&lt;&gt;"","已开仓",IF(账户数据!$B$23="已锁仓","禁止开仓：连续亏损达到上限",IF(账户数据!$B$23="解锁信息不完整","禁止开仓：请完整填写解锁信息",IF(OR(F63="",E63="",N63="",E63&lt;=N63,账户数据!$B$7=""),"",IF(OR(AG63="",AH63="",AI63=""),"禁止开仓：交易预期未填写完整",IF(COUNTIFS(持仓跟踪!$A$2:$A$157,"止损计划",持仓跟踪!$B$2:$B$157,A63,持仓跟踪!$AC$2:$AC$157,"计划有效")=0,"禁止开仓：请先填写止损计划",IF(账户数据!$B$9+F63*(E63-N63)&gt;=账户数据!$B$7,"禁止开仓：风险额度不足",IF(AJ63="周期与交易预期不匹配，请重新确认",IF(账户数据!$B$23="接近锁仓","允许开仓（接近锁仓；周期需复核）","允许开仓（周期需复核）"),IF(账户数据!$B$23="接近锁仓","允许开仓（接近锁仓）","允许开仓"))))))))))</f>
        <v>已开仓</v>
      </c>
      <c r="H63" s="21">
        <v>65100</v>
      </c>
      <c r="I63" s="27">
        <v>45483</v>
      </c>
      <c r="J63" s="23">
        <v>4.2</v>
      </c>
      <c r="K63" s="28">
        <f>IF(A63="","",IFERROR(LOOKUP(2,1/((持仓跟踪!$B$2:$B$157=A63)*(持仓跟踪!$X$2:$X$157="执行卖出")*(持仓跟踪!$Y$2:$Y$157&lt;&gt;"")),持仓跟踪!$Y$2:$Y$157),""))</f>
        <v>3.87</v>
      </c>
      <c r="L63" s="25">
        <f>IF(A63="","",IFERROR(LOOKUP(2,1/((持仓跟踪!$B$2:$B$157=A63)*(持仓跟踪!$X$2:$X$157="执行卖出")*(持仓跟踪!$Z$2:$Z$157&lt;&gt;"")),持仓跟踪!$Z$2:$Z$157),""))</f>
        <v>65100</v>
      </c>
      <c r="M63" s="29">
        <f>IF(A63="","",IFERROR(LOOKUP(2,1/((持仓跟踪!$B$2:$B$157=A63)*(持仓跟踪!$X$2:$X$157="执行卖出")*(持仓跟踪!$H$2:$H$157&lt;&gt;"")),持仓跟踪!$H$2:$H$157),""))</f>
        <v>45498</v>
      </c>
      <c r="N63" s="23">
        <v>4</v>
      </c>
      <c r="O63" s="23"/>
      <c r="P63" s="30" t="str">
        <f>IF(A63="","",IFERROR(LOOKUP(2,1/((持仓跟踪!$B$2:$B$157=A63)*(持仓跟踪!$X$2:$X$157="执行卖出")*(持仓跟踪!$AA$2:$AA$157&lt;&gt;"")),持仓跟踪!$AA$2:$AA$157),""))</f>
        <v/>
      </c>
      <c r="Q63" s="21"/>
      <c r="R63" s="21"/>
      <c r="S63" s="21"/>
      <c r="T63" s="21"/>
      <c r="U63" s="31">
        <f>IF(OR(AO63="",J63="",AO63&lt;=0),"",(J63-AO63)/AO63)</f>
        <v>0.0294117647058824</v>
      </c>
      <c r="V63" s="31">
        <f>IF(OR(AO63="",N63="",AO63&lt;=0),"",(AO63-N63)/AO63)</f>
        <v>0.0196078431372549</v>
      </c>
      <c r="W63" s="32">
        <f>IF(OR(U63="",V63="",V63&lt;=0),"",U63/V63)</f>
        <v>1.5</v>
      </c>
      <c r="X63" s="28">
        <f>IF(OR(K63="",L63="",AP63=""),"",K63*L63-(E63*H63+IF(AND(AK63&lt;&gt;"",AL63&lt;&gt;""),AK63*AL63,0)+IF(AND(AM63&lt;&gt;"",AN63&lt;&gt;""),AM63*AN63,0))-IF(O63="",0,O63)-IF(P63="",0,P63))</f>
        <v>-13671</v>
      </c>
      <c r="Y63" s="31">
        <f>IF(OR(X63="",AP63=""),"",IF((E63*H63+IF(AND(AK63&lt;&gt;"",AL63&lt;&gt;""),AK63*AL63,0)+IF(AND(AM63&lt;&gt;"",AN63&lt;&gt;""),AM63*AN63,0))+IF(O63="",0,O63)&lt;=0,"",X63/((E63*H63+IF(AND(AK63&lt;&gt;"",AL63&lt;&gt;""),AK63*AL63,0)+IF(AND(AM63&lt;&gt;"",AN63&lt;&gt;""),AM63*AN63,0))+IF(O63="",0,O63))))</f>
        <v>-0.0514705882352941</v>
      </c>
      <c r="Z63" s="31">
        <f>IF(OR(AE63="",多次统计数据!$B$8=""),"",AE63-多次统计数据!$B$8)</f>
        <v>-0.125020214888003</v>
      </c>
      <c r="AA63" s="33">
        <f>IF(OR(I63="",M63="",M63&lt;I63),"",M63-I63)</f>
        <v>15</v>
      </c>
      <c r="AB63" s="31">
        <f>IF(OR(A63="",多次统计数据!$B$8="",多次统计数据!$B$6&lt;=0,多次统计数据!$B$6&gt;=1),"",1-POWER(1+多次统计数据!$B$8,-多次统计数据!$B$6/(1-多次统计数据!$B$6)))</f>
        <v>0.0530166567311223</v>
      </c>
      <c r="AC63" s="26" t="str">
        <f>IF(OR(AB63="",多次统计数据!$B$9=""),"",IF(多次统计数据!$B$9&lt;AB63,"低于上限","达到或超过上限"))</f>
        <v>低于上限</v>
      </c>
      <c r="AD63" s="21"/>
      <c r="AE63" s="31">
        <f>IF(OR(X63="",C63="",C63&lt;=0),"",X63/C63)</f>
        <v>-0.052471587965042</v>
      </c>
      <c r="AG63" s="21"/>
      <c r="AH63" s="21"/>
      <c r="AI63" s="21"/>
      <c r="AJ63" s="26" t="str">
        <f>IF(OR(AG63="",AH63=""),"",IF(OR(AND(AG63="短期博反弹",OR(AH63="1～3个交易日",AH63="4～10个交易日")),AND(AG63="突破冲新高",OR(AH63="4～10个交易日",AH63="11～20个交易日")),AND(AG63="趋势波段",OR(AH63="11～20个交易日",AH63="21～60个交易日",AH63="60个交易日以上"))),"匹配","周期与交易预期不匹配，请重新确认"))</f>
        <v/>
      </c>
      <c r="AK63" s="23"/>
      <c r="AL63" s="34"/>
      <c r="AM63" s="23"/>
      <c r="AN63" s="34"/>
      <c r="AO63" s="28">
        <f>IF(OR(A63="",H63="",H63&lt;=0),"",(E63*H63+IF(AND(AK63&lt;&gt;"",AL63&lt;&gt;""),AK63*AL63,0)+IF(AND(AM63&lt;&gt;"",AN63&lt;&gt;""),AM63*AN63,0))/AP63)</f>
        <v>4.08</v>
      </c>
      <c r="AP63" s="33">
        <f>IF(OR(A63="",H63="",H63&lt;=0),"",H63+IF(AL63="",0,AL63)+IF(AN63="",0,AN63))</f>
        <v>65100</v>
      </c>
      <c r="AQ63" s="28">
        <f>IF(A63="","",IF(M63&lt;&gt;"",0,IF(OR(H63="",N63=""),"",MAX(E63-MAX(N63,IFERROR(SUMPRODUCT(MAX(((持仓跟踪!$A$2:$A$157="每日跟踪")*(持仓跟踪!$B$2:$B$157=A63))*持仓跟踪!$S$2:$S$157)),0)),0)*H63+IF(OR(AK63="",AL63=""),0,MAX(AK63-MAX(N63,IFERROR(SUMPRODUCT(MAX(((持仓跟踪!$A$2:$A$157="每日跟踪")*(持仓跟踪!$B$2:$B$157=A63))*持仓跟踪!$S$2:$S$157)),0)),0)*AL63)+IF(OR(AM63="",AN63=""),0,MAX(AM63-MAX(N63,IFERROR(SUMPRODUCT(MAX(((持仓跟踪!$A$2:$A$157="每日跟踪")*(持仓跟踪!$B$2:$B$157=A63))*持仓跟踪!$S$2:$S$157)),0)),0)*AN63))))</f>
        <v>0</v>
      </c>
      <c r="AR63" s="26" t="str">
        <f ca="1">IF(A63="","",IF(OR(E63="",H63=""),"违规：第一批价格或股数缺失",IF(OR(AND(AK63="",AL63&lt;&gt;""),AND(AK63&lt;&gt;"",AL63="")),"违规：第二批价格与股数须成对填写",IF(OR(AND(AM63="",AN63&lt;&gt;""),AND(AM63&lt;&gt;"",AN63="")),"违规：第三批价格与股数须成对填写",IF(AND(OR(AM63&lt;&gt;"",AN63&lt;&gt;""),OR(AK63="",AL63="")),"违规：必须先完成第二批",IF(OR(H63&lt;=0,H63&lt;&gt;INT(H63),MOD(H63,100)&lt;&gt;0,AND(AL63&lt;&gt;"",OR(AL63&lt;=0,AL63&lt;&gt;INT(AL63),MOD(AL63,100)&lt;&gt;0)),AND(AN63&lt;&gt;"",OR(AN63&lt;=0,AN63&lt;&gt;INT(AN63),MOD(AN63,100)&lt;&gt;0))),"违规：股数须为100股整数倍",IF(AND(OR(AL63&lt;&gt;"",AN63&lt;&gt;""),OR(_LockStatus="已锁仓",_LockStatus="解锁信息不完整")),"违规：锁仓期间禁止加仓",IF(AQ63&gt;C63*D63,"违规：超过单笔风险上限",IF(SUM($AQ$2:$AQ$98)&gt;账户数据!$B$7,"违规：超过账户风险上限","通过")))))))))</f>
        <v>通过</v>
      </c>
    </row>
    <row r="64" ht="17" spans="1:44">
      <c r="A64" s="2">
        <v>63</v>
      </c>
      <c r="B64" s="2" t="s">
        <v>67</v>
      </c>
      <c r="C64" s="10">
        <v>246870</v>
      </c>
      <c r="D64" s="6">
        <v>0.02</v>
      </c>
      <c r="E64" s="10">
        <v>4.39</v>
      </c>
      <c r="F64" s="8">
        <f>IF(OR(C64="",D64="",E64="",N64="",C64&lt;=0,D64&lt;=0,E64&lt;=N64),"",ROUNDDOWN((C64*D64)/(E64-N64)/100,0)*100)</f>
        <v>54800</v>
      </c>
      <c r="G64" s="8" t="str">
        <f ca="1">IF(A64="","",IF(H64&lt;&gt;"","已开仓",IF(账户数据!$B$23="已锁仓","禁止开仓：连续亏损达到上限",IF(账户数据!$B$23="解锁信息不完整","禁止开仓：请完整填写解锁信息",IF(OR(F64="",E64="",N64="",E64&lt;=N64,账户数据!$B$7=""),"",IF(OR(AG64="",AH64="",AI64=""),"禁止开仓：交易预期未填写完整",IF(COUNTIFS(持仓跟踪!$A$2:$A$157,"止损计划",持仓跟踪!$B$2:$B$157,A64,持仓跟踪!$AC$2:$AC$157,"计划有效")=0,"禁止开仓：请先填写止损计划",IF(账户数据!$B$9+F64*(E64-N64)&gt;=账户数据!$B$7,"禁止开仓：风险额度不足",IF(AJ64="周期与交易预期不匹配，请重新确认",IF(账户数据!$B$23="接近锁仓","允许开仓（接近锁仓；周期需复核）","允许开仓（周期需复核）"),IF(账户数据!$B$23="接近锁仓","允许开仓（接近锁仓）","允许开仓"))))))))))</f>
        <v>已开仓</v>
      </c>
      <c r="H64" s="2">
        <v>54800</v>
      </c>
      <c r="I64" s="13">
        <v>45678</v>
      </c>
      <c r="J64" s="10">
        <v>4.6</v>
      </c>
      <c r="K64" s="5">
        <f>IF(A64="","",IFERROR(LOOKUP(2,1/((持仓跟踪!$B$2:$B$157=A64)*(持仓跟踪!$X$2:$X$157="执行卖出")*(持仓跟踪!$Y$2:$Y$157&lt;&gt;"")),持仓跟踪!$Y$2:$Y$157),""))</f>
        <v>4.27</v>
      </c>
      <c r="L64" s="8">
        <f>IF(A64="","",IFERROR(LOOKUP(2,1/((持仓跟踪!$B$2:$B$157=A64)*(持仓跟踪!$X$2:$X$157="执行卖出")*(持仓跟踪!$Z$2:$Z$157&lt;&gt;"")),持仓跟踪!$Z$2:$Z$157),""))</f>
        <v>54800</v>
      </c>
      <c r="M64" s="18">
        <f>IF(A64="","",IFERROR(LOOKUP(2,1/((持仓跟踪!$B$2:$B$157=A64)*(持仓跟踪!$X$2:$X$157="执行卖出")*(持仓跟踪!$H$2:$H$157&lt;&gt;"")),持仓跟踪!$H$2:$H$157),""))</f>
        <v>45705</v>
      </c>
      <c r="N64" s="10">
        <v>4.3</v>
      </c>
      <c r="O64" s="10"/>
      <c r="P64" s="5" t="str">
        <f>IF(A64="","",IFERROR(LOOKUP(2,1/((持仓跟踪!$B$2:$B$157=A64)*(持仓跟踪!$X$2:$X$157="执行卖出")*(持仓跟踪!$AA$2:$AA$157&lt;&gt;"")),持仓跟踪!$AA$2:$AA$157),""))</f>
        <v/>
      </c>
      <c r="Q64" s="2"/>
      <c r="R64" s="2"/>
      <c r="S64" s="2"/>
      <c r="T64" s="2"/>
      <c r="U64" s="7">
        <f>IF(OR(AO64="",J64="",AO64&lt;=0),"",(J64-AO64)/AO64)</f>
        <v>0.0478359908883827</v>
      </c>
      <c r="V64" s="7">
        <f>IF(OR(AO64="",N64="",AO64&lt;=0),"",(AO64-N64)/AO64)</f>
        <v>0.020501138952164</v>
      </c>
      <c r="W64" s="19">
        <f>IF(OR(U64="",V64="",V64&lt;=0),"",U64/V64)</f>
        <v>2.33333333333334</v>
      </c>
      <c r="X64" s="5">
        <f>IF(OR(K64="",L64="",AP64=""),"",K64*L64-(E64*H64+IF(AND(AK64&lt;&gt;"",AL64&lt;&gt;""),AK64*AL64,0)+IF(AND(AM64&lt;&gt;"",AN64&lt;&gt;""),AM64*AN64,0))-IF(O64="",0,O64)-IF(P64="",0,P64))</f>
        <v>-6576</v>
      </c>
      <c r="Y64" s="7">
        <f>IF(OR(X64="",AP64=""),"",IF((E64*H64+IF(AND(AK64&lt;&gt;"",AL64&lt;&gt;""),AK64*AL64,0)+IF(AND(AM64&lt;&gt;"",AN64&lt;&gt;""),AM64*AN64,0))+IF(O64="",0,O64)&lt;=0,"",X64/((E64*H64+IF(AND(AK64&lt;&gt;"",AL64&lt;&gt;""),AK64*AL64,0)+IF(AND(AM64&lt;&gt;"",AN64&lt;&gt;""),AM64*AN64,0))+IF(O64="",0,O64))))</f>
        <v>-0.0273348519362187</v>
      </c>
      <c r="Z64" s="7">
        <f>IF(OR(AE64="",多次统计数据!$B$8=""),"",AE64-多次统计数据!$B$8)</f>
        <v>-0.0991861284419791</v>
      </c>
      <c r="AA64" s="11">
        <f>IF(OR(I64="",M64="",M64&lt;I64),"",M64-I64)</f>
        <v>27</v>
      </c>
      <c r="AB64" s="7">
        <f>IF(OR(A64="",多次统计数据!$B$8="",多次统计数据!$B$6&lt;=0,多次统计数据!$B$6&gt;=1),"",1-POWER(1+多次统计数据!$B$8,-多次统计数据!$B$6/(1-多次统计数据!$B$6)))</f>
        <v>0.0530166567311223</v>
      </c>
      <c r="AC64" s="8" t="str">
        <f>IF(OR(AB64="",多次统计数据!$B$9=""),"",IF(多次统计数据!$B$9&lt;AB64,"低于上限","达到或超过上限"))</f>
        <v>低于上限</v>
      </c>
      <c r="AD64" s="2"/>
      <c r="AE64" s="7">
        <f>IF(OR(X64="",C64="",C64&lt;=0),"",X64/C64)</f>
        <v>-0.0266375015190181</v>
      </c>
      <c r="AG64" s="2"/>
      <c r="AH64" s="2"/>
      <c r="AI64" s="2"/>
      <c r="AJ64" s="8" t="str">
        <f>IF(OR(AG64="",AH64=""),"",IF(OR(AND(AG64="短期博反弹",OR(AH64="1～3个交易日",AH64="4～10个交易日")),AND(AG64="突破冲新高",OR(AH64="4～10个交易日",AH64="11～20个交易日")),AND(AG64="趋势波段",OR(AH64="11～20个交易日",AH64="21～60个交易日",AH64="60个交易日以上"))),"匹配","周期与交易预期不匹配，请重新确认"))</f>
        <v/>
      </c>
      <c r="AK64" s="10"/>
      <c r="AL64" s="12"/>
      <c r="AM64" s="10"/>
      <c r="AN64" s="12"/>
      <c r="AO64" s="5">
        <f>IF(OR(A64="",H64="",H64&lt;=0),"",(E64*H64+IF(AND(AK64&lt;&gt;"",AL64&lt;&gt;""),AK64*AL64,0)+IF(AND(AM64&lt;&gt;"",AN64&lt;&gt;""),AM64*AN64,0))/AP64)</f>
        <v>4.39</v>
      </c>
      <c r="AP64" s="11">
        <f>IF(OR(A64="",H64="",H64&lt;=0),"",H64+IF(AL64="",0,AL64)+IF(AN64="",0,AN64))</f>
        <v>54800</v>
      </c>
      <c r="AQ64" s="5">
        <f>IF(A64="","",IF(M64&lt;&gt;"",0,IF(OR(H64="",N64=""),"",MAX(E64-MAX(N64,IFERROR(SUMPRODUCT(MAX(((持仓跟踪!$A$2:$A$157="每日跟踪")*(持仓跟踪!$B$2:$B$157=A64))*持仓跟踪!$S$2:$S$157)),0)),0)*H64+IF(OR(AK64="",AL64=""),0,MAX(AK64-MAX(N64,IFERROR(SUMPRODUCT(MAX(((持仓跟踪!$A$2:$A$157="每日跟踪")*(持仓跟踪!$B$2:$B$157=A64))*持仓跟踪!$S$2:$S$157)),0)),0)*AL64)+IF(OR(AM64="",AN64=""),0,MAX(AM64-MAX(N64,IFERROR(SUMPRODUCT(MAX(((持仓跟踪!$A$2:$A$157="每日跟踪")*(持仓跟踪!$B$2:$B$157=A64))*持仓跟踪!$S$2:$S$157)),0)),0)*AN64))))</f>
        <v>0</v>
      </c>
      <c r="AR64" s="8" t="str">
        <f ca="1">IF(A64="","",IF(OR(E64="",H64=""),"违规：第一批价格或股数缺失",IF(OR(AND(AK64="",AL64&lt;&gt;""),AND(AK64&lt;&gt;"",AL64="")),"违规：第二批价格与股数须成对填写",IF(OR(AND(AM64="",AN64&lt;&gt;""),AND(AM64&lt;&gt;"",AN64="")),"违规：第三批价格与股数须成对填写",IF(AND(OR(AM64&lt;&gt;"",AN64&lt;&gt;""),OR(AK64="",AL64="")),"违规：必须先完成第二批",IF(OR(H64&lt;=0,H64&lt;&gt;INT(H64),MOD(H64,100)&lt;&gt;0,AND(AL64&lt;&gt;"",OR(AL64&lt;=0,AL64&lt;&gt;INT(AL64),MOD(AL64,100)&lt;&gt;0)),AND(AN64&lt;&gt;"",OR(AN64&lt;=0,AN64&lt;&gt;INT(AN64),MOD(AN64,100)&lt;&gt;0))),"违规：股数须为100股整数倍",IF(AND(OR(AL64&lt;&gt;"",AN64&lt;&gt;""),OR(_LockStatus="已锁仓",_LockStatus="解锁信息不完整")),"违规：锁仓期间禁止加仓",IF(AQ64&gt;C64*D64,"违规：超过单笔风险上限",IF(SUM($AQ$2:$AQ$98)&gt;账户数据!$B$7,"违规：超过账户风险上限","通过")))))))))</f>
        <v>通过</v>
      </c>
    </row>
    <row r="65" ht="17" spans="1:44">
      <c r="A65" s="2">
        <v>64</v>
      </c>
      <c r="B65" s="2" t="s">
        <v>67</v>
      </c>
      <c r="C65" s="10">
        <v>240294</v>
      </c>
      <c r="D65" s="6">
        <v>0.02</v>
      </c>
      <c r="E65" s="10">
        <v>3.97</v>
      </c>
      <c r="F65" s="8">
        <f>IF(OR(C65="",D65="",E65="",N65="",C65&lt;=0,D65&lt;=0,E65&lt;=N65),"",ROUNDDOWN((C65*D65)/(E65-N65)/100,0)*100)</f>
        <v>68600</v>
      </c>
      <c r="G65" s="8" t="str">
        <f ca="1">IF(A65="","",IF(H65&lt;&gt;"","已开仓",IF(账户数据!$B$23="已锁仓","禁止开仓：连续亏损达到上限",IF(账户数据!$B$23="解锁信息不完整","禁止开仓：请完整填写解锁信息",IF(OR(F65="",E65="",N65="",E65&lt;=N65,账户数据!$B$7=""),"",IF(OR(AG65="",AH65="",AI65=""),"禁止开仓：交易预期未填写完整",IF(COUNTIFS(持仓跟踪!$A$2:$A$157,"止损计划",持仓跟踪!$B$2:$B$157,A65,持仓跟踪!$AC$2:$AC$157,"计划有效")=0,"禁止开仓：请先填写止损计划",IF(账户数据!$B$9+F65*(E65-N65)&gt;=账户数据!$B$7,"禁止开仓：风险额度不足",IF(AJ65="周期与交易预期不匹配，请重新确认",IF(账户数据!$B$23="接近锁仓","允许开仓（接近锁仓；周期需复核）","允许开仓（周期需复核）"),IF(账户数据!$B$23="接近锁仓","允许开仓（接近锁仓）","允许开仓"))))))))))</f>
        <v>已开仓</v>
      </c>
      <c r="H65" s="2">
        <v>68600</v>
      </c>
      <c r="I65" s="13">
        <v>45848</v>
      </c>
      <c r="J65" s="10">
        <v>4.2</v>
      </c>
      <c r="K65" s="5">
        <f>IF(A65="","",IFERROR(LOOKUP(2,1/((持仓跟踪!$B$2:$B$157=A65)*(持仓跟踪!$X$2:$X$157="执行卖出")*(持仓跟踪!$Y$2:$Y$157&lt;&gt;"")),持仓跟踪!$Y$2:$Y$157),""))</f>
        <v>4.02</v>
      </c>
      <c r="L65" s="8">
        <f>IF(A65="","",IFERROR(LOOKUP(2,1/((持仓跟踪!$B$2:$B$157=A65)*(持仓跟踪!$X$2:$X$157="执行卖出")*(持仓跟踪!$Z$2:$Z$157&lt;&gt;"")),持仓跟踪!$Z$2:$Z$157),""))</f>
        <v>68600</v>
      </c>
      <c r="M65" s="18">
        <f>IF(A65="","",IFERROR(LOOKUP(2,1/((持仓跟踪!$B$2:$B$157=A65)*(持仓跟踪!$X$2:$X$157="执行卖出")*(持仓跟踪!$H$2:$H$157&lt;&gt;"")),持仓跟踪!$H$2:$H$157),""))</f>
        <v>45868</v>
      </c>
      <c r="N65" s="10">
        <v>3.9</v>
      </c>
      <c r="O65" s="10"/>
      <c r="P65" s="5" t="str">
        <f>IF(A65="","",IFERROR(LOOKUP(2,1/((持仓跟踪!$B$2:$B$157=A65)*(持仓跟踪!$X$2:$X$157="执行卖出")*(持仓跟踪!$AA$2:$AA$157&lt;&gt;"")),持仓跟踪!$AA$2:$AA$157),""))</f>
        <v/>
      </c>
      <c r="Q65" s="2"/>
      <c r="R65" s="2"/>
      <c r="S65" s="2"/>
      <c r="T65" s="2"/>
      <c r="U65" s="7">
        <f>IF(OR(AO65="",J65="",AO65&lt;=0),"",(J65-AO65)/AO65)</f>
        <v>0.0579345088161209</v>
      </c>
      <c r="V65" s="7">
        <f>IF(OR(AO65="",N65="",AO65&lt;=0),"",(AO65-N65)/AO65)</f>
        <v>0.0176322418136021</v>
      </c>
      <c r="W65" s="19">
        <f>IF(OR(U65="",V65="",V65&lt;=0),"",U65/V65)</f>
        <v>3.28571428571427</v>
      </c>
      <c r="X65" s="5">
        <f>IF(OR(K65="",L65="",AP65=""),"",K65*L65-(E65*H65+IF(AND(AK65&lt;&gt;"",AL65&lt;&gt;""),AK65*AL65,0)+IF(AND(AM65&lt;&gt;"",AN65&lt;&gt;""),AM65*AN65,0))-IF(O65="",0,O65)-IF(P65="",0,P65))</f>
        <v>3429.99999999994</v>
      </c>
      <c r="Y65" s="7">
        <f>IF(OR(X65="",AP65=""),"",IF((E65*H65+IF(AND(AK65&lt;&gt;"",AL65&lt;&gt;""),AK65*AL65,0)+IF(AND(AM65&lt;&gt;"",AN65&lt;&gt;""),AM65*AN65,0))+IF(O65="",0,O65)&lt;=0,"",X65/((E65*H65+IF(AND(AK65&lt;&gt;"",AL65&lt;&gt;""),AK65*AL65,0)+IF(AND(AM65&lt;&gt;"",AN65&lt;&gt;""),AM65*AN65,0))+IF(O65="",0,O65))))</f>
        <v>0.0125944584382869</v>
      </c>
      <c r="Z65" s="7">
        <f>IF(OR(AE65="",多次统计数据!$B$8=""),"",AE65-多次统计数据!$B$8)</f>
        <v>-0.0582744461277687</v>
      </c>
      <c r="AA65" s="11">
        <f>IF(OR(I65="",M65="",M65&lt;I65),"",M65-I65)</f>
        <v>20</v>
      </c>
      <c r="AB65" s="7">
        <f>IF(OR(A65="",多次统计数据!$B$8="",多次统计数据!$B$6&lt;=0,多次统计数据!$B$6&gt;=1),"",1-POWER(1+多次统计数据!$B$8,-多次统计数据!$B$6/(1-多次统计数据!$B$6)))</f>
        <v>0.0530166567311223</v>
      </c>
      <c r="AC65" s="8" t="str">
        <f>IF(OR(AB65="",多次统计数据!$B$9=""),"",IF(多次统计数据!$B$9&lt;AB65,"低于上限","达到或超过上限"))</f>
        <v>低于上限</v>
      </c>
      <c r="AD65" s="2"/>
      <c r="AE65" s="7">
        <f>IF(OR(X65="",C65="",C65&lt;=0),"",X65/C65)</f>
        <v>0.0142741807951923</v>
      </c>
      <c r="AG65" s="2"/>
      <c r="AH65" s="2"/>
      <c r="AI65" s="2"/>
      <c r="AJ65" s="8" t="str">
        <f>IF(OR(AG65="",AH65=""),"",IF(OR(AND(AG65="短期博反弹",OR(AH65="1～3个交易日",AH65="4～10个交易日")),AND(AG65="突破冲新高",OR(AH65="4～10个交易日",AH65="11～20个交易日")),AND(AG65="趋势波段",OR(AH65="11～20个交易日",AH65="21～60个交易日",AH65="60个交易日以上"))),"匹配","周期与交易预期不匹配，请重新确认"))</f>
        <v/>
      </c>
      <c r="AK65" s="10"/>
      <c r="AL65" s="12"/>
      <c r="AM65" s="10"/>
      <c r="AN65" s="12"/>
      <c r="AO65" s="5">
        <f>IF(OR(A65="",H65="",H65&lt;=0),"",(E65*H65+IF(AND(AK65&lt;&gt;"",AL65&lt;&gt;""),AK65*AL65,0)+IF(AND(AM65&lt;&gt;"",AN65&lt;&gt;""),AM65*AN65,0))/AP65)</f>
        <v>3.97</v>
      </c>
      <c r="AP65" s="11">
        <f>IF(OR(A65="",H65="",H65&lt;=0),"",H65+IF(AL65="",0,AL65)+IF(AN65="",0,AN65))</f>
        <v>68600</v>
      </c>
      <c r="AQ65" s="5">
        <f>IF(A65="","",IF(M65&lt;&gt;"",0,IF(OR(H65="",N65=""),"",MAX(E65-MAX(N65,IFERROR(SUMPRODUCT(MAX(((持仓跟踪!$A$2:$A$157="每日跟踪")*(持仓跟踪!$B$2:$B$157=A65))*持仓跟踪!$S$2:$S$157)),0)),0)*H65+IF(OR(AK65="",AL65=""),0,MAX(AK65-MAX(N65,IFERROR(SUMPRODUCT(MAX(((持仓跟踪!$A$2:$A$157="每日跟踪")*(持仓跟踪!$B$2:$B$157=A65))*持仓跟踪!$S$2:$S$157)),0)),0)*AL65)+IF(OR(AM65="",AN65=""),0,MAX(AM65-MAX(N65,IFERROR(SUMPRODUCT(MAX(((持仓跟踪!$A$2:$A$157="每日跟踪")*(持仓跟踪!$B$2:$B$157=A65))*持仓跟踪!$S$2:$S$157)),0)),0)*AN65))))</f>
        <v>0</v>
      </c>
      <c r="AR65" s="8" t="str">
        <f ca="1">IF(A65="","",IF(OR(E65="",H65=""),"违规：第一批价格或股数缺失",IF(OR(AND(AK65="",AL65&lt;&gt;""),AND(AK65&lt;&gt;"",AL65="")),"违规：第二批价格与股数须成对填写",IF(OR(AND(AM65="",AN65&lt;&gt;""),AND(AM65&lt;&gt;"",AN65="")),"违规：第三批价格与股数须成对填写",IF(AND(OR(AM65&lt;&gt;"",AN65&lt;&gt;""),OR(AK65="",AL65="")),"违规：必须先完成第二批",IF(OR(H65&lt;=0,H65&lt;&gt;INT(H65),MOD(H65,100)&lt;&gt;0,AND(AL65&lt;&gt;"",OR(AL65&lt;=0,AL65&lt;&gt;INT(AL65),MOD(AL65,100)&lt;&gt;0)),AND(AN65&lt;&gt;"",OR(AN65&lt;=0,AN65&lt;&gt;INT(AN65),MOD(AN65,100)&lt;&gt;0))),"违规：股数须为100股整数倍",IF(AND(OR(AL65&lt;&gt;"",AN65&lt;&gt;""),OR(_LockStatus="已锁仓",_LockStatus="解锁信息不完整")),"违规：锁仓期间禁止加仓",IF(AQ65&gt;C65*D65,"违规：超过单笔风险上限",IF(SUM($AQ$2:$AQ$98)&gt;账户数据!$B$7,"违规：超过账户风险上限","通过")))))))))</f>
        <v>通过</v>
      </c>
    </row>
    <row r="66" ht="17" spans="1:44">
      <c r="A66" s="2">
        <v>65</v>
      </c>
      <c r="B66" s="2" t="s">
        <v>67</v>
      </c>
      <c r="C66" s="10">
        <v>243724</v>
      </c>
      <c r="D66" s="6">
        <v>0.02</v>
      </c>
      <c r="E66" s="10">
        <v>3.95</v>
      </c>
      <c r="F66" s="8">
        <f>IF(OR(C66="",D66="",E66="",N66="",C66&lt;=0,D66&lt;=0,E66&lt;=N66),"",ROUNDDOWN((C66*D66)/(E66-N66)/100,0)*100)</f>
        <v>48700</v>
      </c>
      <c r="G66" s="8" t="str">
        <f ca="1">IF(A66="","",IF(H66&lt;&gt;"","已开仓",IF(账户数据!$B$23="已锁仓","禁止开仓：连续亏损达到上限",IF(账户数据!$B$23="解锁信息不完整","禁止开仓：请完整填写解锁信息",IF(OR(F66="",E66="",N66="",E66&lt;=N66,账户数据!$B$7=""),"",IF(OR(AG66="",AH66="",AI66=""),"禁止开仓：交易预期未填写完整",IF(COUNTIFS(持仓跟踪!$A$2:$A$157,"止损计划",持仓跟踪!$B$2:$B$157,A66,持仓跟踪!$AC$2:$AC$157,"计划有效")=0,"禁止开仓：请先填写止损计划",IF(账户数据!$B$9+F66*(E66-N66)&gt;=账户数据!$B$7,"禁止开仓：风险额度不足",IF(AJ66="周期与交易预期不匹配，请重新确认",IF(账户数据!$B$23="接近锁仓","允许开仓（接近锁仓；周期需复核）","允许开仓（周期需复核）"),IF(账户数据!$B$23="接近锁仓","允许开仓（接近锁仓）","允许开仓"))))))))))</f>
        <v>已开仓</v>
      </c>
      <c r="H66" s="2">
        <v>48700</v>
      </c>
      <c r="I66" s="13">
        <v>45888</v>
      </c>
      <c r="J66" s="10">
        <v>4.2</v>
      </c>
      <c r="K66" s="5">
        <f>IF(A66="","",IFERROR(LOOKUP(2,1/((持仓跟踪!$B$2:$B$157=A66)*(持仓跟踪!$X$2:$X$157="执行卖出")*(持仓跟踪!$Y$2:$Y$157&lt;&gt;"")),持仓跟踪!$Y$2:$Y$157),""))</f>
        <v>3.98</v>
      </c>
      <c r="L66" s="8">
        <f>IF(A66="","",IFERROR(LOOKUP(2,1/((持仓跟踪!$B$2:$B$157=A66)*(持仓跟踪!$X$2:$X$157="执行卖出")*(持仓跟踪!$Z$2:$Z$157&lt;&gt;"")),持仓跟踪!$Z$2:$Z$157),""))</f>
        <v>48700</v>
      </c>
      <c r="M66" s="18">
        <f>IF(A66="","",IFERROR(LOOKUP(2,1/((持仓跟踪!$B$2:$B$157=A66)*(持仓跟踪!$X$2:$X$157="执行卖出")*(持仓跟踪!$H$2:$H$157&lt;&gt;"")),持仓跟踪!$H$2:$H$157),""))</f>
        <v>45903</v>
      </c>
      <c r="N66" s="10">
        <v>3.85</v>
      </c>
      <c r="O66" s="10"/>
      <c r="P66" s="5" t="str">
        <f>IF(A66="","",IFERROR(LOOKUP(2,1/((持仓跟踪!$B$2:$B$157=A66)*(持仓跟踪!$X$2:$X$157="执行卖出")*(持仓跟踪!$AA$2:$AA$157&lt;&gt;"")),持仓跟踪!$AA$2:$AA$157),""))</f>
        <v/>
      </c>
      <c r="Q66" s="2"/>
      <c r="R66" s="2"/>
      <c r="S66" s="2"/>
      <c r="T66" s="2"/>
      <c r="U66" s="7">
        <f>IF(OR(AO66="",J66="",AO66&lt;=0),"",(J66-AO66)/AO66)</f>
        <v>0.0632911392405063</v>
      </c>
      <c r="V66" s="7">
        <f>IF(OR(AO66="",N66="",AO66&lt;=0),"",(AO66-N66)/AO66)</f>
        <v>0.0253164556962026</v>
      </c>
      <c r="W66" s="19">
        <f>IF(OR(U66="",V66="",V66&lt;=0),"",U66/V66)</f>
        <v>2.5</v>
      </c>
      <c r="X66" s="5">
        <f>IF(OR(K66="",L66="",AP66=""),"",K66*L66-(E66*H66+IF(AND(AK66&lt;&gt;"",AL66&lt;&gt;""),AK66*AL66,0)+IF(AND(AM66&lt;&gt;"",AN66&lt;&gt;""),AM66*AN66,0))-IF(O66="",0,O66)-IF(P66="",0,P66))</f>
        <v>1461</v>
      </c>
      <c r="Y66" s="7">
        <f>IF(OR(X66="",AP66=""),"",IF((E66*H66+IF(AND(AK66&lt;&gt;"",AL66&lt;&gt;""),AK66*AL66,0)+IF(AND(AM66&lt;&gt;"",AN66&lt;&gt;""),AM66*AN66,0))+IF(O66="",0,O66)&lt;=0,"",X66/((E66*H66+IF(AND(AK66&lt;&gt;"",AL66&lt;&gt;""),AK66*AL66,0)+IF(AND(AM66&lt;&gt;"",AN66&lt;&gt;""),AM66*AN66,0))+IF(O66="",0,O66))))</f>
        <v>0.00759493670886076</v>
      </c>
      <c r="Z66" s="7">
        <f>IF(OR(AE66="",多次统计数据!$B$8=""),"",AE66-多次统计数据!$B$8)</f>
        <v>-0.0665541413573211</v>
      </c>
      <c r="AA66" s="11">
        <f>IF(OR(I66="",M66="",M66&lt;I66),"",M66-I66)</f>
        <v>15</v>
      </c>
      <c r="AB66" s="7">
        <f>IF(OR(A66="",多次统计数据!$B$8="",多次统计数据!$B$6&lt;=0,多次统计数据!$B$6&gt;=1),"",1-POWER(1+多次统计数据!$B$8,-多次统计数据!$B$6/(1-多次统计数据!$B$6)))</f>
        <v>0.0530166567311223</v>
      </c>
      <c r="AC66" s="8" t="str">
        <f>IF(OR(AB66="",多次统计数据!$B$9=""),"",IF(多次统计数据!$B$9&lt;AB66,"低于上限","达到或超过上限"))</f>
        <v>低于上限</v>
      </c>
      <c r="AD66" s="2"/>
      <c r="AE66" s="7">
        <f>IF(OR(X66="",C66="",C66&lt;=0),"",X66/C66)</f>
        <v>0.00599448556563982</v>
      </c>
      <c r="AG66" s="2"/>
      <c r="AH66" s="2"/>
      <c r="AI66" s="2"/>
      <c r="AJ66" s="8" t="str">
        <f>IF(OR(AG66="",AH66=""),"",IF(OR(AND(AG66="短期博反弹",OR(AH66="1～3个交易日",AH66="4～10个交易日")),AND(AG66="突破冲新高",OR(AH66="4～10个交易日",AH66="11～20个交易日")),AND(AG66="趋势波段",OR(AH66="11～20个交易日",AH66="21～60个交易日",AH66="60个交易日以上"))),"匹配","周期与交易预期不匹配，请重新确认"))</f>
        <v/>
      </c>
      <c r="AK66" s="10"/>
      <c r="AL66" s="12"/>
      <c r="AM66" s="10"/>
      <c r="AN66" s="12"/>
      <c r="AO66" s="5">
        <f>IF(OR(A66="",H66="",H66&lt;=0),"",(E66*H66+IF(AND(AK66&lt;&gt;"",AL66&lt;&gt;""),AK66*AL66,0)+IF(AND(AM66&lt;&gt;"",AN66&lt;&gt;""),AM66*AN66,0))/AP66)</f>
        <v>3.95</v>
      </c>
      <c r="AP66" s="11">
        <f>IF(OR(A66="",H66="",H66&lt;=0),"",H66+IF(AL66="",0,AL66)+IF(AN66="",0,AN66))</f>
        <v>48700</v>
      </c>
      <c r="AQ66" s="5">
        <f>IF(A66="","",IF(M66&lt;&gt;"",0,IF(OR(H66="",N66=""),"",MAX(E66-MAX(N66,IFERROR(SUMPRODUCT(MAX(((持仓跟踪!$A$2:$A$157="每日跟踪")*(持仓跟踪!$B$2:$B$157=A66))*持仓跟踪!$S$2:$S$157)),0)),0)*H66+IF(OR(AK66="",AL66=""),0,MAX(AK66-MAX(N66,IFERROR(SUMPRODUCT(MAX(((持仓跟踪!$A$2:$A$157="每日跟踪")*(持仓跟踪!$B$2:$B$157=A66))*持仓跟踪!$S$2:$S$157)),0)),0)*AL66)+IF(OR(AM66="",AN66=""),0,MAX(AM66-MAX(N66,IFERROR(SUMPRODUCT(MAX(((持仓跟踪!$A$2:$A$157="每日跟踪")*(持仓跟踪!$B$2:$B$157=A66))*持仓跟踪!$S$2:$S$157)),0)),0)*AN66))))</f>
        <v>0</v>
      </c>
      <c r="AR66" s="8" t="str">
        <f ca="1">IF(A66="","",IF(OR(E66="",H66=""),"违规：第一批价格或股数缺失",IF(OR(AND(AK66="",AL66&lt;&gt;""),AND(AK66&lt;&gt;"",AL66="")),"违规：第二批价格与股数须成对填写",IF(OR(AND(AM66="",AN66&lt;&gt;""),AND(AM66&lt;&gt;"",AN66="")),"违规：第三批价格与股数须成对填写",IF(AND(OR(AM66&lt;&gt;"",AN66&lt;&gt;""),OR(AK66="",AL66="")),"违规：必须先完成第二批",IF(OR(H66&lt;=0,H66&lt;&gt;INT(H66),MOD(H66,100)&lt;&gt;0,AND(AL66&lt;&gt;"",OR(AL66&lt;=0,AL66&lt;&gt;INT(AL66),MOD(AL66,100)&lt;&gt;0)),AND(AN66&lt;&gt;"",OR(AN66&lt;=0,AN66&lt;&gt;INT(AN66),MOD(AN66,100)&lt;&gt;0))),"违规：股数须为100股整数倍",IF(AND(OR(AL66&lt;&gt;"",AN66&lt;&gt;""),OR(_LockStatus="已锁仓",_LockStatus="解锁信息不完整")),"违规：锁仓期间禁止加仓",IF(AQ66&gt;C66*D66,"违规：超过单笔风险上限",IF(SUM($AQ$2:$AQ$98)&gt;账户数据!$B$7,"违规：超过账户风险上限","通过")))))))))</f>
        <v>通过</v>
      </c>
    </row>
    <row r="67" ht="34" spans="1:44">
      <c r="A67" s="2">
        <v>66</v>
      </c>
      <c r="B67" s="2" t="s">
        <v>67</v>
      </c>
      <c r="C67" s="10">
        <v>245185</v>
      </c>
      <c r="D67" s="6">
        <v>0.02</v>
      </c>
      <c r="E67" s="10">
        <v>4.15</v>
      </c>
      <c r="F67" s="8">
        <f>IF(OR(C67="",D67="",E67="",N67="",C67&lt;=0,D67&lt;=0,E67&lt;=N67),"",ROUNDDOWN((C67*D67)/(E67-N67)/100,0)*100)</f>
        <v>32600</v>
      </c>
      <c r="G67" s="8" t="str">
        <f ca="1">IF(A67="","",IF(H67&lt;&gt;"","已开仓",IF(账户数据!$B$23="已锁仓","禁止开仓：连续亏损达到上限",IF(账户数据!$B$23="解锁信息不完整","禁止开仓：请完整填写解锁信息",IF(OR(F67="",E67="",N67="",E67&lt;=N67,账户数据!$B$7=""),"",IF(OR(AG67="",AH67="",AI67=""),"禁止开仓：交易预期未填写完整",IF(COUNTIFS(持仓跟踪!$A$2:$A$157,"止损计划",持仓跟踪!$B$2:$B$157,A67,持仓跟踪!$AC$2:$AC$157,"计划有效")=0,"禁止开仓：请先填写止损计划",IF(账户数据!$B$9+F67*(E67-N67)&gt;=账户数据!$B$7,"禁止开仓：风险额度不足",IF(AJ67="周期与交易预期不匹配，请重新确认",IF(账户数据!$B$23="接近锁仓","允许开仓（接近锁仓；周期需复核）","允许开仓（周期需复核）"),IF(账户数据!$B$23="接近锁仓","允许开仓（接近锁仓）","允许开仓"))))))))))</f>
        <v>已开仓</v>
      </c>
      <c r="H67" s="2">
        <v>32600</v>
      </c>
      <c r="I67" s="13">
        <v>46139</v>
      </c>
      <c r="J67" s="10">
        <v>4.5</v>
      </c>
      <c r="K67" s="5">
        <f>IF(A67="","",IFERROR(LOOKUP(2,1/((持仓跟踪!$B$2:$B$157=A67)*(持仓跟踪!$X$2:$X$157="执行卖出")*(持仓跟踪!$Y$2:$Y$157&lt;&gt;"")),持仓跟踪!$Y$2:$Y$157),""))</f>
        <v>5.05</v>
      </c>
      <c r="L67" s="8">
        <f>IF(A67="","",IFERROR(LOOKUP(2,1/((持仓跟踪!$B$2:$B$157=A67)*(持仓跟踪!$X$2:$X$157="执行卖出")*(持仓跟踪!$Z$2:$Z$157&lt;&gt;"")),持仓跟踪!$Z$2:$Z$157),""))</f>
        <v>32600</v>
      </c>
      <c r="M67" s="18">
        <f>IF(A67="","",IFERROR(LOOKUP(2,1/((持仓跟踪!$B$2:$B$157=A67)*(持仓跟踪!$X$2:$X$157="执行卖出")*(持仓跟踪!$H$2:$H$157&lt;&gt;"")),持仓跟踪!$H$2:$H$157),""))</f>
        <v>46171</v>
      </c>
      <c r="N67" s="10">
        <v>4</v>
      </c>
      <c r="O67" s="10"/>
      <c r="P67" s="5" t="str">
        <f>IF(A67="","",IFERROR(LOOKUP(2,1/((持仓跟踪!$B$2:$B$157=A67)*(持仓跟踪!$X$2:$X$157="执行卖出")*(持仓跟踪!$AA$2:$AA$157&lt;&gt;"")),持仓跟踪!$AA$2:$AA$157),""))</f>
        <v/>
      </c>
      <c r="Q67" s="2"/>
      <c r="R67" s="2"/>
      <c r="S67" s="2"/>
      <c r="T67" s="2"/>
      <c r="U67" s="7">
        <f>IF(OR(AO67="",J67="",AO67&lt;=0),"",(J67-AO67)/AO67)</f>
        <v>0.0843373493975903</v>
      </c>
      <c r="V67" s="7">
        <f>IF(OR(AO67="",N67="",AO67&lt;=0),"",(AO67-N67)/AO67)</f>
        <v>0.0361445783132531</v>
      </c>
      <c r="W67" s="19">
        <f>IF(OR(U67="",V67="",V67&lt;=0),"",U67/V67)</f>
        <v>2.33333333333333</v>
      </c>
      <c r="X67" s="5">
        <f>IF(OR(K67="",L67="",AP67=""),"",K67*L67-(E67*H67+IF(AND(AK67&lt;&gt;"",AL67&lt;&gt;""),AK67*AL67,0)+IF(AND(AM67&lt;&gt;"",AN67&lt;&gt;""),AM67*AN67,0))-IF(O67="",0,O67)-IF(P67="",0,P67))</f>
        <v>29340</v>
      </c>
      <c r="Y67" s="7">
        <f>IF(OR(X67="",AP67=""),"",IF((E67*H67+IF(AND(AK67&lt;&gt;"",AL67&lt;&gt;""),AK67*AL67,0)+IF(AND(AM67&lt;&gt;"",AN67&lt;&gt;""),AM67*AN67,0))+IF(O67="",0,O67)&lt;=0,"",X67/((E67*H67+IF(AND(AK67&lt;&gt;"",AL67&lt;&gt;""),AK67*AL67,0)+IF(AND(AM67&lt;&gt;"",AN67&lt;&gt;""),AM67*AN67,0))+IF(O67="",0,O67))))</f>
        <v>0.216867469879518</v>
      </c>
      <c r="Z67" s="7">
        <f>IF(OR(AE67="",多次统计数据!$B$8=""),"",AE67-多次统计数据!$B$8)</f>
        <v>0.0471161160262407</v>
      </c>
      <c r="AA67" s="11">
        <f>IF(OR(I67="",M67="",M67&lt;I67),"",M67-I67)</f>
        <v>32</v>
      </c>
      <c r="AB67" s="7">
        <f>IF(OR(A67="",多次统计数据!$B$8="",多次统计数据!$B$6&lt;=0,多次统计数据!$B$6&gt;=1),"",1-POWER(1+多次统计数据!$B$8,-多次统计数据!$B$6/(1-多次统计数据!$B$6)))</f>
        <v>0.0530166567311223</v>
      </c>
      <c r="AC67" s="8" t="str">
        <f>IF(OR(AB67="",多次统计数据!$B$9=""),"",IF(多次统计数据!$B$9&lt;AB67,"低于上限","达到或超过上限"))</f>
        <v>低于上限</v>
      </c>
      <c r="AD67" s="2"/>
      <c r="AE67" s="7">
        <f>IF(OR(X67="",C67="",C67&lt;=0),"",X67/C67)</f>
        <v>0.119664742949202</v>
      </c>
      <c r="AG67" s="2"/>
      <c r="AH67" s="2"/>
      <c r="AI67" s="2"/>
      <c r="AJ67" s="8" t="str">
        <f>IF(OR(AG67="",AH67=""),"",IF(OR(AND(AG67="短期博反弹",OR(AH67="1～3个交易日",AH67="4～10个交易日")),AND(AG67="突破冲新高",OR(AH67="4～10个交易日",AH67="11～20个交易日")),AND(AG67="趋势波段",OR(AH67="11～20个交易日",AH67="21～60个交易日",AH67="60个交易日以上"))),"匹配","周期与交易预期不匹配，请重新确认"))</f>
        <v/>
      </c>
      <c r="AK67" s="10"/>
      <c r="AL67" s="12"/>
      <c r="AM67" s="10"/>
      <c r="AN67" s="12"/>
      <c r="AO67" s="5">
        <f>IF(OR(A67="",H67="",H67&lt;=0),"",(E67*H67+IF(AND(AK67&lt;&gt;"",AL67&lt;&gt;""),AK67*AL67,0)+IF(AND(AM67&lt;&gt;"",AN67&lt;&gt;""),AM67*AN67,0))/AP67)</f>
        <v>4.15</v>
      </c>
      <c r="AP67" s="11">
        <f>IF(OR(A67="",H67="",H67&lt;=0),"",H67+IF(AL67="",0,AL67)+IF(AN67="",0,AN67))</f>
        <v>32600</v>
      </c>
      <c r="AQ67" s="5">
        <f>IF(A67="","",IF(M67&lt;&gt;"",0,IF(OR(H67="",N67=""),"",MAX(E67-MAX(N67,IFERROR(SUMPRODUCT(MAX(((持仓跟踪!$A$2:$A$157="每日跟踪")*(持仓跟踪!$B$2:$B$157=A67))*持仓跟踪!$S$2:$S$157)),0)),0)*H67+IF(OR(AK67="",AL67=""),0,MAX(AK67-MAX(N67,IFERROR(SUMPRODUCT(MAX(((持仓跟踪!$A$2:$A$157="每日跟踪")*(持仓跟踪!$B$2:$B$157=A67))*持仓跟踪!$S$2:$S$157)),0)),0)*AL67)+IF(OR(AM67="",AN67=""),0,MAX(AM67-MAX(N67,IFERROR(SUMPRODUCT(MAX(((持仓跟踪!$A$2:$A$157="每日跟踪")*(持仓跟踪!$B$2:$B$157=A67))*持仓跟踪!$S$2:$S$157)),0)),0)*AN67))))</f>
        <v>0</v>
      </c>
      <c r="AR67" s="8" t="str">
        <f ca="1">IF(A67="","",IF(OR(E67="",H67=""),"违规：第一批价格或股数缺失",IF(OR(AND(AK67="",AL67&lt;&gt;""),AND(AK67&lt;&gt;"",AL67="")),"违规：第二批价格与股数须成对填写",IF(OR(AND(AM67="",AN67&lt;&gt;""),AND(AM67&lt;&gt;"",AN67="")),"违规：第三批价格与股数须成对填写",IF(AND(OR(AM67&lt;&gt;"",AN67&lt;&gt;""),OR(AK67="",AL67="")),"违规：必须先完成第二批",IF(OR(H67&lt;=0,H67&lt;&gt;INT(H67),MOD(H67,100)&lt;&gt;0,AND(AL67&lt;&gt;"",OR(AL67&lt;=0,AL67&lt;&gt;INT(AL67),MOD(AL67,100)&lt;&gt;0)),AND(AN67&lt;&gt;"",OR(AN67&lt;=0,AN67&lt;&gt;INT(AN67),MOD(AN67,100)&lt;&gt;0))),"违规：股数须为100股整数倍",IF(AND(OR(AL67&lt;&gt;"",AN67&lt;&gt;""),OR(_LockStatus="已锁仓",_LockStatus="解锁信息不完整")),"违规：锁仓期间禁止加仓",IF(AQ67&gt;C67*D67,"违规：超过单笔风险上限",IF(SUM($AQ$2:$AQ$98)&gt;账户数据!$B$7,"违规：超过账户风险上限","通过")))))))))</f>
        <v>通过</v>
      </c>
    </row>
    <row r="68" ht="17" spans="1:44">
      <c r="A68" s="2">
        <v>67</v>
      </c>
      <c r="B68" s="2" t="s">
        <v>69</v>
      </c>
      <c r="C68" s="10">
        <v>274525</v>
      </c>
      <c r="D68" s="6">
        <v>0.02</v>
      </c>
      <c r="E68" s="10">
        <v>4.4</v>
      </c>
      <c r="F68" s="8">
        <f>IF(OR(C68="",D68="",E68="",N68="",C68&lt;=0,D68&lt;=0,E68&lt;=N68),"",ROUNDDOWN((C68*D68)/(E68-N68)/100,0)*100)</f>
        <v>27400</v>
      </c>
      <c r="G68" s="8" t="str">
        <f ca="1">IF(A68="","",IF(H68&lt;&gt;"","已开仓",IF(账户数据!$B$23="已锁仓","禁止开仓：连续亏损达到上限",IF(账户数据!$B$23="解锁信息不完整","禁止开仓：请完整填写解锁信息",IF(OR(F68="",E68="",N68="",E68&lt;=N68,账户数据!$B$7=""),"",IF(OR(AG68="",AH68="",AI68=""),"禁止开仓：交易预期未填写完整",IF(COUNTIFS(持仓跟踪!$A$2:$A$157,"止损计划",持仓跟踪!$B$2:$B$157,A68,持仓跟踪!$AC$2:$AC$157,"计划有效")=0,"禁止开仓：请先填写止损计划",IF(账户数据!$B$9+F68*(E68-N68)&gt;=账户数据!$B$7,"禁止开仓：风险额度不足",IF(AJ68="周期与交易预期不匹配，请重新确认",IF(账户数据!$B$23="接近锁仓","允许开仓（接近锁仓；周期需复核）","允许开仓（周期需复核）"),IF(账户数据!$B$23="接近锁仓","允许开仓（接近锁仓）","允许开仓"))))))))))</f>
        <v>已开仓</v>
      </c>
      <c r="H68" s="2">
        <v>27400</v>
      </c>
      <c r="I68" s="13">
        <v>41353</v>
      </c>
      <c r="J68" s="10">
        <v>5</v>
      </c>
      <c r="K68" s="5">
        <f>IF(A68="","",IFERROR(LOOKUP(2,1/((持仓跟踪!$B$2:$B$157=A68)*(持仓跟踪!$X$2:$X$157="执行卖出")*(持仓跟踪!$Y$2:$Y$157&lt;&gt;"")),持仓跟踪!$Y$2:$Y$157),""))</f>
        <v>3.84</v>
      </c>
      <c r="L68" s="8">
        <f>IF(A68="","",IFERROR(LOOKUP(2,1/((持仓跟踪!$B$2:$B$157=A68)*(持仓跟踪!$X$2:$X$157="执行卖出")*(持仓跟踪!$Z$2:$Z$157&lt;&gt;"")),持仓跟踪!$Z$2:$Z$157),""))</f>
        <v>27400</v>
      </c>
      <c r="M68" s="18">
        <f>IF(A68="","",IFERROR(LOOKUP(2,1/((持仓跟踪!$B$2:$B$157=A68)*(持仓跟踪!$X$2:$X$157="执行卖出")*(持仓跟踪!$H$2:$H$157&lt;&gt;"")),持仓跟踪!$H$2:$H$157),""))</f>
        <v>41362</v>
      </c>
      <c r="N68" s="10">
        <v>4.2</v>
      </c>
      <c r="O68" s="10"/>
      <c r="P68" s="5" t="str">
        <f>IF(A68="","",IFERROR(LOOKUP(2,1/((持仓跟踪!$B$2:$B$157=A68)*(持仓跟踪!$X$2:$X$157="执行卖出")*(持仓跟踪!$AA$2:$AA$157&lt;&gt;"")),持仓跟踪!$AA$2:$AA$157),""))</f>
        <v/>
      </c>
      <c r="Q68" s="2"/>
      <c r="R68" s="2"/>
      <c r="S68" s="2"/>
      <c r="T68" s="2"/>
      <c r="U68" s="7">
        <f>IF(OR(AO68="",J68="",AO68&lt;=0),"",(J68-AO68)/AO68)</f>
        <v>0.136363636363636</v>
      </c>
      <c r="V68" s="7">
        <f>IF(OR(AO68="",N68="",AO68&lt;=0),"",(AO68-N68)/AO68)</f>
        <v>0.0454545454545455</v>
      </c>
      <c r="W68" s="19">
        <f>IF(OR(U68="",V68="",V68&lt;=0),"",U68/V68)</f>
        <v>3</v>
      </c>
      <c r="X68" s="5">
        <f>IF(OR(K68="",L68="",AP68=""),"",K68*L68-(E68*H68+IF(AND(AK68&lt;&gt;"",AL68&lt;&gt;""),AK68*AL68,0)+IF(AND(AM68&lt;&gt;"",AN68&lt;&gt;""),AM68*AN68,0))-IF(O68="",0,O68)-IF(P68="",0,P68))</f>
        <v>-15344</v>
      </c>
      <c r="Y68" s="7">
        <f>IF(OR(X68="",AP68=""),"",IF((E68*H68+IF(AND(AK68&lt;&gt;"",AL68&lt;&gt;""),AK68*AL68,0)+IF(AND(AM68&lt;&gt;"",AN68&lt;&gt;""),AM68*AN68,0))+IF(O68="",0,O68)&lt;=0,"",X68/((E68*H68+IF(AND(AK68&lt;&gt;"",AL68&lt;&gt;""),AK68*AL68,0)+IF(AND(AM68&lt;&gt;"",AN68&lt;&gt;""),AM68*AN68,0))+IF(O68="",0,O68))))</f>
        <v>-0.127272727272727</v>
      </c>
      <c r="Z68" s="7">
        <f>IF(OR(AE68="",多次统计数据!$B$8=""),"",AE68-多次统计数据!$B$8)</f>
        <v>-0.128441532851383</v>
      </c>
      <c r="AA68" s="11">
        <f>IF(OR(I68="",M68="",M68&lt;I68),"",M68-I68)</f>
        <v>9</v>
      </c>
      <c r="AB68" s="7">
        <f>IF(OR(A68="",多次统计数据!$B$8="",多次统计数据!$B$6&lt;=0,多次统计数据!$B$6&gt;=1),"",1-POWER(1+多次统计数据!$B$8,-多次统计数据!$B$6/(1-多次统计数据!$B$6)))</f>
        <v>0.0530166567311223</v>
      </c>
      <c r="AC68" s="8" t="str">
        <f>IF(OR(AB68="",多次统计数据!$B$9=""),"",IF(多次统计数据!$B$9&lt;AB68,"低于上限","达到或超过上限"))</f>
        <v>低于上限</v>
      </c>
      <c r="AD68" s="2"/>
      <c r="AE68" s="7">
        <f>IF(OR(X68="",C68="",C68&lt;=0),"",X68/C68)</f>
        <v>-0.0558929059284219</v>
      </c>
      <c r="AG68" s="2"/>
      <c r="AH68" s="2"/>
      <c r="AI68" s="2"/>
      <c r="AJ68" s="8" t="str">
        <f>IF(OR(AG68="",AH68=""),"",IF(OR(AND(AG68="短期博反弹",OR(AH68="1～3个交易日",AH68="4～10个交易日")),AND(AG68="突破冲新高",OR(AH68="4～10个交易日",AH68="11～20个交易日")),AND(AG68="趋势波段",OR(AH68="11～20个交易日",AH68="21～60个交易日",AH68="60个交易日以上"))),"匹配","周期与交易预期不匹配，请重新确认"))</f>
        <v/>
      </c>
      <c r="AK68" s="10"/>
      <c r="AL68" s="12"/>
      <c r="AM68" s="10"/>
      <c r="AN68" s="12"/>
      <c r="AO68" s="5">
        <f>IF(OR(A68="",H68="",H68&lt;=0),"",(E68*H68+IF(AND(AK68&lt;&gt;"",AL68&lt;&gt;""),AK68*AL68,0)+IF(AND(AM68&lt;&gt;"",AN68&lt;&gt;""),AM68*AN68,0))/AP68)</f>
        <v>4.4</v>
      </c>
      <c r="AP68" s="11">
        <f>IF(OR(A68="",H68="",H68&lt;=0),"",H68+IF(AL68="",0,AL68)+IF(AN68="",0,AN68))</f>
        <v>27400</v>
      </c>
      <c r="AQ68" s="5">
        <f>IF(A68="","",IF(M68&lt;&gt;"",0,IF(OR(H68="",N68=""),"",MAX(E68-MAX(N68,IFERROR(SUMPRODUCT(MAX(((持仓跟踪!$A$2:$A$157="每日跟踪")*(持仓跟踪!$B$2:$B$157=A68))*持仓跟踪!$S$2:$S$157)),0)),0)*H68+IF(OR(AK68="",AL68=""),0,MAX(AK68-MAX(N68,IFERROR(SUMPRODUCT(MAX(((持仓跟踪!$A$2:$A$157="每日跟踪")*(持仓跟踪!$B$2:$B$157=A68))*持仓跟踪!$S$2:$S$157)),0)),0)*AL68)+IF(OR(AM68="",AN68=""),0,MAX(AM68-MAX(N68,IFERROR(SUMPRODUCT(MAX(((持仓跟踪!$A$2:$A$157="每日跟踪")*(持仓跟踪!$B$2:$B$157=A68))*持仓跟踪!$S$2:$S$157)),0)),0)*AN68))))</f>
        <v>0</v>
      </c>
      <c r="AR68" s="8" t="str">
        <f ca="1">IF(A68="","",IF(OR(E68="",H68=""),"违规：第一批价格或股数缺失",IF(OR(AND(AK68="",AL68&lt;&gt;""),AND(AK68&lt;&gt;"",AL68="")),"违规：第二批价格与股数须成对填写",IF(OR(AND(AM68="",AN68&lt;&gt;""),AND(AM68&lt;&gt;"",AN68="")),"违规：第三批价格与股数须成对填写",IF(AND(OR(AM68&lt;&gt;"",AN68&lt;&gt;""),OR(AK68="",AL68="")),"违规：必须先完成第二批",IF(OR(H68&lt;=0,H68&lt;&gt;INT(H68),MOD(H68,100)&lt;&gt;0,AND(AL68&lt;&gt;"",OR(AL68&lt;=0,AL68&lt;&gt;INT(AL68),MOD(AL68,100)&lt;&gt;0)),AND(AN68&lt;&gt;"",OR(AN68&lt;=0,AN68&lt;&gt;INT(AN68),MOD(AN68,100)&lt;&gt;0))),"违规：股数须为100股整数倍",IF(AND(OR(AL68&lt;&gt;"",AN68&lt;&gt;""),OR(_LockStatus="已锁仓",_LockStatus="解锁信息不完整")),"违规：锁仓期间禁止加仓",IF(AQ68&gt;C68*D68,"违规：超过单笔风险上限",IF(SUM($AQ$2:$AQ$98)&gt;账户数据!$B$7,"违规：超过账户风险上限","通过")))))))))</f>
        <v>通过</v>
      </c>
    </row>
    <row r="69" ht="17" spans="1:44">
      <c r="A69" s="2">
        <v>68</v>
      </c>
      <c r="B69" s="2" t="s">
        <v>69</v>
      </c>
      <c r="C69" s="10">
        <v>259181</v>
      </c>
      <c r="D69" s="6">
        <v>0.02</v>
      </c>
      <c r="E69" s="10">
        <v>4.61</v>
      </c>
      <c r="F69" s="8">
        <f>IF(OR(C69="",D69="",E69="",N69="",C69&lt;=0,D69&lt;=0,E69&lt;=N69),"",ROUNDDOWN((C69*D69)/(E69-N69)/100,0)*100)</f>
        <v>47100</v>
      </c>
      <c r="G69" s="8" t="str">
        <f ca="1">IF(A69="","",IF(H69&lt;&gt;"","已开仓",IF(账户数据!$B$23="已锁仓","禁止开仓：连续亏损达到上限",IF(账户数据!$B$23="解锁信息不完整","禁止开仓：请完整填写解锁信息",IF(OR(F69="",E69="",N69="",E69&lt;=N69,账户数据!$B$7=""),"",IF(OR(AG69="",AH69="",AI69=""),"禁止开仓：交易预期未填写完整",IF(COUNTIFS(持仓跟踪!$A$2:$A$157,"止损计划",持仓跟踪!$B$2:$B$157,A69,持仓跟踪!$AC$2:$AC$157,"计划有效")=0,"禁止开仓：请先填写止损计划",IF(账户数据!$B$9+F69*(E69-N69)&gt;=账户数据!$B$7,"禁止开仓：风险额度不足",IF(AJ69="周期与交易预期不匹配，请重新确认",IF(账户数据!$B$23="接近锁仓","允许开仓（接近锁仓；周期需复核）","允许开仓（周期需复核）"),IF(账户数据!$B$23="接近锁仓","允许开仓（接近锁仓）","允许开仓"))))))))))</f>
        <v>已开仓</v>
      </c>
      <c r="H69" s="2">
        <v>47100</v>
      </c>
      <c r="I69" s="13">
        <v>41388</v>
      </c>
      <c r="J69" s="10">
        <v>5</v>
      </c>
      <c r="K69" s="5">
        <f>IF(A69="","",IFERROR(LOOKUP(2,1/((持仓跟踪!$B$2:$B$157=A69)*(持仓跟踪!$X$2:$X$157="执行卖出")*(持仓跟踪!$Y$2:$Y$157&lt;&gt;"")),持仓跟踪!$Y$2:$Y$157),""))</f>
        <v>6.09</v>
      </c>
      <c r="L69" s="8">
        <f>IF(A69="","",IFERROR(LOOKUP(2,1/((持仓跟踪!$B$2:$B$157=A69)*(持仓跟踪!$X$2:$X$157="执行卖出")*(持仓跟踪!$Z$2:$Z$157&lt;&gt;"")),持仓跟踪!$Z$2:$Z$157),""))</f>
        <v>47100</v>
      </c>
      <c r="M69" s="18">
        <f>IF(A69="","",IFERROR(LOOKUP(2,1/((持仓跟踪!$B$2:$B$157=A69)*(持仓跟踪!$X$2:$X$157="执行卖出")*(持仓跟踪!$H$2:$H$157&lt;&gt;"")),持仓跟踪!$H$2:$H$157),""))</f>
        <v>41390</v>
      </c>
      <c r="N69" s="10">
        <v>4.5</v>
      </c>
      <c r="O69" s="10"/>
      <c r="P69" s="5" t="str">
        <f>IF(A69="","",IFERROR(LOOKUP(2,1/((持仓跟踪!$B$2:$B$157=A69)*(持仓跟踪!$X$2:$X$157="执行卖出")*(持仓跟踪!$AA$2:$AA$157&lt;&gt;"")),持仓跟踪!$AA$2:$AA$157),""))</f>
        <v/>
      </c>
      <c r="Q69" s="2"/>
      <c r="R69" s="2"/>
      <c r="S69" s="2"/>
      <c r="T69" s="2"/>
      <c r="U69" s="7">
        <f>IF(OR(AO69="",J69="",AO69&lt;=0),"",(J69-AO69)/AO69)</f>
        <v>0.0845986984815617</v>
      </c>
      <c r="V69" s="7">
        <f>IF(OR(AO69="",N69="",AO69&lt;=0),"",(AO69-N69)/AO69)</f>
        <v>0.0238611713665944</v>
      </c>
      <c r="W69" s="19">
        <f>IF(OR(U69="",V69="",V69&lt;=0),"",U69/V69)</f>
        <v>3.54545454545453</v>
      </c>
      <c r="X69" s="5">
        <f>IF(OR(K69="",L69="",AP69=""),"",K69*L69-(E69*H69+IF(AND(AK69&lt;&gt;"",AL69&lt;&gt;""),AK69*AL69,0)+IF(AND(AM69&lt;&gt;"",AN69&lt;&gt;""),AM69*AN69,0))-IF(O69="",0,O69)-IF(P69="",0,P69))</f>
        <v>69708</v>
      </c>
      <c r="Y69" s="7">
        <f>IF(OR(X69="",AP69=""),"",IF((E69*H69+IF(AND(AK69&lt;&gt;"",AL69&lt;&gt;""),AK69*AL69,0)+IF(AND(AM69&lt;&gt;"",AN69&lt;&gt;""),AM69*AN69,0))+IF(O69="",0,O69)&lt;=0,"",X69/((E69*H69+IF(AND(AK69&lt;&gt;"",AL69&lt;&gt;""),AK69*AL69,0)+IF(AND(AM69&lt;&gt;"",AN69&lt;&gt;""),AM69*AN69,0))+IF(O69="",0,O69))))</f>
        <v>0.321041214750542</v>
      </c>
      <c r="Z69" s="7">
        <f>IF(OR(AE69="",多次统计数据!$B$8=""),"",AE69-多次统计数据!$B$8)</f>
        <v>0.196406273320498</v>
      </c>
      <c r="AA69" s="11">
        <f>IF(OR(I69="",M69="",M69&lt;I69),"",M69-I69)</f>
        <v>2</v>
      </c>
      <c r="AB69" s="7">
        <f>IF(OR(A69="",多次统计数据!$B$8="",多次统计数据!$B$6&lt;=0,多次统计数据!$B$6&gt;=1),"",1-POWER(1+多次统计数据!$B$8,-多次统计数据!$B$6/(1-多次统计数据!$B$6)))</f>
        <v>0.0530166567311223</v>
      </c>
      <c r="AC69" s="8" t="str">
        <f>IF(OR(AB69="",多次统计数据!$B$9=""),"",IF(多次统计数据!$B$9&lt;AB69,"低于上限","达到或超过上限"))</f>
        <v>低于上限</v>
      </c>
      <c r="AD69" s="2"/>
      <c r="AE69" s="7">
        <f>IF(OR(X69="",C69="",C69&lt;=0),"",X69/C69)</f>
        <v>0.268954900243459</v>
      </c>
      <c r="AG69" s="2"/>
      <c r="AH69" s="2"/>
      <c r="AI69" s="2"/>
      <c r="AJ69" s="8" t="str">
        <f>IF(OR(AG69="",AH69=""),"",IF(OR(AND(AG69="短期博反弹",OR(AH69="1～3个交易日",AH69="4～10个交易日")),AND(AG69="突破冲新高",OR(AH69="4～10个交易日",AH69="11～20个交易日")),AND(AG69="趋势波段",OR(AH69="11～20个交易日",AH69="21～60个交易日",AH69="60个交易日以上"))),"匹配","周期与交易预期不匹配，请重新确认"))</f>
        <v/>
      </c>
      <c r="AK69" s="10"/>
      <c r="AL69" s="12"/>
      <c r="AM69" s="10"/>
      <c r="AN69" s="12"/>
      <c r="AO69" s="5">
        <f>IF(OR(A69="",H69="",H69&lt;=0),"",(E69*H69+IF(AND(AK69&lt;&gt;"",AL69&lt;&gt;""),AK69*AL69,0)+IF(AND(AM69&lt;&gt;"",AN69&lt;&gt;""),AM69*AN69,0))/AP69)</f>
        <v>4.61</v>
      </c>
      <c r="AP69" s="11">
        <f>IF(OR(A69="",H69="",H69&lt;=0),"",H69+IF(AL69="",0,AL69)+IF(AN69="",0,AN69))</f>
        <v>47100</v>
      </c>
      <c r="AQ69" s="5">
        <f>IF(A69="","",IF(M69&lt;&gt;"",0,IF(OR(H69="",N69=""),"",MAX(E69-MAX(N69,IFERROR(SUMPRODUCT(MAX(((持仓跟踪!$A$2:$A$157="每日跟踪")*(持仓跟踪!$B$2:$B$157=A69))*持仓跟踪!$S$2:$S$157)),0)),0)*H69+IF(OR(AK69="",AL69=""),0,MAX(AK69-MAX(N69,IFERROR(SUMPRODUCT(MAX(((持仓跟踪!$A$2:$A$157="每日跟踪")*(持仓跟踪!$B$2:$B$157=A69))*持仓跟踪!$S$2:$S$157)),0)),0)*AL69)+IF(OR(AM69="",AN69=""),0,MAX(AM69-MAX(N69,IFERROR(SUMPRODUCT(MAX(((持仓跟踪!$A$2:$A$157="每日跟踪")*(持仓跟踪!$B$2:$B$157=A69))*持仓跟踪!$S$2:$S$157)),0)),0)*AN69))))</f>
        <v>0</v>
      </c>
      <c r="AR69" s="8" t="str">
        <f ca="1">IF(A69="","",IF(OR(E69="",H69=""),"违规：第一批价格或股数缺失",IF(OR(AND(AK69="",AL69&lt;&gt;""),AND(AK69&lt;&gt;"",AL69="")),"违规：第二批价格与股数须成对填写",IF(OR(AND(AM69="",AN69&lt;&gt;""),AND(AM69&lt;&gt;"",AN69="")),"违规：第三批价格与股数须成对填写",IF(AND(OR(AM69&lt;&gt;"",AN69&lt;&gt;""),OR(AK69="",AL69="")),"违规：必须先完成第二批",IF(OR(H69&lt;=0,H69&lt;&gt;INT(H69),MOD(H69,100)&lt;&gt;0,AND(AL69&lt;&gt;"",OR(AL69&lt;=0,AL69&lt;&gt;INT(AL69),MOD(AL69,100)&lt;&gt;0)),AND(AN69&lt;&gt;"",OR(AN69&lt;=0,AN69&lt;&gt;INT(AN69),MOD(AN69,100)&lt;&gt;0))),"违规：股数须为100股整数倍",IF(AND(OR(AL69&lt;&gt;"",AN69&lt;&gt;""),OR(_LockStatus="已锁仓",_LockStatus="解锁信息不完整")),"违规：锁仓期间禁止加仓",IF(AQ69&gt;C69*D69,"违规：超过单笔风险上限",IF(SUM($AQ$2:$AQ$98)&gt;账户数据!$B$7,"违规：超过账户风险上限","通过")))))))))</f>
        <v>通过</v>
      </c>
    </row>
    <row r="70" ht="17" spans="1:44">
      <c r="A70" s="2">
        <v>69</v>
      </c>
      <c r="B70" s="2" t="s">
        <v>69</v>
      </c>
      <c r="C70" s="10">
        <v>328889</v>
      </c>
      <c r="D70" s="6">
        <v>0.02</v>
      </c>
      <c r="E70" s="10">
        <v>8.21</v>
      </c>
      <c r="F70" s="8">
        <f>IF(OR(C70="",D70="",E70="",N70="",C70&lt;=0,D70&lt;=0,E70&lt;=N70),"",ROUNDDOWN((C70*D70)/(E70-N70)/100,0)*100)</f>
        <v>9200</v>
      </c>
      <c r="G70" s="8" t="str">
        <f ca="1">IF(A70="","",IF(H70&lt;&gt;"","已开仓",IF(账户数据!$B$23="已锁仓","禁止开仓：连续亏损达到上限",IF(账户数据!$B$23="解锁信息不完整","禁止开仓：请完整填写解锁信息",IF(OR(F70="",E70="",N70="",E70&lt;=N70,账户数据!$B$7=""),"",IF(OR(AG70="",AH70="",AI70=""),"禁止开仓：交易预期未填写完整",IF(COUNTIFS(持仓跟踪!$A$2:$A$157,"止损计划",持仓跟踪!$B$2:$B$157,A70,持仓跟踪!$AC$2:$AC$157,"计划有效")=0,"禁止开仓：请先填写止损计划",IF(账户数据!$B$9+F70*(E70-N70)&gt;=账户数据!$B$7,"禁止开仓：风险额度不足",IF(AJ70="周期与交易预期不匹配，请重新确认",IF(账户数据!$B$23="接近锁仓","允许开仓（接近锁仓；周期需复核）","允许开仓（周期需复核）"),IF(账户数据!$B$23="接近锁仓","允许开仓（接近锁仓）","允许开仓"))))))))))</f>
        <v>已开仓</v>
      </c>
      <c r="H70" s="2">
        <v>9200</v>
      </c>
      <c r="I70" s="13">
        <v>41457</v>
      </c>
      <c r="J70" s="10">
        <v>9</v>
      </c>
      <c r="K70" s="5">
        <f>IF(A70="","",IFERROR(LOOKUP(2,1/((持仓跟踪!$B$2:$B$157=A70)*(持仓跟踪!$X$2:$X$157="执行卖出")*(持仓跟踪!$Y$2:$Y$157&lt;&gt;"")),持仓跟踪!$Y$2:$Y$157),""))</f>
        <v>8.46</v>
      </c>
      <c r="L70" s="8">
        <f>IF(A70="","",IFERROR(LOOKUP(2,1/((持仓跟踪!$B$2:$B$157=A70)*(持仓跟踪!$X$2:$X$157="执行卖出")*(持仓跟踪!$Z$2:$Z$157&lt;&gt;"")),持仓跟踪!$Z$2:$Z$157),""))</f>
        <v>9200</v>
      </c>
      <c r="M70" s="18">
        <f>IF(A70="","",IFERROR(LOOKUP(2,1/((持仓跟踪!$B$2:$B$157=A70)*(持仓跟踪!$X$2:$X$157="执行卖出")*(持仓跟踪!$H$2:$H$157&lt;&gt;"")),持仓跟踪!$H$2:$H$157),""))</f>
        <v>41478</v>
      </c>
      <c r="N70" s="10">
        <v>7.5</v>
      </c>
      <c r="O70" s="10"/>
      <c r="P70" s="5" t="str">
        <f>IF(A70="","",IFERROR(LOOKUP(2,1/((持仓跟踪!$B$2:$B$157=A70)*(持仓跟踪!$X$2:$X$157="执行卖出")*(持仓跟踪!$AA$2:$AA$157&lt;&gt;"")),持仓跟踪!$AA$2:$AA$157),""))</f>
        <v/>
      </c>
      <c r="Q70" s="2"/>
      <c r="R70" s="2"/>
      <c r="S70" s="2"/>
      <c r="T70" s="2"/>
      <c r="U70" s="7">
        <f>IF(OR(AO70="",J70="",AO70&lt;=0),"",(J70-AO70)/AO70)</f>
        <v>0.0962241169305724</v>
      </c>
      <c r="V70" s="7">
        <f>IF(OR(AO70="",N70="",AO70&lt;=0),"",(AO70-N70)/AO70)</f>
        <v>0.0864799025578564</v>
      </c>
      <c r="W70" s="19">
        <f>IF(OR(U70="",V70="",V70&lt;=0),"",U70/V70)</f>
        <v>1.11267605633803</v>
      </c>
      <c r="X70" s="5">
        <f>IF(OR(K70="",L70="",AP70=""),"",K70*L70-(E70*H70+IF(AND(AK70&lt;&gt;"",AL70&lt;&gt;""),AK70*AL70,0)+IF(AND(AM70&lt;&gt;"",AN70&lt;&gt;""),AM70*AN70,0))-IF(O70="",0,O70)-IF(P70="",0,P70))</f>
        <v>2300</v>
      </c>
      <c r="Y70" s="7">
        <f>IF(OR(X70="",AP70=""),"",IF((E70*H70+IF(AND(AK70&lt;&gt;"",AL70&lt;&gt;""),AK70*AL70,0)+IF(AND(AM70&lt;&gt;"",AN70&lt;&gt;""),AM70*AN70,0))+IF(O70="",0,O70)&lt;=0,"",X70/((E70*H70+IF(AND(AK70&lt;&gt;"",AL70&lt;&gt;""),AK70*AL70,0)+IF(AND(AM70&lt;&gt;"",AN70&lt;&gt;""),AM70*AN70,0))+IF(O70="",0,O70))))</f>
        <v>0.0304506699147381</v>
      </c>
      <c r="Z70" s="7">
        <f>IF(OR(AE70="",多次统计数据!$B$8=""),"",AE70-多次统计数据!$B$8)</f>
        <v>-0.0655553860422991</v>
      </c>
      <c r="AA70" s="11">
        <f>IF(OR(I70="",M70="",M70&lt;I70),"",M70-I70)</f>
        <v>21</v>
      </c>
      <c r="AB70" s="7">
        <f>IF(OR(A70="",多次统计数据!$B$8="",多次统计数据!$B$6&lt;=0,多次统计数据!$B$6&gt;=1),"",1-POWER(1+多次统计数据!$B$8,-多次统计数据!$B$6/(1-多次统计数据!$B$6)))</f>
        <v>0.0530166567311223</v>
      </c>
      <c r="AC70" s="8" t="str">
        <f>IF(OR(AB70="",多次统计数据!$B$9=""),"",IF(多次统计数据!$B$9&lt;AB70,"低于上限","达到或超过上限"))</f>
        <v>低于上限</v>
      </c>
      <c r="AD70" s="2"/>
      <c r="AE70" s="7">
        <f>IF(OR(X70="",C70="",C70&lt;=0),"",X70/C70)</f>
        <v>0.00699324088066187</v>
      </c>
      <c r="AG70" s="2"/>
      <c r="AH70" s="2"/>
      <c r="AI70" s="2"/>
      <c r="AJ70" s="8" t="str">
        <f>IF(OR(AG70="",AH70=""),"",IF(OR(AND(AG70="短期博反弹",OR(AH70="1～3个交易日",AH70="4～10个交易日")),AND(AG70="突破冲新高",OR(AH70="4～10个交易日",AH70="11～20个交易日")),AND(AG70="趋势波段",OR(AH70="11～20个交易日",AH70="21～60个交易日",AH70="60个交易日以上"))),"匹配","周期与交易预期不匹配，请重新确认"))</f>
        <v/>
      </c>
      <c r="AK70" s="10"/>
      <c r="AL70" s="12"/>
      <c r="AM70" s="10"/>
      <c r="AN70" s="12"/>
      <c r="AO70" s="5">
        <f>IF(OR(A70="",H70="",H70&lt;=0),"",(E70*H70+IF(AND(AK70&lt;&gt;"",AL70&lt;&gt;""),AK70*AL70,0)+IF(AND(AM70&lt;&gt;"",AN70&lt;&gt;""),AM70*AN70,0))/AP70)</f>
        <v>8.21</v>
      </c>
      <c r="AP70" s="11">
        <f>IF(OR(A70="",H70="",H70&lt;=0),"",H70+IF(AL70="",0,AL70)+IF(AN70="",0,AN70))</f>
        <v>9200</v>
      </c>
      <c r="AQ70" s="5">
        <f>IF(A70="","",IF(M70&lt;&gt;"",0,IF(OR(H70="",N70=""),"",MAX(E70-MAX(N70,IFERROR(SUMPRODUCT(MAX(((持仓跟踪!$A$2:$A$157="每日跟踪")*(持仓跟踪!$B$2:$B$157=A70))*持仓跟踪!$S$2:$S$157)),0)),0)*H70+IF(OR(AK70="",AL70=""),0,MAX(AK70-MAX(N70,IFERROR(SUMPRODUCT(MAX(((持仓跟踪!$A$2:$A$157="每日跟踪")*(持仓跟踪!$B$2:$B$157=A70))*持仓跟踪!$S$2:$S$157)),0)),0)*AL70)+IF(OR(AM70="",AN70=""),0,MAX(AM70-MAX(N70,IFERROR(SUMPRODUCT(MAX(((持仓跟踪!$A$2:$A$157="每日跟踪")*(持仓跟踪!$B$2:$B$157=A70))*持仓跟踪!$S$2:$S$157)),0)),0)*AN70))))</f>
        <v>0</v>
      </c>
      <c r="AR70" s="8" t="str">
        <f ca="1">IF(A70="","",IF(OR(E70="",H70=""),"违规：第一批价格或股数缺失",IF(OR(AND(AK70="",AL70&lt;&gt;""),AND(AK70&lt;&gt;"",AL70="")),"违规：第二批价格与股数须成对填写",IF(OR(AND(AM70="",AN70&lt;&gt;""),AND(AM70&lt;&gt;"",AN70="")),"违规：第三批价格与股数须成对填写",IF(AND(OR(AM70&lt;&gt;"",AN70&lt;&gt;""),OR(AK70="",AL70="")),"违规：必须先完成第二批",IF(OR(H70&lt;=0,H70&lt;&gt;INT(H70),MOD(H70,100)&lt;&gt;0,AND(AL70&lt;&gt;"",OR(AL70&lt;=0,AL70&lt;&gt;INT(AL70),MOD(AL70,100)&lt;&gt;0)),AND(AN70&lt;&gt;"",OR(AN70&lt;=0,AN70&lt;&gt;INT(AN70),MOD(AN70,100)&lt;&gt;0))),"违规：股数须为100股整数倍",IF(AND(OR(AL70&lt;&gt;"",AN70&lt;&gt;""),OR(_LockStatus="已锁仓",_LockStatus="解锁信息不完整")),"违规：锁仓期间禁止加仓",IF(AQ70&gt;C70*D70,"违规：超过单笔风险上限",IF(SUM($AQ$2:$AQ$98)&gt;账户数据!$B$7,"违规：超过账户风险上限","通过")))))))))</f>
        <v>通过</v>
      </c>
    </row>
    <row r="71" ht="17" spans="1:44">
      <c r="A71" s="2">
        <v>70</v>
      </c>
      <c r="B71" s="2" t="s">
        <v>69</v>
      </c>
      <c r="C71" s="10">
        <v>331189</v>
      </c>
      <c r="D71" s="6">
        <v>0.02</v>
      </c>
      <c r="E71" s="10">
        <v>8.75</v>
      </c>
      <c r="F71" s="8">
        <f>IF(OR(C71="",D71="",E71="",N71="",C71&lt;=0,D71&lt;=0,E71&lt;=N71),"",ROUNDDOWN((C71*D71)/(E71-N71)/100,0)*100)</f>
        <v>12000</v>
      </c>
      <c r="G71" s="8" t="str">
        <f ca="1">IF(A71="","",IF(H71&lt;&gt;"","已开仓",IF(账户数据!$B$23="已锁仓","禁止开仓：连续亏损达到上限",IF(账户数据!$B$23="解锁信息不完整","禁止开仓：请完整填写解锁信息",IF(OR(F71="",E71="",N71="",E71&lt;=N71,账户数据!$B$7=""),"",IF(OR(AG71="",AH71="",AI71=""),"禁止开仓：交易预期未填写完整",IF(COUNTIFS(持仓跟踪!$A$2:$A$157,"止损计划",持仓跟踪!$B$2:$B$157,A71,持仓跟踪!$AC$2:$AC$157,"计划有效")=0,"禁止开仓：请先填写止损计划",IF(账户数据!$B$9+F71*(E71-N71)&gt;=账户数据!$B$7,"禁止开仓：风险额度不足",IF(AJ71="周期与交易预期不匹配，请重新确认",IF(账户数据!$B$23="接近锁仓","允许开仓（接近锁仓；周期需复核）","允许开仓（周期需复核）"),IF(账户数据!$B$23="接近锁仓","允许开仓（接近锁仓）","允许开仓"))))))))))</f>
        <v>已开仓</v>
      </c>
      <c r="H71" s="2">
        <v>12000</v>
      </c>
      <c r="I71" s="13">
        <v>41492</v>
      </c>
      <c r="J71" s="10">
        <v>10</v>
      </c>
      <c r="K71" s="5">
        <f>IF(A71="","",IFERROR(LOOKUP(2,1/((持仓跟踪!$B$2:$B$157=A71)*(持仓跟踪!$X$2:$X$157="执行卖出")*(持仓跟踪!$Y$2:$Y$157&lt;&gt;"")),持仓跟踪!$Y$2:$Y$157),""))</f>
        <v>7.97</v>
      </c>
      <c r="L71" s="8">
        <f>IF(A71="","",IFERROR(LOOKUP(2,1/((持仓跟踪!$B$2:$B$157=A71)*(持仓跟踪!$X$2:$X$157="执行卖出")*(持仓跟踪!$Z$2:$Z$157&lt;&gt;"")),持仓跟踪!$Z$2:$Z$157),""))</f>
        <v>12000</v>
      </c>
      <c r="M71" s="18">
        <f>IF(A71="","",IFERROR(LOOKUP(2,1/((持仓跟踪!$B$2:$B$157=A71)*(持仓跟踪!$X$2:$X$157="执行卖出")*(持仓跟踪!$H$2:$H$157&lt;&gt;"")),持仓跟踪!$H$2:$H$157),""))</f>
        <v>41501</v>
      </c>
      <c r="N71" s="10">
        <v>8.2</v>
      </c>
      <c r="O71" s="10"/>
      <c r="P71" s="5" t="str">
        <f>IF(A71="","",IFERROR(LOOKUP(2,1/((持仓跟踪!$B$2:$B$157=A71)*(持仓跟踪!$X$2:$X$157="执行卖出")*(持仓跟踪!$AA$2:$AA$157&lt;&gt;"")),持仓跟踪!$AA$2:$AA$157),""))</f>
        <v/>
      </c>
      <c r="Q71" s="2"/>
      <c r="R71" s="2"/>
      <c r="S71" s="2"/>
      <c r="T71" s="2"/>
      <c r="U71" s="7">
        <f>IF(OR(AO71="",J71="",AO71&lt;=0),"",(J71-AO71)/AO71)</f>
        <v>0.142857142857143</v>
      </c>
      <c r="V71" s="7">
        <f>IF(OR(AO71="",N71="",AO71&lt;=0),"",(AO71-N71)/AO71)</f>
        <v>0.0628571428571429</v>
      </c>
      <c r="W71" s="19">
        <f>IF(OR(U71="",V71="",V71&lt;=0),"",U71/V71)</f>
        <v>2.27272727272727</v>
      </c>
      <c r="X71" s="5">
        <f>IF(OR(K71="",L71="",AP71=""),"",K71*L71-(E71*H71+IF(AND(AK71&lt;&gt;"",AL71&lt;&gt;""),AK71*AL71,0)+IF(AND(AM71&lt;&gt;"",AN71&lt;&gt;""),AM71*AN71,0))-IF(O71="",0,O71)-IF(P71="",0,P71))</f>
        <v>-9360</v>
      </c>
      <c r="Y71" s="7">
        <f>IF(OR(X71="",AP71=""),"",IF((E71*H71+IF(AND(AK71&lt;&gt;"",AL71&lt;&gt;""),AK71*AL71,0)+IF(AND(AM71&lt;&gt;"",AN71&lt;&gt;""),AM71*AN71,0))+IF(O71="",0,O71)&lt;=0,"",X71/((E71*H71+IF(AND(AK71&lt;&gt;"",AL71&lt;&gt;""),AK71*AL71,0)+IF(AND(AM71&lt;&gt;"",AN71&lt;&gt;""),AM71*AN71,0))+IF(O71="",0,O71))))</f>
        <v>-0.0891428571428571</v>
      </c>
      <c r="Z71" s="7">
        <f>IF(OR(AE71="",多次统计数据!$B$8=""),"",AE71-多次统计数据!$B$8)</f>
        <v>-0.10081043513519</v>
      </c>
      <c r="AA71" s="11">
        <f>IF(OR(I71="",M71="",M71&lt;I71),"",M71-I71)</f>
        <v>9</v>
      </c>
      <c r="AB71" s="7">
        <f>IF(OR(A71="",多次统计数据!$B$8="",多次统计数据!$B$6&lt;=0,多次统计数据!$B$6&gt;=1),"",1-POWER(1+多次统计数据!$B$8,-多次统计数据!$B$6/(1-多次统计数据!$B$6)))</f>
        <v>0.0530166567311223</v>
      </c>
      <c r="AC71" s="8" t="str">
        <f>IF(OR(AB71="",多次统计数据!$B$9=""),"",IF(多次统计数据!$B$9&lt;AB71,"低于上限","达到或超过上限"))</f>
        <v>低于上限</v>
      </c>
      <c r="AD71" s="2"/>
      <c r="AE71" s="7">
        <f>IF(OR(X71="",C71="",C71&lt;=0),"",X71/C71)</f>
        <v>-0.0282618082122293</v>
      </c>
      <c r="AG71" s="2"/>
      <c r="AH71" s="2"/>
      <c r="AI71" s="2"/>
      <c r="AJ71" s="8" t="str">
        <f>IF(OR(AG71="",AH71=""),"",IF(OR(AND(AG71="短期博反弹",OR(AH71="1～3个交易日",AH71="4～10个交易日")),AND(AG71="突破冲新高",OR(AH71="4～10个交易日",AH71="11～20个交易日")),AND(AG71="趋势波段",OR(AH71="11～20个交易日",AH71="21～60个交易日",AH71="60个交易日以上"))),"匹配","周期与交易预期不匹配，请重新确认"))</f>
        <v/>
      </c>
      <c r="AK71" s="10"/>
      <c r="AL71" s="12"/>
      <c r="AM71" s="10"/>
      <c r="AN71" s="12"/>
      <c r="AO71" s="5">
        <f>IF(OR(A71="",H71="",H71&lt;=0),"",(E71*H71+IF(AND(AK71&lt;&gt;"",AL71&lt;&gt;""),AK71*AL71,0)+IF(AND(AM71&lt;&gt;"",AN71&lt;&gt;""),AM71*AN71,0))/AP71)</f>
        <v>8.75</v>
      </c>
      <c r="AP71" s="11">
        <f>IF(OR(A71="",H71="",H71&lt;=0),"",H71+IF(AL71="",0,AL71)+IF(AN71="",0,AN71))</f>
        <v>12000</v>
      </c>
      <c r="AQ71" s="5">
        <f>IF(A71="","",IF(M71&lt;&gt;"",0,IF(OR(H71="",N71=""),"",MAX(E71-MAX(N71,IFERROR(SUMPRODUCT(MAX(((持仓跟踪!$A$2:$A$157="每日跟踪")*(持仓跟踪!$B$2:$B$157=A71))*持仓跟踪!$S$2:$S$157)),0)),0)*H71+IF(OR(AK71="",AL71=""),0,MAX(AK71-MAX(N71,IFERROR(SUMPRODUCT(MAX(((持仓跟踪!$A$2:$A$157="每日跟踪")*(持仓跟踪!$B$2:$B$157=A71))*持仓跟踪!$S$2:$S$157)),0)),0)*AL71)+IF(OR(AM71="",AN71=""),0,MAX(AM71-MAX(N71,IFERROR(SUMPRODUCT(MAX(((持仓跟踪!$A$2:$A$157="每日跟踪")*(持仓跟踪!$B$2:$B$157=A71))*持仓跟踪!$S$2:$S$157)),0)),0)*AN71))))</f>
        <v>0</v>
      </c>
      <c r="AR71" s="8" t="str">
        <f ca="1">IF(A71="","",IF(OR(E71="",H71=""),"违规：第一批价格或股数缺失",IF(OR(AND(AK71="",AL71&lt;&gt;""),AND(AK71&lt;&gt;"",AL71="")),"违规：第二批价格与股数须成对填写",IF(OR(AND(AM71="",AN71&lt;&gt;""),AND(AM71&lt;&gt;"",AN71="")),"违规：第三批价格与股数须成对填写",IF(AND(OR(AM71&lt;&gt;"",AN71&lt;&gt;""),OR(AK71="",AL71="")),"违规：必须先完成第二批",IF(OR(H71&lt;=0,H71&lt;&gt;INT(H71),MOD(H71,100)&lt;&gt;0,AND(AL71&lt;&gt;"",OR(AL71&lt;=0,AL71&lt;&gt;INT(AL71),MOD(AL71,100)&lt;&gt;0)),AND(AN71&lt;&gt;"",OR(AN71&lt;=0,AN71&lt;&gt;INT(AN71),MOD(AN71,100)&lt;&gt;0))),"违规：股数须为100股整数倍",IF(AND(OR(AL71&lt;&gt;"",AN71&lt;&gt;""),OR(_LockStatus="已锁仓",_LockStatus="解锁信息不完整")),"违规：锁仓期间禁止加仓",IF(AQ71&gt;C71*D71,"违规：超过单笔风险上限",IF(SUM($AQ$2:$AQ$98)&gt;账户数据!$B$7,"违规：超过账户风险上限","通过")))))))))</f>
        <v>通过</v>
      </c>
    </row>
    <row r="72" ht="17" spans="1:44">
      <c r="A72" s="2">
        <v>71</v>
      </c>
      <c r="B72" s="2" t="s">
        <v>69</v>
      </c>
      <c r="C72" s="10">
        <v>321829</v>
      </c>
      <c r="D72" s="6">
        <v>0.02</v>
      </c>
      <c r="E72" s="10">
        <v>8.24</v>
      </c>
      <c r="F72" s="8">
        <f>IF(OR(C72="",D72="",E72="",N72="",C72&lt;=0,D72&lt;=0,E72&lt;=N72),"",ROUNDDOWN((C72*D72)/(E72-N72)/100,0)*100)</f>
        <v>8600</v>
      </c>
      <c r="G72" s="8" t="str">
        <f ca="1">IF(A72="","",IF(H72&lt;&gt;"","已开仓",IF(账户数据!$B$23="已锁仓","禁止开仓：连续亏损达到上限",IF(账户数据!$B$23="解锁信息不完整","禁止开仓：请完整填写解锁信息",IF(OR(F72="",E72="",N72="",E72&lt;=N72,账户数据!$B$7=""),"",IF(OR(AG72="",AH72="",AI72=""),"禁止开仓：交易预期未填写完整",IF(COUNTIFS(持仓跟踪!$A$2:$A$157,"止损计划",持仓跟踪!$B$2:$B$157,A72,持仓跟踪!$AC$2:$AC$157,"计划有效")=0,"禁止开仓：请先填写止损计划",IF(账户数据!$B$9+F72*(E72-N72)&gt;=账户数据!$B$7,"禁止开仓：风险额度不足",IF(AJ72="周期与交易预期不匹配，请重新确认",IF(账户数据!$B$23="接近锁仓","允许开仓（接近锁仓；周期需复核）","允许开仓（周期需复核）"),IF(账户数据!$B$23="接近锁仓","允许开仓（接近锁仓）","允许开仓"))))))))))</f>
        <v>已开仓</v>
      </c>
      <c r="H72" s="2">
        <v>8600</v>
      </c>
      <c r="I72" s="13">
        <v>41508</v>
      </c>
      <c r="J72" s="10">
        <v>10</v>
      </c>
      <c r="K72" s="5">
        <f>IF(A72="","",IFERROR(LOOKUP(2,1/((持仓跟踪!$B$2:$B$157=A72)*(持仓跟踪!$X$2:$X$157="执行卖出")*(持仓跟踪!$Y$2:$Y$157&lt;&gt;"")),持仓跟踪!$Y$2:$Y$157),""))</f>
        <v>7.08</v>
      </c>
      <c r="L72" s="8">
        <f>IF(A72="","",IFERROR(LOOKUP(2,1/((持仓跟踪!$B$2:$B$157=A72)*(持仓跟踪!$X$2:$X$157="执行卖出")*(持仓跟踪!$Z$2:$Z$157&lt;&gt;"")),持仓跟踪!$Z$2:$Z$157),""))</f>
        <v>8600</v>
      </c>
      <c r="M72" s="18">
        <f>IF(A72="","",IFERROR(LOOKUP(2,1/((持仓跟踪!$B$2:$B$157=A72)*(持仓跟踪!$X$2:$X$157="执行卖出")*(持仓跟踪!$H$2:$H$157&lt;&gt;"")),持仓跟踪!$H$2:$H$157),""))</f>
        <v>41516</v>
      </c>
      <c r="N72" s="10">
        <v>7.5</v>
      </c>
      <c r="O72" s="10"/>
      <c r="P72" s="5" t="str">
        <f>IF(A72="","",IFERROR(LOOKUP(2,1/((持仓跟踪!$B$2:$B$157=A72)*(持仓跟踪!$X$2:$X$157="执行卖出")*(持仓跟踪!$AA$2:$AA$157&lt;&gt;"")),持仓跟踪!$AA$2:$AA$157),""))</f>
        <v/>
      </c>
      <c r="Q72" s="2"/>
      <c r="R72" s="2"/>
      <c r="S72" s="2"/>
      <c r="T72" s="2"/>
      <c r="U72" s="7">
        <f>IF(OR(AO72="",J72="",AO72&lt;=0),"",(J72-AO72)/AO72)</f>
        <v>0.213592233009709</v>
      </c>
      <c r="V72" s="7">
        <f>IF(OR(AO72="",N72="",AO72&lt;=0),"",(AO72-N72)/AO72)</f>
        <v>0.0898058252427185</v>
      </c>
      <c r="W72" s="19">
        <f>IF(OR(U72="",V72="",V72&lt;=0),"",U72/V72)</f>
        <v>2.37837837837838</v>
      </c>
      <c r="X72" s="5">
        <f>IF(OR(K72="",L72="",AP72=""),"",K72*L72-(E72*H72+IF(AND(AK72&lt;&gt;"",AL72&lt;&gt;""),AK72*AL72,0)+IF(AND(AM72&lt;&gt;"",AN72&lt;&gt;""),AM72*AN72,0))-IF(O72="",0,O72)-IF(P72="",0,P72))</f>
        <v>-9976</v>
      </c>
      <c r="Y72" s="7">
        <f>IF(OR(X72="",AP72=""),"",IF((E72*H72+IF(AND(AK72&lt;&gt;"",AL72&lt;&gt;""),AK72*AL72,0)+IF(AND(AM72&lt;&gt;"",AN72&lt;&gt;""),AM72*AN72,0))+IF(O72="",0,O72)&lt;=0,"",X72/((E72*H72+IF(AND(AK72&lt;&gt;"",AL72&lt;&gt;""),AK72*AL72,0)+IF(AND(AM72&lt;&gt;"",AN72&lt;&gt;""),AM72*AN72,0))+IF(O72="",0,O72))))</f>
        <v>-0.140776699029126</v>
      </c>
      <c r="Z72" s="7">
        <f>IF(OR(AE72="",多次统计数据!$B$8=""),"",AE72-多次统计数据!$B$8)</f>
        <v>-0.103546454962075</v>
      </c>
      <c r="AA72" s="11">
        <f>IF(OR(I72="",M72="",M72&lt;I72),"",M72-I72)</f>
        <v>8</v>
      </c>
      <c r="AB72" s="7">
        <f>IF(OR(A72="",多次统计数据!$B$8="",多次统计数据!$B$6&lt;=0,多次统计数据!$B$6&gt;=1),"",1-POWER(1+多次统计数据!$B$8,-多次统计数据!$B$6/(1-多次统计数据!$B$6)))</f>
        <v>0.0530166567311223</v>
      </c>
      <c r="AC72" s="8" t="str">
        <f>IF(OR(AB72="",多次统计数据!$B$9=""),"",IF(多次统计数据!$B$9&lt;AB72,"低于上限","达到或超过上限"))</f>
        <v>低于上限</v>
      </c>
      <c r="AD72" s="2"/>
      <c r="AE72" s="7">
        <f>IF(OR(X72="",C72="",C72&lt;=0),"",X72/C72)</f>
        <v>-0.0309978280391139</v>
      </c>
      <c r="AG72" s="2"/>
      <c r="AH72" s="2"/>
      <c r="AI72" s="2"/>
      <c r="AJ72" s="8" t="str">
        <f>IF(OR(AG72="",AH72=""),"",IF(OR(AND(AG72="短期博反弹",OR(AH72="1～3个交易日",AH72="4～10个交易日")),AND(AG72="突破冲新高",OR(AH72="4～10个交易日",AH72="11～20个交易日")),AND(AG72="趋势波段",OR(AH72="11～20个交易日",AH72="21～60个交易日",AH72="60个交易日以上"))),"匹配","周期与交易预期不匹配，请重新确认"))</f>
        <v/>
      </c>
      <c r="AK72" s="10"/>
      <c r="AL72" s="12"/>
      <c r="AM72" s="10"/>
      <c r="AN72" s="12"/>
      <c r="AO72" s="5">
        <f>IF(OR(A72="",H72="",H72&lt;=0),"",(E72*H72+IF(AND(AK72&lt;&gt;"",AL72&lt;&gt;""),AK72*AL72,0)+IF(AND(AM72&lt;&gt;"",AN72&lt;&gt;""),AM72*AN72,0))/AP72)</f>
        <v>8.24</v>
      </c>
      <c r="AP72" s="11">
        <f>IF(OR(A72="",H72="",H72&lt;=0),"",H72+IF(AL72="",0,AL72)+IF(AN72="",0,AN72))</f>
        <v>8600</v>
      </c>
      <c r="AQ72" s="5">
        <f>IF(A72="","",IF(M72&lt;&gt;"",0,IF(OR(H72="",N72=""),"",MAX(E72-MAX(N72,IFERROR(SUMPRODUCT(MAX(((持仓跟踪!$A$2:$A$157="每日跟踪")*(持仓跟踪!$B$2:$B$157=A72))*持仓跟踪!$S$2:$S$157)),0)),0)*H72+IF(OR(AK72="",AL72=""),0,MAX(AK72-MAX(N72,IFERROR(SUMPRODUCT(MAX(((持仓跟踪!$A$2:$A$157="每日跟踪")*(持仓跟踪!$B$2:$B$157=A72))*持仓跟踪!$S$2:$S$157)),0)),0)*AL72)+IF(OR(AM72="",AN72=""),0,MAX(AM72-MAX(N72,IFERROR(SUMPRODUCT(MAX(((持仓跟踪!$A$2:$A$157="每日跟踪")*(持仓跟踪!$B$2:$B$157=A72))*持仓跟踪!$S$2:$S$157)),0)),0)*AN72))))</f>
        <v>0</v>
      </c>
      <c r="AR72" s="8" t="str">
        <f ca="1">IF(A72="","",IF(OR(E72="",H72=""),"违规：第一批价格或股数缺失",IF(OR(AND(AK72="",AL72&lt;&gt;""),AND(AK72&lt;&gt;"",AL72="")),"违规：第二批价格与股数须成对填写",IF(OR(AND(AM72="",AN72&lt;&gt;""),AND(AM72&lt;&gt;"",AN72="")),"违规：第三批价格与股数须成对填写",IF(AND(OR(AM72&lt;&gt;"",AN72&lt;&gt;""),OR(AK72="",AL72="")),"违规：必须先完成第二批",IF(OR(H72&lt;=0,H72&lt;&gt;INT(H72),MOD(H72,100)&lt;&gt;0,AND(AL72&lt;&gt;"",OR(AL72&lt;=0,AL72&lt;&gt;INT(AL72),MOD(AL72,100)&lt;&gt;0)),AND(AN72&lt;&gt;"",OR(AN72&lt;=0,AN72&lt;&gt;INT(AN72),MOD(AN72,100)&lt;&gt;0))),"违规：股数须为100股整数倍",IF(AND(OR(AL72&lt;&gt;"",AN72&lt;&gt;""),OR(_LockStatus="已锁仓",_LockStatus="解锁信息不完整")),"违规：锁仓期间禁止加仓",IF(AQ72&gt;C72*D72,"违规：超过单笔风险上限",IF(SUM($AQ$2:$AQ$98)&gt;账户数据!$B$7,"违规：超过账户风险上限","通过")))))))))</f>
        <v>通过</v>
      </c>
    </row>
    <row r="73" s="17" customFormat="1" ht="17" spans="1:44">
      <c r="A73" s="21">
        <v>72</v>
      </c>
      <c r="B73" s="22" t="s">
        <v>69</v>
      </c>
      <c r="C73" s="23">
        <v>311853</v>
      </c>
      <c r="D73" s="24">
        <v>0.02</v>
      </c>
      <c r="E73" s="23">
        <v>8.66</v>
      </c>
      <c r="F73" s="25">
        <f>IF(OR(C73="",D73="",E73="",N73="",C73&lt;=0,D73&lt;=0,E73&lt;=N73),"",ROUNDDOWN((C73*D73)/(E73-N73)/100,0)*100)</f>
        <v>38900</v>
      </c>
      <c r="G73" s="26" t="str">
        <f ca="1">IF(A73="","",IF(H73&lt;&gt;"","已开仓",IF(账户数据!$B$23="已锁仓","禁止开仓：连续亏损达到上限",IF(账户数据!$B$23="解锁信息不完整","禁止开仓：请完整填写解锁信息",IF(OR(F73="",E73="",N73="",E73&lt;=N73,账户数据!$B$7=""),"",IF(OR(AG73="",AH73="",AI73=""),"禁止开仓：交易预期未填写完整",IF(COUNTIFS(持仓跟踪!$A$2:$A$157,"止损计划",持仓跟踪!$B$2:$B$157,A73,持仓跟踪!$AC$2:$AC$157,"计划有效")=0,"禁止开仓：请先填写止损计划",IF(账户数据!$B$9+F73*(E73-N73)&gt;=账户数据!$B$7,"禁止开仓：风险额度不足",IF(AJ73="周期与交易预期不匹配，请重新确认",IF(账户数据!$B$23="接近锁仓","允许开仓（接近锁仓；周期需复核）","允许开仓（周期需复核）"),IF(账户数据!$B$23="接近锁仓","允许开仓（接近锁仓）","允许开仓"))))))))))</f>
        <v>已开仓</v>
      </c>
      <c r="H73" s="21">
        <v>38900</v>
      </c>
      <c r="I73" s="27">
        <v>41523</v>
      </c>
      <c r="J73" s="23">
        <v>10</v>
      </c>
      <c r="K73" s="30">
        <f>IF(A73="","",IFERROR(LOOKUP(2,1/((持仓跟踪!$B$2:$B$157=A73)*(持仓跟踪!$X$2:$X$157="执行卖出")*(持仓跟踪!$Y$2:$Y$157&lt;&gt;"")),持仓跟踪!$Y$2:$Y$157),""))</f>
        <v>8</v>
      </c>
      <c r="L73" s="26">
        <f>IF(A73="","",IFERROR(LOOKUP(2,1/((持仓跟踪!$B$2:$B$157=A73)*(持仓跟踪!$X$2:$X$157="执行卖出")*(持仓跟踪!$Z$2:$Z$157&lt;&gt;"")),持仓跟踪!$Z$2:$Z$157),""))</f>
        <v>38900</v>
      </c>
      <c r="M73" s="35">
        <f>IF(A73="","",IFERROR(LOOKUP(2,1/((持仓跟踪!$B$2:$B$157=A73)*(持仓跟踪!$X$2:$X$157="执行卖出")*(持仓跟踪!$H$2:$H$157&lt;&gt;"")),持仓跟踪!$H$2:$H$157),""))</f>
        <v>41586</v>
      </c>
      <c r="N73" s="23">
        <v>8.5</v>
      </c>
      <c r="O73" s="23"/>
      <c r="P73" s="30" t="str">
        <f>IF(A73="","",IFERROR(LOOKUP(2,1/((持仓跟踪!$B$2:$B$157=A73)*(持仓跟踪!$X$2:$X$157="执行卖出")*(持仓跟踪!$AA$2:$AA$157&lt;&gt;"")),持仓跟踪!$AA$2:$AA$157),""))</f>
        <v/>
      </c>
      <c r="Q73" s="21"/>
      <c r="R73" s="21"/>
      <c r="S73" s="21"/>
      <c r="T73" s="21"/>
      <c r="U73" s="31">
        <f>IF(OR(AO73="",J73="",AO73&lt;=0),"",(J73-AO73)/AO73)</f>
        <v>0.15473441108545</v>
      </c>
      <c r="V73" s="31">
        <f>IF(OR(AO73="",N73="",AO73&lt;=0),"",(AO73-N73)/AO73)</f>
        <v>0.0184757505773672</v>
      </c>
      <c r="W73" s="32">
        <f>IF(OR(U73="",V73="",V73&lt;=0),"",U73/V73)</f>
        <v>8.37499999999999</v>
      </c>
      <c r="X73" s="30">
        <f>IF(OR(K73="",L73="",AP73=""),"",K73*L73-(E73*H73+IF(AND(AK73&lt;&gt;"",AL73&lt;&gt;""),AK73*AL73,0)+IF(AND(AM73&lt;&gt;"",AN73&lt;&gt;""),AM73*AN73,0))-IF(O73="",0,O73)-IF(P73="",0,P73))</f>
        <v>-25674</v>
      </c>
      <c r="Y73" s="36">
        <f>IF(OR(X73="",AP73=""),"",IF((E73*H73+IF(AND(AK73&lt;&gt;"",AL73&lt;&gt;""),AK73*AL73,0)+IF(AND(AM73&lt;&gt;"",AN73&lt;&gt;""),AM73*AN73,0))+IF(O73="",0,O73)&lt;=0,"",X73/((E73*H73+IF(AND(AK73&lt;&gt;"",AL73&lt;&gt;""),AK73*AL73,0)+IF(AND(AM73&lt;&gt;"",AN73&lt;&gt;""),AM73*AN73,0))+IF(O73="",0,O73))))</f>
        <v>-0.0762124711316397</v>
      </c>
      <c r="Z73" s="36">
        <f>IF(OR(AE73="",多次统计数据!$B$8=""),"",AE73-多次统计数据!$B$8)</f>
        <v>-0.154875877262063</v>
      </c>
      <c r="AA73" s="37">
        <f>IF(OR(I73="",M73="",M73&lt;I73),"",M73-I73)</f>
        <v>63</v>
      </c>
      <c r="AB73" s="31">
        <f>IF(OR(A73="",多次统计数据!$B$8="",多次统计数据!$B$6&lt;=0,多次统计数据!$B$6&gt;=1),"",1-POWER(1+多次统计数据!$B$8,-多次统计数据!$B$6/(1-多次统计数据!$B$6)))</f>
        <v>0.0530166567311223</v>
      </c>
      <c r="AC73" s="26" t="str">
        <f>IF(OR(AB73="",多次统计数据!$B$9=""),"",IF(多次统计数据!$B$9&lt;AB73,"低于上限","达到或超过上限"))</f>
        <v>低于上限</v>
      </c>
      <c r="AD73" s="21"/>
      <c r="AE73" s="36">
        <f>IF(OR(X73="",C73="",C73&lt;=0),"",X73/C73)</f>
        <v>-0.0823272503391021</v>
      </c>
      <c r="AG73" s="21"/>
      <c r="AH73" s="21"/>
      <c r="AI73" s="21"/>
      <c r="AJ73" s="26" t="str">
        <f>IF(OR(AG73="",AH73=""),"",IF(OR(AND(AG73="短期博反弹",OR(AH73="1～3个交易日",AH73="4～10个交易日")),AND(AG73="突破冲新高",OR(AH73="4～10个交易日",AH73="11～20个交易日")),AND(AG73="趋势波段",OR(AH73="11～20个交易日",AH73="21～60个交易日",AH73="60个交易日以上"))),"匹配","周期与交易预期不匹配，请重新确认"))</f>
        <v/>
      </c>
      <c r="AK73" s="23"/>
      <c r="AL73" s="34"/>
      <c r="AM73" s="23"/>
      <c r="AN73" s="34"/>
      <c r="AO73" s="28">
        <f>IF(OR(A73="",H73="",H73&lt;=0),"",(E73*H73+IF(AND(AK73&lt;&gt;"",AL73&lt;&gt;""),AK73*AL73,0)+IF(AND(AM73&lt;&gt;"",AN73&lt;&gt;""),AM73*AN73,0))/AP73)</f>
        <v>8.66</v>
      </c>
      <c r="AP73" s="33">
        <f>IF(OR(A73="",H73="",H73&lt;=0),"",H73+IF(AL73="",0,AL73)+IF(AN73="",0,AN73))</f>
        <v>38900</v>
      </c>
      <c r="AQ73" s="28">
        <f>IF(A73="","",IF(M73&lt;&gt;"",0,IF(OR(H73="",N73=""),"",MAX(E73-MAX(N73,IFERROR(SUMPRODUCT(MAX(((持仓跟踪!$A$2:$A$157="每日跟踪")*(持仓跟踪!$B$2:$B$157=A73))*持仓跟踪!$S$2:$S$157)),0)),0)*H73+IF(OR(AK73="",AL73=""),0,MAX(AK73-MAX(N73,IFERROR(SUMPRODUCT(MAX(((持仓跟踪!$A$2:$A$157="每日跟踪")*(持仓跟踪!$B$2:$B$157=A73))*持仓跟踪!$S$2:$S$157)),0)),0)*AL73)+IF(OR(AM73="",AN73=""),0,MAX(AM73-MAX(N73,IFERROR(SUMPRODUCT(MAX(((持仓跟踪!$A$2:$A$157="每日跟踪")*(持仓跟踪!$B$2:$B$157=A73))*持仓跟踪!$S$2:$S$157)),0)),0)*AN73))))</f>
        <v>0</v>
      </c>
      <c r="AR73" s="26" t="str">
        <f ca="1">IF(A73="","",IF(OR(E73="",H73=""),"违规：第一批价格或股数缺失",IF(OR(AND(AK73="",AL73&lt;&gt;""),AND(AK73&lt;&gt;"",AL73="")),"违规：第二批价格与股数须成对填写",IF(OR(AND(AM73="",AN73&lt;&gt;""),AND(AM73&lt;&gt;"",AN73="")),"违规：第三批价格与股数须成对填写",IF(AND(OR(AM73&lt;&gt;"",AN73&lt;&gt;""),OR(AK73="",AL73="")),"违规：必须先完成第二批",IF(OR(H73&lt;=0,H73&lt;&gt;INT(H73),MOD(H73,100)&lt;&gt;0,AND(AL73&lt;&gt;"",OR(AL73&lt;=0,AL73&lt;&gt;INT(AL73),MOD(AL73,100)&lt;&gt;0)),AND(AN73&lt;&gt;"",OR(AN73&lt;=0,AN73&lt;&gt;INT(AN73),MOD(AN73,100)&lt;&gt;0))),"违规：股数须为100股整数倍",IF(AND(OR(AL73&lt;&gt;"",AN73&lt;&gt;""),OR(_LockStatus="已锁仓",_LockStatus="解锁信息不完整")),"违规：锁仓期间禁止加仓",IF(AQ73&gt;C73*D73,"违规：超过单笔风险上限",IF(SUM($AQ$2:$AQ$98)&gt;账户数据!$B$7,"违规：超过账户风险上限","通过")))))))))</f>
        <v>通过</v>
      </c>
    </row>
    <row r="74" ht="17" spans="1:44">
      <c r="A74" s="2">
        <v>73</v>
      </c>
      <c r="B74" s="2" t="s">
        <v>69</v>
      </c>
      <c r="C74" s="10">
        <v>286179</v>
      </c>
      <c r="D74" s="6">
        <v>0.02</v>
      </c>
      <c r="E74" s="10">
        <v>11.95</v>
      </c>
      <c r="F74" s="8">
        <f>IF(OR(C74="",D74="",E74="",N74="",C74&lt;=0,D74&lt;=0,E74&lt;=N74),"",ROUNDDOWN((C74*D74)/(E74-N74)/100,0)*100)</f>
        <v>12700</v>
      </c>
      <c r="G74" s="8" t="str">
        <f ca="1">IF(A74="","",IF(H74&lt;&gt;"","已开仓",IF(账户数据!$B$23="已锁仓","禁止开仓：连续亏损达到上限",IF(账户数据!$B$23="解锁信息不完整","禁止开仓：请完整填写解锁信息",IF(OR(F74="",E74="",N74="",E74&lt;=N74,账户数据!$B$7=""),"",IF(OR(AG74="",AH74="",AI74=""),"禁止开仓：交易预期未填写完整",IF(COUNTIFS(持仓跟踪!$A$2:$A$157,"止损计划",持仓跟踪!$B$2:$B$157,A74,持仓跟踪!$AC$2:$AC$157,"计划有效")=0,"禁止开仓：请先填写止损计划",IF(账户数据!$B$9+F74*(E74-N74)&gt;=账户数据!$B$7,"禁止开仓：风险额度不足",IF(AJ74="周期与交易预期不匹配，请重新确认",IF(账户数据!$B$23="接近锁仓","允许开仓（接近锁仓；周期需复核）","允许开仓（周期需复核）"),IF(账户数据!$B$23="接近锁仓","允许开仓（接近锁仓）","允许开仓"))))))))))</f>
        <v>已开仓</v>
      </c>
      <c r="H74" s="2">
        <v>12700</v>
      </c>
      <c r="I74" s="13">
        <v>41696</v>
      </c>
      <c r="J74" s="10">
        <v>13</v>
      </c>
      <c r="K74" s="5">
        <f>IF(A74="","",IFERROR(LOOKUP(2,1/((持仓跟踪!$B$2:$B$157=A74)*(持仓跟踪!$X$2:$X$157="执行卖出")*(持仓跟踪!$Y$2:$Y$157&lt;&gt;"")),持仓跟踪!$Y$2:$Y$157),""))</f>
        <v>12.32</v>
      </c>
      <c r="L74" s="8">
        <f>IF(A74="","",IFERROR(LOOKUP(2,1/((持仓跟踪!$B$2:$B$157=A74)*(持仓跟踪!$X$2:$X$157="执行卖出")*(持仓跟踪!$Z$2:$Z$157&lt;&gt;"")),持仓跟踪!$Z$2:$Z$157),""))</f>
        <v>12700</v>
      </c>
      <c r="M74" s="18">
        <f>IF(A74="","",IFERROR(LOOKUP(2,1/((持仓跟踪!$B$2:$B$157=A74)*(持仓跟踪!$X$2:$X$157="执行卖出")*(持仓跟踪!$H$2:$H$157&lt;&gt;"")),持仓跟踪!$H$2:$H$157),""))</f>
        <v>41820</v>
      </c>
      <c r="N74" s="10">
        <v>11.5</v>
      </c>
      <c r="O74" s="10"/>
      <c r="P74" s="5" t="str">
        <f>IF(A74="","",IFERROR(LOOKUP(2,1/((持仓跟踪!$B$2:$B$157=A74)*(持仓跟踪!$X$2:$X$157="执行卖出")*(持仓跟踪!$AA$2:$AA$157&lt;&gt;"")),持仓跟踪!$AA$2:$AA$157),""))</f>
        <v/>
      </c>
      <c r="Q74" s="2"/>
      <c r="R74" s="2"/>
      <c r="S74" s="2"/>
      <c r="T74" s="2"/>
      <c r="U74" s="7">
        <f>IF(OR(AO74="",J74="",AO74&lt;=0),"",(J74-AO74)/AO74)</f>
        <v>0.0878661087866109</v>
      </c>
      <c r="V74" s="7">
        <f>IF(OR(AO74="",N74="",AO74&lt;=0),"",(AO74-N74)/AO74)</f>
        <v>0.0376569037656903</v>
      </c>
      <c r="W74" s="19">
        <f>IF(OR(U74="",V74="",V74&lt;=0),"",U74/V74)</f>
        <v>2.33333333333334</v>
      </c>
      <c r="X74" s="5">
        <f>IF(OR(K74="",L74="",AP74=""),"",K74*L74-(E74*H74+IF(AND(AK74&lt;&gt;"",AL74&lt;&gt;""),AK74*AL74,0)+IF(AND(AM74&lt;&gt;"",AN74&lt;&gt;""),AM74*AN74,0))-IF(O74="",0,O74)-IF(P74="",0,P74))</f>
        <v>4699</v>
      </c>
      <c r="Y74" s="7">
        <f>IF(OR(X74="",AP74=""),"",IF((E74*H74+IF(AND(AK74&lt;&gt;"",AL74&lt;&gt;""),AK74*AL74,0)+IF(AND(AM74&lt;&gt;"",AN74&lt;&gt;""),AM74*AN74,0))+IF(O74="",0,O74)&lt;=0,"",X74/((E74*H74+IF(AND(AK74&lt;&gt;"",AL74&lt;&gt;""),AK74*AL74,0)+IF(AND(AM74&lt;&gt;"",AN74&lt;&gt;""),AM74*AN74,0))+IF(O74="",0,O74))))</f>
        <v>0.0309623430962343</v>
      </c>
      <c r="Z74" s="7">
        <f>IF(OR(AE74="",多次统计数据!$B$8=""),"",AE74-多次统计数据!$B$8)</f>
        <v>-0.0561288337166111</v>
      </c>
      <c r="AA74" s="11">
        <f>IF(OR(I74="",M74="",M74&lt;I74),"",M74-I74)</f>
        <v>124</v>
      </c>
      <c r="AB74" s="7">
        <f>IF(OR(A74="",多次统计数据!$B$8="",多次统计数据!$B$6&lt;=0,多次统计数据!$B$6&gt;=1),"",1-POWER(1+多次统计数据!$B$8,-多次统计数据!$B$6/(1-多次统计数据!$B$6)))</f>
        <v>0.0530166567311223</v>
      </c>
      <c r="AC74" s="8" t="str">
        <f>IF(OR(AB74="",多次统计数据!$B$9=""),"",IF(多次统计数据!$B$9&lt;AB74,"低于上限","达到或超过上限"))</f>
        <v>低于上限</v>
      </c>
      <c r="AD74" s="2"/>
      <c r="AE74" s="7">
        <f>IF(OR(X74="",C74="",C74&lt;=0),"",X74/C74)</f>
        <v>0.0164197932063499</v>
      </c>
      <c r="AG74" s="2"/>
      <c r="AH74" s="2"/>
      <c r="AI74" s="2"/>
      <c r="AJ74" s="8" t="str">
        <f>IF(OR(AG74="",AH74=""),"",IF(OR(AND(AG74="短期博反弹",OR(AH74="1～3个交易日",AH74="4～10个交易日")),AND(AG74="突破冲新高",OR(AH74="4～10个交易日",AH74="11～20个交易日")),AND(AG74="趋势波段",OR(AH74="11～20个交易日",AH74="21～60个交易日",AH74="60个交易日以上"))),"匹配","周期与交易预期不匹配，请重新确认"))</f>
        <v/>
      </c>
      <c r="AK74" s="10"/>
      <c r="AL74" s="12"/>
      <c r="AM74" s="10"/>
      <c r="AN74" s="12"/>
      <c r="AO74" s="5">
        <f>IF(OR(A74="",H74="",H74&lt;=0),"",(E74*H74+IF(AND(AK74&lt;&gt;"",AL74&lt;&gt;""),AK74*AL74,0)+IF(AND(AM74&lt;&gt;"",AN74&lt;&gt;""),AM74*AN74,0))/AP74)</f>
        <v>11.95</v>
      </c>
      <c r="AP74" s="11">
        <f>IF(OR(A74="",H74="",H74&lt;=0),"",H74+IF(AL74="",0,AL74)+IF(AN74="",0,AN74))</f>
        <v>12700</v>
      </c>
      <c r="AQ74" s="5">
        <f>IF(A74="","",IF(M74&lt;&gt;"",0,IF(OR(H74="",N74=""),"",MAX(E74-MAX(N74,IFERROR(SUMPRODUCT(MAX(((持仓跟踪!$A$2:$A$157="每日跟踪")*(持仓跟踪!$B$2:$B$157=A74))*持仓跟踪!$S$2:$S$157)),0)),0)*H74+IF(OR(AK74="",AL74=""),0,MAX(AK74-MAX(N74,IFERROR(SUMPRODUCT(MAX(((持仓跟踪!$A$2:$A$157="每日跟踪")*(持仓跟踪!$B$2:$B$157=A74))*持仓跟踪!$S$2:$S$157)),0)),0)*AL74)+IF(OR(AM74="",AN74=""),0,MAX(AM74-MAX(N74,IFERROR(SUMPRODUCT(MAX(((持仓跟踪!$A$2:$A$157="每日跟踪")*(持仓跟踪!$B$2:$B$157=A74))*持仓跟踪!$S$2:$S$157)),0)),0)*AN74))))</f>
        <v>0</v>
      </c>
      <c r="AR74" s="8" t="str">
        <f ca="1">IF(A74="","",IF(OR(E74="",H74=""),"违规：第一批价格或股数缺失",IF(OR(AND(AK74="",AL74&lt;&gt;""),AND(AK74&lt;&gt;"",AL74="")),"违规：第二批价格与股数须成对填写",IF(OR(AND(AM74="",AN74&lt;&gt;""),AND(AM74&lt;&gt;"",AN74="")),"违规：第三批价格与股数须成对填写",IF(AND(OR(AM74&lt;&gt;"",AN74&lt;&gt;""),OR(AK74="",AL74="")),"违规：必须先完成第二批",IF(OR(H74&lt;=0,H74&lt;&gt;INT(H74),MOD(H74,100)&lt;&gt;0,AND(AL74&lt;&gt;"",OR(AL74&lt;=0,AL74&lt;&gt;INT(AL74),MOD(AL74,100)&lt;&gt;0)),AND(AN74&lt;&gt;"",OR(AN74&lt;=0,AN74&lt;&gt;INT(AN74),MOD(AN74,100)&lt;&gt;0))),"违规：股数须为100股整数倍",IF(AND(OR(AL74&lt;&gt;"",AN74&lt;&gt;""),OR(_LockStatus="已锁仓",_LockStatus="解锁信息不完整")),"违规：锁仓期间禁止加仓",IF(AQ74&gt;C74*D74,"违规：超过单笔风险上限",IF(SUM($AQ$2:$AQ$98)&gt;账户数据!$B$7,"违规：超过账户风险上限","通过")))))))))</f>
        <v>通过</v>
      </c>
    </row>
    <row r="75" s="17" customFormat="1" ht="17" spans="1:44">
      <c r="A75" s="21">
        <v>74</v>
      </c>
      <c r="B75" s="22" t="s">
        <v>69</v>
      </c>
      <c r="C75" s="23">
        <v>290878</v>
      </c>
      <c r="D75" s="24">
        <v>0.02</v>
      </c>
      <c r="E75" s="23">
        <v>12.73</v>
      </c>
      <c r="F75" s="25">
        <f>IF(OR(C75="",D75="",E75="",N75="",C75&lt;=0,D75&lt;=0,E75&lt;=N75),"",ROUNDDOWN((C75*D75)/(E75-N75)/100,0)*100)</f>
        <v>13500</v>
      </c>
      <c r="G75" s="26" t="str">
        <f ca="1">IF(A75="","",IF(H75&lt;&gt;"","已开仓",IF(账户数据!$B$23="已锁仓","禁止开仓：连续亏损达到上限",IF(账户数据!$B$23="解锁信息不完整","禁止开仓：请完整填写解锁信息",IF(OR(F75="",E75="",N75="",E75&lt;=N75,账户数据!$B$7=""),"",IF(OR(AG75="",AH75="",AI75=""),"禁止开仓：交易预期未填写完整",IF(COUNTIFS(持仓跟踪!$A$2:$A$157,"止损计划",持仓跟踪!$B$2:$B$157,A75,持仓跟踪!$AC$2:$AC$157,"计划有效")=0,"禁止开仓：请先填写止损计划",IF(账户数据!$B$9+F75*(E75-N75)&gt;=账户数据!$B$7,"禁止开仓：风险额度不足",IF(AJ75="周期与交易预期不匹配，请重新确认",IF(账户数据!$B$23="接近锁仓","允许开仓（接近锁仓；周期需复核）","允许开仓（周期需复核）"),IF(账户数据!$B$23="接近锁仓","允许开仓（接近锁仓）","允许开仓"))))))))))</f>
        <v>已开仓</v>
      </c>
      <c r="H75" s="21">
        <v>13500</v>
      </c>
      <c r="I75" s="27">
        <v>41834</v>
      </c>
      <c r="J75" s="23">
        <v>14</v>
      </c>
      <c r="K75" s="30">
        <f>IF(A75="","",IFERROR(LOOKUP(2,1/((持仓跟踪!$B$2:$B$157=A75)*(持仓跟踪!$X$2:$X$157="执行卖出")*(持仓跟踪!$Y$2:$Y$157&lt;&gt;"")),持仓跟踪!$Y$2:$Y$157),""))</f>
        <v>13.79</v>
      </c>
      <c r="L75" s="26">
        <f>IF(A75="","",IFERROR(LOOKUP(2,1/((持仓跟踪!$B$2:$B$157=A75)*(持仓跟踪!$X$2:$X$157="执行卖出")*(持仓跟踪!$Z$2:$Z$157&lt;&gt;"")),持仓跟踪!$Z$2:$Z$157),""))</f>
        <v>13500</v>
      </c>
      <c r="M75" s="35">
        <f>IF(A75="","",IFERROR(LOOKUP(2,1/((持仓跟踪!$B$2:$B$157=A75)*(持仓跟踪!$X$2:$X$157="执行卖出")*(持仓跟踪!$H$2:$H$157&lt;&gt;"")),持仓跟踪!$H$2:$H$157),""))</f>
        <v>41862</v>
      </c>
      <c r="N75" s="23">
        <v>12.3</v>
      </c>
      <c r="O75" s="23"/>
      <c r="P75" s="30" t="str">
        <f>IF(A75="","",IFERROR(LOOKUP(2,1/((持仓跟踪!$B$2:$B$157=A75)*(持仓跟踪!$X$2:$X$157="执行卖出")*(持仓跟踪!$AA$2:$AA$157&lt;&gt;"")),持仓跟踪!$AA$2:$AA$157),""))</f>
        <v/>
      </c>
      <c r="Q75" s="21"/>
      <c r="R75" s="21"/>
      <c r="S75" s="21"/>
      <c r="T75" s="21"/>
      <c r="U75" s="31">
        <f>IF(OR(AO75="",J75="",AO75&lt;=0),"",(J75-AO75)/AO75)</f>
        <v>0.0997643362136685</v>
      </c>
      <c r="V75" s="31">
        <f>IF(OR(AO75="",N75="",AO75&lt;=0),"",(AO75-N75)/AO75)</f>
        <v>0.0337784760408484</v>
      </c>
      <c r="W75" s="32">
        <f>IF(OR(U75="",V75="",V75&lt;=0),"",U75/V75)</f>
        <v>2.95348837209302</v>
      </c>
      <c r="X75" s="30">
        <f>IF(OR(K75="",L75="",AP75=""),"",K75*L75-(E75*H75+IF(AND(AK75&lt;&gt;"",AL75&lt;&gt;""),AK75*AL75,0)+IF(AND(AM75&lt;&gt;"",AN75&lt;&gt;""),AM75*AN75,0))-IF(O75="",0,O75)-IF(P75="",0,P75))</f>
        <v>14310</v>
      </c>
      <c r="Y75" s="36">
        <f>IF(OR(X75="",AP75=""),"",IF((E75*H75+IF(AND(AK75&lt;&gt;"",AL75&lt;&gt;""),AK75*AL75,0)+IF(AND(AM75&lt;&gt;"",AN75&lt;&gt;""),AM75*AN75,0))+IF(O75="",0,O75)&lt;=0,"",X75/((E75*H75+IF(AND(AK75&lt;&gt;"",AL75&lt;&gt;""),AK75*AL75,0)+IF(AND(AM75&lt;&gt;"",AN75&lt;&gt;""),AM75*AN75,0))+IF(O75="",0,O75))))</f>
        <v>0.0832678711704635</v>
      </c>
      <c r="Z75" s="36">
        <f>IF(OR(AE75="",多次统计数据!$B$8=""),"",AE75-多次统计数据!$B$8)</f>
        <v>-0.0233527441129856</v>
      </c>
      <c r="AA75" s="37">
        <f>IF(OR(I75="",M75="",M75&lt;I75),"",M75-I75)</f>
        <v>28</v>
      </c>
      <c r="AB75" s="31">
        <f>IF(OR(A75="",多次统计数据!$B$8="",多次统计数据!$B$6&lt;=0,多次统计数据!$B$6&gt;=1),"",1-POWER(1+多次统计数据!$B$8,-多次统计数据!$B$6/(1-多次统计数据!$B$6)))</f>
        <v>0.0530166567311223</v>
      </c>
      <c r="AC75" s="26" t="str">
        <f>IF(OR(AB75="",多次统计数据!$B$9=""),"",IF(多次统计数据!$B$9&lt;AB75,"低于上限","达到或超过上限"))</f>
        <v>低于上限</v>
      </c>
      <c r="AD75" s="21"/>
      <c r="AE75" s="36">
        <f>IF(OR(X75="",C75="",C75&lt;=0),"",X75/C75)</f>
        <v>0.0491958828099753</v>
      </c>
      <c r="AG75" s="21"/>
      <c r="AH75" s="21"/>
      <c r="AI75" s="21"/>
      <c r="AJ75" s="26" t="str">
        <f>IF(OR(AG75="",AH75=""),"",IF(OR(AND(AG75="短期博反弹",OR(AH75="1～3个交易日",AH75="4～10个交易日")),AND(AG75="突破冲新高",OR(AH75="4～10个交易日",AH75="11～20个交易日")),AND(AG75="趋势波段",OR(AH75="11～20个交易日",AH75="21～60个交易日",AH75="60个交易日以上"))),"匹配","周期与交易预期不匹配，请重新确认"))</f>
        <v/>
      </c>
      <c r="AK75" s="23"/>
      <c r="AL75" s="34"/>
      <c r="AM75" s="23"/>
      <c r="AN75" s="34"/>
      <c r="AO75" s="28">
        <f>IF(OR(A75="",H75="",H75&lt;=0),"",(E75*H75+IF(AND(AK75&lt;&gt;"",AL75&lt;&gt;""),AK75*AL75,0)+IF(AND(AM75&lt;&gt;"",AN75&lt;&gt;""),AM75*AN75,0))/AP75)</f>
        <v>12.73</v>
      </c>
      <c r="AP75" s="33">
        <f>IF(OR(A75="",H75="",H75&lt;=0),"",H75+IF(AL75="",0,AL75)+IF(AN75="",0,AN75))</f>
        <v>13500</v>
      </c>
      <c r="AQ75" s="28">
        <f>IF(A75="","",IF(M75&lt;&gt;"",0,IF(OR(H75="",N75=""),"",MAX(E75-MAX(N75,IFERROR(SUMPRODUCT(MAX(((持仓跟踪!$A$2:$A$157="每日跟踪")*(持仓跟踪!$B$2:$B$157=A75))*持仓跟踪!$S$2:$S$157)),0)),0)*H75+IF(OR(AK75="",AL75=""),0,MAX(AK75-MAX(N75,IFERROR(SUMPRODUCT(MAX(((持仓跟踪!$A$2:$A$157="每日跟踪")*(持仓跟踪!$B$2:$B$157=A75))*持仓跟踪!$S$2:$S$157)),0)),0)*AL75)+IF(OR(AM75="",AN75=""),0,MAX(AM75-MAX(N75,IFERROR(SUMPRODUCT(MAX(((持仓跟踪!$A$2:$A$157="每日跟踪")*(持仓跟踪!$B$2:$B$157=A75))*持仓跟踪!$S$2:$S$157)),0)),0)*AN75))))</f>
        <v>0</v>
      </c>
      <c r="AR75" s="26" t="str">
        <f ca="1">IF(A75="","",IF(OR(E75="",H75=""),"违规：第一批价格或股数缺失",IF(OR(AND(AK75="",AL75&lt;&gt;""),AND(AK75&lt;&gt;"",AL75="")),"违规：第二批价格与股数须成对填写",IF(OR(AND(AM75="",AN75&lt;&gt;""),AND(AM75&lt;&gt;"",AN75="")),"违规：第三批价格与股数须成对填写",IF(AND(OR(AM75&lt;&gt;"",AN75&lt;&gt;""),OR(AK75="",AL75="")),"违规：必须先完成第二批",IF(OR(H75&lt;=0,H75&lt;&gt;INT(H75),MOD(H75,100)&lt;&gt;0,AND(AL75&lt;&gt;"",OR(AL75&lt;=0,AL75&lt;&gt;INT(AL75),MOD(AL75,100)&lt;&gt;0)),AND(AN75&lt;&gt;"",OR(AN75&lt;=0,AN75&lt;&gt;INT(AN75),MOD(AN75,100)&lt;&gt;0))),"违规：股数须为100股整数倍",IF(AND(OR(AL75&lt;&gt;"",AN75&lt;&gt;""),OR(_LockStatus="已锁仓",_LockStatus="解锁信息不完整")),"违规：锁仓期间禁止加仓",IF(AQ75&gt;C75*D75,"违规：超过单笔风险上限",IF(SUM($AQ$2:$AQ$98)&gt;账户数据!$B$7,"违规：超过账户风险上限","通过")))))))))</f>
        <v>通过</v>
      </c>
    </row>
    <row r="76" ht="17" spans="1:44">
      <c r="A76" s="2">
        <v>75</v>
      </c>
      <c r="B76" s="2" t="s">
        <v>69</v>
      </c>
      <c r="C76" s="10">
        <v>305188</v>
      </c>
      <c r="D76" s="6">
        <v>0.02</v>
      </c>
      <c r="E76" s="10">
        <v>13.02</v>
      </c>
      <c r="F76" s="8">
        <f>IF(OR(C76="",D76="",E76="",N76="",C76&lt;=0,D76&lt;=0,E76&lt;=N76),"",ROUNDDOWN((C76*D76)/(E76-N76)/100,0)*100)</f>
        <v>11700</v>
      </c>
      <c r="G76" s="8" t="str">
        <f ca="1">IF(A76="","",IF(H76&lt;&gt;"","已开仓",IF(账户数据!$B$23="已锁仓","禁止开仓：连续亏损达到上限",IF(账户数据!$B$23="解锁信息不完整","禁止开仓：请完整填写解锁信息",IF(OR(F76="",E76="",N76="",E76&lt;=N76,账户数据!$B$7=""),"",IF(OR(AG76="",AH76="",AI76=""),"禁止开仓：交易预期未填写完整",IF(COUNTIFS(持仓跟踪!$A$2:$A$157,"止损计划",持仓跟踪!$B$2:$B$157,A76,持仓跟踪!$AC$2:$AC$157,"计划有效")=0,"禁止开仓：请先填写止损计划",IF(账户数据!$B$9+F76*(E76-N76)&gt;=账户数据!$B$7,"禁止开仓：风险额度不足",IF(AJ76="周期与交易预期不匹配，请重新确认",IF(账户数据!$B$23="接近锁仓","允许开仓（接近锁仓；周期需复核）","允许开仓（周期需复核）"),IF(账户数据!$B$23="接近锁仓","允许开仓（接近锁仓）","允许开仓"))))))))))</f>
        <v>已开仓</v>
      </c>
      <c r="H76" s="2">
        <v>11700</v>
      </c>
      <c r="I76" s="13">
        <v>41904</v>
      </c>
      <c r="J76" s="10">
        <v>14</v>
      </c>
      <c r="K76" s="5">
        <f>IF(A76="","",IFERROR(LOOKUP(2,1/((持仓跟踪!$B$2:$B$157=A76)*(持仓跟踪!$X$2:$X$157="执行卖出")*(持仓跟踪!$Y$2:$Y$157&lt;&gt;"")),持仓跟踪!$Y$2:$Y$157),""))</f>
        <v>12.27</v>
      </c>
      <c r="L76" s="8">
        <f>IF(A76="","",IFERROR(LOOKUP(2,1/((持仓跟踪!$B$2:$B$157=A76)*(持仓跟踪!$X$2:$X$157="执行卖出")*(持仓跟踪!$Z$2:$Z$157&lt;&gt;"")),持仓跟踪!$Z$2:$Z$157),""))</f>
        <v>11700</v>
      </c>
      <c r="M76" s="18">
        <f>IF(A76="","",IFERROR(LOOKUP(2,1/((持仓跟踪!$B$2:$B$157=A76)*(持仓跟踪!$X$2:$X$157="执行卖出")*(持仓跟踪!$H$2:$H$157&lt;&gt;"")),持仓跟踪!$H$2:$H$157),""))</f>
        <v>41933</v>
      </c>
      <c r="N76" s="10">
        <v>12.5</v>
      </c>
      <c r="O76" s="10"/>
      <c r="P76" s="5" t="str">
        <f>IF(A76="","",IFERROR(LOOKUP(2,1/((持仓跟踪!$B$2:$B$157=A76)*(持仓跟踪!$X$2:$X$157="执行卖出")*(持仓跟踪!$AA$2:$AA$157&lt;&gt;"")),持仓跟踪!$AA$2:$AA$157),""))</f>
        <v/>
      </c>
      <c r="Q76" s="2"/>
      <c r="R76" s="2"/>
      <c r="S76" s="2"/>
      <c r="T76" s="2"/>
      <c r="U76" s="7">
        <f>IF(OR(AO76="",J76="",AO76&lt;=0),"",(J76-AO76)/AO76)</f>
        <v>0.0752688172043011</v>
      </c>
      <c r="V76" s="7">
        <f>IF(OR(AO76="",N76="",AO76&lt;=0),"",(AO76-N76)/AO76)</f>
        <v>0.0399385560675883</v>
      </c>
      <c r="W76" s="19">
        <f>IF(OR(U76="",V76="",V76&lt;=0),"",U76/V76)</f>
        <v>1.88461538461539</v>
      </c>
      <c r="X76" s="5">
        <f>IF(OR(K76="",L76="",AP76=""),"",K76*L76-(E76*H76+IF(AND(AK76&lt;&gt;"",AL76&lt;&gt;""),AK76*AL76,0)+IF(AND(AM76&lt;&gt;"",AN76&lt;&gt;""),AM76*AN76,0))-IF(O76="",0,O76)-IF(P76="",0,P76))</f>
        <v>-8775</v>
      </c>
      <c r="Y76" s="7">
        <f>IF(OR(X76="",AP76=""),"",IF((E76*H76+IF(AND(AK76&lt;&gt;"",AL76&lt;&gt;""),AK76*AL76,0)+IF(AND(AM76&lt;&gt;"",AN76&lt;&gt;""),AM76*AN76,0))+IF(O76="",0,O76)&lt;=0,"",X76/((E76*H76+IF(AND(AK76&lt;&gt;"",AL76&lt;&gt;""),AK76*AL76,0)+IF(AND(AM76&lt;&gt;"",AN76&lt;&gt;""),AM76*AN76,0))+IF(O76="",0,O76))))</f>
        <v>-0.0576036866359447</v>
      </c>
      <c r="Z76" s="7">
        <f>IF(OR(AE76="",多次统计数据!$B$8=""),"",AE76-多次统计数据!$B$8)</f>
        <v>-0.101301395708103</v>
      </c>
      <c r="AA76" s="11">
        <f>IF(OR(I76="",M76="",M76&lt;I76),"",M76-I76)</f>
        <v>29</v>
      </c>
      <c r="AB76" s="7">
        <f>IF(OR(A76="",多次统计数据!$B$8="",多次统计数据!$B$6&lt;=0,多次统计数据!$B$6&gt;=1),"",1-POWER(1+多次统计数据!$B$8,-多次统计数据!$B$6/(1-多次统计数据!$B$6)))</f>
        <v>0.0530166567311223</v>
      </c>
      <c r="AC76" s="8" t="str">
        <f>IF(OR(AB76="",多次统计数据!$B$9=""),"",IF(多次统计数据!$B$9&lt;AB76,"低于上限","达到或超过上限"))</f>
        <v>低于上限</v>
      </c>
      <c r="AD76" s="2"/>
      <c r="AE76" s="7">
        <f>IF(OR(X76="",C76="",C76&lt;=0),"",X76/C76)</f>
        <v>-0.0287527687851423</v>
      </c>
      <c r="AG76" s="2"/>
      <c r="AH76" s="2"/>
      <c r="AI76" s="2"/>
      <c r="AJ76" s="8" t="str">
        <f>IF(OR(AG76="",AH76=""),"",IF(OR(AND(AG76="短期博反弹",OR(AH76="1～3个交易日",AH76="4～10个交易日")),AND(AG76="突破冲新高",OR(AH76="4～10个交易日",AH76="11～20个交易日")),AND(AG76="趋势波段",OR(AH76="11～20个交易日",AH76="21～60个交易日",AH76="60个交易日以上"))),"匹配","周期与交易预期不匹配，请重新确认"))</f>
        <v/>
      </c>
      <c r="AK76" s="10"/>
      <c r="AL76" s="12"/>
      <c r="AM76" s="10"/>
      <c r="AN76" s="12"/>
      <c r="AO76" s="5">
        <f>IF(OR(A76="",H76="",H76&lt;=0),"",(E76*H76+IF(AND(AK76&lt;&gt;"",AL76&lt;&gt;""),AK76*AL76,0)+IF(AND(AM76&lt;&gt;"",AN76&lt;&gt;""),AM76*AN76,0))/AP76)</f>
        <v>13.02</v>
      </c>
      <c r="AP76" s="11">
        <f>IF(OR(A76="",H76="",H76&lt;=0),"",H76+IF(AL76="",0,AL76)+IF(AN76="",0,AN76))</f>
        <v>11700</v>
      </c>
      <c r="AQ76" s="5">
        <f>IF(A76="","",IF(M76&lt;&gt;"",0,IF(OR(H76="",N76=""),"",MAX(E76-MAX(N76,IFERROR(SUMPRODUCT(MAX(((持仓跟踪!$A$2:$A$157="每日跟踪")*(持仓跟踪!$B$2:$B$157=A76))*持仓跟踪!$S$2:$S$157)),0)),0)*H76+IF(OR(AK76="",AL76=""),0,MAX(AK76-MAX(N76,IFERROR(SUMPRODUCT(MAX(((持仓跟踪!$A$2:$A$157="每日跟踪")*(持仓跟踪!$B$2:$B$157=A76))*持仓跟踪!$S$2:$S$157)),0)),0)*AL76)+IF(OR(AM76="",AN76=""),0,MAX(AM76-MAX(N76,IFERROR(SUMPRODUCT(MAX(((持仓跟踪!$A$2:$A$157="每日跟踪")*(持仓跟踪!$B$2:$B$157=A76))*持仓跟踪!$S$2:$S$157)),0)),0)*AN76))))</f>
        <v>0</v>
      </c>
      <c r="AR76" s="8" t="str">
        <f ca="1">IF(A76="","",IF(OR(E76="",H76=""),"违规：第一批价格或股数缺失",IF(OR(AND(AK76="",AL76&lt;&gt;""),AND(AK76&lt;&gt;"",AL76="")),"违规：第二批价格与股数须成对填写",IF(OR(AND(AM76="",AN76&lt;&gt;""),AND(AM76&lt;&gt;"",AN76="")),"违规：第三批价格与股数须成对填写",IF(AND(OR(AM76&lt;&gt;"",AN76&lt;&gt;""),OR(AK76="",AL76="")),"违规：必须先完成第二批",IF(OR(H76&lt;=0,H76&lt;&gt;INT(H76),MOD(H76,100)&lt;&gt;0,AND(AL76&lt;&gt;"",OR(AL76&lt;=0,AL76&lt;&gt;INT(AL76),MOD(AL76,100)&lt;&gt;0)),AND(AN76&lt;&gt;"",OR(AN76&lt;=0,AN76&lt;&gt;INT(AN76),MOD(AN76,100)&lt;&gt;0))),"违规：股数须为100股整数倍",IF(AND(OR(AL76&lt;&gt;"",AN76&lt;&gt;""),OR(_LockStatus="已锁仓",_LockStatus="解锁信息不完整")),"违规：锁仓期间禁止加仓",IF(AQ76&gt;C76*D76,"违规：超过单笔风险上限",IF(SUM($AQ$2:$AQ$98)&gt;账户数据!$B$7,"违规：超过账户风险上限","通过")))))))))</f>
        <v>通过</v>
      </c>
    </row>
    <row r="77" ht="17" spans="1:44">
      <c r="A77" s="2">
        <v>76</v>
      </c>
      <c r="B77" s="2" t="s">
        <v>69</v>
      </c>
      <c r="C77" s="10">
        <v>296413</v>
      </c>
      <c r="D77" s="6">
        <v>0.02</v>
      </c>
      <c r="E77" s="10">
        <v>10.89</v>
      </c>
      <c r="F77" s="8">
        <f>IF(OR(C77="",D77="",E77="",N77="",C77&lt;=0,D77&lt;=0,E77&lt;=N77),"",ROUNDDOWN((C77*D77)/(E77-N77)/100,0)*100)</f>
        <v>15200</v>
      </c>
      <c r="G77" s="8" t="str">
        <f ca="1">IF(A77="","",IF(H77&lt;&gt;"","已开仓",IF(账户数据!$B$23="已锁仓","禁止开仓：连续亏损达到上限",IF(账户数据!$B$23="解锁信息不完整","禁止开仓：请完整填写解锁信息",IF(OR(F77="",E77="",N77="",E77&lt;=N77,账户数据!$B$7=""),"",IF(OR(AG77="",AH77="",AI77=""),"禁止开仓：交易预期未填写完整",IF(COUNTIFS(持仓跟踪!$A$2:$A$157,"止损计划",持仓跟踪!$B$2:$B$157,A77,持仓跟踪!$AC$2:$AC$157,"计划有效")=0,"禁止开仓：请先填写止损计划",IF(账户数据!$B$9+F77*(E77-N77)&gt;=账户数据!$B$7,"禁止开仓：风险额度不足",IF(AJ77="周期与交易预期不匹配，请重新确认",IF(账户数据!$B$23="接近锁仓","允许开仓（接近锁仓；周期需复核）","允许开仓（周期需复核）"),IF(账户数据!$B$23="接近锁仓","允许开仓（接近锁仓）","允许开仓"))))))))))</f>
        <v>已开仓</v>
      </c>
      <c r="H77" s="2">
        <v>15200</v>
      </c>
      <c r="I77" s="13">
        <v>41976</v>
      </c>
      <c r="J77" s="10">
        <v>12</v>
      </c>
      <c r="K77" s="5">
        <f>IF(A77="","",IFERROR(LOOKUP(2,1/((持仓跟踪!$B$2:$B$157=A77)*(持仓跟踪!$X$2:$X$157="执行卖出")*(持仓跟踪!$Y$2:$Y$157&lt;&gt;"")),持仓跟踪!$Y$2:$Y$157),""))</f>
        <v>10.49</v>
      </c>
      <c r="L77" s="8">
        <f>IF(A77="","",IFERROR(LOOKUP(2,1/((持仓跟踪!$B$2:$B$157=A77)*(持仓跟踪!$X$2:$X$157="执行卖出")*(持仓跟踪!$Z$2:$Z$157&lt;&gt;"")),持仓跟踪!$Z$2:$Z$157),""))</f>
        <v>15200</v>
      </c>
      <c r="M77" s="18">
        <f>IF(A77="","",IFERROR(LOOKUP(2,1/((持仓跟踪!$B$2:$B$157=A77)*(持仓跟踪!$X$2:$X$157="执行卖出")*(持仓跟踪!$H$2:$H$157&lt;&gt;"")),持仓跟踪!$H$2:$H$157),""))</f>
        <v>41981</v>
      </c>
      <c r="N77" s="10">
        <v>10.5</v>
      </c>
      <c r="O77" s="10"/>
      <c r="P77" s="5" t="str">
        <f>IF(A77="","",IFERROR(LOOKUP(2,1/((持仓跟踪!$B$2:$B$157=A77)*(持仓跟踪!$X$2:$X$157="执行卖出")*(持仓跟踪!$AA$2:$AA$157&lt;&gt;"")),持仓跟踪!$AA$2:$AA$157),""))</f>
        <v/>
      </c>
      <c r="Q77" s="2"/>
      <c r="R77" s="2"/>
      <c r="S77" s="2"/>
      <c r="T77" s="2"/>
      <c r="U77" s="7">
        <f>IF(OR(AO77="",J77="",AO77&lt;=0),"",(J77-AO77)/AO77)</f>
        <v>0.101928374655647</v>
      </c>
      <c r="V77" s="7">
        <f>IF(OR(AO77="",N77="",AO77&lt;=0),"",(AO77-N77)/AO77)</f>
        <v>0.0358126721763086</v>
      </c>
      <c r="W77" s="19">
        <f>IF(OR(U77="",V77="",V77&lt;=0),"",U77/V77)</f>
        <v>2.84615384615384</v>
      </c>
      <c r="X77" s="5">
        <f>IF(OR(K77="",L77="",AP77=""),"",K77*L77-(E77*H77+IF(AND(AK77&lt;&gt;"",AL77&lt;&gt;""),AK77*AL77,0)+IF(AND(AM77&lt;&gt;"",AN77&lt;&gt;""),AM77*AN77,0))-IF(O77="",0,O77)-IF(P77="",0,P77))</f>
        <v>-6080</v>
      </c>
      <c r="Y77" s="7">
        <f>IF(OR(X77="",AP77=""),"",IF((E77*H77+IF(AND(AK77&lt;&gt;"",AL77&lt;&gt;""),AK77*AL77,0)+IF(AND(AM77&lt;&gt;"",AN77&lt;&gt;""),AM77*AN77,0))+IF(O77="",0,O77)&lt;=0,"",X77/((E77*H77+IF(AND(AK77&lt;&gt;"",AL77&lt;&gt;""),AK77*AL77,0)+IF(AND(AM77&lt;&gt;"",AN77&lt;&gt;""),AM77*AN77,0))+IF(O77="",0,O77))))</f>
        <v>-0.0367309458218549</v>
      </c>
      <c r="Z77" s="7">
        <f>IF(OR(AE77="",多次统计数据!$B$8=""),"",AE77-多次统计数据!$B$8)</f>
        <v>-0.0930605477901294</v>
      </c>
      <c r="AA77" s="11">
        <f>IF(OR(I77="",M77="",M77&lt;I77),"",M77-I77)</f>
        <v>5</v>
      </c>
      <c r="AB77" s="7">
        <f>IF(OR(A77="",多次统计数据!$B$8="",多次统计数据!$B$6&lt;=0,多次统计数据!$B$6&gt;=1),"",1-POWER(1+多次统计数据!$B$8,-多次统计数据!$B$6/(1-多次统计数据!$B$6)))</f>
        <v>0.0530166567311223</v>
      </c>
      <c r="AC77" s="8" t="str">
        <f>IF(OR(AB77="",多次统计数据!$B$9=""),"",IF(多次统计数据!$B$9&lt;AB77,"低于上限","达到或超过上限"))</f>
        <v>低于上限</v>
      </c>
      <c r="AD77" s="2"/>
      <c r="AE77" s="7">
        <f>IF(OR(X77="",C77="",C77&lt;=0),"",X77/C77)</f>
        <v>-0.0205119208671684</v>
      </c>
      <c r="AG77" s="2"/>
      <c r="AH77" s="2"/>
      <c r="AI77" s="2"/>
      <c r="AJ77" s="8" t="str">
        <f>IF(OR(AG77="",AH77=""),"",IF(OR(AND(AG77="短期博反弹",OR(AH77="1～3个交易日",AH77="4～10个交易日")),AND(AG77="突破冲新高",OR(AH77="4～10个交易日",AH77="11～20个交易日")),AND(AG77="趋势波段",OR(AH77="11～20个交易日",AH77="21～60个交易日",AH77="60个交易日以上"))),"匹配","周期与交易预期不匹配，请重新确认"))</f>
        <v/>
      </c>
      <c r="AK77" s="10"/>
      <c r="AL77" s="12"/>
      <c r="AM77" s="10"/>
      <c r="AN77" s="12"/>
      <c r="AO77" s="5">
        <f>IF(OR(A77="",H77="",H77&lt;=0),"",(E77*H77+IF(AND(AK77&lt;&gt;"",AL77&lt;&gt;""),AK77*AL77,0)+IF(AND(AM77&lt;&gt;"",AN77&lt;&gt;""),AM77*AN77,0))/AP77)</f>
        <v>10.89</v>
      </c>
      <c r="AP77" s="11">
        <f>IF(OR(A77="",H77="",H77&lt;=0),"",H77+IF(AL77="",0,AL77)+IF(AN77="",0,AN77))</f>
        <v>15200</v>
      </c>
      <c r="AQ77" s="5">
        <f>IF(A77="","",IF(M77&lt;&gt;"",0,IF(OR(H77="",N77=""),"",MAX(E77-MAX(N77,IFERROR(SUMPRODUCT(MAX(((持仓跟踪!$A$2:$A$157="每日跟踪")*(持仓跟踪!$B$2:$B$157=A77))*持仓跟踪!$S$2:$S$157)),0)),0)*H77+IF(OR(AK77="",AL77=""),0,MAX(AK77-MAX(N77,IFERROR(SUMPRODUCT(MAX(((持仓跟踪!$A$2:$A$157="每日跟踪")*(持仓跟踪!$B$2:$B$157=A77))*持仓跟踪!$S$2:$S$157)),0)),0)*AL77)+IF(OR(AM77="",AN77=""),0,MAX(AM77-MAX(N77,IFERROR(SUMPRODUCT(MAX(((持仓跟踪!$A$2:$A$157="每日跟踪")*(持仓跟踪!$B$2:$B$157=A77))*持仓跟踪!$S$2:$S$157)),0)),0)*AN77))))</f>
        <v>0</v>
      </c>
      <c r="AR77" s="8" t="str">
        <f ca="1">IF(A77="","",IF(OR(E77="",H77=""),"违规：第一批价格或股数缺失",IF(OR(AND(AK77="",AL77&lt;&gt;""),AND(AK77&lt;&gt;"",AL77="")),"违规：第二批价格与股数须成对填写",IF(OR(AND(AM77="",AN77&lt;&gt;""),AND(AM77&lt;&gt;"",AN77="")),"违规：第三批价格与股数须成对填写",IF(AND(OR(AM77&lt;&gt;"",AN77&lt;&gt;""),OR(AK77="",AL77="")),"违规：必须先完成第二批",IF(OR(H77&lt;=0,H77&lt;&gt;INT(H77),MOD(H77,100)&lt;&gt;0,AND(AL77&lt;&gt;"",OR(AL77&lt;=0,AL77&lt;&gt;INT(AL77),MOD(AL77,100)&lt;&gt;0)),AND(AN77&lt;&gt;"",OR(AN77&lt;=0,AN77&lt;&gt;INT(AN77),MOD(AN77,100)&lt;&gt;0))),"违规：股数须为100股整数倍",IF(AND(OR(AL77&lt;&gt;"",AN77&lt;&gt;""),OR(_LockStatus="已锁仓",_LockStatus="解锁信息不完整")),"违规：锁仓期间禁止加仓",IF(AQ77&gt;C77*D77,"违规：超过单笔风险上限",IF(SUM($AQ$2:$AQ$98)&gt;账户数据!$B$7,"违规：超过账户风险上限","通过")))))))))</f>
        <v>通过</v>
      </c>
    </row>
    <row r="78" s="17" customFormat="1" ht="17" spans="1:44">
      <c r="A78" s="21">
        <v>77</v>
      </c>
      <c r="B78" s="22" t="s">
        <v>69</v>
      </c>
      <c r="C78" s="23">
        <v>290333</v>
      </c>
      <c r="D78" s="24">
        <v>0.02</v>
      </c>
      <c r="E78" s="23">
        <v>17.46</v>
      </c>
      <c r="F78" s="25">
        <f>IF(OR(C78="",D78="",E78="",N78="",C78&lt;=0,D78&lt;=0,E78&lt;=N78),"",ROUNDDOWN((C78*D78)/(E78-N78)/100,0)*100)</f>
        <v>3900</v>
      </c>
      <c r="G78" s="26" t="str">
        <f ca="1">IF(A78="","",IF(H78&lt;&gt;"","已开仓",IF(账户数据!$B$23="已锁仓","禁止开仓：连续亏损达到上限",IF(账户数据!$B$23="解锁信息不完整","禁止开仓：请完整填写解锁信息",IF(OR(F78="",E78="",N78="",E78&lt;=N78,账户数据!$B$7=""),"",IF(OR(AG78="",AH78="",AI78=""),"禁止开仓：交易预期未填写完整",IF(COUNTIFS(持仓跟踪!$A$2:$A$157,"止损计划",持仓跟踪!$B$2:$B$157,A78,持仓跟踪!$AC$2:$AC$157,"计划有效")=0,"禁止开仓：请先填写止损计划",IF(账户数据!$B$9+F78*(E78-N78)&gt;=账户数据!$B$7,"禁止开仓：风险额度不足",IF(AJ78="周期与交易预期不匹配，请重新确认",IF(账户数据!$B$23="接近锁仓","允许开仓（接近锁仓；周期需复核）","允许开仓（周期需复核）"),IF(账户数据!$B$23="接近锁仓","允许开仓（接近锁仓）","允许开仓"))))))))))</f>
        <v>已开仓</v>
      </c>
      <c r="H78" s="21">
        <v>3900</v>
      </c>
      <c r="I78" s="27">
        <v>42347</v>
      </c>
      <c r="J78" s="23">
        <v>20</v>
      </c>
      <c r="K78" s="30">
        <f>IF(A78="","",IFERROR(LOOKUP(2,1/((持仓跟踪!$B$2:$B$157=A78)*(持仓跟踪!$X$2:$X$157="执行卖出")*(持仓跟踪!$Y$2:$Y$157&lt;&gt;"")),持仓跟踪!$Y$2:$Y$157),""))</f>
        <v>11.51</v>
      </c>
      <c r="L78" s="26">
        <f>IF(A78="","",IFERROR(LOOKUP(2,1/((持仓跟踪!$B$2:$B$157=A78)*(持仓跟踪!$X$2:$X$157="执行卖出")*(持仓跟踪!$Z$2:$Z$157&lt;&gt;"")),持仓跟踪!$Z$2:$Z$157),""))</f>
        <v>3900</v>
      </c>
      <c r="M78" s="35">
        <f>IF(A78="","",IFERROR(LOOKUP(2,1/((持仓跟踪!$B$2:$B$157=A78)*(持仓跟踪!$X$2:$X$157="执行卖出")*(持仓跟踪!$H$2:$H$157&lt;&gt;"")),持仓跟踪!$H$2:$H$157),""))</f>
        <v>42396</v>
      </c>
      <c r="N78" s="23">
        <v>16</v>
      </c>
      <c r="O78" s="23"/>
      <c r="P78" s="30" t="str">
        <f>IF(A78="","",IFERROR(LOOKUP(2,1/((持仓跟踪!$B$2:$B$157=A78)*(持仓跟踪!$X$2:$X$157="执行卖出")*(持仓跟踪!$AA$2:$AA$157&lt;&gt;"")),持仓跟踪!$AA$2:$AA$157),""))</f>
        <v/>
      </c>
      <c r="Q78" s="21"/>
      <c r="R78" s="21"/>
      <c r="S78" s="21"/>
      <c r="T78" s="21"/>
      <c r="U78" s="31">
        <f>IF(OR(AO78="",J78="",AO78&lt;=0),"",(J78-AO78)/AO78)</f>
        <v>0.145475372279496</v>
      </c>
      <c r="V78" s="31">
        <f>IF(OR(AO78="",N78="",AO78&lt;=0),"",(AO78-N78)/AO78)</f>
        <v>0.0836197021764033</v>
      </c>
      <c r="W78" s="32">
        <f>IF(OR(U78="",V78="",V78&lt;=0),"",U78/V78)</f>
        <v>1.73972602739726</v>
      </c>
      <c r="X78" s="30">
        <f>IF(OR(K78="",L78="",AP78=""),"",K78*L78-(E78*H78+IF(AND(AK78&lt;&gt;"",AL78&lt;&gt;""),AK78*AL78,0)+IF(AND(AM78&lt;&gt;"",AN78&lt;&gt;""),AM78*AN78,0))-IF(O78="",0,O78)-IF(P78="",0,P78))</f>
        <v>-23205</v>
      </c>
      <c r="Y78" s="36">
        <f>IF(OR(X78="",AP78=""),"",IF((E78*H78+IF(AND(AK78&lt;&gt;"",AL78&lt;&gt;""),AK78*AL78,0)+IF(AND(AM78&lt;&gt;"",AN78&lt;&gt;""),AM78*AN78,0))+IF(O78="",0,O78)&lt;=0,"",X78/((E78*H78+IF(AND(AK78&lt;&gt;"",AL78&lt;&gt;""),AK78*AL78,0)+IF(AND(AM78&lt;&gt;"",AN78&lt;&gt;""),AM78*AN78,0))+IF(O78="",0,O78))))</f>
        <v>-0.34077892325315</v>
      </c>
      <c r="Z78" s="36">
        <f>IF(OR(AE78="",多次统计数据!$B$8=""),"",AE78-多次统计数据!$B$8)</f>
        <v>-0.152474091820165</v>
      </c>
      <c r="AA78" s="37">
        <f>IF(OR(I78="",M78="",M78&lt;I78),"",M78-I78)</f>
        <v>49</v>
      </c>
      <c r="AB78" s="31">
        <f>IF(OR(A78="",多次统计数据!$B$8="",多次统计数据!$B$6&lt;=0,多次统计数据!$B$6&gt;=1),"",1-POWER(1+多次统计数据!$B$8,-多次统计数据!$B$6/(1-多次统计数据!$B$6)))</f>
        <v>0.0530166567311223</v>
      </c>
      <c r="AC78" s="26" t="str">
        <f>IF(OR(AB78="",多次统计数据!$B$9=""),"",IF(多次统计数据!$B$9&lt;AB78,"低于上限","达到或超过上限"))</f>
        <v>低于上限</v>
      </c>
      <c r="AD78" s="21"/>
      <c r="AE78" s="36">
        <f>IF(OR(X78="",C78="",C78&lt;=0),"",X78/C78)</f>
        <v>-0.0799254648972042</v>
      </c>
      <c r="AG78" s="21"/>
      <c r="AH78" s="21"/>
      <c r="AI78" s="21"/>
      <c r="AJ78" s="26" t="str">
        <f>IF(OR(AG78="",AH78=""),"",IF(OR(AND(AG78="短期博反弹",OR(AH78="1～3个交易日",AH78="4～10个交易日")),AND(AG78="突破冲新高",OR(AH78="4～10个交易日",AH78="11～20个交易日")),AND(AG78="趋势波段",OR(AH78="11～20个交易日",AH78="21～60个交易日",AH78="60个交易日以上"))),"匹配","周期与交易预期不匹配，请重新确认"))</f>
        <v/>
      </c>
      <c r="AK78" s="23"/>
      <c r="AL78" s="34"/>
      <c r="AM78" s="23"/>
      <c r="AN78" s="34"/>
      <c r="AO78" s="28">
        <f>IF(OR(A78="",H78="",H78&lt;=0),"",(E78*H78+IF(AND(AK78&lt;&gt;"",AL78&lt;&gt;""),AK78*AL78,0)+IF(AND(AM78&lt;&gt;"",AN78&lt;&gt;""),AM78*AN78,0))/AP78)</f>
        <v>17.46</v>
      </c>
      <c r="AP78" s="33">
        <f>IF(OR(A78="",H78="",H78&lt;=0),"",H78+IF(AL78="",0,AL78)+IF(AN78="",0,AN78))</f>
        <v>3900</v>
      </c>
      <c r="AQ78" s="28">
        <f>IF(A78="","",IF(M78&lt;&gt;"",0,IF(OR(H78="",N78=""),"",MAX(E78-MAX(N78,IFERROR(SUMPRODUCT(MAX(((持仓跟踪!$A$2:$A$157="每日跟踪")*(持仓跟踪!$B$2:$B$157=A78))*持仓跟踪!$S$2:$S$157)),0)),0)*H78+IF(OR(AK78="",AL78=""),0,MAX(AK78-MAX(N78,IFERROR(SUMPRODUCT(MAX(((持仓跟踪!$A$2:$A$157="每日跟踪")*(持仓跟踪!$B$2:$B$157=A78))*持仓跟踪!$S$2:$S$157)),0)),0)*AL78)+IF(OR(AM78="",AN78=""),0,MAX(AM78-MAX(N78,IFERROR(SUMPRODUCT(MAX(((持仓跟踪!$A$2:$A$157="每日跟踪")*(持仓跟踪!$B$2:$B$157=A78))*持仓跟踪!$S$2:$S$157)),0)),0)*AN78))))</f>
        <v>0</v>
      </c>
      <c r="AR78" s="26" t="str">
        <f ca="1">IF(A78="","",IF(OR(E78="",H78=""),"违规：第一批价格或股数缺失",IF(OR(AND(AK78="",AL78&lt;&gt;""),AND(AK78&lt;&gt;"",AL78="")),"违规：第二批价格与股数须成对填写",IF(OR(AND(AM78="",AN78&lt;&gt;""),AND(AM78&lt;&gt;"",AN78="")),"违规：第三批价格与股数须成对填写",IF(AND(OR(AM78&lt;&gt;"",AN78&lt;&gt;""),OR(AK78="",AL78="")),"违规：必须先完成第二批",IF(OR(H78&lt;=0,H78&lt;&gt;INT(H78),MOD(H78,100)&lt;&gt;0,AND(AL78&lt;&gt;"",OR(AL78&lt;=0,AL78&lt;&gt;INT(AL78),MOD(AL78,100)&lt;&gt;0)),AND(AN78&lt;&gt;"",OR(AN78&lt;=0,AN78&lt;&gt;INT(AN78),MOD(AN78,100)&lt;&gt;0))),"违规：股数须为100股整数倍",IF(AND(OR(AL78&lt;&gt;"",AN78&lt;&gt;""),OR(_LockStatus="已锁仓",_LockStatus="解锁信息不完整")),"违规：锁仓期间禁止加仓",IF(AQ78&gt;C78*D78,"违规：超过单笔风险上限",IF(SUM($AQ$2:$AQ$98)&gt;账户数据!$B$7,"违规：超过账户风险上限","通过")))))))))</f>
        <v>通过</v>
      </c>
    </row>
    <row r="79" ht="17" spans="1:44">
      <c r="A79" s="2">
        <v>78</v>
      </c>
      <c r="B79" s="2" t="s">
        <v>69</v>
      </c>
      <c r="C79" s="10">
        <v>267128</v>
      </c>
      <c r="D79" s="6">
        <v>0.02</v>
      </c>
      <c r="E79" s="10">
        <v>15.49</v>
      </c>
      <c r="F79" s="8">
        <f>IF(OR(C79="",D79="",E79="",N79="",C79&lt;=0,D79&lt;=0,E79&lt;=N79),"",ROUNDDOWN((C79*D79)/(E79-N79)/100,0)*100)</f>
        <v>10900</v>
      </c>
      <c r="G79" s="8" t="str">
        <f ca="1">IF(A79="","",IF(H79&lt;&gt;"","已开仓",IF(账户数据!$B$23="已锁仓","禁止开仓：连续亏损达到上限",IF(账户数据!$B$23="解锁信息不完整","禁止开仓：请完整填写解锁信息",IF(OR(F79="",E79="",N79="",E79&lt;=N79,账户数据!$B$7=""),"",IF(OR(AG79="",AH79="",AI79=""),"禁止开仓：交易预期未填写完整",IF(COUNTIFS(持仓跟踪!$A$2:$A$157,"止损计划",持仓跟踪!$B$2:$B$157,A79,持仓跟踪!$AC$2:$AC$157,"计划有效")=0,"禁止开仓：请先填写止损计划",IF(账户数据!$B$9+F79*(E79-N79)&gt;=账户数据!$B$7,"禁止开仓：风险额度不足",IF(AJ79="周期与交易预期不匹配，请重新确认",IF(账户数据!$B$23="接近锁仓","允许开仓（接近锁仓；周期需复核）","允许开仓（周期需复核）"),IF(账户数据!$B$23="接近锁仓","允许开仓（接近锁仓）","允许开仓"))))))))))</f>
        <v>已开仓</v>
      </c>
      <c r="H79" s="2">
        <v>10900</v>
      </c>
      <c r="I79" s="13">
        <v>42447</v>
      </c>
      <c r="J79" s="10">
        <v>16.5</v>
      </c>
      <c r="K79" s="5">
        <f>IF(A79="","",IFERROR(LOOKUP(2,1/((持仓跟踪!$B$2:$B$157=A79)*(持仓跟踪!$X$2:$X$157="执行卖出")*(持仓跟踪!$Y$2:$Y$157&lt;&gt;"")),持仓跟踪!$Y$2:$Y$157),""))</f>
        <v>16.03</v>
      </c>
      <c r="L79" s="8">
        <f>IF(A79="","",IFERROR(LOOKUP(2,1/((持仓跟踪!$B$2:$B$157=A79)*(持仓跟踪!$X$2:$X$157="执行卖出")*(持仓跟踪!$Z$2:$Z$157&lt;&gt;"")),持仓跟踪!$Z$2:$Z$157),""))</f>
        <v>10900</v>
      </c>
      <c r="M79" s="18">
        <f>IF(A79="","",IFERROR(LOOKUP(2,1/((持仓跟踪!$B$2:$B$157=A79)*(持仓跟踪!$X$2:$X$157="执行卖出")*(持仓跟踪!$H$2:$H$157&lt;&gt;"")),持仓跟踪!$H$2:$H$157),""))</f>
        <v>42473</v>
      </c>
      <c r="N79" s="10">
        <v>15</v>
      </c>
      <c r="O79" s="10"/>
      <c r="P79" s="5" t="str">
        <f>IF(A79="","",IFERROR(LOOKUP(2,1/((持仓跟踪!$B$2:$B$157=A79)*(持仓跟踪!$X$2:$X$157="执行卖出")*(持仓跟踪!$AA$2:$AA$157&lt;&gt;"")),持仓跟踪!$AA$2:$AA$157),""))</f>
        <v/>
      </c>
      <c r="Q79" s="2"/>
      <c r="R79" s="2"/>
      <c r="S79" s="2"/>
      <c r="T79" s="2"/>
      <c r="U79" s="7">
        <f>IF(OR(AO79="",J79="",AO79&lt;=0),"",(J79-AO79)/AO79)</f>
        <v>0.065203357004519</v>
      </c>
      <c r="V79" s="7">
        <f>IF(OR(AO79="",N79="",AO79&lt;=0),"",(AO79-N79)/AO79)</f>
        <v>0.0316333118140736</v>
      </c>
      <c r="W79" s="19">
        <f>IF(OR(U79="",V79="",V79&lt;=0),"",U79/V79)</f>
        <v>2.06122448979592</v>
      </c>
      <c r="X79" s="5">
        <f>IF(OR(K79="",L79="",AP79=""),"",K79*L79-(E79*H79+IF(AND(AK79&lt;&gt;"",AL79&lt;&gt;""),AK79*AL79,0)+IF(AND(AM79&lt;&gt;"",AN79&lt;&gt;""),AM79*AN79,0))-IF(O79="",0,O79)-IF(P79="",0,P79))</f>
        <v>5886</v>
      </c>
      <c r="Y79" s="7">
        <f>IF(OR(X79="",AP79=""),"",IF((E79*H79+IF(AND(AK79&lt;&gt;"",AL79&lt;&gt;""),AK79*AL79,0)+IF(AND(AM79&lt;&gt;"",AN79&lt;&gt;""),AM79*AN79,0))+IF(O79="",0,O79)&lt;=0,"",X79/((E79*H79+IF(AND(AK79&lt;&gt;"",AL79&lt;&gt;""),AK79*AL79,0)+IF(AND(AM79&lt;&gt;"",AN79&lt;&gt;""),AM79*AN79,0))+IF(O79="",0,O79))))</f>
        <v>0.0348612007746934</v>
      </c>
      <c r="Z79" s="7">
        <f>IF(OR(AE79="",多次统计数据!$B$8=""),"",AE79-多次统计数据!$B$8)</f>
        <v>-0.0505142464012635</v>
      </c>
      <c r="AA79" s="11">
        <f>IF(OR(I79="",M79="",M79&lt;I79),"",M79-I79)</f>
        <v>26</v>
      </c>
      <c r="AB79" s="7">
        <f>IF(OR(A79="",多次统计数据!$B$8="",多次统计数据!$B$6&lt;=0,多次统计数据!$B$6&gt;=1),"",1-POWER(1+多次统计数据!$B$8,-多次统计数据!$B$6/(1-多次统计数据!$B$6)))</f>
        <v>0.0530166567311223</v>
      </c>
      <c r="AC79" s="8" t="str">
        <f>IF(OR(AB79="",多次统计数据!$B$9=""),"",IF(多次统计数据!$B$9&lt;AB79,"低于上限","达到或超过上限"))</f>
        <v>低于上限</v>
      </c>
      <c r="AD79" s="2"/>
      <c r="AE79" s="7">
        <f>IF(OR(X79="",C79="",C79&lt;=0),"",X79/C79)</f>
        <v>0.0220343805216975</v>
      </c>
      <c r="AG79" s="2"/>
      <c r="AH79" s="2"/>
      <c r="AI79" s="2"/>
      <c r="AJ79" s="8" t="str">
        <f>IF(OR(AG79="",AH79=""),"",IF(OR(AND(AG79="短期博反弹",OR(AH79="1～3个交易日",AH79="4～10个交易日")),AND(AG79="突破冲新高",OR(AH79="4～10个交易日",AH79="11～20个交易日")),AND(AG79="趋势波段",OR(AH79="11～20个交易日",AH79="21～60个交易日",AH79="60个交易日以上"))),"匹配","周期与交易预期不匹配，请重新确认"))</f>
        <v/>
      </c>
      <c r="AK79" s="10"/>
      <c r="AL79" s="12"/>
      <c r="AM79" s="10"/>
      <c r="AN79" s="12"/>
      <c r="AO79" s="5">
        <f>IF(OR(A79="",H79="",H79&lt;=0),"",(E79*H79+IF(AND(AK79&lt;&gt;"",AL79&lt;&gt;""),AK79*AL79,0)+IF(AND(AM79&lt;&gt;"",AN79&lt;&gt;""),AM79*AN79,0))/AP79)</f>
        <v>15.49</v>
      </c>
      <c r="AP79" s="11">
        <f>IF(OR(A79="",H79="",H79&lt;=0),"",H79+IF(AL79="",0,AL79)+IF(AN79="",0,AN79))</f>
        <v>10900</v>
      </c>
      <c r="AQ79" s="5">
        <f>IF(A79="","",IF(M79&lt;&gt;"",0,IF(OR(H79="",N79=""),"",MAX(E79-MAX(N79,IFERROR(SUMPRODUCT(MAX(((持仓跟踪!$A$2:$A$157="每日跟踪")*(持仓跟踪!$B$2:$B$157=A79))*持仓跟踪!$S$2:$S$157)),0)),0)*H79+IF(OR(AK79="",AL79=""),0,MAX(AK79-MAX(N79,IFERROR(SUMPRODUCT(MAX(((持仓跟踪!$A$2:$A$157="每日跟踪")*(持仓跟踪!$B$2:$B$157=A79))*持仓跟踪!$S$2:$S$157)),0)),0)*AL79)+IF(OR(AM79="",AN79=""),0,MAX(AM79-MAX(N79,IFERROR(SUMPRODUCT(MAX(((持仓跟踪!$A$2:$A$157="每日跟踪")*(持仓跟踪!$B$2:$B$157=A79))*持仓跟踪!$S$2:$S$157)),0)),0)*AN79))))</f>
        <v>0</v>
      </c>
      <c r="AR79" s="8" t="str">
        <f ca="1">IF(A79="","",IF(OR(E79="",H79=""),"违规：第一批价格或股数缺失",IF(OR(AND(AK79="",AL79&lt;&gt;""),AND(AK79&lt;&gt;"",AL79="")),"违规：第二批价格与股数须成对填写",IF(OR(AND(AM79="",AN79&lt;&gt;""),AND(AM79&lt;&gt;"",AN79="")),"违规：第三批价格与股数须成对填写",IF(AND(OR(AM79&lt;&gt;"",AN79&lt;&gt;""),OR(AK79="",AL79="")),"违规：必须先完成第二批",IF(OR(H79&lt;=0,H79&lt;&gt;INT(H79),MOD(H79,100)&lt;&gt;0,AND(AL79&lt;&gt;"",OR(AL79&lt;=0,AL79&lt;&gt;INT(AL79),MOD(AL79,100)&lt;&gt;0)),AND(AN79&lt;&gt;"",OR(AN79&lt;=0,AN79&lt;&gt;INT(AN79),MOD(AN79,100)&lt;&gt;0))),"违规：股数须为100股整数倍",IF(AND(OR(AL79&lt;&gt;"",AN79&lt;&gt;""),OR(_LockStatus="已锁仓",_LockStatus="解锁信息不完整")),"违规：锁仓期间禁止加仓",IF(AQ79&gt;C79*D79,"违规：超过单笔风险上限",IF(SUM($AQ$2:$AQ$98)&gt;账户数据!$B$7,"违规：超过账户风险上限","通过")))))))))</f>
        <v>通过</v>
      </c>
    </row>
    <row r="80" ht="17" spans="1:44">
      <c r="A80" s="2">
        <v>79</v>
      </c>
      <c r="B80" s="2" t="s">
        <v>69</v>
      </c>
      <c r="C80" s="10">
        <v>273014</v>
      </c>
      <c r="D80" s="6">
        <v>0.02</v>
      </c>
      <c r="E80" s="10">
        <v>16.07</v>
      </c>
      <c r="F80" s="8">
        <f>IF(OR(C80="",D80="",E80="",N80="",C80&lt;=0,D80&lt;=0,E80&lt;=N80),"",ROUNDDOWN((C80*D80)/(E80-N80)/100,0)*100)</f>
        <v>6200</v>
      </c>
      <c r="G80" s="8" t="str">
        <f ca="1">IF(A80="","",IF(H80&lt;&gt;"","已开仓",IF(账户数据!$B$23="已锁仓","禁止开仓：连续亏损达到上限",IF(账户数据!$B$23="解锁信息不完整","禁止开仓：请完整填写解锁信息",IF(OR(F80="",E80="",N80="",E80&lt;=N80,账户数据!$B$7=""),"",IF(OR(AG80="",AH80="",AI80=""),"禁止开仓：交易预期未填写完整",IF(COUNTIFS(持仓跟踪!$A$2:$A$157,"止损计划",持仓跟踪!$B$2:$B$157,A80,持仓跟踪!$AC$2:$AC$157,"计划有效")=0,"禁止开仓：请先填写止损计划",IF(账户数据!$B$9+F80*(E80-N80)&gt;=账户数据!$B$7,"禁止开仓：风险额度不足",IF(AJ80="周期与交易预期不匹配，请重新确认",IF(账户数据!$B$23="接近锁仓","允许开仓（接近锁仓；周期需复核）","允许开仓（周期需复核）"),IF(账户数据!$B$23="接近锁仓","允许开仓（接近锁仓）","允许开仓"))))))))))</f>
        <v>已开仓</v>
      </c>
      <c r="H80" s="2">
        <v>6200</v>
      </c>
      <c r="I80" s="13">
        <v>42500</v>
      </c>
      <c r="J80" s="10">
        <v>17</v>
      </c>
      <c r="K80" s="5">
        <f>IF(A80="","",IFERROR(LOOKUP(2,1/((持仓跟踪!$B$2:$B$157=A80)*(持仓跟踪!$X$2:$X$157="执行卖出")*(持仓跟踪!$Y$2:$Y$157&lt;&gt;"")),持仓跟踪!$Y$2:$Y$157),""))</f>
        <v>15.77</v>
      </c>
      <c r="L80" s="8">
        <f>IF(A80="","",IFERROR(LOOKUP(2,1/((持仓跟踪!$B$2:$B$157=A80)*(持仓跟踪!$X$2:$X$157="执行卖出")*(持仓跟踪!$Z$2:$Z$157&lt;&gt;"")),持仓跟踪!$Z$2:$Z$157),""))</f>
        <v>6200</v>
      </c>
      <c r="M80" s="18">
        <f>IF(A80="","",IFERROR(LOOKUP(2,1/((持仓跟踪!$B$2:$B$157=A80)*(持仓跟踪!$X$2:$X$157="执行卖出")*(持仓跟踪!$H$2:$H$157&lt;&gt;"")),持仓跟踪!$H$2:$H$157),""))</f>
        <v>42517</v>
      </c>
      <c r="N80" s="10">
        <v>15.2</v>
      </c>
      <c r="O80" s="10"/>
      <c r="P80" s="5" t="str">
        <f>IF(A80="","",IFERROR(LOOKUP(2,1/((持仓跟踪!$B$2:$B$157=A80)*(持仓跟踪!$X$2:$X$157="执行卖出")*(持仓跟踪!$AA$2:$AA$157&lt;&gt;"")),持仓跟踪!$AA$2:$AA$157),""))</f>
        <v/>
      </c>
      <c r="Q80" s="2"/>
      <c r="R80" s="2"/>
      <c r="S80" s="2"/>
      <c r="T80" s="2"/>
      <c r="U80" s="7">
        <f>IF(OR(AO80="",J80="",AO80&lt;=0),"",(J80-AO80)/AO80)</f>
        <v>0.0578718108276291</v>
      </c>
      <c r="V80" s="7">
        <f>IF(OR(AO80="",N80="",AO80&lt;=0),"",(AO80-N80)/AO80)</f>
        <v>0.0541381456129434</v>
      </c>
      <c r="W80" s="19">
        <f>IF(OR(U80="",V80="",V80&lt;=0),"",U80/V80)</f>
        <v>1.06896551724138</v>
      </c>
      <c r="X80" s="5">
        <f>IF(OR(K80="",L80="",AP80=""),"",K80*L80-(E80*H80+IF(AND(AK80&lt;&gt;"",AL80&lt;&gt;""),AK80*AL80,0)+IF(AND(AM80&lt;&gt;"",AN80&lt;&gt;""),AM80*AN80,0))-IF(O80="",0,O80)-IF(P80="",0,P80))</f>
        <v>-1860</v>
      </c>
      <c r="Y80" s="7">
        <f>IF(OR(X80="",AP80=""),"",IF((E80*H80+IF(AND(AK80&lt;&gt;"",AL80&lt;&gt;""),AK80*AL80,0)+IF(AND(AM80&lt;&gt;"",AN80&lt;&gt;""),AM80*AN80,0))+IF(O80="",0,O80)&lt;=0,"",X80/((E80*H80+IF(AND(AK80&lt;&gt;"",AL80&lt;&gt;""),AK80*AL80,0)+IF(AND(AM80&lt;&gt;"",AN80&lt;&gt;""),AM80*AN80,0))+IF(O80="",0,O80))))</f>
        <v>-0.0186683260734287</v>
      </c>
      <c r="Z80" s="7">
        <f>IF(OR(AE80="",多次统计数据!$B$8=""),"",AE80-多次统计数据!$B$8)</f>
        <v>-0.079361464359869</v>
      </c>
      <c r="AA80" s="11">
        <f>IF(OR(I80="",M80="",M80&lt;I80),"",M80-I80)</f>
        <v>17</v>
      </c>
      <c r="AB80" s="7">
        <f>IF(OR(A80="",多次统计数据!$B$8="",多次统计数据!$B$6&lt;=0,多次统计数据!$B$6&gt;=1),"",1-POWER(1+多次统计数据!$B$8,-多次统计数据!$B$6/(1-多次统计数据!$B$6)))</f>
        <v>0.0530166567311223</v>
      </c>
      <c r="AC80" s="8" t="str">
        <f>IF(OR(AB80="",多次统计数据!$B$9=""),"",IF(多次统计数据!$B$9&lt;AB80,"低于上限","达到或超过上限"))</f>
        <v>低于上限</v>
      </c>
      <c r="AD80" s="2"/>
      <c r="AE80" s="7">
        <f>IF(OR(X80="",C80="",C80&lt;=0),"",X80/C80)</f>
        <v>-0.006812837436908</v>
      </c>
      <c r="AG80" s="2"/>
      <c r="AH80" s="2"/>
      <c r="AI80" s="2"/>
      <c r="AJ80" s="8" t="str">
        <f>IF(OR(AG80="",AH80=""),"",IF(OR(AND(AG80="短期博反弹",OR(AH80="1～3个交易日",AH80="4～10个交易日")),AND(AG80="突破冲新高",OR(AH80="4～10个交易日",AH80="11～20个交易日")),AND(AG80="趋势波段",OR(AH80="11～20个交易日",AH80="21～60个交易日",AH80="60个交易日以上"))),"匹配","周期与交易预期不匹配，请重新确认"))</f>
        <v/>
      </c>
      <c r="AK80" s="10"/>
      <c r="AL80" s="12"/>
      <c r="AM80" s="10"/>
      <c r="AN80" s="12"/>
      <c r="AO80" s="5">
        <f>IF(OR(A80="",H80="",H80&lt;=0),"",(E80*H80+IF(AND(AK80&lt;&gt;"",AL80&lt;&gt;""),AK80*AL80,0)+IF(AND(AM80&lt;&gt;"",AN80&lt;&gt;""),AM80*AN80,0))/AP80)</f>
        <v>16.07</v>
      </c>
      <c r="AP80" s="11">
        <f>IF(OR(A80="",H80="",H80&lt;=0),"",H80+IF(AL80="",0,AL80)+IF(AN80="",0,AN80))</f>
        <v>6200</v>
      </c>
      <c r="AQ80" s="5">
        <f>IF(A80="","",IF(M80&lt;&gt;"",0,IF(OR(H80="",N80=""),"",MAX(E80-MAX(N80,IFERROR(SUMPRODUCT(MAX(((持仓跟踪!$A$2:$A$157="每日跟踪")*(持仓跟踪!$B$2:$B$157=A80))*持仓跟踪!$S$2:$S$157)),0)),0)*H80+IF(OR(AK80="",AL80=""),0,MAX(AK80-MAX(N80,IFERROR(SUMPRODUCT(MAX(((持仓跟踪!$A$2:$A$157="每日跟踪")*(持仓跟踪!$B$2:$B$157=A80))*持仓跟踪!$S$2:$S$157)),0)),0)*AL80)+IF(OR(AM80="",AN80=""),0,MAX(AM80-MAX(N80,IFERROR(SUMPRODUCT(MAX(((持仓跟踪!$A$2:$A$157="每日跟踪")*(持仓跟踪!$B$2:$B$157=A80))*持仓跟踪!$S$2:$S$157)),0)),0)*AN80))))</f>
        <v>0</v>
      </c>
      <c r="AR80" s="8" t="str">
        <f ca="1">IF(A80="","",IF(OR(E80="",H80=""),"违规：第一批价格或股数缺失",IF(OR(AND(AK80="",AL80&lt;&gt;""),AND(AK80&lt;&gt;"",AL80="")),"违规：第二批价格与股数须成对填写",IF(OR(AND(AM80="",AN80&lt;&gt;""),AND(AM80&lt;&gt;"",AN80="")),"违规：第三批价格与股数须成对填写",IF(AND(OR(AM80&lt;&gt;"",AN80&lt;&gt;""),OR(AK80="",AL80="")),"违规：必须先完成第二批",IF(OR(H80&lt;=0,H80&lt;&gt;INT(H80),MOD(H80,100)&lt;&gt;0,AND(AL80&lt;&gt;"",OR(AL80&lt;=0,AL80&lt;&gt;INT(AL80),MOD(AL80,100)&lt;&gt;0)),AND(AN80&lt;&gt;"",OR(AN80&lt;=0,AN80&lt;&gt;INT(AN80),MOD(AN80,100)&lt;&gt;0))),"违规：股数须为100股整数倍",IF(AND(OR(AL80&lt;&gt;"",AN80&lt;&gt;""),OR(_LockStatus="已锁仓",_LockStatus="解锁信息不完整")),"违规：锁仓期间禁止加仓",IF(AQ80&gt;C80*D80,"违规：超过单笔风险上限",IF(SUM($AQ$2:$AQ$98)&gt;账户数据!$B$7,"违规：超过账户风险上限","通过")))))))))</f>
        <v>通过</v>
      </c>
    </row>
    <row r="81" ht="17" spans="1:44">
      <c r="A81" s="2">
        <v>80</v>
      </c>
      <c r="B81" s="2" t="s">
        <v>69</v>
      </c>
      <c r="C81" s="10">
        <v>271154</v>
      </c>
      <c r="D81" s="6">
        <v>0.02</v>
      </c>
      <c r="E81" s="10">
        <v>16.44</v>
      </c>
      <c r="F81" s="8">
        <f>IF(OR(C81="",D81="",E81="",N81="",C81&lt;=0,D81&lt;=0,E81&lt;=N81),"",ROUNDDOWN((C81*D81)/(E81-N81)/100,0)*100)</f>
        <v>8400</v>
      </c>
      <c r="G81" s="8" t="str">
        <f ca="1">IF(A81="","",IF(H81&lt;&gt;"","已开仓",IF(账户数据!$B$23="已锁仓","禁止开仓：连续亏损达到上限",IF(账户数据!$B$23="解锁信息不完整","禁止开仓：请完整填写解锁信息",IF(OR(F81="",E81="",N81="",E81&lt;=N81,账户数据!$B$7=""),"",IF(OR(AG81="",AH81="",AI81=""),"禁止开仓：交易预期未填写完整",IF(COUNTIFS(持仓跟踪!$A$2:$A$157,"止损计划",持仓跟踪!$B$2:$B$157,A81,持仓跟踪!$AC$2:$AC$157,"计划有效")=0,"禁止开仓：请先填写止损计划",IF(账户数据!$B$9+F81*(E81-N81)&gt;=账户数据!$B$7,"禁止开仓：风险额度不足",IF(AJ81="周期与交易预期不匹配，请重新确认",IF(账户数据!$B$23="接近锁仓","允许开仓（接近锁仓；周期需复核）","允许开仓（周期需复核）"),IF(账户数据!$B$23="接近锁仓","允许开仓（接近锁仓）","允许开仓"))))))))))</f>
        <v>已开仓</v>
      </c>
      <c r="H81" s="2">
        <v>8400</v>
      </c>
      <c r="I81" s="13">
        <v>42521</v>
      </c>
      <c r="J81" s="10">
        <v>18</v>
      </c>
      <c r="K81" s="5">
        <f>IF(A81="","",IFERROR(LOOKUP(2,1/((持仓跟踪!$B$2:$B$157=A81)*(持仓跟踪!$X$2:$X$157="执行卖出")*(持仓跟踪!$Y$2:$Y$157&lt;&gt;"")),持仓跟踪!$Y$2:$Y$157),""))</f>
        <v>15.65</v>
      </c>
      <c r="L81" s="8">
        <f>IF(A81="","",IFERROR(LOOKUP(2,1/((持仓跟踪!$B$2:$B$157=A81)*(持仓跟踪!$X$2:$X$157="执行卖出")*(持仓跟踪!$Z$2:$Z$157&lt;&gt;"")),持仓跟踪!$Z$2:$Z$157),""))</f>
        <v>8400</v>
      </c>
      <c r="M81" s="18">
        <f>IF(A81="","",IFERROR(LOOKUP(2,1/((持仓跟踪!$B$2:$B$157=A81)*(持仓跟踪!$X$2:$X$157="执行卖出")*(持仓跟踪!$H$2:$H$157&lt;&gt;"")),持仓跟踪!$H$2:$H$157),""))</f>
        <v>42534</v>
      </c>
      <c r="N81" s="10">
        <v>15.8</v>
      </c>
      <c r="O81" s="10"/>
      <c r="P81" s="5" t="str">
        <f>IF(A81="","",IFERROR(LOOKUP(2,1/((持仓跟踪!$B$2:$B$157=A81)*(持仓跟踪!$X$2:$X$157="执行卖出")*(持仓跟踪!$AA$2:$AA$157&lt;&gt;"")),持仓跟踪!$AA$2:$AA$157),""))</f>
        <v/>
      </c>
      <c r="Q81" s="2"/>
      <c r="R81" s="2"/>
      <c r="S81" s="2"/>
      <c r="T81" s="2"/>
      <c r="U81" s="7">
        <f>IF(OR(AO81="",J81="",AO81&lt;=0),"",(J81-AO81)/AO81)</f>
        <v>0.094890510948905</v>
      </c>
      <c r="V81" s="7">
        <f>IF(OR(AO81="",N81="",AO81&lt;=0),"",(AO81-N81)/AO81)</f>
        <v>0.0389294403892944</v>
      </c>
      <c r="W81" s="19">
        <f>IF(OR(U81="",V81="",V81&lt;=0),"",U81/V81)</f>
        <v>2.4375</v>
      </c>
      <c r="X81" s="5">
        <f>IF(OR(K81="",L81="",AP81=""),"",K81*L81-(E81*H81+IF(AND(AK81&lt;&gt;"",AL81&lt;&gt;""),AK81*AL81,0)+IF(AND(AM81&lt;&gt;"",AN81&lt;&gt;""),AM81*AN81,0))-IF(O81="",0,O81)-IF(P81="",0,P81))</f>
        <v>-6636</v>
      </c>
      <c r="Y81" s="7">
        <f>IF(OR(X81="",AP81=""),"",IF((E81*H81+IF(AND(AK81&lt;&gt;"",AL81&lt;&gt;""),AK81*AL81,0)+IF(AND(AM81&lt;&gt;"",AN81&lt;&gt;""),AM81*AN81,0))+IF(O81="",0,O81)&lt;=0,"",X81/((E81*H81+IF(AND(AK81&lt;&gt;"",AL81&lt;&gt;""),AK81*AL81,0)+IF(AND(AM81&lt;&gt;"",AN81&lt;&gt;""),AM81*AN81,0))+IF(O81="",0,O81))))</f>
        <v>-0.0480535279805353</v>
      </c>
      <c r="Z81" s="7">
        <f>IF(OR(AE81="",多次统计数据!$B$8=""),"",AE81-多次统计数据!$B$8)</f>
        <v>-0.0970218045268318</v>
      </c>
      <c r="AA81" s="11">
        <f>IF(OR(I81="",M81="",M81&lt;I81),"",M81-I81)</f>
        <v>13</v>
      </c>
      <c r="AB81" s="7">
        <f>IF(OR(A81="",多次统计数据!$B$8="",多次统计数据!$B$6&lt;=0,多次统计数据!$B$6&gt;=1),"",1-POWER(1+多次统计数据!$B$8,-多次统计数据!$B$6/(1-多次统计数据!$B$6)))</f>
        <v>0.0530166567311223</v>
      </c>
      <c r="AC81" s="8" t="str">
        <f>IF(OR(AB81="",多次统计数据!$B$9=""),"",IF(多次统计数据!$B$9&lt;AB81,"低于上限","达到或超过上限"))</f>
        <v>低于上限</v>
      </c>
      <c r="AD81" s="2"/>
      <c r="AE81" s="7">
        <f>IF(OR(X81="",C81="",C81&lt;=0),"",X81/C81)</f>
        <v>-0.0244731776038709</v>
      </c>
      <c r="AG81" s="2"/>
      <c r="AH81" s="2"/>
      <c r="AI81" s="2"/>
      <c r="AJ81" s="8" t="str">
        <f>IF(OR(AG81="",AH81=""),"",IF(OR(AND(AG81="短期博反弹",OR(AH81="1～3个交易日",AH81="4～10个交易日")),AND(AG81="突破冲新高",OR(AH81="4～10个交易日",AH81="11～20个交易日")),AND(AG81="趋势波段",OR(AH81="11～20个交易日",AH81="21～60个交易日",AH81="60个交易日以上"))),"匹配","周期与交易预期不匹配，请重新确认"))</f>
        <v/>
      </c>
      <c r="AK81" s="10"/>
      <c r="AL81" s="12"/>
      <c r="AM81" s="10"/>
      <c r="AN81" s="12"/>
      <c r="AO81" s="5">
        <f>IF(OR(A81="",H81="",H81&lt;=0),"",(E81*H81+IF(AND(AK81&lt;&gt;"",AL81&lt;&gt;""),AK81*AL81,0)+IF(AND(AM81&lt;&gt;"",AN81&lt;&gt;""),AM81*AN81,0))/AP81)</f>
        <v>16.44</v>
      </c>
      <c r="AP81" s="11">
        <f>IF(OR(A81="",H81="",H81&lt;=0),"",H81+IF(AL81="",0,AL81)+IF(AN81="",0,AN81))</f>
        <v>8400</v>
      </c>
      <c r="AQ81" s="5">
        <f>IF(A81="","",IF(M81&lt;&gt;"",0,IF(OR(H81="",N81=""),"",MAX(E81-MAX(N81,IFERROR(SUMPRODUCT(MAX(((持仓跟踪!$A$2:$A$157="每日跟踪")*(持仓跟踪!$B$2:$B$157=A81))*持仓跟踪!$S$2:$S$157)),0)),0)*H81+IF(OR(AK81="",AL81=""),0,MAX(AK81-MAX(N81,IFERROR(SUMPRODUCT(MAX(((持仓跟踪!$A$2:$A$157="每日跟踪")*(持仓跟踪!$B$2:$B$157=A81))*持仓跟踪!$S$2:$S$157)),0)),0)*AL81)+IF(OR(AM81="",AN81=""),0,MAX(AM81-MAX(N81,IFERROR(SUMPRODUCT(MAX(((持仓跟踪!$A$2:$A$157="每日跟踪")*(持仓跟踪!$B$2:$B$157=A81))*持仓跟踪!$S$2:$S$157)),0)),0)*AN81))))</f>
        <v>0</v>
      </c>
      <c r="AR81" s="8" t="str">
        <f ca="1">IF(A81="","",IF(OR(E81="",H81=""),"违规：第一批价格或股数缺失",IF(OR(AND(AK81="",AL81&lt;&gt;""),AND(AK81&lt;&gt;"",AL81="")),"违规：第二批价格与股数须成对填写",IF(OR(AND(AM81="",AN81&lt;&gt;""),AND(AM81&lt;&gt;"",AN81="")),"违规：第三批价格与股数须成对填写",IF(AND(OR(AM81&lt;&gt;"",AN81&lt;&gt;""),OR(AK81="",AL81="")),"违规：必须先完成第二批",IF(OR(H81&lt;=0,H81&lt;&gt;INT(H81),MOD(H81,100)&lt;&gt;0,AND(AL81&lt;&gt;"",OR(AL81&lt;=0,AL81&lt;&gt;INT(AL81),MOD(AL81,100)&lt;&gt;0)),AND(AN81&lt;&gt;"",OR(AN81&lt;=0,AN81&lt;&gt;INT(AN81),MOD(AN81,100)&lt;&gt;0))),"违规：股数须为100股整数倍",IF(AND(OR(AL81&lt;&gt;"",AN81&lt;&gt;""),OR(_LockStatus="已锁仓",_LockStatus="解锁信息不完整")),"违规：锁仓期间禁止加仓",IF(AQ81&gt;C81*D81,"违规：超过单笔风险上限",IF(SUM($AQ$2:$AQ$98)&gt;账户数据!$B$7,"违规：超过账户风险上限","通过")))))))))</f>
        <v>通过</v>
      </c>
    </row>
    <row r="82" s="17" customFormat="1" ht="17" spans="1:44">
      <c r="A82" s="21">
        <v>81</v>
      </c>
      <c r="B82" s="22" t="s">
        <v>69</v>
      </c>
      <c r="C82" s="23">
        <v>264518</v>
      </c>
      <c r="D82" s="24">
        <v>0.02</v>
      </c>
      <c r="E82" s="23">
        <v>17.5</v>
      </c>
      <c r="F82" s="25">
        <f>IF(OR(C82="",D82="",E82="",N82="",C82&lt;=0,D82&lt;=0,E82&lt;=N82),"",ROUNDDOWN((C82*D82)/(E82-N82)/100,0)*100)</f>
        <v>10500</v>
      </c>
      <c r="G82" s="26" t="str">
        <f ca="1">IF(A82="","",IF(H82&lt;&gt;"","已开仓",IF(账户数据!$B$23="已锁仓","禁止开仓：连续亏损达到上限",IF(账户数据!$B$23="解锁信息不完整","禁止开仓：请完整填写解锁信息",IF(OR(F82="",E82="",N82="",E82&lt;=N82,账户数据!$B$7=""),"",IF(OR(AG82="",AH82="",AI82=""),"禁止开仓：交易预期未填写完整",IF(COUNTIFS(持仓跟踪!$A$2:$A$157,"止损计划",持仓跟踪!$B$2:$B$157,A82,持仓跟踪!$AC$2:$AC$157,"计划有效")=0,"禁止开仓：请先填写止损计划",IF(账户数据!$B$9+F82*(E82-N82)&gt;=账户数据!$B$7,"禁止开仓：风险额度不足",IF(AJ82="周期与交易预期不匹配，请重新确认",IF(账户数据!$B$23="接近锁仓","允许开仓（接近锁仓；周期需复核）","允许开仓（周期需复核）"),IF(账户数据!$B$23="接近锁仓","允许开仓（接近锁仓）","允许开仓"))))))))))</f>
        <v>已开仓</v>
      </c>
      <c r="H82" s="21">
        <v>10500</v>
      </c>
      <c r="I82" s="27">
        <v>42566</v>
      </c>
      <c r="J82" s="23">
        <v>18.5</v>
      </c>
      <c r="K82" s="30">
        <f>IF(A82="","",IFERROR(LOOKUP(2,1/((持仓跟踪!$B$2:$B$157=A82)*(持仓跟踪!$X$2:$X$157="执行卖出")*(持仓跟踪!$Y$2:$Y$157&lt;&gt;"")),持仓跟踪!$Y$2:$Y$157),""))</f>
        <v>16.3</v>
      </c>
      <c r="L82" s="26">
        <f>IF(A82="","",IFERROR(LOOKUP(2,1/((持仓跟踪!$B$2:$B$157=A82)*(持仓跟踪!$X$2:$X$157="执行卖出")*(持仓跟踪!$Z$2:$Z$157&lt;&gt;"")),持仓跟踪!$Z$2:$Z$157),""))</f>
        <v>10500</v>
      </c>
      <c r="M82" s="35">
        <f>IF(A82="","",IFERROR(LOOKUP(2,1/((持仓跟踪!$B$2:$B$157=A82)*(持仓跟踪!$X$2:$X$157="执行卖出")*(持仓跟踪!$H$2:$H$157&lt;&gt;"")),持仓跟踪!$H$2:$H$157),""))</f>
        <v>42572</v>
      </c>
      <c r="N82" s="23">
        <v>17</v>
      </c>
      <c r="O82" s="23"/>
      <c r="P82" s="30" t="str">
        <f>IF(A82="","",IFERROR(LOOKUP(2,1/((持仓跟踪!$B$2:$B$157=A82)*(持仓跟踪!$X$2:$X$157="执行卖出")*(持仓跟踪!$AA$2:$AA$157&lt;&gt;"")),持仓跟踪!$AA$2:$AA$157),""))</f>
        <v/>
      </c>
      <c r="Q82" s="21"/>
      <c r="R82" s="21"/>
      <c r="S82" s="21"/>
      <c r="T82" s="21"/>
      <c r="U82" s="31">
        <f>IF(OR(AO82="",J82="",AO82&lt;=0),"",(J82-AO82)/AO82)</f>
        <v>0.0571428571428571</v>
      </c>
      <c r="V82" s="31">
        <f>IF(OR(AO82="",N82="",AO82&lt;=0),"",(AO82-N82)/AO82)</f>
        <v>0.0285714285714286</v>
      </c>
      <c r="W82" s="32">
        <f>IF(OR(U82="",V82="",V82&lt;=0),"",U82/V82)</f>
        <v>2</v>
      </c>
      <c r="X82" s="30">
        <f>IF(OR(K82="",L82="",AP82=""),"",K82*L82-(E82*H82+IF(AND(AK82&lt;&gt;"",AL82&lt;&gt;""),AK82*AL82,0)+IF(AND(AM82&lt;&gt;"",AN82&lt;&gt;""),AM82*AN82,0))-IF(O82="",0,O82)-IF(P82="",0,P82))</f>
        <v>-12600</v>
      </c>
      <c r="Y82" s="36">
        <f>IF(OR(X82="",AP82=""),"",IF((E82*H82+IF(AND(AK82&lt;&gt;"",AL82&lt;&gt;""),AK82*AL82,0)+IF(AND(AM82&lt;&gt;"",AN82&lt;&gt;""),AM82*AN82,0))+IF(O82="",0,O82)&lt;=0,"",X82/((E82*H82+IF(AND(AK82&lt;&gt;"",AL82&lt;&gt;""),AK82*AL82,0)+IF(AND(AM82&lt;&gt;"",AN82&lt;&gt;""),AM82*AN82,0))+IF(O82="",0,O82))))</f>
        <v>-0.0685714285714286</v>
      </c>
      <c r="Z82" s="36">
        <f>IF(OR(AE82="",多次统计数据!$B$8=""),"",AE82-多次统计数据!$B$8)</f>
        <v>-0.120182436342358</v>
      </c>
      <c r="AA82" s="37">
        <f>IF(OR(I82="",M82="",M82&lt;I82),"",M82-I82)</f>
        <v>6</v>
      </c>
      <c r="AB82" s="31">
        <f>IF(OR(A82="",多次统计数据!$B$8="",多次统计数据!$B$6&lt;=0,多次统计数据!$B$6&gt;=1),"",1-POWER(1+多次统计数据!$B$8,-多次统计数据!$B$6/(1-多次统计数据!$B$6)))</f>
        <v>0.0530166567311223</v>
      </c>
      <c r="AC82" s="26" t="str">
        <f>IF(OR(AB82="",多次统计数据!$B$9=""),"",IF(多次统计数据!$B$9&lt;AB82,"低于上限","达到或超过上限"))</f>
        <v>低于上限</v>
      </c>
      <c r="AD82" s="21"/>
      <c r="AE82" s="36">
        <f>IF(OR(X82="",C82="",C82&lt;=0),"",X82/C82)</f>
        <v>-0.0476338094193968</v>
      </c>
      <c r="AG82" s="21"/>
      <c r="AH82" s="21"/>
      <c r="AI82" s="21"/>
      <c r="AJ82" s="26" t="str">
        <f>IF(OR(AG82="",AH82=""),"",IF(OR(AND(AG82="短期博反弹",OR(AH82="1～3个交易日",AH82="4～10个交易日")),AND(AG82="突破冲新高",OR(AH82="4～10个交易日",AH82="11～20个交易日")),AND(AG82="趋势波段",OR(AH82="11～20个交易日",AH82="21～60个交易日",AH82="60个交易日以上"))),"匹配","周期与交易预期不匹配，请重新确认"))</f>
        <v/>
      </c>
      <c r="AK82" s="23"/>
      <c r="AL82" s="34"/>
      <c r="AM82" s="23"/>
      <c r="AN82" s="34"/>
      <c r="AO82" s="28">
        <f>IF(OR(A82="",H82="",H82&lt;=0),"",(E82*H82+IF(AND(AK82&lt;&gt;"",AL82&lt;&gt;""),AK82*AL82,0)+IF(AND(AM82&lt;&gt;"",AN82&lt;&gt;""),AM82*AN82,0))/AP82)</f>
        <v>17.5</v>
      </c>
      <c r="AP82" s="33">
        <f>IF(OR(A82="",H82="",H82&lt;=0),"",H82+IF(AL82="",0,AL82)+IF(AN82="",0,AN82))</f>
        <v>10500</v>
      </c>
      <c r="AQ82" s="28">
        <f>IF(A82="","",IF(M82&lt;&gt;"",0,IF(OR(H82="",N82=""),"",MAX(E82-MAX(N82,IFERROR(SUMPRODUCT(MAX(((持仓跟踪!$A$2:$A$157="每日跟踪")*(持仓跟踪!$B$2:$B$157=A82))*持仓跟踪!$S$2:$S$157)),0)),0)*H82+IF(OR(AK82="",AL82=""),0,MAX(AK82-MAX(N82,IFERROR(SUMPRODUCT(MAX(((持仓跟踪!$A$2:$A$157="每日跟踪")*(持仓跟踪!$B$2:$B$157=A82))*持仓跟踪!$S$2:$S$157)),0)),0)*AL82)+IF(OR(AM82="",AN82=""),0,MAX(AM82-MAX(N82,IFERROR(SUMPRODUCT(MAX(((持仓跟踪!$A$2:$A$157="每日跟踪")*(持仓跟踪!$B$2:$B$157=A82))*持仓跟踪!$S$2:$S$157)),0)),0)*AN82))))</f>
        <v>0</v>
      </c>
      <c r="AR82" s="26" t="str">
        <f ca="1">IF(A82="","",IF(OR(E82="",H82=""),"违规：第一批价格或股数缺失",IF(OR(AND(AK82="",AL82&lt;&gt;""),AND(AK82&lt;&gt;"",AL82="")),"违规：第二批价格与股数须成对填写",IF(OR(AND(AM82="",AN82&lt;&gt;""),AND(AM82&lt;&gt;"",AN82="")),"违规：第三批价格与股数须成对填写",IF(AND(OR(AM82&lt;&gt;"",AN82&lt;&gt;""),OR(AK82="",AL82="")),"违规：必须先完成第二批",IF(OR(H82&lt;=0,H82&lt;&gt;INT(H82),MOD(H82,100)&lt;&gt;0,AND(AL82&lt;&gt;"",OR(AL82&lt;=0,AL82&lt;&gt;INT(AL82),MOD(AL82,100)&lt;&gt;0)),AND(AN82&lt;&gt;"",OR(AN82&lt;=0,AN82&lt;&gt;INT(AN82),MOD(AN82,100)&lt;&gt;0))),"违规：股数须为100股整数倍",IF(AND(OR(AL82&lt;&gt;"",AN82&lt;&gt;""),OR(_LockStatus="已锁仓",_LockStatus="解锁信息不完整")),"违规：锁仓期间禁止加仓",IF(AQ82&gt;C82*D82,"违规：超过单笔风险上限",IF(SUM($AQ$2:$AQ$98)&gt;账户数据!$B$7,"违规：超过账户风险上限","通过")))))))))</f>
        <v>通过</v>
      </c>
    </row>
    <row r="83" s="17" customFormat="1" ht="17" spans="1:44">
      <c r="A83" s="21">
        <v>82</v>
      </c>
      <c r="B83" s="22" t="s">
        <v>69</v>
      </c>
      <c r="C83" s="23">
        <v>251918</v>
      </c>
      <c r="D83" s="24">
        <v>0.02</v>
      </c>
      <c r="E83" s="23">
        <v>14.29</v>
      </c>
      <c r="F83" s="25">
        <f>IF(OR(C83="",D83="",E83="",N83="",C83&lt;=0,D83&lt;=0,E83&lt;=N83),"",ROUNDDOWN((C83*D83)/(E83-N83)/100,0)*100)</f>
        <v>17300</v>
      </c>
      <c r="G83" s="26" t="str">
        <f ca="1">IF(A83="","",IF(H83&lt;&gt;"","已开仓",IF(账户数据!$B$23="已锁仓","禁止开仓：连续亏损达到上限",IF(账户数据!$B$23="解锁信息不完整","禁止开仓：请完整填写解锁信息",IF(OR(F83="",E83="",N83="",E83&lt;=N83,账户数据!$B$7=""),"",IF(OR(AG83="",AH83="",AI83=""),"禁止开仓：交易预期未填写完整",IF(COUNTIFS(持仓跟踪!$A$2:$A$157,"止损计划",持仓跟踪!$B$2:$B$157,A83,持仓跟踪!$AC$2:$AC$157,"计划有效")=0,"禁止开仓：请先填写止损计划",IF(账户数据!$B$9+F83*(E83-N83)&gt;=账户数据!$B$7,"禁止开仓：风险额度不足",IF(AJ83="周期与交易预期不匹配，请重新确认",IF(账户数据!$B$23="接近锁仓","允许开仓（接近锁仓；周期需复核）","允许开仓（周期需复核）"),IF(账户数据!$B$23="接近锁仓","允许开仓（接近锁仓）","允许开仓"))))))))))</f>
        <v>已开仓</v>
      </c>
      <c r="H83" s="21">
        <v>17300</v>
      </c>
      <c r="I83" s="27">
        <v>42832</v>
      </c>
      <c r="J83" s="23">
        <v>15</v>
      </c>
      <c r="K83" s="28">
        <f>IF(A83="","",IFERROR(LOOKUP(2,1/((持仓跟踪!$B$2:$B$157=A83)*(持仓跟踪!$X$2:$X$157="执行卖出")*(持仓跟踪!$Y$2:$Y$157&lt;&gt;"")),持仓跟踪!$Y$2:$Y$157),""))</f>
        <v>12.89</v>
      </c>
      <c r="L83" s="25">
        <f>IF(A83="","",IFERROR(LOOKUP(2,1/((持仓跟踪!$B$2:$B$157=A83)*(持仓跟踪!$X$2:$X$157="执行卖出")*(持仓跟踪!$Z$2:$Z$157&lt;&gt;"")),持仓跟踪!$Z$2:$Z$157),""))</f>
        <v>17300</v>
      </c>
      <c r="M83" s="29">
        <f>IF(A83="","",IFERROR(LOOKUP(2,1/((持仓跟踪!$B$2:$B$157=A83)*(持仓跟踪!$X$2:$X$157="执行卖出")*(持仓跟踪!$H$2:$H$157&lt;&gt;"")),持仓跟踪!$H$2:$H$157),""))</f>
        <v>42858</v>
      </c>
      <c r="N83" s="23">
        <v>14</v>
      </c>
      <c r="O83" s="23"/>
      <c r="P83" s="30" t="str">
        <f>IF(A83="","",IFERROR(LOOKUP(2,1/((持仓跟踪!$B$2:$B$157=A83)*(持仓跟踪!$X$2:$X$157="执行卖出")*(持仓跟踪!$AA$2:$AA$157&lt;&gt;"")),持仓跟踪!$AA$2:$AA$157),""))</f>
        <v/>
      </c>
      <c r="Q83" s="21"/>
      <c r="R83" s="21"/>
      <c r="S83" s="21"/>
      <c r="T83" s="21"/>
      <c r="U83" s="31">
        <f>IF(OR(AO83="",J83="",AO83&lt;=0),"",(J83-AO83)/AO83)</f>
        <v>0.0496850944716586</v>
      </c>
      <c r="V83" s="31">
        <f>IF(OR(AO83="",N83="",AO83&lt;=0),"",(AO83-N83)/AO83)</f>
        <v>0.020293911826452</v>
      </c>
      <c r="W83" s="32">
        <f>IF(OR(U83="",V83="",V83&lt;=0),"",U83/V83)</f>
        <v>2.44827586206898</v>
      </c>
      <c r="X83" s="28">
        <f>IF(OR(K83="",L83="",AP83=""),"",K83*L83-(E83*H83+IF(AND(AK83&lt;&gt;"",AL83&lt;&gt;""),AK83*AL83,0)+IF(AND(AM83&lt;&gt;"",AN83&lt;&gt;""),AM83*AN83,0))-IF(O83="",0,O83)-IF(P83="",0,P83))</f>
        <v>-24220</v>
      </c>
      <c r="Y83" s="31">
        <f>IF(OR(X83="",AP83=""),"",IF((E83*H83+IF(AND(AK83&lt;&gt;"",AL83&lt;&gt;""),AK83*AL83,0)+IF(AND(AM83&lt;&gt;"",AN83&lt;&gt;""),AM83*AN83,0))+IF(O83="",0,O83)&lt;=0,"",X83/((E83*H83+IF(AND(AK83&lt;&gt;"",AL83&lt;&gt;""),AK83*AL83,0)+IF(AND(AM83&lt;&gt;"",AN83&lt;&gt;""),AM83*AN83,0))+IF(O83="",0,O83))))</f>
        <v>-0.0979706088173547</v>
      </c>
      <c r="Z83" s="31">
        <f>IF(OR(AE83="",多次统计数据!$B$8=""),"",AE83-多次统计数据!$B$8)</f>
        <v>-0.168691022464367</v>
      </c>
      <c r="AA83" s="33">
        <f>IF(OR(I83="",M83="",M83&lt;I83),"",M83-I83)</f>
        <v>26</v>
      </c>
      <c r="AB83" s="31">
        <f>IF(OR(A83="",多次统计数据!$B$8="",多次统计数据!$B$6&lt;=0,多次统计数据!$B$6&gt;=1),"",1-POWER(1+多次统计数据!$B$8,-多次统计数据!$B$6/(1-多次统计数据!$B$6)))</f>
        <v>0.0530166567311223</v>
      </c>
      <c r="AC83" s="26" t="str">
        <f>IF(OR(AB83="",多次统计数据!$B$9=""),"",IF(多次统计数据!$B$9&lt;AB83,"低于上限","达到或超过上限"))</f>
        <v>低于上限</v>
      </c>
      <c r="AD83" s="21"/>
      <c r="AE83" s="31">
        <f>IF(OR(X83="",C83="",C83&lt;=0),"",X83/C83)</f>
        <v>-0.0961423955414062</v>
      </c>
      <c r="AG83" s="21"/>
      <c r="AH83" s="21"/>
      <c r="AI83" s="21"/>
      <c r="AJ83" s="26" t="str">
        <f>IF(OR(AG83="",AH83=""),"",IF(OR(AND(AG83="短期博反弹",OR(AH83="1～3个交易日",AH83="4～10个交易日")),AND(AG83="突破冲新高",OR(AH83="4～10个交易日",AH83="11～20个交易日")),AND(AG83="趋势波段",OR(AH83="11～20个交易日",AH83="21～60个交易日",AH83="60个交易日以上"))),"匹配","周期与交易预期不匹配，请重新确认"))</f>
        <v/>
      </c>
      <c r="AK83" s="23"/>
      <c r="AL83" s="34"/>
      <c r="AM83" s="23"/>
      <c r="AN83" s="34"/>
      <c r="AO83" s="28">
        <f>IF(OR(A83="",H83="",H83&lt;=0),"",(E83*H83+IF(AND(AK83&lt;&gt;"",AL83&lt;&gt;""),AK83*AL83,0)+IF(AND(AM83&lt;&gt;"",AN83&lt;&gt;""),AM83*AN83,0))/AP83)</f>
        <v>14.29</v>
      </c>
      <c r="AP83" s="33">
        <f>IF(OR(A83="",H83="",H83&lt;=0),"",H83+IF(AL83="",0,AL83)+IF(AN83="",0,AN83))</f>
        <v>17300</v>
      </c>
      <c r="AQ83" s="28">
        <f>IF(A83="","",IF(M83&lt;&gt;"",0,IF(OR(H83="",N83=""),"",MAX(E83-MAX(N83,IFERROR(SUMPRODUCT(MAX(((持仓跟踪!$A$2:$A$157="每日跟踪")*(持仓跟踪!$B$2:$B$157=A83))*持仓跟踪!$S$2:$S$157)),0)),0)*H83+IF(OR(AK83="",AL83=""),0,MAX(AK83-MAX(N83,IFERROR(SUMPRODUCT(MAX(((持仓跟踪!$A$2:$A$157="每日跟踪")*(持仓跟踪!$B$2:$B$157=A83))*持仓跟踪!$S$2:$S$157)),0)),0)*AL83)+IF(OR(AM83="",AN83=""),0,MAX(AM83-MAX(N83,IFERROR(SUMPRODUCT(MAX(((持仓跟踪!$A$2:$A$157="每日跟踪")*(持仓跟踪!$B$2:$B$157=A83))*持仓跟踪!$S$2:$S$157)),0)),0)*AN83))))</f>
        <v>0</v>
      </c>
      <c r="AR83" s="26" t="str">
        <f ca="1">IF(A83="","",IF(OR(E83="",H83=""),"违规：第一批价格或股数缺失",IF(OR(AND(AK83="",AL83&lt;&gt;""),AND(AK83&lt;&gt;"",AL83="")),"违规：第二批价格与股数须成对填写",IF(OR(AND(AM83="",AN83&lt;&gt;""),AND(AM83&lt;&gt;"",AN83="")),"违规：第三批价格与股数须成对填写",IF(AND(OR(AM83&lt;&gt;"",AN83&lt;&gt;""),OR(AK83="",AL83="")),"违规：必须先完成第二批",IF(OR(H83&lt;=0,H83&lt;&gt;INT(H83),MOD(H83,100)&lt;&gt;0,AND(AL83&lt;&gt;"",OR(AL83&lt;=0,AL83&lt;&gt;INT(AL83),MOD(AL83,100)&lt;&gt;0)),AND(AN83&lt;&gt;"",OR(AN83&lt;=0,AN83&lt;&gt;INT(AN83),MOD(AN83,100)&lt;&gt;0))),"违规：股数须为100股整数倍",IF(AND(OR(AL83&lt;&gt;"",AN83&lt;&gt;""),OR(_LockStatus="已锁仓",_LockStatus="解锁信息不完整")),"违规：锁仓期间禁止加仓",IF(AQ83&gt;C83*D83,"违规：超过单笔风险上限",IF(SUM($AQ$2:$AQ$98)&gt;账户数据!$B$7,"违规：超过账户风险上限","通过")))))))))</f>
        <v>通过</v>
      </c>
    </row>
    <row r="84" s="17" customFormat="1" ht="17" spans="1:44">
      <c r="A84" s="21">
        <v>83</v>
      </c>
      <c r="B84" s="22" t="s">
        <v>69</v>
      </c>
      <c r="C84" s="23">
        <v>227698</v>
      </c>
      <c r="D84" s="24">
        <v>0.02</v>
      </c>
      <c r="E84" s="23">
        <v>12.89</v>
      </c>
      <c r="F84" s="25">
        <f>IF(OR(C84="",D84="",E84="",N84="",C84&lt;=0,D84&lt;=0,E84&lt;=N84),"",ROUNDDOWN((C84*D84)/(E84-N84)/100,0)*100)</f>
        <v>6100</v>
      </c>
      <c r="G84" s="26" t="str">
        <f ca="1">IF(A84="","",IF(H84&lt;&gt;"","已开仓",IF(账户数据!$B$23="已锁仓","禁止开仓：连续亏损达到上限",IF(账户数据!$B$23="解锁信息不完整","禁止开仓：请完整填写解锁信息",IF(OR(F84="",E84="",N84="",E84&lt;=N84,账户数据!$B$7=""),"",IF(OR(AG84="",AH84="",AI84=""),"禁止开仓：交易预期未填写完整",IF(COUNTIFS(持仓跟踪!$A$2:$A$157,"止损计划",持仓跟踪!$B$2:$B$157,A84,持仓跟踪!$AC$2:$AC$157,"计划有效")=0,"禁止开仓：请先填写止损计划",IF(账户数据!$B$9+F84*(E84-N84)&gt;=账户数据!$B$7,"禁止开仓：风险额度不足",IF(AJ84="周期与交易预期不匹配，请重新确认",IF(账户数据!$B$23="接近锁仓","允许开仓（接近锁仓；周期需复核）","允许开仓（周期需复核）"),IF(账户数据!$B$23="接近锁仓","允许开仓（接近锁仓）","允许开仓"))))))))))</f>
        <v>已开仓</v>
      </c>
      <c r="H84" s="21">
        <v>6100</v>
      </c>
      <c r="I84" s="27">
        <v>42878</v>
      </c>
      <c r="J84" s="23">
        <v>15</v>
      </c>
      <c r="K84" s="30">
        <f>IF(A84="","",IFERROR(LOOKUP(2,1/((持仓跟踪!$B$2:$B$157=A84)*(持仓跟踪!$X$2:$X$157="执行卖出")*(持仓跟踪!$Y$2:$Y$157&lt;&gt;"")),持仓跟踪!$Y$2:$Y$157),""))</f>
        <v>17.53</v>
      </c>
      <c r="L84" s="26">
        <f>IF(A84="","",IFERROR(LOOKUP(2,1/((持仓跟踪!$B$2:$B$157=A84)*(持仓跟踪!$X$2:$X$157="执行卖出")*(持仓跟踪!$Z$2:$Z$157&lt;&gt;"")),持仓跟踪!$Z$2:$Z$157),""))</f>
        <v>6100</v>
      </c>
      <c r="M84" s="35">
        <f>IF(A84="","",IFERROR(LOOKUP(2,1/((持仓跟踪!$B$2:$B$157=A84)*(持仓跟踪!$X$2:$X$157="执行卖出")*(持仓跟踪!$H$2:$H$157&lt;&gt;"")),持仓跟踪!$H$2:$H$157),""))</f>
        <v>43038</v>
      </c>
      <c r="N84" s="23">
        <v>12.15</v>
      </c>
      <c r="O84" s="23"/>
      <c r="P84" s="30" t="str">
        <f>IF(A84="","",IFERROR(LOOKUP(2,1/((持仓跟踪!$B$2:$B$157=A84)*(持仓跟踪!$X$2:$X$157="执行卖出")*(持仓跟踪!$AA$2:$AA$157&lt;&gt;"")),持仓跟踪!$AA$2:$AA$157),""))</f>
        <v/>
      </c>
      <c r="Q84" s="21"/>
      <c r="R84" s="21"/>
      <c r="S84" s="21"/>
      <c r="T84" s="21"/>
      <c r="U84" s="31">
        <f>IF(OR(AO84="",J84="",AO84&lt;=0),"",(J84-AO84)/AO84)</f>
        <v>0.163692785104732</v>
      </c>
      <c r="V84" s="31">
        <f>IF(OR(AO84="",N84="",AO84&lt;=0),"",(AO84-N84)/AO84)</f>
        <v>0.0574088440651668</v>
      </c>
      <c r="W84" s="32">
        <f>IF(OR(U84="",V84="",V84&lt;=0),"",U84/V84)</f>
        <v>2.85135135135135</v>
      </c>
      <c r="X84" s="30">
        <f>IF(OR(K84="",L84="",AP84=""),"",K84*L84-(E84*H84+IF(AND(AK84&lt;&gt;"",AL84&lt;&gt;""),AK84*AL84,0)+IF(AND(AM84&lt;&gt;"",AN84&lt;&gt;""),AM84*AN84,0))-IF(O84="",0,O84)-IF(P84="",0,P84))</f>
        <v>28304</v>
      </c>
      <c r="Y84" s="36">
        <f>IF(OR(X84="",AP84=""),"",IF((E84*H84+IF(AND(AK84&lt;&gt;"",AL84&lt;&gt;""),AK84*AL84,0)+IF(AND(AM84&lt;&gt;"",AN84&lt;&gt;""),AM84*AN84,0))+IF(O84="",0,O84)&lt;=0,"",X84/((E84*H84+IF(AND(AK84&lt;&gt;"",AL84&lt;&gt;""),AK84*AL84,0)+IF(AND(AM84&lt;&gt;"",AN84&lt;&gt;""),AM84*AN84,0))+IF(O84="",0,O84))))</f>
        <v>0.359968968192397</v>
      </c>
      <c r="Z84" s="36">
        <f>IF(OR(AE84="",多次统计数据!$B$8=""),"",AE84-多次统计数据!$B$8)</f>
        <v>0.0517563735601351</v>
      </c>
      <c r="AA84" s="37">
        <f>IF(OR(I84="",M84="",M84&lt;I84),"",M84-I84)</f>
        <v>160</v>
      </c>
      <c r="AB84" s="31">
        <f>IF(OR(A84="",多次统计数据!$B$8="",多次统计数据!$B$6&lt;=0,多次统计数据!$B$6&gt;=1),"",1-POWER(1+多次统计数据!$B$8,-多次统计数据!$B$6/(1-多次统计数据!$B$6)))</f>
        <v>0.0530166567311223</v>
      </c>
      <c r="AC84" s="26" t="str">
        <f>IF(OR(AB84="",多次统计数据!$B$9=""),"",IF(多次统计数据!$B$9&lt;AB84,"低于上限","达到或超过上限"))</f>
        <v>低于上限</v>
      </c>
      <c r="AD84" s="21"/>
      <c r="AE84" s="36">
        <f>IF(OR(X84="",C84="",C84&lt;=0),"",X84/C84)</f>
        <v>0.124305000483096</v>
      </c>
      <c r="AG84" s="21"/>
      <c r="AH84" s="21"/>
      <c r="AI84" s="21"/>
      <c r="AJ84" s="26" t="str">
        <f>IF(OR(AG84="",AH84=""),"",IF(OR(AND(AG84="短期博反弹",OR(AH84="1～3个交易日",AH84="4～10个交易日")),AND(AG84="突破冲新高",OR(AH84="4～10个交易日",AH84="11～20个交易日")),AND(AG84="趋势波段",OR(AH84="11～20个交易日",AH84="21～60个交易日",AH84="60个交易日以上"))),"匹配","周期与交易预期不匹配，请重新确认"))</f>
        <v/>
      </c>
      <c r="AK84" s="23"/>
      <c r="AL84" s="34"/>
      <c r="AM84" s="23"/>
      <c r="AN84" s="34"/>
      <c r="AO84" s="28">
        <f>IF(OR(A84="",H84="",H84&lt;=0),"",(E84*H84+IF(AND(AK84&lt;&gt;"",AL84&lt;&gt;""),AK84*AL84,0)+IF(AND(AM84&lt;&gt;"",AN84&lt;&gt;""),AM84*AN84,0))/AP84)</f>
        <v>12.89</v>
      </c>
      <c r="AP84" s="33">
        <f>IF(OR(A84="",H84="",H84&lt;=0),"",H84+IF(AL84="",0,AL84)+IF(AN84="",0,AN84))</f>
        <v>6100</v>
      </c>
      <c r="AQ84" s="28">
        <f>IF(A84="","",IF(M84&lt;&gt;"",0,IF(OR(H84="",N84=""),"",MAX(E84-MAX(N84,IFERROR(SUMPRODUCT(MAX(((持仓跟踪!$A$2:$A$157="每日跟踪")*(持仓跟踪!$B$2:$B$157=A84))*持仓跟踪!$S$2:$S$157)),0)),0)*H84+IF(OR(AK84="",AL84=""),0,MAX(AK84-MAX(N84,IFERROR(SUMPRODUCT(MAX(((持仓跟踪!$A$2:$A$157="每日跟踪")*(持仓跟踪!$B$2:$B$157=A84))*持仓跟踪!$S$2:$S$157)),0)),0)*AL84)+IF(OR(AM84="",AN84=""),0,MAX(AM84-MAX(N84,IFERROR(SUMPRODUCT(MAX(((持仓跟踪!$A$2:$A$157="每日跟踪")*(持仓跟踪!$B$2:$B$157=A84))*持仓跟踪!$S$2:$S$157)),0)),0)*AN84))))</f>
        <v>0</v>
      </c>
      <c r="AR84" s="26" t="str">
        <f ca="1">IF(A84="","",IF(OR(E84="",H84=""),"违规：第一批价格或股数缺失",IF(OR(AND(AK84="",AL84&lt;&gt;""),AND(AK84&lt;&gt;"",AL84="")),"违规：第二批价格与股数须成对填写",IF(OR(AND(AM84="",AN84&lt;&gt;""),AND(AM84&lt;&gt;"",AN84="")),"违规：第三批价格与股数须成对填写",IF(AND(OR(AM84&lt;&gt;"",AN84&lt;&gt;""),OR(AK84="",AL84="")),"违规：必须先完成第二批",IF(OR(H84&lt;=0,H84&lt;&gt;INT(H84),MOD(H84,100)&lt;&gt;0,AND(AL84&lt;&gt;"",OR(AL84&lt;=0,AL84&lt;&gt;INT(AL84),MOD(AL84,100)&lt;&gt;0)),AND(AN84&lt;&gt;"",OR(AN84&lt;=0,AN84&lt;&gt;INT(AN84),MOD(AN84,100)&lt;&gt;0))),"违规：股数须为100股整数倍",IF(AND(OR(AL84&lt;&gt;"",AN84&lt;&gt;""),OR(_LockStatus="已锁仓",_LockStatus="解锁信息不完整")),"违规：锁仓期间禁止加仓",IF(AQ84&gt;C84*D84,"违规：超过单笔风险上限",IF(SUM($AQ$2:$AQ$98)&gt;账户数据!$B$7,"违规：超过账户风险上限","通过")))))))))</f>
        <v>通过</v>
      </c>
    </row>
    <row r="85" ht="17" spans="1:44">
      <c r="A85" s="2">
        <v>84</v>
      </c>
      <c r="B85" s="2" t="s">
        <v>69</v>
      </c>
      <c r="C85" s="10">
        <v>256002</v>
      </c>
      <c r="D85" s="6">
        <v>0.02</v>
      </c>
      <c r="E85" s="10">
        <v>18.64</v>
      </c>
      <c r="F85" s="8">
        <f>IF(OR(C85="",D85="",E85="",N85="",C85&lt;=0,D85&lt;=0,E85&lt;=N85),"",ROUNDDOWN((C85*D85)/(E85-N85)/100,0)*100)</f>
        <v>15000</v>
      </c>
      <c r="G85" s="8" t="str">
        <f ca="1">IF(A85="","",IF(H85&lt;&gt;"","已开仓",IF(账户数据!$B$23="已锁仓","禁止开仓：连续亏损达到上限",IF(账户数据!$B$23="解锁信息不完整","禁止开仓：请完整填写解锁信息",IF(OR(F85="",E85="",N85="",E85&lt;=N85,账户数据!$B$7=""),"",IF(OR(AG85="",AH85="",AI85=""),"禁止开仓：交易预期未填写完整",IF(COUNTIFS(持仓跟踪!$A$2:$A$157,"止损计划",持仓跟踪!$B$2:$B$157,A85,持仓跟踪!$AC$2:$AC$157,"计划有效")=0,"禁止开仓：请先填写止损计划",IF(账户数据!$B$9+F85*(E85-N85)&gt;=账户数据!$B$7,"禁止开仓：风险额度不足",IF(AJ85="周期与交易预期不匹配，请重新确认",IF(账户数据!$B$23="接近锁仓","允许开仓（接近锁仓；周期需复核）","允许开仓（周期需复核）"),IF(账户数据!$B$23="接近锁仓","允许开仓（接近锁仓）","允许开仓"))))))))))</f>
        <v>已开仓</v>
      </c>
      <c r="H85" s="2">
        <v>15000</v>
      </c>
      <c r="I85" s="13">
        <v>43102</v>
      </c>
      <c r="J85" s="10">
        <v>20</v>
      </c>
      <c r="K85" s="5">
        <f>IF(A85="","",IFERROR(LOOKUP(2,1/((持仓跟踪!$B$2:$B$157=A85)*(持仓跟踪!$X$2:$X$157="执行卖出")*(持仓跟踪!$Y$2:$Y$157&lt;&gt;"")),持仓跟踪!$Y$2:$Y$157),""))</f>
        <v>17.94</v>
      </c>
      <c r="L85" s="8">
        <f>IF(A85="","",IFERROR(LOOKUP(2,1/((持仓跟踪!$B$2:$B$157=A85)*(持仓跟踪!$X$2:$X$157="执行卖出")*(持仓跟踪!$Z$2:$Z$157&lt;&gt;"")),持仓跟踪!$Z$2:$Z$157),""))</f>
        <v>15000</v>
      </c>
      <c r="M85" s="18">
        <f>IF(A85="","",IFERROR(LOOKUP(2,1/((持仓跟踪!$B$2:$B$157=A85)*(持仓跟踪!$X$2:$X$157="执行卖出")*(持仓跟踪!$H$2:$H$157&lt;&gt;"")),持仓跟踪!$H$2:$H$157),""))</f>
        <v>43117</v>
      </c>
      <c r="N85" s="10">
        <v>18.3</v>
      </c>
      <c r="O85" s="10"/>
      <c r="P85" s="5" t="str">
        <f>IF(A85="","",IFERROR(LOOKUP(2,1/((持仓跟踪!$B$2:$B$157=A85)*(持仓跟踪!$X$2:$X$157="执行卖出")*(持仓跟踪!$AA$2:$AA$157&lt;&gt;"")),持仓跟踪!$AA$2:$AA$157),""))</f>
        <v/>
      </c>
      <c r="Q85" s="2"/>
      <c r="R85" s="2"/>
      <c r="S85" s="2"/>
      <c r="T85" s="2"/>
      <c r="U85" s="7">
        <f>IF(OR(AO85="",J85="",AO85&lt;=0),"",(J85-AO85)/AO85)</f>
        <v>0.0729613733905579</v>
      </c>
      <c r="V85" s="7">
        <f>IF(OR(AO85="",N85="",AO85&lt;=0),"",(AO85-N85)/AO85)</f>
        <v>0.0182403433476395</v>
      </c>
      <c r="W85" s="19">
        <f>IF(OR(U85="",V85="",V85&lt;=0),"",U85/V85)</f>
        <v>4</v>
      </c>
      <c r="X85" s="5">
        <f>IF(OR(K85="",L85="",AP85=""),"",K85*L85-(E85*H85+IF(AND(AK85&lt;&gt;"",AL85&lt;&gt;""),AK85*AL85,0)+IF(AND(AM85&lt;&gt;"",AN85&lt;&gt;""),AM85*AN85,0))-IF(O85="",0,O85)-IF(P85="",0,P85))</f>
        <v>-10500</v>
      </c>
      <c r="Y85" s="7">
        <f>IF(OR(X85="",AP85=""),"",IF((E85*H85+IF(AND(AK85&lt;&gt;"",AL85&lt;&gt;""),AK85*AL85,0)+IF(AND(AM85&lt;&gt;"",AN85&lt;&gt;""),AM85*AN85,0))+IF(O85="",0,O85)&lt;=0,"",X85/((E85*H85+IF(AND(AK85&lt;&gt;"",AL85&lt;&gt;""),AK85*AL85,0)+IF(AND(AM85&lt;&gt;"",AN85&lt;&gt;""),AM85*AN85,0))+IF(O85="",0,O85))))</f>
        <v>-0.0375536480686695</v>
      </c>
      <c r="Z85" s="7">
        <f>IF(OR(AE85="",多次统计数据!$B$8=""),"",AE85-多次统计数据!$B$8)</f>
        <v>-0.113563931490894</v>
      </c>
      <c r="AA85" s="11">
        <f>IF(OR(I85="",M85="",M85&lt;I85),"",M85-I85)</f>
        <v>15</v>
      </c>
      <c r="AB85" s="7">
        <f>IF(OR(A85="",多次统计数据!$B$8="",多次统计数据!$B$6&lt;=0,多次统计数据!$B$6&gt;=1),"",1-POWER(1+多次统计数据!$B$8,-多次统计数据!$B$6/(1-多次统计数据!$B$6)))</f>
        <v>0.0530166567311223</v>
      </c>
      <c r="AC85" s="8" t="str">
        <f>IF(OR(AB85="",多次统计数据!$B$9=""),"",IF(多次统计数据!$B$9&lt;AB85,"低于上限","达到或超过上限"))</f>
        <v>低于上限</v>
      </c>
      <c r="AD85" s="2"/>
      <c r="AE85" s="7">
        <f>IF(OR(X85="",C85="",C85&lt;=0),"",X85/C85)</f>
        <v>-0.0410153045679331</v>
      </c>
      <c r="AG85" s="2"/>
      <c r="AH85" s="2"/>
      <c r="AI85" s="2"/>
      <c r="AJ85" s="8" t="str">
        <f>IF(OR(AG85="",AH85=""),"",IF(OR(AND(AG85="短期博反弹",OR(AH85="1～3个交易日",AH85="4～10个交易日")),AND(AG85="突破冲新高",OR(AH85="4～10个交易日",AH85="11～20个交易日")),AND(AG85="趋势波段",OR(AH85="11～20个交易日",AH85="21～60个交易日",AH85="60个交易日以上"))),"匹配","周期与交易预期不匹配，请重新确认"))</f>
        <v/>
      </c>
      <c r="AK85" s="10"/>
      <c r="AL85" s="12"/>
      <c r="AM85" s="10"/>
      <c r="AN85" s="12"/>
      <c r="AO85" s="5">
        <f>IF(OR(A85="",H85="",H85&lt;=0),"",(E85*H85+IF(AND(AK85&lt;&gt;"",AL85&lt;&gt;""),AK85*AL85,0)+IF(AND(AM85&lt;&gt;"",AN85&lt;&gt;""),AM85*AN85,0))/AP85)</f>
        <v>18.64</v>
      </c>
      <c r="AP85" s="11">
        <f>IF(OR(A85="",H85="",H85&lt;=0),"",H85+IF(AL85="",0,AL85)+IF(AN85="",0,AN85))</f>
        <v>15000</v>
      </c>
      <c r="AQ85" s="5">
        <f>IF(A85="","",IF(M85&lt;&gt;"",0,IF(OR(H85="",N85=""),"",MAX(E85-MAX(N85,IFERROR(SUMPRODUCT(MAX(((持仓跟踪!$A$2:$A$157="每日跟踪")*(持仓跟踪!$B$2:$B$157=A85))*持仓跟踪!$S$2:$S$157)),0)),0)*H85+IF(OR(AK85="",AL85=""),0,MAX(AK85-MAX(N85,IFERROR(SUMPRODUCT(MAX(((持仓跟踪!$A$2:$A$157="每日跟踪")*(持仓跟踪!$B$2:$B$157=A85))*持仓跟踪!$S$2:$S$157)),0)),0)*AL85)+IF(OR(AM85="",AN85=""),0,MAX(AM85-MAX(N85,IFERROR(SUMPRODUCT(MAX(((持仓跟踪!$A$2:$A$157="每日跟踪")*(持仓跟踪!$B$2:$B$157=A85))*持仓跟踪!$S$2:$S$157)),0)),0)*AN85))))</f>
        <v>0</v>
      </c>
      <c r="AR85" s="8" t="str">
        <f ca="1">IF(A85="","",IF(OR(E85="",H85=""),"违规：第一批价格或股数缺失",IF(OR(AND(AK85="",AL85&lt;&gt;""),AND(AK85&lt;&gt;"",AL85="")),"违规：第二批价格与股数须成对填写",IF(OR(AND(AM85="",AN85&lt;&gt;""),AND(AM85&lt;&gt;"",AN85="")),"违规：第三批价格与股数须成对填写",IF(AND(OR(AM85&lt;&gt;"",AN85&lt;&gt;""),OR(AK85="",AL85="")),"违规：必须先完成第二批",IF(OR(H85&lt;=0,H85&lt;&gt;INT(H85),MOD(H85,100)&lt;&gt;0,AND(AL85&lt;&gt;"",OR(AL85&lt;=0,AL85&lt;&gt;INT(AL85),MOD(AL85,100)&lt;&gt;0)),AND(AN85&lt;&gt;"",OR(AN85&lt;=0,AN85&lt;&gt;INT(AN85),MOD(AN85,100)&lt;&gt;0))),"违规：股数须为100股整数倍",IF(AND(OR(AL85&lt;&gt;"",AN85&lt;&gt;""),OR(_LockStatus="已锁仓",_LockStatus="解锁信息不完整")),"违规：锁仓期间禁止加仓",IF(AQ85&gt;C85*D85,"违规：超过单笔风险上限",IF(SUM($AQ$2:$AQ$98)&gt;账户数据!$B$7,"违规：超过账户风险上限","通过")))))))))</f>
        <v>通过</v>
      </c>
    </row>
    <row r="86" s="17" customFormat="1" ht="17" spans="1:44">
      <c r="A86" s="21">
        <v>85</v>
      </c>
      <c r="B86" s="22" t="s">
        <v>69</v>
      </c>
      <c r="C86" s="23">
        <v>245502</v>
      </c>
      <c r="D86" s="24">
        <v>0.02</v>
      </c>
      <c r="E86" s="23">
        <v>17.18</v>
      </c>
      <c r="F86" s="25">
        <f>IF(OR(C86="",D86="",E86="",N86="",C86&lt;=0,D86&lt;=0,E86&lt;=N86),"",ROUNDDOWN((C86*D86)/(E86-N86)/100,0)*100)</f>
        <v>7200</v>
      </c>
      <c r="G86" s="26" t="str">
        <f ca="1">IF(A86="","",IF(H86&lt;&gt;"","已开仓",IF(账户数据!$B$23="已锁仓","禁止开仓：连续亏损达到上限",IF(账户数据!$B$23="解锁信息不完整","禁止开仓：请完整填写解锁信息",IF(OR(F86="",E86="",N86="",E86&lt;=N86,账户数据!$B$7=""),"",IF(OR(AG86="",AH86="",AI86=""),"禁止开仓：交易预期未填写完整",IF(COUNTIFS(持仓跟踪!$A$2:$A$157,"止损计划",持仓跟踪!$B$2:$B$157,A86,持仓跟踪!$AC$2:$AC$157,"计划有效")=0,"禁止开仓：请先填写止损计划",IF(账户数据!$B$9+F86*(E86-N86)&gt;=账户数据!$B$7,"禁止开仓：风险额度不足",IF(AJ86="周期与交易预期不匹配，请重新确认",IF(账户数据!$B$23="接近锁仓","允许开仓（接近锁仓；周期需复核）","允许开仓（周期需复核）"),IF(账户数据!$B$23="接近锁仓","允许开仓（接近锁仓）","允许开仓"))))))))))</f>
        <v>已开仓</v>
      </c>
      <c r="H86" s="21">
        <v>7200</v>
      </c>
      <c r="I86" s="27">
        <v>43136</v>
      </c>
      <c r="J86" s="23">
        <v>20</v>
      </c>
      <c r="K86" s="30">
        <f>IF(A86="","",IFERROR(LOOKUP(2,1/((持仓跟踪!$B$2:$B$157=A86)*(持仓跟踪!$X$2:$X$157="执行卖出")*(持仓跟踪!$Y$2:$Y$157&lt;&gt;"")),持仓跟踪!$Y$2:$Y$157),""))</f>
        <v>17.62</v>
      </c>
      <c r="L86" s="26">
        <f>IF(A86="","",IFERROR(LOOKUP(2,1/((持仓跟踪!$B$2:$B$157=A86)*(持仓跟踪!$X$2:$X$157="执行卖出")*(持仓跟踪!$Z$2:$Z$157&lt;&gt;"")),持仓跟踪!$Z$2:$Z$157),""))</f>
        <v>7200</v>
      </c>
      <c r="M86" s="35">
        <f>IF(A86="","",IFERROR(LOOKUP(2,1/((持仓跟踪!$B$2:$B$157=A86)*(持仓跟踪!$X$2:$X$157="执行卖出")*(持仓跟踪!$H$2:$H$157&lt;&gt;"")),持仓跟踪!$H$2:$H$157),""))</f>
        <v>43154</v>
      </c>
      <c r="N86" s="23">
        <v>16.5</v>
      </c>
      <c r="O86" s="23"/>
      <c r="P86" s="30" t="str">
        <f>IF(A86="","",IFERROR(LOOKUP(2,1/((持仓跟踪!$B$2:$B$157=A86)*(持仓跟踪!$X$2:$X$157="执行卖出")*(持仓跟踪!$AA$2:$AA$157&lt;&gt;"")),持仓跟踪!$AA$2:$AA$157),""))</f>
        <v/>
      </c>
      <c r="Q86" s="21"/>
      <c r="R86" s="21"/>
      <c r="S86" s="21"/>
      <c r="T86" s="21"/>
      <c r="U86" s="31">
        <f>IF(OR(AO86="",J86="",AO86&lt;=0),"",(J86-AO86)/AO86)</f>
        <v>0.164144353899884</v>
      </c>
      <c r="V86" s="31">
        <f>IF(OR(AO86="",N86="",AO86&lt;=0),"",(AO86-N86)/AO86)</f>
        <v>0.039580908032596</v>
      </c>
      <c r="W86" s="32">
        <f>IF(OR(U86="",V86="",V86&lt;=0),"",U86/V86)</f>
        <v>4.14705882352941</v>
      </c>
      <c r="X86" s="30">
        <f>IF(OR(K86="",L86="",AP86=""),"",K86*L86-(E86*H86+IF(AND(AK86&lt;&gt;"",AL86&lt;&gt;""),AK86*AL86,0)+IF(AND(AM86&lt;&gt;"",AN86&lt;&gt;""),AM86*AN86,0))-IF(O86="",0,O86)-IF(P86="",0,P86))</f>
        <v>3168</v>
      </c>
      <c r="Y86" s="36">
        <f>IF(OR(X86="",AP86=""),"",IF((E86*H86+IF(AND(AK86&lt;&gt;"",AL86&lt;&gt;""),AK86*AL86,0)+IF(AND(AM86&lt;&gt;"",AN86&lt;&gt;""),AM86*AN86,0))+IF(O86="",0,O86)&lt;=0,"",X86/((E86*H86+IF(AND(AK86&lt;&gt;"",AL86&lt;&gt;""),AK86*AL86,0)+IF(AND(AM86&lt;&gt;"",AN86&lt;&gt;""),AM86*AN86,0))+IF(O86="",0,O86))))</f>
        <v>0.0256111757857974</v>
      </c>
      <c r="Z86" s="36">
        <f>IF(OR(AE86="",多次统计数据!$B$8=""),"",AE86-多次统计数据!$B$8)</f>
        <v>-0.0596444550628539</v>
      </c>
      <c r="AA86" s="37">
        <f>IF(OR(I86="",M86="",M86&lt;I86),"",M86-I86)</f>
        <v>18</v>
      </c>
      <c r="AB86" s="31">
        <f>IF(OR(A86="",多次统计数据!$B$8="",多次统计数据!$B$6&lt;=0,多次统计数据!$B$6&gt;=1),"",1-POWER(1+多次统计数据!$B$8,-多次统计数据!$B$6/(1-多次统计数据!$B$6)))</f>
        <v>0.0530166567311223</v>
      </c>
      <c r="AC86" s="26" t="str">
        <f>IF(OR(AB86="",多次统计数据!$B$9=""),"",IF(多次统计数据!$B$9&lt;AB86,"低于上限","达到或超过上限"))</f>
        <v>低于上限</v>
      </c>
      <c r="AD86" s="21"/>
      <c r="AE86" s="36">
        <f>IF(OR(X86="",C86="",C86&lt;=0),"",X86/C86)</f>
        <v>0.012904171860107</v>
      </c>
      <c r="AG86" s="21"/>
      <c r="AH86" s="21"/>
      <c r="AI86" s="21"/>
      <c r="AJ86" s="26" t="str">
        <f>IF(OR(AG86="",AH86=""),"",IF(OR(AND(AG86="短期博反弹",OR(AH86="1～3个交易日",AH86="4～10个交易日")),AND(AG86="突破冲新高",OR(AH86="4～10个交易日",AH86="11～20个交易日")),AND(AG86="趋势波段",OR(AH86="11～20个交易日",AH86="21～60个交易日",AH86="60个交易日以上"))),"匹配","周期与交易预期不匹配，请重新确认"))</f>
        <v/>
      </c>
      <c r="AK86" s="23"/>
      <c r="AL86" s="34"/>
      <c r="AM86" s="23"/>
      <c r="AN86" s="34"/>
      <c r="AO86" s="28">
        <f>IF(OR(A86="",H86="",H86&lt;=0),"",(E86*H86+IF(AND(AK86&lt;&gt;"",AL86&lt;&gt;""),AK86*AL86,0)+IF(AND(AM86&lt;&gt;"",AN86&lt;&gt;""),AM86*AN86,0))/AP86)</f>
        <v>17.18</v>
      </c>
      <c r="AP86" s="33">
        <f>IF(OR(A86="",H86="",H86&lt;=0),"",H86+IF(AL86="",0,AL86)+IF(AN86="",0,AN86))</f>
        <v>7200</v>
      </c>
      <c r="AQ86" s="28">
        <f>IF(A86="","",IF(M86&lt;&gt;"",0,IF(OR(H86="",N86=""),"",MAX(E86-MAX(N86,IFERROR(SUMPRODUCT(MAX(((持仓跟踪!$A$2:$A$157="每日跟踪")*(持仓跟踪!$B$2:$B$157=A86))*持仓跟踪!$S$2:$S$157)),0)),0)*H86+IF(OR(AK86="",AL86=""),0,MAX(AK86-MAX(N86,IFERROR(SUMPRODUCT(MAX(((持仓跟踪!$A$2:$A$157="每日跟踪")*(持仓跟踪!$B$2:$B$157=A86))*持仓跟踪!$S$2:$S$157)),0)),0)*AL86)+IF(OR(AM86="",AN86=""),0,MAX(AM86-MAX(N86,IFERROR(SUMPRODUCT(MAX(((持仓跟踪!$A$2:$A$157="每日跟踪")*(持仓跟踪!$B$2:$B$157=A86))*持仓跟踪!$S$2:$S$157)),0)),0)*AN86))))</f>
        <v>0</v>
      </c>
      <c r="AR86" s="26" t="str">
        <f ca="1">IF(A86="","",IF(OR(E86="",H86=""),"违规：第一批价格或股数缺失",IF(OR(AND(AK86="",AL86&lt;&gt;""),AND(AK86&lt;&gt;"",AL86="")),"违规：第二批价格与股数须成对填写",IF(OR(AND(AM86="",AN86&lt;&gt;""),AND(AM86&lt;&gt;"",AN86="")),"违规：第三批价格与股数须成对填写",IF(AND(OR(AM86&lt;&gt;"",AN86&lt;&gt;""),OR(AK86="",AL86="")),"违规：必须先完成第二批",IF(OR(H86&lt;=0,H86&lt;&gt;INT(H86),MOD(H86,100)&lt;&gt;0,AND(AL86&lt;&gt;"",OR(AL86&lt;=0,AL86&lt;&gt;INT(AL86),MOD(AL86,100)&lt;&gt;0)),AND(AN86&lt;&gt;"",OR(AN86&lt;=0,AN86&lt;&gt;INT(AN86),MOD(AN86,100)&lt;&gt;0))),"违规：股数须为100股整数倍",IF(AND(OR(AL86&lt;&gt;"",AN86&lt;&gt;""),OR(_LockStatus="已锁仓",_LockStatus="解锁信息不完整")),"违规：锁仓期间禁止加仓",IF(AQ86&gt;C86*D86,"违规：超过单笔风险上限",IF(SUM($AQ$2:$AQ$98)&gt;账户数据!$B$7,"违规：超过账户风险上限","通过")))))))))</f>
        <v>通过</v>
      </c>
    </row>
    <row r="87" ht="17" spans="1:44">
      <c r="A87" s="2">
        <v>86</v>
      </c>
      <c r="B87" s="2" t="s">
        <v>69</v>
      </c>
      <c r="C87" s="10">
        <v>248670</v>
      </c>
      <c r="D87" s="6">
        <v>0.02</v>
      </c>
      <c r="E87" s="10">
        <v>18.39</v>
      </c>
      <c r="F87" s="8">
        <f>IF(OR(C87="",D87="",E87="",N87="",C87&lt;=0,D87&lt;=0,E87&lt;=N87),"",ROUNDDOWN((C87*D87)/(E87-N87)/100,0)*100)</f>
        <v>12700</v>
      </c>
      <c r="G87" s="8" t="str">
        <f ca="1">IF(A87="","",IF(H87&lt;&gt;"","已开仓",IF(账户数据!$B$23="已锁仓","禁止开仓：连续亏损达到上限",IF(账户数据!$B$23="解锁信息不完整","禁止开仓：请完整填写解锁信息",IF(OR(F87="",E87="",N87="",E87&lt;=N87,账户数据!$B$7=""),"",IF(OR(AG87="",AH87="",AI87=""),"禁止开仓：交易预期未填写完整",IF(COUNTIFS(持仓跟踪!$A$2:$A$157,"止损计划",持仓跟踪!$B$2:$B$157,A87,持仓跟踪!$AC$2:$AC$157,"计划有效")=0,"禁止开仓：请先填写止损计划",IF(账户数据!$B$9+F87*(E87-N87)&gt;=账户数据!$B$7,"禁止开仓：风险额度不足",IF(AJ87="周期与交易预期不匹配，请重新确认",IF(账户数据!$B$23="接近锁仓","允许开仓（接近锁仓；周期需复核）","允许开仓（周期需复核）"),IF(账户数据!$B$23="接近锁仓","允许开仓（接近锁仓）","允许开仓"))))))))))</f>
        <v>已开仓</v>
      </c>
      <c r="H87" s="2">
        <v>12700</v>
      </c>
      <c r="I87" s="13">
        <v>43164</v>
      </c>
      <c r="J87" s="10">
        <v>20</v>
      </c>
      <c r="K87" s="5">
        <f>IF(A87="","",IFERROR(LOOKUP(2,1/((持仓跟踪!$B$2:$B$157=A87)*(持仓跟踪!$X$2:$X$157="执行卖出")*(持仓跟踪!$Y$2:$Y$157&lt;&gt;"")),持仓跟踪!$Y$2:$Y$157),""))</f>
        <v>17.55</v>
      </c>
      <c r="L87" s="8">
        <f>IF(A87="","",IFERROR(LOOKUP(2,1/((持仓跟踪!$B$2:$B$157=A87)*(持仓跟踪!$X$2:$X$157="执行卖出")*(持仓跟踪!$Z$2:$Z$157&lt;&gt;"")),持仓跟踪!$Z$2:$Z$157),""))</f>
        <v>12700</v>
      </c>
      <c r="M87" s="18">
        <f>IF(A87="","",IFERROR(LOOKUP(2,1/((持仓跟踪!$B$2:$B$157=A87)*(持仓跟踪!$X$2:$X$157="执行卖出")*(持仓跟踪!$H$2:$H$157&lt;&gt;"")),持仓跟踪!$H$2:$H$157),""))</f>
        <v>43180</v>
      </c>
      <c r="N87" s="10">
        <v>18</v>
      </c>
      <c r="O87" s="10"/>
      <c r="P87" s="5" t="str">
        <f>IF(A87="","",IFERROR(LOOKUP(2,1/((持仓跟踪!$B$2:$B$157=A87)*(持仓跟踪!$X$2:$X$157="执行卖出")*(持仓跟踪!$AA$2:$AA$157&lt;&gt;"")),持仓跟踪!$AA$2:$AA$157),""))</f>
        <v/>
      </c>
      <c r="Q87" s="2"/>
      <c r="R87" s="2"/>
      <c r="S87" s="2"/>
      <c r="T87" s="2"/>
      <c r="U87" s="7">
        <f>IF(OR(AO87="",J87="",AO87&lt;=0),"",(J87-AO87)/AO87)</f>
        <v>0.087547580206634</v>
      </c>
      <c r="V87" s="7">
        <f>IF(OR(AO87="",N87="",AO87&lt;=0),"",(AO87-N87)/AO87)</f>
        <v>0.0212071778140294</v>
      </c>
      <c r="W87" s="19">
        <f>IF(OR(U87="",V87="",V87&lt;=0),"",U87/V87)</f>
        <v>4.12820512820512</v>
      </c>
      <c r="X87" s="5">
        <f>IF(OR(K87="",L87="",AP87=""),"",K87*L87-(E87*H87+IF(AND(AK87&lt;&gt;"",AL87&lt;&gt;""),AK87*AL87,0)+IF(AND(AM87&lt;&gt;"",AN87&lt;&gt;""),AM87*AN87,0))-IF(O87="",0,O87)-IF(P87="",0,P87))</f>
        <v>-10668</v>
      </c>
      <c r="Y87" s="7">
        <f>IF(OR(X87="",AP87=""),"",IF((E87*H87+IF(AND(AK87&lt;&gt;"",AL87&lt;&gt;""),AK87*AL87,0)+IF(AND(AM87&lt;&gt;"",AN87&lt;&gt;""),AM87*AN87,0))+IF(O87="",0,O87)&lt;=0,"",X87/((E87*H87+IF(AND(AK87&lt;&gt;"",AL87&lt;&gt;""),AK87*AL87,0)+IF(AND(AM87&lt;&gt;"",AN87&lt;&gt;""),AM87*AN87,0))+IF(O87="",0,O87))))</f>
        <v>-0.0456769983686786</v>
      </c>
      <c r="Z87" s="7">
        <f>IF(OR(AE87="",多次统计数据!$B$8=""),"",AE87-多次统计数据!$B$8)</f>
        <v>-0.115448856142408</v>
      </c>
      <c r="AA87" s="11">
        <f>IF(OR(I87="",M87="",M87&lt;I87),"",M87-I87)</f>
        <v>16</v>
      </c>
      <c r="AB87" s="7">
        <f>IF(OR(A87="",多次统计数据!$B$8="",多次统计数据!$B$6&lt;=0,多次统计数据!$B$6&gt;=1),"",1-POWER(1+多次统计数据!$B$8,-多次统计数据!$B$6/(1-多次统计数据!$B$6)))</f>
        <v>0.0530166567311223</v>
      </c>
      <c r="AC87" s="8" t="str">
        <f>IF(OR(AB87="",多次统计数据!$B$9=""),"",IF(多次统计数据!$B$9&lt;AB87,"低于上限","达到或超过上限"))</f>
        <v>低于上限</v>
      </c>
      <c r="AD87" s="2"/>
      <c r="AE87" s="7">
        <f>IF(OR(X87="",C87="",C87&lt;=0),"",X87/C87)</f>
        <v>-0.0429002292194475</v>
      </c>
      <c r="AG87" s="2"/>
      <c r="AH87" s="2"/>
      <c r="AI87" s="2"/>
      <c r="AJ87" s="8" t="str">
        <f>IF(OR(AG87="",AH87=""),"",IF(OR(AND(AG87="短期博反弹",OR(AH87="1～3个交易日",AH87="4～10个交易日")),AND(AG87="突破冲新高",OR(AH87="4～10个交易日",AH87="11～20个交易日")),AND(AG87="趋势波段",OR(AH87="11～20个交易日",AH87="21～60个交易日",AH87="60个交易日以上"))),"匹配","周期与交易预期不匹配，请重新确认"))</f>
        <v/>
      </c>
      <c r="AK87" s="10"/>
      <c r="AL87" s="12"/>
      <c r="AM87" s="10"/>
      <c r="AN87" s="12"/>
      <c r="AO87" s="5">
        <f>IF(OR(A87="",H87="",H87&lt;=0),"",(E87*H87+IF(AND(AK87&lt;&gt;"",AL87&lt;&gt;""),AK87*AL87,0)+IF(AND(AM87&lt;&gt;"",AN87&lt;&gt;""),AM87*AN87,0))/AP87)</f>
        <v>18.39</v>
      </c>
      <c r="AP87" s="11">
        <f>IF(OR(A87="",H87="",H87&lt;=0),"",H87+IF(AL87="",0,AL87)+IF(AN87="",0,AN87))</f>
        <v>12700</v>
      </c>
      <c r="AQ87" s="5">
        <f>IF(A87="","",IF(M87&lt;&gt;"",0,IF(OR(H87="",N87=""),"",MAX(E87-MAX(N87,IFERROR(SUMPRODUCT(MAX(((持仓跟踪!$A$2:$A$157="每日跟踪")*(持仓跟踪!$B$2:$B$157=A87))*持仓跟踪!$S$2:$S$157)),0)),0)*H87+IF(OR(AK87="",AL87=""),0,MAX(AK87-MAX(N87,IFERROR(SUMPRODUCT(MAX(((持仓跟踪!$A$2:$A$157="每日跟踪")*(持仓跟踪!$B$2:$B$157=A87))*持仓跟踪!$S$2:$S$157)),0)),0)*AL87)+IF(OR(AM87="",AN87=""),0,MAX(AM87-MAX(N87,IFERROR(SUMPRODUCT(MAX(((持仓跟踪!$A$2:$A$157="每日跟踪")*(持仓跟踪!$B$2:$B$157=A87))*持仓跟踪!$S$2:$S$157)),0)),0)*AN87))))</f>
        <v>0</v>
      </c>
      <c r="AR87" s="8" t="str">
        <f ca="1">IF(A87="","",IF(OR(E87="",H87=""),"违规：第一批价格或股数缺失",IF(OR(AND(AK87="",AL87&lt;&gt;""),AND(AK87&lt;&gt;"",AL87="")),"违规：第二批价格与股数须成对填写",IF(OR(AND(AM87="",AN87&lt;&gt;""),AND(AM87&lt;&gt;"",AN87="")),"违规：第三批价格与股数须成对填写",IF(AND(OR(AM87&lt;&gt;"",AN87&lt;&gt;""),OR(AK87="",AL87="")),"违规：必须先完成第二批",IF(OR(H87&lt;=0,H87&lt;&gt;INT(H87),MOD(H87,100)&lt;&gt;0,AND(AL87&lt;&gt;"",OR(AL87&lt;=0,AL87&lt;&gt;INT(AL87),MOD(AL87,100)&lt;&gt;0)),AND(AN87&lt;&gt;"",OR(AN87&lt;=0,AN87&lt;&gt;INT(AN87),MOD(AN87,100)&lt;&gt;0))),"违规：股数须为100股整数倍",IF(AND(OR(AL87&lt;&gt;"",AN87&lt;&gt;""),OR(_LockStatus="已锁仓",_LockStatus="解锁信息不完整")),"违规：锁仓期间禁止加仓",IF(AQ87&gt;C87*D87,"违规：超过单笔风险上限",IF(SUM($AQ$2:$AQ$98)&gt;账户数据!$B$7,"违规：超过账户风险上限","通过")))))))))</f>
        <v>通过</v>
      </c>
    </row>
    <row r="88" ht="17" spans="1:44">
      <c r="A88" s="2">
        <v>87</v>
      </c>
      <c r="B88" s="2" t="s">
        <v>69</v>
      </c>
      <c r="C88" s="10">
        <v>238002</v>
      </c>
      <c r="D88" s="6">
        <v>0.02</v>
      </c>
      <c r="E88" s="10">
        <v>13.62</v>
      </c>
      <c r="F88" s="8">
        <f>IF(OR(C88="",D88="",E88="",N88="",C88&lt;=0,D88&lt;=0,E88&lt;=N88),"",ROUNDDOWN((C88*D88)/(E88-N88)/100,0)*100)</f>
        <v>7600</v>
      </c>
      <c r="G88" s="8" t="str">
        <f ca="1">IF(A88="","",IF(H88&lt;&gt;"","已开仓",IF(账户数据!$B$23="已锁仓","禁止开仓：连续亏损达到上限",IF(账户数据!$B$23="解锁信息不完整","禁止开仓：请完整填写解锁信息",IF(OR(F88="",E88="",N88="",E88&lt;=N88,账户数据!$B$7=""),"",IF(OR(AG88="",AH88="",AI88=""),"禁止开仓：交易预期未填写完整",IF(COUNTIFS(持仓跟踪!$A$2:$A$157,"止损计划",持仓跟踪!$B$2:$B$157,A88,持仓跟踪!$AC$2:$AC$157,"计划有效")=0,"禁止开仓：请先填写止损计划",IF(账户数据!$B$9+F88*(E88-N88)&gt;=账户数据!$B$7,"禁止开仓：风险额度不足",IF(AJ88="周期与交易预期不匹配，请重新确认",IF(账户数据!$B$23="接近锁仓","允许开仓（接近锁仓；周期需复核）","允许开仓（周期需复核）"),IF(账户数据!$B$23="接近锁仓","允许开仓（接近锁仓）","允许开仓"))))))))))</f>
        <v>已开仓</v>
      </c>
      <c r="H88" s="2">
        <v>7600</v>
      </c>
      <c r="I88" s="13">
        <v>43469</v>
      </c>
      <c r="J88" s="10">
        <v>15</v>
      </c>
      <c r="K88" s="5">
        <f>IF(A88="","",IFERROR(LOOKUP(2,1/((持仓跟踪!$B$2:$B$157=A88)*(持仓跟踪!$X$2:$X$157="执行卖出")*(持仓跟踪!$Y$2:$Y$157&lt;&gt;"")),持仓跟踪!$Y$2:$Y$157),""))</f>
        <v>12.56</v>
      </c>
      <c r="L88" s="8">
        <f>IF(A88="","",IFERROR(LOOKUP(2,1/((持仓跟踪!$B$2:$B$157=A88)*(持仓跟踪!$X$2:$X$157="执行卖出")*(持仓跟踪!$Z$2:$Z$157&lt;&gt;"")),持仓跟踪!$Z$2:$Z$157),""))</f>
        <v>7600</v>
      </c>
      <c r="M88" s="18">
        <f>IF(A88="","",IFERROR(LOOKUP(2,1/((持仓跟踪!$B$2:$B$157=A88)*(持仓跟踪!$X$2:$X$157="执行卖出")*(持仓跟踪!$H$2:$H$157&lt;&gt;"")),持仓跟踪!$H$2:$H$157),""))</f>
        <v>43482</v>
      </c>
      <c r="N88" s="10">
        <v>13</v>
      </c>
      <c r="O88" s="10"/>
      <c r="P88" s="5" t="str">
        <f>IF(A88="","",IFERROR(LOOKUP(2,1/((持仓跟踪!$B$2:$B$157=A88)*(持仓跟踪!$X$2:$X$157="执行卖出")*(持仓跟踪!$AA$2:$AA$157&lt;&gt;"")),持仓跟踪!$AA$2:$AA$157),""))</f>
        <v/>
      </c>
      <c r="Q88" s="2"/>
      <c r="R88" s="2"/>
      <c r="S88" s="2"/>
      <c r="T88" s="2"/>
      <c r="U88" s="7">
        <f>IF(OR(AO88="",J88="",AO88&lt;=0),"",(J88-AO88)/AO88)</f>
        <v>0.101321585903084</v>
      </c>
      <c r="V88" s="7">
        <f>IF(OR(AO88="",N88="",AO88&lt;=0),"",(AO88-N88)/AO88)</f>
        <v>0.0455212922173274</v>
      </c>
      <c r="W88" s="19">
        <f>IF(OR(U88="",V88="",V88&lt;=0),"",U88/V88)</f>
        <v>2.22580645161291</v>
      </c>
      <c r="X88" s="5">
        <f>IF(OR(K88="",L88="",AP88=""),"",K88*L88-(E88*H88+IF(AND(AK88&lt;&gt;"",AL88&lt;&gt;""),AK88*AL88,0)+IF(AND(AM88&lt;&gt;"",AN88&lt;&gt;""),AM88*AN88,0))-IF(O88="",0,O88)-IF(P88="",0,P88))</f>
        <v>-8056</v>
      </c>
      <c r="Y88" s="7">
        <f>IF(OR(X88="",AP88=""),"",IF((E88*H88+IF(AND(AK88&lt;&gt;"",AL88&lt;&gt;""),AK88*AL88,0)+IF(AND(AM88&lt;&gt;"",AN88&lt;&gt;""),AM88*AN88,0))+IF(O88="",0,O88)&lt;=0,"",X88/((E88*H88+IF(AND(AK88&lt;&gt;"",AL88&lt;&gt;""),AK88*AL88,0)+IF(AND(AM88&lt;&gt;"",AN88&lt;&gt;""),AM88*AN88,0))+IF(O88="",0,O88))))</f>
        <v>-0.0778267254038179</v>
      </c>
      <c r="Z88" s="7">
        <f>IF(OR(AE88="",多次统计数据!$B$8=""),"",AE88-多次统计数据!$B$8)</f>
        <v>-0.10639708197796</v>
      </c>
      <c r="AA88" s="11">
        <f>IF(OR(I88="",M88="",M88&lt;I88),"",M88-I88)</f>
        <v>13</v>
      </c>
      <c r="AB88" s="7">
        <f>IF(OR(A88="",多次统计数据!$B$8="",多次统计数据!$B$6&lt;=0,多次统计数据!$B$6&gt;=1),"",1-POWER(1+多次统计数据!$B$8,-多次统计数据!$B$6/(1-多次统计数据!$B$6)))</f>
        <v>0.0530166567311223</v>
      </c>
      <c r="AC88" s="8" t="str">
        <f>IF(OR(AB88="",多次统计数据!$B$9=""),"",IF(多次统计数据!$B$9&lt;AB88,"低于上限","达到或超过上限"))</f>
        <v>低于上限</v>
      </c>
      <c r="AD88" s="2"/>
      <c r="AE88" s="7">
        <f>IF(OR(X88="",C88="",C88&lt;=0),"",X88/C88)</f>
        <v>-0.0338484550549995</v>
      </c>
      <c r="AG88" s="2"/>
      <c r="AH88" s="2"/>
      <c r="AI88" s="2"/>
      <c r="AJ88" s="8" t="str">
        <f>IF(OR(AG88="",AH88=""),"",IF(OR(AND(AG88="短期博反弹",OR(AH88="1～3个交易日",AH88="4～10个交易日")),AND(AG88="突破冲新高",OR(AH88="4～10个交易日",AH88="11～20个交易日")),AND(AG88="趋势波段",OR(AH88="11～20个交易日",AH88="21～60个交易日",AH88="60个交易日以上"))),"匹配","周期与交易预期不匹配，请重新确认"))</f>
        <v/>
      </c>
      <c r="AK88" s="10"/>
      <c r="AL88" s="12"/>
      <c r="AM88" s="10"/>
      <c r="AN88" s="12"/>
      <c r="AO88" s="5">
        <f>IF(OR(A88="",H88="",H88&lt;=0),"",(E88*H88+IF(AND(AK88&lt;&gt;"",AL88&lt;&gt;""),AK88*AL88,0)+IF(AND(AM88&lt;&gt;"",AN88&lt;&gt;""),AM88*AN88,0))/AP88)</f>
        <v>13.62</v>
      </c>
      <c r="AP88" s="11">
        <f>IF(OR(A88="",H88="",H88&lt;=0),"",H88+IF(AL88="",0,AL88)+IF(AN88="",0,AN88))</f>
        <v>7600</v>
      </c>
      <c r="AQ88" s="5">
        <f>IF(A88="","",IF(M88&lt;&gt;"",0,IF(OR(H88="",N88=""),"",MAX(E88-MAX(N88,IFERROR(SUMPRODUCT(MAX(((持仓跟踪!$A$2:$A$157="每日跟踪")*(持仓跟踪!$B$2:$B$157=A88))*持仓跟踪!$S$2:$S$157)),0)),0)*H88+IF(OR(AK88="",AL88=""),0,MAX(AK88-MAX(N88,IFERROR(SUMPRODUCT(MAX(((持仓跟踪!$A$2:$A$157="每日跟踪")*(持仓跟踪!$B$2:$B$157=A88))*持仓跟踪!$S$2:$S$157)),0)),0)*AL88)+IF(OR(AM88="",AN88=""),0,MAX(AM88-MAX(N88,IFERROR(SUMPRODUCT(MAX(((持仓跟踪!$A$2:$A$157="每日跟踪")*(持仓跟踪!$B$2:$B$157=A88))*持仓跟踪!$S$2:$S$157)),0)),0)*AN88))))</f>
        <v>0</v>
      </c>
      <c r="AR88" s="8" t="str">
        <f ca="1">IF(A88="","",IF(OR(E88="",H88=""),"违规：第一批价格或股数缺失",IF(OR(AND(AK88="",AL88&lt;&gt;""),AND(AK88&lt;&gt;"",AL88="")),"违规：第二批价格与股数须成对填写",IF(OR(AND(AM88="",AN88&lt;&gt;""),AND(AM88&lt;&gt;"",AN88="")),"违规：第三批价格与股数须成对填写",IF(AND(OR(AM88&lt;&gt;"",AN88&lt;&gt;""),OR(AK88="",AL88="")),"违规：必须先完成第二批",IF(OR(H88&lt;=0,H88&lt;&gt;INT(H88),MOD(H88,100)&lt;&gt;0,AND(AL88&lt;&gt;"",OR(AL88&lt;=0,AL88&lt;&gt;INT(AL88),MOD(AL88,100)&lt;&gt;0)),AND(AN88&lt;&gt;"",OR(AN88&lt;=0,AN88&lt;&gt;INT(AN88),MOD(AN88,100)&lt;&gt;0))),"违规：股数须为100股整数倍",IF(AND(OR(AL88&lt;&gt;"",AN88&lt;&gt;""),OR(_LockStatus="已锁仓",_LockStatus="解锁信息不完整")),"违规：锁仓期间禁止加仓",IF(AQ88&gt;C88*D88,"违规：超过单笔风险上限",IF(SUM($AQ$2:$AQ$98)&gt;账户数据!$B$7,"违规：超过账户风险上限","通过")))))))))</f>
        <v>通过</v>
      </c>
    </row>
    <row r="89" ht="17" spans="1:44">
      <c r="A89" s="2">
        <v>88</v>
      </c>
      <c r="B89" s="2" t="s">
        <v>69</v>
      </c>
      <c r="C89" s="10">
        <v>229946</v>
      </c>
      <c r="D89" s="6">
        <v>0.02</v>
      </c>
      <c r="E89" s="10">
        <v>13.82</v>
      </c>
      <c r="F89" s="8">
        <f>IF(OR(C89="",D89="",E89="",N89="",C89&lt;=0,D89&lt;=0,E89&lt;=N89),"",ROUNDDOWN((C89*D89)/(E89-N89)/100,0)*100)</f>
        <v>3400</v>
      </c>
      <c r="G89" s="8" t="str">
        <f>IF(OR(A89="",F89="",E89="",N89="",E89&lt;=N89,账户数据!$B$7=""),"",IF(账户数据!$B$9+IF(H89="",F89*(E89-N89),0)&gt;=账户数据!$B$7,"禁止开仓","允许开仓"))</f>
        <v>允许开仓</v>
      </c>
      <c r="H89" s="2">
        <v>3400</v>
      </c>
      <c r="I89" s="13">
        <v>43693</v>
      </c>
      <c r="J89" s="10">
        <v>16</v>
      </c>
      <c r="K89" s="5">
        <v>10.9</v>
      </c>
      <c r="L89" s="8">
        <f>IF(K89="","",H89)</f>
        <v>3400</v>
      </c>
      <c r="M89" s="18">
        <v>43756</v>
      </c>
      <c r="N89" s="10">
        <v>12.5</v>
      </c>
      <c r="O89" s="10"/>
      <c r="P89" s="5" t="str">
        <f>IF(A89="","",IFERROR(LOOKUP(2,1/((持仓跟踪!$B$2:$B$157=A89)*(持仓跟踪!$X$2:$X$157="执行卖出")*(持仓跟踪!$AA$2:$AA$157&lt;&gt;"")),持仓跟踪!$AA$2:$AA$157),""))</f>
        <v/>
      </c>
      <c r="Q89" s="2"/>
      <c r="R89" s="2"/>
      <c r="S89" s="2"/>
      <c r="T89" s="2"/>
      <c r="U89" s="7">
        <f>IF(OR(E89="",J89="",E89&lt;=0),"",(J89-E89)/E89)</f>
        <v>0.157742402315485</v>
      </c>
      <c r="V89" s="7">
        <f>IF(OR(E89="",N89="",E89&lt;=0),"",(E89-N89)/E89)</f>
        <v>0.0955137481910275</v>
      </c>
      <c r="W89" s="19">
        <f>IF(OR(U89="",V89="",V89&lt;=0),"",U89/V89)</f>
        <v>1.65151515151515</v>
      </c>
      <c r="X89" s="5">
        <f>IF(OR(K89="",L89="",E89="",H89=""),"",K89*L89-E89*H89-IF(O89="",0,O89)-IF(P89="",0,P89))</f>
        <v>-9928</v>
      </c>
      <c r="Y89" s="7">
        <f>IF(OR(X89="",E89="",H89=""),"",IF(E89*H89+IF(O89="",0,O89)&lt;=0,"",X89/(E89*H89+IF(O89="",0,O89))))</f>
        <v>-0.211287988422576</v>
      </c>
      <c r="Z89" s="7">
        <f>IF(OR(AE89="",多次统计数据!$B$8=""),"",AE89-多次统计数据!$B$8)</f>
        <v>-0.115723981136559</v>
      </c>
      <c r="AA89" s="11">
        <f>IF(OR(I89="",M89="",M89&lt;I89),"",M89-I89)</f>
        <v>63</v>
      </c>
      <c r="AB89" s="7">
        <f>IF(OR(A89="",多次统计数据!$B$8="",多次统计数据!$B$6&lt;=0,多次统计数据!$B$6&gt;=1),"",1-POWER(1+多次统计数据!$B$8,-多次统计数据!$B$6/(1-多次统计数据!$B$6)))</f>
        <v>0.0530166567311223</v>
      </c>
      <c r="AC89" s="8" t="str">
        <f>IF(OR(AB89="",多次统计数据!$B$9=""),"",IF(多次统计数据!$B$9&lt;AB89,"低于上限","达到或超过上限"))</f>
        <v>低于上限</v>
      </c>
      <c r="AD89" s="2"/>
      <c r="AE89" s="7">
        <f>IF(OR(X89="",C89="",C89&lt;=0),"",X89/C89)</f>
        <v>-0.043175354213598</v>
      </c>
      <c r="AG89" s="2"/>
      <c r="AH89" s="2"/>
      <c r="AI89" s="2"/>
      <c r="AJ89" s="8" t="str">
        <f>IF(OR(AG89="",AH89=""),"",IF(OR(AND(AG89="短期博反弹",OR(AH89="1～3个交易日",AH89="4～10个交易日")),AND(AG89="突破冲新高",OR(AH89="4～10个交易日",AH89="11～20个交易日")),AND(AG89="趋势波段",OR(AH89="11～20个交易日",AH89="21～60个交易日",AH89="60个交易日以上"))),"匹配","周期与交易预期不匹配，请重新确认"))</f>
        <v/>
      </c>
      <c r="AK89" s="10"/>
      <c r="AL89" s="12"/>
      <c r="AM89" s="10"/>
      <c r="AN89" s="12"/>
      <c r="AO89" s="5">
        <f>IF(OR(A89="",H89="",H89&lt;=0),"",(E89*H89+IF(AND(AK89&lt;&gt;"",AL89&lt;&gt;""),AK89*AL89,0)+IF(AND(AM89&lt;&gt;"",AN89&lt;&gt;""),AM89*AN89,0))/AP89)</f>
        <v>13.82</v>
      </c>
      <c r="AP89" s="11">
        <f>IF(OR(A89="",H89="",H89&lt;=0),"",H89+IF(AL89="",0,AL89)+IF(AN89="",0,AN89))</f>
        <v>3400</v>
      </c>
      <c r="AQ89" s="5">
        <f>IF(A89="","",IF(M89&lt;&gt;"",0,IF(OR(H89="",N89=""),"",MAX(E89-MAX(N89,IFERROR(SUMPRODUCT(MAX(((持仓跟踪!$A$2:$A$157="每日跟踪")*(持仓跟踪!$B$2:$B$157=A89))*持仓跟踪!$S$2:$S$157)),0)),0)*H89+IF(OR(AK89="",AL89=""),0,MAX(AK89-MAX(N89,IFERROR(SUMPRODUCT(MAX(((持仓跟踪!$A$2:$A$157="每日跟踪")*(持仓跟踪!$B$2:$B$157=A89))*持仓跟踪!$S$2:$S$157)),0)),0)*AL89)+IF(OR(AM89="",AN89=""),0,MAX(AM89-MAX(N89,IFERROR(SUMPRODUCT(MAX(((持仓跟踪!$A$2:$A$157="每日跟踪")*(持仓跟踪!$B$2:$B$157=A89))*持仓跟踪!$S$2:$S$157)),0)),0)*AN89))))</f>
        <v>0</v>
      </c>
      <c r="AR89" s="8" t="str">
        <f ca="1">IF(A89="","",IF(OR(E89="",H89=""),"违规：第一批价格或股数缺失",IF(OR(AND(AK89="",AL89&lt;&gt;""),AND(AK89&lt;&gt;"",AL89="")),"违规：第二批价格与股数须成对填写",IF(OR(AND(AM89="",AN89&lt;&gt;""),AND(AM89&lt;&gt;"",AN89="")),"违规：第三批价格与股数须成对填写",IF(AND(OR(AM89&lt;&gt;"",AN89&lt;&gt;""),OR(AK89="",AL89="")),"违规：必须先完成第二批",IF(OR(H89&lt;=0,H89&lt;&gt;INT(H89),MOD(H89,100)&lt;&gt;0,AND(AL89&lt;&gt;"",OR(AL89&lt;=0,AL89&lt;&gt;INT(AL89),MOD(AL89,100)&lt;&gt;0)),AND(AN89&lt;&gt;"",OR(AN89&lt;=0,AN89&lt;&gt;INT(AN89),MOD(AN89,100)&lt;&gt;0))),"违规：股数须为100股整数倍",IF(AND(OR(AL89&lt;&gt;"",AN89&lt;&gt;""),OR(_LockStatus="已锁仓",_LockStatus="解锁信息不完整")),"违规：锁仓期间禁止加仓",IF(AQ89&gt;C89*D89,"违规：超过单笔风险上限",IF(SUM($AQ$2:$AQ$201)&gt;账户数据!$B$7,"违规：超过账户风险上限","通过")))))))))</f>
        <v>通过</v>
      </c>
    </row>
    <row r="90" ht="17" spans="1:44">
      <c r="A90" s="2">
        <v>89</v>
      </c>
      <c r="B90" s="2" t="s">
        <v>69</v>
      </c>
      <c r="C90" s="10">
        <v>220218</v>
      </c>
      <c r="D90" s="6">
        <v>0.02</v>
      </c>
      <c r="E90" s="10">
        <v>19.42</v>
      </c>
      <c r="F90" s="8">
        <f>IF(OR(C90="",D90="",E90="",N90="",C90&lt;=0,D90&lt;=0,E90&lt;=N90),"",ROUNDDOWN((C90*D90)/(E90-N90)/100,0)*100)</f>
        <v>3100</v>
      </c>
      <c r="G90" s="8" t="str">
        <f>IF(OR(A90="",F90="",E90="",N90="",E90&lt;=N90,账户数据!$B$7=""),"",IF(账户数据!$B$9+IF(H90="",F90*(E90-N90),0)&gt;=账户数据!$B$7,"禁止开仓","允许开仓"))</f>
        <v>允许开仓</v>
      </c>
      <c r="H90" s="2">
        <v>3100</v>
      </c>
      <c r="I90" s="13">
        <v>43892</v>
      </c>
      <c r="J90" s="10">
        <v>23</v>
      </c>
      <c r="K90" s="5">
        <v>16.62</v>
      </c>
      <c r="L90" s="8">
        <f>IF(K90="","",H90)</f>
        <v>3100</v>
      </c>
      <c r="M90" s="18">
        <v>43899</v>
      </c>
      <c r="N90" s="10">
        <v>18</v>
      </c>
      <c r="O90" s="10"/>
      <c r="P90" s="5" t="str">
        <f>IF(A90="","",IFERROR(LOOKUP(2,1/((持仓跟踪!$B$2:$B$157=A90)*(持仓跟踪!$X$2:$X$157="执行卖出")*(持仓跟踪!$AA$2:$AA$157&lt;&gt;"")),持仓跟踪!$AA$2:$AA$157),""))</f>
        <v/>
      </c>
      <c r="Q90" s="2"/>
      <c r="R90" s="2"/>
      <c r="S90" s="2"/>
      <c r="T90" s="2"/>
      <c r="U90" s="7">
        <f>IF(OR(E90="",J90="",E90&lt;=0),"",(J90-E90)/E90)</f>
        <v>0.184346035015448</v>
      </c>
      <c r="V90" s="7">
        <f>IF(OR(E90="",N90="",E90&lt;=0),"",(E90-N90)/E90)</f>
        <v>0.0731204943357364</v>
      </c>
      <c r="W90" s="19">
        <f>IF(OR(U90="",V90="",V90&lt;=0),"",U90/V90)</f>
        <v>2.52112676056338</v>
      </c>
      <c r="X90" s="5">
        <f>IF(OR(K90="",L90="",E90="",H90=""),"",K90*L90-E90*H90-IF(O90="",0,O90)-IF(P90="",0,P90))</f>
        <v>-8680.00000000001</v>
      </c>
      <c r="Y90" s="7">
        <f>IF(OR(X90="",E90="",H90=""),"",IF(E90*H90+IF(O90="",0,O90)&lt;=0,"",X90/(E90*H90+IF(O90="",0,O90))))</f>
        <v>-0.144181256436663</v>
      </c>
      <c r="Z90" s="7">
        <f>IF(OR(AE90="",多次统计数据!$B$8=""),"",AE90-多次统计数据!$B$8)</f>
        <v>-0.111964115211838</v>
      </c>
      <c r="AA90" s="11">
        <f>IF(OR(I90="",M90="",M90&lt;I90),"",M90-I90)</f>
        <v>7</v>
      </c>
      <c r="AB90" s="7">
        <f>IF(OR(A90="",多次统计数据!$B$8="",多次统计数据!$B$6&lt;=0,多次统计数据!$B$6&gt;=1),"",1-POWER(1+多次统计数据!$B$8,-多次统计数据!$B$6/(1-多次统计数据!$B$6)))</f>
        <v>0.0530166567311223</v>
      </c>
      <c r="AC90" s="8" t="str">
        <f>IF(OR(AB90="",多次统计数据!$B$9=""),"",IF(多次统计数据!$B$9&lt;AB90,"低于上限","达到或超过上限"))</f>
        <v>低于上限</v>
      </c>
      <c r="AD90" s="2"/>
      <c r="AE90" s="7">
        <f>IF(OR(X90="",C90="",C90&lt;=0),"",X90/C90)</f>
        <v>-0.0394154882888774</v>
      </c>
      <c r="AG90" s="2"/>
      <c r="AH90" s="2"/>
      <c r="AI90" s="2"/>
      <c r="AJ90" s="8" t="str">
        <f>IF(OR(AG90="",AH90=""),"",IF(OR(AND(AG90="短期博反弹",OR(AH90="1～3个交易日",AH90="4～10个交易日")),AND(AG90="突破冲新高",OR(AH90="4～10个交易日",AH90="11～20个交易日")),AND(AG90="趋势波段",OR(AH90="11～20个交易日",AH90="21～60个交易日",AH90="60个交易日以上"))),"匹配","周期与交易预期不匹配，请重新确认"))</f>
        <v/>
      </c>
      <c r="AK90" s="10"/>
      <c r="AL90" s="12"/>
      <c r="AM90" s="10"/>
      <c r="AN90" s="12"/>
      <c r="AO90" s="5">
        <f>IF(OR(A90="",H90="",H90&lt;=0),"",(E90*H90+IF(AND(AK90&lt;&gt;"",AL90&lt;&gt;""),AK90*AL90,0)+IF(AND(AM90&lt;&gt;"",AN90&lt;&gt;""),AM90*AN90,0))/AP90)</f>
        <v>19.42</v>
      </c>
      <c r="AP90" s="11">
        <f>IF(OR(A90="",H90="",H90&lt;=0),"",H90+IF(AL90="",0,AL90)+IF(AN90="",0,AN90))</f>
        <v>3100</v>
      </c>
      <c r="AQ90" s="5">
        <f>IF(A90="","",IF(M90&lt;&gt;"",0,IF(OR(H90="",N90=""),"",MAX(E90-MAX(N90,IFERROR(SUMPRODUCT(MAX(((持仓跟踪!$A$2:$A$157="每日跟踪")*(持仓跟踪!$B$2:$B$157=A90))*持仓跟踪!$S$2:$S$157)),0)),0)*H90+IF(OR(AK90="",AL90=""),0,MAX(AK90-MAX(N90,IFERROR(SUMPRODUCT(MAX(((持仓跟踪!$A$2:$A$157="每日跟踪")*(持仓跟踪!$B$2:$B$157=A90))*持仓跟踪!$S$2:$S$157)),0)),0)*AL90)+IF(OR(AM90="",AN90=""),0,MAX(AM90-MAX(N90,IFERROR(SUMPRODUCT(MAX(((持仓跟踪!$A$2:$A$157="每日跟踪")*(持仓跟踪!$B$2:$B$157=A90))*持仓跟踪!$S$2:$S$157)),0)),0)*AN90))))</f>
        <v>0</v>
      </c>
      <c r="AR90" s="8" t="str">
        <f ca="1">IF(A90="","",IF(OR(E90="",H90=""),"违规：第一批价格或股数缺失",IF(OR(AND(AK90="",AL90&lt;&gt;""),AND(AK90&lt;&gt;"",AL90="")),"违规：第二批价格与股数须成对填写",IF(OR(AND(AM90="",AN90&lt;&gt;""),AND(AM90&lt;&gt;"",AN90="")),"违规：第三批价格与股数须成对填写",IF(AND(OR(AM90&lt;&gt;"",AN90&lt;&gt;""),OR(AK90="",AL90="")),"违规：必须先完成第二批",IF(OR(H90&lt;=0,H90&lt;&gt;INT(H90),MOD(H90,100)&lt;&gt;0,AND(AL90&lt;&gt;"",OR(AL90&lt;=0,AL90&lt;&gt;INT(AL90),MOD(AL90,100)&lt;&gt;0)),AND(AN90&lt;&gt;"",OR(AN90&lt;=0,AN90&lt;&gt;INT(AN90),MOD(AN90,100)&lt;&gt;0))),"违规：股数须为100股整数倍",IF(AND(OR(AL90&lt;&gt;"",AN90&lt;&gt;""),OR(_LockStatus="已锁仓",_LockStatus="解锁信息不完整")),"违规：锁仓期间禁止加仓",IF(AQ90&gt;C90*D90,"违规：超过单笔风险上限",IF(SUM($AQ$2:$AQ$201)&gt;账户数据!$B$7,"违规：超过账户风险上限","通过")))))))))</f>
        <v>通过</v>
      </c>
    </row>
    <row r="91" ht="17" spans="1:44">
      <c r="A91" s="2">
        <v>90</v>
      </c>
      <c r="B91" s="2" t="s">
        <v>69</v>
      </c>
      <c r="C91" s="10">
        <v>211338</v>
      </c>
      <c r="D91" s="6">
        <v>0.02</v>
      </c>
      <c r="E91" s="10">
        <v>15.94</v>
      </c>
      <c r="F91" s="8">
        <f>IF(OR(C91="",D91="",E91="",N91="",C91&lt;=0,D91&lt;=0,E91&lt;=N91),"",ROUNDDOWN((C91*D91)/(E91-N91)/100,0)*100)</f>
        <v>4700</v>
      </c>
      <c r="G91" s="8" t="str">
        <f>IF(OR(A91="",F91="",E91="",N91="",E91&lt;=N91,账户数据!$B$7=""),"",IF(账户数据!$B$9+IF(H91="",F91*(E91-N91),0)&gt;=账户数据!$B$7,"禁止开仓","允许开仓"))</f>
        <v>允许开仓</v>
      </c>
      <c r="H91" s="2">
        <v>4700</v>
      </c>
      <c r="I91" s="13">
        <v>43949</v>
      </c>
      <c r="J91" s="10">
        <v>20</v>
      </c>
      <c r="K91" s="5">
        <v>20.48</v>
      </c>
      <c r="L91" s="8">
        <f>IF(K91="","",H91)</f>
        <v>4700</v>
      </c>
      <c r="M91" s="18">
        <v>44005</v>
      </c>
      <c r="N91" s="10">
        <v>15.05</v>
      </c>
      <c r="O91" s="10"/>
      <c r="P91" s="5" t="str">
        <f>IF(A91="","",IFERROR(LOOKUP(2,1/((持仓跟踪!$B$2:$B$157=A91)*(持仓跟踪!$X$2:$X$157="执行卖出")*(持仓跟踪!$AA$2:$AA$157&lt;&gt;"")),持仓跟踪!$AA$2:$AA$157),""))</f>
        <v/>
      </c>
      <c r="Q91" s="2"/>
      <c r="R91" s="2"/>
      <c r="S91" s="2"/>
      <c r="T91" s="2"/>
      <c r="U91" s="7">
        <f>IF(OR(E91="",J91="",E91&lt;=0),"",(J91-E91)/E91)</f>
        <v>0.254705144291092</v>
      </c>
      <c r="V91" s="7">
        <f>IF(OR(E91="",N91="",E91&lt;=0),"",(E91-N91)/E91)</f>
        <v>0.0558343789209535</v>
      </c>
      <c r="W91" s="19">
        <f>IF(OR(U91="",V91="",V91&lt;=0),"",U91/V91)</f>
        <v>4.561797752809</v>
      </c>
      <c r="X91" s="5">
        <f>IF(OR(K91="",L91="",E91="",H91=""),"",K91*L91-E91*H91-IF(O91="",0,O91)-IF(P91="",0,P91))</f>
        <v>21338</v>
      </c>
      <c r="Y91" s="7">
        <f>IF(OR(X91="",E91="",H91=""),"",IF(E91*H91+IF(O91="",0,O91)&lt;=0,"",X91/(E91*H91+IF(O91="",0,O91))))</f>
        <v>0.284818067754078</v>
      </c>
      <c r="Z91" s="7">
        <f>IF(OR(AE91="",多次统计数据!$B$8=""),"",AE91-多次统计数据!$B$8)</f>
        <v>0.0284175977976288</v>
      </c>
      <c r="AA91" s="11">
        <f>IF(OR(I91="",M91="",M91&lt;I91),"",M91-I91)</f>
        <v>56</v>
      </c>
      <c r="AB91" s="7">
        <f>IF(OR(A91="",多次统计数据!$B$8="",多次统计数据!$B$6&lt;=0,多次统计数据!$B$6&gt;=1),"",1-POWER(1+多次统计数据!$B$8,-多次统计数据!$B$6/(1-多次统计数据!$B$6)))</f>
        <v>0.0530166567311223</v>
      </c>
      <c r="AC91" s="8" t="str">
        <f>IF(OR(AB91="",多次统计数据!$B$9=""),"",IF(多次统计数据!$B$9&lt;AB91,"低于上限","达到或超过上限"))</f>
        <v>低于上限</v>
      </c>
      <c r="AD91" s="2"/>
      <c r="AE91" s="7">
        <f>IF(OR(X91="",C91="",C91&lt;=0),"",X91/C91)</f>
        <v>0.10096622472059</v>
      </c>
      <c r="AG91" s="2"/>
      <c r="AH91" s="2"/>
      <c r="AI91" s="2"/>
      <c r="AJ91" s="8" t="str">
        <f>IF(OR(AG91="",AH91=""),"",IF(OR(AND(AG91="短期博反弹",OR(AH91="1～3个交易日",AH91="4～10个交易日")),AND(AG91="突破冲新高",OR(AH91="4～10个交易日",AH91="11～20个交易日")),AND(AG91="趋势波段",OR(AH91="11～20个交易日",AH91="21～60个交易日",AH91="60个交易日以上"))),"匹配","周期与交易预期不匹配，请重新确认"))</f>
        <v/>
      </c>
      <c r="AK91" s="10"/>
      <c r="AL91" s="12"/>
      <c r="AM91" s="10"/>
      <c r="AN91" s="12"/>
      <c r="AO91" s="5">
        <f>IF(OR(A91="",H91="",H91&lt;=0),"",(E91*H91+IF(AND(AK91&lt;&gt;"",AL91&lt;&gt;""),AK91*AL91,0)+IF(AND(AM91&lt;&gt;"",AN91&lt;&gt;""),AM91*AN91,0))/AP91)</f>
        <v>15.94</v>
      </c>
      <c r="AP91" s="11">
        <f>IF(OR(A91="",H91="",H91&lt;=0),"",H91+IF(AL91="",0,AL91)+IF(AN91="",0,AN91))</f>
        <v>4700</v>
      </c>
      <c r="AQ91" s="5">
        <f>IF(A91="","",IF(M91&lt;&gt;"",0,IF(OR(H91="",N91=""),"",MAX(E91-MAX(N91,IFERROR(SUMPRODUCT(MAX(((持仓跟踪!$A$2:$A$157="每日跟踪")*(持仓跟踪!$B$2:$B$157=A91))*持仓跟踪!$S$2:$S$157)),0)),0)*H91+IF(OR(AK91="",AL91=""),0,MAX(AK91-MAX(N91,IFERROR(SUMPRODUCT(MAX(((持仓跟踪!$A$2:$A$157="每日跟踪")*(持仓跟踪!$B$2:$B$157=A91))*持仓跟踪!$S$2:$S$157)),0)),0)*AL91)+IF(OR(AM91="",AN91=""),0,MAX(AM91-MAX(N91,IFERROR(SUMPRODUCT(MAX(((持仓跟踪!$A$2:$A$157="每日跟踪")*(持仓跟踪!$B$2:$B$157=A91))*持仓跟踪!$S$2:$S$157)),0)),0)*AN91))))</f>
        <v>0</v>
      </c>
      <c r="AR91" s="8" t="str">
        <f ca="1">IF(A91="","",IF(OR(E91="",H91=""),"违规：第一批价格或股数缺失",IF(OR(AND(AK91="",AL91&lt;&gt;""),AND(AK91&lt;&gt;"",AL91="")),"违规：第二批价格与股数须成对填写",IF(OR(AND(AM91="",AN91&lt;&gt;""),AND(AM91&lt;&gt;"",AN91="")),"违规：第三批价格与股数须成对填写",IF(AND(OR(AM91&lt;&gt;"",AN91&lt;&gt;""),OR(AK91="",AL91="")),"违规：必须先完成第二批",IF(OR(H91&lt;=0,H91&lt;&gt;INT(H91),MOD(H91,100)&lt;&gt;0,AND(AL91&lt;&gt;"",OR(AL91&lt;=0,AL91&lt;&gt;INT(AL91),MOD(AL91,100)&lt;&gt;0)),AND(AN91&lt;&gt;"",OR(AN91&lt;=0,AN91&lt;&gt;INT(AN91),MOD(AN91,100)&lt;&gt;0))),"违规：股数须为100股整数倍",IF(AND(OR(AL91&lt;&gt;"",AN91&lt;&gt;""),OR(_LockStatus="已锁仓",_LockStatus="解锁信息不完整")),"违规：锁仓期间禁止加仓",IF(AQ91&gt;C91*D91,"违规：超过单笔风险上限",IF(SUM($AQ$2:$AQ$201)&gt;账户数据!$B$7,"违规：超过账户风险上限","通过")))))))))</f>
        <v>通过</v>
      </c>
    </row>
    <row r="92" ht="17" spans="1:44">
      <c r="A92" s="2">
        <v>91</v>
      </c>
      <c r="B92" s="2" t="s">
        <v>69</v>
      </c>
      <c r="C92" s="10">
        <v>232676</v>
      </c>
      <c r="D92" s="6">
        <v>0.02</v>
      </c>
      <c r="E92" s="10">
        <v>25.86</v>
      </c>
      <c r="F92" s="8">
        <f>IF(OR(C92="",D92="",E92="",N92="",C92&lt;=0,D92&lt;=0,E92&lt;=N92),"",ROUNDDOWN((C92*D92)/(E92-N92)/100,0)*100)</f>
        <v>2500</v>
      </c>
      <c r="G92" s="8" t="str">
        <f>IF(OR(A92="",F92="",E92="",N92="",E92&lt;=N92,账户数据!$B$7=""),"",IF(账户数据!$B$9+IF(H92="",F92*(E92-N92),0)&gt;=账户数据!$B$7,"禁止开仓","允许开仓"))</f>
        <v>允许开仓</v>
      </c>
      <c r="H92" s="2">
        <v>2500</v>
      </c>
      <c r="I92" s="13">
        <v>44029</v>
      </c>
      <c r="J92" s="10">
        <v>30</v>
      </c>
      <c r="K92" s="5">
        <v>23.37</v>
      </c>
      <c r="L92" s="8">
        <f>IF(K92="","",H92)</f>
        <v>2500</v>
      </c>
      <c r="M92" s="18">
        <v>44062</v>
      </c>
      <c r="N92" s="10">
        <v>24</v>
      </c>
      <c r="O92" s="10"/>
      <c r="P92" s="5" t="str">
        <f>IF(A92="","",IFERROR(LOOKUP(2,1/((持仓跟踪!$B$2:$B$157=A92)*(持仓跟踪!$X$2:$X$157="执行卖出")*(持仓跟踪!$AA$2:$AA$157&lt;&gt;"")),持仓跟踪!$AA$2:$AA$157),""))</f>
        <v/>
      </c>
      <c r="Q92" s="2"/>
      <c r="R92" s="2"/>
      <c r="S92" s="2"/>
      <c r="T92" s="2"/>
      <c r="U92" s="7">
        <f>IF(OR(E92="",J92="",E92&lt;=0),"",(J92-E92)/E92)</f>
        <v>0.160092807424594</v>
      </c>
      <c r="V92" s="7">
        <f>IF(OR(E92="",N92="",E92&lt;=0),"",(E92-N92)/E92)</f>
        <v>0.0719257540603248</v>
      </c>
      <c r="W92" s="19">
        <f>IF(OR(U92="",V92="",V92&lt;=0),"",U92/V92)</f>
        <v>2.2258064516129</v>
      </c>
      <c r="X92" s="5">
        <f>IF(OR(K92="",L92="",E92="",H92=""),"",K92*L92-E92*H92-IF(O92="",0,O92)-IF(P92="",0,P92))</f>
        <v>-6225</v>
      </c>
      <c r="Y92" s="7">
        <f>IF(OR(X92="",E92="",H92=""),"",IF(E92*H92+IF(O92="",0,O92)&lt;=0,"",X92/(E92*H92+IF(O92="",0,O92))))</f>
        <v>-0.0962877030162413</v>
      </c>
      <c r="Z92" s="7">
        <f>IF(OR(AE92="",多次统计数据!$B$8=""),"",AE92-多次统计数据!$B$8)</f>
        <v>-0.0993025680256101</v>
      </c>
      <c r="AA92" s="11">
        <f>IF(OR(I92="",M92="",M92&lt;I92),"",M92-I92)</f>
        <v>33</v>
      </c>
      <c r="AB92" s="7">
        <f>IF(OR(A92="",多次统计数据!$B$8="",多次统计数据!$B$6&lt;=0,多次统计数据!$B$6&gt;=1),"",1-POWER(1+多次统计数据!$B$8,-多次统计数据!$B$6/(1-多次统计数据!$B$6)))</f>
        <v>0.0530166567311223</v>
      </c>
      <c r="AC92" s="8" t="str">
        <f>IF(OR(AB92="",多次统计数据!$B$9=""),"",IF(多次统计数据!$B$9&lt;AB92,"低于上限","达到或超过上限"))</f>
        <v>低于上限</v>
      </c>
      <c r="AD92" s="2"/>
      <c r="AE92" s="7">
        <f>IF(OR(X92="",C92="",C92&lt;=0),"",X92/C92)</f>
        <v>-0.0267539411026492</v>
      </c>
      <c r="AG92" s="2"/>
      <c r="AH92" s="2"/>
      <c r="AI92" s="2"/>
      <c r="AJ92" s="8" t="str">
        <f>IF(OR(AG92="",AH92=""),"",IF(OR(AND(AG92="短期博反弹",OR(AH92="1～3个交易日",AH92="4～10个交易日")),AND(AG92="突破冲新高",OR(AH92="4～10个交易日",AH92="11～20个交易日")),AND(AG92="趋势波段",OR(AH92="11～20个交易日",AH92="21～60个交易日",AH92="60个交易日以上"))),"匹配","周期与交易预期不匹配，请重新确认"))</f>
        <v/>
      </c>
      <c r="AK92" s="10"/>
      <c r="AL92" s="12"/>
      <c r="AM92" s="10"/>
      <c r="AN92" s="12"/>
      <c r="AO92" s="5">
        <f>IF(OR(A92="",H92="",H92&lt;=0),"",(E92*H92+IF(AND(AK92&lt;&gt;"",AL92&lt;&gt;""),AK92*AL92,0)+IF(AND(AM92&lt;&gt;"",AN92&lt;&gt;""),AM92*AN92,0))/AP92)</f>
        <v>25.86</v>
      </c>
      <c r="AP92" s="11">
        <f>IF(OR(A92="",H92="",H92&lt;=0),"",H92+IF(AL92="",0,AL92)+IF(AN92="",0,AN92))</f>
        <v>2500</v>
      </c>
      <c r="AQ92" s="5">
        <f>IF(A92="","",IF(M92&lt;&gt;"",0,IF(OR(H92="",N92=""),"",MAX(E92-MAX(N92,IFERROR(SUMPRODUCT(MAX(((持仓跟踪!$A$2:$A$157="每日跟踪")*(持仓跟踪!$B$2:$B$157=A92))*持仓跟踪!$S$2:$S$157)),0)),0)*H92+IF(OR(AK92="",AL92=""),0,MAX(AK92-MAX(N92,IFERROR(SUMPRODUCT(MAX(((持仓跟踪!$A$2:$A$157="每日跟踪")*(持仓跟踪!$B$2:$B$157=A92))*持仓跟踪!$S$2:$S$157)),0)),0)*AL92)+IF(OR(AM92="",AN92=""),0,MAX(AM92-MAX(N92,IFERROR(SUMPRODUCT(MAX(((持仓跟踪!$A$2:$A$157="每日跟踪")*(持仓跟踪!$B$2:$B$157=A92))*持仓跟踪!$S$2:$S$157)),0)),0)*AN92))))</f>
        <v>0</v>
      </c>
      <c r="AR92" s="8" t="str">
        <f ca="1">IF(A92="","",IF(OR(E92="",H92=""),"违规：第一批价格或股数缺失",IF(OR(AND(AK92="",AL92&lt;&gt;""),AND(AK92&lt;&gt;"",AL92="")),"违规：第二批价格与股数须成对填写",IF(OR(AND(AM92="",AN92&lt;&gt;""),AND(AM92&lt;&gt;"",AN92="")),"违规：第三批价格与股数须成对填写",IF(AND(OR(AM92&lt;&gt;"",AN92&lt;&gt;""),OR(AK92="",AL92="")),"违规：必须先完成第二批",IF(OR(H92&lt;=0,H92&lt;&gt;INT(H92),MOD(H92,100)&lt;&gt;0,AND(AL92&lt;&gt;"",OR(AL92&lt;=0,AL92&lt;&gt;INT(AL92),MOD(AL92,100)&lt;&gt;0)),AND(AN92&lt;&gt;"",OR(AN92&lt;=0,AN92&lt;&gt;INT(AN92),MOD(AN92,100)&lt;&gt;0))),"违规：股数须为100股整数倍",IF(AND(OR(AL92&lt;&gt;"",AN92&lt;&gt;""),OR(_LockStatus="已锁仓",_LockStatus="解锁信息不完整")),"违规：锁仓期间禁止加仓",IF(AQ92&gt;C92*D92,"违规：超过单笔风险上限",IF(SUM($AQ$2:$AQ$201)&gt;账户数据!$B$7,"违规：超过账户风险上限","通过")))))))))</f>
        <v>通过</v>
      </c>
    </row>
    <row r="93" ht="17" spans="1:44">
      <c r="A93" s="2">
        <v>92</v>
      </c>
      <c r="B93" s="2" t="s">
        <v>69</v>
      </c>
      <c r="C93" s="10">
        <v>226451</v>
      </c>
      <c r="D93" s="6">
        <v>0.02</v>
      </c>
      <c r="E93" s="10">
        <v>65.74</v>
      </c>
      <c r="F93" s="8">
        <f>IF(OR(C93="",D93="",E93="",N93="",C93&lt;=0,D93&lt;=0,E93&lt;=N93),"",ROUNDDOWN((C93*D93)/(E93-N93)/100,0)*100)</f>
        <v>700</v>
      </c>
      <c r="G93" s="8" t="str">
        <f>IF(OR(A93="",F93="",E93="",N93="",E93&lt;=N93,账户数据!$B$7=""),"",IF(账户数据!$B$9+IF(H93="",F93*(E93-N93),0)&gt;=账户数据!$B$7,"禁止开仓","允许开仓"))</f>
        <v>允许开仓</v>
      </c>
      <c r="H93" s="2">
        <v>700</v>
      </c>
      <c r="I93" s="13">
        <v>44102</v>
      </c>
      <c r="J93" s="10">
        <v>70</v>
      </c>
      <c r="K93" s="5">
        <v>66.48</v>
      </c>
      <c r="L93" s="8">
        <f>IF(K93="","",H93)</f>
        <v>700</v>
      </c>
      <c r="M93" s="18">
        <v>44251</v>
      </c>
      <c r="N93" s="10">
        <v>60</v>
      </c>
      <c r="O93" s="10"/>
      <c r="P93" s="5" t="str">
        <f>IF(A93="","",IFERROR(LOOKUP(2,1/((持仓跟踪!$B$2:$B$157=A93)*(持仓跟踪!$X$2:$X$157="执行卖出")*(持仓跟踪!$AA$2:$AA$157&lt;&gt;"")),持仓跟踪!$AA$2:$AA$157),""))</f>
        <v/>
      </c>
      <c r="Q93" s="2"/>
      <c r="R93" s="2"/>
      <c r="S93" s="2"/>
      <c r="T93" s="2"/>
      <c r="U93" s="7">
        <f>IF(OR(E93="",J93="",E93&lt;=0),"",(J93-E93)/E93)</f>
        <v>0.0648007301490722</v>
      </c>
      <c r="V93" s="7">
        <f>IF(OR(E93="",N93="",E93&lt;=0),"",(E93-N93)/E93)</f>
        <v>0.0873136598722238</v>
      </c>
      <c r="W93" s="19">
        <f>IF(OR(U93="",V93="",V93&lt;=0),"",U93/V93)</f>
        <v>0.742160278745646</v>
      </c>
      <c r="X93" s="5">
        <f>IF(OR(K93="",L93="",E93="",H93=""),"",K93*L93-E93*H93-IF(O93="",0,O93)-IF(P93="",0,P93))</f>
        <v>518</v>
      </c>
      <c r="Y93" s="7">
        <f>IF(OR(X93="",E93="",H93=""),"",IF(E93*H93+IF(O93="",0,O93)&lt;=0,"",X93/(E93*H93+IF(O93="",0,O93))))</f>
        <v>0.0112564648615759</v>
      </c>
      <c r="Z93" s="7">
        <f>IF(OR(AE93="",多次统计数据!$B$8=""),"",AE93-多次统计数据!$B$8)</f>
        <v>-0.0702611563443369</v>
      </c>
      <c r="AA93" s="11">
        <f>IF(OR(I93="",M93="",M93&lt;I93),"",M93-I93)</f>
        <v>149</v>
      </c>
      <c r="AB93" s="7">
        <f>IF(OR(A93="",多次统计数据!$B$8="",多次统计数据!$B$6&lt;=0,多次统计数据!$B$6&gt;=1),"",1-POWER(1+多次统计数据!$B$8,-多次统计数据!$B$6/(1-多次统计数据!$B$6)))</f>
        <v>0.0530166567311223</v>
      </c>
      <c r="AC93" s="8" t="str">
        <f>IF(OR(AB93="",多次统计数据!$B$9=""),"",IF(多次统计数据!$B$9&lt;AB93,"低于上限","达到或超过上限"))</f>
        <v>低于上限</v>
      </c>
      <c r="AD93" s="2"/>
      <c r="AE93" s="7">
        <f>IF(OR(X93="",C93="",C93&lt;=0),"",X93/C93)</f>
        <v>0.00228747057862407</v>
      </c>
      <c r="AG93" s="2"/>
      <c r="AH93" s="2"/>
      <c r="AI93" s="2"/>
      <c r="AJ93" s="8" t="str">
        <f>IF(OR(AG93="",AH93=""),"",IF(OR(AND(AG93="短期博反弹",OR(AH93="1～3个交易日",AH93="4～10个交易日")),AND(AG93="突破冲新高",OR(AH93="4～10个交易日",AH93="11～20个交易日")),AND(AG93="趋势波段",OR(AH93="11～20个交易日",AH93="21～60个交易日",AH93="60个交易日以上"))),"匹配","周期与交易预期不匹配，请重新确认"))</f>
        <v/>
      </c>
      <c r="AK93" s="10"/>
      <c r="AL93" s="12"/>
      <c r="AM93" s="10"/>
      <c r="AN93" s="12"/>
      <c r="AO93" s="5">
        <f>IF(OR(A93="",H93="",H93&lt;=0),"",(E93*H93+IF(AND(AK93&lt;&gt;"",AL93&lt;&gt;""),AK93*AL93,0)+IF(AND(AM93&lt;&gt;"",AN93&lt;&gt;""),AM93*AN93,0))/AP93)</f>
        <v>65.74</v>
      </c>
      <c r="AP93" s="11">
        <f>IF(OR(A93="",H93="",H93&lt;=0),"",H93+IF(AL93="",0,AL93)+IF(AN93="",0,AN93))</f>
        <v>700</v>
      </c>
      <c r="AQ93" s="5">
        <f>IF(A93="","",IF(M93&lt;&gt;"",0,IF(OR(H93="",N93=""),"",MAX(E93-MAX(N93,IFERROR(SUMPRODUCT(MAX(((持仓跟踪!$A$2:$A$157="每日跟踪")*(持仓跟踪!$B$2:$B$157=A93))*持仓跟踪!$S$2:$S$157)),0)),0)*H93+IF(OR(AK93="",AL93=""),0,MAX(AK93-MAX(N93,IFERROR(SUMPRODUCT(MAX(((持仓跟踪!$A$2:$A$157="每日跟踪")*(持仓跟踪!$B$2:$B$157=A93))*持仓跟踪!$S$2:$S$157)),0)),0)*AL93)+IF(OR(AM93="",AN93=""),0,MAX(AM93-MAX(N93,IFERROR(SUMPRODUCT(MAX(((持仓跟踪!$A$2:$A$157="每日跟踪")*(持仓跟踪!$B$2:$B$157=A93))*持仓跟踪!$S$2:$S$157)),0)),0)*AN93))))</f>
        <v>0</v>
      </c>
      <c r="AR93" s="8" t="str">
        <f ca="1">IF(A93="","",IF(OR(E93="",H93=""),"违规：第一批价格或股数缺失",IF(OR(AND(AK93="",AL93&lt;&gt;""),AND(AK93&lt;&gt;"",AL93="")),"违规：第二批价格与股数须成对填写",IF(OR(AND(AM93="",AN93&lt;&gt;""),AND(AM93&lt;&gt;"",AN93="")),"违规：第三批价格与股数须成对填写",IF(AND(OR(AM93&lt;&gt;"",AN93&lt;&gt;""),OR(AK93="",AL93="")),"违规：必须先完成第二批",IF(OR(H93&lt;=0,H93&lt;&gt;INT(H93),MOD(H93,100)&lt;&gt;0,AND(AL93&lt;&gt;"",OR(AL93&lt;=0,AL93&lt;&gt;INT(AL93),MOD(AL93,100)&lt;&gt;0)),AND(AN93&lt;&gt;"",OR(AN93&lt;=0,AN93&lt;&gt;INT(AN93),MOD(AN93,100)&lt;&gt;0))),"违规：股数须为100股整数倍",IF(AND(OR(AL93&lt;&gt;"",AN93&lt;&gt;""),OR(_LockStatus="已锁仓",_LockStatus="解锁信息不完整")),"违规：锁仓期间禁止加仓",IF(AQ93&gt;C93*D93,"违规：超过单笔风险上限",IF(SUM($AQ$2:$AQ$201)&gt;账户数据!$B$7,"违规：超过账户风险上限","通过")))))))))</f>
        <v>通过</v>
      </c>
    </row>
    <row r="94" ht="17" spans="1:44">
      <c r="A94" s="2">
        <v>93</v>
      </c>
      <c r="B94" s="2" t="s">
        <v>69</v>
      </c>
      <c r="C94" s="10">
        <v>226929</v>
      </c>
      <c r="D94" s="6">
        <v>0.02</v>
      </c>
      <c r="E94" s="10">
        <v>64.42</v>
      </c>
      <c r="F94" s="8">
        <f>IF(OR(C94="",D94="",E94="",N94="",C94&lt;=0,D94&lt;=0,E94&lt;=N94),"",ROUNDDOWN((C94*D94)/(E94-N94)/100,0)*100)</f>
        <v>1800</v>
      </c>
      <c r="G94" s="8" t="str">
        <f>IF(OR(A94="",F94="",E94="",N94="",E94&lt;=N94,账户数据!$B$7=""),"",IF(账户数据!$B$9+IF(H94="",F94*(E94-N94),0)&gt;=账户数据!$B$7,"禁止开仓","允许开仓"))</f>
        <v>允许开仓</v>
      </c>
      <c r="H94" s="2">
        <v>1800</v>
      </c>
      <c r="I94" s="13">
        <v>44355</v>
      </c>
      <c r="J94" s="10">
        <v>70</v>
      </c>
      <c r="K94" s="5">
        <v>76.39</v>
      </c>
      <c r="L94" s="8">
        <f>IF(K94="","",H94)</f>
        <v>1800</v>
      </c>
      <c r="M94" s="18">
        <v>44404</v>
      </c>
      <c r="N94" s="10">
        <v>62</v>
      </c>
      <c r="O94" s="10"/>
      <c r="P94" s="5" t="str">
        <f>IF(A94="","",IFERROR(LOOKUP(2,1/((持仓跟踪!$B$2:$B$157=A94)*(持仓跟踪!$X$2:$X$157="执行卖出")*(持仓跟踪!$AA$2:$AA$157&lt;&gt;"")),持仓跟踪!$AA$2:$AA$157),""))</f>
        <v/>
      </c>
      <c r="Q94" s="2"/>
      <c r="R94" s="2"/>
      <c r="S94" s="2"/>
      <c r="T94" s="2"/>
      <c r="U94" s="7">
        <f>IF(OR(E94="",J94="",E94&lt;=0),"",(J94-E94)/E94)</f>
        <v>0.0866190624029804</v>
      </c>
      <c r="V94" s="7">
        <f>IF(OR(E94="",N94="",E94&lt;=0),"",(E94-N94)/E94)</f>
        <v>0.0375659733002173</v>
      </c>
      <c r="W94" s="19">
        <f>IF(OR(U94="",V94="",V94&lt;=0),"",U94/V94)</f>
        <v>2.30578512396694</v>
      </c>
      <c r="X94" s="5">
        <f>IF(OR(K94="",L94="",E94="",H94=""),"",K94*L94-E94*H94-IF(O94="",0,O94)-IF(P94="",0,P94))</f>
        <v>21546</v>
      </c>
      <c r="Y94" s="7">
        <f>IF(OR(X94="",E94="",H94=""),"",IF(E94*H94+IF(O94="",0,O94)&lt;=0,"",X94/(E94*H94+IF(O94="",0,O94))))</f>
        <v>0.18581185967091</v>
      </c>
      <c r="Z94" s="7">
        <f>IF(OR(AE94="",多次统计数据!$B$8=""),"",AE94-多次统计数据!$B$8)</f>
        <v>0.0223973694018807</v>
      </c>
      <c r="AA94" s="11">
        <f>IF(OR(I94="",M94="",M94&lt;I94),"",M94-I94)</f>
        <v>49</v>
      </c>
      <c r="AB94" s="7">
        <f>IF(OR(A94="",多次统计数据!$B$8="",多次统计数据!$B$6&lt;=0,多次统计数据!$B$6&gt;=1),"",1-POWER(1+多次统计数据!$B$8,-多次统计数据!$B$6/(1-多次统计数据!$B$6)))</f>
        <v>0.0530166567311223</v>
      </c>
      <c r="AC94" s="8" t="str">
        <f>IF(OR(AB94="",多次统计数据!$B$9=""),"",IF(多次统计数据!$B$9&lt;AB94,"低于上限","达到或超过上限"))</f>
        <v>低于上限</v>
      </c>
      <c r="AD94" s="2"/>
      <c r="AE94" s="7">
        <f>IF(OR(X94="",C94="",C94&lt;=0),"",X94/C94)</f>
        <v>0.0949459963248417</v>
      </c>
      <c r="AG94" s="2"/>
      <c r="AH94" s="2"/>
      <c r="AI94" s="2"/>
      <c r="AJ94" s="8" t="str">
        <f>IF(OR(AG94="",AH94=""),"",IF(OR(AND(AG94="短期博反弹",OR(AH94="1～3个交易日",AH94="4～10个交易日")),AND(AG94="突破冲新高",OR(AH94="4～10个交易日",AH94="11～20个交易日")),AND(AG94="趋势波段",OR(AH94="11～20个交易日",AH94="21～60个交易日",AH94="60个交易日以上"))),"匹配","周期与交易预期不匹配，请重新确认"))</f>
        <v/>
      </c>
      <c r="AK94" s="10"/>
      <c r="AL94" s="12"/>
      <c r="AM94" s="10"/>
      <c r="AN94" s="12"/>
      <c r="AO94" s="5">
        <f>IF(OR(A94="",H94="",H94&lt;=0),"",(E94*H94+IF(AND(AK94&lt;&gt;"",AL94&lt;&gt;""),AK94*AL94,0)+IF(AND(AM94&lt;&gt;"",AN94&lt;&gt;""),AM94*AN94,0))/AP94)</f>
        <v>64.42</v>
      </c>
      <c r="AP94" s="11">
        <f>IF(OR(A94="",H94="",H94&lt;=0),"",H94+IF(AL94="",0,AL94)+IF(AN94="",0,AN94))</f>
        <v>1800</v>
      </c>
      <c r="AQ94" s="5">
        <f>IF(A94="","",IF(M94&lt;&gt;"",0,IF(OR(H94="",N94=""),"",MAX(E94-MAX(N94,IFERROR(SUMPRODUCT(MAX(((持仓跟踪!$A$2:$A$157="每日跟踪")*(持仓跟踪!$B$2:$B$157=A94))*持仓跟踪!$S$2:$S$157)),0)),0)*H94+IF(OR(AK94="",AL94=""),0,MAX(AK94-MAX(N94,IFERROR(SUMPRODUCT(MAX(((持仓跟踪!$A$2:$A$157="每日跟踪")*(持仓跟踪!$B$2:$B$157=A94))*持仓跟踪!$S$2:$S$157)),0)),0)*AL94)+IF(OR(AM94="",AN94=""),0,MAX(AM94-MAX(N94,IFERROR(SUMPRODUCT(MAX(((持仓跟踪!$A$2:$A$157="每日跟踪")*(持仓跟踪!$B$2:$B$157=A94))*持仓跟踪!$S$2:$S$157)),0)),0)*AN94))))</f>
        <v>0</v>
      </c>
      <c r="AR94" s="8" t="str">
        <f ca="1">IF(A94="","",IF(OR(E94="",H94=""),"违规：第一批价格或股数缺失",IF(OR(AND(AK94="",AL94&lt;&gt;""),AND(AK94&lt;&gt;"",AL94="")),"违规：第二批价格与股数须成对填写",IF(OR(AND(AM94="",AN94&lt;&gt;""),AND(AM94&lt;&gt;"",AN94="")),"违规：第三批价格与股数须成对填写",IF(AND(OR(AM94&lt;&gt;"",AN94&lt;&gt;""),OR(AK94="",AL94="")),"违规：必须先完成第二批",IF(OR(H94&lt;=0,H94&lt;&gt;INT(H94),MOD(H94,100)&lt;&gt;0,AND(AL94&lt;&gt;"",OR(AL94&lt;=0,AL94&lt;&gt;INT(AL94),MOD(AL94,100)&lt;&gt;0)),AND(AN94&lt;&gt;"",OR(AN94&lt;=0,AN94&lt;&gt;INT(AN94),MOD(AN94,100)&lt;&gt;0))),"违规：股数须为100股整数倍",IF(AND(OR(AL94&lt;&gt;"",AN94&lt;&gt;""),OR(_LockStatus="已锁仓",_LockStatus="解锁信息不完整")),"违规：锁仓期间禁止加仓",IF(AQ94&gt;C94*D94,"违规：超过单笔风险上限",IF(SUM($AQ$2:$AQ$201)&gt;账户数据!$B$7,"违规：超过账户风险上限","通过")))))))))</f>
        <v>通过</v>
      </c>
    </row>
    <row r="95" ht="17" spans="1:44">
      <c r="A95" s="2">
        <v>94</v>
      </c>
      <c r="B95" s="2" t="s">
        <v>69</v>
      </c>
      <c r="C95" s="10">
        <v>248515</v>
      </c>
      <c r="D95" s="6">
        <v>0.02</v>
      </c>
      <c r="E95" s="10">
        <v>85.06</v>
      </c>
      <c r="F95" s="8">
        <f>IF(OR(C95="",D95="",E95="",N95="",C95&lt;=0,D95&lt;=0,E95&lt;=N95),"",ROUNDDOWN((C95*D95)/(E95-N95)/100,0)*100)</f>
        <v>900</v>
      </c>
      <c r="G95" s="8" t="str">
        <f>IF(OR(A95="",F95="",E95="",N95="",E95&lt;=N95,账户数据!$B$7=""),"",IF(账户数据!$B$9+IF(H95="",F95*(E95-N95),0)&gt;=账户数据!$B$7,"禁止开仓","允许开仓"))</f>
        <v>允许开仓</v>
      </c>
      <c r="H95" s="2">
        <v>900</v>
      </c>
      <c r="I95" s="13">
        <v>44407</v>
      </c>
      <c r="J95" s="10">
        <v>100</v>
      </c>
      <c r="K95" s="5">
        <v>85.04</v>
      </c>
      <c r="L95" s="8">
        <f>IF(K95="","",H95)</f>
        <v>900</v>
      </c>
      <c r="M95" s="18">
        <v>44441</v>
      </c>
      <c r="N95" s="10">
        <v>80</v>
      </c>
      <c r="O95" s="10"/>
      <c r="P95" s="5" t="str">
        <f>IF(A95="","",IFERROR(LOOKUP(2,1/((持仓跟踪!$B$2:$B$157=A95)*(持仓跟踪!$X$2:$X$157="执行卖出")*(持仓跟踪!$AA$2:$AA$157&lt;&gt;"")),持仓跟踪!$AA$2:$AA$157),""))</f>
        <v/>
      </c>
      <c r="Q95" s="2"/>
      <c r="R95" s="2"/>
      <c r="S95" s="2"/>
      <c r="T95" s="2"/>
      <c r="U95" s="7">
        <f>IF(OR(E95="",J95="",E95&lt;=0),"",(J95-E95)/E95)</f>
        <v>0.175640724194686</v>
      </c>
      <c r="V95" s="7">
        <f>IF(OR(E95="",N95="",E95&lt;=0),"",(E95-N95)/E95)</f>
        <v>0.0594874206442511</v>
      </c>
      <c r="W95" s="19">
        <f>IF(OR(U95="",V95="",V95&lt;=0),"",U95/V95)</f>
        <v>2.95256916996047</v>
      </c>
      <c r="X95" s="5">
        <f>IF(OR(K95="",L95="",E95="",H95=""),"",K95*L95-E95*H95-IF(O95="",0,O95)-IF(P95="",0,P95))</f>
        <v>-18</v>
      </c>
      <c r="Y95" s="7">
        <f>IF(OR(X95="",E95="",H95=""),"",IF(E95*H95+IF(O95="",0,O95)&lt;=0,"",X95/(E95*H95+IF(O95="",0,O95))))</f>
        <v>-0.000235128144838937</v>
      </c>
      <c r="Z95" s="7">
        <f>IF(OR(AE95="",多次统计数据!$B$8=""),"",AE95-多次统计数据!$B$8)</f>
        <v>-0.0726210571585604</v>
      </c>
      <c r="AA95" s="11">
        <f>IF(OR(I95="",M95="",M95&lt;I95),"",M95-I95)</f>
        <v>34</v>
      </c>
      <c r="AB95" s="7">
        <f>IF(OR(A95="",多次统计数据!$B$8="",多次统计数据!$B$6&lt;=0,多次统计数据!$B$6&gt;=1),"",1-POWER(1+多次统计数据!$B$8,-多次统计数据!$B$6/(1-多次统计数据!$B$6)))</f>
        <v>0.0530166567311223</v>
      </c>
      <c r="AC95" s="8" t="str">
        <f>IF(OR(AB95="",多次统计数据!$B$9=""),"",IF(多次统计数据!$B$9&lt;AB95,"低于上限","达到或超过上限"))</f>
        <v>低于上限</v>
      </c>
      <c r="AD95" s="2"/>
      <c r="AE95" s="7">
        <f>IF(OR(X95="",C95="",C95&lt;=0),"",X95/C95)</f>
        <v>-7.24302355994608e-5</v>
      </c>
      <c r="AG95" s="2"/>
      <c r="AH95" s="2"/>
      <c r="AI95" s="2"/>
      <c r="AJ95" s="8" t="str">
        <f>IF(OR(AG95="",AH95=""),"",IF(OR(AND(AG95="短期博反弹",OR(AH95="1～3个交易日",AH95="4～10个交易日")),AND(AG95="突破冲新高",OR(AH95="4～10个交易日",AH95="11～20个交易日")),AND(AG95="趋势波段",OR(AH95="11～20个交易日",AH95="21～60个交易日",AH95="60个交易日以上"))),"匹配","周期与交易预期不匹配，请重新确认"))</f>
        <v/>
      </c>
      <c r="AK95" s="10"/>
      <c r="AL95" s="12"/>
      <c r="AM95" s="10"/>
      <c r="AN95" s="12"/>
      <c r="AO95" s="5">
        <f>IF(OR(A95="",H95="",H95&lt;=0),"",(E95*H95+IF(AND(AK95&lt;&gt;"",AL95&lt;&gt;""),AK95*AL95,0)+IF(AND(AM95&lt;&gt;"",AN95&lt;&gt;""),AM95*AN95,0))/AP95)</f>
        <v>85.06</v>
      </c>
      <c r="AP95" s="11">
        <f>IF(OR(A95="",H95="",H95&lt;=0),"",H95+IF(AL95="",0,AL95)+IF(AN95="",0,AN95))</f>
        <v>900</v>
      </c>
      <c r="AQ95" s="5">
        <f>IF(A95="","",IF(M95&lt;&gt;"",0,IF(OR(H95="",N95=""),"",MAX(E95-MAX(N95,IFERROR(SUMPRODUCT(MAX(((持仓跟踪!$A$2:$A$157="每日跟踪")*(持仓跟踪!$B$2:$B$157=A95))*持仓跟踪!$S$2:$S$157)),0)),0)*H95+IF(OR(AK95="",AL95=""),0,MAX(AK95-MAX(N95,IFERROR(SUMPRODUCT(MAX(((持仓跟踪!$A$2:$A$157="每日跟踪")*(持仓跟踪!$B$2:$B$157=A95))*持仓跟踪!$S$2:$S$157)),0)),0)*AL95)+IF(OR(AM95="",AN95=""),0,MAX(AM95-MAX(N95,IFERROR(SUMPRODUCT(MAX(((持仓跟踪!$A$2:$A$157="每日跟踪")*(持仓跟踪!$B$2:$B$157=A95))*持仓跟踪!$S$2:$S$157)),0)),0)*AN95))))</f>
        <v>0</v>
      </c>
      <c r="AR95" s="8" t="str">
        <f ca="1">IF(A95="","",IF(OR(E95="",H95=""),"违规：第一批价格或股数缺失",IF(OR(AND(AK95="",AL95&lt;&gt;""),AND(AK95&lt;&gt;"",AL95="")),"违规：第二批价格与股数须成对填写",IF(OR(AND(AM95="",AN95&lt;&gt;""),AND(AM95&lt;&gt;"",AN95="")),"违规：第三批价格与股数须成对填写",IF(AND(OR(AM95&lt;&gt;"",AN95&lt;&gt;""),OR(AK95="",AL95="")),"违规：必须先完成第二批",IF(OR(H95&lt;=0,H95&lt;&gt;INT(H95),MOD(H95,100)&lt;&gt;0,AND(AL95&lt;&gt;"",OR(AL95&lt;=0,AL95&lt;&gt;INT(AL95),MOD(AL95,100)&lt;&gt;0)),AND(AN95&lt;&gt;"",OR(AN95&lt;=0,AN95&lt;&gt;INT(AN95),MOD(AN95,100)&lt;&gt;0))),"违规：股数须为100股整数倍",IF(AND(OR(AL95&lt;&gt;"",AN95&lt;&gt;""),OR(_LockStatus="已锁仓",_LockStatus="解锁信息不完整")),"违规：锁仓期间禁止加仓",IF(AQ95&gt;C95*D95,"违规：超过单笔风险上限",IF(SUM($AQ$2:$AQ$201)&gt;账户数据!$B$7,"违规：超过账户风险上限","通过")))))))))</f>
        <v>通过</v>
      </c>
    </row>
    <row r="96" ht="17" spans="1:44">
      <c r="A96" s="2">
        <v>95</v>
      </c>
      <c r="B96" s="2" t="s">
        <v>69</v>
      </c>
      <c r="C96" s="10">
        <v>248497</v>
      </c>
      <c r="D96" s="6">
        <v>0.02</v>
      </c>
      <c r="E96" s="10">
        <v>89.4</v>
      </c>
      <c r="F96" s="8">
        <f>IF(OR(C96="",D96="",E96="",N96="",C96&lt;=0,D96&lt;=0,E96&lt;=N96),"",ROUNDDOWN((C96*D96)/(E96-N96)/100,0)*100)</f>
        <v>1100</v>
      </c>
      <c r="G96" s="8" t="str">
        <f>IF(OR(A96="",F96="",E96="",N96="",E96&lt;=N96,账户数据!$B$7=""),"",IF(账户数据!$B$9+IF(H96="",F96*(E96-N96),0)&gt;=账户数据!$B$7,"禁止开仓","允许开仓"))</f>
        <v>允许开仓</v>
      </c>
      <c r="H96" s="2">
        <v>1100</v>
      </c>
      <c r="I96" s="13">
        <v>44445</v>
      </c>
      <c r="J96" s="10">
        <v>100</v>
      </c>
      <c r="K96" s="5">
        <v>83.99</v>
      </c>
      <c r="L96" s="8">
        <f>IF(K96="","",H96)</f>
        <v>1100</v>
      </c>
      <c r="M96" s="18">
        <v>44452</v>
      </c>
      <c r="N96" s="10">
        <v>85</v>
      </c>
      <c r="O96" s="10"/>
      <c r="P96" s="5" t="str">
        <f>IF(A96="","",IFERROR(LOOKUP(2,1/((持仓跟踪!$B$2:$B$157=A96)*(持仓跟踪!$X$2:$X$157="执行卖出")*(持仓跟踪!$AA$2:$AA$157&lt;&gt;"")),持仓跟踪!$AA$2:$AA$157),""))</f>
        <v/>
      </c>
      <c r="Q96" s="2"/>
      <c r="R96" s="2"/>
      <c r="S96" s="2"/>
      <c r="T96" s="2"/>
      <c r="U96" s="7">
        <f>IF(OR(E96="",J96="",E96&lt;=0),"",(J96-E96)/E96)</f>
        <v>0.118568232662192</v>
      </c>
      <c r="V96" s="7">
        <f>IF(OR(E96="",N96="",E96&lt;=0),"",(E96-N96)/E96)</f>
        <v>0.0492170022371365</v>
      </c>
      <c r="W96" s="19">
        <f>IF(OR(U96="",V96="",V96&lt;=0),"",U96/V96)</f>
        <v>2.4090909090909</v>
      </c>
      <c r="X96" s="5">
        <f>IF(OR(K96="",L96="",E96="",H96=""),"",K96*L96-E96*H96-IF(O96="",0,O96)-IF(P96="",0,P96))</f>
        <v>-5951</v>
      </c>
      <c r="Y96" s="7">
        <f>IF(OR(X96="",E96="",H96=""),"",IF(E96*H96+IF(O96="",0,O96)&lt;=0,"",X96/(E96*H96+IF(O96="",0,O96))))</f>
        <v>-0.0605145413870246</v>
      </c>
      <c r="Z96" s="7">
        <f>IF(OR(AE96="",多次统计数据!$B$8=""),"",AE96-多次统计数据!$B$8)</f>
        <v>-0.0964966021500261</v>
      </c>
      <c r="AA96" s="11">
        <f>IF(OR(I96="",M96="",M96&lt;I96),"",M96-I96)</f>
        <v>7</v>
      </c>
      <c r="AB96" s="7">
        <f>IF(OR(A96="",多次统计数据!$B$8="",多次统计数据!$B$6&lt;=0,多次统计数据!$B$6&gt;=1),"",1-POWER(1+多次统计数据!$B$8,-多次统计数据!$B$6/(1-多次统计数据!$B$6)))</f>
        <v>0.0530166567311223</v>
      </c>
      <c r="AC96" s="8" t="str">
        <f>IF(OR(AB96="",多次统计数据!$B$9=""),"",IF(多次统计数据!$B$9&lt;AB96,"低于上限","达到或超过上限"))</f>
        <v>低于上限</v>
      </c>
      <c r="AD96" s="2"/>
      <c r="AE96" s="7">
        <f>IF(OR(X96="",C96="",C96&lt;=0),"",X96/C96)</f>
        <v>-0.0239479752270651</v>
      </c>
      <c r="AG96" s="2"/>
      <c r="AH96" s="2"/>
      <c r="AI96" s="2"/>
      <c r="AJ96" s="8" t="str">
        <f>IF(OR(AG96="",AH96=""),"",IF(OR(AND(AG96="短期博反弹",OR(AH96="1～3个交易日",AH96="4～10个交易日")),AND(AG96="突破冲新高",OR(AH96="4～10个交易日",AH96="11～20个交易日")),AND(AG96="趋势波段",OR(AH96="11～20个交易日",AH96="21～60个交易日",AH96="60个交易日以上"))),"匹配","周期与交易预期不匹配，请重新确认"))</f>
        <v/>
      </c>
      <c r="AK96" s="10"/>
      <c r="AL96" s="12"/>
      <c r="AM96" s="10"/>
      <c r="AN96" s="12"/>
      <c r="AO96" s="5">
        <f>IF(OR(A96="",H96="",H96&lt;=0),"",(E96*H96+IF(AND(AK96&lt;&gt;"",AL96&lt;&gt;""),AK96*AL96,0)+IF(AND(AM96&lt;&gt;"",AN96&lt;&gt;""),AM96*AN96,0))/AP96)</f>
        <v>89.4</v>
      </c>
      <c r="AP96" s="11">
        <f>IF(OR(A96="",H96="",H96&lt;=0),"",H96+IF(AL96="",0,AL96)+IF(AN96="",0,AN96))</f>
        <v>1100</v>
      </c>
      <c r="AQ96" s="5">
        <f>IF(A96="","",IF(M96&lt;&gt;"",0,IF(OR(H96="",N96=""),"",MAX(E96-MAX(N96,IFERROR(SUMPRODUCT(MAX(((持仓跟踪!$A$2:$A$157="每日跟踪")*(持仓跟踪!$B$2:$B$157=A96))*持仓跟踪!$S$2:$S$157)),0)),0)*H96+IF(OR(AK96="",AL96=""),0,MAX(AK96-MAX(N96,IFERROR(SUMPRODUCT(MAX(((持仓跟踪!$A$2:$A$157="每日跟踪")*(持仓跟踪!$B$2:$B$157=A96))*持仓跟踪!$S$2:$S$157)),0)),0)*AL96)+IF(OR(AM96="",AN96=""),0,MAX(AM96-MAX(N96,IFERROR(SUMPRODUCT(MAX(((持仓跟踪!$A$2:$A$157="每日跟踪")*(持仓跟踪!$B$2:$B$157=A96))*持仓跟踪!$S$2:$S$157)),0)),0)*AN96))))</f>
        <v>0</v>
      </c>
      <c r="AR96" s="8" t="str">
        <f ca="1">IF(A96="","",IF(OR(E96="",H96=""),"违规：第一批价格或股数缺失",IF(OR(AND(AK96="",AL96&lt;&gt;""),AND(AK96&lt;&gt;"",AL96="")),"违规：第二批价格与股数须成对填写",IF(OR(AND(AM96="",AN96&lt;&gt;""),AND(AM96&lt;&gt;"",AN96="")),"违规：第三批价格与股数须成对填写",IF(AND(OR(AM96&lt;&gt;"",AN96&lt;&gt;""),OR(AK96="",AL96="")),"违规：必须先完成第二批",IF(OR(H96&lt;=0,H96&lt;&gt;INT(H96),MOD(H96,100)&lt;&gt;0,AND(AL96&lt;&gt;"",OR(AL96&lt;=0,AL96&lt;&gt;INT(AL96),MOD(AL96,100)&lt;&gt;0)),AND(AN96&lt;&gt;"",OR(AN96&lt;=0,AN96&lt;&gt;INT(AN96),MOD(AN96,100)&lt;&gt;0))),"违规：股数须为100股整数倍",IF(AND(OR(AL96&lt;&gt;"",AN96&lt;&gt;""),OR(_LockStatus="已锁仓",_LockStatus="解锁信息不完整")),"违规：锁仓期间禁止加仓",IF(AQ96&gt;C96*D96,"违规：超过单笔风险上限",IF(SUM($AQ$2:$AQ$201)&gt;账户数据!$B$7,"违规：超过账户风险上限","通过")))))))))</f>
        <v>通过</v>
      </c>
    </row>
    <row r="97" ht="17" spans="1:44">
      <c r="A97" s="2">
        <v>96</v>
      </c>
      <c r="B97" s="2" t="s">
        <v>69</v>
      </c>
      <c r="C97" s="10">
        <v>242546</v>
      </c>
      <c r="D97" s="6">
        <v>0.02</v>
      </c>
      <c r="E97" s="10">
        <v>96.87</v>
      </c>
      <c r="F97" s="8">
        <f>IF(OR(C97="",D97="",E97="",N97="",C97&lt;=0,D97&lt;=0,E97&lt;=N97),"",ROUNDDOWN((C97*D97)/(E97-N97)/100,0)*100)</f>
        <v>700</v>
      </c>
      <c r="G97" s="8" t="str">
        <f>IF(OR(A97="",F97="",E97="",N97="",E97&lt;=N97,账户数据!$B$7=""),"",IF(账户数据!$B$9+IF(H97="",F97*(E97-N97),0)&gt;=账户数据!$B$7,"禁止开仓","允许开仓"))</f>
        <v>允许开仓</v>
      </c>
      <c r="H97" s="2">
        <v>700</v>
      </c>
      <c r="I97" s="13">
        <v>44491</v>
      </c>
      <c r="J97" s="10">
        <v>110</v>
      </c>
      <c r="K97" s="5">
        <v>87.04</v>
      </c>
      <c r="L97" s="8">
        <f>IF(K97="","",H97)</f>
        <v>700</v>
      </c>
      <c r="M97" s="18">
        <v>44550</v>
      </c>
      <c r="N97" s="10">
        <v>90</v>
      </c>
      <c r="O97" s="10"/>
      <c r="P97" s="5" t="str">
        <f>IF(A97="","",IFERROR(LOOKUP(2,1/((持仓跟踪!$B$2:$B$157=A97)*(持仓跟踪!$X$2:$X$157="执行卖出")*(持仓跟踪!$AA$2:$AA$157&lt;&gt;"")),持仓跟踪!$AA$2:$AA$157),""))</f>
        <v/>
      </c>
      <c r="Q97" s="2"/>
      <c r="R97" s="2"/>
      <c r="S97" s="2"/>
      <c r="T97" s="2"/>
      <c r="U97" s="7">
        <f>IF(OR(E97="",J97="",E97&lt;=0),"",(J97-E97)/E97)</f>
        <v>0.135542479611851</v>
      </c>
      <c r="V97" s="7">
        <f>IF(OR(E97="",N97="",E97&lt;=0),"",(E97-N97)/E97)</f>
        <v>0.0709197894084856</v>
      </c>
      <c r="W97" s="19">
        <f>IF(OR(U97="",V97="",V97&lt;=0),"",U97/V97)</f>
        <v>1.91120815138282</v>
      </c>
      <c r="X97" s="5">
        <f>IF(OR(K97="",L97="",E97="",H97=""),"",K97*L97-E97*H97-IF(O97="",0,O97)-IF(P97="",0,P97))</f>
        <v>-6880.99999999999</v>
      </c>
      <c r="Y97" s="7">
        <f>IF(OR(X97="",E97="",H97=""),"",IF(E97*H97+IF(O97="",0,O97)&lt;=0,"",X97/(E97*H97+IF(O97="",0,O97))))</f>
        <v>-0.101476205223495</v>
      </c>
      <c r="Z97" s="7">
        <f>IF(OR(AE97="",多次统计数据!$B$8=""),"",AE97-多次统计数据!$B$8)</f>
        <v>-0.100918503152625</v>
      </c>
      <c r="AA97" s="11">
        <f>IF(OR(I97="",M97="",M97&lt;I97),"",M97-I97)</f>
        <v>59</v>
      </c>
      <c r="AB97" s="7">
        <f>IF(OR(A97="",多次统计数据!$B$8="",多次统计数据!$B$6&lt;=0,多次统计数据!$B$6&gt;=1),"",1-POWER(1+多次统计数据!$B$8,-多次统计数据!$B$6/(1-多次统计数据!$B$6)))</f>
        <v>0.0530166567311223</v>
      </c>
      <c r="AC97" s="8" t="str">
        <f>IF(OR(AB97="",多次统计数据!$B$9=""),"",IF(多次统计数据!$B$9&lt;AB97,"低于上限","达到或超过上限"))</f>
        <v>低于上限</v>
      </c>
      <c r="AD97" s="2"/>
      <c r="AE97" s="7">
        <f>IF(OR(X97="",C97="",C97&lt;=0),"",X97/C97)</f>
        <v>-0.0283698762296636</v>
      </c>
      <c r="AG97" s="2"/>
      <c r="AH97" s="2"/>
      <c r="AI97" s="2"/>
      <c r="AJ97" s="8" t="str">
        <f>IF(OR(AG97="",AH97=""),"",IF(OR(AND(AG97="短期博反弹",OR(AH97="1～3个交易日",AH97="4～10个交易日")),AND(AG97="突破冲新高",OR(AH97="4～10个交易日",AH97="11～20个交易日")),AND(AG97="趋势波段",OR(AH97="11～20个交易日",AH97="21～60个交易日",AH97="60个交易日以上"))),"匹配","周期与交易预期不匹配，请重新确认"))</f>
        <v/>
      </c>
      <c r="AK97" s="10"/>
      <c r="AL97" s="12"/>
      <c r="AM97" s="10"/>
      <c r="AN97" s="12"/>
      <c r="AO97" s="5">
        <f>IF(OR(A97="",H97="",H97&lt;=0),"",(E97*H97+IF(AND(AK97&lt;&gt;"",AL97&lt;&gt;""),AK97*AL97,0)+IF(AND(AM97&lt;&gt;"",AN97&lt;&gt;""),AM97*AN97,0))/AP97)</f>
        <v>96.87</v>
      </c>
      <c r="AP97" s="11">
        <f>IF(OR(A97="",H97="",H97&lt;=0),"",H97+IF(AL97="",0,AL97)+IF(AN97="",0,AN97))</f>
        <v>700</v>
      </c>
      <c r="AQ97" s="5">
        <f>IF(A97="","",IF(M97&lt;&gt;"",0,IF(OR(H97="",N97=""),"",MAX(E97-MAX(N97,IFERROR(SUMPRODUCT(MAX(((持仓跟踪!$A$2:$A$157="每日跟踪")*(持仓跟踪!$B$2:$B$157=A97))*持仓跟踪!$S$2:$S$157)),0)),0)*H97+IF(OR(AK97="",AL97=""),0,MAX(AK97-MAX(N97,IFERROR(SUMPRODUCT(MAX(((持仓跟踪!$A$2:$A$157="每日跟踪")*(持仓跟踪!$B$2:$B$157=A97))*持仓跟踪!$S$2:$S$157)),0)),0)*AL97)+IF(OR(AM97="",AN97=""),0,MAX(AM97-MAX(N97,IFERROR(SUMPRODUCT(MAX(((持仓跟踪!$A$2:$A$157="每日跟踪")*(持仓跟踪!$B$2:$B$157=A97))*持仓跟踪!$S$2:$S$157)),0)),0)*AN97))))</f>
        <v>0</v>
      </c>
      <c r="AR97" s="8" t="str">
        <f ca="1">IF(A97="","",IF(OR(E97="",H97=""),"违规：第一批价格或股数缺失",IF(OR(AND(AK97="",AL97&lt;&gt;""),AND(AK97&lt;&gt;"",AL97="")),"违规：第二批价格与股数须成对填写",IF(OR(AND(AM97="",AN97&lt;&gt;""),AND(AM97&lt;&gt;"",AN97="")),"违规：第三批价格与股数须成对填写",IF(AND(OR(AM97&lt;&gt;"",AN97&lt;&gt;""),OR(AK97="",AL97="")),"违规：必须先完成第二批",IF(OR(H97&lt;=0,H97&lt;&gt;INT(H97),MOD(H97,100)&lt;&gt;0,AND(AL97&lt;&gt;"",OR(AL97&lt;=0,AL97&lt;&gt;INT(AL97),MOD(AL97,100)&lt;&gt;0)),AND(AN97&lt;&gt;"",OR(AN97&lt;=0,AN97&lt;&gt;INT(AN97),MOD(AN97,100)&lt;&gt;0))),"违规：股数须为100股整数倍",IF(AND(OR(AL97&lt;&gt;"",AN97&lt;&gt;""),OR(_LockStatus="已锁仓",_LockStatus="解锁信息不完整")),"违规：锁仓期间禁止加仓",IF(AQ97&gt;C97*D97,"违规：超过单笔风险上限",IF(SUM($AQ$2:$AQ$201)&gt;账户数据!$B$7,"违规：超过账户风险上限","通过")))))))))</f>
        <v>通过</v>
      </c>
    </row>
    <row r="98" ht="34" spans="1:44">
      <c r="A98" s="2">
        <v>97</v>
      </c>
      <c r="B98" s="2" t="s">
        <v>69</v>
      </c>
      <c r="C98" s="10">
        <v>235665</v>
      </c>
      <c r="D98" s="6">
        <v>0.02</v>
      </c>
      <c r="E98" s="10"/>
      <c r="F98" s="8" t="str">
        <f>IF(OR(C98="",D98="",E98="",N98="",C98&lt;=0,D98&lt;=0,E98&lt;=N98),"",ROUNDDOWN((C98*D98)/(E98-N98)/100,0)*100)</f>
        <v/>
      </c>
      <c r="G98" s="8" t="str">
        <f>IF(OR(A98="",F98="",E98="",N98="",E98&lt;=N98,账户数据!$B$7=""),"",IF(账户数据!$B$9+IF(H98="",F98*(E98-N98),0)&gt;=账户数据!$B$7,"禁止开仓","允许开仓"))</f>
        <v/>
      </c>
      <c r="H98" s="2"/>
      <c r="I98" s="13"/>
      <c r="J98" s="10"/>
      <c r="K98" s="5" t="str">
        <f>IF(A98="","",IFERROR(LOOKUP(2,1/((持仓跟踪!$B$2:$B$157=A98)*(持仓跟踪!$X$2:$X$157="执行卖出")*(持仓跟踪!$Y$2:$Y$157&lt;&gt;"")),持仓跟踪!$Y$2:$Y$157),""))</f>
        <v/>
      </c>
      <c r="L98" s="8" t="str">
        <f>IF(K98="","",H98)</f>
        <v/>
      </c>
      <c r="M98" s="18" t="str">
        <f>IF(A98="","",IFERROR(LOOKUP(2,1/((持仓跟踪!$B$2:$B$157=A98)*(持仓跟踪!$X$2:$X$157="执行卖出")*(持仓跟踪!$H$2:$H$157&lt;&gt;"")),持仓跟踪!$H$2:$H$157),""))</f>
        <v/>
      </c>
      <c r="N98" s="10"/>
      <c r="O98" s="10"/>
      <c r="P98" s="5" t="str">
        <f>IF(A98="","",IFERROR(LOOKUP(2,1/((持仓跟踪!$B$2:$B$157=A98)*(持仓跟踪!$X$2:$X$157="执行卖出")*(持仓跟踪!$AA$2:$AA$157&lt;&gt;"")),持仓跟踪!$AA$2:$AA$157),""))</f>
        <v/>
      </c>
      <c r="Q98" s="2"/>
      <c r="R98" s="2"/>
      <c r="S98" s="2"/>
      <c r="T98" s="2"/>
      <c r="U98" s="7" t="str">
        <f>IF(OR(E98="",J98="",E98&lt;=0),"",(J98-E98)/E98)</f>
        <v/>
      </c>
      <c r="V98" s="7" t="str">
        <f>IF(OR(E98="",N98="",E98&lt;=0),"",(E98-N98)/E98)</f>
        <v/>
      </c>
      <c r="W98" s="19" t="str">
        <f>IF(OR(U98="",V98="",V98&lt;=0),"",U98/V98)</f>
        <v/>
      </c>
      <c r="X98" s="5" t="str">
        <f>IF(OR(K98="",L98="",E98="",H98=""),"",K98*L98-E98*H98-IF(O98="",0,O98)-IF(P98="",0,P98))</f>
        <v/>
      </c>
      <c r="Y98" s="7" t="str">
        <f>IF(OR(X98="",E98="",H98=""),"",IF(E98*H98+IF(O98="",0,O98)&lt;=0,"",X98/(E98*H98+IF(O98="",0,O98))))</f>
        <v/>
      </c>
      <c r="Z98" s="7" t="str">
        <f>IF(OR(AE98="",多次统计数据!$B$8=""),"",AE98-多次统计数据!$B$8)</f>
        <v/>
      </c>
      <c r="AA98" s="11" t="str">
        <f>IF(OR(I98="",M98="",M98&lt;I98),"",M98-I98)</f>
        <v/>
      </c>
      <c r="AB98" s="7">
        <f>IF(OR(A98="",多次统计数据!$B$8="",多次统计数据!$B$6&lt;=0,多次统计数据!$B$6&gt;=1),"",1-POWER(1+多次统计数据!$B$8,-多次统计数据!$B$6/(1-多次统计数据!$B$6)))</f>
        <v>0.0530166567311223</v>
      </c>
      <c r="AC98" s="8" t="str">
        <f>IF(OR(AB98="",多次统计数据!$B$9=""),"",IF(多次统计数据!$B$9&lt;AB98,"低于上限","达到或超过上限"))</f>
        <v>低于上限</v>
      </c>
      <c r="AD98" s="2"/>
      <c r="AE98" s="7" t="str">
        <f>IF(OR(X98="",C98="",C98&lt;=0),"",X98/C98)</f>
        <v/>
      </c>
      <c r="AG98" s="2"/>
      <c r="AH98" s="2"/>
      <c r="AI98" s="2"/>
      <c r="AJ98" s="8" t="str">
        <f>IF(OR(AG98="",AH98=""),"",IF(OR(AND(AG98="短期博反弹",OR(AH98="1～3个交易日",AH98="4～10个交易日")),AND(AG98="突破冲新高",OR(AH98="4～10个交易日",AH98="11～20个交易日")),AND(AG98="趋势波段",OR(AH98="11～20个交易日",AH98="21～60个交易日",AH98="60个交易日以上"))),"匹配","周期与交易预期不匹配，请重新确认"))</f>
        <v/>
      </c>
      <c r="AK98" s="10"/>
      <c r="AL98" s="12"/>
      <c r="AM98" s="10"/>
      <c r="AN98" s="12"/>
      <c r="AO98" s="5" t="str">
        <f>IF(OR(A98="",H98="",H98&lt;=0),"",(E98*H98+IF(AND(AK98&lt;&gt;"",AL98&lt;&gt;""),AK98*AL98,0)+IF(AND(AM98&lt;&gt;"",AN98&lt;&gt;""),AM98*AN98,0))/AP98)</f>
        <v/>
      </c>
      <c r="AP98" s="11" t="str">
        <f>IF(OR(A98="",H98="",H98&lt;=0),"",H98+IF(AL98="",0,AL98)+IF(AN98="",0,AN98))</f>
        <v/>
      </c>
      <c r="AQ98" s="5" t="str">
        <f>IF(A98="","",IF(M98&lt;&gt;"",0,IF(OR(H98="",N98=""),"",MAX(E98-MAX(N98,IFERROR(SUMPRODUCT(MAX(((持仓跟踪!$A$2:$A$157="每日跟踪")*(持仓跟踪!$B$2:$B$157=A98))*持仓跟踪!$S$2:$S$157)),0)),0)*H98+IF(OR(AK98="",AL98=""),0,MAX(AK98-MAX(N98,IFERROR(SUMPRODUCT(MAX(((持仓跟踪!$A$2:$A$157="每日跟踪")*(持仓跟踪!$B$2:$B$157=A98))*持仓跟踪!$S$2:$S$157)),0)),0)*AL98)+IF(OR(AM98="",AN98=""),0,MAX(AM98-MAX(N98,IFERROR(SUMPRODUCT(MAX(((持仓跟踪!$A$2:$A$157="每日跟踪")*(持仓跟踪!$B$2:$B$157=A98))*持仓跟踪!$S$2:$S$157)),0)),0)*AN98))))</f>
        <v/>
      </c>
      <c r="AR98" s="8" t="str">
        <f ca="1">IF(A98="","",IF(OR(E98="",H98=""),"违规：第一批价格或股数缺失",IF(OR(AND(AK98="",AL98&lt;&gt;""),AND(AK98&lt;&gt;"",AL98="")),"违规：第二批价格与股数须成对填写",IF(OR(AND(AM98="",AN98&lt;&gt;""),AND(AM98&lt;&gt;"",AN98="")),"违规：第三批价格与股数须成对填写",IF(AND(OR(AM98&lt;&gt;"",AN98&lt;&gt;""),OR(AK98="",AL98="")),"违规：必须先完成第二批",IF(OR(H98&lt;=0,H98&lt;&gt;INT(H98),MOD(H98,100)&lt;&gt;0,AND(AL98&lt;&gt;"",OR(AL98&lt;=0,AL98&lt;&gt;INT(AL98),MOD(AL98,100)&lt;&gt;0)),AND(AN98&lt;&gt;"",OR(AN98&lt;=0,AN98&lt;&gt;INT(AN98),MOD(AN98,100)&lt;&gt;0))),"违规：股数须为100股整数倍",IF(AND(OR(AL98&lt;&gt;"",AN98&lt;&gt;""),OR(_LockStatus="已锁仓",_LockStatus="解锁信息不完整")),"违规：锁仓期间禁止加仓",IF(AQ98&gt;C98*D98,"违规：超过单笔风险上限",IF(SUM($AQ$2:$AQ$201)&gt;账户数据!$B$7,"违规：超过账户风险上限","通过")))))))))</f>
        <v>违规：第一批价格或股数缺失</v>
      </c>
    </row>
    <row r="99" spans="1:44">
      <c r="A99" s="2"/>
      <c r="B99" s="2"/>
      <c r="C99" s="10"/>
      <c r="D99" s="6"/>
      <c r="E99" s="10"/>
      <c r="F99" s="8"/>
      <c r="G99" s="8"/>
      <c r="H99" s="2"/>
      <c r="I99" s="13"/>
      <c r="J99" s="10"/>
      <c r="K99" s="5"/>
      <c r="L99" s="8"/>
      <c r="M99" s="18"/>
      <c r="N99" s="10"/>
      <c r="O99" s="10"/>
      <c r="P99" s="5"/>
      <c r="Q99" s="2"/>
      <c r="R99" s="2"/>
      <c r="S99" s="2"/>
      <c r="T99" s="2"/>
      <c r="U99" s="7"/>
      <c r="V99" s="7"/>
      <c r="W99" s="19"/>
      <c r="X99" s="5"/>
      <c r="Y99" s="7"/>
      <c r="Z99" s="7"/>
      <c r="AA99" s="11"/>
      <c r="AB99" s="7"/>
      <c r="AC99" s="8"/>
      <c r="AD99" s="2"/>
      <c r="AE99" s="7"/>
      <c r="AG99" s="2"/>
      <c r="AH99" s="2"/>
      <c r="AI99" s="2"/>
      <c r="AJ99" s="8"/>
      <c r="AK99" s="10"/>
      <c r="AL99" s="12"/>
      <c r="AM99" s="10"/>
      <c r="AN99" s="12"/>
      <c r="AO99" s="5"/>
      <c r="AP99" s="11"/>
      <c r="AQ99" s="5"/>
      <c r="AR99" s="8"/>
    </row>
    <row r="100" spans="1:44">
      <c r="A100" s="2"/>
      <c r="B100" s="2"/>
      <c r="C100" s="10"/>
      <c r="D100" s="6"/>
      <c r="E100" s="10"/>
      <c r="F100" s="8"/>
      <c r="G100" s="8"/>
      <c r="H100" s="2"/>
      <c r="I100" s="13"/>
      <c r="J100" s="10"/>
      <c r="K100" s="5"/>
      <c r="L100" s="8"/>
      <c r="M100" s="18"/>
      <c r="N100" s="10"/>
      <c r="O100" s="10"/>
      <c r="P100" s="5"/>
      <c r="Q100" s="2"/>
      <c r="R100" s="2"/>
      <c r="S100" s="2"/>
      <c r="T100" s="2"/>
      <c r="U100" s="7"/>
      <c r="V100" s="7"/>
      <c r="W100" s="19"/>
      <c r="X100" s="5"/>
      <c r="Y100" s="7"/>
      <c r="Z100" s="7"/>
      <c r="AA100" s="11"/>
      <c r="AB100" s="7"/>
      <c r="AC100" s="8"/>
      <c r="AD100" s="2"/>
      <c r="AE100" s="7"/>
      <c r="AG100" s="2"/>
      <c r="AH100" s="2"/>
      <c r="AI100" s="2"/>
      <c r="AJ100" s="8"/>
      <c r="AK100" s="10"/>
      <c r="AL100" s="12"/>
      <c r="AM100" s="10"/>
      <c r="AN100" s="12"/>
      <c r="AO100" s="5"/>
      <c r="AP100" s="11"/>
      <c r="AQ100" s="5"/>
      <c r="AR100" s="8"/>
    </row>
    <row r="101" spans="1:44">
      <c r="A101" s="2"/>
      <c r="B101" s="2"/>
      <c r="C101" s="10"/>
      <c r="D101" s="6"/>
      <c r="E101" s="10"/>
      <c r="F101" s="8"/>
      <c r="G101" s="8"/>
      <c r="H101" s="2"/>
      <c r="I101" s="13"/>
      <c r="J101" s="10"/>
      <c r="K101" s="5"/>
      <c r="L101" s="8"/>
      <c r="M101" s="18"/>
      <c r="N101" s="10"/>
      <c r="O101" s="10"/>
      <c r="P101" s="5"/>
      <c r="Q101" s="2"/>
      <c r="R101" s="2"/>
      <c r="S101" s="2"/>
      <c r="T101" s="2"/>
      <c r="U101" s="7"/>
      <c r="V101" s="7"/>
      <c r="W101" s="19"/>
      <c r="X101" s="5"/>
      <c r="Y101" s="7"/>
      <c r="Z101" s="7"/>
      <c r="AA101" s="11"/>
      <c r="AB101" s="7"/>
      <c r="AC101" s="8"/>
      <c r="AD101" s="2"/>
      <c r="AE101" s="7"/>
      <c r="AG101" s="2"/>
      <c r="AH101" s="2"/>
      <c r="AI101" s="2"/>
      <c r="AJ101" s="8"/>
      <c r="AK101" s="10"/>
      <c r="AL101" s="12"/>
      <c r="AM101" s="10"/>
      <c r="AN101" s="12"/>
      <c r="AO101" s="5"/>
      <c r="AP101" s="11"/>
      <c r="AQ101" s="5"/>
      <c r="AR101" s="8"/>
    </row>
    <row r="102" spans="1:44">
      <c r="A102" s="2"/>
      <c r="B102" s="2"/>
      <c r="C102" s="10"/>
      <c r="D102" s="6"/>
      <c r="E102" s="10"/>
      <c r="F102" s="8"/>
      <c r="G102" s="8"/>
      <c r="H102" s="2"/>
      <c r="I102" s="13"/>
      <c r="J102" s="10"/>
      <c r="K102" s="5"/>
      <c r="L102" s="8"/>
      <c r="M102" s="18"/>
      <c r="N102" s="10"/>
      <c r="O102" s="10"/>
      <c r="P102" s="5"/>
      <c r="Q102" s="2"/>
      <c r="R102" s="2"/>
      <c r="S102" s="2"/>
      <c r="T102" s="2"/>
      <c r="U102" s="7"/>
      <c r="V102" s="7"/>
      <c r="W102" s="19"/>
      <c r="X102" s="5"/>
      <c r="Y102" s="7"/>
      <c r="Z102" s="7"/>
      <c r="AA102" s="11"/>
      <c r="AB102" s="7"/>
      <c r="AC102" s="8"/>
      <c r="AD102" s="2"/>
      <c r="AE102" s="7"/>
      <c r="AG102" s="2"/>
      <c r="AH102" s="2"/>
      <c r="AI102" s="2"/>
      <c r="AJ102" s="8"/>
      <c r="AK102" s="10"/>
      <c r="AL102" s="12"/>
      <c r="AM102" s="10"/>
      <c r="AN102" s="12"/>
      <c r="AO102" s="5"/>
      <c r="AP102" s="11"/>
      <c r="AQ102" s="5"/>
      <c r="AR102" s="8"/>
    </row>
    <row r="103" spans="1:44">
      <c r="A103" s="2"/>
      <c r="B103" s="2"/>
      <c r="C103" s="10"/>
      <c r="D103" s="6"/>
      <c r="E103" s="10"/>
      <c r="F103" s="8"/>
      <c r="G103" s="8"/>
      <c r="H103" s="2"/>
      <c r="I103" s="13"/>
      <c r="J103" s="10"/>
      <c r="K103" s="5"/>
      <c r="L103" s="8"/>
      <c r="M103" s="18"/>
      <c r="N103" s="10"/>
      <c r="O103" s="10"/>
      <c r="P103" s="5"/>
      <c r="Q103" s="2"/>
      <c r="R103" s="2"/>
      <c r="S103" s="2"/>
      <c r="T103" s="2"/>
      <c r="U103" s="7"/>
      <c r="V103" s="7"/>
      <c r="W103" s="19"/>
      <c r="X103" s="5"/>
      <c r="Y103" s="7"/>
      <c r="Z103" s="7"/>
      <c r="AA103" s="11"/>
      <c r="AB103" s="7"/>
      <c r="AC103" s="8"/>
      <c r="AD103" s="2"/>
      <c r="AE103" s="7"/>
      <c r="AG103" s="2"/>
      <c r="AH103" s="2"/>
      <c r="AI103" s="2"/>
      <c r="AJ103" s="8"/>
      <c r="AK103" s="10"/>
      <c r="AL103" s="12"/>
      <c r="AM103" s="10"/>
      <c r="AN103" s="12"/>
      <c r="AO103" s="5"/>
      <c r="AP103" s="11"/>
      <c r="AQ103" s="5"/>
      <c r="AR103" s="8"/>
    </row>
    <row r="104" spans="1:44">
      <c r="A104" s="2"/>
      <c r="B104" s="2"/>
      <c r="C104" s="10"/>
      <c r="D104" s="6"/>
      <c r="E104" s="10"/>
      <c r="F104" s="8"/>
      <c r="G104" s="8"/>
      <c r="H104" s="2"/>
      <c r="I104" s="13"/>
      <c r="J104" s="10"/>
      <c r="K104" s="5"/>
      <c r="L104" s="8"/>
      <c r="M104" s="18"/>
      <c r="N104" s="10"/>
      <c r="O104" s="10"/>
      <c r="P104" s="5"/>
      <c r="Q104" s="2"/>
      <c r="R104" s="2"/>
      <c r="S104" s="2"/>
      <c r="T104" s="2"/>
      <c r="U104" s="7"/>
      <c r="V104" s="7"/>
      <c r="W104" s="19"/>
      <c r="X104" s="5"/>
      <c r="Y104" s="7"/>
      <c r="Z104" s="7"/>
      <c r="AA104" s="11"/>
      <c r="AB104" s="7"/>
      <c r="AC104" s="8"/>
      <c r="AD104" s="2"/>
      <c r="AE104" s="7"/>
      <c r="AG104" s="2"/>
      <c r="AH104" s="2"/>
      <c r="AI104" s="2"/>
      <c r="AJ104" s="8"/>
      <c r="AK104" s="10"/>
      <c r="AL104" s="12"/>
      <c r="AM104" s="10"/>
      <c r="AN104" s="12"/>
      <c r="AO104" s="5"/>
      <c r="AP104" s="11"/>
      <c r="AQ104" s="5"/>
      <c r="AR104" s="8"/>
    </row>
    <row r="105" spans="1:44">
      <c r="A105" s="2"/>
      <c r="B105" s="2"/>
      <c r="C105" s="10"/>
      <c r="D105" s="6"/>
      <c r="E105" s="10"/>
      <c r="F105" s="8"/>
      <c r="G105" s="8"/>
      <c r="H105" s="2"/>
      <c r="I105" s="13"/>
      <c r="J105" s="10"/>
      <c r="K105" s="5"/>
      <c r="L105" s="8"/>
      <c r="M105" s="18"/>
      <c r="N105" s="10"/>
      <c r="O105" s="10"/>
      <c r="P105" s="5"/>
      <c r="Q105" s="2"/>
      <c r="R105" s="2"/>
      <c r="S105" s="2"/>
      <c r="T105" s="2"/>
      <c r="U105" s="7"/>
      <c r="V105" s="7"/>
      <c r="W105" s="19"/>
      <c r="X105" s="5"/>
      <c r="Y105" s="7"/>
      <c r="Z105" s="7"/>
      <c r="AA105" s="11"/>
      <c r="AB105" s="7"/>
      <c r="AC105" s="8"/>
      <c r="AD105" s="2"/>
      <c r="AE105" s="7"/>
      <c r="AG105" s="2"/>
      <c r="AH105" s="2"/>
      <c r="AI105" s="2"/>
      <c r="AJ105" s="8"/>
      <c r="AK105" s="10"/>
      <c r="AL105" s="12"/>
      <c r="AM105" s="10"/>
      <c r="AN105" s="12"/>
      <c r="AO105" s="5"/>
      <c r="AP105" s="11"/>
      <c r="AQ105" s="5"/>
      <c r="AR105" s="8"/>
    </row>
    <row r="106" spans="1:44">
      <c r="A106" s="2"/>
      <c r="B106" s="2"/>
      <c r="C106" s="10"/>
      <c r="D106" s="6"/>
      <c r="E106" s="10"/>
      <c r="F106" s="8"/>
      <c r="G106" s="8"/>
      <c r="H106" s="2"/>
      <c r="I106" s="13"/>
      <c r="J106" s="10"/>
      <c r="K106" s="5"/>
      <c r="L106" s="8"/>
      <c r="M106" s="18"/>
      <c r="N106" s="10"/>
      <c r="O106" s="10"/>
      <c r="P106" s="5"/>
      <c r="Q106" s="2"/>
      <c r="R106" s="2"/>
      <c r="S106" s="2"/>
      <c r="T106" s="2"/>
      <c r="U106" s="7"/>
      <c r="V106" s="7"/>
      <c r="W106" s="19"/>
      <c r="X106" s="5"/>
      <c r="Y106" s="7"/>
      <c r="Z106" s="7"/>
      <c r="AA106" s="11"/>
      <c r="AB106" s="7"/>
      <c r="AC106" s="8"/>
      <c r="AD106" s="2"/>
      <c r="AE106" s="7"/>
      <c r="AG106" s="2"/>
      <c r="AH106" s="2"/>
      <c r="AI106" s="2"/>
      <c r="AJ106" s="8"/>
      <c r="AK106" s="10"/>
      <c r="AL106" s="12"/>
      <c r="AM106" s="10"/>
      <c r="AN106" s="12"/>
      <c r="AO106" s="5"/>
      <c r="AP106" s="11"/>
      <c r="AQ106" s="5"/>
      <c r="AR106" s="8"/>
    </row>
    <row r="107" spans="1:44">
      <c r="A107" s="2"/>
      <c r="B107" s="2"/>
      <c r="C107" s="10"/>
      <c r="D107" s="6"/>
      <c r="E107" s="10"/>
      <c r="F107" s="8"/>
      <c r="G107" s="8"/>
      <c r="H107" s="2"/>
      <c r="I107" s="13"/>
      <c r="J107" s="10"/>
      <c r="K107" s="5"/>
      <c r="L107" s="8"/>
      <c r="M107" s="18"/>
      <c r="N107" s="10"/>
      <c r="O107" s="10"/>
      <c r="P107" s="5"/>
      <c r="Q107" s="2"/>
      <c r="R107" s="2"/>
      <c r="S107" s="2"/>
      <c r="T107" s="2"/>
      <c r="U107" s="7"/>
      <c r="V107" s="7"/>
      <c r="W107" s="19"/>
      <c r="X107" s="5"/>
      <c r="Y107" s="7"/>
      <c r="Z107" s="7"/>
      <c r="AA107" s="11"/>
      <c r="AB107" s="7"/>
      <c r="AC107" s="8"/>
      <c r="AD107" s="2"/>
      <c r="AE107" s="7"/>
      <c r="AG107" s="2"/>
      <c r="AH107" s="2"/>
      <c r="AI107" s="2"/>
      <c r="AJ107" s="8"/>
      <c r="AK107" s="10"/>
      <c r="AL107" s="12"/>
      <c r="AM107" s="10"/>
      <c r="AN107" s="12"/>
      <c r="AO107" s="5"/>
      <c r="AP107" s="11"/>
      <c r="AQ107" s="5"/>
      <c r="AR107" s="8"/>
    </row>
    <row r="108" spans="1:44">
      <c r="A108" s="2"/>
      <c r="B108" s="2"/>
      <c r="C108" s="10"/>
      <c r="D108" s="6"/>
      <c r="E108" s="10"/>
      <c r="F108" s="8"/>
      <c r="G108" s="8"/>
      <c r="H108" s="2"/>
      <c r="I108" s="13"/>
      <c r="J108" s="10"/>
      <c r="K108" s="5"/>
      <c r="L108" s="8"/>
      <c r="M108" s="18"/>
      <c r="N108" s="10"/>
      <c r="O108" s="10"/>
      <c r="P108" s="5"/>
      <c r="Q108" s="2"/>
      <c r="R108" s="2"/>
      <c r="S108" s="2"/>
      <c r="T108" s="2"/>
      <c r="U108" s="7"/>
      <c r="V108" s="7"/>
      <c r="W108" s="19"/>
      <c r="X108" s="5"/>
      <c r="Y108" s="7"/>
      <c r="Z108" s="7"/>
      <c r="AA108" s="11"/>
      <c r="AB108" s="7"/>
      <c r="AC108" s="8"/>
      <c r="AD108" s="2"/>
      <c r="AE108" s="7"/>
      <c r="AG108" s="2"/>
      <c r="AH108" s="2"/>
      <c r="AI108" s="2"/>
      <c r="AJ108" s="8"/>
      <c r="AK108" s="10"/>
      <c r="AL108" s="12"/>
      <c r="AM108" s="10"/>
      <c r="AN108" s="12"/>
      <c r="AO108" s="5"/>
      <c r="AP108" s="11"/>
      <c r="AQ108" s="5"/>
      <c r="AR108" s="8"/>
    </row>
    <row r="109" spans="1:44">
      <c r="A109" s="2"/>
      <c r="B109" s="2"/>
      <c r="C109" s="10"/>
      <c r="D109" s="6"/>
      <c r="E109" s="10"/>
      <c r="F109" s="8"/>
      <c r="G109" s="8"/>
      <c r="H109" s="2"/>
      <c r="I109" s="13"/>
      <c r="J109" s="10"/>
      <c r="K109" s="5"/>
      <c r="L109" s="8"/>
      <c r="M109" s="18"/>
      <c r="N109" s="10"/>
      <c r="O109" s="10"/>
      <c r="P109" s="5"/>
      <c r="Q109" s="2"/>
      <c r="R109" s="2"/>
      <c r="S109" s="2"/>
      <c r="T109" s="2"/>
      <c r="U109" s="7"/>
      <c r="V109" s="7"/>
      <c r="W109" s="19"/>
      <c r="X109" s="5"/>
      <c r="Y109" s="7"/>
      <c r="Z109" s="7"/>
      <c r="AA109" s="11"/>
      <c r="AB109" s="7"/>
      <c r="AC109" s="8"/>
      <c r="AD109" s="2"/>
      <c r="AE109" s="7"/>
      <c r="AG109" s="2"/>
      <c r="AH109" s="2"/>
      <c r="AI109" s="2"/>
      <c r="AJ109" s="8"/>
      <c r="AK109" s="10"/>
      <c r="AL109" s="12"/>
      <c r="AM109" s="10"/>
      <c r="AN109" s="12"/>
      <c r="AO109" s="5"/>
      <c r="AP109" s="11"/>
      <c r="AQ109" s="5"/>
      <c r="AR109" s="8"/>
    </row>
    <row r="110" spans="1:44">
      <c r="A110" s="2"/>
      <c r="B110" s="2"/>
      <c r="C110" s="10"/>
      <c r="D110" s="6"/>
      <c r="E110" s="10"/>
      <c r="F110" s="8"/>
      <c r="G110" s="8"/>
      <c r="H110" s="2"/>
      <c r="I110" s="13"/>
      <c r="J110" s="10"/>
      <c r="K110" s="5"/>
      <c r="L110" s="8"/>
      <c r="M110" s="18"/>
      <c r="N110" s="10"/>
      <c r="O110" s="10"/>
      <c r="P110" s="5"/>
      <c r="Q110" s="2"/>
      <c r="R110" s="2"/>
      <c r="S110" s="2"/>
      <c r="T110" s="2"/>
      <c r="U110" s="7"/>
      <c r="V110" s="7"/>
      <c r="W110" s="19"/>
      <c r="X110" s="5"/>
      <c r="Y110" s="7"/>
      <c r="Z110" s="7"/>
      <c r="AA110" s="11"/>
      <c r="AB110" s="7"/>
      <c r="AC110" s="8"/>
      <c r="AD110" s="2"/>
      <c r="AE110" s="7"/>
      <c r="AG110" s="2"/>
      <c r="AH110" s="2"/>
      <c r="AI110" s="2"/>
      <c r="AJ110" s="8"/>
      <c r="AK110" s="10"/>
      <c r="AL110" s="12"/>
      <c r="AM110" s="10"/>
      <c r="AN110" s="12"/>
      <c r="AO110" s="5"/>
      <c r="AP110" s="11"/>
      <c r="AQ110" s="5"/>
      <c r="AR110" s="8"/>
    </row>
    <row r="111" spans="1:44">
      <c r="A111" s="2"/>
      <c r="B111" s="2"/>
      <c r="C111" s="10"/>
      <c r="D111" s="6"/>
      <c r="E111" s="10"/>
      <c r="F111" s="8"/>
      <c r="G111" s="8"/>
      <c r="H111" s="2"/>
      <c r="I111" s="13"/>
      <c r="J111" s="10"/>
      <c r="K111" s="5"/>
      <c r="L111" s="8"/>
      <c r="M111" s="18"/>
      <c r="N111" s="10"/>
      <c r="O111" s="10"/>
      <c r="P111" s="5"/>
      <c r="Q111" s="2"/>
      <c r="R111" s="2"/>
      <c r="S111" s="2"/>
      <c r="T111" s="2"/>
      <c r="U111" s="7"/>
      <c r="V111" s="7"/>
      <c r="W111" s="19"/>
      <c r="X111" s="5"/>
      <c r="Y111" s="7"/>
      <c r="Z111" s="7"/>
      <c r="AA111" s="11"/>
      <c r="AB111" s="7"/>
      <c r="AC111" s="8"/>
      <c r="AD111" s="2"/>
      <c r="AE111" s="7"/>
      <c r="AG111" s="2"/>
      <c r="AH111" s="2"/>
      <c r="AI111" s="2"/>
      <c r="AJ111" s="8"/>
      <c r="AK111" s="10"/>
      <c r="AL111" s="12"/>
      <c r="AM111" s="10"/>
      <c r="AN111" s="12"/>
      <c r="AO111" s="5"/>
      <c r="AP111" s="11"/>
      <c r="AQ111" s="5"/>
      <c r="AR111" s="8"/>
    </row>
    <row r="112" spans="1:44">
      <c r="A112" s="2"/>
      <c r="B112" s="2"/>
      <c r="C112" s="10"/>
      <c r="D112" s="6"/>
      <c r="E112" s="10"/>
      <c r="F112" s="8"/>
      <c r="G112" s="8"/>
      <c r="H112" s="2"/>
      <c r="I112" s="13"/>
      <c r="J112" s="10"/>
      <c r="K112" s="5"/>
      <c r="L112" s="8"/>
      <c r="M112" s="18"/>
      <c r="N112" s="10"/>
      <c r="O112" s="10"/>
      <c r="P112" s="5"/>
      <c r="Q112" s="2"/>
      <c r="R112" s="2"/>
      <c r="S112" s="2"/>
      <c r="T112" s="2"/>
      <c r="U112" s="7"/>
      <c r="V112" s="7"/>
      <c r="W112" s="19"/>
      <c r="X112" s="5"/>
      <c r="Y112" s="7"/>
      <c r="Z112" s="7"/>
      <c r="AA112" s="11"/>
      <c r="AB112" s="7"/>
      <c r="AC112" s="8"/>
      <c r="AD112" s="2"/>
      <c r="AE112" s="7"/>
      <c r="AG112" s="2"/>
      <c r="AH112" s="2"/>
      <c r="AI112" s="2"/>
      <c r="AJ112" s="8"/>
      <c r="AK112" s="10"/>
      <c r="AL112" s="12"/>
      <c r="AM112" s="10"/>
      <c r="AN112" s="12"/>
      <c r="AO112" s="5"/>
      <c r="AP112" s="11"/>
      <c r="AQ112" s="5"/>
      <c r="AR112" s="8"/>
    </row>
    <row r="113" spans="1:44">
      <c r="A113" s="2"/>
      <c r="B113" s="2"/>
      <c r="C113" s="10"/>
      <c r="D113" s="6"/>
      <c r="E113" s="10"/>
      <c r="F113" s="8"/>
      <c r="G113" s="8"/>
      <c r="H113" s="2"/>
      <c r="I113" s="13"/>
      <c r="J113" s="10"/>
      <c r="K113" s="5"/>
      <c r="L113" s="8"/>
      <c r="M113" s="18"/>
      <c r="N113" s="10"/>
      <c r="O113" s="10"/>
      <c r="P113" s="5"/>
      <c r="Q113" s="2"/>
      <c r="R113" s="2"/>
      <c r="S113" s="2"/>
      <c r="T113" s="2"/>
      <c r="U113" s="7"/>
      <c r="V113" s="7"/>
      <c r="W113" s="19"/>
      <c r="X113" s="5"/>
      <c r="Y113" s="7"/>
      <c r="Z113" s="7"/>
      <c r="AA113" s="11"/>
      <c r="AB113" s="7"/>
      <c r="AC113" s="8"/>
      <c r="AD113" s="2"/>
      <c r="AE113" s="7"/>
      <c r="AG113" s="2"/>
      <c r="AH113" s="2"/>
      <c r="AI113" s="2"/>
      <c r="AJ113" s="8"/>
      <c r="AK113" s="10"/>
      <c r="AL113" s="12"/>
      <c r="AM113" s="10"/>
      <c r="AN113" s="12"/>
      <c r="AO113" s="5"/>
      <c r="AP113" s="11"/>
      <c r="AQ113" s="5"/>
      <c r="AR113" s="8"/>
    </row>
    <row r="114" spans="1:44">
      <c r="A114" s="2"/>
      <c r="B114" s="2"/>
      <c r="C114" s="10"/>
      <c r="D114" s="6"/>
      <c r="E114" s="10"/>
      <c r="F114" s="8"/>
      <c r="G114" s="8"/>
      <c r="H114" s="2"/>
      <c r="I114" s="13"/>
      <c r="J114" s="10"/>
      <c r="K114" s="5"/>
      <c r="L114" s="8"/>
      <c r="M114" s="18"/>
      <c r="N114" s="10"/>
      <c r="O114" s="10"/>
      <c r="P114" s="5"/>
      <c r="Q114" s="2"/>
      <c r="R114" s="2"/>
      <c r="S114" s="2"/>
      <c r="T114" s="2"/>
      <c r="U114" s="7"/>
      <c r="V114" s="7"/>
      <c r="W114" s="19"/>
      <c r="X114" s="5"/>
      <c r="Y114" s="7"/>
      <c r="Z114" s="7"/>
      <c r="AA114" s="11"/>
      <c r="AB114" s="7"/>
      <c r="AC114" s="8"/>
      <c r="AD114" s="2"/>
      <c r="AE114" s="7"/>
      <c r="AG114" s="2"/>
      <c r="AH114" s="2"/>
      <c r="AI114" s="2"/>
      <c r="AJ114" s="8"/>
      <c r="AK114" s="10"/>
      <c r="AL114" s="12"/>
      <c r="AM114" s="10"/>
      <c r="AN114" s="12"/>
      <c r="AO114" s="5"/>
      <c r="AP114" s="11"/>
      <c r="AQ114" s="5"/>
      <c r="AR114" s="8"/>
    </row>
    <row r="115" spans="1:44">
      <c r="A115" s="2"/>
      <c r="B115" s="2"/>
      <c r="C115" s="10"/>
      <c r="D115" s="6"/>
      <c r="E115" s="10"/>
      <c r="F115" s="8"/>
      <c r="G115" s="8"/>
      <c r="H115" s="2"/>
      <c r="I115" s="13"/>
      <c r="J115" s="10"/>
      <c r="K115" s="5"/>
      <c r="L115" s="8"/>
      <c r="M115" s="18"/>
      <c r="N115" s="10"/>
      <c r="O115" s="10"/>
      <c r="P115" s="5"/>
      <c r="Q115" s="2"/>
      <c r="R115" s="2"/>
      <c r="S115" s="2"/>
      <c r="T115" s="2"/>
      <c r="U115" s="7"/>
      <c r="V115" s="7"/>
      <c r="W115" s="19"/>
      <c r="X115" s="5"/>
      <c r="Y115" s="7"/>
      <c r="Z115" s="7"/>
      <c r="AA115" s="11"/>
      <c r="AB115" s="7"/>
      <c r="AC115" s="8"/>
      <c r="AD115" s="2"/>
      <c r="AE115" s="7"/>
      <c r="AG115" s="2"/>
      <c r="AH115" s="2"/>
      <c r="AI115" s="2"/>
      <c r="AJ115" s="8"/>
      <c r="AK115" s="10"/>
      <c r="AL115" s="12"/>
      <c r="AM115" s="10"/>
      <c r="AN115" s="12"/>
      <c r="AO115" s="5"/>
      <c r="AP115" s="11"/>
      <c r="AQ115" s="5"/>
      <c r="AR115" s="8"/>
    </row>
    <row r="116" spans="1:44">
      <c r="A116" s="2"/>
      <c r="B116" s="2"/>
      <c r="C116" s="10"/>
      <c r="D116" s="6"/>
      <c r="E116" s="10"/>
      <c r="F116" s="8"/>
      <c r="G116" s="8"/>
      <c r="H116" s="2"/>
      <c r="I116" s="13"/>
      <c r="J116" s="10"/>
      <c r="K116" s="5"/>
      <c r="L116" s="8"/>
      <c r="M116" s="18"/>
      <c r="N116" s="10"/>
      <c r="O116" s="10"/>
      <c r="P116" s="5"/>
      <c r="Q116" s="2"/>
      <c r="R116" s="2"/>
      <c r="S116" s="2"/>
      <c r="T116" s="2"/>
      <c r="U116" s="7"/>
      <c r="V116" s="7"/>
      <c r="W116" s="19"/>
      <c r="X116" s="5"/>
      <c r="Y116" s="7"/>
      <c r="Z116" s="7"/>
      <c r="AA116" s="11"/>
      <c r="AB116" s="7"/>
      <c r="AC116" s="8"/>
      <c r="AD116" s="2"/>
      <c r="AE116" s="7"/>
      <c r="AG116" s="2"/>
      <c r="AH116" s="2"/>
      <c r="AI116" s="2"/>
      <c r="AJ116" s="8"/>
      <c r="AK116" s="10"/>
      <c r="AL116" s="12"/>
      <c r="AM116" s="10"/>
      <c r="AN116" s="12"/>
      <c r="AO116" s="5"/>
      <c r="AP116" s="11"/>
      <c r="AQ116" s="5"/>
      <c r="AR116" s="8"/>
    </row>
    <row r="117" spans="1:44">
      <c r="A117" s="2"/>
      <c r="B117" s="2"/>
      <c r="C117" s="10"/>
      <c r="D117" s="6"/>
      <c r="E117" s="10"/>
      <c r="F117" s="8"/>
      <c r="G117" s="8"/>
      <c r="H117" s="2"/>
      <c r="I117" s="13"/>
      <c r="J117" s="10"/>
      <c r="K117" s="5"/>
      <c r="L117" s="8"/>
      <c r="M117" s="18"/>
      <c r="N117" s="10"/>
      <c r="O117" s="10"/>
      <c r="P117" s="5"/>
      <c r="Q117" s="2"/>
      <c r="R117" s="2"/>
      <c r="S117" s="2"/>
      <c r="T117" s="2"/>
      <c r="U117" s="7"/>
      <c r="V117" s="7"/>
      <c r="W117" s="19"/>
      <c r="X117" s="5"/>
      <c r="Y117" s="7"/>
      <c r="Z117" s="7"/>
      <c r="AA117" s="11"/>
      <c r="AB117" s="7"/>
      <c r="AC117" s="8"/>
      <c r="AD117" s="2"/>
      <c r="AE117" s="7"/>
      <c r="AG117" s="2"/>
      <c r="AH117" s="2"/>
      <c r="AI117" s="2"/>
      <c r="AJ117" s="8"/>
      <c r="AK117" s="10"/>
      <c r="AL117" s="12"/>
      <c r="AM117" s="10"/>
      <c r="AN117" s="12"/>
      <c r="AO117" s="5"/>
      <c r="AP117" s="11"/>
      <c r="AQ117" s="5"/>
      <c r="AR117" s="8"/>
    </row>
    <row r="118" spans="1:44">
      <c r="A118" s="2"/>
      <c r="B118" s="2"/>
      <c r="C118" s="10"/>
      <c r="D118" s="6"/>
      <c r="E118" s="10"/>
      <c r="F118" s="8"/>
      <c r="G118" s="8"/>
      <c r="H118" s="2"/>
      <c r="I118" s="13"/>
      <c r="J118" s="10"/>
      <c r="K118" s="5"/>
      <c r="L118" s="8"/>
      <c r="M118" s="18"/>
      <c r="N118" s="10"/>
      <c r="O118" s="10"/>
      <c r="P118" s="5"/>
      <c r="Q118" s="2"/>
      <c r="R118" s="2"/>
      <c r="S118" s="2"/>
      <c r="T118" s="2"/>
      <c r="U118" s="7"/>
      <c r="V118" s="7"/>
      <c r="W118" s="19"/>
      <c r="X118" s="5"/>
      <c r="Y118" s="7"/>
      <c r="Z118" s="7"/>
      <c r="AA118" s="11"/>
      <c r="AB118" s="7"/>
      <c r="AC118" s="8"/>
      <c r="AD118" s="2"/>
      <c r="AE118" s="7"/>
      <c r="AG118" s="2"/>
      <c r="AH118" s="2"/>
      <c r="AI118" s="2"/>
      <c r="AJ118" s="8"/>
      <c r="AK118" s="10"/>
      <c r="AL118" s="12"/>
      <c r="AM118" s="10"/>
      <c r="AN118" s="12"/>
      <c r="AO118" s="5"/>
      <c r="AP118" s="11"/>
      <c r="AQ118" s="5"/>
      <c r="AR118" s="8"/>
    </row>
  </sheetData>
  <conditionalFormatting sqref="G89">
    <cfRule type="expression" dxfId="0" priority="180">
      <formula>$G89="禁止开仓"</formula>
    </cfRule>
    <cfRule type="expression" dxfId="1" priority="210">
      <formula>$G89="允许开仓"</formula>
    </cfRule>
    <cfRule type="expression" dxfId="0" priority="240">
      <formula>LEFT($G89,4)="禁止开仓"</formula>
    </cfRule>
    <cfRule type="expression" dxfId="2" priority="270">
      <formula>$G89="允许开仓（接近锁仓）"</formula>
    </cfRule>
    <cfRule type="expression" dxfId="1" priority="300">
      <formula>$G89="允许开仓"</formula>
    </cfRule>
  </conditionalFormatting>
  <conditionalFormatting sqref="W89">
    <cfRule type="cellIs" dxfId="2" priority="90" operator="lessThan">
      <formula>2</formula>
    </cfRule>
  </conditionalFormatting>
  <conditionalFormatting sqref="AC89">
    <cfRule type="expression" dxfId="0" priority="120">
      <formula>$AC89="达到或超过上限"</formula>
    </cfRule>
    <cfRule type="expression" dxfId="1" priority="150">
      <formula>$AC89="低于上限"</formula>
    </cfRule>
  </conditionalFormatting>
  <conditionalFormatting sqref="AJ89">
    <cfRule type="expression" dxfId="2" priority="330">
      <formula>$AJ89="周期与交易预期不匹配，请重新确认"</formula>
    </cfRule>
    <cfRule type="expression" dxfId="1" priority="360">
      <formula>$AJ89="匹配"</formula>
    </cfRule>
  </conditionalFormatting>
  <conditionalFormatting sqref="AR89">
    <cfRule type="expression" dxfId="0" priority="390">
      <formula>LEFT($AR89,2)="违规"</formula>
    </cfRule>
    <cfRule type="expression" dxfId="1" priority="420">
      <formula>$AR89="通过"</formula>
    </cfRule>
  </conditionalFormatting>
  <conditionalFormatting sqref="G90">
    <cfRule type="expression" dxfId="0" priority="179">
      <formula>$G90="禁止开仓"</formula>
    </cfRule>
    <cfRule type="expression" dxfId="1" priority="209">
      <formula>$G90="允许开仓"</formula>
    </cfRule>
    <cfRule type="expression" dxfId="0" priority="239">
      <formula>LEFT($G90,4)="禁止开仓"</formula>
    </cfRule>
    <cfRule type="expression" dxfId="2" priority="269">
      <formula>$G90="允许开仓（接近锁仓）"</formula>
    </cfRule>
    <cfRule type="expression" dxfId="1" priority="299">
      <formula>$G90="允许开仓"</formula>
    </cfRule>
  </conditionalFormatting>
  <conditionalFormatting sqref="W90">
    <cfRule type="cellIs" dxfId="2" priority="89" operator="lessThan">
      <formula>2</formula>
    </cfRule>
  </conditionalFormatting>
  <conditionalFormatting sqref="AC90">
    <cfRule type="expression" dxfId="0" priority="119">
      <formula>$AC90="达到或超过上限"</formula>
    </cfRule>
    <cfRule type="expression" dxfId="1" priority="149">
      <formula>$AC90="低于上限"</formula>
    </cfRule>
  </conditionalFormatting>
  <conditionalFormatting sqref="AJ90">
    <cfRule type="expression" dxfId="2" priority="329">
      <formula>$AJ90="周期与交易预期不匹配，请重新确认"</formula>
    </cfRule>
    <cfRule type="expression" dxfId="1" priority="359">
      <formula>$AJ90="匹配"</formula>
    </cfRule>
  </conditionalFormatting>
  <conditionalFormatting sqref="AR90">
    <cfRule type="expression" dxfId="0" priority="389">
      <formula>LEFT($AR90,2)="违规"</formula>
    </cfRule>
    <cfRule type="expression" dxfId="1" priority="419">
      <formula>$AR90="通过"</formula>
    </cfRule>
  </conditionalFormatting>
  <conditionalFormatting sqref="G91">
    <cfRule type="expression" dxfId="0" priority="178">
      <formula>$G91="禁止开仓"</formula>
    </cfRule>
    <cfRule type="expression" dxfId="1" priority="208">
      <formula>$G91="允许开仓"</formula>
    </cfRule>
    <cfRule type="expression" dxfId="0" priority="238">
      <formula>LEFT($G91,4)="禁止开仓"</formula>
    </cfRule>
    <cfRule type="expression" dxfId="2" priority="268">
      <formula>$G91="允许开仓（接近锁仓）"</formula>
    </cfRule>
    <cfRule type="expression" dxfId="1" priority="298">
      <formula>$G91="允许开仓"</formula>
    </cfRule>
  </conditionalFormatting>
  <conditionalFormatting sqref="W91">
    <cfRule type="cellIs" dxfId="2" priority="88" operator="lessThan">
      <formula>2</formula>
    </cfRule>
  </conditionalFormatting>
  <conditionalFormatting sqref="AC91">
    <cfRule type="expression" dxfId="0" priority="118">
      <formula>$AC91="达到或超过上限"</formula>
    </cfRule>
    <cfRule type="expression" dxfId="1" priority="148">
      <formula>$AC91="低于上限"</formula>
    </cfRule>
  </conditionalFormatting>
  <conditionalFormatting sqref="AJ91">
    <cfRule type="expression" dxfId="2" priority="328">
      <formula>$AJ91="周期与交易预期不匹配，请重新确认"</formula>
    </cfRule>
    <cfRule type="expression" dxfId="1" priority="358">
      <formula>$AJ91="匹配"</formula>
    </cfRule>
  </conditionalFormatting>
  <conditionalFormatting sqref="AR91">
    <cfRule type="expression" dxfId="0" priority="388">
      <formula>LEFT($AR91,2)="违规"</formula>
    </cfRule>
    <cfRule type="expression" dxfId="1" priority="418">
      <formula>$AR91="通过"</formula>
    </cfRule>
  </conditionalFormatting>
  <conditionalFormatting sqref="G92">
    <cfRule type="expression" dxfId="0" priority="177">
      <formula>$G92="禁止开仓"</formula>
    </cfRule>
    <cfRule type="expression" dxfId="1" priority="207">
      <formula>$G92="允许开仓"</formula>
    </cfRule>
    <cfRule type="expression" dxfId="0" priority="237">
      <formula>LEFT($G92,4)="禁止开仓"</formula>
    </cfRule>
    <cfRule type="expression" dxfId="2" priority="267">
      <formula>$G92="允许开仓（接近锁仓）"</formula>
    </cfRule>
    <cfRule type="expression" dxfId="1" priority="297">
      <formula>$G92="允许开仓"</formula>
    </cfRule>
  </conditionalFormatting>
  <conditionalFormatting sqref="W92">
    <cfRule type="cellIs" dxfId="2" priority="87" operator="lessThan">
      <formula>2</formula>
    </cfRule>
  </conditionalFormatting>
  <conditionalFormatting sqref="AC92">
    <cfRule type="expression" dxfId="0" priority="117">
      <formula>$AC92="达到或超过上限"</formula>
    </cfRule>
    <cfRule type="expression" dxfId="1" priority="147">
      <formula>$AC92="低于上限"</formula>
    </cfRule>
  </conditionalFormatting>
  <conditionalFormatting sqref="AJ92">
    <cfRule type="expression" dxfId="2" priority="327">
      <formula>$AJ92="周期与交易预期不匹配，请重新确认"</formula>
    </cfRule>
    <cfRule type="expression" dxfId="1" priority="357">
      <formula>$AJ92="匹配"</formula>
    </cfRule>
  </conditionalFormatting>
  <conditionalFormatting sqref="AR92">
    <cfRule type="expression" dxfId="0" priority="387">
      <formula>LEFT($AR92,2)="违规"</formula>
    </cfRule>
    <cfRule type="expression" dxfId="1" priority="417">
      <formula>$AR92="通过"</formula>
    </cfRule>
  </conditionalFormatting>
  <conditionalFormatting sqref="G93">
    <cfRule type="expression" dxfId="0" priority="176">
      <formula>$G93="禁止开仓"</formula>
    </cfRule>
    <cfRule type="expression" dxfId="1" priority="206">
      <formula>$G93="允许开仓"</formula>
    </cfRule>
    <cfRule type="expression" dxfId="0" priority="236">
      <formula>LEFT($G93,4)="禁止开仓"</formula>
    </cfRule>
    <cfRule type="expression" dxfId="2" priority="266">
      <formula>$G93="允许开仓（接近锁仓）"</formula>
    </cfRule>
    <cfRule type="expression" dxfId="1" priority="296">
      <formula>$G93="允许开仓"</formula>
    </cfRule>
  </conditionalFormatting>
  <conditionalFormatting sqref="W93">
    <cfRule type="cellIs" dxfId="2" priority="86" operator="lessThan">
      <formula>2</formula>
    </cfRule>
  </conditionalFormatting>
  <conditionalFormatting sqref="AC93">
    <cfRule type="expression" dxfId="0" priority="116">
      <formula>$AC93="达到或超过上限"</formula>
    </cfRule>
    <cfRule type="expression" dxfId="1" priority="146">
      <formula>$AC93="低于上限"</formula>
    </cfRule>
  </conditionalFormatting>
  <conditionalFormatting sqref="AJ93">
    <cfRule type="expression" dxfId="2" priority="326">
      <formula>$AJ93="周期与交易预期不匹配，请重新确认"</formula>
    </cfRule>
    <cfRule type="expression" dxfId="1" priority="356">
      <formula>$AJ93="匹配"</formula>
    </cfRule>
  </conditionalFormatting>
  <conditionalFormatting sqref="AR93">
    <cfRule type="expression" dxfId="0" priority="386">
      <formula>LEFT($AR93,2)="违规"</formula>
    </cfRule>
    <cfRule type="expression" dxfId="1" priority="416">
      <formula>$AR93="通过"</formula>
    </cfRule>
  </conditionalFormatting>
  <conditionalFormatting sqref="G94">
    <cfRule type="expression" dxfId="0" priority="175">
      <formula>$G94="禁止开仓"</formula>
    </cfRule>
    <cfRule type="expression" dxfId="1" priority="205">
      <formula>$G94="允许开仓"</formula>
    </cfRule>
    <cfRule type="expression" dxfId="0" priority="235">
      <formula>LEFT($G94,4)="禁止开仓"</formula>
    </cfRule>
    <cfRule type="expression" dxfId="2" priority="265">
      <formula>$G94="允许开仓（接近锁仓）"</formula>
    </cfRule>
    <cfRule type="expression" dxfId="1" priority="295">
      <formula>$G94="允许开仓"</formula>
    </cfRule>
  </conditionalFormatting>
  <conditionalFormatting sqref="W94">
    <cfRule type="cellIs" dxfId="2" priority="85" operator="lessThan">
      <formula>2</formula>
    </cfRule>
  </conditionalFormatting>
  <conditionalFormatting sqref="AC94">
    <cfRule type="expression" dxfId="0" priority="115">
      <formula>$AC94="达到或超过上限"</formula>
    </cfRule>
    <cfRule type="expression" dxfId="1" priority="145">
      <formula>$AC94="低于上限"</formula>
    </cfRule>
  </conditionalFormatting>
  <conditionalFormatting sqref="AJ94">
    <cfRule type="expression" dxfId="2" priority="325">
      <formula>$AJ94="周期与交易预期不匹配，请重新确认"</formula>
    </cfRule>
    <cfRule type="expression" dxfId="1" priority="355">
      <formula>$AJ94="匹配"</formula>
    </cfRule>
  </conditionalFormatting>
  <conditionalFormatting sqref="AR94">
    <cfRule type="expression" dxfId="0" priority="385">
      <formula>LEFT($AR94,2)="违规"</formula>
    </cfRule>
    <cfRule type="expression" dxfId="1" priority="415">
      <formula>$AR94="通过"</formula>
    </cfRule>
  </conditionalFormatting>
  <conditionalFormatting sqref="G95">
    <cfRule type="expression" dxfId="0" priority="174">
      <formula>$G95="禁止开仓"</formula>
    </cfRule>
    <cfRule type="expression" dxfId="1" priority="204">
      <formula>$G95="允许开仓"</formula>
    </cfRule>
    <cfRule type="expression" dxfId="0" priority="234">
      <formula>LEFT($G95,4)="禁止开仓"</formula>
    </cfRule>
    <cfRule type="expression" dxfId="2" priority="264">
      <formula>$G95="允许开仓（接近锁仓）"</formula>
    </cfRule>
    <cfRule type="expression" dxfId="1" priority="294">
      <formula>$G95="允许开仓"</formula>
    </cfRule>
  </conditionalFormatting>
  <conditionalFormatting sqref="W95">
    <cfRule type="cellIs" dxfId="2" priority="84" operator="lessThan">
      <formula>2</formula>
    </cfRule>
  </conditionalFormatting>
  <conditionalFormatting sqref="AC95">
    <cfRule type="expression" dxfId="0" priority="114">
      <formula>$AC95="达到或超过上限"</formula>
    </cfRule>
    <cfRule type="expression" dxfId="1" priority="144">
      <formula>$AC95="低于上限"</formula>
    </cfRule>
  </conditionalFormatting>
  <conditionalFormatting sqref="AJ95">
    <cfRule type="expression" dxfId="2" priority="324">
      <formula>$AJ95="周期与交易预期不匹配，请重新确认"</formula>
    </cfRule>
    <cfRule type="expression" dxfId="1" priority="354">
      <formula>$AJ95="匹配"</formula>
    </cfRule>
  </conditionalFormatting>
  <conditionalFormatting sqref="AR95">
    <cfRule type="expression" dxfId="0" priority="384">
      <formula>LEFT($AR95,2)="违规"</formula>
    </cfRule>
    <cfRule type="expression" dxfId="1" priority="414">
      <formula>$AR95="通过"</formula>
    </cfRule>
  </conditionalFormatting>
  <conditionalFormatting sqref="G96">
    <cfRule type="expression" dxfId="0" priority="173">
      <formula>$G96="禁止开仓"</formula>
    </cfRule>
    <cfRule type="expression" dxfId="1" priority="203">
      <formula>$G96="允许开仓"</formula>
    </cfRule>
    <cfRule type="expression" dxfId="0" priority="233">
      <formula>LEFT($G96,4)="禁止开仓"</formula>
    </cfRule>
    <cfRule type="expression" dxfId="2" priority="263">
      <formula>$G96="允许开仓（接近锁仓）"</formula>
    </cfRule>
    <cfRule type="expression" dxfId="1" priority="293">
      <formula>$G96="允许开仓"</formula>
    </cfRule>
  </conditionalFormatting>
  <conditionalFormatting sqref="W96">
    <cfRule type="cellIs" dxfId="2" priority="83" operator="lessThan">
      <formula>2</formula>
    </cfRule>
  </conditionalFormatting>
  <conditionalFormatting sqref="AC96">
    <cfRule type="expression" dxfId="0" priority="113">
      <formula>$AC96="达到或超过上限"</formula>
    </cfRule>
    <cfRule type="expression" dxfId="1" priority="143">
      <formula>$AC96="低于上限"</formula>
    </cfRule>
  </conditionalFormatting>
  <conditionalFormatting sqref="AJ96">
    <cfRule type="expression" dxfId="2" priority="323">
      <formula>$AJ96="周期与交易预期不匹配，请重新确认"</formula>
    </cfRule>
    <cfRule type="expression" dxfId="1" priority="353">
      <formula>$AJ96="匹配"</formula>
    </cfRule>
  </conditionalFormatting>
  <conditionalFormatting sqref="AR96">
    <cfRule type="expression" dxfId="0" priority="383">
      <formula>LEFT($AR96,2)="违规"</formula>
    </cfRule>
    <cfRule type="expression" dxfId="1" priority="413">
      <formula>$AR96="通过"</formula>
    </cfRule>
  </conditionalFormatting>
  <conditionalFormatting sqref="G97">
    <cfRule type="expression" dxfId="0" priority="172">
      <formula>$G97="禁止开仓"</formula>
    </cfRule>
    <cfRule type="expression" dxfId="1" priority="202">
      <formula>$G97="允许开仓"</formula>
    </cfRule>
    <cfRule type="expression" dxfId="0" priority="232">
      <formula>LEFT($G97,4)="禁止开仓"</formula>
    </cfRule>
    <cfRule type="expression" dxfId="2" priority="262">
      <formula>$G97="允许开仓（接近锁仓）"</formula>
    </cfRule>
    <cfRule type="expression" dxfId="1" priority="292">
      <formula>$G97="允许开仓"</formula>
    </cfRule>
  </conditionalFormatting>
  <conditionalFormatting sqref="W97">
    <cfRule type="cellIs" dxfId="2" priority="82" operator="lessThan">
      <formula>2</formula>
    </cfRule>
  </conditionalFormatting>
  <conditionalFormatting sqref="AC97">
    <cfRule type="expression" dxfId="0" priority="112">
      <formula>$AC97="达到或超过上限"</formula>
    </cfRule>
    <cfRule type="expression" dxfId="1" priority="142">
      <formula>$AC97="低于上限"</formula>
    </cfRule>
  </conditionalFormatting>
  <conditionalFormatting sqref="AJ97">
    <cfRule type="expression" dxfId="2" priority="322">
      <formula>$AJ97="周期与交易预期不匹配，请重新确认"</formula>
    </cfRule>
    <cfRule type="expression" dxfId="1" priority="352">
      <formula>$AJ97="匹配"</formula>
    </cfRule>
  </conditionalFormatting>
  <conditionalFormatting sqref="AR97">
    <cfRule type="expression" dxfId="0" priority="382">
      <formula>LEFT($AR97,2)="违规"</formula>
    </cfRule>
    <cfRule type="expression" dxfId="1" priority="412">
      <formula>$AR97="通过"</formula>
    </cfRule>
  </conditionalFormatting>
  <conditionalFormatting sqref="G98">
    <cfRule type="expression" dxfId="0" priority="171">
      <formula>$G98="禁止开仓"</formula>
    </cfRule>
    <cfRule type="expression" dxfId="1" priority="201">
      <formula>$G98="允许开仓"</formula>
    </cfRule>
    <cfRule type="expression" dxfId="0" priority="231">
      <formula>LEFT($G98,4)="禁止开仓"</formula>
    </cfRule>
    <cfRule type="expression" dxfId="2" priority="261">
      <formula>$G98="允许开仓（接近锁仓）"</formula>
    </cfRule>
    <cfRule type="expression" dxfId="1" priority="291">
      <formula>$G98="允许开仓"</formula>
    </cfRule>
  </conditionalFormatting>
  <conditionalFormatting sqref="W98">
    <cfRule type="cellIs" dxfId="2" priority="81" operator="lessThan">
      <formula>2</formula>
    </cfRule>
  </conditionalFormatting>
  <conditionalFormatting sqref="AC98">
    <cfRule type="expression" dxfId="0" priority="111">
      <formula>$AC98="达到或超过上限"</formula>
    </cfRule>
    <cfRule type="expression" dxfId="1" priority="141">
      <formula>$AC98="低于上限"</formula>
    </cfRule>
  </conditionalFormatting>
  <conditionalFormatting sqref="AJ98">
    <cfRule type="expression" dxfId="2" priority="321">
      <formula>$AJ98="周期与交易预期不匹配，请重新确认"</formula>
    </cfRule>
    <cfRule type="expression" dxfId="1" priority="351">
      <formula>$AJ98="匹配"</formula>
    </cfRule>
  </conditionalFormatting>
  <conditionalFormatting sqref="AR98">
    <cfRule type="expression" dxfId="0" priority="381">
      <formula>LEFT($AR98,2)="违规"</formula>
    </cfRule>
    <cfRule type="expression" dxfId="1" priority="411">
      <formula>$AR98="通过"</formula>
    </cfRule>
  </conditionalFormatting>
  <conditionalFormatting sqref="G99">
    <cfRule type="expression" dxfId="0" priority="170">
      <formula>$G99="禁止开仓"</formula>
    </cfRule>
    <cfRule type="expression" dxfId="1" priority="200">
      <formula>$G99="允许开仓"</formula>
    </cfRule>
    <cfRule type="expression" dxfId="0" priority="230">
      <formula>LEFT($G99,4)="禁止开仓"</formula>
    </cfRule>
    <cfRule type="expression" dxfId="2" priority="260">
      <formula>$G99="允许开仓（接近锁仓）"</formula>
    </cfRule>
    <cfRule type="expression" dxfId="1" priority="290">
      <formula>$G99="允许开仓"</formula>
    </cfRule>
  </conditionalFormatting>
  <conditionalFormatting sqref="W99">
    <cfRule type="cellIs" dxfId="2" priority="80" operator="lessThan">
      <formula>2</formula>
    </cfRule>
  </conditionalFormatting>
  <conditionalFormatting sqref="AC99">
    <cfRule type="expression" dxfId="0" priority="110">
      <formula>$AC99="达到或超过上限"</formula>
    </cfRule>
    <cfRule type="expression" dxfId="1" priority="140">
      <formula>$AC99="低于上限"</formula>
    </cfRule>
  </conditionalFormatting>
  <conditionalFormatting sqref="AJ99">
    <cfRule type="expression" dxfId="2" priority="320">
      <formula>$AJ99="周期与交易预期不匹配，请重新确认"</formula>
    </cfRule>
    <cfRule type="expression" dxfId="1" priority="350">
      <formula>$AJ99="匹配"</formula>
    </cfRule>
  </conditionalFormatting>
  <conditionalFormatting sqref="AR99">
    <cfRule type="expression" dxfId="0" priority="380">
      <formula>LEFT($AR99,2)="违规"</formula>
    </cfRule>
    <cfRule type="expression" dxfId="1" priority="410">
      <formula>$AR99="通过"</formula>
    </cfRule>
  </conditionalFormatting>
  <conditionalFormatting sqref="G100">
    <cfRule type="expression" dxfId="0" priority="169">
      <formula>$G100="禁止开仓"</formula>
    </cfRule>
    <cfRule type="expression" dxfId="1" priority="199">
      <formula>$G100="允许开仓"</formula>
    </cfRule>
    <cfRule type="expression" dxfId="0" priority="229">
      <formula>LEFT($G100,4)="禁止开仓"</formula>
    </cfRule>
    <cfRule type="expression" dxfId="2" priority="259">
      <formula>$G100="允许开仓（接近锁仓）"</formula>
    </cfRule>
    <cfRule type="expression" dxfId="1" priority="289">
      <formula>$G100="允许开仓"</formula>
    </cfRule>
  </conditionalFormatting>
  <conditionalFormatting sqref="W100">
    <cfRule type="cellIs" dxfId="2" priority="79" operator="lessThan">
      <formula>2</formula>
    </cfRule>
  </conditionalFormatting>
  <conditionalFormatting sqref="AC100">
    <cfRule type="expression" dxfId="0" priority="109">
      <formula>$AC100="达到或超过上限"</formula>
    </cfRule>
    <cfRule type="expression" dxfId="1" priority="139">
      <formula>$AC100="低于上限"</formula>
    </cfRule>
  </conditionalFormatting>
  <conditionalFormatting sqref="AJ100">
    <cfRule type="expression" dxfId="2" priority="319">
      <formula>$AJ100="周期与交易预期不匹配，请重新确认"</formula>
    </cfRule>
    <cfRule type="expression" dxfId="1" priority="349">
      <formula>$AJ100="匹配"</formula>
    </cfRule>
  </conditionalFormatting>
  <conditionalFormatting sqref="AR100">
    <cfRule type="expression" dxfId="0" priority="379">
      <formula>LEFT($AR100,2)="违规"</formula>
    </cfRule>
    <cfRule type="expression" dxfId="1" priority="409">
      <formula>$AR100="通过"</formula>
    </cfRule>
  </conditionalFormatting>
  <conditionalFormatting sqref="G101">
    <cfRule type="expression" dxfId="0" priority="168">
      <formula>$G101="禁止开仓"</formula>
    </cfRule>
    <cfRule type="expression" dxfId="1" priority="198">
      <formula>$G101="允许开仓"</formula>
    </cfRule>
    <cfRule type="expression" dxfId="0" priority="228">
      <formula>LEFT($G101,4)="禁止开仓"</formula>
    </cfRule>
    <cfRule type="expression" dxfId="2" priority="258">
      <formula>$G101="允许开仓（接近锁仓）"</formula>
    </cfRule>
    <cfRule type="expression" dxfId="1" priority="288">
      <formula>$G101="允许开仓"</formula>
    </cfRule>
  </conditionalFormatting>
  <conditionalFormatting sqref="W101">
    <cfRule type="cellIs" dxfId="2" priority="78" operator="lessThan">
      <formula>2</formula>
    </cfRule>
  </conditionalFormatting>
  <conditionalFormatting sqref="AC101">
    <cfRule type="expression" dxfId="0" priority="108">
      <formula>$AC101="达到或超过上限"</formula>
    </cfRule>
    <cfRule type="expression" dxfId="1" priority="138">
      <formula>$AC101="低于上限"</formula>
    </cfRule>
  </conditionalFormatting>
  <conditionalFormatting sqref="AJ101">
    <cfRule type="expression" dxfId="2" priority="318">
      <formula>$AJ101="周期与交易预期不匹配，请重新确认"</formula>
    </cfRule>
    <cfRule type="expression" dxfId="1" priority="348">
      <formula>$AJ101="匹配"</formula>
    </cfRule>
  </conditionalFormatting>
  <conditionalFormatting sqref="AR101">
    <cfRule type="expression" dxfId="0" priority="378">
      <formula>LEFT($AR101,2)="违规"</formula>
    </cfRule>
    <cfRule type="expression" dxfId="1" priority="408">
      <formula>$AR101="通过"</formula>
    </cfRule>
  </conditionalFormatting>
  <conditionalFormatting sqref="G102">
    <cfRule type="expression" dxfId="0" priority="167">
      <formula>$G102="禁止开仓"</formula>
    </cfRule>
    <cfRule type="expression" dxfId="1" priority="197">
      <formula>$G102="允许开仓"</formula>
    </cfRule>
    <cfRule type="expression" dxfId="0" priority="227">
      <formula>LEFT($G102,4)="禁止开仓"</formula>
    </cfRule>
    <cfRule type="expression" dxfId="2" priority="257">
      <formula>$G102="允许开仓（接近锁仓）"</formula>
    </cfRule>
    <cfRule type="expression" dxfId="1" priority="287">
      <formula>$G102="允许开仓"</formula>
    </cfRule>
  </conditionalFormatting>
  <conditionalFormatting sqref="W102">
    <cfRule type="cellIs" dxfId="2" priority="77" operator="lessThan">
      <formula>2</formula>
    </cfRule>
  </conditionalFormatting>
  <conditionalFormatting sqref="AC102">
    <cfRule type="expression" dxfId="0" priority="107">
      <formula>$AC102="达到或超过上限"</formula>
    </cfRule>
    <cfRule type="expression" dxfId="1" priority="137">
      <formula>$AC102="低于上限"</formula>
    </cfRule>
  </conditionalFormatting>
  <conditionalFormatting sqref="AJ102">
    <cfRule type="expression" dxfId="2" priority="317">
      <formula>$AJ102="周期与交易预期不匹配，请重新确认"</formula>
    </cfRule>
    <cfRule type="expression" dxfId="1" priority="347">
      <formula>$AJ102="匹配"</formula>
    </cfRule>
  </conditionalFormatting>
  <conditionalFormatting sqref="AR102">
    <cfRule type="expression" dxfId="0" priority="377">
      <formula>LEFT($AR102,2)="违规"</formula>
    </cfRule>
    <cfRule type="expression" dxfId="1" priority="407">
      <formula>$AR102="通过"</formula>
    </cfRule>
  </conditionalFormatting>
  <conditionalFormatting sqref="G103">
    <cfRule type="expression" dxfId="0" priority="166">
      <formula>$G103="禁止开仓"</formula>
    </cfRule>
    <cfRule type="expression" dxfId="1" priority="196">
      <formula>$G103="允许开仓"</formula>
    </cfRule>
    <cfRule type="expression" dxfId="0" priority="226">
      <formula>LEFT($G103,4)="禁止开仓"</formula>
    </cfRule>
    <cfRule type="expression" dxfId="2" priority="256">
      <formula>$G103="允许开仓（接近锁仓）"</formula>
    </cfRule>
    <cfRule type="expression" dxfId="1" priority="286">
      <formula>$G103="允许开仓"</formula>
    </cfRule>
  </conditionalFormatting>
  <conditionalFormatting sqref="W103">
    <cfRule type="cellIs" dxfId="2" priority="76" operator="lessThan">
      <formula>2</formula>
    </cfRule>
  </conditionalFormatting>
  <conditionalFormatting sqref="AC103">
    <cfRule type="expression" dxfId="0" priority="106">
      <formula>$AC103="达到或超过上限"</formula>
    </cfRule>
    <cfRule type="expression" dxfId="1" priority="136">
      <formula>$AC103="低于上限"</formula>
    </cfRule>
  </conditionalFormatting>
  <conditionalFormatting sqref="AJ103">
    <cfRule type="expression" dxfId="2" priority="316">
      <formula>$AJ103="周期与交易预期不匹配，请重新确认"</formula>
    </cfRule>
    <cfRule type="expression" dxfId="1" priority="346">
      <formula>$AJ103="匹配"</formula>
    </cfRule>
  </conditionalFormatting>
  <conditionalFormatting sqref="AR103">
    <cfRule type="expression" dxfId="0" priority="376">
      <formula>LEFT($AR103,2)="违规"</formula>
    </cfRule>
    <cfRule type="expression" dxfId="1" priority="406">
      <formula>$AR103="通过"</formula>
    </cfRule>
  </conditionalFormatting>
  <conditionalFormatting sqref="G104">
    <cfRule type="expression" dxfId="0" priority="165">
      <formula>$G104="禁止开仓"</formula>
    </cfRule>
    <cfRule type="expression" dxfId="1" priority="195">
      <formula>$G104="允许开仓"</formula>
    </cfRule>
    <cfRule type="expression" dxfId="0" priority="225">
      <formula>LEFT($G104,4)="禁止开仓"</formula>
    </cfRule>
    <cfRule type="expression" dxfId="2" priority="255">
      <formula>$G104="允许开仓（接近锁仓）"</formula>
    </cfRule>
    <cfRule type="expression" dxfId="1" priority="285">
      <formula>$G104="允许开仓"</formula>
    </cfRule>
  </conditionalFormatting>
  <conditionalFormatting sqref="W104">
    <cfRule type="cellIs" dxfId="2" priority="75" operator="lessThan">
      <formula>2</formula>
    </cfRule>
  </conditionalFormatting>
  <conditionalFormatting sqref="AC104">
    <cfRule type="expression" dxfId="0" priority="105">
      <formula>$AC104="达到或超过上限"</formula>
    </cfRule>
    <cfRule type="expression" dxfId="1" priority="135">
      <formula>$AC104="低于上限"</formula>
    </cfRule>
  </conditionalFormatting>
  <conditionalFormatting sqref="AJ104">
    <cfRule type="expression" dxfId="2" priority="315">
      <formula>$AJ104="周期与交易预期不匹配，请重新确认"</formula>
    </cfRule>
    <cfRule type="expression" dxfId="1" priority="345">
      <formula>$AJ104="匹配"</formula>
    </cfRule>
  </conditionalFormatting>
  <conditionalFormatting sqref="AR104">
    <cfRule type="expression" dxfId="0" priority="375">
      <formula>LEFT($AR104,2)="违规"</formula>
    </cfRule>
    <cfRule type="expression" dxfId="1" priority="405">
      <formula>$AR104="通过"</formula>
    </cfRule>
  </conditionalFormatting>
  <conditionalFormatting sqref="G105">
    <cfRule type="expression" dxfId="0" priority="164">
      <formula>$G105="禁止开仓"</formula>
    </cfRule>
    <cfRule type="expression" dxfId="1" priority="194">
      <formula>$G105="允许开仓"</formula>
    </cfRule>
    <cfRule type="expression" dxfId="0" priority="224">
      <formula>LEFT($G105,4)="禁止开仓"</formula>
    </cfRule>
    <cfRule type="expression" dxfId="2" priority="254">
      <formula>$G105="允许开仓（接近锁仓）"</formula>
    </cfRule>
    <cfRule type="expression" dxfId="1" priority="284">
      <formula>$G105="允许开仓"</formula>
    </cfRule>
  </conditionalFormatting>
  <conditionalFormatting sqref="W105">
    <cfRule type="cellIs" dxfId="2" priority="74" operator="lessThan">
      <formula>2</formula>
    </cfRule>
  </conditionalFormatting>
  <conditionalFormatting sqref="AC105">
    <cfRule type="expression" dxfId="0" priority="104">
      <formula>$AC105="达到或超过上限"</formula>
    </cfRule>
    <cfRule type="expression" dxfId="1" priority="134">
      <formula>$AC105="低于上限"</formula>
    </cfRule>
  </conditionalFormatting>
  <conditionalFormatting sqref="AJ105">
    <cfRule type="expression" dxfId="2" priority="314">
      <formula>$AJ105="周期与交易预期不匹配，请重新确认"</formula>
    </cfRule>
    <cfRule type="expression" dxfId="1" priority="344">
      <formula>$AJ105="匹配"</formula>
    </cfRule>
  </conditionalFormatting>
  <conditionalFormatting sqref="AR105">
    <cfRule type="expression" dxfId="0" priority="374">
      <formula>LEFT($AR105,2)="违规"</formula>
    </cfRule>
    <cfRule type="expression" dxfId="1" priority="404">
      <formula>$AR105="通过"</formula>
    </cfRule>
  </conditionalFormatting>
  <conditionalFormatting sqref="G106">
    <cfRule type="expression" dxfId="0" priority="163">
      <formula>$G106="禁止开仓"</formula>
    </cfRule>
    <cfRule type="expression" dxfId="1" priority="193">
      <formula>$G106="允许开仓"</formula>
    </cfRule>
    <cfRule type="expression" dxfId="0" priority="223">
      <formula>LEFT($G106,4)="禁止开仓"</formula>
    </cfRule>
    <cfRule type="expression" dxfId="2" priority="253">
      <formula>$G106="允许开仓（接近锁仓）"</formula>
    </cfRule>
    <cfRule type="expression" dxfId="1" priority="283">
      <formula>$G106="允许开仓"</formula>
    </cfRule>
  </conditionalFormatting>
  <conditionalFormatting sqref="W106">
    <cfRule type="cellIs" dxfId="2" priority="73" operator="lessThan">
      <formula>2</formula>
    </cfRule>
  </conditionalFormatting>
  <conditionalFormatting sqref="AC106">
    <cfRule type="expression" dxfId="0" priority="103">
      <formula>$AC106="达到或超过上限"</formula>
    </cfRule>
    <cfRule type="expression" dxfId="1" priority="133">
      <formula>$AC106="低于上限"</formula>
    </cfRule>
  </conditionalFormatting>
  <conditionalFormatting sqref="AJ106">
    <cfRule type="expression" dxfId="2" priority="313">
      <formula>$AJ106="周期与交易预期不匹配，请重新确认"</formula>
    </cfRule>
    <cfRule type="expression" dxfId="1" priority="343">
      <formula>$AJ106="匹配"</formula>
    </cfRule>
  </conditionalFormatting>
  <conditionalFormatting sqref="AR106">
    <cfRule type="expression" dxfId="0" priority="373">
      <formula>LEFT($AR106,2)="违规"</formula>
    </cfRule>
    <cfRule type="expression" dxfId="1" priority="403">
      <formula>$AR106="通过"</formula>
    </cfRule>
  </conditionalFormatting>
  <conditionalFormatting sqref="G107">
    <cfRule type="expression" dxfId="0" priority="162">
      <formula>$G107="禁止开仓"</formula>
    </cfRule>
    <cfRule type="expression" dxfId="1" priority="192">
      <formula>$G107="允许开仓"</formula>
    </cfRule>
    <cfRule type="expression" dxfId="0" priority="222">
      <formula>LEFT($G107,4)="禁止开仓"</formula>
    </cfRule>
    <cfRule type="expression" dxfId="2" priority="252">
      <formula>$G107="允许开仓（接近锁仓）"</formula>
    </cfRule>
    <cfRule type="expression" dxfId="1" priority="282">
      <formula>$G107="允许开仓"</formula>
    </cfRule>
  </conditionalFormatting>
  <conditionalFormatting sqref="W107">
    <cfRule type="cellIs" dxfId="2" priority="72" operator="lessThan">
      <formula>2</formula>
    </cfRule>
  </conditionalFormatting>
  <conditionalFormatting sqref="AC107">
    <cfRule type="expression" dxfId="0" priority="102">
      <formula>$AC107="达到或超过上限"</formula>
    </cfRule>
    <cfRule type="expression" dxfId="1" priority="132">
      <formula>$AC107="低于上限"</formula>
    </cfRule>
  </conditionalFormatting>
  <conditionalFormatting sqref="AJ107">
    <cfRule type="expression" dxfId="2" priority="312">
      <formula>$AJ107="周期与交易预期不匹配，请重新确认"</formula>
    </cfRule>
    <cfRule type="expression" dxfId="1" priority="342">
      <formula>$AJ107="匹配"</formula>
    </cfRule>
  </conditionalFormatting>
  <conditionalFormatting sqref="AR107">
    <cfRule type="expression" dxfId="0" priority="372">
      <formula>LEFT($AR107,2)="违规"</formula>
    </cfRule>
    <cfRule type="expression" dxfId="1" priority="402">
      <formula>$AR107="通过"</formula>
    </cfRule>
  </conditionalFormatting>
  <conditionalFormatting sqref="G108">
    <cfRule type="expression" dxfId="0" priority="161">
      <formula>$G108="禁止开仓"</formula>
    </cfRule>
    <cfRule type="expression" dxfId="1" priority="191">
      <formula>$G108="允许开仓"</formula>
    </cfRule>
    <cfRule type="expression" dxfId="0" priority="221">
      <formula>LEFT($G108,4)="禁止开仓"</formula>
    </cfRule>
    <cfRule type="expression" dxfId="2" priority="251">
      <formula>$G108="允许开仓（接近锁仓）"</formula>
    </cfRule>
    <cfRule type="expression" dxfId="1" priority="281">
      <formula>$G108="允许开仓"</formula>
    </cfRule>
  </conditionalFormatting>
  <conditionalFormatting sqref="W108">
    <cfRule type="cellIs" dxfId="2" priority="71" operator="lessThan">
      <formula>2</formula>
    </cfRule>
  </conditionalFormatting>
  <conditionalFormatting sqref="AC108">
    <cfRule type="expression" dxfId="0" priority="101">
      <formula>$AC108="达到或超过上限"</formula>
    </cfRule>
    <cfRule type="expression" dxfId="1" priority="131">
      <formula>$AC108="低于上限"</formula>
    </cfRule>
  </conditionalFormatting>
  <conditionalFormatting sqref="AJ108">
    <cfRule type="expression" dxfId="2" priority="311">
      <formula>$AJ108="周期与交易预期不匹配，请重新确认"</formula>
    </cfRule>
    <cfRule type="expression" dxfId="1" priority="341">
      <formula>$AJ108="匹配"</formula>
    </cfRule>
  </conditionalFormatting>
  <conditionalFormatting sqref="AR108">
    <cfRule type="expression" dxfId="0" priority="371">
      <formula>LEFT($AR108,2)="违规"</formula>
    </cfRule>
    <cfRule type="expression" dxfId="1" priority="401">
      <formula>$AR108="通过"</formula>
    </cfRule>
  </conditionalFormatting>
  <conditionalFormatting sqref="G109">
    <cfRule type="expression" dxfId="0" priority="160">
      <formula>$G109="禁止开仓"</formula>
    </cfRule>
    <cfRule type="expression" dxfId="1" priority="190">
      <formula>$G109="允许开仓"</formula>
    </cfRule>
    <cfRule type="expression" dxfId="0" priority="220">
      <formula>LEFT($G109,4)="禁止开仓"</formula>
    </cfRule>
    <cfRule type="expression" dxfId="2" priority="250">
      <formula>$G109="允许开仓（接近锁仓）"</formula>
    </cfRule>
    <cfRule type="expression" dxfId="1" priority="280">
      <formula>$G109="允许开仓"</formula>
    </cfRule>
  </conditionalFormatting>
  <conditionalFormatting sqref="W109">
    <cfRule type="cellIs" dxfId="2" priority="70" operator="lessThan">
      <formula>2</formula>
    </cfRule>
  </conditionalFormatting>
  <conditionalFormatting sqref="AC109">
    <cfRule type="expression" dxfId="0" priority="100">
      <formula>$AC109="达到或超过上限"</formula>
    </cfRule>
    <cfRule type="expression" dxfId="1" priority="130">
      <formula>$AC109="低于上限"</formula>
    </cfRule>
  </conditionalFormatting>
  <conditionalFormatting sqref="AJ109">
    <cfRule type="expression" dxfId="2" priority="310">
      <formula>$AJ109="周期与交易预期不匹配，请重新确认"</formula>
    </cfRule>
    <cfRule type="expression" dxfId="1" priority="340">
      <formula>$AJ109="匹配"</formula>
    </cfRule>
  </conditionalFormatting>
  <conditionalFormatting sqref="AR109">
    <cfRule type="expression" dxfId="0" priority="370">
      <formula>LEFT($AR109,2)="违规"</formula>
    </cfRule>
    <cfRule type="expression" dxfId="1" priority="400">
      <formula>$AR109="通过"</formula>
    </cfRule>
  </conditionalFormatting>
  <conditionalFormatting sqref="G110">
    <cfRule type="expression" dxfId="0" priority="159">
      <formula>$G110="禁止开仓"</formula>
    </cfRule>
    <cfRule type="expression" dxfId="1" priority="189">
      <formula>$G110="允许开仓"</formula>
    </cfRule>
    <cfRule type="expression" dxfId="0" priority="219">
      <formula>LEFT($G110,4)="禁止开仓"</formula>
    </cfRule>
    <cfRule type="expression" dxfId="2" priority="249">
      <formula>$G110="允许开仓（接近锁仓）"</formula>
    </cfRule>
    <cfRule type="expression" dxfId="1" priority="279">
      <formula>$G110="允许开仓"</formula>
    </cfRule>
  </conditionalFormatting>
  <conditionalFormatting sqref="W110">
    <cfRule type="cellIs" dxfId="2" priority="69" operator="lessThan">
      <formula>2</formula>
    </cfRule>
  </conditionalFormatting>
  <conditionalFormatting sqref="AC110">
    <cfRule type="expression" dxfId="0" priority="99">
      <formula>$AC110="达到或超过上限"</formula>
    </cfRule>
    <cfRule type="expression" dxfId="1" priority="129">
      <formula>$AC110="低于上限"</formula>
    </cfRule>
  </conditionalFormatting>
  <conditionalFormatting sqref="AJ110">
    <cfRule type="expression" dxfId="2" priority="309">
      <formula>$AJ110="周期与交易预期不匹配，请重新确认"</formula>
    </cfRule>
    <cfRule type="expression" dxfId="1" priority="339">
      <formula>$AJ110="匹配"</formula>
    </cfRule>
  </conditionalFormatting>
  <conditionalFormatting sqref="AR110">
    <cfRule type="expression" dxfId="0" priority="369">
      <formula>LEFT($AR110,2)="违规"</formula>
    </cfRule>
    <cfRule type="expression" dxfId="1" priority="399">
      <formula>$AR110="通过"</formula>
    </cfRule>
  </conditionalFormatting>
  <conditionalFormatting sqref="G111">
    <cfRule type="expression" dxfId="0" priority="158">
      <formula>$G111="禁止开仓"</formula>
    </cfRule>
    <cfRule type="expression" dxfId="1" priority="188">
      <formula>$G111="允许开仓"</formula>
    </cfRule>
    <cfRule type="expression" dxfId="0" priority="218">
      <formula>LEFT($G111,4)="禁止开仓"</formula>
    </cfRule>
    <cfRule type="expression" dxfId="2" priority="248">
      <formula>$G111="允许开仓（接近锁仓）"</formula>
    </cfRule>
    <cfRule type="expression" dxfId="1" priority="278">
      <formula>$G111="允许开仓"</formula>
    </cfRule>
  </conditionalFormatting>
  <conditionalFormatting sqref="W111">
    <cfRule type="cellIs" dxfId="2" priority="68" operator="lessThan">
      <formula>2</formula>
    </cfRule>
  </conditionalFormatting>
  <conditionalFormatting sqref="AC111">
    <cfRule type="expression" dxfId="0" priority="98">
      <formula>$AC111="达到或超过上限"</formula>
    </cfRule>
    <cfRule type="expression" dxfId="1" priority="128">
      <formula>$AC111="低于上限"</formula>
    </cfRule>
  </conditionalFormatting>
  <conditionalFormatting sqref="AJ111">
    <cfRule type="expression" dxfId="2" priority="308">
      <formula>$AJ111="周期与交易预期不匹配，请重新确认"</formula>
    </cfRule>
    <cfRule type="expression" dxfId="1" priority="338">
      <formula>$AJ111="匹配"</formula>
    </cfRule>
  </conditionalFormatting>
  <conditionalFormatting sqref="AR111">
    <cfRule type="expression" dxfId="0" priority="368">
      <formula>LEFT($AR111,2)="违规"</formula>
    </cfRule>
    <cfRule type="expression" dxfId="1" priority="398">
      <formula>$AR111="通过"</formula>
    </cfRule>
  </conditionalFormatting>
  <conditionalFormatting sqref="G112">
    <cfRule type="expression" dxfId="0" priority="157">
      <formula>$G112="禁止开仓"</formula>
    </cfRule>
    <cfRule type="expression" dxfId="1" priority="187">
      <formula>$G112="允许开仓"</formula>
    </cfRule>
    <cfRule type="expression" dxfId="0" priority="217">
      <formula>LEFT($G112,4)="禁止开仓"</formula>
    </cfRule>
    <cfRule type="expression" dxfId="2" priority="247">
      <formula>$G112="允许开仓（接近锁仓）"</formula>
    </cfRule>
    <cfRule type="expression" dxfId="1" priority="277">
      <formula>$G112="允许开仓"</formula>
    </cfRule>
  </conditionalFormatting>
  <conditionalFormatting sqref="W112">
    <cfRule type="cellIs" dxfId="2" priority="67" operator="lessThan">
      <formula>2</formula>
    </cfRule>
  </conditionalFormatting>
  <conditionalFormatting sqref="AC112">
    <cfRule type="expression" dxfId="0" priority="97">
      <formula>$AC112="达到或超过上限"</formula>
    </cfRule>
    <cfRule type="expression" dxfId="1" priority="127">
      <formula>$AC112="低于上限"</formula>
    </cfRule>
  </conditionalFormatting>
  <conditionalFormatting sqref="AJ112">
    <cfRule type="expression" dxfId="2" priority="307">
      <formula>$AJ112="周期与交易预期不匹配，请重新确认"</formula>
    </cfRule>
    <cfRule type="expression" dxfId="1" priority="337">
      <formula>$AJ112="匹配"</formula>
    </cfRule>
  </conditionalFormatting>
  <conditionalFormatting sqref="AR112">
    <cfRule type="expression" dxfId="0" priority="367">
      <formula>LEFT($AR112,2)="违规"</formula>
    </cfRule>
    <cfRule type="expression" dxfId="1" priority="397">
      <formula>$AR112="通过"</formula>
    </cfRule>
  </conditionalFormatting>
  <conditionalFormatting sqref="G113">
    <cfRule type="expression" dxfId="0" priority="156">
      <formula>$G113="禁止开仓"</formula>
    </cfRule>
    <cfRule type="expression" dxfId="1" priority="186">
      <formula>$G113="允许开仓"</formula>
    </cfRule>
    <cfRule type="expression" dxfId="0" priority="216">
      <formula>LEFT($G113,4)="禁止开仓"</formula>
    </cfRule>
    <cfRule type="expression" dxfId="2" priority="246">
      <formula>$G113="允许开仓（接近锁仓）"</formula>
    </cfRule>
    <cfRule type="expression" dxfId="1" priority="276">
      <formula>$G113="允许开仓"</formula>
    </cfRule>
  </conditionalFormatting>
  <conditionalFormatting sqref="W113">
    <cfRule type="cellIs" dxfId="2" priority="66" operator="lessThan">
      <formula>2</formula>
    </cfRule>
  </conditionalFormatting>
  <conditionalFormatting sqref="AC113">
    <cfRule type="expression" dxfId="0" priority="96">
      <formula>$AC113="达到或超过上限"</formula>
    </cfRule>
    <cfRule type="expression" dxfId="1" priority="126">
      <formula>$AC113="低于上限"</formula>
    </cfRule>
  </conditionalFormatting>
  <conditionalFormatting sqref="AJ113">
    <cfRule type="expression" dxfId="2" priority="306">
      <formula>$AJ113="周期与交易预期不匹配，请重新确认"</formula>
    </cfRule>
    <cfRule type="expression" dxfId="1" priority="336">
      <formula>$AJ113="匹配"</formula>
    </cfRule>
  </conditionalFormatting>
  <conditionalFormatting sqref="AR113">
    <cfRule type="expression" dxfId="0" priority="366">
      <formula>LEFT($AR113,2)="违规"</formula>
    </cfRule>
    <cfRule type="expression" dxfId="1" priority="396">
      <formula>$AR113="通过"</formula>
    </cfRule>
  </conditionalFormatting>
  <conditionalFormatting sqref="G114">
    <cfRule type="expression" dxfId="0" priority="155">
      <formula>$G114="禁止开仓"</formula>
    </cfRule>
    <cfRule type="expression" dxfId="1" priority="185">
      <formula>$G114="允许开仓"</formula>
    </cfRule>
    <cfRule type="expression" dxfId="0" priority="215">
      <formula>LEFT($G114,4)="禁止开仓"</formula>
    </cfRule>
    <cfRule type="expression" dxfId="2" priority="245">
      <formula>$G114="允许开仓（接近锁仓）"</formula>
    </cfRule>
    <cfRule type="expression" dxfId="1" priority="275">
      <formula>$G114="允许开仓"</formula>
    </cfRule>
  </conditionalFormatting>
  <conditionalFormatting sqref="W114">
    <cfRule type="cellIs" dxfId="2" priority="65" operator="lessThan">
      <formula>2</formula>
    </cfRule>
  </conditionalFormatting>
  <conditionalFormatting sqref="AC114">
    <cfRule type="expression" dxfId="0" priority="95">
      <formula>$AC114="达到或超过上限"</formula>
    </cfRule>
    <cfRule type="expression" dxfId="1" priority="125">
      <formula>$AC114="低于上限"</formula>
    </cfRule>
  </conditionalFormatting>
  <conditionalFormatting sqref="AJ114">
    <cfRule type="expression" dxfId="2" priority="305">
      <formula>$AJ114="周期与交易预期不匹配，请重新确认"</formula>
    </cfRule>
    <cfRule type="expression" dxfId="1" priority="335">
      <formula>$AJ114="匹配"</formula>
    </cfRule>
  </conditionalFormatting>
  <conditionalFormatting sqref="AR114">
    <cfRule type="expression" dxfId="0" priority="365">
      <formula>LEFT($AR114,2)="违规"</formula>
    </cfRule>
    <cfRule type="expression" dxfId="1" priority="395">
      <formula>$AR114="通过"</formula>
    </cfRule>
  </conditionalFormatting>
  <conditionalFormatting sqref="G115">
    <cfRule type="expression" dxfId="0" priority="154">
      <formula>$G115="禁止开仓"</formula>
    </cfRule>
    <cfRule type="expression" dxfId="1" priority="184">
      <formula>$G115="允许开仓"</formula>
    </cfRule>
    <cfRule type="expression" dxfId="0" priority="214">
      <formula>LEFT($G115,4)="禁止开仓"</formula>
    </cfRule>
    <cfRule type="expression" dxfId="2" priority="244">
      <formula>$G115="允许开仓（接近锁仓）"</formula>
    </cfRule>
    <cfRule type="expression" dxfId="1" priority="274">
      <formula>$G115="允许开仓"</formula>
    </cfRule>
  </conditionalFormatting>
  <conditionalFormatting sqref="W115">
    <cfRule type="cellIs" dxfId="2" priority="64" operator="lessThan">
      <formula>2</formula>
    </cfRule>
  </conditionalFormatting>
  <conditionalFormatting sqref="AC115">
    <cfRule type="expression" dxfId="0" priority="94">
      <formula>$AC115="达到或超过上限"</formula>
    </cfRule>
    <cfRule type="expression" dxfId="1" priority="124">
      <formula>$AC115="低于上限"</formula>
    </cfRule>
  </conditionalFormatting>
  <conditionalFormatting sqref="AJ115">
    <cfRule type="expression" dxfId="2" priority="304">
      <formula>$AJ115="周期与交易预期不匹配，请重新确认"</formula>
    </cfRule>
    <cfRule type="expression" dxfId="1" priority="334">
      <formula>$AJ115="匹配"</formula>
    </cfRule>
  </conditionalFormatting>
  <conditionalFormatting sqref="AR115">
    <cfRule type="expression" dxfId="0" priority="364">
      <formula>LEFT($AR115,2)="违规"</formula>
    </cfRule>
    <cfRule type="expression" dxfId="1" priority="394">
      <formula>$AR115="通过"</formula>
    </cfRule>
  </conditionalFormatting>
  <conditionalFormatting sqref="G116">
    <cfRule type="expression" dxfId="0" priority="153">
      <formula>$G116="禁止开仓"</formula>
    </cfRule>
    <cfRule type="expression" dxfId="1" priority="183">
      <formula>$G116="允许开仓"</formula>
    </cfRule>
    <cfRule type="expression" dxfId="0" priority="213">
      <formula>LEFT($G116,4)="禁止开仓"</formula>
    </cfRule>
    <cfRule type="expression" dxfId="2" priority="243">
      <formula>$G116="允许开仓（接近锁仓）"</formula>
    </cfRule>
    <cfRule type="expression" dxfId="1" priority="273">
      <formula>$G116="允许开仓"</formula>
    </cfRule>
  </conditionalFormatting>
  <conditionalFormatting sqref="W116">
    <cfRule type="cellIs" dxfId="2" priority="63" operator="lessThan">
      <formula>2</formula>
    </cfRule>
  </conditionalFormatting>
  <conditionalFormatting sqref="AC116">
    <cfRule type="expression" dxfId="0" priority="93">
      <formula>$AC116="达到或超过上限"</formula>
    </cfRule>
    <cfRule type="expression" dxfId="1" priority="123">
      <formula>$AC116="低于上限"</formula>
    </cfRule>
  </conditionalFormatting>
  <conditionalFormatting sqref="AJ116">
    <cfRule type="expression" dxfId="2" priority="303">
      <formula>$AJ116="周期与交易预期不匹配，请重新确认"</formula>
    </cfRule>
    <cfRule type="expression" dxfId="1" priority="333">
      <formula>$AJ116="匹配"</formula>
    </cfRule>
  </conditionalFormatting>
  <conditionalFormatting sqref="AR116">
    <cfRule type="expression" dxfId="0" priority="363">
      <formula>LEFT($AR116,2)="违规"</formula>
    </cfRule>
    <cfRule type="expression" dxfId="1" priority="393">
      <formula>$AR116="通过"</formula>
    </cfRule>
  </conditionalFormatting>
  <conditionalFormatting sqref="G117">
    <cfRule type="expression" dxfId="0" priority="152">
      <formula>$G117="禁止开仓"</formula>
    </cfRule>
    <cfRule type="expression" dxfId="1" priority="182">
      <formula>$G117="允许开仓"</formula>
    </cfRule>
    <cfRule type="expression" dxfId="0" priority="212">
      <formula>LEFT($G117,4)="禁止开仓"</formula>
    </cfRule>
    <cfRule type="expression" dxfId="2" priority="242">
      <formula>$G117="允许开仓（接近锁仓）"</formula>
    </cfRule>
    <cfRule type="expression" dxfId="1" priority="272">
      <formula>$G117="允许开仓"</formula>
    </cfRule>
  </conditionalFormatting>
  <conditionalFormatting sqref="W117">
    <cfRule type="cellIs" dxfId="2" priority="62" operator="lessThan">
      <formula>2</formula>
    </cfRule>
  </conditionalFormatting>
  <conditionalFormatting sqref="AC117">
    <cfRule type="expression" dxfId="0" priority="92">
      <formula>$AC117="达到或超过上限"</formula>
    </cfRule>
    <cfRule type="expression" dxfId="1" priority="122">
      <formula>$AC117="低于上限"</formula>
    </cfRule>
  </conditionalFormatting>
  <conditionalFormatting sqref="AJ117">
    <cfRule type="expression" dxfId="2" priority="302">
      <formula>$AJ117="周期与交易预期不匹配，请重新确认"</formula>
    </cfRule>
    <cfRule type="expression" dxfId="1" priority="332">
      <formula>$AJ117="匹配"</formula>
    </cfRule>
  </conditionalFormatting>
  <conditionalFormatting sqref="AR117">
    <cfRule type="expression" dxfId="0" priority="362">
      <formula>LEFT($AR117,2)="违规"</formula>
    </cfRule>
    <cfRule type="expression" dxfId="1" priority="392">
      <formula>$AR117="通过"</formula>
    </cfRule>
  </conditionalFormatting>
  <conditionalFormatting sqref="G118">
    <cfRule type="expression" dxfId="0" priority="151">
      <formula>$G118="禁止开仓"</formula>
    </cfRule>
    <cfRule type="expression" dxfId="1" priority="181">
      <formula>$G118="允许开仓"</formula>
    </cfRule>
    <cfRule type="expression" dxfId="0" priority="211">
      <formula>LEFT($G118,4)="禁止开仓"</formula>
    </cfRule>
    <cfRule type="expression" dxfId="2" priority="241">
      <formula>$G118="允许开仓（接近锁仓）"</formula>
    </cfRule>
    <cfRule type="expression" dxfId="1" priority="271">
      <formula>$G118="允许开仓"</formula>
    </cfRule>
  </conditionalFormatting>
  <conditionalFormatting sqref="W118">
    <cfRule type="cellIs" dxfId="2" priority="61" operator="lessThan">
      <formula>2</formula>
    </cfRule>
  </conditionalFormatting>
  <conditionalFormatting sqref="AC118">
    <cfRule type="expression" dxfId="0" priority="91">
      <formula>$AC118="达到或超过上限"</formula>
    </cfRule>
    <cfRule type="expression" dxfId="1" priority="121">
      <formula>$AC118="低于上限"</formula>
    </cfRule>
  </conditionalFormatting>
  <conditionalFormatting sqref="AJ118">
    <cfRule type="expression" dxfId="2" priority="301">
      <formula>$AJ118="周期与交易预期不匹配，请重新确认"</formula>
    </cfRule>
    <cfRule type="expression" dxfId="1" priority="331">
      <formula>$AJ118="匹配"</formula>
    </cfRule>
  </conditionalFormatting>
  <conditionalFormatting sqref="AR118">
    <cfRule type="expression" dxfId="0" priority="361">
      <formula>LEFT($AR118,2)="违规"</formula>
    </cfRule>
    <cfRule type="expression" dxfId="1" priority="391">
      <formula>$AR118="通过"</formula>
    </cfRule>
  </conditionalFormatting>
  <conditionalFormatting sqref="G2:G88">
    <cfRule type="expression" dxfId="0" priority="430">
      <formula>$G2="禁止开仓"</formula>
    </cfRule>
    <cfRule type="expression" dxfId="1" priority="431">
      <formula>$G2="允许开仓"</formula>
    </cfRule>
    <cfRule type="expression" dxfId="0" priority="432">
      <formula>LEFT($G2,4)="禁止开仓"</formula>
    </cfRule>
    <cfRule type="expression" dxfId="2" priority="433">
      <formula>$G2="允许开仓（接近锁仓）"</formula>
    </cfRule>
    <cfRule type="expression" dxfId="1" priority="434">
      <formula>$G2="允许开仓"</formula>
    </cfRule>
  </conditionalFormatting>
  <conditionalFormatting sqref="W2:W88">
    <cfRule type="cellIs" dxfId="2" priority="423" operator="lessThan">
      <formula>2</formula>
    </cfRule>
  </conditionalFormatting>
  <conditionalFormatting sqref="AC2:AC88">
    <cfRule type="expression" dxfId="0" priority="424">
      <formula>$AC2="达到或超过上限"</formula>
    </cfRule>
    <cfRule type="expression" dxfId="1" priority="425">
      <formula>$AC2="低于上限"</formula>
    </cfRule>
  </conditionalFormatting>
  <conditionalFormatting sqref="AJ2:AJ88">
    <cfRule type="expression" dxfId="2" priority="435">
      <formula>$AJ2="周期与交易预期不匹配，请重新确认"</formula>
    </cfRule>
    <cfRule type="expression" dxfId="1" priority="436">
      <formula>$AJ2="匹配"</formula>
    </cfRule>
  </conditionalFormatting>
  <conditionalFormatting sqref="AR2:AR88">
    <cfRule type="expression" dxfId="0" priority="437">
      <formula>LEFT($AR2,2)="违规"</formula>
    </cfRule>
    <cfRule type="expression" dxfId="1" priority="438">
      <formula>$AR2="通过"</formula>
    </cfRule>
  </conditionalFormatting>
  <conditionalFormatting sqref="X2:Y88 AE2:AE88">
    <cfRule type="cellIs" dxfId="1" priority="421" operator="greaterThan">
      <formula>0</formula>
    </cfRule>
    <cfRule type="cellIs" dxfId="0" priority="422" operator="lessThan">
      <formula>0</formula>
    </cfRule>
  </conditionalFormatting>
  <conditionalFormatting sqref="X89:Y89 AE89">
    <cfRule type="cellIs" dxfId="0" priority="60" operator="lessThan">
      <formula>0</formula>
    </cfRule>
    <cfRule type="cellIs" dxfId="1" priority="30" operator="greaterThan">
      <formula>0</formula>
    </cfRule>
  </conditionalFormatting>
  <conditionalFormatting sqref="X90:Y90 AE90">
    <cfRule type="cellIs" dxfId="0" priority="59" operator="lessThan">
      <formula>0</formula>
    </cfRule>
    <cfRule type="cellIs" dxfId="1" priority="29" operator="greaterThan">
      <formula>0</formula>
    </cfRule>
  </conditionalFormatting>
  <conditionalFormatting sqref="X91:Y91 AE91">
    <cfRule type="cellIs" dxfId="0" priority="58" operator="lessThan">
      <formula>0</formula>
    </cfRule>
    <cfRule type="cellIs" dxfId="1" priority="28" operator="greaterThan">
      <formula>0</formula>
    </cfRule>
  </conditionalFormatting>
  <conditionalFormatting sqref="X92:Y92 AE92">
    <cfRule type="cellIs" dxfId="0" priority="57" operator="lessThan">
      <formula>0</formula>
    </cfRule>
    <cfRule type="cellIs" dxfId="1" priority="27" operator="greaterThan">
      <formula>0</formula>
    </cfRule>
  </conditionalFormatting>
  <conditionalFormatting sqref="X93:Y93 AE93">
    <cfRule type="cellIs" dxfId="0" priority="56" operator="lessThan">
      <formula>0</formula>
    </cfRule>
    <cfRule type="cellIs" dxfId="1" priority="26" operator="greaterThan">
      <formula>0</formula>
    </cfRule>
  </conditionalFormatting>
  <conditionalFormatting sqref="X94:Y94 AE94">
    <cfRule type="cellIs" dxfId="0" priority="55" operator="lessThan">
      <formula>0</formula>
    </cfRule>
    <cfRule type="cellIs" dxfId="1" priority="25" operator="greaterThan">
      <formula>0</formula>
    </cfRule>
  </conditionalFormatting>
  <conditionalFormatting sqref="X95:Y95 AE95">
    <cfRule type="cellIs" dxfId="0" priority="54" operator="lessThan">
      <formula>0</formula>
    </cfRule>
    <cfRule type="cellIs" dxfId="1" priority="24" operator="greaterThan">
      <formula>0</formula>
    </cfRule>
  </conditionalFormatting>
  <conditionalFormatting sqref="X96:Y96 AE96">
    <cfRule type="cellIs" dxfId="0" priority="53" operator="lessThan">
      <formula>0</formula>
    </cfRule>
    <cfRule type="cellIs" dxfId="1" priority="23" operator="greaterThan">
      <formula>0</formula>
    </cfRule>
  </conditionalFormatting>
  <conditionalFormatting sqref="X97:Y97 AE97">
    <cfRule type="cellIs" dxfId="0" priority="52" operator="lessThan">
      <formula>0</formula>
    </cfRule>
    <cfRule type="cellIs" dxfId="1" priority="22" operator="greaterThan">
      <formula>0</formula>
    </cfRule>
  </conditionalFormatting>
  <conditionalFormatting sqref="X98:Y98 AE98">
    <cfRule type="cellIs" dxfId="0" priority="51" operator="lessThan">
      <formula>0</formula>
    </cfRule>
    <cfRule type="cellIs" dxfId="1" priority="21" operator="greaterThan">
      <formula>0</formula>
    </cfRule>
  </conditionalFormatting>
  <conditionalFormatting sqref="X99:Y99 AE99">
    <cfRule type="cellIs" dxfId="0" priority="50" operator="lessThan">
      <formula>0</formula>
    </cfRule>
    <cfRule type="cellIs" dxfId="1" priority="20" operator="greaterThan">
      <formula>0</formula>
    </cfRule>
  </conditionalFormatting>
  <conditionalFormatting sqref="X100:Y100 AE100">
    <cfRule type="cellIs" dxfId="0" priority="49" operator="lessThan">
      <formula>0</formula>
    </cfRule>
    <cfRule type="cellIs" dxfId="1" priority="19" operator="greaterThan">
      <formula>0</formula>
    </cfRule>
  </conditionalFormatting>
  <conditionalFormatting sqref="X101:Y101 AE101">
    <cfRule type="cellIs" dxfId="0" priority="48" operator="lessThan">
      <formula>0</formula>
    </cfRule>
    <cfRule type="cellIs" dxfId="1" priority="18" operator="greaterThan">
      <formula>0</formula>
    </cfRule>
  </conditionalFormatting>
  <conditionalFormatting sqref="X102:Y102 AE102">
    <cfRule type="cellIs" dxfId="0" priority="47" operator="lessThan">
      <formula>0</formula>
    </cfRule>
    <cfRule type="cellIs" dxfId="1" priority="17" operator="greaterThan">
      <formula>0</formula>
    </cfRule>
  </conditionalFormatting>
  <conditionalFormatting sqref="X103:Y103 AE103">
    <cfRule type="cellIs" dxfId="0" priority="46" operator="lessThan">
      <formula>0</formula>
    </cfRule>
    <cfRule type="cellIs" dxfId="1" priority="16" operator="greaterThan">
      <formula>0</formula>
    </cfRule>
  </conditionalFormatting>
  <conditionalFormatting sqref="X104:Y104 AE104">
    <cfRule type="cellIs" dxfId="0" priority="45" operator="lessThan">
      <formula>0</formula>
    </cfRule>
    <cfRule type="cellIs" dxfId="1" priority="15" operator="greaterThan">
      <formula>0</formula>
    </cfRule>
  </conditionalFormatting>
  <conditionalFormatting sqref="X105:Y105 AE105">
    <cfRule type="cellIs" dxfId="0" priority="44" operator="lessThan">
      <formula>0</formula>
    </cfRule>
    <cfRule type="cellIs" dxfId="1" priority="14" operator="greaterThan">
      <formula>0</formula>
    </cfRule>
  </conditionalFormatting>
  <conditionalFormatting sqref="X106:Y106 AE106">
    <cfRule type="cellIs" dxfId="0" priority="43" operator="lessThan">
      <formula>0</formula>
    </cfRule>
    <cfRule type="cellIs" dxfId="1" priority="13" operator="greaterThan">
      <formula>0</formula>
    </cfRule>
  </conditionalFormatting>
  <conditionalFormatting sqref="X107:Y107 AE107">
    <cfRule type="cellIs" dxfId="0" priority="42" operator="lessThan">
      <formula>0</formula>
    </cfRule>
    <cfRule type="cellIs" dxfId="1" priority="12" operator="greaterThan">
      <formula>0</formula>
    </cfRule>
  </conditionalFormatting>
  <conditionalFormatting sqref="X108:Y108 AE108">
    <cfRule type="cellIs" dxfId="0" priority="41" operator="lessThan">
      <formula>0</formula>
    </cfRule>
    <cfRule type="cellIs" dxfId="1" priority="11" operator="greaterThan">
      <formula>0</formula>
    </cfRule>
  </conditionalFormatting>
  <conditionalFormatting sqref="X109:Y109 AE109">
    <cfRule type="cellIs" dxfId="0" priority="40" operator="lessThan">
      <formula>0</formula>
    </cfRule>
    <cfRule type="cellIs" dxfId="1" priority="10" operator="greaterThan">
      <formula>0</formula>
    </cfRule>
  </conditionalFormatting>
  <conditionalFormatting sqref="X110:Y110 AE110">
    <cfRule type="cellIs" dxfId="0" priority="39" operator="lessThan">
      <formula>0</formula>
    </cfRule>
    <cfRule type="cellIs" dxfId="1" priority="9" operator="greaterThan">
      <formula>0</formula>
    </cfRule>
  </conditionalFormatting>
  <conditionalFormatting sqref="X111:Y111 AE111">
    <cfRule type="cellIs" dxfId="0" priority="38" operator="lessThan">
      <formula>0</formula>
    </cfRule>
    <cfRule type="cellIs" dxfId="1" priority="8" operator="greaterThan">
      <formula>0</formula>
    </cfRule>
  </conditionalFormatting>
  <conditionalFormatting sqref="X112:Y112 AE112">
    <cfRule type="cellIs" dxfId="0" priority="37" operator="lessThan">
      <formula>0</formula>
    </cfRule>
    <cfRule type="cellIs" dxfId="1" priority="7" operator="greaterThan">
      <formula>0</formula>
    </cfRule>
  </conditionalFormatting>
  <conditionalFormatting sqref="X113:Y113 AE113">
    <cfRule type="cellIs" dxfId="0" priority="36" operator="lessThan">
      <formula>0</formula>
    </cfRule>
    <cfRule type="cellIs" dxfId="1" priority="6" operator="greaterThan">
      <formula>0</formula>
    </cfRule>
  </conditionalFormatting>
  <conditionalFormatting sqref="X114:Y114 AE114">
    <cfRule type="cellIs" dxfId="0" priority="35" operator="lessThan">
      <formula>0</formula>
    </cfRule>
    <cfRule type="cellIs" dxfId="1" priority="5" operator="greaterThan">
      <formula>0</formula>
    </cfRule>
  </conditionalFormatting>
  <conditionalFormatting sqref="X115:Y115 AE115">
    <cfRule type="cellIs" dxfId="0" priority="34" operator="lessThan">
      <formula>0</formula>
    </cfRule>
    <cfRule type="cellIs" dxfId="1" priority="4" operator="greaterThan">
      <formula>0</formula>
    </cfRule>
  </conditionalFormatting>
  <conditionalFormatting sqref="X116:Y116 AE116">
    <cfRule type="cellIs" dxfId="0" priority="33" operator="lessThan">
      <formula>0</formula>
    </cfRule>
    <cfRule type="cellIs" dxfId="1" priority="3" operator="greaterThan">
      <formula>0</formula>
    </cfRule>
  </conditionalFormatting>
  <conditionalFormatting sqref="X117:Y117 AE117">
    <cfRule type="cellIs" dxfId="0" priority="32" operator="lessThan">
      <formula>0</formula>
    </cfRule>
    <cfRule type="cellIs" dxfId="1" priority="2" operator="greaterThan">
      <formula>0</formula>
    </cfRule>
  </conditionalFormatting>
  <conditionalFormatting sqref="X118:Y118 AE118">
    <cfRule type="cellIs" dxfId="0" priority="31" operator="lessThan">
      <formula>0</formula>
    </cfRule>
    <cfRule type="cellIs" dxfId="1" priority="1" operator="greaterThan">
      <formula>0</formula>
    </cfRule>
  </conditionalFormatting>
  <dataValidations count="16">
    <dataValidation type="date" operator="between" allowBlank="1" sqref="I53 I89 I90 I91 I92 I93 I94 I95 I96 I97 I98 I2:I52 I54:I55 I56:I88">
      <formula1>DATE(2000,1,1)</formula1>
      <formula2>DATE(2100,12,31)</formula2>
    </dataValidation>
    <dataValidation type="custom" allowBlank="1" sqref="M53">
      <formula1>OR(M53="",AND(ISNUMBER(M53),M53&gt;=#REF!))</formula1>
    </dataValidation>
    <dataValidation type="custom" allowBlank="1" sqref="M54 M2:M52 M56:M88">
      <formula1>OR(M2="",AND(ISNUMBER(M2),M2&gt;=I2))</formula1>
    </dataValidation>
    <dataValidation type="custom" allowBlank="1" sqref="M55">
      <formula1>OR(M55="",AND(ISNUMBER(M55),M55&gt;=I53))</formula1>
    </dataValidation>
    <dataValidation type="decimal" operator="greaterThan" allowBlank="1" sqref="C89 E89 J89 K89 N89 C90 E90 J90 K90 N90 C91 E91 J91 K91 N91 C92 E92 J92 K92 N92 C93 E93 J93 K93 N93 C94 E94 J94 K94 N94 C95 E95 J95 K95 N95 C96 E96 J96 K96 N96 C97 E97 J97 K97 N97 C98 E98 J98 K98 N98 C2:C88 E2:E88 N2:N88 J2:K88">
      <formula1>0</formula1>
    </dataValidation>
    <dataValidation type="decimal" operator="between" allowBlank="1" sqref="D89 D90 D91 D92 D93 D94 D95 D96 D97 D98 D2:D88">
      <formula1>0</formula1>
      <formula2>1</formula2>
    </dataValidation>
    <dataValidation type="custom" allowBlank="1" showErrorMessage="1" errorTitle="当前禁止开仓、计划不完整或风险超限" error="请完成解锁、止损计划和交易预期，确保股数为100股整数倍，且单笔及账户风险均未超过上限" sqref="H89 H90 H91 H92 H93 H94 H95 H96 H97 H98 H2:H88">
      <formula1>OR(H2="",AND(_LockStatus&lt;&gt;"已锁仓",_LockStatus&lt;&gt;"解锁信息不完整",AG2&lt;&gt;"",AH2&lt;&gt;"",AI2&lt;&gt;"",COUNTIFS(_TrackType,"止损计划",_TrackTradeId,A2,_TrackRule,"计划有效")&gt;0,ISNUMBER(H2),H2&gt;0,H2=INT(H2),MOD(H2,100)=0,AQ2&lt;=C2*D2,SUM($AQ$2:$AQ$98)&lt;=_AccountRiskLimit))</formula1>
    </dataValidation>
    <dataValidation type="custom" allowBlank="1" sqref="L89 L90 L91 L92 L93 L94 L95 L96 L97 L98 L2:L88">
      <formula1>OR(L2="",L2=H2)</formula1>
    </dataValidation>
    <dataValidation type="decimal" operator="greaterThanOrEqual" allowBlank="1" sqref="O89 P89 O90 P90 O91 P91 O92 P92 O93 P93 O94 P94 O95 P95 O96 P96 O97 P97 O98 P98 O2:P88">
      <formula1>0</formula1>
    </dataValidation>
    <dataValidation type="list" allowBlank="1" sqref="AD89 AD90 AD91 AD92 AD93 AD94 AD95 AD96 AD97 AD98 AD2:AD88">
      <formula1>"1-差,2-较差,3-一般,4-良好,5-优秀"</formula1>
    </dataValidation>
    <dataValidation type="list" allowBlank="1" showErrorMessage="1" errorTitle="交易预期无效" error="请从短期博反弹、突破冲新高、趋势波段中选择" sqref="AG89 AG90 AG91 AG92 AG93 AG94 AG95 AG96 AG97 AG98 AG2:AG88">
      <formula1>"短期博反弹,突破冲新高,趋势波段"</formula1>
    </dataValidation>
    <dataValidation type="list" allowBlank="1" showErrorMessage="1" errorTitle="预期持有周期无效" error="请从预设的交易日范围中选择" sqref="AH89 AH90 AH91 AH92 AH93 AH94 AH95 AH96 AH97 AH98 AH2:AH88">
      <formula1>"1～3个交易日,4～10个交易日,11～20个交易日,21～60个交易日,60个交易日以上"</formula1>
    </dataValidation>
    <dataValidation type="custom" allowBlank="1" showErrorMessage="1" errorTitle="第二批买入价无效" error="请填写大于0的价格；删除分仓时先删除股数" sqref="AK89 AK90 AK91 AK92 AK93 AK94 AK95 AK96 AK97 AK98 AK2:AK88">
      <formula1>OR(AK2="",AND(ISNUMBER(AK2),AK2&gt;0))</formula1>
    </dataValidation>
    <dataValidation type="custom" allowBlank="1" showErrorMessage="1" errorTitle="第二批加仓被阻止" error="请先填写第二批价格并确认已解锁；股数必须为100股整数倍，且加仓后不能超过单笔或账户风险上限" sqref="AL89 AL90 AL91 AL92 AL93 AL94 AL95 AL96 AL97 AL98 AL2:AL88">
      <formula1>OR(AL2="",AND(AK2&lt;&gt;"",ISNUMBER(AL2),AL2&gt;0,AL2=INT(AL2),MOD(AL2,100)=0,_LockStatus&lt;&gt;"已锁仓",_LockStatus&lt;&gt;"解锁信息不完整",AQ2&lt;=C2*D2,SUM($AQ$2:$AQ$98)&lt;=_AccountRiskLimit))</formula1>
    </dataValidation>
    <dataValidation type="custom" allowBlank="1" showErrorMessage="1" errorTitle="第三批买入价无效" error="请先完整填写第二批，再填写大于0的第三批价格" sqref="AM89 AM90 AM91 AM92 AM93 AM94 AM95 AM96 AM97 AM98 AM2:AM88">
      <formula1>OR(AM2="",AND(ISNUMBER(AM2),AM2&gt;0,AND(AK2&lt;&gt;"",AL2&lt;&gt;"")))</formula1>
    </dataValidation>
    <dataValidation type="custom" allowBlank="1" showErrorMessage="1" errorTitle="第三批加仓被阻止" error="请先完整填写前两批并确认已解锁；股数必须为100股整数倍，且加仓后不能超过单笔或账户风险上限" sqref="AN89 AN90 AN91 AN92 AN93 AN94 AN95 AN96 AN97 AN98 AN2:AN88">
      <formula1>OR(AN2="",AND(AK2&lt;&gt;"",AL2&lt;&gt;"",AM2&lt;&gt;"",ISNUMBER(AN2),AN2&gt;0,AN2=INT(AN2),MOD(AN2,100)=0,_LockStatus&lt;&gt;"已锁仓",_LockStatus&lt;&gt;"解锁信息不完整",AQ2&lt;=C2*D2,SUM($AQ$2:$AQ$98)&lt;=_AccountRiskLimit))</formula1>
    </dataValidation>
  </dataValidations>
  <pageMargins left="0.75" right="0.75" top="1" bottom="1" header="0.5" footer="0.5"/>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57"/>
  <sheetViews>
    <sheetView showGridLines="0" workbookViewId="0">
      <pane xSplit="3" ySplit="1" topLeftCell="D79" activePane="bottomRight" state="frozen"/>
      <selection/>
      <selection pane="topRight"/>
      <selection pane="bottomLeft"/>
      <selection pane="bottomRight" activeCell="E92" sqref="E92"/>
    </sheetView>
  </sheetViews>
  <sheetFormatPr defaultColWidth="9" defaultRowHeight="16.8"/>
  <cols>
    <col min="1" max="3" width="14" customWidth="1"/>
    <col min="4" max="4" width="15" customWidth="1"/>
    <col min="5" max="5" width="12" customWidth="1"/>
    <col min="6" max="6" width="16" customWidth="1"/>
    <col min="7" max="7" width="28" customWidth="1"/>
    <col min="8" max="8" width="13" customWidth="1"/>
    <col min="9" max="9" width="12" customWidth="1"/>
    <col min="10" max="10" width="14" customWidth="1"/>
    <col min="11" max="11" width="28" customWidth="1"/>
    <col min="12" max="12" width="16" customWidth="1"/>
    <col min="13" max="13" width="30" customWidth="1"/>
    <col min="14" max="14" width="13" customWidth="1"/>
    <col min="15" max="15" width="16" customWidth="1"/>
    <col min="16" max="16" width="18" customWidth="1"/>
    <col min="17" max="17" width="15" customWidth="1"/>
    <col min="18" max="19" width="16" customWidth="1"/>
    <col min="20" max="22" width="18" customWidth="1"/>
    <col min="23" max="23" width="24" customWidth="1"/>
    <col min="24" max="25" width="14" customWidth="1"/>
    <col min="26" max="26" width="16" customWidth="1"/>
    <col min="27" max="27" width="14" customWidth="1"/>
    <col min="28" max="28" width="26" customWidth="1"/>
    <col min="29" max="29" width="28" customWidth="1"/>
  </cols>
  <sheetData>
    <row r="1" ht="42" customHeight="1" spans="1:29">
      <c r="A1" s="16" t="s">
        <v>70</v>
      </c>
      <c r="B1" s="16" t="s">
        <v>0</v>
      </c>
      <c r="C1" s="16" t="s">
        <v>1</v>
      </c>
      <c r="D1" s="16" t="s">
        <v>71</v>
      </c>
      <c r="E1" s="16" t="s">
        <v>72</v>
      </c>
      <c r="F1" s="16" t="s">
        <v>73</v>
      </c>
      <c r="G1" s="16" t="s">
        <v>74</v>
      </c>
      <c r="H1" s="16" t="s">
        <v>75</v>
      </c>
      <c r="I1" s="16" t="s">
        <v>76</v>
      </c>
      <c r="J1" s="16" t="s">
        <v>77</v>
      </c>
      <c r="K1" s="16" t="s">
        <v>78</v>
      </c>
      <c r="L1" s="16" t="s">
        <v>79</v>
      </c>
      <c r="M1" s="16" t="s">
        <v>80</v>
      </c>
      <c r="N1" s="16" t="s">
        <v>81</v>
      </c>
      <c r="O1" s="16" t="s">
        <v>82</v>
      </c>
      <c r="P1" s="16" t="s">
        <v>83</v>
      </c>
      <c r="Q1" s="16" t="s">
        <v>84</v>
      </c>
      <c r="R1" s="16" t="s">
        <v>85</v>
      </c>
      <c r="S1" s="16" t="s">
        <v>86</v>
      </c>
      <c r="T1" s="16" t="s">
        <v>87</v>
      </c>
      <c r="U1" s="16" t="s">
        <v>88</v>
      </c>
      <c r="V1" s="16" t="s">
        <v>89</v>
      </c>
      <c r="W1" s="16" t="s">
        <v>90</v>
      </c>
      <c r="X1" s="16" t="s">
        <v>91</v>
      </c>
      <c r="Y1" s="16" t="s">
        <v>10</v>
      </c>
      <c r="Z1" s="16" t="s">
        <v>92</v>
      </c>
      <c r="AA1" s="16" t="s">
        <v>15</v>
      </c>
      <c r="AB1" s="16" t="s">
        <v>93</v>
      </c>
      <c r="AC1" s="16" t="s">
        <v>94</v>
      </c>
    </row>
    <row r="2" ht="17" spans="1:29">
      <c r="A2" s="2" t="s">
        <v>95</v>
      </c>
      <c r="B2" s="2">
        <v>1</v>
      </c>
      <c r="C2" s="8" t="str">
        <f>IF(B2="","",IFERROR(LOOKUP(2,1/(单次交易!$A$2:$A$88=B2),单次交易!$B$2:$B$88),""))</f>
        <v>节电风能</v>
      </c>
      <c r="D2" s="12"/>
      <c r="E2" s="10"/>
      <c r="F2" s="10"/>
      <c r="G2" s="2"/>
      <c r="H2" s="13">
        <v>42578</v>
      </c>
      <c r="I2" s="10">
        <v>3.68</v>
      </c>
      <c r="J2" s="12"/>
      <c r="K2" s="2"/>
      <c r="L2" s="2"/>
      <c r="M2" s="2"/>
      <c r="N2" s="5">
        <f>IF(B2="","",IFERROR(LOOKUP(2,1/(单次交易!$A$2:$A$88=B2),单次交易!$N$2:$N$88),""))</f>
        <v>3.7</v>
      </c>
      <c r="O2" s="5">
        <f t="shared" ref="O2:O33" si="0">IF(A2&lt;&gt;"每日跟踪","",IF(OR(B2="",H2="",I2=""),"",IFERROR(SUMPRODUCT(MAX((($A$2:$A$157="每日跟踪")*($B$2:$B$157=B2)*($H$2:$H$157&lt;=H2))*$I$2:$I$157)),"")))</f>
        <v>3.68</v>
      </c>
      <c r="P2" s="11">
        <f t="shared" ref="P2:P33" si="1">IF(A2&lt;&gt;"每日跟踪","",IF(O2="","",IFERROR(SUMPRODUCT(MAX((($A$2:$A$157="止损计划")*($B$2:$B$157=B2)*($E$2:$E$157&lt;=O2))*$D$2:$D$157)),0)))</f>
        <v>0</v>
      </c>
      <c r="Q2" s="5">
        <f t="shared" ref="Q2:Q33" si="2">IF(A2&lt;&gt;"每日跟踪","",IF(N2="","",MAX(N2,IFERROR(SUMPRODUCT(MAX((($A$2:$A$157="止损计划")*($B$2:$B$157=B2)*($E$2:$E$157&lt;=O2))*$F$2:$F$157)),0))))</f>
        <v>3.7</v>
      </c>
      <c r="R2" s="10"/>
      <c r="S2" s="5">
        <f t="shared" ref="S2:S33" si="3">IF(A2&lt;&gt;"每日跟踪","",IF(Q2="","",MAX(Q2,IFERROR(SUMPRODUCT(MAX((($A$2:$A$157="每日跟踪")*($B$2:$B$157=B2)*($H$2:$H$157&lt;=H2))*$R$2:$R$157)),0))))</f>
        <v>3.7</v>
      </c>
      <c r="T2" s="5" t="str">
        <f t="shared" ref="T2:T33" si="4">IF(A2&lt;&gt;"每日跟踪","",IF(O2="","",IF(COUNTIFS($A$2:$A$157,"止损计划",$B$2:$B$157,B2,$E$2:$E$157,"&gt;"&amp;O2)=0,"",INDEX($E$2:$E$157,MATCH(1,INDEX(($A$2:$A$157="止损计划")*($B$2:$B$157=B2)*($E$2:$E$157&gt;O2),0),0)))))</f>
        <v/>
      </c>
      <c r="U2" s="5" t="str">
        <f t="shared" ref="U2:U33" si="5">IF(OR(A2&lt;&gt;"每日跟踪",T2=""),"",IFERROR(SUMIFS($F$2:$F$157,$A$2:$A$157,"止损计划",$B$2:$B$157,B2,$E$2:$E$157,T2),""))</f>
        <v/>
      </c>
      <c r="V2" s="7" t="str">
        <f t="shared" ref="V2:V41" si="6">IF(OR(A2&lt;&gt;"每日跟踪",T2="",I2="",I2&lt;=0),"",T2/I2-1)</f>
        <v/>
      </c>
      <c r="W2" s="8" t="str">
        <f t="shared" ref="W2:W41" si="7">IF(A2&lt;&gt;"每日跟踪","",IF(OR(I2="",S2=""),"",IF(I2&lt;=S2,"触发止损：应全部卖出","继续观察")))</f>
        <v>触发止损：应全部卖出</v>
      </c>
      <c r="X2" s="2" t="s">
        <v>96</v>
      </c>
      <c r="Y2" s="10">
        <v>3.7</v>
      </c>
      <c r="Z2" s="11">
        <f>IF(X2&lt;&gt;"执行卖出","",IFERROR(LOOKUP(2,1/(单次交易!$A$2:$A$88=B2),单次交易!$AP$2:$AP$88),""))</f>
        <v>5000</v>
      </c>
      <c r="AA2" s="10"/>
      <c r="AB2" s="8" t="str">
        <f t="shared" ref="AB2:AB41" si="8">IF(A2&lt;&gt;"每日跟踪","",IF(OR(B2="",H2="",I2="",J2="",K2="",L2="",M2=""),"待补充每日记录",IF(W2="触发止损：应全部卖出",IF(X2&lt;&gt;"执行卖出","违规：触发止损但未执行",IF(Y2="","待补充实际卖出价","卖出记录完整")),IF(X2="","待选择卖出动作",IF(X2="执行卖出",IF(Y2="","待补充实际卖出价","卖出记录完整"),"正常")))))</f>
        <v>待补充每日记录</v>
      </c>
      <c r="AC2" s="8" t="str">
        <f>IF(A2="","",IF(A2="止损计划",IF(OR(B2="",D2="",E2="",F2="",G2=""),"计划不完整",IF(OR(D2&lt;1,D2&lt;&gt;INT(D2)),"阶段序号无效",IF(COUNTIFS($A$2:$A$157,"止损计划",$B$2:$B$157,B2,$D$2:$D$157,D2)&gt;1,"阶段序号重复",IF(E2&lt;=IFERROR(LOOKUP(2,1/(单次交易!$A$2:$A$88=B2),单次交易!$E$2:$E$88),0),"激活价须高于买入价",IF(F2&lt;N2,"止损价不得低于初始止损",IF(F2&gt;E2,"止损价不得高于激活价",IF(AND(COUNTIFS($A$2:$A$157,"止损计划",$B$2:$B$157,B2,$D$2:$D$157,"&lt;"&amp;D2)&gt;0,OR(E2&lt;=SUMPRODUCT(MAX((($A$2:$A$157="止损计划")*($B$2:$B$157=B2)*($D$2:$D$157&lt;D2))*$E$2:$E$157)),F2&lt;SUMPRODUCT(MAX((($A$2:$A$157="止损计划")*($B$2:$B$157=B2)*($D$2:$D$157&lt;D2))*$F$2:$F$157)))),"阶段价格必须逐级提高","计划有效"))))))),IF(A2="每日跟踪",IF(OR(B2="",H2="",I2="",J2=""),"每日数据不完整",IF(COUNTIFS($A$2:$A$157,"每日跟踪",$B$2:$B$157,B2,$H$2:$H$157,H2)&gt;1,"同一交易日期重复",IF(AND(R2&lt;&gt;"",R2&lt;S2),"人工止损无效：不能下调","跟踪有效"))),"记录类型无效")))</f>
        <v>每日数据不完整</v>
      </c>
    </row>
    <row r="3" ht="17" spans="1:29">
      <c r="A3" s="2" t="s">
        <v>95</v>
      </c>
      <c r="B3" s="2">
        <v>2</v>
      </c>
      <c r="C3" s="8" t="str">
        <f>IF(B3="","",IFERROR(LOOKUP(2,1/(单次交易!$A$2:$A$88=B3),单次交易!$B$2:$B$88),""))</f>
        <v>节电风能</v>
      </c>
      <c r="D3" s="12"/>
      <c r="E3" s="10"/>
      <c r="F3" s="10"/>
      <c r="G3" s="2"/>
      <c r="H3" s="13">
        <v>42663</v>
      </c>
      <c r="I3" s="10">
        <v>4.22</v>
      </c>
      <c r="J3" s="12"/>
      <c r="K3" s="2"/>
      <c r="L3" s="2"/>
      <c r="M3" s="2"/>
      <c r="N3" s="5">
        <f>IF(B3="","",IFERROR(LOOKUP(2,1/(单次交易!$A$2:$A$88=B3),单次交易!$N$2:$N$88),""))</f>
        <v>3.5</v>
      </c>
      <c r="O3" s="5">
        <f t="shared" si="0"/>
        <v>4.22</v>
      </c>
      <c r="P3" s="11">
        <f t="shared" si="1"/>
        <v>0</v>
      </c>
      <c r="Q3" s="5">
        <f t="shared" si="2"/>
        <v>3.5</v>
      </c>
      <c r="R3" s="10"/>
      <c r="S3" s="5">
        <f t="shared" si="3"/>
        <v>3.5</v>
      </c>
      <c r="T3" s="5" t="str">
        <f t="shared" si="4"/>
        <v/>
      </c>
      <c r="U3" s="5" t="str">
        <f t="shared" si="5"/>
        <v/>
      </c>
      <c r="V3" s="7" t="str">
        <f t="shared" si="6"/>
        <v/>
      </c>
      <c r="W3" s="8" t="str">
        <f t="shared" si="7"/>
        <v>继续观察</v>
      </c>
      <c r="X3" s="2" t="s">
        <v>96</v>
      </c>
      <c r="Y3" s="10">
        <v>4.22</v>
      </c>
      <c r="Z3" s="11">
        <f>IF(X3&lt;&gt;"执行卖出","",IFERROR(LOOKUP(2,1/(单次交易!$A$2:$A$88=B3),单次交易!$AP$2:$AP$88),""))</f>
        <v>9800</v>
      </c>
      <c r="AA3" s="10"/>
      <c r="AB3" s="8" t="str">
        <f t="shared" si="8"/>
        <v>待补充每日记录</v>
      </c>
      <c r="AC3" s="8" t="str">
        <f>IF(A3="","",IF(A3="止损计划",IF(OR(B3="",D3="",E3="",F3="",G3=""),"计划不完整",IF(OR(D3&lt;1,D3&lt;&gt;INT(D3)),"阶段序号无效",IF(COUNTIFS($A$2:$A$157,"止损计划",$B$2:$B$157,B3,$D$2:$D$157,D3)&gt;1,"阶段序号重复",IF(E3&lt;=IFERROR(LOOKUP(2,1/(单次交易!$A$2:$A$88=B3),单次交易!$E$2:$E$88),0),"激活价须高于买入价",IF(F3&lt;N3,"止损价不得低于初始止损",IF(F3&gt;E3,"止损价不得高于激活价",IF(AND(COUNTIFS($A$2:$A$157,"止损计划",$B$2:$B$157,B3,$D$2:$D$157,"&lt;"&amp;D3)&gt;0,OR(E3&lt;=SUMPRODUCT(MAX((($A$2:$A$157="止损计划")*($B$2:$B$157=B3)*($D$2:$D$157&lt;D3))*$E$2:$E$157)),F3&lt;SUMPRODUCT(MAX((($A$2:$A$157="止损计划")*($B$2:$B$157=B3)*($D$2:$D$157&lt;D3))*$F$2:$F$157)))),"阶段价格必须逐级提高","计划有效"))))))),IF(A3="每日跟踪",IF(OR(B3="",H3="",I3="",J3=""),"每日数据不完整",IF(COUNTIFS($A$2:$A$157,"每日跟踪",$B$2:$B$157,B3,$H$2:$H$157,H3)&gt;1,"同一交易日期重复",IF(AND(R3&lt;&gt;"",R3&lt;S3),"人工止损无效：不能下调","跟踪有效"))),"记录类型无效")))</f>
        <v>每日数据不完整</v>
      </c>
    </row>
    <row r="4" ht="17" spans="1:29">
      <c r="A4" s="2" t="s">
        <v>95</v>
      </c>
      <c r="B4" s="2">
        <v>3</v>
      </c>
      <c r="C4" s="8" t="str">
        <f>IF(B4="","",IFERROR(LOOKUP(2,1/(单次交易!$A$2:$A$88=B4),单次交易!$B$2:$B$88),""))</f>
        <v>节电风能</v>
      </c>
      <c r="D4" s="12"/>
      <c r="E4" s="10"/>
      <c r="F4" s="10"/>
      <c r="G4" s="2"/>
      <c r="H4" s="13">
        <v>42716</v>
      </c>
      <c r="I4" s="10">
        <v>3.69</v>
      </c>
      <c r="J4" s="12"/>
      <c r="K4" s="2"/>
      <c r="L4" s="2"/>
      <c r="M4" s="2"/>
      <c r="N4" s="5">
        <f>IF(B4="","",IFERROR(LOOKUP(2,1/(单次交易!$A$2:$A$88=B4),单次交易!$N$2:$N$88),""))</f>
        <v>3.7</v>
      </c>
      <c r="O4" s="5">
        <f t="shared" si="0"/>
        <v>3.69</v>
      </c>
      <c r="P4" s="11">
        <f t="shared" si="1"/>
        <v>0</v>
      </c>
      <c r="Q4" s="5">
        <f t="shared" si="2"/>
        <v>3.7</v>
      </c>
      <c r="R4" s="10"/>
      <c r="S4" s="5">
        <f t="shared" si="3"/>
        <v>3.7</v>
      </c>
      <c r="T4" s="5" t="str">
        <f t="shared" si="4"/>
        <v/>
      </c>
      <c r="U4" s="5" t="str">
        <f t="shared" si="5"/>
        <v/>
      </c>
      <c r="V4" s="7" t="str">
        <f t="shared" si="6"/>
        <v/>
      </c>
      <c r="W4" s="8" t="str">
        <f t="shared" si="7"/>
        <v>触发止损：应全部卖出</v>
      </c>
      <c r="X4" s="2" t="s">
        <v>96</v>
      </c>
      <c r="Y4" s="10">
        <v>3.69</v>
      </c>
      <c r="Z4" s="11">
        <f>IF(X4&lt;&gt;"执行卖出","",IFERROR(LOOKUP(2,1/(单次交易!$A$2:$A$88=B4),单次交易!$AP$2:$AP$88),""))</f>
        <v>9000</v>
      </c>
      <c r="AA4" s="10"/>
      <c r="AB4" s="8" t="str">
        <f t="shared" si="8"/>
        <v>待补充每日记录</v>
      </c>
      <c r="AC4" s="8" t="str">
        <f>IF(A4="","",IF(A4="止损计划",IF(OR(B4="",D4="",E4="",F4="",G4=""),"计划不完整",IF(OR(D4&lt;1,D4&lt;&gt;INT(D4)),"阶段序号无效",IF(COUNTIFS($A$2:$A$157,"止损计划",$B$2:$B$157,B4,$D$2:$D$157,D4)&gt;1,"阶段序号重复",IF(E4&lt;=IFERROR(LOOKUP(2,1/(单次交易!$A$2:$A$88=B4),单次交易!$E$2:$E$88),0),"激活价须高于买入价",IF(F4&lt;N4,"止损价不得低于初始止损",IF(F4&gt;E4,"止损价不得高于激活价",IF(AND(COUNTIFS($A$2:$A$157,"止损计划",$B$2:$B$157,B4,$D$2:$D$157,"&lt;"&amp;D4)&gt;0,OR(E4&lt;=SUMPRODUCT(MAX((($A$2:$A$157="止损计划")*($B$2:$B$157=B4)*($D$2:$D$157&lt;D4))*$E$2:$E$157)),F4&lt;SUMPRODUCT(MAX((($A$2:$A$157="止损计划")*($B$2:$B$157=B4)*($D$2:$D$157&lt;D4))*$F$2:$F$157)))),"阶段价格必须逐级提高","计划有效"))))))),IF(A4="每日跟踪",IF(OR(B4="",H4="",I4="",J4=""),"每日数据不完整",IF(COUNTIFS($A$2:$A$157,"每日跟踪",$B$2:$B$157,B4,$H$2:$H$157,H4)&gt;1,"同一交易日期重复",IF(AND(R4&lt;&gt;"",R4&lt;S4),"人工止损无效：不能下调","跟踪有效"))),"记录类型无效")))</f>
        <v>每日数据不完整</v>
      </c>
    </row>
    <row r="5" ht="17" spans="1:29">
      <c r="A5" s="2" t="s">
        <v>95</v>
      </c>
      <c r="B5" s="2">
        <v>4</v>
      </c>
      <c r="C5" s="8" t="str">
        <f>IF(B5="","",IFERROR(LOOKUP(2,1/(单次交易!$A$2:$A$88=B5),单次交易!$B$2:$B$88),""))</f>
        <v>节电风能</v>
      </c>
      <c r="D5" s="12"/>
      <c r="E5" s="10"/>
      <c r="F5" s="10"/>
      <c r="G5" s="2"/>
      <c r="H5" s="13">
        <v>42838</v>
      </c>
      <c r="I5" s="10">
        <v>3.49</v>
      </c>
      <c r="J5" s="12"/>
      <c r="K5" s="2"/>
      <c r="L5" s="2"/>
      <c r="M5" s="2"/>
      <c r="N5" s="5">
        <f>IF(B5="","",IFERROR(LOOKUP(2,1/(单次交易!$A$2:$A$88=B5),单次交易!$N$2:$N$88),""))</f>
        <v>3.2</v>
      </c>
      <c r="O5" s="5">
        <f t="shared" si="0"/>
        <v>3.49</v>
      </c>
      <c r="P5" s="11">
        <f t="shared" si="1"/>
        <v>0</v>
      </c>
      <c r="Q5" s="5">
        <f t="shared" si="2"/>
        <v>3.2</v>
      </c>
      <c r="R5" s="10"/>
      <c r="S5" s="5">
        <f t="shared" si="3"/>
        <v>3.2</v>
      </c>
      <c r="T5" s="5" t="str">
        <f t="shared" si="4"/>
        <v/>
      </c>
      <c r="U5" s="5" t="str">
        <f t="shared" si="5"/>
        <v/>
      </c>
      <c r="V5" s="7" t="str">
        <f t="shared" si="6"/>
        <v/>
      </c>
      <c r="W5" s="8" t="str">
        <f t="shared" si="7"/>
        <v>继续观察</v>
      </c>
      <c r="X5" s="2" t="s">
        <v>96</v>
      </c>
      <c r="Y5" s="10">
        <v>3.49</v>
      </c>
      <c r="Z5" s="11">
        <f>IF(X5&lt;&gt;"执行卖出","",IFERROR(LOOKUP(2,1/(单次交易!$A$2:$A$88=B5),单次交易!$AP$2:$AP$88),""))</f>
        <v>10100</v>
      </c>
      <c r="AA5" s="10"/>
      <c r="AB5" s="8" t="str">
        <f t="shared" si="8"/>
        <v>待补充每日记录</v>
      </c>
      <c r="AC5" s="8" t="str">
        <f>IF(A5="","",IF(A5="止损计划",IF(OR(B5="",D5="",E5="",F5="",G5=""),"计划不完整",IF(OR(D5&lt;1,D5&lt;&gt;INT(D5)),"阶段序号无效",IF(COUNTIFS($A$2:$A$157,"止损计划",$B$2:$B$157,B5,$D$2:$D$157,D5)&gt;1,"阶段序号重复",IF(E5&lt;=IFERROR(LOOKUP(2,1/(单次交易!$A$2:$A$88=B5),单次交易!$E$2:$E$88),0),"激活价须高于买入价",IF(F5&lt;N5,"止损价不得低于初始止损",IF(F5&gt;E5,"止损价不得高于激活价",IF(AND(COUNTIFS($A$2:$A$157,"止损计划",$B$2:$B$157,B5,$D$2:$D$157,"&lt;"&amp;D5)&gt;0,OR(E5&lt;=SUMPRODUCT(MAX((($A$2:$A$157="止损计划")*($B$2:$B$157=B5)*($D$2:$D$157&lt;D5))*$E$2:$E$157)),F5&lt;SUMPRODUCT(MAX((($A$2:$A$157="止损计划")*($B$2:$B$157=B5)*($D$2:$D$157&lt;D5))*$F$2:$F$157)))),"阶段价格必须逐级提高","计划有效"))))))),IF(A5="每日跟踪",IF(OR(B5="",H5="",I5="",J5=""),"每日数据不完整",IF(COUNTIFS($A$2:$A$157,"每日跟踪",$B$2:$B$157,B5,$H$2:$H$157,H5)&gt;1,"同一交易日期重复",IF(AND(R5&lt;&gt;"",R5&lt;S5),"人工止损无效：不能下调","跟踪有效"))),"记录类型无效")))</f>
        <v>每日数据不完整</v>
      </c>
    </row>
    <row r="6" ht="17" spans="1:29">
      <c r="A6" s="2" t="s">
        <v>95</v>
      </c>
      <c r="B6" s="2">
        <v>5</v>
      </c>
      <c r="C6" s="8" t="str">
        <f>IF(B6="","",IFERROR(LOOKUP(2,1/(单次交易!$A$2:$A$88=B6),单次交易!$B$2:$B$88),""))</f>
        <v>节电风能</v>
      </c>
      <c r="D6" s="12"/>
      <c r="E6" s="10"/>
      <c r="F6" s="10"/>
      <c r="G6" s="2"/>
      <c r="H6" s="13">
        <v>43074</v>
      </c>
      <c r="I6" s="10">
        <v>2.74</v>
      </c>
      <c r="J6" s="12"/>
      <c r="K6" s="2"/>
      <c r="L6" s="2"/>
      <c r="M6" s="2"/>
      <c r="N6" s="5">
        <f>IF(B6="","",IFERROR(LOOKUP(2,1/(单次交易!$A$2:$A$88=B6),单次交易!$N$2:$N$88),""))</f>
        <v>2.75</v>
      </c>
      <c r="O6" s="5">
        <f t="shared" si="0"/>
        <v>2.74</v>
      </c>
      <c r="P6" s="11">
        <f t="shared" si="1"/>
        <v>0</v>
      </c>
      <c r="Q6" s="5">
        <f t="shared" si="2"/>
        <v>2.75</v>
      </c>
      <c r="R6" s="10"/>
      <c r="S6" s="5">
        <f t="shared" si="3"/>
        <v>2.75</v>
      </c>
      <c r="T6" s="5" t="str">
        <f t="shared" si="4"/>
        <v/>
      </c>
      <c r="U6" s="5" t="str">
        <f t="shared" si="5"/>
        <v/>
      </c>
      <c r="V6" s="7" t="str">
        <f t="shared" si="6"/>
        <v/>
      </c>
      <c r="W6" s="8" t="str">
        <f t="shared" si="7"/>
        <v>触发止损：应全部卖出</v>
      </c>
      <c r="X6" s="2" t="s">
        <v>96</v>
      </c>
      <c r="Y6" s="10">
        <v>2.74</v>
      </c>
      <c r="Z6" s="11">
        <f>IF(X6&lt;&gt;"执行卖出","",IFERROR(LOOKUP(2,1/(单次交易!$A$2:$A$88=B6),单次交易!$AP$2:$AP$88),""))</f>
        <v>17100</v>
      </c>
      <c r="AA6" s="10"/>
      <c r="AB6" s="8" t="str">
        <f t="shared" si="8"/>
        <v>待补充每日记录</v>
      </c>
      <c r="AC6" s="8" t="str">
        <f>IF(A6="","",IF(A6="止损计划",IF(OR(B6="",D6="",E6="",F6="",G6=""),"计划不完整",IF(OR(D6&lt;1,D6&lt;&gt;INT(D6)),"阶段序号无效",IF(COUNTIFS($A$2:$A$157,"止损计划",$B$2:$B$157,B6,$D$2:$D$157,D6)&gt;1,"阶段序号重复",IF(E6&lt;=IFERROR(LOOKUP(2,1/(单次交易!$A$2:$A$88=B6),单次交易!$E$2:$E$88),0),"激活价须高于买入价",IF(F6&lt;N6,"止损价不得低于初始止损",IF(F6&gt;E6,"止损价不得高于激活价",IF(AND(COUNTIFS($A$2:$A$157,"止损计划",$B$2:$B$157,B6,$D$2:$D$157,"&lt;"&amp;D6)&gt;0,OR(E6&lt;=SUMPRODUCT(MAX((($A$2:$A$157="止损计划")*($B$2:$B$157=B6)*($D$2:$D$157&lt;D6))*$E$2:$E$157)),F6&lt;SUMPRODUCT(MAX((($A$2:$A$157="止损计划")*($B$2:$B$157=B6)*($D$2:$D$157&lt;D6))*$F$2:$F$157)))),"阶段价格必须逐级提高","计划有效"))))))),IF(A6="每日跟踪",IF(OR(B6="",H6="",I6="",J6=""),"每日数据不完整",IF(COUNTIFS($A$2:$A$157,"每日跟踪",$B$2:$B$157,B6,$H$2:$H$157,H6)&gt;1,"同一交易日期重复",IF(AND(R6&lt;&gt;"",R6&lt;S6),"人工止损无效：不能下调","跟踪有效"))),"记录类型无效")))</f>
        <v>每日数据不完整</v>
      </c>
    </row>
    <row r="7" ht="17" spans="1:29">
      <c r="A7" s="2" t="s">
        <v>95</v>
      </c>
      <c r="B7" s="2">
        <v>6</v>
      </c>
      <c r="C7" s="8" t="str">
        <f>IF(B7="","",IFERROR(LOOKUP(2,1/(单次交易!$A$2:$A$88=B7),单次交易!$B$2:$B$88),""))</f>
        <v>节电风能</v>
      </c>
      <c r="D7" s="12"/>
      <c r="E7" s="10"/>
      <c r="F7" s="10"/>
      <c r="G7" s="2"/>
      <c r="H7" s="13">
        <v>43182</v>
      </c>
      <c r="I7" s="10">
        <v>2.38</v>
      </c>
      <c r="J7" s="12"/>
      <c r="K7" s="2"/>
      <c r="L7" s="2"/>
      <c r="M7" s="2"/>
      <c r="N7" s="5">
        <f>IF(B7="","",IFERROR(LOOKUP(2,1/(单次交易!$A$2:$A$88=B7),单次交易!$N$2:$N$88),""))</f>
        <v>2.4</v>
      </c>
      <c r="O7" s="5">
        <f t="shared" si="0"/>
        <v>2.38</v>
      </c>
      <c r="P7" s="11">
        <f t="shared" si="1"/>
        <v>0</v>
      </c>
      <c r="Q7" s="5">
        <f t="shared" si="2"/>
        <v>2.4</v>
      </c>
      <c r="R7" s="10"/>
      <c r="S7" s="5">
        <f t="shared" si="3"/>
        <v>2.4</v>
      </c>
      <c r="T7" s="5" t="str">
        <f t="shared" si="4"/>
        <v/>
      </c>
      <c r="U7" s="5" t="str">
        <f t="shared" si="5"/>
        <v/>
      </c>
      <c r="V7" s="7" t="str">
        <f t="shared" si="6"/>
        <v/>
      </c>
      <c r="W7" s="8" t="str">
        <f t="shared" si="7"/>
        <v>触发止损：应全部卖出</v>
      </c>
      <c r="X7" s="2" t="s">
        <v>96</v>
      </c>
      <c r="Y7" s="10">
        <v>2.38</v>
      </c>
      <c r="Z7" s="11">
        <f>IF(X7&lt;&gt;"执行卖出","",IFERROR(LOOKUP(2,1/(单次交易!$A$2:$A$88=B7),单次交易!$AP$2:$AP$88),""))</f>
        <v>11800</v>
      </c>
      <c r="AA7" s="10"/>
      <c r="AB7" s="8" t="str">
        <f t="shared" si="8"/>
        <v>待补充每日记录</v>
      </c>
      <c r="AC7" s="8" t="str">
        <f>IF(A7="","",IF(A7="止损计划",IF(OR(B7="",D7="",E7="",F7="",G7=""),"计划不完整",IF(OR(D7&lt;1,D7&lt;&gt;INT(D7)),"阶段序号无效",IF(COUNTIFS($A$2:$A$157,"止损计划",$B$2:$B$157,B7,$D$2:$D$157,D7)&gt;1,"阶段序号重复",IF(E7&lt;=IFERROR(LOOKUP(2,1/(单次交易!$A$2:$A$88=B7),单次交易!$E$2:$E$88),0),"激活价须高于买入价",IF(F7&lt;N7,"止损价不得低于初始止损",IF(F7&gt;E7,"止损价不得高于激活价",IF(AND(COUNTIFS($A$2:$A$157,"止损计划",$B$2:$B$157,B7,$D$2:$D$157,"&lt;"&amp;D7)&gt;0,OR(E7&lt;=SUMPRODUCT(MAX((($A$2:$A$157="止损计划")*($B$2:$B$157=B7)*($D$2:$D$157&lt;D7))*$E$2:$E$157)),F7&lt;SUMPRODUCT(MAX((($A$2:$A$157="止损计划")*($B$2:$B$157=B7)*($D$2:$D$157&lt;D7))*$F$2:$F$157)))),"阶段价格必须逐级提高","计划有效"))))))),IF(A7="每日跟踪",IF(OR(B7="",H7="",I7="",J7=""),"每日数据不完整",IF(COUNTIFS($A$2:$A$157,"每日跟踪",$B$2:$B$157,B7,$H$2:$H$157,H7)&gt;1,"同一交易日期重复",IF(AND(R7&lt;&gt;"",R7&lt;S7),"人工止损无效：不能下调","跟踪有效"))),"记录类型无效")))</f>
        <v>每日数据不完整</v>
      </c>
    </row>
    <row r="8" ht="17" spans="1:29">
      <c r="A8" s="2" t="s">
        <v>95</v>
      </c>
      <c r="B8" s="2">
        <v>7</v>
      </c>
      <c r="C8" s="8" t="str">
        <f>IF(B8="","",IFERROR(LOOKUP(2,1/(单次交易!$A$2:$A$88=B8),单次交易!$B$2:$B$88),""))</f>
        <v>节电风能</v>
      </c>
      <c r="D8" s="12"/>
      <c r="E8" s="10"/>
      <c r="F8" s="10"/>
      <c r="G8" s="2"/>
      <c r="H8" s="13">
        <v>44026</v>
      </c>
      <c r="I8" s="10">
        <v>2.14</v>
      </c>
      <c r="J8" s="12"/>
      <c r="K8" s="2"/>
      <c r="L8" s="2"/>
      <c r="M8" s="2"/>
      <c r="N8" s="5">
        <f>IF(B8="","",IFERROR(LOOKUP(2,1/(单次交易!$A$2:$A$88=B8),单次交易!$N$2:$N$88),""))</f>
        <v>1.85</v>
      </c>
      <c r="O8" s="5">
        <f t="shared" si="0"/>
        <v>2.14</v>
      </c>
      <c r="P8" s="11">
        <f t="shared" si="1"/>
        <v>0</v>
      </c>
      <c r="Q8" s="5">
        <f t="shared" si="2"/>
        <v>1.85</v>
      </c>
      <c r="R8" s="10"/>
      <c r="S8" s="5">
        <f t="shared" si="3"/>
        <v>1.85</v>
      </c>
      <c r="T8" s="5" t="str">
        <f t="shared" si="4"/>
        <v/>
      </c>
      <c r="U8" s="5" t="str">
        <f t="shared" si="5"/>
        <v/>
      </c>
      <c r="V8" s="7" t="str">
        <f t="shared" si="6"/>
        <v/>
      </c>
      <c r="W8" s="8" t="str">
        <f t="shared" si="7"/>
        <v>继续观察</v>
      </c>
      <c r="X8" s="2" t="s">
        <v>96</v>
      </c>
      <c r="Y8" s="10">
        <v>2.14</v>
      </c>
      <c r="Z8" s="11">
        <f>IF(X8&lt;&gt;"执行卖出","",IFERROR(LOOKUP(2,1/(单次交易!$A$2:$A$88=B8),单次交易!$AP$2:$AP$88),""))</f>
        <v>32700</v>
      </c>
      <c r="AA8" s="10"/>
      <c r="AB8" s="8" t="str">
        <f t="shared" si="8"/>
        <v>待补充每日记录</v>
      </c>
      <c r="AC8" s="8" t="str">
        <f>IF(A8="","",IF(A8="止损计划",IF(OR(B8="",D8="",E8="",F8="",G8=""),"计划不完整",IF(OR(D8&lt;1,D8&lt;&gt;INT(D8)),"阶段序号无效",IF(COUNTIFS($A$2:$A$157,"止损计划",$B$2:$B$157,B8,$D$2:$D$157,D8)&gt;1,"阶段序号重复",IF(E8&lt;=IFERROR(LOOKUP(2,1/(单次交易!$A$2:$A$88=B8),单次交易!$E$2:$E$88),0),"激活价须高于买入价",IF(F8&lt;N8,"止损价不得低于初始止损",IF(F8&gt;E8,"止损价不得高于激活价",IF(AND(COUNTIFS($A$2:$A$157,"止损计划",$B$2:$B$157,B8,$D$2:$D$157,"&lt;"&amp;D8)&gt;0,OR(E8&lt;=SUMPRODUCT(MAX((($A$2:$A$157="止损计划")*($B$2:$B$157=B8)*($D$2:$D$157&lt;D8))*$E$2:$E$157)),F8&lt;SUMPRODUCT(MAX((($A$2:$A$157="止损计划")*($B$2:$B$157=B8)*($D$2:$D$157&lt;D8))*$F$2:$F$157)))),"阶段价格必须逐级提高","计划有效"))))))),IF(A8="每日跟踪",IF(OR(B8="",H8="",I8="",J8=""),"每日数据不完整",IF(COUNTIFS($A$2:$A$157,"每日跟踪",$B$2:$B$157,B8,$H$2:$H$157,H8)&gt;1,"同一交易日期重复",IF(AND(R8&lt;&gt;"",R8&lt;S8),"人工止损无效：不能下调","跟踪有效"))),"记录类型无效")))</f>
        <v>每日数据不完整</v>
      </c>
    </row>
    <row r="9" ht="17" spans="1:29">
      <c r="A9" s="2" t="s">
        <v>95</v>
      </c>
      <c r="B9" s="2">
        <v>8</v>
      </c>
      <c r="C9" s="8" t="str">
        <f>IF(B9="","",IFERROR(LOOKUP(2,1/(单次交易!$A$2:$A$88=B9),单次交易!$B$2:$B$88),""))</f>
        <v>节电风能</v>
      </c>
      <c r="D9" s="12"/>
      <c r="E9" s="10"/>
      <c r="F9" s="10"/>
      <c r="G9" s="2"/>
      <c r="H9" s="13">
        <v>44914</v>
      </c>
      <c r="I9" s="10">
        <v>3.47</v>
      </c>
      <c r="J9" s="12"/>
      <c r="K9" s="2"/>
      <c r="L9" s="2"/>
      <c r="M9" s="2"/>
      <c r="N9" s="5">
        <f>IF(B9="","",IFERROR(LOOKUP(2,1/(单次交易!$A$2:$A$88=B9),单次交易!$N$2:$N$88),""))</f>
        <v>3.5</v>
      </c>
      <c r="O9" s="5">
        <f t="shared" si="0"/>
        <v>3.47</v>
      </c>
      <c r="P9" s="11">
        <f t="shared" si="1"/>
        <v>0</v>
      </c>
      <c r="Q9" s="5">
        <f t="shared" si="2"/>
        <v>3.5</v>
      </c>
      <c r="R9" s="10"/>
      <c r="S9" s="5">
        <f t="shared" si="3"/>
        <v>3.5</v>
      </c>
      <c r="T9" s="5" t="str">
        <f t="shared" si="4"/>
        <v/>
      </c>
      <c r="U9" s="5" t="str">
        <f t="shared" si="5"/>
        <v/>
      </c>
      <c r="V9" s="7" t="str">
        <f t="shared" si="6"/>
        <v/>
      </c>
      <c r="W9" s="8" t="str">
        <f t="shared" si="7"/>
        <v>触发止损：应全部卖出</v>
      </c>
      <c r="X9" s="2" t="s">
        <v>96</v>
      </c>
      <c r="Y9" s="10">
        <v>3.47</v>
      </c>
      <c r="Z9" s="11">
        <f>IF(X9&lt;&gt;"执行卖出","",IFERROR(LOOKUP(2,1/(单次交易!$A$2:$A$88=B9),单次交易!$AP$2:$AP$88),""))</f>
        <v>6400</v>
      </c>
      <c r="AA9" s="10"/>
      <c r="AB9" s="8" t="str">
        <f t="shared" si="8"/>
        <v>待补充每日记录</v>
      </c>
      <c r="AC9" s="8" t="str">
        <f>IF(A9="","",IF(A9="止损计划",IF(OR(B9="",D9="",E9="",F9="",G9=""),"计划不完整",IF(OR(D9&lt;1,D9&lt;&gt;INT(D9)),"阶段序号无效",IF(COUNTIFS($A$2:$A$157,"止损计划",$B$2:$B$157,B9,$D$2:$D$157,D9)&gt;1,"阶段序号重复",IF(E9&lt;=IFERROR(LOOKUP(2,1/(单次交易!$A$2:$A$88=B9),单次交易!$E$2:$E$88),0),"激活价须高于买入价",IF(F9&lt;N9,"止损价不得低于初始止损",IF(F9&gt;E9,"止损价不得高于激活价",IF(AND(COUNTIFS($A$2:$A$157,"止损计划",$B$2:$B$157,B9,$D$2:$D$157,"&lt;"&amp;D9)&gt;0,OR(E9&lt;=SUMPRODUCT(MAX((($A$2:$A$157="止损计划")*($B$2:$B$157=B9)*($D$2:$D$157&lt;D9))*$E$2:$E$157)),F9&lt;SUMPRODUCT(MAX((($A$2:$A$157="止损计划")*($B$2:$B$157=B9)*($D$2:$D$157&lt;D9))*$F$2:$F$157)))),"阶段价格必须逐级提高","计划有效"))))))),IF(A9="每日跟踪",IF(OR(B9="",H9="",I9="",J9=""),"每日数据不完整",IF(COUNTIFS($A$2:$A$157,"每日跟踪",$B$2:$B$157,B9,$H$2:$H$157,H9)&gt;1,"同一交易日期重复",IF(AND(R9&lt;&gt;"",R9&lt;S9),"人工止损无效：不能下调","跟踪有效"))),"记录类型无效")))</f>
        <v>每日数据不完整</v>
      </c>
    </row>
    <row r="10" ht="17" spans="1:29">
      <c r="A10" s="2" t="s">
        <v>95</v>
      </c>
      <c r="B10" s="2">
        <v>9</v>
      </c>
      <c r="C10" s="8" t="str">
        <f>IF(B10="","",IFERROR(LOOKUP(2,1/(单次交易!$A$2:$A$88=B10),单次交易!$B$2:$B$88),""))</f>
        <v>节电风能</v>
      </c>
      <c r="D10" s="12"/>
      <c r="E10" s="10"/>
      <c r="F10" s="10"/>
      <c r="G10" s="2"/>
      <c r="H10" s="13">
        <v>45041</v>
      </c>
      <c r="I10" s="10">
        <v>3.46</v>
      </c>
      <c r="J10" s="12"/>
      <c r="K10" s="2"/>
      <c r="L10" s="2"/>
      <c r="M10" s="2"/>
      <c r="N10" s="5">
        <f>IF(B10="","",IFERROR(LOOKUP(2,1/(单次交易!$A$2:$A$88=B10),单次交易!$N$2:$N$88),""))</f>
        <v>3.5</v>
      </c>
      <c r="O10" s="5">
        <f t="shared" si="0"/>
        <v>3.46</v>
      </c>
      <c r="P10" s="11">
        <f t="shared" si="1"/>
        <v>0</v>
      </c>
      <c r="Q10" s="5">
        <f t="shared" si="2"/>
        <v>3.5</v>
      </c>
      <c r="R10" s="10"/>
      <c r="S10" s="5">
        <f t="shared" si="3"/>
        <v>3.5</v>
      </c>
      <c r="T10" s="5" t="str">
        <f t="shared" si="4"/>
        <v/>
      </c>
      <c r="U10" s="5" t="str">
        <f t="shared" si="5"/>
        <v/>
      </c>
      <c r="V10" s="7" t="str">
        <f t="shared" si="6"/>
        <v/>
      </c>
      <c r="W10" s="8" t="str">
        <f t="shared" si="7"/>
        <v>触发止损：应全部卖出</v>
      </c>
      <c r="X10" s="2" t="s">
        <v>96</v>
      </c>
      <c r="Y10" s="10">
        <v>3.46</v>
      </c>
      <c r="Z10" s="11">
        <f>IF(X10&lt;&gt;"执行卖出","",IFERROR(LOOKUP(2,1/(单次交易!$A$2:$A$88=B10),单次交易!$AP$2:$AP$88),""))</f>
        <v>11400</v>
      </c>
      <c r="AA10" s="10"/>
      <c r="AB10" s="8" t="str">
        <f t="shared" si="8"/>
        <v>待补充每日记录</v>
      </c>
      <c r="AC10" s="8" t="str">
        <f>IF(A10="","",IF(A10="止损计划",IF(OR(B10="",D10="",E10="",F10="",G10=""),"计划不完整",IF(OR(D10&lt;1,D10&lt;&gt;INT(D10)),"阶段序号无效",IF(COUNTIFS($A$2:$A$157,"止损计划",$B$2:$B$157,B10,$D$2:$D$157,D10)&gt;1,"阶段序号重复",IF(E10&lt;=IFERROR(LOOKUP(2,1/(单次交易!$A$2:$A$88=B10),单次交易!$E$2:$E$88),0),"激活价须高于买入价",IF(F10&lt;N10,"止损价不得低于初始止损",IF(F10&gt;E10,"止损价不得高于激活价",IF(AND(COUNTIFS($A$2:$A$157,"止损计划",$B$2:$B$157,B10,$D$2:$D$157,"&lt;"&amp;D10)&gt;0,OR(E10&lt;=SUMPRODUCT(MAX((($A$2:$A$157="止损计划")*($B$2:$B$157=B10)*($D$2:$D$157&lt;D10))*$E$2:$E$157)),F10&lt;SUMPRODUCT(MAX((($A$2:$A$157="止损计划")*($B$2:$B$157=B10)*($D$2:$D$157&lt;D10))*$F$2:$F$157)))),"阶段价格必须逐级提高","计划有效"))))))),IF(A10="每日跟踪",IF(OR(B10="",H10="",I10="",J10=""),"每日数据不完整",IF(COUNTIFS($A$2:$A$157,"每日跟踪",$B$2:$B$157,B10,$H$2:$H$157,H10)&gt;1,"同一交易日期重复",IF(AND(R10&lt;&gt;"",R10&lt;S10),"人工止损无效：不能下调","跟踪有效"))),"记录类型无效")))</f>
        <v>每日数据不完整</v>
      </c>
    </row>
    <row r="11" ht="17" spans="1:29">
      <c r="A11" s="2" t="s">
        <v>95</v>
      </c>
      <c r="B11" s="2">
        <v>10</v>
      </c>
      <c r="C11" s="8" t="str">
        <f>IF(B11="","",IFERROR(LOOKUP(2,1/(单次交易!$A$2:$A$88=B11),单次交易!$B$2:$B$88),""))</f>
        <v>节电风能</v>
      </c>
      <c r="D11" s="12"/>
      <c r="E11" s="10"/>
      <c r="F11" s="10"/>
      <c r="G11" s="2"/>
      <c r="H11" s="13">
        <v>45373</v>
      </c>
      <c r="I11" s="10">
        <v>2.78</v>
      </c>
      <c r="J11" s="12"/>
      <c r="K11" s="2"/>
      <c r="L11" s="2"/>
      <c r="M11" s="2"/>
      <c r="N11" s="5">
        <f>IF(B11="","",IFERROR(LOOKUP(2,1/(单次交易!$A$2:$A$88=B11),单次交易!$N$2:$N$88),""))</f>
        <v>2.75</v>
      </c>
      <c r="O11" s="5">
        <f t="shared" si="0"/>
        <v>2.78</v>
      </c>
      <c r="P11" s="11">
        <f t="shared" si="1"/>
        <v>0</v>
      </c>
      <c r="Q11" s="5">
        <f t="shared" si="2"/>
        <v>2.75</v>
      </c>
      <c r="R11" s="10"/>
      <c r="S11" s="5">
        <f t="shared" si="3"/>
        <v>2.75</v>
      </c>
      <c r="T11" s="5" t="str">
        <f t="shared" si="4"/>
        <v/>
      </c>
      <c r="U11" s="5" t="str">
        <f t="shared" si="5"/>
        <v/>
      </c>
      <c r="V11" s="7" t="str">
        <f t="shared" si="6"/>
        <v/>
      </c>
      <c r="W11" s="8" t="str">
        <f t="shared" si="7"/>
        <v>继续观察</v>
      </c>
      <c r="X11" s="2" t="s">
        <v>96</v>
      </c>
      <c r="Y11" s="10">
        <v>2.78</v>
      </c>
      <c r="Z11" s="11">
        <f>IF(X11&lt;&gt;"执行卖出","",IFERROR(LOOKUP(2,1/(单次交易!$A$2:$A$88=B11),单次交易!$AP$2:$AP$88),""))</f>
        <v>18300</v>
      </c>
      <c r="AA11" s="10"/>
      <c r="AB11" s="8" t="str">
        <f t="shared" si="8"/>
        <v>待补充每日记录</v>
      </c>
      <c r="AC11" s="8" t="str">
        <f>IF(A11="","",IF(A11="止损计划",IF(OR(B11="",D11="",E11="",F11="",G11=""),"计划不完整",IF(OR(D11&lt;1,D11&lt;&gt;INT(D11)),"阶段序号无效",IF(COUNTIFS($A$2:$A$157,"止损计划",$B$2:$B$157,B11,$D$2:$D$157,D11)&gt;1,"阶段序号重复",IF(E11&lt;=IFERROR(LOOKUP(2,1/(单次交易!$A$2:$A$88=B11),单次交易!$E$2:$E$88),0),"激活价须高于买入价",IF(F11&lt;N11,"止损价不得低于初始止损",IF(F11&gt;E11,"止损价不得高于激活价",IF(AND(COUNTIFS($A$2:$A$157,"止损计划",$B$2:$B$157,B11,$D$2:$D$157,"&lt;"&amp;D11)&gt;0,OR(E11&lt;=SUMPRODUCT(MAX((($A$2:$A$157="止损计划")*($B$2:$B$157=B11)*($D$2:$D$157&lt;D11))*$E$2:$E$157)),F11&lt;SUMPRODUCT(MAX((($A$2:$A$157="止损计划")*($B$2:$B$157=B11)*($D$2:$D$157&lt;D11))*$F$2:$F$157)))),"阶段价格必须逐级提高","计划有效"))))))),IF(A11="每日跟踪",IF(OR(B11="",H11="",I11="",J11=""),"每日数据不完整",IF(COUNTIFS($A$2:$A$157,"每日跟踪",$B$2:$B$157,B11,$H$2:$H$157,H11)&gt;1,"同一交易日期重复",IF(AND(R11&lt;&gt;"",R11&lt;S11),"人工止损无效：不能下调","跟踪有效"))),"记录类型无效")))</f>
        <v>每日数据不完整</v>
      </c>
    </row>
    <row r="12" ht="17" spans="1:29">
      <c r="A12" s="2" t="s">
        <v>95</v>
      </c>
      <c r="B12" s="2">
        <v>11</v>
      </c>
      <c r="C12" s="8" t="str">
        <f>IF(B12="","",IFERROR(LOOKUP(2,1/(单次交易!$A$2:$A$88=B12),单次交易!$B$2:$B$88),""))</f>
        <v>恒瑞医药</v>
      </c>
      <c r="D12" s="12"/>
      <c r="E12" s="10"/>
      <c r="F12" s="10"/>
      <c r="G12" s="2"/>
      <c r="H12" s="13">
        <v>43059</v>
      </c>
      <c r="I12" s="10">
        <v>29.25</v>
      </c>
      <c r="J12" s="12"/>
      <c r="K12" s="2"/>
      <c r="L12" s="2"/>
      <c r="M12" s="2"/>
      <c r="N12" s="5">
        <f>IF(B12="","",IFERROR(LOOKUP(2,1/(单次交易!$A$2:$A$88=B12),单次交易!$N$2:$N$88),""))</f>
        <v>19.5</v>
      </c>
      <c r="O12" s="5">
        <f t="shared" si="0"/>
        <v>29.25</v>
      </c>
      <c r="P12" s="11">
        <f t="shared" si="1"/>
        <v>0</v>
      </c>
      <c r="Q12" s="5">
        <f t="shared" si="2"/>
        <v>19.5</v>
      </c>
      <c r="R12" s="10"/>
      <c r="S12" s="5">
        <f t="shared" si="3"/>
        <v>19.5</v>
      </c>
      <c r="T12" s="5" t="str">
        <f t="shared" si="4"/>
        <v/>
      </c>
      <c r="U12" s="5" t="str">
        <f t="shared" si="5"/>
        <v/>
      </c>
      <c r="V12" s="7" t="str">
        <f t="shared" si="6"/>
        <v/>
      </c>
      <c r="W12" s="8" t="str">
        <f t="shared" si="7"/>
        <v>继续观察</v>
      </c>
      <c r="X12" s="2" t="s">
        <v>96</v>
      </c>
      <c r="Y12" s="10">
        <v>29.25</v>
      </c>
      <c r="Z12" s="11">
        <f>IF(X12&lt;&gt;"执行卖出","",IFERROR(LOOKUP(2,1/(单次交易!$A$2:$A$88=B12),单次交易!$AP$2:$AP$88),""))</f>
        <v>1900</v>
      </c>
      <c r="AA12" s="10"/>
      <c r="AB12" s="8" t="str">
        <f t="shared" si="8"/>
        <v>待补充每日记录</v>
      </c>
      <c r="AC12" s="8" t="str">
        <f>IF(A12="","",IF(A12="止损计划",IF(OR(B12="",D12="",E12="",F12="",G12=""),"计划不完整",IF(OR(D12&lt;1,D12&lt;&gt;INT(D12)),"阶段序号无效",IF(COUNTIFS($A$2:$A$157,"止损计划",$B$2:$B$157,B12,$D$2:$D$157,D12)&gt;1,"阶段序号重复",IF(E12&lt;=IFERROR(LOOKUP(2,1/(单次交易!$A$2:$A$88=B12),单次交易!$E$2:$E$88),0),"激活价须高于买入价",IF(F12&lt;N12,"止损价不得低于初始止损",IF(F12&gt;E12,"止损价不得高于激活价",IF(AND(COUNTIFS($A$2:$A$157,"止损计划",$B$2:$B$157,B12,$D$2:$D$157,"&lt;"&amp;D12)&gt;0,OR(E12&lt;=SUMPRODUCT(MAX((($A$2:$A$157="止损计划")*($B$2:$B$157=B12)*($D$2:$D$157&lt;D12))*$E$2:$E$157)),F12&lt;SUMPRODUCT(MAX((($A$2:$A$157="止损计划")*($B$2:$B$157=B12)*($D$2:$D$157&lt;D12))*$F$2:$F$157)))),"阶段价格必须逐级提高","计划有效"))))))),IF(A12="每日跟踪",IF(OR(B12="",H12="",I12="",J12=""),"每日数据不完整",IF(COUNTIFS($A$2:$A$157,"每日跟踪",$B$2:$B$157,B12,$H$2:$H$157,H12)&gt;1,"同一交易日期重复",IF(AND(R12&lt;&gt;"",R12&lt;S12),"人工止损无效：不能下调","跟踪有效"))),"记录类型无效")))</f>
        <v>每日数据不完整</v>
      </c>
    </row>
    <row r="13" ht="17" spans="1:29">
      <c r="A13" s="2" t="s">
        <v>95</v>
      </c>
      <c r="B13" s="2">
        <v>12</v>
      </c>
      <c r="C13" s="8" t="str">
        <f>IF(B13="","",IFERROR(LOOKUP(2,1/(单次交易!$A$2:$A$88=B13),单次交易!$B$2:$B$88),""))</f>
        <v>恒瑞医药</v>
      </c>
      <c r="D13" s="12"/>
      <c r="E13" s="10"/>
      <c r="F13" s="10"/>
      <c r="G13" s="2"/>
      <c r="H13" s="13">
        <v>43137</v>
      </c>
      <c r="I13" s="10">
        <v>29.29</v>
      </c>
      <c r="J13" s="12"/>
      <c r="K13" s="2"/>
      <c r="L13" s="2"/>
      <c r="M13" s="2"/>
      <c r="N13" s="5">
        <f>IF(B13="","",IFERROR(LOOKUP(2,1/(单次交易!$A$2:$A$88=B13),单次交易!$N$2:$N$88),""))</f>
        <v>30</v>
      </c>
      <c r="O13" s="5">
        <f t="shared" si="0"/>
        <v>29.29</v>
      </c>
      <c r="P13" s="11">
        <f t="shared" si="1"/>
        <v>0</v>
      </c>
      <c r="Q13" s="5">
        <f t="shared" si="2"/>
        <v>30</v>
      </c>
      <c r="R13" s="10"/>
      <c r="S13" s="5">
        <f t="shared" si="3"/>
        <v>30</v>
      </c>
      <c r="T13" s="5" t="str">
        <f t="shared" si="4"/>
        <v/>
      </c>
      <c r="U13" s="5" t="str">
        <f t="shared" si="5"/>
        <v/>
      </c>
      <c r="V13" s="7" t="str">
        <f t="shared" si="6"/>
        <v/>
      </c>
      <c r="W13" s="8" t="str">
        <f t="shared" si="7"/>
        <v>触发止损：应全部卖出</v>
      </c>
      <c r="X13" s="2" t="s">
        <v>96</v>
      </c>
      <c r="Y13" s="10">
        <v>29.29</v>
      </c>
      <c r="Z13" s="11">
        <f>IF(X13&lt;&gt;"执行卖出","",IFERROR(LOOKUP(2,1/(单次交易!$A$2:$A$88=B13),单次交易!$AP$2:$AP$88),""))</f>
        <v>1200</v>
      </c>
      <c r="AA13" s="10"/>
      <c r="AB13" s="8" t="str">
        <f t="shared" si="8"/>
        <v>待补充每日记录</v>
      </c>
      <c r="AC13" s="8" t="str">
        <f>IF(A13="","",IF(A13="止损计划",IF(OR(B13="",D13="",E13="",F13="",G13=""),"计划不完整",IF(OR(D13&lt;1,D13&lt;&gt;INT(D13)),"阶段序号无效",IF(COUNTIFS($A$2:$A$157,"止损计划",$B$2:$B$157,B13,$D$2:$D$157,D13)&gt;1,"阶段序号重复",IF(E13&lt;=IFERROR(LOOKUP(2,1/(单次交易!$A$2:$A$88=B13),单次交易!$E$2:$E$88),0),"激活价须高于买入价",IF(F13&lt;N13,"止损价不得低于初始止损",IF(F13&gt;E13,"止损价不得高于激活价",IF(AND(COUNTIFS($A$2:$A$157,"止损计划",$B$2:$B$157,B13,$D$2:$D$157,"&lt;"&amp;D13)&gt;0,OR(E13&lt;=SUMPRODUCT(MAX((($A$2:$A$157="止损计划")*($B$2:$B$157=B13)*($D$2:$D$157&lt;D13))*$E$2:$E$157)),F13&lt;SUMPRODUCT(MAX((($A$2:$A$157="止损计划")*($B$2:$B$157=B13)*($D$2:$D$157&lt;D13))*$F$2:$F$157)))),"阶段价格必须逐级提高","计划有效"))))))),IF(A13="每日跟踪",IF(OR(B13="",H13="",I13="",J13=""),"每日数据不完整",IF(COUNTIFS($A$2:$A$157,"每日跟踪",$B$2:$B$157,B13,$H$2:$H$157,H13)&gt;1,"同一交易日期重复",IF(AND(R13&lt;&gt;"",R13&lt;S13),"人工止损无效：不能下调","跟踪有效"))),"记录类型无效")))</f>
        <v>每日数据不完整</v>
      </c>
    </row>
    <row r="14" ht="17" spans="1:29">
      <c r="A14" s="2" t="s">
        <v>95</v>
      </c>
      <c r="B14" s="2">
        <v>12</v>
      </c>
      <c r="C14" s="8" t="str">
        <f>IF(B14="","",IFERROR(LOOKUP(2,1/(单次交易!$A$2:$A$88=B14),单次交易!$B$2:$B$88),""))</f>
        <v>恒瑞医药</v>
      </c>
      <c r="D14" s="12"/>
      <c r="E14" s="10"/>
      <c r="F14" s="10"/>
      <c r="G14" s="2"/>
      <c r="H14" s="13">
        <v>43311</v>
      </c>
      <c r="I14" s="10">
        <v>38.49</v>
      </c>
      <c r="J14" s="12"/>
      <c r="K14" s="2"/>
      <c r="L14" s="2"/>
      <c r="M14" s="2"/>
      <c r="N14" s="5">
        <f>IF(B14="","",IFERROR(LOOKUP(2,1/(单次交易!$A$2:$A$88=B14),单次交易!$N$2:$N$88),""))</f>
        <v>30</v>
      </c>
      <c r="O14" s="5">
        <f t="shared" si="0"/>
        <v>38.49</v>
      </c>
      <c r="P14" s="11">
        <f t="shared" si="1"/>
        <v>0</v>
      </c>
      <c r="Q14" s="5">
        <f t="shared" si="2"/>
        <v>30</v>
      </c>
      <c r="R14" s="10"/>
      <c r="S14" s="5">
        <f t="shared" si="3"/>
        <v>30</v>
      </c>
      <c r="T14" s="5" t="str">
        <f t="shared" si="4"/>
        <v/>
      </c>
      <c r="U14" s="5" t="str">
        <f t="shared" si="5"/>
        <v/>
      </c>
      <c r="V14" s="7" t="str">
        <f t="shared" si="6"/>
        <v/>
      </c>
      <c r="W14" s="8" t="str">
        <f t="shared" si="7"/>
        <v>继续观察</v>
      </c>
      <c r="X14" s="2" t="s">
        <v>96</v>
      </c>
      <c r="Y14" s="10">
        <v>38.49</v>
      </c>
      <c r="Z14" s="11">
        <f>IF(X14&lt;&gt;"执行卖出","",IFERROR(LOOKUP(2,1/(单次交易!$A$2:$A$88=B14),单次交易!$AP$2:$AP$88),""))</f>
        <v>1200</v>
      </c>
      <c r="AA14" s="10"/>
      <c r="AB14" s="8" t="str">
        <f t="shared" si="8"/>
        <v>待补充每日记录</v>
      </c>
      <c r="AC14" s="8" t="str">
        <f>IF(A14="","",IF(A14="止损计划",IF(OR(B14="",D14="",E14="",F14="",G14=""),"计划不完整",IF(OR(D14&lt;1,D14&lt;&gt;INT(D14)),"阶段序号无效",IF(COUNTIFS($A$2:$A$157,"止损计划",$B$2:$B$157,B14,$D$2:$D$157,D14)&gt;1,"阶段序号重复",IF(E14&lt;=IFERROR(LOOKUP(2,1/(单次交易!$A$2:$A$88=B14),单次交易!$E$2:$E$88),0),"激活价须高于买入价",IF(F14&lt;N14,"止损价不得低于初始止损",IF(F14&gt;E14,"止损价不得高于激活价",IF(AND(COUNTIFS($A$2:$A$157,"止损计划",$B$2:$B$157,B14,$D$2:$D$157,"&lt;"&amp;D14)&gt;0,OR(E14&lt;=SUMPRODUCT(MAX((($A$2:$A$157="止损计划")*($B$2:$B$157=B14)*($D$2:$D$157&lt;D14))*$E$2:$E$157)),F14&lt;SUMPRODUCT(MAX((($A$2:$A$157="止损计划")*($B$2:$B$157=B14)*($D$2:$D$157&lt;D14))*$F$2:$F$157)))),"阶段价格必须逐级提高","计划有效"))))))),IF(A14="每日跟踪",IF(OR(B14="",H14="",I14="",J14=""),"每日数据不完整",IF(COUNTIFS($A$2:$A$157,"每日跟踪",$B$2:$B$157,B14,$H$2:$H$157,H14)&gt;1,"同一交易日期重复",IF(AND(R14&lt;&gt;"",R14&lt;S14),"人工止损无效：不能下调","跟踪有效"))),"记录类型无效")))</f>
        <v>每日数据不完整</v>
      </c>
    </row>
    <row r="15" ht="17" spans="1:29">
      <c r="A15" s="2" t="s">
        <v>95</v>
      </c>
      <c r="B15" s="2">
        <v>14</v>
      </c>
      <c r="C15" s="8" t="str">
        <f>IF(B15="","",IFERROR(LOOKUP(2,1/(单次交易!$A$2:$A$88=B15),单次交易!$B$2:$B$88),""))</f>
        <v>恒瑞医药</v>
      </c>
      <c r="D15" s="12"/>
      <c r="E15" s="10"/>
      <c r="F15" s="10"/>
      <c r="G15" s="2"/>
      <c r="H15" s="13">
        <v>43577</v>
      </c>
      <c r="I15" s="10">
        <v>41.91</v>
      </c>
      <c r="J15" s="12"/>
      <c r="K15" s="2"/>
      <c r="L15" s="2"/>
      <c r="M15" s="2"/>
      <c r="N15" s="5">
        <f>IF(B15="","",IFERROR(LOOKUP(2,1/(单次交易!$A$2:$A$88=B15),单次交易!$N$2:$N$88),""))</f>
        <v>39</v>
      </c>
      <c r="O15" s="5">
        <f t="shared" si="0"/>
        <v>41.91</v>
      </c>
      <c r="P15" s="11">
        <f t="shared" si="1"/>
        <v>0</v>
      </c>
      <c r="Q15" s="5">
        <f t="shared" si="2"/>
        <v>39</v>
      </c>
      <c r="R15" s="10"/>
      <c r="S15" s="5">
        <f t="shared" si="3"/>
        <v>39</v>
      </c>
      <c r="T15" s="5" t="str">
        <f t="shared" si="4"/>
        <v/>
      </c>
      <c r="U15" s="5" t="str">
        <f t="shared" si="5"/>
        <v/>
      </c>
      <c r="V15" s="7" t="str">
        <f t="shared" si="6"/>
        <v/>
      </c>
      <c r="W15" s="8" t="str">
        <f t="shared" si="7"/>
        <v>继续观察</v>
      </c>
      <c r="X15" s="2" t="s">
        <v>96</v>
      </c>
      <c r="Y15" s="10">
        <v>41.91</v>
      </c>
      <c r="Z15" s="11">
        <f>IF(X15&lt;&gt;"执行卖出","",IFERROR(LOOKUP(2,1/(单次交易!$A$2:$A$88=B15),单次交易!$AP$2:$AP$88),""))</f>
        <v>700</v>
      </c>
      <c r="AA15" s="10"/>
      <c r="AB15" s="8" t="str">
        <f t="shared" si="8"/>
        <v>待补充每日记录</v>
      </c>
      <c r="AC15" s="8" t="str">
        <f>IF(A15="","",IF(A15="止损计划",IF(OR(B15="",D15="",E15="",F15="",G15=""),"计划不完整",IF(OR(D15&lt;1,D15&lt;&gt;INT(D15)),"阶段序号无效",IF(COUNTIFS($A$2:$A$157,"止损计划",$B$2:$B$157,B15,$D$2:$D$157,D15)&gt;1,"阶段序号重复",IF(E15&lt;=IFERROR(LOOKUP(2,1/(单次交易!$A$2:$A$88=B15),单次交易!$E$2:$E$88),0),"激活价须高于买入价",IF(F15&lt;N15,"止损价不得低于初始止损",IF(F15&gt;E15,"止损价不得高于激活价",IF(AND(COUNTIFS($A$2:$A$157,"止损计划",$B$2:$B$157,B15,$D$2:$D$157,"&lt;"&amp;D15)&gt;0,OR(E15&lt;=SUMPRODUCT(MAX((($A$2:$A$157="止损计划")*($B$2:$B$157=B15)*($D$2:$D$157&lt;D15))*$E$2:$E$157)),F15&lt;SUMPRODUCT(MAX((($A$2:$A$157="止损计划")*($B$2:$B$157=B15)*($D$2:$D$157&lt;D15))*$F$2:$F$157)))),"阶段价格必须逐级提高","计划有效"))))))),IF(A15="每日跟踪",IF(OR(B15="",H15="",I15="",J15=""),"每日数据不完整",IF(COUNTIFS($A$2:$A$157,"每日跟踪",$B$2:$B$157,B15,$H$2:$H$157,H15)&gt;1,"同一交易日期重复",IF(AND(R15&lt;&gt;"",R15&lt;S15),"人工止损无效：不能下调","跟踪有效"))),"记录类型无效")))</f>
        <v>每日数据不完整</v>
      </c>
    </row>
    <row r="16" ht="17" spans="1:29">
      <c r="A16" s="2" t="s">
        <v>95</v>
      </c>
      <c r="B16" s="2">
        <v>15</v>
      </c>
      <c r="C16" s="8" t="str">
        <f>IF(B16="","",IFERROR(LOOKUP(2,1/(单次交易!$A$2:$A$88=B16),单次交易!$B$2:$B$88),""))</f>
        <v>恒瑞医药</v>
      </c>
      <c r="D16" s="12"/>
      <c r="E16" s="10"/>
      <c r="F16" s="10"/>
      <c r="G16" s="2"/>
      <c r="H16" s="13">
        <v>43798</v>
      </c>
      <c r="I16" s="10">
        <v>58.41</v>
      </c>
      <c r="J16" s="12"/>
      <c r="K16" s="2"/>
      <c r="L16" s="2"/>
      <c r="M16" s="2"/>
      <c r="N16" s="5">
        <f>IF(B16="","",IFERROR(LOOKUP(2,1/(单次交易!$A$2:$A$88=B16),单次交易!$N$2:$N$88),""))</f>
        <v>47.5</v>
      </c>
      <c r="O16" s="5">
        <f t="shared" si="0"/>
        <v>58.41</v>
      </c>
      <c r="P16" s="11">
        <f t="shared" si="1"/>
        <v>0</v>
      </c>
      <c r="Q16" s="5">
        <f t="shared" si="2"/>
        <v>47.5</v>
      </c>
      <c r="R16" s="10"/>
      <c r="S16" s="5">
        <f t="shared" si="3"/>
        <v>47.5</v>
      </c>
      <c r="T16" s="5" t="str">
        <f t="shared" si="4"/>
        <v/>
      </c>
      <c r="U16" s="5" t="str">
        <f t="shared" si="5"/>
        <v/>
      </c>
      <c r="V16" s="7" t="str">
        <f t="shared" si="6"/>
        <v/>
      </c>
      <c r="W16" s="8" t="str">
        <f t="shared" si="7"/>
        <v>继续观察</v>
      </c>
      <c r="X16" s="2" t="s">
        <v>96</v>
      </c>
      <c r="Y16" s="10">
        <v>58.41</v>
      </c>
      <c r="Z16" s="11">
        <f>IF(X16&lt;&gt;"执行卖出","",IFERROR(LOOKUP(2,1/(单次交易!$A$2:$A$88=B16),单次交易!$AP$2:$AP$88),""))</f>
        <v>1600</v>
      </c>
      <c r="AA16" s="10"/>
      <c r="AB16" s="8" t="str">
        <f t="shared" si="8"/>
        <v>待补充每日记录</v>
      </c>
      <c r="AC16" s="8" t="str">
        <f>IF(A16="","",IF(A16="止损计划",IF(OR(B16="",D16="",E16="",F16="",G16=""),"计划不完整",IF(OR(D16&lt;1,D16&lt;&gt;INT(D16)),"阶段序号无效",IF(COUNTIFS($A$2:$A$157,"止损计划",$B$2:$B$157,B16,$D$2:$D$157,D16)&gt;1,"阶段序号重复",IF(E16&lt;=IFERROR(LOOKUP(2,1/(单次交易!$A$2:$A$88=B16),单次交易!$E$2:$E$88),0),"激活价须高于买入价",IF(F16&lt;N16,"止损价不得低于初始止损",IF(F16&gt;E16,"止损价不得高于激活价",IF(AND(COUNTIFS($A$2:$A$157,"止损计划",$B$2:$B$157,B16,$D$2:$D$157,"&lt;"&amp;D16)&gt;0,OR(E16&lt;=SUMPRODUCT(MAX((($A$2:$A$157="止损计划")*($B$2:$B$157=B16)*($D$2:$D$157&lt;D16))*$E$2:$E$157)),F16&lt;SUMPRODUCT(MAX((($A$2:$A$157="止损计划")*($B$2:$B$157=B16)*($D$2:$D$157&lt;D16))*$F$2:$F$157)))),"阶段价格必须逐级提高","计划有效"))))))),IF(A16="每日跟踪",IF(OR(B16="",H16="",I16="",J16=""),"每日数据不完整",IF(COUNTIFS($A$2:$A$157,"每日跟踪",$B$2:$B$157,B16,$H$2:$H$157,H16)&gt;1,"同一交易日期重复",IF(AND(R16&lt;&gt;"",R16&lt;S16),"人工止损无效：不能下调","跟踪有效"))),"记录类型无效")))</f>
        <v>每日数据不完整</v>
      </c>
    </row>
    <row r="17" ht="17" spans="1:29">
      <c r="A17" s="2" t="s">
        <v>95</v>
      </c>
      <c r="B17" s="2">
        <v>16</v>
      </c>
      <c r="C17" s="8" t="str">
        <f>IF(B17="","",IFERROR(LOOKUP(2,1/(单次交易!$A$2:$A$88=B17),单次交易!$B$2:$B$88),""))</f>
        <v>恒瑞医药</v>
      </c>
      <c r="D17" s="12"/>
      <c r="E17" s="10"/>
      <c r="F17" s="10"/>
      <c r="G17" s="2"/>
      <c r="H17" s="13">
        <v>43887</v>
      </c>
      <c r="I17" s="10">
        <v>58.95</v>
      </c>
      <c r="J17" s="12"/>
      <c r="K17" s="2"/>
      <c r="L17" s="2"/>
      <c r="M17" s="2"/>
      <c r="N17" s="5">
        <f>IF(B17="","",IFERROR(LOOKUP(2,1/(单次交易!$A$2:$A$88=B17),单次交易!$N$2:$N$88),""))</f>
        <v>60</v>
      </c>
      <c r="O17" s="5">
        <f t="shared" si="0"/>
        <v>58.95</v>
      </c>
      <c r="P17" s="11">
        <f t="shared" si="1"/>
        <v>0</v>
      </c>
      <c r="Q17" s="5">
        <f t="shared" si="2"/>
        <v>60</v>
      </c>
      <c r="R17" s="10"/>
      <c r="S17" s="5">
        <f t="shared" si="3"/>
        <v>60</v>
      </c>
      <c r="T17" s="5" t="str">
        <f t="shared" si="4"/>
        <v/>
      </c>
      <c r="U17" s="5" t="str">
        <f t="shared" si="5"/>
        <v/>
      </c>
      <c r="V17" s="7" t="str">
        <f t="shared" si="6"/>
        <v/>
      </c>
      <c r="W17" s="8" t="str">
        <f t="shared" si="7"/>
        <v>触发止损：应全部卖出</v>
      </c>
      <c r="X17" s="2" t="s">
        <v>96</v>
      </c>
      <c r="Y17" s="10">
        <v>58.95</v>
      </c>
      <c r="Z17" s="11">
        <f>IF(X17&lt;&gt;"执行卖出","",IFERROR(LOOKUP(2,1/(单次交易!$A$2:$A$88=B17),单次交易!$AP$2:$AP$88),""))</f>
        <v>1100</v>
      </c>
      <c r="AA17" s="10"/>
      <c r="AB17" s="8" t="str">
        <f t="shared" si="8"/>
        <v>待补充每日记录</v>
      </c>
      <c r="AC17" s="8" t="str">
        <f>IF(A17="","",IF(A17="止损计划",IF(OR(B17="",D17="",E17="",F17="",G17=""),"计划不完整",IF(OR(D17&lt;1,D17&lt;&gt;INT(D17)),"阶段序号无效",IF(COUNTIFS($A$2:$A$157,"止损计划",$B$2:$B$157,B17,$D$2:$D$157,D17)&gt;1,"阶段序号重复",IF(E17&lt;=IFERROR(LOOKUP(2,1/(单次交易!$A$2:$A$88=B17),单次交易!$E$2:$E$88),0),"激活价须高于买入价",IF(F17&lt;N17,"止损价不得低于初始止损",IF(F17&gt;E17,"止损价不得高于激活价",IF(AND(COUNTIFS($A$2:$A$157,"止损计划",$B$2:$B$157,B17,$D$2:$D$157,"&lt;"&amp;D17)&gt;0,OR(E17&lt;=SUMPRODUCT(MAX((($A$2:$A$157="止损计划")*($B$2:$B$157=B17)*($D$2:$D$157&lt;D17))*$E$2:$E$157)),F17&lt;SUMPRODUCT(MAX((($A$2:$A$157="止损计划")*($B$2:$B$157=B17)*($D$2:$D$157&lt;D17))*$F$2:$F$157)))),"阶段价格必须逐级提高","计划有效"))))))),IF(A17="每日跟踪",IF(OR(B17="",H17="",I17="",J17=""),"每日数据不完整",IF(COUNTIFS($A$2:$A$157,"每日跟踪",$B$2:$B$157,B17,$H$2:$H$157,H17)&gt;1,"同一交易日期重复",IF(AND(R17&lt;&gt;"",R17&lt;S17),"人工止损无效：不能下调","跟踪有效"))),"记录类型无效")))</f>
        <v>每日数据不完整</v>
      </c>
    </row>
    <row r="18" ht="17" spans="1:29">
      <c r="A18" s="2" t="s">
        <v>95</v>
      </c>
      <c r="B18" s="2">
        <v>17</v>
      </c>
      <c r="C18" s="8" t="str">
        <f>IF(B18="","",IFERROR(LOOKUP(2,1/(单次交易!$A$2:$A$88=B18),单次交易!$B$2:$B$88),""))</f>
        <v>恒瑞医药</v>
      </c>
      <c r="D18" s="12"/>
      <c r="E18" s="10"/>
      <c r="F18" s="10"/>
      <c r="G18" s="2"/>
      <c r="H18" s="13">
        <v>43950</v>
      </c>
      <c r="I18" s="10">
        <v>63.61</v>
      </c>
      <c r="J18" s="12"/>
      <c r="K18" s="2"/>
      <c r="L18" s="2"/>
      <c r="M18" s="2"/>
      <c r="N18" s="5">
        <f>IF(B18="","",IFERROR(LOOKUP(2,1/(单次交易!$A$2:$A$88=B18),单次交易!$N$2:$N$88),""))</f>
        <v>63.5</v>
      </c>
      <c r="O18" s="5">
        <f t="shared" si="0"/>
        <v>63.61</v>
      </c>
      <c r="P18" s="11">
        <f t="shared" si="1"/>
        <v>0</v>
      </c>
      <c r="Q18" s="5">
        <f t="shared" si="2"/>
        <v>63.5</v>
      </c>
      <c r="R18" s="10"/>
      <c r="S18" s="5">
        <f t="shared" si="3"/>
        <v>63.5</v>
      </c>
      <c r="T18" s="5" t="str">
        <f t="shared" si="4"/>
        <v/>
      </c>
      <c r="U18" s="5" t="str">
        <f t="shared" si="5"/>
        <v/>
      </c>
      <c r="V18" s="7" t="str">
        <f t="shared" si="6"/>
        <v/>
      </c>
      <c r="W18" s="8" t="str">
        <f t="shared" si="7"/>
        <v>继续观察</v>
      </c>
      <c r="X18" s="2" t="s">
        <v>96</v>
      </c>
      <c r="Y18" s="10">
        <v>63.61</v>
      </c>
      <c r="Z18" s="11">
        <f>IF(X18&lt;&gt;"执行卖出","",IFERROR(LOOKUP(2,1/(单次交易!$A$2:$A$88=B18),单次交易!$AP$2:$AP$88),""))</f>
        <v>1200</v>
      </c>
      <c r="AA18" s="10"/>
      <c r="AB18" s="8" t="str">
        <f t="shared" si="8"/>
        <v>待补充每日记录</v>
      </c>
      <c r="AC18" s="8" t="str">
        <f>IF(A18="","",IF(A18="止损计划",IF(OR(B18="",D18="",E18="",F18="",G18=""),"计划不完整",IF(OR(D18&lt;1,D18&lt;&gt;INT(D18)),"阶段序号无效",IF(COUNTIFS($A$2:$A$157,"止损计划",$B$2:$B$157,B18,$D$2:$D$157,D18)&gt;1,"阶段序号重复",IF(E18&lt;=IFERROR(LOOKUP(2,1/(单次交易!$A$2:$A$88=B18),单次交易!$E$2:$E$88),0),"激活价须高于买入价",IF(F18&lt;N18,"止损价不得低于初始止损",IF(F18&gt;E18,"止损价不得高于激活价",IF(AND(COUNTIFS($A$2:$A$157,"止损计划",$B$2:$B$157,B18,$D$2:$D$157,"&lt;"&amp;D18)&gt;0,OR(E18&lt;=SUMPRODUCT(MAX((($A$2:$A$157="止损计划")*($B$2:$B$157=B18)*($D$2:$D$157&lt;D18))*$E$2:$E$157)),F18&lt;SUMPRODUCT(MAX((($A$2:$A$157="止损计划")*($B$2:$B$157=B18)*($D$2:$D$157&lt;D18))*$F$2:$F$157)))),"阶段价格必须逐级提高","计划有效"))))))),IF(A18="每日跟踪",IF(OR(B18="",H18="",I18="",J18=""),"每日数据不完整",IF(COUNTIFS($A$2:$A$157,"每日跟踪",$B$2:$B$157,B18,$H$2:$H$157,H18)&gt;1,"同一交易日期重复",IF(AND(R18&lt;&gt;"",R18&lt;S18),"人工止损无效：不能下调","跟踪有效"))),"记录类型无效")))</f>
        <v>每日数据不完整</v>
      </c>
    </row>
    <row r="19" ht="17" spans="1:29">
      <c r="A19" s="2" t="s">
        <v>95</v>
      </c>
      <c r="B19" s="2">
        <v>18</v>
      </c>
      <c r="C19" s="8" t="str">
        <f>IF(B19="","",IFERROR(LOOKUP(2,1/(单次交易!$A$2:$A$88=B19),单次交易!$B$2:$B$88),""))</f>
        <v>恒瑞医药</v>
      </c>
      <c r="D19" s="12"/>
      <c r="E19" s="10"/>
      <c r="F19" s="10"/>
      <c r="G19" s="2"/>
      <c r="H19" s="13">
        <v>44028</v>
      </c>
      <c r="I19" s="10">
        <v>79.21</v>
      </c>
      <c r="J19" s="12"/>
      <c r="K19" s="2"/>
      <c r="L19" s="2"/>
      <c r="M19" s="2"/>
      <c r="N19" s="5">
        <f>IF(B19="","",IFERROR(LOOKUP(2,1/(单次交易!$A$2:$A$88=B19),单次交易!$N$2:$N$88),""))</f>
        <v>68</v>
      </c>
      <c r="O19" s="5">
        <f t="shared" si="0"/>
        <v>79.21</v>
      </c>
      <c r="P19" s="11">
        <f t="shared" si="1"/>
        <v>0</v>
      </c>
      <c r="Q19" s="5">
        <f t="shared" si="2"/>
        <v>68</v>
      </c>
      <c r="R19" s="10"/>
      <c r="S19" s="5">
        <f t="shared" si="3"/>
        <v>68</v>
      </c>
      <c r="T19" s="5" t="str">
        <f t="shared" si="4"/>
        <v/>
      </c>
      <c r="U19" s="5" t="str">
        <f t="shared" si="5"/>
        <v/>
      </c>
      <c r="V19" s="7" t="str">
        <f t="shared" si="6"/>
        <v/>
      </c>
      <c r="W19" s="8" t="str">
        <f t="shared" si="7"/>
        <v>继续观察</v>
      </c>
      <c r="X19" s="2" t="s">
        <v>96</v>
      </c>
      <c r="Y19" s="10">
        <v>79.21</v>
      </c>
      <c r="Z19" s="11">
        <f>IF(X19&lt;&gt;"执行卖出","",IFERROR(LOOKUP(2,1/(单次交易!$A$2:$A$88=B19),单次交易!$AP$2:$AP$88),""))</f>
        <v>500</v>
      </c>
      <c r="AA19" s="10"/>
      <c r="AB19" s="8" t="str">
        <f t="shared" si="8"/>
        <v>待补充每日记录</v>
      </c>
      <c r="AC19" s="8" t="str">
        <f>IF(A19="","",IF(A19="止损计划",IF(OR(B19="",D19="",E19="",F19="",G19=""),"计划不完整",IF(OR(D19&lt;1,D19&lt;&gt;INT(D19)),"阶段序号无效",IF(COUNTIFS($A$2:$A$157,"止损计划",$B$2:$B$157,B19,$D$2:$D$157,D19)&gt;1,"阶段序号重复",IF(E19&lt;=IFERROR(LOOKUP(2,1/(单次交易!$A$2:$A$88=B19),单次交易!$E$2:$E$88),0),"激活价须高于买入价",IF(F19&lt;N19,"止损价不得低于初始止损",IF(F19&gt;E19,"止损价不得高于激活价",IF(AND(COUNTIFS($A$2:$A$157,"止损计划",$B$2:$B$157,B19,$D$2:$D$157,"&lt;"&amp;D19)&gt;0,OR(E19&lt;=SUMPRODUCT(MAX((($A$2:$A$157="止损计划")*($B$2:$B$157=B19)*($D$2:$D$157&lt;D19))*$E$2:$E$157)),F19&lt;SUMPRODUCT(MAX((($A$2:$A$157="止损计划")*($B$2:$B$157=B19)*($D$2:$D$157&lt;D19))*$F$2:$F$157)))),"阶段价格必须逐级提高","计划有效"))))))),IF(A19="每日跟踪",IF(OR(B19="",H19="",I19="",J19=""),"每日数据不完整",IF(COUNTIFS($A$2:$A$157,"每日跟踪",$B$2:$B$157,B19,$H$2:$H$157,H19)&gt;1,"同一交易日期重复",IF(AND(R19&lt;&gt;"",R19&lt;S19),"人工止损无效：不能下调","跟踪有效"))),"记录类型无效")))</f>
        <v>每日数据不完整</v>
      </c>
    </row>
    <row r="20" ht="17" spans="1:29">
      <c r="A20" s="2" t="s">
        <v>95</v>
      </c>
      <c r="B20" s="2">
        <v>19</v>
      </c>
      <c r="C20" s="8" t="str">
        <f>IF(B20="","",IFERROR(LOOKUP(2,1/(单次交易!$A$2:$A$88=B20),单次交易!$B$2:$B$88),""))</f>
        <v>恒瑞医药</v>
      </c>
      <c r="D20" s="12"/>
      <c r="E20" s="10"/>
      <c r="F20" s="10"/>
      <c r="G20" s="2"/>
      <c r="H20" s="13">
        <v>44225</v>
      </c>
      <c r="I20" s="10">
        <v>85.38</v>
      </c>
      <c r="J20" s="12"/>
      <c r="K20" s="2"/>
      <c r="L20" s="2"/>
      <c r="M20" s="2"/>
      <c r="N20" s="5">
        <f>IF(B20="","",IFERROR(LOOKUP(2,1/(单次交易!$A$2:$A$88=B20),单次交易!$N$2:$N$88),""))</f>
        <v>86</v>
      </c>
      <c r="O20" s="5">
        <f t="shared" si="0"/>
        <v>85.38</v>
      </c>
      <c r="P20" s="11">
        <f t="shared" si="1"/>
        <v>0</v>
      </c>
      <c r="Q20" s="5">
        <f t="shared" si="2"/>
        <v>86</v>
      </c>
      <c r="R20" s="10"/>
      <c r="S20" s="5">
        <f t="shared" si="3"/>
        <v>86</v>
      </c>
      <c r="T20" s="5" t="str">
        <f t="shared" si="4"/>
        <v/>
      </c>
      <c r="U20" s="5" t="str">
        <f t="shared" si="5"/>
        <v/>
      </c>
      <c r="V20" s="7" t="str">
        <f t="shared" si="6"/>
        <v/>
      </c>
      <c r="W20" s="8" t="str">
        <f t="shared" si="7"/>
        <v>触发止损：应全部卖出</v>
      </c>
      <c r="X20" s="2" t="s">
        <v>96</v>
      </c>
      <c r="Y20" s="10">
        <v>85.38</v>
      </c>
      <c r="Z20" s="11">
        <f>IF(X20&lt;&gt;"执行卖出","",IFERROR(LOOKUP(2,1/(单次交易!$A$2:$A$88=B20),单次交易!$AP$2:$AP$88),""))</f>
        <v>300</v>
      </c>
      <c r="AA20" s="10"/>
      <c r="AB20" s="8" t="str">
        <f t="shared" si="8"/>
        <v>待补充每日记录</v>
      </c>
      <c r="AC20" s="8" t="str">
        <f>IF(A20="","",IF(A20="止损计划",IF(OR(B20="",D20="",E20="",F20="",G20=""),"计划不完整",IF(OR(D20&lt;1,D20&lt;&gt;INT(D20)),"阶段序号无效",IF(COUNTIFS($A$2:$A$157,"止损计划",$B$2:$B$157,B20,$D$2:$D$157,D20)&gt;1,"阶段序号重复",IF(E20&lt;=IFERROR(LOOKUP(2,1/(单次交易!$A$2:$A$88=B20),单次交易!$E$2:$E$88),0),"激活价须高于买入价",IF(F20&lt;N20,"止损价不得低于初始止损",IF(F20&gt;E20,"止损价不得高于激活价",IF(AND(COUNTIFS($A$2:$A$157,"止损计划",$B$2:$B$157,B20,$D$2:$D$157,"&lt;"&amp;D20)&gt;0,OR(E20&lt;=SUMPRODUCT(MAX((($A$2:$A$157="止损计划")*($B$2:$B$157=B20)*($D$2:$D$157&lt;D20))*$E$2:$E$157)),F20&lt;SUMPRODUCT(MAX((($A$2:$A$157="止损计划")*($B$2:$B$157=B20)*($D$2:$D$157&lt;D20))*$F$2:$F$157)))),"阶段价格必须逐级提高","计划有效"))))))),IF(A20="每日跟踪",IF(OR(B20="",H20="",I20="",J20=""),"每日数据不完整",IF(COUNTIFS($A$2:$A$157,"每日跟踪",$B$2:$B$157,B20,$H$2:$H$157,H20)&gt;1,"同一交易日期重复",IF(AND(R20&lt;&gt;"",R20&lt;S20),"人工止损无效：不能下调","跟踪有效"))),"记录类型无效")))</f>
        <v>每日数据不完整</v>
      </c>
    </row>
    <row r="21" ht="17" spans="1:29">
      <c r="A21" s="2" t="s">
        <v>95</v>
      </c>
      <c r="B21" s="2">
        <v>20</v>
      </c>
      <c r="C21" s="8" t="str">
        <f>IF(B21="","",IFERROR(LOOKUP(2,1/(单次交易!$A$2:$A$88=B21),单次交易!$B$2:$B$88),""))</f>
        <v>恒瑞医药</v>
      </c>
      <c r="D21" s="12"/>
      <c r="E21" s="10"/>
      <c r="F21" s="10"/>
      <c r="G21" s="2"/>
      <c r="H21" s="13">
        <v>44530</v>
      </c>
      <c r="I21" s="10">
        <v>49.25</v>
      </c>
      <c r="J21" s="12"/>
      <c r="K21" s="2"/>
      <c r="L21" s="2"/>
      <c r="M21" s="2"/>
      <c r="N21" s="5">
        <f>IF(B21="","",IFERROR(LOOKUP(2,1/(单次交易!$A$2:$A$88=B21),单次交易!$N$2:$N$88),""))</f>
        <v>50</v>
      </c>
      <c r="O21" s="5">
        <f t="shared" si="0"/>
        <v>49.25</v>
      </c>
      <c r="P21" s="11">
        <f t="shared" si="1"/>
        <v>0</v>
      </c>
      <c r="Q21" s="5">
        <f t="shared" si="2"/>
        <v>50</v>
      </c>
      <c r="R21" s="10"/>
      <c r="S21" s="5">
        <f t="shared" si="3"/>
        <v>50</v>
      </c>
      <c r="T21" s="5" t="str">
        <f t="shared" si="4"/>
        <v/>
      </c>
      <c r="U21" s="5" t="str">
        <f t="shared" si="5"/>
        <v/>
      </c>
      <c r="V21" s="7" t="str">
        <f t="shared" si="6"/>
        <v/>
      </c>
      <c r="W21" s="8" t="str">
        <f t="shared" si="7"/>
        <v>触发止损：应全部卖出</v>
      </c>
      <c r="X21" s="2" t="s">
        <v>96</v>
      </c>
      <c r="Y21" s="10">
        <v>49.25</v>
      </c>
      <c r="Z21" s="11">
        <f>IF(X21&lt;&gt;"执行卖出","",IFERROR(LOOKUP(2,1/(单次交易!$A$2:$A$88=B21),单次交易!$AP$2:$AP$88),""))</f>
        <v>1000</v>
      </c>
      <c r="AA21" s="10"/>
      <c r="AB21" s="8" t="str">
        <f t="shared" si="8"/>
        <v>待补充每日记录</v>
      </c>
      <c r="AC21" s="8" t="str">
        <f>IF(A21="","",IF(A21="止损计划",IF(OR(B21="",D21="",E21="",F21="",G21=""),"计划不完整",IF(OR(D21&lt;1,D21&lt;&gt;INT(D21)),"阶段序号无效",IF(COUNTIFS($A$2:$A$157,"止损计划",$B$2:$B$157,B21,$D$2:$D$157,D21)&gt;1,"阶段序号重复",IF(E21&lt;=IFERROR(LOOKUP(2,1/(单次交易!$A$2:$A$88=B21),单次交易!$E$2:$E$88),0),"激活价须高于买入价",IF(F21&lt;N21,"止损价不得低于初始止损",IF(F21&gt;E21,"止损价不得高于激活价",IF(AND(COUNTIFS($A$2:$A$157,"止损计划",$B$2:$B$157,B21,$D$2:$D$157,"&lt;"&amp;D21)&gt;0,OR(E21&lt;=SUMPRODUCT(MAX((($A$2:$A$157="止损计划")*($B$2:$B$157=B21)*($D$2:$D$157&lt;D21))*$E$2:$E$157)),F21&lt;SUMPRODUCT(MAX((($A$2:$A$157="止损计划")*($B$2:$B$157=B21)*($D$2:$D$157&lt;D21))*$F$2:$F$157)))),"阶段价格必须逐级提高","计划有效"))))))),IF(A21="每日跟踪",IF(OR(B21="",H21="",I21="",J21=""),"每日数据不完整",IF(COUNTIFS($A$2:$A$157,"每日跟踪",$B$2:$B$157,B21,$H$2:$H$157,H21)&gt;1,"同一交易日期重复",IF(AND(R21&lt;&gt;"",R21&lt;S21),"人工止损无效：不能下调","跟踪有效"))),"记录类型无效")))</f>
        <v>每日数据不完整</v>
      </c>
    </row>
    <row r="22" ht="17" spans="1:29">
      <c r="A22" s="2" t="s">
        <v>95</v>
      </c>
      <c r="B22" s="2">
        <v>21</v>
      </c>
      <c r="C22" s="8" t="str">
        <f>IF(B22="","",IFERROR(LOOKUP(2,1/(单次交易!$A$2:$A$88=B22),单次交易!$B$2:$B$88),""))</f>
        <v>恒瑞医药</v>
      </c>
      <c r="D22" s="12"/>
      <c r="E22" s="10"/>
      <c r="F22" s="10"/>
      <c r="G22" s="2"/>
      <c r="H22" s="13">
        <v>44760</v>
      </c>
      <c r="I22" s="10">
        <v>37.17</v>
      </c>
      <c r="J22" s="12"/>
      <c r="K22" s="2"/>
      <c r="L22" s="2"/>
      <c r="M22" s="2"/>
      <c r="N22" s="5">
        <f>IF(B22="","",IFERROR(LOOKUP(2,1/(单次交易!$A$2:$A$88=B22),单次交易!$N$2:$N$88),""))</f>
        <v>35</v>
      </c>
      <c r="O22" s="5">
        <f t="shared" si="0"/>
        <v>37.17</v>
      </c>
      <c r="P22" s="11">
        <f t="shared" si="1"/>
        <v>0</v>
      </c>
      <c r="Q22" s="5">
        <f t="shared" si="2"/>
        <v>35</v>
      </c>
      <c r="R22" s="10"/>
      <c r="S22" s="5">
        <f t="shared" si="3"/>
        <v>35</v>
      </c>
      <c r="T22" s="5" t="str">
        <f t="shared" si="4"/>
        <v/>
      </c>
      <c r="U22" s="5" t="str">
        <f t="shared" si="5"/>
        <v/>
      </c>
      <c r="V22" s="7" t="str">
        <f t="shared" si="6"/>
        <v/>
      </c>
      <c r="W22" s="8" t="str">
        <f t="shared" si="7"/>
        <v>继续观察</v>
      </c>
      <c r="X22" s="2" t="s">
        <v>96</v>
      </c>
      <c r="Y22" s="10">
        <v>37.19</v>
      </c>
      <c r="Z22" s="11">
        <f>IF(X22&lt;&gt;"执行卖出","",IFERROR(LOOKUP(2,1/(单次交易!$A$2:$A$88=B22),单次交易!$AP$2:$AP$88),""))</f>
        <v>2000</v>
      </c>
      <c r="AA22" s="10"/>
      <c r="AB22" s="8" t="str">
        <f t="shared" si="8"/>
        <v>待补充每日记录</v>
      </c>
      <c r="AC22" s="8" t="str">
        <f>IF(A22="","",IF(A22="止损计划",IF(OR(B22="",D22="",E22="",F22="",G22=""),"计划不完整",IF(OR(D22&lt;1,D22&lt;&gt;INT(D22)),"阶段序号无效",IF(COUNTIFS($A$2:$A$157,"止损计划",$B$2:$B$157,B22,$D$2:$D$157,D22)&gt;1,"阶段序号重复",IF(E22&lt;=IFERROR(LOOKUP(2,1/(单次交易!$A$2:$A$88=B22),单次交易!$E$2:$E$88),0),"激活价须高于买入价",IF(F22&lt;N22,"止损价不得低于初始止损",IF(F22&gt;E22,"止损价不得高于激活价",IF(AND(COUNTIFS($A$2:$A$157,"止损计划",$B$2:$B$157,B22,$D$2:$D$157,"&lt;"&amp;D22)&gt;0,OR(E22&lt;=SUMPRODUCT(MAX((($A$2:$A$157="止损计划")*($B$2:$B$157=B22)*($D$2:$D$157&lt;D22))*$E$2:$E$157)),F22&lt;SUMPRODUCT(MAX((($A$2:$A$157="止损计划")*($B$2:$B$157=B22)*($D$2:$D$157&lt;D22))*$F$2:$F$157)))),"阶段价格必须逐级提高","计划有效"))))))),IF(A22="每日跟踪",IF(OR(B22="",H22="",I22="",J22=""),"每日数据不完整",IF(COUNTIFS($A$2:$A$157,"每日跟踪",$B$2:$B$157,B22,$H$2:$H$157,H22)&gt;1,"同一交易日期重复",IF(AND(R22&lt;&gt;"",R22&lt;S22),"人工止损无效：不能下调","跟踪有效"))),"记录类型无效")))</f>
        <v>每日数据不完整</v>
      </c>
    </row>
    <row r="23" ht="17" spans="1:29">
      <c r="A23" s="2" t="s">
        <v>95</v>
      </c>
      <c r="B23" s="2">
        <v>22</v>
      </c>
      <c r="C23" s="8" t="str">
        <f>IF(B23="","",IFERROR(LOOKUP(2,1/(单次交易!$A$2:$A$88=B23),单次交易!$B$2:$B$88),""))</f>
        <v>恒瑞医药</v>
      </c>
      <c r="D23" s="12"/>
      <c r="E23" s="10"/>
      <c r="F23" s="10"/>
      <c r="G23" s="2"/>
      <c r="H23" s="13">
        <v>45077</v>
      </c>
      <c r="I23" s="10">
        <v>44.79</v>
      </c>
      <c r="J23" s="12"/>
      <c r="K23" s="2"/>
      <c r="L23" s="2"/>
      <c r="M23" s="2"/>
      <c r="N23" s="5">
        <f>IF(B23="","",IFERROR(LOOKUP(2,1/(单次交易!$A$2:$A$88=B23),单次交易!$N$2:$N$88),""))</f>
        <v>47</v>
      </c>
      <c r="O23" s="5">
        <f t="shared" si="0"/>
        <v>44.79</v>
      </c>
      <c r="P23" s="11">
        <f t="shared" si="1"/>
        <v>0</v>
      </c>
      <c r="Q23" s="5">
        <f t="shared" si="2"/>
        <v>47</v>
      </c>
      <c r="R23" s="10"/>
      <c r="S23" s="5">
        <f t="shared" si="3"/>
        <v>47</v>
      </c>
      <c r="T23" s="5" t="str">
        <f t="shared" si="4"/>
        <v/>
      </c>
      <c r="U23" s="5" t="str">
        <f t="shared" si="5"/>
        <v/>
      </c>
      <c r="V23" s="7" t="str">
        <f t="shared" si="6"/>
        <v/>
      </c>
      <c r="W23" s="8" t="str">
        <f t="shared" si="7"/>
        <v>触发止损：应全部卖出</v>
      </c>
      <c r="X23" s="2" t="s">
        <v>96</v>
      </c>
      <c r="Y23" s="10">
        <v>44.79</v>
      </c>
      <c r="Z23" s="11">
        <f>IF(X23&lt;&gt;"执行卖出","",IFERROR(LOOKUP(2,1/(单次交易!$A$2:$A$88=B23),单次交易!$AP$2:$AP$88),""))</f>
        <v>1700</v>
      </c>
      <c r="AA23" s="10"/>
      <c r="AB23" s="8" t="str">
        <f t="shared" si="8"/>
        <v>待补充每日记录</v>
      </c>
      <c r="AC23" s="8" t="str">
        <f>IF(A23="","",IF(A23="止损计划",IF(OR(B23="",D23="",E23="",F23="",G23=""),"计划不完整",IF(OR(D23&lt;1,D23&lt;&gt;INT(D23)),"阶段序号无效",IF(COUNTIFS($A$2:$A$157,"止损计划",$B$2:$B$157,B23,$D$2:$D$157,D23)&gt;1,"阶段序号重复",IF(E23&lt;=IFERROR(LOOKUP(2,1/(单次交易!$A$2:$A$88=B23),单次交易!$E$2:$E$88),0),"激活价须高于买入价",IF(F23&lt;N23,"止损价不得低于初始止损",IF(F23&gt;E23,"止损价不得高于激活价",IF(AND(COUNTIFS($A$2:$A$157,"止损计划",$B$2:$B$157,B23,$D$2:$D$157,"&lt;"&amp;D23)&gt;0,OR(E23&lt;=SUMPRODUCT(MAX((($A$2:$A$157="止损计划")*($B$2:$B$157=B23)*($D$2:$D$157&lt;D23))*$E$2:$E$157)),F23&lt;SUMPRODUCT(MAX((($A$2:$A$157="止损计划")*($B$2:$B$157=B23)*($D$2:$D$157&lt;D23))*$F$2:$F$157)))),"阶段价格必须逐级提高","计划有效"))))))),IF(A23="每日跟踪",IF(OR(B23="",H23="",I23="",J23=""),"每日数据不完整",IF(COUNTIFS($A$2:$A$157,"每日跟踪",$B$2:$B$157,B23,$H$2:$H$157,H23)&gt;1,"同一交易日期重复",IF(AND(R23&lt;&gt;"",R23&lt;S23),"人工止损无效：不能下调","跟踪有效"))),"记录类型无效")))</f>
        <v>每日数据不完整</v>
      </c>
    </row>
    <row r="24" ht="17" spans="1:29">
      <c r="A24" s="2" t="s">
        <v>95</v>
      </c>
      <c r="B24" s="2">
        <v>23</v>
      </c>
      <c r="C24" s="8" t="str">
        <f>IF(B24="","",IFERROR(LOOKUP(2,1/(单次交易!$A$2:$A$88=B24),单次交易!$B$2:$B$88),""))</f>
        <v>恒瑞医药</v>
      </c>
      <c r="D24" s="12"/>
      <c r="E24" s="10"/>
      <c r="F24" s="10"/>
      <c r="G24" s="2"/>
      <c r="H24" s="13">
        <v>45112</v>
      </c>
      <c r="I24" s="10">
        <v>48.59</v>
      </c>
      <c r="J24" s="12"/>
      <c r="K24" s="2"/>
      <c r="L24" s="2"/>
      <c r="M24" s="2"/>
      <c r="N24" s="5">
        <f>IF(B24="","",IFERROR(LOOKUP(2,1/(单次交易!$A$2:$A$88=B24),单次交易!$N$2:$N$88),""))</f>
        <v>45</v>
      </c>
      <c r="O24" s="5">
        <f t="shared" si="0"/>
        <v>48.59</v>
      </c>
      <c r="P24" s="11">
        <f t="shared" si="1"/>
        <v>0</v>
      </c>
      <c r="Q24" s="5">
        <f t="shared" si="2"/>
        <v>45</v>
      </c>
      <c r="R24" s="10"/>
      <c r="S24" s="5">
        <f t="shared" si="3"/>
        <v>45</v>
      </c>
      <c r="T24" s="5" t="str">
        <f t="shared" si="4"/>
        <v/>
      </c>
      <c r="U24" s="5" t="str">
        <f t="shared" si="5"/>
        <v/>
      </c>
      <c r="V24" s="7" t="str">
        <f t="shared" si="6"/>
        <v/>
      </c>
      <c r="W24" s="8" t="str">
        <f t="shared" si="7"/>
        <v>继续观察</v>
      </c>
      <c r="X24" s="2" t="s">
        <v>96</v>
      </c>
      <c r="Y24" s="10">
        <v>48.59</v>
      </c>
      <c r="Z24" s="11">
        <f>IF(X24&lt;&gt;"执行卖出","",IFERROR(LOOKUP(2,1/(单次交易!$A$2:$A$88=B24),单次交易!$AP$2:$AP$88),""))</f>
        <v>1300</v>
      </c>
      <c r="AA24" s="10"/>
      <c r="AB24" s="8" t="str">
        <f t="shared" si="8"/>
        <v>待补充每日记录</v>
      </c>
      <c r="AC24" s="8" t="str">
        <f>IF(A24="","",IF(A24="止损计划",IF(OR(B24="",D24="",E24="",F24="",G24=""),"计划不完整",IF(OR(D24&lt;1,D24&lt;&gt;INT(D24)),"阶段序号无效",IF(COUNTIFS($A$2:$A$157,"止损计划",$B$2:$B$157,B24,$D$2:$D$157,D24)&gt;1,"阶段序号重复",IF(E24&lt;=IFERROR(LOOKUP(2,1/(单次交易!$A$2:$A$88=B24),单次交易!$E$2:$E$88),0),"激活价须高于买入价",IF(F24&lt;N24,"止损价不得低于初始止损",IF(F24&gt;E24,"止损价不得高于激活价",IF(AND(COUNTIFS($A$2:$A$157,"止损计划",$B$2:$B$157,B24,$D$2:$D$157,"&lt;"&amp;D24)&gt;0,OR(E24&lt;=SUMPRODUCT(MAX((($A$2:$A$157="止损计划")*($B$2:$B$157=B24)*($D$2:$D$157&lt;D24))*$E$2:$E$157)),F24&lt;SUMPRODUCT(MAX((($A$2:$A$157="止损计划")*($B$2:$B$157=B24)*($D$2:$D$157&lt;D24))*$F$2:$F$157)))),"阶段价格必须逐级提高","计划有效"))))))),IF(A24="每日跟踪",IF(OR(B24="",H24="",I24="",J24=""),"每日数据不完整",IF(COUNTIFS($A$2:$A$157,"每日跟踪",$B$2:$B$157,B24,$H$2:$H$157,H24)&gt;1,"同一交易日期重复",IF(AND(R24&lt;&gt;"",R24&lt;S24),"人工止损无效：不能下调","跟踪有效"))),"记录类型无效")))</f>
        <v>每日数据不完整</v>
      </c>
    </row>
    <row r="25" ht="17" spans="1:29">
      <c r="A25" s="2" t="s">
        <v>95</v>
      </c>
      <c r="B25" s="2">
        <v>24</v>
      </c>
      <c r="C25" s="8" t="str">
        <f>IF(B25="","",IFERROR(LOOKUP(2,1/(单次交易!$A$2:$A$88=B25),单次交易!$B$2:$B$88),""))</f>
        <v>恒瑞医药</v>
      </c>
      <c r="D25" s="12"/>
      <c r="E25" s="10"/>
      <c r="F25" s="10"/>
      <c r="G25" s="2"/>
      <c r="H25" s="13">
        <v>45132</v>
      </c>
      <c r="I25" s="10">
        <v>47.16</v>
      </c>
      <c r="J25" s="12"/>
      <c r="K25" s="2"/>
      <c r="L25" s="2"/>
      <c r="M25" s="2"/>
      <c r="N25" s="5">
        <f>IF(B25="","",IFERROR(LOOKUP(2,1/(单次交易!$A$2:$A$88=B25),单次交易!$N$2:$N$88),""))</f>
        <v>45</v>
      </c>
      <c r="O25" s="5">
        <f t="shared" si="0"/>
        <v>47.16</v>
      </c>
      <c r="P25" s="11">
        <f t="shared" si="1"/>
        <v>0</v>
      </c>
      <c r="Q25" s="5">
        <f t="shared" si="2"/>
        <v>45</v>
      </c>
      <c r="R25" s="10"/>
      <c r="S25" s="5">
        <f t="shared" si="3"/>
        <v>45</v>
      </c>
      <c r="T25" s="5" t="str">
        <f t="shared" si="4"/>
        <v/>
      </c>
      <c r="U25" s="5" t="str">
        <f t="shared" si="5"/>
        <v/>
      </c>
      <c r="V25" s="7" t="str">
        <f t="shared" si="6"/>
        <v/>
      </c>
      <c r="W25" s="8" t="str">
        <f t="shared" si="7"/>
        <v>继续观察</v>
      </c>
      <c r="X25" s="2" t="s">
        <v>96</v>
      </c>
      <c r="Y25" s="10">
        <v>47.16</v>
      </c>
      <c r="Z25" s="11">
        <f>IF(X25&lt;&gt;"执行卖出","",IFERROR(LOOKUP(2,1/(单次交易!$A$2:$A$88=B25),单次交易!$AP$2:$AP$88),""))</f>
        <v>1300</v>
      </c>
      <c r="AA25" s="10"/>
      <c r="AB25" s="8" t="str">
        <f t="shared" si="8"/>
        <v>待补充每日记录</v>
      </c>
      <c r="AC25" s="8" t="str">
        <f>IF(A25="","",IF(A25="止损计划",IF(OR(B25="",D25="",E25="",F25="",G25=""),"计划不完整",IF(OR(D25&lt;1,D25&lt;&gt;INT(D25)),"阶段序号无效",IF(COUNTIFS($A$2:$A$157,"止损计划",$B$2:$B$157,B25,$D$2:$D$157,D25)&gt;1,"阶段序号重复",IF(E25&lt;=IFERROR(LOOKUP(2,1/(单次交易!$A$2:$A$88=B25),单次交易!$E$2:$E$88),0),"激活价须高于买入价",IF(F25&lt;N25,"止损价不得低于初始止损",IF(F25&gt;E25,"止损价不得高于激活价",IF(AND(COUNTIFS($A$2:$A$157,"止损计划",$B$2:$B$157,B25,$D$2:$D$157,"&lt;"&amp;D25)&gt;0,OR(E25&lt;=SUMPRODUCT(MAX((($A$2:$A$157="止损计划")*($B$2:$B$157=B25)*($D$2:$D$157&lt;D25))*$E$2:$E$157)),F25&lt;SUMPRODUCT(MAX((($A$2:$A$157="止损计划")*($B$2:$B$157=B25)*($D$2:$D$157&lt;D25))*$F$2:$F$157)))),"阶段价格必须逐级提高","计划有效"))))))),IF(A25="每日跟踪",IF(OR(B25="",H25="",I25="",J25=""),"每日数据不完整",IF(COUNTIFS($A$2:$A$157,"每日跟踪",$B$2:$B$157,B25,$H$2:$H$157,H25)&gt;1,"同一交易日期重复",IF(AND(R25&lt;&gt;"",R25&lt;S25),"人工止损无效：不能下调","跟踪有效"))),"记录类型无效")))</f>
        <v>每日数据不完整</v>
      </c>
    </row>
    <row r="26" ht="17" spans="1:29">
      <c r="A26" s="2" t="s">
        <v>95</v>
      </c>
      <c r="B26" s="2">
        <v>25</v>
      </c>
      <c r="C26" s="8" t="str">
        <f>IF(B26="","",IFERROR(LOOKUP(2,1/(单次交易!$A$2:$A$88=B26),单次交易!$B$2:$B$88),""))</f>
        <v>恒瑞医药</v>
      </c>
      <c r="D26" s="12"/>
      <c r="E26" s="10"/>
      <c r="F26" s="10"/>
      <c r="G26" s="2"/>
      <c r="H26" s="13">
        <v>45138</v>
      </c>
      <c r="I26" s="10">
        <v>43.98</v>
      </c>
      <c r="J26" s="12"/>
      <c r="K26" s="2"/>
      <c r="L26" s="2"/>
      <c r="M26" s="2"/>
      <c r="N26" s="5">
        <f>IF(B26="","",IFERROR(LOOKUP(2,1/(单次交易!$A$2:$A$88=B26),单次交易!$N$2:$N$88),""))</f>
        <v>47</v>
      </c>
      <c r="O26" s="5">
        <f t="shared" si="0"/>
        <v>43.98</v>
      </c>
      <c r="P26" s="11">
        <f t="shared" si="1"/>
        <v>0</v>
      </c>
      <c r="Q26" s="5">
        <f t="shared" si="2"/>
        <v>47</v>
      </c>
      <c r="R26" s="10"/>
      <c r="S26" s="5">
        <f t="shared" si="3"/>
        <v>47</v>
      </c>
      <c r="T26" s="5" t="str">
        <f t="shared" si="4"/>
        <v/>
      </c>
      <c r="U26" s="5" t="str">
        <f t="shared" si="5"/>
        <v/>
      </c>
      <c r="V26" s="7" t="str">
        <f t="shared" si="6"/>
        <v/>
      </c>
      <c r="W26" s="8" t="str">
        <f t="shared" si="7"/>
        <v>触发止损：应全部卖出</v>
      </c>
      <c r="X26" s="2" t="s">
        <v>96</v>
      </c>
      <c r="Y26" s="10">
        <v>43.98</v>
      </c>
      <c r="Z26" s="11">
        <f>IF(X26&lt;&gt;"执行卖出","",IFERROR(LOOKUP(2,1/(单次交易!$A$2:$A$88=B26),单次交易!$AP$2:$AP$88),""))</f>
        <v>1600</v>
      </c>
      <c r="AA26" s="10"/>
      <c r="AB26" s="8" t="str">
        <f t="shared" si="8"/>
        <v>待补充每日记录</v>
      </c>
      <c r="AC26" s="8" t="str">
        <f>IF(A26="","",IF(A26="止损计划",IF(OR(B26="",D26="",E26="",F26="",G26=""),"计划不完整",IF(OR(D26&lt;1,D26&lt;&gt;INT(D26)),"阶段序号无效",IF(COUNTIFS($A$2:$A$157,"止损计划",$B$2:$B$157,B26,$D$2:$D$157,D26)&gt;1,"阶段序号重复",IF(E26&lt;=IFERROR(LOOKUP(2,1/(单次交易!$A$2:$A$88=B26),单次交易!$E$2:$E$88),0),"激活价须高于买入价",IF(F26&lt;N26,"止损价不得低于初始止损",IF(F26&gt;E26,"止损价不得高于激活价",IF(AND(COUNTIFS($A$2:$A$157,"止损计划",$B$2:$B$157,B26,$D$2:$D$157,"&lt;"&amp;D26)&gt;0,OR(E26&lt;=SUMPRODUCT(MAX((($A$2:$A$157="止损计划")*($B$2:$B$157=B26)*($D$2:$D$157&lt;D26))*$E$2:$E$157)),F26&lt;SUMPRODUCT(MAX((($A$2:$A$157="止损计划")*($B$2:$B$157=B26)*($D$2:$D$157&lt;D26))*$F$2:$F$157)))),"阶段价格必须逐级提高","计划有效"))))))),IF(A26="每日跟踪",IF(OR(B26="",H26="",I26="",J26=""),"每日数据不完整",IF(COUNTIFS($A$2:$A$157,"每日跟踪",$B$2:$B$157,B26,$H$2:$H$157,H26)&gt;1,"同一交易日期重复",IF(AND(R26&lt;&gt;"",R26&lt;S26),"人工止损无效：不能下调","跟踪有效"))),"记录类型无效")))</f>
        <v>每日数据不完整</v>
      </c>
    </row>
    <row r="27" ht="17" spans="1:29">
      <c r="A27" s="2" t="s">
        <v>95</v>
      </c>
      <c r="B27" s="2">
        <v>26</v>
      </c>
      <c r="C27" s="8" t="str">
        <f>IF(B27="","",IFERROR(LOOKUP(2,1/(单次交易!$A$2:$A$88=B27),单次交易!$B$2:$B$88),""))</f>
        <v>恒瑞医药</v>
      </c>
      <c r="D27" s="12"/>
      <c r="E27" s="10"/>
      <c r="F27" s="10"/>
      <c r="G27" s="2"/>
      <c r="H27" s="13">
        <v>45215</v>
      </c>
      <c r="I27" s="10">
        <v>43.63</v>
      </c>
      <c r="J27" s="12"/>
      <c r="K27" s="2"/>
      <c r="L27" s="2"/>
      <c r="M27" s="2"/>
      <c r="N27" s="5">
        <f>IF(B27="","",IFERROR(LOOKUP(2,1/(单次交易!$A$2:$A$88=B27),单次交易!$N$2:$N$88),""))</f>
        <v>41.5</v>
      </c>
      <c r="O27" s="5">
        <f t="shared" si="0"/>
        <v>43.63</v>
      </c>
      <c r="P27" s="11">
        <f t="shared" si="1"/>
        <v>0</v>
      </c>
      <c r="Q27" s="5">
        <f t="shared" si="2"/>
        <v>41.5</v>
      </c>
      <c r="R27" s="10"/>
      <c r="S27" s="5">
        <f t="shared" si="3"/>
        <v>41.5</v>
      </c>
      <c r="T27" s="5" t="str">
        <f t="shared" si="4"/>
        <v/>
      </c>
      <c r="U27" s="5" t="str">
        <f t="shared" si="5"/>
        <v/>
      </c>
      <c r="V27" s="7" t="str">
        <f t="shared" si="6"/>
        <v/>
      </c>
      <c r="W27" s="8" t="str">
        <f t="shared" si="7"/>
        <v>继续观察</v>
      </c>
      <c r="X27" s="2" t="s">
        <v>96</v>
      </c>
      <c r="Y27" s="10">
        <v>43.63</v>
      </c>
      <c r="Z27" s="11">
        <f>IF(X27&lt;&gt;"执行卖出","",IFERROR(LOOKUP(2,1/(单次交易!$A$2:$A$88=B27),单次交易!$AP$2:$AP$88),""))</f>
        <v>1400</v>
      </c>
      <c r="AA27" s="10"/>
      <c r="AB27" s="8" t="str">
        <f t="shared" si="8"/>
        <v>待补充每日记录</v>
      </c>
      <c r="AC27" s="8" t="str">
        <f>IF(A27="","",IF(A27="止损计划",IF(OR(B27="",D27="",E27="",F27="",G27=""),"计划不完整",IF(OR(D27&lt;1,D27&lt;&gt;INT(D27)),"阶段序号无效",IF(COUNTIFS($A$2:$A$157,"止损计划",$B$2:$B$157,B27,$D$2:$D$157,D27)&gt;1,"阶段序号重复",IF(E27&lt;=IFERROR(LOOKUP(2,1/(单次交易!$A$2:$A$88=B27),单次交易!$E$2:$E$88),0),"激活价须高于买入价",IF(F27&lt;N27,"止损价不得低于初始止损",IF(F27&gt;E27,"止损价不得高于激活价",IF(AND(COUNTIFS($A$2:$A$157,"止损计划",$B$2:$B$157,B27,$D$2:$D$157,"&lt;"&amp;D27)&gt;0,OR(E27&lt;=SUMPRODUCT(MAX((($A$2:$A$157="止损计划")*($B$2:$B$157=B27)*($D$2:$D$157&lt;D27))*$E$2:$E$157)),F27&lt;SUMPRODUCT(MAX((($A$2:$A$157="止损计划")*($B$2:$B$157=B27)*($D$2:$D$157&lt;D27))*$F$2:$F$157)))),"阶段价格必须逐级提高","计划有效"))))))),IF(A27="每日跟踪",IF(OR(B27="",H27="",I27="",J27=""),"每日数据不完整",IF(COUNTIFS($A$2:$A$157,"每日跟踪",$B$2:$B$157,B27,$H$2:$H$157,H27)&gt;1,"同一交易日期重复",IF(AND(R27&lt;&gt;"",R27&lt;S27),"人工止损无效：不能下调","跟踪有效"))),"记录类型无效")))</f>
        <v>每日数据不完整</v>
      </c>
    </row>
    <row r="28" ht="17" spans="1:29">
      <c r="A28" s="2" t="s">
        <v>95</v>
      </c>
      <c r="B28" s="2">
        <v>27</v>
      </c>
      <c r="C28" s="8" t="str">
        <f>IF(B28="","",IFERROR(LOOKUP(2,1/(单次交易!$A$2:$A$88=B28),单次交易!$B$2:$B$88),""))</f>
        <v>恒瑞医药</v>
      </c>
      <c r="D28" s="12"/>
      <c r="E28" s="10"/>
      <c r="F28" s="10"/>
      <c r="G28" s="2"/>
      <c r="H28" s="13">
        <v>45264</v>
      </c>
      <c r="I28" s="10">
        <v>45.39</v>
      </c>
      <c r="J28" s="12"/>
      <c r="K28" s="2"/>
      <c r="L28" s="2"/>
      <c r="M28" s="2"/>
      <c r="N28" s="5">
        <f>IF(B28="","",IFERROR(LOOKUP(2,1/(单次交易!$A$2:$A$88=B28),单次交易!$N$2:$N$88),""))</f>
        <v>46</v>
      </c>
      <c r="O28" s="5">
        <f t="shared" si="0"/>
        <v>45.39</v>
      </c>
      <c r="P28" s="11">
        <f t="shared" si="1"/>
        <v>0</v>
      </c>
      <c r="Q28" s="5">
        <f t="shared" si="2"/>
        <v>46</v>
      </c>
      <c r="R28" s="10"/>
      <c r="S28" s="5">
        <f t="shared" si="3"/>
        <v>46</v>
      </c>
      <c r="T28" s="5" t="str">
        <f t="shared" si="4"/>
        <v/>
      </c>
      <c r="U28" s="5" t="str">
        <f t="shared" si="5"/>
        <v/>
      </c>
      <c r="V28" s="7" t="str">
        <f t="shared" si="6"/>
        <v/>
      </c>
      <c r="W28" s="8" t="str">
        <f t="shared" si="7"/>
        <v>触发止损：应全部卖出</v>
      </c>
      <c r="X28" s="2" t="s">
        <v>96</v>
      </c>
      <c r="Y28" s="10">
        <v>45.39</v>
      </c>
      <c r="Z28" s="11">
        <f>IF(X28&lt;&gt;"执行卖出","",IFERROR(LOOKUP(2,1/(单次交易!$A$2:$A$88=B28),单次交易!$AP$2:$AP$88),""))</f>
        <v>3000</v>
      </c>
      <c r="AA28" s="10"/>
      <c r="AB28" s="8" t="str">
        <f t="shared" si="8"/>
        <v>待补充每日记录</v>
      </c>
      <c r="AC28" s="8" t="str">
        <f>IF(A28="","",IF(A28="止损计划",IF(OR(B28="",D28="",E28="",F28="",G28=""),"计划不完整",IF(OR(D28&lt;1,D28&lt;&gt;INT(D28)),"阶段序号无效",IF(COUNTIFS($A$2:$A$157,"止损计划",$B$2:$B$157,B28,$D$2:$D$157,D28)&gt;1,"阶段序号重复",IF(E28&lt;=IFERROR(LOOKUP(2,1/(单次交易!$A$2:$A$88=B28),单次交易!$E$2:$E$88),0),"激活价须高于买入价",IF(F28&lt;N28,"止损价不得低于初始止损",IF(F28&gt;E28,"止损价不得高于激活价",IF(AND(COUNTIFS($A$2:$A$157,"止损计划",$B$2:$B$157,B28,$D$2:$D$157,"&lt;"&amp;D28)&gt;0,OR(E28&lt;=SUMPRODUCT(MAX((($A$2:$A$157="止损计划")*($B$2:$B$157=B28)*($D$2:$D$157&lt;D28))*$E$2:$E$157)),F28&lt;SUMPRODUCT(MAX((($A$2:$A$157="止损计划")*($B$2:$B$157=B28)*($D$2:$D$157&lt;D28))*$F$2:$F$157)))),"阶段价格必须逐级提高","计划有效"))))))),IF(A28="每日跟踪",IF(OR(B28="",H28="",I28="",J28=""),"每日数据不完整",IF(COUNTIFS($A$2:$A$157,"每日跟踪",$B$2:$B$157,B28,$H$2:$H$157,H28)&gt;1,"同一交易日期重复",IF(AND(R28&lt;&gt;"",R28&lt;S28),"人工止损无效：不能下调","跟踪有效"))),"记录类型无效")))</f>
        <v>每日数据不完整</v>
      </c>
    </row>
    <row r="29" ht="17" spans="1:29">
      <c r="A29" s="2" t="s">
        <v>95</v>
      </c>
      <c r="B29" s="2">
        <v>28</v>
      </c>
      <c r="C29" s="8" t="str">
        <f>IF(B29="","",IFERROR(LOOKUP(2,1/(单次交易!$A$2:$A$88=B29),单次交易!$B$2:$B$88),""))</f>
        <v>恒瑞医药</v>
      </c>
      <c r="D29" s="12"/>
      <c r="E29" s="10"/>
      <c r="F29" s="10"/>
      <c r="G29" s="2"/>
      <c r="H29" s="13">
        <v>45060</v>
      </c>
      <c r="I29" s="10">
        <v>44.73</v>
      </c>
      <c r="J29" s="12"/>
      <c r="K29" s="2"/>
      <c r="L29" s="2"/>
      <c r="M29" s="2"/>
      <c r="N29" s="5">
        <f>IF(B29="","",IFERROR(LOOKUP(2,1/(单次交易!$A$2:$A$88=B29),单次交易!$N$2:$N$88),""))</f>
        <v>46</v>
      </c>
      <c r="O29" s="5">
        <f t="shared" si="0"/>
        <v>44.73</v>
      </c>
      <c r="P29" s="11">
        <f t="shared" si="1"/>
        <v>0</v>
      </c>
      <c r="Q29" s="5">
        <f t="shared" si="2"/>
        <v>46</v>
      </c>
      <c r="R29" s="10"/>
      <c r="S29" s="5">
        <f t="shared" si="3"/>
        <v>46</v>
      </c>
      <c r="T29" s="5" t="str">
        <f t="shared" si="4"/>
        <v/>
      </c>
      <c r="U29" s="5" t="str">
        <f t="shared" si="5"/>
        <v/>
      </c>
      <c r="V29" s="7" t="str">
        <f t="shared" si="6"/>
        <v/>
      </c>
      <c r="W29" s="8" t="str">
        <f t="shared" si="7"/>
        <v>触发止损：应全部卖出</v>
      </c>
      <c r="X29" s="2" t="s">
        <v>96</v>
      </c>
      <c r="Y29" s="10">
        <v>44.73</v>
      </c>
      <c r="Z29" s="11">
        <f>IF(X29&lt;&gt;"执行卖出","",IFERROR(LOOKUP(2,1/(单次交易!$A$2:$A$88=B29),单次交易!$AP$2:$AP$88),""))</f>
        <v>3800</v>
      </c>
      <c r="AA29" s="10"/>
      <c r="AB29" s="8" t="str">
        <f t="shared" si="8"/>
        <v>待补充每日记录</v>
      </c>
      <c r="AC29" s="8" t="str">
        <f>IF(A29="","",IF(A29="止损计划",IF(OR(B29="",D29="",E29="",F29="",G29=""),"计划不完整",IF(OR(D29&lt;1,D29&lt;&gt;INT(D29)),"阶段序号无效",IF(COUNTIFS($A$2:$A$157,"止损计划",$B$2:$B$157,B29,$D$2:$D$157,D29)&gt;1,"阶段序号重复",IF(E29&lt;=IFERROR(LOOKUP(2,1/(单次交易!$A$2:$A$88=B29),单次交易!$E$2:$E$88),0),"激活价须高于买入价",IF(F29&lt;N29,"止损价不得低于初始止损",IF(F29&gt;E29,"止损价不得高于激活价",IF(AND(COUNTIFS($A$2:$A$157,"止损计划",$B$2:$B$157,B29,$D$2:$D$157,"&lt;"&amp;D29)&gt;0,OR(E29&lt;=SUMPRODUCT(MAX((($A$2:$A$157="止损计划")*($B$2:$B$157=B29)*($D$2:$D$157&lt;D29))*$E$2:$E$157)),F29&lt;SUMPRODUCT(MAX((($A$2:$A$157="止损计划")*($B$2:$B$157=B29)*($D$2:$D$157&lt;D29))*$F$2:$F$157)))),"阶段价格必须逐级提高","计划有效"))))))),IF(A29="每日跟踪",IF(OR(B29="",H29="",I29="",J29=""),"每日数据不完整",IF(COUNTIFS($A$2:$A$157,"每日跟踪",$B$2:$B$157,B29,$H$2:$H$157,H29)&gt;1,"同一交易日期重复",IF(AND(R29&lt;&gt;"",R29&lt;S29),"人工止损无效：不能下调","跟踪有效"))),"记录类型无效")))</f>
        <v>每日数据不完整</v>
      </c>
    </row>
    <row r="30" ht="17" spans="1:29">
      <c r="A30" s="2" t="s">
        <v>95</v>
      </c>
      <c r="B30" s="2">
        <v>29</v>
      </c>
      <c r="C30" s="8" t="str">
        <f>IF(B30="","",IFERROR(LOOKUP(2,1/(单次交易!$A$2:$A$88=B30),单次交易!$B$2:$B$88),""))</f>
        <v>五粮液</v>
      </c>
      <c r="D30" s="12"/>
      <c r="E30" s="10"/>
      <c r="F30" s="10"/>
      <c r="G30" s="2"/>
      <c r="H30" s="13">
        <v>43061</v>
      </c>
      <c r="I30" s="10">
        <v>41.74</v>
      </c>
      <c r="J30" s="12"/>
      <c r="K30" s="2"/>
      <c r="L30" s="2"/>
      <c r="M30" s="2"/>
      <c r="N30" s="5">
        <f>IF(B30="","",IFERROR(LOOKUP(2,1/(单次交易!$A$2:$A$88=B30),单次交易!$N$2:$N$88),""))</f>
        <v>38</v>
      </c>
      <c r="O30" s="5">
        <f t="shared" si="0"/>
        <v>41.74</v>
      </c>
      <c r="P30" s="11">
        <f t="shared" si="1"/>
        <v>0</v>
      </c>
      <c r="Q30" s="5">
        <f t="shared" si="2"/>
        <v>38</v>
      </c>
      <c r="R30" s="10"/>
      <c r="S30" s="5">
        <f t="shared" si="3"/>
        <v>38</v>
      </c>
      <c r="T30" s="5" t="str">
        <f t="shared" si="4"/>
        <v/>
      </c>
      <c r="U30" s="5" t="str">
        <f t="shared" si="5"/>
        <v/>
      </c>
      <c r="V30" s="7" t="str">
        <f t="shared" si="6"/>
        <v/>
      </c>
      <c r="W30" s="8" t="str">
        <f t="shared" si="7"/>
        <v>继续观察</v>
      </c>
      <c r="X30" s="2" t="s">
        <v>96</v>
      </c>
      <c r="Y30" s="10">
        <v>41.74</v>
      </c>
      <c r="Z30" s="11">
        <f>IF(X30&lt;&gt;"执行卖出","",IFERROR(LOOKUP(2,1/(单次交易!$A$2:$A$88=B30),单次交易!$AP$2:$AP$88),""))</f>
        <v>1000</v>
      </c>
      <c r="AA30" s="10"/>
      <c r="AB30" s="8" t="str">
        <f t="shared" si="8"/>
        <v>待补充每日记录</v>
      </c>
      <c r="AC30" s="8" t="str">
        <f>IF(A30="","",IF(A30="止损计划",IF(OR(B30="",D30="",E30="",F30="",G30=""),"计划不完整",IF(OR(D30&lt;1,D30&lt;&gt;INT(D30)),"阶段序号无效",IF(COUNTIFS($A$2:$A$157,"止损计划",$B$2:$B$157,B30,$D$2:$D$157,D30)&gt;1,"阶段序号重复",IF(E30&lt;=IFERROR(LOOKUP(2,1/(单次交易!$A$2:$A$88=B30),单次交易!$E$2:$E$88),0),"激活价须高于买入价",IF(F30&lt;N30,"止损价不得低于初始止损",IF(F30&gt;E30,"止损价不得高于激活价",IF(AND(COUNTIFS($A$2:$A$157,"止损计划",$B$2:$B$157,B30,$D$2:$D$157,"&lt;"&amp;D30)&gt;0,OR(E30&lt;=SUMPRODUCT(MAX((($A$2:$A$157="止损计划")*($B$2:$B$157=B30)*($D$2:$D$157&lt;D30))*$E$2:$E$157)),F30&lt;SUMPRODUCT(MAX((($A$2:$A$157="止损计划")*($B$2:$B$157=B30)*($D$2:$D$157&lt;D30))*$F$2:$F$157)))),"阶段价格必须逐级提高","计划有效"))))))),IF(A30="每日跟踪",IF(OR(B30="",H30="",I30="",J30=""),"每日数据不完整",IF(COUNTIFS($A$2:$A$157,"每日跟踪",$B$2:$B$157,B30,$H$2:$H$157,H30)&gt;1,"同一交易日期重复",IF(AND(R30&lt;&gt;"",R30&lt;S30),"人工止损无效：不能下调","跟踪有效"))),"记录类型无效")))</f>
        <v>每日数据不完整</v>
      </c>
    </row>
    <row r="31" ht="17" spans="1:29">
      <c r="A31" s="2" t="s">
        <v>95</v>
      </c>
      <c r="B31" s="2">
        <v>30</v>
      </c>
      <c r="C31" s="8" t="str">
        <f>IF(B31="","",IFERROR(LOOKUP(2,1/(单次交易!$A$2:$A$88=B31),单次交易!$B$2:$B$88),""))</f>
        <v>五粮液</v>
      </c>
      <c r="D31" s="12"/>
      <c r="E31" s="10"/>
      <c r="F31" s="10"/>
      <c r="G31" s="2"/>
      <c r="H31" s="13">
        <v>43083</v>
      </c>
      <c r="I31" s="10">
        <v>44.53</v>
      </c>
      <c r="J31" s="12"/>
      <c r="K31" s="2"/>
      <c r="L31" s="2"/>
      <c r="M31" s="2"/>
      <c r="N31" s="5">
        <f>IF(B31="","",IFERROR(LOOKUP(2,1/(单次交易!$A$2:$A$88=B31),单次交易!$N$2:$N$88),""))</f>
        <v>35</v>
      </c>
      <c r="O31" s="5">
        <f t="shared" si="0"/>
        <v>44.53</v>
      </c>
      <c r="P31" s="11">
        <f t="shared" si="1"/>
        <v>0</v>
      </c>
      <c r="Q31" s="5">
        <f t="shared" si="2"/>
        <v>35</v>
      </c>
      <c r="R31" s="10"/>
      <c r="S31" s="5">
        <f t="shared" si="3"/>
        <v>35</v>
      </c>
      <c r="T31" s="5" t="str">
        <f t="shared" si="4"/>
        <v/>
      </c>
      <c r="U31" s="5" t="str">
        <f t="shared" si="5"/>
        <v/>
      </c>
      <c r="V31" s="7" t="str">
        <f t="shared" si="6"/>
        <v/>
      </c>
      <c r="W31" s="8" t="str">
        <f t="shared" si="7"/>
        <v>继续观察</v>
      </c>
      <c r="X31" s="2" t="s">
        <v>96</v>
      </c>
      <c r="Y31" s="10">
        <v>44.53</v>
      </c>
      <c r="Z31" s="11">
        <f>IF(X31&lt;&gt;"执行卖出","",IFERROR(LOOKUP(2,1/(单次交易!$A$2:$A$88=B31),单次交易!$AP$2:$AP$88),""))</f>
        <v>600</v>
      </c>
      <c r="AA31" s="10"/>
      <c r="AB31" s="8" t="str">
        <f t="shared" si="8"/>
        <v>待补充每日记录</v>
      </c>
      <c r="AC31" s="8" t="str">
        <f>IF(A31="","",IF(A31="止损计划",IF(OR(B31="",D31="",E31="",F31="",G31=""),"计划不完整",IF(OR(D31&lt;1,D31&lt;&gt;INT(D31)),"阶段序号无效",IF(COUNTIFS($A$2:$A$157,"止损计划",$B$2:$B$157,B31,$D$2:$D$157,D31)&gt;1,"阶段序号重复",IF(E31&lt;=IFERROR(LOOKUP(2,1/(单次交易!$A$2:$A$88=B31),单次交易!$E$2:$E$88),0),"激活价须高于买入价",IF(F31&lt;N31,"止损价不得低于初始止损",IF(F31&gt;E31,"止损价不得高于激活价",IF(AND(COUNTIFS($A$2:$A$157,"止损计划",$B$2:$B$157,B31,$D$2:$D$157,"&lt;"&amp;D31)&gt;0,OR(E31&lt;=SUMPRODUCT(MAX((($A$2:$A$157="止损计划")*($B$2:$B$157=B31)*($D$2:$D$157&lt;D31))*$E$2:$E$157)),F31&lt;SUMPRODUCT(MAX((($A$2:$A$157="止损计划")*($B$2:$B$157=B31)*($D$2:$D$157&lt;D31))*$F$2:$F$157)))),"阶段价格必须逐级提高","计划有效"))))))),IF(A31="每日跟踪",IF(OR(B31="",H31="",I31="",J31=""),"每日数据不完整",IF(COUNTIFS($A$2:$A$157,"每日跟踪",$B$2:$B$157,B31,$H$2:$H$157,H31)&gt;1,"同一交易日期重复",IF(AND(R31&lt;&gt;"",R31&lt;S31),"人工止损无效：不能下调","跟踪有效"))),"记录类型无效")))</f>
        <v>每日数据不完整</v>
      </c>
    </row>
    <row r="32" ht="17" spans="1:29">
      <c r="A32" s="2" t="s">
        <v>95</v>
      </c>
      <c r="B32" s="2">
        <v>31</v>
      </c>
      <c r="C32" s="8" t="str">
        <f>IF(B32="","",IFERROR(LOOKUP(2,1/(单次交易!$A$2:$A$88=B32),单次交易!$B$2:$B$88),""))</f>
        <v>五粮液</v>
      </c>
      <c r="D32" s="12"/>
      <c r="E32" s="10"/>
      <c r="F32" s="10"/>
      <c r="G32" s="2"/>
      <c r="H32" s="13">
        <v>43131</v>
      </c>
      <c r="I32" s="10">
        <v>54.22</v>
      </c>
      <c r="J32" s="12"/>
      <c r="K32" s="2"/>
      <c r="L32" s="2"/>
      <c r="M32" s="2"/>
      <c r="N32" s="5">
        <f>IF(B32="","",IFERROR(LOOKUP(2,1/(单次交易!$A$2:$A$88=B32),单次交易!$N$2:$N$88),""))</f>
        <v>48</v>
      </c>
      <c r="O32" s="5">
        <f t="shared" si="0"/>
        <v>54.22</v>
      </c>
      <c r="P32" s="11">
        <f t="shared" si="1"/>
        <v>0</v>
      </c>
      <c r="Q32" s="5">
        <f t="shared" si="2"/>
        <v>48</v>
      </c>
      <c r="R32" s="10"/>
      <c r="S32" s="5">
        <f t="shared" si="3"/>
        <v>48</v>
      </c>
      <c r="T32" s="5" t="str">
        <f t="shared" si="4"/>
        <v/>
      </c>
      <c r="U32" s="5" t="str">
        <f t="shared" si="5"/>
        <v/>
      </c>
      <c r="V32" s="7" t="str">
        <f t="shared" si="6"/>
        <v/>
      </c>
      <c r="W32" s="8" t="str">
        <f t="shared" si="7"/>
        <v>继续观察</v>
      </c>
      <c r="X32" s="2" t="s">
        <v>96</v>
      </c>
      <c r="Y32" s="10">
        <v>54.22</v>
      </c>
      <c r="Z32" s="11">
        <f>IF(X32&lt;&gt;"执行卖出","",IFERROR(LOOKUP(2,1/(单次交易!$A$2:$A$88=B32),单次交易!$AP$2:$AP$88),""))</f>
        <v>700</v>
      </c>
      <c r="AA32" s="10"/>
      <c r="AB32" s="8" t="str">
        <f t="shared" si="8"/>
        <v>待补充每日记录</v>
      </c>
      <c r="AC32" s="8" t="str">
        <f>IF(A32="","",IF(A32="止损计划",IF(OR(B32="",D32="",E32="",F32="",G32=""),"计划不完整",IF(OR(D32&lt;1,D32&lt;&gt;INT(D32)),"阶段序号无效",IF(COUNTIFS($A$2:$A$157,"止损计划",$B$2:$B$157,B32,$D$2:$D$157,D32)&gt;1,"阶段序号重复",IF(E32&lt;=IFERROR(LOOKUP(2,1/(单次交易!$A$2:$A$88=B32),单次交易!$E$2:$E$88),0),"激活价须高于买入价",IF(F32&lt;N32,"止损价不得低于初始止损",IF(F32&gt;E32,"止损价不得高于激活价",IF(AND(COUNTIFS($A$2:$A$157,"止损计划",$B$2:$B$157,B32,$D$2:$D$157,"&lt;"&amp;D32)&gt;0,OR(E32&lt;=SUMPRODUCT(MAX((($A$2:$A$157="止损计划")*($B$2:$B$157=B32)*($D$2:$D$157&lt;D32))*$E$2:$E$157)),F32&lt;SUMPRODUCT(MAX((($A$2:$A$157="止损计划")*($B$2:$B$157=B32)*($D$2:$D$157&lt;D32))*$F$2:$F$157)))),"阶段价格必须逐级提高","计划有效"))))))),IF(A32="每日跟踪",IF(OR(B32="",H32="",I32="",J32=""),"每日数据不完整",IF(COUNTIFS($A$2:$A$157,"每日跟踪",$B$2:$B$157,B32,$H$2:$H$157,H32)&gt;1,"同一交易日期重复",IF(AND(R32&lt;&gt;"",R32&lt;S32),"人工止损无效：不能下调","跟踪有效"))),"记录类型无效")))</f>
        <v>每日数据不完整</v>
      </c>
    </row>
    <row r="33" ht="17" spans="1:29">
      <c r="A33" s="2" t="s">
        <v>95</v>
      </c>
      <c r="B33" s="2">
        <v>32</v>
      </c>
      <c r="C33" s="8" t="str">
        <f>IF(B33="","",IFERROR(LOOKUP(2,1/(单次交易!$A$2:$A$88=B33),单次交易!$B$2:$B$88),""))</f>
        <v>五粮液</v>
      </c>
      <c r="D33" s="12"/>
      <c r="E33" s="10"/>
      <c r="F33" s="10"/>
      <c r="G33" s="2"/>
      <c r="H33" s="13">
        <v>43278</v>
      </c>
      <c r="I33" s="10">
        <v>46.39</v>
      </c>
      <c r="J33" s="12"/>
      <c r="K33" s="2"/>
      <c r="L33" s="2"/>
      <c r="M33" s="2"/>
      <c r="N33" s="5">
        <f>IF(B33="","",IFERROR(LOOKUP(2,1/(单次交易!$A$2:$A$88=B33),单次交易!$N$2:$N$88),""))</f>
        <v>50</v>
      </c>
      <c r="O33" s="5">
        <f t="shared" si="0"/>
        <v>46.39</v>
      </c>
      <c r="P33" s="11">
        <f t="shared" si="1"/>
        <v>0</v>
      </c>
      <c r="Q33" s="5">
        <f t="shared" si="2"/>
        <v>50</v>
      </c>
      <c r="R33" s="10"/>
      <c r="S33" s="5">
        <f t="shared" si="3"/>
        <v>50</v>
      </c>
      <c r="T33" s="5" t="str">
        <f t="shared" si="4"/>
        <v/>
      </c>
      <c r="U33" s="5" t="str">
        <f t="shared" si="5"/>
        <v/>
      </c>
      <c r="V33" s="7" t="str">
        <f t="shared" si="6"/>
        <v/>
      </c>
      <c r="W33" s="8" t="str">
        <f t="shared" si="7"/>
        <v>触发止损：应全部卖出</v>
      </c>
      <c r="X33" s="2" t="s">
        <v>96</v>
      </c>
      <c r="Y33" s="10">
        <v>46.39</v>
      </c>
      <c r="Z33" s="11">
        <f>IF(X33&lt;&gt;"执行卖出","",IFERROR(LOOKUP(2,1/(单次交易!$A$2:$A$88=B33),单次交易!$AP$2:$AP$88),""))</f>
        <v>900</v>
      </c>
      <c r="AA33" s="10"/>
      <c r="AB33" s="8" t="str">
        <f t="shared" si="8"/>
        <v>待补充每日记录</v>
      </c>
      <c r="AC33" s="8" t="str">
        <f>IF(A33="","",IF(A33="止损计划",IF(OR(B33="",D33="",E33="",F33="",G33=""),"计划不完整",IF(OR(D33&lt;1,D33&lt;&gt;INT(D33)),"阶段序号无效",IF(COUNTIFS($A$2:$A$157,"止损计划",$B$2:$B$157,B33,$D$2:$D$157,D33)&gt;1,"阶段序号重复",IF(E33&lt;=IFERROR(LOOKUP(2,1/(单次交易!$A$2:$A$88=B33),单次交易!$E$2:$E$88),0),"激活价须高于买入价",IF(F33&lt;N33,"止损价不得低于初始止损",IF(F33&gt;E33,"止损价不得高于激活价",IF(AND(COUNTIFS($A$2:$A$157,"止损计划",$B$2:$B$157,B33,$D$2:$D$157,"&lt;"&amp;D33)&gt;0,OR(E33&lt;=SUMPRODUCT(MAX((($A$2:$A$157="止损计划")*($B$2:$B$157=B33)*($D$2:$D$157&lt;D33))*$E$2:$E$157)),F33&lt;SUMPRODUCT(MAX((($A$2:$A$157="止损计划")*($B$2:$B$157=B33)*($D$2:$D$157&lt;D33))*$F$2:$F$157)))),"阶段价格必须逐级提高","计划有效"))))))),IF(A33="每日跟踪",IF(OR(B33="",H33="",I33="",J33=""),"每日数据不完整",IF(COUNTIFS($A$2:$A$157,"每日跟踪",$B$2:$B$157,B33,$H$2:$H$157,H33)&gt;1,"同一交易日期重复",IF(AND(R33&lt;&gt;"",R33&lt;S33),"人工止损无效：不能下调","跟踪有效"))),"记录类型无效")))</f>
        <v>每日数据不完整</v>
      </c>
    </row>
    <row r="34" ht="17" spans="1:29">
      <c r="A34" s="2" t="s">
        <v>95</v>
      </c>
      <c r="B34" s="2">
        <v>33</v>
      </c>
      <c r="C34" s="8" t="str">
        <f>IF(B34="","",IFERROR(LOOKUP(2,1/(单次交易!$A$2:$A$88=B34),单次交易!$B$2:$B$88),""))</f>
        <v>五粮液</v>
      </c>
      <c r="D34" s="12"/>
      <c r="E34" s="10"/>
      <c r="F34" s="10"/>
      <c r="G34" s="2"/>
      <c r="H34" s="13">
        <v>43619</v>
      </c>
      <c r="I34" s="10">
        <v>72</v>
      </c>
      <c r="J34" s="12"/>
      <c r="K34" s="2"/>
      <c r="L34" s="2"/>
      <c r="M34" s="2"/>
      <c r="N34" s="5">
        <f>IF(B34="","",IFERROR(LOOKUP(2,1/(单次交易!$A$2:$A$88=B34),单次交易!$N$2:$N$88),""))</f>
        <v>40</v>
      </c>
      <c r="O34" s="5">
        <f t="shared" ref="O34:O65" si="9">IF(A34&lt;&gt;"每日跟踪","",IF(OR(B34="",H34="",I34=""),"",IFERROR(SUMPRODUCT(MAX((($A$2:$A$157="每日跟踪")*($B$2:$B$157=B34)*($H$2:$H$157&lt;=H34))*$I$2:$I$157)),"")))</f>
        <v>72</v>
      </c>
      <c r="P34" s="11">
        <f t="shared" ref="P34:P65" si="10">IF(A34&lt;&gt;"每日跟踪","",IF(O34="","",IFERROR(SUMPRODUCT(MAX((($A$2:$A$157="止损计划")*($B$2:$B$157=B34)*($E$2:$E$157&lt;=O34))*$D$2:$D$157)),0)))</f>
        <v>0</v>
      </c>
      <c r="Q34" s="5">
        <f t="shared" ref="Q34:Q65" si="11">IF(A34&lt;&gt;"每日跟踪","",IF(N34="","",MAX(N34,IFERROR(SUMPRODUCT(MAX((($A$2:$A$157="止损计划")*($B$2:$B$157=B34)*($E$2:$E$157&lt;=O34))*$F$2:$F$157)),0))))</f>
        <v>40</v>
      </c>
      <c r="R34" s="10"/>
      <c r="S34" s="5">
        <f t="shared" ref="S34:S65" si="12">IF(A34&lt;&gt;"每日跟踪","",IF(Q34="","",MAX(Q34,IFERROR(SUMPRODUCT(MAX((($A$2:$A$157="每日跟踪")*($B$2:$B$157=B34)*($H$2:$H$157&lt;=H34))*$R$2:$R$157)),0))))</f>
        <v>40</v>
      </c>
      <c r="T34" s="5" t="str">
        <f t="shared" ref="T34:T65" si="13">IF(A34&lt;&gt;"每日跟踪","",IF(O34="","",IF(COUNTIFS($A$2:$A$157,"止损计划",$B$2:$B$157,B34,$E$2:$E$157,"&gt;"&amp;O34)=0,"",INDEX($E$2:$E$157,MATCH(1,INDEX(($A$2:$A$157="止损计划")*($B$2:$B$157=B34)*($E$2:$E$157&gt;O34),0),0)))))</f>
        <v/>
      </c>
      <c r="U34" s="5" t="str">
        <f t="shared" ref="U34:U65" si="14">IF(OR(A34&lt;&gt;"每日跟踪",T34=""),"",IFERROR(SUMIFS($F$2:$F$157,$A$2:$A$157,"止损计划",$B$2:$B$157,B34,$E$2:$E$157,T34),""))</f>
        <v/>
      </c>
      <c r="V34" s="7" t="str">
        <f t="shared" si="6"/>
        <v/>
      </c>
      <c r="W34" s="8" t="str">
        <f t="shared" si="7"/>
        <v>继续观察</v>
      </c>
      <c r="X34" s="2" t="s">
        <v>96</v>
      </c>
      <c r="Y34" s="10">
        <v>72.6</v>
      </c>
      <c r="Z34" s="11">
        <f>IF(X34&lt;&gt;"执行卖出","",IFERROR(LOOKUP(2,1/(单次交易!$A$2:$A$88=B34),单次交易!$AP$2:$AP$88),""))</f>
        <v>700</v>
      </c>
      <c r="AA34" s="10"/>
      <c r="AB34" s="8" t="str">
        <f t="shared" si="8"/>
        <v>待补充每日记录</v>
      </c>
      <c r="AC34" s="8" t="str">
        <f>IF(A34="","",IF(A34="止损计划",IF(OR(B34="",D34="",E34="",F34="",G34=""),"计划不完整",IF(OR(D34&lt;1,D34&lt;&gt;INT(D34)),"阶段序号无效",IF(COUNTIFS($A$2:$A$157,"止损计划",$B$2:$B$157,B34,$D$2:$D$157,D34)&gt;1,"阶段序号重复",IF(E34&lt;=IFERROR(LOOKUP(2,1/(单次交易!$A$2:$A$88=B34),单次交易!$E$2:$E$88),0),"激活价须高于买入价",IF(F34&lt;N34,"止损价不得低于初始止损",IF(F34&gt;E34,"止损价不得高于激活价",IF(AND(COUNTIFS($A$2:$A$157,"止损计划",$B$2:$B$157,B34,$D$2:$D$157,"&lt;"&amp;D34)&gt;0,OR(E34&lt;=SUMPRODUCT(MAX((($A$2:$A$157="止损计划")*($B$2:$B$157=B34)*($D$2:$D$157&lt;D34))*$E$2:$E$157)),F34&lt;SUMPRODUCT(MAX((($A$2:$A$157="止损计划")*($B$2:$B$157=B34)*($D$2:$D$157&lt;D34))*$F$2:$F$157)))),"阶段价格必须逐级提高","计划有效"))))))),IF(A34="每日跟踪",IF(OR(B34="",H34="",I34="",J34=""),"每日数据不完整",IF(COUNTIFS($A$2:$A$157,"每日跟踪",$B$2:$B$157,B34,$H$2:$H$157,H34)&gt;1,"同一交易日期重复",IF(AND(R34&lt;&gt;"",R34&lt;S34),"人工止损无效：不能下调","跟踪有效"))),"记录类型无效")))</f>
        <v>每日数据不完整</v>
      </c>
    </row>
    <row r="35" ht="17" spans="1:29">
      <c r="A35" s="2" t="s">
        <v>95</v>
      </c>
      <c r="B35" s="2">
        <v>34</v>
      </c>
      <c r="C35" s="8" t="str">
        <f>IF(B35="","",IFERROR(LOOKUP(2,1/(单次交易!$A$2:$A$88=B35),单次交易!$B$2:$B$88),""))</f>
        <v>五粮液</v>
      </c>
      <c r="D35" s="12"/>
      <c r="E35" s="10"/>
      <c r="F35" s="10"/>
      <c r="G35" s="2"/>
      <c r="H35" s="13">
        <v>43889</v>
      </c>
      <c r="I35" s="10">
        <v>93.44</v>
      </c>
      <c r="J35" s="12"/>
      <c r="K35" s="2"/>
      <c r="L35" s="2"/>
      <c r="M35" s="2"/>
      <c r="N35" s="5">
        <f>IF(B35="","",IFERROR(LOOKUP(2,1/(单次交易!$A$2:$A$88=B35),单次交易!$N$2:$N$88),""))</f>
        <v>100</v>
      </c>
      <c r="O35" s="5">
        <f t="shared" si="9"/>
        <v>93.44</v>
      </c>
      <c r="P35" s="11">
        <f t="shared" si="10"/>
        <v>0</v>
      </c>
      <c r="Q35" s="5">
        <f t="shared" si="11"/>
        <v>100</v>
      </c>
      <c r="R35" s="10"/>
      <c r="S35" s="5">
        <f t="shared" si="12"/>
        <v>100</v>
      </c>
      <c r="T35" s="5" t="str">
        <f t="shared" si="13"/>
        <v/>
      </c>
      <c r="U35" s="5" t="str">
        <f t="shared" si="14"/>
        <v/>
      </c>
      <c r="V35" s="7" t="str">
        <f t="shared" si="6"/>
        <v/>
      </c>
      <c r="W35" s="8" t="str">
        <f t="shared" si="7"/>
        <v>触发止损：应全部卖出</v>
      </c>
      <c r="X35" s="2" t="s">
        <v>96</v>
      </c>
      <c r="Y35" s="10">
        <v>93.44</v>
      </c>
      <c r="Z35" s="11">
        <f>IF(X35&lt;&gt;"执行卖出","",IFERROR(LOOKUP(2,1/(单次交易!$A$2:$A$88=B35),单次交易!$AP$2:$AP$88),""))</f>
        <v>900</v>
      </c>
      <c r="AA35" s="10"/>
      <c r="AB35" s="8" t="str">
        <f t="shared" si="8"/>
        <v>待补充每日记录</v>
      </c>
      <c r="AC35" s="8" t="str">
        <f>IF(A35="","",IF(A35="止损计划",IF(OR(B35="",D35="",E35="",F35="",G35=""),"计划不完整",IF(OR(D35&lt;1,D35&lt;&gt;INT(D35)),"阶段序号无效",IF(COUNTIFS($A$2:$A$157,"止损计划",$B$2:$B$157,B35,$D$2:$D$157,D35)&gt;1,"阶段序号重复",IF(E35&lt;=IFERROR(LOOKUP(2,1/(单次交易!$A$2:$A$88=B35),单次交易!$E$2:$E$88),0),"激活价须高于买入价",IF(F35&lt;N35,"止损价不得低于初始止损",IF(F35&gt;E35,"止损价不得高于激活价",IF(AND(COUNTIFS($A$2:$A$157,"止损计划",$B$2:$B$157,B35,$D$2:$D$157,"&lt;"&amp;D35)&gt;0,OR(E35&lt;=SUMPRODUCT(MAX((($A$2:$A$157="止损计划")*($B$2:$B$157=B35)*($D$2:$D$157&lt;D35))*$E$2:$E$157)),F35&lt;SUMPRODUCT(MAX((($A$2:$A$157="止损计划")*($B$2:$B$157=B35)*($D$2:$D$157&lt;D35))*$F$2:$F$157)))),"阶段价格必须逐级提高","计划有效"))))))),IF(A35="每日跟踪",IF(OR(B35="",H35="",I35="",J35=""),"每日数据不完整",IF(COUNTIFS($A$2:$A$157,"每日跟踪",$B$2:$B$157,B35,$H$2:$H$157,H35)&gt;1,"同一交易日期重复",IF(AND(R35&lt;&gt;"",R35&lt;S35),"人工止损无效：不能下调","跟踪有效"))),"记录类型无效")))</f>
        <v>每日数据不完整</v>
      </c>
    </row>
    <row r="36" ht="17" spans="1:29">
      <c r="A36" s="2" t="s">
        <v>95</v>
      </c>
      <c r="B36" s="2">
        <v>35</v>
      </c>
      <c r="C36" s="8" t="str">
        <f>IF(B36="","",IFERROR(LOOKUP(2,1/(单次交易!$A$2:$A$88=B36),单次交易!$B$2:$B$88),""))</f>
        <v>五粮液</v>
      </c>
      <c r="D36" s="12"/>
      <c r="E36" s="10"/>
      <c r="F36" s="10"/>
      <c r="G36" s="2"/>
      <c r="H36" s="13">
        <v>44083</v>
      </c>
      <c r="I36" s="10">
        <v>192.04</v>
      </c>
      <c r="J36" s="12"/>
      <c r="K36" s="2"/>
      <c r="L36" s="2"/>
      <c r="M36" s="2"/>
      <c r="N36" s="5">
        <f>IF(B36="","",IFERROR(LOOKUP(2,1/(单次交易!$A$2:$A$88=B36),单次交易!$N$2:$N$88),""))</f>
        <v>115</v>
      </c>
      <c r="O36" s="5">
        <f t="shared" si="9"/>
        <v>192.04</v>
      </c>
      <c r="P36" s="11">
        <f t="shared" si="10"/>
        <v>0</v>
      </c>
      <c r="Q36" s="5">
        <f t="shared" si="11"/>
        <v>115</v>
      </c>
      <c r="R36" s="10"/>
      <c r="S36" s="5">
        <f t="shared" si="12"/>
        <v>115</v>
      </c>
      <c r="T36" s="5" t="str">
        <f t="shared" si="13"/>
        <v/>
      </c>
      <c r="U36" s="5" t="str">
        <f t="shared" si="14"/>
        <v/>
      </c>
      <c r="V36" s="7" t="str">
        <f t="shared" si="6"/>
        <v/>
      </c>
      <c r="W36" s="8" t="str">
        <f t="shared" si="7"/>
        <v>继续观察</v>
      </c>
      <c r="X36" s="2" t="s">
        <v>96</v>
      </c>
      <c r="Y36" s="10">
        <v>192.04</v>
      </c>
      <c r="Z36" s="11">
        <f>IF(X36&lt;&gt;"执行卖出","",IFERROR(LOOKUP(2,1/(单次交易!$A$2:$A$88=B36),单次交易!$AP$2:$AP$88),""))</f>
        <v>700</v>
      </c>
      <c r="AA36" s="10"/>
      <c r="AB36" s="8" t="str">
        <f t="shared" si="8"/>
        <v>待补充每日记录</v>
      </c>
      <c r="AC36" s="8" t="str">
        <f>IF(A36="","",IF(A36="止损计划",IF(OR(B36="",D36="",E36="",F36="",G36=""),"计划不完整",IF(OR(D36&lt;1,D36&lt;&gt;INT(D36)),"阶段序号无效",IF(COUNTIFS($A$2:$A$157,"止损计划",$B$2:$B$157,B36,$D$2:$D$157,D36)&gt;1,"阶段序号重复",IF(E36&lt;=IFERROR(LOOKUP(2,1/(单次交易!$A$2:$A$88=B36),单次交易!$E$2:$E$88),0),"激活价须高于买入价",IF(F36&lt;N36,"止损价不得低于初始止损",IF(F36&gt;E36,"止损价不得高于激活价",IF(AND(COUNTIFS($A$2:$A$157,"止损计划",$B$2:$B$157,B36,$D$2:$D$157,"&lt;"&amp;D36)&gt;0,OR(E36&lt;=SUMPRODUCT(MAX((($A$2:$A$157="止损计划")*($B$2:$B$157=B36)*($D$2:$D$157&lt;D36))*$E$2:$E$157)),F36&lt;SUMPRODUCT(MAX((($A$2:$A$157="止损计划")*($B$2:$B$157=B36)*($D$2:$D$157&lt;D36))*$F$2:$F$157)))),"阶段价格必须逐级提高","计划有效"))))))),IF(A36="每日跟踪",IF(OR(B36="",H36="",I36="",J36=""),"每日数据不完整",IF(COUNTIFS($A$2:$A$157,"每日跟踪",$B$2:$B$157,B36,$H$2:$H$157,H36)&gt;1,"同一交易日期重复",IF(AND(R36&lt;&gt;"",R36&lt;S36),"人工止损无效：不能下调","跟踪有效"))),"记录类型无效")))</f>
        <v>每日数据不完整</v>
      </c>
    </row>
    <row r="37" ht="17" spans="1:29">
      <c r="A37" s="2" t="s">
        <v>95</v>
      </c>
      <c r="B37" s="2">
        <v>36</v>
      </c>
      <c r="C37" s="8" t="str">
        <f>IF(B37="","",IFERROR(LOOKUP(2,1/(单次交易!$A$2:$A$88=B37),单次交易!$B$2:$B$88),""))</f>
        <v>五粮液</v>
      </c>
      <c r="D37" s="12"/>
      <c r="E37" s="10"/>
      <c r="F37" s="10"/>
      <c r="G37" s="2"/>
      <c r="H37" s="13">
        <v>44153</v>
      </c>
      <c r="I37" s="10">
        <v>238.76</v>
      </c>
      <c r="J37" s="12"/>
      <c r="K37" s="2"/>
      <c r="L37" s="2"/>
      <c r="M37" s="2"/>
      <c r="N37" s="5">
        <f>IF(B37="","",IFERROR(LOOKUP(2,1/(单次交易!$A$2:$A$88=B37),单次交易!$N$2:$N$88),""))</f>
        <v>205</v>
      </c>
      <c r="O37" s="5">
        <f t="shared" si="9"/>
        <v>238.76</v>
      </c>
      <c r="P37" s="11">
        <f t="shared" si="10"/>
        <v>0</v>
      </c>
      <c r="Q37" s="5">
        <f t="shared" si="11"/>
        <v>205</v>
      </c>
      <c r="R37" s="10"/>
      <c r="S37" s="5">
        <f t="shared" si="12"/>
        <v>205</v>
      </c>
      <c r="T37" s="5" t="str">
        <f t="shared" si="13"/>
        <v/>
      </c>
      <c r="U37" s="5" t="str">
        <f t="shared" si="14"/>
        <v/>
      </c>
      <c r="V37" s="7" t="str">
        <f t="shared" si="6"/>
        <v/>
      </c>
      <c r="W37" s="8" t="str">
        <f t="shared" si="7"/>
        <v>继续观察</v>
      </c>
      <c r="X37" s="2" t="s">
        <v>96</v>
      </c>
      <c r="Y37" s="10">
        <v>238.76</v>
      </c>
      <c r="Z37" s="11">
        <f>IF(X37&lt;&gt;"执行卖出","",IFERROR(LOOKUP(2,1/(单次交易!$A$2:$A$88=B37),单次交易!$AP$2:$AP$88),""))</f>
        <v>300</v>
      </c>
      <c r="AA37" s="10"/>
      <c r="AB37" s="8" t="str">
        <f t="shared" si="8"/>
        <v>待补充每日记录</v>
      </c>
      <c r="AC37" s="8" t="str">
        <f>IF(A37="","",IF(A37="止损计划",IF(OR(B37="",D37="",E37="",F37="",G37=""),"计划不完整",IF(OR(D37&lt;1,D37&lt;&gt;INT(D37)),"阶段序号无效",IF(COUNTIFS($A$2:$A$157,"止损计划",$B$2:$B$157,B37,$D$2:$D$157,D37)&gt;1,"阶段序号重复",IF(E37&lt;=IFERROR(LOOKUP(2,1/(单次交易!$A$2:$A$88=B37),单次交易!$E$2:$E$88),0),"激活价须高于买入价",IF(F37&lt;N37,"止损价不得低于初始止损",IF(F37&gt;E37,"止损价不得高于激活价",IF(AND(COUNTIFS($A$2:$A$157,"止损计划",$B$2:$B$157,B37,$D$2:$D$157,"&lt;"&amp;D37)&gt;0,OR(E37&lt;=SUMPRODUCT(MAX((($A$2:$A$157="止损计划")*($B$2:$B$157=B37)*($D$2:$D$157&lt;D37))*$E$2:$E$157)),F37&lt;SUMPRODUCT(MAX((($A$2:$A$157="止损计划")*($B$2:$B$157=B37)*($D$2:$D$157&lt;D37))*$F$2:$F$157)))),"阶段价格必须逐级提高","计划有效"))))))),IF(A37="每日跟踪",IF(OR(B37="",H37="",I37="",J37=""),"每日数据不完整",IF(COUNTIFS($A$2:$A$157,"每日跟踪",$B$2:$B$157,B37,$H$2:$H$157,H37)&gt;1,"同一交易日期重复",IF(AND(R37&lt;&gt;"",R37&lt;S37),"人工止损无效：不能下调","跟踪有效"))),"记录类型无效")))</f>
        <v>每日数据不完整</v>
      </c>
    </row>
    <row r="38" ht="17" spans="1:29">
      <c r="A38" s="2" t="s">
        <v>95</v>
      </c>
      <c r="B38" s="2">
        <v>37</v>
      </c>
      <c r="C38" s="8" t="str">
        <f>IF(B38="","",IFERROR(LOOKUP(2,1/(单次交易!$A$2:$A$88=B38),单次交易!$B$2:$B$88),""))</f>
        <v>五粮液</v>
      </c>
      <c r="D38" s="12"/>
      <c r="E38" s="10"/>
      <c r="F38" s="10"/>
      <c r="G38" s="2"/>
      <c r="H38" s="13">
        <v>44202</v>
      </c>
      <c r="I38" s="10">
        <v>303.34</v>
      </c>
      <c r="J38" s="12"/>
      <c r="K38" s="2"/>
      <c r="L38" s="2"/>
      <c r="M38" s="2"/>
      <c r="N38" s="5">
        <f>IF(B38="","",IFERROR(LOOKUP(2,1/(单次交易!$A$2:$A$88=B38),单次交易!$N$2:$N$88),""))</f>
        <v>250</v>
      </c>
      <c r="O38" s="5">
        <f t="shared" si="9"/>
        <v>303.34</v>
      </c>
      <c r="P38" s="11">
        <f t="shared" si="10"/>
        <v>0</v>
      </c>
      <c r="Q38" s="5">
        <f t="shared" si="11"/>
        <v>250</v>
      </c>
      <c r="R38" s="10"/>
      <c r="S38" s="5">
        <f t="shared" si="12"/>
        <v>250</v>
      </c>
      <c r="T38" s="5" t="str">
        <f t="shared" si="13"/>
        <v/>
      </c>
      <c r="U38" s="5" t="str">
        <f t="shared" si="14"/>
        <v/>
      </c>
      <c r="V38" s="7" t="str">
        <f t="shared" si="6"/>
        <v/>
      </c>
      <c r="W38" s="8" t="str">
        <f t="shared" si="7"/>
        <v>继续观察</v>
      </c>
      <c r="X38" s="2" t="s">
        <v>96</v>
      </c>
      <c r="Y38" s="10">
        <v>303.34</v>
      </c>
      <c r="Z38" s="11">
        <f>IF(X38&lt;&gt;"执行卖出","",IFERROR(LOOKUP(2,1/(单次交易!$A$2:$A$88=B38),单次交易!$AP$2:$AP$88),""))</f>
        <v>500</v>
      </c>
      <c r="AA38" s="10"/>
      <c r="AB38" s="8" t="str">
        <f t="shared" si="8"/>
        <v>待补充每日记录</v>
      </c>
      <c r="AC38" s="8" t="str">
        <f>IF(A38="","",IF(A38="止损计划",IF(OR(B38="",D38="",E38="",F38="",G38=""),"计划不完整",IF(OR(D38&lt;1,D38&lt;&gt;INT(D38)),"阶段序号无效",IF(COUNTIFS($A$2:$A$157,"止损计划",$B$2:$B$157,B38,$D$2:$D$157,D38)&gt;1,"阶段序号重复",IF(E38&lt;=IFERROR(LOOKUP(2,1/(单次交易!$A$2:$A$88=B38),单次交易!$E$2:$E$88),0),"激活价须高于买入价",IF(F38&lt;N38,"止损价不得低于初始止损",IF(F38&gt;E38,"止损价不得高于激活价",IF(AND(COUNTIFS($A$2:$A$157,"止损计划",$B$2:$B$157,B38,$D$2:$D$157,"&lt;"&amp;D38)&gt;0,OR(E38&lt;=SUMPRODUCT(MAX((($A$2:$A$157="止损计划")*($B$2:$B$157=B38)*($D$2:$D$157&lt;D38))*$E$2:$E$157)),F38&lt;SUMPRODUCT(MAX((($A$2:$A$157="止损计划")*($B$2:$B$157=B38)*($D$2:$D$157&lt;D38))*$F$2:$F$157)))),"阶段价格必须逐级提高","计划有效"))))))),IF(A38="每日跟踪",IF(OR(B38="",H38="",I38="",J38=""),"每日数据不完整",IF(COUNTIFS($A$2:$A$157,"每日跟踪",$B$2:$B$157,B38,$H$2:$H$157,H38)&gt;1,"同一交易日期重复",IF(AND(R38&lt;&gt;"",R38&lt;S38),"人工止损无效：不能下调","跟踪有效"))),"记录类型无效")))</f>
        <v>每日数据不完整</v>
      </c>
    </row>
    <row r="39" ht="17" spans="1:29">
      <c r="A39" s="2" t="s">
        <v>95</v>
      </c>
      <c r="B39" s="2">
        <v>38</v>
      </c>
      <c r="C39" s="8" t="str">
        <f>IF(B39="","",IFERROR(LOOKUP(2,1/(单次交易!$A$2:$A$88=B39),单次交易!$B$2:$B$88),""))</f>
        <v>五粮液</v>
      </c>
      <c r="D39" s="12"/>
      <c r="E39" s="10"/>
      <c r="F39" s="10"/>
      <c r="G39" s="2"/>
      <c r="H39" s="13">
        <v>44959</v>
      </c>
      <c r="I39" s="10">
        <v>193.16</v>
      </c>
      <c r="J39" s="12"/>
      <c r="K39" s="2"/>
      <c r="L39" s="2"/>
      <c r="M39" s="2"/>
      <c r="N39" s="5">
        <f>IF(B39="","",IFERROR(LOOKUP(2,1/(单次交易!$A$2:$A$88=B39),单次交易!$N$2:$N$88),""))</f>
        <v>165</v>
      </c>
      <c r="O39" s="5">
        <f t="shared" si="9"/>
        <v>193.16</v>
      </c>
      <c r="P39" s="11">
        <f t="shared" si="10"/>
        <v>0</v>
      </c>
      <c r="Q39" s="5">
        <f t="shared" si="11"/>
        <v>165</v>
      </c>
      <c r="R39" s="10"/>
      <c r="S39" s="5">
        <f t="shared" si="12"/>
        <v>165</v>
      </c>
      <c r="T39" s="5" t="str">
        <f t="shared" si="13"/>
        <v/>
      </c>
      <c r="U39" s="5" t="str">
        <f t="shared" si="14"/>
        <v/>
      </c>
      <c r="V39" s="7" t="str">
        <f t="shared" si="6"/>
        <v/>
      </c>
      <c r="W39" s="8" t="str">
        <f t="shared" si="7"/>
        <v>继续观察</v>
      </c>
      <c r="X39" s="2" t="s">
        <v>96</v>
      </c>
      <c r="Y39" s="10">
        <v>193.16</v>
      </c>
      <c r="Z39" s="11">
        <f>IF(X39&lt;&gt;"执行卖出","",IFERROR(LOOKUP(2,1/(单次交易!$A$2:$A$88=B39),单次交易!$AP$2:$AP$88),""))</f>
        <v>500</v>
      </c>
      <c r="AA39" s="10"/>
      <c r="AB39" s="8" t="str">
        <f t="shared" si="8"/>
        <v>待补充每日记录</v>
      </c>
      <c r="AC39" s="8" t="str">
        <f>IF(A39="","",IF(A39="止损计划",IF(OR(B39="",D39="",E39="",F39="",G39=""),"计划不完整",IF(OR(D39&lt;1,D39&lt;&gt;INT(D39)),"阶段序号无效",IF(COUNTIFS($A$2:$A$157,"止损计划",$B$2:$B$157,B39,$D$2:$D$157,D39)&gt;1,"阶段序号重复",IF(E39&lt;=IFERROR(LOOKUP(2,1/(单次交易!$A$2:$A$88=B39),单次交易!$E$2:$E$88),0),"激活价须高于买入价",IF(F39&lt;N39,"止损价不得低于初始止损",IF(F39&gt;E39,"止损价不得高于激活价",IF(AND(COUNTIFS($A$2:$A$157,"止损计划",$B$2:$B$157,B39,$D$2:$D$157,"&lt;"&amp;D39)&gt;0,OR(E39&lt;=SUMPRODUCT(MAX((($A$2:$A$157="止损计划")*($B$2:$B$157=B39)*($D$2:$D$157&lt;D39))*$E$2:$E$157)),F39&lt;SUMPRODUCT(MAX((($A$2:$A$157="止损计划")*($B$2:$B$157=B39)*($D$2:$D$157&lt;D39))*$F$2:$F$157)))),"阶段价格必须逐级提高","计划有效"))))))),IF(A39="每日跟踪",IF(OR(B39="",H39="",I39="",J39=""),"每日数据不完整",IF(COUNTIFS($A$2:$A$157,"每日跟踪",$B$2:$B$157,B39,$H$2:$H$157,H39)&gt;1,"同一交易日期重复",IF(AND(R39&lt;&gt;"",R39&lt;S39),"人工止损无效：不能下调","跟踪有效"))),"记录类型无效")))</f>
        <v>每日数据不完整</v>
      </c>
    </row>
    <row r="40" ht="17" spans="1:29">
      <c r="A40" s="2" t="s">
        <v>95</v>
      </c>
      <c r="B40" s="2">
        <v>39</v>
      </c>
      <c r="C40" s="8" t="str">
        <f>IF(B40="","",IFERROR(LOOKUP(2,1/(单次交易!$A$2:$A$88=B40),单次交易!$B$2:$B$88),""))</f>
        <v>五粮液</v>
      </c>
      <c r="D40" s="12"/>
      <c r="E40" s="10"/>
      <c r="F40" s="10"/>
      <c r="G40" s="2"/>
      <c r="H40" s="13">
        <v>45138</v>
      </c>
      <c r="I40" s="10">
        <v>165.43</v>
      </c>
      <c r="J40" s="12"/>
      <c r="K40" s="2"/>
      <c r="L40" s="2"/>
      <c r="M40" s="2"/>
      <c r="N40" s="5">
        <f>IF(B40="","",IFERROR(LOOKUP(2,1/(单次交易!$A$2:$A$88=B40),单次交易!$N$2:$N$88),""))</f>
        <v>158</v>
      </c>
      <c r="O40" s="5">
        <f t="shared" si="9"/>
        <v>165.43</v>
      </c>
      <c r="P40" s="11">
        <f t="shared" si="10"/>
        <v>0</v>
      </c>
      <c r="Q40" s="5">
        <f t="shared" si="11"/>
        <v>158</v>
      </c>
      <c r="R40" s="10"/>
      <c r="S40" s="5">
        <f t="shared" si="12"/>
        <v>158</v>
      </c>
      <c r="T40" s="5" t="str">
        <f t="shared" si="13"/>
        <v/>
      </c>
      <c r="U40" s="5" t="str">
        <f t="shared" si="14"/>
        <v/>
      </c>
      <c r="V40" s="7" t="str">
        <f t="shared" si="6"/>
        <v/>
      </c>
      <c r="W40" s="8" t="str">
        <f t="shared" si="7"/>
        <v>继续观察</v>
      </c>
      <c r="X40" s="2" t="s">
        <v>96</v>
      </c>
      <c r="Y40" s="10">
        <v>165.43</v>
      </c>
      <c r="Z40" s="11">
        <f>IF(X40&lt;&gt;"执行卖出","",IFERROR(LOOKUP(2,1/(单次交易!$A$2:$A$88=B40),单次交易!$AP$2:$AP$88),""))</f>
        <v>800</v>
      </c>
      <c r="AA40" s="10"/>
      <c r="AB40" s="8" t="str">
        <f t="shared" si="8"/>
        <v>待补充每日记录</v>
      </c>
      <c r="AC40" s="8" t="str">
        <f>IF(A40="","",IF(A40="止损计划",IF(OR(B40="",D40="",E40="",F40="",G40=""),"计划不完整",IF(OR(D40&lt;1,D40&lt;&gt;INT(D40)),"阶段序号无效",IF(COUNTIFS($A$2:$A$157,"止损计划",$B$2:$B$157,B40,$D$2:$D$157,D40)&gt;1,"阶段序号重复",IF(E40&lt;=IFERROR(LOOKUP(2,1/(单次交易!$A$2:$A$88=B40),单次交易!$E$2:$E$88),0),"激活价须高于买入价",IF(F40&lt;N40,"止损价不得低于初始止损",IF(F40&gt;E40,"止损价不得高于激活价",IF(AND(COUNTIFS($A$2:$A$157,"止损计划",$B$2:$B$157,B40,$D$2:$D$157,"&lt;"&amp;D40)&gt;0,OR(E40&lt;=SUMPRODUCT(MAX((($A$2:$A$157="止损计划")*($B$2:$B$157=B40)*($D$2:$D$157&lt;D40))*$E$2:$E$157)),F40&lt;SUMPRODUCT(MAX((($A$2:$A$157="止损计划")*($B$2:$B$157=B40)*($D$2:$D$157&lt;D40))*$F$2:$F$157)))),"阶段价格必须逐级提高","计划有效"))))))),IF(A40="每日跟踪",IF(OR(B40="",H40="",I40="",J40=""),"每日数据不完整",IF(COUNTIFS($A$2:$A$157,"每日跟踪",$B$2:$B$157,B40,$H$2:$H$157,H40)&gt;1,"同一交易日期重复",IF(AND(R40&lt;&gt;"",R40&lt;S40),"人工止损无效：不能下调","跟踪有效"))),"记录类型无效")))</f>
        <v>每日数据不完整</v>
      </c>
    </row>
    <row r="41" ht="17" spans="1:29">
      <c r="A41" s="2" t="s">
        <v>95</v>
      </c>
      <c r="B41" s="2">
        <v>40</v>
      </c>
      <c r="C41" s="8" t="str">
        <f>IF(B41="","",IFERROR(LOOKUP(2,1/(单次交易!$A$2:$A$88=B41),单次交易!$B$2:$B$88),""))</f>
        <v>五粮液</v>
      </c>
      <c r="D41" s="12"/>
      <c r="E41" s="10"/>
      <c r="F41" s="10"/>
      <c r="G41" s="2"/>
      <c r="H41" s="13">
        <v>45373</v>
      </c>
      <c r="I41" s="10">
        <v>137.86</v>
      </c>
      <c r="J41" s="12"/>
      <c r="K41" s="2"/>
      <c r="L41" s="2"/>
      <c r="M41" s="2"/>
      <c r="N41" s="5">
        <f>IF(B41="","",IFERROR(LOOKUP(2,1/(单次交易!$A$2:$A$88=B41),单次交易!$N$2:$N$88),""))</f>
        <v>125</v>
      </c>
      <c r="O41" s="5">
        <f t="shared" si="9"/>
        <v>137.86</v>
      </c>
      <c r="P41" s="11">
        <f t="shared" si="10"/>
        <v>0</v>
      </c>
      <c r="Q41" s="5">
        <f t="shared" si="11"/>
        <v>125</v>
      </c>
      <c r="R41" s="10"/>
      <c r="S41" s="5">
        <f t="shared" si="12"/>
        <v>125</v>
      </c>
      <c r="T41" s="5" t="str">
        <f t="shared" si="13"/>
        <v/>
      </c>
      <c r="U41" s="5" t="str">
        <f t="shared" si="14"/>
        <v/>
      </c>
      <c r="V41" s="7" t="str">
        <f t="shared" si="6"/>
        <v/>
      </c>
      <c r="W41" s="8" t="str">
        <f t="shared" si="7"/>
        <v>继续观察</v>
      </c>
      <c r="X41" s="2" t="s">
        <v>96</v>
      </c>
      <c r="Y41" s="10">
        <v>137.86</v>
      </c>
      <c r="Z41" s="11">
        <f>IF(X41&lt;&gt;"执行卖出","",IFERROR(LOOKUP(2,1/(单次交易!$A$2:$A$88=B41),单次交易!$AP$2:$AP$88),""))</f>
        <v>400</v>
      </c>
      <c r="AA41" s="10"/>
      <c r="AB41" s="8" t="str">
        <f t="shared" si="8"/>
        <v>待补充每日记录</v>
      </c>
      <c r="AC41" s="8" t="str">
        <f>IF(A41="","",IF(A41="止损计划",IF(OR(B41="",D41="",E41="",F41="",G41=""),"计划不完整",IF(OR(D41&lt;1,D41&lt;&gt;INT(D41)),"阶段序号无效",IF(COUNTIFS($A$2:$A$157,"止损计划",$B$2:$B$157,B41,$D$2:$D$157,D41)&gt;1,"阶段序号重复",IF(E41&lt;=IFERROR(LOOKUP(2,1/(单次交易!$A$2:$A$88=B41),单次交易!$E$2:$E$88),0),"激活价须高于买入价",IF(F41&lt;N41,"止损价不得低于初始止损",IF(F41&gt;E41,"止损价不得高于激活价",IF(AND(COUNTIFS($A$2:$A$157,"止损计划",$B$2:$B$157,B41,$D$2:$D$157,"&lt;"&amp;D41)&gt;0,OR(E41&lt;=SUMPRODUCT(MAX((($A$2:$A$157="止损计划")*($B$2:$B$157=B41)*($D$2:$D$157&lt;D41))*$E$2:$E$157)),F41&lt;SUMPRODUCT(MAX((($A$2:$A$157="止损计划")*($B$2:$B$157=B41)*($D$2:$D$157&lt;D41))*$F$2:$F$157)))),"阶段价格必须逐级提高","计划有效"))))))),IF(A41="每日跟踪",IF(OR(B41="",H41="",I41="",J41=""),"每日数据不完整",IF(COUNTIFS($A$2:$A$157,"每日跟踪",$B$2:$B$157,B41,$H$2:$H$157,H41)&gt;1,"同一交易日期重复",IF(AND(R41&lt;&gt;"",R41&lt;S41),"人工止损无效：不能下调","跟踪有效"))),"记录类型无效")))</f>
        <v>每日数据不完整</v>
      </c>
    </row>
    <row r="42" ht="17" spans="1:29">
      <c r="A42" s="2" t="s">
        <v>95</v>
      </c>
      <c r="B42" s="2">
        <v>41</v>
      </c>
      <c r="C42" s="8" t="str">
        <f>IF(B42="","",IFERROR(LOOKUP(2,1/(单次交易!$A$2:$A$88=B42),单次交易!$B$2:$B$88),""))</f>
        <v>京东方</v>
      </c>
      <c r="D42" s="12"/>
      <c r="E42" s="10"/>
      <c r="F42" s="10"/>
      <c r="G42" s="2"/>
      <c r="H42" s="13">
        <v>41298</v>
      </c>
      <c r="I42" s="10">
        <v>1.68</v>
      </c>
      <c r="J42" s="12"/>
      <c r="K42" s="2"/>
      <c r="L42" s="2"/>
      <c r="M42" s="2"/>
      <c r="N42" s="5">
        <f>IF(B42="","",IFERROR(LOOKUP(2,1/(单次交易!$A$2:$A$88=B42),单次交易!$N$2:$N$88),""))</f>
        <v>1.65</v>
      </c>
      <c r="O42" s="5">
        <f t="shared" si="9"/>
        <v>1.68</v>
      </c>
      <c r="P42" s="11">
        <f t="shared" si="10"/>
        <v>0</v>
      </c>
      <c r="Q42" s="5">
        <f t="shared" si="11"/>
        <v>1.65</v>
      </c>
      <c r="R42" s="10"/>
      <c r="S42" s="5">
        <f t="shared" si="12"/>
        <v>1.65</v>
      </c>
      <c r="T42" s="5" t="str">
        <f t="shared" si="13"/>
        <v/>
      </c>
      <c r="U42" s="5" t="str">
        <f t="shared" si="14"/>
        <v/>
      </c>
      <c r="V42" s="7" t="str">
        <f t="shared" ref="V42:V105" si="15">IF(OR(A42&lt;&gt;"每日跟踪",T42="",I42="",I42&lt;=0),"",T42/I42-1)</f>
        <v/>
      </c>
      <c r="W42" s="8" t="str">
        <f t="shared" ref="W42:W105" si="16">IF(A42&lt;&gt;"每日跟踪","",IF(OR(I42="",S42=""),"",IF(I42&lt;=S42,"触发止损：应全部卖出","继续观察")))</f>
        <v>继续观察</v>
      </c>
      <c r="X42" s="2" t="s">
        <v>96</v>
      </c>
      <c r="Y42" s="10">
        <v>1.68</v>
      </c>
      <c r="Z42" s="11">
        <f>IF(X42&lt;&gt;"执行卖出","",IFERROR(LOOKUP(2,1/(单次交易!$A$2:$A$88=B42),单次交易!$AP$2:$AP$88),""))</f>
        <v>42600</v>
      </c>
      <c r="AA42" s="10"/>
      <c r="AB42" s="8" t="str">
        <f t="shared" ref="AB42:AB105" si="17">IF(A42&lt;&gt;"每日跟踪","",IF(OR(B42="",H42="",I42="",J42="",K42="",L42="",M42=""),"待补充每日记录",IF(W42="触发止损：应全部卖出",IF(X42&lt;&gt;"执行卖出","违规：触发止损但未执行",IF(Y42="","待补充实际卖出价","卖出记录完整")),IF(X42="","待选择卖出动作",IF(X42="执行卖出",IF(Y42="","待补充实际卖出价","卖出记录完整"),"正常")))))</f>
        <v>待补充每日记录</v>
      </c>
      <c r="AC42" s="8" t="str">
        <f>IF(A42="","",IF(A42="止损计划",IF(OR(B42="",D42="",E42="",F42="",G42=""),"计划不完整",IF(OR(D42&lt;1,D42&lt;&gt;INT(D42)),"阶段序号无效",IF(COUNTIFS($A$2:$A$157,"止损计划",$B$2:$B$157,B42,$D$2:$D$157,D42)&gt;1,"阶段序号重复",IF(E42&lt;=IFERROR(LOOKUP(2,1/(单次交易!$A$2:$A$88=B42),单次交易!$E$2:$E$88),0),"激活价须高于买入价",IF(F42&lt;N42,"止损价不得低于初始止损",IF(F42&gt;E42,"止损价不得高于激活价",IF(AND(COUNTIFS($A$2:$A$157,"止损计划",$B$2:$B$157,B42,$D$2:$D$157,"&lt;"&amp;D42)&gt;0,OR(E42&lt;=SUMPRODUCT(MAX((($A$2:$A$157="止损计划")*($B$2:$B$157=B42)*($D$2:$D$157&lt;D42))*$E$2:$E$157)),F42&lt;SUMPRODUCT(MAX((($A$2:$A$157="止损计划")*($B$2:$B$157=B42)*($D$2:$D$157&lt;D42))*$F$2:$F$157)))),"阶段价格必须逐级提高","计划有效"))))))),IF(A42="每日跟踪",IF(OR(B42="",H42="",I42="",J42=""),"每日数据不完整",IF(COUNTIFS($A$2:$A$157,"每日跟踪",$B$2:$B$157,B42,$H$2:$H$157,H42)&gt;1,"同一交易日期重复",IF(AND(R42&lt;&gt;"",R42&lt;S42),"人工止损无效：不能下调","跟踪有效"))),"记录类型无效")))</f>
        <v>每日数据不完整</v>
      </c>
    </row>
    <row r="43" ht="17" spans="1:29">
      <c r="A43" s="2" t="s">
        <v>95</v>
      </c>
      <c r="B43" s="2">
        <v>42</v>
      </c>
      <c r="C43" s="8" t="str">
        <f>IF(B43="","",IFERROR(LOOKUP(2,1/(单次交易!$A$2:$A$88=B43),单次交易!$B$2:$B$88),""))</f>
        <v>京东方</v>
      </c>
      <c r="D43" s="12"/>
      <c r="E43" s="10"/>
      <c r="F43" s="10"/>
      <c r="G43" s="2"/>
      <c r="H43" s="13">
        <v>41428</v>
      </c>
      <c r="I43" s="10">
        <v>1.89</v>
      </c>
      <c r="J43" s="12"/>
      <c r="K43" s="2"/>
      <c r="L43" s="2"/>
      <c r="M43" s="2"/>
      <c r="N43" s="5">
        <f>IF(B43="","",IFERROR(LOOKUP(2,1/(单次交易!$A$2:$A$88=B43),单次交易!$N$2:$N$88),""))</f>
        <v>1.7</v>
      </c>
      <c r="O43" s="5">
        <f t="shared" si="9"/>
        <v>1.89</v>
      </c>
      <c r="P43" s="11">
        <f t="shared" si="10"/>
        <v>0</v>
      </c>
      <c r="Q43" s="5">
        <f t="shared" si="11"/>
        <v>1.7</v>
      </c>
      <c r="R43" s="10"/>
      <c r="S43" s="5">
        <f t="shared" si="12"/>
        <v>1.7</v>
      </c>
      <c r="T43" s="5" t="str">
        <f t="shared" si="13"/>
        <v/>
      </c>
      <c r="U43" s="5" t="str">
        <f t="shared" si="14"/>
        <v/>
      </c>
      <c r="V43" s="7" t="str">
        <f t="shared" si="15"/>
        <v/>
      </c>
      <c r="W43" s="8" t="str">
        <f t="shared" si="16"/>
        <v>继续观察</v>
      </c>
      <c r="X43" s="2" t="s">
        <v>96</v>
      </c>
      <c r="Y43" s="10">
        <v>1.89</v>
      </c>
      <c r="Z43" s="11">
        <f>IF(X43&lt;&gt;"执行卖出","",IFERROR(LOOKUP(2,1/(单次交易!$A$2:$A$88=B43),单次交易!$AP$2:$AP$88),""))</f>
        <v>42000</v>
      </c>
      <c r="AA43" s="10"/>
      <c r="AB43" s="8" t="str">
        <f t="shared" si="17"/>
        <v>待补充每日记录</v>
      </c>
      <c r="AC43" s="8" t="str">
        <f>IF(A43="","",IF(A43="止损计划",IF(OR(B43="",D43="",E43="",F43="",G43=""),"计划不完整",IF(OR(D43&lt;1,D43&lt;&gt;INT(D43)),"阶段序号无效",IF(COUNTIFS($A$2:$A$157,"止损计划",$B$2:$B$157,B43,$D$2:$D$157,D43)&gt;1,"阶段序号重复",IF(E43&lt;=IFERROR(LOOKUP(2,1/(单次交易!$A$2:$A$88=B43),单次交易!$E$2:$E$88),0),"激活价须高于买入价",IF(F43&lt;N43,"止损价不得低于初始止损",IF(F43&gt;E43,"止损价不得高于激活价",IF(AND(COUNTIFS($A$2:$A$157,"止损计划",$B$2:$B$157,B43,$D$2:$D$157,"&lt;"&amp;D43)&gt;0,OR(E43&lt;=SUMPRODUCT(MAX((($A$2:$A$157="止损计划")*($B$2:$B$157=B43)*($D$2:$D$157&lt;D43))*$E$2:$E$157)),F43&lt;SUMPRODUCT(MAX((($A$2:$A$157="止损计划")*($B$2:$B$157=B43)*($D$2:$D$157&lt;D43))*$F$2:$F$157)))),"阶段价格必须逐级提高","计划有效"))))))),IF(A43="每日跟踪",IF(OR(B43="",H43="",I43="",J43=""),"每日数据不完整",IF(COUNTIFS($A$2:$A$157,"每日跟踪",$B$2:$B$157,B43,$H$2:$H$157,H43)&gt;1,"同一交易日期重复",IF(AND(R43&lt;&gt;"",R43&lt;S43),"人工止损无效：不能下调","跟踪有效"))),"记录类型无效")))</f>
        <v>每日数据不完整</v>
      </c>
    </row>
    <row r="44" ht="17" spans="1:29">
      <c r="A44" s="2" t="s">
        <v>95</v>
      </c>
      <c r="B44" s="2">
        <v>43</v>
      </c>
      <c r="C44" s="8" t="str">
        <f>IF(B44="","",IFERROR(LOOKUP(2,1/(单次交易!$A$2:$A$88=B44),单次交易!$B$2:$B$88),""))</f>
        <v>京东方</v>
      </c>
      <c r="D44" s="12"/>
      <c r="E44" s="10"/>
      <c r="F44" s="10"/>
      <c r="G44" s="2"/>
      <c r="H44" s="13">
        <v>41696</v>
      </c>
      <c r="I44" s="10">
        <v>1.77</v>
      </c>
      <c r="J44" s="12"/>
      <c r="K44" s="2"/>
      <c r="L44" s="2"/>
      <c r="M44" s="2"/>
      <c r="N44" s="5">
        <f>IF(B44="","",IFERROR(LOOKUP(2,1/(单次交易!$A$2:$A$88=B44),单次交易!$N$2:$N$88),""))</f>
        <v>1.5</v>
      </c>
      <c r="O44" s="5">
        <f t="shared" si="9"/>
        <v>1.77</v>
      </c>
      <c r="P44" s="11">
        <f t="shared" si="10"/>
        <v>0</v>
      </c>
      <c r="Q44" s="5">
        <f t="shared" si="11"/>
        <v>1.5</v>
      </c>
      <c r="R44" s="10"/>
      <c r="S44" s="5">
        <f t="shared" si="12"/>
        <v>1.5</v>
      </c>
      <c r="T44" s="5" t="str">
        <f t="shared" si="13"/>
        <v/>
      </c>
      <c r="U44" s="5" t="str">
        <f t="shared" si="14"/>
        <v/>
      </c>
      <c r="V44" s="7" t="str">
        <f t="shared" si="15"/>
        <v/>
      </c>
      <c r="W44" s="8" t="str">
        <f t="shared" si="16"/>
        <v>继续观察</v>
      </c>
      <c r="X44" s="2" t="s">
        <v>96</v>
      </c>
      <c r="Y44" s="10">
        <v>1.77</v>
      </c>
      <c r="Z44" s="11">
        <f>IF(X44&lt;&gt;"执行卖出","",IFERROR(LOOKUP(2,1/(单次交易!$A$2:$A$88=B44),单次交易!$AP$2:$AP$88),""))</f>
        <v>47500</v>
      </c>
      <c r="AA44" s="10"/>
      <c r="AB44" s="8" t="str">
        <f t="shared" si="17"/>
        <v>待补充每日记录</v>
      </c>
      <c r="AC44" s="8" t="str">
        <f>IF(A44="","",IF(A44="止损计划",IF(OR(B44="",D44="",E44="",F44="",G44=""),"计划不完整",IF(OR(D44&lt;1,D44&lt;&gt;INT(D44)),"阶段序号无效",IF(COUNTIFS($A$2:$A$157,"止损计划",$B$2:$B$157,B44,$D$2:$D$157,D44)&gt;1,"阶段序号重复",IF(E44&lt;=IFERROR(LOOKUP(2,1/(单次交易!$A$2:$A$88=B44),单次交易!$E$2:$E$88),0),"激活价须高于买入价",IF(F44&lt;N44,"止损价不得低于初始止损",IF(F44&gt;E44,"止损价不得高于激活价",IF(AND(COUNTIFS($A$2:$A$157,"止损计划",$B$2:$B$157,B44,$D$2:$D$157,"&lt;"&amp;D44)&gt;0,OR(E44&lt;=SUMPRODUCT(MAX((($A$2:$A$157="止损计划")*($B$2:$B$157=B44)*($D$2:$D$157&lt;D44))*$E$2:$E$157)),F44&lt;SUMPRODUCT(MAX((($A$2:$A$157="止损计划")*($B$2:$B$157=B44)*($D$2:$D$157&lt;D44))*$F$2:$F$157)))),"阶段价格必须逐级提高","计划有效"))))))),IF(A44="每日跟踪",IF(OR(B44="",H44="",I44="",J44=""),"每日数据不完整",IF(COUNTIFS($A$2:$A$157,"每日跟踪",$B$2:$B$157,B44,$H$2:$H$157,H44)&gt;1,"同一交易日期重复",IF(AND(R44&lt;&gt;"",R44&lt;S44),"人工止损无效：不能下调","跟踪有效"))),"记录类型无效")))</f>
        <v>每日数据不完整</v>
      </c>
    </row>
    <row r="45" ht="17" spans="1:29">
      <c r="A45" s="2" t="s">
        <v>95</v>
      </c>
      <c r="B45" s="2">
        <v>44</v>
      </c>
      <c r="C45" s="8" t="str">
        <f>IF(B45="","",IFERROR(LOOKUP(2,1/(单次交易!$A$2:$A$88=B45),单次交易!$B$2:$B$88),""))</f>
        <v>京东方</v>
      </c>
      <c r="D45" s="12"/>
      <c r="E45" s="10"/>
      <c r="F45" s="10"/>
      <c r="G45" s="2"/>
      <c r="H45" s="13">
        <v>41731</v>
      </c>
      <c r="I45" s="10">
        <v>1.61</v>
      </c>
      <c r="J45" s="12"/>
      <c r="K45" s="2"/>
      <c r="L45" s="2"/>
      <c r="M45" s="2"/>
      <c r="N45" s="5">
        <f>IF(B45="","",IFERROR(LOOKUP(2,1/(单次交易!$A$2:$A$88=B45),单次交易!$N$2:$N$88),""))</f>
        <v>1.65</v>
      </c>
      <c r="O45" s="5">
        <f t="shared" si="9"/>
        <v>1.61</v>
      </c>
      <c r="P45" s="11">
        <f t="shared" si="10"/>
        <v>0</v>
      </c>
      <c r="Q45" s="5">
        <f t="shared" si="11"/>
        <v>1.65</v>
      </c>
      <c r="R45" s="10"/>
      <c r="S45" s="5">
        <f t="shared" si="12"/>
        <v>1.65</v>
      </c>
      <c r="T45" s="5" t="str">
        <f t="shared" si="13"/>
        <v/>
      </c>
      <c r="U45" s="5" t="str">
        <f t="shared" si="14"/>
        <v/>
      </c>
      <c r="V45" s="7" t="str">
        <f t="shared" si="15"/>
        <v/>
      </c>
      <c r="W45" s="8" t="str">
        <f t="shared" si="16"/>
        <v>触发止损：应全部卖出</v>
      </c>
      <c r="X45" s="2" t="s">
        <v>96</v>
      </c>
      <c r="Y45" s="10">
        <v>1.61</v>
      </c>
      <c r="Z45" s="11">
        <f>IF(X45&lt;&gt;"执行卖出","",IFERROR(LOOKUP(2,1/(单次交易!$A$2:$A$88=B45),单次交易!$AP$2:$AP$88),""))</f>
        <v>60000</v>
      </c>
      <c r="AA45" s="10"/>
      <c r="AB45" s="8" t="str">
        <f t="shared" si="17"/>
        <v>待补充每日记录</v>
      </c>
      <c r="AC45" s="8" t="str">
        <f>IF(A45="","",IF(A45="止损计划",IF(OR(B45="",D45="",E45="",F45="",G45=""),"计划不完整",IF(OR(D45&lt;1,D45&lt;&gt;INT(D45)),"阶段序号无效",IF(COUNTIFS($A$2:$A$157,"止损计划",$B$2:$B$157,B45,$D$2:$D$157,D45)&gt;1,"阶段序号重复",IF(E45&lt;=IFERROR(LOOKUP(2,1/(单次交易!$A$2:$A$88=B45),单次交易!$E$2:$E$88),0),"激活价须高于买入价",IF(F45&lt;N45,"止损价不得低于初始止损",IF(F45&gt;E45,"止损价不得高于激活价",IF(AND(COUNTIFS($A$2:$A$157,"止损计划",$B$2:$B$157,B45,$D$2:$D$157,"&lt;"&amp;D45)&gt;0,OR(E45&lt;=SUMPRODUCT(MAX((($A$2:$A$157="止损计划")*($B$2:$B$157=B45)*($D$2:$D$157&lt;D45))*$E$2:$E$157)),F45&lt;SUMPRODUCT(MAX((($A$2:$A$157="止损计划")*($B$2:$B$157=B45)*($D$2:$D$157&lt;D45))*$F$2:$F$157)))),"阶段价格必须逐级提高","计划有效"))))))),IF(A45="每日跟踪",IF(OR(B45="",H45="",I45="",J45=""),"每日数据不完整",IF(COUNTIFS($A$2:$A$157,"每日跟踪",$B$2:$B$157,B45,$H$2:$H$157,H45)&gt;1,"同一交易日期重复",IF(AND(R45&lt;&gt;"",R45&lt;S45),"人工止损无效：不能下调","跟踪有效"))),"记录类型无效")))</f>
        <v>每日数据不完整</v>
      </c>
    </row>
    <row r="46" ht="17" spans="1:29">
      <c r="A46" s="2" t="s">
        <v>95</v>
      </c>
      <c r="B46" s="2">
        <v>45</v>
      </c>
      <c r="C46" s="8" t="str">
        <f>IF(B46="","",IFERROR(LOOKUP(2,1/(单次交易!$A$2:$A$88=B46),单次交易!$B$2:$B$88),""))</f>
        <v>京东方</v>
      </c>
      <c r="D46" s="12"/>
      <c r="E46" s="10"/>
      <c r="F46" s="10"/>
      <c r="G46" s="2"/>
      <c r="H46" s="13">
        <v>41757</v>
      </c>
      <c r="I46" s="10">
        <v>1.46</v>
      </c>
      <c r="J46" s="12"/>
      <c r="K46" s="2"/>
      <c r="L46" s="2"/>
      <c r="M46" s="2"/>
      <c r="N46" s="5">
        <f>IF(B46="","",IFERROR(LOOKUP(2,1/(单次交易!$A$2:$A$88=B46),单次交易!$N$2:$N$88),""))</f>
        <v>1.6</v>
      </c>
      <c r="O46" s="5">
        <f t="shared" si="9"/>
        <v>1.46</v>
      </c>
      <c r="P46" s="11">
        <f t="shared" si="10"/>
        <v>0</v>
      </c>
      <c r="Q46" s="5">
        <f t="shared" si="11"/>
        <v>1.6</v>
      </c>
      <c r="R46" s="10"/>
      <c r="S46" s="5">
        <f t="shared" si="12"/>
        <v>1.6</v>
      </c>
      <c r="T46" s="5" t="str">
        <f t="shared" si="13"/>
        <v/>
      </c>
      <c r="U46" s="5" t="str">
        <f t="shared" si="14"/>
        <v/>
      </c>
      <c r="V46" s="7" t="str">
        <f t="shared" si="15"/>
        <v/>
      </c>
      <c r="W46" s="8" t="str">
        <f t="shared" si="16"/>
        <v>触发止损：应全部卖出</v>
      </c>
      <c r="X46" s="2" t="s">
        <v>96</v>
      </c>
      <c r="Y46" s="10">
        <v>1.46</v>
      </c>
      <c r="Z46" s="11">
        <f>IF(X46&lt;&gt;"执行卖出","",IFERROR(LOOKUP(2,1/(单次交易!$A$2:$A$88=B46),单次交易!$AP$2:$AP$88),""))</f>
        <v>87200</v>
      </c>
      <c r="AA46" s="10"/>
      <c r="AB46" s="8" t="str">
        <f t="shared" si="17"/>
        <v>待补充每日记录</v>
      </c>
      <c r="AC46" s="8" t="str">
        <f>IF(A46="","",IF(A46="止损计划",IF(OR(B46="",D46="",E46="",F46="",G46=""),"计划不完整",IF(OR(D46&lt;1,D46&lt;&gt;INT(D46)),"阶段序号无效",IF(COUNTIFS($A$2:$A$157,"止损计划",$B$2:$B$157,B46,$D$2:$D$157,D46)&gt;1,"阶段序号重复",IF(E46&lt;=IFERROR(LOOKUP(2,1/(单次交易!$A$2:$A$88=B46),单次交易!$E$2:$E$88),0),"激活价须高于买入价",IF(F46&lt;N46,"止损价不得低于初始止损",IF(F46&gt;E46,"止损价不得高于激活价",IF(AND(COUNTIFS($A$2:$A$157,"止损计划",$B$2:$B$157,B46,$D$2:$D$157,"&lt;"&amp;D46)&gt;0,OR(E46&lt;=SUMPRODUCT(MAX((($A$2:$A$157="止损计划")*($B$2:$B$157=B46)*($D$2:$D$157&lt;D46))*$E$2:$E$157)),F46&lt;SUMPRODUCT(MAX((($A$2:$A$157="止损计划")*($B$2:$B$157=B46)*($D$2:$D$157&lt;D46))*$F$2:$F$157)))),"阶段价格必须逐级提高","计划有效"))))))),IF(A46="每日跟踪",IF(OR(B46="",H46="",I46="",J46=""),"每日数据不完整",IF(COUNTIFS($A$2:$A$157,"每日跟踪",$B$2:$B$157,B46,$H$2:$H$157,H46)&gt;1,"同一交易日期重复",IF(AND(R46&lt;&gt;"",R46&lt;S46),"人工止损无效：不能下调","跟踪有效"))),"记录类型无效")))</f>
        <v>每日数据不完整</v>
      </c>
    </row>
    <row r="47" ht="17" spans="1:29">
      <c r="A47" s="2" t="s">
        <v>95</v>
      </c>
      <c r="B47" s="2">
        <v>46</v>
      </c>
      <c r="C47" s="8" t="str">
        <f>IF(B47="","",IFERROR(LOOKUP(2,1/(单次交易!$A$2:$A$88=B47),单次交易!$B$2:$B$88),""))</f>
        <v>京东方</v>
      </c>
      <c r="D47" s="12"/>
      <c r="E47" s="10"/>
      <c r="F47" s="10"/>
      <c r="G47" s="2"/>
      <c r="H47" s="13">
        <v>41869</v>
      </c>
      <c r="I47" s="10">
        <v>1.7</v>
      </c>
      <c r="J47" s="12"/>
      <c r="K47" s="2"/>
      <c r="L47" s="2"/>
      <c r="M47" s="2"/>
      <c r="N47" s="5">
        <f>IF(B47="","",IFERROR(LOOKUP(2,1/(单次交易!$A$2:$A$88=B47),单次交易!$N$2:$N$88),""))</f>
        <v>1.6</v>
      </c>
      <c r="O47" s="5">
        <f t="shared" si="9"/>
        <v>1.7</v>
      </c>
      <c r="P47" s="11">
        <f t="shared" si="10"/>
        <v>0</v>
      </c>
      <c r="Q47" s="5">
        <f t="shared" si="11"/>
        <v>1.6</v>
      </c>
      <c r="R47" s="10"/>
      <c r="S47" s="5">
        <f t="shared" si="12"/>
        <v>1.6</v>
      </c>
      <c r="T47" s="5" t="str">
        <f t="shared" si="13"/>
        <v/>
      </c>
      <c r="U47" s="5" t="str">
        <f t="shared" si="14"/>
        <v/>
      </c>
      <c r="V47" s="7" t="str">
        <f t="shared" si="15"/>
        <v/>
      </c>
      <c r="W47" s="8" t="str">
        <f t="shared" si="16"/>
        <v>继续观察</v>
      </c>
      <c r="X47" s="2" t="s">
        <v>96</v>
      </c>
      <c r="Y47" s="10">
        <v>1.7</v>
      </c>
      <c r="Z47" s="11">
        <f>IF(X47&lt;&gt;"执行卖出","",IFERROR(LOOKUP(2,1/(单次交易!$A$2:$A$88=B47),单次交易!$AP$2:$AP$88),""))</f>
        <v>100500</v>
      </c>
      <c r="AA47" s="10"/>
      <c r="AB47" s="8" t="str">
        <f t="shared" si="17"/>
        <v>待补充每日记录</v>
      </c>
      <c r="AC47" s="8" t="str">
        <f>IF(A47="","",IF(A47="止损计划",IF(OR(B47="",D47="",E47="",F47="",G47=""),"计划不完整",IF(OR(D47&lt;1,D47&lt;&gt;INT(D47)),"阶段序号无效",IF(COUNTIFS($A$2:$A$157,"止损计划",$B$2:$B$157,B47,$D$2:$D$157,D47)&gt;1,"阶段序号重复",IF(E47&lt;=IFERROR(LOOKUP(2,1/(单次交易!$A$2:$A$88=B47),单次交易!$E$2:$E$88),0),"激活价须高于买入价",IF(F47&lt;N47,"止损价不得低于初始止损",IF(F47&gt;E47,"止损价不得高于激活价",IF(AND(COUNTIFS($A$2:$A$157,"止损计划",$B$2:$B$157,B47,$D$2:$D$157,"&lt;"&amp;D47)&gt;0,OR(E47&lt;=SUMPRODUCT(MAX((($A$2:$A$157="止损计划")*($B$2:$B$157=B47)*($D$2:$D$157&lt;D47))*$E$2:$E$157)),F47&lt;SUMPRODUCT(MAX((($A$2:$A$157="止损计划")*($B$2:$B$157=B47)*($D$2:$D$157&lt;D47))*$F$2:$F$157)))),"阶段价格必须逐级提高","计划有效"))))))),IF(A47="每日跟踪",IF(OR(B47="",H47="",I47="",J47=""),"每日数据不完整",IF(COUNTIFS($A$2:$A$157,"每日跟踪",$B$2:$B$157,B47,$H$2:$H$157,H47)&gt;1,"同一交易日期重复",IF(AND(R47&lt;&gt;"",R47&lt;S47),"人工止损无效：不能下调","跟踪有效"))),"记录类型无效")))</f>
        <v>每日数据不完整</v>
      </c>
    </row>
    <row r="48" ht="17" spans="1:29">
      <c r="A48" s="2" t="s">
        <v>95</v>
      </c>
      <c r="B48" s="2">
        <v>47</v>
      </c>
      <c r="C48" s="8" t="str">
        <f>IF(B48="","",IFERROR(LOOKUP(2,1/(单次交易!$A$2:$A$88=B48),单次交易!$B$2:$B$88),""))</f>
        <v>京东方</v>
      </c>
      <c r="D48" s="12"/>
      <c r="E48" s="10"/>
      <c r="F48" s="10"/>
      <c r="G48" s="2"/>
      <c r="H48" s="13">
        <v>41982</v>
      </c>
      <c r="I48" s="10">
        <v>2.38</v>
      </c>
      <c r="J48" s="12"/>
      <c r="K48" s="2"/>
      <c r="L48" s="2"/>
      <c r="M48" s="2"/>
      <c r="N48" s="5">
        <f>IF(B48="","",IFERROR(LOOKUP(2,1/(单次交易!$A$2:$A$88=B48),单次交易!$N$2:$N$88),""))</f>
        <v>1.7</v>
      </c>
      <c r="O48" s="5">
        <f t="shared" si="9"/>
        <v>2.38</v>
      </c>
      <c r="P48" s="11">
        <f t="shared" si="10"/>
        <v>0</v>
      </c>
      <c r="Q48" s="5">
        <f t="shared" si="11"/>
        <v>1.7</v>
      </c>
      <c r="R48" s="10"/>
      <c r="S48" s="5">
        <f t="shared" si="12"/>
        <v>1.7</v>
      </c>
      <c r="T48" s="5" t="str">
        <f t="shared" si="13"/>
        <v/>
      </c>
      <c r="U48" s="5" t="str">
        <f t="shared" si="14"/>
        <v/>
      </c>
      <c r="V48" s="7" t="str">
        <f t="shared" si="15"/>
        <v/>
      </c>
      <c r="W48" s="8" t="str">
        <f t="shared" si="16"/>
        <v>继续观察</v>
      </c>
      <c r="X48" s="2" t="s">
        <v>96</v>
      </c>
      <c r="Y48" s="10">
        <v>2.38</v>
      </c>
      <c r="Z48" s="11">
        <f>IF(X48&lt;&gt;"执行卖出","",IFERROR(LOOKUP(2,1/(单次交易!$A$2:$A$88=B48),单次交易!$AP$2:$AP$88),""))</f>
        <v>41500</v>
      </c>
      <c r="AA48" s="10"/>
      <c r="AB48" s="8" t="str">
        <f t="shared" si="17"/>
        <v>待补充每日记录</v>
      </c>
      <c r="AC48" s="8" t="str">
        <f>IF(A48="","",IF(A48="止损计划",IF(OR(B48="",D48="",E48="",F48="",G48=""),"计划不完整",IF(OR(D48&lt;1,D48&lt;&gt;INT(D48)),"阶段序号无效",IF(COUNTIFS($A$2:$A$157,"止损计划",$B$2:$B$157,B48,$D$2:$D$157,D48)&gt;1,"阶段序号重复",IF(E48&lt;=IFERROR(LOOKUP(2,1/(单次交易!$A$2:$A$88=B48),单次交易!$E$2:$E$88),0),"激活价须高于买入价",IF(F48&lt;N48,"止损价不得低于初始止损",IF(F48&gt;E48,"止损价不得高于激活价",IF(AND(COUNTIFS($A$2:$A$157,"止损计划",$B$2:$B$157,B48,$D$2:$D$157,"&lt;"&amp;D48)&gt;0,OR(E48&lt;=SUMPRODUCT(MAX((($A$2:$A$157="止损计划")*($B$2:$B$157=B48)*($D$2:$D$157&lt;D48))*$E$2:$E$157)),F48&lt;SUMPRODUCT(MAX((($A$2:$A$157="止损计划")*($B$2:$B$157=B48)*($D$2:$D$157&lt;D48))*$F$2:$F$157)))),"阶段价格必须逐级提高","计划有效"))))))),IF(A48="每日跟踪",IF(OR(B48="",H48="",I48="",J48=""),"每日数据不完整",IF(COUNTIFS($A$2:$A$157,"每日跟踪",$B$2:$B$157,B48,$H$2:$H$157,H48)&gt;1,"同一交易日期重复",IF(AND(R48&lt;&gt;"",R48&lt;S48),"人工止损无效：不能下调","跟踪有效"))),"记录类型无效")))</f>
        <v>每日数据不完整</v>
      </c>
    </row>
    <row r="49" ht="17" spans="1:29">
      <c r="A49" s="2" t="s">
        <v>95</v>
      </c>
      <c r="B49" s="2">
        <v>48</v>
      </c>
      <c r="C49" s="8" t="str">
        <f>IF(B49="","",IFERROR(LOOKUP(2,1/(单次交易!$A$2:$A$88=B49),单次交易!$B$2:$B$88),""))</f>
        <v>京东方</v>
      </c>
      <c r="D49" s="12"/>
      <c r="E49" s="10"/>
      <c r="F49" s="10"/>
      <c r="G49" s="2"/>
      <c r="H49" s="13">
        <v>42016</v>
      </c>
      <c r="I49" s="10">
        <v>2.56</v>
      </c>
      <c r="J49" s="12"/>
      <c r="K49" s="2"/>
      <c r="L49" s="2"/>
      <c r="M49" s="2"/>
      <c r="N49" s="5">
        <f>IF(B49="","",IFERROR(LOOKUP(2,1/(单次交易!$A$2:$A$88=B49),单次交易!$N$2:$N$88),""))</f>
        <v>2.3</v>
      </c>
      <c r="O49" s="5">
        <f t="shared" si="9"/>
        <v>2.56</v>
      </c>
      <c r="P49" s="11">
        <f t="shared" si="10"/>
        <v>0</v>
      </c>
      <c r="Q49" s="5">
        <f t="shared" si="11"/>
        <v>2.3</v>
      </c>
      <c r="R49" s="10"/>
      <c r="S49" s="5">
        <f t="shared" si="12"/>
        <v>2.3</v>
      </c>
      <c r="T49" s="5" t="str">
        <f t="shared" si="13"/>
        <v/>
      </c>
      <c r="U49" s="5" t="str">
        <f t="shared" si="14"/>
        <v/>
      </c>
      <c r="V49" s="7" t="str">
        <f t="shared" si="15"/>
        <v/>
      </c>
      <c r="W49" s="8" t="str">
        <f t="shared" si="16"/>
        <v>继续观察</v>
      </c>
      <c r="X49" s="2" t="s">
        <v>96</v>
      </c>
      <c r="Y49" s="10">
        <v>2.56</v>
      </c>
      <c r="Z49" s="11">
        <f>IF(X49&lt;&gt;"执行卖出","",IFERROR(LOOKUP(2,1/(单次交易!$A$2:$A$88=B49),单次交易!$AP$2:$AP$88),""))</f>
        <v>17100</v>
      </c>
      <c r="AA49" s="10"/>
      <c r="AB49" s="8" t="str">
        <f t="shared" si="17"/>
        <v>待补充每日记录</v>
      </c>
      <c r="AC49" s="8" t="str">
        <f>IF(A49="","",IF(A49="止损计划",IF(OR(B49="",D49="",E49="",F49="",G49=""),"计划不完整",IF(OR(D49&lt;1,D49&lt;&gt;INT(D49)),"阶段序号无效",IF(COUNTIFS($A$2:$A$157,"止损计划",$B$2:$B$157,B49,$D$2:$D$157,D49)&gt;1,"阶段序号重复",IF(E49&lt;=IFERROR(LOOKUP(2,1/(单次交易!$A$2:$A$88=B49),单次交易!$E$2:$E$88),0),"激活价须高于买入价",IF(F49&lt;N49,"止损价不得低于初始止损",IF(F49&gt;E49,"止损价不得高于激活价",IF(AND(COUNTIFS($A$2:$A$157,"止损计划",$B$2:$B$157,B49,$D$2:$D$157,"&lt;"&amp;D49)&gt;0,OR(E49&lt;=SUMPRODUCT(MAX((($A$2:$A$157="止损计划")*($B$2:$B$157=B49)*($D$2:$D$157&lt;D49))*$E$2:$E$157)),F49&lt;SUMPRODUCT(MAX((($A$2:$A$157="止损计划")*($B$2:$B$157=B49)*($D$2:$D$157&lt;D49))*$F$2:$F$157)))),"阶段价格必须逐级提高","计划有效"))))))),IF(A49="每日跟踪",IF(OR(B49="",H49="",I49="",J49=""),"每日数据不完整",IF(COUNTIFS($A$2:$A$157,"每日跟踪",$B$2:$B$157,B49,$H$2:$H$157,H49)&gt;1,"同一交易日期重复",IF(AND(R49&lt;&gt;"",R49&lt;S49),"人工止损无效：不能下调","跟踪有效"))),"记录类型无效")))</f>
        <v>每日数据不完整</v>
      </c>
    </row>
    <row r="50" ht="17" spans="1:29">
      <c r="A50" s="2" t="s">
        <v>95</v>
      </c>
      <c r="B50" s="2">
        <v>49</v>
      </c>
      <c r="C50" s="8" t="str">
        <f>IF(B50="","",IFERROR(LOOKUP(2,1/(单次交易!$A$2:$A$88=B50),单次交易!$B$2:$B$88),""))</f>
        <v>京东方</v>
      </c>
      <c r="D50" s="12"/>
      <c r="E50" s="10"/>
      <c r="F50" s="10"/>
      <c r="G50" s="2"/>
      <c r="H50" s="13">
        <v>42131</v>
      </c>
      <c r="I50" s="10">
        <v>3.63</v>
      </c>
      <c r="J50" s="12"/>
      <c r="K50" s="2"/>
      <c r="L50" s="2"/>
      <c r="M50" s="2"/>
      <c r="N50" s="5">
        <f>IF(B50="","",IFERROR(LOOKUP(2,1/(单次交易!$A$2:$A$88=B50),单次交易!$N$2:$N$88),""))</f>
        <v>3.7</v>
      </c>
      <c r="O50" s="5">
        <f t="shared" si="9"/>
        <v>3.63</v>
      </c>
      <c r="P50" s="11">
        <f t="shared" si="10"/>
        <v>0</v>
      </c>
      <c r="Q50" s="5">
        <f t="shared" si="11"/>
        <v>3.7</v>
      </c>
      <c r="R50" s="10"/>
      <c r="S50" s="5">
        <f t="shared" si="12"/>
        <v>3.7</v>
      </c>
      <c r="T50" s="5" t="str">
        <f t="shared" si="13"/>
        <v/>
      </c>
      <c r="U50" s="5" t="str">
        <f t="shared" si="14"/>
        <v/>
      </c>
      <c r="V50" s="7" t="str">
        <f t="shared" si="15"/>
        <v/>
      </c>
      <c r="W50" s="8" t="str">
        <f t="shared" si="16"/>
        <v>触发止损：应全部卖出</v>
      </c>
      <c r="X50" s="2" t="s">
        <v>96</v>
      </c>
      <c r="Y50" s="10">
        <v>3.63</v>
      </c>
      <c r="Z50" s="11">
        <f>IF(X50&lt;&gt;"执行卖出","",IFERROR(LOOKUP(2,1/(单次交易!$A$2:$A$88=B50),单次交易!$AP$2:$AP$88),""))</f>
        <v>12800</v>
      </c>
      <c r="AA50" s="10"/>
      <c r="AB50" s="8" t="str">
        <f t="shared" si="17"/>
        <v>待补充每日记录</v>
      </c>
      <c r="AC50" s="8" t="str">
        <f>IF(A50="","",IF(A50="止损计划",IF(OR(B50="",D50="",E50="",F50="",G50=""),"计划不完整",IF(OR(D50&lt;1,D50&lt;&gt;INT(D50)),"阶段序号无效",IF(COUNTIFS($A$2:$A$157,"止损计划",$B$2:$B$157,B50,$D$2:$D$157,D50)&gt;1,"阶段序号重复",IF(E50&lt;=IFERROR(LOOKUP(2,1/(单次交易!$A$2:$A$88=B50),单次交易!$E$2:$E$88),0),"激活价须高于买入价",IF(F50&lt;N50,"止损价不得低于初始止损",IF(F50&gt;E50,"止损价不得高于激活价",IF(AND(COUNTIFS($A$2:$A$157,"止损计划",$B$2:$B$157,B50,$D$2:$D$157,"&lt;"&amp;D50)&gt;0,OR(E50&lt;=SUMPRODUCT(MAX((($A$2:$A$157="止损计划")*($B$2:$B$157=B50)*($D$2:$D$157&lt;D50))*$E$2:$E$157)),F50&lt;SUMPRODUCT(MAX((($A$2:$A$157="止损计划")*($B$2:$B$157=B50)*($D$2:$D$157&lt;D50))*$F$2:$F$157)))),"阶段价格必须逐级提高","计划有效"))))))),IF(A50="每日跟踪",IF(OR(B50="",H50="",I50="",J50=""),"每日数据不完整",IF(COUNTIFS($A$2:$A$157,"每日跟踪",$B$2:$B$157,B50,$H$2:$H$157,H50)&gt;1,"同一交易日期重复",IF(AND(R50&lt;&gt;"",R50&lt;S50),"人工止损无效：不能下调","跟踪有效"))),"记录类型无效")))</f>
        <v>每日数据不完整</v>
      </c>
    </row>
    <row r="51" ht="17" spans="1:29">
      <c r="A51" s="2" t="s">
        <v>95</v>
      </c>
      <c r="B51" s="2">
        <v>50</v>
      </c>
      <c r="C51" s="8" t="str">
        <f>IF(B51="","",IFERROR(LOOKUP(2,1/(单次交易!$A$2:$A$88=B51),单次交易!$B$2:$B$88),""))</f>
        <v>京东方</v>
      </c>
      <c r="D51" s="12"/>
      <c r="E51" s="10"/>
      <c r="F51" s="10"/>
      <c r="G51" s="2"/>
      <c r="H51" s="13">
        <v>42221</v>
      </c>
      <c r="I51" s="10">
        <v>3.03</v>
      </c>
      <c r="J51" s="12"/>
      <c r="K51" s="2"/>
      <c r="L51" s="2"/>
      <c r="M51" s="2"/>
      <c r="N51" s="5">
        <f>IF(B51="","",IFERROR(LOOKUP(2,1/(单次交易!$A$2:$A$88=B51),单次交易!$N$2:$N$88),""))</f>
        <v>4.2</v>
      </c>
      <c r="O51" s="5">
        <f t="shared" si="9"/>
        <v>3.03</v>
      </c>
      <c r="P51" s="11">
        <f t="shared" si="10"/>
        <v>0</v>
      </c>
      <c r="Q51" s="5">
        <f t="shared" si="11"/>
        <v>4.2</v>
      </c>
      <c r="R51" s="10"/>
      <c r="S51" s="5">
        <f t="shared" si="12"/>
        <v>4.2</v>
      </c>
      <c r="T51" s="5" t="str">
        <f t="shared" si="13"/>
        <v/>
      </c>
      <c r="U51" s="5" t="str">
        <f t="shared" si="14"/>
        <v/>
      </c>
      <c r="V51" s="7" t="str">
        <f t="shared" si="15"/>
        <v/>
      </c>
      <c r="W51" s="8" t="str">
        <f t="shared" si="16"/>
        <v>触发止损：应全部卖出</v>
      </c>
      <c r="X51" s="2" t="s">
        <v>96</v>
      </c>
      <c r="Y51" s="10">
        <v>3.03</v>
      </c>
      <c r="Z51" s="11">
        <f>IF(X51&lt;&gt;"执行卖出","",IFERROR(LOOKUP(2,1/(单次交易!$A$2:$A$88=B51),单次交易!$AP$2:$AP$88),""))</f>
        <v>18800</v>
      </c>
      <c r="AA51" s="10"/>
      <c r="AB51" s="8" t="str">
        <f t="shared" si="17"/>
        <v>待补充每日记录</v>
      </c>
      <c r="AC51" s="8" t="str">
        <f>IF(A51="","",IF(A51="止损计划",IF(OR(B51="",D51="",E51="",F51="",G51=""),"计划不完整",IF(OR(D51&lt;1,D51&lt;&gt;INT(D51)),"阶段序号无效",IF(COUNTIFS($A$2:$A$157,"止损计划",$B$2:$B$157,B51,$D$2:$D$157,D51)&gt;1,"阶段序号重复",IF(E51&lt;=IFERROR(LOOKUP(2,1/(单次交易!$A$2:$A$88=B51),单次交易!$E$2:$E$88),0),"激活价须高于买入价",IF(F51&lt;N51,"止损价不得低于初始止损",IF(F51&gt;E51,"止损价不得高于激活价",IF(AND(COUNTIFS($A$2:$A$157,"止损计划",$B$2:$B$157,B51,$D$2:$D$157,"&lt;"&amp;D51)&gt;0,OR(E51&lt;=SUMPRODUCT(MAX((($A$2:$A$157="止损计划")*($B$2:$B$157=B51)*($D$2:$D$157&lt;D51))*$E$2:$E$157)),F51&lt;SUMPRODUCT(MAX((($A$2:$A$157="止损计划")*($B$2:$B$157=B51)*($D$2:$D$157&lt;D51))*$F$2:$F$157)))),"阶段价格必须逐级提高","计划有效"))))))),IF(A51="每日跟踪",IF(OR(B51="",H51="",I51="",J51=""),"每日数据不完整",IF(COUNTIFS($A$2:$A$157,"每日跟踪",$B$2:$B$157,B51,$H$2:$H$157,H51)&gt;1,"同一交易日期重复",IF(AND(R51&lt;&gt;"",R51&lt;S51),"人工止损无效：不能下调","跟踪有效"))),"记录类型无效")))</f>
        <v>每日数据不完整</v>
      </c>
    </row>
    <row r="52" ht="17" spans="1:29">
      <c r="A52" s="2" t="s">
        <v>95</v>
      </c>
      <c r="B52" s="2">
        <v>51</v>
      </c>
      <c r="C52" s="8" t="str">
        <f>IF(B52="","",IFERROR(LOOKUP(2,1/(单次交易!$A$2:$A$88=B52),单次交易!$B$2:$B$88),""))</f>
        <v>京东方</v>
      </c>
      <c r="D52" s="12"/>
      <c r="E52" s="10"/>
      <c r="F52" s="10"/>
      <c r="G52" s="2"/>
      <c r="H52" s="13">
        <v>42682</v>
      </c>
      <c r="I52" s="10">
        <v>2.03</v>
      </c>
      <c r="J52" s="12"/>
      <c r="K52" s="2"/>
      <c r="L52" s="2"/>
      <c r="M52" s="2"/>
      <c r="N52" s="5">
        <f>IF(B52="","",IFERROR(LOOKUP(2,1/(单次交易!$A$2:$A$88=B52),单次交易!$N$2:$N$88),""))</f>
        <v>1.8</v>
      </c>
      <c r="O52" s="5">
        <f t="shared" si="9"/>
        <v>2.03</v>
      </c>
      <c r="P52" s="11">
        <f t="shared" si="10"/>
        <v>0</v>
      </c>
      <c r="Q52" s="5">
        <f t="shared" si="11"/>
        <v>1.8</v>
      </c>
      <c r="R52" s="10"/>
      <c r="S52" s="5">
        <f t="shared" si="12"/>
        <v>1.8</v>
      </c>
      <c r="T52" s="5" t="str">
        <f t="shared" si="13"/>
        <v/>
      </c>
      <c r="U52" s="5" t="str">
        <f t="shared" si="14"/>
        <v/>
      </c>
      <c r="V52" s="7" t="str">
        <f t="shared" si="15"/>
        <v/>
      </c>
      <c r="W52" s="8" t="str">
        <f t="shared" si="16"/>
        <v>继续观察</v>
      </c>
      <c r="X52" s="2" t="s">
        <v>96</v>
      </c>
      <c r="Y52" s="10">
        <v>2.03</v>
      </c>
      <c r="Z52" s="11">
        <f>IF(X52&lt;&gt;"执行卖出","",IFERROR(LOOKUP(2,1/(单次交易!$A$2:$A$88=B52),单次交易!$AP$2:$AP$88),""))</f>
        <v>44300</v>
      </c>
      <c r="AA52" s="10"/>
      <c r="AB52" s="8" t="str">
        <f t="shared" si="17"/>
        <v>待补充每日记录</v>
      </c>
      <c r="AC52" s="8" t="str">
        <f>IF(A52="","",IF(A52="止损计划",IF(OR(B52="",D52="",E52="",F52="",G52=""),"计划不完整",IF(OR(D52&lt;1,D52&lt;&gt;INT(D52)),"阶段序号无效",IF(COUNTIFS($A$2:$A$157,"止损计划",$B$2:$B$157,B52,$D$2:$D$157,D52)&gt;1,"阶段序号重复",IF(E52&lt;=IFERROR(LOOKUP(2,1/(单次交易!$A$2:$A$88=B52),单次交易!$E$2:$E$88),0),"激活价须高于买入价",IF(F52&lt;N52,"止损价不得低于初始止损",IF(F52&gt;E52,"止损价不得高于激活价",IF(AND(COUNTIFS($A$2:$A$157,"止损计划",$B$2:$B$157,B52,$D$2:$D$157,"&lt;"&amp;D52)&gt;0,OR(E52&lt;=SUMPRODUCT(MAX((($A$2:$A$157="止损计划")*($B$2:$B$157=B52)*($D$2:$D$157&lt;D52))*$E$2:$E$157)),F52&lt;SUMPRODUCT(MAX((($A$2:$A$157="止损计划")*($B$2:$B$157=B52)*($D$2:$D$157&lt;D52))*$F$2:$F$157)))),"阶段价格必须逐级提高","计划有效"))))))),IF(A52="每日跟踪",IF(OR(B52="",H52="",I52="",J52=""),"每日数据不完整",IF(COUNTIFS($A$2:$A$157,"每日跟踪",$B$2:$B$157,B52,$H$2:$H$157,H52)&gt;1,"同一交易日期重复",IF(AND(R52&lt;&gt;"",R52&lt;S52),"人工止损无效：不能下调","跟踪有效"))),"记录类型无效")))</f>
        <v>每日数据不完整</v>
      </c>
    </row>
    <row r="53" ht="17" spans="1:29">
      <c r="A53" s="2" t="s">
        <v>95</v>
      </c>
      <c r="B53" s="2">
        <v>52</v>
      </c>
      <c r="C53" s="8" t="str">
        <f>IF(B53="","",IFERROR(LOOKUP(2,1/(单次交易!$A$2:$A$88=B53),单次交易!$B$2:$B$88),""))</f>
        <v>京东方</v>
      </c>
      <c r="D53" s="12"/>
      <c r="E53" s="10"/>
      <c r="F53" s="10"/>
      <c r="G53" s="2"/>
      <c r="H53" s="13">
        <v>42769</v>
      </c>
      <c r="I53" s="10">
        <v>2.58</v>
      </c>
      <c r="J53" s="12"/>
      <c r="K53" s="2"/>
      <c r="L53" s="2"/>
      <c r="M53" s="2"/>
      <c r="N53" s="5">
        <f>IF(B53="","",IFERROR(LOOKUP(2,1/(单次交易!$A$2:$A$88=B53),单次交易!$N$2:$N$88),""))</f>
        <v>2.4</v>
      </c>
      <c r="O53" s="5">
        <f t="shared" si="9"/>
        <v>2.58</v>
      </c>
      <c r="P53" s="11">
        <f t="shared" si="10"/>
        <v>0</v>
      </c>
      <c r="Q53" s="5">
        <f t="shared" si="11"/>
        <v>2.4</v>
      </c>
      <c r="R53" s="10"/>
      <c r="S53" s="5">
        <f t="shared" si="12"/>
        <v>2.4</v>
      </c>
      <c r="T53" s="5" t="str">
        <f t="shared" si="13"/>
        <v/>
      </c>
      <c r="U53" s="5" t="str">
        <f t="shared" si="14"/>
        <v/>
      </c>
      <c r="V53" s="7" t="str">
        <f t="shared" si="15"/>
        <v/>
      </c>
      <c r="W53" s="8" t="str">
        <f t="shared" si="16"/>
        <v>继续观察</v>
      </c>
      <c r="X53" s="2" t="s">
        <v>96</v>
      </c>
      <c r="Y53" s="10">
        <v>2.58</v>
      </c>
      <c r="Z53" s="11">
        <f>IF(X53&lt;&gt;"执行卖出","",IFERROR(LOOKUP(2,1/(单次交易!$A$2:$A$88=B53),单次交易!$AP$2:$AP$88),""))</f>
        <v>34200</v>
      </c>
      <c r="AA53" s="10"/>
      <c r="AB53" s="8" t="str">
        <f t="shared" si="17"/>
        <v>待补充每日记录</v>
      </c>
      <c r="AC53" s="8" t="str">
        <f>IF(A53="","",IF(A53="止损计划",IF(OR(B53="",D53="",E53="",F53="",G53=""),"计划不完整",IF(OR(D53&lt;1,D53&lt;&gt;INT(D53)),"阶段序号无效",IF(COUNTIFS($A$2:$A$157,"止损计划",$B$2:$B$157,B53,$D$2:$D$157,D53)&gt;1,"阶段序号重复",IF(E53&lt;=IFERROR(LOOKUP(2,1/(单次交易!$A$2:$A$88=B53),单次交易!$E$2:$E$88),0),"激活价须高于买入价",IF(F53&lt;N53,"止损价不得低于初始止损",IF(F53&gt;E53,"止损价不得高于激活价",IF(AND(COUNTIFS($A$2:$A$157,"止损计划",$B$2:$B$157,B53,$D$2:$D$157,"&lt;"&amp;D53)&gt;0,OR(E53&lt;=SUMPRODUCT(MAX((($A$2:$A$157="止损计划")*($B$2:$B$157=B53)*($D$2:$D$157&lt;D53))*$E$2:$E$157)),F53&lt;SUMPRODUCT(MAX((($A$2:$A$157="止损计划")*($B$2:$B$157=B53)*($D$2:$D$157&lt;D53))*$F$2:$F$157)))),"阶段价格必须逐级提高","计划有效"))))))),IF(A53="每日跟踪",IF(OR(B53="",H53="",I53="",J53=""),"每日数据不完整",IF(COUNTIFS($A$2:$A$157,"每日跟踪",$B$2:$B$157,B53,$H$2:$H$157,H53)&gt;1,"同一交易日期重复",IF(AND(R53&lt;&gt;"",R53&lt;S53),"人工止损无效：不能下调","跟踪有效"))),"记录类型无效")))</f>
        <v>每日数据不完整</v>
      </c>
    </row>
    <row r="54" ht="17" spans="1:29">
      <c r="A54" s="2" t="s">
        <v>95</v>
      </c>
      <c r="B54" s="2">
        <v>53</v>
      </c>
      <c r="C54" s="8" t="str">
        <f>IF(B54="","",IFERROR(LOOKUP(2,1/(单次交易!$A$2:$A$88=B54),单次交易!$B$2:$B$88),""))</f>
        <v>京东方</v>
      </c>
      <c r="D54" s="12"/>
      <c r="E54" s="10"/>
      <c r="F54" s="10"/>
      <c r="G54" s="2"/>
      <c r="H54" s="13">
        <v>42810</v>
      </c>
      <c r="I54" s="10">
        <v>2.59</v>
      </c>
      <c r="J54" s="12"/>
      <c r="K54" s="2"/>
      <c r="L54" s="2"/>
      <c r="M54" s="2"/>
      <c r="N54" s="5">
        <f>IF(B54="","",IFERROR(LOOKUP(2,1/(单次交易!$A$2:$A$88=B54),单次交易!$N$2:$N$88),""))</f>
        <v>2.6</v>
      </c>
      <c r="O54" s="5">
        <f t="shared" si="9"/>
        <v>2.59</v>
      </c>
      <c r="P54" s="11">
        <f t="shared" si="10"/>
        <v>0</v>
      </c>
      <c r="Q54" s="5">
        <f t="shared" si="11"/>
        <v>2.6</v>
      </c>
      <c r="R54" s="10"/>
      <c r="S54" s="5">
        <f t="shared" si="12"/>
        <v>2.6</v>
      </c>
      <c r="T54" s="5" t="str">
        <f t="shared" si="13"/>
        <v/>
      </c>
      <c r="U54" s="5" t="str">
        <f t="shared" si="14"/>
        <v/>
      </c>
      <c r="V54" s="7" t="str">
        <f t="shared" si="15"/>
        <v/>
      </c>
      <c r="W54" s="8" t="str">
        <f t="shared" si="16"/>
        <v>触发止损：应全部卖出</v>
      </c>
      <c r="X54" s="2" t="s">
        <v>96</v>
      </c>
      <c r="Y54" s="10">
        <v>2.59</v>
      </c>
      <c r="Z54" s="11">
        <f>IF(X54&lt;&gt;"执行卖出","",IFERROR(LOOKUP(2,1/(单次交易!$A$2:$A$88=B54),单次交易!$AP$2:$AP$88),""))</f>
        <v>41500</v>
      </c>
      <c r="AA54" s="10"/>
      <c r="AB54" s="8" t="str">
        <f t="shared" si="17"/>
        <v>待补充每日记录</v>
      </c>
      <c r="AC54" s="8" t="str">
        <f>IF(A54="","",IF(A54="止损计划",IF(OR(B54="",D54="",E54="",F54="",G54=""),"计划不完整",IF(OR(D54&lt;1,D54&lt;&gt;INT(D54)),"阶段序号无效",IF(COUNTIFS($A$2:$A$157,"止损计划",$B$2:$B$157,B54,$D$2:$D$157,D54)&gt;1,"阶段序号重复",IF(E54&lt;=IFERROR(LOOKUP(2,1/(单次交易!$A$2:$A$88=B54),单次交易!$E$2:$E$88),0),"激活价须高于买入价",IF(F54&lt;N54,"止损价不得低于初始止损",IF(F54&gt;E54,"止损价不得高于激活价",IF(AND(COUNTIFS($A$2:$A$157,"止损计划",$B$2:$B$157,B54,$D$2:$D$157,"&lt;"&amp;D54)&gt;0,OR(E54&lt;=SUMPRODUCT(MAX((($A$2:$A$157="止损计划")*($B$2:$B$157=B54)*($D$2:$D$157&lt;D54))*$E$2:$E$157)),F54&lt;SUMPRODUCT(MAX((($A$2:$A$157="止损计划")*($B$2:$B$157=B54)*($D$2:$D$157&lt;D54))*$F$2:$F$157)))),"阶段价格必须逐级提高","计划有效"))))))),IF(A54="每日跟踪",IF(OR(B54="",H54="",I54="",J54=""),"每日数据不完整",IF(COUNTIFS($A$2:$A$157,"每日跟踪",$B$2:$B$157,B54,$H$2:$H$157,H54)&gt;1,"同一交易日期重复",IF(AND(R54&lt;&gt;"",R54&lt;S54),"人工止损无效：不能下调","跟踪有效"))),"记录类型无效")))</f>
        <v>每日数据不完整</v>
      </c>
    </row>
    <row r="55" ht="17" spans="1:29">
      <c r="A55" s="2" t="s">
        <v>95</v>
      </c>
      <c r="B55" s="2">
        <v>54</v>
      </c>
      <c r="C55" s="8" t="str">
        <f>IF(B55="","",IFERROR(LOOKUP(2,1/(单次交易!$A$2:$A$88=B55),单次交易!$B$2:$B$88),""))</f>
        <v>京东方</v>
      </c>
      <c r="D55" s="12"/>
      <c r="E55" s="10"/>
      <c r="F55" s="10"/>
      <c r="G55" s="2"/>
      <c r="H55" s="13">
        <v>42866</v>
      </c>
      <c r="I55" s="10">
        <v>3.15</v>
      </c>
      <c r="J55" s="12"/>
      <c r="K55" s="2"/>
      <c r="L55" s="2"/>
      <c r="M55" s="2"/>
      <c r="N55" s="5">
        <f>IF(B55="","",IFERROR(LOOKUP(2,1/(单次交易!$A$2:$A$88=B55),单次交易!$N$2:$N$88),""))</f>
        <v>3</v>
      </c>
      <c r="O55" s="5">
        <f t="shared" si="9"/>
        <v>3.15</v>
      </c>
      <c r="P55" s="11">
        <f t="shared" si="10"/>
        <v>0</v>
      </c>
      <c r="Q55" s="5">
        <f t="shared" si="11"/>
        <v>3</v>
      </c>
      <c r="R55" s="10"/>
      <c r="S55" s="5">
        <f t="shared" si="12"/>
        <v>3</v>
      </c>
      <c r="T55" s="5" t="str">
        <f t="shared" si="13"/>
        <v/>
      </c>
      <c r="U55" s="5" t="str">
        <f t="shared" si="14"/>
        <v/>
      </c>
      <c r="V55" s="7" t="str">
        <f t="shared" si="15"/>
        <v/>
      </c>
      <c r="W55" s="8" t="str">
        <f t="shared" si="16"/>
        <v>继续观察</v>
      </c>
      <c r="X55" s="2" t="s">
        <v>96</v>
      </c>
      <c r="Y55" s="10">
        <v>3.15</v>
      </c>
      <c r="Z55" s="11">
        <f>IF(X55&lt;&gt;"执行卖出","",IFERROR(LOOKUP(2,1/(单次交易!$A$2:$A$88=B55),单次交易!$AP$2:$AP$88),""))</f>
        <v>25400</v>
      </c>
      <c r="AA55" s="10"/>
      <c r="AB55" s="8" t="str">
        <f t="shared" si="17"/>
        <v>待补充每日记录</v>
      </c>
      <c r="AC55" s="8" t="str">
        <f>IF(A55="","",IF(A55="止损计划",IF(OR(B55="",D55="",E55="",F55="",G55=""),"计划不完整",IF(OR(D55&lt;1,D55&lt;&gt;INT(D55)),"阶段序号无效",IF(COUNTIFS($A$2:$A$157,"止损计划",$B$2:$B$157,B55,$D$2:$D$157,D55)&gt;1,"阶段序号重复",IF(E55&lt;=IFERROR(LOOKUP(2,1/(单次交易!$A$2:$A$88=B55),单次交易!$E$2:$E$88),0),"激活价须高于买入价",IF(F55&lt;N55,"止损价不得低于初始止损",IF(F55&gt;E55,"止损价不得高于激活价",IF(AND(COUNTIFS($A$2:$A$157,"止损计划",$B$2:$B$157,B55,$D$2:$D$157,"&lt;"&amp;D55)&gt;0,OR(E55&lt;=SUMPRODUCT(MAX((($A$2:$A$157="止损计划")*($B$2:$B$157=B55)*($D$2:$D$157&lt;D55))*$E$2:$E$157)),F55&lt;SUMPRODUCT(MAX((($A$2:$A$157="止损计划")*($B$2:$B$157=B55)*($D$2:$D$157&lt;D55))*$F$2:$F$157)))),"阶段价格必须逐级提高","计划有效"))))))),IF(A55="每日跟踪",IF(OR(B55="",H55="",I55="",J55=""),"每日数据不完整",IF(COUNTIFS($A$2:$A$157,"每日跟踪",$B$2:$B$157,B55,$H$2:$H$157,H55)&gt;1,"同一交易日期重复",IF(AND(R55&lt;&gt;"",R55&lt;S55),"人工止损无效：不能下调","跟踪有效"))),"记录类型无效")))</f>
        <v>每日数据不完整</v>
      </c>
    </row>
    <row r="56" ht="17" spans="1:29">
      <c r="A56" s="2" t="s">
        <v>95</v>
      </c>
      <c r="B56" s="2">
        <v>55</v>
      </c>
      <c r="C56" s="8" t="str">
        <f>IF(B56="","",IFERROR(LOOKUP(2,1/(单次交易!$A$2:$A$88=B56),单次交易!$B$2:$B$88),""))</f>
        <v>京东方</v>
      </c>
      <c r="D56" s="12"/>
      <c r="E56" s="10"/>
      <c r="F56" s="10"/>
      <c r="G56" s="2"/>
      <c r="H56" s="13">
        <v>43053</v>
      </c>
      <c r="I56" s="10">
        <v>5.52</v>
      </c>
      <c r="J56" s="12"/>
      <c r="K56" s="2"/>
      <c r="L56" s="2"/>
      <c r="M56" s="2"/>
      <c r="N56" s="5">
        <f>IF(B56="","",IFERROR(LOOKUP(2,1/(单次交易!$A$2:$A$88=B56),单次交易!$N$2:$N$88),""))</f>
        <v>3.4</v>
      </c>
      <c r="O56" s="5">
        <f t="shared" si="9"/>
        <v>5.52</v>
      </c>
      <c r="P56" s="11">
        <f t="shared" si="10"/>
        <v>0</v>
      </c>
      <c r="Q56" s="5">
        <f t="shared" si="11"/>
        <v>3.4</v>
      </c>
      <c r="R56" s="10"/>
      <c r="S56" s="5">
        <f t="shared" si="12"/>
        <v>3.4</v>
      </c>
      <c r="T56" s="5" t="str">
        <f t="shared" si="13"/>
        <v/>
      </c>
      <c r="U56" s="5" t="str">
        <f t="shared" si="14"/>
        <v/>
      </c>
      <c r="V56" s="7" t="str">
        <f t="shared" si="15"/>
        <v/>
      </c>
      <c r="W56" s="8" t="str">
        <f t="shared" si="16"/>
        <v>继续观察</v>
      </c>
      <c r="X56" s="2" t="s">
        <v>96</v>
      </c>
      <c r="Y56" s="10">
        <v>5.52</v>
      </c>
      <c r="Z56" s="11">
        <f>IF(X56&lt;&gt;"执行卖出","",IFERROR(LOOKUP(2,1/(单次交易!$A$2:$A$88=B56),单次交易!$AP$2:$AP$88),""))</f>
        <v>28900</v>
      </c>
      <c r="AA56" s="10"/>
      <c r="AB56" s="8" t="str">
        <f t="shared" si="17"/>
        <v>待补充每日记录</v>
      </c>
      <c r="AC56" s="8" t="str">
        <f>IF(A56="","",IF(A56="止损计划",IF(OR(B56="",D56="",E56="",F56="",G56=""),"计划不完整",IF(OR(D56&lt;1,D56&lt;&gt;INT(D56)),"阶段序号无效",IF(COUNTIFS($A$2:$A$157,"止损计划",$B$2:$B$157,B56,$D$2:$D$157,D56)&gt;1,"阶段序号重复",IF(E56&lt;=IFERROR(LOOKUP(2,1/(单次交易!$A$2:$A$88=B56),单次交易!$E$2:$E$88),0),"激活价须高于买入价",IF(F56&lt;N56,"止损价不得低于初始止损",IF(F56&gt;E56,"止损价不得高于激活价",IF(AND(COUNTIFS($A$2:$A$157,"止损计划",$B$2:$B$157,B56,$D$2:$D$157,"&lt;"&amp;D56)&gt;0,OR(E56&lt;=SUMPRODUCT(MAX((($A$2:$A$157="止损计划")*($B$2:$B$157=B56)*($D$2:$D$157&lt;D56))*$E$2:$E$157)),F56&lt;SUMPRODUCT(MAX((($A$2:$A$157="止损计划")*($B$2:$B$157=B56)*($D$2:$D$157&lt;D56))*$F$2:$F$157)))),"阶段价格必须逐级提高","计划有效"))))))),IF(A56="每日跟踪",IF(OR(B56="",H56="",I56="",J56=""),"每日数据不完整",IF(COUNTIFS($A$2:$A$157,"每日跟踪",$B$2:$B$157,B56,$H$2:$H$157,H56)&gt;1,"同一交易日期重复",IF(AND(R56&lt;&gt;"",R56&lt;S56),"人工止损无效：不能下调","跟踪有效"))),"记录类型无效")))</f>
        <v>每日数据不完整</v>
      </c>
    </row>
    <row r="57" ht="17" spans="1:29">
      <c r="A57" s="2" t="s">
        <v>95</v>
      </c>
      <c r="B57" s="2">
        <v>56</v>
      </c>
      <c r="C57" s="8" t="str">
        <f>IF(B57="","",IFERROR(LOOKUP(2,1/(单次交易!$A$2:$A$88=B57),单次交易!$B$2:$B$88),""))</f>
        <v>京东方</v>
      </c>
      <c r="D57" s="12"/>
      <c r="E57" s="10"/>
      <c r="F57" s="10"/>
      <c r="G57" s="2"/>
      <c r="H57" s="13">
        <v>43118</v>
      </c>
      <c r="I57" s="10">
        <v>5.75</v>
      </c>
      <c r="J57" s="12"/>
      <c r="K57" s="2"/>
      <c r="L57" s="2"/>
      <c r="M57" s="2"/>
      <c r="N57" s="5">
        <f>IF(B57="","",IFERROR(LOOKUP(2,1/(单次交易!$A$2:$A$88=B57),单次交易!$N$2:$N$88),""))</f>
        <v>5.55</v>
      </c>
      <c r="O57" s="5">
        <f t="shared" si="9"/>
        <v>5.75</v>
      </c>
      <c r="P57" s="11">
        <f t="shared" si="10"/>
        <v>0</v>
      </c>
      <c r="Q57" s="5">
        <f t="shared" si="11"/>
        <v>5.55</v>
      </c>
      <c r="R57" s="10"/>
      <c r="S57" s="5">
        <f t="shared" si="12"/>
        <v>5.55</v>
      </c>
      <c r="T57" s="5" t="str">
        <f t="shared" si="13"/>
        <v/>
      </c>
      <c r="U57" s="5" t="str">
        <f t="shared" si="14"/>
        <v/>
      </c>
      <c r="V57" s="7" t="str">
        <f t="shared" si="15"/>
        <v/>
      </c>
      <c r="W57" s="8" t="str">
        <f t="shared" si="16"/>
        <v>继续观察</v>
      </c>
      <c r="X57" s="2" t="s">
        <v>96</v>
      </c>
      <c r="Y57" s="10">
        <v>5.75</v>
      </c>
      <c r="Z57" s="11">
        <f>IF(X57&lt;&gt;"执行卖出","",IFERROR(LOOKUP(2,1/(单次交易!$A$2:$A$88=B57),单次交易!$AP$2:$AP$88),""))</f>
        <v>27300</v>
      </c>
      <c r="AA57" s="10"/>
      <c r="AB57" s="8" t="str">
        <f t="shared" si="17"/>
        <v>待补充每日记录</v>
      </c>
      <c r="AC57" s="8" t="str">
        <f>IF(A57="","",IF(A57="止损计划",IF(OR(B57="",D57="",E57="",F57="",G57=""),"计划不完整",IF(OR(D57&lt;1,D57&lt;&gt;INT(D57)),"阶段序号无效",IF(COUNTIFS($A$2:$A$157,"止损计划",$B$2:$B$157,B57,$D$2:$D$157,D57)&gt;1,"阶段序号重复",IF(E57&lt;=IFERROR(LOOKUP(2,1/(单次交易!$A$2:$A$88=B57),单次交易!$E$2:$E$88),0),"激活价须高于买入价",IF(F57&lt;N57,"止损价不得低于初始止损",IF(F57&gt;E57,"止损价不得高于激活价",IF(AND(COUNTIFS($A$2:$A$157,"止损计划",$B$2:$B$157,B57,$D$2:$D$157,"&lt;"&amp;D57)&gt;0,OR(E57&lt;=SUMPRODUCT(MAX((($A$2:$A$157="止损计划")*($B$2:$B$157=B57)*($D$2:$D$157&lt;D57))*$E$2:$E$157)),F57&lt;SUMPRODUCT(MAX((($A$2:$A$157="止损计划")*($B$2:$B$157=B57)*($D$2:$D$157&lt;D57))*$F$2:$F$157)))),"阶段价格必须逐级提高","计划有效"))))))),IF(A57="每日跟踪",IF(OR(B57="",H57="",I57="",J57=""),"每日数据不完整",IF(COUNTIFS($A$2:$A$157,"每日跟踪",$B$2:$B$157,B57,$H$2:$H$157,H57)&gt;1,"同一交易日期重复",IF(AND(R57&lt;&gt;"",R57&lt;S57),"人工止损无效：不能下调","跟踪有效"))),"记录类型无效")))</f>
        <v>每日数据不完整</v>
      </c>
    </row>
    <row r="58" ht="17" spans="1:29">
      <c r="A58" s="2" t="s">
        <v>95</v>
      </c>
      <c r="B58" s="2">
        <v>57</v>
      </c>
      <c r="C58" s="8" t="str">
        <f>IF(B58="","",IFERROR(LOOKUP(2,1/(单次交易!$A$2:$A$88=B58),单次交易!$B$2:$B$88),""))</f>
        <v>京东方</v>
      </c>
      <c r="D58" s="12"/>
      <c r="E58" s="10"/>
      <c r="F58" s="10"/>
      <c r="G58" s="2"/>
      <c r="H58" s="13">
        <v>43558</v>
      </c>
      <c r="I58" s="10">
        <v>3.01</v>
      </c>
      <c r="J58" s="12"/>
      <c r="K58" s="2"/>
      <c r="L58" s="2"/>
      <c r="M58" s="2"/>
      <c r="N58" s="5">
        <f>IF(B58="","",IFERROR(LOOKUP(2,1/(单次交易!$A$2:$A$88=B58),单次交易!$N$2:$N$88),""))</f>
        <v>3.1</v>
      </c>
      <c r="O58" s="5">
        <f t="shared" si="9"/>
        <v>3.01</v>
      </c>
      <c r="P58" s="11">
        <f t="shared" si="10"/>
        <v>0</v>
      </c>
      <c r="Q58" s="5">
        <f t="shared" si="11"/>
        <v>3.1</v>
      </c>
      <c r="R58" s="10"/>
      <c r="S58" s="5">
        <f t="shared" si="12"/>
        <v>3.1</v>
      </c>
      <c r="T58" s="5" t="str">
        <f t="shared" si="13"/>
        <v/>
      </c>
      <c r="U58" s="5" t="str">
        <f t="shared" si="14"/>
        <v/>
      </c>
      <c r="V58" s="7" t="str">
        <f t="shared" si="15"/>
        <v/>
      </c>
      <c r="W58" s="8" t="str">
        <f t="shared" si="16"/>
        <v>触发止损：应全部卖出</v>
      </c>
      <c r="X58" s="2" t="s">
        <v>96</v>
      </c>
      <c r="Y58" s="10">
        <v>3.01</v>
      </c>
      <c r="Z58" s="11">
        <f>IF(X58&lt;&gt;"执行卖出","",IFERROR(LOOKUP(2,1/(单次交易!$A$2:$A$88=B58),单次交易!$AP$2:$AP$88),""))</f>
        <v>25000</v>
      </c>
      <c r="AA58" s="10"/>
      <c r="AB58" s="8" t="str">
        <f t="shared" si="17"/>
        <v>待补充每日记录</v>
      </c>
      <c r="AC58" s="8" t="str">
        <f>IF(A58="","",IF(A58="止损计划",IF(OR(B58="",D58="",E58="",F58="",G58=""),"计划不完整",IF(OR(D58&lt;1,D58&lt;&gt;INT(D58)),"阶段序号无效",IF(COUNTIFS($A$2:$A$157,"止损计划",$B$2:$B$157,B58,$D$2:$D$157,D58)&gt;1,"阶段序号重复",IF(E58&lt;=IFERROR(LOOKUP(2,1/(单次交易!$A$2:$A$88=B58),单次交易!$E$2:$E$88),0),"激活价须高于买入价",IF(F58&lt;N58,"止损价不得低于初始止损",IF(F58&gt;E58,"止损价不得高于激活价",IF(AND(COUNTIFS($A$2:$A$157,"止损计划",$B$2:$B$157,B58,$D$2:$D$157,"&lt;"&amp;D58)&gt;0,OR(E58&lt;=SUMPRODUCT(MAX((($A$2:$A$157="止损计划")*($B$2:$B$157=B58)*($D$2:$D$157&lt;D58))*$E$2:$E$157)),F58&lt;SUMPRODUCT(MAX((($A$2:$A$157="止损计划")*($B$2:$B$157=B58)*($D$2:$D$157&lt;D58))*$F$2:$F$157)))),"阶段价格必须逐级提高","计划有效"))))))),IF(A58="每日跟踪",IF(OR(B58="",H58="",I58="",J58=""),"每日数据不完整",IF(COUNTIFS($A$2:$A$157,"每日跟踪",$B$2:$B$157,B58,$H$2:$H$157,H58)&gt;1,"同一交易日期重复",IF(AND(R58&lt;&gt;"",R58&lt;S58),"人工止损无效：不能下调","跟踪有效"))),"记录类型无效")))</f>
        <v>每日数据不完整</v>
      </c>
    </row>
    <row r="59" ht="17" spans="1:29">
      <c r="A59" s="2" t="s">
        <v>95</v>
      </c>
      <c r="B59" s="2">
        <v>58</v>
      </c>
      <c r="C59" s="8" t="str">
        <f>IF(B59="","",IFERROR(LOOKUP(2,1/(单次交易!$A$2:$A$88=B59),单次交易!$B$2:$B$88),""))</f>
        <v>京东方</v>
      </c>
      <c r="D59" s="12"/>
      <c r="E59" s="10"/>
      <c r="F59" s="10"/>
      <c r="G59" s="2"/>
      <c r="H59" s="13">
        <v>43997</v>
      </c>
      <c r="I59" s="10">
        <v>3.89</v>
      </c>
      <c r="J59" s="12"/>
      <c r="K59" s="2"/>
      <c r="L59" s="2"/>
      <c r="M59" s="2"/>
      <c r="N59" s="5">
        <f>IF(B59="","",IFERROR(LOOKUP(2,1/(单次交易!$A$2:$A$88=B59),单次交易!$N$2:$N$88),""))</f>
        <v>4</v>
      </c>
      <c r="O59" s="5">
        <f t="shared" si="9"/>
        <v>3.89</v>
      </c>
      <c r="P59" s="11">
        <f t="shared" si="10"/>
        <v>0</v>
      </c>
      <c r="Q59" s="5">
        <f t="shared" si="11"/>
        <v>4</v>
      </c>
      <c r="R59" s="10"/>
      <c r="S59" s="5">
        <f t="shared" si="12"/>
        <v>4</v>
      </c>
      <c r="T59" s="5" t="str">
        <f t="shared" si="13"/>
        <v/>
      </c>
      <c r="U59" s="5" t="str">
        <f t="shared" si="14"/>
        <v/>
      </c>
      <c r="V59" s="7" t="str">
        <f t="shared" si="15"/>
        <v/>
      </c>
      <c r="W59" s="8" t="str">
        <f t="shared" si="16"/>
        <v>触发止损：应全部卖出</v>
      </c>
      <c r="X59" s="2" t="s">
        <v>96</v>
      </c>
      <c r="Y59" s="10">
        <v>3.89</v>
      </c>
      <c r="Z59" s="11">
        <f>IF(X59&lt;&gt;"执行卖出","",IFERROR(LOOKUP(2,1/(单次交易!$A$2:$A$88=B59),单次交易!$AP$2:$AP$88),""))</f>
        <v>18800</v>
      </c>
      <c r="AA59" s="10"/>
      <c r="AB59" s="8" t="str">
        <f t="shared" si="17"/>
        <v>待补充每日记录</v>
      </c>
      <c r="AC59" s="8" t="str">
        <f>IF(A59="","",IF(A59="止损计划",IF(OR(B59="",D59="",E59="",F59="",G59=""),"计划不完整",IF(OR(D59&lt;1,D59&lt;&gt;INT(D59)),"阶段序号无效",IF(COUNTIFS($A$2:$A$157,"止损计划",$B$2:$B$157,B59,$D$2:$D$157,D59)&gt;1,"阶段序号重复",IF(E59&lt;=IFERROR(LOOKUP(2,1/(单次交易!$A$2:$A$88=B59),单次交易!$E$2:$E$88),0),"激活价须高于买入价",IF(F59&lt;N59,"止损价不得低于初始止损",IF(F59&gt;E59,"止损价不得高于激活价",IF(AND(COUNTIFS($A$2:$A$157,"止损计划",$B$2:$B$157,B59,$D$2:$D$157,"&lt;"&amp;D59)&gt;0,OR(E59&lt;=SUMPRODUCT(MAX((($A$2:$A$157="止损计划")*($B$2:$B$157=B59)*($D$2:$D$157&lt;D59))*$E$2:$E$157)),F59&lt;SUMPRODUCT(MAX((($A$2:$A$157="止损计划")*($B$2:$B$157=B59)*($D$2:$D$157&lt;D59))*$F$2:$F$157)))),"阶段价格必须逐级提高","计划有效"))))))),IF(A59="每日跟踪",IF(OR(B59="",H59="",I59="",J59=""),"每日数据不完整",IF(COUNTIFS($A$2:$A$157,"每日跟踪",$B$2:$B$157,B59,$H$2:$H$157,H59)&gt;1,"同一交易日期重复",IF(AND(R59&lt;&gt;"",R59&lt;S59),"人工止损无效：不能下调","跟踪有效"))),"记录类型无效")))</f>
        <v>每日数据不完整</v>
      </c>
    </row>
    <row r="60" ht="17" spans="1:29">
      <c r="A60" s="2" t="s">
        <v>95</v>
      </c>
      <c r="B60" s="2">
        <v>59</v>
      </c>
      <c r="C60" s="8" t="str">
        <f>IF(B60="","",IFERROR(LOOKUP(2,1/(单次交易!$A$2:$A$88=B60),单次交易!$B$2:$B$88),""))</f>
        <v>京东方</v>
      </c>
      <c r="D60" s="12"/>
      <c r="E60" s="10"/>
      <c r="F60" s="10"/>
      <c r="G60" s="2"/>
      <c r="H60" s="13">
        <v>44039</v>
      </c>
      <c r="I60" s="10">
        <v>3.96</v>
      </c>
      <c r="J60" s="12"/>
      <c r="K60" s="2"/>
      <c r="L60" s="2"/>
      <c r="M60" s="2"/>
      <c r="N60" s="5">
        <f>IF(B60="","",IFERROR(LOOKUP(2,1/(单次交易!$A$2:$A$88=B60),单次交易!$N$2:$N$88),""))</f>
        <v>4.5</v>
      </c>
      <c r="O60" s="5">
        <f t="shared" si="9"/>
        <v>3.96</v>
      </c>
      <c r="P60" s="11">
        <f t="shared" si="10"/>
        <v>0</v>
      </c>
      <c r="Q60" s="5">
        <f t="shared" si="11"/>
        <v>4.5</v>
      </c>
      <c r="R60" s="10"/>
      <c r="S60" s="5">
        <f t="shared" si="12"/>
        <v>4.5</v>
      </c>
      <c r="T60" s="5" t="str">
        <f t="shared" si="13"/>
        <v/>
      </c>
      <c r="U60" s="5" t="str">
        <f t="shared" si="14"/>
        <v/>
      </c>
      <c r="V60" s="7" t="str">
        <f t="shared" si="15"/>
        <v/>
      </c>
      <c r="W60" s="8" t="str">
        <f t="shared" si="16"/>
        <v>触发止损：应全部卖出</v>
      </c>
      <c r="X60" s="2" t="s">
        <v>96</v>
      </c>
      <c r="Y60" s="10">
        <v>3.96</v>
      </c>
      <c r="Z60" s="11">
        <f>IF(X60&lt;&gt;"执行卖出","",IFERROR(LOOKUP(2,1/(单次交易!$A$2:$A$88=B60),单次交易!$AP$2:$AP$88),""))</f>
        <v>18300</v>
      </c>
      <c r="AA60" s="10"/>
      <c r="AB60" s="8" t="str">
        <f t="shared" si="17"/>
        <v>待补充每日记录</v>
      </c>
      <c r="AC60" s="8" t="str">
        <f>IF(A60="","",IF(A60="止损计划",IF(OR(B60="",D60="",E60="",F60="",G60=""),"计划不完整",IF(OR(D60&lt;1,D60&lt;&gt;INT(D60)),"阶段序号无效",IF(COUNTIFS($A$2:$A$157,"止损计划",$B$2:$B$157,B60,$D$2:$D$157,D60)&gt;1,"阶段序号重复",IF(E60&lt;=IFERROR(LOOKUP(2,1/(单次交易!$A$2:$A$88=B60),单次交易!$E$2:$E$88),0),"激活价须高于买入价",IF(F60&lt;N60,"止损价不得低于初始止损",IF(F60&gt;E60,"止损价不得高于激活价",IF(AND(COUNTIFS($A$2:$A$157,"止损计划",$B$2:$B$157,B60,$D$2:$D$157,"&lt;"&amp;D60)&gt;0,OR(E60&lt;=SUMPRODUCT(MAX((($A$2:$A$157="止损计划")*($B$2:$B$157=B60)*($D$2:$D$157&lt;D60))*$E$2:$E$157)),F60&lt;SUMPRODUCT(MAX((($A$2:$A$157="止损计划")*($B$2:$B$157=B60)*($D$2:$D$157&lt;D60))*$F$2:$F$157)))),"阶段价格必须逐级提高","计划有效"))))))),IF(A60="每日跟踪",IF(OR(B60="",H60="",I60="",J60=""),"每日数据不完整",IF(COUNTIFS($A$2:$A$157,"每日跟踪",$B$2:$B$157,B60,$H$2:$H$157,H60)&gt;1,"同一交易日期重复",IF(AND(R60&lt;&gt;"",R60&lt;S60),"人工止损无效：不能下调","跟踪有效"))),"记录类型无效")))</f>
        <v>每日数据不完整</v>
      </c>
    </row>
    <row r="61" ht="17" spans="1:29">
      <c r="A61" s="2" t="s">
        <v>95</v>
      </c>
      <c r="B61" s="2">
        <v>60</v>
      </c>
      <c r="C61" s="8" t="str">
        <f>IF(B61="","",IFERROR(LOOKUP(2,1/(单次交易!$A$2:$A$88=B61),单次交易!$B$2:$B$88),""))</f>
        <v>京东方</v>
      </c>
      <c r="D61" s="12"/>
      <c r="E61" s="10"/>
      <c r="F61" s="10"/>
      <c r="G61" s="2"/>
      <c r="H61" s="13">
        <v>45163</v>
      </c>
      <c r="I61" s="10">
        <v>3.63</v>
      </c>
      <c r="J61" s="12"/>
      <c r="K61" s="2"/>
      <c r="L61" s="2"/>
      <c r="M61" s="2"/>
      <c r="N61" s="5">
        <f>IF(B61="","",IFERROR(LOOKUP(2,1/(单次交易!$A$2:$A$88=B61),单次交易!$N$2:$N$88),""))</f>
        <v>3.77</v>
      </c>
      <c r="O61" s="5">
        <f t="shared" si="9"/>
        <v>3.63</v>
      </c>
      <c r="P61" s="11">
        <f t="shared" si="10"/>
        <v>0</v>
      </c>
      <c r="Q61" s="5">
        <f t="shared" si="11"/>
        <v>3.77</v>
      </c>
      <c r="R61" s="10"/>
      <c r="S61" s="5">
        <f t="shared" si="12"/>
        <v>3.77</v>
      </c>
      <c r="T61" s="5" t="str">
        <f t="shared" si="13"/>
        <v/>
      </c>
      <c r="U61" s="5" t="str">
        <f t="shared" si="14"/>
        <v/>
      </c>
      <c r="V61" s="7" t="str">
        <f t="shared" si="15"/>
        <v/>
      </c>
      <c r="W61" s="8" t="str">
        <f t="shared" si="16"/>
        <v>触发止损：应全部卖出</v>
      </c>
      <c r="X61" s="2" t="s">
        <v>96</v>
      </c>
      <c r="Y61" s="10">
        <v>3.63</v>
      </c>
      <c r="Z61" s="11">
        <f>IF(X61&lt;&gt;"执行卖出","",IFERROR(LOOKUP(2,1/(单次交易!$A$2:$A$88=B61),单次交易!$AP$2:$AP$88),""))</f>
        <v>38800</v>
      </c>
      <c r="AA61" s="10"/>
      <c r="AB61" s="8" t="str">
        <f t="shared" si="17"/>
        <v>待补充每日记录</v>
      </c>
      <c r="AC61" s="8" t="str">
        <f>IF(A61="","",IF(A61="止损计划",IF(OR(B61="",D61="",E61="",F61="",G61=""),"计划不完整",IF(OR(D61&lt;1,D61&lt;&gt;INT(D61)),"阶段序号无效",IF(COUNTIFS($A$2:$A$157,"止损计划",$B$2:$B$157,B61,$D$2:$D$157,D61)&gt;1,"阶段序号重复",IF(E61&lt;=IFERROR(LOOKUP(2,1/(单次交易!$A$2:$A$88=B61),单次交易!$E$2:$E$88),0),"激活价须高于买入价",IF(F61&lt;N61,"止损价不得低于初始止损",IF(F61&gt;E61,"止损价不得高于激活价",IF(AND(COUNTIFS($A$2:$A$157,"止损计划",$B$2:$B$157,B61,$D$2:$D$157,"&lt;"&amp;D61)&gt;0,OR(E61&lt;=SUMPRODUCT(MAX((($A$2:$A$157="止损计划")*($B$2:$B$157=B61)*($D$2:$D$157&lt;D61))*$E$2:$E$157)),F61&lt;SUMPRODUCT(MAX((($A$2:$A$157="止损计划")*($B$2:$B$157=B61)*($D$2:$D$157&lt;D61))*$F$2:$F$157)))),"阶段价格必须逐级提高","计划有效"))))))),IF(A61="每日跟踪",IF(OR(B61="",H61="",I61="",J61=""),"每日数据不完整",IF(COUNTIFS($A$2:$A$157,"每日跟踪",$B$2:$B$157,B61,$H$2:$H$157,H61)&gt;1,"同一交易日期重复",IF(AND(R61&lt;&gt;"",R61&lt;S61),"人工止损无效：不能下调","跟踪有效"))),"记录类型无效")))</f>
        <v>每日数据不完整</v>
      </c>
    </row>
    <row r="62" ht="17" spans="1:29">
      <c r="A62" s="2" t="s">
        <v>95</v>
      </c>
      <c r="B62" s="2">
        <v>61</v>
      </c>
      <c r="C62" s="8" t="str">
        <f>IF(B62="","",IFERROR(LOOKUP(2,1/(单次交易!$A$2:$A$88=B62),单次交易!$B$2:$B$88),""))</f>
        <v>京东方</v>
      </c>
      <c r="D62" s="12"/>
      <c r="E62" s="10"/>
      <c r="F62" s="10"/>
      <c r="G62" s="2"/>
      <c r="H62" s="13">
        <v>45777</v>
      </c>
      <c r="I62" s="10">
        <v>4.22</v>
      </c>
      <c r="J62" s="12"/>
      <c r="K62" s="2"/>
      <c r="L62" s="2"/>
      <c r="M62" s="2"/>
      <c r="N62" s="5">
        <f>IF(B62="","",IFERROR(LOOKUP(2,1/(单次交易!$A$2:$A$88=B62),单次交易!$N$2:$N$88),""))</f>
        <v>3.75</v>
      </c>
      <c r="O62" s="5">
        <f t="shared" si="9"/>
        <v>4.22</v>
      </c>
      <c r="P62" s="11">
        <f t="shared" si="10"/>
        <v>0</v>
      </c>
      <c r="Q62" s="5">
        <f t="shared" si="11"/>
        <v>3.75</v>
      </c>
      <c r="R62" s="10"/>
      <c r="S62" s="5">
        <f t="shared" si="12"/>
        <v>3.75</v>
      </c>
      <c r="T62" s="5" t="str">
        <f t="shared" si="13"/>
        <v/>
      </c>
      <c r="U62" s="5" t="str">
        <f t="shared" si="14"/>
        <v/>
      </c>
      <c r="V62" s="7" t="str">
        <f t="shared" si="15"/>
        <v/>
      </c>
      <c r="W62" s="8" t="str">
        <f t="shared" si="16"/>
        <v>继续观察</v>
      </c>
      <c r="X62" s="2" t="s">
        <v>96</v>
      </c>
      <c r="Y62" s="10">
        <v>4.22</v>
      </c>
      <c r="Z62" s="11">
        <f>IF(X62&lt;&gt;"执行卖出","",IFERROR(LOOKUP(2,1/(单次交易!$A$2:$A$88=B62),单次交易!$AP$2:$AP$88),""))</f>
        <v>89200</v>
      </c>
      <c r="AA62" s="10"/>
      <c r="AB62" s="8" t="str">
        <f t="shared" si="17"/>
        <v>待补充每日记录</v>
      </c>
      <c r="AC62" s="8" t="str">
        <f>IF(A62="","",IF(A62="止损计划",IF(OR(B62="",D62="",E62="",F62="",G62=""),"计划不完整",IF(OR(D62&lt;1,D62&lt;&gt;INT(D62)),"阶段序号无效",IF(COUNTIFS($A$2:$A$157,"止损计划",$B$2:$B$157,B62,$D$2:$D$157,D62)&gt;1,"阶段序号重复",IF(E62&lt;=IFERROR(LOOKUP(2,1/(单次交易!$A$2:$A$88=B62),单次交易!$E$2:$E$88),0),"激活价须高于买入价",IF(F62&lt;N62,"止损价不得低于初始止损",IF(F62&gt;E62,"止损价不得高于激活价",IF(AND(COUNTIFS($A$2:$A$157,"止损计划",$B$2:$B$157,B62,$D$2:$D$157,"&lt;"&amp;D62)&gt;0,OR(E62&lt;=SUMPRODUCT(MAX((($A$2:$A$157="止损计划")*($B$2:$B$157=B62)*($D$2:$D$157&lt;D62))*$E$2:$E$157)),F62&lt;SUMPRODUCT(MAX((($A$2:$A$157="止损计划")*($B$2:$B$157=B62)*($D$2:$D$157&lt;D62))*$F$2:$F$157)))),"阶段价格必须逐级提高","计划有效"))))))),IF(A62="每日跟踪",IF(OR(B62="",H62="",I62="",J62=""),"每日数据不完整",IF(COUNTIFS($A$2:$A$157,"每日跟踪",$B$2:$B$157,B62,$H$2:$H$157,H62)&gt;1,"同一交易日期重复",IF(AND(R62&lt;&gt;"",R62&lt;S62),"人工止损无效：不能下调","跟踪有效"))),"记录类型无效")))</f>
        <v>每日数据不完整</v>
      </c>
    </row>
    <row r="63" ht="17" spans="1:29">
      <c r="A63" s="2" t="s">
        <v>95</v>
      </c>
      <c r="B63" s="2">
        <v>62</v>
      </c>
      <c r="C63" s="8" t="str">
        <f>IF(B63="","",IFERROR(LOOKUP(2,1/(单次交易!$A$2:$A$88=B63),单次交易!$B$2:$B$88),""))</f>
        <v>京东方</v>
      </c>
      <c r="D63" s="12"/>
      <c r="E63" s="10"/>
      <c r="F63" s="10"/>
      <c r="G63" s="2"/>
      <c r="H63" s="13">
        <v>45498</v>
      </c>
      <c r="I63" s="10">
        <v>3.87</v>
      </c>
      <c r="J63" s="12"/>
      <c r="K63" s="2"/>
      <c r="L63" s="2"/>
      <c r="M63" s="2"/>
      <c r="N63" s="5">
        <f>IF(B63="","",IFERROR(LOOKUP(2,1/(单次交易!$A$2:$A$88=B63),单次交易!$N$2:$N$88),""))</f>
        <v>4</v>
      </c>
      <c r="O63" s="5">
        <f t="shared" si="9"/>
        <v>3.87</v>
      </c>
      <c r="P63" s="11">
        <f t="shared" si="10"/>
        <v>0</v>
      </c>
      <c r="Q63" s="5">
        <f t="shared" si="11"/>
        <v>4</v>
      </c>
      <c r="R63" s="10"/>
      <c r="S63" s="5">
        <f t="shared" si="12"/>
        <v>4</v>
      </c>
      <c r="T63" s="5" t="str">
        <f t="shared" si="13"/>
        <v/>
      </c>
      <c r="U63" s="5" t="str">
        <f t="shared" si="14"/>
        <v/>
      </c>
      <c r="V63" s="7" t="str">
        <f t="shared" si="15"/>
        <v/>
      </c>
      <c r="W63" s="8" t="str">
        <f t="shared" si="16"/>
        <v>触发止损：应全部卖出</v>
      </c>
      <c r="X63" s="2" t="s">
        <v>96</v>
      </c>
      <c r="Y63" s="10">
        <v>3.87</v>
      </c>
      <c r="Z63" s="11">
        <f>IF(X63&lt;&gt;"执行卖出","",IFERROR(LOOKUP(2,1/(单次交易!$A$2:$A$88=B63),单次交易!$AP$2:$AP$88),""))</f>
        <v>65100</v>
      </c>
      <c r="AA63" s="10"/>
      <c r="AB63" s="8" t="str">
        <f t="shared" si="17"/>
        <v>待补充每日记录</v>
      </c>
      <c r="AC63" s="8" t="str">
        <f>IF(A63="","",IF(A63="止损计划",IF(OR(B63="",D63="",E63="",F63="",G63=""),"计划不完整",IF(OR(D63&lt;1,D63&lt;&gt;INT(D63)),"阶段序号无效",IF(COUNTIFS($A$2:$A$157,"止损计划",$B$2:$B$157,B63,$D$2:$D$157,D63)&gt;1,"阶段序号重复",IF(E63&lt;=IFERROR(LOOKUP(2,1/(单次交易!$A$2:$A$88=B63),单次交易!$E$2:$E$88),0),"激活价须高于买入价",IF(F63&lt;N63,"止损价不得低于初始止损",IF(F63&gt;E63,"止损价不得高于激活价",IF(AND(COUNTIFS($A$2:$A$157,"止损计划",$B$2:$B$157,B63,$D$2:$D$157,"&lt;"&amp;D63)&gt;0,OR(E63&lt;=SUMPRODUCT(MAX((($A$2:$A$157="止损计划")*($B$2:$B$157=B63)*($D$2:$D$157&lt;D63))*$E$2:$E$157)),F63&lt;SUMPRODUCT(MAX((($A$2:$A$157="止损计划")*($B$2:$B$157=B63)*($D$2:$D$157&lt;D63))*$F$2:$F$157)))),"阶段价格必须逐级提高","计划有效"))))))),IF(A63="每日跟踪",IF(OR(B63="",H63="",I63="",J63=""),"每日数据不完整",IF(COUNTIFS($A$2:$A$157,"每日跟踪",$B$2:$B$157,B63,$H$2:$H$157,H63)&gt;1,"同一交易日期重复",IF(AND(R63&lt;&gt;"",R63&lt;S63),"人工止损无效：不能下调","跟踪有效"))),"记录类型无效")))</f>
        <v>每日数据不完整</v>
      </c>
    </row>
    <row r="64" ht="17" spans="1:29">
      <c r="A64" s="2" t="s">
        <v>95</v>
      </c>
      <c r="B64" s="2">
        <v>63</v>
      </c>
      <c r="C64" s="8" t="str">
        <f>IF(B64="","",IFERROR(LOOKUP(2,1/(单次交易!$A$2:$A$88=B64),单次交易!$B$2:$B$88),""))</f>
        <v>京东方</v>
      </c>
      <c r="D64" s="12"/>
      <c r="E64" s="10"/>
      <c r="F64" s="10"/>
      <c r="G64" s="2"/>
      <c r="H64" s="13">
        <v>45705</v>
      </c>
      <c r="I64" s="10">
        <v>4.27</v>
      </c>
      <c r="J64" s="12"/>
      <c r="K64" s="2"/>
      <c r="L64" s="2"/>
      <c r="M64" s="2"/>
      <c r="N64" s="5">
        <f>IF(B64="","",IFERROR(LOOKUP(2,1/(单次交易!$A$2:$A$88=B64),单次交易!$N$2:$N$88),""))</f>
        <v>4.3</v>
      </c>
      <c r="O64" s="5">
        <f t="shared" si="9"/>
        <v>4.27</v>
      </c>
      <c r="P64" s="11">
        <f t="shared" si="10"/>
        <v>0</v>
      </c>
      <c r="Q64" s="5">
        <f t="shared" si="11"/>
        <v>4.3</v>
      </c>
      <c r="R64" s="10"/>
      <c r="S64" s="5">
        <f t="shared" si="12"/>
        <v>4.3</v>
      </c>
      <c r="T64" s="5" t="str">
        <f t="shared" si="13"/>
        <v/>
      </c>
      <c r="U64" s="5" t="str">
        <f t="shared" si="14"/>
        <v/>
      </c>
      <c r="V64" s="7" t="str">
        <f t="shared" si="15"/>
        <v/>
      </c>
      <c r="W64" s="8" t="str">
        <f t="shared" si="16"/>
        <v>触发止损：应全部卖出</v>
      </c>
      <c r="X64" s="2" t="s">
        <v>96</v>
      </c>
      <c r="Y64" s="10">
        <v>4.27</v>
      </c>
      <c r="Z64" s="11">
        <f>IF(X64&lt;&gt;"执行卖出","",IFERROR(LOOKUP(2,1/(单次交易!$A$2:$A$88=B64),单次交易!$AP$2:$AP$88),""))</f>
        <v>54800</v>
      </c>
      <c r="AA64" s="10"/>
      <c r="AB64" s="8" t="str">
        <f t="shared" si="17"/>
        <v>待补充每日记录</v>
      </c>
      <c r="AC64" s="8" t="str">
        <f>IF(A64="","",IF(A64="止损计划",IF(OR(B64="",D64="",E64="",F64="",G64=""),"计划不完整",IF(OR(D64&lt;1,D64&lt;&gt;INT(D64)),"阶段序号无效",IF(COUNTIFS($A$2:$A$157,"止损计划",$B$2:$B$157,B64,$D$2:$D$157,D64)&gt;1,"阶段序号重复",IF(E64&lt;=IFERROR(LOOKUP(2,1/(单次交易!$A$2:$A$88=B64),单次交易!$E$2:$E$88),0),"激活价须高于买入价",IF(F64&lt;N64,"止损价不得低于初始止损",IF(F64&gt;E64,"止损价不得高于激活价",IF(AND(COUNTIFS($A$2:$A$157,"止损计划",$B$2:$B$157,B64,$D$2:$D$157,"&lt;"&amp;D64)&gt;0,OR(E64&lt;=SUMPRODUCT(MAX((($A$2:$A$157="止损计划")*($B$2:$B$157=B64)*($D$2:$D$157&lt;D64))*$E$2:$E$157)),F64&lt;SUMPRODUCT(MAX((($A$2:$A$157="止损计划")*($B$2:$B$157=B64)*($D$2:$D$157&lt;D64))*$F$2:$F$157)))),"阶段价格必须逐级提高","计划有效"))))))),IF(A64="每日跟踪",IF(OR(B64="",H64="",I64="",J64=""),"每日数据不完整",IF(COUNTIFS($A$2:$A$157,"每日跟踪",$B$2:$B$157,B64,$H$2:$H$157,H64)&gt;1,"同一交易日期重复",IF(AND(R64&lt;&gt;"",R64&lt;S64),"人工止损无效：不能下调","跟踪有效"))),"记录类型无效")))</f>
        <v>每日数据不完整</v>
      </c>
    </row>
    <row r="65" ht="17" spans="1:29">
      <c r="A65" s="2" t="s">
        <v>95</v>
      </c>
      <c r="B65" s="2">
        <v>64</v>
      </c>
      <c r="C65" s="8" t="str">
        <f>IF(B65="","",IFERROR(LOOKUP(2,1/(单次交易!$A$2:$A$88=B65),单次交易!$B$2:$B$88),""))</f>
        <v>京东方</v>
      </c>
      <c r="D65" s="12"/>
      <c r="E65" s="10"/>
      <c r="F65" s="10"/>
      <c r="G65" s="2"/>
      <c r="H65" s="13">
        <v>45868</v>
      </c>
      <c r="I65" s="10">
        <v>4.02</v>
      </c>
      <c r="J65" s="12"/>
      <c r="K65" s="2"/>
      <c r="L65" s="2"/>
      <c r="M65" s="2"/>
      <c r="N65" s="5">
        <f>IF(B65="","",IFERROR(LOOKUP(2,1/(单次交易!$A$2:$A$88=B65),单次交易!$N$2:$N$88),""))</f>
        <v>3.9</v>
      </c>
      <c r="O65" s="5">
        <f t="shared" si="9"/>
        <v>4.02</v>
      </c>
      <c r="P65" s="11">
        <f t="shared" si="10"/>
        <v>0</v>
      </c>
      <c r="Q65" s="5">
        <f t="shared" si="11"/>
        <v>3.9</v>
      </c>
      <c r="R65" s="10"/>
      <c r="S65" s="5">
        <f t="shared" si="12"/>
        <v>3.9</v>
      </c>
      <c r="T65" s="5" t="str">
        <f t="shared" si="13"/>
        <v/>
      </c>
      <c r="U65" s="5" t="str">
        <f t="shared" si="14"/>
        <v/>
      </c>
      <c r="V65" s="7" t="str">
        <f t="shared" si="15"/>
        <v/>
      </c>
      <c r="W65" s="8" t="str">
        <f t="shared" si="16"/>
        <v>继续观察</v>
      </c>
      <c r="X65" s="2" t="s">
        <v>96</v>
      </c>
      <c r="Y65" s="10">
        <v>4.02</v>
      </c>
      <c r="Z65" s="11">
        <f>IF(X65&lt;&gt;"执行卖出","",IFERROR(LOOKUP(2,1/(单次交易!$A$2:$A$88=B65),单次交易!$AP$2:$AP$88),""))</f>
        <v>68600</v>
      </c>
      <c r="AA65" s="10"/>
      <c r="AB65" s="8" t="str">
        <f t="shared" si="17"/>
        <v>待补充每日记录</v>
      </c>
      <c r="AC65" s="8" t="str">
        <f>IF(A65="","",IF(A65="止损计划",IF(OR(B65="",D65="",E65="",F65="",G65=""),"计划不完整",IF(OR(D65&lt;1,D65&lt;&gt;INT(D65)),"阶段序号无效",IF(COUNTIFS($A$2:$A$157,"止损计划",$B$2:$B$157,B65,$D$2:$D$157,D65)&gt;1,"阶段序号重复",IF(E65&lt;=IFERROR(LOOKUP(2,1/(单次交易!$A$2:$A$88=B65),单次交易!$E$2:$E$88),0),"激活价须高于买入价",IF(F65&lt;N65,"止损价不得低于初始止损",IF(F65&gt;E65,"止损价不得高于激活价",IF(AND(COUNTIFS($A$2:$A$157,"止损计划",$B$2:$B$157,B65,$D$2:$D$157,"&lt;"&amp;D65)&gt;0,OR(E65&lt;=SUMPRODUCT(MAX((($A$2:$A$157="止损计划")*($B$2:$B$157=B65)*($D$2:$D$157&lt;D65))*$E$2:$E$157)),F65&lt;SUMPRODUCT(MAX((($A$2:$A$157="止损计划")*($B$2:$B$157=B65)*($D$2:$D$157&lt;D65))*$F$2:$F$157)))),"阶段价格必须逐级提高","计划有效"))))))),IF(A65="每日跟踪",IF(OR(B65="",H65="",I65="",J65=""),"每日数据不完整",IF(COUNTIFS($A$2:$A$157,"每日跟踪",$B$2:$B$157,B65,$H$2:$H$157,H65)&gt;1,"同一交易日期重复",IF(AND(R65&lt;&gt;"",R65&lt;S65),"人工止损无效：不能下调","跟踪有效"))),"记录类型无效")))</f>
        <v>每日数据不完整</v>
      </c>
    </row>
    <row r="66" ht="17" spans="1:29">
      <c r="A66" s="2" t="s">
        <v>95</v>
      </c>
      <c r="B66" s="2">
        <v>65</v>
      </c>
      <c r="C66" s="8" t="str">
        <f>IF(B66="","",IFERROR(LOOKUP(2,1/(单次交易!$A$2:$A$88=B66),单次交易!$B$2:$B$88),""))</f>
        <v>京东方</v>
      </c>
      <c r="D66" s="12"/>
      <c r="E66" s="10"/>
      <c r="F66" s="10"/>
      <c r="G66" s="2"/>
      <c r="H66" s="13">
        <v>45903</v>
      </c>
      <c r="I66" s="10">
        <v>3.98</v>
      </c>
      <c r="J66" s="12"/>
      <c r="K66" s="2"/>
      <c r="L66" s="2"/>
      <c r="M66" s="2"/>
      <c r="N66" s="5">
        <f>IF(B66="","",IFERROR(LOOKUP(2,1/(单次交易!$A$2:$A$88=B66),单次交易!$N$2:$N$88),""))</f>
        <v>3.85</v>
      </c>
      <c r="O66" s="5">
        <f t="shared" ref="O66:O97" si="18">IF(A66&lt;&gt;"每日跟踪","",IF(OR(B66="",H66="",I66=""),"",IFERROR(SUMPRODUCT(MAX((($A$2:$A$157="每日跟踪")*($B$2:$B$157=B66)*($H$2:$H$157&lt;=H66))*$I$2:$I$157)),"")))</f>
        <v>3.98</v>
      </c>
      <c r="P66" s="11">
        <f t="shared" ref="P66:P97" si="19">IF(A66&lt;&gt;"每日跟踪","",IF(O66="","",IFERROR(SUMPRODUCT(MAX((($A$2:$A$157="止损计划")*($B$2:$B$157=B66)*($E$2:$E$157&lt;=O66))*$D$2:$D$157)),0)))</f>
        <v>0</v>
      </c>
      <c r="Q66" s="5">
        <f t="shared" ref="Q66:Q97" si="20">IF(A66&lt;&gt;"每日跟踪","",IF(N66="","",MAX(N66,IFERROR(SUMPRODUCT(MAX((($A$2:$A$157="止损计划")*($B$2:$B$157=B66)*($E$2:$E$157&lt;=O66))*$F$2:$F$157)),0))))</f>
        <v>3.85</v>
      </c>
      <c r="R66" s="10"/>
      <c r="S66" s="5">
        <f t="shared" ref="S66:S97" si="21">IF(A66&lt;&gt;"每日跟踪","",IF(Q66="","",MAX(Q66,IFERROR(SUMPRODUCT(MAX((($A$2:$A$157="每日跟踪")*($B$2:$B$157=B66)*($H$2:$H$157&lt;=H66))*$R$2:$R$157)),0))))</f>
        <v>3.85</v>
      </c>
      <c r="T66" s="5" t="str">
        <f t="shared" ref="T66:T97" si="22">IF(A66&lt;&gt;"每日跟踪","",IF(O66="","",IF(COUNTIFS($A$2:$A$157,"止损计划",$B$2:$B$157,B66,$E$2:$E$157,"&gt;"&amp;O66)=0,"",INDEX($E$2:$E$157,MATCH(1,INDEX(($A$2:$A$157="止损计划")*($B$2:$B$157=B66)*($E$2:$E$157&gt;O66),0),0)))))</f>
        <v/>
      </c>
      <c r="U66" s="5" t="str">
        <f t="shared" ref="U66:U97" si="23">IF(OR(A66&lt;&gt;"每日跟踪",T66=""),"",IFERROR(SUMIFS($F$2:$F$157,$A$2:$A$157,"止损计划",$B$2:$B$157,B66,$E$2:$E$157,T66),""))</f>
        <v/>
      </c>
      <c r="V66" s="7" t="str">
        <f t="shared" si="15"/>
        <v/>
      </c>
      <c r="W66" s="8" t="str">
        <f t="shared" si="16"/>
        <v>继续观察</v>
      </c>
      <c r="X66" s="2" t="s">
        <v>96</v>
      </c>
      <c r="Y66" s="10">
        <v>3.98</v>
      </c>
      <c r="Z66" s="11">
        <f>IF(X66&lt;&gt;"执行卖出","",IFERROR(LOOKUP(2,1/(单次交易!$A$2:$A$88=B66),单次交易!$AP$2:$AP$88),""))</f>
        <v>48700</v>
      </c>
      <c r="AA66" s="10"/>
      <c r="AB66" s="8" t="str">
        <f t="shared" si="17"/>
        <v>待补充每日记录</v>
      </c>
      <c r="AC66" s="8" t="str">
        <f>IF(A66="","",IF(A66="止损计划",IF(OR(B66="",D66="",E66="",F66="",G66=""),"计划不完整",IF(OR(D66&lt;1,D66&lt;&gt;INT(D66)),"阶段序号无效",IF(COUNTIFS($A$2:$A$157,"止损计划",$B$2:$B$157,B66,$D$2:$D$157,D66)&gt;1,"阶段序号重复",IF(E66&lt;=IFERROR(LOOKUP(2,1/(单次交易!$A$2:$A$88=B66),单次交易!$E$2:$E$88),0),"激活价须高于买入价",IF(F66&lt;N66,"止损价不得低于初始止损",IF(F66&gt;E66,"止损价不得高于激活价",IF(AND(COUNTIFS($A$2:$A$157,"止损计划",$B$2:$B$157,B66,$D$2:$D$157,"&lt;"&amp;D66)&gt;0,OR(E66&lt;=SUMPRODUCT(MAX((($A$2:$A$157="止损计划")*($B$2:$B$157=B66)*($D$2:$D$157&lt;D66))*$E$2:$E$157)),F66&lt;SUMPRODUCT(MAX((($A$2:$A$157="止损计划")*($B$2:$B$157=B66)*($D$2:$D$157&lt;D66))*$F$2:$F$157)))),"阶段价格必须逐级提高","计划有效"))))))),IF(A66="每日跟踪",IF(OR(B66="",H66="",I66="",J66=""),"每日数据不完整",IF(COUNTIFS($A$2:$A$157,"每日跟踪",$B$2:$B$157,B66,$H$2:$H$157,H66)&gt;1,"同一交易日期重复",IF(AND(R66&lt;&gt;"",R66&lt;S66),"人工止损无效：不能下调","跟踪有效"))),"记录类型无效")))</f>
        <v>每日数据不完整</v>
      </c>
    </row>
    <row r="67" ht="17" spans="1:29">
      <c r="A67" s="2" t="s">
        <v>95</v>
      </c>
      <c r="B67" s="2">
        <v>66</v>
      </c>
      <c r="C67" s="8" t="str">
        <f>IF(B67="","",IFERROR(LOOKUP(2,1/(单次交易!$A$2:$A$88=B67),单次交易!$B$2:$B$88),""))</f>
        <v>京东方</v>
      </c>
      <c r="D67" s="12"/>
      <c r="E67" s="10"/>
      <c r="F67" s="10"/>
      <c r="G67" s="2"/>
      <c r="H67" s="13">
        <v>46171</v>
      </c>
      <c r="I67" s="10">
        <v>5.05</v>
      </c>
      <c r="J67" s="12"/>
      <c r="K67" s="2"/>
      <c r="L67" s="2"/>
      <c r="M67" s="2"/>
      <c r="N67" s="5">
        <f>IF(B67="","",IFERROR(LOOKUP(2,1/(单次交易!$A$2:$A$88=B67),单次交易!$N$2:$N$88),""))</f>
        <v>4</v>
      </c>
      <c r="O67" s="5">
        <f t="shared" si="18"/>
        <v>5.05</v>
      </c>
      <c r="P67" s="11">
        <f t="shared" si="19"/>
        <v>0</v>
      </c>
      <c r="Q67" s="5">
        <f t="shared" si="20"/>
        <v>4</v>
      </c>
      <c r="R67" s="10"/>
      <c r="S67" s="5">
        <f t="shared" si="21"/>
        <v>4</v>
      </c>
      <c r="T67" s="5" t="str">
        <f t="shared" si="22"/>
        <v/>
      </c>
      <c r="U67" s="5" t="str">
        <f t="shared" si="23"/>
        <v/>
      </c>
      <c r="V67" s="7" t="str">
        <f t="shared" si="15"/>
        <v/>
      </c>
      <c r="W67" s="8" t="str">
        <f t="shared" si="16"/>
        <v>继续观察</v>
      </c>
      <c r="X67" s="2" t="s">
        <v>96</v>
      </c>
      <c r="Y67" s="10">
        <v>5.05</v>
      </c>
      <c r="Z67" s="11">
        <f>IF(X67&lt;&gt;"执行卖出","",IFERROR(LOOKUP(2,1/(单次交易!$A$2:$A$88=B67),单次交易!$AP$2:$AP$88),""))</f>
        <v>32600</v>
      </c>
      <c r="AA67" s="10"/>
      <c r="AB67" s="8" t="str">
        <f t="shared" si="17"/>
        <v>待补充每日记录</v>
      </c>
      <c r="AC67" s="8" t="str">
        <f>IF(A67="","",IF(A67="止损计划",IF(OR(B67="",D67="",E67="",F67="",G67=""),"计划不完整",IF(OR(D67&lt;1,D67&lt;&gt;INT(D67)),"阶段序号无效",IF(COUNTIFS($A$2:$A$157,"止损计划",$B$2:$B$157,B67,$D$2:$D$157,D67)&gt;1,"阶段序号重复",IF(E67&lt;=IFERROR(LOOKUP(2,1/(单次交易!$A$2:$A$88=B67),单次交易!$E$2:$E$88),0),"激活价须高于买入价",IF(F67&lt;N67,"止损价不得低于初始止损",IF(F67&gt;E67,"止损价不得高于激活价",IF(AND(COUNTIFS($A$2:$A$157,"止损计划",$B$2:$B$157,B67,$D$2:$D$157,"&lt;"&amp;D67)&gt;0,OR(E67&lt;=SUMPRODUCT(MAX((($A$2:$A$157="止损计划")*($B$2:$B$157=B67)*($D$2:$D$157&lt;D67))*$E$2:$E$157)),F67&lt;SUMPRODUCT(MAX((($A$2:$A$157="止损计划")*($B$2:$B$157=B67)*($D$2:$D$157&lt;D67))*$F$2:$F$157)))),"阶段价格必须逐级提高","计划有效"))))))),IF(A67="每日跟踪",IF(OR(B67="",H67="",I67="",J67=""),"每日数据不完整",IF(COUNTIFS($A$2:$A$157,"每日跟踪",$B$2:$B$157,B67,$H$2:$H$157,H67)&gt;1,"同一交易日期重复",IF(AND(R67&lt;&gt;"",R67&lt;S67),"人工止损无效：不能下调","跟踪有效"))),"记录类型无效")))</f>
        <v>每日数据不完整</v>
      </c>
    </row>
    <row r="68" ht="17" spans="1:29">
      <c r="A68" s="2" t="s">
        <v>95</v>
      </c>
      <c r="B68" s="2">
        <v>67</v>
      </c>
      <c r="C68" s="8" t="str">
        <f>IF(B68="","",IFERROR(LOOKUP(2,1/(单次交易!$A$2:$A$88=B68),单次交易!$B$2:$B$88),""))</f>
        <v>比亚迪</v>
      </c>
      <c r="D68" s="12"/>
      <c r="E68" s="10"/>
      <c r="F68" s="10"/>
      <c r="G68" s="2"/>
      <c r="H68" s="13">
        <v>41362</v>
      </c>
      <c r="I68" s="10">
        <v>3.84</v>
      </c>
      <c r="J68" s="12"/>
      <c r="K68" s="2"/>
      <c r="L68" s="2"/>
      <c r="M68" s="2"/>
      <c r="N68" s="5">
        <f>IF(B68="","",IFERROR(LOOKUP(2,1/(单次交易!$A$2:$A$88=B68),单次交易!$N$2:$N$88),""))</f>
        <v>4.2</v>
      </c>
      <c r="O68" s="5">
        <f t="shared" si="18"/>
        <v>3.84</v>
      </c>
      <c r="P68" s="11">
        <f t="shared" si="19"/>
        <v>0</v>
      </c>
      <c r="Q68" s="5">
        <f t="shared" si="20"/>
        <v>4.2</v>
      </c>
      <c r="R68" s="10"/>
      <c r="S68" s="5">
        <f t="shared" si="21"/>
        <v>4.2</v>
      </c>
      <c r="T68" s="5" t="str">
        <f t="shared" si="22"/>
        <v/>
      </c>
      <c r="U68" s="5" t="str">
        <f t="shared" si="23"/>
        <v/>
      </c>
      <c r="V68" s="7" t="str">
        <f t="shared" si="15"/>
        <v/>
      </c>
      <c r="W68" s="8" t="str">
        <f t="shared" si="16"/>
        <v>触发止损：应全部卖出</v>
      </c>
      <c r="X68" s="2" t="s">
        <v>96</v>
      </c>
      <c r="Y68" s="10">
        <v>3.84</v>
      </c>
      <c r="Z68" s="11">
        <f>IF(X68&lt;&gt;"执行卖出","",IFERROR(LOOKUP(2,1/(单次交易!$A$2:$A$88=B68),单次交易!$AP$2:$AP$88),""))</f>
        <v>27400</v>
      </c>
      <c r="AA68" s="10"/>
      <c r="AB68" s="8" t="str">
        <f t="shared" si="17"/>
        <v>待补充每日记录</v>
      </c>
      <c r="AC68" s="8" t="str">
        <f>IF(A68="","",IF(A68="止损计划",IF(OR(B68="",D68="",E68="",F68="",G68=""),"计划不完整",IF(OR(D68&lt;1,D68&lt;&gt;INT(D68)),"阶段序号无效",IF(COUNTIFS($A$2:$A$157,"止损计划",$B$2:$B$157,B68,$D$2:$D$157,D68)&gt;1,"阶段序号重复",IF(E68&lt;=IFERROR(LOOKUP(2,1/(单次交易!$A$2:$A$88=B68),单次交易!$E$2:$E$88),0),"激活价须高于买入价",IF(F68&lt;N68,"止损价不得低于初始止损",IF(F68&gt;E68,"止损价不得高于激活价",IF(AND(COUNTIFS($A$2:$A$157,"止损计划",$B$2:$B$157,B68,$D$2:$D$157,"&lt;"&amp;D68)&gt;0,OR(E68&lt;=SUMPRODUCT(MAX((($A$2:$A$157="止损计划")*($B$2:$B$157=B68)*($D$2:$D$157&lt;D68))*$E$2:$E$157)),F68&lt;SUMPRODUCT(MAX((($A$2:$A$157="止损计划")*($B$2:$B$157=B68)*($D$2:$D$157&lt;D68))*$F$2:$F$157)))),"阶段价格必须逐级提高","计划有效"))))))),IF(A68="每日跟踪",IF(OR(B68="",H68="",I68="",J68=""),"每日数据不完整",IF(COUNTIFS($A$2:$A$157,"每日跟踪",$B$2:$B$157,B68,$H$2:$H$157,H68)&gt;1,"同一交易日期重复",IF(AND(R68&lt;&gt;"",R68&lt;S68),"人工止损无效：不能下调","跟踪有效"))),"记录类型无效")))</f>
        <v>每日数据不完整</v>
      </c>
    </row>
    <row r="69" ht="17" spans="1:29">
      <c r="A69" s="2" t="s">
        <v>95</v>
      </c>
      <c r="B69" s="2">
        <v>68</v>
      </c>
      <c r="C69" s="8" t="str">
        <f>IF(B69="","",IFERROR(LOOKUP(2,1/(单次交易!$A$2:$A$88=B69),单次交易!$B$2:$B$88),""))</f>
        <v>比亚迪</v>
      </c>
      <c r="D69" s="12"/>
      <c r="E69" s="10"/>
      <c r="F69" s="10"/>
      <c r="G69" s="2"/>
      <c r="H69" s="13">
        <v>41390</v>
      </c>
      <c r="I69" s="10">
        <v>4.09</v>
      </c>
      <c r="J69" s="12"/>
      <c r="K69" s="2"/>
      <c r="L69" s="2"/>
      <c r="M69" s="2"/>
      <c r="N69" s="5">
        <f>IF(B69="","",IFERROR(LOOKUP(2,1/(单次交易!$A$2:$A$88=B69),单次交易!$N$2:$N$88),""))</f>
        <v>4.5</v>
      </c>
      <c r="O69" s="5">
        <f t="shared" si="18"/>
        <v>4.09</v>
      </c>
      <c r="P69" s="11">
        <f t="shared" si="19"/>
        <v>0</v>
      </c>
      <c r="Q69" s="5">
        <f t="shared" si="20"/>
        <v>4.5</v>
      </c>
      <c r="R69" s="10"/>
      <c r="S69" s="5">
        <f t="shared" si="21"/>
        <v>4.5</v>
      </c>
      <c r="T69" s="5" t="str">
        <f t="shared" si="22"/>
        <v/>
      </c>
      <c r="U69" s="5" t="str">
        <f t="shared" si="23"/>
        <v/>
      </c>
      <c r="V69" s="7" t="str">
        <f t="shared" si="15"/>
        <v/>
      </c>
      <c r="W69" s="8" t="str">
        <f t="shared" si="16"/>
        <v>触发止损：应全部卖出</v>
      </c>
      <c r="X69" s="2" t="s">
        <v>96</v>
      </c>
      <c r="Y69" s="10">
        <v>6.09</v>
      </c>
      <c r="Z69" s="11">
        <f>IF(X69&lt;&gt;"执行卖出","",IFERROR(LOOKUP(2,1/(单次交易!$A$2:$A$88=B69),单次交易!$AP$2:$AP$88),""))</f>
        <v>47100</v>
      </c>
      <c r="AA69" s="10"/>
      <c r="AB69" s="8" t="str">
        <f t="shared" si="17"/>
        <v>待补充每日记录</v>
      </c>
      <c r="AC69" s="8" t="str">
        <f>IF(A69="","",IF(A69="止损计划",IF(OR(B69="",D69="",E69="",F69="",G69=""),"计划不完整",IF(OR(D69&lt;1,D69&lt;&gt;INT(D69)),"阶段序号无效",IF(COUNTIFS($A$2:$A$157,"止损计划",$B$2:$B$157,B69,$D$2:$D$157,D69)&gt;1,"阶段序号重复",IF(E69&lt;=IFERROR(LOOKUP(2,1/(单次交易!$A$2:$A$88=B69),单次交易!$E$2:$E$88),0),"激活价须高于买入价",IF(F69&lt;N69,"止损价不得低于初始止损",IF(F69&gt;E69,"止损价不得高于激活价",IF(AND(COUNTIFS($A$2:$A$157,"止损计划",$B$2:$B$157,B69,$D$2:$D$157,"&lt;"&amp;D69)&gt;0,OR(E69&lt;=SUMPRODUCT(MAX((($A$2:$A$157="止损计划")*($B$2:$B$157=B69)*($D$2:$D$157&lt;D69))*$E$2:$E$157)),F69&lt;SUMPRODUCT(MAX((($A$2:$A$157="止损计划")*($B$2:$B$157=B69)*($D$2:$D$157&lt;D69))*$F$2:$F$157)))),"阶段价格必须逐级提高","计划有效"))))))),IF(A69="每日跟踪",IF(OR(B69="",H69="",I69="",J69=""),"每日数据不完整",IF(COUNTIFS($A$2:$A$157,"每日跟踪",$B$2:$B$157,B69,$H$2:$H$157,H69)&gt;1,"同一交易日期重复",IF(AND(R69&lt;&gt;"",R69&lt;S69),"人工止损无效：不能下调","跟踪有效"))),"记录类型无效")))</f>
        <v>每日数据不完整</v>
      </c>
    </row>
    <row r="70" ht="17" spans="1:29">
      <c r="A70" s="2" t="s">
        <v>95</v>
      </c>
      <c r="B70" s="2">
        <v>69</v>
      </c>
      <c r="C70" s="8" t="str">
        <f>IF(B70="","",IFERROR(LOOKUP(2,1/(单次交易!$A$2:$A$88=B70),单次交易!$B$2:$B$88),""))</f>
        <v>比亚迪</v>
      </c>
      <c r="D70" s="12"/>
      <c r="E70" s="10"/>
      <c r="F70" s="10"/>
      <c r="G70" s="2"/>
      <c r="H70" s="13">
        <v>41478</v>
      </c>
      <c r="I70" s="10">
        <v>8.46</v>
      </c>
      <c r="J70" s="12"/>
      <c r="K70" s="2"/>
      <c r="L70" s="2"/>
      <c r="M70" s="2"/>
      <c r="N70" s="5">
        <f>IF(B70="","",IFERROR(LOOKUP(2,1/(单次交易!$A$2:$A$88=B70),单次交易!$N$2:$N$88),""))</f>
        <v>7.5</v>
      </c>
      <c r="O70" s="5">
        <f t="shared" si="18"/>
        <v>8.46</v>
      </c>
      <c r="P70" s="11">
        <f t="shared" si="19"/>
        <v>0</v>
      </c>
      <c r="Q70" s="5">
        <f t="shared" si="20"/>
        <v>7.5</v>
      </c>
      <c r="R70" s="10"/>
      <c r="S70" s="5">
        <f t="shared" si="21"/>
        <v>7.5</v>
      </c>
      <c r="T70" s="5" t="str">
        <f t="shared" si="22"/>
        <v/>
      </c>
      <c r="U70" s="5" t="str">
        <f t="shared" si="23"/>
        <v/>
      </c>
      <c r="V70" s="7" t="str">
        <f t="shared" si="15"/>
        <v/>
      </c>
      <c r="W70" s="8" t="str">
        <f t="shared" si="16"/>
        <v>继续观察</v>
      </c>
      <c r="X70" s="2" t="s">
        <v>96</v>
      </c>
      <c r="Y70" s="10">
        <v>8.46</v>
      </c>
      <c r="Z70" s="11">
        <f>IF(X70&lt;&gt;"执行卖出","",IFERROR(LOOKUP(2,1/(单次交易!$A$2:$A$88=B70),单次交易!$AP$2:$AP$88),""))</f>
        <v>9200</v>
      </c>
      <c r="AA70" s="10"/>
      <c r="AB70" s="8" t="str">
        <f t="shared" si="17"/>
        <v>待补充每日记录</v>
      </c>
      <c r="AC70" s="8" t="str">
        <f>IF(A70="","",IF(A70="止损计划",IF(OR(B70="",D70="",E70="",F70="",G70=""),"计划不完整",IF(OR(D70&lt;1,D70&lt;&gt;INT(D70)),"阶段序号无效",IF(COUNTIFS($A$2:$A$157,"止损计划",$B$2:$B$157,B70,$D$2:$D$157,D70)&gt;1,"阶段序号重复",IF(E70&lt;=IFERROR(LOOKUP(2,1/(单次交易!$A$2:$A$88=B70),单次交易!$E$2:$E$88),0),"激活价须高于买入价",IF(F70&lt;N70,"止损价不得低于初始止损",IF(F70&gt;E70,"止损价不得高于激活价",IF(AND(COUNTIFS($A$2:$A$157,"止损计划",$B$2:$B$157,B70,$D$2:$D$157,"&lt;"&amp;D70)&gt;0,OR(E70&lt;=SUMPRODUCT(MAX((($A$2:$A$157="止损计划")*($B$2:$B$157=B70)*($D$2:$D$157&lt;D70))*$E$2:$E$157)),F70&lt;SUMPRODUCT(MAX((($A$2:$A$157="止损计划")*($B$2:$B$157=B70)*($D$2:$D$157&lt;D70))*$F$2:$F$157)))),"阶段价格必须逐级提高","计划有效"))))))),IF(A70="每日跟踪",IF(OR(B70="",H70="",I70="",J70=""),"每日数据不完整",IF(COUNTIFS($A$2:$A$157,"每日跟踪",$B$2:$B$157,B70,$H$2:$H$157,H70)&gt;1,"同一交易日期重复",IF(AND(R70&lt;&gt;"",R70&lt;S70),"人工止损无效：不能下调","跟踪有效"))),"记录类型无效")))</f>
        <v>每日数据不完整</v>
      </c>
    </row>
    <row r="71" ht="17" spans="1:29">
      <c r="A71" s="2" t="s">
        <v>95</v>
      </c>
      <c r="B71" s="2">
        <v>70</v>
      </c>
      <c r="C71" s="8" t="str">
        <f>IF(B71="","",IFERROR(LOOKUP(2,1/(单次交易!$A$2:$A$88=B71),单次交易!$B$2:$B$88),""))</f>
        <v>比亚迪</v>
      </c>
      <c r="D71" s="12"/>
      <c r="E71" s="10"/>
      <c r="F71" s="10"/>
      <c r="G71" s="2"/>
      <c r="H71" s="13">
        <v>41501</v>
      </c>
      <c r="I71" s="10">
        <v>7.97</v>
      </c>
      <c r="J71" s="12"/>
      <c r="K71" s="2"/>
      <c r="L71" s="2"/>
      <c r="M71" s="2"/>
      <c r="N71" s="5">
        <f>IF(B71="","",IFERROR(LOOKUP(2,1/(单次交易!$A$2:$A$88=B71),单次交易!$N$2:$N$88),""))</f>
        <v>8.2</v>
      </c>
      <c r="O71" s="5">
        <f t="shared" si="18"/>
        <v>7.97</v>
      </c>
      <c r="P71" s="11">
        <f t="shared" si="19"/>
        <v>0</v>
      </c>
      <c r="Q71" s="5">
        <f t="shared" si="20"/>
        <v>8.2</v>
      </c>
      <c r="R71" s="10"/>
      <c r="S71" s="5">
        <f t="shared" si="21"/>
        <v>8.2</v>
      </c>
      <c r="T71" s="5" t="str">
        <f t="shared" si="22"/>
        <v/>
      </c>
      <c r="U71" s="5" t="str">
        <f t="shared" si="23"/>
        <v/>
      </c>
      <c r="V71" s="7" t="str">
        <f t="shared" si="15"/>
        <v/>
      </c>
      <c r="W71" s="8" t="str">
        <f t="shared" si="16"/>
        <v>触发止损：应全部卖出</v>
      </c>
      <c r="X71" s="2" t="s">
        <v>96</v>
      </c>
      <c r="Y71" s="10">
        <v>7.97</v>
      </c>
      <c r="Z71" s="11">
        <f>IF(X71&lt;&gt;"执行卖出","",IFERROR(LOOKUP(2,1/(单次交易!$A$2:$A$88=B71),单次交易!$AP$2:$AP$88),""))</f>
        <v>12000</v>
      </c>
      <c r="AA71" s="10"/>
      <c r="AB71" s="8" t="str">
        <f t="shared" si="17"/>
        <v>待补充每日记录</v>
      </c>
      <c r="AC71" s="8" t="str">
        <f>IF(A71="","",IF(A71="止损计划",IF(OR(B71="",D71="",E71="",F71="",G71=""),"计划不完整",IF(OR(D71&lt;1,D71&lt;&gt;INT(D71)),"阶段序号无效",IF(COUNTIFS($A$2:$A$157,"止损计划",$B$2:$B$157,B71,$D$2:$D$157,D71)&gt;1,"阶段序号重复",IF(E71&lt;=IFERROR(LOOKUP(2,1/(单次交易!$A$2:$A$88=B71),单次交易!$E$2:$E$88),0),"激活价须高于买入价",IF(F71&lt;N71,"止损价不得低于初始止损",IF(F71&gt;E71,"止损价不得高于激活价",IF(AND(COUNTIFS($A$2:$A$157,"止损计划",$B$2:$B$157,B71,$D$2:$D$157,"&lt;"&amp;D71)&gt;0,OR(E71&lt;=SUMPRODUCT(MAX((($A$2:$A$157="止损计划")*($B$2:$B$157=B71)*($D$2:$D$157&lt;D71))*$E$2:$E$157)),F71&lt;SUMPRODUCT(MAX((($A$2:$A$157="止损计划")*($B$2:$B$157=B71)*($D$2:$D$157&lt;D71))*$F$2:$F$157)))),"阶段价格必须逐级提高","计划有效"))))))),IF(A71="每日跟踪",IF(OR(B71="",H71="",I71="",J71=""),"每日数据不完整",IF(COUNTIFS($A$2:$A$157,"每日跟踪",$B$2:$B$157,B71,$H$2:$H$157,H71)&gt;1,"同一交易日期重复",IF(AND(R71&lt;&gt;"",R71&lt;S71),"人工止损无效：不能下调","跟踪有效"))),"记录类型无效")))</f>
        <v>每日数据不完整</v>
      </c>
    </row>
    <row r="72" ht="17" spans="1:29">
      <c r="A72" s="2" t="s">
        <v>95</v>
      </c>
      <c r="B72" s="2">
        <v>71</v>
      </c>
      <c r="C72" s="8" t="str">
        <f>IF(B72="","",IFERROR(LOOKUP(2,1/(单次交易!$A$2:$A$88=B72),单次交易!$B$2:$B$88),""))</f>
        <v>比亚迪</v>
      </c>
      <c r="D72" s="12"/>
      <c r="E72" s="10"/>
      <c r="F72" s="10"/>
      <c r="G72" s="2"/>
      <c r="H72" s="13">
        <v>41516</v>
      </c>
      <c r="I72" s="10">
        <v>7.08</v>
      </c>
      <c r="J72" s="12"/>
      <c r="K72" s="2"/>
      <c r="L72" s="2"/>
      <c r="M72" s="2"/>
      <c r="N72" s="5">
        <f>IF(B72="","",IFERROR(LOOKUP(2,1/(单次交易!$A$2:$A$88=B72),单次交易!$N$2:$N$88),""))</f>
        <v>7.5</v>
      </c>
      <c r="O72" s="5">
        <f t="shared" si="18"/>
        <v>7.08</v>
      </c>
      <c r="P72" s="11">
        <f t="shared" si="19"/>
        <v>0</v>
      </c>
      <c r="Q72" s="5">
        <f t="shared" si="20"/>
        <v>7.5</v>
      </c>
      <c r="R72" s="10"/>
      <c r="S72" s="5">
        <f t="shared" si="21"/>
        <v>7.5</v>
      </c>
      <c r="T72" s="5" t="str">
        <f t="shared" si="22"/>
        <v/>
      </c>
      <c r="U72" s="5" t="str">
        <f t="shared" si="23"/>
        <v/>
      </c>
      <c r="V72" s="7" t="str">
        <f t="shared" si="15"/>
        <v/>
      </c>
      <c r="W72" s="8" t="str">
        <f t="shared" si="16"/>
        <v>触发止损：应全部卖出</v>
      </c>
      <c r="X72" s="2" t="s">
        <v>96</v>
      </c>
      <c r="Y72" s="10">
        <v>7.08</v>
      </c>
      <c r="Z72" s="11">
        <f>IF(X72&lt;&gt;"执行卖出","",IFERROR(LOOKUP(2,1/(单次交易!$A$2:$A$88=B72),单次交易!$AP$2:$AP$88),""))</f>
        <v>8600</v>
      </c>
      <c r="AA72" s="10"/>
      <c r="AB72" s="8" t="str">
        <f t="shared" si="17"/>
        <v>待补充每日记录</v>
      </c>
      <c r="AC72" s="8" t="str">
        <f>IF(A72="","",IF(A72="止损计划",IF(OR(B72="",D72="",E72="",F72="",G72=""),"计划不完整",IF(OR(D72&lt;1,D72&lt;&gt;INT(D72)),"阶段序号无效",IF(COUNTIFS($A$2:$A$157,"止损计划",$B$2:$B$157,B72,$D$2:$D$157,D72)&gt;1,"阶段序号重复",IF(E72&lt;=IFERROR(LOOKUP(2,1/(单次交易!$A$2:$A$88=B72),单次交易!$E$2:$E$88),0),"激活价须高于买入价",IF(F72&lt;N72,"止损价不得低于初始止损",IF(F72&gt;E72,"止损价不得高于激活价",IF(AND(COUNTIFS($A$2:$A$157,"止损计划",$B$2:$B$157,B72,$D$2:$D$157,"&lt;"&amp;D72)&gt;0,OR(E72&lt;=SUMPRODUCT(MAX((($A$2:$A$157="止损计划")*($B$2:$B$157=B72)*($D$2:$D$157&lt;D72))*$E$2:$E$157)),F72&lt;SUMPRODUCT(MAX((($A$2:$A$157="止损计划")*($B$2:$B$157=B72)*($D$2:$D$157&lt;D72))*$F$2:$F$157)))),"阶段价格必须逐级提高","计划有效"))))))),IF(A72="每日跟踪",IF(OR(B72="",H72="",I72="",J72=""),"每日数据不完整",IF(COUNTIFS($A$2:$A$157,"每日跟踪",$B$2:$B$157,B72,$H$2:$H$157,H72)&gt;1,"同一交易日期重复",IF(AND(R72&lt;&gt;"",R72&lt;S72),"人工止损无效：不能下调","跟踪有效"))),"记录类型无效")))</f>
        <v>每日数据不完整</v>
      </c>
    </row>
    <row r="73" ht="17" spans="1:29">
      <c r="A73" s="2" t="s">
        <v>95</v>
      </c>
      <c r="B73" s="2">
        <v>72</v>
      </c>
      <c r="C73" s="8" t="str">
        <f>IF(B73="","",IFERROR(LOOKUP(2,1/(单次交易!$A$2:$A$88=B73),单次交易!$B$2:$B$88),""))</f>
        <v>比亚迪</v>
      </c>
      <c r="D73" s="12"/>
      <c r="E73" s="10"/>
      <c r="F73" s="10"/>
      <c r="G73" s="2"/>
      <c r="H73" s="13">
        <v>41586</v>
      </c>
      <c r="I73" s="10">
        <v>8</v>
      </c>
      <c r="J73" s="12"/>
      <c r="K73" s="2"/>
      <c r="L73" s="2"/>
      <c r="M73" s="2"/>
      <c r="N73" s="5">
        <f>IF(B73="","",IFERROR(LOOKUP(2,1/(单次交易!$A$2:$A$88=B73),单次交易!$N$2:$N$88),""))</f>
        <v>8.5</v>
      </c>
      <c r="O73" s="5">
        <f t="shared" si="18"/>
        <v>8</v>
      </c>
      <c r="P73" s="11">
        <f t="shared" si="19"/>
        <v>0</v>
      </c>
      <c r="Q73" s="5">
        <f t="shared" si="20"/>
        <v>8.5</v>
      </c>
      <c r="R73" s="10"/>
      <c r="S73" s="5">
        <f t="shared" si="21"/>
        <v>8.5</v>
      </c>
      <c r="T73" s="5" t="str">
        <f t="shared" si="22"/>
        <v/>
      </c>
      <c r="U73" s="5" t="str">
        <f t="shared" si="23"/>
        <v/>
      </c>
      <c r="V73" s="7" t="str">
        <f t="shared" si="15"/>
        <v/>
      </c>
      <c r="W73" s="8" t="str">
        <f t="shared" si="16"/>
        <v>触发止损：应全部卖出</v>
      </c>
      <c r="X73" s="2" t="s">
        <v>96</v>
      </c>
      <c r="Y73" s="10">
        <v>8</v>
      </c>
      <c r="Z73" s="11">
        <f>IF(X73&lt;&gt;"执行卖出","",IFERROR(LOOKUP(2,1/(单次交易!$A$2:$A$88=B73),单次交易!$AP$2:$AP$88),""))</f>
        <v>38900</v>
      </c>
      <c r="AA73" s="10"/>
      <c r="AB73" s="8" t="str">
        <f t="shared" si="17"/>
        <v>待补充每日记录</v>
      </c>
      <c r="AC73" s="8" t="str">
        <f>IF(A73="","",IF(A73="止损计划",IF(OR(B73="",D73="",E73="",F73="",G73=""),"计划不完整",IF(OR(D73&lt;1,D73&lt;&gt;INT(D73)),"阶段序号无效",IF(COUNTIFS($A$2:$A$157,"止损计划",$B$2:$B$157,B73,$D$2:$D$157,D73)&gt;1,"阶段序号重复",IF(E73&lt;=IFERROR(LOOKUP(2,1/(单次交易!$A$2:$A$88=B73),单次交易!$E$2:$E$88),0),"激活价须高于买入价",IF(F73&lt;N73,"止损价不得低于初始止损",IF(F73&gt;E73,"止损价不得高于激活价",IF(AND(COUNTIFS($A$2:$A$157,"止损计划",$B$2:$B$157,B73,$D$2:$D$157,"&lt;"&amp;D73)&gt;0,OR(E73&lt;=SUMPRODUCT(MAX((($A$2:$A$157="止损计划")*($B$2:$B$157=B73)*($D$2:$D$157&lt;D73))*$E$2:$E$157)),F73&lt;SUMPRODUCT(MAX((($A$2:$A$157="止损计划")*($B$2:$B$157=B73)*($D$2:$D$157&lt;D73))*$F$2:$F$157)))),"阶段价格必须逐级提高","计划有效"))))))),IF(A73="每日跟踪",IF(OR(B73="",H73="",I73="",J73=""),"每日数据不完整",IF(COUNTIFS($A$2:$A$157,"每日跟踪",$B$2:$B$157,B73,$H$2:$H$157,H73)&gt;1,"同一交易日期重复",IF(AND(R73&lt;&gt;"",R73&lt;S73),"人工止损无效：不能下调","跟踪有效"))),"记录类型无效")))</f>
        <v>每日数据不完整</v>
      </c>
    </row>
    <row r="74" ht="17" spans="1:29">
      <c r="A74" s="2" t="s">
        <v>95</v>
      </c>
      <c r="B74" s="2">
        <v>73</v>
      </c>
      <c r="C74" s="8" t="str">
        <f>IF(B74="","",IFERROR(LOOKUP(2,1/(单次交易!$A$2:$A$88=B74),单次交易!$B$2:$B$88),""))</f>
        <v>比亚迪</v>
      </c>
      <c r="D74" s="12"/>
      <c r="E74" s="10"/>
      <c r="F74" s="10"/>
      <c r="G74" s="2"/>
      <c r="H74" s="13">
        <v>41820</v>
      </c>
      <c r="I74" s="10">
        <v>12.32</v>
      </c>
      <c r="J74" s="12"/>
      <c r="K74" s="2"/>
      <c r="L74" s="2"/>
      <c r="M74" s="2"/>
      <c r="N74" s="5">
        <f>IF(B74="","",IFERROR(LOOKUP(2,1/(单次交易!$A$2:$A$88=B74),单次交易!$N$2:$N$88),""))</f>
        <v>11.5</v>
      </c>
      <c r="O74" s="5">
        <f t="shared" si="18"/>
        <v>12.32</v>
      </c>
      <c r="P74" s="11">
        <f t="shared" si="19"/>
        <v>0</v>
      </c>
      <c r="Q74" s="5">
        <f t="shared" si="20"/>
        <v>11.5</v>
      </c>
      <c r="R74" s="10"/>
      <c r="S74" s="5">
        <f t="shared" si="21"/>
        <v>11.5</v>
      </c>
      <c r="T74" s="5" t="str">
        <f t="shared" si="22"/>
        <v/>
      </c>
      <c r="U74" s="5" t="str">
        <f t="shared" si="23"/>
        <v/>
      </c>
      <c r="V74" s="7" t="str">
        <f t="shared" si="15"/>
        <v/>
      </c>
      <c r="W74" s="8" t="str">
        <f t="shared" si="16"/>
        <v>继续观察</v>
      </c>
      <c r="X74" s="2" t="s">
        <v>96</v>
      </c>
      <c r="Y74" s="10">
        <v>12.32</v>
      </c>
      <c r="Z74" s="11">
        <f>IF(X74&lt;&gt;"执行卖出","",IFERROR(LOOKUP(2,1/(单次交易!$A$2:$A$88=B74),单次交易!$AP$2:$AP$88),""))</f>
        <v>12700</v>
      </c>
      <c r="AA74" s="10"/>
      <c r="AB74" s="8" t="str">
        <f t="shared" si="17"/>
        <v>待补充每日记录</v>
      </c>
      <c r="AC74" s="8" t="str">
        <f>IF(A74="","",IF(A74="止损计划",IF(OR(B74="",D74="",E74="",F74="",G74=""),"计划不完整",IF(OR(D74&lt;1,D74&lt;&gt;INT(D74)),"阶段序号无效",IF(COUNTIFS($A$2:$A$157,"止损计划",$B$2:$B$157,B74,$D$2:$D$157,D74)&gt;1,"阶段序号重复",IF(E74&lt;=IFERROR(LOOKUP(2,1/(单次交易!$A$2:$A$88=B74),单次交易!$E$2:$E$88),0),"激活价须高于买入价",IF(F74&lt;N74,"止损价不得低于初始止损",IF(F74&gt;E74,"止损价不得高于激活价",IF(AND(COUNTIFS($A$2:$A$157,"止损计划",$B$2:$B$157,B74,$D$2:$D$157,"&lt;"&amp;D74)&gt;0,OR(E74&lt;=SUMPRODUCT(MAX((($A$2:$A$157="止损计划")*($B$2:$B$157=B74)*($D$2:$D$157&lt;D74))*$E$2:$E$157)),F74&lt;SUMPRODUCT(MAX((($A$2:$A$157="止损计划")*($B$2:$B$157=B74)*($D$2:$D$157&lt;D74))*$F$2:$F$157)))),"阶段价格必须逐级提高","计划有效"))))))),IF(A74="每日跟踪",IF(OR(B74="",H74="",I74="",J74=""),"每日数据不完整",IF(COUNTIFS($A$2:$A$157,"每日跟踪",$B$2:$B$157,B74,$H$2:$H$157,H74)&gt;1,"同一交易日期重复",IF(AND(R74&lt;&gt;"",R74&lt;S74),"人工止损无效：不能下调","跟踪有效"))),"记录类型无效")))</f>
        <v>每日数据不完整</v>
      </c>
    </row>
    <row r="75" ht="17" spans="1:29">
      <c r="A75" s="2" t="s">
        <v>95</v>
      </c>
      <c r="B75" s="2">
        <v>74</v>
      </c>
      <c r="C75" s="8" t="str">
        <f>IF(B75="","",IFERROR(LOOKUP(2,1/(单次交易!$A$2:$A$88=B75),单次交易!$B$2:$B$88),""))</f>
        <v>比亚迪</v>
      </c>
      <c r="D75" s="12"/>
      <c r="E75" s="10"/>
      <c r="F75" s="10"/>
      <c r="G75" s="2"/>
      <c r="H75" s="13">
        <v>41862</v>
      </c>
      <c r="I75" s="10">
        <v>13.79</v>
      </c>
      <c r="J75" s="12"/>
      <c r="K75" s="2"/>
      <c r="L75" s="2"/>
      <c r="M75" s="2"/>
      <c r="N75" s="5">
        <f>IF(B75="","",IFERROR(LOOKUP(2,1/(单次交易!$A$2:$A$88=B75),单次交易!$N$2:$N$88),""))</f>
        <v>12.3</v>
      </c>
      <c r="O75" s="5">
        <f t="shared" si="18"/>
        <v>13.79</v>
      </c>
      <c r="P75" s="11">
        <f t="shared" si="19"/>
        <v>0</v>
      </c>
      <c r="Q75" s="5">
        <f t="shared" si="20"/>
        <v>12.3</v>
      </c>
      <c r="R75" s="10"/>
      <c r="S75" s="5">
        <f t="shared" si="21"/>
        <v>12.3</v>
      </c>
      <c r="T75" s="5" t="str">
        <f t="shared" si="22"/>
        <v/>
      </c>
      <c r="U75" s="5" t="str">
        <f t="shared" si="23"/>
        <v/>
      </c>
      <c r="V75" s="7" t="str">
        <f t="shared" si="15"/>
        <v/>
      </c>
      <c r="W75" s="8" t="str">
        <f t="shared" si="16"/>
        <v>继续观察</v>
      </c>
      <c r="X75" s="2" t="s">
        <v>96</v>
      </c>
      <c r="Y75" s="10">
        <v>13.79</v>
      </c>
      <c r="Z75" s="11">
        <f>IF(X75&lt;&gt;"执行卖出","",IFERROR(LOOKUP(2,1/(单次交易!$A$2:$A$88=B75),单次交易!$AP$2:$AP$88),""))</f>
        <v>13500</v>
      </c>
      <c r="AA75" s="10"/>
      <c r="AB75" s="8" t="str">
        <f t="shared" si="17"/>
        <v>待补充每日记录</v>
      </c>
      <c r="AC75" s="8" t="str">
        <f>IF(A75="","",IF(A75="止损计划",IF(OR(B75="",D75="",E75="",F75="",G75=""),"计划不完整",IF(OR(D75&lt;1,D75&lt;&gt;INT(D75)),"阶段序号无效",IF(COUNTIFS($A$2:$A$157,"止损计划",$B$2:$B$157,B75,$D$2:$D$157,D75)&gt;1,"阶段序号重复",IF(E75&lt;=IFERROR(LOOKUP(2,1/(单次交易!$A$2:$A$88=B75),单次交易!$E$2:$E$88),0),"激活价须高于买入价",IF(F75&lt;N75,"止损价不得低于初始止损",IF(F75&gt;E75,"止损价不得高于激活价",IF(AND(COUNTIFS($A$2:$A$157,"止损计划",$B$2:$B$157,B75,$D$2:$D$157,"&lt;"&amp;D75)&gt;0,OR(E75&lt;=SUMPRODUCT(MAX((($A$2:$A$157="止损计划")*($B$2:$B$157=B75)*($D$2:$D$157&lt;D75))*$E$2:$E$157)),F75&lt;SUMPRODUCT(MAX((($A$2:$A$157="止损计划")*($B$2:$B$157=B75)*($D$2:$D$157&lt;D75))*$F$2:$F$157)))),"阶段价格必须逐级提高","计划有效"))))))),IF(A75="每日跟踪",IF(OR(B75="",H75="",I75="",J75=""),"每日数据不完整",IF(COUNTIFS($A$2:$A$157,"每日跟踪",$B$2:$B$157,B75,$H$2:$H$157,H75)&gt;1,"同一交易日期重复",IF(AND(R75&lt;&gt;"",R75&lt;S75),"人工止损无效：不能下调","跟踪有效"))),"记录类型无效")))</f>
        <v>每日数据不完整</v>
      </c>
    </row>
    <row r="76" ht="17" spans="1:29">
      <c r="A76" s="2" t="s">
        <v>95</v>
      </c>
      <c r="B76" s="2">
        <v>75</v>
      </c>
      <c r="C76" s="8" t="str">
        <f>IF(B76="","",IFERROR(LOOKUP(2,1/(单次交易!$A$2:$A$88=B76),单次交易!$B$2:$B$88),""))</f>
        <v>比亚迪</v>
      </c>
      <c r="D76" s="12"/>
      <c r="E76" s="10"/>
      <c r="F76" s="10"/>
      <c r="G76" s="2"/>
      <c r="H76" s="13">
        <v>41933</v>
      </c>
      <c r="I76" s="10">
        <v>12.27</v>
      </c>
      <c r="J76" s="12"/>
      <c r="K76" s="2"/>
      <c r="L76" s="2"/>
      <c r="M76" s="2"/>
      <c r="N76" s="5">
        <f>IF(B76="","",IFERROR(LOOKUP(2,1/(单次交易!$A$2:$A$88=B76),单次交易!$N$2:$N$88),""))</f>
        <v>12.5</v>
      </c>
      <c r="O76" s="5">
        <f t="shared" si="18"/>
        <v>12.27</v>
      </c>
      <c r="P76" s="11">
        <f t="shared" si="19"/>
        <v>0</v>
      </c>
      <c r="Q76" s="5">
        <f t="shared" si="20"/>
        <v>12.5</v>
      </c>
      <c r="R76" s="10"/>
      <c r="S76" s="5">
        <f t="shared" si="21"/>
        <v>12.5</v>
      </c>
      <c r="T76" s="5" t="str">
        <f t="shared" si="22"/>
        <v/>
      </c>
      <c r="U76" s="5" t="str">
        <f t="shared" si="23"/>
        <v/>
      </c>
      <c r="V76" s="7" t="str">
        <f t="shared" si="15"/>
        <v/>
      </c>
      <c r="W76" s="8" t="str">
        <f t="shared" si="16"/>
        <v>触发止损：应全部卖出</v>
      </c>
      <c r="X76" s="2" t="s">
        <v>96</v>
      </c>
      <c r="Y76" s="10">
        <v>12.27</v>
      </c>
      <c r="Z76" s="11">
        <f>IF(X76&lt;&gt;"执行卖出","",IFERROR(LOOKUP(2,1/(单次交易!$A$2:$A$88=B76),单次交易!$AP$2:$AP$88),""))</f>
        <v>11700</v>
      </c>
      <c r="AA76" s="10"/>
      <c r="AB76" s="8" t="str">
        <f t="shared" si="17"/>
        <v>待补充每日记录</v>
      </c>
      <c r="AC76" s="8" t="str">
        <f>IF(A76="","",IF(A76="止损计划",IF(OR(B76="",D76="",E76="",F76="",G76=""),"计划不完整",IF(OR(D76&lt;1,D76&lt;&gt;INT(D76)),"阶段序号无效",IF(COUNTIFS($A$2:$A$157,"止损计划",$B$2:$B$157,B76,$D$2:$D$157,D76)&gt;1,"阶段序号重复",IF(E76&lt;=IFERROR(LOOKUP(2,1/(单次交易!$A$2:$A$88=B76),单次交易!$E$2:$E$88),0),"激活价须高于买入价",IF(F76&lt;N76,"止损价不得低于初始止损",IF(F76&gt;E76,"止损价不得高于激活价",IF(AND(COUNTIFS($A$2:$A$157,"止损计划",$B$2:$B$157,B76,$D$2:$D$157,"&lt;"&amp;D76)&gt;0,OR(E76&lt;=SUMPRODUCT(MAX((($A$2:$A$157="止损计划")*($B$2:$B$157=B76)*($D$2:$D$157&lt;D76))*$E$2:$E$157)),F76&lt;SUMPRODUCT(MAX((($A$2:$A$157="止损计划")*($B$2:$B$157=B76)*($D$2:$D$157&lt;D76))*$F$2:$F$157)))),"阶段价格必须逐级提高","计划有效"))))))),IF(A76="每日跟踪",IF(OR(B76="",H76="",I76="",J76=""),"每日数据不完整",IF(COUNTIFS($A$2:$A$157,"每日跟踪",$B$2:$B$157,B76,$H$2:$H$157,H76)&gt;1,"同一交易日期重复",IF(AND(R76&lt;&gt;"",R76&lt;S76),"人工止损无效：不能下调","跟踪有效"))),"记录类型无效")))</f>
        <v>每日数据不完整</v>
      </c>
    </row>
    <row r="77" ht="17" spans="1:29">
      <c r="A77" s="2" t="s">
        <v>95</v>
      </c>
      <c r="B77" s="2">
        <v>76</v>
      </c>
      <c r="C77" s="8" t="str">
        <f>IF(B77="","",IFERROR(LOOKUP(2,1/(单次交易!$A$2:$A$88=B77),单次交易!$B$2:$B$88),""))</f>
        <v>比亚迪</v>
      </c>
      <c r="D77" s="12"/>
      <c r="E77" s="10"/>
      <c r="F77" s="10"/>
      <c r="G77" s="2"/>
      <c r="H77" s="13">
        <v>41981</v>
      </c>
      <c r="I77" s="10">
        <v>10.49</v>
      </c>
      <c r="J77" s="12"/>
      <c r="K77" s="2"/>
      <c r="L77" s="2"/>
      <c r="M77" s="2"/>
      <c r="N77" s="5">
        <f>IF(B77="","",IFERROR(LOOKUP(2,1/(单次交易!$A$2:$A$88=B77),单次交易!$N$2:$N$88),""))</f>
        <v>10.5</v>
      </c>
      <c r="O77" s="5">
        <f t="shared" si="18"/>
        <v>10.49</v>
      </c>
      <c r="P77" s="11">
        <f t="shared" si="19"/>
        <v>0</v>
      </c>
      <c r="Q77" s="5">
        <f t="shared" si="20"/>
        <v>10.5</v>
      </c>
      <c r="R77" s="10"/>
      <c r="S77" s="5">
        <f t="shared" si="21"/>
        <v>10.5</v>
      </c>
      <c r="T77" s="5" t="str">
        <f t="shared" si="22"/>
        <v/>
      </c>
      <c r="U77" s="5" t="str">
        <f t="shared" si="23"/>
        <v/>
      </c>
      <c r="V77" s="7" t="str">
        <f t="shared" si="15"/>
        <v/>
      </c>
      <c r="W77" s="8" t="str">
        <f t="shared" si="16"/>
        <v>触发止损：应全部卖出</v>
      </c>
      <c r="X77" s="2" t="s">
        <v>96</v>
      </c>
      <c r="Y77" s="10">
        <v>10.49</v>
      </c>
      <c r="Z77" s="11">
        <f>IF(X77&lt;&gt;"执行卖出","",IFERROR(LOOKUP(2,1/(单次交易!$A$2:$A$88=B77),单次交易!$AP$2:$AP$88),""))</f>
        <v>15200</v>
      </c>
      <c r="AA77" s="10"/>
      <c r="AB77" s="8" t="str">
        <f t="shared" si="17"/>
        <v>待补充每日记录</v>
      </c>
      <c r="AC77" s="8" t="str">
        <f>IF(A77="","",IF(A77="止损计划",IF(OR(B77="",D77="",E77="",F77="",G77=""),"计划不完整",IF(OR(D77&lt;1,D77&lt;&gt;INT(D77)),"阶段序号无效",IF(COUNTIFS($A$2:$A$157,"止损计划",$B$2:$B$157,B77,$D$2:$D$157,D77)&gt;1,"阶段序号重复",IF(E77&lt;=IFERROR(LOOKUP(2,1/(单次交易!$A$2:$A$88=B77),单次交易!$E$2:$E$88),0),"激活价须高于买入价",IF(F77&lt;N77,"止损价不得低于初始止损",IF(F77&gt;E77,"止损价不得高于激活价",IF(AND(COUNTIFS($A$2:$A$157,"止损计划",$B$2:$B$157,B77,$D$2:$D$157,"&lt;"&amp;D77)&gt;0,OR(E77&lt;=SUMPRODUCT(MAX((($A$2:$A$157="止损计划")*($B$2:$B$157=B77)*($D$2:$D$157&lt;D77))*$E$2:$E$157)),F77&lt;SUMPRODUCT(MAX((($A$2:$A$157="止损计划")*($B$2:$B$157=B77)*($D$2:$D$157&lt;D77))*$F$2:$F$157)))),"阶段价格必须逐级提高","计划有效"))))))),IF(A77="每日跟踪",IF(OR(B77="",H77="",I77="",J77=""),"每日数据不完整",IF(COUNTIFS($A$2:$A$157,"每日跟踪",$B$2:$B$157,B77,$H$2:$H$157,H77)&gt;1,"同一交易日期重复",IF(AND(R77&lt;&gt;"",R77&lt;S77),"人工止损无效：不能下调","跟踪有效"))),"记录类型无效")))</f>
        <v>每日数据不完整</v>
      </c>
    </row>
    <row r="78" ht="17" spans="1:29">
      <c r="A78" s="2" t="s">
        <v>95</v>
      </c>
      <c r="B78" s="2">
        <v>77</v>
      </c>
      <c r="C78" s="8" t="str">
        <f>IF(B78="","",IFERROR(LOOKUP(2,1/(单次交易!$A$2:$A$88=B78),单次交易!$B$2:$B$88),""))</f>
        <v>比亚迪</v>
      </c>
      <c r="D78" s="12"/>
      <c r="E78" s="10"/>
      <c r="F78" s="10"/>
      <c r="G78" s="2"/>
      <c r="H78" s="13">
        <v>42396</v>
      </c>
      <c r="I78" s="10">
        <v>11.51</v>
      </c>
      <c r="J78" s="12"/>
      <c r="K78" s="2"/>
      <c r="L78" s="2"/>
      <c r="M78" s="2"/>
      <c r="N78" s="5">
        <f>IF(B78="","",IFERROR(LOOKUP(2,1/(单次交易!$A$2:$A$88=B78),单次交易!$N$2:$N$88),""))</f>
        <v>16</v>
      </c>
      <c r="O78" s="5">
        <f t="shared" si="18"/>
        <v>11.51</v>
      </c>
      <c r="P78" s="11">
        <f t="shared" si="19"/>
        <v>0</v>
      </c>
      <c r="Q78" s="5">
        <f t="shared" si="20"/>
        <v>16</v>
      </c>
      <c r="R78" s="10"/>
      <c r="S78" s="5">
        <f t="shared" si="21"/>
        <v>16</v>
      </c>
      <c r="T78" s="5" t="str">
        <f t="shared" si="22"/>
        <v/>
      </c>
      <c r="U78" s="5" t="str">
        <f t="shared" si="23"/>
        <v/>
      </c>
      <c r="V78" s="7" t="str">
        <f t="shared" si="15"/>
        <v/>
      </c>
      <c r="W78" s="8" t="str">
        <f t="shared" si="16"/>
        <v>触发止损：应全部卖出</v>
      </c>
      <c r="X78" s="2" t="s">
        <v>96</v>
      </c>
      <c r="Y78" s="10">
        <v>11.51</v>
      </c>
      <c r="Z78" s="11">
        <f>IF(X78&lt;&gt;"执行卖出","",IFERROR(LOOKUP(2,1/(单次交易!$A$2:$A$88=B78),单次交易!$AP$2:$AP$88),""))</f>
        <v>3900</v>
      </c>
      <c r="AA78" s="10"/>
      <c r="AB78" s="8" t="str">
        <f t="shared" si="17"/>
        <v>待补充每日记录</v>
      </c>
      <c r="AC78" s="8" t="str">
        <f>IF(A78="","",IF(A78="止损计划",IF(OR(B78="",D78="",E78="",F78="",G78=""),"计划不完整",IF(OR(D78&lt;1,D78&lt;&gt;INT(D78)),"阶段序号无效",IF(COUNTIFS($A$2:$A$157,"止损计划",$B$2:$B$157,B78,$D$2:$D$157,D78)&gt;1,"阶段序号重复",IF(E78&lt;=IFERROR(LOOKUP(2,1/(单次交易!$A$2:$A$88=B78),单次交易!$E$2:$E$88),0),"激活价须高于买入价",IF(F78&lt;N78,"止损价不得低于初始止损",IF(F78&gt;E78,"止损价不得高于激活价",IF(AND(COUNTIFS($A$2:$A$157,"止损计划",$B$2:$B$157,B78,$D$2:$D$157,"&lt;"&amp;D78)&gt;0,OR(E78&lt;=SUMPRODUCT(MAX((($A$2:$A$157="止损计划")*($B$2:$B$157=B78)*($D$2:$D$157&lt;D78))*$E$2:$E$157)),F78&lt;SUMPRODUCT(MAX((($A$2:$A$157="止损计划")*($B$2:$B$157=B78)*($D$2:$D$157&lt;D78))*$F$2:$F$157)))),"阶段价格必须逐级提高","计划有效"))))))),IF(A78="每日跟踪",IF(OR(B78="",H78="",I78="",J78=""),"每日数据不完整",IF(COUNTIFS($A$2:$A$157,"每日跟踪",$B$2:$B$157,B78,$H$2:$H$157,H78)&gt;1,"同一交易日期重复",IF(AND(R78&lt;&gt;"",R78&lt;S78),"人工止损无效：不能下调","跟踪有效"))),"记录类型无效")))</f>
        <v>每日数据不完整</v>
      </c>
    </row>
    <row r="79" ht="17" spans="1:29">
      <c r="A79" s="2" t="s">
        <v>95</v>
      </c>
      <c r="B79" s="2">
        <v>78</v>
      </c>
      <c r="C79" s="8" t="str">
        <f>IF(B79="","",IFERROR(LOOKUP(2,1/(单次交易!$A$2:$A$88=B79),单次交易!$B$2:$B$88),""))</f>
        <v>比亚迪</v>
      </c>
      <c r="D79" s="12"/>
      <c r="E79" s="10"/>
      <c r="F79" s="10"/>
      <c r="G79" s="2"/>
      <c r="H79" s="13">
        <v>42473</v>
      </c>
      <c r="I79" s="10">
        <v>16.03</v>
      </c>
      <c r="J79" s="12"/>
      <c r="K79" s="2"/>
      <c r="L79" s="2"/>
      <c r="M79" s="2"/>
      <c r="N79" s="5">
        <f>IF(B79="","",IFERROR(LOOKUP(2,1/(单次交易!$A$2:$A$88=B79),单次交易!$N$2:$N$88),""))</f>
        <v>15</v>
      </c>
      <c r="O79" s="5">
        <f t="shared" si="18"/>
        <v>16.03</v>
      </c>
      <c r="P79" s="11">
        <f t="shared" si="19"/>
        <v>0</v>
      </c>
      <c r="Q79" s="5">
        <f t="shared" si="20"/>
        <v>15</v>
      </c>
      <c r="R79" s="10"/>
      <c r="S79" s="5">
        <f t="shared" si="21"/>
        <v>15</v>
      </c>
      <c r="T79" s="5" t="str">
        <f t="shared" si="22"/>
        <v/>
      </c>
      <c r="U79" s="5" t="str">
        <f t="shared" si="23"/>
        <v/>
      </c>
      <c r="V79" s="7" t="str">
        <f t="shared" si="15"/>
        <v/>
      </c>
      <c r="W79" s="8" t="str">
        <f t="shared" si="16"/>
        <v>继续观察</v>
      </c>
      <c r="X79" s="2" t="s">
        <v>96</v>
      </c>
      <c r="Y79" s="10">
        <v>16.03</v>
      </c>
      <c r="Z79" s="11">
        <f>IF(X79&lt;&gt;"执行卖出","",IFERROR(LOOKUP(2,1/(单次交易!$A$2:$A$88=B79),单次交易!$AP$2:$AP$88),""))</f>
        <v>10900</v>
      </c>
      <c r="AA79" s="10"/>
      <c r="AB79" s="8" t="str">
        <f t="shared" si="17"/>
        <v>待补充每日记录</v>
      </c>
      <c r="AC79" s="8" t="str">
        <f>IF(A79="","",IF(A79="止损计划",IF(OR(B79="",D79="",E79="",F79="",G79=""),"计划不完整",IF(OR(D79&lt;1,D79&lt;&gt;INT(D79)),"阶段序号无效",IF(COUNTIFS($A$2:$A$157,"止损计划",$B$2:$B$157,B79,$D$2:$D$157,D79)&gt;1,"阶段序号重复",IF(E79&lt;=IFERROR(LOOKUP(2,1/(单次交易!$A$2:$A$88=B79),单次交易!$E$2:$E$88),0),"激活价须高于买入价",IF(F79&lt;N79,"止损价不得低于初始止损",IF(F79&gt;E79,"止损价不得高于激活价",IF(AND(COUNTIFS($A$2:$A$157,"止损计划",$B$2:$B$157,B79,$D$2:$D$157,"&lt;"&amp;D79)&gt;0,OR(E79&lt;=SUMPRODUCT(MAX((($A$2:$A$157="止损计划")*($B$2:$B$157=B79)*($D$2:$D$157&lt;D79))*$E$2:$E$157)),F79&lt;SUMPRODUCT(MAX((($A$2:$A$157="止损计划")*($B$2:$B$157=B79)*($D$2:$D$157&lt;D79))*$F$2:$F$157)))),"阶段价格必须逐级提高","计划有效"))))))),IF(A79="每日跟踪",IF(OR(B79="",H79="",I79="",J79=""),"每日数据不完整",IF(COUNTIFS($A$2:$A$157,"每日跟踪",$B$2:$B$157,B79,$H$2:$H$157,H79)&gt;1,"同一交易日期重复",IF(AND(R79&lt;&gt;"",R79&lt;S79),"人工止损无效：不能下调","跟踪有效"))),"记录类型无效")))</f>
        <v>每日数据不完整</v>
      </c>
    </row>
    <row r="80" ht="17" spans="1:29">
      <c r="A80" s="2" t="s">
        <v>95</v>
      </c>
      <c r="B80" s="2">
        <v>79</v>
      </c>
      <c r="C80" s="8" t="str">
        <f>IF(B80="","",IFERROR(LOOKUP(2,1/(单次交易!$A$2:$A$88=B80),单次交易!$B$2:$B$88),""))</f>
        <v>比亚迪</v>
      </c>
      <c r="D80" s="12"/>
      <c r="E80" s="10"/>
      <c r="F80" s="10"/>
      <c r="G80" s="2"/>
      <c r="H80" s="13">
        <v>42517</v>
      </c>
      <c r="I80" s="10">
        <v>15.77</v>
      </c>
      <c r="J80" s="12"/>
      <c r="K80" s="2"/>
      <c r="L80" s="2"/>
      <c r="M80" s="2"/>
      <c r="N80" s="5">
        <f>IF(B80="","",IFERROR(LOOKUP(2,1/(单次交易!$A$2:$A$88=B80),单次交易!$N$2:$N$88),""))</f>
        <v>15.2</v>
      </c>
      <c r="O80" s="5">
        <f t="shared" si="18"/>
        <v>15.77</v>
      </c>
      <c r="P80" s="11">
        <f t="shared" si="19"/>
        <v>0</v>
      </c>
      <c r="Q80" s="5">
        <f t="shared" si="20"/>
        <v>15.2</v>
      </c>
      <c r="R80" s="10"/>
      <c r="S80" s="5">
        <f t="shared" si="21"/>
        <v>15.2</v>
      </c>
      <c r="T80" s="5" t="str">
        <f t="shared" si="22"/>
        <v/>
      </c>
      <c r="U80" s="5" t="str">
        <f t="shared" si="23"/>
        <v/>
      </c>
      <c r="V80" s="7" t="str">
        <f t="shared" si="15"/>
        <v/>
      </c>
      <c r="W80" s="8" t="str">
        <f t="shared" si="16"/>
        <v>继续观察</v>
      </c>
      <c r="X80" s="2" t="s">
        <v>96</v>
      </c>
      <c r="Y80" s="10">
        <v>15.77</v>
      </c>
      <c r="Z80" s="11">
        <f>IF(X80&lt;&gt;"执行卖出","",IFERROR(LOOKUP(2,1/(单次交易!$A$2:$A$88=B80),单次交易!$AP$2:$AP$88),""))</f>
        <v>6200</v>
      </c>
      <c r="AA80" s="10"/>
      <c r="AB80" s="8" t="str">
        <f t="shared" si="17"/>
        <v>待补充每日记录</v>
      </c>
      <c r="AC80" s="8" t="str">
        <f>IF(A80="","",IF(A80="止损计划",IF(OR(B80="",D80="",E80="",F80="",G80=""),"计划不完整",IF(OR(D80&lt;1,D80&lt;&gt;INT(D80)),"阶段序号无效",IF(COUNTIFS($A$2:$A$157,"止损计划",$B$2:$B$157,B80,$D$2:$D$157,D80)&gt;1,"阶段序号重复",IF(E80&lt;=IFERROR(LOOKUP(2,1/(单次交易!$A$2:$A$88=B80),单次交易!$E$2:$E$88),0),"激活价须高于买入价",IF(F80&lt;N80,"止损价不得低于初始止损",IF(F80&gt;E80,"止损价不得高于激活价",IF(AND(COUNTIFS($A$2:$A$157,"止损计划",$B$2:$B$157,B80,$D$2:$D$157,"&lt;"&amp;D80)&gt;0,OR(E80&lt;=SUMPRODUCT(MAX((($A$2:$A$157="止损计划")*($B$2:$B$157=B80)*($D$2:$D$157&lt;D80))*$E$2:$E$157)),F80&lt;SUMPRODUCT(MAX((($A$2:$A$157="止损计划")*($B$2:$B$157=B80)*($D$2:$D$157&lt;D80))*$F$2:$F$157)))),"阶段价格必须逐级提高","计划有效"))))))),IF(A80="每日跟踪",IF(OR(B80="",H80="",I80="",J80=""),"每日数据不完整",IF(COUNTIFS($A$2:$A$157,"每日跟踪",$B$2:$B$157,B80,$H$2:$H$157,H80)&gt;1,"同一交易日期重复",IF(AND(R80&lt;&gt;"",R80&lt;S80),"人工止损无效：不能下调","跟踪有效"))),"记录类型无效")))</f>
        <v>每日数据不完整</v>
      </c>
    </row>
    <row r="81" ht="17" spans="1:29">
      <c r="A81" s="2" t="s">
        <v>95</v>
      </c>
      <c r="B81" s="2">
        <v>80</v>
      </c>
      <c r="C81" s="8" t="str">
        <f>IF(B81="","",IFERROR(LOOKUP(2,1/(单次交易!$A$2:$A$88=B81),单次交易!$B$2:$B$88),""))</f>
        <v>比亚迪</v>
      </c>
      <c r="D81" s="12"/>
      <c r="E81" s="10"/>
      <c r="F81" s="10"/>
      <c r="G81" s="2"/>
      <c r="H81" s="13">
        <v>42534</v>
      </c>
      <c r="I81" s="10">
        <v>15.65</v>
      </c>
      <c r="J81" s="12"/>
      <c r="K81" s="2"/>
      <c r="L81" s="2"/>
      <c r="M81" s="2"/>
      <c r="N81" s="5">
        <f>IF(B81="","",IFERROR(LOOKUP(2,1/(单次交易!$A$2:$A$88=B81),单次交易!$N$2:$N$88),""))</f>
        <v>15.8</v>
      </c>
      <c r="O81" s="5">
        <f t="shared" si="18"/>
        <v>15.65</v>
      </c>
      <c r="P81" s="11">
        <f t="shared" si="19"/>
        <v>0</v>
      </c>
      <c r="Q81" s="5">
        <f t="shared" si="20"/>
        <v>15.8</v>
      </c>
      <c r="R81" s="10"/>
      <c r="S81" s="5">
        <f t="shared" si="21"/>
        <v>15.8</v>
      </c>
      <c r="T81" s="5" t="str">
        <f t="shared" si="22"/>
        <v/>
      </c>
      <c r="U81" s="5" t="str">
        <f t="shared" si="23"/>
        <v/>
      </c>
      <c r="V81" s="7" t="str">
        <f t="shared" si="15"/>
        <v/>
      </c>
      <c r="W81" s="8" t="str">
        <f t="shared" si="16"/>
        <v>触发止损：应全部卖出</v>
      </c>
      <c r="X81" s="2" t="s">
        <v>96</v>
      </c>
      <c r="Y81" s="10">
        <v>15.65</v>
      </c>
      <c r="Z81" s="11">
        <f>IF(X81&lt;&gt;"执行卖出","",IFERROR(LOOKUP(2,1/(单次交易!$A$2:$A$88=B81),单次交易!$AP$2:$AP$88),""))</f>
        <v>8400</v>
      </c>
      <c r="AA81" s="10"/>
      <c r="AB81" s="8" t="str">
        <f t="shared" si="17"/>
        <v>待补充每日记录</v>
      </c>
      <c r="AC81" s="8" t="str">
        <f>IF(A81="","",IF(A81="止损计划",IF(OR(B81="",D81="",E81="",F81="",G81=""),"计划不完整",IF(OR(D81&lt;1,D81&lt;&gt;INT(D81)),"阶段序号无效",IF(COUNTIFS($A$2:$A$157,"止损计划",$B$2:$B$157,B81,$D$2:$D$157,D81)&gt;1,"阶段序号重复",IF(E81&lt;=IFERROR(LOOKUP(2,1/(单次交易!$A$2:$A$88=B81),单次交易!$E$2:$E$88),0),"激活价须高于买入价",IF(F81&lt;N81,"止损价不得低于初始止损",IF(F81&gt;E81,"止损价不得高于激活价",IF(AND(COUNTIFS($A$2:$A$157,"止损计划",$B$2:$B$157,B81,$D$2:$D$157,"&lt;"&amp;D81)&gt;0,OR(E81&lt;=SUMPRODUCT(MAX((($A$2:$A$157="止损计划")*($B$2:$B$157=B81)*($D$2:$D$157&lt;D81))*$E$2:$E$157)),F81&lt;SUMPRODUCT(MAX((($A$2:$A$157="止损计划")*($B$2:$B$157=B81)*($D$2:$D$157&lt;D81))*$F$2:$F$157)))),"阶段价格必须逐级提高","计划有效"))))))),IF(A81="每日跟踪",IF(OR(B81="",H81="",I81="",J81=""),"每日数据不完整",IF(COUNTIFS($A$2:$A$157,"每日跟踪",$B$2:$B$157,B81,$H$2:$H$157,H81)&gt;1,"同一交易日期重复",IF(AND(R81&lt;&gt;"",R81&lt;S81),"人工止损无效：不能下调","跟踪有效"))),"记录类型无效")))</f>
        <v>每日数据不完整</v>
      </c>
    </row>
    <row r="82" ht="17" spans="1:29">
      <c r="A82" s="2" t="s">
        <v>95</v>
      </c>
      <c r="B82" s="2">
        <v>81</v>
      </c>
      <c r="C82" s="8" t="str">
        <f>IF(B82="","",IFERROR(LOOKUP(2,1/(单次交易!$A$2:$A$88=B82),单次交易!$B$2:$B$88),""))</f>
        <v>比亚迪</v>
      </c>
      <c r="D82" s="12"/>
      <c r="E82" s="10"/>
      <c r="F82" s="10"/>
      <c r="G82" s="2"/>
      <c r="H82" s="13">
        <v>42572</v>
      </c>
      <c r="I82" s="10">
        <v>16.3</v>
      </c>
      <c r="J82" s="12"/>
      <c r="K82" s="2"/>
      <c r="L82" s="2"/>
      <c r="M82" s="2"/>
      <c r="N82" s="5">
        <f>IF(B82="","",IFERROR(LOOKUP(2,1/(单次交易!$A$2:$A$88=B82),单次交易!$N$2:$N$88),""))</f>
        <v>17</v>
      </c>
      <c r="O82" s="5">
        <f t="shared" si="18"/>
        <v>16.3</v>
      </c>
      <c r="P82" s="11">
        <f t="shared" si="19"/>
        <v>0</v>
      </c>
      <c r="Q82" s="5">
        <f t="shared" si="20"/>
        <v>17</v>
      </c>
      <c r="R82" s="10"/>
      <c r="S82" s="5">
        <f t="shared" si="21"/>
        <v>17</v>
      </c>
      <c r="T82" s="5" t="str">
        <f t="shared" si="22"/>
        <v/>
      </c>
      <c r="U82" s="5" t="str">
        <f t="shared" si="23"/>
        <v/>
      </c>
      <c r="V82" s="7" t="str">
        <f t="shared" si="15"/>
        <v/>
      </c>
      <c r="W82" s="8" t="str">
        <f t="shared" si="16"/>
        <v>触发止损：应全部卖出</v>
      </c>
      <c r="X82" s="2" t="s">
        <v>96</v>
      </c>
      <c r="Y82" s="10">
        <v>16.3</v>
      </c>
      <c r="Z82" s="11">
        <f>IF(X82&lt;&gt;"执行卖出","",IFERROR(LOOKUP(2,1/(单次交易!$A$2:$A$88=B82),单次交易!$AP$2:$AP$88),""))</f>
        <v>10500</v>
      </c>
      <c r="AA82" s="10"/>
      <c r="AB82" s="8" t="str">
        <f t="shared" si="17"/>
        <v>待补充每日记录</v>
      </c>
      <c r="AC82" s="8" t="str">
        <f>IF(A82="","",IF(A82="止损计划",IF(OR(B82="",D82="",E82="",F82="",G82=""),"计划不完整",IF(OR(D82&lt;1,D82&lt;&gt;INT(D82)),"阶段序号无效",IF(COUNTIFS($A$2:$A$157,"止损计划",$B$2:$B$157,B82,$D$2:$D$157,D82)&gt;1,"阶段序号重复",IF(E82&lt;=IFERROR(LOOKUP(2,1/(单次交易!$A$2:$A$88=B82),单次交易!$E$2:$E$88),0),"激活价须高于买入价",IF(F82&lt;N82,"止损价不得低于初始止损",IF(F82&gt;E82,"止损价不得高于激活价",IF(AND(COUNTIFS($A$2:$A$157,"止损计划",$B$2:$B$157,B82,$D$2:$D$157,"&lt;"&amp;D82)&gt;0,OR(E82&lt;=SUMPRODUCT(MAX((($A$2:$A$157="止损计划")*($B$2:$B$157=B82)*($D$2:$D$157&lt;D82))*$E$2:$E$157)),F82&lt;SUMPRODUCT(MAX((($A$2:$A$157="止损计划")*($B$2:$B$157=B82)*($D$2:$D$157&lt;D82))*$F$2:$F$157)))),"阶段价格必须逐级提高","计划有效"))))))),IF(A82="每日跟踪",IF(OR(B82="",H82="",I82="",J82=""),"每日数据不完整",IF(COUNTIFS($A$2:$A$157,"每日跟踪",$B$2:$B$157,B82,$H$2:$H$157,H82)&gt;1,"同一交易日期重复",IF(AND(R82&lt;&gt;"",R82&lt;S82),"人工止损无效：不能下调","跟踪有效"))),"记录类型无效")))</f>
        <v>每日数据不完整</v>
      </c>
    </row>
    <row r="83" ht="17" spans="1:29">
      <c r="A83" s="2" t="s">
        <v>95</v>
      </c>
      <c r="B83" s="2">
        <v>82</v>
      </c>
      <c r="C83" s="8" t="str">
        <f>IF(B83="","",IFERROR(LOOKUP(2,1/(单次交易!$A$2:$A$88=B83),单次交易!$B$2:$B$88),""))</f>
        <v>比亚迪</v>
      </c>
      <c r="D83" s="12"/>
      <c r="E83" s="10"/>
      <c r="F83" s="10"/>
      <c r="G83" s="2"/>
      <c r="H83" s="13">
        <v>42858</v>
      </c>
      <c r="I83" s="10">
        <v>12.89</v>
      </c>
      <c r="J83" s="12"/>
      <c r="K83" s="2"/>
      <c r="L83" s="2"/>
      <c r="M83" s="2"/>
      <c r="N83" s="5">
        <f>IF(B83="","",IFERROR(LOOKUP(2,1/(单次交易!$A$2:$A$88=B83),单次交易!$N$2:$N$88),""))</f>
        <v>14</v>
      </c>
      <c r="O83" s="5">
        <f t="shared" si="18"/>
        <v>12.89</v>
      </c>
      <c r="P83" s="11">
        <f t="shared" si="19"/>
        <v>0</v>
      </c>
      <c r="Q83" s="5">
        <f t="shared" si="20"/>
        <v>14</v>
      </c>
      <c r="R83" s="10"/>
      <c r="S83" s="5">
        <f t="shared" si="21"/>
        <v>14</v>
      </c>
      <c r="T83" s="5" t="str">
        <f t="shared" si="22"/>
        <v/>
      </c>
      <c r="U83" s="5" t="str">
        <f t="shared" si="23"/>
        <v/>
      </c>
      <c r="V83" s="7" t="str">
        <f t="shared" si="15"/>
        <v/>
      </c>
      <c r="W83" s="8" t="str">
        <f t="shared" si="16"/>
        <v>触发止损：应全部卖出</v>
      </c>
      <c r="X83" s="2" t="s">
        <v>96</v>
      </c>
      <c r="Y83" s="10">
        <v>12.89</v>
      </c>
      <c r="Z83" s="11">
        <f>IF(X83&lt;&gt;"执行卖出","",IFERROR(LOOKUP(2,1/(单次交易!$A$2:$A$88=B83),单次交易!$AP$2:$AP$88),""))</f>
        <v>17300</v>
      </c>
      <c r="AA83" s="10"/>
      <c r="AB83" s="8" t="str">
        <f t="shared" si="17"/>
        <v>待补充每日记录</v>
      </c>
      <c r="AC83" s="8" t="str">
        <f>IF(A83="","",IF(A83="止损计划",IF(OR(B83="",D83="",E83="",F83="",G83=""),"计划不完整",IF(OR(D83&lt;1,D83&lt;&gt;INT(D83)),"阶段序号无效",IF(COUNTIFS($A$2:$A$157,"止损计划",$B$2:$B$157,B83,$D$2:$D$157,D83)&gt;1,"阶段序号重复",IF(E83&lt;=IFERROR(LOOKUP(2,1/(单次交易!$A$2:$A$88=B83),单次交易!$E$2:$E$88),0),"激活价须高于买入价",IF(F83&lt;N83,"止损价不得低于初始止损",IF(F83&gt;E83,"止损价不得高于激活价",IF(AND(COUNTIFS($A$2:$A$157,"止损计划",$B$2:$B$157,B83,$D$2:$D$157,"&lt;"&amp;D83)&gt;0,OR(E83&lt;=SUMPRODUCT(MAX((($A$2:$A$157="止损计划")*($B$2:$B$157=B83)*($D$2:$D$157&lt;D83))*$E$2:$E$157)),F83&lt;SUMPRODUCT(MAX((($A$2:$A$157="止损计划")*($B$2:$B$157=B83)*($D$2:$D$157&lt;D83))*$F$2:$F$157)))),"阶段价格必须逐级提高","计划有效"))))))),IF(A83="每日跟踪",IF(OR(B83="",H83="",I83="",J83=""),"每日数据不完整",IF(COUNTIFS($A$2:$A$157,"每日跟踪",$B$2:$B$157,B83,$H$2:$H$157,H83)&gt;1,"同一交易日期重复",IF(AND(R83&lt;&gt;"",R83&lt;S83),"人工止损无效：不能下调","跟踪有效"))),"记录类型无效")))</f>
        <v>每日数据不完整</v>
      </c>
    </row>
    <row r="84" ht="17" spans="1:29">
      <c r="A84" s="2" t="s">
        <v>95</v>
      </c>
      <c r="B84" s="2">
        <v>83</v>
      </c>
      <c r="C84" s="8" t="str">
        <f>IF(B84="","",IFERROR(LOOKUP(2,1/(单次交易!$A$2:$A$88=B84),单次交易!$B$2:$B$88),""))</f>
        <v>比亚迪</v>
      </c>
      <c r="D84" s="12"/>
      <c r="E84" s="10"/>
      <c r="F84" s="10"/>
      <c r="G84" s="2"/>
      <c r="H84" s="13">
        <v>43038</v>
      </c>
      <c r="I84" s="10">
        <v>17.53</v>
      </c>
      <c r="J84" s="12"/>
      <c r="K84" s="2"/>
      <c r="L84" s="2"/>
      <c r="M84" s="2"/>
      <c r="N84" s="5">
        <f>IF(B84="","",IFERROR(LOOKUP(2,1/(单次交易!$A$2:$A$88=B84),单次交易!$N$2:$N$88),""))</f>
        <v>12.15</v>
      </c>
      <c r="O84" s="5">
        <f t="shared" si="18"/>
        <v>17.53</v>
      </c>
      <c r="P84" s="11">
        <f t="shared" si="19"/>
        <v>0</v>
      </c>
      <c r="Q84" s="5">
        <f t="shared" si="20"/>
        <v>12.15</v>
      </c>
      <c r="R84" s="10"/>
      <c r="S84" s="5">
        <f t="shared" si="21"/>
        <v>12.15</v>
      </c>
      <c r="T84" s="5" t="str">
        <f t="shared" si="22"/>
        <v/>
      </c>
      <c r="U84" s="5" t="str">
        <f t="shared" si="23"/>
        <v/>
      </c>
      <c r="V84" s="7" t="str">
        <f t="shared" si="15"/>
        <v/>
      </c>
      <c r="W84" s="8" t="str">
        <f t="shared" si="16"/>
        <v>继续观察</v>
      </c>
      <c r="X84" s="2" t="s">
        <v>96</v>
      </c>
      <c r="Y84" s="10">
        <v>17.53</v>
      </c>
      <c r="Z84" s="11">
        <f>IF(X84&lt;&gt;"执行卖出","",IFERROR(LOOKUP(2,1/(单次交易!$A$2:$A$88=B84),单次交易!$AP$2:$AP$88),""))</f>
        <v>6100</v>
      </c>
      <c r="AA84" s="10"/>
      <c r="AB84" s="8" t="str">
        <f t="shared" si="17"/>
        <v>待补充每日记录</v>
      </c>
      <c r="AC84" s="8" t="str">
        <f>IF(A84="","",IF(A84="止损计划",IF(OR(B84="",D84="",E84="",F84="",G84=""),"计划不完整",IF(OR(D84&lt;1,D84&lt;&gt;INT(D84)),"阶段序号无效",IF(COUNTIFS($A$2:$A$157,"止损计划",$B$2:$B$157,B84,$D$2:$D$157,D84)&gt;1,"阶段序号重复",IF(E84&lt;=IFERROR(LOOKUP(2,1/(单次交易!$A$2:$A$88=B84),单次交易!$E$2:$E$88),0),"激活价须高于买入价",IF(F84&lt;N84,"止损价不得低于初始止损",IF(F84&gt;E84,"止损价不得高于激活价",IF(AND(COUNTIFS($A$2:$A$157,"止损计划",$B$2:$B$157,B84,$D$2:$D$157,"&lt;"&amp;D84)&gt;0,OR(E84&lt;=SUMPRODUCT(MAX((($A$2:$A$157="止损计划")*($B$2:$B$157=B84)*($D$2:$D$157&lt;D84))*$E$2:$E$157)),F84&lt;SUMPRODUCT(MAX((($A$2:$A$157="止损计划")*($B$2:$B$157=B84)*($D$2:$D$157&lt;D84))*$F$2:$F$157)))),"阶段价格必须逐级提高","计划有效"))))))),IF(A84="每日跟踪",IF(OR(B84="",H84="",I84="",J84=""),"每日数据不完整",IF(COUNTIFS($A$2:$A$157,"每日跟踪",$B$2:$B$157,B84,$H$2:$H$157,H84)&gt;1,"同一交易日期重复",IF(AND(R84&lt;&gt;"",R84&lt;S84),"人工止损无效：不能下调","跟踪有效"))),"记录类型无效")))</f>
        <v>每日数据不完整</v>
      </c>
    </row>
    <row r="85" ht="17" spans="1:29">
      <c r="A85" s="2" t="s">
        <v>95</v>
      </c>
      <c r="B85" s="2">
        <v>84</v>
      </c>
      <c r="C85" s="8" t="str">
        <f>IF(B85="","",IFERROR(LOOKUP(2,1/(单次交易!$A$2:$A$88=B85),单次交易!$B$2:$B$88),""))</f>
        <v>比亚迪</v>
      </c>
      <c r="D85" s="12"/>
      <c r="E85" s="10"/>
      <c r="F85" s="10"/>
      <c r="G85" s="2"/>
      <c r="H85" s="13">
        <v>43117</v>
      </c>
      <c r="I85" s="10">
        <v>17.94</v>
      </c>
      <c r="J85" s="12"/>
      <c r="K85" s="2"/>
      <c r="L85" s="2"/>
      <c r="M85" s="2"/>
      <c r="N85" s="5">
        <f>IF(B85="","",IFERROR(LOOKUP(2,1/(单次交易!$A$2:$A$88=B85),单次交易!$N$2:$N$88),""))</f>
        <v>18.3</v>
      </c>
      <c r="O85" s="5">
        <f t="shared" si="18"/>
        <v>17.94</v>
      </c>
      <c r="P85" s="11">
        <f t="shared" si="19"/>
        <v>0</v>
      </c>
      <c r="Q85" s="5">
        <f t="shared" si="20"/>
        <v>18.3</v>
      </c>
      <c r="R85" s="10"/>
      <c r="S85" s="5">
        <f t="shared" si="21"/>
        <v>18.3</v>
      </c>
      <c r="T85" s="5" t="str">
        <f t="shared" si="22"/>
        <v/>
      </c>
      <c r="U85" s="5" t="str">
        <f t="shared" si="23"/>
        <v/>
      </c>
      <c r="V85" s="7" t="str">
        <f t="shared" si="15"/>
        <v/>
      </c>
      <c r="W85" s="8" t="str">
        <f t="shared" si="16"/>
        <v>触发止损：应全部卖出</v>
      </c>
      <c r="X85" s="2" t="s">
        <v>96</v>
      </c>
      <c r="Y85" s="10">
        <v>17.94</v>
      </c>
      <c r="Z85" s="11">
        <f>IF(X85&lt;&gt;"执行卖出","",IFERROR(LOOKUP(2,1/(单次交易!$A$2:$A$88=B85),单次交易!$AP$2:$AP$88),""))</f>
        <v>15000</v>
      </c>
      <c r="AA85" s="10"/>
      <c r="AB85" s="8" t="str">
        <f t="shared" si="17"/>
        <v>待补充每日记录</v>
      </c>
      <c r="AC85" s="8" t="str">
        <f>IF(A85="","",IF(A85="止损计划",IF(OR(B85="",D85="",E85="",F85="",G85=""),"计划不完整",IF(OR(D85&lt;1,D85&lt;&gt;INT(D85)),"阶段序号无效",IF(COUNTIFS($A$2:$A$157,"止损计划",$B$2:$B$157,B85,$D$2:$D$157,D85)&gt;1,"阶段序号重复",IF(E85&lt;=IFERROR(LOOKUP(2,1/(单次交易!$A$2:$A$88=B85),单次交易!$E$2:$E$88),0),"激活价须高于买入价",IF(F85&lt;N85,"止损价不得低于初始止损",IF(F85&gt;E85,"止损价不得高于激活价",IF(AND(COUNTIFS($A$2:$A$157,"止损计划",$B$2:$B$157,B85,$D$2:$D$157,"&lt;"&amp;D85)&gt;0,OR(E85&lt;=SUMPRODUCT(MAX((($A$2:$A$157="止损计划")*($B$2:$B$157=B85)*($D$2:$D$157&lt;D85))*$E$2:$E$157)),F85&lt;SUMPRODUCT(MAX((($A$2:$A$157="止损计划")*($B$2:$B$157=B85)*($D$2:$D$157&lt;D85))*$F$2:$F$157)))),"阶段价格必须逐级提高","计划有效"))))))),IF(A85="每日跟踪",IF(OR(B85="",H85="",I85="",J85=""),"每日数据不完整",IF(COUNTIFS($A$2:$A$157,"每日跟踪",$B$2:$B$157,B85,$H$2:$H$157,H85)&gt;1,"同一交易日期重复",IF(AND(R85&lt;&gt;"",R85&lt;S85),"人工止损无效：不能下调","跟踪有效"))),"记录类型无效")))</f>
        <v>每日数据不完整</v>
      </c>
    </row>
    <row r="86" ht="17" spans="1:29">
      <c r="A86" s="2" t="s">
        <v>95</v>
      </c>
      <c r="B86" s="2">
        <v>85</v>
      </c>
      <c r="C86" s="8" t="str">
        <f>IF(B86="","",IFERROR(LOOKUP(2,1/(单次交易!$A$2:$A$88=B86),单次交易!$B$2:$B$88),""))</f>
        <v>比亚迪</v>
      </c>
      <c r="D86" s="12"/>
      <c r="E86" s="10"/>
      <c r="F86" s="10"/>
      <c r="G86" s="2"/>
      <c r="H86" s="13">
        <v>43154</v>
      </c>
      <c r="I86" s="10">
        <v>17.62</v>
      </c>
      <c r="J86" s="12"/>
      <c r="K86" s="2"/>
      <c r="L86" s="2"/>
      <c r="M86" s="2"/>
      <c r="N86" s="5">
        <f>IF(B86="","",IFERROR(LOOKUP(2,1/(单次交易!$A$2:$A$88=B86),单次交易!$N$2:$N$88),""))</f>
        <v>16.5</v>
      </c>
      <c r="O86" s="5">
        <f t="shared" si="18"/>
        <v>17.62</v>
      </c>
      <c r="P86" s="11">
        <f t="shared" si="19"/>
        <v>0</v>
      </c>
      <c r="Q86" s="5">
        <f t="shared" si="20"/>
        <v>16.5</v>
      </c>
      <c r="R86" s="10"/>
      <c r="S86" s="5">
        <f t="shared" si="21"/>
        <v>16.5</v>
      </c>
      <c r="T86" s="5" t="str">
        <f t="shared" si="22"/>
        <v/>
      </c>
      <c r="U86" s="5" t="str">
        <f t="shared" si="23"/>
        <v/>
      </c>
      <c r="V86" s="7" t="str">
        <f t="shared" si="15"/>
        <v/>
      </c>
      <c r="W86" s="8" t="str">
        <f t="shared" si="16"/>
        <v>继续观察</v>
      </c>
      <c r="X86" s="2" t="s">
        <v>96</v>
      </c>
      <c r="Y86" s="10">
        <v>17.62</v>
      </c>
      <c r="Z86" s="11">
        <f>IF(X86&lt;&gt;"执行卖出","",IFERROR(LOOKUP(2,1/(单次交易!$A$2:$A$88=B86),单次交易!$AP$2:$AP$88),""))</f>
        <v>7200</v>
      </c>
      <c r="AA86" s="10"/>
      <c r="AB86" s="8" t="str">
        <f t="shared" si="17"/>
        <v>待补充每日记录</v>
      </c>
      <c r="AC86" s="8" t="str">
        <f>IF(A86="","",IF(A86="止损计划",IF(OR(B86="",D86="",E86="",F86="",G86=""),"计划不完整",IF(OR(D86&lt;1,D86&lt;&gt;INT(D86)),"阶段序号无效",IF(COUNTIFS($A$2:$A$157,"止损计划",$B$2:$B$157,B86,$D$2:$D$157,D86)&gt;1,"阶段序号重复",IF(E86&lt;=IFERROR(LOOKUP(2,1/(单次交易!$A$2:$A$88=B86),单次交易!$E$2:$E$88),0),"激活价须高于买入价",IF(F86&lt;N86,"止损价不得低于初始止损",IF(F86&gt;E86,"止损价不得高于激活价",IF(AND(COUNTIFS($A$2:$A$157,"止损计划",$B$2:$B$157,B86,$D$2:$D$157,"&lt;"&amp;D86)&gt;0,OR(E86&lt;=SUMPRODUCT(MAX((($A$2:$A$157="止损计划")*($B$2:$B$157=B86)*($D$2:$D$157&lt;D86))*$E$2:$E$157)),F86&lt;SUMPRODUCT(MAX((($A$2:$A$157="止损计划")*($B$2:$B$157=B86)*($D$2:$D$157&lt;D86))*$F$2:$F$157)))),"阶段价格必须逐级提高","计划有效"))))))),IF(A86="每日跟踪",IF(OR(B86="",H86="",I86="",J86=""),"每日数据不完整",IF(COUNTIFS($A$2:$A$157,"每日跟踪",$B$2:$B$157,B86,$H$2:$H$157,H86)&gt;1,"同一交易日期重复",IF(AND(R86&lt;&gt;"",R86&lt;S86),"人工止损无效：不能下调","跟踪有效"))),"记录类型无效")))</f>
        <v>每日数据不完整</v>
      </c>
    </row>
    <row r="87" ht="17" spans="1:29">
      <c r="A87" s="2" t="s">
        <v>95</v>
      </c>
      <c r="B87" s="2">
        <v>86</v>
      </c>
      <c r="C87" s="8" t="str">
        <f>IF(B87="","",IFERROR(LOOKUP(2,1/(单次交易!$A$2:$A$88=B87),单次交易!$B$2:$B$88),""))</f>
        <v>比亚迪</v>
      </c>
      <c r="D87" s="12"/>
      <c r="E87" s="10"/>
      <c r="F87" s="10"/>
      <c r="G87" s="2"/>
      <c r="H87" s="13">
        <v>43180</v>
      </c>
      <c r="I87" s="10">
        <v>17.55</v>
      </c>
      <c r="J87" s="12"/>
      <c r="K87" s="2"/>
      <c r="L87" s="2"/>
      <c r="M87" s="2"/>
      <c r="N87" s="5">
        <f>IF(B87="","",IFERROR(LOOKUP(2,1/(单次交易!$A$2:$A$88=B87),单次交易!$N$2:$N$88),""))</f>
        <v>18</v>
      </c>
      <c r="O87" s="5">
        <f t="shared" si="18"/>
        <v>17.55</v>
      </c>
      <c r="P87" s="11">
        <f t="shared" si="19"/>
        <v>0</v>
      </c>
      <c r="Q87" s="5">
        <f t="shared" si="20"/>
        <v>18</v>
      </c>
      <c r="R87" s="10"/>
      <c r="S87" s="5">
        <f t="shared" si="21"/>
        <v>18</v>
      </c>
      <c r="T87" s="5" t="str">
        <f t="shared" si="22"/>
        <v/>
      </c>
      <c r="U87" s="5" t="str">
        <f t="shared" si="23"/>
        <v/>
      </c>
      <c r="V87" s="7" t="str">
        <f t="shared" si="15"/>
        <v/>
      </c>
      <c r="W87" s="8" t="str">
        <f t="shared" si="16"/>
        <v>触发止损：应全部卖出</v>
      </c>
      <c r="X87" s="2" t="s">
        <v>96</v>
      </c>
      <c r="Y87" s="10">
        <v>17.55</v>
      </c>
      <c r="Z87" s="11">
        <f>IF(X87&lt;&gt;"执行卖出","",IFERROR(LOOKUP(2,1/(单次交易!$A$2:$A$88=B87),单次交易!$AP$2:$AP$88),""))</f>
        <v>12700</v>
      </c>
      <c r="AA87" s="10"/>
      <c r="AB87" s="8" t="str">
        <f t="shared" si="17"/>
        <v>待补充每日记录</v>
      </c>
      <c r="AC87" s="8" t="str">
        <f>IF(A87="","",IF(A87="止损计划",IF(OR(B87="",D87="",E87="",F87="",G87=""),"计划不完整",IF(OR(D87&lt;1,D87&lt;&gt;INT(D87)),"阶段序号无效",IF(COUNTIFS($A$2:$A$157,"止损计划",$B$2:$B$157,B87,$D$2:$D$157,D87)&gt;1,"阶段序号重复",IF(E87&lt;=IFERROR(LOOKUP(2,1/(单次交易!$A$2:$A$88=B87),单次交易!$E$2:$E$88),0),"激活价须高于买入价",IF(F87&lt;N87,"止损价不得低于初始止损",IF(F87&gt;E87,"止损价不得高于激活价",IF(AND(COUNTIFS($A$2:$A$157,"止损计划",$B$2:$B$157,B87,$D$2:$D$157,"&lt;"&amp;D87)&gt;0,OR(E87&lt;=SUMPRODUCT(MAX((($A$2:$A$157="止损计划")*($B$2:$B$157=B87)*($D$2:$D$157&lt;D87))*$E$2:$E$157)),F87&lt;SUMPRODUCT(MAX((($A$2:$A$157="止损计划")*($B$2:$B$157=B87)*($D$2:$D$157&lt;D87))*$F$2:$F$157)))),"阶段价格必须逐级提高","计划有效"))))))),IF(A87="每日跟踪",IF(OR(B87="",H87="",I87="",J87=""),"每日数据不完整",IF(COUNTIFS($A$2:$A$157,"每日跟踪",$B$2:$B$157,B87,$H$2:$H$157,H87)&gt;1,"同一交易日期重复",IF(AND(R87&lt;&gt;"",R87&lt;S87),"人工止损无效：不能下调","跟踪有效"))),"记录类型无效")))</f>
        <v>每日数据不完整</v>
      </c>
    </row>
    <row r="88" ht="17" spans="1:29">
      <c r="A88" s="2" t="s">
        <v>95</v>
      </c>
      <c r="B88" s="2">
        <v>87</v>
      </c>
      <c r="C88" s="8" t="str">
        <f>IF(B88="","",IFERROR(LOOKUP(2,1/(单次交易!$A$2:$A$88=B88),单次交易!$B$2:$B$88),""))</f>
        <v>比亚迪</v>
      </c>
      <c r="D88" s="12"/>
      <c r="E88" s="10"/>
      <c r="F88" s="10"/>
      <c r="G88" s="2"/>
      <c r="H88" s="13">
        <v>43482</v>
      </c>
      <c r="I88" s="10">
        <v>12.56</v>
      </c>
      <c r="J88" s="12"/>
      <c r="K88" s="2"/>
      <c r="L88" s="2"/>
      <c r="M88" s="2"/>
      <c r="N88" s="5">
        <f>IF(B88="","",IFERROR(LOOKUP(2,1/(单次交易!$A$2:$A$88=B88),单次交易!$N$2:$N$88),""))</f>
        <v>13</v>
      </c>
      <c r="O88" s="5">
        <f t="shared" si="18"/>
        <v>12.56</v>
      </c>
      <c r="P88" s="11">
        <f t="shared" si="19"/>
        <v>0</v>
      </c>
      <c r="Q88" s="5">
        <f t="shared" si="20"/>
        <v>13</v>
      </c>
      <c r="R88" s="10"/>
      <c r="S88" s="5">
        <f t="shared" si="21"/>
        <v>13</v>
      </c>
      <c r="T88" s="5" t="str">
        <f t="shared" si="22"/>
        <v/>
      </c>
      <c r="U88" s="5" t="str">
        <f t="shared" si="23"/>
        <v/>
      </c>
      <c r="V88" s="7" t="str">
        <f t="shared" si="15"/>
        <v/>
      </c>
      <c r="W88" s="8" t="str">
        <f t="shared" si="16"/>
        <v>触发止损：应全部卖出</v>
      </c>
      <c r="X88" s="2" t="s">
        <v>96</v>
      </c>
      <c r="Y88" s="10">
        <v>12.56</v>
      </c>
      <c r="Z88" s="11">
        <f>IF(X88&lt;&gt;"执行卖出","",IFERROR(LOOKUP(2,1/(单次交易!$A$2:$A$88=B88),单次交易!$AP$2:$AP$88),""))</f>
        <v>7600</v>
      </c>
      <c r="AA88" s="10"/>
      <c r="AB88" s="8" t="str">
        <f t="shared" si="17"/>
        <v>待补充每日记录</v>
      </c>
      <c r="AC88" s="8" t="str">
        <f>IF(A88="","",IF(A88="止损计划",IF(OR(B88="",D88="",E88="",F88="",G88=""),"计划不完整",IF(OR(D88&lt;1,D88&lt;&gt;INT(D88)),"阶段序号无效",IF(COUNTIFS($A$2:$A$157,"止损计划",$B$2:$B$157,B88,$D$2:$D$157,D88)&gt;1,"阶段序号重复",IF(E88&lt;=IFERROR(LOOKUP(2,1/(单次交易!$A$2:$A$88=B88),单次交易!$E$2:$E$88),0),"激活价须高于买入价",IF(F88&lt;N88,"止损价不得低于初始止损",IF(F88&gt;E88,"止损价不得高于激活价",IF(AND(COUNTIFS($A$2:$A$157,"止损计划",$B$2:$B$157,B88,$D$2:$D$157,"&lt;"&amp;D88)&gt;0,OR(E88&lt;=SUMPRODUCT(MAX((($A$2:$A$157="止损计划")*($B$2:$B$157=B88)*($D$2:$D$157&lt;D88))*$E$2:$E$157)),F88&lt;SUMPRODUCT(MAX((($A$2:$A$157="止损计划")*($B$2:$B$157=B88)*($D$2:$D$157&lt;D88))*$F$2:$F$157)))),"阶段价格必须逐级提高","计划有效"))))))),IF(A88="每日跟踪",IF(OR(B88="",H88="",I88="",J88=""),"每日数据不完整",IF(COUNTIFS($A$2:$A$157,"每日跟踪",$B$2:$B$157,B88,$H$2:$H$157,H88)&gt;1,"同一交易日期重复",IF(AND(R88&lt;&gt;"",R88&lt;S88),"人工止损无效：不能下调","跟踪有效"))),"记录类型无效")))</f>
        <v>每日数据不完整</v>
      </c>
    </row>
    <row r="89" ht="17" spans="1:29">
      <c r="A89" s="2" t="s">
        <v>95</v>
      </c>
      <c r="B89" s="2">
        <v>88</v>
      </c>
      <c r="C89" s="8" t="str">
        <f>IF(B89="","",IFERROR(LOOKUP(2,1/(单次交易!$A$2:$A$88=B89),单次交易!$B$2:$B$88),""))</f>
        <v/>
      </c>
      <c r="D89" s="12"/>
      <c r="E89" s="10"/>
      <c r="F89" s="10"/>
      <c r="G89" s="2"/>
      <c r="H89" s="13"/>
      <c r="I89" s="10"/>
      <c r="J89" s="12"/>
      <c r="K89" s="2"/>
      <c r="L89" s="2"/>
      <c r="M89" s="2"/>
      <c r="N89" s="5" t="str">
        <f>IF(B89="","",IFERROR(LOOKUP(2,1/(单次交易!$A$2:$A$88=B89),单次交易!$N$2:$N$88),""))</f>
        <v/>
      </c>
      <c r="O89" s="5" t="str">
        <f t="shared" si="18"/>
        <v/>
      </c>
      <c r="P89" s="11" t="str">
        <f t="shared" si="19"/>
        <v/>
      </c>
      <c r="Q89" s="5" t="str">
        <f t="shared" si="20"/>
        <v/>
      </c>
      <c r="R89" s="10"/>
      <c r="S89" s="5" t="str">
        <f t="shared" si="21"/>
        <v/>
      </c>
      <c r="T89" s="5" t="str">
        <f t="shared" si="22"/>
        <v/>
      </c>
      <c r="U89" s="5" t="str">
        <f t="shared" si="23"/>
        <v/>
      </c>
      <c r="V89" s="7" t="str">
        <f t="shared" si="15"/>
        <v/>
      </c>
      <c r="W89" s="8" t="str">
        <f t="shared" si="16"/>
        <v/>
      </c>
      <c r="X89" s="2"/>
      <c r="Y89" s="10"/>
      <c r="Z89" s="11" t="str">
        <f>IF(X89&lt;&gt;"执行卖出","",IFERROR(LOOKUP(2,1/(单次交易!$A$2:$A$88=B89),单次交易!$AP$2:$AP$88),""))</f>
        <v/>
      </c>
      <c r="AA89" s="10"/>
      <c r="AB89" s="8" t="str">
        <f t="shared" si="17"/>
        <v>待补充每日记录</v>
      </c>
      <c r="AC89" s="8" t="str">
        <f>IF(A89="","",IF(A89="止损计划",IF(OR(B89="",D89="",E89="",F89="",G89=""),"计划不完整",IF(OR(D89&lt;1,D89&lt;&gt;INT(D89)),"阶段序号无效",IF(COUNTIFS($A$2:$A$157,"止损计划",$B$2:$B$157,B89,$D$2:$D$157,D89)&gt;1,"阶段序号重复",IF(E89&lt;=IFERROR(LOOKUP(2,1/(单次交易!$A$2:$A$88=B89),单次交易!$E$2:$E$88),0),"激活价须高于买入价",IF(F89&lt;N89,"止损价不得低于初始止损",IF(F89&gt;E89,"止损价不得高于激活价",IF(AND(COUNTIFS($A$2:$A$157,"止损计划",$B$2:$B$157,B89,$D$2:$D$157,"&lt;"&amp;D89)&gt;0,OR(E89&lt;=SUMPRODUCT(MAX((($A$2:$A$157="止损计划")*($B$2:$B$157=B89)*($D$2:$D$157&lt;D89))*$E$2:$E$157)),F89&lt;SUMPRODUCT(MAX((($A$2:$A$157="止损计划")*($B$2:$B$157=B89)*($D$2:$D$157&lt;D89))*$F$2:$F$157)))),"阶段价格必须逐级提高","计划有效"))))))),IF(A89="每日跟踪",IF(OR(B89="",H89="",I89="",J89=""),"每日数据不完整",IF(COUNTIFS($A$2:$A$157,"每日跟踪",$B$2:$B$157,B89,$H$2:$H$157,H89)&gt;1,"同一交易日期重复",IF(AND(R89&lt;&gt;"",R89&lt;S89),"人工止损无效：不能下调","跟踪有效"))),"记录类型无效")))</f>
        <v>每日数据不完整</v>
      </c>
    </row>
    <row r="90" ht="17" spans="1:29">
      <c r="A90" s="2"/>
      <c r="B90" s="2"/>
      <c r="C90" s="8" t="str">
        <f>IF(B90="","",IFERROR(LOOKUP(2,1/(单次交易!$A$2:$A$88=B90),单次交易!$B$2:$B$88),""))</f>
        <v/>
      </c>
      <c r="D90" s="12"/>
      <c r="E90" s="10"/>
      <c r="F90" s="10"/>
      <c r="G90" s="2"/>
      <c r="H90" s="13"/>
      <c r="I90" s="10"/>
      <c r="J90" s="12"/>
      <c r="K90" s="2"/>
      <c r="L90" s="2"/>
      <c r="M90" s="2"/>
      <c r="N90" s="5" t="str">
        <f>IF(B90="","",IFERROR(LOOKUP(2,1/(单次交易!$A$2:$A$88=B90),单次交易!$N$2:$N$88),""))</f>
        <v/>
      </c>
      <c r="O90" s="5" t="str">
        <f t="shared" si="18"/>
        <v/>
      </c>
      <c r="P90" s="11" t="str">
        <f t="shared" si="19"/>
        <v/>
      </c>
      <c r="Q90" s="5" t="str">
        <f t="shared" si="20"/>
        <v/>
      </c>
      <c r="R90" s="10"/>
      <c r="S90" s="5" t="str">
        <f t="shared" si="21"/>
        <v/>
      </c>
      <c r="T90" s="5" t="str">
        <f t="shared" si="22"/>
        <v/>
      </c>
      <c r="U90" s="5" t="str">
        <f t="shared" si="23"/>
        <v/>
      </c>
      <c r="V90" s="7" t="str">
        <f t="shared" si="15"/>
        <v/>
      </c>
      <c r="W90" s="8" t="str">
        <f t="shared" si="16"/>
        <v/>
      </c>
      <c r="X90" s="2"/>
      <c r="Y90" s="10"/>
      <c r="Z90" s="11" t="str">
        <f>IF(X90&lt;&gt;"执行卖出","",IFERROR(LOOKUP(2,1/(单次交易!$A$2:$A$88=B90),单次交易!$AP$2:$AP$88),""))</f>
        <v/>
      </c>
      <c r="AA90" s="10"/>
      <c r="AB90" s="8" t="str">
        <f t="shared" si="17"/>
        <v/>
      </c>
      <c r="AC90" s="8" t="str">
        <f>IF(A90="","",IF(A90="止损计划",IF(OR(B90="",D90="",E90="",F90="",G90=""),"计划不完整",IF(OR(D90&lt;1,D90&lt;&gt;INT(D90)),"阶段序号无效",IF(COUNTIFS($A$2:$A$157,"止损计划",$B$2:$B$157,B90,$D$2:$D$157,D90)&gt;1,"阶段序号重复",IF(E90&lt;=IFERROR(LOOKUP(2,1/(单次交易!$A$2:$A$88=B90),单次交易!$E$2:$E$88),0),"激活价须高于买入价",IF(F90&lt;N90,"止损价不得低于初始止损",IF(F90&gt;E90,"止损价不得高于激活价",IF(AND(COUNTIFS($A$2:$A$157,"止损计划",$B$2:$B$157,B90,$D$2:$D$157,"&lt;"&amp;D90)&gt;0,OR(E90&lt;=SUMPRODUCT(MAX((($A$2:$A$157="止损计划")*($B$2:$B$157=B90)*($D$2:$D$157&lt;D90))*$E$2:$E$157)),F90&lt;SUMPRODUCT(MAX((($A$2:$A$157="止损计划")*($B$2:$B$157=B90)*($D$2:$D$157&lt;D90))*$F$2:$F$157)))),"阶段价格必须逐级提高","计划有效"))))))),IF(A90="每日跟踪",IF(OR(B90="",H90="",I90="",J90=""),"每日数据不完整",IF(COUNTIFS($A$2:$A$157,"每日跟踪",$B$2:$B$157,B90,$H$2:$H$157,H90)&gt;1,"同一交易日期重复",IF(AND(R90&lt;&gt;"",R90&lt;S90),"人工止损无效：不能下调","跟踪有效"))),"记录类型无效")))</f>
        <v/>
      </c>
    </row>
    <row r="91" ht="17" spans="1:29">
      <c r="A91" s="2"/>
      <c r="B91" s="2"/>
      <c r="C91" s="8" t="str">
        <f>IF(B91="","",IFERROR(LOOKUP(2,1/(单次交易!$A$2:$A$88=B91),单次交易!$B$2:$B$88),""))</f>
        <v/>
      </c>
      <c r="D91" s="12"/>
      <c r="E91" s="10"/>
      <c r="F91" s="10"/>
      <c r="G91" s="2"/>
      <c r="H91" s="13"/>
      <c r="I91" s="10"/>
      <c r="J91" s="12"/>
      <c r="K91" s="2"/>
      <c r="L91" s="2"/>
      <c r="M91" s="2"/>
      <c r="N91" s="5" t="str">
        <f>IF(B91="","",IFERROR(LOOKUP(2,1/(单次交易!$A$2:$A$88=B91),单次交易!$N$2:$N$88),""))</f>
        <v/>
      </c>
      <c r="O91" s="5" t="str">
        <f t="shared" si="18"/>
        <v/>
      </c>
      <c r="P91" s="11" t="str">
        <f t="shared" si="19"/>
        <v/>
      </c>
      <c r="Q91" s="5" t="str">
        <f t="shared" si="20"/>
        <v/>
      </c>
      <c r="R91" s="10"/>
      <c r="S91" s="5" t="str">
        <f t="shared" si="21"/>
        <v/>
      </c>
      <c r="T91" s="5" t="str">
        <f t="shared" si="22"/>
        <v/>
      </c>
      <c r="U91" s="5" t="str">
        <f t="shared" si="23"/>
        <v/>
      </c>
      <c r="V91" s="7" t="str">
        <f t="shared" si="15"/>
        <v/>
      </c>
      <c r="W91" s="8" t="str">
        <f t="shared" si="16"/>
        <v/>
      </c>
      <c r="X91" s="2"/>
      <c r="Y91" s="10"/>
      <c r="Z91" s="11" t="str">
        <f>IF(X91&lt;&gt;"执行卖出","",IFERROR(LOOKUP(2,1/(单次交易!$A$2:$A$88=B91),单次交易!$AP$2:$AP$88),""))</f>
        <v/>
      </c>
      <c r="AA91" s="10"/>
      <c r="AB91" s="8" t="str">
        <f t="shared" si="17"/>
        <v/>
      </c>
      <c r="AC91" s="8" t="str">
        <f>IF(A91="","",IF(A91="止损计划",IF(OR(B91="",D91="",E91="",F91="",G91=""),"计划不完整",IF(OR(D91&lt;1,D91&lt;&gt;INT(D91)),"阶段序号无效",IF(COUNTIFS($A$2:$A$157,"止损计划",$B$2:$B$157,B91,$D$2:$D$157,D91)&gt;1,"阶段序号重复",IF(E91&lt;=IFERROR(LOOKUP(2,1/(单次交易!$A$2:$A$88=B91),单次交易!$E$2:$E$88),0),"激活价须高于买入价",IF(F91&lt;N91,"止损价不得低于初始止损",IF(F91&gt;E91,"止损价不得高于激活价",IF(AND(COUNTIFS($A$2:$A$157,"止损计划",$B$2:$B$157,B91,$D$2:$D$157,"&lt;"&amp;D91)&gt;0,OR(E91&lt;=SUMPRODUCT(MAX((($A$2:$A$157="止损计划")*($B$2:$B$157=B91)*($D$2:$D$157&lt;D91))*$E$2:$E$157)),F91&lt;SUMPRODUCT(MAX((($A$2:$A$157="止损计划")*($B$2:$B$157=B91)*($D$2:$D$157&lt;D91))*$F$2:$F$157)))),"阶段价格必须逐级提高","计划有效"))))))),IF(A91="每日跟踪",IF(OR(B91="",H91="",I91="",J91=""),"每日数据不完整",IF(COUNTIFS($A$2:$A$157,"每日跟踪",$B$2:$B$157,B91,$H$2:$H$157,H91)&gt;1,"同一交易日期重复",IF(AND(R91&lt;&gt;"",R91&lt;S91),"人工止损无效：不能下调","跟踪有效"))),"记录类型无效")))</f>
        <v/>
      </c>
    </row>
    <row r="92" ht="17" spans="1:29">
      <c r="A92" s="2"/>
      <c r="B92" s="2"/>
      <c r="C92" s="8" t="str">
        <f>IF(B92="","",IFERROR(LOOKUP(2,1/(单次交易!$A$2:$A$88=B92),单次交易!$B$2:$B$88),""))</f>
        <v/>
      </c>
      <c r="D92" s="12"/>
      <c r="E92" s="10"/>
      <c r="F92" s="10"/>
      <c r="G92" s="2"/>
      <c r="H92" s="13"/>
      <c r="I92" s="10"/>
      <c r="J92" s="12"/>
      <c r="K92" s="2"/>
      <c r="L92" s="2"/>
      <c r="M92" s="2"/>
      <c r="N92" s="5" t="str">
        <f>IF(B92="","",IFERROR(LOOKUP(2,1/(单次交易!$A$2:$A$88=B92),单次交易!$N$2:$N$88),""))</f>
        <v/>
      </c>
      <c r="O92" s="5" t="str">
        <f t="shared" si="18"/>
        <v/>
      </c>
      <c r="P92" s="11" t="str">
        <f t="shared" si="19"/>
        <v/>
      </c>
      <c r="Q92" s="5" t="str">
        <f t="shared" si="20"/>
        <v/>
      </c>
      <c r="R92" s="10"/>
      <c r="S92" s="5" t="str">
        <f t="shared" si="21"/>
        <v/>
      </c>
      <c r="T92" s="5" t="str">
        <f t="shared" si="22"/>
        <v/>
      </c>
      <c r="U92" s="5" t="str">
        <f t="shared" si="23"/>
        <v/>
      </c>
      <c r="V92" s="7" t="str">
        <f t="shared" si="15"/>
        <v/>
      </c>
      <c r="W92" s="8" t="str">
        <f t="shared" si="16"/>
        <v/>
      </c>
      <c r="X92" s="2"/>
      <c r="Y92" s="10"/>
      <c r="Z92" s="11" t="str">
        <f>IF(X92&lt;&gt;"执行卖出","",IFERROR(LOOKUP(2,1/(单次交易!$A$2:$A$88=B92),单次交易!$AP$2:$AP$88),""))</f>
        <v/>
      </c>
      <c r="AA92" s="10"/>
      <c r="AB92" s="8" t="str">
        <f t="shared" si="17"/>
        <v/>
      </c>
      <c r="AC92" s="8" t="str">
        <f>IF(A92="","",IF(A92="止损计划",IF(OR(B92="",D92="",E92="",F92="",G92=""),"计划不完整",IF(OR(D92&lt;1,D92&lt;&gt;INT(D92)),"阶段序号无效",IF(COUNTIFS($A$2:$A$157,"止损计划",$B$2:$B$157,B92,$D$2:$D$157,D92)&gt;1,"阶段序号重复",IF(E92&lt;=IFERROR(LOOKUP(2,1/(单次交易!$A$2:$A$88=B92),单次交易!$E$2:$E$88),0),"激活价须高于买入价",IF(F92&lt;N92,"止损价不得低于初始止损",IF(F92&gt;E92,"止损价不得高于激活价",IF(AND(COUNTIFS($A$2:$A$157,"止损计划",$B$2:$B$157,B92,$D$2:$D$157,"&lt;"&amp;D92)&gt;0,OR(E92&lt;=SUMPRODUCT(MAX((($A$2:$A$157="止损计划")*($B$2:$B$157=B92)*($D$2:$D$157&lt;D92))*$E$2:$E$157)),F92&lt;SUMPRODUCT(MAX((($A$2:$A$157="止损计划")*($B$2:$B$157=B92)*($D$2:$D$157&lt;D92))*$F$2:$F$157)))),"阶段价格必须逐级提高","计划有效"))))))),IF(A92="每日跟踪",IF(OR(B92="",H92="",I92="",J92=""),"每日数据不完整",IF(COUNTIFS($A$2:$A$157,"每日跟踪",$B$2:$B$157,B92,$H$2:$H$157,H92)&gt;1,"同一交易日期重复",IF(AND(R92&lt;&gt;"",R92&lt;S92),"人工止损无效：不能下调","跟踪有效"))),"记录类型无效")))</f>
        <v/>
      </c>
    </row>
    <row r="93" ht="17" spans="1:29">
      <c r="A93" s="2"/>
      <c r="B93" s="2"/>
      <c r="C93" s="8" t="str">
        <f>IF(B93="","",IFERROR(LOOKUP(2,1/(单次交易!$A$2:$A$88=B93),单次交易!$B$2:$B$88),""))</f>
        <v/>
      </c>
      <c r="D93" s="12"/>
      <c r="E93" s="10"/>
      <c r="F93" s="10"/>
      <c r="G93" s="2"/>
      <c r="H93" s="13"/>
      <c r="I93" s="10"/>
      <c r="J93" s="12"/>
      <c r="K93" s="2"/>
      <c r="L93" s="2"/>
      <c r="M93" s="2"/>
      <c r="N93" s="5" t="str">
        <f>IF(B93="","",IFERROR(LOOKUP(2,1/(单次交易!$A$2:$A$88=B93),单次交易!$N$2:$N$88),""))</f>
        <v/>
      </c>
      <c r="O93" s="5" t="str">
        <f t="shared" si="18"/>
        <v/>
      </c>
      <c r="P93" s="11" t="str">
        <f t="shared" si="19"/>
        <v/>
      </c>
      <c r="Q93" s="5" t="str">
        <f t="shared" si="20"/>
        <v/>
      </c>
      <c r="R93" s="10"/>
      <c r="S93" s="5" t="str">
        <f t="shared" si="21"/>
        <v/>
      </c>
      <c r="T93" s="5" t="str">
        <f t="shared" si="22"/>
        <v/>
      </c>
      <c r="U93" s="5" t="str">
        <f t="shared" si="23"/>
        <v/>
      </c>
      <c r="V93" s="7" t="str">
        <f t="shared" si="15"/>
        <v/>
      </c>
      <c r="W93" s="8" t="str">
        <f t="shared" si="16"/>
        <v/>
      </c>
      <c r="X93" s="2"/>
      <c r="Y93" s="10"/>
      <c r="Z93" s="11" t="str">
        <f>IF(X93&lt;&gt;"执行卖出","",IFERROR(LOOKUP(2,1/(单次交易!$A$2:$A$88=B93),单次交易!$AP$2:$AP$88),""))</f>
        <v/>
      </c>
      <c r="AA93" s="10"/>
      <c r="AB93" s="8" t="str">
        <f t="shared" si="17"/>
        <v/>
      </c>
      <c r="AC93" s="8" t="str">
        <f>IF(A93="","",IF(A93="止损计划",IF(OR(B93="",D93="",E93="",F93="",G93=""),"计划不完整",IF(OR(D93&lt;1,D93&lt;&gt;INT(D93)),"阶段序号无效",IF(COUNTIFS($A$2:$A$157,"止损计划",$B$2:$B$157,B93,$D$2:$D$157,D93)&gt;1,"阶段序号重复",IF(E93&lt;=IFERROR(LOOKUP(2,1/(单次交易!$A$2:$A$88=B93),单次交易!$E$2:$E$88),0),"激活价须高于买入价",IF(F93&lt;N93,"止损价不得低于初始止损",IF(F93&gt;E93,"止损价不得高于激活价",IF(AND(COUNTIFS($A$2:$A$157,"止损计划",$B$2:$B$157,B93,$D$2:$D$157,"&lt;"&amp;D93)&gt;0,OR(E93&lt;=SUMPRODUCT(MAX((($A$2:$A$157="止损计划")*($B$2:$B$157=B93)*($D$2:$D$157&lt;D93))*$E$2:$E$157)),F93&lt;SUMPRODUCT(MAX((($A$2:$A$157="止损计划")*($B$2:$B$157=B93)*($D$2:$D$157&lt;D93))*$F$2:$F$157)))),"阶段价格必须逐级提高","计划有效"))))))),IF(A93="每日跟踪",IF(OR(B93="",H93="",I93="",J93=""),"每日数据不完整",IF(COUNTIFS($A$2:$A$157,"每日跟踪",$B$2:$B$157,B93,$H$2:$H$157,H93)&gt;1,"同一交易日期重复",IF(AND(R93&lt;&gt;"",R93&lt;S93),"人工止损无效：不能下调","跟踪有效"))),"记录类型无效")))</f>
        <v/>
      </c>
    </row>
    <row r="94" ht="17" spans="1:29">
      <c r="A94" s="2"/>
      <c r="B94" s="2"/>
      <c r="C94" s="8" t="str">
        <f>IF(B94="","",IFERROR(LOOKUP(2,1/(单次交易!$A$2:$A$88=B94),单次交易!$B$2:$B$88),""))</f>
        <v/>
      </c>
      <c r="D94" s="12"/>
      <c r="E94" s="10"/>
      <c r="F94" s="10"/>
      <c r="G94" s="2"/>
      <c r="H94" s="13"/>
      <c r="I94" s="10"/>
      <c r="J94" s="12"/>
      <c r="K94" s="2"/>
      <c r="L94" s="2"/>
      <c r="M94" s="2"/>
      <c r="N94" s="5" t="str">
        <f>IF(B94="","",IFERROR(LOOKUP(2,1/(单次交易!$A$2:$A$88=B94),单次交易!$N$2:$N$88),""))</f>
        <v/>
      </c>
      <c r="O94" s="5" t="str">
        <f t="shared" si="18"/>
        <v/>
      </c>
      <c r="P94" s="11" t="str">
        <f t="shared" si="19"/>
        <v/>
      </c>
      <c r="Q94" s="5" t="str">
        <f t="shared" si="20"/>
        <v/>
      </c>
      <c r="R94" s="10"/>
      <c r="S94" s="5" t="str">
        <f t="shared" si="21"/>
        <v/>
      </c>
      <c r="T94" s="5" t="str">
        <f t="shared" si="22"/>
        <v/>
      </c>
      <c r="U94" s="5" t="str">
        <f t="shared" si="23"/>
        <v/>
      </c>
      <c r="V94" s="7" t="str">
        <f t="shared" si="15"/>
        <v/>
      </c>
      <c r="W94" s="8" t="str">
        <f t="shared" si="16"/>
        <v/>
      </c>
      <c r="X94" s="2"/>
      <c r="Y94" s="10"/>
      <c r="Z94" s="11" t="str">
        <f>IF(X94&lt;&gt;"执行卖出","",IFERROR(LOOKUP(2,1/(单次交易!$A$2:$A$88=B94),单次交易!$AP$2:$AP$88),""))</f>
        <v/>
      </c>
      <c r="AA94" s="10"/>
      <c r="AB94" s="8" t="str">
        <f t="shared" si="17"/>
        <v/>
      </c>
      <c r="AC94" s="8" t="str">
        <f>IF(A94="","",IF(A94="止损计划",IF(OR(B94="",D94="",E94="",F94="",G94=""),"计划不完整",IF(OR(D94&lt;1,D94&lt;&gt;INT(D94)),"阶段序号无效",IF(COUNTIFS($A$2:$A$157,"止损计划",$B$2:$B$157,B94,$D$2:$D$157,D94)&gt;1,"阶段序号重复",IF(E94&lt;=IFERROR(LOOKUP(2,1/(单次交易!$A$2:$A$88=B94),单次交易!$E$2:$E$88),0),"激活价须高于买入价",IF(F94&lt;N94,"止损价不得低于初始止损",IF(F94&gt;E94,"止损价不得高于激活价",IF(AND(COUNTIFS($A$2:$A$157,"止损计划",$B$2:$B$157,B94,$D$2:$D$157,"&lt;"&amp;D94)&gt;0,OR(E94&lt;=SUMPRODUCT(MAX((($A$2:$A$157="止损计划")*($B$2:$B$157=B94)*($D$2:$D$157&lt;D94))*$E$2:$E$157)),F94&lt;SUMPRODUCT(MAX((($A$2:$A$157="止损计划")*($B$2:$B$157=B94)*($D$2:$D$157&lt;D94))*$F$2:$F$157)))),"阶段价格必须逐级提高","计划有效"))))))),IF(A94="每日跟踪",IF(OR(B94="",H94="",I94="",J94=""),"每日数据不完整",IF(COUNTIFS($A$2:$A$157,"每日跟踪",$B$2:$B$157,B94,$H$2:$H$157,H94)&gt;1,"同一交易日期重复",IF(AND(R94&lt;&gt;"",R94&lt;S94),"人工止损无效：不能下调","跟踪有效"))),"记录类型无效")))</f>
        <v/>
      </c>
    </row>
    <row r="95" ht="17" spans="1:29">
      <c r="A95" s="2"/>
      <c r="B95" s="2"/>
      <c r="C95" s="8" t="str">
        <f>IF(B95="","",IFERROR(LOOKUP(2,1/(单次交易!$A$2:$A$88=B95),单次交易!$B$2:$B$88),""))</f>
        <v/>
      </c>
      <c r="D95" s="12"/>
      <c r="E95" s="10"/>
      <c r="F95" s="10"/>
      <c r="G95" s="2"/>
      <c r="H95" s="13"/>
      <c r="I95" s="10"/>
      <c r="J95" s="12"/>
      <c r="K95" s="2"/>
      <c r="L95" s="2"/>
      <c r="M95" s="2"/>
      <c r="N95" s="5" t="str">
        <f>IF(B95="","",IFERROR(LOOKUP(2,1/(单次交易!$A$2:$A$88=B95),单次交易!$N$2:$N$88),""))</f>
        <v/>
      </c>
      <c r="O95" s="5" t="str">
        <f t="shared" si="18"/>
        <v/>
      </c>
      <c r="P95" s="11" t="str">
        <f t="shared" si="19"/>
        <v/>
      </c>
      <c r="Q95" s="5" t="str">
        <f t="shared" si="20"/>
        <v/>
      </c>
      <c r="R95" s="10"/>
      <c r="S95" s="5" t="str">
        <f t="shared" si="21"/>
        <v/>
      </c>
      <c r="T95" s="5" t="str">
        <f t="shared" si="22"/>
        <v/>
      </c>
      <c r="U95" s="5" t="str">
        <f t="shared" si="23"/>
        <v/>
      </c>
      <c r="V95" s="7" t="str">
        <f t="shared" si="15"/>
        <v/>
      </c>
      <c r="W95" s="8" t="str">
        <f t="shared" si="16"/>
        <v/>
      </c>
      <c r="X95" s="2"/>
      <c r="Y95" s="10"/>
      <c r="Z95" s="11" t="str">
        <f>IF(X95&lt;&gt;"执行卖出","",IFERROR(LOOKUP(2,1/(单次交易!$A$2:$A$88=B95),单次交易!$AP$2:$AP$88),""))</f>
        <v/>
      </c>
      <c r="AA95" s="10"/>
      <c r="AB95" s="8" t="str">
        <f t="shared" si="17"/>
        <v/>
      </c>
      <c r="AC95" s="8" t="str">
        <f>IF(A95="","",IF(A95="止损计划",IF(OR(B95="",D95="",E95="",F95="",G95=""),"计划不完整",IF(OR(D95&lt;1,D95&lt;&gt;INT(D95)),"阶段序号无效",IF(COUNTIFS($A$2:$A$157,"止损计划",$B$2:$B$157,B95,$D$2:$D$157,D95)&gt;1,"阶段序号重复",IF(E95&lt;=IFERROR(LOOKUP(2,1/(单次交易!$A$2:$A$88=B95),单次交易!$E$2:$E$88),0),"激活价须高于买入价",IF(F95&lt;N95,"止损价不得低于初始止损",IF(F95&gt;E95,"止损价不得高于激活价",IF(AND(COUNTIFS($A$2:$A$157,"止损计划",$B$2:$B$157,B95,$D$2:$D$157,"&lt;"&amp;D95)&gt;0,OR(E95&lt;=SUMPRODUCT(MAX((($A$2:$A$157="止损计划")*($B$2:$B$157=B95)*($D$2:$D$157&lt;D95))*$E$2:$E$157)),F95&lt;SUMPRODUCT(MAX((($A$2:$A$157="止损计划")*($B$2:$B$157=B95)*($D$2:$D$157&lt;D95))*$F$2:$F$157)))),"阶段价格必须逐级提高","计划有效"))))))),IF(A95="每日跟踪",IF(OR(B95="",H95="",I95="",J95=""),"每日数据不完整",IF(COUNTIFS($A$2:$A$157,"每日跟踪",$B$2:$B$157,B95,$H$2:$H$157,H95)&gt;1,"同一交易日期重复",IF(AND(R95&lt;&gt;"",R95&lt;S95),"人工止损无效：不能下调","跟踪有效"))),"记录类型无效")))</f>
        <v/>
      </c>
    </row>
    <row r="96" ht="17" spans="1:29">
      <c r="A96" s="2"/>
      <c r="B96" s="2"/>
      <c r="C96" s="8" t="str">
        <f>IF(B96="","",IFERROR(LOOKUP(2,1/(单次交易!$A$2:$A$88=B96),单次交易!$B$2:$B$88),""))</f>
        <v/>
      </c>
      <c r="D96" s="12"/>
      <c r="E96" s="10"/>
      <c r="F96" s="10"/>
      <c r="G96" s="2"/>
      <c r="H96" s="13"/>
      <c r="I96" s="10"/>
      <c r="J96" s="12"/>
      <c r="K96" s="2"/>
      <c r="L96" s="2"/>
      <c r="M96" s="2"/>
      <c r="N96" s="5" t="str">
        <f>IF(B96="","",IFERROR(LOOKUP(2,1/(单次交易!$A$2:$A$88=B96),单次交易!$N$2:$N$88),""))</f>
        <v/>
      </c>
      <c r="O96" s="5" t="str">
        <f t="shared" si="18"/>
        <v/>
      </c>
      <c r="P96" s="11" t="str">
        <f t="shared" si="19"/>
        <v/>
      </c>
      <c r="Q96" s="5" t="str">
        <f t="shared" si="20"/>
        <v/>
      </c>
      <c r="R96" s="10"/>
      <c r="S96" s="5" t="str">
        <f t="shared" si="21"/>
        <v/>
      </c>
      <c r="T96" s="5" t="str">
        <f t="shared" si="22"/>
        <v/>
      </c>
      <c r="U96" s="5" t="str">
        <f t="shared" si="23"/>
        <v/>
      </c>
      <c r="V96" s="7" t="str">
        <f t="shared" si="15"/>
        <v/>
      </c>
      <c r="W96" s="8" t="str">
        <f t="shared" si="16"/>
        <v/>
      </c>
      <c r="X96" s="2"/>
      <c r="Y96" s="10"/>
      <c r="Z96" s="11" t="str">
        <f>IF(X96&lt;&gt;"执行卖出","",IFERROR(LOOKUP(2,1/(单次交易!$A$2:$A$88=B96),单次交易!$AP$2:$AP$88),""))</f>
        <v/>
      </c>
      <c r="AA96" s="10"/>
      <c r="AB96" s="8" t="str">
        <f t="shared" si="17"/>
        <v/>
      </c>
      <c r="AC96" s="8" t="str">
        <f>IF(A96="","",IF(A96="止损计划",IF(OR(B96="",D96="",E96="",F96="",G96=""),"计划不完整",IF(OR(D96&lt;1,D96&lt;&gt;INT(D96)),"阶段序号无效",IF(COUNTIFS($A$2:$A$157,"止损计划",$B$2:$B$157,B96,$D$2:$D$157,D96)&gt;1,"阶段序号重复",IF(E96&lt;=IFERROR(LOOKUP(2,1/(单次交易!$A$2:$A$88=B96),单次交易!$E$2:$E$88),0),"激活价须高于买入价",IF(F96&lt;N96,"止损价不得低于初始止损",IF(F96&gt;E96,"止损价不得高于激活价",IF(AND(COUNTIFS($A$2:$A$157,"止损计划",$B$2:$B$157,B96,$D$2:$D$157,"&lt;"&amp;D96)&gt;0,OR(E96&lt;=SUMPRODUCT(MAX((($A$2:$A$157="止损计划")*($B$2:$B$157=B96)*($D$2:$D$157&lt;D96))*$E$2:$E$157)),F96&lt;SUMPRODUCT(MAX((($A$2:$A$157="止损计划")*($B$2:$B$157=B96)*($D$2:$D$157&lt;D96))*$F$2:$F$157)))),"阶段价格必须逐级提高","计划有效"))))))),IF(A96="每日跟踪",IF(OR(B96="",H96="",I96="",J96=""),"每日数据不完整",IF(COUNTIFS($A$2:$A$157,"每日跟踪",$B$2:$B$157,B96,$H$2:$H$157,H96)&gt;1,"同一交易日期重复",IF(AND(R96&lt;&gt;"",R96&lt;S96),"人工止损无效：不能下调","跟踪有效"))),"记录类型无效")))</f>
        <v/>
      </c>
    </row>
    <row r="97" ht="17" spans="1:29">
      <c r="A97" s="2"/>
      <c r="B97" s="2"/>
      <c r="C97" s="8" t="str">
        <f>IF(B97="","",IFERROR(LOOKUP(2,1/(单次交易!$A$2:$A$88=B97),单次交易!$B$2:$B$88),""))</f>
        <v/>
      </c>
      <c r="D97" s="12"/>
      <c r="E97" s="10"/>
      <c r="F97" s="10"/>
      <c r="G97" s="2"/>
      <c r="H97" s="13"/>
      <c r="I97" s="10"/>
      <c r="J97" s="12"/>
      <c r="K97" s="2"/>
      <c r="L97" s="2"/>
      <c r="M97" s="2"/>
      <c r="N97" s="5" t="str">
        <f>IF(B97="","",IFERROR(LOOKUP(2,1/(单次交易!$A$2:$A$88=B97),单次交易!$N$2:$N$88),""))</f>
        <v/>
      </c>
      <c r="O97" s="5" t="str">
        <f t="shared" si="18"/>
        <v/>
      </c>
      <c r="P97" s="11" t="str">
        <f t="shared" si="19"/>
        <v/>
      </c>
      <c r="Q97" s="5" t="str">
        <f t="shared" si="20"/>
        <v/>
      </c>
      <c r="R97" s="10"/>
      <c r="S97" s="5" t="str">
        <f t="shared" si="21"/>
        <v/>
      </c>
      <c r="T97" s="5" t="str">
        <f t="shared" si="22"/>
        <v/>
      </c>
      <c r="U97" s="5" t="str">
        <f t="shared" si="23"/>
        <v/>
      </c>
      <c r="V97" s="7" t="str">
        <f t="shared" si="15"/>
        <v/>
      </c>
      <c r="W97" s="8" t="str">
        <f t="shared" si="16"/>
        <v/>
      </c>
      <c r="X97" s="2"/>
      <c r="Y97" s="10"/>
      <c r="Z97" s="11" t="str">
        <f>IF(X97&lt;&gt;"执行卖出","",IFERROR(LOOKUP(2,1/(单次交易!$A$2:$A$88=B97),单次交易!$AP$2:$AP$88),""))</f>
        <v/>
      </c>
      <c r="AA97" s="10"/>
      <c r="AB97" s="8" t="str">
        <f t="shared" si="17"/>
        <v/>
      </c>
      <c r="AC97" s="8" t="str">
        <f>IF(A97="","",IF(A97="止损计划",IF(OR(B97="",D97="",E97="",F97="",G97=""),"计划不完整",IF(OR(D97&lt;1,D97&lt;&gt;INT(D97)),"阶段序号无效",IF(COUNTIFS($A$2:$A$157,"止损计划",$B$2:$B$157,B97,$D$2:$D$157,D97)&gt;1,"阶段序号重复",IF(E97&lt;=IFERROR(LOOKUP(2,1/(单次交易!$A$2:$A$88=B97),单次交易!$E$2:$E$88),0),"激活价须高于买入价",IF(F97&lt;N97,"止损价不得低于初始止损",IF(F97&gt;E97,"止损价不得高于激活价",IF(AND(COUNTIFS($A$2:$A$157,"止损计划",$B$2:$B$157,B97,$D$2:$D$157,"&lt;"&amp;D97)&gt;0,OR(E97&lt;=SUMPRODUCT(MAX((($A$2:$A$157="止损计划")*($B$2:$B$157=B97)*($D$2:$D$157&lt;D97))*$E$2:$E$157)),F97&lt;SUMPRODUCT(MAX((($A$2:$A$157="止损计划")*($B$2:$B$157=B97)*($D$2:$D$157&lt;D97))*$F$2:$F$157)))),"阶段价格必须逐级提高","计划有效"))))))),IF(A97="每日跟踪",IF(OR(B97="",H97="",I97="",J97=""),"每日数据不完整",IF(COUNTIFS($A$2:$A$157,"每日跟踪",$B$2:$B$157,B97,$H$2:$H$157,H97)&gt;1,"同一交易日期重复",IF(AND(R97&lt;&gt;"",R97&lt;S97),"人工止损无效：不能下调","跟踪有效"))),"记录类型无效")))</f>
        <v/>
      </c>
    </row>
    <row r="98" ht="17" spans="1:29">
      <c r="A98" s="2"/>
      <c r="B98" s="2"/>
      <c r="C98" s="8" t="str">
        <f>IF(B98="","",IFERROR(LOOKUP(2,1/(单次交易!$A$2:$A$88=B98),单次交易!$B$2:$B$88),""))</f>
        <v/>
      </c>
      <c r="D98" s="12"/>
      <c r="E98" s="10"/>
      <c r="F98" s="10"/>
      <c r="G98" s="2"/>
      <c r="H98" s="13"/>
      <c r="I98" s="10"/>
      <c r="J98" s="12"/>
      <c r="K98" s="2"/>
      <c r="L98" s="2"/>
      <c r="M98" s="2"/>
      <c r="N98" s="5" t="str">
        <f>IF(B98="","",IFERROR(LOOKUP(2,1/(单次交易!$A$2:$A$88=B98),单次交易!$N$2:$N$88),""))</f>
        <v/>
      </c>
      <c r="O98" s="5" t="str">
        <f t="shared" ref="O98:O129" si="24">IF(A98&lt;&gt;"每日跟踪","",IF(OR(B98="",H98="",I98=""),"",IFERROR(SUMPRODUCT(MAX((($A$2:$A$157="每日跟踪")*($B$2:$B$157=B98)*($H$2:$H$157&lt;=H98))*$I$2:$I$157)),"")))</f>
        <v/>
      </c>
      <c r="P98" s="11" t="str">
        <f t="shared" ref="P98:P129" si="25">IF(A98&lt;&gt;"每日跟踪","",IF(O98="","",IFERROR(SUMPRODUCT(MAX((($A$2:$A$157="止损计划")*($B$2:$B$157=B98)*($E$2:$E$157&lt;=O98))*$D$2:$D$157)),0)))</f>
        <v/>
      </c>
      <c r="Q98" s="5" t="str">
        <f t="shared" ref="Q98:Q129" si="26">IF(A98&lt;&gt;"每日跟踪","",IF(N98="","",MAX(N98,IFERROR(SUMPRODUCT(MAX((($A$2:$A$157="止损计划")*($B$2:$B$157=B98)*($E$2:$E$157&lt;=O98))*$F$2:$F$157)),0))))</f>
        <v/>
      </c>
      <c r="R98" s="10"/>
      <c r="S98" s="5" t="str">
        <f t="shared" ref="S98:S129" si="27">IF(A98&lt;&gt;"每日跟踪","",IF(Q98="","",MAX(Q98,IFERROR(SUMPRODUCT(MAX((($A$2:$A$157="每日跟踪")*($B$2:$B$157=B98)*($H$2:$H$157&lt;=H98))*$R$2:$R$157)),0))))</f>
        <v/>
      </c>
      <c r="T98" s="5" t="str">
        <f t="shared" ref="T98:T129" si="28">IF(A98&lt;&gt;"每日跟踪","",IF(O98="","",IF(COUNTIFS($A$2:$A$157,"止损计划",$B$2:$B$157,B98,$E$2:$E$157,"&gt;"&amp;O98)=0,"",INDEX($E$2:$E$157,MATCH(1,INDEX(($A$2:$A$157="止损计划")*($B$2:$B$157=B98)*($E$2:$E$157&gt;O98),0),0)))))</f>
        <v/>
      </c>
      <c r="U98" s="5" t="str">
        <f t="shared" ref="U98:U129" si="29">IF(OR(A98&lt;&gt;"每日跟踪",T98=""),"",IFERROR(SUMIFS($F$2:$F$157,$A$2:$A$157,"止损计划",$B$2:$B$157,B98,$E$2:$E$157,T98),""))</f>
        <v/>
      </c>
      <c r="V98" s="7" t="str">
        <f t="shared" si="15"/>
        <v/>
      </c>
      <c r="W98" s="8" t="str">
        <f t="shared" si="16"/>
        <v/>
      </c>
      <c r="X98" s="2"/>
      <c r="Y98" s="10"/>
      <c r="Z98" s="11" t="str">
        <f>IF(X98&lt;&gt;"执行卖出","",IFERROR(LOOKUP(2,1/(单次交易!$A$2:$A$88=B98),单次交易!$AP$2:$AP$88),""))</f>
        <v/>
      </c>
      <c r="AA98" s="10"/>
      <c r="AB98" s="8" t="str">
        <f t="shared" si="17"/>
        <v/>
      </c>
      <c r="AC98" s="8" t="str">
        <f>IF(A98="","",IF(A98="止损计划",IF(OR(B98="",D98="",E98="",F98="",G98=""),"计划不完整",IF(OR(D98&lt;1,D98&lt;&gt;INT(D98)),"阶段序号无效",IF(COUNTIFS($A$2:$A$157,"止损计划",$B$2:$B$157,B98,$D$2:$D$157,D98)&gt;1,"阶段序号重复",IF(E98&lt;=IFERROR(LOOKUP(2,1/(单次交易!$A$2:$A$88=B98),单次交易!$E$2:$E$88),0),"激活价须高于买入价",IF(F98&lt;N98,"止损价不得低于初始止损",IF(F98&gt;E98,"止损价不得高于激活价",IF(AND(COUNTIFS($A$2:$A$157,"止损计划",$B$2:$B$157,B98,$D$2:$D$157,"&lt;"&amp;D98)&gt;0,OR(E98&lt;=SUMPRODUCT(MAX((($A$2:$A$157="止损计划")*($B$2:$B$157=B98)*($D$2:$D$157&lt;D98))*$E$2:$E$157)),F98&lt;SUMPRODUCT(MAX((($A$2:$A$157="止损计划")*($B$2:$B$157=B98)*($D$2:$D$157&lt;D98))*$F$2:$F$157)))),"阶段价格必须逐级提高","计划有效"))))))),IF(A98="每日跟踪",IF(OR(B98="",H98="",I98="",J98=""),"每日数据不完整",IF(COUNTIFS($A$2:$A$157,"每日跟踪",$B$2:$B$157,B98,$H$2:$H$157,H98)&gt;1,"同一交易日期重复",IF(AND(R98&lt;&gt;"",R98&lt;S98),"人工止损无效：不能下调","跟踪有效"))),"记录类型无效")))</f>
        <v/>
      </c>
    </row>
    <row r="99" ht="17" spans="1:29">
      <c r="A99" s="2"/>
      <c r="B99" s="2"/>
      <c r="C99" s="8" t="str">
        <f>IF(B99="","",IFERROR(LOOKUP(2,1/(单次交易!$A$2:$A$88=B99),单次交易!$B$2:$B$88),""))</f>
        <v/>
      </c>
      <c r="D99" s="12"/>
      <c r="E99" s="10"/>
      <c r="F99" s="10"/>
      <c r="G99" s="2"/>
      <c r="H99" s="13"/>
      <c r="I99" s="10"/>
      <c r="J99" s="12"/>
      <c r="K99" s="2"/>
      <c r="L99" s="2"/>
      <c r="M99" s="2"/>
      <c r="N99" s="5" t="str">
        <f>IF(B99="","",IFERROR(LOOKUP(2,1/(单次交易!$A$2:$A$88=B99),单次交易!$N$2:$N$88),""))</f>
        <v/>
      </c>
      <c r="O99" s="5" t="str">
        <f t="shared" si="24"/>
        <v/>
      </c>
      <c r="P99" s="11" t="str">
        <f t="shared" si="25"/>
        <v/>
      </c>
      <c r="Q99" s="5" t="str">
        <f t="shared" si="26"/>
        <v/>
      </c>
      <c r="R99" s="10"/>
      <c r="S99" s="5" t="str">
        <f t="shared" si="27"/>
        <v/>
      </c>
      <c r="T99" s="5" t="str">
        <f t="shared" si="28"/>
        <v/>
      </c>
      <c r="U99" s="5" t="str">
        <f t="shared" si="29"/>
        <v/>
      </c>
      <c r="V99" s="7" t="str">
        <f t="shared" si="15"/>
        <v/>
      </c>
      <c r="W99" s="8" t="str">
        <f t="shared" si="16"/>
        <v/>
      </c>
      <c r="X99" s="2"/>
      <c r="Y99" s="10"/>
      <c r="Z99" s="11" t="str">
        <f>IF(X99&lt;&gt;"执行卖出","",IFERROR(LOOKUP(2,1/(单次交易!$A$2:$A$88=B99),单次交易!$AP$2:$AP$88),""))</f>
        <v/>
      </c>
      <c r="AA99" s="10"/>
      <c r="AB99" s="8" t="str">
        <f t="shared" si="17"/>
        <v/>
      </c>
      <c r="AC99" s="8" t="str">
        <f>IF(A99="","",IF(A99="止损计划",IF(OR(B99="",D99="",E99="",F99="",G99=""),"计划不完整",IF(OR(D99&lt;1,D99&lt;&gt;INT(D99)),"阶段序号无效",IF(COUNTIFS($A$2:$A$157,"止损计划",$B$2:$B$157,B99,$D$2:$D$157,D99)&gt;1,"阶段序号重复",IF(E99&lt;=IFERROR(LOOKUP(2,1/(单次交易!$A$2:$A$88=B99),单次交易!$E$2:$E$88),0),"激活价须高于买入价",IF(F99&lt;N99,"止损价不得低于初始止损",IF(F99&gt;E99,"止损价不得高于激活价",IF(AND(COUNTIFS($A$2:$A$157,"止损计划",$B$2:$B$157,B99,$D$2:$D$157,"&lt;"&amp;D99)&gt;0,OR(E99&lt;=SUMPRODUCT(MAX((($A$2:$A$157="止损计划")*($B$2:$B$157=B99)*($D$2:$D$157&lt;D99))*$E$2:$E$157)),F99&lt;SUMPRODUCT(MAX((($A$2:$A$157="止损计划")*($B$2:$B$157=B99)*($D$2:$D$157&lt;D99))*$F$2:$F$157)))),"阶段价格必须逐级提高","计划有效"))))))),IF(A99="每日跟踪",IF(OR(B99="",H99="",I99="",J99=""),"每日数据不完整",IF(COUNTIFS($A$2:$A$157,"每日跟踪",$B$2:$B$157,B99,$H$2:$H$157,H99)&gt;1,"同一交易日期重复",IF(AND(R99&lt;&gt;"",R99&lt;S99),"人工止损无效：不能下调","跟踪有效"))),"记录类型无效")))</f>
        <v/>
      </c>
    </row>
    <row r="100" ht="17" spans="1:29">
      <c r="A100" s="2"/>
      <c r="B100" s="2"/>
      <c r="C100" s="8" t="str">
        <f>IF(B100="","",IFERROR(LOOKUP(2,1/(单次交易!$A$2:$A$88=B100),单次交易!$B$2:$B$88),""))</f>
        <v/>
      </c>
      <c r="D100" s="12"/>
      <c r="E100" s="10"/>
      <c r="F100" s="10"/>
      <c r="G100" s="2"/>
      <c r="H100" s="13"/>
      <c r="I100" s="10"/>
      <c r="J100" s="12"/>
      <c r="K100" s="2"/>
      <c r="L100" s="2"/>
      <c r="M100" s="2"/>
      <c r="N100" s="5" t="str">
        <f>IF(B100="","",IFERROR(LOOKUP(2,1/(单次交易!$A$2:$A$88=B100),单次交易!$N$2:$N$88),""))</f>
        <v/>
      </c>
      <c r="O100" s="5" t="str">
        <f t="shared" si="24"/>
        <v/>
      </c>
      <c r="P100" s="11" t="str">
        <f t="shared" si="25"/>
        <v/>
      </c>
      <c r="Q100" s="5" t="str">
        <f t="shared" si="26"/>
        <v/>
      </c>
      <c r="R100" s="10"/>
      <c r="S100" s="5" t="str">
        <f t="shared" si="27"/>
        <v/>
      </c>
      <c r="T100" s="5" t="str">
        <f t="shared" si="28"/>
        <v/>
      </c>
      <c r="U100" s="5" t="str">
        <f t="shared" si="29"/>
        <v/>
      </c>
      <c r="V100" s="7" t="str">
        <f t="shared" si="15"/>
        <v/>
      </c>
      <c r="W100" s="8" t="str">
        <f t="shared" si="16"/>
        <v/>
      </c>
      <c r="X100" s="2"/>
      <c r="Y100" s="10"/>
      <c r="Z100" s="11" t="str">
        <f>IF(X100&lt;&gt;"执行卖出","",IFERROR(LOOKUP(2,1/(单次交易!$A$2:$A$88=B100),单次交易!$AP$2:$AP$88),""))</f>
        <v/>
      </c>
      <c r="AA100" s="10"/>
      <c r="AB100" s="8" t="str">
        <f t="shared" si="17"/>
        <v/>
      </c>
      <c r="AC100" s="8" t="str">
        <f>IF(A100="","",IF(A100="止损计划",IF(OR(B100="",D100="",E100="",F100="",G100=""),"计划不完整",IF(OR(D100&lt;1,D100&lt;&gt;INT(D100)),"阶段序号无效",IF(COUNTIFS($A$2:$A$157,"止损计划",$B$2:$B$157,B100,$D$2:$D$157,D100)&gt;1,"阶段序号重复",IF(E100&lt;=IFERROR(LOOKUP(2,1/(单次交易!$A$2:$A$88=B100),单次交易!$E$2:$E$88),0),"激活价须高于买入价",IF(F100&lt;N100,"止损价不得低于初始止损",IF(F100&gt;E100,"止损价不得高于激活价",IF(AND(COUNTIFS($A$2:$A$157,"止损计划",$B$2:$B$157,B100,$D$2:$D$157,"&lt;"&amp;D100)&gt;0,OR(E100&lt;=SUMPRODUCT(MAX((($A$2:$A$157="止损计划")*($B$2:$B$157=B100)*($D$2:$D$157&lt;D100))*$E$2:$E$157)),F100&lt;SUMPRODUCT(MAX((($A$2:$A$157="止损计划")*($B$2:$B$157=B100)*($D$2:$D$157&lt;D100))*$F$2:$F$157)))),"阶段价格必须逐级提高","计划有效"))))))),IF(A100="每日跟踪",IF(OR(B100="",H100="",I100="",J100=""),"每日数据不完整",IF(COUNTIFS($A$2:$A$157,"每日跟踪",$B$2:$B$157,B100,$H$2:$H$157,H100)&gt;1,"同一交易日期重复",IF(AND(R100&lt;&gt;"",R100&lt;S100),"人工止损无效：不能下调","跟踪有效"))),"记录类型无效")))</f>
        <v/>
      </c>
    </row>
    <row r="101" ht="17" spans="1:29">
      <c r="A101" s="2"/>
      <c r="B101" s="2"/>
      <c r="C101" s="8" t="str">
        <f>IF(B101="","",IFERROR(LOOKUP(2,1/(单次交易!$A$2:$A$88=B101),单次交易!$B$2:$B$88),""))</f>
        <v/>
      </c>
      <c r="D101" s="12"/>
      <c r="E101" s="10"/>
      <c r="F101" s="10"/>
      <c r="G101" s="2"/>
      <c r="H101" s="13"/>
      <c r="I101" s="10"/>
      <c r="J101" s="12"/>
      <c r="K101" s="2"/>
      <c r="L101" s="2"/>
      <c r="M101" s="2"/>
      <c r="N101" s="5" t="str">
        <f>IF(B101="","",IFERROR(LOOKUP(2,1/(单次交易!$A$2:$A$88=B101),单次交易!$N$2:$N$88),""))</f>
        <v/>
      </c>
      <c r="O101" s="5" t="str">
        <f t="shared" si="24"/>
        <v/>
      </c>
      <c r="P101" s="11" t="str">
        <f t="shared" si="25"/>
        <v/>
      </c>
      <c r="Q101" s="5" t="str">
        <f t="shared" si="26"/>
        <v/>
      </c>
      <c r="R101" s="10"/>
      <c r="S101" s="5" t="str">
        <f t="shared" si="27"/>
        <v/>
      </c>
      <c r="T101" s="5" t="str">
        <f t="shared" si="28"/>
        <v/>
      </c>
      <c r="U101" s="5" t="str">
        <f t="shared" si="29"/>
        <v/>
      </c>
      <c r="V101" s="7" t="str">
        <f t="shared" si="15"/>
        <v/>
      </c>
      <c r="W101" s="8" t="str">
        <f t="shared" si="16"/>
        <v/>
      </c>
      <c r="X101" s="2"/>
      <c r="Y101" s="10"/>
      <c r="Z101" s="11" t="str">
        <f>IF(X101&lt;&gt;"执行卖出","",IFERROR(LOOKUP(2,1/(单次交易!$A$2:$A$88=B101),单次交易!$AP$2:$AP$88),""))</f>
        <v/>
      </c>
      <c r="AA101" s="10"/>
      <c r="AB101" s="8" t="str">
        <f t="shared" si="17"/>
        <v/>
      </c>
      <c r="AC101" s="8" t="str">
        <f>IF(A101="","",IF(A101="止损计划",IF(OR(B101="",D101="",E101="",F101="",G101=""),"计划不完整",IF(OR(D101&lt;1,D101&lt;&gt;INT(D101)),"阶段序号无效",IF(COUNTIFS($A$2:$A$157,"止损计划",$B$2:$B$157,B101,$D$2:$D$157,D101)&gt;1,"阶段序号重复",IF(E101&lt;=IFERROR(LOOKUP(2,1/(单次交易!$A$2:$A$88=B101),单次交易!$E$2:$E$88),0),"激活价须高于买入价",IF(F101&lt;N101,"止损价不得低于初始止损",IF(F101&gt;E101,"止损价不得高于激活价",IF(AND(COUNTIFS($A$2:$A$157,"止损计划",$B$2:$B$157,B101,$D$2:$D$157,"&lt;"&amp;D101)&gt;0,OR(E101&lt;=SUMPRODUCT(MAX((($A$2:$A$157="止损计划")*($B$2:$B$157=B101)*($D$2:$D$157&lt;D101))*$E$2:$E$157)),F101&lt;SUMPRODUCT(MAX((($A$2:$A$157="止损计划")*($B$2:$B$157=B101)*($D$2:$D$157&lt;D101))*$F$2:$F$157)))),"阶段价格必须逐级提高","计划有效"))))))),IF(A101="每日跟踪",IF(OR(B101="",H101="",I101="",J101=""),"每日数据不完整",IF(COUNTIFS($A$2:$A$157,"每日跟踪",$B$2:$B$157,B101,$H$2:$H$157,H101)&gt;1,"同一交易日期重复",IF(AND(R101&lt;&gt;"",R101&lt;S101),"人工止损无效：不能下调","跟踪有效"))),"记录类型无效")))</f>
        <v/>
      </c>
    </row>
    <row r="102" ht="17" spans="1:29">
      <c r="A102" s="2"/>
      <c r="B102" s="2"/>
      <c r="C102" s="8" t="str">
        <f>IF(B102="","",IFERROR(LOOKUP(2,1/(单次交易!$A$2:$A$88=B102),单次交易!$B$2:$B$88),""))</f>
        <v/>
      </c>
      <c r="D102" s="12"/>
      <c r="E102" s="10"/>
      <c r="F102" s="10"/>
      <c r="G102" s="2"/>
      <c r="H102" s="13"/>
      <c r="I102" s="10"/>
      <c r="J102" s="12"/>
      <c r="K102" s="2"/>
      <c r="L102" s="2"/>
      <c r="M102" s="2"/>
      <c r="N102" s="5" t="str">
        <f>IF(B102="","",IFERROR(LOOKUP(2,1/(单次交易!$A$2:$A$88=B102),单次交易!$N$2:$N$88),""))</f>
        <v/>
      </c>
      <c r="O102" s="5" t="str">
        <f t="shared" si="24"/>
        <v/>
      </c>
      <c r="P102" s="11" t="str">
        <f t="shared" si="25"/>
        <v/>
      </c>
      <c r="Q102" s="5" t="str">
        <f t="shared" si="26"/>
        <v/>
      </c>
      <c r="R102" s="10"/>
      <c r="S102" s="5" t="str">
        <f t="shared" si="27"/>
        <v/>
      </c>
      <c r="T102" s="5" t="str">
        <f t="shared" si="28"/>
        <v/>
      </c>
      <c r="U102" s="5" t="str">
        <f t="shared" si="29"/>
        <v/>
      </c>
      <c r="V102" s="7" t="str">
        <f t="shared" si="15"/>
        <v/>
      </c>
      <c r="W102" s="8" t="str">
        <f t="shared" si="16"/>
        <v/>
      </c>
      <c r="X102" s="2"/>
      <c r="Y102" s="10"/>
      <c r="Z102" s="11" t="str">
        <f>IF(X102&lt;&gt;"执行卖出","",IFERROR(LOOKUP(2,1/(单次交易!$A$2:$A$88=B102),单次交易!$AP$2:$AP$88),""))</f>
        <v/>
      </c>
      <c r="AA102" s="10"/>
      <c r="AB102" s="8" t="str">
        <f t="shared" si="17"/>
        <v/>
      </c>
      <c r="AC102" s="8" t="str">
        <f>IF(A102="","",IF(A102="止损计划",IF(OR(B102="",D102="",E102="",F102="",G102=""),"计划不完整",IF(OR(D102&lt;1,D102&lt;&gt;INT(D102)),"阶段序号无效",IF(COUNTIFS($A$2:$A$157,"止损计划",$B$2:$B$157,B102,$D$2:$D$157,D102)&gt;1,"阶段序号重复",IF(E102&lt;=IFERROR(LOOKUP(2,1/(单次交易!$A$2:$A$88=B102),单次交易!$E$2:$E$88),0),"激活价须高于买入价",IF(F102&lt;N102,"止损价不得低于初始止损",IF(F102&gt;E102,"止损价不得高于激活价",IF(AND(COUNTIFS($A$2:$A$157,"止损计划",$B$2:$B$157,B102,$D$2:$D$157,"&lt;"&amp;D102)&gt;0,OR(E102&lt;=SUMPRODUCT(MAX((($A$2:$A$157="止损计划")*($B$2:$B$157=B102)*($D$2:$D$157&lt;D102))*$E$2:$E$157)),F102&lt;SUMPRODUCT(MAX((($A$2:$A$157="止损计划")*($B$2:$B$157=B102)*($D$2:$D$157&lt;D102))*$F$2:$F$157)))),"阶段价格必须逐级提高","计划有效"))))))),IF(A102="每日跟踪",IF(OR(B102="",H102="",I102="",J102=""),"每日数据不完整",IF(COUNTIFS($A$2:$A$157,"每日跟踪",$B$2:$B$157,B102,$H$2:$H$157,H102)&gt;1,"同一交易日期重复",IF(AND(R102&lt;&gt;"",R102&lt;S102),"人工止损无效：不能下调","跟踪有效"))),"记录类型无效")))</f>
        <v/>
      </c>
    </row>
    <row r="103" ht="17" spans="1:29">
      <c r="A103" s="2"/>
      <c r="B103" s="2"/>
      <c r="C103" s="8" t="str">
        <f>IF(B103="","",IFERROR(LOOKUP(2,1/(单次交易!$A$2:$A$88=B103),单次交易!$B$2:$B$88),""))</f>
        <v/>
      </c>
      <c r="D103" s="12"/>
      <c r="E103" s="10"/>
      <c r="F103" s="10"/>
      <c r="G103" s="2"/>
      <c r="H103" s="13"/>
      <c r="I103" s="10"/>
      <c r="J103" s="12"/>
      <c r="K103" s="2"/>
      <c r="L103" s="2"/>
      <c r="M103" s="2"/>
      <c r="N103" s="5" t="str">
        <f>IF(B103="","",IFERROR(LOOKUP(2,1/(单次交易!$A$2:$A$88=B103),单次交易!$N$2:$N$88),""))</f>
        <v/>
      </c>
      <c r="O103" s="5" t="str">
        <f t="shared" si="24"/>
        <v/>
      </c>
      <c r="P103" s="11" t="str">
        <f t="shared" si="25"/>
        <v/>
      </c>
      <c r="Q103" s="5" t="str">
        <f t="shared" si="26"/>
        <v/>
      </c>
      <c r="R103" s="10"/>
      <c r="S103" s="5" t="str">
        <f t="shared" si="27"/>
        <v/>
      </c>
      <c r="T103" s="5" t="str">
        <f t="shared" si="28"/>
        <v/>
      </c>
      <c r="U103" s="5" t="str">
        <f t="shared" si="29"/>
        <v/>
      </c>
      <c r="V103" s="7" t="str">
        <f t="shared" si="15"/>
        <v/>
      </c>
      <c r="W103" s="8" t="str">
        <f t="shared" si="16"/>
        <v/>
      </c>
      <c r="X103" s="2"/>
      <c r="Y103" s="10"/>
      <c r="Z103" s="11" t="str">
        <f>IF(X103&lt;&gt;"执行卖出","",IFERROR(LOOKUP(2,1/(单次交易!$A$2:$A$88=B103),单次交易!$AP$2:$AP$88),""))</f>
        <v/>
      </c>
      <c r="AA103" s="10"/>
      <c r="AB103" s="8" t="str">
        <f t="shared" si="17"/>
        <v/>
      </c>
      <c r="AC103" s="8" t="str">
        <f>IF(A103="","",IF(A103="止损计划",IF(OR(B103="",D103="",E103="",F103="",G103=""),"计划不完整",IF(OR(D103&lt;1,D103&lt;&gt;INT(D103)),"阶段序号无效",IF(COUNTIFS($A$2:$A$157,"止损计划",$B$2:$B$157,B103,$D$2:$D$157,D103)&gt;1,"阶段序号重复",IF(E103&lt;=IFERROR(LOOKUP(2,1/(单次交易!$A$2:$A$88=B103),单次交易!$E$2:$E$88),0),"激活价须高于买入价",IF(F103&lt;N103,"止损价不得低于初始止损",IF(F103&gt;E103,"止损价不得高于激活价",IF(AND(COUNTIFS($A$2:$A$157,"止损计划",$B$2:$B$157,B103,$D$2:$D$157,"&lt;"&amp;D103)&gt;0,OR(E103&lt;=SUMPRODUCT(MAX((($A$2:$A$157="止损计划")*($B$2:$B$157=B103)*($D$2:$D$157&lt;D103))*$E$2:$E$157)),F103&lt;SUMPRODUCT(MAX((($A$2:$A$157="止损计划")*($B$2:$B$157=B103)*($D$2:$D$157&lt;D103))*$F$2:$F$157)))),"阶段价格必须逐级提高","计划有效"))))))),IF(A103="每日跟踪",IF(OR(B103="",H103="",I103="",J103=""),"每日数据不完整",IF(COUNTIFS($A$2:$A$157,"每日跟踪",$B$2:$B$157,B103,$H$2:$H$157,H103)&gt;1,"同一交易日期重复",IF(AND(R103&lt;&gt;"",R103&lt;S103),"人工止损无效：不能下调","跟踪有效"))),"记录类型无效")))</f>
        <v/>
      </c>
    </row>
    <row r="104" ht="17" spans="1:29">
      <c r="A104" s="2"/>
      <c r="B104" s="2"/>
      <c r="C104" s="8" t="str">
        <f>IF(B104="","",IFERROR(LOOKUP(2,1/(单次交易!$A$2:$A$88=B104),单次交易!$B$2:$B$88),""))</f>
        <v/>
      </c>
      <c r="D104" s="12"/>
      <c r="E104" s="10"/>
      <c r="F104" s="10"/>
      <c r="G104" s="2"/>
      <c r="H104" s="13"/>
      <c r="I104" s="10"/>
      <c r="J104" s="12"/>
      <c r="K104" s="2"/>
      <c r="L104" s="2"/>
      <c r="M104" s="2"/>
      <c r="N104" s="5" t="str">
        <f>IF(B104="","",IFERROR(LOOKUP(2,1/(单次交易!$A$2:$A$88=B104),单次交易!$N$2:$N$88),""))</f>
        <v/>
      </c>
      <c r="O104" s="5" t="str">
        <f t="shared" si="24"/>
        <v/>
      </c>
      <c r="P104" s="11" t="str">
        <f t="shared" si="25"/>
        <v/>
      </c>
      <c r="Q104" s="5" t="str">
        <f t="shared" si="26"/>
        <v/>
      </c>
      <c r="R104" s="10"/>
      <c r="S104" s="5" t="str">
        <f t="shared" si="27"/>
        <v/>
      </c>
      <c r="T104" s="5" t="str">
        <f t="shared" si="28"/>
        <v/>
      </c>
      <c r="U104" s="5" t="str">
        <f t="shared" si="29"/>
        <v/>
      </c>
      <c r="V104" s="7" t="str">
        <f t="shared" si="15"/>
        <v/>
      </c>
      <c r="W104" s="8" t="str">
        <f t="shared" si="16"/>
        <v/>
      </c>
      <c r="X104" s="2"/>
      <c r="Y104" s="10"/>
      <c r="Z104" s="11" t="str">
        <f>IF(X104&lt;&gt;"执行卖出","",IFERROR(LOOKUP(2,1/(单次交易!$A$2:$A$88=B104),单次交易!$AP$2:$AP$88),""))</f>
        <v/>
      </c>
      <c r="AA104" s="10"/>
      <c r="AB104" s="8" t="str">
        <f t="shared" si="17"/>
        <v/>
      </c>
      <c r="AC104" s="8" t="str">
        <f>IF(A104="","",IF(A104="止损计划",IF(OR(B104="",D104="",E104="",F104="",G104=""),"计划不完整",IF(OR(D104&lt;1,D104&lt;&gt;INT(D104)),"阶段序号无效",IF(COUNTIFS($A$2:$A$157,"止损计划",$B$2:$B$157,B104,$D$2:$D$157,D104)&gt;1,"阶段序号重复",IF(E104&lt;=IFERROR(LOOKUP(2,1/(单次交易!$A$2:$A$88=B104),单次交易!$E$2:$E$88),0),"激活价须高于买入价",IF(F104&lt;N104,"止损价不得低于初始止损",IF(F104&gt;E104,"止损价不得高于激活价",IF(AND(COUNTIFS($A$2:$A$157,"止损计划",$B$2:$B$157,B104,$D$2:$D$157,"&lt;"&amp;D104)&gt;0,OR(E104&lt;=SUMPRODUCT(MAX((($A$2:$A$157="止损计划")*($B$2:$B$157=B104)*($D$2:$D$157&lt;D104))*$E$2:$E$157)),F104&lt;SUMPRODUCT(MAX((($A$2:$A$157="止损计划")*($B$2:$B$157=B104)*($D$2:$D$157&lt;D104))*$F$2:$F$157)))),"阶段价格必须逐级提高","计划有效"))))))),IF(A104="每日跟踪",IF(OR(B104="",H104="",I104="",J104=""),"每日数据不完整",IF(COUNTIFS($A$2:$A$157,"每日跟踪",$B$2:$B$157,B104,$H$2:$H$157,H104)&gt;1,"同一交易日期重复",IF(AND(R104&lt;&gt;"",R104&lt;S104),"人工止损无效：不能下调","跟踪有效"))),"记录类型无效")))</f>
        <v/>
      </c>
    </row>
    <row r="105" ht="17" spans="1:29">
      <c r="A105" s="2"/>
      <c r="B105" s="2"/>
      <c r="C105" s="8" t="str">
        <f>IF(B105="","",IFERROR(LOOKUP(2,1/(单次交易!$A$2:$A$88=B105),单次交易!$B$2:$B$88),""))</f>
        <v/>
      </c>
      <c r="D105" s="12"/>
      <c r="E105" s="10"/>
      <c r="F105" s="10"/>
      <c r="G105" s="2"/>
      <c r="H105" s="13"/>
      <c r="I105" s="10"/>
      <c r="J105" s="12"/>
      <c r="K105" s="2"/>
      <c r="L105" s="2"/>
      <c r="M105" s="2"/>
      <c r="N105" s="5" t="str">
        <f>IF(B105="","",IFERROR(LOOKUP(2,1/(单次交易!$A$2:$A$88=B105),单次交易!$N$2:$N$88),""))</f>
        <v/>
      </c>
      <c r="O105" s="5" t="str">
        <f t="shared" si="24"/>
        <v/>
      </c>
      <c r="P105" s="11" t="str">
        <f t="shared" si="25"/>
        <v/>
      </c>
      <c r="Q105" s="5" t="str">
        <f t="shared" si="26"/>
        <v/>
      </c>
      <c r="R105" s="10"/>
      <c r="S105" s="5" t="str">
        <f t="shared" si="27"/>
        <v/>
      </c>
      <c r="T105" s="5" t="str">
        <f t="shared" si="28"/>
        <v/>
      </c>
      <c r="U105" s="5" t="str">
        <f t="shared" si="29"/>
        <v/>
      </c>
      <c r="V105" s="7" t="str">
        <f t="shared" si="15"/>
        <v/>
      </c>
      <c r="W105" s="8" t="str">
        <f t="shared" si="16"/>
        <v/>
      </c>
      <c r="X105" s="2"/>
      <c r="Y105" s="10"/>
      <c r="Z105" s="11" t="str">
        <f>IF(X105&lt;&gt;"执行卖出","",IFERROR(LOOKUP(2,1/(单次交易!$A$2:$A$88=B105),单次交易!$AP$2:$AP$88),""))</f>
        <v/>
      </c>
      <c r="AA105" s="10"/>
      <c r="AB105" s="8" t="str">
        <f t="shared" si="17"/>
        <v/>
      </c>
      <c r="AC105" s="8" t="str">
        <f>IF(A105="","",IF(A105="止损计划",IF(OR(B105="",D105="",E105="",F105="",G105=""),"计划不完整",IF(OR(D105&lt;1,D105&lt;&gt;INT(D105)),"阶段序号无效",IF(COUNTIFS($A$2:$A$157,"止损计划",$B$2:$B$157,B105,$D$2:$D$157,D105)&gt;1,"阶段序号重复",IF(E105&lt;=IFERROR(LOOKUP(2,1/(单次交易!$A$2:$A$88=B105),单次交易!$E$2:$E$88),0),"激活价须高于买入价",IF(F105&lt;N105,"止损价不得低于初始止损",IF(F105&gt;E105,"止损价不得高于激活价",IF(AND(COUNTIFS($A$2:$A$157,"止损计划",$B$2:$B$157,B105,$D$2:$D$157,"&lt;"&amp;D105)&gt;0,OR(E105&lt;=SUMPRODUCT(MAX((($A$2:$A$157="止损计划")*($B$2:$B$157=B105)*($D$2:$D$157&lt;D105))*$E$2:$E$157)),F105&lt;SUMPRODUCT(MAX((($A$2:$A$157="止损计划")*($B$2:$B$157=B105)*($D$2:$D$157&lt;D105))*$F$2:$F$157)))),"阶段价格必须逐级提高","计划有效"))))))),IF(A105="每日跟踪",IF(OR(B105="",H105="",I105="",J105=""),"每日数据不完整",IF(COUNTIFS($A$2:$A$157,"每日跟踪",$B$2:$B$157,B105,$H$2:$H$157,H105)&gt;1,"同一交易日期重复",IF(AND(R105&lt;&gt;"",R105&lt;S105),"人工止损无效：不能下调","跟踪有效"))),"记录类型无效")))</f>
        <v/>
      </c>
    </row>
    <row r="106" ht="17" spans="1:29">
      <c r="A106" s="2"/>
      <c r="B106" s="2"/>
      <c r="C106" s="8" t="str">
        <f>IF(B106="","",IFERROR(LOOKUP(2,1/(单次交易!$A$2:$A$88=B106),单次交易!$B$2:$B$88),""))</f>
        <v/>
      </c>
      <c r="D106" s="12"/>
      <c r="E106" s="10"/>
      <c r="F106" s="10"/>
      <c r="G106" s="2"/>
      <c r="H106" s="13"/>
      <c r="I106" s="10"/>
      <c r="J106" s="12"/>
      <c r="K106" s="2"/>
      <c r="L106" s="2"/>
      <c r="M106" s="2"/>
      <c r="N106" s="5" t="str">
        <f>IF(B106="","",IFERROR(LOOKUP(2,1/(单次交易!$A$2:$A$88=B106),单次交易!$N$2:$N$88),""))</f>
        <v/>
      </c>
      <c r="O106" s="5" t="str">
        <f t="shared" si="24"/>
        <v/>
      </c>
      <c r="P106" s="11" t="str">
        <f t="shared" si="25"/>
        <v/>
      </c>
      <c r="Q106" s="5" t="str">
        <f t="shared" si="26"/>
        <v/>
      </c>
      <c r="R106" s="10"/>
      <c r="S106" s="5" t="str">
        <f t="shared" si="27"/>
        <v/>
      </c>
      <c r="T106" s="5" t="str">
        <f t="shared" si="28"/>
        <v/>
      </c>
      <c r="U106" s="5" t="str">
        <f t="shared" si="29"/>
        <v/>
      </c>
      <c r="V106" s="7" t="str">
        <f t="shared" ref="V106:V157" si="30">IF(OR(A106&lt;&gt;"每日跟踪",T106="",I106="",I106&lt;=0),"",T106/I106-1)</f>
        <v/>
      </c>
      <c r="W106" s="8" t="str">
        <f t="shared" ref="W106:W157" si="31">IF(A106&lt;&gt;"每日跟踪","",IF(OR(I106="",S106=""),"",IF(I106&lt;=S106,"触发止损：应全部卖出","继续观察")))</f>
        <v/>
      </c>
      <c r="X106" s="2"/>
      <c r="Y106" s="10"/>
      <c r="Z106" s="11" t="str">
        <f>IF(X106&lt;&gt;"执行卖出","",IFERROR(LOOKUP(2,1/(单次交易!$A$2:$A$88=B106),单次交易!$AP$2:$AP$88),""))</f>
        <v/>
      </c>
      <c r="AA106" s="10"/>
      <c r="AB106" s="8" t="str">
        <f t="shared" ref="AB106:AB157" si="32">IF(A106&lt;&gt;"每日跟踪","",IF(OR(B106="",H106="",I106="",J106="",K106="",L106="",M106=""),"待补充每日记录",IF(W106="触发止损：应全部卖出",IF(X106&lt;&gt;"执行卖出","违规：触发止损但未执行",IF(Y106="","待补充实际卖出价","卖出记录完整")),IF(X106="","待选择卖出动作",IF(X106="执行卖出",IF(Y106="","待补充实际卖出价","卖出记录完整"),"正常")))))</f>
        <v/>
      </c>
      <c r="AC106" s="8" t="str">
        <f>IF(A106="","",IF(A106="止损计划",IF(OR(B106="",D106="",E106="",F106="",G106=""),"计划不完整",IF(OR(D106&lt;1,D106&lt;&gt;INT(D106)),"阶段序号无效",IF(COUNTIFS($A$2:$A$157,"止损计划",$B$2:$B$157,B106,$D$2:$D$157,D106)&gt;1,"阶段序号重复",IF(E106&lt;=IFERROR(LOOKUP(2,1/(单次交易!$A$2:$A$88=B106),单次交易!$E$2:$E$88),0),"激活价须高于买入价",IF(F106&lt;N106,"止损价不得低于初始止损",IF(F106&gt;E106,"止损价不得高于激活价",IF(AND(COUNTIFS($A$2:$A$157,"止损计划",$B$2:$B$157,B106,$D$2:$D$157,"&lt;"&amp;D106)&gt;0,OR(E106&lt;=SUMPRODUCT(MAX((($A$2:$A$157="止损计划")*($B$2:$B$157=B106)*($D$2:$D$157&lt;D106))*$E$2:$E$157)),F106&lt;SUMPRODUCT(MAX((($A$2:$A$157="止损计划")*($B$2:$B$157=B106)*($D$2:$D$157&lt;D106))*$F$2:$F$157)))),"阶段价格必须逐级提高","计划有效"))))))),IF(A106="每日跟踪",IF(OR(B106="",H106="",I106="",J106=""),"每日数据不完整",IF(COUNTIFS($A$2:$A$157,"每日跟踪",$B$2:$B$157,B106,$H$2:$H$157,H106)&gt;1,"同一交易日期重复",IF(AND(R106&lt;&gt;"",R106&lt;S106),"人工止损无效：不能下调","跟踪有效"))),"记录类型无效")))</f>
        <v/>
      </c>
    </row>
    <row r="107" ht="17" spans="1:29">
      <c r="A107" s="2"/>
      <c r="B107" s="2"/>
      <c r="C107" s="8" t="str">
        <f>IF(B107="","",IFERROR(LOOKUP(2,1/(单次交易!$A$2:$A$88=B107),单次交易!$B$2:$B$88),""))</f>
        <v/>
      </c>
      <c r="D107" s="12"/>
      <c r="E107" s="10"/>
      <c r="F107" s="10"/>
      <c r="G107" s="2"/>
      <c r="H107" s="13"/>
      <c r="I107" s="10"/>
      <c r="J107" s="12"/>
      <c r="K107" s="2"/>
      <c r="L107" s="2"/>
      <c r="M107" s="2"/>
      <c r="N107" s="5" t="str">
        <f>IF(B107="","",IFERROR(LOOKUP(2,1/(单次交易!$A$2:$A$88=B107),单次交易!$N$2:$N$88),""))</f>
        <v/>
      </c>
      <c r="O107" s="5" t="str">
        <f t="shared" si="24"/>
        <v/>
      </c>
      <c r="P107" s="11" t="str">
        <f t="shared" si="25"/>
        <v/>
      </c>
      <c r="Q107" s="5" t="str">
        <f t="shared" si="26"/>
        <v/>
      </c>
      <c r="R107" s="10"/>
      <c r="S107" s="5" t="str">
        <f t="shared" si="27"/>
        <v/>
      </c>
      <c r="T107" s="5" t="str">
        <f t="shared" si="28"/>
        <v/>
      </c>
      <c r="U107" s="5" t="str">
        <f t="shared" si="29"/>
        <v/>
      </c>
      <c r="V107" s="7" t="str">
        <f t="shared" si="30"/>
        <v/>
      </c>
      <c r="W107" s="8" t="str">
        <f t="shared" si="31"/>
        <v/>
      </c>
      <c r="X107" s="2"/>
      <c r="Y107" s="10"/>
      <c r="Z107" s="11" t="str">
        <f>IF(X107&lt;&gt;"执行卖出","",IFERROR(LOOKUP(2,1/(单次交易!$A$2:$A$88=B107),单次交易!$AP$2:$AP$88),""))</f>
        <v/>
      </c>
      <c r="AA107" s="10"/>
      <c r="AB107" s="8" t="str">
        <f t="shared" si="32"/>
        <v/>
      </c>
      <c r="AC107" s="8" t="str">
        <f>IF(A107="","",IF(A107="止损计划",IF(OR(B107="",D107="",E107="",F107="",G107=""),"计划不完整",IF(OR(D107&lt;1,D107&lt;&gt;INT(D107)),"阶段序号无效",IF(COUNTIFS($A$2:$A$157,"止损计划",$B$2:$B$157,B107,$D$2:$D$157,D107)&gt;1,"阶段序号重复",IF(E107&lt;=IFERROR(LOOKUP(2,1/(单次交易!$A$2:$A$88=B107),单次交易!$E$2:$E$88),0),"激活价须高于买入价",IF(F107&lt;N107,"止损价不得低于初始止损",IF(F107&gt;E107,"止损价不得高于激活价",IF(AND(COUNTIFS($A$2:$A$157,"止损计划",$B$2:$B$157,B107,$D$2:$D$157,"&lt;"&amp;D107)&gt;0,OR(E107&lt;=SUMPRODUCT(MAX((($A$2:$A$157="止损计划")*($B$2:$B$157=B107)*($D$2:$D$157&lt;D107))*$E$2:$E$157)),F107&lt;SUMPRODUCT(MAX((($A$2:$A$157="止损计划")*($B$2:$B$157=B107)*($D$2:$D$157&lt;D107))*$F$2:$F$157)))),"阶段价格必须逐级提高","计划有效"))))))),IF(A107="每日跟踪",IF(OR(B107="",H107="",I107="",J107=""),"每日数据不完整",IF(COUNTIFS($A$2:$A$157,"每日跟踪",$B$2:$B$157,B107,$H$2:$H$157,H107)&gt;1,"同一交易日期重复",IF(AND(R107&lt;&gt;"",R107&lt;S107),"人工止损无效：不能下调","跟踪有效"))),"记录类型无效")))</f>
        <v/>
      </c>
    </row>
    <row r="108" ht="17" spans="1:29">
      <c r="A108" s="2"/>
      <c r="B108" s="2"/>
      <c r="C108" s="8" t="str">
        <f>IF(B108="","",IFERROR(LOOKUP(2,1/(单次交易!$A$2:$A$88=B108),单次交易!$B$2:$B$88),""))</f>
        <v/>
      </c>
      <c r="D108" s="12"/>
      <c r="E108" s="10"/>
      <c r="F108" s="10"/>
      <c r="G108" s="2"/>
      <c r="H108" s="13"/>
      <c r="I108" s="10"/>
      <c r="J108" s="12"/>
      <c r="K108" s="2"/>
      <c r="L108" s="2"/>
      <c r="M108" s="2"/>
      <c r="N108" s="5" t="str">
        <f>IF(B108="","",IFERROR(LOOKUP(2,1/(单次交易!$A$2:$A$88=B108),单次交易!$N$2:$N$88),""))</f>
        <v/>
      </c>
      <c r="O108" s="5" t="str">
        <f t="shared" si="24"/>
        <v/>
      </c>
      <c r="P108" s="11" t="str">
        <f t="shared" si="25"/>
        <v/>
      </c>
      <c r="Q108" s="5" t="str">
        <f t="shared" si="26"/>
        <v/>
      </c>
      <c r="R108" s="10"/>
      <c r="S108" s="5" t="str">
        <f t="shared" si="27"/>
        <v/>
      </c>
      <c r="T108" s="5" t="str">
        <f t="shared" si="28"/>
        <v/>
      </c>
      <c r="U108" s="5" t="str">
        <f t="shared" si="29"/>
        <v/>
      </c>
      <c r="V108" s="7" t="str">
        <f t="shared" si="30"/>
        <v/>
      </c>
      <c r="W108" s="8" t="str">
        <f t="shared" si="31"/>
        <v/>
      </c>
      <c r="X108" s="2"/>
      <c r="Y108" s="10"/>
      <c r="Z108" s="11" t="str">
        <f>IF(X108&lt;&gt;"执行卖出","",IFERROR(LOOKUP(2,1/(单次交易!$A$2:$A$88=B108),单次交易!$AP$2:$AP$88),""))</f>
        <v/>
      </c>
      <c r="AA108" s="10"/>
      <c r="AB108" s="8" t="str">
        <f t="shared" si="32"/>
        <v/>
      </c>
      <c r="AC108" s="8" t="str">
        <f>IF(A108="","",IF(A108="止损计划",IF(OR(B108="",D108="",E108="",F108="",G108=""),"计划不完整",IF(OR(D108&lt;1,D108&lt;&gt;INT(D108)),"阶段序号无效",IF(COUNTIFS($A$2:$A$157,"止损计划",$B$2:$B$157,B108,$D$2:$D$157,D108)&gt;1,"阶段序号重复",IF(E108&lt;=IFERROR(LOOKUP(2,1/(单次交易!$A$2:$A$88=B108),单次交易!$E$2:$E$88),0),"激活价须高于买入价",IF(F108&lt;N108,"止损价不得低于初始止损",IF(F108&gt;E108,"止损价不得高于激活价",IF(AND(COUNTIFS($A$2:$A$157,"止损计划",$B$2:$B$157,B108,$D$2:$D$157,"&lt;"&amp;D108)&gt;0,OR(E108&lt;=SUMPRODUCT(MAX((($A$2:$A$157="止损计划")*($B$2:$B$157=B108)*($D$2:$D$157&lt;D108))*$E$2:$E$157)),F108&lt;SUMPRODUCT(MAX((($A$2:$A$157="止损计划")*($B$2:$B$157=B108)*($D$2:$D$157&lt;D108))*$F$2:$F$157)))),"阶段价格必须逐级提高","计划有效"))))))),IF(A108="每日跟踪",IF(OR(B108="",H108="",I108="",J108=""),"每日数据不完整",IF(COUNTIFS($A$2:$A$157,"每日跟踪",$B$2:$B$157,B108,$H$2:$H$157,H108)&gt;1,"同一交易日期重复",IF(AND(R108&lt;&gt;"",R108&lt;S108),"人工止损无效：不能下调","跟踪有效"))),"记录类型无效")))</f>
        <v/>
      </c>
    </row>
    <row r="109" ht="17" spans="1:29">
      <c r="A109" s="2"/>
      <c r="B109" s="2"/>
      <c r="C109" s="8" t="str">
        <f>IF(B109="","",IFERROR(LOOKUP(2,1/(单次交易!$A$2:$A$88=B109),单次交易!$B$2:$B$88),""))</f>
        <v/>
      </c>
      <c r="D109" s="12"/>
      <c r="E109" s="10"/>
      <c r="F109" s="10"/>
      <c r="G109" s="2"/>
      <c r="H109" s="13"/>
      <c r="I109" s="10"/>
      <c r="J109" s="12"/>
      <c r="K109" s="2"/>
      <c r="L109" s="2"/>
      <c r="M109" s="2"/>
      <c r="N109" s="5" t="str">
        <f>IF(B109="","",IFERROR(LOOKUP(2,1/(单次交易!$A$2:$A$88=B109),单次交易!$N$2:$N$88),""))</f>
        <v/>
      </c>
      <c r="O109" s="5" t="str">
        <f t="shared" si="24"/>
        <v/>
      </c>
      <c r="P109" s="11" t="str">
        <f t="shared" si="25"/>
        <v/>
      </c>
      <c r="Q109" s="5" t="str">
        <f t="shared" si="26"/>
        <v/>
      </c>
      <c r="R109" s="10"/>
      <c r="S109" s="5" t="str">
        <f t="shared" si="27"/>
        <v/>
      </c>
      <c r="T109" s="5" t="str">
        <f t="shared" si="28"/>
        <v/>
      </c>
      <c r="U109" s="5" t="str">
        <f t="shared" si="29"/>
        <v/>
      </c>
      <c r="V109" s="7" t="str">
        <f t="shared" si="30"/>
        <v/>
      </c>
      <c r="W109" s="8" t="str">
        <f t="shared" si="31"/>
        <v/>
      </c>
      <c r="X109" s="2"/>
      <c r="Y109" s="10"/>
      <c r="Z109" s="11" t="str">
        <f>IF(X109&lt;&gt;"执行卖出","",IFERROR(LOOKUP(2,1/(单次交易!$A$2:$A$88=B109),单次交易!$AP$2:$AP$88),""))</f>
        <v/>
      </c>
      <c r="AA109" s="10"/>
      <c r="AB109" s="8" t="str">
        <f t="shared" si="32"/>
        <v/>
      </c>
      <c r="AC109" s="8" t="str">
        <f>IF(A109="","",IF(A109="止损计划",IF(OR(B109="",D109="",E109="",F109="",G109=""),"计划不完整",IF(OR(D109&lt;1,D109&lt;&gt;INT(D109)),"阶段序号无效",IF(COUNTIFS($A$2:$A$157,"止损计划",$B$2:$B$157,B109,$D$2:$D$157,D109)&gt;1,"阶段序号重复",IF(E109&lt;=IFERROR(LOOKUP(2,1/(单次交易!$A$2:$A$88=B109),单次交易!$E$2:$E$88),0),"激活价须高于买入价",IF(F109&lt;N109,"止损价不得低于初始止损",IF(F109&gt;E109,"止损价不得高于激活价",IF(AND(COUNTIFS($A$2:$A$157,"止损计划",$B$2:$B$157,B109,$D$2:$D$157,"&lt;"&amp;D109)&gt;0,OR(E109&lt;=SUMPRODUCT(MAX((($A$2:$A$157="止损计划")*($B$2:$B$157=B109)*($D$2:$D$157&lt;D109))*$E$2:$E$157)),F109&lt;SUMPRODUCT(MAX((($A$2:$A$157="止损计划")*($B$2:$B$157=B109)*($D$2:$D$157&lt;D109))*$F$2:$F$157)))),"阶段价格必须逐级提高","计划有效"))))))),IF(A109="每日跟踪",IF(OR(B109="",H109="",I109="",J109=""),"每日数据不完整",IF(COUNTIFS($A$2:$A$157,"每日跟踪",$B$2:$B$157,B109,$H$2:$H$157,H109)&gt;1,"同一交易日期重复",IF(AND(R109&lt;&gt;"",R109&lt;S109),"人工止损无效：不能下调","跟踪有效"))),"记录类型无效")))</f>
        <v/>
      </c>
    </row>
    <row r="110" ht="17" spans="1:29">
      <c r="A110" s="2"/>
      <c r="B110" s="2"/>
      <c r="C110" s="8" t="str">
        <f>IF(B110="","",IFERROR(LOOKUP(2,1/(单次交易!$A$2:$A$88=B110),单次交易!$B$2:$B$88),""))</f>
        <v/>
      </c>
      <c r="D110" s="12"/>
      <c r="E110" s="10"/>
      <c r="F110" s="10"/>
      <c r="G110" s="2"/>
      <c r="H110" s="13"/>
      <c r="I110" s="10"/>
      <c r="J110" s="12"/>
      <c r="K110" s="2"/>
      <c r="L110" s="2"/>
      <c r="M110" s="2"/>
      <c r="N110" s="5" t="str">
        <f>IF(B110="","",IFERROR(LOOKUP(2,1/(单次交易!$A$2:$A$88=B110),单次交易!$N$2:$N$88),""))</f>
        <v/>
      </c>
      <c r="O110" s="5" t="str">
        <f t="shared" si="24"/>
        <v/>
      </c>
      <c r="P110" s="11" t="str">
        <f t="shared" si="25"/>
        <v/>
      </c>
      <c r="Q110" s="5" t="str">
        <f t="shared" si="26"/>
        <v/>
      </c>
      <c r="R110" s="10"/>
      <c r="S110" s="5" t="str">
        <f t="shared" si="27"/>
        <v/>
      </c>
      <c r="T110" s="5" t="str">
        <f t="shared" si="28"/>
        <v/>
      </c>
      <c r="U110" s="5" t="str">
        <f t="shared" si="29"/>
        <v/>
      </c>
      <c r="V110" s="7" t="str">
        <f t="shared" si="30"/>
        <v/>
      </c>
      <c r="W110" s="8" t="str">
        <f t="shared" si="31"/>
        <v/>
      </c>
      <c r="X110" s="2"/>
      <c r="Y110" s="10"/>
      <c r="Z110" s="11" t="str">
        <f>IF(X110&lt;&gt;"执行卖出","",IFERROR(LOOKUP(2,1/(单次交易!$A$2:$A$88=B110),单次交易!$AP$2:$AP$88),""))</f>
        <v/>
      </c>
      <c r="AA110" s="10"/>
      <c r="AB110" s="8" t="str">
        <f t="shared" si="32"/>
        <v/>
      </c>
      <c r="AC110" s="8" t="str">
        <f>IF(A110="","",IF(A110="止损计划",IF(OR(B110="",D110="",E110="",F110="",G110=""),"计划不完整",IF(OR(D110&lt;1,D110&lt;&gt;INT(D110)),"阶段序号无效",IF(COUNTIFS($A$2:$A$157,"止损计划",$B$2:$B$157,B110,$D$2:$D$157,D110)&gt;1,"阶段序号重复",IF(E110&lt;=IFERROR(LOOKUP(2,1/(单次交易!$A$2:$A$88=B110),单次交易!$E$2:$E$88),0),"激活价须高于买入价",IF(F110&lt;N110,"止损价不得低于初始止损",IF(F110&gt;E110,"止损价不得高于激活价",IF(AND(COUNTIFS($A$2:$A$157,"止损计划",$B$2:$B$157,B110,$D$2:$D$157,"&lt;"&amp;D110)&gt;0,OR(E110&lt;=SUMPRODUCT(MAX((($A$2:$A$157="止损计划")*($B$2:$B$157=B110)*($D$2:$D$157&lt;D110))*$E$2:$E$157)),F110&lt;SUMPRODUCT(MAX((($A$2:$A$157="止损计划")*($B$2:$B$157=B110)*($D$2:$D$157&lt;D110))*$F$2:$F$157)))),"阶段价格必须逐级提高","计划有效"))))))),IF(A110="每日跟踪",IF(OR(B110="",H110="",I110="",J110=""),"每日数据不完整",IF(COUNTIFS($A$2:$A$157,"每日跟踪",$B$2:$B$157,B110,$H$2:$H$157,H110)&gt;1,"同一交易日期重复",IF(AND(R110&lt;&gt;"",R110&lt;S110),"人工止损无效：不能下调","跟踪有效"))),"记录类型无效")))</f>
        <v/>
      </c>
    </row>
    <row r="111" ht="17" spans="1:29">
      <c r="A111" s="2"/>
      <c r="B111" s="2"/>
      <c r="C111" s="8" t="str">
        <f>IF(B111="","",IFERROR(LOOKUP(2,1/(单次交易!$A$2:$A$88=B111),单次交易!$B$2:$B$88),""))</f>
        <v/>
      </c>
      <c r="D111" s="12"/>
      <c r="E111" s="10"/>
      <c r="F111" s="10"/>
      <c r="G111" s="2"/>
      <c r="H111" s="13"/>
      <c r="I111" s="10"/>
      <c r="J111" s="12"/>
      <c r="K111" s="2"/>
      <c r="L111" s="2"/>
      <c r="M111" s="2"/>
      <c r="N111" s="5" t="str">
        <f>IF(B111="","",IFERROR(LOOKUP(2,1/(单次交易!$A$2:$A$88=B111),单次交易!$N$2:$N$88),""))</f>
        <v/>
      </c>
      <c r="O111" s="5" t="str">
        <f t="shared" si="24"/>
        <v/>
      </c>
      <c r="P111" s="11" t="str">
        <f t="shared" si="25"/>
        <v/>
      </c>
      <c r="Q111" s="5" t="str">
        <f t="shared" si="26"/>
        <v/>
      </c>
      <c r="R111" s="10"/>
      <c r="S111" s="5" t="str">
        <f t="shared" si="27"/>
        <v/>
      </c>
      <c r="T111" s="5" t="str">
        <f t="shared" si="28"/>
        <v/>
      </c>
      <c r="U111" s="5" t="str">
        <f t="shared" si="29"/>
        <v/>
      </c>
      <c r="V111" s="7" t="str">
        <f t="shared" si="30"/>
        <v/>
      </c>
      <c r="W111" s="8" t="str">
        <f t="shared" si="31"/>
        <v/>
      </c>
      <c r="X111" s="2"/>
      <c r="Y111" s="10"/>
      <c r="Z111" s="11" t="str">
        <f>IF(X111&lt;&gt;"执行卖出","",IFERROR(LOOKUP(2,1/(单次交易!$A$2:$A$88=B111),单次交易!$AP$2:$AP$88),""))</f>
        <v/>
      </c>
      <c r="AA111" s="10"/>
      <c r="AB111" s="8" t="str">
        <f t="shared" si="32"/>
        <v/>
      </c>
      <c r="AC111" s="8" t="str">
        <f>IF(A111="","",IF(A111="止损计划",IF(OR(B111="",D111="",E111="",F111="",G111=""),"计划不完整",IF(OR(D111&lt;1,D111&lt;&gt;INT(D111)),"阶段序号无效",IF(COUNTIFS($A$2:$A$157,"止损计划",$B$2:$B$157,B111,$D$2:$D$157,D111)&gt;1,"阶段序号重复",IF(E111&lt;=IFERROR(LOOKUP(2,1/(单次交易!$A$2:$A$88=B111),单次交易!$E$2:$E$88),0),"激活价须高于买入价",IF(F111&lt;N111,"止损价不得低于初始止损",IF(F111&gt;E111,"止损价不得高于激活价",IF(AND(COUNTIFS($A$2:$A$157,"止损计划",$B$2:$B$157,B111,$D$2:$D$157,"&lt;"&amp;D111)&gt;0,OR(E111&lt;=SUMPRODUCT(MAX((($A$2:$A$157="止损计划")*($B$2:$B$157=B111)*($D$2:$D$157&lt;D111))*$E$2:$E$157)),F111&lt;SUMPRODUCT(MAX((($A$2:$A$157="止损计划")*($B$2:$B$157=B111)*($D$2:$D$157&lt;D111))*$F$2:$F$157)))),"阶段价格必须逐级提高","计划有效"))))))),IF(A111="每日跟踪",IF(OR(B111="",H111="",I111="",J111=""),"每日数据不完整",IF(COUNTIFS($A$2:$A$157,"每日跟踪",$B$2:$B$157,B111,$H$2:$H$157,H111)&gt;1,"同一交易日期重复",IF(AND(R111&lt;&gt;"",R111&lt;S111),"人工止损无效：不能下调","跟踪有效"))),"记录类型无效")))</f>
        <v/>
      </c>
    </row>
    <row r="112" ht="17" spans="1:29">
      <c r="A112" s="2"/>
      <c r="B112" s="2"/>
      <c r="C112" s="8" t="str">
        <f>IF(B112="","",IFERROR(LOOKUP(2,1/(单次交易!$A$2:$A$88=B112),单次交易!$B$2:$B$88),""))</f>
        <v/>
      </c>
      <c r="D112" s="12"/>
      <c r="E112" s="10"/>
      <c r="F112" s="10"/>
      <c r="G112" s="2"/>
      <c r="H112" s="13"/>
      <c r="I112" s="10"/>
      <c r="J112" s="12"/>
      <c r="K112" s="2"/>
      <c r="L112" s="2"/>
      <c r="M112" s="2"/>
      <c r="N112" s="5" t="str">
        <f>IF(B112="","",IFERROR(LOOKUP(2,1/(单次交易!$A$2:$A$88=B112),单次交易!$N$2:$N$88),""))</f>
        <v/>
      </c>
      <c r="O112" s="5" t="str">
        <f t="shared" si="24"/>
        <v/>
      </c>
      <c r="P112" s="11" t="str">
        <f t="shared" si="25"/>
        <v/>
      </c>
      <c r="Q112" s="5" t="str">
        <f t="shared" si="26"/>
        <v/>
      </c>
      <c r="R112" s="10"/>
      <c r="S112" s="5" t="str">
        <f t="shared" si="27"/>
        <v/>
      </c>
      <c r="T112" s="5" t="str">
        <f t="shared" si="28"/>
        <v/>
      </c>
      <c r="U112" s="5" t="str">
        <f t="shared" si="29"/>
        <v/>
      </c>
      <c r="V112" s="7" t="str">
        <f t="shared" si="30"/>
        <v/>
      </c>
      <c r="W112" s="8" t="str">
        <f t="shared" si="31"/>
        <v/>
      </c>
      <c r="X112" s="2"/>
      <c r="Y112" s="10"/>
      <c r="Z112" s="11" t="str">
        <f>IF(X112&lt;&gt;"执行卖出","",IFERROR(LOOKUP(2,1/(单次交易!$A$2:$A$88=B112),单次交易!$AP$2:$AP$88),""))</f>
        <v/>
      </c>
      <c r="AA112" s="10"/>
      <c r="AB112" s="8" t="str">
        <f t="shared" si="32"/>
        <v/>
      </c>
      <c r="AC112" s="8" t="str">
        <f>IF(A112="","",IF(A112="止损计划",IF(OR(B112="",D112="",E112="",F112="",G112=""),"计划不完整",IF(OR(D112&lt;1,D112&lt;&gt;INT(D112)),"阶段序号无效",IF(COUNTIFS($A$2:$A$157,"止损计划",$B$2:$B$157,B112,$D$2:$D$157,D112)&gt;1,"阶段序号重复",IF(E112&lt;=IFERROR(LOOKUP(2,1/(单次交易!$A$2:$A$88=B112),单次交易!$E$2:$E$88),0),"激活价须高于买入价",IF(F112&lt;N112,"止损价不得低于初始止损",IF(F112&gt;E112,"止损价不得高于激活价",IF(AND(COUNTIFS($A$2:$A$157,"止损计划",$B$2:$B$157,B112,$D$2:$D$157,"&lt;"&amp;D112)&gt;0,OR(E112&lt;=SUMPRODUCT(MAX((($A$2:$A$157="止损计划")*($B$2:$B$157=B112)*($D$2:$D$157&lt;D112))*$E$2:$E$157)),F112&lt;SUMPRODUCT(MAX((($A$2:$A$157="止损计划")*($B$2:$B$157=B112)*($D$2:$D$157&lt;D112))*$F$2:$F$157)))),"阶段价格必须逐级提高","计划有效"))))))),IF(A112="每日跟踪",IF(OR(B112="",H112="",I112="",J112=""),"每日数据不完整",IF(COUNTIFS($A$2:$A$157,"每日跟踪",$B$2:$B$157,B112,$H$2:$H$157,H112)&gt;1,"同一交易日期重复",IF(AND(R112&lt;&gt;"",R112&lt;S112),"人工止损无效：不能下调","跟踪有效"))),"记录类型无效")))</f>
        <v/>
      </c>
    </row>
    <row r="113" ht="17" spans="1:29">
      <c r="A113" s="2"/>
      <c r="B113" s="2"/>
      <c r="C113" s="8" t="str">
        <f>IF(B113="","",IFERROR(LOOKUP(2,1/(单次交易!$A$2:$A$88=B113),单次交易!$B$2:$B$88),""))</f>
        <v/>
      </c>
      <c r="D113" s="12"/>
      <c r="E113" s="10"/>
      <c r="F113" s="10"/>
      <c r="G113" s="2"/>
      <c r="H113" s="13"/>
      <c r="I113" s="10"/>
      <c r="J113" s="12"/>
      <c r="K113" s="2"/>
      <c r="L113" s="2"/>
      <c r="M113" s="2"/>
      <c r="N113" s="5" t="str">
        <f>IF(B113="","",IFERROR(LOOKUP(2,1/(单次交易!$A$2:$A$88=B113),单次交易!$N$2:$N$88),""))</f>
        <v/>
      </c>
      <c r="O113" s="5" t="str">
        <f t="shared" si="24"/>
        <v/>
      </c>
      <c r="P113" s="11" t="str">
        <f t="shared" si="25"/>
        <v/>
      </c>
      <c r="Q113" s="5" t="str">
        <f t="shared" si="26"/>
        <v/>
      </c>
      <c r="R113" s="10"/>
      <c r="S113" s="5" t="str">
        <f t="shared" si="27"/>
        <v/>
      </c>
      <c r="T113" s="5" t="str">
        <f t="shared" si="28"/>
        <v/>
      </c>
      <c r="U113" s="5" t="str">
        <f t="shared" si="29"/>
        <v/>
      </c>
      <c r="V113" s="7" t="str">
        <f t="shared" si="30"/>
        <v/>
      </c>
      <c r="W113" s="8" t="str">
        <f t="shared" si="31"/>
        <v/>
      </c>
      <c r="X113" s="2"/>
      <c r="Y113" s="10"/>
      <c r="Z113" s="11" t="str">
        <f>IF(X113&lt;&gt;"执行卖出","",IFERROR(LOOKUP(2,1/(单次交易!$A$2:$A$88=B113),单次交易!$AP$2:$AP$88),""))</f>
        <v/>
      </c>
      <c r="AA113" s="10"/>
      <c r="AB113" s="8" t="str">
        <f t="shared" si="32"/>
        <v/>
      </c>
      <c r="AC113" s="8" t="str">
        <f>IF(A113="","",IF(A113="止损计划",IF(OR(B113="",D113="",E113="",F113="",G113=""),"计划不完整",IF(OR(D113&lt;1,D113&lt;&gt;INT(D113)),"阶段序号无效",IF(COUNTIFS($A$2:$A$157,"止损计划",$B$2:$B$157,B113,$D$2:$D$157,D113)&gt;1,"阶段序号重复",IF(E113&lt;=IFERROR(LOOKUP(2,1/(单次交易!$A$2:$A$88=B113),单次交易!$E$2:$E$88),0),"激活价须高于买入价",IF(F113&lt;N113,"止损价不得低于初始止损",IF(F113&gt;E113,"止损价不得高于激活价",IF(AND(COUNTIFS($A$2:$A$157,"止损计划",$B$2:$B$157,B113,$D$2:$D$157,"&lt;"&amp;D113)&gt;0,OR(E113&lt;=SUMPRODUCT(MAX((($A$2:$A$157="止损计划")*($B$2:$B$157=B113)*($D$2:$D$157&lt;D113))*$E$2:$E$157)),F113&lt;SUMPRODUCT(MAX((($A$2:$A$157="止损计划")*($B$2:$B$157=B113)*($D$2:$D$157&lt;D113))*$F$2:$F$157)))),"阶段价格必须逐级提高","计划有效"))))))),IF(A113="每日跟踪",IF(OR(B113="",H113="",I113="",J113=""),"每日数据不完整",IF(COUNTIFS($A$2:$A$157,"每日跟踪",$B$2:$B$157,B113,$H$2:$H$157,H113)&gt;1,"同一交易日期重复",IF(AND(R113&lt;&gt;"",R113&lt;S113),"人工止损无效：不能下调","跟踪有效"))),"记录类型无效")))</f>
        <v/>
      </c>
    </row>
    <row r="114" ht="17" spans="1:29">
      <c r="A114" s="2"/>
      <c r="B114" s="2"/>
      <c r="C114" s="8" t="str">
        <f>IF(B114="","",IFERROR(LOOKUP(2,1/(单次交易!$A$2:$A$88=B114),单次交易!$B$2:$B$88),""))</f>
        <v/>
      </c>
      <c r="D114" s="12"/>
      <c r="E114" s="10"/>
      <c r="F114" s="10"/>
      <c r="G114" s="2"/>
      <c r="H114" s="13"/>
      <c r="I114" s="10"/>
      <c r="J114" s="12"/>
      <c r="K114" s="2"/>
      <c r="L114" s="2"/>
      <c r="M114" s="2"/>
      <c r="N114" s="5" t="str">
        <f>IF(B114="","",IFERROR(LOOKUP(2,1/(单次交易!$A$2:$A$88=B114),单次交易!$N$2:$N$88),""))</f>
        <v/>
      </c>
      <c r="O114" s="5" t="str">
        <f t="shared" si="24"/>
        <v/>
      </c>
      <c r="P114" s="11" t="str">
        <f t="shared" si="25"/>
        <v/>
      </c>
      <c r="Q114" s="5" t="str">
        <f t="shared" si="26"/>
        <v/>
      </c>
      <c r="R114" s="10"/>
      <c r="S114" s="5" t="str">
        <f t="shared" si="27"/>
        <v/>
      </c>
      <c r="T114" s="5" t="str">
        <f t="shared" si="28"/>
        <v/>
      </c>
      <c r="U114" s="5" t="str">
        <f t="shared" si="29"/>
        <v/>
      </c>
      <c r="V114" s="7" t="str">
        <f t="shared" si="30"/>
        <v/>
      </c>
      <c r="W114" s="8" t="str">
        <f t="shared" si="31"/>
        <v/>
      </c>
      <c r="X114" s="2"/>
      <c r="Y114" s="10"/>
      <c r="Z114" s="11" t="str">
        <f>IF(X114&lt;&gt;"执行卖出","",IFERROR(LOOKUP(2,1/(单次交易!$A$2:$A$88=B114),单次交易!$AP$2:$AP$88),""))</f>
        <v/>
      </c>
      <c r="AA114" s="10"/>
      <c r="AB114" s="8" t="str">
        <f t="shared" si="32"/>
        <v/>
      </c>
      <c r="AC114" s="8" t="str">
        <f>IF(A114="","",IF(A114="止损计划",IF(OR(B114="",D114="",E114="",F114="",G114=""),"计划不完整",IF(OR(D114&lt;1,D114&lt;&gt;INT(D114)),"阶段序号无效",IF(COUNTIFS($A$2:$A$157,"止损计划",$B$2:$B$157,B114,$D$2:$D$157,D114)&gt;1,"阶段序号重复",IF(E114&lt;=IFERROR(LOOKUP(2,1/(单次交易!$A$2:$A$88=B114),单次交易!$E$2:$E$88),0),"激活价须高于买入价",IF(F114&lt;N114,"止损价不得低于初始止损",IF(F114&gt;E114,"止损价不得高于激活价",IF(AND(COUNTIFS($A$2:$A$157,"止损计划",$B$2:$B$157,B114,$D$2:$D$157,"&lt;"&amp;D114)&gt;0,OR(E114&lt;=SUMPRODUCT(MAX((($A$2:$A$157="止损计划")*($B$2:$B$157=B114)*($D$2:$D$157&lt;D114))*$E$2:$E$157)),F114&lt;SUMPRODUCT(MAX((($A$2:$A$157="止损计划")*($B$2:$B$157=B114)*($D$2:$D$157&lt;D114))*$F$2:$F$157)))),"阶段价格必须逐级提高","计划有效"))))))),IF(A114="每日跟踪",IF(OR(B114="",H114="",I114="",J114=""),"每日数据不完整",IF(COUNTIFS($A$2:$A$157,"每日跟踪",$B$2:$B$157,B114,$H$2:$H$157,H114)&gt;1,"同一交易日期重复",IF(AND(R114&lt;&gt;"",R114&lt;S114),"人工止损无效：不能下调","跟踪有效"))),"记录类型无效")))</f>
        <v/>
      </c>
    </row>
    <row r="115" ht="17" spans="1:29">
      <c r="A115" s="2"/>
      <c r="B115" s="2"/>
      <c r="C115" s="8" t="str">
        <f>IF(B115="","",IFERROR(LOOKUP(2,1/(单次交易!$A$2:$A$88=B115),单次交易!$B$2:$B$88),""))</f>
        <v/>
      </c>
      <c r="D115" s="12"/>
      <c r="E115" s="10"/>
      <c r="F115" s="10"/>
      <c r="G115" s="2"/>
      <c r="H115" s="13"/>
      <c r="I115" s="10"/>
      <c r="J115" s="12"/>
      <c r="K115" s="2"/>
      <c r="L115" s="2"/>
      <c r="M115" s="2"/>
      <c r="N115" s="5" t="str">
        <f>IF(B115="","",IFERROR(LOOKUP(2,1/(单次交易!$A$2:$A$88=B115),单次交易!$N$2:$N$88),""))</f>
        <v/>
      </c>
      <c r="O115" s="5" t="str">
        <f t="shared" si="24"/>
        <v/>
      </c>
      <c r="P115" s="11" t="str">
        <f t="shared" si="25"/>
        <v/>
      </c>
      <c r="Q115" s="5" t="str">
        <f t="shared" si="26"/>
        <v/>
      </c>
      <c r="R115" s="10"/>
      <c r="S115" s="5" t="str">
        <f t="shared" si="27"/>
        <v/>
      </c>
      <c r="T115" s="5" t="str">
        <f t="shared" si="28"/>
        <v/>
      </c>
      <c r="U115" s="5" t="str">
        <f t="shared" si="29"/>
        <v/>
      </c>
      <c r="V115" s="7" t="str">
        <f t="shared" si="30"/>
        <v/>
      </c>
      <c r="W115" s="8" t="str">
        <f t="shared" si="31"/>
        <v/>
      </c>
      <c r="X115" s="2"/>
      <c r="Y115" s="10"/>
      <c r="Z115" s="11" t="str">
        <f>IF(X115&lt;&gt;"执行卖出","",IFERROR(LOOKUP(2,1/(单次交易!$A$2:$A$88=B115),单次交易!$AP$2:$AP$88),""))</f>
        <v/>
      </c>
      <c r="AA115" s="10"/>
      <c r="AB115" s="8" t="str">
        <f t="shared" si="32"/>
        <v/>
      </c>
      <c r="AC115" s="8" t="str">
        <f>IF(A115="","",IF(A115="止损计划",IF(OR(B115="",D115="",E115="",F115="",G115=""),"计划不完整",IF(OR(D115&lt;1,D115&lt;&gt;INT(D115)),"阶段序号无效",IF(COUNTIFS($A$2:$A$157,"止损计划",$B$2:$B$157,B115,$D$2:$D$157,D115)&gt;1,"阶段序号重复",IF(E115&lt;=IFERROR(LOOKUP(2,1/(单次交易!$A$2:$A$88=B115),单次交易!$E$2:$E$88),0),"激活价须高于买入价",IF(F115&lt;N115,"止损价不得低于初始止损",IF(F115&gt;E115,"止损价不得高于激活价",IF(AND(COUNTIFS($A$2:$A$157,"止损计划",$B$2:$B$157,B115,$D$2:$D$157,"&lt;"&amp;D115)&gt;0,OR(E115&lt;=SUMPRODUCT(MAX((($A$2:$A$157="止损计划")*($B$2:$B$157=B115)*($D$2:$D$157&lt;D115))*$E$2:$E$157)),F115&lt;SUMPRODUCT(MAX((($A$2:$A$157="止损计划")*($B$2:$B$157=B115)*($D$2:$D$157&lt;D115))*$F$2:$F$157)))),"阶段价格必须逐级提高","计划有效"))))))),IF(A115="每日跟踪",IF(OR(B115="",H115="",I115="",J115=""),"每日数据不完整",IF(COUNTIFS($A$2:$A$157,"每日跟踪",$B$2:$B$157,B115,$H$2:$H$157,H115)&gt;1,"同一交易日期重复",IF(AND(R115&lt;&gt;"",R115&lt;S115),"人工止损无效：不能下调","跟踪有效"))),"记录类型无效")))</f>
        <v/>
      </c>
    </row>
    <row r="116" ht="17" spans="1:29">
      <c r="A116" s="2"/>
      <c r="B116" s="2"/>
      <c r="C116" s="8" t="str">
        <f>IF(B116="","",IFERROR(LOOKUP(2,1/(单次交易!$A$2:$A$88=B116),单次交易!$B$2:$B$88),""))</f>
        <v/>
      </c>
      <c r="D116" s="12"/>
      <c r="E116" s="10"/>
      <c r="F116" s="10"/>
      <c r="G116" s="2"/>
      <c r="H116" s="13"/>
      <c r="I116" s="10"/>
      <c r="J116" s="12"/>
      <c r="K116" s="2"/>
      <c r="L116" s="2"/>
      <c r="M116" s="2"/>
      <c r="N116" s="5" t="str">
        <f>IF(B116="","",IFERROR(LOOKUP(2,1/(单次交易!$A$2:$A$88=B116),单次交易!$N$2:$N$88),""))</f>
        <v/>
      </c>
      <c r="O116" s="5" t="str">
        <f t="shared" si="24"/>
        <v/>
      </c>
      <c r="P116" s="11" t="str">
        <f t="shared" si="25"/>
        <v/>
      </c>
      <c r="Q116" s="5" t="str">
        <f t="shared" si="26"/>
        <v/>
      </c>
      <c r="R116" s="10"/>
      <c r="S116" s="5" t="str">
        <f t="shared" si="27"/>
        <v/>
      </c>
      <c r="T116" s="5" t="str">
        <f t="shared" si="28"/>
        <v/>
      </c>
      <c r="U116" s="5" t="str">
        <f t="shared" si="29"/>
        <v/>
      </c>
      <c r="V116" s="7" t="str">
        <f t="shared" si="30"/>
        <v/>
      </c>
      <c r="W116" s="8" t="str">
        <f t="shared" si="31"/>
        <v/>
      </c>
      <c r="X116" s="2"/>
      <c r="Y116" s="10"/>
      <c r="Z116" s="11" t="str">
        <f>IF(X116&lt;&gt;"执行卖出","",IFERROR(LOOKUP(2,1/(单次交易!$A$2:$A$88=B116),单次交易!$AP$2:$AP$88),""))</f>
        <v/>
      </c>
      <c r="AA116" s="10"/>
      <c r="AB116" s="8" t="str">
        <f t="shared" si="32"/>
        <v/>
      </c>
      <c r="AC116" s="8" t="str">
        <f>IF(A116="","",IF(A116="止损计划",IF(OR(B116="",D116="",E116="",F116="",G116=""),"计划不完整",IF(OR(D116&lt;1,D116&lt;&gt;INT(D116)),"阶段序号无效",IF(COUNTIFS($A$2:$A$157,"止损计划",$B$2:$B$157,B116,$D$2:$D$157,D116)&gt;1,"阶段序号重复",IF(E116&lt;=IFERROR(LOOKUP(2,1/(单次交易!$A$2:$A$88=B116),单次交易!$E$2:$E$88),0),"激活价须高于买入价",IF(F116&lt;N116,"止损价不得低于初始止损",IF(F116&gt;E116,"止损价不得高于激活价",IF(AND(COUNTIFS($A$2:$A$157,"止损计划",$B$2:$B$157,B116,$D$2:$D$157,"&lt;"&amp;D116)&gt;0,OR(E116&lt;=SUMPRODUCT(MAX((($A$2:$A$157="止损计划")*($B$2:$B$157=B116)*($D$2:$D$157&lt;D116))*$E$2:$E$157)),F116&lt;SUMPRODUCT(MAX((($A$2:$A$157="止损计划")*($B$2:$B$157=B116)*($D$2:$D$157&lt;D116))*$F$2:$F$157)))),"阶段价格必须逐级提高","计划有效"))))))),IF(A116="每日跟踪",IF(OR(B116="",H116="",I116="",J116=""),"每日数据不完整",IF(COUNTIFS($A$2:$A$157,"每日跟踪",$B$2:$B$157,B116,$H$2:$H$157,H116)&gt;1,"同一交易日期重复",IF(AND(R116&lt;&gt;"",R116&lt;S116),"人工止损无效：不能下调","跟踪有效"))),"记录类型无效")))</f>
        <v/>
      </c>
    </row>
    <row r="117" ht="17" spans="1:29">
      <c r="A117" s="2"/>
      <c r="B117" s="2"/>
      <c r="C117" s="8" t="str">
        <f>IF(B117="","",IFERROR(LOOKUP(2,1/(单次交易!$A$2:$A$88=B117),单次交易!$B$2:$B$88),""))</f>
        <v/>
      </c>
      <c r="D117" s="12"/>
      <c r="E117" s="10"/>
      <c r="F117" s="10"/>
      <c r="G117" s="2"/>
      <c r="H117" s="13"/>
      <c r="I117" s="10"/>
      <c r="J117" s="12"/>
      <c r="K117" s="2"/>
      <c r="L117" s="2"/>
      <c r="M117" s="2"/>
      <c r="N117" s="5" t="str">
        <f>IF(B117="","",IFERROR(LOOKUP(2,1/(单次交易!$A$2:$A$88=B117),单次交易!$N$2:$N$88),""))</f>
        <v/>
      </c>
      <c r="O117" s="5" t="str">
        <f t="shared" si="24"/>
        <v/>
      </c>
      <c r="P117" s="11" t="str">
        <f t="shared" si="25"/>
        <v/>
      </c>
      <c r="Q117" s="5" t="str">
        <f t="shared" si="26"/>
        <v/>
      </c>
      <c r="R117" s="10"/>
      <c r="S117" s="5" t="str">
        <f t="shared" si="27"/>
        <v/>
      </c>
      <c r="T117" s="5" t="str">
        <f t="shared" si="28"/>
        <v/>
      </c>
      <c r="U117" s="5" t="str">
        <f t="shared" si="29"/>
        <v/>
      </c>
      <c r="V117" s="7" t="str">
        <f t="shared" si="30"/>
        <v/>
      </c>
      <c r="W117" s="8" t="str">
        <f t="shared" si="31"/>
        <v/>
      </c>
      <c r="X117" s="2"/>
      <c r="Y117" s="10"/>
      <c r="Z117" s="11" t="str">
        <f>IF(X117&lt;&gt;"执行卖出","",IFERROR(LOOKUP(2,1/(单次交易!$A$2:$A$88=B117),单次交易!$AP$2:$AP$88),""))</f>
        <v/>
      </c>
      <c r="AA117" s="10"/>
      <c r="AB117" s="8" t="str">
        <f t="shared" si="32"/>
        <v/>
      </c>
      <c r="AC117" s="8" t="str">
        <f>IF(A117="","",IF(A117="止损计划",IF(OR(B117="",D117="",E117="",F117="",G117=""),"计划不完整",IF(OR(D117&lt;1,D117&lt;&gt;INT(D117)),"阶段序号无效",IF(COUNTIFS($A$2:$A$157,"止损计划",$B$2:$B$157,B117,$D$2:$D$157,D117)&gt;1,"阶段序号重复",IF(E117&lt;=IFERROR(LOOKUP(2,1/(单次交易!$A$2:$A$88=B117),单次交易!$E$2:$E$88),0),"激活价须高于买入价",IF(F117&lt;N117,"止损价不得低于初始止损",IF(F117&gt;E117,"止损价不得高于激活价",IF(AND(COUNTIFS($A$2:$A$157,"止损计划",$B$2:$B$157,B117,$D$2:$D$157,"&lt;"&amp;D117)&gt;0,OR(E117&lt;=SUMPRODUCT(MAX((($A$2:$A$157="止损计划")*($B$2:$B$157=B117)*($D$2:$D$157&lt;D117))*$E$2:$E$157)),F117&lt;SUMPRODUCT(MAX((($A$2:$A$157="止损计划")*($B$2:$B$157=B117)*($D$2:$D$157&lt;D117))*$F$2:$F$157)))),"阶段价格必须逐级提高","计划有效"))))))),IF(A117="每日跟踪",IF(OR(B117="",H117="",I117="",J117=""),"每日数据不完整",IF(COUNTIFS($A$2:$A$157,"每日跟踪",$B$2:$B$157,B117,$H$2:$H$157,H117)&gt;1,"同一交易日期重复",IF(AND(R117&lt;&gt;"",R117&lt;S117),"人工止损无效：不能下调","跟踪有效"))),"记录类型无效")))</f>
        <v/>
      </c>
    </row>
    <row r="118" ht="17" spans="1:29">
      <c r="A118" s="2"/>
      <c r="B118" s="2"/>
      <c r="C118" s="8" t="str">
        <f>IF(B118="","",IFERROR(LOOKUP(2,1/(单次交易!$A$2:$A$88=B118),单次交易!$B$2:$B$88),""))</f>
        <v/>
      </c>
      <c r="D118" s="12"/>
      <c r="E118" s="10"/>
      <c r="F118" s="10"/>
      <c r="G118" s="2"/>
      <c r="H118" s="13"/>
      <c r="I118" s="10"/>
      <c r="J118" s="12"/>
      <c r="K118" s="2"/>
      <c r="L118" s="2"/>
      <c r="M118" s="2"/>
      <c r="N118" s="5" t="str">
        <f>IF(B118="","",IFERROR(LOOKUP(2,1/(单次交易!$A$2:$A$88=B118),单次交易!$N$2:$N$88),""))</f>
        <v/>
      </c>
      <c r="O118" s="5" t="str">
        <f t="shared" si="24"/>
        <v/>
      </c>
      <c r="P118" s="11" t="str">
        <f t="shared" si="25"/>
        <v/>
      </c>
      <c r="Q118" s="5" t="str">
        <f t="shared" si="26"/>
        <v/>
      </c>
      <c r="R118" s="10"/>
      <c r="S118" s="5" t="str">
        <f t="shared" si="27"/>
        <v/>
      </c>
      <c r="T118" s="5" t="str">
        <f t="shared" si="28"/>
        <v/>
      </c>
      <c r="U118" s="5" t="str">
        <f t="shared" si="29"/>
        <v/>
      </c>
      <c r="V118" s="7" t="str">
        <f t="shared" si="30"/>
        <v/>
      </c>
      <c r="W118" s="8" t="str">
        <f t="shared" si="31"/>
        <v/>
      </c>
      <c r="X118" s="2"/>
      <c r="Y118" s="10"/>
      <c r="Z118" s="11" t="str">
        <f>IF(X118&lt;&gt;"执行卖出","",IFERROR(LOOKUP(2,1/(单次交易!$A$2:$A$88=B118),单次交易!$AP$2:$AP$88),""))</f>
        <v/>
      </c>
      <c r="AA118" s="10"/>
      <c r="AB118" s="8" t="str">
        <f t="shared" si="32"/>
        <v/>
      </c>
      <c r="AC118" s="8" t="str">
        <f>IF(A118="","",IF(A118="止损计划",IF(OR(B118="",D118="",E118="",F118="",G118=""),"计划不完整",IF(OR(D118&lt;1,D118&lt;&gt;INT(D118)),"阶段序号无效",IF(COUNTIFS($A$2:$A$157,"止损计划",$B$2:$B$157,B118,$D$2:$D$157,D118)&gt;1,"阶段序号重复",IF(E118&lt;=IFERROR(LOOKUP(2,1/(单次交易!$A$2:$A$88=B118),单次交易!$E$2:$E$88),0),"激活价须高于买入价",IF(F118&lt;N118,"止损价不得低于初始止损",IF(F118&gt;E118,"止损价不得高于激活价",IF(AND(COUNTIFS($A$2:$A$157,"止损计划",$B$2:$B$157,B118,$D$2:$D$157,"&lt;"&amp;D118)&gt;0,OR(E118&lt;=SUMPRODUCT(MAX((($A$2:$A$157="止损计划")*($B$2:$B$157=B118)*($D$2:$D$157&lt;D118))*$E$2:$E$157)),F118&lt;SUMPRODUCT(MAX((($A$2:$A$157="止损计划")*($B$2:$B$157=B118)*($D$2:$D$157&lt;D118))*$F$2:$F$157)))),"阶段价格必须逐级提高","计划有效"))))))),IF(A118="每日跟踪",IF(OR(B118="",H118="",I118="",J118=""),"每日数据不完整",IF(COUNTIFS($A$2:$A$157,"每日跟踪",$B$2:$B$157,B118,$H$2:$H$157,H118)&gt;1,"同一交易日期重复",IF(AND(R118&lt;&gt;"",R118&lt;S118),"人工止损无效：不能下调","跟踪有效"))),"记录类型无效")))</f>
        <v/>
      </c>
    </row>
    <row r="119" ht="17" spans="1:29">
      <c r="A119" s="2"/>
      <c r="B119" s="2"/>
      <c r="C119" s="8" t="str">
        <f>IF(B119="","",IFERROR(LOOKUP(2,1/(单次交易!$A$2:$A$88=B119),单次交易!$B$2:$B$88),""))</f>
        <v/>
      </c>
      <c r="D119" s="12"/>
      <c r="E119" s="10"/>
      <c r="F119" s="10"/>
      <c r="G119" s="2"/>
      <c r="H119" s="13"/>
      <c r="I119" s="10"/>
      <c r="J119" s="12"/>
      <c r="K119" s="2"/>
      <c r="L119" s="2"/>
      <c r="M119" s="2"/>
      <c r="N119" s="5" t="str">
        <f>IF(B119="","",IFERROR(LOOKUP(2,1/(单次交易!$A$2:$A$88=B119),单次交易!$N$2:$N$88),""))</f>
        <v/>
      </c>
      <c r="O119" s="5" t="str">
        <f t="shared" si="24"/>
        <v/>
      </c>
      <c r="P119" s="11" t="str">
        <f t="shared" si="25"/>
        <v/>
      </c>
      <c r="Q119" s="5" t="str">
        <f t="shared" si="26"/>
        <v/>
      </c>
      <c r="R119" s="10"/>
      <c r="S119" s="5" t="str">
        <f t="shared" si="27"/>
        <v/>
      </c>
      <c r="T119" s="5" t="str">
        <f t="shared" si="28"/>
        <v/>
      </c>
      <c r="U119" s="5" t="str">
        <f t="shared" si="29"/>
        <v/>
      </c>
      <c r="V119" s="7" t="str">
        <f t="shared" si="30"/>
        <v/>
      </c>
      <c r="W119" s="8" t="str">
        <f t="shared" si="31"/>
        <v/>
      </c>
      <c r="X119" s="2"/>
      <c r="Y119" s="10"/>
      <c r="Z119" s="11" t="str">
        <f>IF(X119&lt;&gt;"执行卖出","",IFERROR(LOOKUP(2,1/(单次交易!$A$2:$A$88=B119),单次交易!$AP$2:$AP$88),""))</f>
        <v/>
      </c>
      <c r="AA119" s="10"/>
      <c r="AB119" s="8" t="str">
        <f t="shared" si="32"/>
        <v/>
      </c>
      <c r="AC119" s="8" t="str">
        <f>IF(A119="","",IF(A119="止损计划",IF(OR(B119="",D119="",E119="",F119="",G119=""),"计划不完整",IF(OR(D119&lt;1,D119&lt;&gt;INT(D119)),"阶段序号无效",IF(COUNTIFS($A$2:$A$157,"止损计划",$B$2:$B$157,B119,$D$2:$D$157,D119)&gt;1,"阶段序号重复",IF(E119&lt;=IFERROR(LOOKUP(2,1/(单次交易!$A$2:$A$88=B119),单次交易!$E$2:$E$88),0),"激活价须高于买入价",IF(F119&lt;N119,"止损价不得低于初始止损",IF(F119&gt;E119,"止损价不得高于激活价",IF(AND(COUNTIFS($A$2:$A$157,"止损计划",$B$2:$B$157,B119,$D$2:$D$157,"&lt;"&amp;D119)&gt;0,OR(E119&lt;=SUMPRODUCT(MAX((($A$2:$A$157="止损计划")*($B$2:$B$157=B119)*($D$2:$D$157&lt;D119))*$E$2:$E$157)),F119&lt;SUMPRODUCT(MAX((($A$2:$A$157="止损计划")*($B$2:$B$157=B119)*($D$2:$D$157&lt;D119))*$F$2:$F$157)))),"阶段价格必须逐级提高","计划有效"))))))),IF(A119="每日跟踪",IF(OR(B119="",H119="",I119="",J119=""),"每日数据不完整",IF(COUNTIFS($A$2:$A$157,"每日跟踪",$B$2:$B$157,B119,$H$2:$H$157,H119)&gt;1,"同一交易日期重复",IF(AND(R119&lt;&gt;"",R119&lt;S119),"人工止损无效：不能下调","跟踪有效"))),"记录类型无效")))</f>
        <v/>
      </c>
    </row>
    <row r="120" ht="17" spans="1:29">
      <c r="A120" s="2"/>
      <c r="B120" s="2"/>
      <c r="C120" s="8" t="str">
        <f>IF(B120="","",IFERROR(LOOKUP(2,1/(单次交易!$A$2:$A$88=B120),单次交易!$B$2:$B$88),""))</f>
        <v/>
      </c>
      <c r="D120" s="12"/>
      <c r="E120" s="10"/>
      <c r="F120" s="10"/>
      <c r="G120" s="2"/>
      <c r="H120" s="13"/>
      <c r="I120" s="10"/>
      <c r="J120" s="12"/>
      <c r="K120" s="2"/>
      <c r="L120" s="2"/>
      <c r="M120" s="2"/>
      <c r="N120" s="5" t="str">
        <f>IF(B120="","",IFERROR(LOOKUP(2,1/(单次交易!$A$2:$A$88=B120),单次交易!$N$2:$N$88),""))</f>
        <v/>
      </c>
      <c r="O120" s="5" t="str">
        <f t="shared" si="24"/>
        <v/>
      </c>
      <c r="P120" s="11" t="str">
        <f t="shared" si="25"/>
        <v/>
      </c>
      <c r="Q120" s="5" t="str">
        <f t="shared" si="26"/>
        <v/>
      </c>
      <c r="R120" s="10"/>
      <c r="S120" s="5" t="str">
        <f t="shared" si="27"/>
        <v/>
      </c>
      <c r="T120" s="5" t="str">
        <f t="shared" si="28"/>
        <v/>
      </c>
      <c r="U120" s="5" t="str">
        <f t="shared" si="29"/>
        <v/>
      </c>
      <c r="V120" s="7" t="str">
        <f t="shared" si="30"/>
        <v/>
      </c>
      <c r="W120" s="8" t="str">
        <f t="shared" si="31"/>
        <v/>
      </c>
      <c r="X120" s="2"/>
      <c r="Y120" s="10"/>
      <c r="Z120" s="11" t="str">
        <f>IF(X120&lt;&gt;"执行卖出","",IFERROR(LOOKUP(2,1/(单次交易!$A$2:$A$88=B120),单次交易!$AP$2:$AP$88),""))</f>
        <v/>
      </c>
      <c r="AA120" s="10"/>
      <c r="AB120" s="8" t="str">
        <f t="shared" si="32"/>
        <v/>
      </c>
      <c r="AC120" s="8" t="str">
        <f>IF(A120="","",IF(A120="止损计划",IF(OR(B120="",D120="",E120="",F120="",G120=""),"计划不完整",IF(OR(D120&lt;1,D120&lt;&gt;INT(D120)),"阶段序号无效",IF(COUNTIFS($A$2:$A$157,"止损计划",$B$2:$B$157,B120,$D$2:$D$157,D120)&gt;1,"阶段序号重复",IF(E120&lt;=IFERROR(LOOKUP(2,1/(单次交易!$A$2:$A$88=B120),单次交易!$E$2:$E$88),0),"激活价须高于买入价",IF(F120&lt;N120,"止损价不得低于初始止损",IF(F120&gt;E120,"止损价不得高于激活价",IF(AND(COUNTIFS($A$2:$A$157,"止损计划",$B$2:$B$157,B120,$D$2:$D$157,"&lt;"&amp;D120)&gt;0,OR(E120&lt;=SUMPRODUCT(MAX((($A$2:$A$157="止损计划")*($B$2:$B$157=B120)*($D$2:$D$157&lt;D120))*$E$2:$E$157)),F120&lt;SUMPRODUCT(MAX((($A$2:$A$157="止损计划")*($B$2:$B$157=B120)*($D$2:$D$157&lt;D120))*$F$2:$F$157)))),"阶段价格必须逐级提高","计划有效"))))))),IF(A120="每日跟踪",IF(OR(B120="",H120="",I120="",J120=""),"每日数据不完整",IF(COUNTIFS($A$2:$A$157,"每日跟踪",$B$2:$B$157,B120,$H$2:$H$157,H120)&gt;1,"同一交易日期重复",IF(AND(R120&lt;&gt;"",R120&lt;S120),"人工止损无效：不能下调","跟踪有效"))),"记录类型无效")))</f>
        <v/>
      </c>
    </row>
    <row r="121" ht="17" spans="1:29">
      <c r="A121" s="2"/>
      <c r="B121" s="2"/>
      <c r="C121" s="8" t="str">
        <f>IF(B121="","",IFERROR(LOOKUP(2,1/(单次交易!$A$2:$A$88=B121),单次交易!$B$2:$B$88),""))</f>
        <v/>
      </c>
      <c r="D121" s="12"/>
      <c r="E121" s="10"/>
      <c r="F121" s="10"/>
      <c r="G121" s="2"/>
      <c r="H121" s="13"/>
      <c r="I121" s="10"/>
      <c r="J121" s="12"/>
      <c r="K121" s="2"/>
      <c r="L121" s="2"/>
      <c r="M121" s="2"/>
      <c r="N121" s="5" t="str">
        <f>IF(B121="","",IFERROR(LOOKUP(2,1/(单次交易!$A$2:$A$88=B121),单次交易!$N$2:$N$88),""))</f>
        <v/>
      </c>
      <c r="O121" s="5" t="str">
        <f t="shared" si="24"/>
        <v/>
      </c>
      <c r="P121" s="11" t="str">
        <f t="shared" si="25"/>
        <v/>
      </c>
      <c r="Q121" s="5" t="str">
        <f t="shared" si="26"/>
        <v/>
      </c>
      <c r="R121" s="10"/>
      <c r="S121" s="5" t="str">
        <f t="shared" si="27"/>
        <v/>
      </c>
      <c r="T121" s="5" t="str">
        <f t="shared" si="28"/>
        <v/>
      </c>
      <c r="U121" s="5" t="str">
        <f t="shared" si="29"/>
        <v/>
      </c>
      <c r="V121" s="7" t="str">
        <f t="shared" si="30"/>
        <v/>
      </c>
      <c r="W121" s="8" t="str">
        <f t="shared" si="31"/>
        <v/>
      </c>
      <c r="X121" s="2"/>
      <c r="Y121" s="10"/>
      <c r="Z121" s="11" t="str">
        <f>IF(X121&lt;&gt;"执行卖出","",IFERROR(LOOKUP(2,1/(单次交易!$A$2:$A$88=B121),单次交易!$AP$2:$AP$88),""))</f>
        <v/>
      </c>
      <c r="AA121" s="10"/>
      <c r="AB121" s="8" t="str">
        <f t="shared" si="32"/>
        <v/>
      </c>
      <c r="AC121" s="8" t="str">
        <f>IF(A121="","",IF(A121="止损计划",IF(OR(B121="",D121="",E121="",F121="",G121=""),"计划不完整",IF(OR(D121&lt;1,D121&lt;&gt;INT(D121)),"阶段序号无效",IF(COUNTIFS($A$2:$A$157,"止损计划",$B$2:$B$157,B121,$D$2:$D$157,D121)&gt;1,"阶段序号重复",IF(E121&lt;=IFERROR(LOOKUP(2,1/(单次交易!$A$2:$A$88=B121),单次交易!$E$2:$E$88),0),"激活价须高于买入价",IF(F121&lt;N121,"止损价不得低于初始止损",IF(F121&gt;E121,"止损价不得高于激活价",IF(AND(COUNTIFS($A$2:$A$157,"止损计划",$B$2:$B$157,B121,$D$2:$D$157,"&lt;"&amp;D121)&gt;0,OR(E121&lt;=SUMPRODUCT(MAX((($A$2:$A$157="止损计划")*($B$2:$B$157=B121)*($D$2:$D$157&lt;D121))*$E$2:$E$157)),F121&lt;SUMPRODUCT(MAX((($A$2:$A$157="止损计划")*($B$2:$B$157=B121)*($D$2:$D$157&lt;D121))*$F$2:$F$157)))),"阶段价格必须逐级提高","计划有效"))))))),IF(A121="每日跟踪",IF(OR(B121="",H121="",I121="",J121=""),"每日数据不完整",IF(COUNTIFS($A$2:$A$157,"每日跟踪",$B$2:$B$157,B121,$H$2:$H$157,H121)&gt;1,"同一交易日期重复",IF(AND(R121&lt;&gt;"",R121&lt;S121),"人工止损无效：不能下调","跟踪有效"))),"记录类型无效")))</f>
        <v/>
      </c>
    </row>
    <row r="122" ht="17" spans="1:29">
      <c r="A122" s="2"/>
      <c r="B122" s="2"/>
      <c r="C122" s="8" t="str">
        <f>IF(B122="","",IFERROR(LOOKUP(2,1/(单次交易!$A$2:$A$88=B122),单次交易!$B$2:$B$88),""))</f>
        <v/>
      </c>
      <c r="D122" s="12"/>
      <c r="E122" s="10"/>
      <c r="F122" s="10"/>
      <c r="G122" s="2"/>
      <c r="H122" s="13"/>
      <c r="I122" s="10"/>
      <c r="J122" s="12"/>
      <c r="K122" s="2"/>
      <c r="L122" s="2"/>
      <c r="M122" s="2"/>
      <c r="N122" s="5" t="str">
        <f>IF(B122="","",IFERROR(LOOKUP(2,1/(单次交易!$A$2:$A$88=B122),单次交易!$N$2:$N$88),""))</f>
        <v/>
      </c>
      <c r="O122" s="5" t="str">
        <f t="shared" si="24"/>
        <v/>
      </c>
      <c r="P122" s="11" t="str">
        <f t="shared" si="25"/>
        <v/>
      </c>
      <c r="Q122" s="5" t="str">
        <f t="shared" si="26"/>
        <v/>
      </c>
      <c r="R122" s="10"/>
      <c r="S122" s="5" t="str">
        <f t="shared" si="27"/>
        <v/>
      </c>
      <c r="T122" s="5" t="str">
        <f t="shared" si="28"/>
        <v/>
      </c>
      <c r="U122" s="5" t="str">
        <f t="shared" si="29"/>
        <v/>
      </c>
      <c r="V122" s="7" t="str">
        <f t="shared" si="30"/>
        <v/>
      </c>
      <c r="W122" s="8" t="str">
        <f t="shared" si="31"/>
        <v/>
      </c>
      <c r="X122" s="2"/>
      <c r="Y122" s="10"/>
      <c r="Z122" s="11" t="str">
        <f>IF(X122&lt;&gt;"执行卖出","",IFERROR(LOOKUP(2,1/(单次交易!$A$2:$A$88=B122),单次交易!$AP$2:$AP$88),""))</f>
        <v/>
      </c>
      <c r="AA122" s="10"/>
      <c r="AB122" s="8" t="str">
        <f t="shared" si="32"/>
        <v/>
      </c>
      <c r="AC122" s="8" t="str">
        <f>IF(A122="","",IF(A122="止损计划",IF(OR(B122="",D122="",E122="",F122="",G122=""),"计划不完整",IF(OR(D122&lt;1,D122&lt;&gt;INT(D122)),"阶段序号无效",IF(COUNTIFS($A$2:$A$157,"止损计划",$B$2:$B$157,B122,$D$2:$D$157,D122)&gt;1,"阶段序号重复",IF(E122&lt;=IFERROR(LOOKUP(2,1/(单次交易!$A$2:$A$88=B122),单次交易!$E$2:$E$88),0),"激活价须高于买入价",IF(F122&lt;N122,"止损价不得低于初始止损",IF(F122&gt;E122,"止损价不得高于激活价",IF(AND(COUNTIFS($A$2:$A$157,"止损计划",$B$2:$B$157,B122,$D$2:$D$157,"&lt;"&amp;D122)&gt;0,OR(E122&lt;=SUMPRODUCT(MAX((($A$2:$A$157="止损计划")*($B$2:$B$157=B122)*($D$2:$D$157&lt;D122))*$E$2:$E$157)),F122&lt;SUMPRODUCT(MAX((($A$2:$A$157="止损计划")*($B$2:$B$157=B122)*($D$2:$D$157&lt;D122))*$F$2:$F$157)))),"阶段价格必须逐级提高","计划有效"))))))),IF(A122="每日跟踪",IF(OR(B122="",H122="",I122="",J122=""),"每日数据不完整",IF(COUNTIFS($A$2:$A$157,"每日跟踪",$B$2:$B$157,B122,$H$2:$H$157,H122)&gt;1,"同一交易日期重复",IF(AND(R122&lt;&gt;"",R122&lt;S122),"人工止损无效：不能下调","跟踪有效"))),"记录类型无效")))</f>
        <v/>
      </c>
    </row>
    <row r="123" ht="17" spans="1:29">
      <c r="A123" s="2"/>
      <c r="B123" s="2"/>
      <c r="C123" s="8" t="str">
        <f>IF(B123="","",IFERROR(LOOKUP(2,1/(单次交易!$A$2:$A$88=B123),单次交易!$B$2:$B$88),""))</f>
        <v/>
      </c>
      <c r="D123" s="12"/>
      <c r="E123" s="10"/>
      <c r="F123" s="10"/>
      <c r="G123" s="2"/>
      <c r="H123" s="13"/>
      <c r="I123" s="10"/>
      <c r="J123" s="12"/>
      <c r="K123" s="2"/>
      <c r="L123" s="2"/>
      <c r="M123" s="2"/>
      <c r="N123" s="5" t="str">
        <f>IF(B123="","",IFERROR(LOOKUP(2,1/(单次交易!$A$2:$A$88=B123),单次交易!$N$2:$N$88),""))</f>
        <v/>
      </c>
      <c r="O123" s="5" t="str">
        <f t="shared" si="24"/>
        <v/>
      </c>
      <c r="P123" s="11" t="str">
        <f t="shared" si="25"/>
        <v/>
      </c>
      <c r="Q123" s="5" t="str">
        <f t="shared" si="26"/>
        <v/>
      </c>
      <c r="R123" s="10"/>
      <c r="S123" s="5" t="str">
        <f t="shared" si="27"/>
        <v/>
      </c>
      <c r="T123" s="5" t="str">
        <f t="shared" si="28"/>
        <v/>
      </c>
      <c r="U123" s="5" t="str">
        <f t="shared" si="29"/>
        <v/>
      </c>
      <c r="V123" s="7" t="str">
        <f t="shared" si="30"/>
        <v/>
      </c>
      <c r="W123" s="8" t="str">
        <f t="shared" si="31"/>
        <v/>
      </c>
      <c r="X123" s="2"/>
      <c r="Y123" s="10"/>
      <c r="Z123" s="11" t="str">
        <f>IF(X123&lt;&gt;"执行卖出","",IFERROR(LOOKUP(2,1/(单次交易!$A$2:$A$88=B123),单次交易!$AP$2:$AP$88),""))</f>
        <v/>
      </c>
      <c r="AA123" s="10"/>
      <c r="AB123" s="8" t="str">
        <f t="shared" si="32"/>
        <v/>
      </c>
      <c r="AC123" s="8" t="str">
        <f>IF(A123="","",IF(A123="止损计划",IF(OR(B123="",D123="",E123="",F123="",G123=""),"计划不完整",IF(OR(D123&lt;1,D123&lt;&gt;INT(D123)),"阶段序号无效",IF(COUNTIFS($A$2:$A$157,"止损计划",$B$2:$B$157,B123,$D$2:$D$157,D123)&gt;1,"阶段序号重复",IF(E123&lt;=IFERROR(LOOKUP(2,1/(单次交易!$A$2:$A$88=B123),单次交易!$E$2:$E$88),0),"激活价须高于买入价",IF(F123&lt;N123,"止损价不得低于初始止损",IF(F123&gt;E123,"止损价不得高于激活价",IF(AND(COUNTIFS($A$2:$A$157,"止损计划",$B$2:$B$157,B123,$D$2:$D$157,"&lt;"&amp;D123)&gt;0,OR(E123&lt;=SUMPRODUCT(MAX((($A$2:$A$157="止损计划")*($B$2:$B$157=B123)*($D$2:$D$157&lt;D123))*$E$2:$E$157)),F123&lt;SUMPRODUCT(MAX((($A$2:$A$157="止损计划")*($B$2:$B$157=B123)*($D$2:$D$157&lt;D123))*$F$2:$F$157)))),"阶段价格必须逐级提高","计划有效"))))))),IF(A123="每日跟踪",IF(OR(B123="",H123="",I123="",J123=""),"每日数据不完整",IF(COUNTIFS($A$2:$A$157,"每日跟踪",$B$2:$B$157,B123,$H$2:$H$157,H123)&gt;1,"同一交易日期重复",IF(AND(R123&lt;&gt;"",R123&lt;S123),"人工止损无效：不能下调","跟踪有效"))),"记录类型无效")))</f>
        <v/>
      </c>
    </row>
    <row r="124" ht="17" spans="1:29">
      <c r="A124" s="2"/>
      <c r="B124" s="2"/>
      <c r="C124" s="8" t="str">
        <f>IF(B124="","",IFERROR(LOOKUP(2,1/(单次交易!$A$2:$A$88=B124),单次交易!$B$2:$B$88),""))</f>
        <v/>
      </c>
      <c r="D124" s="12"/>
      <c r="E124" s="10"/>
      <c r="F124" s="10"/>
      <c r="G124" s="2"/>
      <c r="H124" s="13"/>
      <c r="I124" s="10"/>
      <c r="J124" s="12"/>
      <c r="K124" s="2"/>
      <c r="L124" s="2"/>
      <c r="M124" s="2"/>
      <c r="N124" s="5" t="str">
        <f>IF(B124="","",IFERROR(LOOKUP(2,1/(单次交易!$A$2:$A$88=B124),单次交易!$N$2:$N$88),""))</f>
        <v/>
      </c>
      <c r="O124" s="5" t="str">
        <f t="shared" si="24"/>
        <v/>
      </c>
      <c r="P124" s="11" t="str">
        <f t="shared" si="25"/>
        <v/>
      </c>
      <c r="Q124" s="5" t="str">
        <f t="shared" si="26"/>
        <v/>
      </c>
      <c r="R124" s="10"/>
      <c r="S124" s="5" t="str">
        <f t="shared" si="27"/>
        <v/>
      </c>
      <c r="T124" s="5" t="str">
        <f t="shared" si="28"/>
        <v/>
      </c>
      <c r="U124" s="5" t="str">
        <f t="shared" si="29"/>
        <v/>
      </c>
      <c r="V124" s="7" t="str">
        <f t="shared" si="30"/>
        <v/>
      </c>
      <c r="W124" s="8" t="str">
        <f t="shared" si="31"/>
        <v/>
      </c>
      <c r="X124" s="2"/>
      <c r="Y124" s="10"/>
      <c r="Z124" s="11" t="str">
        <f>IF(X124&lt;&gt;"执行卖出","",IFERROR(LOOKUP(2,1/(单次交易!$A$2:$A$88=B124),单次交易!$AP$2:$AP$88),""))</f>
        <v/>
      </c>
      <c r="AA124" s="10"/>
      <c r="AB124" s="8" t="str">
        <f t="shared" si="32"/>
        <v/>
      </c>
      <c r="AC124" s="8" t="str">
        <f>IF(A124="","",IF(A124="止损计划",IF(OR(B124="",D124="",E124="",F124="",G124=""),"计划不完整",IF(OR(D124&lt;1,D124&lt;&gt;INT(D124)),"阶段序号无效",IF(COUNTIFS($A$2:$A$157,"止损计划",$B$2:$B$157,B124,$D$2:$D$157,D124)&gt;1,"阶段序号重复",IF(E124&lt;=IFERROR(LOOKUP(2,1/(单次交易!$A$2:$A$88=B124),单次交易!$E$2:$E$88),0),"激活价须高于买入价",IF(F124&lt;N124,"止损价不得低于初始止损",IF(F124&gt;E124,"止损价不得高于激活价",IF(AND(COUNTIFS($A$2:$A$157,"止损计划",$B$2:$B$157,B124,$D$2:$D$157,"&lt;"&amp;D124)&gt;0,OR(E124&lt;=SUMPRODUCT(MAX((($A$2:$A$157="止损计划")*($B$2:$B$157=B124)*($D$2:$D$157&lt;D124))*$E$2:$E$157)),F124&lt;SUMPRODUCT(MAX((($A$2:$A$157="止损计划")*($B$2:$B$157=B124)*($D$2:$D$157&lt;D124))*$F$2:$F$157)))),"阶段价格必须逐级提高","计划有效"))))))),IF(A124="每日跟踪",IF(OR(B124="",H124="",I124="",J124=""),"每日数据不完整",IF(COUNTIFS($A$2:$A$157,"每日跟踪",$B$2:$B$157,B124,$H$2:$H$157,H124)&gt;1,"同一交易日期重复",IF(AND(R124&lt;&gt;"",R124&lt;S124),"人工止损无效：不能下调","跟踪有效"))),"记录类型无效")))</f>
        <v/>
      </c>
    </row>
    <row r="125" ht="17" spans="1:29">
      <c r="A125" s="2"/>
      <c r="B125" s="2"/>
      <c r="C125" s="8" t="str">
        <f>IF(B125="","",IFERROR(LOOKUP(2,1/(单次交易!$A$2:$A$88=B125),单次交易!$B$2:$B$88),""))</f>
        <v/>
      </c>
      <c r="D125" s="12"/>
      <c r="E125" s="10"/>
      <c r="F125" s="10"/>
      <c r="G125" s="2"/>
      <c r="H125" s="13"/>
      <c r="I125" s="10"/>
      <c r="J125" s="12"/>
      <c r="K125" s="2"/>
      <c r="L125" s="2"/>
      <c r="M125" s="2"/>
      <c r="N125" s="5" t="str">
        <f>IF(B125="","",IFERROR(LOOKUP(2,1/(单次交易!$A$2:$A$88=B125),单次交易!$N$2:$N$88),""))</f>
        <v/>
      </c>
      <c r="O125" s="5" t="str">
        <f t="shared" si="24"/>
        <v/>
      </c>
      <c r="P125" s="11" t="str">
        <f t="shared" si="25"/>
        <v/>
      </c>
      <c r="Q125" s="5" t="str">
        <f t="shared" si="26"/>
        <v/>
      </c>
      <c r="R125" s="10"/>
      <c r="S125" s="5" t="str">
        <f t="shared" si="27"/>
        <v/>
      </c>
      <c r="T125" s="5" t="str">
        <f t="shared" si="28"/>
        <v/>
      </c>
      <c r="U125" s="5" t="str">
        <f t="shared" si="29"/>
        <v/>
      </c>
      <c r="V125" s="7" t="str">
        <f t="shared" si="30"/>
        <v/>
      </c>
      <c r="W125" s="8" t="str">
        <f t="shared" si="31"/>
        <v/>
      </c>
      <c r="X125" s="2"/>
      <c r="Y125" s="10"/>
      <c r="Z125" s="11" t="str">
        <f>IF(X125&lt;&gt;"执行卖出","",IFERROR(LOOKUP(2,1/(单次交易!$A$2:$A$88=B125),单次交易!$AP$2:$AP$88),""))</f>
        <v/>
      </c>
      <c r="AA125" s="10"/>
      <c r="AB125" s="8" t="str">
        <f t="shared" si="32"/>
        <v/>
      </c>
      <c r="AC125" s="8" t="str">
        <f>IF(A125="","",IF(A125="止损计划",IF(OR(B125="",D125="",E125="",F125="",G125=""),"计划不完整",IF(OR(D125&lt;1,D125&lt;&gt;INT(D125)),"阶段序号无效",IF(COUNTIFS($A$2:$A$157,"止损计划",$B$2:$B$157,B125,$D$2:$D$157,D125)&gt;1,"阶段序号重复",IF(E125&lt;=IFERROR(LOOKUP(2,1/(单次交易!$A$2:$A$88=B125),单次交易!$E$2:$E$88),0),"激活价须高于买入价",IF(F125&lt;N125,"止损价不得低于初始止损",IF(F125&gt;E125,"止损价不得高于激活价",IF(AND(COUNTIFS($A$2:$A$157,"止损计划",$B$2:$B$157,B125,$D$2:$D$157,"&lt;"&amp;D125)&gt;0,OR(E125&lt;=SUMPRODUCT(MAX((($A$2:$A$157="止损计划")*($B$2:$B$157=B125)*($D$2:$D$157&lt;D125))*$E$2:$E$157)),F125&lt;SUMPRODUCT(MAX((($A$2:$A$157="止损计划")*($B$2:$B$157=B125)*($D$2:$D$157&lt;D125))*$F$2:$F$157)))),"阶段价格必须逐级提高","计划有效"))))))),IF(A125="每日跟踪",IF(OR(B125="",H125="",I125="",J125=""),"每日数据不完整",IF(COUNTIFS($A$2:$A$157,"每日跟踪",$B$2:$B$157,B125,$H$2:$H$157,H125)&gt;1,"同一交易日期重复",IF(AND(R125&lt;&gt;"",R125&lt;S125),"人工止损无效：不能下调","跟踪有效"))),"记录类型无效")))</f>
        <v/>
      </c>
    </row>
    <row r="126" ht="17" spans="1:29">
      <c r="A126" s="2"/>
      <c r="B126" s="2"/>
      <c r="C126" s="8" t="str">
        <f>IF(B126="","",IFERROR(LOOKUP(2,1/(单次交易!$A$2:$A$88=B126),单次交易!$B$2:$B$88),""))</f>
        <v/>
      </c>
      <c r="D126" s="12"/>
      <c r="E126" s="10"/>
      <c r="F126" s="10"/>
      <c r="G126" s="2"/>
      <c r="H126" s="13"/>
      <c r="I126" s="10"/>
      <c r="J126" s="12"/>
      <c r="K126" s="2"/>
      <c r="L126" s="2"/>
      <c r="M126" s="2"/>
      <c r="N126" s="5" t="str">
        <f>IF(B126="","",IFERROR(LOOKUP(2,1/(单次交易!$A$2:$A$88=B126),单次交易!$N$2:$N$88),""))</f>
        <v/>
      </c>
      <c r="O126" s="5" t="str">
        <f t="shared" si="24"/>
        <v/>
      </c>
      <c r="P126" s="11" t="str">
        <f t="shared" si="25"/>
        <v/>
      </c>
      <c r="Q126" s="5" t="str">
        <f t="shared" si="26"/>
        <v/>
      </c>
      <c r="R126" s="10"/>
      <c r="S126" s="5" t="str">
        <f t="shared" si="27"/>
        <v/>
      </c>
      <c r="T126" s="5" t="str">
        <f t="shared" si="28"/>
        <v/>
      </c>
      <c r="U126" s="5" t="str">
        <f t="shared" si="29"/>
        <v/>
      </c>
      <c r="V126" s="7" t="str">
        <f t="shared" si="30"/>
        <v/>
      </c>
      <c r="W126" s="8" t="str">
        <f t="shared" si="31"/>
        <v/>
      </c>
      <c r="X126" s="2"/>
      <c r="Y126" s="10"/>
      <c r="Z126" s="11" t="str">
        <f>IF(X126&lt;&gt;"执行卖出","",IFERROR(LOOKUP(2,1/(单次交易!$A$2:$A$88=B126),单次交易!$AP$2:$AP$88),""))</f>
        <v/>
      </c>
      <c r="AA126" s="10"/>
      <c r="AB126" s="8" t="str">
        <f t="shared" si="32"/>
        <v/>
      </c>
      <c r="AC126" s="8" t="str">
        <f>IF(A126="","",IF(A126="止损计划",IF(OR(B126="",D126="",E126="",F126="",G126=""),"计划不完整",IF(OR(D126&lt;1,D126&lt;&gt;INT(D126)),"阶段序号无效",IF(COUNTIFS($A$2:$A$157,"止损计划",$B$2:$B$157,B126,$D$2:$D$157,D126)&gt;1,"阶段序号重复",IF(E126&lt;=IFERROR(LOOKUP(2,1/(单次交易!$A$2:$A$88=B126),单次交易!$E$2:$E$88),0),"激活价须高于买入价",IF(F126&lt;N126,"止损价不得低于初始止损",IF(F126&gt;E126,"止损价不得高于激活价",IF(AND(COUNTIFS($A$2:$A$157,"止损计划",$B$2:$B$157,B126,$D$2:$D$157,"&lt;"&amp;D126)&gt;0,OR(E126&lt;=SUMPRODUCT(MAX((($A$2:$A$157="止损计划")*($B$2:$B$157=B126)*($D$2:$D$157&lt;D126))*$E$2:$E$157)),F126&lt;SUMPRODUCT(MAX((($A$2:$A$157="止损计划")*($B$2:$B$157=B126)*($D$2:$D$157&lt;D126))*$F$2:$F$157)))),"阶段价格必须逐级提高","计划有效"))))))),IF(A126="每日跟踪",IF(OR(B126="",H126="",I126="",J126=""),"每日数据不完整",IF(COUNTIFS($A$2:$A$157,"每日跟踪",$B$2:$B$157,B126,$H$2:$H$157,H126)&gt;1,"同一交易日期重复",IF(AND(R126&lt;&gt;"",R126&lt;S126),"人工止损无效：不能下调","跟踪有效"))),"记录类型无效")))</f>
        <v/>
      </c>
    </row>
    <row r="127" ht="17" spans="1:29">
      <c r="A127" s="2"/>
      <c r="B127" s="2"/>
      <c r="C127" s="8" t="str">
        <f>IF(B127="","",IFERROR(LOOKUP(2,1/(单次交易!$A$2:$A$88=B127),单次交易!$B$2:$B$88),""))</f>
        <v/>
      </c>
      <c r="D127" s="12"/>
      <c r="E127" s="10"/>
      <c r="F127" s="10"/>
      <c r="G127" s="2"/>
      <c r="H127" s="13"/>
      <c r="I127" s="10"/>
      <c r="J127" s="12"/>
      <c r="K127" s="2"/>
      <c r="L127" s="2"/>
      <c r="M127" s="2"/>
      <c r="N127" s="5" t="str">
        <f>IF(B127="","",IFERROR(LOOKUP(2,1/(单次交易!$A$2:$A$88=B127),单次交易!$N$2:$N$88),""))</f>
        <v/>
      </c>
      <c r="O127" s="5" t="str">
        <f t="shared" si="24"/>
        <v/>
      </c>
      <c r="P127" s="11" t="str">
        <f t="shared" si="25"/>
        <v/>
      </c>
      <c r="Q127" s="5" t="str">
        <f t="shared" si="26"/>
        <v/>
      </c>
      <c r="R127" s="10"/>
      <c r="S127" s="5" t="str">
        <f t="shared" si="27"/>
        <v/>
      </c>
      <c r="T127" s="5" t="str">
        <f t="shared" si="28"/>
        <v/>
      </c>
      <c r="U127" s="5" t="str">
        <f t="shared" si="29"/>
        <v/>
      </c>
      <c r="V127" s="7" t="str">
        <f t="shared" si="30"/>
        <v/>
      </c>
      <c r="W127" s="8" t="str">
        <f t="shared" si="31"/>
        <v/>
      </c>
      <c r="X127" s="2"/>
      <c r="Y127" s="10"/>
      <c r="Z127" s="11" t="str">
        <f>IF(X127&lt;&gt;"执行卖出","",IFERROR(LOOKUP(2,1/(单次交易!$A$2:$A$88=B127),单次交易!$AP$2:$AP$88),""))</f>
        <v/>
      </c>
      <c r="AA127" s="10"/>
      <c r="AB127" s="8" t="str">
        <f t="shared" si="32"/>
        <v/>
      </c>
      <c r="AC127" s="8" t="str">
        <f>IF(A127="","",IF(A127="止损计划",IF(OR(B127="",D127="",E127="",F127="",G127=""),"计划不完整",IF(OR(D127&lt;1,D127&lt;&gt;INT(D127)),"阶段序号无效",IF(COUNTIFS($A$2:$A$157,"止损计划",$B$2:$B$157,B127,$D$2:$D$157,D127)&gt;1,"阶段序号重复",IF(E127&lt;=IFERROR(LOOKUP(2,1/(单次交易!$A$2:$A$88=B127),单次交易!$E$2:$E$88),0),"激活价须高于买入价",IF(F127&lt;N127,"止损价不得低于初始止损",IF(F127&gt;E127,"止损价不得高于激活价",IF(AND(COUNTIFS($A$2:$A$157,"止损计划",$B$2:$B$157,B127,$D$2:$D$157,"&lt;"&amp;D127)&gt;0,OR(E127&lt;=SUMPRODUCT(MAX((($A$2:$A$157="止损计划")*($B$2:$B$157=B127)*($D$2:$D$157&lt;D127))*$E$2:$E$157)),F127&lt;SUMPRODUCT(MAX((($A$2:$A$157="止损计划")*($B$2:$B$157=B127)*($D$2:$D$157&lt;D127))*$F$2:$F$157)))),"阶段价格必须逐级提高","计划有效"))))))),IF(A127="每日跟踪",IF(OR(B127="",H127="",I127="",J127=""),"每日数据不完整",IF(COUNTIFS($A$2:$A$157,"每日跟踪",$B$2:$B$157,B127,$H$2:$H$157,H127)&gt;1,"同一交易日期重复",IF(AND(R127&lt;&gt;"",R127&lt;S127),"人工止损无效：不能下调","跟踪有效"))),"记录类型无效")))</f>
        <v/>
      </c>
    </row>
    <row r="128" ht="17" spans="1:29">
      <c r="A128" s="2"/>
      <c r="B128" s="2"/>
      <c r="C128" s="8" t="str">
        <f>IF(B128="","",IFERROR(LOOKUP(2,1/(单次交易!$A$2:$A$88=B128),单次交易!$B$2:$B$88),""))</f>
        <v/>
      </c>
      <c r="D128" s="12"/>
      <c r="E128" s="10"/>
      <c r="F128" s="10"/>
      <c r="G128" s="2"/>
      <c r="H128" s="13"/>
      <c r="I128" s="10"/>
      <c r="J128" s="12"/>
      <c r="K128" s="2"/>
      <c r="L128" s="2"/>
      <c r="M128" s="2"/>
      <c r="N128" s="5" t="str">
        <f>IF(B128="","",IFERROR(LOOKUP(2,1/(单次交易!$A$2:$A$88=B128),单次交易!$N$2:$N$88),""))</f>
        <v/>
      </c>
      <c r="O128" s="5" t="str">
        <f t="shared" si="24"/>
        <v/>
      </c>
      <c r="P128" s="11" t="str">
        <f t="shared" si="25"/>
        <v/>
      </c>
      <c r="Q128" s="5" t="str">
        <f t="shared" si="26"/>
        <v/>
      </c>
      <c r="R128" s="10"/>
      <c r="S128" s="5" t="str">
        <f t="shared" si="27"/>
        <v/>
      </c>
      <c r="T128" s="5" t="str">
        <f t="shared" si="28"/>
        <v/>
      </c>
      <c r="U128" s="5" t="str">
        <f t="shared" si="29"/>
        <v/>
      </c>
      <c r="V128" s="7" t="str">
        <f t="shared" si="30"/>
        <v/>
      </c>
      <c r="W128" s="8" t="str">
        <f t="shared" si="31"/>
        <v/>
      </c>
      <c r="X128" s="2"/>
      <c r="Y128" s="10"/>
      <c r="Z128" s="11" t="str">
        <f>IF(X128&lt;&gt;"执行卖出","",IFERROR(LOOKUP(2,1/(单次交易!$A$2:$A$88=B128),单次交易!$AP$2:$AP$88),""))</f>
        <v/>
      </c>
      <c r="AA128" s="10"/>
      <c r="AB128" s="8" t="str">
        <f t="shared" si="32"/>
        <v/>
      </c>
      <c r="AC128" s="8" t="str">
        <f>IF(A128="","",IF(A128="止损计划",IF(OR(B128="",D128="",E128="",F128="",G128=""),"计划不完整",IF(OR(D128&lt;1,D128&lt;&gt;INT(D128)),"阶段序号无效",IF(COUNTIFS($A$2:$A$157,"止损计划",$B$2:$B$157,B128,$D$2:$D$157,D128)&gt;1,"阶段序号重复",IF(E128&lt;=IFERROR(LOOKUP(2,1/(单次交易!$A$2:$A$88=B128),单次交易!$E$2:$E$88),0),"激活价须高于买入价",IF(F128&lt;N128,"止损价不得低于初始止损",IF(F128&gt;E128,"止损价不得高于激活价",IF(AND(COUNTIFS($A$2:$A$157,"止损计划",$B$2:$B$157,B128,$D$2:$D$157,"&lt;"&amp;D128)&gt;0,OR(E128&lt;=SUMPRODUCT(MAX((($A$2:$A$157="止损计划")*($B$2:$B$157=B128)*($D$2:$D$157&lt;D128))*$E$2:$E$157)),F128&lt;SUMPRODUCT(MAX((($A$2:$A$157="止损计划")*($B$2:$B$157=B128)*($D$2:$D$157&lt;D128))*$F$2:$F$157)))),"阶段价格必须逐级提高","计划有效"))))))),IF(A128="每日跟踪",IF(OR(B128="",H128="",I128="",J128=""),"每日数据不完整",IF(COUNTIFS($A$2:$A$157,"每日跟踪",$B$2:$B$157,B128,$H$2:$H$157,H128)&gt;1,"同一交易日期重复",IF(AND(R128&lt;&gt;"",R128&lt;S128),"人工止损无效：不能下调","跟踪有效"))),"记录类型无效")))</f>
        <v/>
      </c>
    </row>
    <row r="129" ht="17" spans="1:29">
      <c r="A129" s="2"/>
      <c r="B129" s="2"/>
      <c r="C129" s="8" t="str">
        <f>IF(B129="","",IFERROR(LOOKUP(2,1/(单次交易!$A$2:$A$88=B129),单次交易!$B$2:$B$88),""))</f>
        <v/>
      </c>
      <c r="D129" s="12"/>
      <c r="E129" s="10"/>
      <c r="F129" s="10"/>
      <c r="G129" s="2"/>
      <c r="H129" s="13"/>
      <c r="I129" s="10"/>
      <c r="J129" s="12"/>
      <c r="K129" s="2"/>
      <c r="L129" s="2"/>
      <c r="M129" s="2"/>
      <c r="N129" s="5" t="str">
        <f>IF(B129="","",IFERROR(LOOKUP(2,1/(单次交易!$A$2:$A$88=B129),单次交易!$N$2:$N$88),""))</f>
        <v/>
      </c>
      <c r="O129" s="5" t="str">
        <f t="shared" si="24"/>
        <v/>
      </c>
      <c r="P129" s="11" t="str">
        <f t="shared" si="25"/>
        <v/>
      </c>
      <c r="Q129" s="5" t="str">
        <f t="shared" si="26"/>
        <v/>
      </c>
      <c r="R129" s="10"/>
      <c r="S129" s="5" t="str">
        <f t="shared" si="27"/>
        <v/>
      </c>
      <c r="T129" s="5" t="str">
        <f t="shared" si="28"/>
        <v/>
      </c>
      <c r="U129" s="5" t="str">
        <f t="shared" si="29"/>
        <v/>
      </c>
      <c r="V129" s="7" t="str">
        <f t="shared" si="30"/>
        <v/>
      </c>
      <c r="W129" s="8" t="str">
        <f t="shared" si="31"/>
        <v/>
      </c>
      <c r="X129" s="2"/>
      <c r="Y129" s="10"/>
      <c r="Z129" s="11" t="str">
        <f>IF(X129&lt;&gt;"执行卖出","",IFERROR(LOOKUP(2,1/(单次交易!$A$2:$A$88=B129),单次交易!$AP$2:$AP$88),""))</f>
        <v/>
      </c>
      <c r="AA129" s="10"/>
      <c r="AB129" s="8" t="str">
        <f t="shared" si="32"/>
        <v/>
      </c>
      <c r="AC129" s="8" t="str">
        <f>IF(A129="","",IF(A129="止损计划",IF(OR(B129="",D129="",E129="",F129="",G129=""),"计划不完整",IF(OR(D129&lt;1,D129&lt;&gt;INT(D129)),"阶段序号无效",IF(COUNTIFS($A$2:$A$157,"止损计划",$B$2:$B$157,B129,$D$2:$D$157,D129)&gt;1,"阶段序号重复",IF(E129&lt;=IFERROR(LOOKUP(2,1/(单次交易!$A$2:$A$88=B129),单次交易!$E$2:$E$88),0),"激活价须高于买入价",IF(F129&lt;N129,"止损价不得低于初始止损",IF(F129&gt;E129,"止损价不得高于激活价",IF(AND(COUNTIFS($A$2:$A$157,"止损计划",$B$2:$B$157,B129,$D$2:$D$157,"&lt;"&amp;D129)&gt;0,OR(E129&lt;=SUMPRODUCT(MAX((($A$2:$A$157="止损计划")*($B$2:$B$157=B129)*($D$2:$D$157&lt;D129))*$E$2:$E$157)),F129&lt;SUMPRODUCT(MAX((($A$2:$A$157="止损计划")*($B$2:$B$157=B129)*($D$2:$D$157&lt;D129))*$F$2:$F$157)))),"阶段价格必须逐级提高","计划有效"))))))),IF(A129="每日跟踪",IF(OR(B129="",H129="",I129="",J129=""),"每日数据不完整",IF(COUNTIFS($A$2:$A$157,"每日跟踪",$B$2:$B$157,B129,$H$2:$H$157,H129)&gt;1,"同一交易日期重复",IF(AND(R129&lt;&gt;"",R129&lt;S129),"人工止损无效：不能下调","跟踪有效"))),"记录类型无效")))</f>
        <v/>
      </c>
    </row>
    <row r="130" ht="17" spans="1:29">
      <c r="A130" s="2"/>
      <c r="B130" s="2"/>
      <c r="C130" s="8" t="str">
        <f>IF(B130="","",IFERROR(LOOKUP(2,1/(单次交易!$A$2:$A$88=B130),单次交易!$B$2:$B$88),""))</f>
        <v/>
      </c>
      <c r="D130" s="12"/>
      <c r="E130" s="10"/>
      <c r="F130" s="10"/>
      <c r="G130" s="2"/>
      <c r="H130" s="13"/>
      <c r="I130" s="10"/>
      <c r="J130" s="12"/>
      <c r="K130" s="2"/>
      <c r="L130" s="2"/>
      <c r="M130" s="2"/>
      <c r="N130" s="5" t="str">
        <f>IF(B130="","",IFERROR(LOOKUP(2,1/(单次交易!$A$2:$A$88=B130),单次交易!$N$2:$N$88),""))</f>
        <v/>
      </c>
      <c r="O130" s="5" t="str">
        <f t="shared" ref="O130:O157" si="33">IF(A130&lt;&gt;"每日跟踪","",IF(OR(B130="",H130="",I130=""),"",IFERROR(SUMPRODUCT(MAX((($A$2:$A$157="每日跟踪")*($B$2:$B$157=B130)*($H$2:$H$157&lt;=H130))*$I$2:$I$157)),"")))</f>
        <v/>
      </c>
      <c r="P130" s="11" t="str">
        <f t="shared" ref="P130:P157" si="34">IF(A130&lt;&gt;"每日跟踪","",IF(O130="","",IFERROR(SUMPRODUCT(MAX((($A$2:$A$157="止损计划")*($B$2:$B$157=B130)*($E$2:$E$157&lt;=O130))*$D$2:$D$157)),0)))</f>
        <v/>
      </c>
      <c r="Q130" s="5" t="str">
        <f t="shared" ref="Q130:Q157" si="35">IF(A130&lt;&gt;"每日跟踪","",IF(N130="","",MAX(N130,IFERROR(SUMPRODUCT(MAX((($A$2:$A$157="止损计划")*($B$2:$B$157=B130)*($E$2:$E$157&lt;=O130))*$F$2:$F$157)),0))))</f>
        <v/>
      </c>
      <c r="R130" s="10"/>
      <c r="S130" s="5" t="str">
        <f t="shared" ref="S130:S157" si="36">IF(A130&lt;&gt;"每日跟踪","",IF(Q130="","",MAX(Q130,IFERROR(SUMPRODUCT(MAX((($A$2:$A$157="每日跟踪")*($B$2:$B$157=B130)*($H$2:$H$157&lt;=H130))*$R$2:$R$157)),0))))</f>
        <v/>
      </c>
      <c r="T130" s="5" t="str">
        <f t="shared" ref="T130:T157" si="37">IF(A130&lt;&gt;"每日跟踪","",IF(O130="","",IF(COUNTIFS($A$2:$A$157,"止损计划",$B$2:$B$157,B130,$E$2:$E$157,"&gt;"&amp;O130)=0,"",INDEX($E$2:$E$157,MATCH(1,INDEX(($A$2:$A$157="止损计划")*($B$2:$B$157=B130)*($E$2:$E$157&gt;O130),0),0)))))</f>
        <v/>
      </c>
      <c r="U130" s="5" t="str">
        <f t="shared" ref="U130:U157" si="38">IF(OR(A130&lt;&gt;"每日跟踪",T130=""),"",IFERROR(SUMIFS($F$2:$F$157,$A$2:$A$157,"止损计划",$B$2:$B$157,B130,$E$2:$E$157,T130),""))</f>
        <v/>
      </c>
      <c r="V130" s="7" t="str">
        <f t="shared" si="30"/>
        <v/>
      </c>
      <c r="W130" s="8" t="str">
        <f t="shared" si="31"/>
        <v/>
      </c>
      <c r="X130" s="2"/>
      <c r="Y130" s="10"/>
      <c r="Z130" s="11" t="str">
        <f>IF(X130&lt;&gt;"执行卖出","",IFERROR(LOOKUP(2,1/(单次交易!$A$2:$A$88=B130),单次交易!$AP$2:$AP$88),""))</f>
        <v/>
      </c>
      <c r="AA130" s="10"/>
      <c r="AB130" s="8" t="str">
        <f t="shared" si="32"/>
        <v/>
      </c>
      <c r="AC130" s="8" t="str">
        <f>IF(A130="","",IF(A130="止损计划",IF(OR(B130="",D130="",E130="",F130="",G130=""),"计划不完整",IF(OR(D130&lt;1,D130&lt;&gt;INT(D130)),"阶段序号无效",IF(COUNTIFS($A$2:$A$157,"止损计划",$B$2:$B$157,B130,$D$2:$D$157,D130)&gt;1,"阶段序号重复",IF(E130&lt;=IFERROR(LOOKUP(2,1/(单次交易!$A$2:$A$88=B130),单次交易!$E$2:$E$88),0),"激活价须高于买入价",IF(F130&lt;N130,"止损价不得低于初始止损",IF(F130&gt;E130,"止损价不得高于激活价",IF(AND(COUNTIFS($A$2:$A$157,"止损计划",$B$2:$B$157,B130,$D$2:$D$157,"&lt;"&amp;D130)&gt;0,OR(E130&lt;=SUMPRODUCT(MAX((($A$2:$A$157="止损计划")*($B$2:$B$157=B130)*($D$2:$D$157&lt;D130))*$E$2:$E$157)),F130&lt;SUMPRODUCT(MAX((($A$2:$A$157="止损计划")*($B$2:$B$157=B130)*($D$2:$D$157&lt;D130))*$F$2:$F$157)))),"阶段价格必须逐级提高","计划有效"))))))),IF(A130="每日跟踪",IF(OR(B130="",H130="",I130="",J130=""),"每日数据不完整",IF(COUNTIFS($A$2:$A$157,"每日跟踪",$B$2:$B$157,B130,$H$2:$H$157,H130)&gt;1,"同一交易日期重复",IF(AND(R130&lt;&gt;"",R130&lt;S130),"人工止损无效：不能下调","跟踪有效"))),"记录类型无效")))</f>
        <v/>
      </c>
    </row>
    <row r="131" ht="17" spans="1:29">
      <c r="A131" s="2"/>
      <c r="B131" s="2"/>
      <c r="C131" s="8" t="str">
        <f>IF(B131="","",IFERROR(LOOKUP(2,1/(单次交易!$A$2:$A$88=B131),单次交易!$B$2:$B$88),""))</f>
        <v/>
      </c>
      <c r="D131" s="12"/>
      <c r="E131" s="10"/>
      <c r="F131" s="10"/>
      <c r="G131" s="2"/>
      <c r="H131" s="13"/>
      <c r="I131" s="10"/>
      <c r="J131" s="12"/>
      <c r="K131" s="2"/>
      <c r="L131" s="2"/>
      <c r="M131" s="2"/>
      <c r="N131" s="5" t="str">
        <f>IF(B131="","",IFERROR(LOOKUP(2,1/(单次交易!$A$2:$A$88=B131),单次交易!$N$2:$N$88),""))</f>
        <v/>
      </c>
      <c r="O131" s="5" t="str">
        <f t="shared" si="33"/>
        <v/>
      </c>
      <c r="P131" s="11" t="str">
        <f t="shared" si="34"/>
        <v/>
      </c>
      <c r="Q131" s="5" t="str">
        <f t="shared" si="35"/>
        <v/>
      </c>
      <c r="R131" s="10"/>
      <c r="S131" s="5" t="str">
        <f t="shared" si="36"/>
        <v/>
      </c>
      <c r="T131" s="5" t="str">
        <f t="shared" si="37"/>
        <v/>
      </c>
      <c r="U131" s="5" t="str">
        <f t="shared" si="38"/>
        <v/>
      </c>
      <c r="V131" s="7" t="str">
        <f t="shared" si="30"/>
        <v/>
      </c>
      <c r="W131" s="8" t="str">
        <f t="shared" si="31"/>
        <v/>
      </c>
      <c r="X131" s="2"/>
      <c r="Y131" s="10"/>
      <c r="Z131" s="11" t="str">
        <f>IF(X131&lt;&gt;"执行卖出","",IFERROR(LOOKUP(2,1/(单次交易!$A$2:$A$88=B131),单次交易!$AP$2:$AP$88),""))</f>
        <v/>
      </c>
      <c r="AA131" s="10"/>
      <c r="AB131" s="8" t="str">
        <f t="shared" si="32"/>
        <v/>
      </c>
      <c r="AC131" s="8" t="str">
        <f>IF(A131="","",IF(A131="止损计划",IF(OR(B131="",D131="",E131="",F131="",G131=""),"计划不完整",IF(OR(D131&lt;1,D131&lt;&gt;INT(D131)),"阶段序号无效",IF(COUNTIFS($A$2:$A$157,"止损计划",$B$2:$B$157,B131,$D$2:$D$157,D131)&gt;1,"阶段序号重复",IF(E131&lt;=IFERROR(LOOKUP(2,1/(单次交易!$A$2:$A$88=B131),单次交易!$E$2:$E$88),0),"激活价须高于买入价",IF(F131&lt;N131,"止损价不得低于初始止损",IF(F131&gt;E131,"止损价不得高于激活价",IF(AND(COUNTIFS($A$2:$A$157,"止损计划",$B$2:$B$157,B131,$D$2:$D$157,"&lt;"&amp;D131)&gt;0,OR(E131&lt;=SUMPRODUCT(MAX((($A$2:$A$157="止损计划")*($B$2:$B$157=B131)*($D$2:$D$157&lt;D131))*$E$2:$E$157)),F131&lt;SUMPRODUCT(MAX((($A$2:$A$157="止损计划")*($B$2:$B$157=B131)*($D$2:$D$157&lt;D131))*$F$2:$F$157)))),"阶段价格必须逐级提高","计划有效"))))))),IF(A131="每日跟踪",IF(OR(B131="",H131="",I131="",J131=""),"每日数据不完整",IF(COUNTIFS($A$2:$A$157,"每日跟踪",$B$2:$B$157,B131,$H$2:$H$157,H131)&gt;1,"同一交易日期重复",IF(AND(R131&lt;&gt;"",R131&lt;S131),"人工止损无效：不能下调","跟踪有效"))),"记录类型无效")))</f>
        <v/>
      </c>
    </row>
    <row r="132" ht="17" spans="1:29">
      <c r="A132" s="2"/>
      <c r="B132" s="2"/>
      <c r="C132" s="8" t="str">
        <f>IF(B132="","",IFERROR(LOOKUP(2,1/(单次交易!$A$2:$A$88=B132),单次交易!$B$2:$B$88),""))</f>
        <v/>
      </c>
      <c r="D132" s="12"/>
      <c r="E132" s="10"/>
      <c r="F132" s="10"/>
      <c r="G132" s="2"/>
      <c r="H132" s="13"/>
      <c r="I132" s="10"/>
      <c r="J132" s="12"/>
      <c r="K132" s="2"/>
      <c r="L132" s="2"/>
      <c r="M132" s="2"/>
      <c r="N132" s="5" t="str">
        <f>IF(B132="","",IFERROR(LOOKUP(2,1/(单次交易!$A$2:$A$88=B132),单次交易!$N$2:$N$88),""))</f>
        <v/>
      </c>
      <c r="O132" s="5" t="str">
        <f t="shared" si="33"/>
        <v/>
      </c>
      <c r="P132" s="11" t="str">
        <f t="shared" si="34"/>
        <v/>
      </c>
      <c r="Q132" s="5" t="str">
        <f t="shared" si="35"/>
        <v/>
      </c>
      <c r="R132" s="10"/>
      <c r="S132" s="5" t="str">
        <f t="shared" si="36"/>
        <v/>
      </c>
      <c r="T132" s="5" t="str">
        <f t="shared" si="37"/>
        <v/>
      </c>
      <c r="U132" s="5" t="str">
        <f t="shared" si="38"/>
        <v/>
      </c>
      <c r="V132" s="7" t="str">
        <f t="shared" si="30"/>
        <v/>
      </c>
      <c r="W132" s="8" t="str">
        <f t="shared" si="31"/>
        <v/>
      </c>
      <c r="X132" s="2"/>
      <c r="Y132" s="10"/>
      <c r="Z132" s="11" t="str">
        <f>IF(X132&lt;&gt;"执行卖出","",IFERROR(LOOKUP(2,1/(单次交易!$A$2:$A$88=B132),单次交易!$AP$2:$AP$88),""))</f>
        <v/>
      </c>
      <c r="AA132" s="10"/>
      <c r="AB132" s="8" t="str">
        <f t="shared" si="32"/>
        <v/>
      </c>
      <c r="AC132" s="8" t="str">
        <f>IF(A132="","",IF(A132="止损计划",IF(OR(B132="",D132="",E132="",F132="",G132=""),"计划不完整",IF(OR(D132&lt;1,D132&lt;&gt;INT(D132)),"阶段序号无效",IF(COUNTIFS($A$2:$A$157,"止损计划",$B$2:$B$157,B132,$D$2:$D$157,D132)&gt;1,"阶段序号重复",IF(E132&lt;=IFERROR(LOOKUP(2,1/(单次交易!$A$2:$A$88=B132),单次交易!$E$2:$E$88),0),"激活价须高于买入价",IF(F132&lt;N132,"止损价不得低于初始止损",IF(F132&gt;E132,"止损价不得高于激活价",IF(AND(COUNTIFS($A$2:$A$157,"止损计划",$B$2:$B$157,B132,$D$2:$D$157,"&lt;"&amp;D132)&gt;0,OR(E132&lt;=SUMPRODUCT(MAX((($A$2:$A$157="止损计划")*($B$2:$B$157=B132)*($D$2:$D$157&lt;D132))*$E$2:$E$157)),F132&lt;SUMPRODUCT(MAX((($A$2:$A$157="止损计划")*($B$2:$B$157=B132)*($D$2:$D$157&lt;D132))*$F$2:$F$157)))),"阶段价格必须逐级提高","计划有效"))))))),IF(A132="每日跟踪",IF(OR(B132="",H132="",I132="",J132=""),"每日数据不完整",IF(COUNTIFS($A$2:$A$157,"每日跟踪",$B$2:$B$157,B132,$H$2:$H$157,H132)&gt;1,"同一交易日期重复",IF(AND(R132&lt;&gt;"",R132&lt;S132),"人工止损无效：不能下调","跟踪有效"))),"记录类型无效")))</f>
        <v/>
      </c>
    </row>
    <row r="133" ht="17" spans="1:29">
      <c r="A133" s="2"/>
      <c r="B133" s="2"/>
      <c r="C133" s="8" t="str">
        <f>IF(B133="","",IFERROR(LOOKUP(2,1/(单次交易!$A$2:$A$88=B133),单次交易!$B$2:$B$88),""))</f>
        <v/>
      </c>
      <c r="D133" s="12"/>
      <c r="E133" s="10"/>
      <c r="F133" s="10"/>
      <c r="G133" s="2"/>
      <c r="H133" s="13"/>
      <c r="I133" s="10"/>
      <c r="J133" s="12"/>
      <c r="K133" s="2"/>
      <c r="L133" s="2"/>
      <c r="M133" s="2"/>
      <c r="N133" s="5" t="str">
        <f>IF(B133="","",IFERROR(LOOKUP(2,1/(单次交易!$A$2:$A$88=B133),单次交易!$N$2:$N$88),""))</f>
        <v/>
      </c>
      <c r="O133" s="5" t="str">
        <f t="shared" si="33"/>
        <v/>
      </c>
      <c r="P133" s="11" t="str">
        <f t="shared" si="34"/>
        <v/>
      </c>
      <c r="Q133" s="5" t="str">
        <f t="shared" si="35"/>
        <v/>
      </c>
      <c r="R133" s="10"/>
      <c r="S133" s="5" t="str">
        <f t="shared" si="36"/>
        <v/>
      </c>
      <c r="T133" s="5" t="str">
        <f t="shared" si="37"/>
        <v/>
      </c>
      <c r="U133" s="5" t="str">
        <f t="shared" si="38"/>
        <v/>
      </c>
      <c r="V133" s="7" t="str">
        <f t="shared" si="30"/>
        <v/>
      </c>
      <c r="W133" s="8" t="str">
        <f t="shared" si="31"/>
        <v/>
      </c>
      <c r="X133" s="2"/>
      <c r="Y133" s="10"/>
      <c r="Z133" s="11" t="str">
        <f>IF(X133&lt;&gt;"执行卖出","",IFERROR(LOOKUP(2,1/(单次交易!$A$2:$A$88=B133),单次交易!$AP$2:$AP$88),""))</f>
        <v/>
      </c>
      <c r="AA133" s="10"/>
      <c r="AB133" s="8" t="str">
        <f t="shared" si="32"/>
        <v/>
      </c>
      <c r="AC133" s="8" t="str">
        <f>IF(A133="","",IF(A133="止损计划",IF(OR(B133="",D133="",E133="",F133="",G133=""),"计划不完整",IF(OR(D133&lt;1,D133&lt;&gt;INT(D133)),"阶段序号无效",IF(COUNTIFS($A$2:$A$157,"止损计划",$B$2:$B$157,B133,$D$2:$D$157,D133)&gt;1,"阶段序号重复",IF(E133&lt;=IFERROR(LOOKUP(2,1/(单次交易!$A$2:$A$88=B133),单次交易!$E$2:$E$88),0),"激活价须高于买入价",IF(F133&lt;N133,"止损价不得低于初始止损",IF(F133&gt;E133,"止损价不得高于激活价",IF(AND(COUNTIFS($A$2:$A$157,"止损计划",$B$2:$B$157,B133,$D$2:$D$157,"&lt;"&amp;D133)&gt;0,OR(E133&lt;=SUMPRODUCT(MAX((($A$2:$A$157="止损计划")*($B$2:$B$157=B133)*($D$2:$D$157&lt;D133))*$E$2:$E$157)),F133&lt;SUMPRODUCT(MAX((($A$2:$A$157="止损计划")*($B$2:$B$157=B133)*($D$2:$D$157&lt;D133))*$F$2:$F$157)))),"阶段价格必须逐级提高","计划有效"))))))),IF(A133="每日跟踪",IF(OR(B133="",H133="",I133="",J133=""),"每日数据不完整",IF(COUNTIFS($A$2:$A$157,"每日跟踪",$B$2:$B$157,B133,$H$2:$H$157,H133)&gt;1,"同一交易日期重复",IF(AND(R133&lt;&gt;"",R133&lt;S133),"人工止损无效：不能下调","跟踪有效"))),"记录类型无效")))</f>
        <v/>
      </c>
    </row>
    <row r="134" ht="17" spans="1:29">
      <c r="A134" s="2"/>
      <c r="B134" s="2"/>
      <c r="C134" s="8" t="str">
        <f>IF(B134="","",IFERROR(LOOKUP(2,1/(单次交易!$A$2:$A$88=B134),单次交易!$B$2:$B$88),""))</f>
        <v/>
      </c>
      <c r="D134" s="12"/>
      <c r="E134" s="10"/>
      <c r="F134" s="10"/>
      <c r="G134" s="2"/>
      <c r="H134" s="13"/>
      <c r="I134" s="10"/>
      <c r="J134" s="12"/>
      <c r="K134" s="2"/>
      <c r="L134" s="2"/>
      <c r="M134" s="2"/>
      <c r="N134" s="5" t="str">
        <f>IF(B134="","",IFERROR(LOOKUP(2,1/(单次交易!$A$2:$A$88=B134),单次交易!$N$2:$N$88),""))</f>
        <v/>
      </c>
      <c r="O134" s="5" t="str">
        <f t="shared" si="33"/>
        <v/>
      </c>
      <c r="P134" s="11" t="str">
        <f t="shared" si="34"/>
        <v/>
      </c>
      <c r="Q134" s="5" t="str">
        <f t="shared" si="35"/>
        <v/>
      </c>
      <c r="R134" s="10"/>
      <c r="S134" s="5" t="str">
        <f t="shared" si="36"/>
        <v/>
      </c>
      <c r="T134" s="5" t="str">
        <f t="shared" si="37"/>
        <v/>
      </c>
      <c r="U134" s="5" t="str">
        <f t="shared" si="38"/>
        <v/>
      </c>
      <c r="V134" s="7" t="str">
        <f t="shared" si="30"/>
        <v/>
      </c>
      <c r="W134" s="8" t="str">
        <f t="shared" si="31"/>
        <v/>
      </c>
      <c r="X134" s="2"/>
      <c r="Y134" s="10"/>
      <c r="Z134" s="11" t="str">
        <f>IF(X134&lt;&gt;"执行卖出","",IFERROR(LOOKUP(2,1/(单次交易!$A$2:$A$88=B134),单次交易!$AP$2:$AP$88),""))</f>
        <v/>
      </c>
      <c r="AA134" s="10"/>
      <c r="AB134" s="8" t="str">
        <f t="shared" si="32"/>
        <v/>
      </c>
      <c r="AC134" s="8" t="str">
        <f>IF(A134="","",IF(A134="止损计划",IF(OR(B134="",D134="",E134="",F134="",G134=""),"计划不完整",IF(OR(D134&lt;1,D134&lt;&gt;INT(D134)),"阶段序号无效",IF(COUNTIFS($A$2:$A$157,"止损计划",$B$2:$B$157,B134,$D$2:$D$157,D134)&gt;1,"阶段序号重复",IF(E134&lt;=IFERROR(LOOKUP(2,1/(单次交易!$A$2:$A$88=B134),单次交易!$E$2:$E$88),0),"激活价须高于买入价",IF(F134&lt;N134,"止损价不得低于初始止损",IF(F134&gt;E134,"止损价不得高于激活价",IF(AND(COUNTIFS($A$2:$A$157,"止损计划",$B$2:$B$157,B134,$D$2:$D$157,"&lt;"&amp;D134)&gt;0,OR(E134&lt;=SUMPRODUCT(MAX((($A$2:$A$157="止损计划")*($B$2:$B$157=B134)*($D$2:$D$157&lt;D134))*$E$2:$E$157)),F134&lt;SUMPRODUCT(MAX((($A$2:$A$157="止损计划")*($B$2:$B$157=B134)*($D$2:$D$157&lt;D134))*$F$2:$F$157)))),"阶段价格必须逐级提高","计划有效"))))))),IF(A134="每日跟踪",IF(OR(B134="",H134="",I134="",J134=""),"每日数据不完整",IF(COUNTIFS($A$2:$A$157,"每日跟踪",$B$2:$B$157,B134,$H$2:$H$157,H134)&gt;1,"同一交易日期重复",IF(AND(R134&lt;&gt;"",R134&lt;S134),"人工止损无效：不能下调","跟踪有效"))),"记录类型无效")))</f>
        <v/>
      </c>
    </row>
    <row r="135" ht="17" spans="1:29">
      <c r="A135" s="2"/>
      <c r="B135" s="2"/>
      <c r="C135" s="8" t="str">
        <f>IF(B135="","",IFERROR(LOOKUP(2,1/(单次交易!$A$2:$A$88=B135),单次交易!$B$2:$B$88),""))</f>
        <v/>
      </c>
      <c r="D135" s="12"/>
      <c r="E135" s="10"/>
      <c r="F135" s="10"/>
      <c r="G135" s="2"/>
      <c r="H135" s="13"/>
      <c r="I135" s="10"/>
      <c r="J135" s="12"/>
      <c r="K135" s="2"/>
      <c r="L135" s="2"/>
      <c r="M135" s="2"/>
      <c r="N135" s="5" t="str">
        <f>IF(B135="","",IFERROR(LOOKUP(2,1/(单次交易!$A$2:$A$88=B135),单次交易!$N$2:$N$88),""))</f>
        <v/>
      </c>
      <c r="O135" s="5" t="str">
        <f t="shared" si="33"/>
        <v/>
      </c>
      <c r="P135" s="11" t="str">
        <f t="shared" si="34"/>
        <v/>
      </c>
      <c r="Q135" s="5" t="str">
        <f t="shared" si="35"/>
        <v/>
      </c>
      <c r="R135" s="10"/>
      <c r="S135" s="5" t="str">
        <f t="shared" si="36"/>
        <v/>
      </c>
      <c r="T135" s="5" t="str">
        <f t="shared" si="37"/>
        <v/>
      </c>
      <c r="U135" s="5" t="str">
        <f t="shared" si="38"/>
        <v/>
      </c>
      <c r="V135" s="7" t="str">
        <f t="shared" si="30"/>
        <v/>
      </c>
      <c r="W135" s="8" t="str">
        <f t="shared" si="31"/>
        <v/>
      </c>
      <c r="X135" s="2"/>
      <c r="Y135" s="10"/>
      <c r="Z135" s="11" t="str">
        <f>IF(X135&lt;&gt;"执行卖出","",IFERROR(LOOKUP(2,1/(单次交易!$A$2:$A$88=B135),单次交易!$AP$2:$AP$88),""))</f>
        <v/>
      </c>
      <c r="AA135" s="10"/>
      <c r="AB135" s="8" t="str">
        <f t="shared" si="32"/>
        <v/>
      </c>
      <c r="AC135" s="8" t="str">
        <f>IF(A135="","",IF(A135="止损计划",IF(OR(B135="",D135="",E135="",F135="",G135=""),"计划不完整",IF(OR(D135&lt;1,D135&lt;&gt;INT(D135)),"阶段序号无效",IF(COUNTIFS($A$2:$A$157,"止损计划",$B$2:$B$157,B135,$D$2:$D$157,D135)&gt;1,"阶段序号重复",IF(E135&lt;=IFERROR(LOOKUP(2,1/(单次交易!$A$2:$A$88=B135),单次交易!$E$2:$E$88),0),"激活价须高于买入价",IF(F135&lt;N135,"止损价不得低于初始止损",IF(F135&gt;E135,"止损价不得高于激活价",IF(AND(COUNTIFS($A$2:$A$157,"止损计划",$B$2:$B$157,B135,$D$2:$D$157,"&lt;"&amp;D135)&gt;0,OR(E135&lt;=SUMPRODUCT(MAX((($A$2:$A$157="止损计划")*($B$2:$B$157=B135)*($D$2:$D$157&lt;D135))*$E$2:$E$157)),F135&lt;SUMPRODUCT(MAX((($A$2:$A$157="止损计划")*($B$2:$B$157=B135)*($D$2:$D$157&lt;D135))*$F$2:$F$157)))),"阶段价格必须逐级提高","计划有效"))))))),IF(A135="每日跟踪",IF(OR(B135="",H135="",I135="",J135=""),"每日数据不完整",IF(COUNTIFS($A$2:$A$157,"每日跟踪",$B$2:$B$157,B135,$H$2:$H$157,H135)&gt;1,"同一交易日期重复",IF(AND(R135&lt;&gt;"",R135&lt;S135),"人工止损无效：不能下调","跟踪有效"))),"记录类型无效")))</f>
        <v/>
      </c>
    </row>
    <row r="136" ht="17" spans="1:29">
      <c r="A136" s="2"/>
      <c r="B136" s="2"/>
      <c r="C136" s="8" t="str">
        <f>IF(B136="","",IFERROR(LOOKUP(2,1/(单次交易!$A$2:$A$88=B136),单次交易!$B$2:$B$88),""))</f>
        <v/>
      </c>
      <c r="D136" s="12"/>
      <c r="E136" s="10"/>
      <c r="F136" s="10"/>
      <c r="G136" s="2"/>
      <c r="H136" s="13"/>
      <c r="I136" s="10"/>
      <c r="J136" s="12"/>
      <c r="K136" s="2"/>
      <c r="L136" s="2"/>
      <c r="M136" s="2"/>
      <c r="N136" s="5" t="str">
        <f>IF(B136="","",IFERROR(LOOKUP(2,1/(单次交易!$A$2:$A$88=B136),单次交易!$N$2:$N$88),""))</f>
        <v/>
      </c>
      <c r="O136" s="5" t="str">
        <f t="shared" si="33"/>
        <v/>
      </c>
      <c r="P136" s="11" t="str">
        <f t="shared" si="34"/>
        <v/>
      </c>
      <c r="Q136" s="5" t="str">
        <f t="shared" si="35"/>
        <v/>
      </c>
      <c r="R136" s="10"/>
      <c r="S136" s="5" t="str">
        <f t="shared" si="36"/>
        <v/>
      </c>
      <c r="T136" s="5" t="str">
        <f t="shared" si="37"/>
        <v/>
      </c>
      <c r="U136" s="5" t="str">
        <f t="shared" si="38"/>
        <v/>
      </c>
      <c r="V136" s="7" t="str">
        <f t="shared" si="30"/>
        <v/>
      </c>
      <c r="W136" s="8" t="str">
        <f t="shared" si="31"/>
        <v/>
      </c>
      <c r="X136" s="2"/>
      <c r="Y136" s="10"/>
      <c r="Z136" s="11" t="str">
        <f>IF(X136&lt;&gt;"执行卖出","",IFERROR(LOOKUP(2,1/(单次交易!$A$2:$A$88=B136),单次交易!$AP$2:$AP$88),""))</f>
        <v/>
      </c>
      <c r="AA136" s="10"/>
      <c r="AB136" s="8" t="str">
        <f t="shared" si="32"/>
        <v/>
      </c>
      <c r="AC136" s="8" t="str">
        <f>IF(A136="","",IF(A136="止损计划",IF(OR(B136="",D136="",E136="",F136="",G136=""),"计划不完整",IF(OR(D136&lt;1,D136&lt;&gt;INT(D136)),"阶段序号无效",IF(COUNTIFS($A$2:$A$157,"止损计划",$B$2:$B$157,B136,$D$2:$D$157,D136)&gt;1,"阶段序号重复",IF(E136&lt;=IFERROR(LOOKUP(2,1/(单次交易!$A$2:$A$88=B136),单次交易!$E$2:$E$88),0),"激活价须高于买入价",IF(F136&lt;N136,"止损价不得低于初始止损",IF(F136&gt;E136,"止损价不得高于激活价",IF(AND(COUNTIFS($A$2:$A$157,"止损计划",$B$2:$B$157,B136,$D$2:$D$157,"&lt;"&amp;D136)&gt;0,OR(E136&lt;=SUMPRODUCT(MAX((($A$2:$A$157="止损计划")*($B$2:$B$157=B136)*($D$2:$D$157&lt;D136))*$E$2:$E$157)),F136&lt;SUMPRODUCT(MAX((($A$2:$A$157="止损计划")*($B$2:$B$157=B136)*($D$2:$D$157&lt;D136))*$F$2:$F$157)))),"阶段价格必须逐级提高","计划有效"))))))),IF(A136="每日跟踪",IF(OR(B136="",H136="",I136="",J136=""),"每日数据不完整",IF(COUNTIFS($A$2:$A$157,"每日跟踪",$B$2:$B$157,B136,$H$2:$H$157,H136)&gt;1,"同一交易日期重复",IF(AND(R136&lt;&gt;"",R136&lt;S136),"人工止损无效：不能下调","跟踪有效"))),"记录类型无效")))</f>
        <v/>
      </c>
    </row>
    <row r="137" ht="17" spans="1:29">
      <c r="A137" s="2"/>
      <c r="B137" s="2"/>
      <c r="C137" s="8" t="str">
        <f>IF(B137="","",IFERROR(LOOKUP(2,1/(单次交易!$A$2:$A$88=B137),单次交易!$B$2:$B$88),""))</f>
        <v/>
      </c>
      <c r="D137" s="12"/>
      <c r="E137" s="10"/>
      <c r="F137" s="10"/>
      <c r="G137" s="2"/>
      <c r="H137" s="13"/>
      <c r="I137" s="10"/>
      <c r="J137" s="12"/>
      <c r="K137" s="2"/>
      <c r="L137" s="2"/>
      <c r="M137" s="2"/>
      <c r="N137" s="5" t="str">
        <f>IF(B137="","",IFERROR(LOOKUP(2,1/(单次交易!$A$2:$A$88=B137),单次交易!$N$2:$N$88),""))</f>
        <v/>
      </c>
      <c r="O137" s="5" t="str">
        <f t="shared" si="33"/>
        <v/>
      </c>
      <c r="P137" s="11" t="str">
        <f t="shared" si="34"/>
        <v/>
      </c>
      <c r="Q137" s="5" t="str">
        <f t="shared" si="35"/>
        <v/>
      </c>
      <c r="R137" s="10"/>
      <c r="S137" s="5" t="str">
        <f t="shared" si="36"/>
        <v/>
      </c>
      <c r="T137" s="5" t="str">
        <f t="shared" si="37"/>
        <v/>
      </c>
      <c r="U137" s="5" t="str">
        <f t="shared" si="38"/>
        <v/>
      </c>
      <c r="V137" s="7" t="str">
        <f t="shared" si="30"/>
        <v/>
      </c>
      <c r="W137" s="8" t="str">
        <f t="shared" si="31"/>
        <v/>
      </c>
      <c r="X137" s="2"/>
      <c r="Y137" s="10"/>
      <c r="Z137" s="11" t="str">
        <f>IF(X137&lt;&gt;"执行卖出","",IFERROR(LOOKUP(2,1/(单次交易!$A$2:$A$88=B137),单次交易!$AP$2:$AP$88),""))</f>
        <v/>
      </c>
      <c r="AA137" s="10"/>
      <c r="AB137" s="8" t="str">
        <f t="shared" si="32"/>
        <v/>
      </c>
      <c r="AC137" s="8" t="str">
        <f>IF(A137="","",IF(A137="止损计划",IF(OR(B137="",D137="",E137="",F137="",G137=""),"计划不完整",IF(OR(D137&lt;1,D137&lt;&gt;INT(D137)),"阶段序号无效",IF(COUNTIFS($A$2:$A$157,"止损计划",$B$2:$B$157,B137,$D$2:$D$157,D137)&gt;1,"阶段序号重复",IF(E137&lt;=IFERROR(LOOKUP(2,1/(单次交易!$A$2:$A$88=B137),单次交易!$E$2:$E$88),0),"激活价须高于买入价",IF(F137&lt;N137,"止损价不得低于初始止损",IF(F137&gt;E137,"止损价不得高于激活价",IF(AND(COUNTIFS($A$2:$A$157,"止损计划",$B$2:$B$157,B137,$D$2:$D$157,"&lt;"&amp;D137)&gt;0,OR(E137&lt;=SUMPRODUCT(MAX((($A$2:$A$157="止损计划")*($B$2:$B$157=B137)*($D$2:$D$157&lt;D137))*$E$2:$E$157)),F137&lt;SUMPRODUCT(MAX((($A$2:$A$157="止损计划")*($B$2:$B$157=B137)*($D$2:$D$157&lt;D137))*$F$2:$F$157)))),"阶段价格必须逐级提高","计划有效"))))))),IF(A137="每日跟踪",IF(OR(B137="",H137="",I137="",J137=""),"每日数据不完整",IF(COUNTIFS($A$2:$A$157,"每日跟踪",$B$2:$B$157,B137,$H$2:$H$157,H137)&gt;1,"同一交易日期重复",IF(AND(R137&lt;&gt;"",R137&lt;S137),"人工止损无效：不能下调","跟踪有效"))),"记录类型无效")))</f>
        <v/>
      </c>
    </row>
    <row r="138" ht="17" spans="1:29">
      <c r="A138" s="2"/>
      <c r="B138" s="2"/>
      <c r="C138" s="8" t="str">
        <f>IF(B138="","",IFERROR(LOOKUP(2,1/(单次交易!$A$2:$A$88=B138),单次交易!$B$2:$B$88),""))</f>
        <v/>
      </c>
      <c r="D138" s="12"/>
      <c r="E138" s="10"/>
      <c r="F138" s="10"/>
      <c r="G138" s="2"/>
      <c r="H138" s="13"/>
      <c r="I138" s="10"/>
      <c r="J138" s="12"/>
      <c r="K138" s="2"/>
      <c r="L138" s="2"/>
      <c r="M138" s="2"/>
      <c r="N138" s="5" t="str">
        <f>IF(B138="","",IFERROR(LOOKUP(2,1/(单次交易!$A$2:$A$88=B138),单次交易!$N$2:$N$88),""))</f>
        <v/>
      </c>
      <c r="O138" s="5" t="str">
        <f t="shared" si="33"/>
        <v/>
      </c>
      <c r="P138" s="11" t="str">
        <f t="shared" si="34"/>
        <v/>
      </c>
      <c r="Q138" s="5" t="str">
        <f t="shared" si="35"/>
        <v/>
      </c>
      <c r="R138" s="10"/>
      <c r="S138" s="5" t="str">
        <f t="shared" si="36"/>
        <v/>
      </c>
      <c r="T138" s="5" t="str">
        <f t="shared" si="37"/>
        <v/>
      </c>
      <c r="U138" s="5" t="str">
        <f t="shared" si="38"/>
        <v/>
      </c>
      <c r="V138" s="7" t="str">
        <f t="shared" si="30"/>
        <v/>
      </c>
      <c r="W138" s="8" t="str">
        <f t="shared" si="31"/>
        <v/>
      </c>
      <c r="X138" s="2"/>
      <c r="Y138" s="10"/>
      <c r="Z138" s="11" t="str">
        <f>IF(X138&lt;&gt;"执行卖出","",IFERROR(LOOKUP(2,1/(单次交易!$A$2:$A$88=B138),单次交易!$AP$2:$AP$88),""))</f>
        <v/>
      </c>
      <c r="AA138" s="10"/>
      <c r="AB138" s="8" t="str">
        <f t="shared" si="32"/>
        <v/>
      </c>
      <c r="AC138" s="8" t="str">
        <f>IF(A138="","",IF(A138="止损计划",IF(OR(B138="",D138="",E138="",F138="",G138=""),"计划不完整",IF(OR(D138&lt;1,D138&lt;&gt;INT(D138)),"阶段序号无效",IF(COUNTIFS($A$2:$A$157,"止损计划",$B$2:$B$157,B138,$D$2:$D$157,D138)&gt;1,"阶段序号重复",IF(E138&lt;=IFERROR(LOOKUP(2,1/(单次交易!$A$2:$A$88=B138),单次交易!$E$2:$E$88),0),"激活价须高于买入价",IF(F138&lt;N138,"止损价不得低于初始止损",IF(F138&gt;E138,"止损价不得高于激活价",IF(AND(COUNTIFS($A$2:$A$157,"止损计划",$B$2:$B$157,B138,$D$2:$D$157,"&lt;"&amp;D138)&gt;0,OR(E138&lt;=SUMPRODUCT(MAX((($A$2:$A$157="止损计划")*($B$2:$B$157=B138)*($D$2:$D$157&lt;D138))*$E$2:$E$157)),F138&lt;SUMPRODUCT(MAX((($A$2:$A$157="止损计划")*($B$2:$B$157=B138)*($D$2:$D$157&lt;D138))*$F$2:$F$157)))),"阶段价格必须逐级提高","计划有效"))))))),IF(A138="每日跟踪",IF(OR(B138="",H138="",I138="",J138=""),"每日数据不完整",IF(COUNTIFS($A$2:$A$157,"每日跟踪",$B$2:$B$157,B138,$H$2:$H$157,H138)&gt;1,"同一交易日期重复",IF(AND(R138&lt;&gt;"",R138&lt;S138),"人工止损无效：不能下调","跟踪有效"))),"记录类型无效")))</f>
        <v/>
      </c>
    </row>
    <row r="139" ht="17" spans="1:29">
      <c r="A139" s="2"/>
      <c r="B139" s="2"/>
      <c r="C139" s="8" t="str">
        <f>IF(B139="","",IFERROR(LOOKUP(2,1/(单次交易!$A$2:$A$88=B139),单次交易!$B$2:$B$88),""))</f>
        <v/>
      </c>
      <c r="D139" s="12"/>
      <c r="E139" s="10"/>
      <c r="F139" s="10"/>
      <c r="G139" s="2"/>
      <c r="H139" s="13"/>
      <c r="I139" s="10"/>
      <c r="J139" s="12"/>
      <c r="K139" s="2"/>
      <c r="L139" s="2"/>
      <c r="M139" s="2"/>
      <c r="N139" s="5" t="str">
        <f>IF(B139="","",IFERROR(LOOKUP(2,1/(单次交易!$A$2:$A$88=B139),单次交易!$N$2:$N$88),""))</f>
        <v/>
      </c>
      <c r="O139" s="5" t="str">
        <f t="shared" si="33"/>
        <v/>
      </c>
      <c r="P139" s="11" t="str">
        <f t="shared" si="34"/>
        <v/>
      </c>
      <c r="Q139" s="5" t="str">
        <f t="shared" si="35"/>
        <v/>
      </c>
      <c r="R139" s="10"/>
      <c r="S139" s="5" t="str">
        <f t="shared" si="36"/>
        <v/>
      </c>
      <c r="T139" s="5" t="str">
        <f t="shared" si="37"/>
        <v/>
      </c>
      <c r="U139" s="5" t="str">
        <f t="shared" si="38"/>
        <v/>
      </c>
      <c r="V139" s="7" t="str">
        <f t="shared" si="30"/>
        <v/>
      </c>
      <c r="W139" s="8" t="str">
        <f t="shared" si="31"/>
        <v/>
      </c>
      <c r="X139" s="2"/>
      <c r="Y139" s="10"/>
      <c r="Z139" s="11" t="str">
        <f>IF(X139&lt;&gt;"执行卖出","",IFERROR(LOOKUP(2,1/(单次交易!$A$2:$A$88=B139),单次交易!$AP$2:$AP$88),""))</f>
        <v/>
      </c>
      <c r="AA139" s="10"/>
      <c r="AB139" s="8" t="str">
        <f t="shared" si="32"/>
        <v/>
      </c>
      <c r="AC139" s="8" t="str">
        <f>IF(A139="","",IF(A139="止损计划",IF(OR(B139="",D139="",E139="",F139="",G139=""),"计划不完整",IF(OR(D139&lt;1,D139&lt;&gt;INT(D139)),"阶段序号无效",IF(COUNTIFS($A$2:$A$157,"止损计划",$B$2:$B$157,B139,$D$2:$D$157,D139)&gt;1,"阶段序号重复",IF(E139&lt;=IFERROR(LOOKUP(2,1/(单次交易!$A$2:$A$88=B139),单次交易!$E$2:$E$88),0),"激活价须高于买入价",IF(F139&lt;N139,"止损价不得低于初始止损",IF(F139&gt;E139,"止损价不得高于激活价",IF(AND(COUNTIFS($A$2:$A$157,"止损计划",$B$2:$B$157,B139,$D$2:$D$157,"&lt;"&amp;D139)&gt;0,OR(E139&lt;=SUMPRODUCT(MAX((($A$2:$A$157="止损计划")*($B$2:$B$157=B139)*($D$2:$D$157&lt;D139))*$E$2:$E$157)),F139&lt;SUMPRODUCT(MAX((($A$2:$A$157="止损计划")*($B$2:$B$157=B139)*($D$2:$D$157&lt;D139))*$F$2:$F$157)))),"阶段价格必须逐级提高","计划有效"))))))),IF(A139="每日跟踪",IF(OR(B139="",H139="",I139="",J139=""),"每日数据不完整",IF(COUNTIFS($A$2:$A$157,"每日跟踪",$B$2:$B$157,B139,$H$2:$H$157,H139)&gt;1,"同一交易日期重复",IF(AND(R139&lt;&gt;"",R139&lt;S139),"人工止损无效：不能下调","跟踪有效"))),"记录类型无效")))</f>
        <v/>
      </c>
    </row>
    <row r="140" ht="17" spans="1:29">
      <c r="A140" s="2"/>
      <c r="B140" s="2"/>
      <c r="C140" s="8" t="str">
        <f>IF(B140="","",IFERROR(LOOKUP(2,1/(单次交易!$A$2:$A$88=B140),单次交易!$B$2:$B$88),""))</f>
        <v/>
      </c>
      <c r="D140" s="12"/>
      <c r="E140" s="10"/>
      <c r="F140" s="10"/>
      <c r="G140" s="2"/>
      <c r="H140" s="13"/>
      <c r="I140" s="10"/>
      <c r="J140" s="12"/>
      <c r="K140" s="2"/>
      <c r="L140" s="2"/>
      <c r="M140" s="2"/>
      <c r="N140" s="5" t="str">
        <f>IF(B140="","",IFERROR(LOOKUP(2,1/(单次交易!$A$2:$A$88=B140),单次交易!$N$2:$N$88),""))</f>
        <v/>
      </c>
      <c r="O140" s="5" t="str">
        <f t="shared" si="33"/>
        <v/>
      </c>
      <c r="P140" s="11" t="str">
        <f t="shared" si="34"/>
        <v/>
      </c>
      <c r="Q140" s="5" t="str">
        <f t="shared" si="35"/>
        <v/>
      </c>
      <c r="R140" s="10"/>
      <c r="S140" s="5" t="str">
        <f t="shared" si="36"/>
        <v/>
      </c>
      <c r="T140" s="5" t="str">
        <f t="shared" si="37"/>
        <v/>
      </c>
      <c r="U140" s="5" t="str">
        <f t="shared" si="38"/>
        <v/>
      </c>
      <c r="V140" s="7" t="str">
        <f t="shared" si="30"/>
        <v/>
      </c>
      <c r="W140" s="8" t="str">
        <f t="shared" si="31"/>
        <v/>
      </c>
      <c r="X140" s="2"/>
      <c r="Y140" s="10"/>
      <c r="Z140" s="11" t="str">
        <f>IF(X140&lt;&gt;"执行卖出","",IFERROR(LOOKUP(2,1/(单次交易!$A$2:$A$88=B140),单次交易!$AP$2:$AP$88),""))</f>
        <v/>
      </c>
      <c r="AA140" s="10"/>
      <c r="AB140" s="8" t="str">
        <f t="shared" si="32"/>
        <v/>
      </c>
      <c r="AC140" s="8" t="str">
        <f>IF(A140="","",IF(A140="止损计划",IF(OR(B140="",D140="",E140="",F140="",G140=""),"计划不完整",IF(OR(D140&lt;1,D140&lt;&gt;INT(D140)),"阶段序号无效",IF(COUNTIFS($A$2:$A$157,"止损计划",$B$2:$B$157,B140,$D$2:$D$157,D140)&gt;1,"阶段序号重复",IF(E140&lt;=IFERROR(LOOKUP(2,1/(单次交易!$A$2:$A$88=B140),单次交易!$E$2:$E$88),0),"激活价须高于买入价",IF(F140&lt;N140,"止损价不得低于初始止损",IF(F140&gt;E140,"止损价不得高于激活价",IF(AND(COUNTIFS($A$2:$A$157,"止损计划",$B$2:$B$157,B140,$D$2:$D$157,"&lt;"&amp;D140)&gt;0,OR(E140&lt;=SUMPRODUCT(MAX((($A$2:$A$157="止损计划")*($B$2:$B$157=B140)*($D$2:$D$157&lt;D140))*$E$2:$E$157)),F140&lt;SUMPRODUCT(MAX((($A$2:$A$157="止损计划")*($B$2:$B$157=B140)*($D$2:$D$157&lt;D140))*$F$2:$F$157)))),"阶段价格必须逐级提高","计划有效"))))))),IF(A140="每日跟踪",IF(OR(B140="",H140="",I140="",J140=""),"每日数据不完整",IF(COUNTIFS($A$2:$A$157,"每日跟踪",$B$2:$B$157,B140,$H$2:$H$157,H140)&gt;1,"同一交易日期重复",IF(AND(R140&lt;&gt;"",R140&lt;S140),"人工止损无效：不能下调","跟踪有效"))),"记录类型无效")))</f>
        <v/>
      </c>
    </row>
    <row r="141" ht="17" spans="1:29">
      <c r="A141" s="2"/>
      <c r="B141" s="2"/>
      <c r="C141" s="8" t="str">
        <f>IF(B141="","",IFERROR(LOOKUP(2,1/(单次交易!$A$2:$A$88=B141),单次交易!$B$2:$B$88),""))</f>
        <v/>
      </c>
      <c r="D141" s="12"/>
      <c r="E141" s="10"/>
      <c r="F141" s="10"/>
      <c r="G141" s="2"/>
      <c r="H141" s="13"/>
      <c r="I141" s="10"/>
      <c r="J141" s="12"/>
      <c r="K141" s="2"/>
      <c r="L141" s="2"/>
      <c r="M141" s="2"/>
      <c r="N141" s="5" t="str">
        <f>IF(B141="","",IFERROR(LOOKUP(2,1/(单次交易!$A$2:$A$88=B141),单次交易!$N$2:$N$88),""))</f>
        <v/>
      </c>
      <c r="O141" s="5" t="str">
        <f t="shared" si="33"/>
        <v/>
      </c>
      <c r="P141" s="11" t="str">
        <f t="shared" si="34"/>
        <v/>
      </c>
      <c r="Q141" s="5" t="str">
        <f t="shared" si="35"/>
        <v/>
      </c>
      <c r="R141" s="10"/>
      <c r="S141" s="5" t="str">
        <f t="shared" si="36"/>
        <v/>
      </c>
      <c r="T141" s="5" t="str">
        <f t="shared" si="37"/>
        <v/>
      </c>
      <c r="U141" s="5" t="str">
        <f t="shared" si="38"/>
        <v/>
      </c>
      <c r="V141" s="7" t="str">
        <f t="shared" si="30"/>
        <v/>
      </c>
      <c r="W141" s="8" t="str">
        <f t="shared" si="31"/>
        <v/>
      </c>
      <c r="X141" s="2"/>
      <c r="Y141" s="10"/>
      <c r="Z141" s="11" t="str">
        <f>IF(X141&lt;&gt;"执行卖出","",IFERROR(LOOKUP(2,1/(单次交易!$A$2:$A$88=B141),单次交易!$AP$2:$AP$88),""))</f>
        <v/>
      </c>
      <c r="AA141" s="10"/>
      <c r="AB141" s="8" t="str">
        <f t="shared" si="32"/>
        <v/>
      </c>
      <c r="AC141" s="8" t="str">
        <f>IF(A141="","",IF(A141="止损计划",IF(OR(B141="",D141="",E141="",F141="",G141=""),"计划不完整",IF(OR(D141&lt;1,D141&lt;&gt;INT(D141)),"阶段序号无效",IF(COUNTIFS($A$2:$A$157,"止损计划",$B$2:$B$157,B141,$D$2:$D$157,D141)&gt;1,"阶段序号重复",IF(E141&lt;=IFERROR(LOOKUP(2,1/(单次交易!$A$2:$A$88=B141),单次交易!$E$2:$E$88),0),"激活价须高于买入价",IF(F141&lt;N141,"止损价不得低于初始止损",IF(F141&gt;E141,"止损价不得高于激活价",IF(AND(COUNTIFS($A$2:$A$157,"止损计划",$B$2:$B$157,B141,$D$2:$D$157,"&lt;"&amp;D141)&gt;0,OR(E141&lt;=SUMPRODUCT(MAX((($A$2:$A$157="止损计划")*($B$2:$B$157=B141)*($D$2:$D$157&lt;D141))*$E$2:$E$157)),F141&lt;SUMPRODUCT(MAX((($A$2:$A$157="止损计划")*($B$2:$B$157=B141)*($D$2:$D$157&lt;D141))*$F$2:$F$157)))),"阶段价格必须逐级提高","计划有效"))))))),IF(A141="每日跟踪",IF(OR(B141="",H141="",I141="",J141=""),"每日数据不完整",IF(COUNTIFS($A$2:$A$157,"每日跟踪",$B$2:$B$157,B141,$H$2:$H$157,H141)&gt;1,"同一交易日期重复",IF(AND(R141&lt;&gt;"",R141&lt;S141),"人工止损无效：不能下调","跟踪有效"))),"记录类型无效")))</f>
        <v/>
      </c>
    </row>
    <row r="142" ht="17" spans="1:29">
      <c r="A142" s="2"/>
      <c r="B142" s="2"/>
      <c r="C142" s="8" t="str">
        <f>IF(B142="","",IFERROR(LOOKUP(2,1/(单次交易!$A$2:$A$88=B142),单次交易!$B$2:$B$88),""))</f>
        <v/>
      </c>
      <c r="D142" s="12"/>
      <c r="E142" s="10"/>
      <c r="F142" s="10"/>
      <c r="G142" s="2"/>
      <c r="H142" s="13"/>
      <c r="I142" s="10"/>
      <c r="J142" s="12"/>
      <c r="K142" s="2"/>
      <c r="L142" s="2"/>
      <c r="M142" s="2"/>
      <c r="N142" s="5" t="str">
        <f>IF(B142="","",IFERROR(LOOKUP(2,1/(单次交易!$A$2:$A$88=B142),单次交易!$N$2:$N$88),""))</f>
        <v/>
      </c>
      <c r="O142" s="5" t="str">
        <f t="shared" si="33"/>
        <v/>
      </c>
      <c r="P142" s="11" t="str">
        <f t="shared" si="34"/>
        <v/>
      </c>
      <c r="Q142" s="5" t="str">
        <f t="shared" si="35"/>
        <v/>
      </c>
      <c r="R142" s="10"/>
      <c r="S142" s="5" t="str">
        <f t="shared" si="36"/>
        <v/>
      </c>
      <c r="T142" s="5" t="str">
        <f t="shared" si="37"/>
        <v/>
      </c>
      <c r="U142" s="5" t="str">
        <f t="shared" si="38"/>
        <v/>
      </c>
      <c r="V142" s="7" t="str">
        <f t="shared" si="30"/>
        <v/>
      </c>
      <c r="W142" s="8" t="str">
        <f t="shared" si="31"/>
        <v/>
      </c>
      <c r="X142" s="2"/>
      <c r="Y142" s="10"/>
      <c r="Z142" s="11" t="str">
        <f>IF(X142&lt;&gt;"执行卖出","",IFERROR(LOOKUP(2,1/(单次交易!$A$2:$A$88=B142),单次交易!$AP$2:$AP$88),""))</f>
        <v/>
      </c>
      <c r="AA142" s="10"/>
      <c r="AB142" s="8" t="str">
        <f t="shared" si="32"/>
        <v/>
      </c>
      <c r="AC142" s="8" t="str">
        <f>IF(A142="","",IF(A142="止损计划",IF(OR(B142="",D142="",E142="",F142="",G142=""),"计划不完整",IF(OR(D142&lt;1,D142&lt;&gt;INT(D142)),"阶段序号无效",IF(COUNTIFS($A$2:$A$157,"止损计划",$B$2:$B$157,B142,$D$2:$D$157,D142)&gt;1,"阶段序号重复",IF(E142&lt;=IFERROR(LOOKUP(2,1/(单次交易!$A$2:$A$88=B142),单次交易!$E$2:$E$88),0),"激活价须高于买入价",IF(F142&lt;N142,"止损价不得低于初始止损",IF(F142&gt;E142,"止损价不得高于激活价",IF(AND(COUNTIFS($A$2:$A$157,"止损计划",$B$2:$B$157,B142,$D$2:$D$157,"&lt;"&amp;D142)&gt;0,OR(E142&lt;=SUMPRODUCT(MAX((($A$2:$A$157="止损计划")*($B$2:$B$157=B142)*($D$2:$D$157&lt;D142))*$E$2:$E$157)),F142&lt;SUMPRODUCT(MAX((($A$2:$A$157="止损计划")*($B$2:$B$157=B142)*($D$2:$D$157&lt;D142))*$F$2:$F$157)))),"阶段价格必须逐级提高","计划有效"))))))),IF(A142="每日跟踪",IF(OR(B142="",H142="",I142="",J142=""),"每日数据不完整",IF(COUNTIFS($A$2:$A$157,"每日跟踪",$B$2:$B$157,B142,$H$2:$H$157,H142)&gt;1,"同一交易日期重复",IF(AND(R142&lt;&gt;"",R142&lt;S142),"人工止损无效：不能下调","跟踪有效"))),"记录类型无效")))</f>
        <v/>
      </c>
    </row>
    <row r="143" ht="17" spans="1:29">
      <c r="A143" s="2"/>
      <c r="B143" s="2"/>
      <c r="C143" s="8" t="str">
        <f>IF(B143="","",IFERROR(LOOKUP(2,1/(单次交易!$A$2:$A$88=B143),单次交易!$B$2:$B$88),""))</f>
        <v/>
      </c>
      <c r="D143" s="12"/>
      <c r="E143" s="10"/>
      <c r="F143" s="10"/>
      <c r="G143" s="2"/>
      <c r="H143" s="13"/>
      <c r="I143" s="10"/>
      <c r="J143" s="12"/>
      <c r="K143" s="2"/>
      <c r="L143" s="2"/>
      <c r="M143" s="2"/>
      <c r="N143" s="5" t="str">
        <f>IF(B143="","",IFERROR(LOOKUP(2,1/(单次交易!$A$2:$A$88=B143),单次交易!$N$2:$N$88),""))</f>
        <v/>
      </c>
      <c r="O143" s="5" t="str">
        <f t="shared" si="33"/>
        <v/>
      </c>
      <c r="P143" s="11" t="str">
        <f t="shared" si="34"/>
        <v/>
      </c>
      <c r="Q143" s="5" t="str">
        <f t="shared" si="35"/>
        <v/>
      </c>
      <c r="R143" s="10"/>
      <c r="S143" s="5" t="str">
        <f t="shared" si="36"/>
        <v/>
      </c>
      <c r="T143" s="5" t="str">
        <f t="shared" si="37"/>
        <v/>
      </c>
      <c r="U143" s="5" t="str">
        <f t="shared" si="38"/>
        <v/>
      </c>
      <c r="V143" s="7" t="str">
        <f t="shared" si="30"/>
        <v/>
      </c>
      <c r="W143" s="8" t="str">
        <f t="shared" si="31"/>
        <v/>
      </c>
      <c r="X143" s="2"/>
      <c r="Y143" s="10"/>
      <c r="Z143" s="11" t="str">
        <f>IF(X143&lt;&gt;"执行卖出","",IFERROR(LOOKUP(2,1/(单次交易!$A$2:$A$88=B143),单次交易!$AP$2:$AP$88),""))</f>
        <v/>
      </c>
      <c r="AA143" s="10"/>
      <c r="AB143" s="8" t="str">
        <f t="shared" si="32"/>
        <v/>
      </c>
      <c r="AC143" s="8" t="str">
        <f>IF(A143="","",IF(A143="止损计划",IF(OR(B143="",D143="",E143="",F143="",G143=""),"计划不完整",IF(OR(D143&lt;1,D143&lt;&gt;INT(D143)),"阶段序号无效",IF(COUNTIFS($A$2:$A$157,"止损计划",$B$2:$B$157,B143,$D$2:$D$157,D143)&gt;1,"阶段序号重复",IF(E143&lt;=IFERROR(LOOKUP(2,1/(单次交易!$A$2:$A$88=B143),单次交易!$E$2:$E$88),0),"激活价须高于买入价",IF(F143&lt;N143,"止损价不得低于初始止损",IF(F143&gt;E143,"止损价不得高于激活价",IF(AND(COUNTIFS($A$2:$A$157,"止损计划",$B$2:$B$157,B143,$D$2:$D$157,"&lt;"&amp;D143)&gt;0,OR(E143&lt;=SUMPRODUCT(MAX((($A$2:$A$157="止损计划")*($B$2:$B$157=B143)*($D$2:$D$157&lt;D143))*$E$2:$E$157)),F143&lt;SUMPRODUCT(MAX((($A$2:$A$157="止损计划")*($B$2:$B$157=B143)*($D$2:$D$157&lt;D143))*$F$2:$F$157)))),"阶段价格必须逐级提高","计划有效"))))))),IF(A143="每日跟踪",IF(OR(B143="",H143="",I143="",J143=""),"每日数据不完整",IF(COUNTIFS($A$2:$A$157,"每日跟踪",$B$2:$B$157,B143,$H$2:$H$157,H143)&gt;1,"同一交易日期重复",IF(AND(R143&lt;&gt;"",R143&lt;S143),"人工止损无效：不能下调","跟踪有效"))),"记录类型无效")))</f>
        <v/>
      </c>
    </row>
    <row r="144" ht="17" spans="1:29">
      <c r="A144" s="2"/>
      <c r="B144" s="2"/>
      <c r="C144" s="8" t="str">
        <f>IF(B144="","",IFERROR(LOOKUP(2,1/(单次交易!$A$2:$A$88=B144),单次交易!$B$2:$B$88),""))</f>
        <v/>
      </c>
      <c r="D144" s="12"/>
      <c r="E144" s="10"/>
      <c r="F144" s="10"/>
      <c r="G144" s="2"/>
      <c r="H144" s="13"/>
      <c r="I144" s="10"/>
      <c r="J144" s="12"/>
      <c r="K144" s="2"/>
      <c r="L144" s="2"/>
      <c r="M144" s="2"/>
      <c r="N144" s="5" t="str">
        <f>IF(B144="","",IFERROR(LOOKUP(2,1/(单次交易!$A$2:$A$88=B144),单次交易!$N$2:$N$88),""))</f>
        <v/>
      </c>
      <c r="O144" s="5" t="str">
        <f t="shared" si="33"/>
        <v/>
      </c>
      <c r="P144" s="11" t="str">
        <f t="shared" si="34"/>
        <v/>
      </c>
      <c r="Q144" s="5" t="str">
        <f t="shared" si="35"/>
        <v/>
      </c>
      <c r="R144" s="10"/>
      <c r="S144" s="5" t="str">
        <f t="shared" si="36"/>
        <v/>
      </c>
      <c r="T144" s="5" t="str">
        <f t="shared" si="37"/>
        <v/>
      </c>
      <c r="U144" s="5" t="str">
        <f t="shared" si="38"/>
        <v/>
      </c>
      <c r="V144" s="7" t="str">
        <f t="shared" si="30"/>
        <v/>
      </c>
      <c r="W144" s="8" t="str">
        <f t="shared" si="31"/>
        <v/>
      </c>
      <c r="X144" s="2"/>
      <c r="Y144" s="10"/>
      <c r="Z144" s="11" t="str">
        <f>IF(X144&lt;&gt;"执行卖出","",IFERROR(LOOKUP(2,1/(单次交易!$A$2:$A$88=B144),单次交易!$AP$2:$AP$88),""))</f>
        <v/>
      </c>
      <c r="AA144" s="10"/>
      <c r="AB144" s="8" t="str">
        <f t="shared" si="32"/>
        <v/>
      </c>
      <c r="AC144" s="8" t="str">
        <f>IF(A144="","",IF(A144="止损计划",IF(OR(B144="",D144="",E144="",F144="",G144=""),"计划不完整",IF(OR(D144&lt;1,D144&lt;&gt;INT(D144)),"阶段序号无效",IF(COUNTIFS($A$2:$A$157,"止损计划",$B$2:$B$157,B144,$D$2:$D$157,D144)&gt;1,"阶段序号重复",IF(E144&lt;=IFERROR(LOOKUP(2,1/(单次交易!$A$2:$A$88=B144),单次交易!$E$2:$E$88),0),"激活价须高于买入价",IF(F144&lt;N144,"止损价不得低于初始止损",IF(F144&gt;E144,"止损价不得高于激活价",IF(AND(COUNTIFS($A$2:$A$157,"止损计划",$B$2:$B$157,B144,$D$2:$D$157,"&lt;"&amp;D144)&gt;0,OR(E144&lt;=SUMPRODUCT(MAX((($A$2:$A$157="止损计划")*($B$2:$B$157=B144)*($D$2:$D$157&lt;D144))*$E$2:$E$157)),F144&lt;SUMPRODUCT(MAX((($A$2:$A$157="止损计划")*($B$2:$B$157=B144)*($D$2:$D$157&lt;D144))*$F$2:$F$157)))),"阶段价格必须逐级提高","计划有效"))))))),IF(A144="每日跟踪",IF(OR(B144="",H144="",I144="",J144=""),"每日数据不完整",IF(COUNTIFS($A$2:$A$157,"每日跟踪",$B$2:$B$157,B144,$H$2:$H$157,H144)&gt;1,"同一交易日期重复",IF(AND(R144&lt;&gt;"",R144&lt;S144),"人工止损无效：不能下调","跟踪有效"))),"记录类型无效")))</f>
        <v/>
      </c>
    </row>
    <row r="145" ht="17" spans="1:29">
      <c r="A145" s="2"/>
      <c r="B145" s="2"/>
      <c r="C145" s="8" t="str">
        <f>IF(B145="","",IFERROR(LOOKUP(2,1/(单次交易!$A$2:$A$88=B145),单次交易!$B$2:$B$88),""))</f>
        <v/>
      </c>
      <c r="D145" s="12"/>
      <c r="E145" s="10"/>
      <c r="F145" s="10"/>
      <c r="G145" s="2"/>
      <c r="H145" s="13"/>
      <c r="I145" s="10"/>
      <c r="J145" s="12"/>
      <c r="K145" s="2"/>
      <c r="L145" s="2"/>
      <c r="M145" s="2"/>
      <c r="N145" s="5" t="str">
        <f>IF(B145="","",IFERROR(LOOKUP(2,1/(单次交易!$A$2:$A$88=B145),单次交易!$N$2:$N$88),""))</f>
        <v/>
      </c>
      <c r="O145" s="5" t="str">
        <f t="shared" si="33"/>
        <v/>
      </c>
      <c r="P145" s="11" t="str">
        <f t="shared" si="34"/>
        <v/>
      </c>
      <c r="Q145" s="5" t="str">
        <f t="shared" si="35"/>
        <v/>
      </c>
      <c r="R145" s="10"/>
      <c r="S145" s="5" t="str">
        <f t="shared" si="36"/>
        <v/>
      </c>
      <c r="T145" s="5" t="str">
        <f t="shared" si="37"/>
        <v/>
      </c>
      <c r="U145" s="5" t="str">
        <f t="shared" si="38"/>
        <v/>
      </c>
      <c r="V145" s="7" t="str">
        <f t="shared" si="30"/>
        <v/>
      </c>
      <c r="W145" s="8" t="str">
        <f t="shared" si="31"/>
        <v/>
      </c>
      <c r="X145" s="2"/>
      <c r="Y145" s="10"/>
      <c r="Z145" s="11" t="str">
        <f>IF(X145&lt;&gt;"执行卖出","",IFERROR(LOOKUP(2,1/(单次交易!$A$2:$A$88=B145),单次交易!$AP$2:$AP$88),""))</f>
        <v/>
      </c>
      <c r="AA145" s="10"/>
      <c r="AB145" s="8" t="str">
        <f t="shared" si="32"/>
        <v/>
      </c>
      <c r="AC145" s="8" t="str">
        <f>IF(A145="","",IF(A145="止损计划",IF(OR(B145="",D145="",E145="",F145="",G145=""),"计划不完整",IF(OR(D145&lt;1,D145&lt;&gt;INT(D145)),"阶段序号无效",IF(COUNTIFS($A$2:$A$157,"止损计划",$B$2:$B$157,B145,$D$2:$D$157,D145)&gt;1,"阶段序号重复",IF(E145&lt;=IFERROR(LOOKUP(2,1/(单次交易!$A$2:$A$88=B145),单次交易!$E$2:$E$88),0),"激活价须高于买入价",IF(F145&lt;N145,"止损价不得低于初始止损",IF(F145&gt;E145,"止损价不得高于激活价",IF(AND(COUNTIFS($A$2:$A$157,"止损计划",$B$2:$B$157,B145,$D$2:$D$157,"&lt;"&amp;D145)&gt;0,OR(E145&lt;=SUMPRODUCT(MAX((($A$2:$A$157="止损计划")*($B$2:$B$157=B145)*($D$2:$D$157&lt;D145))*$E$2:$E$157)),F145&lt;SUMPRODUCT(MAX((($A$2:$A$157="止损计划")*($B$2:$B$157=B145)*($D$2:$D$157&lt;D145))*$F$2:$F$157)))),"阶段价格必须逐级提高","计划有效"))))))),IF(A145="每日跟踪",IF(OR(B145="",H145="",I145="",J145=""),"每日数据不完整",IF(COUNTIFS($A$2:$A$157,"每日跟踪",$B$2:$B$157,B145,$H$2:$H$157,H145)&gt;1,"同一交易日期重复",IF(AND(R145&lt;&gt;"",R145&lt;S145),"人工止损无效：不能下调","跟踪有效"))),"记录类型无效")))</f>
        <v/>
      </c>
    </row>
    <row r="146" ht="17" spans="1:29">
      <c r="A146" s="2"/>
      <c r="B146" s="2"/>
      <c r="C146" s="8" t="str">
        <f>IF(B146="","",IFERROR(LOOKUP(2,1/(单次交易!$A$2:$A$88=B146),单次交易!$B$2:$B$88),""))</f>
        <v/>
      </c>
      <c r="D146" s="12"/>
      <c r="E146" s="10"/>
      <c r="F146" s="10"/>
      <c r="G146" s="2"/>
      <c r="H146" s="13"/>
      <c r="I146" s="10"/>
      <c r="J146" s="12"/>
      <c r="K146" s="2"/>
      <c r="L146" s="2"/>
      <c r="M146" s="2"/>
      <c r="N146" s="5" t="str">
        <f>IF(B146="","",IFERROR(LOOKUP(2,1/(单次交易!$A$2:$A$88=B146),单次交易!$N$2:$N$88),""))</f>
        <v/>
      </c>
      <c r="O146" s="5" t="str">
        <f t="shared" si="33"/>
        <v/>
      </c>
      <c r="P146" s="11" t="str">
        <f t="shared" si="34"/>
        <v/>
      </c>
      <c r="Q146" s="5" t="str">
        <f t="shared" si="35"/>
        <v/>
      </c>
      <c r="R146" s="10"/>
      <c r="S146" s="5" t="str">
        <f t="shared" si="36"/>
        <v/>
      </c>
      <c r="T146" s="5" t="str">
        <f t="shared" si="37"/>
        <v/>
      </c>
      <c r="U146" s="5" t="str">
        <f t="shared" si="38"/>
        <v/>
      </c>
      <c r="V146" s="7" t="str">
        <f t="shared" si="30"/>
        <v/>
      </c>
      <c r="W146" s="8" t="str">
        <f t="shared" si="31"/>
        <v/>
      </c>
      <c r="X146" s="2"/>
      <c r="Y146" s="10"/>
      <c r="Z146" s="11" t="str">
        <f>IF(X146&lt;&gt;"执行卖出","",IFERROR(LOOKUP(2,1/(单次交易!$A$2:$A$88=B146),单次交易!$AP$2:$AP$88),""))</f>
        <v/>
      </c>
      <c r="AA146" s="10"/>
      <c r="AB146" s="8" t="str">
        <f t="shared" si="32"/>
        <v/>
      </c>
      <c r="AC146" s="8" t="str">
        <f>IF(A146="","",IF(A146="止损计划",IF(OR(B146="",D146="",E146="",F146="",G146=""),"计划不完整",IF(OR(D146&lt;1,D146&lt;&gt;INT(D146)),"阶段序号无效",IF(COUNTIFS($A$2:$A$157,"止损计划",$B$2:$B$157,B146,$D$2:$D$157,D146)&gt;1,"阶段序号重复",IF(E146&lt;=IFERROR(LOOKUP(2,1/(单次交易!$A$2:$A$88=B146),单次交易!$E$2:$E$88),0),"激活价须高于买入价",IF(F146&lt;N146,"止损价不得低于初始止损",IF(F146&gt;E146,"止损价不得高于激活价",IF(AND(COUNTIFS($A$2:$A$157,"止损计划",$B$2:$B$157,B146,$D$2:$D$157,"&lt;"&amp;D146)&gt;0,OR(E146&lt;=SUMPRODUCT(MAX((($A$2:$A$157="止损计划")*($B$2:$B$157=B146)*($D$2:$D$157&lt;D146))*$E$2:$E$157)),F146&lt;SUMPRODUCT(MAX((($A$2:$A$157="止损计划")*($B$2:$B$157=B146)*($D$2:$D$157&lt;D146))*$F$2:$F$157)))),"阶段价格必须逐级提高","计划有效"))))))),IF(A146="每日跟踪",IF(OR(B146="",H146="",I146="",J146=""),"每日数据不完整",IF(COUNTIFS($A$2:$A$157,"每日跟踪",$B$2:$B$157,B146,$H$2:$H$157,H146)&gt;1,"同一交易日期重复",IF(AND(R146&lt;&gt;"",R146&lt;S146),"人工止损无效：不能下调","跟踪有效"))),"记录类型无效")))</f>
        <v/>
      </c>
    </row>
    <row r="147" ht="17" spans="1:29">
      <c r="A147" s="2"/>
      <c r="B147" s="2"/>
      <c r="C147" s="8" t="str">
        <f>IF(B147="","",IFERROR(LOOKUP(2,1/(单次交易!$A$2:$A$88=B147),单次交易!$B$2:$B$88),""))</f>
        <v/>
      </c>
      <c r="D147" s="12"/>
      <c r="E147" s="10"/>
      <c r="F147" s="10"/>
      <c r="G147" s="2"/>
      <c r="H147" s="13"/>
      <c r="I147" s="10"/>
      <c r="J147" s="12"/>
      <c r="K147" s="2"/>
      <c r="L147" s="2"/>
      <c r="M147" s="2"/>
      <c r="N147" s="5" t="str">
        <f>IF(B147="","",IFERROR(LOOKUP(2,1/(单次交易!$A$2:$A$88=B147),单次交易!$N$2:$N$88),""))</f>
        <v/>
      </c>
      <c r="O147" s="5" t="str">
        <f t="shared" si="33"/>
        <v/>
      </c>
      <c r="P147" s="11" t="str">
        <f t="shared" si="34"/>
        <v/>
      </c>
      <c r="Q147" s="5" t="str">
        <f t="shared" si="35"/>
        <v/>
      </c>
      <c r="R147" s="10"/>
      <c r="S147" s="5" t="str">
        <f t="shared" si="36"/>
        <v/>
      </c>
      <c r="T147" s="5" t="str">
        <f t="shared" si="37"/>
        <v/>
      </c>
      <c r="U147" s="5" t="str">
        <f t="shared" si="38"/>
        <v/>
      </c>
      <c r="V147" s="7" t="str">
        <f t="shared" si="30"/>
        <v/>
      </c>
      <c r="W147" s="8" t="str">
        <f t="shared" si="31"/>
        <v/>
      </c>
      <c r="X147" s="2"/>
      <c r="Y147" s="10"/>
      <c r="Z147" s="11" t="str">
        <f>IF(X147&lt;&gt;"执行卖出","",IFERROR(LOOKUP(2,1/(单次交易!$A$2:$A$88=B147),单次交易!$AP$2:$AP$88),""))</f>
        <v/>
      </c>
      <c r="AA147" s="10"/>
      <c r="AB147" s="8" t="str">
        <f t="shared" si="32"/>
        <v/>
      </c>
      <c r="AC147" s="8" t="str">
        <f>IF(A147="","",IF(A147="止损计划",IF(OR(B147="",D147="",E147="",F147="",G147=""),"计划不完整",IF(OR(D147&lt;1,D147&lt;&gt;INT(D147)),"阶段序号无效",IF(COUNTIFS($A$2:$A$157,"止损计划",$B$2:$B$157,B147,$D$2:$D$157,D147)&gt;1,"阶段序号重复",IF(E147&lt;=IFERROR(LOOKUP(2,1/(单次交易!$A$2:$A$88=B147),单次交易!$E$2:$E$88),0),"激活价须高于买入价",IF(F147&lt;N147,"止损价不得低于初始止损",IF(F147&gt;E147,"止损价不得高于激活价",IF(AND(COUNTIFS($A$2:$A$157,"止损计划",$B$2:$B$157,B147,$D$2:$D$157,"&lt;"&amp;D147)&gt;0,OR(E147&lt;=SUMPRODUCT(MAX((($A$2:$A$157="止损计划")*($B$2:$B$157=B147)*($D$2:$D$157&lt;D147))*$E$2:$E$157)),F147&lt;SUMPRODUCT(MAX((($A$2:$A$157="止损计划")*($B$2:$B$157=B147)*($D$2:$D$157&lt;D147))*$F$2:$F$157)))),"阶段价格必须逐级提高","计划有效"))))))),IF(A147="每日跟踪",IF(OR(B147="",H147="",I147="",J147=""),"每日数据不完整",IF(COUNTIFS($A$2:$A$157,"每日跟踪",$B$2:$B$157,B147,$H$2:$H$157,H147)&gt;1,"同一交易日期重复",IF(AND(R147&lt;&gt;"",R147&lt;S147),"人工止损无效：不能下调","跟踪有效"))),"记录类型无效")))</f>
        <v/>
      </c>
    </row>
    <row r="148" ht="17" spans="1:29">
      <c r="A148" s="2"/>
      <c r="B148" s="2"/>
      <c r="C148" s="8" t="str">
        <f>IF(B148="","",IFERROR(LOOKUP(2,1/(单次交易!$A$2:$A$88=B148),单次交易!$B$2:$B$88),""))</f>
        <v/>
      </c>
      <c r="D148" s="12"/>
      <c r="E148" s="10"/>
      <c r="F148" s="10"/>
      <c r="G148" s="2"/>
      <c r="H148" s="13"/>
      <c r="I148" s="10"/>
      <c r="J148" s="12"/>
      <c r="K148" s="2"/>
      <c r="L148" s="2"/>
      <c r="M148" s="2"/>
      <c r="N148" s="5" t="str">
        <f>IF(B148="","",IFERROR(LOOKUP(2,1/(单次交易!$A$2:$A$88=B148),单次交易!$N$2:$N$88),""))</f>
        <v/>
      </c>
      <c r="O148" s="5" t="str">
        <f t="shared" si="33"/>
        <v/>
      </c>
      <c r="P148" s="11" t="str">
        <f t="shared" si="34"/>
        <v/>
      </c>
      <c r="Q148" s="5" t="str">
        <f t="shared" si="35"/>
        <v/>
      </c>
      <c r="R148" s="10"/>
      <c r="S148" s="5" t="str">
        <f t="shared" si="36"/>
        <v/>
      </c>
      <c r="T148" s="5" t="str">
        <f t="shared" si="37"/>
        <v/>
      </c>
      <c r="U148" s="5" t="str">
        <f t="shared" si="38"/>
        <v/>
      </c>
      <c r="V148" s="7" t="str">
        <f t="shared" si="30"/>
        <v/>
      </c>
      <c r="W148" s="8" t="str">
        <f t="shared" si="31"/>
        <v/>
      </c>
      <c r="X148" s="2"/>
      <c r="Y148" s="10"/>
      <c r="Z148" s="11" t="str">
        <f>IF(X148&lt;&gt;"执行卖出","",IFERROR(LOOKUP(2,1/(单次交易!$A$2:$A$88=B148),单次交易!$AP$2:$AP$88),""))</f>
        <v/>
      </c>
      <c r="AA148" s="10"/>
      <c r="AB148" s="8" t="str">
        <f t="shared" si="32"/>
        <v/>
      </c>
      <c r="AC148" s="8" t="str">
        <f>IF(A148="","",IF(A148="止损计划",IF(OR(B148="",D148="",E148="",F148="",G148=""),"计划不完整",IF(OR(D148&lt;1,D148&lt;&gt;INT(D148)),"阶段序号无效",IF(COUNTIFS($A$2:$A$157,"止损计划",$B$2:$B$157,B148,$D$2:$D$157,D148)&gt;1,"阶段序号重复",IF(E148&lt;=IFERROR(LOOKUP(2,1/(单次交易!$A$2:$A$88=B148),单次交易!$E$2:$E$88),0),"激活价须高于买入价",IF(F148&lt;N148,"止损价不得低于初始止损",IF(F148&gt;E148,"止损价不得高于激活价",IF(AND(COUNTIFS($A$2:$A$157,"止损计划",$B$2:$B$157,B148,$D$2:$D$157,"&lt;"&amp;D148)&gt;0,OR(E148&lt;=SUMPRODUCT(MAX((($A$2:$A$157="止损计划")*($B$2:$B$157=B148)*($D$2:$D$157&lt;D148))*$E$2:$E$157)),F148&lt;SUMPRODUCT(MAX((($A$2:$A$157="止损计划")*($B$2:$B$157=B148)*($D$2:$D$157&lt;D148))*$F$2:$F$157)))),"阶段价格必须逐级提高","计划有效"))))))),IF(A148="每日跟踪",IF(OR(B148="",H148="",I148="",J148=""),"每日数据不完整",IF(COUNTIFS($A$2:$A$157,"每日跟踪",$B$2:$B$157,B148,$H$2:$H$157,H148)&gt;1,"同一交易日期重复",IF(AND(R148&lt;&gt;"",R148&lt;S148),"人工止损无效：不能下调","跟踪有效"))),"记录类型无效")))</f>
        <v/>
      </c>
    </row>
    <row r="149" ht="17" spans="1:29">
      <c r="A149" s="2"/>
      <c r="B149" s="2"/>
      <c r="C149" s="8" t="str">
        <f>IF(B149="","",IFERROR(LOOKUP(2,1/(单次交易!$A$2:$A$88=B149),单次交易!$B$2:$B$88),""))</f>
        <v/>
      </c>
      <c r="D149" s="12"/>
      <c r="E149" s="10"/>
      <c r="F149" s="10"/>
      <c r="G149" s="2"/>
      <c r="H149" s="13"/>
      <c r="I149" s="10"/>
      <c r="J149" s="12"/>
      <c r="K149" s="2"/>
      <c r="L149" s="2"/>
      <c r="M149" s="2"/>
      <c r="N149" s="5" t="str">
        <f>IF(B149="","",IFERROR(LOOKUP(2,1/(单次交易!$A$2:$A$88=B149),单次交易!$N$2:$N$88),""))</f>
        <v/>
      </c>
      <c r="O149" s="5" t="str">
        <f t="shared" si="33"/>
        <v/>
      </c>
      <c r="P149" s="11" t="str">
        <f t="shared" si="34"/>
        <v/>
      </c>
      <c r="Q149" s="5" t="str">
        <f t="shared" si="35"/>
        <v/>
      </c>
      <c r="R149" s="10"/>
      <c r="S149" s="5" t="str">
        <f t="shared" si="36"/>
        <v/>
      </c>
      <c r="T149" s="5" t="str">
        <f t="shared" si="37"/>
        <v/>
      </c>
      <c r="U149" s="5" t="str">
        <f t="shared" si="38"/>
        <v/>
      </c>
      <c r="V149" s="7" t="str">
        <f t="shared" si="30"/>
        <v/>
      </c>
      <c r="W149" s="8" t="str">
        <f t="shared" si="31"/>
        <v/>
      </c>
      <c r="X149" s="2"/>
      <c r="Y149" s="10"/>
      <c r="Z149" s="11" t="str">
        <f>IF(X149&lt;&gt;"执行卖出","",IFERROR(LOOKUP(2,1/(单次交易!$A$2:$A$88=B149),单次交易!$AP$2:$AP$88),""))</f>
        <v/>
      </c>
      <c r="AA149" s="10"/>
      <c r="AB149" s="8" t="str">
        <f t="shared" si="32"/>
        <v/>
      </c>
      <c r="AC149" s="8" t="str">
        <f>IF(A149="","",IF(A149="止损计划",IF(OR(B149="",D149="",E149="",F149="",G149=""),"计划不完整",IF(OR(D149&lt;1,D149&lt;&gt;INT(D149)),"阶段序号无效",IF(COUNTIFS($A$2:$A$157,"止损计划",$B$2:$B$157,B149,$D$2:$D$157,D149)&gt;1,"阶段序号重复",IF(E149&lt;=IFERROR(LOOKUP(2,1/(单次交易!$A$2:$A$88=B149),单次交易!$E$2:$E$88),0),"激活价须高于买入价",IF(F149&lt;N149,"止损价不得低于初始止损",IF(F149&gt;E149,"止损价不得高于激活价",IF(AND(COUNTIFS($A$2:$A$157,"止损计划",$B$2:$B$157,B149,$D$2:$D$157,"&lt;"&amp;D149)&gt;0,OR(E149&lt;=SUMPRODUCT(MAX((($A$2:$A$157="止损计划")*($B$2:$B$157=B149)*($D$2:$D$157&lt;D149))*$E$2:$E$157)),F149&lt;SUMPRODUCT(MAX((($A$2:$A$157="止损计划")*($B$2:$B$157=B149)*($D$2:$D$157&lt;D149))*$F$2:$F$157)))),"阶段价格必须逐级提高","计划有效"))))))),IF(A149="每日跟踪",IF(OR(B149="",H149="",I149="",J149=""),"每日数据不完整",IF(COUNTIFS($A$2:$A$157,"每日跟踪",$B$2:$B$157,B149,$H$2:$H$157,H149)&gt;1,"同一交易日期重复",IF(AND(R149&lt;&gt;"",R149&lt;S149),"人工止损无效：不能下调","跟踪有效"))),"记录类型无效")))</f>
        <v/>
      </c>
    </row>
    <row r="150" ht="17" spans="1:29">
      <c r="A150" s="2"/>
      <c r="B150" s="2"/>
      <c r="C150" s="8" t="str">
        <f>IF(B150="","",IFERROR(LOOKUP(2,1/(单次交易!$A$2:$A$88=B150),单次交易!$B$2:$B$88),""))</f>
        <v/>
      </c>
      <c r="D150" s="12"/>
      <c r="E150" s="10"/>
      <c r="F150" s="10"/>
      <c r="G150" s="2"/>
      <c r="H150" s="13"/>
      <c r="I150" s="10"/>
      <c r="J150" s="12"/>
      <c r="K150" s="2"/>
      <c r="L150" s="2"/>
      <c r="M150" s="2"/>
      <c r="N150" s="5" t="str">
        <f>IF(B150="","",IFERROR(LOOKUP(2,1/(单次交易!$A$2:$A$88=B150),单次交易!$N$2:$N$88),""))</f>
        <v/>
      </c>
      <c r="O150" s="5" t="str">
        <f t="shared" si="33"/>
        <v/>
      </c>
      <c r="P150" s="11" t="str">
        <f t="shared" si="34"/>
        <v/>
      </c>
      <c r="Q150" s="5" t="str">
        <f t="shared" si="35"/>
        <v/>
      </c>
      <c r="R150" s="10"/>
      <c r="S150" s="5" t="str">
        <f t="shared" si="36"/>
        <v/>
      </c>
      <c r="T150" s="5" t="str">
        <f t="shared" si="37"/>
        <v/>
      </c>
      <c r="U150" s="5" t="str">
        <f t="shared" si="38"/>
        <v/>
      </c>
      <c r="V150" s="7" t="str">
        <f t="shared" si="30"/>
        <v/>
      </c>
      <c r="W150" s="8" t="str">
        <f t="shared" si="31"/>
        <v/>
      </c>
      <c r="X150" s="2"/>
      <c r="Y150" s="10"/>
      <c r="Z150" s="11" t="str">
        <f>IF(X150&lt;&gt;"执行卖出","",IFERROR(LOOKUP(2,1/(单次交易!$A$2:$A$88=B150),单次交易!$AP$2:$AP$88),""))</f>
        <v/>
      </c>
      <c r="AA150" s="10"/>
      <c r="AB150" s="8" t="str">
        <f t="shared" si="32"/>
        <v/>
      </c>
      <c r="AC150" s="8" t="str">
        <f>IF(A150="","",IF(A150="止损计划",IF(OR(B150="",D150="",E150="",F150="",G150=""),"计划不完整",IF(OR(D150&lt;1,D150&lt;&gt;INT(D150)),"阶段序号无效",IF(COUNTIFS($A$2:$A$157,"止损计划",$B$2:$B$157,B150,$D$2:$D$157,D150)&gt;1,"阶段序号重复",IF(E150&lt;=IFERROR(LOOKUP(2,1/(单次交易!$A$2:$A$88=B150),单次交易!$E$2:$E$88),0),"激活价须高于买入价",IF(F150&lt;N150,"止损价不得低于初始止损",IF(F150&gt;E150,"止损价不得高于激活价",IF(AND(COUNTIFS($A$2:$A$157,"止损计划",$B$2:$B$157,B150,$D$2:$D$157,"&lt;"&amp;D150)&gt;0,OR(E150&lt;=SUMPRODUCT(MAX((($A$2:$A$157="止损计划")*($B$2:$B$157=B150)*($D$2:$D$157&lt;D150))*$E$2:$E$157)),F150&lt;SUMPRODUCT(MAX((($A$2:$A$157="止损计划")*($B$2:$B$157=B150)*($D$2:$D$157&lt;D150))*$F$2:$F$157)))),"阶段价格必须逐级提高","计划有效"))))))),IF(A150="每日跟踪",IF(OR(B150="",H150="",I150="",J150=""),"每日数据不完整",IF(COUNTIFS($A$2:$A$157,"每日跟踪",$B$2:$B$157,B150,$H$2:$H$157,H150)&gt;1,"同一交易日期重复",IF(AND(R150&lt;&gt;"",R150&lt;S150),"人工止损无效：不能下调","跟踪有效"))),"记录类型无效")))</f>
        <v/>
      </c>
    </row>
    <row r="151" ht="17" spans="1:29">
      <c r="A151" s="2"/>
      <c r="B151" s="2"/>
      <c r="C151" s="8" t="str">
        <f>IF(B151="","",IFERROR(LOOKUP(2,1/(单次交易!$A$2:$A$88=B151),单次交易!$B$2:$B$88),""))</f>
        <v/>
      </c>
      <c r="D151" s="12"/>
      <c r="E151" s="10"/>
      <c r="F151" s="10"/>
      <c r="G151" s="2"/>
      <c r="H151" s="13"/>
      <c r="I151" s="10"/>
      <c r="J151" s="12"/>
      <c r="K151" s="2"/>
      <c r="L151" s="2"/>
      <c r="M151" s="2"/>
      <c r="N151" s="5" t="str">
        <f>IF(B151="","",IFERROR(LOOKUP(2,1/(单次交易!$A$2:$A$88=B151),单次交易!$N$2:$N$88),""))</f>
        <v/>
      </c>
      <c r="O151" s="5" t="str">
        <f t="shared" si="33"/>
        <v/>
      </c>
      <c r="P151" s="11" t="str">
        <f t="shared" si="34"/>
        <v/>
      </c>
      <c r="Q151" s="5" t="str">
        <f t="shared" si="35"/>
        <v/>
      </c>
      <c r="R151" s="10"/>
      <c r="S151" s="5" t="str">
        <f t="shared" si="36"/>
        <v/>
      </c>
      <c r="T151" s="5" t="str">
        <f t="shared" si="37"/>
        <v/>
      </c>
      <c r="U151" s="5" t="str">
        <f t="shared" si="38"/>
        <v/>
      </c>
      <c r="V151" s="7" t="str">
        <f t="shared" si="30"/>
        <v/>
      </c>
      <c r="W151" s="8" t="str">
        <f t="shared" si="31"/>
        <v/>
      </c>
      <c r="X151" s="2"/>
      <c r="Y151" s="10"/>
      <c r="Z151" s="11" t="str">
        <f>IF(X151&lt;&gt;"执行卖出","",IFERROR(LOOKUP(2,1/(单次交易!$A$2:$A$88=B151),单次交易!$AP$2:$AP$88),""))</f>
        <v/>
      </c>
      <c r="AA151" s="10"/>
      <c r="AB151" s="8" t="str">
        <f t="shared" si="32"/>
        <v/>
      </c>
      <c r="AC151" s="8" t="str">
        <f>IF(A151="","",IF(A151="止损计划",IF(OR(B151="",D151="",E151="",F151="",G151=""),"计划不完整",IF(OR(D151&lt;1,D151&lt;&gt;INT(D151)),"阶段序号无效",IF(COUNTIFS($A$2:$A$157,"止损计划",$B$2:$B$157,B151,$D$2:$D$157,D151)&gt;1,"阶段序号重复",IF(E151&lt;=IFERROR(LOOKUP(2,1/(单次交易!$A$2:$A$88=B151),单次交易!$E$2:$E$88),0),"激活价须高于买入价",IF(F151&lt;N151,"止损价不得低于初始止损",IF(F151&gt;E151,"止损价不得高于激活价",IF(AND(COUNTIFS($A$2:$A$157,"止损计划",$B$2:$B$157,B151,$D$2:$D$157,"&lt;"&amp;D151)&gt;0,OR(E151&lt;=SUMPRODUCT(MAX((($A$2:$A$157="止损计划")*($B$2:$B$157=B151)*($D$2:$D$157&lt;D151))*$E$2:$E$157)),F151&lt;SUMPRODUCT(MAX((($A$2:$A$157="止损计划")*($B$2:$B$157=B151)*($D$2:$D$157&lt;D151))*$F$2:$F$157)))),"阶段价格必须逐级提高","计划有效"))))))),IF(A151="每日跟踪",IF(OR(B151="",H151="",I151="",J151=""),"每日数据不完整",IF(COUNTIFS($A$2:$A$157,"每日跟踪",$B$2:$B$157,B151,$H$2:$H$157,H151)&gt;1,"同一交易日期重复",IF(AND(R151&lt;&gt;"",R151&lt;S151),"人工止损无效：不能下调","跟踪有效"))),"记录类型无效")))</f>
        <v/>
      </c>
    </row>
    <row r="152" ht="17" spans="1:29">
      <c r="A152" s="2"/>
      <c r="B152" s="2"/>
      <c r="C152" s="8" t="str">
        <f>IF(B152="","",IFERROR(LOOKUP(2,1/(单次交易!$A$2:$A$88=B152),单次交易!$B$2:$B$88),""))</f>
        <v/>
      </c>
      <c r="D152" s="12"/>
      <c r="E152" s="10"/>
      <c r="F152" s="10"/>
      <c r="G152" s="2"/>
      <c r="H152" s="13"/>
      <c r="I152" s="10"/>
      <c r="J152" s="12"/>
      <c r="K152" s="2"/>
      <c r="L152" s="2"/>
      <c r="M152" s="2"/>
      <c r="N152" s="5" t="str">
        <f>IF(B152="","",IFERROR(LOOKUP(2,1/(单次交易!$A$2:$A$88=B152),单次交易!$N$2:$N$88),""))</f>
        <v/>
      </c>
      <c r="O152" s="5" t="str">
        <f t="shared" si="33"/>
        <v/>
      </c>
      <c r="P152" s="11" t="str">
        <f t="shared" si="34"/>
        <v/>
      </c>
      <c r="Q152" s="5" t="str">
        <f t="shared" si="35"/>
        <v/>
      </c>
      <c r="R152" s="10"/>
      <c r="S152" s="5" t="str">
        <f t="shared" si="36"/>
        <v/>
      </c>
      <c r="T152" s="5" t="str">
        <f t="shared" si="37"/>
        <v/>
      </c>
      <c r="U152" s="5" t="str">
        <f t="shared" si="38"/>
        <v/>
      </c>
      <c r="V152" s="7" t="str">
        <f t="shared" si="30"/>
        <v/>
      </c>
      <c r="W152" s="8" t="str">
        <f t="shared" si="31"/>
        <v/>
      </c>
      <c r="X152" s="2"/>
      <c r="Y152" s="10"/>
      <c r="Z152" s="11" t="str">
        <f>IF(X152&lt;&gt;"执行卖出","",IFERROR(LOOKUP(2,1/(单次交易!$A$2:$A$88=B152),单次交易!$AP$2:$AP$88),""))</f>
        <v/>
      </c>
      <c r="AA152" s="10"/>
      <c r="AB152" s="8" t="str">
        <f t="shared" si="32"/>
        <v/>
      </c>
      <c r="AC152" s="8" t="str">
        <f>IF(A152="","",IF(A152="止损计划",IF(OR(B152="",D152="",E152="",F152="",G152=""),"计划不完整",IF(OR(D152&lt;1,D152&lt;&gt;INT(D152)),"阶段序号无效",IF(COUNTIFS($A$2:$A$157,"止损计划",$B$2:$B$157,B152,$D$2:$D$157,D152)&gt;1,"阶段序号重复",IF(E152&lt;=IFERROR(LOOKUP(2,1/(单次交易!$A$2:$A$88=B152),单次交易!$E$2:$E$88),0),"激活价须高于买入价",IF(F152&lt;N152,"止损价不得低于初始止损",IF(F152&gt;E152,"止损价不得高于激活价",IF(AND(COUNTIFS($A$2:$A$157,"止损计划",$B$2:$B$157,B152,$D$2:$D$157,"&lt;"&amp;D152)&gt;0,OR(E152&lt;=SUMPRODUCT(MAX((($A$2:$A$157="止损计划")*($B$2:$B$157=B152)*($D$2:$D$157&lt;D152))*$E$2:$E$157)),F152&lt;SUMPRODUCT(MAX((($A$2:$A$157="止损计划")*($B$2:$B$157=B152)*($D$2:$D$157&lt;D152))*$F$2:$F$157)))),"阶段价格必须逐级提高","计划有效"))))))),IF(A152="每日跟踪",IF(OR(B152="",H152="",I152="",J152=""),"每日数据不完整",IF(COUNTIFS($A$2:$A$157,"每日跟踪",$B$2:$B$157,B152,$H$2:$H$157,H152)&gt;1,"同一交易日期重复",IF(AND(R152&lt;&gt;"",R152&lt;S152),"人工止损无效：不能下调","跟踪有效"))),"记录类型无效")))</f>
        <v/>
      </c>
    </row>
    <row r="153" ht="17" spans="1:29">
      <c r="A153" s="2"/>
      <c r="B153" s="2"/>
      <c r="C153" s="8" t="str">
        <f>IF(B153="","",IFERROR(LOOKUP(2,1/(单次交易!$A$2:$A$88=B153),单次交易!$B$2:$B$88),""))</f>
        <v/>
      </c>
      <c r="D153" s="12"/>
      <c r="E153" s="10"/>
      <c r="F153" s="10"/>
      <c r="G153" s="2"/>
      <c r="H153" s="13"/>
      <c r="I153" s="10"/>
      <c r="J153" s="12"/>
      <c r="K153" s="2"/>
      <c r="L153" s="2"/>
      <c r="M153" s="2"/>
      <c r="N153" s="5" t="str">
        <f>IF(B153="","",IFERROR(LOOKUP(2,1/(单次交易!$A$2:$A$88=B153),单次交易!$N$2:$N$88),""))</f>
        <v/>
      </c>
      <c r="O153" s="5" t="str">
        <f t="shared" si="33"/>
        <v/>
      </c>
      <c r="P153" s="11" t="str">
        <f t="shared" si="34"/>
        <v/>
      </c>
      <c r="Q153" s="5" t="str">
        <f t="shared" si="35"/>
        <v/>
      </c>
      <c r="R153" s="10"/>
      <c r="S153" s="5" t="str">
        <f t="shared" si="36"/>
        <v/>
      </c>
      <c r="T153" s="5" t="str">
        <f t="shared" si="37"/>
        <v/>
      </c>
      <c r="U153" s="5" t="str">
        <f t="shared" si="38"/>
        <v/>
      </c>
      <c r="V153" s="7" t="str">
        <f t="shared" si="30"/>
        <v/>
      </c>
      <c r="W153" s="8" t="str">
        <f t="shared" si="31"/>
        <v/>
      </c>
      <c r="X153" s="2"/>
      <c r="Y153" s="10"/>
      <c r="Z153" s="11" t="str">
        <f>IF(X153&lt;&gt;"执行卖出","",IFERROR(LOOKUP(2,1/(单次交易!$A$2:$A$88=B153),单次交易!$AP$2:$AP$88),""))</f>
        <v/>
      </c>
      <c r="AA153" s="10"/>
      <c r="AB153" s="8" t="str">
        <f t="shared" si="32"/>
        <v/>
      </c>
      <c r="AC153" s="8" t="str">
        <f>IF(A153="","",IF(A153="止损计划",IF(OR(B153="",D153="",E153="",F153="",G153=""),"计划不完整",IF(OR(D153&lt;1,D153&lt;&gt;INT(D153)),"阶段序号无效",IF(COUNTIFS($A$2:$A$157,"止损计划",$B$2:$B$157,B153,$D$2:$D$157,D153)&gt;1,"阶段序号重复",IF(E153&lt;=IFERROR(LOOKUP(2,1/(单次交易!$A$2:$A$88=B153),单次交易!$E$2:$E$88),0),"激活价须高于买入价",IF(F153&lt;N153,"止损价不得低于初始止损",IF(F153&gt;E153,"止损价不得高于激活价",IF(AND(COUNTIFS($A$2:$A$157,"止损计划",$B$2:$B$157,B153,$D$2:$D$157,"&lt;"&amp;D153)&gt;0,OR(E153&lt;=SUMPRODUCT(MAX((($A$2:$A$157="止损计划")*($B$2:$B$157=B153)*($D$2:$D$157&lt;D153))*$E$2:$E$157)),F153&lt;SUMPRODUCT(MAX((($A$2:$A$157="止损计划")*($B$2:$B$157=B153)*($D$2:$D$157&lt;D153))*$F$2:$F$157)))),"阶段价格必须逐级提高","计划有效"))))))),IF(A153="每日跟踪",IF(OR(B153="",H153="",I153="",J153=""),"每日数据不完整",IF(COUNTIFS($A$2:$A$157,"每日跟踪",$B$2:$B$157,B153,$H$2:$H$157,H153)&gt;1,"同一交易日期重复",IF(AND(R153&lt;&gt;"",R153&lt;S153),"人工止损无效：不能下调","跟踪有效"))),"记录类型无效")))</f>
        <v/>
      </c>
    </row>
    <row r="154" ht="17" spans="1:29">
      <c r="A154" s="2"/>
      <c r="B154" s="2"/>
      <c r="C154" s="8" t="str">
        <f>IF(B154="","",IFERROR(LOOKUP(2,1/(单次交易!$A$2:$A$88=B154),单次交易!$B$2:$B$88),""))</f>
        <v/>
      </c>
      <c r="D154" s="12"/>
      <c r="E154" s="10"/>
      <c r="F154" s="10"/>
      <c r="G154" s="2"/>
      <c r="H154" s="13"/>
      <c r="I154" s="10"/>
      <c r="J154" s="12"/>
      <c r="K154" s="2"/>
      <c r="L154" s="2"/>
      <c r="M154" s="2"/>
      <c r="N154" s="5" t="str">
        <f>IF(B154="","",IFERROR(LOOKUP(2,1/(单次交易!$A$2:$A$88=B154),单次交易!$N$2:$N$88),""))</f>
        <v/>
      </c>
      <c r="O154" s="5" t="str">
        <f t="shared" si="33"/>
        <v/>
      </c>
      <c r="P154" s="11" t="str">
        <f t="shared" si="34"/>
        <v/>
      </c>
      <c r="Q154" s="5" t="str">
        <f t="shared" si="35"/>
        <v/>
      </c>
      <c r="R154" s="10"/>
      <c r="S154" s="5" t="str">
        <f t="shared" si="36"/>
        <v/>
      </c>
      <c r="T154" s="5" t="str">
        <f t="shared" si="37"/>
        <v/>
      </c>
      <c r="U154" s="5" t="str">
        <f t="shared" si="38"/>
        <v/>
      </c>
      <c r="V154" s="7" t="str">
        <f t="shared" si="30"/>
        <v/>
      </c>
      <c r="W154" s="8" t="str">
        <f t="shared" si="31"/>
        <v/>
      </c>
      <c r="X154" s="2"/>
      <c r="Y154" s="10"/>
      <c r="Z154" s="11" t="str">
        <f>IF(X154&lt;&gt;"执行卖出","",IFERROR(LOOKUP(2,1/(单次交易!$A$2:$A$88=B154),单次交易!$AP$2:$AP$88),""))</f>
        <v/>
      </c>
      <c r="AA154" s="10"/>
      <c r="AB154" s="8" t="str">
        <f t="shared" si="32"/>
        <v/>
      </c>
      <c r="AC154" s="8" t="str">
        <f>IF(A154="","",IF(A154="止损计划",IF(OR(B154="",D154="",E154="",F154="",G154=""),"计划不完整",IF(OR(D154&lt;1,D154&lt;&gt;INT(D154)),"阶段序号无效",IF(COUNTIFS($A$2:$A$157,"止损计划",$B$2:$B$157,B154,$D$2:$D$157,D154)&gt;1,"阶段序号重复",IF(E154&lt;=IFERROR(LOOKUP(2,1/(单次交易!$A$2:$A$88=B154),单次交易!$E$2:$E$88),0),"激活价须高于买入价",IF(F154&lt;N154,"止损价不得低于初始止损",IF(F154&gt;E154,"止损价不得高于激活价",IF(AND(COUNTIFS($A$2:$A$157,"止损计划",$B$2:$B$157,B154,$D$2:$D$157,"&lt;"&amp;D154)&gt;0,OR(E154&lt;=SUMPRODUCT(MAX((($A$2:$A$157="止损计划")*($B$2:$B$157=B154)*($D$2:$D$157&lt;D154))*$E$2:$E$157)),F154&lt;SUMPRODUCT(MAX((($A$2:$A$157="止损计划")*($B$2:$B$157=B154)*($D$2:$D$157&lt;D154))*$F$2:$F$157)))),"阶段价格必须逐级提高","计划有效"))))))),IF(A154="每日跟踪",IF(OR(B154="",H154="",I154="",J154=""),"每日数据不完整",IF(COUNTIFS($A$2:$A$157,"每日跟踪",$B$2:$B$157,B154,$H$2:$H$157,H154)&gt;1,"同一交易日期重复",IF(AND(R154&lt;&gt;"",R154&lt;S154),"人工止损无效：不能下调","跟踪有效"))),"记录类型无效")))</f>
        <v/>
      </c>
    </row>
    <row r="155" ht="17" spans="1:29">
      <c r="A155" s="2"/>
      <c r="B155" s="2"/>
      <c r="C155" s="8" t="str">
        <f>IF(B155="","",IFERROR(LOOKUP(2,1/(单次交易!$A$2:$A$88=B155),单次交易!$B$2:$B$88),""))</f>
        <v/>
      </c>
      <c r="D155" s="12"/>
      <c r="E155" s="10"/>
      <c r="F155" s="10"/>
      <c r="G155" s="2"/>
      <c r="H155" s="13"/>
      <c r="I155" s="10"/>
      <c r="J155" s="12"/>
      <c r="K155" s="2"/>
      <c r="L155" s="2"/>
      <c r="M155" s="2"/>
      <c r="N155" s="5" t="str">
        <f>IF(B155="","",IFERROR(LOOKUP(2,1/(单次交易!$A$2:$A$88=B155),单次交易!$N$2:$N$88),""))</f>
        <v/>
      </c>
      <c r="O155" s="5" t="str">
        <f t="shared" si="33"/>
        <v/>
      </c>
      <c r="P155" s="11" t="str">
        <f t="shared" si="34"/>
        <v/>
      </c>
      <c r="Q155" s="5" t="str">
        <f t="shared" si="35"/>
        <v/>
      </c>
      <c r="R155" s="10"/>
      <c r="S155" s="5" t="str">
        <f t="shared" si="36"/>
        <v/>
      </c>
      <c r="T155" s="5" t="str">
        <f t="shared" si="37"/>
        <v/>
      </c>
      <c r="U155" s="5" t="str">
        <f t="shared" si="38"/>
        <v/>
      </c>
      <c r="V155" s="7" t="str">
        <f t="shared" si="30"/>
        <v/>
      </c>
      <c r="W155" s="8" t="str">
        <f t="shared" si="31"/>
        <v/>
      </c>
      <c r="X155" s="2"/>
      <c r="Y155" s="10"/>
      <c r="Z155" s="11" t="str">
        <f>IF(X155&lt;&gt;"执行卖出","",IFERROR(LOOKUP(2,1/(单次交易!$A$2:$A$88=B155),单次交易!$AP$2:$AP$88),""))</f>
        <v/>
      </c>
      <c r="AA155" s="10"/>
      <c r="AB155" s="8" t="str">
        <f t="shared" si="32"/>
        <v/>
      </c>
      <c r="AC155" s="8" t="str">
        <f>IF(A155="","",IF(A155="止损计划",IF(OR(B155="",D155="",E155="",F155="",G155=""),"计划不完整",IF(OR(D155&lt;1,D155&lt;&gt;INT(D155)),"阶段序号无效",IF(COUNTIFS($A$2:$A$157,"止损计划",$B$2:$B$157,B155,$D$2:$D$157,D155)&gt;1,"阶段序号重复",IF(E155&lt;=IFERROR(LOOKUP(2,1/(单次交易!$A$2:$A$88=B155),单次交易!$E$2:$E$88),0),"激活价须高于买入价",IF(F155&lt;N155,"止损价不得低于初始止损",IF(F155&gt;E155,"止损价不得高于激活价",IF(AND(COUNTIFS($A$2:$A$157,"止损计划",$B$2:$B$157,B155,$D$2:$D$157,"&lt;"&amp;D155)&gt;0,OR(E155&lt;=SUMPRODUCT(MAX((($A$2:$A$157="止损计划")*($B$2:$B$157=B155)*($D$2:$D$157&lt;D155))*$E$2:$E$157)),F155&lt;SUMPRODUCT(MAX((($A$2:$A$157="止损计划")*($B$2:$B$157=B155)*($D$2:$D$157&lt;D155))*$F$2:$F$157)))),"阶段价格必须逐级提高","计划有效"))))))),IF(A155="每日跟踪",IF(OR(B155="",H155="",I155="",J155=""),"每日数据不完整",IF(COUNTIFS($A$2:$A$157,"每日跟踪",$B$2:$B$157,B155,$H$2:$H$157,H155)&gt;1,"同一交易日期重复",IF(AND(R155&lt;&gt;"",R155&lt;S155),"人工止损无效：不能下调","跟踪有效"))),"记录类型无效")))</f>
        <v/>
      </c>
    </row>
    <row r="156" ht="17" spans="1:29">
      <c r="A156" s="2"/>
      <c r="B156" s="2"/>
      <c r="C156" s="8" t="str">
        <f>IF(B156="","",IFERROR(LOOKUP(2,1/(单次交易!$A$2:$A$88=B156),单次交易!$B$2:$B$88),""))</f>
        <v/>
      </c>
      <c r="D156" s="12"/>
      <c r="E156" s="10"/>
      <c r="F156" s="10"/>
      <c r="G156" s="2"/>
      <c r="H156" s="13"/>
      <c r="I156" s="10"/>
      <c r="J156" s="12"/>
      <c r="K156" s="2"/>
      <c r="L156" s="2"/>
      <c r="M156" s="2"/>
      <c r="N156" s="5" t="str">
        <f>IF(B156="","",IFERROR(LOOKUP(2,1/(单次交易!$A$2:$A$88=B156),单次交易!$N$2:$N$88),""))</f>
        <v/>
      </c>
      <c r="O156" s="5" t="str">
        <f t="shared" si="33"/>
        <v/>
      </c>
      <c r="P156" s="11" t="str">
        <f t="shared" si="34"/>
        <v/>
      </c>
      <c r="Q156" s="5" t="str">
        <f t="shared" si="35"/>
        <v/>
      </c>
      <c r="R156" s="10"/>
      <c r="S156" s="5" t="str">
        <f t="shared" si="36"/>
        <v/>
      </c>
      <c r="T156" s="5" t="str">
        <f t="shared" si="37"/>
        <v/>
      </c>
      <c r="U156" s="5" t="str">
        <f t="shared" si="38"/>
        <v/>
      </c>
      <c r="V156" s="7" t="str">
        <f t="shared" si="30"/>
        <v/>
      </c>
      <c r="W156" s="8" t="str">
        <f t="shared" si="31"/>
        <v/>
      </c>
      <c r="X156" s="2"/>
      <c r="Y156" s="10"/>
      <c r="Z156" s="11" t="str">
        <f>IF(X156&lt;&gt;"执行卖出","",IFERROR(LOOKUP(2,1/(单次交易!$A$2:$A$88=B156),单次交易!$AP$2:$AP$88),""))</f>
        <v/>
      </c>
      <c r="AA156" s="10"/>
      <c r="AB156" s="8" t="str">
        <f t="shared" si="32"/>
        <v/>
      </c>
      <c r="AC156" s="8" t="str">
        <f>IF(A156="","",IF(A156="止损计划",IF(OR(B156="",D156="",E156="",F156="",G156=""),"计划不完整",IF(OR(D156&lt;1,D156&lt;&gt;INT(D156)),"阶段序号无效",IF(COUNTIFS($A$2:$A$157,"止损计划",$B$2:$B$157,B156,$D$2:$D$157,D156)&gt;1,"阶段序号重复",IF(E156&lt;=IFERROR(LOOKUP(2,1/(单次交易!$A$2:$A$88=B156),单次交易!$E$2:$E$88),0),"激活价须高于买入价",IF(F156&lt;N156,"止损价不得低于初始止损",IF(F156&gt;E156,"止损价不得高于激活价",IF(AND(COUNTIFS($A$2:$A$157,"止损计划",$B$2:$B$157,B156,$D$2:$D$157,"&lt;"&amp;D156)&gt;0,OR(E156&lt;=SUMPRODUCT(MAX((($A$2:$A$157="止损计划")*($B$2:$B$157=B156)*($D$2:$D$157&lt;D156))*$E$2:$E$157)),F156&lt;SUMPRODUCT(MAX((($A$2:$A$157="止损计划")*($B$2:$B$157=B156)*($D$2:$D$157&lt;D156))*$F$2:$F$157)))),"阶段价格必须逐级提高","计划有效"))))))),IF(A156="每日跟踪",IF(OR(B156="",H156="",I156="",J156=""),"每日数据不完整",IF(COUNTIFS($A$2:$A$157,"每日跟踪",$B$2:$B$157,B156,$H$2:$H$157,H156)&gt;1,"同一交易日期重复",IF(AND(R156&lt;&gt;"",R156&lt;S156),"人工止损无效：不能下调","跟踪有效"))),"记录类型无效")))</f>
        <v/>
      </c>
    </row>
    <row r="157" ht="17" spans="1:29">
      <c r="A157" s="2"/>
      <c r="B157" s="2"/>
      <c r="C157" s="8" t="str">
        <f>IF(B157="","",IFERROR(LOOKUP(2,1/(单次交易!$A$2:$A$88=B157),单次交易!$B$2:$B$88),""))</f>
        <v/>
      </c>
      <c r="D157" s="12"/>
      <c r="E157" s="10"/>
      <c r="F157" s="10"/>
      <c r="G157" s="2"/>
      <c r="H157" s="13"/>
      <c r="I157" s="10"/>
      <c r="J157" s="12"/>
      <c r="K157" s="2"/>
      <c r="L157" s="2"/>
      <c r="M157" s="2"/>
      <c r="N157" s="5" t="str">
        <f>IF(B157="","",IFERROR(LOOKUP(2,1/(单次交易!$A$2:$A$88=B157),单次交易!$N$2:$N$88),""))</f>
        <v/>
      </c>
      <c r="O157" s="5" t="str">
        <f t="shared" si="33"/>
        <v/>
      </c>
      <c r="P157" s="11" t="str">
        <f t="shared" si="34"/>
        <v/>
      </c>
      <c r="Q157" s="5" t="str">
        <f t="shared" si="35"/>
        <v/>
      </c>
      <c r="R157" s="10"/>
      <c r="S157" s="5" t="str">
        <f t="shared" si="36"/>
        <v/>
      </c>
      <c r="T157" s="5" t="str">
        <f t="shared" si="37"/>
        <v/>
      </c>
      <c r="U157" s="5" t="str">
        <f t="shared" si="38"/>
        <v/>
      </c>
      <c r="V157" s="7" t="str">
        <f t="shared" si="30"/>
        <v/>
      </c>
      <c r="W157" s="8" t="str">
        <f t="shared" si="31"/>
        <v/>
      </c>
      <c r="X157" s="2"/>
      <c r="Y157" s="10"/>
      <c r="Z157" s="11" t="str">
        <f>IF(X157&lt;&gt;"执行卖出","",IFERROR(LOOKUP(2,1/(单次交易!$A$2:$A$88=B157),单次交易!$AP$2:$AP$88),""))</f>
        <v/>
      </c>
      <c r="AA157" s="10"/>
      <c r="AB157" s="8" t="str">
        <f t="shared" si="32"/>
        <v/>
      </c>
      <c r="AC157" s="8" t="str">
        <f>IF(A157="","",IF(A157="止损计划",IF(OR(B157="",D157="",E157="",F157="",G157=""),"计划不完整",IF(OR(D157&lt;1,D157&lt;&gt;INT(D157)),"阶段序号无效",IF(COUNTIFS($A$2:$A$157,"止损计划",$B$2:$B$157,B157,$D$2:$D$157,D157)&gt;1,"阶段序号重复",IF(E157&lt;=IFERROR(LOOKUP(2,1/(单次交易!$A$2:$A$88=B157),单次交易!$E$2:$E$88),0),"激活价须高于买入价",IF(F157&lt;N157,"止损价不得低于初始止损",IF(F157&gt;E157,"止损价不得高于激活价",IF(AND(COUNTIFS($A$2:$A$157,"止损计划",$B$2:$B$157,B157,$D$2:$D$157,"&lt;"&amp;D157)&gt;0,OR(E157&lt;=SUMPRODUCT(MAX((($A$2:$A$157="止损计划")*($B$2:$B$157=B157)*($D$2:$D$157&lt;D157))*$E$2:$E$157)),F157&lt;SUMPRODUCT(MAX((($A$2:$A$157="止损计划")*($B$2:$B$157=B157)*($D$2:$D$157&lt;D157))*$F$2:$F$157)))),"阶段价格必须逐级提高","计划有效"))))))),IF(A157="每日跟踪",IF(OR(B157="",H157="",I157="",J157=""),"每日数据不完整",IF(COUNTIFS($A$2:$A$157,"每日跟踪",$B$2:$B$157,B157,$H$2:$H$157,H157)&gt;1,"同一交易日期重复",IF(AND(R157&lt;&gt;"",R157&lt;S157),"人工止损无效：不能下调","跟踪有效"))),"记录类型无效")))</f>
        <v/>
      </c>
    </row>
  </sheetData>
  <conditionalFormatting sqref="C89">
    <cfRule type="expression" dxfId="2" priority="1">
      <formula>$A89="止损计划"</formula>
    </cfRule>
  </conditionalFormatting>
  <conditionalFormatting sqref="W89">
    <cfRule type="expression" dxfId="0" priority="33">
      <formula>LEFT($W89,4)="触发止损"</formula>
    </cfRule>
  </conditionalFormatting>
  <conditionalFormatting sqref="AB89:AC89">
    <cfRule type="expression" dxfId="0" priority="48">
      <formula>OR(LEFT($AB89,2)="违规",ISNUMBER(SEARCH("无效",$AC89)))</formula>
    </cfRule>
  </conditionalFormatting>
  <conditionalFormatting sqref="A90:AC90">
    <cfRule type="expression" dxfId="2" priority="17">
      <formula>$A90="止损计划"</formula>
    </cfRule>
  </conditionalFormatting>
  <conditionalFormatting sqref="W90">
    <cfRule type="expression" dxfId="0" priority="32">
      <formula>LEFT($W90,4)="触发止损"</formula>
    </cfRule>
  </conditionalFormatting>
  <conditionalFormatting sqref="AB90:AC90">
    <cfRule type="expression" dxfId="0" priority="47">
      <formula>OR(LEFT($AB90,2)="违规",ISNUMBER(SEARCH("无效",$AC90)))</formula>
    </cfRule>
  </conditionalFormatting>
  <conditionalFormatting sqref="A91:AC91">
    <cfRule type="expression" dxfId="2" priority="16">
      <formula>$A91="止损计划"</formula>
    </cfRule>
  </conditionalFormatting>
  <conditionalFormatting sqref="W91">
    <cfRule type="expression" dxfId="0" priority="31">
      <formula>LEFT($W91,4)="触发止损"</formula>
    </cfRule>
  </conditionalFormatting>
  <conditionalFormatting sqref="AB91:AC91">
    <cfRule type="expression" dxfId="0" priority="46">
      <formula>OR(LEFT($AB91,2)="违规",ISNUMBER(SEARCH("无效",$AC91)))</formula>
    </cfRule>
  </conditionalFormatting>
  <conditionalFormatting sqref="A92:AC92">
    <cfRule type="expression" dxfId="2" priority="15">
      <formula>$A92="止损计划"</formula>
    </cfRule>
  </conditionalFormatting>
  <conditionalFormatting sqref="W92">
    <cfRule type="expression" dxfId="0" priority="30">
      <formula>LEFT($W92,4)="触发止损"</formula>
    </cfRule>
  </conditionalFormatting>
  <conditionalFormatting sqref="AB92:AC92">
    <cfRule type="expression" dxfId="0" priority="45">
      <formula>OR(LEFT($AB92,2)="违规",ISNUMBER(SEARCH("无效",$AC92)))</formula>
    </cfRule>
  </conditionalFormatting>
  <conditionalFormatting sqref="A93:AC93">
    <cfRule type="expression" dxfId="2" priority="14">
      <formula>$A93="止损计划"</formula>
    </cfRule>
  </conditionalFormatting>
  <conditionalFormatting sqref="W93">
    <cfRule type="expression" dxfId="0" priority="29">
      <formula>LEFT($W93,4)="触发止损"</formula>
    </cfRule>
  </conditionalFormatting>
  <conditionalFormatting sqref="AB93:AC93">
    <cfRule type="expression" dxfId="0" priority="44">
      <formula>OR(LEFT($AB93,2)="违规",ISNUMBER(SEARCH("无效",$AC93)))</formula>
    </cfRule>
  </conditionalFormatting>
  <conditionalFormatting sqref="A94:AC94">
    <cfRule type="expression" dxfId="2" priority="13">
      <formula>$A94="止损计划"</formula>
    </cfRule>
  </conditionalFormatting>
  <conditionalFormatting sqref="W94">
    <cfRule type="expression" dxfId="0" priority="28">
      <formula>LEFT($W94,4)="触发止损"</formula>
    </cfRule>
  </conditionalFormatting>
  <conditionalFormatting sqref="AB94:AC94">
    <cfRule type="expression" dxfId="0" priority="43">
      <formula>OR(LEFT($AB94,2)="违规",ISNUMBER(SEARCH("无效",$AC94)))</formula>
    </cfRule>
  </conditionalFormatting>
  <conditionalFormatting sqref="A95:AC95">
    <cfRule type="expression" dxfId="2" priority="12">
      <formula>$A95="止损计划"</formula>
    </cfRule>
  </conditionalFormatting>
  <conditionalFormatting sqref="W95">
    <cfRule type="expression" dxfId="0" priority="27">
      <formula>LEFT($W95,4)="触发止损"</formula>
    </cfRule>
  </conditionalFormatting>
  <conditionalFormatting sqref="AB95:AC95">
    <cfRule type="expression" dxfId="0" priority="42">
      <formula>OR(LEFT($AB95,2)="违规",ISNUMBER(SEARCH("无效",$AC95)))</formula>
    </cfRule>
  </conditionalFormatting>
  <conditionalFormatting sqref="A96:AC96">
    <cfRule type="expression" dxfId="2" priority="11">
      <formula>$A96="止损计划"</formula>
    </cfRule>
  </conditionalFormatting>
  <conditionalFormatting sqref="W96">
    <cfRule type="expression" dxfId="0" priority="26">
      <formula>LEFT($W96,4)="触发止损"</formula>
    </cfRule>
  </conditionalFormatting>
  <conditionalFormatting sqref="AB96:AC96">
    <cfRule type="expression" dxfId="0" priority="41">
      <formula>OR(LEFT($AB96,2)="违规",ISNUMBER(SEARCH("无效",$AC96)))</formula>
    </cfRule>
  </conditionalFormatting>
  <conditionalFormatting sqref="A97:AC97">
    <cfRule type="expression" dxfId="2" priority="10">
      <formula>$A97="止损计划"</formula>
    </cfRule>
  </conditionalFormatting>
  <conditionalFormatting sqref="W97">
    <cfRule type="expression" dxfId="0" priority="25">
      <formula>LEFT($W97,4)="触发止损"</formula>
    </cfRule>
  </conditionalFormatting>
  <conditionalFormatting sqref="AB97:AC97">
    <cfRule type="expression" dxfId="0" priority="40">
      <formula>OR(LEFT($AB97,2)="违规",ISNUMBER(SEARCH("无效",$AC97)))</formula>
    </cfRule>
  </conditionalFormatting>
  <conditionalFormatting sqref="A98:AC98">
    <cfRule type="expression" dxfId="2" priority="9">
      <formula>$A98="止损计划"</formula>
    </cfRule>
  </conditionalFormatting>
  <conditionalFormatting sqref="W98">
    <cfRule type="expression" dxfId="0" priority="24">
      <formula>LEFT($W98,4)="触发止损"</formula>
    </cfRule>
  </conditionalFormatting>
  <conditionalFormatting sqref="AB98:AC98">
    <cfRule type="expression" dxfId="0" priority="39">
      <formula>OR(LEFT($AB98,2)="违规",ISNUMBER(SEARCH("无效",$AC98)))</formula>
    </cfRule>
  </conditionalFormatting>
  <conditionalFormatting sqref="A99:AC99">
    <cfRule type="expression" dxfId="2" priority="8">
      <formula>$A99="止损计划"</formula>
    </cfRule>
  </conditionalFormatting>
  <conditionalFormatting sqref="W99">
    <cfRule type="expression" dxfId="0" priority="23">
      <formula>LEFT($W99,4)="触发止损"</formula>
    </cfRule>
  </conditionalFormatting>
  <conditionalFormatting sqref="AB99:AC99">
    <cfRule type="expression" dxfId="0" priority="38">
      <formula>OR(LEFT($AB99,2)="违规",ISNUMBER(SEARCH("无效",$AC99)))</formula>
    </cfRule>
  </conditionalFormatting>
  <conditionalFormatting sqref="A100:AC100">
    <cfRule type="expression" dxfId="2" priority="7">
      <formula>$A100="止损计划"</formula>
    </cfRule>
  </conditionalFormatting>
  <conditionalFormatting sqref="W100">
    <cfRule type="expression" dxfId="0" priority="22">
      <formula>LEFT($W100,4)="触发止损"</formula>
    </cfRule>
  </conditionalFormatting>
  <conditionalFormatting sqref="AB100:AC100">
    <cfRule type="expression" dxfId="0" priority="37">
      <formula>OR(LEFT($AB100,2)="违规",ISNUMBER(SEARCH("无效",$AC100)))</formula>
    </cfRule>
  </conditionalFormatting>
  <conditionalFormatting sqref="A101:AC101">
    <cfRule type="expression" dxfId="2" priority="6">
      <formula>$A101="止损计划"</formula>
    </cfRule>
  </conditionalFormatting>
  <conditionalFormatting sqref="W101">
    <cfRule type="expression" dxfId="0" priority="21">
      <formula>LEFT($W101,4)="触发止损"</formula>
    </cfRule>
  </conditionalFormatting>
  <conditionalFormatting sqref="AB101:AC101">
    <cfRule type="expression" dxfId="0" priority="36">
      <formula>OR(LEFT($AB101,2)="违规",ISNUMBER(SEARCH("无效",$AC101)))</formula>
    </cfRule>
  </conditionalFormatting>
  <conditionalFormatting sqref="A102:AC102">
    <cfRule type="expression" dxfId="2" priority="5">
      <formula>$A102="止损计划"</formula>
    </cfRule>
  </conditionalFormatting>
  <conditionalFormatting sqref="W102">
    <cfRule type="expression" dxfId="0" priority="20">
      <formula>LEFT($W102,4)="触发止损"</formula>
    </cfRule>
  </conditionalFormatting>
  <conditionalFormatting sqref="AB102:AC102">
    <cfRule type="expression" dxfId="0" priority="35">
      <formula>OR(LEFT($AB102,2)="违规",ISNUMBER(SEARCH("无效",$AC102)))</formula>
    </cfRule>
  </conditionalFormatting>
  <conditionalFormatting sqref="A103:AC103">
    <cfRule type="expression" dxfId="2" priority="4">
      <formula>$A103="止损计划"</formula>
    </cfRule>
  </conditionalFormatting>
  <conditionalFormatting sqref="W103">
    <cfRule type="expression" dxfId="0" priority="19">
      <formula>LEFT($W103,4)="触发止损"</formula>
    </cfRule>
  </conditionalFormatting>
  <conditionalFormatting sqref="AB103:AC103">
    <cfRule type="expression" dxfId="0" priority="34">
      <formula>OR(LEFT($AB103,2)="违规",ISNUMBER(SEARCH("无效",$AC103)))</formula>
    </cfRule>
  </conditionalFormatting>
  <conditionalFormatting sqref="A2:AC88 A104:AC157">
    <cfRule type="expression" dxfId="2" priority="49">
      <formula>$A2="止损计划"</formula>
    </cfRule>
  </conditionalFormatting>
  <conditionalFormatting sqref="W2:W88 W104:W157">
    <cfRule type="expression" dxfId="0" priority="50">
      <formula>LEFT($W2,4)="触发止损"</formula>
    </cfRule>
  </conditionalFormatting>
  <conditionalFormatting sqref="AB2:AC88 AB104:AC157">
    <cfRule type="expression" dxfId="0" priority="51">
      <formula>OR(LEFT($AB2,2)="违规",ISNUMBER(SEARCH("无效",$AC2)))</formula>
    </cfRule>
  </conditionalFormatting>
  <conditionalFormatting sqref="A89:B89 D89:AC89">
    <cfRule type="expression" dxfId="2" priority="18">
      <formula>$A89="止损计划"</formula>
    </cfRule>
  </conditionalFormatting>
  <dataValidations count="8">
    <dataValidation type="list" allowBlank="1" sqref="A2:A157">
      <formula1>"止损计划,每日跟踪"</formula1>
    </dataValidation>
    <dataValidation type="list" allowBlank="1" sqref="B2:B157">
      <formula1>_TradeIds</formula1>
    </dataValidation>
    <dataValidation type="whole" operator="greaterThanOrEqual" allowBlank="1" sqref="D2:D157">
      <formula1>1</formula1>
    </dataValidation>
    <dataValidation type="date" operator="between" allowBlank="1" sqref="H2:H157">
      <formula1>DATE(2000,1,1)</formula1>
      <formula2>DATE(2100,12,31)</formula2>
    </dataValidation>
    <dataValidation type="list" allowBlank="1" sqref="L2:L157">
      <formula1>"吸筹,启动,趋势上行,加速上涨,高位分歧,回调确认,破位,其他"</formula1>
    </dataValidation>
    <dataValidation type="decimal" operator="greaterThan" allowBlank="1" sqref="R2:R157 Y2:Y157 E2:F157 I2:J157">
      <formula1>0</formula1>
    </dataValidation>
    <dataValidation type="list" allowBlank="1" sqref="X2:X157">
      <formula1>"继续持有,执行卖出"</formula1>
    </dataValidation>
    <dataValidation type="decimal" operator="greaterThanOrEqual" allowBlank="1" sqref="AA2:AA157">
      <formula1>0</formula1>
    </dataValidation>
  </dataValidations>
  <pageMargins left="0.75" right="0.75" top="1" bottom="1" header="0.5" footer="0.5"/>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9"/>
  <sheetViews>
    <sheetView workbookViewId="0">
      <pane ySplit="1" topLeftCell="A75" activePane="bottomLeft" state="frozen"/>
      <selection/>
      <selection pane="bottomLeft" activeCell="H99" sqref="H99"/>
    </sheetView>
  </sheetViews>
  <sheetFormatPr defaultColWidth="9" defaultRowHeight="16.8"/>
  <cols>
    <col min="1" max="2" width="14" customWidth="1"/>
    <col min="3" max="3" width="16" customWidth="1"/>
    <col min="4" max="4" width="14" customWidth="1"/>
    <col min="5" max="5" width="13" customWidth="1"/>
    <col min="6" max="8" width="24" customWidth="1"/>
    <col min="9" max="9" width="48" customWidth="1"/>
    <col min="10" max="10" width="14.75" customWidth="1"/>
  </cols>
  <sheetData>
    <row r="1" ht="42" customHeight="1" spans="1:12">
      <c r="A1" s="1" t="s">
        <v>0</v>
      </c>
      <c r="B1" s="1" t="s">
        <v>1</v>
      </c>
      <c r="C1" s="1" t="s">
        <v>97</v>
      </c>
      <c r="D1" s="1" t="s">
        <v>98</v>
      </c>
      <c r="E1" s="1" t="s">
        <v>75</v>
      </c>
      <c r="F1" s="1" t="s">
        <v>99</v>
      </c>
      <c r="G1" s="1" t="s">
        <v>100</v>
      </c>
      <c r="H1" s="1" t="s">
        <v>101</v>
      </c>
      <c r="I1" s="1" t="s">
        <v>102</v>
      </c>
      <c r="J1" t="s">
        <v>31</v>
      </c>
      <c r="K1" t="s">
        <v>103</v>
      </c>
      <c r="L1" t="s">
        <v>104</v>
      </c>
    </row>
    <row r="2" spans="1:12">
      <c r="A2" s="2"/>
      <c r="B2" s="2"/>
      <c r="C2" s="2"/>
      <c r="D2" s="2"/>
      <c r="E2" s="13"/>
      <c r="F2" s="2"/>
      <c r="G2" s="2"/>
      <c r="H2" s="2"/>
      <c r="I2" s="2"/>
    </row>
    <row r="3" spans="1:12">
      <c r="A3" s="2"/>
      <c r="B3" s="2"/>
      <c r="C3" s="2"/>
      <c r="D3" s="2"/>
      <c r="E3" s="13"/>
      <c r="F3" s="2"/>
      <c r="G3" s="2"/>
      <c r="H3" s="2"/>
      <c r="I3" s="2"/>
    </row>
    <row r="4" spans="1:12">
      <c r="A4" s="2"/>
      <c r="B4" s="2"/>
      <c r="C4" s="2"/>
      <c r="D4" s="2"/>
      <c r="E4" s="13"/>
      <c r="F4" s="2"/>
      <c r="G4" s="2"/>
      <c r="H4" s="2"/>
      <c r="I4" s="2"/>
    </row>
    <row r="5" spans="1:12">
      <c r="A5" s="2"/>
      <c r="B5" s="2"/>
      <c r="C5" s="2"/>
      <c r="D5" s="2"/>
      <c r="E5" s="13"/>
      <c r="F5" s="2"/>
      <c r="G5" s="2"/>
      <c r="H5" s="2"/>
      <c r="I5" s="2"/>
    </row>
    <row r="6" spans="1:12">
      <c r="A6" s="2"/>
      <c r="B6" s="2"/>
      <c r="C6" s="2"/>
      <c r="D6" s="2"/>
      <c r="E6" s="13"/>
      <c r="F6" s="2"/>
      <c r="G6" s="2"/>
      <c r="H6" s="2"/>
      <c r="I6" s="2"/>
    </row>
    <row r="7" spans="1:12">
      <c r="A7" s="2"/>
      <c r="B7" s="2"/>
      <c r="C7" s="2"/>
      <c r="D7" s="2"/>
      <c r="E7" s="13"/>
      <c r="F7" s="2"/>
      <c r="G7" s="2"/>
      <c r="H7" s="2"/>
      <c r="I7" s="2"/>
    </row>
    <row r="8" spans="1:12">
      <c r="A8" s="2"/>
      <c r="B8" s="2"/>
      <c r="C8" s="2"/>
      <c r="D8" s="2"/>
      <c r="E8" s="13"/>
      <c r="F8" s="2"/>
      <c r="G8" s="2"/>
      <c r="H8" s="2"/>
      <c r="I8" s="2"/>
    </row>
    <row r="9" spans="1:12">
      <c r="A9" s="2"/>
      <c r="B9" s="2"/>
      <c r="C9" s="2"/>
      <c r="D9" s="2"/>
      <c r="E9" s="13"/>
      <c r="F9" s="2"/>
      <c r="G9" s="2"/>
      <c r="H9" s="2"/>
      <c r="I9" s="2"/>
    </row>
    <row r="10" spans="1:12">
      <c r="A10" s="2"/>
      <c r="B10" s="2"/>
      <c r="C10" s="2"/>
      <c r="D10" s="2"/>
      <c r="E10" s="13"/>
      <c r="F10" s="2"/>
      <c r="G10" s="2"/>
      <c r="H10" s="2"/>
      <c r="I10" s="2"/>
    </row>
    <row r="11" spans="1:12">
      <c r="A11" s="2"/>
      <c r="B11" s="2"/>
      <c r="C11" s="2"/>
      <c r="D11" s="2"/>
      <c r="E11" s="13"/>
      <c r="F11" s="2"/>
      <c r="G11" s="2"/>
      <c r="H11" s="2"/>
      <c r="I11" s="2"/>
    </row>
    <row r="12" spans="1:12">
      <c r="A12" s="2"/>
      <c r="B12" s="2"/>
      <c r="C12" s="2"/>
      <c r="D12" s="2"/>
      <c r="E12" s="13"/>
      <c r="F12" s="2"/>
      <c r="G12" s="2"/>
      <c r="H12" s="2"/>
      <c r="I12" s="2"/>
    </row>
    <row r="13" spans="1:12">
      <c r="A13" s="2"/>
      <c r="B13" s="2"/>
      <c r="C13" s="2"/>
      <c r="D13" s="2"/>
      <c r="E13" s="13"/>
      <c r="F13" s="2"/>
      <c r="G13" s="2"/>
      <c r="H13" s="2"/>
      <c r="I13" s="2"/>
    </row>
    <row r="14" ht="51" spans="1:12">
      <c r="A14" s="2">
        <v>1</v>
      </c>
      <c r="B14" s="2"/>
      <c r="C14" s="2"/>
      <c r="D14" s="2"/>
      <c r="E14" s="13"/>
      <c r="F14" s="2"/>
      <c r="G14" s="2"/>
      <c r="H14" s="2"/>
      <c r="I14" s="2" t="s">
        <v>105</v>
      </c>
    </row>
    <row r="15" ht="51" spans="1:12">
      <c r="A15" s="2">
        <v>2</v>
      </c>
      <c r="B15" s="2"/>
      <c r="C15" s="2"/>
      <c r="D15" s="2"/>
      <c r="E15" s="13"/>
      <c r="F15" s="2"/>
      <c r="G15" s="2"/>
      <c r="H15" s="2"/>
      <c r="I15" s="2" t="s">
        <v>106</v>
      </c>
    </row>
    <row r="16" ht="68" spans="1:12">
      <c r="A16" s="2">
        <v>3</v>
      </c>
      <c r="B16" s="2"/>
      <c r="C16" s="2"/>
      <c r="D16" s="2"/>
      <c r="E16" s="13"/>
      <c r="F16" s="2"/>
      <c r="G16" s="2"/>
      <c r="H16" s="2"/>
      <c r="I16" s="2" t="s">
        <v>107</v>
      </c>
    </row>
    <row r="17" ht="51" spans="1:9">
      <c r="A17" s="2">
        <v>4</v>
      </c>
      <c r="B17" s="2"/>
      <c r="C17" s="2"/>
      <c r="D17" s="2"/>
      <c r="E17" s="13"/>
      <c r="F17" s="2"/>
      <c r="G17" s="2"/>
      <c r="H17" s="2"/>
      <c r="I17" s="2" t="s">
        <v>108</v>
      </c>
    </row>
    <row r="18" ht="68" spans="1:9">
      <c r="A18" s="2">
        <v>5</v>
      </c>
      <c r="B18" s="2"/>
      <c r="C18" s="2"/>
      <c r="D18" s="2"/>
      <c r="E18" s="13"/>
      <c r="F18" s="2"/>
      <c r="G18" s="2"/>
      <c r="H18" s="2"/>
      <c r="I18" s="2" t="s">
        <v>109</v>
      </c>
    </row>
    <row r="19" ht="51" spans="1:9">
      <c r="A19" s="2">
        <v>6</v>
      </c>
      <c r="B19" s="2"/>
      <c r="C19" s="2"/>
      <c r="D19" s="2"/>
      <c r="E19" s="13"/>
      <c r="F19" s="2"/>
      <c r="G19" s="2"/>
      <c r="H19" s="2"/>
      <c r="I19" s="2" t="s">
        <v>110</v>
      </c>
    </row>
    <row r="20" ht="17" spans="1:9">
      <c r="A20" s="2">
        <v>7</v>
      </c>
      <c r="B20" s="2"/>
      <c r="C20" s="2"/>
      <c r="D20" s="2"/>
      <c r="E20" s="13"/>
      <c r="F20" s="2"/>
      <c r="G20" s="2"/>
      <c r="H20" s="2"/>
      <c r="I20" s="2" t="s">
        <v>111</v>
      </c>
    </row>
    <row r="21" ht="17" spans="1:9">
      <c r="A21" s="2">
        <v>8</v>
      </c>
      <c r="B21" s="2"/>
      <c r="C21" s="2"/>
      <c r="D21" s="2"/>
      <c r="E21" s="13"/>
      <c r="F21" s="2"/>
      <c r="G21" s="2"/>
      <c r="H21" s="2"/>
      <c r="I21" s="2" t="s">
        <v>112</v>
      </c>
    </row>
    <row r="22" ht="34" spans="1:9">
      <c r="A22" s="2">
        <v>9</v>
      </c>
      <c r="B22" s="2"/>
      <c r="C22" s="2"/>
      <c r="D22" s="2"/>
      <c r="E22" s="13"/>
      <c r="F22" s="2"/>
      <c r="G22" s="2"/>
      <c r="H22" s="2"/>
      <c r="I22" s="2" t="s">
        <v>113</v>
      </c>
    </row>
    <row r="23" ht="51" spans="1:9">
      <c r="A23" s="2">
        <v>10</v>
      </c>
      <c r="B23" s="2"/>
      <c r="C23" s="2"/>
      <c r="D23" s="2"/>
      <c r="E23" s="13"/>
      <c r="F23" s="2"/>
      <c r="G23" s="2"/>
      <c r="H23" s="2"/>
      <c r="I23" s="2" t="s">
        <v>114</v>
      </c>
    </row>
    <row r="24" ht="51" spans="1:9">
      <c r="A24" s="2">
        <v>11</v>
      </c>
      <c r="B24" s="2"/>
      <c r="C24" s="2"/>
      <c r="D24" s="2"/>
      <c r="E24" s="13"/>
      <c r="F24" s="2"/>
      <c r="G24" s="2"/>
      <c r="H24" s="2"/>
      <c r="I24" s="14" t="s">
        <v>115</v>
      </c>
    </row>
    <row r="25" ht="51" spans="1:9">
      <c r="A25" s="2">
        <v>12</v>
      </c>
      <c r="B25" s="2"/>
      <c r="C25" s="2"/>
      <c r="D25" s="2"/>
      <c r="E25" s="13"/>
      <c r="F25" s="2"/>
      <c r="G25" s="2"/>
      <c r="H25" s="2"/>
      <c r="I25" s="14" t="s">
        <v>116</v>
      </c>
    </row>
    <row r="26" ht="17" spans="1:9">
      <c r="A26" s="2">
        <v>13</v>
      </c>
      <c r="B26" s="2"/>
      <c r="C26" s="2"/>
      <c r="D26" s="2"/>
      <c r="E26" s="13"/>
      <c r="F26" s="2"/>
      <c r="G26" s="2"/>
      <c r="H26" s="2"/>
      <c r="I26" s="14" t="s">
        <v>117</v>
      </c>
    </row>
    <row r="27" ht="34" spans="1:9">
      <c r="A27" s="2">
        <v>14</v>
      </c>
      <c r="B27" s="2"/>
      <c r="C27" s="2"/>
      <c r="D27" s="2"/>
      <c r="E27" s="13"/>
      <c r="F27" s="2"/>
      <c r="G27" s="2"/>
      <c r="H27" s="2"/>
      <c r="I27" s="14" t="s">
        <v>118</v>
      </c>
    </row>
    <row r="28" ht="17" spans="1:9">
      <c r="A28" s="2">
        <v>15</v>
      </c>
      <c r="B28" s="2"/>
      <c r="C28" s="2"/>
      <c r="D28" s="2"/>
      <c r="E28" s="13"/>
      <c r="F28" s="2"/>
      <c r="G28" s="2"/>
      <c r="H28" s="2"/>
      <c r="I28" s="14" t="s">
        <v>119</v>
      </c>
    </row>
    <row r="29" ht="17" spans="1:9">
      <c r="A29" s="2">
        <v>16</v>
      </c>
      <c r="B29" s="2"/>
      <c r="C29" s="2"/>
      <c r="D29" s="2"/>
      <c r="E29" s="13"/>
      <c r="F29" s="2"/>
      <c r="G29" s="2"/>
      <c r="H29" s="2"/>
      <c r="I29" s="14" t="s">
        <v>120</v>
      </c>
    </row>
    <row r="30" ht="17" spans="1:9">
      <c r="A30" s="2">
        <v>17</v>
      </c>
      <c r="B30" s="2"/>
      <c r="C30" s="2"/>
      <c r="D30" s="2"/>
      <c r="E30" s="13"/>
      <c r="F30" s="2"/>
      <c r="G30" s="2"/>
      <c r="H30" s="2"/>
      <c r="I30" s="14" t="s">
        <v>121</v>
      </c>
    </row>
    <row r="31" ht="34" spans="1:9">
      <c r="A31" s="2">
        <v>18</v>
      </c>
      <c r="B31" s="2"/>
      <c r="C31" s="2"/>
      <c r="D31" s="2"/>
      <c r="E31" s="13"/>
      <c r="F31" s="2"/>
      <c r="G31" s="2"/>
      <c r="H31" s="2"/>
      <c r="I31" s="2" t="s">
        <v>122</v>
      </c>
    </row>
    <row r="32" ht="34" spans="1:9">
      <c r="A32" s="2">
        <v>19</v>
      </c>
      <c r="B32" s="2"/>
      <c r="C32" s="2"/>
      <c r="D32" s="2"/>
      <c r="E32" s="13"/>
      <c r="F32" s="2"/>
      <c r="G32" s="2"/>
      <c r="H32" s="2"/>
      <c r="I32" s="2" t="s">
        <v>123</v>
      </c>
    </row>
    <row r="33" ht="34" spans="1:9">
      <c r="A33" s="2">
        <v>20</v>
      </c>
      <c r="B33" s="2"/>
      <c r="C33" s="2"/>
      <c r="D33" s="2"/>
      <c r="E33" s="13"/>
      <c r="F33" s="2"/>
      <c r="G33" s="2"/>
      <c r="H33" s="2"/>
      <c r="I33" s="2" t="s">
        <v>124</v>
      </c>
    </row>
    <row r="34" ht="17" spans="1:9">
      <c r="A34" s="2">
        <v>21</v>
      </c>
      <c r="B34" s="2"/>
      <c r="C34" s="2"/>
      <c r="D34" s="2"/>
      <c r="E34" s="13"/>
      <c r="F34" s="2"/>
      <c r="G34" s="2"/>
      <c r="H34" s="2"/>
      <c r="I34" s="2" t="s">
        <v>125</v>
      </c>
    </row>
    <row r="35" ht="51" spans="1:9">
      <c r="A35" s="2">
        <v>22</v>
      </c>
      <c r="B35" s="2"/>
      <c r="C35" s="2"/>
      <c r="D35" s="2"/>
      <c r="E35" s="13"/>
      <c r="F35" s="2"/>
      <c r="G35" s="2"/>
      <c r="H35" s="2"/>
      <c r="I35" s="15" t="s">
        <v>126</v>
      </c>
    </row>
    <row r="36" ht="34" spans="1:9">
      <c r="A36" s="2">
        <v>23</v>
      </c>
      <c r="B36" s="2"/>
      <c r="C36" s="2"/>
      <c r="D36" s="2"/>
      <c r="E36" s="13"/>
      <c r="F36" s="2"/>
      <c r="G36" s="2"/>
      <c r="H36" s="2"/>
      <c r="I36" s="15" t="s">
        <v>127</v>
      </c>
    </row>
    <row r="37" ht="34" spans="1:9">
      <c r="A37" s="2">
        <v>24</v>
      </c>
      <c r="B37" s="2"/>
      <c r="C37" s="2"/>
      <c r="D37" s="2"/>
      <c r="E37" s="13"/>
      <c r="F37" s="2"/>
      <c r="G37" s="2"/>
      <c r="H37" s="2"/>
      <c r="I37" s="15" t="s">
        <v>128</v>
      </c>
    </row>
    <row r="38" ht="34" spans="1:9">
      <c r="A38" s="2">
        <v>25</v>
      </c>
      <c r="B38" s="2"/>
      <c r="C38" s="2"/>
      <c r="D38" s="2"/>
      <c r="E38" s="13"/>
      <c r="F38" s="2"/>
      <c r="G38" s="2"/>
      <c r="H38" s="2"/>
      <c r="I38" s="15" t="s">
        <v>129</v>
      </c>
    </row>
    <row r="39" ht="51" spans="1:9">
      <c r="A39" s="2">
        <v>26</v>
      </c>
      <c r="B39" s="2"/>
      <c r="C39" s="2"/>
      <c r="D39" s="2"/>
      <c r="E39" s="13"/>
      <c r="F39" s="2"/>
      <c r="G39" s="2"/>
      <c r="H39" s="2"/>
      <c r="I39" s="15" t="s">
        <v>130</v>
      </c>
    </row>
    <row r="40" ht="34" spans="1:9">
      <c r="A40" s="2">
        <v>27</v>
      </c>
      <c r="B40" s="2"/>
      <c r="C40" s="2"/>
      <c r="D40" s="2"/>
      <c r="E40" s="13"/>
      <c r="F40" s="2"/>
      <c r="G40" s="2"/>
      <c r="H40" s="2"/>
      <c r="I40" s="15" t="s">
        <v>131</v>
      </c>
    </row>
    <row r="41" ht="34" spans="1:9">
      <c r="A41" s="2">
        <v>28</v>
      </c>
      <c r="B41" s="2"/>
      <c r="C41" s="2"/>
      <c r="D41" s="2"/>
      <c r="E41" s="13"/>
      <c r="F41" s="2"/>
      <c r="G41" s="2"/>
      <c r="H41" s="2"/>
      <c r="I41" s="15" t="s">
        <v>132</v>
      </c>
    </row>
    <row r="42" ht="34" spans="1:9">
      <c r="A42" s="2">
        <v>29</v>
      </c>
      <c r="B42" s="2"/>
      <c r="C42" s="2"/>
      <c r="D42" s="2"/>
      <c r="E42" s="13"/>
      <c r="F42" s="2"/>
      <c r="G42" s="2"/>
      <c r="H42" s="2"/>
      <c r="I42" s="2" t="s">
        <v>133</v>
      </c>
    </row>
    <row r="43" ht="34" spans="1:9">
      <c r="A43" s="2">
        <v>30</v>
      </c>
      <c r="B43" s="2"/>
      <c r="C43" s="2"/>
      <c r="D43" s="2"/>
      <c r="E43" s="13"/>
      <c r="F43" s="2"/>
      <c r="G43" s="2"/>
      <c r="H43" s="2"/>
      <c r="I43" s="2" t="s">
        <v>134</v>
      </c>
    </row>
    <row r="44" ht="34" spans="1:9">
      <c r="A44" s="2">
        <v>31</v>
      </c>
      <c r="B44" s="2"/>
      <c r="C44" s="2"/>
      <c r="D44" s="2"/>
      <c r="E44" s="13"/>
      <c r="F44" s="2"/>
      <c r="G44" s="2"/>
      <c r="H44" s="2"/>
      <c r="I44" s="2" t="s">
        <v>135</v>
      </c>
    </row>
    <row r="45" ht="17" spans="1:9">
      <c r="A45" s="2">
        <v>32</v>
      </c>
      <c r="B45" s="2"/>
      <c r="C45" s="2"/>
      <c r="D45" s="2"/>
      <c r="E45" s="13"/>
      <c r="F45" s="2"/>
      <c r="G45" s="2"/>
      <c r="H45" s="2"/>
      <c r="I45" s="2" t="s">
        <v>136</v>
      </c>
    </row>
    <row r="46" ht="17" spans="1:9">
      <c r="A46" s="2">
        <v>33</v>
      </c>
      <c r="B46" s="2"/>
      <c r="C46" s="2"/>
      <c r="D46" s="2"/>
      <c r="E46" s="13"/>
      <c r="F46" s="2"/>
      <c r="G46" s="2"/>
      <c r="H46" s="2"/>
      <c r="I46" s="2" t="s">
        <v>137</v>
      </c>
    </row>
    <row r="47" ht="17" spans="1:9">
      <c r="A47" s="2">
        <v>34</v>
      </c>
      <c r="B47" s="2"/>
      <c r="C47" s="2"/>
      <c r="D47" s="2"/>
      <c r="E47" s="13"/>
      <c r="F47" s="2"/>
      <c r="G47" s="2"/>
      <c r="H47" s="2"/>
      <c r="I47" s="2" t="s">
        <v>138</v>
      </c>
    </row>
    <row r="48" ht="17" spans="1:9">
      <c r="A48" s="2">
        <v>35</v>
      </c>
      <c r="B48" s="2"/>
      <c r="C48" s="2"/>
      <c r="D48" s="2"/>
      <c r="E48" s="13"/>
      <c r="F48" s="2"/>
      <c r="G48" s="2"/>
      <c r="H48" s="2"/>
      <c r="I48" s="2" t="s">
        <v>139</v>
      </c>
    </row>
    <row r="49" ht="17" spans="1:9">
      <c r="A49" s="2">
        <v>36</v>
      </c>
      <c r="B49" s="2"/>
      <c r="C49" s="2"/>
      <c r="D49" s="2"/>
      <c r="E49" s="13"/>
      <c r="F49" s="2"/>
      <c r="G49" s="2"/>
      <c r="H49" s="2"/>
      <c r="I49" s="2" t="s">
        <v>140</v>
      </c>
    </row>
    <row r="50" ht="17" spans="1:9">
      <c r="A50" s="2">
        <v>37</v>
      </c>
      <c r="B50" s="2"/>
      <c r="C50" s="2"/>
      <c r="D50" s="2"/>
      <c r="E50" s="13"/>
      <c r="F50" s="2"/>
      <c r="G50" s="2"/>
      <c r="H50" s="2"/>
      <c r="I50" s="2" t="s">
        <v>141</v>
      </c>
    </row>
    <row r="51" ht="34" spans="1:9">
      <c r="A51" s="2">
        <v>38</v>
      </c>
      <c r="B51" s="2"/>
      <c r="C51" s="2"/>
      <c r="D51" s="2"/>
      <c r="E51" s="13"/>
      <c r="F51" s="2"/>
      <c r="G51" s="2"/>
      <c r="H51" s="2"/>
      <c r="I51" s="2" t="s">
        <v>142</v>
      </c>
    </row>
    <row r="52" ht="34" spans="1:9">
      <c r="A52" s="2">
        <v>39</v>
      </c>
      <c r="B52" s="2"/>
      <c r="C52" s="2"/>
      <c r="D52" s="2"/>
      <c r="E52" s="13"/>
      <c r="F52" s="2"/>
      <c r="G52" s="2"/>
      <c r="H52" s="2"/>
      <c r="I52" s="2" t="s">
        <v>143</v>
      </c>
    </row>
    <row r="53" ht="34" spans="1:9">
      <c r="A53" s="2">
        <v>40</v>
      </c>
      <c r="B53" s="2"/>
      <c r="C53" s="2"/>
      <c r="D53" s="2"/>
      <c r="E53" s="13"/>
      <c r="F53" s="2"/>
      <c r="G53" s="2"/>
      <c r="H53" s="2"/>
      <c r="I53" s="2" t="s">
        <v>144</v>
      </c>
    </row>
    <row r="54" ht="34" spans="1:9">
      <c r="A54" s="2">
        <v>41</v>
      </c>
      <c r="B54" s="2"/>
      <c r="C54" s="2"/>
      <c r="D54" s="2"/>
      <c r="E54" s="13"/>
      <c r="F54" s="2"/>
      <c r="G54" s="2"/>
      <c r="H54" s="2"/>
      <c r="I54" s="2" t="s">
        <v>145</v>
      </c>
    </row>
    <row r="55" ht="34" spans="1:9">
      <c r="A55" s="2">
        <v>43</v>
      </c>
      <c r="B55" s="2"/>
      <c r="C55" s="2"/>
      <c r="D55" s="2"/>
      <c r="E55" s="13"/>
      <c r="F55" s="2"/>
      <c r="G55" s="2"/>
      <c r="H55" s="2"/>
      <c r="I55" s="2" t="s">
        <v>146</v>
      </c>
    </row>
    <row r="56" ht="51" spans="1:9">
      <c r="A56" s="2">
        <v>44</v>
      </c>
      <c r="B56" s="2"/>
      <c r="C56" s="2"/>
      <c r="D56" s="2"/>
      <c r="E56" s="13"/>
      <c r="F56" s="2"/>
      <c r="G56" s="2"/>
      <c r="H56" s="2"/>
      <c r="I56" s="2" t="s">
        <v>147</v>
      </c>
    </row>
    <row r="57" ht="34" spans="1:9">
      <c r="A57" s="2">
        <v>45</v>
      </c>
      <c r="B57" s="2"/>
      <c r="C57" s="2"/>
      <c r="D57" s="2"/>
      <c r="E57" s="13"/>
      <c r="F57" s="2"/>
      <c r="G57" s="2"/>
      <c r="H57" s="2"/>
      <c r="I57" s="2" t="s">
        <v>148</v>
      </c>
    </row>
    <row r="58" ht="17" spans="1:9">
      <c r="A58" s="2">
        <v>46</v>
      </c>
      <c r="B58" s="2"/>
      <c r="C58" s="2"/>
      <c r="D58" s="2"/>
      <c r="E58" s="13"/>
      <c r="F58" s="2"/>
      <c r="G58" s="2"/>
      <c r="H58" s="2"/>
      <c r="I58" s="2" t="s">
        <v>149</v>
      </c>
    </row>
    <row r="59" ht="17" spans="1:9">
      <c r="A59" s="2">
        <v>47</v>
      </c>
      <c r="B59" s="2"/>
      <c r="C59" s="2"/>
      <c r="D59" s="2"/>
      <c r="E59" s="13"/>
      <c r="F59" s="2"/>
      <c r="G59" s="2"/>
      <c r="H59" s="2"/>
      <c r="I59" s="2" t="s">
        <v>150</v>
      </c>
    </row>
    <row r="60" ht="17" spans="1:9">
      <c r="A60" s="2">
        <v>48</v>
      </c>
      <c r="B60" s="2"/>
      <c r="C60" s="2"/>
      <c r="D60" s="2"/>
      <c r="E60" s="13"/>
      <c r="F60" s="2"/>
      <c r="G60" s="2"/>
      <c r="H60" s="2"/>
      <c r="I60" s="2" t="s">
        <v>151</v>
      </c>
    </row>
    <row r="61" ht="84" spans="1:9">
      <c r="A61" s="2">
        <v>49</v>
      </c>
      <c r="B61" s="2"/>
      <c r="C61" s="2"/>
      <c r="D61" s="2"/>
      <c r="E61" s="13"/>
      <c r="F61" s="2"/>
      <c r="G61" s="2"/>
      <c r="H61" s="2"/>
      <c r="I61" s="2" t="s">
        <v>152</v>
      </c>
    </row>
    <row r="62" ht="51" spans="1:9">
      <c r="A62" s="2">
        <v>50</v>
      </c>
      <c r="B62" s="2"/>
      <c r="C62" s="2"/>
      <c r="D62" s="2"/>
      <c r="E62" s="13"/>
      <c r="F62" s="2"/>
      <c r="G62" s="2"/>
      <c r="H62" s="2"/>
      <c r="I62" s="2" t="s">
        <v>153</v>
      </c>
    </row>
    <row r="63" ht="34" spans="1:9">
      <c r="A63" s="2">
        <v>51</v>
      </c>
      <c r="B63" s="2"/>
      <c r="C63" s="2"/>
      <c r="D63" s="2"/>
      <c r="E63" s="13"/>
      <c r="F63" s="2"/>
      <c r="G63" s="2"/>
      <c r="H63" s="2"/>
      <c r="I63" s="2" t="s">
        <v>154</v>
      </c>
    </row>
    <row r="64" ht="17" spans="1:9">
      <c r="A64" s="2">
        <v>52</v>
      </c>
      <c r="B64" s="2"/>
      <c r="C64" s="2"/>
      <c r="D64" s="2"/>
      <c r="E64" s="13"/>
      <c r="F64" s="2"/>
      <c r="G64" s="2"/>
      <c r="H64" s="2"/>
      <c r="I64" s="2" t="s">
        <v>155</v>
      </c>
    </row>
    <row r="65" ht="34" spans="1:9">
      <c r="A65" s="2">
        <v>53</v>
      </c>
      <c r="B65" s="2"/>
      <c r="C65" s="2"/>
      <c r="D65" s="2"/>
      <c r="E65" s="13"/>
      <c r="F65" s="2"/>
      <c r="G65" s="2"/>
      <c r="H65" s="2"/>
      <c r="I65" s="2" t="s">
        <v>156</v>
      </c>
    </row>
    <row r="66" spans="1:9">
      <c r="A66" s="2">
        <v>54</v>
      </c>
      <c r="B66" s="2"/>
      <c r="C66" s="2"/>
      <c r="D66" s="2"/>
      <c r="E66" s="13"/>
      <c r="F66" s="2"/>
      <c r="G66" s="2"/>
      <c r="H66" s="2"/>
      <c r="I66" s="2"/>
    </row>
    <row r="67" ht="17" spans="1:9">
      <c r="A67" s="2">
        <v>55</v>
      </c>
      <c r="B67" s="2"/>
      <c r="C67" s="2"/>
      <c r="D67" s="2"/>
      <c r="E67" s="13"/>
      <c r="F67" s="2"/>
      <c r="G67" s="2"/>
      <c r="H67" s="2"/>
      <c r="I67" s="2" t="s">
        <v>157</v>
      </c>
    </row>
    <row r="68" ht="17" spans="1:9">
      <c r="A68" s="2">
        <v>56</v>
      </c>
      <c r="B68" s="2"/>
      <c r="C68" s="2"/>
      <c r="D68" s="2"/>
      <c r="E68" s="13"/>
      <c r="F68" s="2"/>
      <c r="G68" s="2"/>
      <c r="H68" s="2"/>
      <c r="I68" s="2" t="s">
        <v>158</v>
      </c>
    </row>
    <row r="69" ht="34" spans="1:9">
      <c r="A69" s="2">
        <v>57</v>
      </c>
      <c r="B69" s="2"/>
      <c r="C69" s="2"/>
      <c r="D69" s="2"/>
      <c r="E69" s="13"/>
      <c r="F69" s="2"/>
      <c r="G69" s="2"/>
      <c r="H69" s="2"/>
      <c r="I69" s="2" t="s">
        <v>159</v>
      </c>
    </row>
    <row r="70" ht="34" spans="1:9">
      <c r="A70" s="2">
        <v>58</v>
      </c>
      <c r="B70" s="2"/>
      <c r="C70" s="2"/>
      <c r="D70" s="2"/>
      <c r="E70" s="13"/>
      <c r="F70" s="2"/>
      <c r="G70" s="2"/>
      <c r="H70" s="2"/>
      <c r="I70" s="2" t="s">
        <v>160</v>
      </c>
    </row>
    <row r="71" ht="17" spans="1:9">
      <c r="A71" s="2">
        <v>59</v>
      </c>
      <c r="B71" s="2"/>
      <c r="C71" s="2"/>
      <c r="D71" s="2"/>
      <c r="E71" s="13"/>
      <c r="F71" s="2"/>
      <c r="G71" s="2"/>
      <c r="H71" s="2"/>
      <c r="I71" s="2" t="s">
        <v>161</v>
      </c>
    </row>
    <row r="72" ht="17" spans="1:9">
      <c r="A72" s="2">
        <v>60</v>
      </c>
      <c r="B72" s="2"/>
      <c r="C72" s="2"/>
      <c r="D72" s="2"/>
      <c r="E72" s="13"/>
      <c r="F72" s="2"/>
      <c r="G72" s="2"/>
      <c r="H72" s="2"/>
      <c r="I72" s="2" t="s">
        <v>162</v>
      </c>
    </row>
    <row r="73" ht="51" spans="1:9">
      <c r="A73" s="2">
        <v>61</v>
      </c>
      <c r="B73" s="2"/>
      <c r="C73" s="2"/>
      <c r="D73" s="2"/>
      <c r="E73" s="13"/>
      <c r="F73" s="2"/>
      <c r="G73" s="2"/>
      <c r="H73" s="2"/>
      <c r="I73" s="2" t="s">
        <v>163</v>
      </c>
    </row>
    <row r="74" ht="17" spans="1:9">
      <c r="A74" s="2">
        <v>62</v>
      </c>
      <c r="B74" s="2"/>
      <c r="C74" s="2"/>
      <c r="D74" s="2"/>
      <c r="E74" s="13"/>
      <c r="F74" s="2"/>
      <c r="G74" s="2"/>
      <c r="H74" s="2"/>
      <c r="I74" s="2" t="s">
        <v>164</v>
      </c>
    </row>
    <row r="75" ht="17" spans="1:9">
      <c r="A75" s="2">
        <v>63</v>
      </c>
      <c r="B75" s="2"/>
      <c r="C75" s="2"/>
      <c r="D75" s="2"/>
      <c r="E75" s="13"/>
      <c r="F75" s="2"/>
      <c r="G75" s="2"/>
      <c r="H75" s="2"/>
      <c r="I75" s="2" t="s">
        <v>165</v>
      </c>
    </row>
    <row r="76" ht="17" spans="1:9">
      <c r="A76" s="2">
        <v>64</v>
      </c>
      <c r="B76" s="2"/>
      <c r="C76" s="2"/>
      <c r="D76" s="2"/>
      <c r="E76" s="13"/>
      <c r="F76" s="2"/>
      <c r="G76" s="2"/>
      <c r="H76" s="2"/>
      <c r="I76" s="2" t="s">
        <v>166</v>
      </c>
    </row>
    <row r="77" ht="17" spans="1:9">
      <c r="A77" s="2">
        <v>65</v>
      </c>
      <c r="B77" s="2"/>
      <c r="C77" s="2"/>
      <c r="D77" s="2"/>
      <c r="E77" s="13"/>
      <c r="F77" s="2"/>
      <c r="G77" s="2"/>
      <c r="H77" s="2"/>
      <c r="I77" s="2" t="s">
        <v>167</v>
      </c>
    </row>
    <row r="78" ht="17" spans="1:9">
      <c r="A78" s="2">
        <v>66</v>
      </c>
      <c r="B78" s="2"/>
      <c r="C78" s="2"/>
      <c r="D78" s="2"/>
      <c r="E78" s="13"/>
      <c r="F78" s="2"/>
      <c r="G78" s="2"/>
      <c r="H78" s="2"/>
      <c r="I78" s="2" t="s">
        <v>168</v>
      </c>
    </row>
    <row r="79" ht="17" spans="1:9">
      <c r="A79" s="2">
        <v>67</v>
      </c>
      <c r="B79" s="2"/>
      <c r="C79" s="2"/>
      <c r="D79" s="2"/>
      <c r="E79" s="13"/>
      <c r="F79" s="2"/>
      <c r="G79" s="2"/>
      <c r="H79" s="2"/>
      <c r="I79" s="2" t="s">
        <v>169</v>
      </c>
    </row>
    <row r="80" ht="17" spans="1:9">
      <c r="A80" s="2">
        <v>68</v>
      </c>
      <c r="B80" s="2"/>
      <c r="C80" s="2"/>
      <c r="D80" s="2"/>
      <c r="E80" s="13"/>
      <c r="F80" s="2"/>
      <c r="G80" s="2"/>
      <c r="H80" s="2"/>
      <c r="I80" s="2" t="s">
        <v>167</v>
      </c>
    </row>
    <row r="81" ht="17" spans="1:9">
      <c r="A81" s="2">
        <v>69</v>
      </c>
      <c r="B81" s="2"/>
      <c r="C81" s="2"/>
      <c r="D81" s="2"/>
      <c r="E81" s="13"/>
      <c r="F81" s="2"/>
      <c r="G81" s="2"/>
      <c r="H81" s="2"/>
      <c r="I81" s="2" t="s">
        <v>170</v>
      </c>
    </row>
    <row r="82" ht="17" spans="1:9">
      <c r="A82" s="2">
        <v>70</v>
      </c>
      <c r="B82" s="2"/>
      <c r="C82" s="2"/>
      <c r="D82" s="2"/>
      <c r="E82" s="13"/>
      <c r="F82" s="2"/>
      <c r="G82" s="2"/>
      <c r="H82" s="2"/>
      <c r="I82" s="2" t="s">
        <v>171</v>
      </c>
    </row>
    <row r="83" ht="34" spans="1:9">
      <c r="A83" s="2">
        <v>71</v>
      </c>
      <c r="B83" s="2"/>
      <c r="C83" s="2"/>
      <c r="D83" s="2"/>
      <c r="E83" s="13"/>
      <c r="F83" s="2"/>
      <c r="G83" s="2"/>
      <c r="H83" s="2"/>
      <c r="I83" s="2" t="s">
        <v>172</v>
      </c>
    </row>
    <row r="84" ht="17" spans="1:9">
      <c r="A84" s="2">
        <v>72</v>
      </c>
      <c r="B84" s="2"/>
      <c r="C84" s="2"/>
      <c r="D84" s="2"/>
      <c r="E84" s="13"/>
      <c r="F84" s="2"/>
      <c r="G84" s="2"/>
      <c r="H84" s="2"/>
      <c r="I84" s="2" t="s">
        <v>173</v>
      </c>
    </row>
    <row r="85" ht="17" spans="1:9">
      <c r="A85" s="2">
        <v>73</v>
      </c>
      <c r="B85" s="2"/>
      <c r="C85" s="2"/>
      <c r="D85" s="2"/>
      <c r="E85" s="13"/>
      <c r="F85" s="2"/>
      <c r="G85" s="2"/>
      <c r="H85" s="2"/>
      <c r="I85" s="2" t="s">
        <v>174</v>
      </c>
    </row>
    <row r="86" ht="17" spans="1:9">
      <c r="A86" s="2">
        <v>74</v>
      </c>
      <c r="B86" s="2"/>
      <c r="C86" s="2"/>
      <c r="D86" s="2"/>
      <c r="E86" s="13"/>
      <c r="F86" s="2"/>
      <c r="G86" s="2"/>
      <c r="H86" s="2"/>
      <c r="I86" s="2" t="s">
        <v>174</v>
      </c>
    </row>
    <row r="87" ht="34" spans="1:9">
      <c r="A87" s="2">
        <v>75</v>
      </c>
      <c r="B87" s="2"/>
      <c r="C87" s="2"/>
      <c r="D87" s="2"/>
      <c r="E87" s="13"/>
      <c r="F87" s="2"/>
      <c r="G87" s="2"/>
      <c r="H87" s="2"/>
      <c r="I87" s="2" t="s">
        <v>175</v>
      </c>
    </row>
    <row r="88" ht="34" spans="1:9">
      <c r="A88" s="2">
        <v>76</v>
      </c>
      <c r="B88" s="2"/>
      <c r="C88" s="2"/>
      <c r="D88" s="2"/>
      <c r="E88" s="13"/>
      <c r="F88" s="2"/>
      <c r="G88" s="2"/>
      <c r="H88" s="2"/>
      <c r="I88" s="2" t="s">
        <v>176</v>
      </c>
    </row>
    <row r="89" ht="17" spans="1:9">
      <c r="A89" s="2">
        <v>77</v>
      </c>
      <c r="B89" s="2"/>
      <c r="C89" s="2"/>
      <c r="D89" s="2"/>
      <c r="E89" s="13"/>
      <c r="F89" s="2"/>
      <c r="G89" s="2"/>
      <c r="H89" s="2"/>
      <c r="I89" s="2" t="s">
        <v>177</v>
      </c>
    </row>
    <row r="90" ht="17" spans="1:9">
      <c r="A90" s="2">
        <v>78</v>
      </c>
      <c r="B90" s="2"/>
      <c r="C90" s="2"/>
      <c r="D90" s="2"/>
      <c r="E90" s="13"/>
      <c r="F90" s="2"/>
      <c r="G90" s="2"/>
      <c r="H90" s="2"/>
      <c r="I90" s="2" t="s">
        <v>177</v>
      </c>
    </row>
    <row r="91" ht="17" spans="1:9">
      <c r="A91" s="2">
        <v>79</v>
      </c>
      <c r="B91" s="2"/>
      <c r="C91" s="2"/>
      <c r="D91" s="2"/>
      <c r="E91" s="13"/>
      <c r="F91" s="2"/>
      <c r="G91" s="2"/>
      <c r="H91" s="2"/>
      <c r="I91" s="2" t="s">
        <v>178</v>
      </c>
    </row>
    <row r="92" ht="17" spans="1:9">
      <c r="A92" s="2">
        <v>80</v>
      </c>
      <c r="B92" s="2"/>
      <c r="C92" s="2"/>
      <c r="D92" s="2"/>
      <c r="E92" s="13"/>
      <c r="F92" s="2"/>
      <c r="G92" s="2"/>
      <c r="H92" s="2"/>
      <c r="I92" s="2" t="s">
        <v>179</v>
      </c>
    </row>
    <row r="93" spans="1:9">
      <c r="A93" s="2">
        <v>81</v>
      </c>
      <c r="B93" s="2"/>
      <c r="C93" s="2"/>
      <c r="D93" s="2"/>
      <c r="E93" s="13"/>
      <c r="F93" s="2"/>
      <c r="G93" s="2"/>
      <c r="H93" s="2"/>
      <c r="I93" s="2"/>
    </row>
    <row r="94" ht="17" spans="1:9">
      <c r="A94" s="2">
        <v>82</v>
      </c>
      <c r="B94" s="2"/>
      <c r="C94" s="2"/>
      <c r="D94" s="2"/>
      <c r="E94" s="13"/>
      <c r="F94" s="2"/>
      <c r="G94" s="2"/>
      <c r="H94" s="2"/>
      <c r="I94" s="2" t="s">
        <v>180</v>
      </c>
    </row>
    <row r="95" ht="17" spans="1:9">
      <c r="A95" s="2">
        <v>83</v>
      </c>
      <c r="B95" s="2"/>
      <c r="C95" s="2"/>
      <c r="D95" s="2"/>
      <c r="E95" s="13"/>
      <c r="F95" s="2"/>
      <c r="G95" s="2"/>
      <c r="H95" s="2"/>
      <c r="I95" s="2" t="s">
        <v>181</v>
      </c>
    </row>
    <row r="96" ht="17" spans="1:9">
      <c r="A96" s="2">
        <v>84</v>
      </c>
      <c r="B96" s="2"/>
      <c r="C96" s="2"/>
      <c r="D96" s="2"/>
      <c r="E96" s="13"/>
      <c r="F96" s="2"/>
      <c r="G96" s="2"/>
      <c r="H96" s="2"/>
      <c r="I96" s="2" t="s">
        <v>182</v>
      </c>
    </row>
    <row r="97" ht="17" spans="1:9">
      <c r="A97" s="2">
        <v>85</v>
      </c>
      <c r="B97" s="2"/>
      <c r="C97" s="2"/>
      <c r="D97" s="2"/>
      <c r="E97" s="13"/>
      <c r="F97" s="2"/>
      <c r="G97" s="2"/>
      <c r="H97" s="2"/>
      <c r="I97" s="2" t="s">
        <v>182</v>
      </c>
    </row>
    <row r="98" ht="17" spans="1:9">
      <c r="A98" s="2">
        <v>86</v>
      </c>
      <c r="B98" s="2"/>
      <c r="C98" s="2"/>
      <c r="D98" s="2"/>
      <c r="E98" s="13"/>
      <c r="F98" s="2"/>
      <c r="G98" s="2"/>
      <c r="H98" s="2"/>
      <c r="I98" s="2" t="s">
        <v>183</v>
      </c>
    </row>
    <row r="99" ht="17" spans="1:9">
      <c r="A99" s="2">
        <v>88</v>
      </c>
      <c r="B99" s="2"/>
      <c r="C99" s="2"/>
      <c r="D99" s="2"/>
      <c r="E99" s="13"/>
      <c r="F99" s="2"/>
      <c r="G99" s="2"/>
      <c r="H99" s="2"/>
      <c r="I99" s="2" t="s">
        <v>184</v>
      </c>
    </row>
    <row r="100" spans="1:9">
      <c r="A100" s="2"/>
      <c r="B100" s="2"/>
      <c r="C100" s="2"/>
      <c r="D100" s="2"/>
      <c r="E100" s="13"/>
      <c r="F100" s="2"/>
      <c r="G100" s="2"/>
      <c r="H100" s="2"/>
      <c r="I100" s="2"/>
    </row>
    <row r="101" spans="1:9">
      <c r="A101" s="2"/>
      <c r="B101" s="2"/>
      <c r="C101" s="2"/>
      <c r="D101" s="2"/>
      <c r="E101" s="13"/>
      <c r="F101" s="2"/>
      <c r="G101" s="2"/>
      <c r="H101" s="2"/>
      <c r="I101" s="2"/>
    </row>
    <row r="102" spans="1:9">
      <c r="A102" s="2"/>
      <c r="B102" s="2"/>
      <c r="C102" s="2"/>
      <c r="D102" s="2"/>
      <c r="E102" s="13"/>
      <c r="F102" s="2"/>
      <c r="G102" s="2"/>
      <c r="H102" s="2"/>
      <c r="I102" s="2"/>
    </row>
    <row r="103" spans="1:9">
      <c r="A103" s="2"/>
      <c r="B103" s="2"/>
      <c r="C103" s="2"/>
      <c r="D103" s="2"/>
      <c r="E103" s="13"/>
      <c r="F103" s="2"/>
      <c r="G103" s="2"/>
      <c r="H103" s="2"/>
      <c r="I103" s="2"/>
    </row>
    <row r="104" spans="1:9">
      <c r="A104" s="2"/>
      <c r="B104" s="2"/>
      <c r="C104" s="2"/>
      <c r="D104" s="2"/>
      <c r="E104" s="13"/>
      <c r="F104" s="2"/>
      <c r="G104" s="2"/>
      <c r="H104" s="2"/>
      <c r="I104" s="2"/>
    </row>
    <row r="105" spans="1:9">
      <c r="A105" s="2"/>
      <c r="B105" s="2"/>
      <c r="C105" s="2"/>
      <c r="D105" s="2"/>
      <c r="E105" s="13"/>
      <c r="F105" s="2"/>
      <c r="G105" s="2"/>
      <c r="H105" s="2"/>
      <c r="I105" s="2"/>
    </row>
    <row r="106" spans="1:9">
      <c r="A106" s="2"/>
      <c r="B106" s="2"/>
      <c r="C106" s="2"/>
      <c r="D106" s="2"/>
      <c r="E106" s="13"/>
      <c r="F106" s="2"/>
      <c r="G106" s="2"/>
      <c r="H106" s="2"/>
      <c r="I106" s="2"/>
    </row>
    <row r="107" spans="1:9">
      <c r="A107" s="2"/>
      <c r="B107" s="2"/>
      <c r="C107" s="2"/>
      <c r="D107" s="2"/>
      <c r="E107" s="13"/>
      <c r="F107" s="2"/>
      <c r="G107" s="2"/>
      <c r="H107" s="2"/>
      <c r="I107" s="2"/>
    </row>
    <row r="108" spans="1:9">
      <c r="A108" s="2"/>
      <c r="B108" s="2"/>
      <c r="C108" s="2"/>
      <c r="D108" s="2"/>
      <c r="E108" s="13"/>
      <c r="F108" s="2"/>
      <c r="G108" s="2"/>
      <c r="H108" s="2"/>
      <c r="I108" s="2"/>
    </row>
    <row r="109" spans="1:9">
      <c r="A109" s="2"/>
      <c r="B109" s="2"/>
      <c r="C109" s="2"/>
      <c r="D109" s="2"/>
      <c r="E109" s="13"/>
      <c r="F109" s="2"/>
      <c r="G109" s="2"/>
      <c r="H109" s="2"/>
      <c r="I109" s="2"/>
    </row>
    <row r="110" spans="1:9">
      <c r="A110" s="2"/>
      <c r="B110" s="2"/>
      <c r="C110" s="2"/>
      <c r="D110" s="2"/>
      <c r="E110" s="13"/>
      <c r="F110" s="2"/>
      <c r="G110" s="2"/>
      <c r="H110" s="2"/>
      <c r="I110" s="2"/>
    </row>
    <row r="111" spans="1:9">
      <c r="A111" s="2"/>
      <c r="B111" s="2"/>
      <c r="C111" s="2"/>
      <c r="D111" s="2"/>
      <c r="E111" s="13"/>
      <c r="F111" s="2"/>
      <c r="G111" s="2"/>
      <c r="H111" s="2"/>
      <c r="I111" s="2"/>
    </row>
    <row r="112" spans="1:9">
      <c r="A112" s="2"/>
      <c r="B112" s="2"/>
      <c r="C112" s="2"/>
      <c r="D112" s="2"/>
      <c r="E112" s="13"/>
      <c r="F112" s="2"/>
      <c r="G112" s="2"/>
      <c r="H112" s="2"/>
      <c r="I112" s="2"/>
    </row>
    <row r="113" spans="1:9">
      <c r="A113" s="2"/>
      <c r="B113" s="2"/>
      <c r="C113" s="2"/>
      <c r="D113" s="2"/>
      <c r="E113" s="13"/>
      <c r="F113" s="2"/>
      <c r="G113" s="2"/>
      <c r="H113" s="2"/>
      <c r="I113" s="2"/>
    </row>
    <row r="114" spans="1:9">
      <c r="A114" s="2"/>
      <c r="B114" s="2"/>
      <c r="C114" s="2"/>
      <c r="D114" s="2"/>
      <c r="E114" s="13"/>
      <c r="F114" s="2"/>
      <c r="G114" s="2"/>
      <c r="H114" s="2"/>
      <c r="I114" s="2"/>
    </row>
    <row r="115" spans="1:9">
      <c r="A115" s="2"/>
      <c r="B115" s="2"/>
      <c r="C115" s="2"/>
      <c r="D115" s="2"/>
      <c r="E115" s="13"/>
      <c r="F115" s="2"/>
      <c r="G115" s="2"/>
      <c r="H115" s="2"/>
      <c r="I115" s="2"/>
    </row>
    <row r="116" spans="1:9">
      <c r="A116" s="2"/>
      <c r="B116" s="2"/>
      <c r="C116" s="2"/>
      <c r="D116" s="2"/>
      <c r="E116" s="13"/>
      <c r="F116" s="2"/>
      <c r="G116" s="2"/>
      <c r="H116" s="2"/>
      <c r="I116" s="2"/>
    </row>
    <row r="117" spans="1:9">
      <c r="A117" s="2"/>
      <c r="B117" s="2"/>
      <c r="C117" s="2"/>
      <c r="D117" s="2"/>
      <c r="E117" s="13"/>
      <c r="F117" s="2"/>
      <c r="G117" s="2"/>
      <c r="H117" s="2"/>
      <c r="I117" s="2"/>
    </row>
    <row r="118" spans="1:9">
      <c r="A118" s="2"/>
      <c r="B118" s="2"/>
      <c r="C118" s="2"/>
      <c r="D118" s="2"/>
      <c r="E118" s="13"/>
      <c r="F118" s="2"/>
      <c r="G118" s="2"/>
      <c r="H118" s="2"/>
      <c r="I118" s="2"/>
    </row>
    <row r="119" spans="1:9">
      <c r="A119" s="2"/>
      <c r="B119" s="2"/>
      <c r="C119" s="2"/>
      <c r="D119" s="2"/>
      <c r="E119" s="13"/>
      <c r="F119" s="2"/>
      <c r="G119" s="2"/>
      <c r="H119" s="2"/>
      <c r="I119" s="2"/>
    </row>
    <row r="120" spans="1:9">
      <c r="A120" s="2"/>
      <c r="B120" s="2"/>
      <c r="C120" s="2"/>
      <c r="D120" s="2"/>
      <c r="E120" s="13"/>
      <c r="F120" s="2"/>
      <c r="G120" s="2"/>
      <c r="H120" s="2"/>
      <c r="I120" s="2"/>
    </row>
    <row r="121" spans="1:9">
      <c r="A121" s="2"/>
      <c r="B121" s="2"/>
      <c r="C121" s="2"/>
      <c r="D121" s="2"/>
      <c r="E121" s="13"/>
      <c r="F121" s="2"/>
      <c r="G121" s="2"/>
      <c r="H121" s="2"/>
      <c r="I121" s="2"/>
    </row>
    <row r="122" spans="1:9">
      <c r="A122" s="2"/>
      <c r="B122" s="2"/>
      <c r="C122" s="2"/>
      <c r="D122" s="2"/>
      <c r="E122" s="13"/>
      <c r="F122" s="2"/>
      <c r="G122" s="2"/>
      <c r="H122" s="2"/>
      <c r="I122" s="2"/>
    </row>
    <row r="123" spans="1:9">
      <c r="A123" s="2"/>
      <c r="B123" s="2"/>
      <c r="C123" s="2"/>
      <c r="D123" s="2"/>
      <c r="E123" s="13"/>
      <c r="F123" s="2"/>
      <c r="G123" s="2"/>
      <c r="H123" s="2"/>
      <c r="I123" s="2"/>
    </row>
    <row r="124" spans="1:9">
      <c r="A124" s="2"/>
      <c r="B124" s="2"/>
      <c r="C124" s="2"/>
      <c r="D124" s="2"/>
      <c r="E124" s="13"/>
      <c r="F124" s="2"/>
      <c r="G124" s="2"/>
      <c r="H124" s="2"/>
      <c r="I124" s="2"/>
    </row>
    <row r="125" spans="1:9">
      <c r="A125" s="2"/>
      <c r="B125" s="2"/>
      <c r="C125" s="2"/>
      <c r="D125" s="2"/>
      <c r="E125" s="13"/>
      <c r="F125" s="2"/>
      <c r="G125" s="2"/>
      <c r="H125" s="2"/>
      <c r="I125" s="2"/>
    </row>
    <row r="126" spans="1:9">
      <c r="A126" s="2"/>
      <c r="B126" s="2"/>
      <c r="C126" s="2"/>
      <c r="D126" s="2"/>
      <c r="E126" s="13"/>
      <c r="F126" s="2"/>
      <c r="G126" s="2"/>
      <c r="H126" s="2"/>
      <c r="I126" s="2"/>
    </row>
    <row r="127" spans="1:9">
      <c r="A127" s="2"/>
      <c r="B127" s="2"/>
      <c r="C127" s="2"/>
      <c r="D127" s="2"/>
      <c r="E127" s="13"/>
      <c r="F127" s="2"/>
      <c r="G127" s="2"/>
      <c r="H127" s="2"/>
      <c r="I127" s="2"/>
    </row>
    <row r="128" spans="1:9">
      <c r="A128" s="2"/>
      <c r="B128" s="2"/>
      <c r="C128" s="2"/>
      <c r="D128" s="2"/>
      <c r="E128" s="13"/>
      <c r="F128" s="2"/>
      <c r="G128" s="2"/>
      <c r="H128" s="2"/>
      <c r="I128" s="2"/>
    </row>
    <row r="129" spans="1:9">
      <c r="A129" s="2"/>
      <c r="B129" s="2"/>
      <c r="C129" s="2"/>
      <c r="D129" s="2"/>
      <c r="E129" s="13"/>
      <c r="F129" s="2"/>
      <c r="G129" s="2"/>
      <c r="H129" s="2"/>
      <c r="I129" s="2"/>
    </row>
    <row r="130" spans="1:9">
      <c r="A130" s="2"/>
      <c r="B130" s="2"/>
      <c r="C130" s="2"/>
      <c r="D130" s="2"/>
      <c r="E130" s="13"/>
      <c r="F130" s="2"/>
      <c r="G130" s="2"/>
      <c r="H130" s="2"/>
      <c r="I130" s="2"/>
    </row>
    <row r="131" spans="1:9">
      <c r="A131" s="2"/>
      <c r="B131" s="2"/>
      <c r="C131" s="2"/>
      <c r="D131" s="2"/>
      <c r="E131" s="13"/>
      <c r="F131" s="2"/>
      <c r="G131" s="2"/>
      <c r="H131" s="2"/>
      <c r="I131" s="2"/>
    </row>
    <row r="132" spans="1:9">
      <c r="A132" s="2"/>
      <c r="B132" s="2"/>
      <c r="C132" s="2"/>
      <c r="D132" s="2"/>
      <c r="E132" s="13"/>
      <c r="F132" s="2"/>
      <c r="G132" s="2"/>
      <c r="H132" s="2"/>
      <c r="I132" s="2"/>
    </row>
    <row r="133" spans="1:9">
      <c r="A133" s="2"/>
      <c r="B133" s="2"/>
      <c r="C133" s="2"/>
      <c r="D133" s="2"/>
      <c r="E133" s="13"/>
      <c r="F133" s="2"/>
      <c r="G133" s="2"/>
      <c r="H133" s="2"/>
      <c r="I133" s="2"/>
    </row>
    <row r="134" spans="1:9">
      <c r="A134" s="2"/>
      <c r="B134" s="2"/>
      <c r="C134" s="2"/>
      <c r="D134" s="2"/>
      <c r="E134" s="13"/>
      <c r="F134" s="2"/>
      <c r="G134" s="2"/>
      <c r="H134" s="2"/>
      <c r="I134" s="2"/>
    </row>
    <row r="135" spans="1:9">
      <c r="A135" s="2"/>
      <c r="B135" s="2"/>
      <c r="C135" s="2"/>
      <c r="D135" s="2"/>
      <c r="E135" s="13"/>
      <c r="F135" s="2"/>
      <c r="G135" s="2"/>
      <c r="H135" s="2"/>
      <c r="I135" s="2"/>
    </row>
    <row r="136" spans="1:9">
      <c r="A136" s="2"/>
      <c r="B136" s="2"/>
      <c r="C136" s="2"/>
      <c r="D136" s="2"/>
      <c r="E136" s="13"/>
      <c r="F136" s="2"/>
      <c r="G136" s="2"/>
      <c r="H136" s="2"/>
      <c r="I136" s="2"/>
    </row>
    <row r="137" spans="1:9">
      <c r="A137" s="2"/>
      <c r="B137" s="2"/>
      <c r="C137" s="2"/>
      <c r="D137" s="2"/>
      <c r="E137" s="13"/>
      <c r="F137" s="2"/>
      <c r="G137" s="2"/>
      <c r="H137" s="2"/>
      <c r="I137" s="2"/>
    </row>
    <row r="138" spans="1:9">
      <c r="A138" s="2"/>
      <c r="B138" s="2"/>
      <c r="C138" s="2"/>
      <c r="D138" s="2"/>
      <c r="E138" s="13"/>
      <c r="F138" s="2"/>
      <c r="G138" s="2"/>
      <c r="H138" s="2"/>
      <c r="I138" s="2"/>
    </row>
    <row r="139" spans="1:9">
      <c r="A139" s="2"/>
      <c r="B139" s="2"/>
      <c r="C139" s="2"/>
      <c r="D139" s="2"/>
      <c r="E139" s="13"/>
      <c r="F139" s="2"/>
      <c r="G139" s="2"/>
      <c r="H139" s="2"/>
      <c r="I139" s="2"/>
    </row>
    <row r="140" spans="1:9">
      <c r="A140" s="2"/>
      <c r="B140" s="2"/>
      <c r="C140" s="2"/>
      <c r="D140" s="2"/>
      <c r="E140" s="13"/>
      <c r="F140" s="2"/>
      <c r="G140" s="2"/>
      <c r="H140" s="2"/>
      <c r="I140" s="2"/>
    </row>
    <row r="141" spans="1:9">
      <c r="A141" s="2"/>
      <c r="B141" s="2"/>
      <c r="C141" s="2"/>
      <c r="D141" s="2"/>
      <c r="E141" s="13"/>
      <c r="F141" s="2"/>
      <c r="G141" s="2"/>
      <c r="H141" s="2"/>
      <c r="I141" s="2"/>
    </row>
    <row r="142" spans="1:9">
      <c r="A142" s="2"/>
      <c r="B142" s="2"/>
      <c r="C142" s="2"/>
      <c r="D142" s="2"/>
      <c r="E142" s="13"/>
      <c r="F142" s="2"/>
      <c r="G142" s="2"/>
      <c r="H142" s="2"/>
      <c r="I142" s="2"/>
    </row>
    <row r="143" spans="1:9">
      <c r="A143" s="2"/>
      <c r="B143" s="2"/>
      <c r="C143" s="2"/>
      <c r="D143" s="2"/>
      <c r="E143" s="13"/>
      <c r="F143" s="2"/>
      <c r="G143" s="2"/>
      <c r="H143" s="2"/>
      <c r="I143" s="2"/>
    </row>
    <row r="144" spans="1:9">
      <c r="A144" s="2"/>
      <c r="B144" s="2"/>
      <c r="C144" s="2"/>
      <c r="D144" s="2"/>
      <c r="E144" s="13"/>
      <c r="F144" s="2"/>
      <c r="G144" s="2"/>
      <c r="H144" s="2"/>
      <c r="I144" s="2"/>
    </row>
    <row r="145" spans="1:9">
      <c r="A145" s="2"/>
      <c r="B145" s="2"/>
      <c r="C145" s="2"/>
      <c r="D145" s="2"/>
      <c r="E145" s="13"/>
      <c r="F145" s="2"/>
      <c r="G145" s="2"/>
      <c r="H145" s="2"/>
      <c r="I145" s="2"/>
    </row>
    <row r="146" spans="1:9">
      <c r="A146" s="2"/>
      <c r="B146" s="2"/>
      <c r="C146" s="2"/>
      <c r="D146" s="2"/>
      <c r="E146" s="13"/>
      <c r="F146" s="2"/>
      <c r="G146" s="2"/>
      <c r="H146" s="2"/>
      <c r="I146" s="2"/>
    </row>
    <row r="147" spans="1:9">
      <c r="A147" s="2"/>
      <c r="B147" s="2"/>
      <c r="C147" s="2"/>
      <c r="D147" s="2"/>
      <c r="E147" s="13"/>
      <c r="F147" s="2"/>
      <c r="G147" s="2"/>
      <c r="H147" s="2"/>
      <c r="I147" s="2"/>
    </row>
    <row r="148" spans="1:9">
      <c r="A148" s="2"/>
      <c r="B148" s="2"/>
      <c r="C148" s="2"/>
      <c r="D148" s="2"/>
      <c r="E148" s="13"/>
      <c r="F148" s="2"/>
      <c r="G148" s="2"/>
      <c r="H148" s="2"/>
      <c r="I148" s="2"/>
    </row>
    <row r="149" spans="1:9">
      <c r="A149" s="2"/>
      <c r="B149" s="2"/>
      <c r="C149" s="2"/>
      <c r="D149" s="2"/>
      <c r="E149" s="13"/>
      <c r="F149" s="2"/>
      <c r="G149" s="2"/>
      <c r="H149" s="2"/>
      <c r="I149" s="2"/>
    </row>
    <row r="150" spans="1:9">
      <c r="A150" s="2"/>
      <c r="B150" s="2"/>
      <c r="C150" s="2"/>
      <c r="D150" s="2"/>
      <c r="E150" s="13"/>
      <c r="F150" s="2"/>
      <c r="G150" s="2"/>
      <c r="H150" s="2"/>
      <c r="I150" s="2"/>
    </row>
    <row r="151" spans="1:9">
      <c r="A151" s="2"/>
      <c r="B151" s="2"/>
      <c r="C151" s="2"/>
      <c r="D151" s="2"/>
      <c r="E151" s="13"/>
      <c r="F151" s="2"/>
      <c r="G151" s="2"/>
      <c r="H151" s="2"/>
      <c r="I151" s="2"/>
    </row>
    <row r="152" spans="1:9">
      <c r="A152" s="2"/>
      <c r="B152" s="2"/>
      <c r="C152" s="2"/>
      <c r="D152" s="2"/>
      <c r="E152" s="13"/>
      <c r="F152" s="2"/>
      <c r="G152" s="2"/>
      <c r="H152" s="2"/>
      <c r="I152" s="2"/>
    </row>
    <row r="153" spans="1:9">
      <c r="A153" s="2"/>
      <c r="B153" s="2"/>
      <c r="C153" s="2"/>
      <c r="D153" s="2"/>
      <c r="E153" s="13"/>
      <c r="F153" s="2"/>
      <c r="G153" s="2"/>
      <c r="H153" s="2"/>
      <c r="I153" s="2"/>
    </row>
    <row r="154" spans="1:9">
      <c r="A154" s="2"/>
      <c r="B154" s="2"/>
      <c r="C154" s="2"/>
      <c r="D154" s="2"/>
      <c r="E154" s="13"/>
      <c r="F154" s="2"/>
      <c r="G154" s="2"/>
      <c r="H154" s="2"/>
      <c r="I154" s="2"/>
    </row>
    <row r="155" spans="1:9">
      <c r="A155" s="2"/>
      <c r="B155" s="2"/>
      <c r="C155" s="2"/>
      <c r="D155" s="2"/>
      <c r="E155" s="13"/>
      <c r="F155" s="2"/>
      <c r="G155" s="2"/>
      <c r="H155" s="2"/>
      <c r="I155" s="2"/>
    </row>
    <row r="156" spans="1:9">
      <c r="A156" s="2"/>
      <c r="B156" s="2"/>
      <c r="C156" s="2"/>
      <c r="D156" s="2"/>
      <c r="E156" s="13"/>
      <c r="F156" s="2"/>
      <c r="G156" s="2"/>
      <c r="H156" s="2"/>
      <c r="I156" s="2"/>
    </row>
    <row r="157" spans="1:9">
      <c r="A157" s="2"/>
      <c r="B157" s="2"/>
      <c r="C157" s="2"/>
      <c r="D157" s="2"/>
      <c r="E157" s="13"/>
      <c r="F157" s="2"/>
      <c r="G157" s="2"/>
      <c r="H157" s="2"/>
      <c r="I157" s="2"/>
    </row>
    <row r="158" spans="1:9">
      <c r="A158" s="2"/>
      <c r="B158" s="2"/>
      <c r="C158" s="2"/>
      <c r="D158" s="2"/>
      <c r="E158" s="13"/>
      <c r="F158" s="2"/>
      <c r="G158" s="2"/>
      <c r="H158" s="2"/>
      <c r="I158" s="2"/>
    </row>
    <row r="159" spans="1:9">
      <c r="A159" s="2"/>
      <c r="B159" s="2"/>
      <c r="C159" s="2"/>
      <c r="D159" s="2"/>
      <c r="E159" s="13"/>
      <c r="F159" s="2"/>
      <c r="G159" s="2"/>
      <c r="H159" s="2"/>
      <c r="I159" s="2"/>
    </row>
    <row r="160" spans="1:9">
      <c r="A160" s="2"/>
      <c r="B160" s="2"/>
      <c r="C160" s="2"/>
      <c r="D160" s="2"/>
      <c r="E160" s="13"/>
      <c r="F160" s="2"/>
      <c r="G160" s="2"/>
      <c r="H160" s="2"/>
      <c r="I160" s="2"/>
    </row>
    <row r="161" spans="1:9">
      <c r="A161" s="2"/>
      <c r="B161" s="2"/>
      <c r="C161" s="2"/>
      <c r="D161" s="2"/>
      <c r="E161" s="13"/>
      <c r="F161" s="2"/>
      <c r="G161" s="2"/>
      <c r="H161" s="2"/>
      <c r="I161" s="2"/>
    </row>
    <row r="162" spans="1:9">
      <c r="A162" s="2"/>
      <c r="B162" s="2"/>
      <c r="C162" s="2"/>
      <c r="D162" s="2"/>
      <c r="E162" s="13"/>
      <c r="F162" s="2"/>
      <c r="G162" s="2"/>
      <c r="H162" s="2"/>
      <c r="I162" s="2"/>
    </row>
    <row r="163" spans="1:9">
      <c r="A163" s="2"/>
      <c r="B163" s="2"/>
      <c r="C163" s="2"/>
      <c r="D163" s="2"/>
      <c r="E163" s="13"/>
      <c r="F163" s="2"/>
      <c r="G163" s="2"/>
      <c r="H163" s="2"/>
      <c r="I163" s="2"/>
    </row>
    <row r="164" spans="1:9">
      <c r="A164" s="2"/>
      <c r="B164" s="2"/>
      <c r="C164" s="2"/>
      <c r="D164" s="2"/>
      <c r="E164" s="13"/>
      <c r="F164" s="2"/>
      <c r="G164" s="2"/>
      <c r="H164" s="2"/>
      <c r="I164" s="2"/>
    </row>
    <row r="165" spans="1:9">
      <c r="A165" s="2"/>
      <c r="B165" s="2"/>
      <c r="C165" s="2"/>
      <c r="D165" s="2"/>
      <c r="E165" s="13"/>
      <c r="F165" s="2"/>
      <c r="G165" s="2"/>
      <c r="H165" s="2"/>
      <c r="I165" s="2"/>
    </row>
    <row r="166" spans="1:9">
      <c r="A166" s="2"/>
      <c r="B166" s="2"/>
      <c r="C166" s="2"/>
      <c r="D166" s="2"/>
      <c r="E166" s="13"/>
      <c r="F166" s="2"/>
      <c r="G166" s="2"/>
      <c r="H166" s="2"/>
      <c r="I166" s="2"/>
    </row>
    <row r="167" spans="1:9">
      <c r="A167" s="2"/>
      <c r="B167" s="2"/>
      <c r="C167" s="2"/>
      <c r="D167" s="2"/>
      <c r="E167" s="13"/>
      <c r="F167" s="2"/>
      <c r="G167" s="2"/>
      <c r="H167" s="2"/>
      <c r="I167" s="2"/>
    </row>
    <row r="168" spans="1:9">
      <c r="A168" s="2"/>
      <c r="B168" s="2"/>
      <c r="C168" s="2"/>
      <c r="D168" s="2"/>
      <c r="E168" s="13"/>
      <c r="F168" s="2"/>
      <c r="G168" s="2"/>
      <c r="H168" s="2"/>
      <c r="I168" s="2"/>
    </row>
    <row r="169" spans="1:9">
      <c r="A169" s="2"/>
      <c r="B169" s="2"/>
      <c r="C169" s="2"/>
      <c r="D169" s="2"/>
      <c r="E169" s="13"/>
      <c r="F169" s="2"/>
      <c r="G169" s="2"/>
      <c r="H169" s="2"/>
      <c r="I169" s="2"/>
    </row>
    <row r="170" spans="1:9">
      <c r="A170" s="2"/>
      <c r="B170" s="2"/>
      <c r="C170" s="2"/>
      <c r="D170" s="2"/>
      <c r="E170" s="13"/>
      <c r="F170" s="2"/>
      <c r="G170" s="2"/>
      <c r="H170" s="2"/>
      <c r="I170" s="2"/>
    </row>
    <row r="171" spans="1:9">
      <c r="A171" s="2"/>
      <c r="B171" s="2"/>
      <c r="C171" s="2"/>
      <c r="D171" s="2"/>
      <c r="E171" s="13"/>
      <c r="F171" s="2"/>
      <c r="G171" s="2"/>
      <c r="H171" s="2"/>
      <c r="I171" s="2"/>
    </row>
    <row r="172" spans="1:9">
      <c r="A172" s="2"/>
      <c r="B172" s="2"/>
      <c r="C172" s="2"/>
      <c r="D172" s="2"/>
      <c r="E172" s="13"/>
      <c r="F172" s="2"/>
      <c r="G172" s="2"/>
      <c r="H172" s="2"/>
      <c r="I172" s="2"/>
    </row>
    <row r="173" spans="1:9">
      <c r="A173" s="2"/>
      <c r="B173" s="2"/>
      <c r="C173" s="2"/>
      <c r="D173" s="2"/>
      <c r="E173" s="13"/>
      <c r="F173" s="2"/>
      <c r="G173" s="2"/>
      <c r="H173" s="2"/>
      <c r="I173" s="2"/>
    </row>
    <row r="174" spans="1:9">
      <c r="A174" s="2"/>
      <c r="B174" s="2"/>
      <c r="C174" s="2"/>
      <c r="D174" s="2"/>
      <c r="E174" s="13"/>
      <c r="F174" s="2"/>
      <c r="G174" s="2"/>
      <c r="H174" s="2"/>
      <c r="I174" s="2"/>
    </row>
    <row r="175" spans="1:9">
      <c r="A175" s="2"/>
      <c r="B175" s="2"/>
      <c r="C175" s="2"/>
      <c r="D175" s="2"/>
      <c r="E175" s="13"/>
      <c r="F175" s="2"/>
      <c r="G175" s="2"/>
      <c r="H175" s="2"/>
      <c r="I175" s="2"/>
    </row>
    <row r="176" spans="1:9">
      <c r="A176" s="2"/>
      <c r="B176" s="2"/>
      <c r="C176" s="2"/>
      <c r="D176" s="2"/>
      <c r="E176" s="13"/>
      <c r="F176" s="2"/>
      <c r="G176" s="2"/>
      <c r="H176" s="2"/>
      <c r="I176" s="2"/>
    </row>
    <row r="177" spans="1:9">
      <c r="A177" s="2"/>
      <c r="B177" s="2"/>
      <c r="C177" s="2"/>
      <c r="D177" s="2"/>
      <c r="E177" s="13"/>
      <c r="F177" s="2"/>
      <c r="G177" s="2"/>
      <c r="H177" s="2"/>
      <c r="I177" s="2"/>
    </row>
    <row r="178" spans="1:9">
      <c r="A178" s="2"/>
      <c r="B178" s="2"/>
      <c r="C178" s="2"/>
      <c r="D178" s="2"/>
      <c r="E178" s="13"/>
      <c r="F178" s="2"/>
      <c r="G178" s="2"/>
      <c r="H178" s="2"/>
      <c r="I178" s="2"/>
    </row>
    <row r="179" spans="1:9">
      <c r="A179" s="2"/>
      <c r="B179" s="2"/>
      <c r="C179" s="2"/>
      <c r="D179" s="2"/>
      <c r="E179" s="13"/>
      <c r="F179" s="2"/>
      <c r="G179" s="2"/>
      <c r="H179" s="2"/>
      <c r="I179" s="2"/>
    </row>
    <row r="180" spans="1:9">
      <c r="A180" s="2"/>
      <c r="B180" s="2"/>
      <c r="C180" s="2"/>
      <c r="D180" s="2"/>
      <c r="E180" s="13"/>
      <c r="F180" s="2"/>
      <c r="G180" s="2"/>
      <c r="H180" s="2"/>
      <c r="I180" s="2"/>
    </row>
    <row r="181" spans="1:9">
      <c r="A181" s="2"/>
      <c r="B181" s="2"/>
      <c r="C181" s="2"/>
      <c r="D181" s="2"/>
      <c r="E181" s="13"/>
      <c r="F181" s="2"/>
      <c r="G181" s="2"/>
      <c r="H181" s="2"/>
      <c r="I181" s="2"/>
    </row>
    <row r="182" spans="1:9">
      <c r="A182" s="2"/>
      <c r="B182" s="2"/>
      <c r="C182" s="2"/>
      <c r="D182" s="2"/>
      <c r="E182" s="13"/>
      <c r="F182" s="2"/>
      <c r="G182" s="2"/>
      <c r="H182" s="2"/>
      <c r="I182" s="2"/>
    </row>
    <row r="183" spans="1:9">
      <c r="A183" s="2"/>
      <c r="B183" s="2"/>
      <c r="C183" s="2"/>
      <c r="D183" s="2"/>
      <c r="E183" s="13"/>
      <c r="F183" s="2"/>
      <c r="G183" s="2"/>
      <c r="H183" s="2"/>
      <c r="I183" s="2"/>
    </row>
    <row r="184" spans="1:9">
      <c r="A184" s="2"/>
      <c r="B184" s="2"/>
      <c r="C184" s="2"/>
      <c r="D184" s="2"/>
      <c r="E184" s="13"/>
      <c r="F184" s="2"/>
      <c r="G184" s="2"/>
      <c r="H184" s="2"/>
      <c r="I184" s="2"/>
    </row>
    <row r="185" spans="1:9">
      <c r="A185" s="2"/>
      <c r="B185" s="2"/>
      <c r="C185" s="2"/>
      <c r="D185" s="2"/>
      <c r="E185" s="13"/>
      <c r="F185" s="2"/>
      <c r="G185" s="2"/>
      <c r="H185" s="2"/>
      <c r="I185" s="2"/>
    </row>
    <row r="186" spans="1:9">
      <c r="A186" s="2"/>
      <c r="B186" s="2"/>
      <c r="C186" s="2"/>
      <c r="D186" s="2"/>
      <c r="E186" s="13"/>
      <c r="F186" s="2"/>
      <c r="G186" s="2"/>
      <c r="H186" s="2"/>
      <c r="I186" s="2"/>
    </row>
    <row r="187" spans="1:9">
      <c r="A187" s="2"/>
      <c r="B187" s="2"/>
      <c r="C187" s="2"/>
      <c r="D187" s="2"/>
      <c r="E187" s="13"/>
      <c r="F187" s="2"/>
      <c r="G187" s="2"/>
      <c r="H187" s="2"/>
      <c r="I187" s="2"/>
    </row>
    <row r="188" spans="1:9">
      <c r="A188" s="2"/>
      <c r="B188" s="2"/>
      <c r="C188" s="2"/>
      <c r="D188" s="2"/>
      <c r="E188" s="13"/>
      <c r="F188" s="2"/>
      <c r="G188" s="2"/>
      <c r="H188" s="2"/>
      <c r="I188" s="2"/>
    </row>
    <row r="189" spans="1:9">
      <c r="A189" s="2"/>
      <c r="B189" s="2"/>
      <c r="C189" s="2"/>
      <c r="D189" s="2"/>
      <c r="E189" s="13"/>
      <c r="F189" s="2"/>
      <c r="G189" s="2"/>
      <c r="H189" s="2"/>
      <c r="I189" s="2"/>
    </row>
    <row r="190" spans="1:9">
      <c r="A190" s="2"/>
      <c r="B190" s="2"/>
      <c r="C190" s="2"/>
      <c r="D190" s="2"/>
      <c r="E190" s="13"/>
      <c r="F190" s="2"/>
      <c r="G190" s="2"/>
      <c r="H190" s="2"/>
      <c r="I190" s="2"/>
    </row>
    <row r="191" spans="1:9">
      <c r="A191" s="2"/>
      <c r="B191" s="2"/>
      <c r="C191" s="2"/>
      <c r="D191" s="2"/>
      <c r="E191" s="13"/>
      <c r="F191" s="2"/>
      <c r="G191" s="2"/>
      <c r="H191" s="2"/>
      <c r="I191" s="2"/>
    </row>
    <row r="192" spans="1:9">
      <c r="A192" s="2"/>
      <c r="B192" s="2"/>
      <c r="C192" s="2"/>
      <c r="D192" s="2"/>
      <c r="E192" s="13"/>
      <c r="F192" s="2"/>
      <c r="G192" s="2"/>
      <c r="H192" s="2"/>
      <c r="I192" s="2"/>
    </row>
    <row r="193" spans="1:9">
      <c r="A193" s="2"/>
      <c r="B193" s="2"/>
      <c r="C193" s="2"/>
      <c r="D193" s="2"/>
      <c r="E193" s="13"/>
      <c r="F193" s="2"/>
      <c r="G193" s="2"/>
      <c r="H193" s="2"/>
      <c r="I193" s="2"/>
    </row>
    <row r="194" spans="1:9">
      <c r="A194" s="2"/>
      <c r="B194" s="2"/>
      <c r="C194" s="2"/>
      <c r="D194" s="2"/>
      <c r="E194" s="13"/>
      <c r="F194" s="2"/>
      <c r="G194" s="2"/>
      <c r="H194" s="2"/>
      <c r="I194" s="2"/>
    </row>
    <row r="195" spans="1:9">
      <c r="A195" s="2"/>
      <c r="B195" s="2"/>
      <c r="C195" s="2"/>
      <c r="D195" s="2"/>
      <c r="E195" s="13"/>
      <c r="F195" s="2"/>
      <c r="G195" s="2"/>
      <c r="H195" s="2"/>
      <c r="I195" s="2"/>
    </row>
    <row r="196" spans="1:9">
      <c r="A196" s="2"/>
      <c r="B196" s="2"/>
      <c r="C196" s="2"/>
      <c r="D196" s="2"/>
      <c r="E196" s="13"/>
      <c r="F196" s="2"/>
      <c r="G196" s="2"/>
      <c r="H196" s="2"/>
      <c r="I196" s="2"/>
    </row>
    <row r="197" spans="1:9">
      <c r="A197" s="2"/>
      <c r="B197" s="2"/>
      <c r="C197" s="2"/>
      <c r="D197" s="2"/>
      <c r="E197" s="13"/>
      <c r="F197" s="2"/>
      <c r="G197" s="2"/>
      <c r="H197" s="2"/>
      <c r="I197" s="2"/>
    </row>
    <row r="198" spans="1:9">
      <c r="A198" s="2"/>
      <c r="B198" s="2"/>
      <c r="C198" s="2"/>
      <c r="D198" s="2"/>
      <c r="E198" s="13"/>
      <c r="F198" s="2"/>
      <c r="G198" s="2"/>
      <c r="H198" s="2"/>
      <c r="I198" s="2"/>
    </row>
    <row r="199" spans="1:9">
      <c r="A199" s="2"/>
      <c r="B199" s="2"/>
      <c r="C199" s="2"/>
      <c r="D199" s="2"/>
      <c r="E199" s="13"/>
      <c r="F199" s="2"/>
      <c r="G199" s="2"/>
      <c r="H199" s="2"/>
      <c r="I199" s="2"/>
    </row>
    <row r="200" spans="1:9">
      <c r="A200" s="2"/>
      <c r="B200" s="2"/>
      <c r="C200" s="2"/>
      <c r="D200" s="2"/>
      <c r="E200" s="13"/>
      <c r="F200" s="2"/>
      <c r="G200" s="2"/>
      <c r="H200" s="2"/>
      <c r="I200" s="2"/>
    </row>
    <row r="201" spans="1:9">
      <c r="A201" s="2"/>
      <c r="B201" s="2"/>
      <c r="C201" s="2"/>
      <c r="D201" s="2"/>
      <c r="E201" s="13"/>
      <c r="F201" s="2"/>
      <c r="G201" s="2"/>
      <c r="H201" s="2"/>
      <c r="I201" s="2"/>
    </row>
    <row r="202" spans="1:9">
      <c r="A202" s="2"/>
      <c r="B202" s="2"/>
      <c r="C202" s="2"/>
      <c r="D202" s="2"/>
      <c r="E202" s="13"/>
      <c r="F202" s="2"/>
      <c r="G202" s="2"/>
      <c r="H202" s="2"/>
      <c r="I202" s="2"/>
    </row>
    <row r="203" spans="1:9">
      <c r="A203" s="2"/>
      <c r="B203" s="2"/>
      <c r="C203" s="2"/>
      <c r="D203" s="2"/>
      <c r="E203" s="13"/>
      <c r="F203" s="2"/>
      <c r="G203" s="2"/>
      <c r="H203" s="2"/>
      <c r="I203" s="2"/>
    </row>
    <row r="204" spans="1:9">
      <c r="A204" s="2"/>
      <c r="B204" s="2"/>
      <c r="C204" s="2"/>
      <c r="D204" s="2"/>
      <c r="E204" s="13"/>
      <c r="F204" s="2"/>
      <c r="G204" s="2"/>
      <c r="H204" s="2"/>
      <c r="I204" s="2"/>
    </row>
    <row r="205" spans="1:9">
      <c r="A205" s="2"/>
      <c r="B205" s="2"/>
      <c r="C205" s="2"/>
      <c r="D205" s="2"/>
      <c r="E205" s="13"/>
      <c r="F205" s="2"/>
      <c r="G205" s="2"/>
      <c r="H205" s="2"/>
      <c r="I205" s="2"/>
    </row>
    <row r="206" spans="1:9">
      <c r="A206" s="2"/>
      <c r="B206" s="2"/>
      <c r="C206" s="2"/>
      <c r="D206" s="2"/>
      <c r="E206" s="13"/>
      <c r="F206" s="2"/>
      <c r="G206" s="2"/>
      <c r="H206" s="2"/>
      <c r="I206" s="2"/>
    </row>
    <row r="207" spans="1:9">
      <c r="A207" s="2"/>
      <c r="B207" s="2"/>
      <c r="C207" s="2"/>
      <c r="D207" s="2"/>
      <c r="E207" s="13"/>
      <c r="F207" s="2"/>
      <c r="G207" s="2"/>
      <c r="H207" s="2"/>
      <c r="I207" s="2"/>
    </row>
    <row r="208" spans="1:9">
      <c r="A208" s="2"/>
      <c r="B208" s="2"/>
      <c r="C208" s="2"/>
      <c r="D208" s="2"/>
      <c r="E208" s="13"/>
      <c r="F208" s="2"/>
      <c r="G208" s="2"/>
      <c r="H208" s="2"/>
      <c r="I208" s="2"/>
    </row>
    <row r="209" spans="1:9">
      <c r="A209" s="2"/>
      <c r="B209" s="2"/>
      <c r="C209" s="2"/>
      <c r="D209" s="2"/>
      <c r="E209" s="13"/>
      <c r="F209" s="2"/>
      <c r="G209" s="2"/>
      <c r="H209" s="2"/>
      <c r="I209" s="2"/>
    </row>
    <row r="210" spans="1:9">
      <c r="A210" s="2"/>
      <c r="B210" s="2"/>
      <c r="C210" s="2"/>
      <c r="D210" s="2"/>
      <c r="E210" s="13"/>
      <c r="F210" s="2"/>
      <c r="G210" s="2"/>
      <c r="H210" s="2"/>
      <c r="I210" s="2"/>
    </row>
    <row r="211" spans="1:9">
      <c r="A211" s="2"/>
      <c r="B211" s="2"/>
      <c r="C211" s="2"/>
      <c r="D211" s="2"/>
      <c r="E211" s="13"/>
      <c r="F211" s="2"/>
      <c r="G211" s="2"/>
      <c r="H211" s="2"/>
      <c r="I211" s="2"/>
    </row>
    <row r="212" spans="1:9">
      <c r="A212" s="2"/>
      <c r="B212" s="2"/>
      <c r="C212" s="2"/>
      <c r="D212" s="2"/>
      <c r="E212" s="13"/>
      <c r="F212" s="2"/>
      <c r="G212" s="2"/>
      <c r="H212" s="2"/>
      <c r="I212" s="2"/>
    </row>
    <row r="213" spans="1:9">
      <c r="A213" s="2"/>
      <c r="B213" s="2"/>
      <c r="C213" s="2"/>
      <c r="D213" s="2"/>
      <c r="E213" s="13"/>
      <c r="F213" s="2"/>
      <c r="G213" s="2"/>
      <c r="H213" s="2"/>
      <c r="I213" s="2"/>
    </row>
    <row r="214" spans="1:9">
      <c r="A214" s="2"/>
      <c r="B214" s="2"/>
      <c r="C214" s="2"/>
      <c r="D214" s="2"/>
      <c r="E214" s="13"/>
      <c r="F214" s="2"/>
      <c r="G214" s="2"/>
      <c r="H214" s="2"/>
      <c r="I214" s="2"/>
    </row>
    <row r="215" spans="1:9">
      <c r="A215" s="2"/>
      <c r="B215" s="2"/>
      <c r="C215" s="2"/>
      <c r="D215" s="2"/>
      <c r="E215" s="13"/>
      <c r="F215" s="2"/>
      <c r="G215" s="2"/>
      <c r="H215" s="2"/>
      <c r="I215" s="2"/>
    </row>
    <row r="216" spans="1:9">
      <c r="A216" s="2"/>
      <c r="B216" s="2"/>
      <c r="C216" s="2"/>
      <c r="D216" s="2"/>
      <c r="E216" s="13"/>
      <c r="F216" s="2"/>
      <c r="G216" s="2"/>
      <c r="H216" s="2"/>
      <c r="I216" s="2"/>
    </row>
    <row r="217" spans="1:9">
      <c r="A217" s="2"/>
      <c r="B217" s="2"/>
      <c r="C217" s="2"/>
      <c r="D217" s="2"/>
      <c r="E217" s="13"/>
      <c r="F217" s="2"/>
      <c r="G217" s="2"/>
      <c r="H217" s="2"/>
      <c r="I217" s="2"/>
    </row>
    <row r="218" spans="1:9">
      <c r="A218" s="2"/>
      <c r="B218" s="2"/>
      <c r="C218" s="2"/>
      <c r="D218" s="2"/>
      <c r="E218" s="13"/>
      <c r="F218" s="2"/>
      <c r="G218" s="2"/>
      <c r="H218" s="2"/>
      <c r="I218" s="2"/>
    </row>
    <row r="219" spans="1:9">
      <c r="A219" s="2"/>
      <c r="B219" s="2"/>
      <c r="C219" s="2"/>
      <c r="D219" s="2"/>
      <c r="E219" s="13"/>
      <c r="F219" s="2"/>
      <c r="G219" s="2"/>
      <c r="H219" s="2"/>
      <c r="I219" s="2"/>
    </row>
    <row r="220" spans="1:9">
      <c r="A220" s="2"/>
      <c r="B220" s="2"/>
      <c r="C220" s="2"/>
      <c r="D220" s="2"/>
      <c r="E220" s="13"/>
      <c r="F220" s="2"/>
      <c r="G220" s="2"/>
      <c r="H220" s="2"/>
      <c r="I220" s="2"/>
    </row>
    <row r="221" spans="1:9">
      <c r="A221" s="2"/>
      <c r="B221" s="2"/>
      <c r="C221" s="2"/>
      <c r="D221" s="2"/>
      <c r="E221" s="13"/>
      <c r="F221" s="2"/>
      <c r="G221" s="2"/>
      <c r="H221" s="2"/>
      <c r="I221" s="2"/>
    </row>
    <row r="222" spans="1:9">
      <c r="A222" s="2"/>
      <c r="B222" s="2"/>
      <c r="C222" s="2"/>
      <c r="D222" s="2"/>
      <c r="E222" s="13"/>
      <c r="F222" s="2"/>
      <c r="G222" s="2"/>
      <c r="H222" s="2"/>
      <c r="I222" s="2"/>
    </row>
    <row r="223" spans="1:9">
      <c r="A223" s="2"/>
      <c r="B223" s="2"/>
      <c r="C223" s="2"/>
      <c r="D223" s="2"/>
      <c r="E223" s="13"/>
      <c r="F223" s="2"/>
      <c r="G223" s="2"/>
      <c r="H223" s="2"/>
      <c r="I223" s="2"/>
    </row>
    <row r="224" spans="1:9">
      <c r="A224" s="2"/>
      <c r="B224" s="2"/>
      <c r="C224" s="2"/>
      <c r="D224" s="2"/>
      <c r="E224" s="13"/>
      <c r="F224" s="2"/>
      <c r="G224" s="2"/>
      <c r="H224" s="2"/>
      <c r="I224" s="2"/>
    </row>
    <row r="225" spans="1:9">
      <c r="A225" s="2"/>
      <c r="B225" s="2"/>
      <c r="C225" s="2"/>
      <c r="D225" s="2"/>
      <c r="E225" s="13"/>
      <c r="F225" s="2"/>
      <c r="G225" s="2"/>
      <c r="H225" s="2"/>
      <c r="I225" s="2"/>
    </row>
    <row r="226" spans="1:9">
      <c r="A226" s="2"/>
      <c r="B226" s="2"/>
      <c r="C226" s="2"/>
      <c r="D226" s="2"/>
      <c r="E226" s="13"/>
      <c r="F226" s="2"/>
      <c r="G226" s="2"/>
      <c r="H226" s="2"/>
      <c r="I226" s="2"/>
    </row>
    <row r="227" spans="1:9">
      <c r="A227" s="2"/>
      <c r="B227" s="2"/>
      <c r="C227" s="2"/>
      <c r="D227" s="2"/>
      <c r="E227" s="13"/>
      <c r="F227" s="2"/>
      <c r="G227" s="2"/>
      <c r="H227" s="2"/>
      <c r="I227" s="2"/>
    </row>
    <row r="228" spans="1:9">
      <c r="A228" s="2"/>
      <c r="B228" s="2"/>
      <c r="C228" s="2"/>
      <c r="D228" s="2"/>
      <c r="E228" s="13"/>
      <c r="F228" s="2"/>
      <c r="G228" s="2"/>
      <c r="H228" s="2"/>
      <c r="I228" s="2"/>
    </row>
    <row r="229" spans="1:9">
      <c r="A229" s="2"/>
      <c r="B229" s="2"/>
      <c r="C229" s="2"/>
      <c r="D229" s="2"/>
      <c r="E229" s="13"/>
      <c r="F229" s="2"/>
      <c r="G229" s="2"/>
      <c r="H229" s="2"/>
      <c r="I229" s="2"/>
    </row>
    <row r="230" spans="1:9">
      <c r="A230" s="2"/>
      <c r="B230" s="2"/>
      <c r="C230" s="2"/>
      <c r="D230" s="2"/>
      <c r="E230" s="13"/>
      <c r="F230" s="2"/>
      <c r="G230" s="2"/>
      <c r="H230" s="2"/>
      <c r="I230" s="2"/>
    </row>
    <row r="231" spans="1:9">
      <c r="A231" s="2"/>
      <c r="B231" s="2"/>
      <c r="C231" s="2"/>
      <c r="D231" s="2"/>
      <c r="E231" s="13"/>
      <c r="F231" s="2"/>
      <c r="G231" s="2"/>
      <c r="H231" s="2"/>
      <c r="I231" s="2"/>
    </row>
    <row r="232" spans="1:9">
      <c r="A232" s="2"/>
      <c r="B232" s="2"/>
      <c r="C232" s="2"/>
      <c r="D232" s="2"/>
      <c r="E232" s="13"/>
      <c r="F232" s="2"/>
      <c r="G232" s="2"/>
      <c r="H232" s="2"/>
      <c r="I232" s="2"/>
    </row>
    <row r="233" spans="1:9">
      <c r="A233" s="2"/>
      <c r="B233" s="2"/>
      <c r="C233" s="2"/>
      <c r="D233" s="2"/>
      <c r="E233" s="13"/>
      <c r="F233" s="2"/>
      <c r="G233" s="2"/>
      <c r="H233" s="2"/>
      <c r="I233" s="2"/>
    </row>
    <row r="234" spans="1:9">
      <c r="A234" s="2"/>
      <c r="B234" s="2"/>
      <c r="C234" s="2"/>
      <c r="D234" s="2"/>
      <c r="E234" s="13"/>
      <c r="F234" s="2"/>
      <c r="G234" s="2"/>
      <c r="H234" s="2"/>
      <c r="I234" s="2"/>
    </row>
    <row r="235" spans="1:9">
      <c r="A235" s="2"/>
      <c r="B235" s="2"/>
      <c r="C235" s="2"/>
      <c r="D235" s="2"/>
      <c r="E235" s="13"/>
      <c r="F235" s="2"/>
      <c r="G235" s="2"/>
      <c r="H235" s="2"/>
      <c r="I235" s="2"/>
    </row>
    <row r="236" spans="1:9">
      <c r="A236" s="2"/>
      <c r="B236" s="2"/>
      <c r="C236" s="2"/>
      <c r="D236" s="2"/>
      <c r="E236" s="13"/>
      <c r="F236" s="2"/>
      <c r="G236" s="2"/>
      <c r="H236" s="2"/>
      <c r="I236" s="2"/>
    </row>
    <row r="237" spans="1:9">
      <c r="A237" s="2"/>
      <c r="B237" s="2"/>
      <c r="C237" s="2"/>
      <c r="D237" s="2"/>
      <c r="E237" s="13"/>
      <c r="F237" s="2"/>
      <c r="G237" s="2"/>
      <c r="H237" s="2"/>
      <c r="I237" s="2"/>
    </row>
    <row r="238" spans="1:9">
      <c r="A238" s="2"/>
      <c r="B238" s="2"/>
      <c r="C238" s="2"/>
      <c r="D238" s="2"/>
      <c r="E238" s="13"/>
      <c r="F238" s="2"/>
      <c r="G238" s="2"/>
      <c r="H238" s="2"/>
      <c r="I238" s="2"/>
    </row>
    <row r="239" spans="1:9">
      <c r="A239" s="2"/>
      <c r="B239" s="2"/>
      <c r="C239" s="2"/>
      <c r="D239" s="2"/>
      <c r="E239" s="13"/>
      <c r="F239" s="2"/>
      <c r="G239" s="2"/>
      <c r="H239" s="2"/>
      <c r="I239" s="2"/>
    </row>
    <row r="240" spans="1:9">
      <c r="A240" s="2"/>
      <c r="B240" s="2"/>
      <c r="C240" s="2"/>
      <c r="D240" s="2"/>
      <c r="E240" s="13"/>
      <c r="F240" s="2"/>
      <c r="G240" s="2"/>
      <c r="H240" s="2"/>
      <c r="I240" s="2"/>
    </row>
    <row r="241" spans="1:9">
      <c r="A241" s="2"/>
      <c r="B241" s="2"/>
      <c r="C241" s="2"/>
      <c r="D241" s="2"/>
      <c r="E241" s="13"/>
      <c r="F241" s="2"/>
      <c r="G241" s="2"/>
      <c r="H241" s="2"/>
      <c r="I241" s="2"/>
    </row>
    <row r="242" spans="1:9">
      <c r="A242" s="2"/>
      <c r="B242" s="2"/>
      <c r="C242" s="2"/>
      <c r="D242" s="2"/>
      <c r="E242" s="13"/>
      <c r="F242" s="2"/>
      <c r="G242" s="2"/>
      <c r="H242" s="2"/>
      <c r="I242" s="2"/>
    </row>
    <row r="243" spans="1:9">
      <c r="A243" s="2"/>
      <c r="B243" s="2"/>
      <c r="C243" s="2"/>
      <c r="D243" s="2"/>
      <c r="E243" s="13"/>
      <c r="F243" s="2"/>
      <c r="G243" s="2"/>
      <c r="H243" s="2"/>
      <c r="I243" s="2"/>
    </row>
    <row r="244" spans="1:9">
      <c r="A244" s="2"/>
      <c r="B244" s="2"/>
      <c r="C244" s="2"/>
      <c r="D244" s="2"/>
      <c r="E244" s="13"/>
      <c r="F244" s="2"/>
      <c r="G244" s="2"/>
      <c r="H244" s="2"/>
      <c r="I244" s="2"/>
    </row>
    <row r="245" spans="1:9">
      <c r="A245" s="2"/>
      <c r="B245" s="2"/>
      <c r="C245" s="2"/>
      <c r="D245" s="2"/>
      <c r="E245" s="13"/>
      <c r="F245" s="2"/>
      <c r="G245" s="2"/>
      <c r="H245" s="2"/>
      <c r="I245" s="2"/>
    </row>
    <row r="246" spans="1:9">
      <c r="A246" s="2"/>
      <c r="B246" s="2"/>
      <c r="C246" s="2"/>
      <c r="D246" s="2"/>
      <c r="E246" s="13"/>
      <c r="F246" s="2"/>
      <c r="G246" s="2"/>
      <c r="H246" s="2"/>
      <c r="I246" s="2"/>
    </row>
    <row r="247" spans="1:9">
      <c r="A247" s="2"/>
      <c r="B247" s="2"/>
      <c r="C247" s="2"/>
      <c r="D247" s="2"/>
      <c r="E247" s="13"/>
      <c r="F247" s="2"/>
      <c r="G247" s="2"/>
      <c r="H247" s="2"/>
      <c r="I247" s="2"/>
    </row>
    <row r="248" spans="1:9">
      <c r="A248" s="2"/>
      <c r="B248" s="2"/>
      <c r="C248" s="2"/>
      <c r="D248" s="2"/>
      <c r="E248" s="13"/>
      <c r="F248" s="2"/>
      <c r="G248" s="2"/>
      <c r="H248" s="2"/>
      <c r="I248" s="2"/>
    </row>
    <row r="249" spans="1:9">
      <c r="A249" s="2"/>
      <c r="B249" s="2"/>
      <c r="C249" s="2"/>
      <c r="D249" s="2"/>
      <c r="E249" s="13"/>
      <c r="F249" s="2"/>
      <c r="G249" s="2"/>
      <c r="H249" s="2"/>
      <c r="I249" s="2"/>
    </row>
    <row r="250" spans="1:9">
      <c r="A250" s="2"/>
      <c r="B250" s="2"/>
      <c r="C250" s="2"/>
      <c r="D250" s="2"/>
      <c r="E250" s="13"/>
      <c r="F250" s="2"/>
      <c r="G250" s="2"/>
      <c r="H250" s="2"/>
      <c r="I250" s="2"/>
    </row>
    <row r="251" spans="1:9">
      <c r="A251" s="2"/>
      <c r="B251" s="2"/>
      <c r="C251" s="2"/>
      <c r="D251" s="2"/>
      <c r="E251" s="13"/>
      <c r="F251" s="2"/>
      <c r="G251" s="2"/>
      <c r="H251" s="2"/>
      <c r="I251" s="2"/>
    </row>
    <row r="252" spans="1:9">
      <c r="A252" s="2"/>
      <c r="B252" s="2"/>
      <c r="C252" s="2"/>
      <c r="D252" s="2"/>
      <c r="E252" s="13"/>
      <c r="F252" s="2"/>
      <c r="G252" s="2"/>
      <c r="H252" s="2"/>
      <c r="I252" s="2"/>
    </row>
    <row r="253" spans="1:9">
      <c r="A253" s="2"/>
      <c r="B253" s="2"/>
      <c r="C253" s="2"/>
      <c r="D253" s="2"/>
      <c r="E253" s="13"/>
      <c r="F253" s="2"/>
      <c r="G253" s="2"/>
      <c r="H253" s="2"/>
      <c r="I253" s="2"/>
    </row>
    <row r="254" spans="1:9">
      <c r="A254" s="2"/>
      <c r="B254" s="2"/>
      <c r="C254" s="2"/>
      <c r="D254" s="2"/>
      <c r="E254" s="13"/>
      <c r="F254" s="2"/>
      <c r="G254" s="2"/>
      <c r="H254" s="2"/>
      <c r="I254" s="2"/>
    </row>
    <row r="255" spans="1:9">
      <c r="A255" s="2"/>
      <c r="B255" s="2"/>
      <c r="C255" s="2"/>
      <c r="D255" s="2"/>
      <c r="E255" s="13"/>
      <c r="F255" s="2"/>
      <c r="G255" s="2"/>
      <c r="H255" s="2"/>
      <c r="I255" s="2"/>
    </row>
    <row r="256" spans="1:9">
      <c r="A256" s="2"/>
      <c r="B256" s="2"/>
      <c r="C256" s="2"/>
      <c r="D256" s="2"/>
      <c r="E256" s="13"/>
      <c r="F256" s="2"/>
      <c r="G256" s="2"/>
      <c r="H256" s="2"/>
      <c r="I256" s="2"/>
    </row>
    <row r="257" spans="1:9">
      <c r="A257" s="2"/>
      <c r="B257" s="2"/>
      <c r="C257" s="2"/>
      <c r="D257" s="2"/>
      <c r="E257" s="13"/>
      <c r="F257" s="2"/>
      <c r="G257" s="2"/>
      <c r="H257" s="2"/>
      <c r="I257" s="2"/>
    </row>
    <row r="258" spans="1:9">
      <c r="A258" s="2"/>
      <c r="B258" s="2"/>
      <c r="C258" s="2"/>
      <c r="D258" s="2"/>
      <c r="E258" s="13"/>
      <c r="F258" s="2"/>
      <c r="G258" s="2"/>
      <c r="H258" s="2"/>
      <c r="I258" s="2"/>
    </row>
    <row r="259" spans="1:9">
      <c r="A259" s="2"/>
      <c r="B259" s="2"/>
      <c r="C259" s="2"/>
      <c r="D259" s="2"/>
      <c r="E259" s="13"/>
      <c r="F259" s="2"/>
      <c r="G259" s="2"/>
      <c r="H259" s="2"/>
      <c r="I259" s="2"/>
    </row>
    <row r="260" spans="1:9">
      <c r="A260" s="2"/>
      <c r="B260" s="2"/>
      <c r="C260" s="2"/>
      <c r="D260" s="2"/>
      <c r="E260" s="13"/>
      <c r="F260" s="2"/>
      <c r="G260" s="2"/>
      <c r="H260" s="2"/>
      <c r="I260" s="2"/>
    </row>
    <row r="261" spans="1:9">
      <c r="A261" s="2"/>
      <c r="B261" s="2"/>
      <c r="C261" s="2"/>
      <c r="D261" s="2"/>
      <c r="E261" s="13"/>
      <c r="F261" s="2"/>
      <c r="G261" s="2"/>
      <c r="H261" s="2"/>
      <c r="I261" s="2"/>
    </row>
    <row r="262" spans="1:9">
      <c r="A262" s="2"/>
      <c r="B262" s="2"/>
      <c r="C262" s="2"/>
      <c r="D262" s="2"/>
      <c r="E262" s="13"/>
      <c r="F262" s="2"/>
      <c r="G262" s="2"/>
      <c r="H262" s="2"/>
      <c r="I262" s="2"/>
    </row>
    <row r="263" spans="1:9">
      <c r="A263" s="2"/>
      <c r="B263" s="2"/>
      <c r="C263" s="2"/>
      <c r="D263" s="2"/>
      <c r="E263" s="13"/>
      <c r="F263" s="2"/>
      <c r="G263" s="2"/>
      <c r="H263" s="2"/>
      <c r="I263" s="2"/>
    </row>
    <row r="264" spans="1:9">
      <c r="A264" s="2"/>
      <c r="B264" s="2"/>
      <c r="C264" s="2"/>
      <c r="D264" s="2"/>
      <c r="E264" s="13"/>
      <c r="F264" s="2"/>
      <c r="G264" s="2"/>
      <c r="H264" s="2"/>
      <c r="I264" s="2"/>
    </row>
    <row r="265" spans="1:9">
      <c r="A265" s="2"/>
      <c r="B265" s="2"/>
      <c r="C265" s="2"/>
      <c r="D265" s="2"/>
      <c r="E265" s="13"/>
      <c r="F265" s="2"/>
      <c r="G265" s="2"/>
      <c r="H265" s="2"/>
      <c r="I265" s="2"/>
    </row>
    <row r="266" spans="1:9">
      <c r="A266" s="2"/>
      <c r="B266" s="2"/>
      <c r="C266" s="2"/>
      <c r="D266" s="2"/>
      <c r="E266" s="13"/>
      <c r="F266" s="2"/>
      <c r="G266" s="2"/>
      <c r="H266" s="2"/>
      <c r="I266" s="2"/>
    </row>
    <row r="267" spans="1:9">
      <c r="A267" s="2"/>
      <c r="B267" s="2"/>
      <c r="C267" s="2"/>
      <c r="D267" s="2"/>
      <c r="E267" s="13"/>
      <c r="F267" s="2"/>
      <c r="G267" s="2"/>
      <c r="H267" s="2"/>
      <c r="I267" s="2"/>
    </row>
    <row r="268" spans="1:9">
      <c r="A268" s="2"/>
      <c r="B268" s="2"/>
      <c r="C268" s="2"/>
      <c r="D268" s="2"/>
      <c r="E268" s="13"/>
      <c r="F268" s="2"/>
      <c r="G268" s="2"/>
      <c r="H268" s="2"/>
      <c r="I268" s="2"/>
    </row>
    <row r="269" spans="1:9">
      <c r="A269" s="2"/>
      <c r="B269" s="2"/>
      <c r="C269" s="2"/>
      <c r="D269" s="2"/>
      <c r="E269" s="13"/>
      <c r="F269" s="2"/>
      <c r="G269" s="2"/>
      <c r="H269" s="2"/>
      <c r="I269" s="2"/>
    </row>
    <row r="270" spans="1:9">
      <c r="A270" s="2"/>
      <c r="B270" s="2"/>
      <c r="C270" s="2"/>
      <c r="D270" s="2"/>
      <c r="E270" s="13"/>
      <c r="F270" s="2"/>
      <c r="G270" s="2"/>
      <c r="H270" s="2"/>
      <c r="I270" s="2"/>
    </row>
    <row r="271" spans="1:9">
      <c r="A271" s="2"/>
      <c r="B271" s="2"/>
      <c r="C271" s="2"/>
      <c r="D271" s="2"/>
      <c r="E271" s="13"/>
      <c r="F271" s="2"/>
      <c r="G271" s="2"/>
      <c r="H271" s="2"/>
      <c r="I271" s="2"/>
    </row>
    <row r="272" spans="1:9">
      <c r="A272" s="2"/>
      <c r="B272" s="2"/>
      <c r="C272" s="2"/>
      <c r="D272" s="2"/>
      <c r="E272" s="13"/>
      <c r="F272" s="2"/>
      <c r="G272" s="2"/>
      <c r="H272" s="2"/>
      <c r="I272" s="2"/>
    </row>
    <row r="273" spans="1:9">
      <c r="A273" s="2"/>
      <c r="B273" s="2"/>
      <c r="C273" s="2"/>
      <c r="D273" s="2"/>
      <c r="E273" s="13"/>
      <c r="F273" s="2"/>
      <c r="G273" s="2"/>
      <c r="H273" s="2"/>
      <c r="I273" s="2"/>
    </row>
    <row r="274" spans="1:9">
      <c r="A274" s="2"/>
      <c r="B274" s="2"/>
      <c r="C274" s="2"/>
      <c r="D274" s="2"/>
      <c r="E274" s="13"/>
      <c r="F274" s="2"/>
      <c r="G274" s="2"/>
      <c r="H274" s="2"/>
      <c r="I274" s="2"/>
    </row>
    <row r="275" spans="1:9">
      <c r="A275" s="2"/>
      <c r="B275" s="2"/>
      <c r="C275" s="2"/>
      <c r="D275" s="2"/>
      <c r="E275" s="13"/>
      <c r="F275" s="2"/>
      <c r="G275" s="2"/>
      <c r="H275" s="2"/>
      <c r="I275" s="2"/>
    </row>
    <row r="276" spans="1:9">
      <c r="A276" s="2"/>
      <c r="B276" s="2"/>
      <c r="C276" s="2"/>
      <c r="D276" s="2"/>
      <c r="E276" s="13"/>
      <c r="F276" s="2"/>
      <c r="G276" s="2"/>
      <c r="H276" s="2"/>
      <c r="I276" s="2"/>
    </row>
    <row r="277" spans="1:9">
      <c r="A277" s="2"/>
      <c r="B277" s="2"/>
      <c r="C277" s="2"/>
      <c r="D277" s="2"/>
      <c r="E277" s="13"/>
      <c r="F277" s="2"/>
      <c r="G277" s="2"/>
      <c r="H277" s="2"/>
      <c r="I277" s="2"/>
    </row>
    <row r="278" spans="1:9">
      <c r="A278" s="2"/>
      <c r="B278" s="2"/>
      <c r="C278" s="2"/>
      <c r="D278" s="2"/>
      <c r="E278" s="13"/>
      <c r="F278" s="2"/>
      <c r="G278" s="2"/>
      <c r="H278" s="2"/>
      <c r="I278" s="2"/>
    </row>
    <row r="279" spans="1:9">
      <c r="A279" s="2"/>
      <c r="B279" s="2"/>
      <c r="C279" s="2"/>
      <c r="D279" s="2"/>
      <c r="E279" s="13"/>
      <c r="F279" s="2"/>
      <c r="G279" s="2"/>
      <c r="H279" s="2"/>
      <c r="I279" s="2"/>
    </row>
    <row r="280" spans="1:9">
      <c r="A280" s="2"/>
      <c r="B280" s="2"/>
      <c r="C280" s="2"/>
      <c r="D280" s="2"/>
      <c r="E280" s="13"/>
      <c r="F280" s="2"/>
      <c r="G280" s="2"/>
      <c r="H280" s="2"/>
      <c r="I280" s="2"/>
    </row>
    <row r="281" spans="1:9">
      <c r="A281" s="2"/>
      <c r="B281" s="2"/>
      <c r="C281" s="2"/>
      <c r="D281" s="2"/>
      <c r="E281" s="13"/>
      <c r="F281" s="2"/>
      <c r="G281" s="2"/>
      <c r="H281" s="2"/>
      <c r="I281" s="2"/>
    </row>
    <row r="282" spans="1:9">
      <c r="A282" s="2"/>
      <c r="B282" s="2"/>
      <c r="C282" s="2"/>
      <c r="D282" s="2"/>
      <c r="E282" s="13"/>
      <c r="F282" s="2"/>
      <c r="G282" s="2"/>
      <c r="H282" s="2"/>
      <c r="I282" s="2"/>
    </row>
    <row r="283" spans="1:9">
      <c r="A283" s="2"/>
      <c r="B283" s="2"/>
      <c r="C283" s="2"/>
      <c r="D283" s="2"/>
      <c r="E283" s="13"/>
      <c r="F283" s="2"/>
      <c r="G283" s="2"/>
      <c r="H283" s="2"/>
      <c r="I283" s="2"/>
    </row>
    <row r="284" spans="1:9">
      <c r="A284" s="2"/>
      <c r="B284" s="2"/>
      <c r="C284" s="2"/>
      <c r="D284" s="2"/>
      <c r="E284" s="13"/>
      <c r="F284" s="2"/>
      <c r="G284" s="2"/>
      <c r="H284" s="2"/>
      <c r="I284" s="2"/>
    </row>
    <row r="285" spans="1:9">
      <c r="A285" s="2"/>
      <c r="B285" s="2"/>
      <c r="C285" s="2"/>
      <c r="D285" s="2"/>
      <c r="E285" s="13"/>
      <c r="F285" s="2"/>
      <c r="G285" s="2"/>
      <c r="H285" s="2"/>
      <c r="I285" s="2"/>
    </row>
    <row r="286" spans="1:9">
      <c r="A286" s="2"/>
      <c r="B286" s="2"/>
      <c r="C286" s="2"/>
      <c r="D286" s="2"/>
      <c r="E286" s="13"/>
      <c r="F286" s="2"/>
      <c r="G286" s="2"/>
      <c r="H286" s="2"/>
      <c r="I286" s="2"/>
    </row>
    <row r="287" spans="1:9">
      <c r="A287" s="2"/>
      <c r="B287" s="2"/>
      <c r="C287" s="2"/>
      <c r="D287" s="2"/>
      <c r="E287" s="13"/>
      <c r="F287" s="2"/>
      <c r="G287" s="2"/>
      <c r="H287" s="2"/>
      <c r="I287" s="2"/>
    </row>
    <row r="288" spans="1:9">
      <c r="A288" s="2"/>
      <c r="B288" s="2"/>
      <c r="C288" s="2"/>
      <c r="D288" s="2"/>
      <c r="E288" s="13"/>
      <c r="F288" s="2"/>
      <c r="G288" s="2"/>
      <c r="H288" s="2"/>
      <c r="I288" s="2"/>
    </row>
    <row r="289" spans="1:9">
      <c r="A289" s="2"/>
      <c r="B289" s="2"/>
      <c r="C289" s="2"/>
      <c r="D289" s="2"/>
      <c r="E289" s="13"/>
      <c r="F289" s="2"/>
      <c r="G289" s="2"/>
      <c r="H289" s="2"/>
      <c r="I289" s="2"/>
    </row>
    <row r="290" spans="1:9">
      <c r="A290" s="2"/>
      <c r="B290" s="2"/>
      <c r="C290" s="2"/>
      <c r="D290" s="2"/>
      <c r="E290" s="13"/>
      <c r="F290" s="2"/>
      <c r="G290" s="2"/>
      <c r="H290" s="2"/>
      <c r="I290" s="2"/>
    </row>
    <row r="291" spans="1:9">
      <c r="A291" s="2"/>
      <c r="B291" s="2"/>
      <c r="C291" s="2"/>
      <c r="D291" s="2"/>
      <c r="E291" s="13"/>
      <c r="F291" s="2"/>
      <c r="G291" s="2"/>
      <c r="H291" s="2"/>
      <c r="I291" s="2"/>
    </row>
    <row r="292" spans="1:9">
      <c r="A292" s="2"/>
      <c r="B292" s="2"/>
      <c r="C292" s="2"/>
      <c r="D292" s="2"/>
      <c r="E292" s="13"/>
      <c r="F292" s="2"/>
      <c r="G292" s="2"/>
      <c r="H292" s="2"/>
      <c r="I292" s="2"/>
    </row>
    <row r="293" spans="1:9">
      <c r="A293" s="2"/>
      <c r="B293" s="2"/>
      <c r="C293" s="2"/>
      <c r="D293" s="2"/>
      <c r="E293" s="13"/>
      <c r="F293" s="2"/>
      <c r="G293" s="2"/>
      <c r="H293" s="2"/>
      <c r="I293" s="2"/>
    </row>
    <row r="294" spans="1:9">
      <c r="A294" s="2"/>
      <c r="B294" s="2"/>
      <c r="C294" s="2"/>
      <c r="D294" s="2"/>
      <c r="E294" s="13"/>
      <c r="F294" s="2"/>
      <c r="G294" s="2"/>
      <c r="H294" s="2"/>
      <c r="I294" s="2"/>
    </row>
    <row r="295" spans="1:9">
      <c r="A295" s="2"/>
      <c r="B295" s="2"/>
      <c r="C295" s="2"/>
      <c r="D295" s="2"/>
      <c r="E295" s="13"/>
      <c r="F295" s="2"/>
      <c r="G295" s="2"/>
      <c r="H295" s="2"/>
      <c r="I295" s="2"/>
    </row>
    <row r="296" spans="1:9">
      <c r="A296" s="2"/>
      <c r="B296" s="2"/>
      <c r="C296" s="2"/>
      <c r="D296" s="2"/>
      <c r="E296" s="13"/>
      <c r="F296" s="2"/>
      <c r="G296" s="2"/>
      <c r="H296" s="2"/>
      <c r="I296" s="2"/>
    </row>
    <row r="297" spans="1:9">
      <c r="A297" s="2"/>
      <c r="B297" s="2"/>
      <c r="C297" s="2"/>
      <c r="D297" s="2"/>
      <c r="E297" s="13"/>
      <c r="F297" s="2"/>
      <c r="G297" s="2"/>
      <c r="H297" s="2"/>
      <c r="I297" s="2"/>
    </row>
    <row r="298" spans="1:9">
      <c r="A298" s="2"/>
      <c r="B298" s="2"/>
      <c r="C298" s="2"/>
      <c r="D298" s="2"/>
      <c r="E298" s="13"/>
      <c r="F298" s="2"/>
      <c r="G298" s="2"/>
      <c r="H298" s="2"/>
      <c r="I298" s="2"/>
    </row>
    <row r="299" spans="1:9">
      <c r="A299" s="2"/>
      <c r="B299" s="2"/>
      <c r="C299" s="2"/>
      <c r="D299" s="2"/>
      <c r="E299" s="13"/>
      <c r="F299" s="2"/>
      <c r="G299" s="2"/>
      <c r="H299" s="2"/>
      <c r="I299" s="2"/>
    </row>
    <row r="300" spans="1:9">
      <c r="A300" s="2"/>
      <c r="B300" s="2"/>
      <c r="C300" s="2"/>
      <c r="D300" s="2"/>
      <c r="E300" s="13"/>
      <c r="F300" s="2"/>
      <c r="G300" s="2"/>
      <c r="H300" s="2"/>
      <c r="I300" s="2"/>
    </row>
    <row r="301" spans="1:9">
      <c r="A301" s="2"/>
      <c r="B301" s="2"/>
      <c r="C301" s="2"/>
      <c r="D301" s="2"/>
      <c r="E301" s="13"/>
      <c r="F301" s="2"/>
      <c r="G301" s="2"/>
      <c r="H301" s="2"/>
      <c r="I301" s="2"/>
    </row>
    <row r="302" spans="1:9">
      <c r="A302" s="2"/>
      <c r="B302" s="2"/>
      <c r="C302" s="2"/>
      <c r="D302" s="2"/>
      <c r="E302" s="13"/>
      <c r="F302" s="2"/>
      <c r="G302" s="2"/>
      <c r="H302" s="2"/>
      <c r="I302" s="2"/>
    </row>
    <row r="303" spans="1:9">
      <c r="A303" s="2"/>
      <c r="B303" s="2"/>
      <c r="C303" s="2"/>
      <c r="D303" s="2"/>
      <c r="E303" s="13"/>
      <c r="F303" s="2"/>
      <c r="G303" s="2"/>
      <c r="H303" s="2"/>
      <c r="I303" s="2"/>
    </row>
    <row r="304" spans="1:9">
      <c r="A304" s="2"/>
      <c r="B304" s="2"/>
      <c r="C304" s="2"/>
      <c r="D304" s="2"/>
      <c r="E304" s="13"/>
      <c r="F304" s="2"/>
      <c r="G304" s="2"/>
      <c r="H304" s="2"/>
      <c r="I304" s="2"/>
    </row>
    <row r="305" spans="1:9">
      <c r="A305" s="2"/>
      <c r="B305" s="2"/>
      <c r="C305" s="2"/>
      <c r="D305" s="2"/>
      <c r="E305" s="13"/>
      <c r="F305" s="2"/>
      <c r="G305" s="2"/>
      <c r="H305" s="2"/>
      <c r="I305" s="2"/>
    </row>
    <row r="306" spans="1:9">
      <c r="A306" s="2"/>
      <c r="B306" s="2"/>
      <c r="C306" s="2"/>
      <c r="D306" s="2"/>
      <c r="E306" s="13"/>
      <c r="F306" s="2"/>
      <c r="G306" s="2"/>
      <c r="H306" s="2"/>
      <c r="I306" s="2"/>
    </row>
    <row r="307" spans="1:9">
      <c r="A307" s="2"/>
      <c r="B307" s="2"/>
      <c r="C307" s="2"/>
      <c r="D307" s="2"/>
      <c r="E307" s="13"/>
      <c r="F307" s="2"/>
      <c r="G307" s="2"/>
      <c r="H307" s="2"/>
      <c r="I307" s="2"/>
    </row>
    <row r="308" spans="1:9">
      <c r="A308" s="2"/>
      <c r="B308" s="2"/>
      <c r="C308" s="2"/>
      <c r="D308" s="2"/>
      <c r="E308" s="13"/>
      <c r="F308" s="2"/>
      <c r="G308" s="2"/>
      <c r="H308" s="2"/>
      <c r="I308" s="2"/>
    </row>
    <row r="309" spans="1:9">
      <c r="A309" s="2"/>
      <c r="B309" s="2"/>
      <c r="C309" s="2"/>
      <c r="D309" s="2"/>
      <c r="E309" s="13"/>
      <c r="F309" s="2"/>
      <c r="G309" s="2"/>
      <c r="H309" s="2"/>
      <c r="I309" s="2"/>
    </row>
    <row r="310" spans="1:9">
      <c r="A310" s="2"/>
      <c r="B310" s="2"/>
      <c r="C310" s="2"/>
      <c r="D310" s="2"/>
      <c r="E310" s="13"/>
      <c r="F310" s="2"/>
      <c r="G310" s="2"/>
      <c r="H310" s="2"/>
      <c r="I310" s="2"/>
    </row>
    <row r="311" spans="1:9">
      <c r="A311" s="2"/>
      <c r="B311" s="2"/>
      <c r="C311" s="2"/>
      <c r="D311" s="2"/>
      <c r="E311" s="13"/>
      <c r="F311" s="2"/>
      <c r="G311" s="2"/>
      <c r="H311" s="2"/>
      <c r="I311" s="2"/>
    </row>
    <row r="312" spans="1:9">
      <c r="A312" s="2"/>
      <c r="B312" s="2"/>
      <c r="C312" s="2"/>
      <c r="D312" s="2"/>
      <c r="E312" s="13"/>
      <c r="F312" s="2"/>
      <c r="G312" s="2"/>
      <c r="H312" s="2"/>
      <c r="I312" s="2"/>
    </row>
    <row r="313" spans="1:9">
      <c r="A313" s="2"/>
      <c r="B313" s="2"/>
      <c r="C313" s="2"/>
      <c r="D313" s="2"/>
      <c r="E313" s="13"/>
      <c r="F313" s="2"/>
      <c r="G313" s="2"/>
      <c r="H313" s="2"/>
      <c r="I313" s="2"/>
    </row>
    <row r="314" spans="1:9">
      <c r="A314" s="2"/>
      <c r="B314" s="2"/>
      <c r="C314" s="2"/>
      <c r="D314" s="2"/>
      <c r="E314" s="13"/>
      <c r="F314" s="2"/>
      <c r="G314" s="2"/>
      <c r="H314" s="2"/>
      <c r="I314" s="2"/>
    </row>
    <row r="315" spans="1:9">
      <c r="A315" s="2"/>
      <c r="B315" s="2"/>
      <c r="C315" s="2"/>
      <c r="D315" s="2"/>
      <c r="E315" s="13"/>
      <c r="F315" s="2"/>
      <c r="G315" s="2"/>
      <c r="H315" s="2"/>
      <c r="I315" s="2"/>
    </row>
    <row r="316" spans="1:9">
      <c r="A316" s="2"/>
      <c r="B316" s="2"/>
      <c r="C316" s="2"/>
      <c r="D316" s="2"/>
      <c r="E316" s="13"/>
      <c r="F316" s="2"/>
      <c r="G316" s="2"/>
      <c r="H316" s="2"/>
      <c r="I316" s="2"/>
    </row>
    <row r="317" spans="1:9">
      <c r="A317" s="2"/>
      <c r="B317" s="2"/>
      <c r="C317" s="2"/>
      <c r="D317" s="2"/>
      <c r="E317" s="13"/>
      <c r="F317" s="2"/>
      <c r="G317" s="2"/>
      <c r="H317" s="2"/>
      <c r="I317" s="2"/>
    </row>
    <row r="318" spans="1:9">
      <c r="A318" s="2"/>
      <c r="B318" s="2"/>
      <c r="C318" s="2"/>
      <c r="D318" s="2"/>
      <c r="E318" s="13"/>
      <c r="F318" s="2"/>
      <c r="G318" s="2"/>
      <c r="H318" s="2"/>
      <c r="I318" s="2"/>
    </row>
    <row r="319" spans="1:9">
      <c r="A319" s="2"/>
      <c r="B319" s="2"/>
      <c r="C319" s="2"/>
      <c r="D319" s="2"/>
      <c r="E319" s="13"/>
      <c r="F319" s="2"/>
      <c r="G319" s="2"/>
      <c r="H319" s="2"/>
      <c r="I319" s="2"/>
    </row>
    <row r="320" spans="1:9">
      <c r="A320" s="2"/>
      <c r="B320" s="2"/>
      <c r="C320" s="2"/>
      <c r="D320" s="2"/>
      <c r="E320" s="13"/>
      <c r="F320" s="2"/>
      <c r="G320" s="2"/>
      <c r="H320" s="2"/>
      <c r="I320" s="2"/>
    </row>
    <row r="321" spans="1:9">
      <c r="A321" s="2"/>
      <c r="B321" s="2"/>
      <c r="C321" s="2"/>
      <c r="D321" s="2"/>
      <c r="E321" s="13"/>
      <c r="F321" s="2"/>
      <c r="G321" s="2"/>
      <c r="H321" s="2"/>
      <c r="I321" s="2"/>
    </row>
    <row r="322" spans="1:9">
      <c r="A322" s="2"/>
      <c r="B322" s="2"/>
      <c r="C322" s="2"/>
      <c r="D322" s="2"/>
      <c r="E322" s="13"/>
      <c r="F322" s="2"/>
      <c r="G322" s="2"/>
      <c r="H322" s="2"/>
      <c r="I322" s="2"/>
    </row>
    <row r="323" spans="1:9">
      <c r="A323" s="2"/>
      <c r="B323" s="2"/>
      <c r="C323" s="2"/>
      <c r="D323" s="2"/>
      <c r="E323" s="13"/>
      <c r="F323" s="2"/>
      <c r="G323" s="2"/>
      <c r="H323" s="2"/>
      <c r="I323" s="2"/>
    </row>
    <row r="324" spans="1:9">
      <c r="A324" s="2"/>
      <c r="B324" s="2"/>
      <c r="C324" s="2"/>
      <c r="D324" s="2"/>
      <c r="E324" s="13"/>
      <c r="F324" s="2"/>
      <c r="G324" s="2"/>
      <c r="H324" s="2"/>
      <c r="I324" s="2"/>
    </row>
    <row r="325" spans="1:9">
      <c r="A325" s="2"/>
      <c r="B325" s="2"/>
      <c r="C325" s="2"/>
      <c r="D325" s="2"/>
      <c r="E325" s="13"/>
      <c r="F325" s="2"/>
      <c r="G325" s="2"/>
      <c r="H325" s="2"/>
      <c r="I325" s="2"/>
    </row>
    <row r="326" spans="1:9">
      <c r="A326" s="2"/>
      <c r="B326" s="2"/>
      <c r="C326" s="2"/>
      <c r="D326" s="2"/>
      <c r="E326" s="13"/>
      <c r="F326" s="2"/>
      <c r="G326" s="2"/>
      <c r="H326" s="2"/>
      <c r="I326" s="2"/>
    </row>
    <row r="327" spans="1:9">
      <c r="A327" s="2"/>
      <c r="B327" s="2"/>
      <c r="C327" s="2"/>
      <c r="D327" s="2"/>
      <c r="E327" s="13"/>
      <c r="F327" s="2"/>
      <c r="G327" s="2"/>
      <c r="H327" s="2"/>
      <c r="I327" s="2"/>
    </row>
    <row r="328" spans="1:9">
      <c r="A328" s="2"/>
      <c r="B328" s="2"/>
      <c r="C328" s="2"/>
      <c r="D328" s="2"/>
      <c r="E328" s="13"/>
      <c r="F328" s="2"/>
      <c r="G328" s="2"/>
      <c r="H328" s="2"/>
      <c r="I328" s="2"/>
    </row>
    <row r="329" spans="1:9">
      <c r="A329" s="2"/>
      <c r="B329" s="2"/>
      <c r="C329" s="2"/>
      <c r="D329" s="2"/>
      <c r="E329" s="13"/>
      <c r="F329" s="2"/>
      <c r="G329" s="2"/>
      <c r="H329" s="2"/>
      <c r="I329" s="2"/>
    </row>
    <row r="330" spans="1:9">
      <c r="A330" s="2"/>
      <c r="B330" s="2"/>
      <c r="C330" s="2"/>
      <c r="D330" s="2"/>
      <c r="E330" s="13"/>
      <c r="F330" s="2"/>
      <c r="G330" s="2"/>
      <c r="H330" s="2"/>
      <c r="I330" s="2"/>
    </row>
    <row r="331" spans="1:9">
      <c r="A331" s="2"/>
      <c r="B331" s="2"/>
      <c r="C331" s="2"/>
      <c r="D331" s="2"/>
      <c r="E331" s="13"/>
      <c r="F331" s="2"/>
      <c r="G331" s="2"/>
      <c r="H331" s="2"/>
      <c r="I331" s="2"/>
    </row>
    <row r="332" spans="1:9">
      <c r="A332" s="2"/>
      <c r="B332" s="2"/>
      <c r="C332" s="2"/>
      <c r="D332" s="2"/>
      <c r="E332" s="13"/>
      <c r="F332" s="2"/>
      <c r="G332" s="2"/>
      <c r="H332" s="2"/>
      <c r="I332" s="2"/>
    </row>
    <row r="333" spans="1:9">
      <c r="A333" s="2"/>
      <c r="B333" s="2"/>
      <c r="C333" s="2"/>
      <c r="D333" s="2"/>
      <c r="E333" s="13"/>
      <c r="F333" s="2"/>
      <c r="G333" s="2"/>
      <c r="H333" s="2"/>
      <c r="I333" s="2"/>
    </row>
    <row r="334" spans="1:9">
      <c r="A334" s="2"/>
      <c r="B334" s="2"/>
      <c r="C334" s="2"/>
      <c r="D334" s="2"/>
      <c r="E334" s="13"/>
      <c r="F334" s="2"/>
      <c r="G334" s="2"/>
      <c r="H334" s="2"/>
      <c r="I334" s="2"/>
    </row>
    <row r="335" spans="1:9">
      <c r="A335" s="2"/>
      <c r="B335" s="2"/>
      <c r="C335" s="2"/>
      <c r="D335" s="2"/>
      <c r="E335" s="13"/>
      <c r="F335" s="2"/>
      <c r="G335" s="2"/>
      <c r="H335" s="2"/>
      <c r="I335" s="2"/>
    </row>
    <row r="336" spans="1:9">
      <c r="A336" s="2"/>
      <c r="B336" s="2"/>
      <c r="C336" s="2"/>
      <c r="D336" s="2"/>
      <c r="E336" s="13"/>
      <c r="F336" s="2"/>
      <c r="G336" s="2"/>
      <c r="H336" s="2"/>
      <c r="I336" s="2"/>
    </row>
    <row r="337" spans="1:9">
      <c r="A337" s="2"/>
      <c r="B337" s="2"/>
      <c r="C337" s="2"/>
      <c r="D337" s="2"/>
      <c r="E337" s="13"/>
      <c r="F337" s="2"/>
      <c r="G337" s="2"/>
      <c r="H337" s="2"/>
      <c r="I337" s="2"/>
    </row>
    <row r="338" spans="1:9">
      <c r="A338" s="2"/>
      <c r="B338" s="2"/>
      <c r="C338" s="2"/>
      <c r="D338" s="2"/>
      <c r="E338" s="13"/>
      <c r="F338" s="2"/>
      <c r="G338" s="2"/>
      <c r="H338" s="2"/>
      <c r="I338" s="2"/>
    </row>
    <row r="339" spans="1:9">
      <c r="A339" s="2"/>
      <c r="B339" s="2"/>
      <c r="C339" s="2"/>
      <c r="D339" s="2"/>
      <c r="E339" s="13"/>
      <c r="F339" s="2"/>
      <c r="G339" s="2"/>
      <c r="H339" s="2"/>
      <c r="I339" s="2"/>
    </row>
    <row r="340" spans="1:9">
      <c r="A340" s="2"/>
      <c r="B340" s="2"/>
      <c r="C340" s="2"/>
      <c r="D340" s="2"/>
      <c r="E340" s="13"/>
      <c r="F340" s="2"/>
      <c r="G340" s="2"/>
      <c r="H340" s="2"/>
      <c r="I340" s="2"/>
    </row>
    <row r="341" spans="1:9">
      <c r="A341" s="2"/>
      <c r="B341" s="2"/>
      <c r="C341" s="2"/>
      <c r="D341" s="2"/>
      <c r="E341" s="13"/>
      <c r="F341" s="2"/>
      <c r="G341" s="2"/>
      <c r="H341" s="2"/>
      <c r="I341" s="2"/>
    </row>
    <row r="342" spans="1:9">
      <c r="A342" s="2"/>
      <c r="B342" s="2"/>
      <c r="C342" s="2"/>
      <c r="D342" s="2"/>
      <c r="E342" s="13"/>
      <c r="F342" s="2"/>
      <c r="G342" s="2"/>
      <c r="H342" s="2"/>
      <c r="I342" s="2"/>
    </row>
    <row r="343" spans="1:9">
      <c r="A343" s="2"/>
      <c r="B343" s="2"/>
      <c r="C343" s="2"/>
      <c r="D343" s="2"/>
      <c r="E343" s="13"/>
      <c r="F343" s="2"/>
      <c r="G343" s="2"/>
      <c r="H343" s="2"/>
      <c r="I343" s="2"/>
    </row>
    <row r="344" spans="1:9">
      <c r="A344" s="2"/>
      <c r="B344" s="2"/>
      <c r="C344" s="2"/>
      <c r="D344" s="2"/>
      <c r="E344" s="13"/>
      <c r="F344" s="2"/>
      <c r="G344" s="2"/>
      <c r="H344" s="2"/>
      <c r="I344" s="2"/>
    </row>
    <row r="345" spans="1:9">
      <c r="A345" s="2"/>
      <c r="B345" s="2"/>
      <c r="C345" s="2"/>
      <c r="D345" s="2"/>
      <c r="E345" s="13"/>
      <c r="F345" s="2"/>
      <c r="G345" s="2"/>
      <c r="H345" s="2"/>
      <c r="I345" s="2"/>
    </row>
    <row r="346" spans="1:9">
      <c r="A346" s="2"/>
      <c r="B346" s="2"/>
      <c r="C346" s="2"/>
      <c r="D346" s="2"/>
      <c r="E346" s="13"/>
      <c r="F346" s="2"/>
      <c r="G346" s="2"/>
      <c r="H346" s="2"/>
      <c r="I346" s="2"/>
    </row>
    <row r="347" spans="1:9">
      <c r="A347" s="2"/>
      <c r="B347" s="2"/>
      <c r="C347" s="2"/>
      <c r="D347" s="2"/>
      <c r="E347" s="13"/>
      <c r="F347" s="2"/>
      <c r="G347" s="2"/>
      <c r="H347" s="2"/>
      <c r="I347" s="2"/>
    </row>
    <row r="348" spans="1:9">
      <c r="A348" s="2"/>
      <c r="B348" s="2"/>
      <c r="C348" s="2"/>
      <c r="D348" s="2"/>
      <c r="E348" s="13"/>
      <c r="F348" s="2"/>
      <c r="G348" s="2"/>
      <c r="H348" s="2"/>
      <c r="I348" s="2"/>
    </row>
    <row r="349" spans="1:9">
      <c r="A349" s="2"/>
      <c r="B349" s="2"/>
      <c r="C349" s="2"/>
      <c r="D349" s="2"/>
      <c r="E349" s="13"/>
      <c r="F349" s="2"/>
      <c r="G349" s="2"/>
      <c r="H349" s="2"/>
      <c r="I349" s="2"/>
    </row>
    <row r="350" spans="1:9">
      <c r="A350" s="2"/>
      <c r="B350" s="2"/>
      <c r="C350" s="2"/>
      <c r="D350" s="2"/>
      <c r="E350" s="13"/>
      <c r="F350" s="2"/>
      <c r="G350" s="2"/>
      <c r="H350" s="2"/>
      <c r="I350" s="2"/>
    </row>
    <row r="351" spans="1:9">
      <c r="A351" s="2"/>
      <c r="B351" s="2"/>
      <c r="C351" s="2"/>
      <c r="D351" s="2"/>
      <c r="E351" s="13"/>
      <c r="F351" s="2"/>
      <c r="G351" s="2"/>
      <c r="H351" s="2"/>
      <c r="I351" s="2"/>
    </row>
    <row r="352" spans="1:9">
      <c r="A352" s="2"/>
      <c r="B352" s="2"/>
      <c r="C352" s="2"/>
      <c r="D352" s="2"/>
      <c r="E352" s="13"/>
      <c r="F352" s="2"/>
      <c r="G352" s="2"/>
      <c r="H352" s="2"/>
      <c r="I352" s="2"/>
    </row>
    <row r="353" spans="1:9">
      <c r="A353" s="2"/>
      <c r="B353" s="2"/>
      <c r="C353" s="2"/>
      <c r="D353" s="2"/>
      <c r="E353" s="13"/>
      <c r="F353" s="2"/>
      <c r="G353" s="2"/>
      <c r="H353" s="2"/>
      <c r="I353" s="2"/>
    </row>
    <row r="354" spans="1:9">
      <c r="A354" s="2"/>
      <c r="B354" s="2"/>
      <c r="C354" s="2"/>
      <c r="D354" s="2"/>
      <c r="E354" s="13"/>
      <c r="F354" s="2"/>
      <c r="G354" s="2"/>
      <c r="H354" s="2"/>
      <c r="I354" s="2"/>
    </row>
    <row r="355" spans="1:9">
      <c r="A355" s="2"/>
      <c r="B355" s="2"/>
      <c r="C355" s="2"/>
      <c r="D355" s="2"/>
      <c r="E355" s="13"/>
      <c r="F355" s="2"/>
      <c r="G355" s="2"/>
      <c r="H355" s="2"/>
      <c r="I355" s="2"/>
    </row>
    <row r="356" spans="1:9">
      <c r="A356" s="2"/>
      <c r="B356" s="2"/>
      <c r="C356" s="2"/>
      <c r="D356" s="2"/>
      <c r="E356" s="13"/>
      <c r="F356" s="2"/>
      <c r="G356" s="2"/>
      <c r="H356" s="2"/>
      <c r="I356" s="2"/>
    </row>
    <row r="357" spans="1:9">
      <c r="A357" s="2"/>
      <c r="B357" s="2"/>
      <c r="C357" s="2"/>
      <c r="D357" s="2"/>
      <c r="E357" s="13"/>
      <c r="F357" s="2"/>
      <c r="G357" s="2"/>
      <c r="H357" s="2"/>
      <c r="I357" s="2"/>
    </row>
    <row r="358" spans="1:9">
      <c r="A358" s="2"/>
      <c r="B358" s="2"/>
      <c r="C358" s="2"/>
      <c r="D358" s="2"/>
      <c r="E358" s="13"/>
      <c r="F358" s="2"/>
      <c r="G358" s="2"/>
      <c r="H358" s="2"/>
      <c r="I358" s="2"/>
    </row>
    <row r="359" spans="1:9">
      <c r="A359" s="2"/>
      <c r="B359" s="2"/>
      <c r="C359" s="2"/>
      <c r="D359" s="2"/>
      <c r="E359" s="13"/>
      <c r="F359" s="2"/>
      <c r="G359" s="2"/>
      <c r="H359" s="2"/>
      <c r="I359" s="2"/>
    </row>
    <row r="360" spans="1:9">
      <c r="A360" s="2"/>
      <c r="B360" s="2"/>
      <c r="C360" s="2"/>
      <c r="D360" s="2"/>
      <c r="E360" s="13"/>
      <c r="F360" s="2"/>
      <c r="G360" s="2"/>
      <c r="H360" s="2"/>
      <c r="I360" s="2"/>
    </row>
    <row r="361" spans="1:9">
      <c r="A361" s="2"/>
      <c r="B361" s="2"/>
      <c r="C361" s="2"/>
      <c r="D361" s="2"/>
      <c r="E361" s="13"/>
      <c r="F361" s="2"/>
      <c r="G361" s="2"/>
      <c r="H361" s="2"/>
      <c r="I361" s="2"/>
    </row>
    <row r="362" spans="1:9">
      <c r="A362" s="2"/>
      <c r="B362" s="2"/>
      <c r="C362" s="2"/>
      <c r="D362" s="2"/>
      <c r="E362" s="13"/>
      <c r="F362" s="2"/>
      <c r="G362" s="2"/>
      <c r="H362" s="2"/>
      <c r="I362" s="2"/>
    </row>
    <row r="363" spans="1:9">
      <c r="A363" s="2"/>
      <c r="B363" s="2"/>
      <c r="C363" s="2"/>
      <c r="D363" s="2"/>
      <c r="E363" s="13"/>
      <c r="F363" s="2"/>
      <c r="G363" s="2"/>
      <c r="H363" s="2"/>
      <c r="I363" s="2"/>
    </row>
    <row r="364" spans="1:9">
      <c r="A364" s="2"/>
      <c r="B364" s="2"/>
      <c r="C364" s="2"/>
      <c r="D364" s="2"/>
      <c r="E364" s="13"/>
      <c r="F364" s="2"/>
      <c r="G364" s="2"/>
      <c r="H364" s="2"/>
      <c r="I364" s="2"/>
    </row>
    <row r="365" spans="1:9">
      <c r="A365" s="2"/>
      <c r="B365" s="2"/>
      <c r="C365" s="2"/>
      <c r="D365" s="2"/>
      <c r="E365" s="13"/>
      <c r="F365" s="2"/>
      <c r="G365" s="2"/>
      <c r="H365" s="2"/>
      <c r="I365" s="2"/>
    </row>
    <row r="366" spans="1:9">
      <c r="A366" s="2"/>
      <c r="B366" s="2"/>
      <c r="C366" s="2"/>
      <c r="D366" s="2"/>
      <c r="E366" s="13"/>
      <c r="F366" s="2"/>
      <c r="G366" s="2"/>
      <c r="H366" s="2"/>
      <c r="I366" s="2"/>
    </row>
    <row r="367" spans="1:9">
      <c r="A367" s="2"/>
      <c r="B367" s="2"/>
      <c r="C367" s="2"/>
      <c r="D367" s="2"/>
      <c r="E367" s="13"/>
      <c r="F367" s="2"/>
      <c r="G367" s="2"/>
      <c r="H367" s="2"/>
      <c r="I367" s="2"/>
    </row>
    <row r="368" spans="1:9">
      <c r="A368" s="2"/>
      <c r="B368" s="2"/>
      <c r="C368" s="2"/>
      <c r="D368" s="2"/>
      <c r="E368" s="13"/>
      <c r="F368" s="2"/>
      <c r="G368" s="2"/>
      <c r="H368" s="2"/>
      <c r="I368" s="2"/>
    </row>
    <row r="369" spans="1:9">
      <c r="A369" s="2"/>
      <c r="B369" s="2"/>
      <c r="C369" s="2"/>
      <c r="D369" s="2"/>
      <c r="E369" s="13"/>
      <c r="F369" s="2"/>
      <c r="G369" s="2"/>
      <c r="H369" s="2"/>
      <c r="I369" s="2"/>
    </row>
    <row r="370" spans="1:9">
      <c r="A370" s="2"/>
      <c r="B370" s="2"/>
      <c r="C370" s="2"/>
      <c r="D370" s="2"/>
      <c r="E370" s="13"/>
      <c r="F370" s="2"/>
      <c r="G370" s="2"/>
      <c r="H370" s="2"/>
      <c r="I370" s="2"/>
    </row>
    <row r="371" spans="1:9">
      <c r="A371" s="2"/>
      <c r="B371" s="2"/>
      <c r="C371" s="2"/>
      <c r="D371" s="2"/>
      <c r="E371" s="13"/>
      <c r="F371" s="2"/>
      <c r="G371" s="2"/>
      <c r="H371" s="2"/>
      <c r="I371" s="2"/>
    </row>
    <row r="372" spans="1:9">
      <c r="A372" s="2"/>
      <c r="B372" s="2"/>
      <c r="C372" s="2"/>
      <c r="D372" s="2"/>
      <c r="E372" s="13"/>
      <c r="F372" s="2"/>
      <c r="G372" s="2"/>
      <c r="H372" s="2"/>
      <c r="I372" s="2"/>
    </row>
    <row r="373" spans="1:9">
      <c r="A373" s="2"/>
      <c r="B373" s="2"/>
      <c r="C373" s="2"/>
      <c r="D373" s="2"/>
      <c r="E373" s="13"/>
      <c r="F373" s="2"/>
      <c r="G373" s="2"/>
      <c r="H373" s="2"/>
      <c r="I373" s="2"/>
    </row>
    <row r="374" spans="1:9">
      <c r="A374" s="2"/>
      <c r="B374" s="2"/>
      <c r="C374" s="2"/>
      <c r="D374" s="2"/>
      <c r="E374" s="13"/>
      <c r="F374" s="2"/>
      <c r="G374" s="2"/>
      <c r="H374" s="2"/>
      <c r="I374" s="2"/>
    </row>
    <row r="375" spans="1:9">
      <c r="A375" s="2"/>
      <c r="B375" s="2"/>
      <c r="C375" s="2"/>
      <c r="D375" s="2"/>
      <c r="E375" s="13"/>
      <c r="F375" s="2"/>
      <c r="G375" s="2"/>
      <c r="H375" s="2"/>
      <c r="I375" s="2"/>
    </row>
    <row r="376" spans="1:9">
      <c r="A376" s="2"/>
      <c r="B376" s="2"/>
      <c r="C376" s="2"/>
      <c r="D376" s="2"/>
      <c r="E376" s="13"/>
      <c r="F376" s="2"/>
      <c r="G376" s="2"/>
      <c r="H376" s="2"/>
      <c r="I376" s="2"/>
    </row>
    <row r="377" spans="1:9">
      <c r="A377" s="2"/>
      <c r="B377" s="2"/>
      <c r="C377" s="2"/>
      <c r="D377" s="2"/>
      <c r="E377" s="13"/>
      <c r="F377" s="2"/>
      <c r="G377" s="2"/>
      <c r="H377" s="2"/>
      <c r="I377" s="2"/>
    </row>
    <row r="378" spans="1:9">
      <c r="A378" s="2"/>
      <c r="B378" s="2"/>
      <c r="C378" s="2"/>
      <c r="D378" s="2"/>
      <c r="E378" s="13"/>
      <c r="F378" s="2"/>
      <c r="G378" s="2"/>
      <c r="H378" s="2"/>
      <c r="I378" s="2"/>
    </row>
    <row r="379" spans="1:9">
      <c r="A379" s="2"/>
      <c r="B379" s="2"/>
      <c r="C379" s="2"/>
      <c r="D379" s="2"/>
      <c r="E379" s="13"/>
      <c r="F379" s="2"/>
      <c r="G379" s="2"/>
      <c r="H379" s="2"/>
      <c r="I379" s="2"/>
    </row>
    <row r="380" spans="1:9">
      <c r="A380" s="2"/>
      <c r="B380" s="2"/>
      <c r="C380" s="2"/>
      <c r="D380" s="2"/>
      <c r="E380" s="13"/>
      <c r="F380" s="2"/>
      <c r="G380" s="2"/>
      <c r="H380" s="2"/>
      <c r="I380" s="2"/>
    </row>
    <row r="381" spans="1:9">
      <c r="A381" s="2"/>
      <c r="B381" s="2"/>
      <c r="C381" s="2"/>
      <c r="D381" s="2"/>
      <c r="E381" s="13"/>
      <c r="F381" s="2"/>
      <c r="G381" s="2"/>
      <c r="H381" s="2"/>
      <c r="I381" s="2"/>
    </row>
    <row r="382" spans="1:9">
      <c r="A382" s="2"/>
      <c r="B382" s="2"/>
      <c r="C382" s="2"/>
      <c r="D382" s="2"/>
      <c r="E382" s="13"/>
      <c r="F382" s="2"/>
      <c r="G382" s="2"/>
      <c r="H382" s="2"/>
      <c r="I382" s="2"/>
    </row>
    <row r="383" spans="1:9">
      <c r="A383" s="2"/>
      <c r="B383" s="2"/>
      <c r="C383" s="2"/>
      <c r="D383" s="2"/>
      <c r="E383" s="13"/>
      <c r="F383" s="2"/>
      <c r="G383" s="2"/>
      <c r="H383" s="2"/>
      <c r="I383" s="2"/>
    </row>
    <row r="384" spans="1:9">
      <c r="A384" s="2"/>
      <c r="B384" s="2"/>
      <c r="C384" s="2"/>
      <c r="D384" s="2"/>
      <c r="E384" s="13"/>
      <c r="F384" s="2"/>
      <c r="G384" s="2"/>
      <c r="H384" s="2"/>
      <c r="I384" s="2"/>
    </row>
    <row r="385" spans="1:9">
      <c r="A385" s="2"/>
      <c r="B385" s="2"/>
      <c r="C385" s="2"/>
      <c r="D385" s="2"/>
      <c r="E385" s="13"/>
      <c r="F385" s="2"/>
      <c r="G385" s="2"/>
      <c r="H385" s="2"/>
      <c r="I385" s="2"/>
    </row>
    <row r="386" spans="1:9">
      <c r="A386" s="2"/>
      <c r="B386" s="2"/>
      <c r="C386" s="2"/>
      <c r="D386" s="2"/>
      <c r="E386" s="13"/>
      <c r="F386" s="2"/>
      <c r="G386" s="2"/>
      <c r="H386" s="2"/>
      <c r="I386" s="2"/>
    </row>
    <row r="387" spans="1:9">
      <c r="A387" s="2"/>
      <c r="B387" s="2"/>
      <c r="C387" s="2"/>
      <c r="D387" s="2"/>
      <c r="E387" s="13"/>
      <c r="F387" s="2"/>
      <c r="G387" s="2"/>
      <c r="H387" s="2"/>
      <c r="I387" s="2"/>
    </row>
    <row r="388" spans="1:9">
      <c r="A388" s="2"/>
      <c r="B388" s="2"/>
      <c r="C388" s="2"/>
      <c r="D388" s="2"/>
      <c r="E388" s="13"/>
      <c r="F388" s="2"/>
      <c r="G388" s="2"/>
      <c r="H388" s="2"/>
      <c r="I388" s="2"/>
    </row>
    <row r="389" spans="1:9">
      <c r="A389" s="2"/>
      <c r="B389" s="2"/>
      <c r="C389" s="2"/>
      <c r="D389" s="2"/>
      <c r="E389" s="13"/>
      <c r="F389" s="2"/>
      <c r="G389" s="2"/>
      <c r="H389" s="2"/>
      <c r="I389" s="2"/>
    </row>
    <row r="390" spans="1:9">
      <c r="A390" s="2"/>
      <c r="B390" s="2"/>
      <c r="C390" s="2"/>
      <c r="D390" s="2"/>
      <c r="E390" s="13"/>
      <c r="F390" s="2"/>
      <c r="G390" s="2"/>
      <c r="H390" s="2"/>
      <c r="I390" s="2"/>
    </row>
    <row r="391" spans="1:9">
      <c r="A391" s="2"/>
      <c r="B391" s="2"/>
      <c r="C391" s="2"/>
      <c r="D391" s="2"/>
      <c r="E391" s="13"/>
      <c r="F391" s="2"/>
      <c r="G391" s="2"/>
      <c r="H391" s="2"/>
      <c r="I391" s="2"/>
    </row>
    <row r="392" spans="1:9">
      <c r="A392" s="2"/>
      <c r="B392" s="2"/>
      <c r="C392" s="2"/>
      <c r="D392" s="2"/>
      <c r="E392" s="13"/>
      <c r="F392" s="2"/>
      <c r="G392" s="2"/>
      <c r="H392" s="2"/>
      <c r="I392" s="2"/>
    </row>
    <row r="393" spans="1:9">
      <c r="A393" s="2"/>
      <c r="B393" s="2"/>
      <c r="C393" s="2"/>
      <c r="D393" s="2"/>
      <c r="E393" s="13"/>
      <c r="F393" s="2"/>
      <c r="G393" s="2"/>
      <c r="H393" s="2"/>
      <c r="I393" s="2"/>
    </row>
    <row r="394" spans="1:9">
      <c r="A394" s="2"/>
      <c r="B394" s="2"/>
      <c r="C394" s="2"/>
      <c r="D394" s="2"/>
      <c r="E394" s="13"/>
      <c r="F394" s="2"/>
      <c r="G394" s="2"/>
      <c r="H394" s="2"/>
      <c r="I394" s="2"/>
    </row>
    <row r="395" spans="1:9">
      <c r="A395" s="2"/>
      <c r="B395" s="2"/>
      <c r="C395" s="2"/>
      <c r="D395" s="2"/>
      <c r="E395" s="13"/>
      <c r="F395" s="2"/>
      <c r="G395" s="2"/>
      <c r="H395" s="2"/>
      <c r="I395" s="2"/>
    </row>
    <row r="396" spans="1:9">
      <c r="A396" s="2"/>
      <c r="B396" s="2"/>
      <c r="C396" s="2"/>
      <c r="D396" s="2"/>
      <c r="E396" s="13"/>
      <c r="F396" s="2"/>
      <c r="G396" s="2"/>
      <c r="H396" s="2"/>
      <c r="I396" s="2"/>
    </row>
    <row r="397" spans="1:9">
      <c r="A397" s="2"/>
      <c r="B397" s="2"/>
      <c r="C397" s="2"/>
      <c r="D397" s="2"/>
      <c r="E397" s="13"/>
      <c r="F397" s="2"/>
      <c r="G397" s="2"/>
      <c r="H397" s="2"/>
      <c r="I397" s="2"/>
    </row>
    <row r="398" spans="1:9">
      <c r="A398" s="2"/>
      <c r="B398" s="2"/>
      <c r="C398" s="2"/>
      <c r="D398" s="2"/>
      <c r="E398" s="13"/>
      <c r="F398" s="2"/>
      <c r="G398" s="2"/>
      <c r="H398" s="2"/>
      <c r="I398" s="2"/>
    </row>
    <row r="399" spans="1:9">
      <c r="A399" s="2"/>
      <c r="B399" s="2"/>
      <c r="C399" s="2"/>
      <c r="D399" s="2"/>
      <c r="E399" s="13"/>
      <c r="F399" s="2"/>
      <c r="G399" s="2"/>
      <c r="H399" s="2"/>
      <c r="I399" s="2"/>
    </row>
  </sheetData>
  <dataValidations count="3">
    <dataValidation type="list" allowBlank="1" sqref="D2:D399">
      <formula1>"买入,持续追踪,卖出"</formula1>
    </dataValidation>
    <dataValidation type="date" operator="between" allowBlank="1" sqref="E2:E399">
      <formula1>DATE(2000,1,1)</formula1>
      <formula2>DATE(2100,12,31)</formula2>
    </dataValidation>
    <dataValidation type="list" allowBlank="1" showErrorMessage="1" errorTitle="技术指标无效" error="请从“技术指标”工作表维护的列表中选择" sqref="F2:H399">
      <formula1>技术指标列表</formula1>
    </dataValidation>
  </dataValidations>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pane ySplit="1" topLeftCell="A5" activePane="bottomLeft" state="frozen"/>
      <selection/>
      <selection pane="bottomLeft" activeCell="C27" sqref="C27"/>
    </sheetView>
  </sheetViews>
  <sheetFormatPr defaultColWidth="9" defaultRowHeight="16.8" outlineLevelCol="2"/>
  <cols>
    <col min="1" max="1" width="28" customWidth="1"/>
    <col min="2" max="2" width="20" customWidth="1"/>
    <col min="3" max="3" width="72" customWidth="1"/>
  </cols>
  <sheetData>
    <row r="1" ht="17" spans="1:3">
      <c r="A1" s="3" t="s">
        <v>185</v>
      </c>
      <c r="B1" s="3" t="s">
        <v>186</v>
      </c>
      <c r="C1" s="3" t="s">
        <v>187</v>
      </c>
    </row>
    <row r="2" ht="17" spans="1:3">
      <c r="A2" s="4" t="s">
        <v>188</v>
      </c>
      <c r="B2" s="8">
        <f>COUNT(单次交易!M2:M98)</f>
        <v>96</v>
      </c>
      <c r="C2" s="4" t="s">
        <v>189</v>
      </c>
    </row>
    <row r="3" ht="17" spans="1:3">
      <c r="A3" s="4" t="s">
        <v>190</v>
      </c>
      <c r="B3" s="8">
        <f>COUNTIF(单次交易!X2:X98,"&gt;0")</f>
        <v>42</v>
      </c>
      <c r="C3" s="4" t="s">
        <v>191</v>
      </c>
    </row>
    <row r="4" ht="17" spans="1:3">
      <c r="A4" s="4" t="s">
        <v>192</v>
      </c>
      <c r="B4" s="8">
        <f>COUNTIF(单次交易!X2:X98,"&lt;0")</f>
        <v>54</v>
      </c>
      <c r="C4" s="4" t="s">
        <v>193</v>
      </c>
    </row>
    <row r="5" ht="17" spans="1:3">
      <c r="A5" s="4" t="s">
        <v>194</v>
      </c>
      <c r="B5" s="8">
        <f>COUNTIFS(单次交易!M2:M98,"&lt;&gt;",单次交易!X2:X98,"=0")</f>
        <v>0</v>
      </c>
      <c r="C5" s="4" t="s">
        <v>195</v>
      </c>
    </row>
    <row r="6" ht="17" spans="1:3">
      <c r="A6" s="4" t="s">
        <v>196</v>
      </c>
      <c r="B6" s="7">
        <f>IFERROR(B3/(B3+B4),"")</f>
        <v>0.4375</v>
      </c>
      <c r="C6" s="4" t="s">
        <v>197</v>
      </c>
    </row>
    <row r="7" ht="17" spans="1:3">
      <c r="A7" s="4" t="s">
        <v>198</v>
      </c>
      <c r="B7" s="7">
        <f>IFERROR(B4/(B3+B4),"")</f>
        <v>0.5625</v>
      </c>
      <c r="C7" s="4" t="s">
        <v>199</v>
      </c>
    </row>
    <row r="8" ht="17" spans="1:3">
      <c r="A8" s="4" t="s">
        <v>200</v>
      </c>
      <c r="B8" s="7">
        <f>IFERROR(AVERAGEIF(单次交易!X2:X98,"&gt;0",单次交易!AE2:AE98),"")</f>
        <v>0.072548626922961</v>
      </c>
      <c r="C8" s="4" t="s">
        <v>201</v>
      </c>
    </row>
    <row r="9" ht="17" spans="1:3">
      <c r="A9" s="4" t="s">
        <v>202</v>
      </c>
      <c r="B9" s="7">
        <f>IFERROR(-AVERAGEIF(单次交易!X2:X98,"&lt;0",单次交易!AE2:AE98),"")</f>
        <v>0.0351041725238816</v>
      </c>
      <c r="C9" s="4" t="s">
        <v>203</v>
      </c>
    </row>
    <row r="10" ht="17" spans="1:3">
      <c r="A10" s="4" t="s">
        <v>204</v>
      </c>
      <c r="B10" s="8" t="e">
        <f>SUMIF(单次交易!X2:X98,"&gt;0",单次交易!AA2:AA98)</f>
        <v>#REF!</v>
      </c>
      <c r="C10" s="4" t="s">
        <v>205</v>
      </c>
    </row>
    <row r="11" ht="17" spans="1:3">
      <c r="A11" s="4" t="s">
        <v>206</v>
      </c>
      <c r="B11" s="8">
        <f>SUMIF(单次交易!X2:X98,"&lt;0",单次交易!AA2:AA98)</f>
        <v>1811</v>
      </c>
      <c r="C11" s="4" t="s">
        <v>205</v>
      </c>
    </row>
    <row r="12" ht="17" spans="1:3">
      <c r="A12" s="4" t="s">
        <v>207</v>
      </c>
      <c r="B12" s="5">
        <f>IFERROR(SUMPRODUCT(单次交易!AO2:AO98,单次交易!AP2:AP98)/COUNT(单次交易!AP2:AP98),"")</f>
        <v>101087.53125</v>
      </c>
      <c r="C12" s="4" t="s">
        <v>208</v>
      </c>
    </row>
    <row r="13" ht="17" spans="1:3">
      <c r="A13" s="4" t="s">
        <v>209</v>
      </c>
      <c r="B13" s="7">
        <f>IF(OR(B6="",B7="",B8="",B9=""),"",B6*B8-B7*B9)</f>
        <v>0.011993927234112</v>
      </c>
      <c r="C13" s="4" t="s">
        <v>210</v>
      </c>
    </row>
    <row r="14" ht="17" spans="1:3">
      <c r="A14" s="4" t="s">
        <v>211</v>
      </c>
      <c r="B14" s="7">
        <f>IF(COUNT(单次交易!AE2:AE98)=0,"",EXP(SUMPRODUCT(IFERROR(LN(1+单次交易!AE2:AE98),0)))-1)</f>
        <v>1.35733653640849</v>
      </c>
      <c r="C14" s="4" t="s">
        <v>212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showGridLines="0" workbookViewId="0">
      <pane ySplit="1" topLeftCell="A2" activePane="bottomLeft" state="frozen"/>
      <selection/>
      <selection pane="bottomLeft" activeCell="A34" sqref="A34"/>
    </sheetView>
  </sheetViews>
  <sheetFormatPr defaultColWidth="9" defaultRowHeight="16.8" outlineLevelCol="2"/>
  <cols>
    <col min="1" max="1" width="28" customWidth="1"/>
    <col min="2" max="2" width="20" customWidth="1"/>
    <col min="3" max="3" width="72" customWidth="1"/>
  </cols>
  <sheetData>
    <row r="1" ht="17" spans="1:3">
      <c r="A1" s="9" t="s">
        <v>185</v>
      </c>
      <c r="B1" s="9" t="s">
        <v>213</v>
      </c>
      <c r="C1" s="9" t="s">
        <v>214</v>
      </c>
    </row>
    <row r="2" ht="17" spans="1:3">
      <c r="A2" s="4" t="s">
        <v>215</v>
      </c>
      <c r="B2" s="10">
        <v>100000</v>
      </c>
      <c r="C2" s="4" t="s">
        <v>216</v>
      </c>
    </row>
    <row r="3" ht="17" spans="1:3">
      <c r="A3" s="4" t="s">
        <v>217</v>
      </c>
      <c r="B3" s="5">
        <f>IF(B2="","",B2+SUM(单次交易!X2:X98))</f>
        <v>235665</v>
      </c>
      <c r="C3" s="4" t="s">
        <v>218</v>
      </c>
    </row>
    <row r="4" ht="17" spans="1:3">
      <c r="A4" s="4" t="s">
        <v>219</v>
      </c>
      <c r="B4" s="6">
        <v>0.02</v>
      </c>
      <c r="C4" s="4" t="s">
        <v>220</v>
      </c>
    </row>
    <row r="5" ht="17" spans="1:3">
      <c r="A5" s="4" t="s">
        <v>221</v>
      </c>
      <c r="B5" s="5">
        <f>IF(B3="","",B3*B4)</f>
        <v>4713.3</v>
      </c>
      <c r="C5" s="4" t="s">
        <v>222</v>
      </c>
    </row>
    <row r="6" ht="17" spans="1:3">
      <c r="A6" s="4" t="s">
        <v>223</v>
      </c>
      <c r="B6" s="6">
        <v>0.06</v>
      </c>
      <c r="C6" s="4" t="s">
        <v>224</v>
      </c>
    </row>
    <row r="7" ht="17" spans="1:3">
      <c r="A7" s="4" t="s">
        <v>225</v>
      </c>
      <c r="B7" s="5">
        <f>IF(B3="","",B3*B6)</f>
        <v>14139.9</v>
      </c>
      <c r="C7" s="4" t="s">
        <v>226</v>
      </c>
    </row>
    <row r="8" ht="17" spans="1:3">
      <c r="A8" s="4" t="s">
        <v>227</v>
      </c>
      <c r="B8" s="5">
        <f ca="1">SUMIFS(单次交易!X2:X98,单次交易!X2:X98,"&lt;0",单次交易!M2:M98,"&gt;="&amp;EOMONTH(TODAY(),-1)+1,单次交易!M2:M98,"&lt;="&amp;EOMONTH(TODAY(),0))</f>
        <v>0</v>
      </c>
      <c r="C8" s="4" t="s">
        <v>228</v>
      </c>
    </row>
    <row r="9" ht="17" spans="1:3">
      <c r="A9" s="4" t="s">
        <v>229</v>
      </c>
      <c r="B9" s="5">
        <f>IFERROR(SUM(单次交易!AQ2:AQ98),0)</f>
        <v>0</v>
      </c>
      <c r="C9" s="4" t="s">
        <v>230</v>
      </c>
    </row>
    <row r="10" ht="17" spans="1:3">
      <c r="A10" s="4" t="s">
        <v>231</v>
      </c>
      <c r="B10" s="5">
        <f>IF(OR(B7="",B9=""),"",B7-B9)</f>
        <v>14139.9</v>
      </c>
      <c r="C10" s="4" t="s">
        <v>232</v>
      </c>
    </row>
    <row r="11" ht="17" spans="1:3">
      <c r="A11" s="4" t="s">
        <v>233</v>
      </c>
      <c r="B11" s="7">
        <f>IF(OR(B2="",B3="",B2&lt;=0),"",B3/B2-1)</f>
        <v>1.35665</v>
      </c>
      <c r="C11" s="4" t="s">
        <v>234</v>
      </c>
    </row>
    <row r="12" spans="1:3">
      <c r="A12" s="4"/>
      <c r="B12" s="4"/>
      <c r="C12" s="4"/>
    </row>
    <row r="13" ht="17" spans="1:3">
      <c r="A13" s="4" t="s">
        <v>235</v>
      </c>
      <c r="B13" s="6">
        <v>0.06</v>
      </c>
      <c r="C13" s="4" t="s">
        <v>236</v>
      </c>
    </row>
    <row r="14" ht="17" spans="1:3">
      <c r="A14" s="4" t="s">
        <v>237</v>
      </c>
      <c r="B14" s="11">
        <f>IFERROR(LOOKUP(2,1/((单次交易!$M$2:$M$98&lt;&gt;"")*(单次交易!$X$2:$X$98&gt;0)),ROW(单次交易!$X$2:$X$98)-1),0)</f>
        <v>93</v>
      </c>
      <c r="C14" s="4" t="s">
        <v>238</v>
      </c>
    </row>
    <row r="15" ht="17" spans="1:3">
      <c r="A15" s="4" t="s">
        <v>239</v>
      </c>
      <c r="B15" s="11">
        <f>IFERROR(LOOKUP(2,1/(单次交易!$M$2:$M$98&lt;&gt;""),ROW(单次交易!$M$2:$M$98)-1),0)</f>
        <v>96</v>
      </c>
      <c r="C15" s="4" t="s">
        <v>240</v>
      </c>
    </row>
    <row r="16" ht="17" spans="1:3">
      <c r="A16" s="4" t="s">
        <v>241</v>
      </c>
      <c r="B16" s="12"/>
      <c r="C16" s="4" t="s">
        <v>242</v>
      </c>
    </row>
    <row r="17" ht="17" spans="1:3">
      <c r="A17" s="4" t="s">
        <v>243</v>
      </c>
      <c r="B17" s="2" t="s">
        <v>244</v>
      </c>
      <c r="C17" s="4" t="s">
        <v>245</v>
      </c>
    </row>
    <row r="18" ht="17" spans="1:3">
      <c r="A18" s="4" t="s">
        <v>246</v>
      </c>
      <c r="B18" s="11">
        <f>MAX(B14,IF(AND(ISNUMBER(B16),B16&gt;=1,B16&lt;=B15,B17&lt;&gt;""),B16,0))</f>
        <v>93</v>
      </c>
      <c r="C18" s="4" t="s">
        <v>247</v>
      </c>
    </row>
    <row r="19" ht="17" spans="1:3">
      <c r="A19" s="4" t="s">
        <v>248</v>
      </c>
      <c r="B19" s="5" t="e">
        <f ca="1">IF(B2="","",IF(B18=0,B2,B2+SUM(单次交易!#REF!:INDEX(单次交易!$X:$X,B18+1))))</f>
        <v>#REF!</v>
      </c>
      <c r="C19" s="4" t="s">
        <v>249</v>
      </c>
    </row>
    <row r="20" ht="17" spans="1:3">
      <c r="A20" s="4" t="s">
        <v>250</v>
      </c>
      <c r="B20" s="5" t="e">
        <f>IF(B18&gt;=B15,0,-SUMPRODUCT((ROW(单次交易!$X$2:$X$98)-1&gt;B18)*(单次交易!$M$2:$M$98&lt;&gt;"")*(IFERROR(单次交易!$X$2:$X$98,0)&lt;0)*IFERROR(单次交易!$X$2:$X$98,0)))</f>
        <v>#VALUE!</v>
      </c>
      <c r="C20" s="4" t="s">
        <v>251</v>
      </c>
    </row>
    <row r="21" ht="17" spans="1:3">
      <c r="A21" s="4" t="s">
        <v>252</v>
      </c>
      <c r="B21" s="7" t="e">
        <f ca="1">IF(OR(B19="",B19&lt;=0),"",B20/B19)</f>
        <v>#REF!</v>
      </c>
      <c r="C21" s="4" t="s">
        <v>253</v>
      </c>
    </row>
    <row r="22" ht="17" spans="1:3">
      <c r="A22" s="4" t="s">
        <v>254</v>
      </c>
      <c r="B22" s="7" t="e">
        <f ca="1">IF(OR(B13="",B13&lt;=0,B21=""),"",B21/B13)</f>
        <v>#REF!</v>
      </c>
      <c r="C22" s="4" t="s">
        <v>255</v>
      </c>
    </row>
    <row r="23" ht="17" spans="1:3">
      <c r="A23" s="4" t="s">
        <v>256</v>
      </c>
      <c r="B23" s="8" t="str">
        <f ca="1">IF(OR(AND(B16&lt;&gt;"",B17=""),AND(B16="",B17&lt;&gt;""),AND(B16&lt;&gt;"",OR(NOT(ISNUMBER(B16)),B16&lt;1,B16&gt;B15,B16&lt;&gt;INT(B16)))),"解锁信息不完整",IF(B22&gt;=1,"已锁仓",IF(B22&gt;=0.8,"接近锁仓","正常")))</f>
        <v>解锁信息不完整</v>
      </c>
      <c r="C23" s="4" t="s">
        <v>257</v>
      </c>
    </row>
  </sheetData>
  <conditionalFormatting sqref="B8">
    <cfRule type="cellIs" dxfId="0" priority="1" operator="lessThan">
      <formula>0</formula>
    </cfRule>
  </conditionalFormatting>
  <conditionalFormatting sqref="B10">
    <cfRule type="cellIs" dxfId="0" priority="2" operator="lessThan">
      <formula>0</formula>
    </cfRule>
  </conditionalFormatting>
  <conditionalFormatting sqref="B23">
    <cfRule type="expression" dxfId="0" priority="3">
      <formula>$B$23="已锁仓"</formula>
    </cfRule>
    <cfRule type="expression" dxfId="2" priority="4">
      <formula>OR($B$23="接近锁仓",$B$23="解锁信息不完整")</formula>
    </cfRule>
    <cfRule type="expression" dxfId="1" priority="5">
      <formula>$B$23="正常"</formula>
    </cfRule>
  </conditionalFormatting>
  <dataValidations count="3">
    <dataValidation type="decimal" operator="greaterThan" sqref="B2">
      <formula1>0</formula1>
    </dataValidation>
    <dataValidation type="decimal" operator="between" sqref="B4 B6 B13">
      <formula1>0</formula1>
      <formula2>1</formula2>
    </dataValidation>
    <dataValidation type="custom" allowBlank="1" showErrorMessage="1" errorTitle="解锁序号无效" error="请填写1到最近已完成记录序号之间的整数，并同时填写解锁原因" sqref="B16">
      <formula1>OR(B16="",AND(ISNUMBER(B16),B16=INT(B16),B16&gt;=1,B16&lt;=B15))</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pane ySplit="1" topLeftCell="A2" activePane="bottomLeft" state="frozen"/>
      <selection/>
      <selection pane="bottomLeft" activeCell="C26" sqref="C26"/>
    </sheetView>
  </sheetViews>
  <sheetFormatPr defaultColWidth="9" defaultRowHeight="16.8" outlineLevelRow="6" outlineLevelCol="2"/>
  <cols>
    <col min="1" max="1" width="28" customWidth="1"/>
    <col min="2" max="2" width="20" customWidth="1"/>
    <col min="3" max="3" width="72" customWidth="1"/>
  </cols>
  <sheetData>
    <row r="1" ht="17" spans="1:3">
      <c r="A1" s="3" t="s">
        <v>185</v>
      </c>
      <c r="B1" s="3" t="s">
        <v>213</v>
      </c>
      <c r="C1" s="3" t="s">
        <v>187</v>
      </c>
    </row>
    <row r="2" ht="17" spans="1:3">
      <c r="A2" s="4" t="s">
        <v>258</v>
      </c>
      <c r="B2" s="5">
        <f>账户数据!B3</f>
        <v>235665</v>
      </c>
      <c r="C2" s="4" t="s">
        <v>259</v>
      </c>
    </row>
    <row r="3" ht="17" spans="1:3">
      <c r="A3" s="4" t="s">
        <v>260</v>
      </c>
      <c r="B3" s="6">
        <v>0.1</v>
      </c>
      <c r="C3" s="4" t="s">
        <v>261</v>
      </c>
    </row>
    <row r="4" ht="17" spans="1:3">
      <c r="A4" s="4" t="s">
        <v>262</v>
      </c>
      <c r="B4" s="5">
        <f>IF(OR(B2="",B3=""),"",B2*B3)</f>
        <v>23566.5</v>
      </c>
      <c r="C4" s="4" t="s">
        <v>263</v>
      </c>
    </row>
    <row r="5" ht="17" spans="1:3">
      <c r="A5" s="4" t="s">
        <v>207</v>
      </c>
      <c r="B5" s="5">
        <f>多次统计数据!B12</f>
        <v>101087.53125</v>
      </c>
      <c r="C5" s="4" t="s">
        <v>264</v>
      </c>
    </row>
    <row r="6" ht="17" spans="1:3">
      <c r="A6" s="4" t="s">
        <v>265</v>
      </c>
      <c r="B6" s="7">
        <f>多次统计数据!B13</f>
        <v>0.011993927234112</v>
      </c>
      <c r="C6" s="4" t="s">
        <v>266</v>
      </c>
    </row>
    <row r="7" ht="17" spans="1:3">
      <c r="A7" s="4" t="s">
        <v>267</v>
      </c>
      <c r="B7" s="8">
        <f>IF(OR(B3="",B6="",B3&lt;=0,B6&lt;=0),"暂不可计算",ROUNDUP(LN(1+B3)/LN(1+B6),0))</f>
        <v>8</v>
      </c>
      <c r="C7" s="4" t="s">
        <v>268</v>
      </c>
    </row>
  </sheetData>
  <dataValidations count="1">
    <dataValidation type="decimal" operator="greaterThan" sqref="B3">
      <formula1>0</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1"/>
  <sheetViews>
    <sheetView workbookViewId="0">
      <pane ySplit="1" topLeftCell="A17" activePane="bottomLeft" state="frozen"/>
      <selection/>
      <selection pane="bottomLeft" activeCell="A1" sqref="A1"/>
    </sheetView>
  </sheetViews>
  <sheetFormatPr defaultColWidth="9" defaultRowHeight="16.8" outlineLevelCol="2"/>
  <cols>
    <col min="1" max="1" width="22" customWidth="1"/>
    <col min="2" max="2" width="18" customWidth="1"/>
    <col min="3" max="3" width="56" customWidth="1"/>
  </cols>
  <sheetData>
    <row r="1" ht="42" customHeight="1" spans="1:3">
      <c r="A1" s="1" t="s">
        <v>269</v>
      </c>
      <c r="B1" s="1" t="s">
        <v>270</v>
      </c>
      <c r="C1" s="1" t="s">
        <v>271</v>
      </c>
    </row>
    <row r="2" ht="17" spans="1:3">
      <c r="A2" s="2" t="s">
        <v>272</v>
      </c>
      <c r="B2" s="2" t="s">
        <v>273</v>
      </c>
      <c r="C2" s="2" t="s">
        <v>274</v>
      </c>
    </row>
    <row r="3" ht="17" spans="1:3">
      <c r="A3" s="2" t="s">
        <v>275</v>
      </c>
      <c r="B3" s="2" t="s">
        <v>276</v>
      </c>
      <c r="C3" s="2" t="s">
        <v>277</v>
      </c>
    </row>
    <row r="4" ht="17" spans="1:3">
      <c r="A4" s="2" t="s">
        <v>278</v>
      </c>
      <c r="B4" s="2" t="s">
        <v>279</v>
      </c>
      <c r="C4" s="2" t="s">
        <v>280</v>
      </c>
    </row>
    <row r="5" ht="17" spans="1:3">
      <c r="A5" s="2" t="s">
        <v>281</v>
      </c>
      <c r="B5" s="2" t="s">
        <v>276</v>
      </c>
      <c r="C5" s="2" t="s">
        <v>282</v>
      </c>
    </row>
    <row r="6" ht="17" spans="1:3">
      <c r="A6" s="2" t="s">
        <v>77</v>
      </c>
      <c r="B6" s="2" t="s">
        <v>283</v>
      </c>
      <c r="C6" s="2" t="s">
        <v>284</v>
      </c>
    </row>
    <row r="7" ht="17" spans="1:3">
      <c r="A7" s="2" t="s">
        <v>285</v>
      </c>
      <c r="B7" s="2" t="s">
        <v>279</v>
      </c>
      <c r="C7" s="2" t="s">
        <v>286</v>
      </c>
    </row>
    <row r="8" ht="17" spans="1:3">
      <c r="A8" s="2" t="s">
        <v>287</v>
      </c>
      <c r="B8" s="2" t="s">
        <v>279</v>
      </c>
      <c r="C8" s="2" t="s">
        <v>288</v>
      </c>
    </row>
    <row r="9" ht="17" spans="1:3">
      <c r="A9" s="2" t="s">
        <v>289</v>
      </c>
      <c r="B9" s="2" t="s">
        <v>290</v>
      </c>
      <c r="C9" s="2" t="s">
        <v>291</v>
      </c>
    </row>
    <row r="10" ht="17" spans="1:3">
      <c r="A10" s="2" t="s">
        <v>292</v>
      </c>
      <c r="B10" s="2" t="s">
        <v>293</v>
      </c>
      <c r="C10" s="2" t="s">
        <v>294</v>
      </c>
    </row>
    <row r="11" ht="17" spans="1:3">
      <c r="A11" s="2" t="s">
        <v>295</v>
      </c>
      <c r="B11" s="2" t="s">
        <v>293</v>
      </c>
      <c r="C11" s="2" t="s">
        <v>296</v>
      </c>
    </row>
    <row r="12" ht="17" spans="1:3">
      <c r="A12" s="2" t="s">
        <v>297</v>
      </c>
      <c r="B12" s="2" t="s">
        <v>273</v>
      </c>
      <c r="C12" s="2" t="s">
        <v>298</v>
      </c>
    </row>
    <row r="13" ht="17" spans="1:3">
      <c r="A13" s="2" t="s">
        <v>299</v>
      </c>
      <c r="B13" s="2" t="s">
        <v>273</v>
      </c>
      <c r="C13" s="2" t="s">
        <v>300</v>
      </c>
    </row>
    <row r="14" ht="17" spans="1:3">
      <c r="A14" s="2" t="s">
        <v>301</v>
      </c>
      <c r="B14" s="2" t="s">
        <v>276</v>
      </c>
      <c r="C14" s="2" t="s">
        <v>302</v>
      </c>
    </row>
    <row r="15" ht="17" spans="1:3">
      <c r="A15" s="2" t="s">
        <v>303</v>
      </c>
      <c r="B15" s="2" t="s">
        <v>276</v>
      </c>
      <c r="C15" s="2" t="s">
        <v>304</v>
      </c>
    </row>
    <row r="16" ht="17" spans="1:3">
      <c r="A16" s="2" t="s">
        <v>305</v>
      </c>
      <c r="B16" s="2" t="s">
        <v>283</v>
      </c>
      <c r="C16" s="2" t="s">
        <v>306</v>
      </c>
    </row>
    <row r="17" ht="17" spans="1:3">
      <c r="A17" s="2" t="s">
        <v>307</v>
      </c>
      <c r="B17" s="2" t="s">
        <v>279</v>
      </c>
      <c r="C17" s="2" t="s">
        <v>308</v>
      </c>
    </row>
    <row r="18" ht="17" spans="1:3">
      <c r="A18" s="2" t="s">
        <v>309</v>
      </c>
      <c r="B18" s="2" t="s">
        <v>290</v>
      </c>
      <c r="C18" s="2" t="s">
        <v>310</v>
      </c>
    </row>
    <row r="19" ht="17" spans="1:3">
      <c r="A19" s="2" t="s">
        <v>311</v>
      </c>
      <c r="B19" s="2" t="s">
        <v>283</v>
      </c>
      <c r="C19" s="2" t="s">
        <v>312</v>
      </c>
    </row>
    <row r="20" ht="17" spans="1:3">
      <c r="A20" s="2" t="s">
        <v>313</v>
      </c>
      <c r="B20" s="2" t="s">
        <v>314</v>
      </c>
      <c r="C20" s="2" t="s">
        <v>315</v>
      </c>
    </row>
    <row r="21" ht="17" spans="1:3">
      <c r="A21" s="2" t="s">
        <v>316</v>
      </c>
      <c r="B21" s="2" t="s">
        <v>317</v>
      </c>
      <c r="C21" s="2" t="s">
        <v>318</v>
      </c>
    </row>
    <row r="22" spans="1:3">
      <c r="A22" s="2"/>
      <c r="B22" s="2"/>
      <c r="C22" s="2"/>
    </row>
    <row r="23" spans="1:3">
      <c r="A23" s="2"/>
      <c r="B23" s="2"/>
      <c r="C23" s="2"/>
    </row>
    <row r="24" spans="1:3">
      <c r="A24" s="2"/>
      <c r="B24" s="2"/>
      <c r="C24" s="2"/>
    </row>
    <row r="25" spans="1:3">
      <c r="A25" s="2"/>
      <c r="B25" s="2"/>
      <c r="C25" s="2"/>
    </row>
    <row r="26" spans="1:3">
      <c r="A26" s="2"/>
      <c r="B26" s="2"/>
      <c r="C26" s="2"/>
    </row>
    <row r="27" spans="1:3">
      <c r="A27" s="2"/>
      <c r="B27" s="2"/>
      <c r="C27" s="2"/>
    </row>
    <row r="28" spans="1:3">
      <c r="A28" s="2"/>
      <c r="B28" s="2"/>
      <c r="C28" s="2"/>
    </row>
    <row r="29" spans="1:3">
      <c r="A29" s="2"/>
      <c r="B29" s="2"/>
      <c r="C29" s="2"/>
    </row>
    <row r="30" spans="1:3">
      <c r="A30" s="2"/>
      <c r="B30" s="2"/>
      <c r="C30" s="2"/>
    </row>
    <row r="31" spans="1:3">
      <c r="A31" s="2"/>
      <c r="B31" s="2"/>
      <c r="C31" s="2"/>
    </row>
    <row r="32" spans="1:3">
      <c r="A32" s="2"/>
      <c r="B32" s="2"/>
      <c r="C32" s="2"/>
    </row>
    <row r="33" spans="1:3">
      <c r="A33" s="2"/>
      <c r="B33" s="2"/>
      <c r="C33" s="2"/>
    </row>
    <row r="34" spans="1:3">
      <c r="A34" s="2"/>
      <c r="B34" s="2"/>
      <c r="C34" s="2"/>
    </row>
    <row r="35" spans="1:3">
      <c r="A35" s="2"/>
      <c r="B35" s="2"/>
      <c r="C35" s="2"/>
    </row>
    <row r="36" spans="1:3">
      <c r="A36" s="2"/>
      <c r="B36" s="2"/>
      <c r="C36" s="2"/>
    </row>
    <row r="37" spans="1:3">
      <c r="A37" s="2"/>
      <c r="B37" s="2"/>
      <c r="C37" s="2"/>
    </row>
    <row r="38" spans="1:3">
      <c r="A38" s="2"/>
      <c r="B38" s="2"/>
      <c r="C38" s="2"/>
    </row>
    <row r="39" spans="1:3">
      <c r="A39" s="2"/>
      <c r="B39" s="2"/>
      <c r="C39" s="2"/>
    </row>
    <row r="40" spans="1:3">
      <c r="A40" s="2"/>
      <c r="B40" s="2"/>
      <c r="C40" s="2"/>
    </row>
    <row r="41" spans="1:3">
      <c r="A41" s="2"/>
      <c r="B41" s="2"/>
      <c r="C41" s="2"/>
    </row>
    <row r="42" spans="1:3">
      <c r="A42" s="2"/>
      <c r="B42" s="2"/>
      <c r="C42" s="2"/>
    </row>
    <row r="43" spans="1:3">
      <c r="A43" s="2"/>
      <c r="B43" s="2"/>
      <c r="C43" s="2"/>
    </row>
    <row r="44" spans="1:3">
      <c r="A44" s="2"/>
      <c r="B44" s="2"/>
      <c r="C44" s="2"/>
    </row>
    <row r="45" spans="1:3">
      <c r="A45" s="2"/>
      <c r="B45" s="2"/>
      <c r="C45" s="2"/>
    </row>
    <row r="46" spans="1:3">
      <c r="A46" s="2"/>
      <c r="B46" s="2"/>
      <c r="C46" s="2"/>
    </row>
    <row r="47" spans="1:3">
      <c r="A47" s="2"/>
      <c r="B47" s="2"/>
      <c r="C47" s="2"/>
    </row>
    <row r="48" spans="1:3">
      <c r="A48" s="2"/>
      <c r="B48" s="2"/>
      <c r="C48" s="2"/>
    </row>
    <row r="49" spans="1:3">
      <c r="A49" s="2"/>
      <c r="B49" s="2"/>
      <c r="C49" s="2"/>
    </row>
    <row r="50" spans="1:3">
      <c r="A50" s="2"/>
      <c r="B50" s="2"/>
      <c r="C50" s="2"/>
    </row>
    <row r="51" spans="1:3">
      <c r="A51" s="2"/>
      <c r="B51" s="2"/>
      <c r="C51" s="2"/>
    </row>
    <row r="52" spans="1:3">
      <c r="A52" s="2"/>
      <c r="B52" s="2"/>
      <c r="C52" s="2"/>
    </row>
    <row r="53" spans="1:3">
      <c r="A53" s="2"/>
      <c r="B53" s="2"/>
      <c r="C53" s="2"/>
    </row>
    <row r="54" spans="1:3">
      <c r="A54" s="2"/>
      <c r="B54" s="2"/>
      <c r="C54" s="2"/>
    </row>
    <row r="55" spans="1:3">
      <c r="A55" s="2"/>
      <c r="B55" s="2"/>
      <c r="C55" s="2"/>
    </row>
    <row r="56" spans="1:3">
      <c r="A56" s="2"/>
      <c r="B56" s="2"/>
      <c r="C56" s="2"/>
    </row>
    <row r="57" spans="1:3">
      <c r="A57" s="2"/>
      <c r="B57" s="2"/>
      <c r="C57" s="2"/>
    </row>
    <row r="58" spans="1:3">
      <c r="A58" s="2"/>
      <c r="B58" s="2"/>
      <c r="C58" s="2"/>
    </row>
    <row r="59" spans="1:3">
      <c r="A59" s="2"/>
      <c r="B59" s="2"/>
      <c r="C59" s="2"/>
    </row>
    <row r="60" spans="1:3">
      <c r="A60" s="2"/>
      <c r="B60" s="2"/>
      <c r="C60" s="2"/>
    </row>
    <row r="61" spans="1:3">
      <c r="A61" s="2"/>
      <c r="B61" s="2"/>
      <c r="C61" s="2"/>
    </row>
    <row r="62" spans="1:3">
      <c r="A62" s="2"/>
      <c r="B62" s="2"/>
      <c r="C62" s="2"/>
    </row>
    <row r="63" spans="1:3">
      <c r="A63" s="2"/>
      <c r="B63" s="2"/>
      <c r="C63" s="2"/>
    </row>
    <row r="64" spans="1:3">
      <c r="A64" s="2"/>
      <c r="B64" s="2"/>
      <c r="C64" s="2"/>
    </row>
    <row r="65" spans="1:3">
      <c r="A65" s="2"/>
      <c r="B65" s="2"/>
      <c r="C65" s="2"/>
    </row>
    <row r="66" spans="1:3">
      <c r="A66" s="2"/>
      <c r="B66" s="2"/>
      <c r="C66" s="2"/>
    </row>
    <row r="67" spans="1:3">
      <c r="A67" s="2"/>
      <c r="B67" s="2"/>
      <c r="C67" s="2"/>
    </row>
    <row r="68" spans="1:3">
      <c r="A68" s="2"/>
      <c r="B68" s="2"/>
      <c r="C68" s="2"/>
    </row>
    <row r="69" spans="1:3">
      <c r="A69" s="2"/>
      <c r="B69" s="2"/>
      <c r="C69" s="2"/>
    </row>
    <row r="70" spans="1:3">
      <c r="A70" s="2"/>
      <c r="B70" s="2"/>
      <c r="C70" s="2"/>
    </row>
    <row r="71" spans="1:3">
      <c r="A71" s="2"/>
      <c r="B71" s="2"/>
      <c r="C71" s="2"/>
    </row>
    <row r="72" spans="1:3">
      <c r="A72" s="2"/>
      <c r="B72" s="2"/>
      <c r="C72" s="2"/>
    </row>
    <row r="73" spans="1:3">
      <c r="A73" s="2"/>
      <c r="B73" s="2"/>
      <c r="C73" s="2"/>
    </row>
    <row r="74" spans="1:3">
      <c r="A74" s="2"/>
      <c r="B74" s="2"/>
      <c r="C74" s="2"/>
    </row>
    <row r="75" spans="1:3">
      <c r="A75" s="2"/>
      <c r="B75" s="2"/>
      <c r="C75" s="2"/>
    </row>
    <row r="76" spans="1:3">
      <c r="A76" s="2"/>
      <c r="B76" s="2"/>
      <c r="C76" s="2"/>
    </row>
    <row r="77" spans="1:3">
      <c r="A77" s="2"/>
      <c r="B77" s="2"/>
      <c r="C77" s="2"/>
    </row>
    <row r="78" spans="1:3">
      <c r="A78" s="2"/>
      <c r="B78" s="2"/>
      <c r="C78" s="2"/>
    </row>
    <row r="79" spans="1:3">
      <c r="A79" s="2"/>
      <c r="B79" s="2"/>
      <c r="C79" s="2"/>
    </row>
    <row r="80" spans="1:3">
      <c r="A80" s="2"/>
      <c r="B80" s="2"/>
      <c r="C80" s="2"/>
    </row>
    <row r="81" spans="1:3">
      <c r="A81" s="2"/>
      <c r="B81" s="2"/>
      <c r="C81" s="2"/>
    </row>
    <row r="82" spans="1:3">
      <c r="A82" s="2"/>
      <c r="B82" s="2"/>
      <c r="C82" s="2"/>
    </row>
    <row r="83" spans="1:3">
      <c r="A83" s="2"/>
      <c r="B83" s="2"/>
      <c r="C83" s="2"/>
    </row>
    <row r="84" spans="1:3">
      <c r="A84" s="2"/>
      <c r="B84" s="2"/>
      <c r="C84" s="2"/>
    </row>
    <row r="85" spans="1:3">
      <c r="A85" s="2"/>
      <c r="B85" s="2"/>
      <c r="C85" s="2"/>
    </row>
    <row r="86" spans="1:3">
      <c r="A86" s="2"/>
      <c r="B86" s="2"/>
      <c r="C86" s="2"/>
    </row>
    <row r="87" spans="1:3">
      <c r="A87" s="2"/>
      <c r="B87" s="2"/>
      <c r="C87" s="2"/>
    </row>
    <row r="88" spans="1:3">
      <c r="A88" s="2"/>
      <c r="B88" s="2"/>
      <c r="C88" s="2"/>
    </row>
    <row r="89" spans="1:3">
      <c r="A89" s="2"/>
      <c r="B89" s="2"/>
      <c r="C89" s="2"/>
    </row>
    <row r="90" spans="1:3">
      <c r="A90" s="2"/>
      <c r="B90" s="2"/>
      <c r="C90" s="2"/>
    </row>
    <row r="91" spans="1:3">
      <c r="A91" s="2"/>
      <c r="B91" s="2"/>
      <c r="C91" s="2"/>
    </row>
    <row r="92" spans="1:3">
      <c r="A92" s="2"/>
      <c r="B92" s="2"/>
      <c r="C92" s="2"/>
    </row>
    <row r="93" spans="1:3">
      <c r="A93" s="2"/>
      <c r="B93" s="2"/>
      <c r="C93" s="2"/>
    </row>
    <row r="94" spans="1:3">
      <c r="A94" s="2"/>
      <c r="B94" s="2"/>
      <c r="C94" s="2"/>
    </row>
    <row r="95" spans="1:3">
      <c r="A95" s="2"/>
      <c r="B95" s="2"/>
      <c r="C95" s="2"/>
    </row>
    <row r="96" spans="1:3">
      <c r="A96" s="2"/>
      <c r="B96" s="2"/>
      <c r="C96" s="2"/>
    </row>
    <row r="97" spans="1:3">
      <c r="A97" s="2"/>
      <c r="B97" s="2"/>
      <c r="C97" s="2"/>
    </row>
    <row r="98" spans="1:3">
      <c r="A98" s="2"/>
      <c r="B98" s="2"/>
      <c r="C98" s="2"/>
    </row>
    <row r="99" spans="1:3">
      <c r="A99" s="2"/>
      <c r="B99" s="2"/>
      <c r="C99" s="2"/>
    </row>
    <row r="100" spans="1:3">
      <c r="A100" s="2"/>
      <c r="B100" s="2"/>
      <c r="C100" s="2"/>
    </row>
    <row r="101" spans="1:3">
      <c r="A101" s="2"/>
      <c r="B101" s="2"/>
      <c r="C101" s="2"/>
    </row>
    <row r="102" spans="1:3">
      <c r="A102" s="2"/>
      <c r="B102" s="2"/>
      <c r="C102" s="2"/>
    </row>
    <row r="103" spans="1:3">
      <c r="A103" s="2"/>
      <c r="B103" s="2"/>
      <c r="C103" s="2"/>
    </row>
    <row r="104" spans="1:3">
      <c r="A104" s="2"/>
      <c r="B104" s="2"/>
      <c r="C104" s="2"/>
    </row>
    <row r="105" spans="1:3">
      <c r="A105" s="2"/>
      <c r="B105" s="2"/>
      <c r="C105" s="2"/>
    </row>
    <row r="106" spans="1:3">
      <c r="A106" s="2"/>
      <c r="B106" s="2"/>
      <c r="C106" s="2"/>
    </row>
    <row r="107" spans="1:3">
      <c r="A107" s="2"/>
      <c r="B107" s="2"/>
      <c r="C107" s="2"/>
    </row>
    <row r="108" spans="1:3">
      <c r="A108" s="2"/>
      <c r="B108" s="2"/>
      <c r="C108" s="2"/>
    </row>
    <row r="109" spans="1:3">
      <c r="A109" s="2"/>
      <c r="B109" s="2"/>
      <c r="C109" s="2"/>
    </row>
    <row r="110" spans="1:3">
      <c r="A110" s="2"/>
      <c r="B110" s="2"/>
      <c r="C110" s="2"/>
    </row>
    <row r="111" spans="1:3">
      <c r="A111" s="2"/>
      <c r="B111" s="2"/>
      <c r="C111" s="2"/>
    </row>
    <row r="112" spans="1:3">
      <c r="A112" s="2"/>
      <c r="B112" s="2"/>
      <c r="C112" s="2"/>
    </row>
    <row r="113" spans="1:3">
      <c r="A113" s="2"/>
      <c r="B113" s="2"/>
      <c r="C113" s="2"/>
    </row>
    <row r="114" spans="1:3">
      <c r="A114" s="2"/>
      <c r="B114" s="2"/>
      <c r="C114" s="2"/>
    </row>
    <row r="115" spans="1:3">
      <c r="A115" s="2"/>
      <c r="B115" s="2"/>
      <c r="C115" s="2"/>
    </row>
    <row r="116" spans="1:3">
      <c r="A116" s="2"/>
      <c r="B116" s="2"/>
      <c r="C116" s="2"/>
    </row>
    <row r="117" spans="1:3">
      <c r="A117" s="2"/>
      <c r="B117" s="2"/>
      <c r="C117" s="2"/>
    </row>
    <row r="118" spans="1:3">
      <c r="A118" s="2"/>
      <c r="B118" s="2"/>
      <c r="C118" s="2"/>
    </row>
    <row r="119" spans="1:3">
      <c r="A119" s="2"/>
      <c r="B119" s="2"/>
      <c r="C119" s="2"/>
    </row>
    <row r="120" spans="1:3">
      <c r="A120" s="2"/>
      <c r="B120" s="2"/>
      <c r="C120" s="2"/>
    </row>
    <row r="121" spans="1:3">
      <c r="A121" s="2"/>
      <c r="B121" s="2"/>
      <c r="C121" s="2"/>
    </row>
    <row r="122" spans="1:3">
      <c r="A122" s="2"/>
      <c r="B122" s="2"/>
      <c r="C122" s="2"/>
    </row>
    <row r="123" spans="1:3">
      <c r="A123" s="2"/>
      <c r="B123" s="2"/>
      <c r="C123" s="2"/>
    </row>
    <row r="124" spans="1:3">
      <c r="A124" s="2"/>
      <c r="B124" s="2"/>
      <c r="C124" s="2"/>
    </row>
    <row r="125" spans="1:3">
      <c r="A125" s="2"/>
      <c r="B125" s="2"/>
      <c r="C125" s="2"/>
    </row>
    <row r="126" spans="1:3">
      <c r="A126" s="2"/>
      <c r="B126" s="2"/>
      <c r="C126" s="2"/>
    </row>
    <row r="127" spans="1:3">
      <c r="A127" s="2"/>
      <c r="B127" s="2"/>
      <c r="C127" s="2"/>
    </row>
    <row r="128" spans="1:3">
      <c r="A128" s="2"/>
      <c r="B128" s="2"/>
      <c r="C128" s="2"/>
    </row>
    <row r="129" spans="1:3">
      <c r="A129" s="2"/>
      <c r="B129" s="2"/>
      <c r="C129" s="2"/>
    </row>
    <row r="130" spans="1:3">
      <c r="A130" s="2"/>
      <c r="B130" s="2"/>
      <c r="C130" s="2"/>
    </row>
    <row r="131" spans="1:3">
      <c r="A131" s="2"/>
      <c r="B131" s="2"/>
      <c r="C131" s="2"/>
    </row>
    <row r="132" spans="1:3">
      <c r="A132" s="2"/>
      <c r="B132" s="2"/>
      <c r="C132" s="2"/>
    </row>
    <row r="133" spans="1:3">
      <c r="A133" s="2"/>
      <c r="B133" s="2"/>
      <c r="C133" s="2"/>
    </row>
    <row r="134" spans="1:3">
      <c r="A134" s="2"/>
      <c r="B134" s="2"/>
      <c r="C134" s="2"/>
    </row>
    <row r="135" spans="1:3">
      <c r="A135" s="2"/>
      <c r="B135" s="2"/>
      <c r="C135" s="2"/>
    </row>
    <row r="136" spans="1:3">
      <c r="A136" s="2"/>
      <c r="B136" s="2"/>
      <c r="C136" s="2"/>
    </row>
    <row r="137" spans="1:3">
      <c r="A137" s="2"/>
      <c r="B137" s="2"/>
      <c r="C137" s="2"/>
    </row>
    <row r="138" spans="1:3">
      <c r="A138" s="2"/>
      <c r="B138" s="2"/>
      <c r="C138" s="2"/>
    </row>
    <row r="139" spans="1:3">
      <c r="A139" s="2"/>
      <c r="B139" s="2"/>
      <c r="C139" s="2"/>
    </row>
    <row r="140" spans="1:3">
      <c r="A140" s="2"/>
      <c r="B140" s="2"/>
      <c r="C140" s="2"/>
    </row>
    <row r="141" spans="1:3">
      <c r="A141" s="2"/>
      <c r="B141" s="2"/>
      <c r="C141" s="2"/>
    </row>
    <row r="142" spans="1:3">
      <c r="A142" s="2"/>
      <c r="B142" s="2"/>
      <c r="C142" s="2"/>
    </row>
    <row r="143" spans="1:3">
      <c r="A143" s="2"/>
      <c r="B143" s="2"/>
      <c r="C143" s="2"/>
    </row>
    <row r="144" spans="1:3">
      <c r="A144" s="2"/>
      <c r="B144" s="2"/>
      <c r="C144" s="2"/>
    </row>
    <row r="145" spans="1:3">
      <c r="A145" s="2"/>
      <c r="B145" s="2"/>
      <c r="C145" s="2"/>
    </row>
    <row r="146" spans="1:3">
      <c r="A146" s="2"/>
      <c r="B146" s="2"/>
      <c r="C146" s="2"/>
    </row>
    <row r="147" spans="1:3">
      <c r="A147" s="2"/>
      <c r="B147" s="2"/>
      <c r="C147" s="2"/>
    </row>
    <row r="148" spans="1:3">
      <c r="A148" s="2"/>
      <c r="B148" s="2"/>
      <c r="C148" s="2"/>
    </row>
    <row r="149" spans="1:3">
      <c r="A149" s="2"/>
      <c r="B149" s="2"/>
      <c r="C149" s="2"/>
    </row>
    <row r="150" spans="1:3">
      <c r="A150" s="2"/>
      <c r="B150" s="2"/>
      <c r="C150" s="2"/>
    </row>
    <row r="151" spans="1:3">
      <c r="A151" s="2"/>
      <c r="B151" s="2"/>
      <c r="C151" s="2"/>
    </row>
    <row r="152" spans="1:3">
      <c r="A152" s="2"/>
      <c r="B152" s="2"/>
      <c r="C152" s="2"/>
    </row>
    <row r="153" spans="1:3">
      <c r="A153" s="2"/>
      <c r="B153" s="2"/>
      <c r="C153" s="2"/>
    </row>
    <row r="154" spans="1:3">
      <c r="A154" s="2"/>
      <c r="B154" s="2"/>
      <c r="C154" s="2"/>
    </row>
    <row r="155" spans="1:3">
      <c r="A155" s="2"/>
      <c r="B155" s="2"/>
      <c r="C155" s="2"/>
    </row>
    <row r="156" spans="1:3">
      <c r="A156" s="2"/>
      <c r="B156" s="2"/>
      <c r="C156" s="2"/>
    </row>
    <row r="157" spans="1:3">
      <c r="A157" s="2"/>
      <c r="B157" s="2"/>
      <c r="C157" s="2"/>
    </row>
    <row r="158" spans="1:3">
      <c r="A158" s="2"/>
      <c r="B158" s="2"/>
      <c r="C158" s="2"/>
    </row>
    <row r="159" spans="1:3">
      <c r="A159" s="2"/>
      <c r="B159" s="2"/>
      <c r="C159" s="2"/>
    </row>
    <row r="160" spans="1:3">
      <c r="A160" s="2"/>
      <c r="B160" s="2"/>
      <c r="C160" s="2"/>
    </row>
    <row r="161" spans="1:3">
      <c r="A161" s="2"/>
      <c r="B161" s="2"/>
      <c r="C161" s="2"/>
    </row>
    <row r="162" spans="1:3">
      <c r="A162" s="2"/>
      <c r="B162" s="2"/>
      <c r="C162" s="2"/>
    </row>
    <row r="163" spans="1:3">
      <c r="A163" s="2"/>
      <c r="B163" s="2"/>
      <c r="C163" s="2"/>
    </row>
    <row r="164" spans="1:3">
      <c r="A164" s="2"/>
      <c r="B164" s="2"/>
      <c r="C164" s="2"/>
    </row>
    <row r="165" spans="1:3">
      <c r="A165" s="2"/>
      <c r="B165" s="2"/>
      <c r="C165" s="2"/>
    </row>
    <row r="166" spans="1:3">
      <c r="A166" s="2"/>
      <c r="B166" s="2"/>
      <c r="C166" s="2"/>
    </row>
    <row r="167" spans="1:3">
      <c r="A167" s="2"/>
      <c r="B167" s="2"/>
      <c r="C167" s="2"/>
    </row>
    <row r="168" spans="1:3">
      <c r="A168" s="2"/>
      <c r="B168" s="2"/>
      <c r="C168" s="2"/>
    </row>
    <row r="169" spans="1:3">
      <c r="A169" s="2"/>
      <c r="B169" s="2"/>
      <c r="C169" s="2"/>
    </row>
    <row r="170" spans="1:3">
      <c r="A170" s="2"/>
      <c r="B170" s="2"/>
      <c r="C170" s="2"/>
    </row>
    <row r="171" spans="1:3">
      <c r="A171" s="2"/>
      <c r="B171" s="2"/>
      <c r="C171" s="2"/>
    </row>
    <row r="172" spans="1:3">
      <c r="A172" s="2"/>
      <c r="B172" s="2"/>
      <c r="C172" s="2"/>
    </row>
    <row r="173" spans="1:3">
      <c r="A173" s="2"/>
      <c r="B173" s="2"/>
      <c r="C173" s="2"/>
    </row>
    <row r="174" spans="1:3">
      <c r="A174" s="2"/>
      <c r="B174" s="2"/>
      <c r="C174" s="2"/>
    </row>
    <row r="175" spans="1:3">
      <c r="A175" s="2"/>
      <c r="B175" s="2"/>
      <c r="C175" s="2"/>
    </row>
    <row r="176" spans="1:3">
      <c r="A176" s="2"/>
      <c r="B176" s="2"/>
      <c r="C176" s="2"/>
    </row>
    <row r="177" spans="1:3">
      <c r="A177" s="2"/>
      <c r="B177" s="2"/>
      <c r="C177" s="2"/>
    </row>
    <row r="178" spans="1:3">
      <c r="A178" s="2"/>
      <c r="B178" s="2"/>
      <c r="C178" s="2"/>
    </row>
    <row r="179" spans="1:3">
      <c r="A179" s="2"/>
      <c r="B179" s="2"/>
      <c r="C179" s="2"/>
    </row>
    <row r="180" spans="1:3">
      <c r="A180" s="2"/>
      <c r="B180" s="2"/>
      <c r="C180" s="2"/>
    </row>
    <row r="181" spans="1:3">
      <c r="A181" s="2"/>
      <c r="B181" s="2"/>
      <c r="C181" s="2"/>
    </row>
    <row r="182" spans="1:3">
      <c r="A182" s="2"/>
      <c r="B182" s="2"/>
      <c r="C182" s="2"/>
    </row>
    <row r="183" spans="1:3">
      <c r="A183" s="2"/>
      <c r="B183" s="2"/>
      <c r="C183" s="2"/>
    </row>
    <row r="184" spans="1:3">
      <c r="A184" s="2"/>
      <c r="B184" s="2"/>
      <c r="C184" s="2"/>
    </row>
    <row r="185" spans="1:3">
      <c r="A185" s="2"/>
      <c r="B185" s="2"/>
      <c r="C185" s="2"/>
    </row>
    <row r="186" spans="1:3">
      <c r="A186" s="2"/>
      <c r="B186" s="2"/>
      <c r="C186" s="2"/>
    </row>
    <row r="187" spans="1:3">
      <c r="A187" s="2"/>
      <c r="B187" s="2"/>
      <c r="C187" s="2"/>
    </row>
    <row r="188" spans="1:3">
      <c r="A188" s="2"/>
      <c r="B188" s="2"/>
      <c r="C188" s="2"/>
    </row>
    <row r="189" spans="1:3">
      <c r="A189" s="2"/>
      <c r="B189" s="2"/>
      <c r="C189" s="2"/>
    </row>
    <row r="190" spans="1:3">
      <c r="A190" s="2"/>
      <c r="B190" s="2"/>
      <c r="C190" s="2"/>
    </row>
    <row r="191" spans="1:3">
      <c r="A191" s="2"/>
      <c r="B191" s="2"/>
      <c r="C191" s="2"/>
    </row>
    <row r="192" spans="1:3">
      <c r="A192" s="2"/>
      <c r="B192" s="2"/>
      <c r="C192" s="2"/>
    </row>
    <row r="193" spans="1:3">
      <c r="A193" s="2"/>
      <c r="B193" s="2"/>
      <c r="C193" s="2"/>
    </row>
    <row r="194" spans="1:3">
      <c r="A194" s="2"/>
      <c r="B194" s="2"/>
      <c r="C194" s="2"/>
    </row>
    <row r="195" spans="1:3">
      <c r="A195" s="2"/>
      <c r="B195" s="2"/>
      <c r="C195" s="2"/>
    </row>
    <row r="196" spans="1:3">
      <c r="A196" s="2"/>
      <c r="B196" s="2"/>
      <c r="C196" s="2"/>
    </row>
    <row r="197" spans="1:3">
      <c r="A197" s="2"/>
      <c r="B197" s="2"/>
      <c r="C197" s="2"/>
    </row>
    <row r="198" spans="1:3">
      <c r="A198" s="2"/>
      <c r="B198" s="2"/>
      <c r="C198" s="2"/>
    </row>
    <row r="199" spans="1:3">
      <c r="A199" s="2"/>
      <c r="B199" s="2"/>
      <c r="C199" s="2"/>
    </row>
    <row r="200" spans="1:3">
      <c r="A200" s="2"/>
      <c r="B200" s="2"/>
      <c r="C200" s="2"/>
    </row>
    <row r="201" spans="1:3">
      <c r="A201" s="2"/>
      <c r="B201" s="2"/>
      <c r="C201" s="2"/>
    </row>
  </sheetData>
  <pageMargins left="0.75" right="0.75" top="1" bottom="1" header="0.5" footer="0.5"/>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单次交易</vt:lpstr>
      <vt:lpstr>持仓跟踪</vt:lpstr>
      <vt:lpstr>买入理由</vt:lpstr>
      <vt:lpstr>多次统计数据</vt:lpstr>
      <vt:lpstr>账户数据</vt:lpstr>
      <vt:lpstr>目标收益</vt:lpstr>
      <vt:lpstr>技术指标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吕晶晶</cp:lastModifiedBy>
  <dcterms:created xsi:type="dcterms:W3CDTF">2026-07-26T16:10:00Z</dcterms:created>
  <dcterms:modified xsi:type="dcterms:W3CDTF">2026-08-30T16:31:44Z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736BDD0092250DAC96416F6ACC401849_42</vt:lpwstr>
  </property>
  <property fmtid="{D5CDD505-2E9C-101B-9397-08002B2CF9AE}" pid="3" name="KSOProductBuildVer">
    <vt:lpwstr>2052-12.1.25205.25205</vt:lpwstr>
  </property>
  <property fmtid="{D5CDD505-2E9C-101B-9397-08002B2CF9AE}" pid="4" name="CalculationRule">
    <vt:i4>0</vt:i4>
  </property>
</Properties>
</file>