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323B72C-FEA4-476C-BCAF-4EF72819EED0}" xr6:coauthVersionLast="47" xr6:coauthVersionMax="47" xr10:uidLastSave="{00000000-0000-0000-0000-000000000000}"/>
  <bookViews>
    <workbookView xWindow="-120" yWindow="-120" windowWidth="29040" windowHeight="9075" activeTab="3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单次交易!$A$2:$A$88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C24" i="2" l="1"/>
  <c r="AC157" i="2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V156" i="2" s="1"/>
  <c r="S156" i="2"/>
  <c r="Q156" i="2"/>
  <c r="P156" i="2"/>
  <c r="O156" i="2"/>
  <c r="N156" i="2"/>
  <c r="C156" i="2"/>
  <c r="AC155" i="2"/>
  <c r="AB155" i="2"/>
  <c r="Z155" i="2"/>
  <c r="W155" i="2"/>
  <c r="T155" i="2"/>
  <c r="U155" i="2" s="1"/>
  <c r="S155" i="2"/>
  <c r="Q155" i="2"/>
  <c r="P155" i="2"/>
  <c r="O155" i="2"/>
  <c r="N155" i="2"/>
  <c r="C155" i="2"/>
  <c r="AC154" i="2"/>
  <c r="AB154" i="2"/>
  <c r="Z154" i="2"/>
  <c r="W154" i="2"/>
  <c r="T154" i="2"/>
  <c r="V154" i="2" s="1"/>
  <c r="S154" i="2"/>
  <c r="Q154" i="2"/>
  <c r="P154" i="2"/>
  <c r="O154" i="2"/>
  <c r="N154" i="2"/>
  <c r="C154" i="2"/>
  <c r="AC153" i="2"/>
  <c r="AB153" i="2"/>
  <c r="Z153" i="2"/>
  <c r="W153" i="2"/>
  <c r="T153" i="2"/>
  <c r="U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U149" i="2" s="1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V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U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U140" i="2" s="1"/>
  <c r="S140" i="2"/>
  <c r="Q140" i="2"/>
  <c r="P140" i="2"/>
  <c r="O140" i="2"/>
  <c r="N140" i="2"/>
  <c r="C140" i="2"/>
  <c r="AC139" i="2"/>
  <c r="AB139" i="2"/>
  <c r="Z139" i="2"/>
  <c r="W139" i="2"/>
  <c r="T139" i="2"/>
  <c r="U139" i="2" s="1"/>
  <c r="S139" i="2"/>
  <c r="Q139" i="2"/>
  <c r="P139" i="2"/>
  <c r="O139" i="2"/>
  <c r="N139" i="2"/>
  <c r="C139" i="2"/>
  <c r="AC138" i="2"/>
  <c r="AB138" i="2"/>
  <c r="Z138" i="2"/>
  <c r="W138" i="2"/>
  <c r="T138" i="2"/>
  <c r="U138" i="2" s="1"/>
  <c r="S138" i="2"/>
  <c r="Q138" i="2"/>
  <c r="P138" i="2"/>
  <c r="O138" i="2"/>
  <c r="N138" i="2"/>
  <c r="C138" i="2"/>
  <c r="AC137" i="2"/>
  <c r="AB137" i="2"/>
  <c r="Z137" i="2"/>
  <c r="W137" i="2"/>
  <c r="T137" i="2"/>
  <c r="U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V135" i="2" s="1"/>
  <c r="S135" i="2"/>
  <c r="Q135" i="2"/>
  <c r="P135" i="2"/>
  <c r="O135" i="2"/>
  <c r="N135" i="2"/>
  <c r="C135" i="2"/>
  <c r="AC134" i="2"/>
  <c r="AB134" i="2"/>
  <c r="Z134" i="2"/>
  <c r="W134" i="2"/>
  <c r="T134" i="2"/>
  <c r="V134" i="2" s="1"/>
  <c r="S134" i="2"/>
  <c r="Q134" i="2"/>
  <c r="P134" i="2"/>
  <c r="O134" i="2"/>
  <c r="N134" i="2"/>
  <c r="C134" i="2"/>
  <c r="AC133" i="2"/>
  <c r="AB133" i="2"/>
  <c r="Z133" i="2"/>
  <c r="W133" i="2"/>
  <c r="T133" i="2"/>
  <c r="U133" i="2" s="1"/>
  <c r="S133" i="2"/>
  <c r="Q133" i="2"/>
  <c r="P133" i="2"/>
  <c r="O133" i="2"/>
  <c r="N133" i="2"/>
  <c r="C133" i="2"/>
  <c r="AC132" i="2"/>
  <c r="AB132" i="2"/>
  <c r="Z132" i="2"/>
  <c r="W132" i="2"/>
  <c r="T132" i="2"/>
  <c r="V132" i="2" s="1"/>
  <c r="S132" i="2"/>
  <c r="Q132" i="2"/>
  <c r="P132" i="2"/>
  <c r="O132" i="2"/>
  <c r="N132" i="2"/>
  <c r="C132" i="2"/>
  <c r="AC131" i="2"/>
  <c r="AB131" i="2"/>
  <c r="Z131" i="2"/>
  <c r="W131" i="2"/>
  <c r="T131" i="2"/>
  <c r="V131" i="2" s="1"/>
  <c r="S131" i="2"/>
  <c r="Q131" i="2"/>
  <c r="P131" i="2"/>
  <c r="O131" i="2"/>
  <c r="N131" i="2"/>
  <c r="C131" i="2"/>
  <c r="AC130" i="2"/>
  <c r="AB130" i="2"/>
  <c r="Z130" i="2"/>
  <c r="W130" i="2"/>
  <c r="T130" i="2"/>
  <c r="V130" i="2" s="1"/>
  <c r="S130" i="2"/>
  <c r="Q130" i="2"/>
  <c r="P130" i="2"/>
  <c r="O130" i="2"/>
  <c r="N130" i="2"/>
  <c r="C130" i="2"/>
  <c r="AC129" i="2"/>
  <c r="AB129" i="2"/>
  <c r="Z129" i="2"/>
  <c r="W129" i="2"/>
  <c r="T129" i="2"/>
  <c r="U129" i="2" s="1"/>
  <c r="S129" i="2"/>
  <c r="Q129" i="2"/>
  <c r="P129" i="2"/>
  <c r="O129" i="2"/>
  <c r="N129" i="2"/>
  <c r="C129" i="2"/>
  <c r="AC128" i="2"/>
  <c r="AB128" i="2"/>
  <c r="Z128" i="2"/>
  <c r="W128" i="2"/>
  <c r="T128" i="2"/>
  <c r="V128" i="2" s="1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V126" i="2" s="1"/>
  <c r="S126" i="2"/>
  <c r="Q126" i="2"/>
  <c r="P126" i="2"/>
  <c r="O126" i="2"/>
  <c r="N126" i="2"/>
  <c r="C126" i="2"/>
  <c r="AC125" i="2"/>
  <c r="AB125" i="2"/>
  <c r="Z125" i="2"/>
  <c r="W125" i="2"/>
  <c r="T125" i="2"/>
  <c r="V125" i="2" s="1"/>
  <c r="S125" i="2"/>
  <c r="Q125" i="2"/>
  <c r="P125" i="2"/>
  <c r="O125" i="2"/>
  <c r="N125" i="2"/>
  <c r="C125" i="2"/>
  <c r="AC124" i="2"/>
  <c r="AB124" i="2"/>
  <c r="Z124" i="2"/>
  <c r="W124" i="2"/>
  <c r="T124" i="2"/>
  <c r="S124" i="2"/>
  <c r="Q124" i="2"/>
  <c r="P124" i="2"/>
  <c r="O124" i="2"/>
  <c r="N124" i="2"/>
  <c r="C124" i="2"/>
  <c r="AC123" i="2"/>
  <c r="AB123" i="2"/>
  <c r="Z123" i="2"/>
  <c r="W123" i="2"/>
  <c r="T123" i="2"/>
  <c r="U123" i="2" s="1"/>
  <c r="S123" i="2"/>
  <c r="Q123" i="2"/>
  <c r="P123" i="2"/>
  <c r="O123" i="2"/>
  <c r="N123" i="2"/>
  <c r="C123" i="2"/>
  <c r="AC122" i="2"/>
  <c r="AB122" i="2"/>
  <c r="Z122" i="2"/>
  <c r="W122" i="2"/>
  <c r="T122" i="2"/>
  <c r="U122" i="2" s="1"/>
  <c r="S122" i="2"/>
  <c r="Q122" i="2"/>
  <c r="P122" i="2"/>
  <c r="O122" i="2"/>
  <c r="N122" i="2"/>
  <c r="C122" i="2"/>
  <c r="AC121" i="2"/>
  <c r="AB121" i="2"/>
  <c r="Z121" i="2"/>
  <c r="W121" i="2"/>
  <c r="T121" i="2"/>
  <c r="U121" i="2" s="1"/>
  <c r="S121" i="2"/>
  <c r="Q121" i="2"/>
  <c r="P121" i="2"/>
  <c r="O121" i="2"/>
  <c r="N121" i="2"/>
  <c r="C121" i="2"/>
  <c r="AC120" i="2"/>
  <c r="AB120" i="2"/>
  <c r="Z120" i="2"/>
  <c r="W120" i="2"/>
  <c r="T120" i="2"/>
  <c r="U120" i="2" s="1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V118" i="2" s="1"/>
  <c r="S118" i="2"/>
  <c r="Q118" i="2"/>
  <c r="P118" i="2"/>
  <c r="O118" i="2"/>
  <c r="N118" i="2"/>
  <c r="C118" i="2"/>
  <c r="AC117" i="2"/>
  <c r="AB117" i="2"/>
  <c r="Z117" i="2"/>
  <c r="W117" i="2"/>
  <c r="T117" i="2"/>
  <c r="V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U114" i="2" s="1"/>
  <c r="S114" i="2"/>
  <c r="Q114" i="2"/>
  <c r="P114" i="2"/>
  <c r="O114" i="2"/>
  <c r="N114" i="2"/>
  <c r="C114" i="2"/>
  <c r="AC113" i="2"/>
  <c r="AB113" i="2"/>
  <c r="Z113" i="2"/>
  <c r="W113" i="2"/>
  <c r="T113" i="2"/>
  <c r="U113" i="2" s="1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V111" i="2" s="1"/>
  <c r="S111" i="2"/>
  <c r="Q111" i="2"/>
  <c r="P111" i="2"/>
  <c r="O111" i="2"/>
  <c r="N111" i="2"/>
  <c r="C111" i="2"/>
  <c r="AC110" i="2"/>
  <c r="AB110" i="2"/>
  <c r="Z110" i="2"/>
  <c r="W110" i="2"/>
  <c r="T110" i="2"/>
  <c r="V110" i="2" s="1"/>
  <c r="S110" i="2"/>
  <c r="Q110" i="2"/>
  <c r="P110" i="2"/>
  <c r="O110" i="2"/>
  <c r="N110" i="2"/>
  <c r="C110" i="2"/>
  <c r="AC109" i="2"/>
  <c r="AB109" i="2"/>
  <c r="Z109" i="2"/>
  <c r="W109" i="2"/>
  <c r="T109" i="2"/>
  <c r="U109" i="2" s="1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V106" i="2" s="1"/>
  <c r="S106" i="2"/>
  <c r="Q106" i="2"/>
  <c r="P106" i="2"/>
  <c r="O106" i="2"/>
  <c r="N106" i="2"/>
  <c r="C106" i="2"/>
  <c r="AC105" i="2"/>
  <c r="AB105" i="2"/>
  <c r="Z105" i="2"/>
  <c r="W105" i="2"/>
  <c r="T105" i="2"/>
  <c r="V105" i="2" s="1"/>
  <c r="S105" i="2"/>
  <c r="Q105" i="2"/>
  <c r="P105" i="2"/>
  <c r="O105" i="2"/>
  <c r="N105" i="2"/>
  <c r="C105" i="2"/>
  <c r="AC104" i="2"/>
  <c r="AB104" i="2"/>
  <c r="Z104" i="2"/>
  <c r="W104" i="2"/>
  <c r="T104" i="2"/>
  <c r="S104" i="2"/>
  <c r="Q104" i="2"/>
  <c r="P104" i="2"/>
  <c r="O104" i="2"/>
  <c r="N104" i="2"/>
  <c r="C104" i="2"/>
  <c r="AC103" i="2"/>
  <c r="AB103" i="2"/>
  <c r="Z103" i="2"/>
  <c r="W103" i="2"/>
  <c r="T103" i="2"/>
  <c r="U103" i="2" s="1"/>
  <c r="S103" i="2"/>
  <c r="Q103" i="2"/>
  <c r="P103" i="2"/>
  <c r="O103" i="2"/>
  <c r="N103" i="2"/>
  <c r="C103" i="2"/>
  <c r="AC102" i="2"/>
  <c r="AB102" i="2"/>
  <c r="Z102" i="2"/>
  <c r="W102" i="2"/>
  <c r="T102" i="2"/>
  <c r="U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U100" i="2" s="1"/>
  <c r="S100" i="2"/>
  <c r="Q100" i="2"/>
  <c r="P100" i="2"/>
  <c r="O100" i="2"/>
  <c r="N100" i="2"/>
  <c r="C100" i="2"/>
  <c r="AC99" i="2"/>
  <c r="AB99" i="2"/>
  <c r="Z99" i="2"/>
  <c r="W99" i="2"/>
  <c r="T99" i="2"/>
  <c r="V99" i="2" s="1"/>
  <c r="S99" i="2"/>
  <c r="Q99" i="2"/>
  <c r="P99" i="2"/>
  <c r="O99" i="2"/>
  <c r="N99" i="2"/>
  <c r="C99" i="2"/>
  <c r="AC98" i="2"/>
  <c r="AB98" i="2"/>
  <c r="Z98" i="2"/>
  <c r="W98" i="2"/>
  <c r="T98" i="2"/>
  <c r="U98" i="2" s="1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V95" i="2" s="1"/>
  <c r="S95" i="2"/>
  <c r="Q95" i="2"/>
  <c r="P95" i="2"/>
  <c r="O95" i="2"/>
  <c r="N95" i="2"/>
  <c r="C95" i="2"/>
  <c r="AC94" i="2"/>
  <c r="AB94" i="2"/>
  <c r="Z94" i="2"/>
  <c r="W94" i="2"/>
  <c r="T94" i="2"/>
  <c r="U94" i="2" s="1"/>
  <c r="S94" i="2"/>
  <c r="Q94" i="2"/>
  <c r="P94" i="2"/>
  <c r="O94" i="2"/>
  <c r="N94" i="2"/>
  <c r="C94" i="2"/>
  <c r="AC93" i="2"/>
  <c r="AB93" i="2"/>
  <c r="Z93" i="2"/>
  <c r="W93" i="2"/>
  <c r="T93" i="2"/>
  <c r="U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AC89" i="2"/>
  <c r="AB89" i="2"/>
  <c r="Z89" i="2"/>
  <c r="W89" i="2"/>
  <c r="T89" i="2"/>
  <c r="U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V87" i="2" s="1"/>
  <c r="S87" i="2"/>
  <c r="Q87" i="2"/>
  <c r="P87" i="2"/>
  <c r="O87" i="2"/>
  <c r="N87" i="2"/>
  <c r="C87" i="2"/>
  <c r="AC86" i="2"/>
  <c r="AB86" i="2"/>
  <c r="Z86" i="2"/>
  <c r="W86" i="2"/>
  <c r="T86" i="2"/>
  <c r="V86" i="2" s="1"/>
  <c r="S86" i="2"/>
  <c r="Q86" i="2"/>
  <c r="P86" i="2"/>
  <c r="O86" i="2"/>
  <c r="N86" i="2"/>
  <c r="C86" i="2"/>
  <c r="AC85" i="2"/>
  <c r="AB85" i="2"/>
  <c r="Z85" i="2"/>
  <c r="W85" i="2"/>
  <c r="T85" i="2"/>
  <c r="V85" i="2" s="1"/>
  <c r="S85" i="2"/>
  <c r="Q85" i="2"/>
  <c r="P85" i="2"/>
  <c r="O85" i="2"/>
  <c r="N85" i="2"/>
  <c r="C85" i="2"/>
  <c r="AC84" i="2"/>
  <c r="AB84" i="2"/>
  <c r="Z84" i="2"/>
  <c r="W84" i="2"/>
  <c r="T84" i="2"/>
  <c r="S84" i="2"/>
  <c r="Q84" i="2"/>
  <c r="P84" i="2"/>
  <c r="O84" i="2"/>
  <c r="N84" i="2"/>
  <c r="C84" i="2"/>
  <c r="AC83" i="2"/>
  <c r="AB83" i="2"/>
  <c r="Z83" i="2"/>
  <c r="W83" i="2"/>
  <c r="T83" i="2"/>
  <c r="U83" i="2" s="1"/>
  <c r="S83" i="2"/>
  <c r="Q83" i="2"/>
  <c r="P83" i="2"/>
  <c r="O83" i="2"/>
  <c r="N83" i="2"/>
  <c r="C83" i="2"/>
  <c r="AC82" i="2"/>
  <c r="AB82" i="2"/>
  <c r="Z82" i="2"/>
  <c r="W82" i="2"/>
  <c r="T82" i="2"/>
  <c r="U82" i="2" s="1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V76" i="2" s="1"/>
  <c r="S76" i="2"/>
  <c r="Q76" i="2"/>
  <c r="P76" i="2"/>
  <c r="O76" i="2"/>
  <c r="N76" i="2"/>
  <c r="C76" i="2"/>
  <c r="AC75" i="2"/>
  <c r="AB75" i="2"/>
  <c r="Z75" i="2"/>
  <c r="W75" i="2"/>
  <c r="T75" i="2"/>
  <c r="V75" i="2" s="1"/>
  <c r="S75" i="2"/>
  <c r="Q75" i="2"/>
  <c r="P75" i="2"/>
  <c r="O75" i="2"/>
  <c r="N75" i="2"/>
  <c r="C75" i="2"/>
  <c r="AC74" i="2"/>
  <c r="AB74" i="2"/>
  <c r="Z74" i="2"/>
  <c r="W74" i="2"/>
  <c r="T74" i="2"/>
  <c r="U74" i="2" s="1"/>
  <c r="S74" i="2"/>
  <c r="Q74" i="2"/>
  <c r="P74" i="2"/>
  <c r="O74" i="2"/>
  <c r="N74" i="2"/>
  <c r="C74" i="2"/>
  <c r="AC73" i="2"/>
  <c r="AB73" i="2"/>
  <c r="Z73" i="2"/>
  <c r="W73" i="2"/>
  <c r="T73" i="2"/>
  <c r="U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V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U69" i="2" s="1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V67" i="2" s="1"/>
  <c r="S67" i="2"/>
  <c r="Q67" i="2"/>
  <c r="P67" i="2"/>
  <c r="O67" i="2"/>
  <c r="N67" i="2"/>
  <c r="C67" i="2"/>
  <c r="AC66" i="2"/>
  <c r="AB66" i="2"/>
  <c r="Z66" i="2"/>
  <c r="W66" i="2"/>
  <c r="T66" i="2"/>
  <c r="V66" i="2" s="1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S64" i="2"/>
  <c r="Q64" i="2"/>
  <c r="P64" i="2"/>
  <c r="O64" i="2"/>
  <c r="N64" i="2"/>
  <c r="C64" i="2"/>
  <c r="AC63" i="2"/>
  <c r="AB63" i="2"/>
  <c r="Z63" i="2"/>
  <c r="W63" i="2"/>
  <c r="T63" i="2"/>
  <c r="U63" i="2" s="1"/>
  <c r="S63" i="2"/>
  <c r="Q63" i="2"/>
  <c r="P63" i="2"/>
  <c r="O63" i="2"/>
  <c r="N63" i="2"/>
  <c r="C63" i="2"/>
  <c r="AC62" i="2"/>
  <c r="AB62" i="2"/>
  <c r="Z62" i="2"/>
  <c r="W62" i="2"/>
  <c r="T62" i="2"/>
  <c r="U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U60" i="2" s="1"/>
  <c r="S60" i="2"/>
  <c r="Q60" i="2"/>
  <c r="P60" i="2"/>
  <c r="O60" i="2"/>
  <c r="N60" i="2"/>
  <c r="C60" i="2"/>
  <c r="AC59" i="2"/>
  <c r="AB59" i="2"/>
  <c r="Z59" i="2"/>
  <c r="W59" i="2"/>
  <c r="T59" i="2"/>
  <c r="U59" i="2" s="1"/>
  <c r="S59" i="2"/>
  <c r="Q59" i="2"/>
  <c r="P59" i="2"/>
  <c r="O59" i="2"/>
  <c r="N59" i="2"/>
  <c r="C59" i="2"/>
  <c r="AC58" i="2"/>
  <c r="AB58" i="2"/>
  <c r="Z58" i="2"/>
  <c r="W58" i="2"/>
  <c r="T58" i="2"/>
  <c r="V58" i="2" s="1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V55" i="2" s="1"/>
  <c r="S55" i="2"/>
  <c r="Q55" i="2"/>
  <c r="P55" i="2"/>
  <c r="O55" i="2"/>
  <c r="N55" i="2"/>
  <c r="C55" i="2"/>
  <c r="AC54" i="2"/>
  <c r="AB54" i="2"/>
  <c r="Z54" i="2"/>
  <c r="W54" i="2"/>
  <c r="T54" i="2"/>
  <c r="V54" i="2" s="1"/>
  <c r="S54" i="2"/>
  <c r="Q54" i="2"/>
  <c r="P54" i="2"/>
  <c r="O54" i="2"/>
  <c r="N54" i="2"/>
  <c r="C54" i="2"/>
  <c r="AC53" i="2"/>
  <c r="AB53" i="2"/>
  <c r="Z53" i="2"/>
  <c r="W53" i="2"/>
  <c r="T53" i="2"/>
  <c r="U53" i="2" s="1"/>
  <c r="S53" i="2"/>
  <c r="Q53" i="2"/>
  <c r="P53" i="2"/>
  <c r="O53" i="2"/>
  <c r="N53" i="2"/>
  <c r="C53" i="2"/>
  <c r="AC52" i="2"/>
  <c r="AB52" i="2"/>
  <c r="Z52" i="2"/>
  <c r="W52" i="2"/>
  <c r="T52" i="2"/>
  <c r="V52" i="2" s="1"/>
  <c r="S52" i="2"/>
  <c r="Q52" i="2"/>
  <c r="P52" i="2"/>
  <c r="O52" i="2"/>
  <c r="N52" i="2"/>
  <c r="C52" i="2"/>
  <c r="AC51" i="2"/>
  <c r="AB51" i="2"/>
  <c r="Z51" i="2"/>
  <c r="W51" i="2"/>
  <c r="T51" i="2"/>
  <c r="V51" i="2" s="1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U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V46" i="2" s="1"/>
  <c r="S46" i="2"/>
  <c r="Q46" i="2"/>
  <c r="P46" i="2"/>
  <c r="O46" i="2"/>
  <c r="N46" i="2"/>
  <c r="C46" i="2"/>
  <c r="AC45" i="2"/>
  <c r="AB45" i="2"/>
  <c r="Z45" i="2"/>
  <c r="W45" i="2"/>
  <c r="T45" i="2"/>
  <c r="V45" i="2" s="1"/>
  <c r="S45" i="2"/>
  <c r="Q45" i="2"/>
  <c r="P45" i="2"/>
  <c r="O45" i="2"/>
  <c r="N45" i="2"/>
  <c r="C45" i="2"/>
  <c r="AC44" i="2"/>
  <c r="AB44" i="2"/>
  <c r="Z44" i="2"/>
  <c r="W44" i="2"/>
  <c r="T44" i="2"/>
  <c r="S44" i="2"/>
  <c r="Q44" i="2"/>
  <c r="P44" i="2"/>
  <c r="O44" i="2"/>
  <c r="N44" i="2"/>
  <c r="C44" i="2"/>
  <c r="AC43" i="2"/>
  <c r="AB43" i="2"/>
  <c r="Z43" i="2"/>
  <c r="W43" i="2"/>
  <c r="T43" i="2"/>
  <c r="U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V41" i="2" s="1"/>
  <c r="S41" i="2"/>
  <c r="Q41" i="2"/>
  <c r="P41" i="2"/>
  <c r="O41" i="2"/>
  <c r="N41" i="2"/>
  <c r="C41" i="2"/>
  <c r="AC40" i="2"/>
  <c r="AB40" i="2"/>
  <c r="Z40" i="2"/>
  <c r="W40" i="2"/>
  <c r="T40" i="2"/>
  <c r="V40" i="2" s="1"/>
  <c r="S40" i="2"/>
  <c r="Q40" i="2"/>
  <c r="P40" i="2"/>
  <c r="O40" i="2"/>
  <c r="N40" i="2"/>
  <c r="C40" i="2"/>
  <c r="AC39" i="2"/>
  <c r="AB39" i="2"/>
  <c r="Z39" i="2"/>
  <c r="W39" i="2"/>
  <c r="T39" i="2"/>
  <c r="V39" i="2" s="1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U37" i="2" s="1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V34" i="2" s="1"/>
  <c r="S34" i="2"/>
  <c r="Q34" i="2"/>
  <c r="P34" i="2"/>
  <c r="O34" i="2"/>
  <c r="N34" i="2"/>
  <c r="C34" i="2"/>
  <c r="AC33" i="2"/>
  <c r="AB33" i="2"/>
  <c r="Z33" i="2"/>
  <c r="W33" i="2"/>
  <c r="T33" i="2"/>
  <c r="U33" i="2" s="1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O29" i="2"/>
  <c r="T29" i="2" s="1"/>
  <c r="U29" i="2" s="1"/>
  <c r="N29" i="2"/>
  <c r="Q29" i="2" s="1"/>
  <c r="S29" i="2" s="1"/>
  <c r="W29" i="2" s="1"/>
  <c r="C29" i="2"/>
  <c r="AC28" i="2"/>
  <c r="AB28" i="2"/>
  <c r="O28" i="2"/>
  <c r="T28" i="2" s="1"/>
  <c r="V28" i="2" s="1"/>
  <c r="N28" i="2"/>
  <c r="C28" i="2"/>
  <c r="AC27" i="2"/>
  <c r="AB27" i="2"/>
  <c r="O27" i="2"/>
  <c r="P27" i="2" s="1"/>
  <c r="N27" i="2"/>
  <c r="C27" i="2"/>
  <c r="AC26" i="2"/>
  <c r="AB26" i="2"/>
  <c r="O26" i="2"/>
  <c r="T26" i="2" s="1"/>
  <c r="V26" i="2" s="1"/>
  <c r="N26" i="2"/>
  <c r="C26" i="2"/>
  <c r="AC25" i="2"/>
  <c r="AB25" i="2"/>
  <c r="O25" i="2"/>
  <c r="T25" i="2" s="1"/>
  <c r="V25" i="2" s="1"/>
  <c r="N25" i="2"/>
  <c r="C25" i="2"/>
  <c r="AC24" i="2"/>
  <c r="AB24" i="2"/>
  <c r="O24" i="2"/>
  <c r="T24" i="2" s="1"/>
  <c r="N24" i="2"/>
  <c r="AC23" i="2"/>
  <c r="AB23" i="2"/>
  <c r="O23" i="2"/>
  <c r="P23" i="2" s="1"/>
  <c r="N23" i="2"/>
  <c r="C23" i="2"/>
  <c r="AC22" i="2"/>
  <c r="AB22" i="2"/>
  <c r="O22" i="2"/>
  <c r="T22" i="2" s="1"/>
  <c r="N22" i="2"/>
  <c r="C22" i="2"/>
  <c r="AC21" i="2"/>
  <c r="AB21" i="2"/>
  <c r="O21" i="2"/>
  <c r="T21" i="2" s="1"/>
  <c r="N21" i="2"/>
  <c r="C21" i="2"/>
  <c r="AC20" i="2"/>
  <c r="AB20" i="2"/>
  <c r="O20" i="2"/>
  <c r="T20" i="2" s="1"/>
  <c r="N20" i="2"/>
  <c r="C20" i="2"/>
  <c r="AC19" i="2"/>
  <c r="AB19" i="2"/>
  <c r="O19" i="2"/>
  <c r="P19" i="2" s="1"/>
  <c r="N19" i="2"/>
  <c r="C19" i="2"/>
  <c r="AC18" i="2"/>
  <c r="AB18" i="2"/>
  <c r="O18" i="2"/>
  <c r="N18" i="2"/>
  <c r="C18" i="2"/>
  <c r="AC17" i="2"/>
  <c r="AB17" i="2"/>
  <c r="O17" i="2"/>
  <c r="P17" i="2" s="1"/>
  <c r="N17" i="2"/>
  <c r="C17" i="2"/>
  <c r="AC16" i="2"/>
  <c r="AB16" i="2"/>
  <c r="O16" i="2"/>
  <c r="T16" i="2" s="1"/>
  <c r="U16" i="2" s="1"/>
  <c r="N16" i="2"/>
  <c r="C16" i="2"/>
  <c r="AC15" i="2"/>
  <c r="AB15" i="2"/>
  <c r="O15" i="2"/>
  <c r="T15" i="2" s="1"/>
  <c r="N15" i="2"/>
  <c r="C15" i="2"/>
  <c r="AC14" i="2"/>
  <c r="AB14" i="2"/>
  <c r="O14" i="2"/>
  <c r="P14" i="2" s="1"/>
  <c r="N14" i="2"/>
  <c r="C14" i="2"/>
  <c r="AC13" i="2"/>
  <c r="AB13" i="2"/>
  <c r="O13" i="2"/>
  <c r="T13" i="2" s="1"/>
  <c r="N13" i="2"/>
  <c r="C13" i="2"/>
  <c r="AC12" i="2"/>
  <c r="AB12" i="2"/>
  <c r="O12" i="2"/>
  <c r="N12" i="2"/>
  <c r="C12" i="2"/>
  <c r="AC11" i="2"/>
  <c r="AB11" i="2"/>
  <c r="O11" i="2"/>
  <c r="P11" i="2" s="1"/>
  <c r="N11" i="2"/>
  <c r="C11" i="2"/>
  <c r="AC10" i="2"/>
  <c r="AB10" i="2"/>
  <c r="O10" i="2"/>
  <c r="P10" i="2" s="1"/>
  <c r="N10" i="2"/>
  <c r="C10" i="2"/>
  <c r="AC9" i="2"/>
  <c r="AB9" i="2"/>
  <c r="O9" i="2"/>
  <c r="T9" i="2" s="1"/>
  <c r="N9" i="2"/>
  <c r="C9" i="2"/>
  <c r="AC8" i="2"/>
  <c r="AB8" i="2"/>
  <c r="O8" i="2"/>
  <c r="T8" i="2" s="1"/>
  <c r="N8" i="2"/>
  <c r="C8" i="2"/>
  <c r="AC7" i="2"/>
  <c r="AB7" i="2"/>
  <c r="O7" i="2"/>
  <c r="P7" i="2" s="1"/>
  <c r="N7" i="2"/>
  <c r="C7" i="2"/>
  <c r="AC6" i="2"/>
  <c r="AB6" i="2"/>
  <c r="O6" i="2"/>
  <c r="T6" i="2" s="1"/>
  <c r="N6" i="2"/>
  <c r="C6" i="2"/>
  <c r="AC5" i="2"/>
  <c r="AB5" i="2"/>
  <c r="O5" i="2"/>
  <c r="N5" i="2"/>
  <c r="C5" i="2"/>
  <c r="AC4" i="2"/>
  <c r="AB4" i="2"/>
  <c r="O4" i="2"/>
  <c r="T4" i="2" s="1"/>
  <c r="V4" i="2" s="1"/>
  <c r="N4" i="2"/>
  <c r="C4" i="2"/>
  <c r="AC3" i="2"/>
  <c r="AB3" i="2"/>
  <c r="O3" i="2"/>
  <c r="N3" i="2"/>
  <c r="C3" i="2"/>
  <c r="AC2" i="2"/>
  <c r="AB2" i="2"/>
  <c r="O2" i="2"/>
  <c r="P2" i="2" s="1"/>
  <c r="N2" i="2"/>
  <c r="C2" i="2"/>
  <c r="AR88" i="1"/>
  <c r="AQ88" i="1"/>
  <c r="AP88" i="1"/>
  <c r="AO88" i="1"/>
  <c r="U88" i="1" s="1"/>
  <c r="AJ88" i="1"/>
  <c r="P88" i="1"/>
  <c r="M88" i="1"/>
  <c r="AA88" i="1" s="1"/>
  <c r="L88" i="1"/>
  <c r="K88" i="1"/>
  <c r="G88" i="1"/>
  <c r="F88" i="1"/>
  <c r="AR87" i="1"/>
  <c r="AQ87" i="1"/>
  <c r="AP87" i="1"/>
  <c r="AO87" i="1"/>
  <c r="V87" i="1" s="1"/>
  <c r="AJ87" i="1"/>
  <c r="P87" i="1"/>
  <c r="M87" i="1"/>
  <c r="AA87" i="1" s="1"/>
  <c r="L87" i="1"/>
  <c r="K87" i="1"/>
  <c r="G87" i="1"/>
  <c r="F87" i="1"/>
  <c r="AR86" i="1"/>
  <c r="AQ86" i="1"/>
  <c r="AP86" i="1"/>
  <c r="AO86" i="1"/>
  <c r="V86" i="1" s="1"/>
  <c r="AJ86" i="1"/>
  <c r="P86" i="1"/>
  <c r="M86" i="1"/>
  <c r="AA86" i="1" s="1"/>
  <c r="L86" i="1"/>
  <c r="K86" i="1"/>
  <c r="G86" i="1"/>
  <c r="F86" i="1"/>
  <c r="AR85" i="1"/>
  <c r="AQ85" i="1"/>
  <c r="AP85" i="1"/>
  <c r="AO85" i="1"/>
  <c r="AJ85" i="1"/>
  <c r="P85" i="1"/>
  <c r="M85" i="1"/>
  <c r="AA85" i="1" s="1"/>
  <c r="L85" i="1"/>
  <c r="K85" i="1"/>
  <c r="G85" i="1"/>
  <c r="F85" i="1"/>
  <c r="AR84" i="1"/>
  <c r="AQ84" i="1"/>
  <c r="AP84" i="1"/>
  <c r="AO84" i="1"/>
  <c r="V84" i="1" s="1"/>
  <c r="AJ84" i="1"/>
  <c r="P84" i="1"/>
  <c r="M84" i="1"/>
  <c r="AA84" i="1" s="1"/>
  <c r="L84" i="1"/>
  <c r="K84" i="1"/>
  <c r="G84" i="1"/>
  <c r="F84" i="1"/>
  <c r="AR83" i="1"/>
  <c r="AQ83" i="1"/>
  <c r="AP83" i="1"/>
  <c r="AO83" i="1"/>
  <c r="U83" i="1" s="1"/>
  <c r="AJ83" i="1"/>
  <c r="P83" i="1"/>
  <c r="M83" i="1"/>
  <c r="AA83" i="1" s="1"/>
  <c r="L83" i="1"/>
  <c r="K83" i="1"/>
  <c r="G83" i="1"/>
  <c r="F83" i="1"/>
  <c r="AR82" i="1"/>
  <c r="AQ82" i="1"/>
  <c r="AP82" i="1"/>
  <c r="AO82" i="1"/>
  <c r="V82" i="1" s="1"/>
  <c r="AJ82" i="1"/>
  <c r="P82" i="1"/>
  <c r="M82" i="1"/>
  <c r="AA82" i="1" s="1"/>
  <c r="L82" i="1"/>
  <c r="K82" i="1"/>
  <c r="G82" i="1"/>
  <c r="F82" i="1"/>
  <c r="AR81" i="1"/>
  <c r="AQ81" i="1"/>
  <c r="AP81" i="1"/>
  <c r="AO81" i="1"/>
  <c r="U81" i="1" s="1"/>
  <c r="AJ81" i="1"/>
  <c r="P81" i="1"/>
  <c r="M81" i="1"/>
  <c r="AA81" i="1" s="1"/>
  <c r="L81" i="1"/>
  <c r="K81" i="1"/>
  <c r="G81" i="1"/>
  <c r="F81" i="1"/>
  <c r="AR80" i="1"/>
  <c r="AQ80" i="1"/>
  <c r="AP80" i="1"/>
  <c r="AO80" i="1"/>
  <c r="U80" i="1" s="1"/>
  <c r="AJ80" i="1"/>
  <c r="P80" i="1"/>
  <c r="M80" i="1"/>
  <c r="AA80" i="1" s="1"/>
  <c r="L80" i="1"/>
  <c r="K80" i="1"/>
  <c r="G80" i="1"/>
  <c r="F80" i="1"/>
  <c r="AR79" i="1"/>
  <c r="AQ79" i="1"/>
  <c r="AP79" i="1"/>
  <c r="AO79" i="1"/>
  <c r="AJ79" i="1"/>
  <c r="P79" i="1"/>
  <c r="M79" i="1"/>
  <c r="AA79" i="1" s="1"/>
  <c r="L79" i="1"/>
  <c r="K79" i="1"/>
  <c r="G79" i="1"/>
  <c r="F79" i="1"/>
  <c r="AR78" i="1"/>
  <c r="AQ78" i="1"/>
  <c r="AP78" i="1"/>
  <c r="AO78" i="1"/>
  <c r="AJ78" i="1"/>
  <c r="P78" i="1"/>
  <c r="M78" i="1"/>
  <c r="AA78" i="1" s="1"/>
  <c r="L78" i="1"/>
  <c r="K78" i="1"/>
  <c r="G78" i="1"/>
  <c r="F78" i="1"/>
  <c r="AR77" i="1"/>
  <c r="AQ77" i="1"/>
  <c r="AP77" i="1"/>
  <c r="AO77" i="1"/>
  <c r="U77" i="1" s="1"/>
  <c r="AJ77" i="1"/>
  <c r="P77" i="1"/>
  <c r="M77" i="1"/>
  <c r="AA77" i="1" s="1"/>
  <c r="L77" i="1"/>
  <c r="K77" i="1"/>
  <c r="G77" i="1"/>
  <c r="F77" i="1"/>
  <c r="AR76" i="1"/>
  <c r="AQ76" i="1"/>
  <c r="AP76" i="1"/>
  <c r="AO76" i="1"/>
  <c r="V76" i="1" s="1"/>
  <c r="AJ76" i="1"/>
  <c r="P76" i="1"/>
  <c r="M76" i="1"/>
  <c r="AA76" i="1" s="1"/>
  <c r="L76" i="1"/>
  <c r="K76" i="1"/>
  <c r="G76" i="1"/>
  <c r="F76" i="1"/>
  <c r="AR75" i="1"/>
  <c r="AQ75" i="1"/>
  <c r="AP75" i="1"/>
  <c r="AO75" i="1"/>
  <c r="V75" i="1" s="1"/>
  <c r="AJ75" i="1"/>
  <c r="P75" i="1"/>
  <c r="M75" i="1"/>
  <c r="AA75" i="1" s="1"/>
  <c r="L75" i="1"/>
  <c r="K75" i="1"/>
  <c r="G75" i="1"/>
  <c r="F75" i="1"/>
  <c r="AR74" i="1"/>
  <c r="AQ74" i="1"/>
  <c r="AP74" i="1"/>
  <c r="AO74" i="1"/>
  <c r="V74" i="1" s="1"/>
  <c r="AJ74" i="1"/>
  <c r="P74" i="1"/>
  <c r="M74" i="1"/>
  <c r="AA74" i="1" s="1"/>
  <c r="L74" i="1"/>
  <c r="K74" i="1"/>
  <c r="G74" i="1"/>
  <c r="F74" i="1"/>
  <c r="AR73" i="1"/>
  <c r="AQ73" i="1"/>
  <c r="AP73" i="1"/>
  <c r="AO73" i="1"/>
  <c r="U73" i="1" s="1"/>
  <c r="AJ73" i="1"/>
  <c r="P73" i="1"/>
  <c r="M73" i="1"/>
  <c r="AA73" i="1" s="1"/>
  <c r="L73" i="1"/>
  <c r="K73" i="1"/>
  <c r="G73" i="1"/>
  <c r="F73" i="1"/>
  <c r="AR72" i="1"/>
  <c r="AQ72" i="1"/>
  <c r="AP72" i="1"/>
  <c r="AO72" i="1"/>
  <c r="V72" i="1" s="1"/>
  <c r="AJ72" i="1"/>
  <c r="P72" i="1"/>
  <c r="M72" i="1"/>
  <c r="AA72" i="1" s="1"/>
  <c r="L72" i="1"/>
  <c r="K72" i="1"/>
  <c r="G72" i="1"/>
  <c r="F72" i="1"/>
  <c r="AR71" i="1"/>
  <c r="AQ71" i="1"/>
  <c r="AP71" i="1"/>
  <c r="AO71" i="1"/>
  <c r="U71" i="1" s="1"/>
  <c r="AJ71" i="1"/>
  <c r="P71" i="1"/>
  <c r="M71" i="1"/>
  <c r="AA71" i="1" s="1"/>
  <c r="L71" i="1"/>
  <c r="K71" i="1"/>
  <c r="G71" i="1"/>
  <c r="F71" i="1"/>
  <c r="AR70" i="1"/>
  <c r="AQ70" i="1"/>
  <c r="AP70" i="1"/>
  <c r="AO70" i="1"/>
  <c r="V70" i="1" s="1"/>
  <c r="AJ70" i="1"/>
  <c r="P70" i="1"/>
  <c r="M70" i="1"/>
  <c r="AA70" i="1" s="1"/>
  <c r="L70" i="1"/>
  <c r="K70" i="1"/>
  <c r="G70" i="1"/>
  <c r="F70" i="1"/>
  <c r="AR69" i="1"/>
  <c r="AQ69" i="1"/>
  <c r="AP69" i="1"/>
  <c r="AO69" i="1"/>
  <c r="V69" i="1" s="1"/>
  <c r="AJ69" i="1"/>
  <c r="P69" i="1"/>
  <c r="M69" i="1"/>
  <c r="AA69" i="1" s="1"/>
  <c r="L69" i="1"/>
  <c r="K69" i="1"/>
  <c r="G69" i="1"/>
  <c r="F69" i="1"/>
  <c r="AR68" i="1"/>
  <c r="AQ68" i="1"/>
  <c r="AP68" i="1"/>
  <c r="AO68" i="1"/>
  <c r="U68" i="1" s="1"/>
  <c r="AJ68" i="1"/>
  <c r="P68" i="1"/>
  <c r="M68" i="1"/>
  <c r="AA68" i="1" s="1"/>
  <c r="L68" i="1"/>
  <c r="K68" i="1"/>
  <c r="G68" i="1"/>
  <c r="F68" i="1"/>
  <c r="AR67" i="1"/>
  <c r="AQ67" i="1"/>
  <c r="AP67" i="1"/>
  <c r="AO67" i="1"/>
  <c r="V67" i="1" s="1"/>
  <c r="AJ67" i="1"/>
  <c r="P67" i="1"/>
  <c r="M67" i="1"/>
  <c r="AA67" i="1" s="1"/>
  <c r="L67" i="1"/>
  <c r="K67" i="1"/>
  <c r="G67" i="1"/>
  <c r="F67" i="1"/>
  <c r="AR66" i="1"/>
  <c r="AQ66" i="1"/>
  <c r="AP66" i="1"/>
  <c r="AO66" i="1"/>
  <c r="U66" i="1" s="1"/>
  <c r="AJ66" i="1"/>
  <c r="P66" i="1"/>
  <c r="M66" i="1"/>
  <c r="AA66" i="1" s="1"/>
  <c r="L66" i="1"/>
  <c r="K66" i="1"/>
  <c r="G66" i="1"/>
  <c r="F66" i="1"/>
  <c r="AR65" i="1"/>
  <c r="AQ65" i="1"/>
  <c r="AP65" i="1"/>
  <c r="AO65" i="1"/>
  <c r="AJ65" i="1"/>
  <c r="P65" i="1"/>
  <c r="M65" i="1"/>
  <c r="AA65" i="1" s="1"/>
  <c r="L65" i="1"/>
  <c r="K65" i="1"/>
  <c r="G65" i="1"/>
  <c r="F65" i="1"/>
  <c r="AR64" i="1"/>
  <c r="AQ64" i="1"/>
  <c r="AP64" i="1"/>
  <c r="AO64" i="1"/>
  <c r="V64" i="1" s="1"/>
  <c r="AJ64" i="1"/>
  <c r="P64" i="1"/>
  <c r="M64" i="1"/>
  <c r="AA64" i="1" s="1"/>
  <c r="L64" i="1"/>
  <c r="K64" i="1"/>
  <c r="G64" i="1"/>
  <c r="F64" i="1"/>
  <c r="AR63" i="1"/>
  <c r="AQ63" i="1"/>
  <c r="AP63" i="1"/>
  <c r="AO63" i="1"/>
  <c r="U63" i="1" s="1"/>
  <c r="AJ63" i="1"/>
  <c r="P63" i="1"/>
  <c r="M63" i="1"/>
  <c r="AA63" i="1" s="1"/>
  <c r="L63" i="1"/>
  <c r="K63" i="1"/>
  <c r="G63" i="1"/>
  <c r="F63" i="1"/>
  <c r="AR62" i="1"/>
  <c r="AQ62" i="1"/>
  <c r="AP62" i="1"/>
  <c r="AO62" i="1"/>
  <c r="V62" i="1" s="1"/>
  <c r="AJ62" i="1"/>
  <c r="P62" i="1"/>
  <c r="M62" i="1"/>
  <c r="AA62" i="1" s="1"/>
  <c r="L62" i="1"/>
  <c r="K62" i="1"/>
  <c r="G62" i="1"/>
  <c r="F62" i="1"/>
  <c r="AR61" i="1"/>
  <c r="AQ61" i="1"/>
  <c r="AP61" i="1"/>
  <c r="AO61" i="1"/>
  <c r="U61" i="1" s="1"/>
  <c r="AJ61" i="1"/>
  <c r="P61" i="1"/>
  <c r="M61" i="1"/>
  <c r="AA61" i="1" s="1"/>
  <c r="L61" i="1"/>
  <c r="K61" i="1"/>
  <c r="G61" i="1"/>
  <c r="F61" i="1"/>
  <c r="AR60" i="1"/>
  <c r="AQ60" i="1"/>
  <c r="AP60" i="1"/>
  <c r="AO60" i="1"/>
  <c r="U60" i="1" s="1"/>
  <c r="AJ60" i="1"/>
  <c r="P60" i="1"/>
  <c r="M60" i="1"/>
  <c r="AA60" i="1" s="1"/>
  <c r="L60" i="1"/>
  <c r="K60" i="1"/>
  <c r="G60" i="1"/>
  <c r="F60" i="1"/>
  <c r="AR59" i="1"/>
  <c r="AQ59" i="1"/>
  <c r="AP59" i="1"/>
  <c r="AO59" i="1"/>
  <c r="AJ59" i="1"/>
  <c r="P59" i="1"/>
  <c r="M59" i="1"/>
  <c r="AA59" i="1" s="1"/>
  <c r="L59" i="1"/>
  <c r="K59" i="1"/>
  <c r="G59" i="1"/>
  <c r="F59" i="1"/>
  <c r="AR58" i="1"/>
  <c r="AQ58" i="1"/>
  <c r="AP58" i="1"/>
  <c r="AO58" i="1"/>
  <c r="AJ58" i="1"/>
  <c r="P58" i="1"/>
  <c r="M58" i="1"/>
  <c r="AA58" i="1" s="1"/>
  <c r="L58" i="1"/>
  <c r="K58" i="1"/>
  <c r="G58" i="1"/>
  <c r="F58" i="1"/>
  <c r="AR57" i="1"/>
  <c r="AQ57" i="1"/>
  <c r="AP57" i="1"/>
  <c r="AO57" i="1"/>
  <c r="U57" i="1" s="1"/>
  <c r="AJ57" i="1"/>
  <c r="P57" i="1"/>
  <c r="M57" i="1"/>
  <c r="AA57" i="1" s="1"/>
  <c r="L57" i="1"/>
  <c r="K57" i="1"/>
  <c r="G57" i="1"/>
  <c r="F57" i="1"/>
  <c r="AR56" i="1"/>
  <c r="AQ56" i="1"/>
  <c r="AP56" i="1"/>
  <c r="AO56" i="1"/>
  <c r="V56" i="1" s="1"/>
  <c r="AJ56" i="1"/>
  <c r="P56" i="1"/>
  <c r="M56" i="1"/>
  <c r="AA56" i="1" s="1"/>
  <c r="L56" i="1"/>
  <c r="K56" i="1"/>
  <c r="G56" i="1"/>
  <c r="F56" i="1"/>
  <c r="AR55" i="1"/>
  <c r="AQ55" i="1"/>
  <c r="AP55" i="1"/>
  <c r="AO55" i="1"/>
  <c r="V55" i="1" s="1"/>
  <c r="AJ55" i="1"/>
  <c r="P55" i="1"/>
  <c r="M55" i="1"/>
  <c r="AA55" i="1" s="1"/>
  <c r="L55" i="1"/>
  <c r="K55" i="1"/>
  <c r="G55" i="1"/>
  <c r="F55" i="1"/>
  <c r="AR54" i="1"/>
  <c r="AQ54" i="1"/>
  <c r="AP54" i="1"/>
  <c r="AO54" i="1"/>
  <c r="V54" i="1" s="1"/>
  <c r="AJ54" i="1"/>
  <c r="P54" i="1"/>
  <c r="M54" i="1"/>
  <c r="AA54" i="1" s="1"/>
  <c r="L54" i="1"/>
  <c r="K54" i="1"/>
  <c r="G54" i="1"/>
  <c r="F54" i="1"/>
  <c r="AR53" i="1"/>
  <c r="AQ53" i="1"/>
  <c r="AP53" i="1"/>
  <c r="AO53" i="1"/>
  <c r="V53" i="1" s="1"/>
  <c r="AJ53" i="1"/>
  <c r="P53" i="1"/>
  <c r="M53" i="1"/>
  <c r="AA53" i="1" s="1"/>
  <c r="L53" i="1"/>
  <c r="K53" i="1"/>
  <c r="G53" i="1"/>
  <c r="F53" i="1"/>
  <c r="AR52" i="1"/>
  <c r="AQ52" i="1"/>
  <c r="AP52" i="1"/>
  <c r="AO52" i="1"/>
  <c r="U52" i="1" s="1"/>
  <c r="AJ52" i="1"/>
  <c r="P52" i="1"/>
  <c r="M52" i="1"/>
  <c r="AA52" i="1" s="1"/>
  <c r="L52" i="1"/>
  <c r="K52" i="1"/>
  <c r="G52" i="1"/>
  <c r="F52" i="1"/>
  <c r="AR51" i="1"/>
  <c r="AQ51" i="1"/>
  <c r="AP51" i="1"/>
  <c r="AO51" i="1"/>
  <c r="AJ51" i="1"/>
  <c r="P51" i="1"/>
  <c r="M51" i="1"/>
  <c r="AA51" i="1" s="1"/>
  <c r="L51" i="1"/>
  <c r="K51" i="1"/>
  <c r="G51" i="1"/>
  <c r="F51" i="1"/>
  <c r="AR50" i="1"/>
  <c r="AQ50" i="1"/>
  <c r="AP50" i="1"/>
  <c r="AO50" i="1"/>
  <c r="V50" i="1" s="1"/>
  <c r="AJ50" i="1"/>
  <c r="P50" i="1"/>
  <c r="M50" i="1"/>
  <c r="AA50" i="1" s="1"/>
  <c r="L50" i="1"/>
  <c r="K50" i="1"/>
  <c r="G50" i="1"/>
  <c r="F50" i="1"/>
  <c r="AR49" i="1"/>
  <c r="AQ49" i="1"/>
  <c r="AP49" i="1"/>
  <c r="AO49" i="1"/>
  <c r="U49" i="1" s="1"/>
  <c r="AJ49" i="1"/>
  <c r="P49" i="1"/>
  <c r="M49" i="1"/>
  <c r="AA49" i="1" s="1"/>
  <c r="L49" i="1"/>
  <c r="K49" i="1"/>
  <c r="G49" i="1"/>
  <c r="F49" i="1"/>
  <c r="AR48" i="1"/>
  <c r="AQ48" i="1"/>
  <c r="AP48" i="1"/>
  <c r="AO48" i="1"/>
  <c r="U48" i="1" s="1"/>
  <c r="AJ48" i="1"/>
  <c r="P48" i="1"/>
  <c r="M48" i="1"/>
  <c r="AA48" i="1" s="1"/>
  <c r="L48" i="1"/>
  <c r="K48" i="1"/>
  <c r="G48" i="1"/>
  <c r="F48" i="1"/>
  <c r="AR47" i="1"/>
  <c r="AQ47" i="1"/>
  <c r="AP47" i="1"/>
  <c r="AO47" i="1"/>
  <c r="V47" i="1" s="1"/>
  <c r="AJ47" i="1"/>
  <c r="P47" i="1"/>
  <c r="M47" i="1"/>
  <c r="AA47" i="1" s="1"/>
  <c r="L47" i="1"/>
  <c r="K47" i="1"/>
  <c r="G47" i="1"/>
  <c r="F47" i="1"/>
  <c r="AR46" i="1"/>
  <c r="AQ46" i="1"/>
  <c r="AP46" i="1"/>
  <c r="AO46" i="1"/>
  <c r="V46" i="1" s="1"/>
  <c r="AJ46" i="1"/>
  <c r="P46" i="1"/>
  <c r="M46" i="1"/>
  <c r="AA46" i="1" s="1"/>
  <c r="L46" i="1"/>
  <c r="K46" i="1"/>
  <c r="G46" i="1"/>
  <c r="F46" i="1"/>
  <c r="AR45" i="1"/>
  <c r="AQ45" i="1"/>
  <c r="AP45" i="1"/>
  <c r="AO45" i="1"/>
  <c r="AJ45" i="1"/>
  <c r="P45" i="1"/>
  <c r="M45" i="1"/>
  <c r="L45" i="1"/>
  <c r="K45" i="1"/>
  <c r="G45" i="1"/>
  <c r="F45" i="1"/>
  <c r="AR44" i="1"/>
  <c r="AQ44" i="1"/>
  <c r="AP44" i="1"/>
  <c r="AO44" i="1"/>
  <c r="V44" i="1" s="1"/>
  <c r="AJ44" i="1"/>
  <c r="P44" i="1"/>
  <c r="M44" i="1"/>
  <c r="AA44" i="1" s="1"/>
  <c r="L44" i="1"/>
  <c r="K44" i="1"/>
  <c r="G44" i="1"/>
  <c r="F44" i="1"/>
  <c r="AR43" i="1"/>
  <c r="AQ43" i="1"/>
  <c r="AP43" i="1"/>
  <c r="AO43" i="1"/>
  <c r="V43" i="1" s="1"/>
  <c r="AJ43" i="1"/>
  <c r="P43" i="1"/>
  <c r="M43" i="1"/>
  <c r="AA43" i="1" s="1"/>
  <c r="L43" i="1"/>
  <c r="K43" i="1"/>
  <c r="G43" i="1"/>
  <c r="F43" i="1"/>
  <c r="AR42" i="1"/>
  <c r="AQ42" i="1"/>
  <c r="AP42" i="1"/>
  <c r="AO42" i="1"/>
  <c r="V42" i="1" s="1"/>
  <c r="AJ42" i="1"/>
  <c r="P42" i="1"/>
  <c r="M42" i="1"/>
  <c r="AA42" i="1" s="1"/>
  <c r="L42" i="1"/>
  <c r="K42" i="1"/>
  <c r="G42" i="1"/>
  <c r="F42" i="1"/>
  <c r="AR41" i="1"/>
  <c r="AQ41" i="1"/>
  <c r="AP41" i="1"/>
  <c r="AO41" i="1"/>
  <c r="U41" i="1" s="1"/>
  <c r="AJ41" i="1"/>
  <c r="P41" i="1"/>
  <c r="M41" i="1"/>
  <c r="AA41" i="1" s="1"/>
  <c r="L41" i="1"/>
  <c r="K41" i="1"/>
  <c r="G41" i="1"/>
  <c r="F41" i="1"/>
  <c r="AR40" i="1"/>
  <c r="AQ40" i="1"/>
  <c r="AP40" i="1"/>
  <c r="AO40" i="1"/>
  <c r="U40" i="1" s="1"/>
  <c r="AJ40" i="1"/>
  <c r="P40" i="1"/>
  <c r="M40" i="1"/>
  <c r="AA40" i="1" s="1"/>
  <c r="L40" i="1"/>
  <c r="K40" i="1"/>
  <c r="G40" i="1"/>
  <c r="F40" i="1"/>
  <c r="AR39" i="1"/>
  <c r="AQ39" i="1"/>
  <c r="AP39" i="1"/>
  <c r="AO39" i="1"/>
  <c r="AJ39" i="1"/>
  <c r="P39" i="1"/>
  <c r="M39" i="1"/>
  <c r="AA39" i="1" s="1"/>
  <c r="L39" i="1"/>
  <c r="K39" i="1"/>
  <c r="G39" i="1"/>
  <c r="F39" i="1"/>
  <c r="AR38" i="1"/>
  <c r="AQ38" i="1"/>
  <c r="AP38" i="1"/>
  <c r="AO38" i="1"/>
  <c r="AJ38" i="1"/>
  <c r="P38" i="1"/>
  <c r="M38" i="1"/>
  <c r="AA38" i="1" s="1"/>
  <c r="L38" i="1"/>
  <c r="K38" i="1"/>
  <c r="G38" i="1"/>
  <c r="F38" i="1"/>
  <c r="AR37" i="1"/>
  <c r="AQ37" i="1"/>
  <c r="AP37" i="1"/>
  <c r="AO37" i="1"/>
  <c r="U37" i="1" s="1"/>
  <c r="AJ37" i="1"/>
  <c r="P37" i="1"/>
  <c r="M37" i="1"/>
  <c r="AA37" i="1" s="1"/>
  <c r="L37" i="1"/>
  <c r="K37" i="1"/>
  <c r="G37" i="1"/>
  <c r="F37" i="1"/>
  <c r="AR36" i="1"/>
  <c r="AQ36" i="1"/>
  <c r="AP36" i="1"/>
  <c r="AO36" i="1"/>
  <c r="V36" i="1" s="1"/>
  <c r="AJ36" i="1"/>
  <c r="P36" i="1"/>
  <c r="M36" i="1"/>
  <c r="AA36" i="1" s="1"/>
  <c r="L36" i="1"/>
  <c r="K36" i="1"/>
  <c r="G36" i="1"/>
  <c r="F36" i="1"/>
  <c r="AR35" i="1"/>
  <c r="AQ35" i="1"/>
  <c r="AP35" i="1"/>
  <c r="AO35" i="1"/>
  <c r="V35" i="1" s="1"/>
  <c r="AJ35" i="1"/>
  <c r="P35" i="1"/>
  <c r="M35" i="1"/>
  <c r="AA35" i="1" s="1"/>
  <c r="L35" i="1"/>
  <c r="K35" i="1"/>
  <c r="G35" i="1"/>
  <c r="F35" i="1"/>
  <c r="AR34" i="1"/>
  <c r="AQ34" i="1"/>
  <c r="AP34" i="1"/>
  <c r="AO34" i="1"/>
  <c r="U34" i="1" s="1"/>
  <c r="AJ34" i="1"/>
  <c r="P34" i="1"/>
  <c r="M34" i="1"/>
  <c r="AA34" i="1" s="1"/>
  <c r="L34" i="1"/>
  <c r="K34" i="1"/>
  <c r="G34" i="1"/>
  <c r="F34" i="1"/>
  <c r="AR33" i="1"/>
  <c r="AQ33" i="1"/>
  <c r="AP33" i="1"/>
  <c r="AO33" i="1"/>
  <c r="V33" i="1" s="1"/>
  <c r="AJ33" i="1"/>
  <c r="P33" i="1"/>
  <c r="M33" i="1"/>
  <c r="AA33" i="1" s="1"/>
  <c r="L33" i="1"/>
  <c r="K33" i="1"/>
  <c r="G33" i="1"/>
  <c r="F33" i="1"/>
  <c r="AR32" i="1"/>
  <c r="AQ32" i="1"/>
  <c r="AP32" i="1"/>
  <c r="AO32" i="1"/>
  <c r="V32" i="1" s="1"/>
  <c r="AJ32" i="1"/>
  <c r="P32" i="1"/>
  <c r="M32" i="1"/>
  <c r="AA32" i="1" s="1"/>
  <c r="L32" i="1"/>
  <c r="K32" i="1"/>
  <c r="G32" i="1"/>
  <c r="F32" i="1"/>
  <c r="AR31" i="1"/>
  <c r="AQ31" i="1"/>
  <c r="AP31" i="1"/>
  <c r="AO31" i="1"/>
  <c r="AJ31" i="1"/>
  <c r="P31" i="1"/>
  <c r="M31" i="1"/>
  <c r="AA31" i="1" s="1"/>
  <c r="L31" i="1"/>
  <c r="K31" i="1"/>
  <c r="G31" i="1"/>
  <c r="F31" i="1"/>
  <c r="AR30" i="1"/>
  <c r="AP30" i="1"/>
  <c r="AO30" i="1"/>
  <c r="V30" i="1" s="1"/>
  <c r="AJ30" i="1"/>
  <c r="P30" i="1"/>
  <c r="M30" i="1"/>
  <c r="AA30" i="1" s="1"/>
  <c r="K30" i="1"/>
  <c r="F30" i="1"/>
  <c r="AP29" i="1"/>
  <c r="AO29" i="1" s="1"/>
  <c r="V29" i="1" s="1"/>
  <c r="AJ29" i="1"/>
  <c r="P29" i="1"/>
  <c r="M29" i="1"/>
  <c r="AA29" i="1" s="1"/>
  <c r="K29" i="1"/>
  <c r="F29" i="1"/>
  <c r="AP28" i="1"/>
  <c r="AO28" i="1" s="1"/>
  <c r="U28" i="1" s="1"/>
  <c r="AJ28" i="1"/>
  <c r="P28" i="1"/>
  <c r="M28" i="1"/>
  <c r="AA28" i="1" s="1"/>
  <c r="K28" i="1"/>
  <c r="F28" i="1"/>
  <c r="AP27" i="1"/>
  <c r="AO27" i="1" s="1"/>
  <c r="V27" i="1" s="1"/>
  <c r="AJ27" i="1"/>
  <c r="P27" i="1"/>
  <c r="M27" i="1"/>
  <c r="AA27" i="1" s="1"/>
  <c r="K27" i="1"/>
  <c r="F27" i="1"/>
  <c r="AP26" i="1"/>
  <c r="Z26" i="2" s="1"/>
  <c r="AJ26" i="1"/>
  <c r="P26" i="1"/>
  <c r="M26" i="1"/>
  <c r="AA26" i="1" s="1"/>
  <c r="K26" i="1"/>
  <c r="F26" i="1"/>
  <c r="AP25" i="1"/>
  <c r="AO25" i="1" s="1"/>
  <c r="U25" i="1" s="1"/>
  <c r="AJ25" i="1"/>
  <c r="P25" i="1"/>
  <c r="M25" i="1"/>
  <c r="AA25" i="1" s="1"/>
  <c r="K25" i="1"/>
  <c r="F25" i="1"/>
  <c r="AP24" i="1"/>
  <c r="AO24" i="1" s="1"/>
  <c r="V24" i="1" s="1"/>
  <c r="AJ24" i="1"/>
  <c r="P24" i="1"/>
  <c r="M24" i="1"/>
  <c r="AA24" i="1" s="1"/>
  <c r="K24" i="1"/>
  <c r="F24" i="1"/>
  <c r="AP23" i="1"/>
  <c r="Z23" i="2" s="1"/>
  <c r="AJ23" i="1"/>
  <c r="P23" i="1"/>
  <c r="M23" i="1"/>
  <c r="AA23" i="1" s="1"/>
  <c r="K23" i="1"/>
  <c r="F23" i="1"/>
  <c r="AP22" i="1"/>
  <c r="Z22" i="2" s="1"/>
  <c r="AJ22" i="1"/>
  <c r="P22" i="1"/>
  <c r="M22" i="1"/>
  <c r="AA22" i="1" s="1"/>
  <c r="K22" i="1"/>
  <c r="G22" i="1"/>
  <c r="F22" i="1"/>
  <c r="AP21" i="1"/>
  <c r="Z21" i="2" s="1"/>
  <c r="AJ21" i="1"/>
  <c r="P21" i="1"/>
  <c r="M21" i="1"/>
  <c r="AA21" i="1" s="1"/>
  <c r="K21" i="1"/>
  <c r="G21" i="1"/>
  <c r="F21" i="1"/>
  <c r="AP20" i="1"/>
  <c r="AJ20" i="1"/>
  <c r="P20" i="1"/>
  <c r="M20" i="1"/>
  <c r="AA20" i="1" s="1"/>
  <c r="K20" i="1"/>
  <c r="G20" i="1"/>
  <c r="F20" i="1"/>
  <c r="AP19" i="1"/>
  <c r="Z19" i="2" s="1"/>
  <c r="AJ19" i="1"/>
  <c r="P19" i="1"/>
  <c r="M19" i="1"/>
  <c r="AQ19" i="1" s="1"/>
  <c r="K19" i="1"/>
  <c r="G19" i="1"/>
  <c r="F19" i="1"/>
  <c r="AP18" i="1"/>
  <c r="Z18" i="2" s="1"/>
  <c r="AJ18" i="1"/>
  <c r="P18" i="1"/>
  <c r="M18" i="1"/>
  <c r="AQ18" i="1" s="1"/>
  <c r="K18" i="1"/>
  <c r="G18" i="1"/>
  <c r="F18" i="1"/>
  <c r="AP17" i="1"/>
  <c r="AJ17" i="1"/>
  <c r="P17" i="1"/>
  <c r="M17" i="1"/>
  <c r="AQ17" i="1" s="1"/>
  <c r="K17" i="1"/>
  <c r="G17" i="1"/>
  <c r="F17" i="1"/>
  <c r="AP16" i="1"/>
  <c r="Z16" i="2" s="1"/>
  <c r="AJ16" i="1"/>
  <c r="P16" i="1"/>
  <c r="M16" i="1"/>
  <c r="AA16" i="1" s="1"/>
  <c r="K16" i="1"/>
  <c r="G16" i="1"/>
  <c r="F16" i="1"/>
  <c r="AP15" i="1"/>
  <c r="Z15" i="2" s="1"/>
  <c r="AJ15" i="1"/>
  <c r="P15" i="1"/>
  <c r="M15" i="1"/>
  <c r="AQ15" i="1" s="1"/>
  <c r="G15" i="1"/>
  <c r="F15" i="1"/>
  <c r="AQ14" i="1"/>
  <c r="AP14" i="1"/>
  <c r="AO14" i="1" s="1"/>
  <c r="AJ14" i="1"/>
  <c r="AA14" i="1"/>
  <c r="P14" i="1"/>
  <c r="G14" i="1"/>
  <c r="F14" i="1"/>
  <c r="AP13" i="1"/>
  <c r="AJ13" i="1"/>
  <c r="P13" i="1"/>
  <c r="M13" i="1"/>
  <c r="AA13" i="1" s="1"/>
  <c r="G13" i="1"/>
  <c r="F13" i="1"/>
  <c r="AP12" i="1"/>
  <c r="AJ12" i="1"/>
  <c r="P12" i="1"/>
  <c r="M12" i="1"/>
  <c r="K12" i="1"/>
  <c r="G12" i="1"/>
  <c r="F12" i="1"/>
  <c r="AP11" i="1"/>
  <c r="Z11" i="2" s="1"/>
  <c r="AJ11" i="1"/>
  <c r="P11" i="1"/>
  <c r="M11" i="1"/>
  <c r="K11" i="1"/>
  <c r="G11" i="1"/>
  <c r="F11" i="1"/>
  <c r="AP10" i="1"/>
  <c r="Z10" i="2" s="1"/>
  <c r="AJ10" i="1"/>
  <c r="P10" i="1"/>
  <c r="M10" i="1"/>
  <c r="K10" i="1"/>
  <c r="G10" i="1"/>
  <c r="F10" i="1"/>
  <c r="AP9" i="1"/>
  <c r="AO9" i="1" s="1"/>
  <c r="U9" i="1" s="1"/>
  <c r="AJ9" i="1"/>
  <c r="P9" i="1"/>
  <c r="M9" i="1"/>
  <c r="AQ9" i="1" s="1"/>
  <c r="K9" i="1"/>
  <c r="G9" i="1"/>
  <c r="F9" i="1"/>
  <c r="AQ8" i="1"/>
  <c r="AP8" i="1"/>
  <c r="Z8" i="2" s="1"/>
  <c r="AJ8" i="1"/>
  <c r="AA8" i="1"/>
  <c r="P8" i="1"/>
  <c r="G8" i="1"/>
  <c r="F8" i="1"/>
  <c r="AP7" i="1"/>
  <c r="Z7" i="2" s="1"/>
  <c r="AJ7" i="1"/>
  <c r="P7" i="1"/>
  <c r="M7" i="1"/>
  <c r="AQ7" i="1" s="1"/>
  <c r="K7" i="1"/>
  <c r="G7" i="1"/>
  <c r="F7" i="1"/>
  <c r="AP6" i="1"/>
  <c r="Z6" i="2" s="1"/>
  <c r="AJ6" i="1"/>
  <c r="P6" i="1"/>
  <c r="M6" i="1"/>
  <c r="AA6" i="1" s="1"/>
  <c r="G6" i="1"/>
  <c r="F6" i="1"/>
  <c r="AP5" i="1"/>
  <c r="Z5" i="2" s="1"/>
  <c r="AJ5" i="1"/>
  <c r="P5" i="1"/>
  <c r="M5" i="1"/>
  <c r="AQ5" i="1" s="1"/>
  <c r="G5" i="1"/>
  <c r="F5" i="1"/>
  <c r="AP4" i="1"/>
  <c r="Z4" i="2" s="1"/>
  <c r="AJ4" i="1"/>
  <c r="P4" i="1"/>
  <c r="M4" i="1"/>
  <c r="AQ4" i="1" s="1"/>
  <c r="K4" i="1"/>
  <c r="G4" i="1"/>
  <c r="F4" i="1"/>
  <c r="AP3" i="1"/>
  <c r="Z3" i="2" s="1"/>
  <c r="AJ3" i="1"/>
  <c r="P3" i="1"/>
  <c r="M3" i="1"/>
  <c r="AQ3" i="1" s="1"/>
  <c r="G3" i="1"/>
  <c r="F3" i="1"/>
  <c r="AP2" i="1"/>
  <c r="Z2" i="2" s="1"/>
  <c r="AJ2" i="1"/>
  <c r="P2" i="1"/>
  <c r="M2" i="1"/>
  <c r="G2" i="1"/>
  <c r="F2" i="1"/>
  <c r="Z29" i="2" l="1"/>
  <c r="P29" i="2"/>
  <c r="AQ30" i="1"/>
  <c r="Z28" i="2"/>
  <c r="Q28" i="2"/>
  <c r="S28" i="2" s="1"/>
  <c r="W28" i="2" s="1"/>
  <c r="Z27" i="2"/>
  <c r="Q27" i="2"/>
  <c r="S27" i="2" s="1"/>
  <c r="W27" i="2" s="1"/>
  <c r="P28" i="2"/>
  <c r="Q25" i="2"/>
  <c r="S25" i="2" s="1"/>
  <c r="W25" i="2" s="1"/>
  <c r="T27" i="2"/>
  <c r="V27" i="2" s="1"/>
  <c r="AO26" i="1"/>
  <c r="V26" i="1" s="1"/>
  <c r="Q26" i="2"/>
  <c r="S26" i="2" s="1"/>
  <c r="W26" i="2" s="1"/>
  <c r="P26" i="2"/>
  <c r="Z25" i="2"/>
  <c r="P25" i="2"/>
  <c r="Z24" i="2"/>
  <c r="Q24" i="2"/>
  <c r="S24" i="2" s="1"/>
  <c r="W24" i="2" s="1"/>
  <c r="V57" i="1"/>
  <c r="W57" i="1" s="1"/>
  <c r="AO23" i="1"/>
  <c r="V23" i="1" s="1"/>
  <c r="P24" i="2"/>
  <c r="Q13" i="2"/>
  <c r="S13" i="2" s="1"/>
  <c r="W13" i="2" s="1"/>
  <c r="Q17" i="2"/>
  <c r="S17" i="2" s="1"/>
  <c r="W17" i="2" s="1"/>
  <c r="Q21" i="2"/>
  <c r="S21" i="2" s="1"/>
  <c r="W21" i="2" s="1"/>
  <c r="Q23" i="2"/>
  <c r="S23" i="2" s="1"/>
  <c r="W23" i="2" s="1"/>
  <c r="T23" i="2"/>
  <c r="U23" i="2" s="1"/>
  <c r="Q3" i="2"/>
  <c r="S3" i="2" s="1"/>
  <c r="W3" i="2" s="1"/>
  <c r="X3" i="1"/>
  <c r="Y3" i="1" s="1"/>
  <c r="AO2" i="1"/>
  <c r="U54" i="1"/>
  <c r="W54" i="1" s="1"/>
  <c r="U42" i="1"/>
  <c r="W42" i="1" s="1"/>
  <c r="X87" i="1"/>
  <c r="Y87" i="1" s="1"/>
  <c r="X69" i="1"/>
  <c r="AE69" i="1" s="1"/>
  <c r="Q2" i="2"/>
  <c r="S2" i="2" s="1"/>
  <c r="Q10" i="2"/>
  <c r="S10" i="2" s="1"/>
  <c r="W10" i="2" s="1"/>
  <c r="U35" i="1"/>
  <c r="W35" i="1" s="1"/>
  <c r="AO19" i="1"/>
  <c r="V19" i="1" s="1"/>
  <c r="X71" i="1"/>
  <c r="AE71" i="1" s="1"/>
  <c r="V28" i="1"/>
  <c r="W28" i="1" s="1"/>
  <c r="U69" i="1"/>
  <c r="W69" i="1" s="1"/>
  <c r="U46" i="1"/>
  <c r="W46" i="1" s="1"/>
  <c r="X48" i="1"/>
  <c r="AE48" i="1" s="1"/>
  <c r="AO11" i="1"/>
  <c r="V11" i="1" s="1"/>
  <c r="U62" i="1"/>
  <c r="W62" i="1" s="1"/>
  <c r="X63" i="1"/>
  <c r="Y63" i="1" s="1"/>
  <c r="X66" i="1"/>
  <c r="AE66" i="1" s="1"/>
  <c r="V34" i="1"/>
  <c r="W34" i="1" s="1"/>
  <c r="V48" i="1"/>
  <c r="W48" i="1" s="1"/>
  <c r="X45" i="1"/>
  <c r="AE45" i="1" s="1"/>
  <c r="U82" i="1"/>
  <c r="W82" i="1" s="1"/>
  <c r="U75" i="1"/>
  <c r="W75" i="1" s="1"/>
  <c r="X83" i="1"/>
  <c r="Y83" i="1" s="1"/>
  <c r="V42" i="2"/>
  <c r="AO5" i="1"/>
  <c r="V40" i="1"/>
  <c r="W40" i="1" s="1"/>
  <c r="V73" i="1"/>
  <c r="W73" i="1" s="1"/>
  <c r="V114" i="2"/>
  <c r="AQ22" i="1"/>
  <c r="X49" i="1"/>
  <c r="AE49" i="1" s="1"/>
  <c r="X84" i="1"/>
  <c r="Y84" i="1" s="1"/>
  <c r="X41" i="1"/>
  <c r="Y41" i="1" s="1"/>
  <c r="Q7" i="2"/>
  <c r="S7" i="2" s="1"/>
  <c r="W7" i="2" s="1"/>
  <c r="Q11" i="2"/>
  <c r="S11" i="2" s="1"/>
  <c r="W11" i="2" s="1"/>
  <c r="X86" i="1"/>
  <c r="AE86" i="1" s="1"/>
  <c r="U44" i="1"/>
  <c r="W44" i="1" s="1"/>
  <c r="U56" i="1"/>
  <c r="W56" i="1" s="1"/>
  <c r="X58" i="1"/>
  <c r="Y58" i="1" s="1"/>
  <c r="V63" i="1"/>
  <c r="W63" i="1" s="1"/>
  <c r="U70" i="1"/>
  <c r="W70" i="1" s="1"/>
  <c r="U84" i="1"/>
  <c r="W84" i="1" s="1"/>
  <c r="X53" i="1"/>
  <c r="Y53" i="1" s="1"/>
  <c r="AQ6" i="1"/>
  <c r="V9" i="1"/>
  <c r="W9" i="1" s="1"/>
  <c r="X67" i="1"/>
  <c r="Y67" i="1" s="1"/>
  <c r="Q4" i="2"/>
  <c r="S4" i="2" s="1"/>
  <c r="W4" i="2" s="1"/>
  <c r="U6" i="2"/>
  <c r="V6" i="2"/>
  <c r="V100" i="2"/>
  <c r="P6" i="2"/>
  <c r="V120" i="2"/>
  <c r="V49" i="2"/>
  <c r="U97" i="2"/>
  <c r="AO7" i="1"/>
  <c r="V7" i="1" s="1"/>
  <c r="V74" i="2"/>
  <c r="V122" i="2"/>
  <c r="V140" i="2"/>
  <c r="V60" i="2"/>
  <c r="V37" i="2"/>
  <c r="V94" i="2"/>
  <c r="V69" i="2"/>
  <c r="U32" i="1"/>
  <c r="W32" i="1" s="1"/>
  <c r="X61" i="1"/>
  <c r="Y61" i="1" s="1"/>
  <c r="V62" i="2"/>
  <c r="V137" i="2"/>
  <c r="AQ13" i="1"/>
  <c r="AO16" i="1"/>
  <c r="X34" i="1"/>
  <c r="Y34" i="1" s="1"/>
  <c r="X39" i="1"/>
  <c r="AE39" i="1" s="1"/>
  <c r="V71" i="1"/>
  <c r="W71" i="1" s="1"/>
  <c r="X73" i="1"/>
  <c r="Y73" i="1" s="1"/>
  <c r="U77" i="2"/>
  <c r="V109" i="2"/>
  <c r="V102" i="2"/>
  <c r="X14" i="1"/>
  <c r="Y14" i="1" s="1"/>
  <c r="V37" i="1"/>
  <c r="W37" i="1" s="1"/>
  <c r="V66" i="1"/>
  <c r="W66" i="1" s="1"/>
  <c r="U76" i="1"/>
  <c r="W76" i="1" s="1"/>
  <c r="X78" i="1"/>
  <c r="AE78" i="1" s="1"/>
  <c r="Q8" i="2"/>
  <c r="S8" i="2" s="1"/>
  <c r="W8" i="2" s="1"/>
  <c r="Q16" i="2"/>
  <c r="S16" i="2" s="1"/>
  <c r="W16" i="2" s="1"/>
  <c r="U57" i="2"/>
  <c r="AA4" i="1"/>
  <c r="X33" i="1"/>
  <c r="AE33" i="1" s="1"/>
  <c r="X60" i="1"/>
  <c r="AE60" i="1" s="1"/>
  <c r="Q20" i="2"/>
  <c r="S20" i="2" s="1"/>
  <c r="W20" i="2" s="1"/>
  <c r="V89" i="2"/>
  <c r="AQ20" i="1"/>
  <c r="X82" i="1"/>
  <c r="AE82" i="1" s="1"/>
  <c r="X32" i="1"/>
  <c r="AE32" i="1" s="1"/>
  <c r="AQ16" i="1"/>
  <c r="U29" i="1"/>
  <c r="W29" i="1" s="1"/>
  <c r="X80" i="1"/>
  <c r="Y80" i="1" s="1"/>
  <c r="V83" i="1"/>
  <c r="W83" i="1" s="1"/>
  <c r="X62" i="1"/>
  <c r="AE62" i="1" s="1"/>
  <c r="V49" i="1"/>
  <c r="W49" i="1" s="1"/>
  <c r="X70" i="1"/>
  <c r="AE70" i="1" s="1"/>
  <c r="X75" i="1"/>
  <c r="Y75" i="1" s="1"/>
  <c r="U34" i="2"/>
  <c r="V82" i="2"/>
  <c r="U8" i="2"/>
  <c r="V8" i="2"/>
  <c r="V13" i="2"/>
  <c r="U13" i="2"/>
  <c r="P22" i="2"/>
  <c r="U99" i="2"/>
  <c r="U119" i="2"/>
  <c r="U36" i="2"/>
  <c r="U56" i="2"/>
  <c r="P4" i="2"/>
  <c r="T10" i="2"/>
  <c r="V10" i="2" s="1"/>
  <c r="V33" i="2"/>
  <c r="U86" i="2"/>
  <c r="V53" i="2"/>
  <c r="V73" i="2"/>
  <c r="V93" i="2"/>
  <c r="AA19" i="1"/>
  <c r="U41" i="2"/>
  <c r="U38" i="2"/>
  <c r="V61" i="2"/>
  <c r="U58" i="2"/>
  <c r="U78" i="2"/>
  <c r="U118" i="2"/>
  <c r="V138" i="2"/>
  <c r="U150" i="2"/>
  <c r="X47" i="1"/>
  <c r="Y47" i="1" s="1"/>
  <c r="X51" i="1"/>
  <c r="AE51" i="1" s="1"/>
  <c r="X72" i="1"/>
  <c r="AE72" i="1" s="1"/>
  <c r="T2" i="2"/>
  <c r="V2" i="2" s="1"/>
  <c r="T17" i="2"/>
  <c r="V17" i="2" s="1"/>
  <c r="U30" i="2"/>
  <c r="U35" i="2"/>
  <c r="V98" i="2"/>
  <c r="U130" i="2"/>
  <c r="U135" i="2"/>
  <c r="V155" i="2"/>
  <c r="AO8" i="1"/>
  <c r="U8" i="1" s="1"/>
  <c r="AO10" i="1"/>
  <c r="AA17" i="1"/>
  <c r="V25" i="1"/>
  <c r="W25" i="1" s="1"/>
  <c r="X36" i="1"/>
  <c r="Y36" i="1" s="1"/>
  <c r="U53" i="1"/>
  <c r="W53" i="1" s="1"/>
  <c r="P8" i="2"/>
  <c r="U50" i="2"/>
  <c r="U55" i="2"/>
  <c r="U70" i="2"/>
  <c r="U75" i="2"/>
  <c r="U90" i="2"/>
  <c r="U95" i="2"/>
  <c r="U110" i="2"/>
  <c r="U115" i="2"/>
  <c r="V59" i="2"/>
  <c r="U136" i="2"/>
  <c r="AO15" i="1"/>
  <c r="V15" i="1" s="1"/>
  <c r="X81" i="1"/>
  <c r="U86" i="1"/>
  <c r="W86" i="1" s="1"/>
  <c r="T11" i="2"/>
  <c r="V11" i="2" s="1"/>
  <c r="Q14" i="2"/>
  <c r="S14" i="2" s="1"/>
  <c r="W14" i="2" s="1"/>
  <c r="U79" i="2"/>
  <c r="U156" i="2"/>
  <c r="U146" i="2"/>
  <c r="AA5" i="1"/>
  <c r="V153" i="2"/>
  <c r="AA3" i="1"/>
  <c r="X44" i="1"/>
  <c r="Y44" i="1" s="1"/>
  <c r="X68" i="1"/>
  <c r="AE68" i="1" s="1"/>
  <c r="AO6" i="1"/>
  <c r="V6" i="1" s="1"/>
  <c r="X31" i="1"/>
  <c r="AE31" i="1" s="1"/>
  <c r="U36" i="1"/>
  <c r="W36" i="1" s="1"/>
  <c r="X42" i="1"/>
  <c r="AE42" i="1" s="1"/>
  <c r="U50" i="1"/>
  <c r="W50" i="1" s="1"/>
  <c r="X74" i="1"/>
  <c r="Y74" i="1" s="1"/>
  <c r="V80" i="1"/>
  <c r="W80" i="1" s="1"/>
  <c r="X88" i="1"/>
  <c r="P21" i="2"/>
  <c r="U40" i="2"/>
  <c r="U157" i="2"/>
  <c r="T19" i="2"/>
  <c r="AA7" i="1"/>
  <c r="X59" i="1"/>
  <c r="AE59" i="1" s="1"/>
  <c r="V139" i="2"/>
  <c r="V113" i="2"/>
  <c r="X43" i="1"/>
  <c r="V121" i="2"/>
  <c r="AO22" i="1"/>
  <c r="V22" i="1" s="1"/>
  <c r="X38" i="1"/>
  <c r="AE38" i="1" s="1"/>
  <c r="Q6" i="2"/>
  <c r="S6" i="2" s="1"/>
  <c r="W6" i="2" s="1"/>
  <c r="U80" i="2"/>
  <c r="U26" i="2"/>
  <c r="U126" i="2"/>
  <c r="U46" i="2"/>
  <c r="V101" i="2"/>
  <c r="X46" i="1"/>
  <c r="AE46" i="1" s="1"/>
  <c r="X52" i="1"/>
  <c r="AE52" i="1" s="1"/>
  <c r="U117" i="2"/>
  <c r="U154" i="2"/>
  <c r="U39" i="2"/>
  <c r="P13" i="2"/>
  <c r="U76" i="2"/>
  <c r="U96" i="2"/>
  <c r="U116" i="2"/>
  <c r="X35" i="1"/>
  <c r="AE35" i="1" s="1"/>
  <c r="V41" i="1"/>
  <c r="W41" i="1" s="1"/>
  <c r="U55" i="1"/>
  <c r="W55" i="1" s="1"/>
  <c r="V60" i="1"/>
  <c r="W60" i="1" s="1"/>
  <c r="V68" i="1"/>
  <c r="W68" i="1" s="1"/>
  <c r="V77" i="1"/>
  <c r="W77" i="1" s="1"/>
  <c r="T3" i="2"/>
  <c r="Q9" i="2"/>
  <c r="S9" i="2" s="1"/>
  <c r="W9" i="2" s="1"/>
  <c r="U134" i="2"/>
  <c r="V149" i="2"/>
  <c r="AQ21" i="1"/>
  <c r="V81" i="2"/>
  <c r="U24" i="1"/>
  <c r="W24" i="1" s="1"/>
  <c r="U74" i="1"/>
  <c r="W74" i="1" s="1"/>
  <c r="X79" i="1"/>
  <c r="AE79" i="1" s="1"/>
  <c r="V88" i="1"/>
  <c r="W88" i="1" s="1"/>
  <c r="V29" i="2"/>
  <c r="U54" i="2"/>
  <c r="V129" i="2"/>
  <c r="V142" i="2"/>
  <c r="U66" i="2"/>
  <c r="U106" i="2"/>
  <c r="V133" i="2"/>
  <c r="V141" i="2"/>
  <c r="X40" i="1"/>
  <c r="AE40" i="1" s="1"/>
  <c r="X50" i="1"/>
  <c r="V52" i="1"/>
  <c r="W52" i="1" s="1"/>
  <c r="X54" i="1"/>
  <c r="Q19" i="2"/>
  <c r="S19" i="2" s="1"/>
  <c r="W19" i="2" s="1"/>
  <c r="V38" i="1"/>
  <c r="U38" i="1"/>
  <c r="AQ11" i="1"/>
  <c r="AA11" i="1"/>
  <c r="V21" i="2"/>
  <c r="U21" i="2"/>
  <c r="T18" i="2"/>
  <c r="Q18" i="2"/>
  <c r="S18" i="2" s="1"/>
  <c r="W18" i="2" s="1"/>
  <c r="P18" i="2"/>
  <c r="U14" i="1"/>
  <c r="V14" i="1"/>
  <c r="V65" i="1"/>
  <c r="U65" i="1"/>
  <c r="U51" i="1"/>
  <c r="V51" i="1"/>
  <c r="AQ10" i="1"/>
  <c r="AA10" i="1"/>
  <c r="AQ12" i="1"/>
  <c r="AA12" i="1"/>
  <c r="U31" i="1"/>
  <c r="V31" i="1"/>
  <c r="AO21" i="1"/>
  <c r="X57" i="1"/>
  <c r="V16" i="2"/>
  <c r="AO20" i="1"/>
  <c r="Z20" i="2"/>
  <c r="U33" i="1"/>
  <c r="W33" i="1" s="1"/>
  <c r="V22" i="2"/>
  <c r="U22" i="2"/>
  <c r="U87" i="2"/>
  <c r="B2" i="4"/>
  <c r="AQ2" i="1"/>
  <c r="V59" i="1"/>
  <c r="U59" i="1"/>
  <c r="V58" i="1"/>
  <c r="U58" i="1"/>
  <c r="U67" i="2"/>
  <c r="V79" i="1"/>
  <c r="U79" i="1"/>
  <c r="AA2" i="1"/>
  <c r="AO4" i="1"/>
  <c r="X56" i="1"/>
  <c r="V61" i="1"/>
  <c r="W61" i="1" s="1"/>
  <c r="X65" i="1"/>
  <c r="U4" i="2"/>
  <c r="V24" i="2"/>
  <c r="U24" i="2"/>
  <c r="U107" i="2"/>
  <c r="U127" i="2"/>
  <c r="U147" i="2"/>
  <c r="Z13" i="2"/>
  <c r="Z14" i="2"/>
  <c r="AO13" i="1"/>
  <c r="U47" i="2"/>
  <c r="AO3" i="1"/>
  <c r="AA9" i="1"/>
  <c r="Z12" i="2"/>
  <c r="AO12" i="1"/>
  <c r="X77" i="1"/>
  <c r="V44" i="2"/>
  <c r="U44" i="2"/>
  <c r="V9" i="2"/>
  <c r="U9" i="2"/>
  <c r="AA18" i="1"/>
  <c r="Z9" i="2"/>
  <c r="V64" i="2"/>
  <c r="U64" i="2"/>
  <c r="V45" i="1"/>
  <c r="U45" i="1"/>
  <c r="X55" i="1"/>
  <c r="X64" i="1"/>
  <c r="V78" i="1"/>
  <c r="U78" i="1"/>
  <c r="Q5" i="2"/>
  <c r="S5" i="2" s="1"/>
  <c r="W5" i="2" s="1"/>
  <c r="V84" i="2"/>
  <c r="U84" i="2"/>
  <c r="T5" i="2"/>
  <c r="P5" i="2"/>
  <c r="V104" i="2"/>
  <c r="U104" i="2"/>
  <c r="V124" i="2"/>
  <c r="U124" i="2"/>
  <c r="V144" i="2"/>
  <c r="U144" i="2"/>
  <c r="B15" i="5"/>
  <c r="AA45" i="1"/>
  <c r="X2" i="1"/>
  <c r="X6" i="1"/>
  <c r="AA15" i="1"/>
  <c r="AO18" i="1"/>
  <c r="U30" i="1"/>
  <c r="W30" i="1" s="1"/>
  <c r="X37" i="1"/>
  <c r="U43" i="1"/>
  <c r="W43" i="1" s="1"/>
  <c r="U72" i="1"/>
  <c r="W72" i="1" s="1"/>
  <c r="X76" i="1"/>
  <c r="V81" i="1"/>
  <c r="W81" i="1" s="1"/>
  <c r="X85" i="1"/>
  <c r="T7" i="2"/>
  <c r="Q12" i="2"/>
  <c r="S12" i="2" s="1"/>
  <c r="W12" i="2" s="1"/>
  <c r="V20" i="2"/>
  <c r="U20" i="2"/>
  <c r="V85" i="1"/>
  <c r="U85" i="1"/>
  <c r="V39" i="1"/>
  <c r="U39" i="1"/>
  <c r="T12" i="2"/>
  <c r="P12" i="2"/>
  <c r="Q15" i="2"/>
  <c r="S15" i="2" s="1"/>
  <c r="W15" i="2" s="1"/>
  <c r="U64" i="1"/>
  <c r="W64" i="1" s="1"/>
  <c r="V15" i="2"/>
  <c r="U15" i="2"/>
  <c r="Z17" i="2"/>
  <c r="AO17" i="1"/>
  <c r="P15" i="2"/>
  <c r="V43" i="2"/>
  <c r="V63" i="2"/>
  <c r="V83" i="2"/>
  <c r="V103" i="2"/>
  <c r="V123" i="2"/>
  <c r="V143" i="2"/>
  <c r="T14" i="2"/>
  <c r="U27" i="1"/>
  <c r="W27" i="1" s="1"/>
  <c r="U67" i="1"/>
  <c r="W67" i="1" s="1"/>
  <c r="U87" i="1"/>
  <c r="W87" i="1" s="1"/>
  <c r="Q22" i="2"/>
  <c r="S22" i="2" s="1"/>
  <c r="W22" i="2" s="1"/>
  <c r="U31" i="2"/>
  <c r="U51" i="2"/>
  <c r="U71" i="2"/>
  <c r="U91" i="2"/>
  <c r="U111" i="2"/>
  <c r="U131" i="2"/>
  <c r="U151" i="2"/>
  <c r="U47" i="1"/>
  <c r="W47" i="1" s="1"/>
  <c r="P16" i="2"/>
  <c r="U28" i="2"/>
  <c r="U48" i="2"/>
  <c r="U68" i="2"/>
  <c r="U88" i="2"/>
  <c r="U108" i="2"/>
  <c r="U128" i="2"/>
  <c r="U148" i="2"/>
  <c r="U25" i="2"/>
  <c r="U45" i="2"/>
  <c r="U65" i="2"/>
  <c r="U85" i="2"/>
  <c r="U105" i="2"/>
  <c r="U125" i="2"/>
  <c r="U145" i="2"/>
  <c r="P9" i="2"/>
  <c r="P3" i="2"/>
  <c r="P20" i="2"/>
  <c r="U32" i="2"/>
  <c r="U52" i="2"/>
  <c r="U72" i="2"/>
  <c r="U92" i="2"/>
  <c r="U112" i="2"/>
  <c r="U132" i="2"/>
  <c r="U152" i="2"/>
  <c r="L30" i="1" l="1"/>
  <c r="X30" i="1" s="1"/>
  <c r="Y30" i="1" s="1"/>
  <c r="AQ29" i="1"/>
  <c r="L29" i="1"/>
  <c r="X29" i="1" s="1"/>
  <c r="AE29" i="1" s="1"/>
  <c r="L28" i="1"/>
  <c r="X28" i="1" s="1"/>
  <c r="AE28" i="1" s="1"/>
  <c r="AQ28" i="1"/>
  <c r="U27" i="2"/>
  <c r="U26" i="1"/>
  <c r="W26" i="1" s="1"/>
  <c r="W2" i="2"/>
  <c r="AQ27" i="1"/>
  <c r="U23" i="1"/>
  <c r="W23" i="1" s="1"/>
  <c r="L27" i="1"/>
  <c r="X27" i="1" s="1"/>
  <c r="Y27" i="1" s="1"/>
  <c r="AQ26" i="1"/>
  <c r="L26" i="1"/>
  <c r="X26" i="1" s="1"/>
  <c r="Y26" i="1" s="1"/>
  <c r="AE87" i="1"/>
  <c r="AQ25" i="1"/>
  <c r="AE3" i="1"/>
  <c r="AE30" i="1"/>
  <c r="L25" i="1"/>
  <c r="X25" i="1" s="1"/>
  <c r="Y25" i="1" s="1"/>
  <c r="AE58" i="1"/>
  <c r="AQ24" i="1"/>
  <c r="V23" i="2"/>
  <c r="L24" i="1"/>
  <c r="X24" i="1" s="1"/>
  <c r="Y24" i="1" s="1"/>
  <c r="AE75" i="1"/>
  <c r="W58" i="1"/>
  <c r="Y69" i="1"/>
  <c r="U19" i="1"/>
  <c r="W19" i="1" s="1"/>
  <c r="Y33" i="1"/>
  <c r="Y71" i="1"/>
  <c r="AQ23" i="1"/>
  <c r="AE53" i="1"/>
  <c r="W45" i="1"/>
  <c r="U2" i="1"/>
  <c r="V2" i="1"/>
  <c r="Y48" i="1"/>
  <c r="U11" i="1"/>
  <c r="W11" i="1" s="1"/>
  <c r="AE34" i="1"/>
  <c r="Y66" i="1"/>
  <c r="U7" i="1"/>
  <c r="W7" i="1" s="1"/>
  <c r="W79" i="1"/>
  <c r="AE63" i="1"/>
  <c r="Y45" i="1"/>
  <c r="AE14" i="1"/>
  <c r="Y70" i="1"/>
  <c r="Y51" i="1"/>
  <c r="AE67" i="1"/>
  <c r="Y31" i="1"/>
  <c r="Y38" i="1"/>
  <c r="U22" i="1"/>
  <c r="W22" i="1" s="1"/>
  <c r="Y72" i="1"/>
  <c r="Y42" i="1"/>
  <c r="AE83" i="1"/>
  <c r="AE73" i="1"/>
  <c r="W78" i="1"/>
  <c r="Y86" i="1"/>
  <c r="L7" i="1"/>
  <c r="X7" i="1" s="1"/>
  <c r="AE7" i="1" s="1"/>
  <c r="AE41" i="1"/>
  <c r="Y49" i="1"/>
  <c r="Y35" i="1"/>
  <c r="V5" i="1"/>
  <c r="U5" i="1"/>
  <c r="Y60" i="1"/>
  <c r="W39" i="1"/>
  <c r="W59" i="1"/>
  <c r="AE84" i="1"/>
  <c r="V8" i="1"/>
  <c r="W8" i="1" s="1"/>
  <c r="U15" i="1"/>
  <c r="W15" i="1" s="1"/>
  <c r="Y39" i="1"/>
  <c r="W85" i="1"/>
  <c r="AE80" i="1"/>
  <c r="U17" i="2"/>
  <c r="AE36" i="1"/>
  <c r="Y59" i="1"/>
  <c r="Y32" i="1"/>
  <c r="Y62" i="1"/>
  <c r="Y82" i="1"/>
  <c r="U16" i="1"/>
  <c r="V16" i="1"/>
  <c r="AE61" i="1"/>
  <c r="Y78" i="1"/>
  <c r="Y40" i="1"/>
  <c r="AE50" i="1"/>
  <c r="Y50" i="1"/>
  <c r="V3" i="2"/>
  <c r="U3" i="2"/>
  <c r="L19" i="1"/>
  <c r="X19" i="1" s="1"/>
  <c r="AE19" i="1" s="1"/>
  <c r="X23" i="1"/>
  <c r="L18" i="1"/>
  <c r="X18" i="1" s="1"/>
  <c r="AE18" i="1" s="1"/>
  <c r="Y52" i="1"/>
  <c r="AE47" i="1"/>
  <c r="AE88" i="1"/>
  <c r="Y88" i="1"/>
  <c r="Y81" i="1"/>
  <c r="AE81" i="1"/>
  <c r="U10" i="2"/>
  <c r="Y43" i="1"/>
  <c r="AE43" i="1"/>
  <c r="Y54" i="1"/>
  <c r="AE54" i="1"/>
  <c r="AE44" i="1"/>
  <c r="U2" i="2"/>
  <c r="U10" i="1"/>
  <c r="V10" i="1"/>
  <c r="U19" i="2"/>
  <c r="V19" i="2"/>
  <c r="L15" i="1"/>
  <c r="X15" i="1" s="1"/>
  <c r="AE15" i="1" s="1"/>
  <c r="U11" i="2"/>
  <c r="W14" i="1"/>
  <c r="U6" i="1"/>
  <c r="W6" i="1" s="1"/>
  <c r="L17" i="1"/>
  <c r="X17" i="1" s="1"/>
  <c r="Y17" i="1" s="1"/>
  <c r="Y79" i="1"/>
  <c r="Y46" i="1"/>
  <c r="AE74" i="1"/>
  <c r="Y68" i="1"/>
  <c r="W65" i="1"/>
  <c r="W38" i="1"/>
  <c r="V18" i="1"/>
  <c r="U18" i="1"/>
  <c r="W51" i="1"/>
  <c r="AE65" i="1"/>
  <c r="Y65" i="1"/>
  <c r="Y64" i="1"/>
  <c r="AE64" i="1"/>
  <c r="Y77" i="1"/>
  <c r="AE77" i="1"/>
  <c r="U20" i="1"/>
  <c r="V20" i="1"/>
  <c r="L16" i="1"/>
  <c r="X16" i="1" s="1"/>
  <c r="V3" i="1"/>
  <c r="U3" i="1"/>
  <c r="L5" i="1"/>
  <c r="X5" i="1" s="1"/>
  <c r="AE2" i="1"/>
  <c r="Y2" i="1"/>
  <c r="Y56" i="1"/>
  <c r="AE56" i="1"/>
  <c r="W31" i="1"/>
  <c r="Y55" i="1"/>
  <c r="AE55" i="1"/>
  <c r="L22" i="1"/>
  <c r="X22" i="1" s="1"/>
  <c r="U17" i="1"/>
  <c r="V17" i="1"/>
  <c r="V7" i="2"/>
  <c r="U7" i="2"/>
  <c r="L8" i="1"/>
  <c r="X8" i="1" s="1"/>
  <c r="L4" i="1"/>
  <c r="X4" i="1" s="1"/>
  <c r="B23" i="5"/>
  <c r="G30" i="1" s="1"/>
  <c r="L11" i="1"/>
  <c r="X11" i="1" s="1"/>
  <c r="Y6" i="1"/>
  <c r="AE6" i="1"/>
  <c r="V4" i="1"/>
  <c r="U4" i="1"/>
  <c r="AE85" i="1"/>
  <c r="Y85" i="1"/>
  <c r="Y76" i="1"/>
  <c r="AE76" i="1"/>
  <c r="L10" i="1"/>
  <c r="X10" i="1" s="1"/>
  <c r="L12" i="1"/>
  <c r="X12" i="1" s="1"/>
  <c r="Y57" i="1"/>
  <c r="AE57" i="1"/>
  <c r="V5" i="2"/>
  <c r="U5" i="2"/>
  <c r="V18" i="2"/>
  <c r="U18" i="2"/>
  <c r="L13" i="1"/>
  <c r="X13" i="1" s="1"/>
  <c r="L9" i="1"/>
  <c r="X9" i="1" s="1"/>
  <c r="B12" i="4"/>
  <c r="B5" i="6" s="1"/>
  <c r="V21" i="1"/>
  <c r="U21" i="1"/>
  <c r="V12" i="2"/>
  <c r="U12" i="2"/>
  <c r="U12" i="1"/>
  <c r="V12" i="1"/>
  <c r="U13" i="1"/>
  <c r="V13" i="1"/>
  <c r="L20" i="1"/>
  <c r="X20" i="1" s="1"/>
  <c r="V14" i="2"/>
  <c r="U14" i="2"/>
  <c r="L21" i="1"/>
  <c r="X21" i="1" s="1"/>
  <c r="AE37" i="1"/>
  <c r="Y37" i="1"/>
  <c r="Y29" i="1" l="1"/>
  <c r="G29" i="1"/>
  <c r="Y28" i="1"/>
  <c r="G28" i="1"/>
  <c r="G27" i="1"/>
  <c r="AE27" i="1"/>
  <c r="G26" i="1"/>
  <c r="AE26" i="1"/>
  <c r="G25" i="1"/>
  <c r="AE25" i="1"/>
  <c r="G24" i="1"/>
  <c r="B9" i="5"/>
  <c r="AE24" i="1"/>
  <c r="G23" i="1"/>
  <c r="W5" i="1"/>
  <c r="W2" i="1"/>
  <c r="W3" i="1"/>
  <c r="Y7" i="1"/>
  <c r="W4" i="1"/>
  <c r="W21" i="1"/>
  <c r="W16" i="1"/>
  <c r="Y19" i="1"/>
  <c r="Y15" i="1"/>
  <c r="W20" i="1"/>
  <c r="AE17" i="1"/>
  <c r="B10" i="4"/>
  <c r="AE23" i="1"/>
  <c r="Y23" i="1"/>
  <c r="Y18" i="1"/>
  <c r="B14" i="5"/>
  <c r="B18" i="5" s="1"/>
  <c r="B19" i="5" s="1"/>
  <c r="B21" i="5" s="1"/>
  <c r="B22" i="5" s="1"/>
  <c r="W10" i="1"/>
  <c r="B3" i="4"/>
  <c r="B11" i="4"/>
  <c r="AE9" i="1"/>
  <c r="Y9" i="1"/>
  <c r="B3" i="5"/>
  <c r="AE5" i="1"/>
  <c r="Y5" i="1"/>
  <c r="AE20" i="1"/>
  <c r="Y20" i="1"/>
  <c r="B4" i="4"/>
  <c r="W13" i="1"/>
  <c r="W12" i="1"/>
  <c r="W17" i="1"/>
  <c r="AE13" i="1"/>
  <c r="Y13" i="1"/>
  <c r="AE22" i="1"/>
  <c r="Y22" i="1"/>
  <c r="W18" i="1"/>
  <c r="Y4" i="1"/>
  <c r="AE4" i="1"/>
  <c r="B8" i="5"/>
  <c r="Y8" i="1"/>
  <c r="AE8" i="1"/>
  <c r="AE12" i="1"/>
  <c r="Y12" i="1"/>
  <c r="B5" i="4"/>
  <c r="Y10" i="1"/>
  <c r="AE10" i="1"/>
  <c r="AE16" i="1"/>
  <c r="Y16" i="1"/>
  <c r="AE11" i="1"/>
  <c r="Y11" i="1"/>
  <c r="Y21" i="1"/>
  <c r="AE21" i="1"/>
  <c r="B7" i="4" l="1"/>
  <c r="B20" i="5"/>
  <c r="B9" i="4"/>
  <c r="B14" i="4"/>
  <c r="B8" i="4"/>
  <c r="Z22" i="1" s="1"/>
  <c r="B2" i="6"/>
  <c r="B4" i="6" s="1"/>
  <c r="B11" i="5"/>
  <c r="B7" i="5"/>
  <c r="AR29" i="1" s="1"/>
  <c r="B5" i="5"/>
  <c r="B6" i="4"/>
  <c r="AR27" i="1" l="1"/>
  <c r="AR28" i="1"/>
  <c r="AR25" i="1"/>
  <c r="AR26" i="1"/>
  <c r="AR23" i="1"/>
  <c r="AR24" i="1"/>
  <c r="B13" i="4"/>
  <c r="B6" i="6" s="1"/>
  <c r="B7" i="6" s="1"/>
  <c r="Z8" i="1"/>
  <c r="Z20" i="1"/>
  <c r="Z10" i="1"/>
  <c r="Z13" i="1"/>
  <c r="Z12" i="1"/>
  <c r="Z5" i="1"/>
  <c r="Z16" i="1"/>
  <c r="Z9" i="1"/>
  <c r="Z4" i="1"/>
  <c r="Z11" i="1"/>
  <c r="Z21" i="1"/>
  <c r="B10" i="5"/>
  <c r="AR22" i="1"/>
  <c r="AR14" i="1"/>
  <c r="AR18" i="1"/>
  <c r="AR17" i="1"/>
  <c r="AR13" i="1"/>
  <c r="AR15" i="1"/>
  <c r="AR12" i="1"/>
  <c r="AR20" i="1"/>
  <c r="AR9" i="1"/>
  <c r="AR7" i="1"/>
  <c r="AR5" i="1"/>
  <c r="AR11" i="1"/>
  <c r="AR4" i="1"/>
  <c r="AR21" i="1"/>
  <c r="AR2" i="1"/>
  <c r="AR8" i="1"/>
  <c r="AR10" i="1"/>
  <c r="AR6" i="1"/>
  <c r="AR3" i="1"/>
  <c r="AR16" i="1"/>
  <c r="AR19" i="1"/>
  <c r="AB74" i="1"/>
  <c r="AC74" i="1" s="1"/>
  <c r="AB54" i="1"/>
  <c r="AC54" i="1" s="1"/>
  <c r="AB73" i="1"/>
  <c r="AC73" i="1" s="1"/>
  <c r="AB53" i="1"/>
  <c r="AC53" i="1" s="1"/>
  <c r="AB33" i="1"/>
  <c r="AC33" i="1" s="1"/>
  <c r="AB72" i="1"/>
  <c r="AC72" i="1" s="1"/>
  <c r="AB52" i="1"/>
  <c r="AC52" i="1" s="1"/>
  <c r="AB71" i="1"/>
  <c r="AC71" i="1" s="1"/>
  <c r="AB51" i="1"/>
  <c r="AC51" i="1" s="1"/>
  <c r="AB31" i="1"/>
  <c r="AC31" i="1" s="1"/>
  <c r="AB70" i="1"/>
  <c r="AC70" i="1" s="1"/>
  <c r="AB50" i="1"/>
  <c r="AC50" i="1" s="1"/>
  <c r="AB30" i="1"/>
  <c r="AC30" i="1" s="1"/>
  <c r="AB84" i="1"/>
  <c r="AC84" i="1" s="1"/>
  <c r="AB64" i="1"/>
  <c r="AC64" i="1" s="1"/>
  <c r="AB44" i="1"/>
  <c r="AC44" i="1" s="1"/>
  <c r="AB24" i="1"/>
  <c r="AC24" i="1" s="1"/>
  <c r="AB81" i="1"/>
  <c r="AC81" i="1" s="1"/>
  <c r="AB61" i="1"/>
  <c r="AC61" i="1" s="1"/>
  <c r="AB41" i="1"/>
  <c r="AC41" i="1" s="1"/>
  <c r="AB21" i="1"/>
  <c r="AC21" i="1" s="1"/>
  <c r="AB80" i="1"/>
  <c r="AC80" i="1" s="1"/>
  <c r="AB60" i="1"/>
  <c r="AC60" i="1" s="1"/>
  <c r="AB40" i="1"/>
  <c r="AC40" i="1" s="1"/>
  <c r="AB20" i="1"/>
  <c r="AC20" i="1" s="1"/>
  <c r="AB79" i="1"/>
  <c r="AC79" i="1" s="1"/>
  <c r="AB59" i="1"/>
  <c r="AC59" i="1" s="1"/>
  <c r="AB39" i="1"/>
  <c r="AC39" i="1" s="1"/>
  <c r="AB78" i="1"/>
  <c r="AC78" i="1" s="1"/>
  <c r="AB58" i="1"/>
  <c r="AC58" i="1" s="1"/>
  <c r="AB38" i="1"/>
  <c r="AC38" i="1" s="1"/>
  <c r="AB18" i="1"/>
  <c r="AC18" i="1" s="1"/>
  <c r="AB87" i="1"/>
  <c r="AC87" i="1" s="1"/>
  <c r="AB43" i="1"/>
  <c r="AC43" i="1" s="1"/>
  <c r="AB22" i="1"/>
  <c r="AC22" i="1" s="1"/>
  <c r="AB6" i="1"/>
  <c r="AC6" i="1" s="1"/>
  <c r="Z48" i="1"/>
  <c r="AB29" i="1"/>
  <c r="AC29" i="1" s="1"/>
  <c r="AB88" i="1"/>
  <c r="AC88" i="1" s="1"/>
  <c r="AB77" i="1"/>
  <c r="AC77" i="1" s="1"/>
  <c r="AB14" i="1"/>
  <c r="AC14" i="1" s="1"/>
  <c r="AB7" i="1"/>
  <c r="AC7" i="1" s="1"/>
  <c r="AB75" i="1"/>
  <c r="AC75" i="1" s="1"/>
  <c r="AB27" i="1"/>
  <c r="AC27" i="1" s="1"/>
  <c r="AB42" i="1"/>
  <c r="AC42" i="1" s="1"/>
  <c r="AB16" i="1"/>
  <c r="AC16" i="1" s="1"/>
  <c r="AB15" i="1"/>
  <c r="AC15" i="1" s="1"/>
  <c r="AB65" i="1"/>
  <c r="AC65" i="1" s="1"/>
  <c r="AB56" i="1"/>
  <c r="AC56" i="1" s="1"/>
  <c r="AB32" i="1"/>
  <c r="AC32" i="1" s="1"/>
  <c r="AB23" i="1"/>
  <c r="AC23" i="1" s="1"/>
  <c r="AB17" i="1"/>
  <c r="AC17" i="1" s="1"/>
  <c r="AB5" i="1"/>
  <c r="AC5" i="1" s="1"/>
  <c r="AB82" i="1"/>
  <c r="AC82" i="1" s="1"/>
  <c r="AB66" i="1"/>
  <c r="AC66" i="1" s="1"/>
  <c r="AB9" i="1"/>
  <c r="AC9" i="1" s="1"/>
  <c r="Z28" i="1"/>
  <c r="AB76" i="1"/>
  <c r="AC76" i="1" s="1"/>
  <c r="AB8" i="1"/>
  <c r="AC8" i="1" s="1"/>
  <c r="AB67" i="1"/>
  <c r="AC67" i="1" s="1"/>
  <c r="AB68" i="1"/>
  <c r="AC68" i="1" s="1"/>
  <c r="AB57" i="1"/>
  <c r="AC57" i="1" s="1"/>
  <c r="AB4" i="1"/>
  <c r="AC4" i="1" s="1"/>
  <c r="AB83" i="1"/>
  <c r="AC83" i="1" s="1"/>
  <c r="AB69" i="1"/>
  <c r="AC69" i="1" s="1"/>
  <c r="AB34" i="1"/>
  <c r="AC34" i="1" s="1"/>
  <c r="AB19" i="1"/>
  <c r="AC19" i="1" s="1"/>
  <c r="AB2" i="1"/>
  <c r="AC2" i="1" s="1"/>
  <c r="AB45" i="1"/>
  <c r="AC45" i="1" s="1"/>
  <c r="AB46" i="1"/>
  <c r="AC46" i="1" s="1"/>
  <c r="AB25" i="1"/>
  <c r="AC25" i="1" s="1"/>
  <c r="AB26" i="1"/>
  <c r="AC26" i="1" s="1"/>
  <c r="AB12" i="1"/>
  <c r="AC12" i="1" s="1"/>
  <c r="AB47" i="1"/>
  <c r="AC47" i="1" s="1"/>
  <c r="AB85" i="1"/>
  <c r="AC85" i="1" s="1"/>
  <c r="AB62" i="1"/>
  <c r="AC62" i="1" s="1"/>
  <c r="AB35" i="1"/>
  <c r="AC35" i="1" s="1"/>
  <c r="AB11" i="1"/>
  <c r="AC11" i="1" s="1"/>
  <c r="AB10" i="1"/>
  <c r="AC10" i="1" s="1"/>
  <c r="Z70" i="1"/>
  <c r="AB36" i="1"/>
  <c r="AC36" i="1" s="1"/>
  <c r="AB3" i="1"/>
  <c r="AC3" i="1" s="1"/>
  <c r="AB48" i="1"/>
  <c r="AC48" i="1" s="1"/>
  <c r="AB37" i="1"/>
  <c r="AC37" i="1" s="1"/>
  <c r="AB63" i="1"/>
  <c r="AC63" i="1" s="1"/>
  <c r="AB49" i="1"/>
  <c r="AC49" i="1" s="1"/>
  <c r="AB28" i="1"/>
  <c r="AC28" i="1" s="1"/>
  <c r="AB13" i="1"/>
  <c r="AC13" i="1" s="1"/>
  <c r="Z29" i="1"/>
  <c r="AB86" i="1"/>
  <c r="AC86" i="1" s="1"/>
  <c r="Z50" i="1"/>
  <c r="AB55" i="1"/>
  <c r="AC55" i="1" s="1"/>
  <c r="Z88" i="1"/>
  <c r="Z43" i="1"/>
  <c r="Z72" i="1"/>
  <c r="Z45" i="1"/>
  <c r="Z63" i="1"/>
  <c r="Z14" i="1"/>
  <c r="Z54" i="1"/>
  <c r="Z83" i="1"/>
  <c r="Z81" i="1"/>
  <c r="Z39" i="1"/>
  <c r="Z69" i="1"/>
  <c r="Z68" i="1"/>
  <c r="Z78" i="1"/>
  <c r="Z71" i="1"/>
  <c r="Z60" i="1"/>
  <c r="Z44" i="1"/>
  <c r="Z61" i="1"/>
  <c r="Z35" i="1"/>
  <c r="Z73" i="1"/>
  <c r="Z34" i="1"/>
  <c r="Z84" i="1"/>
  <c r="Z67" i="1"/>
  <c r="Z30" i="1"/>
  <c r="Z3" i="1"/>
  <c r="Z33" i="1"/>
  <c r="Z41" i="1"/>
  <c r="Z40" i="1"/>
  <c r="Z31" i="1"/>
  <c r="Z66" i="1"/>
  <c r="Z86" i="1"/>
  <c r="Z47" i="1"/>
  <c r="Z82" i="1"/>
  <c r="Z52" i="1"/>
  <c r="Z25" i="1"/>
  <c r="Z80" i="1"/>
  <c r="Z23" i="1"/>
  <c r="Z51" i="1"/>
  <c r="Z87" i="1"/>
  <c r="Z75" i="1"/>
  <c r="Z42" i="1"/>
  <c r="Z79" i="1"/>
  <c r="Z38" i="1"/>
  <c r="Z46" i="1"/>
  <c r="Z62" i="1"/>
  <c r="Z74" i="1"/>
  <c r="Z27" i="1"/>
  <c r="Z49" i="1"/>
  <c r="Z36" i="1"/>
  <c r="Z59" i="1"/>
  <c r="Z26" i="1"/>
  <c r="Z32" i="1"/>
  <c r="Z24" i="1"/>
  <c r="Z58" i="1"/>
  <c r="Z53" i="1"/>
  <c r="Z57" i="1"/>
  <c r="Z56" i="1"/>
  <c r="Z64" i="1"/>
  <c r="Z19" i="1"/>
  <c r="Z7" i="1"/>
  <c r="Z76" i="1"/>
  <c r="Z18" i="1"/>
  <c r="Z2" i="1"/>
  <c r="Z85" i="1"/>
  <c r="Z17" i="1"/>
  <c r="Z6" i="1"/>
  <c r="Z55" i="1"/>
  <c r="Z37" i="1"/>
  <c r="Z15" i="1"/>
  <c r="Z65" i="1"/>
  <c r="Z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<sst xmlns="http://schemas.openxmlformats.org/spreadsheetml/2006/main" count="435" uniqueCount="261">
  <si>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</si>
  <si>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</si>
  <si>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</si>
  <si>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</si>
  <si>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</si>
  <si>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</si>
  <si>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</si>
  <si>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</si>
  <si>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</si>
  <si>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</si>
  <si>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</si>
  <si>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</si>
  <si>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</si>
  <si>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</si>
  <si>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</si>
  <si>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</si>
  <si>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</si>
  <si>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</si>
  <si>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</si>
  <si>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</si>
  <si>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</si>
  <si>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</si>
  <si>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</si>
  <si>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</si>
  <si>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</si>
  <si>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</si>
  <si>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</si>
  <si>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</si>
  <si>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</si>
  <si>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</si>
  <si>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</si>
  <si>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</si>
  <si>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</si>
  <si>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</si>
  <si>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</si>
  <si>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</si>
  <si>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</si>
  <si>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</si>
  <si>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</si>
  <si>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</si>
  <si>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</si>
  <si>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</si>
  <si>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</si>
  <si>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</si>
  <si>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节电风能</t>
  </si>
  <si>
    <t>4-良好</t>
  </si>
  <si>
    <t>短期博反弹</t>
  </si>
  <si>
    <t>4～10个交易日</t>
  </si>
  <si>
    <t>不一定能冲到4块，但是最近交易量上来了</t>
  </si>
  <si>
    <t>4块压力很大</t>
  </si>
  <si>
    <t>3-一般</t>
  </si>
  <si>
    <t>3.3有压力，甚至3都有压力</t>
  </si>
  <si>
    <t>3块有压力</t>
  </si>
  <si>
    <t>1-差</t>
  </si>
  <si>
    <t>贪婪</t>
  </si>
  <si>
    <t>2块有压力</t>
  </si>
  <si>
    <t>2-较差</t>
  </si>
  <si>
    <t>趋势波段</t>
  </si>
  <si>
    <t>21～60个交易日</t>
  </si>
  <si>
    <t>恒瑞医药</t>
  </si>
  <si>
    <t>突破冲新高</t>
  </si>
  <si>
    <t>11～20个交易日</t>
  </si>
  <si>
    <t>上方有卖压，但是消耗了，获利的已经走了</t>
  </si>
  <si>
    <t>5-优秀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</si>
  <si>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</si>
  <si>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</si>
  <si>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</si>
  <si>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</si>
  <si>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</si>
  <si>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</si>
  <si>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</si>
  <si>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</si>
  <si>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</si>
  <si>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</si>
  <si>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</si>
  <si>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</si>
  <si>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</si>
  <si>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</si>
  <si>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</si>
  <si>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</si>
  <si>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</si>
  <si>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</si>
  <si>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</si>
  <si>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</si>
  <si>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</si>
  <si>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</si>
  <si>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</si>
  <si>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</si>
  <si>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</si>
  <si>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每日跟踪</t>
  </si>
  <si>
    <t>执行卖出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</si>
  <si>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</si>
  <si>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</si>
  <si>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</si>
  <si>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</si>
  <si>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</si>
  <si>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</si>
  <si>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</si>
  <si>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</si>
  <si>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买入理由1，买入量上升，买入理由2，有sow，买入理由3，没有跌破支撑 买入理由4，有可能跨越小溪一下子到4块以上，不买理由</t>
  </si>
  <si>
    <t>不买理由1，没有明显的sow，可能继续下跌没 买入理由1，下降趋势已经停止，不买理由2，可能持续吸筹，买入理由2，下发支撑明显</t>
  </si>
  <si>
    <t>不买理由1，没有交易量，可能吸筹持续时间很长，买入理由2，没有供应，前方有sow 这是自然回测，可能有第二波高开，重点看跌不跌破支撑，没跌破就上冲，跌破就下跌</t>
  </si>
  <si>
    <t>1.不买理由1 话没有看到明显的拉升型号，不买理由2，上方供应多，买入理由1 成交量明显变大 买入理由2 没破支撑</t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</si>
  <si>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</si>
  <si>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</si>
  <si>
    <t>1.下跌过程中，买入理由2 成交量不见，底部稳</t>
  </si>
  <si>
    <t>不买理由1，上方4块压力位</t>
  </si>
  <si>
    <t>买入理由，支撑没破，不买理由不强势，买入理由，趋势趋稳，不买理由可能要很长一段时间</t>
  </si>
  <si>
    <t>不买理由1 3块压力巨大，买入理由，没有跌破sow，不买理由2，但是走的时间太长了，可能是派发，</t>
  </si>
  <si>
    <t>不买理由，已经高位 买入理由，温和上涨，不买理由可能回调比较大，甩开，买入理由，成交量不叫稳定，一直有人买</t>
  </si>
  <si>
    <t>买入理由，又出现了买入量，且站上了30，不买理由没有之前强势，供应变多了，要小心，跌破就跑</t>
  </si>
  <si>
    <t>找不到什么不好的理由，本身就很危险</t>
  </si>
  <si>
    <t>买入理由 挺好的，交易量有，没有跌破，不买理由，没找到</t>
  </si>
  <si>
    <t>震仓，冲击50，就看能不能冲成功，短期</t>
  </si>
  <si>
    <t>买入更多，感觉跌不下去，然后震仓</t>
  </si>
  <si>
    <t>突破箱体了，形态不错</t>
  </si>
  <si>
    <t>不买理由，最近供应更大，买入理由突破了箱体，</t>
  </si>
  <si>
    <t>不买理由拉伸的太快，后面交易量没更上，买入理由100诱惑很大，</t>
  </si>
  <si>
    <t>不买理由，后续主力不买没有需求，买入理由sow很明显，不买理由还没有震仓</t>
  </si>
  <si>
    <t>局势很好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</si>
  <si>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</si>
  <si>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</si>
  <si>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</si>
  <si>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</si>
  <si>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</si>
  <si>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</si>
  <si>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</si>
  <si>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</si>
  <si>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</si>
  <si>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</si>
  <si>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</si>
  <si>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</si>
  <si>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</si>
  <si>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</si>
  <si>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</si>
  <si>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</si>
  <si>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</si>
  <si>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</si>
  <si>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</si>
  <si>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</si>
  <si>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</si>
  <si>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</si>
  <si>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</si>
  <si>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</si>
  <si>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</si>
  <si>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</si>
  <si>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</si>
  <si>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</si>
  <si>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</si>
  <si>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</si>
  <si>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</si>
  <si>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</si>
  <si>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</si>
  <si>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</si>
  <si>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</si>
  <si>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</si>
  <si>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</si>
  <si>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</si>
  <si>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</si>
  <si>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</si>
  <si>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</si>
  <si>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</si>
  <si>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</si>
  <si>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</si>
  <si>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</si>
  <si>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</si>
  <si>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</si>
  <si>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</si>
  <si>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</si>
  <si>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</si>
  <si>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</si>
  <si>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</si>
  <si>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</si>
  <si>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</si>
  <si>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</si>
  <si>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</si>
  <si>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</si>
  <si>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</si>
  <si>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</si>
  <si>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</si>
  <si>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</si>
  <si>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</si>
  <si>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</si>
  <si>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</si>
  <si>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</si>
  <si>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</si>
  <si>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</si>
  <si>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</si>
  <si>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</si>
  <si>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</si>
  <si>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</si>
  <si>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</si>
  <si>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</si>
  <si>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</si>
  <si>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</si>
  <si>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</si>
  <si>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</si>
  <si>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</si>
  <si>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</si>
  <si>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</si>
  <si>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</si>
  <si>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</si>
  <si>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</si>
  <si>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</si>
  <si>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</si>
  <si>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</si>
  <si>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</si>
  <si>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</si>
  <si>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</si>
  <si>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</si>
  <si>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</si>
  <si>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</si>
  <si>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</si>
  <si>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</si>
  <si>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</si>
  <si>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</si>
  <si>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</si>
  <si>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</si>
  <si>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</si>
  <si>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</si>
  <si>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</si>
  <si>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</si>
  <si>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</si>
  <si>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</si>
  <si>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</si>
  <si>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</si>
  <si>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</si>
  <si>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</si>
  <si>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</si>
  <si>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</si>
  <si>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</si>
  <si>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</si>
  <si>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</si>
  <si>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</si>
  <si>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</si>
  <si>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</si>
  <si>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</si>
  <si>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</si>
  <si>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</si>
  <si>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</si>
  <si>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</si>
  <si>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</si>
  <si>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</si>
  <si>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</si>
  <si>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</si>
  <si>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</si>
  <si>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</si>
  <si>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</si>
  <si>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</si>
  <si>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</si>
  <si>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</si>
  <si>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</si>
  <si>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</si>
  <si>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</si>
  <si>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不买理由，没有继续往上冲，充不太动，交易量都萎缩了，买入理由，整体需求大于供应，走势是好的，上升趋势中</t>
    <phoneticPr fontId="7" type="noConversion"/>
  </si>
  <si>
    <t>不买理由上方压力很大，冲不成功就下跌严重，买入理由，持续冲击，但是现在是震荡行情，</t>
    <phoneticPr fontId="7" type="noConversion"/>
  </si>
  <si>
    <t>不买理由，上方压力大，买入理由进行了试探，后就再次上攻，45有支撑，这次没有大跌</t>
    <phoneticPr fontId="7" type="noConversion"/>
  </si>
  <si>
    <t>买入理由，供应减少，持续上冲，形态不错，不买理由上方压力大，很没有突破区间</t>
    <phoneticPr fontId="7" type="noConversion"/>
  </si>
  <si>
    <t>不买理由，下跌趋势，买入理由博反弹，不买理由上升不强势，买入理由有主力吸筹的感觉，均线上方压力大</t>
    <phoneticPr fontId="7" type="noConversion"/>
  </si>
  <si>
    <t>现在不是那么强势，是比较温和的上涨，上方抛压不大，但是走势会长</t>
    <phoneticPr fontId="7" type="noConversion"/>
  </si>
  <si>
    <t>交易量不大，不强势，之前是震仓要上升，不买理由又回到震荡区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</si>
</sst>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8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179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9" fontId="3" fillId="4" borderId="1" xfId="0" applyNumberFormat="1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</cellXfs>
  <cellStyles count="1">
    <cellStyle name="常规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88">
  <autoFilter ref="A1:AR88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157">
  <autoFilter ref="A1:AC15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IF(B2="","",IFERROR(LOOKUP(2,1/(单次交易!$A$2:$A$88=B2),单次交易!$B$2:$B$88),""))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IF(B2="","",IFERROR(LOOKUP(2,1/(单次交易!$A$2:$A$88=B2),单次交易!$N$2:$N$88),""))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IF(X2&lt;&gt;"执行卖出","",IFERROR(LOOKUP(2,1/(单次交易!$A$2:$A$88=B2),单次交易!$AP$2:$AP$88),""))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$88=B2),单次交易!$E$2:$E$88)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399">
  <autoFilter ref="A1:L399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88"/>
  <sheetViews>
    <sheetView topLeftCell="A11" zoomScale="115" zoomScaleNormal="115" workbookViewId="0">
      <pane xSplit="2" topLeftCell="I1" activePane="topRight" state="frozen"/>
      <selection pane="topRight" activeCell="I29" sqref="I29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</row>
    <row r="2" spans="1:44" x14ac:dyDescent="0.15">
      <c r="A2" s="2">
        <v>1</v>
      </c>
      <c r="B2" s="2" t="s">
        <v>44</v>
      </c>
      <c r="C2" s="10">
        <v>100000</v>
      </c>
      <c r="D2" s="6">
        <v>0.02</v>
      </c>
      <c r="E2" s="10">
        <v>3.9</v>
      </c>
      <c r="F2" s="8">
        <f t="shared" ref="F2:F16" si="0">IF(OR(C2="",D2="",E2="",N2="",C2&lt;=0,D2&lt;=0,E2&lt;=N2),"",ROUNDDOWN((C2*D2)/(E2-N2)/100,0)*100)</f>
        <v>10000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3">
        <v>42570</v>
      </c>
      <c r="J2" s="10">
        <v>4</v>
      </c>
      <c r="K2" s="5">
        <v>3.68</v>
      </c>
      <c r="L2" s="8">
        <v>5000</v>
      </c>
      <c r="M2" s="16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 t="shared" ref="U2:U16" si="1">IF(OR(AO2="",J2="",AO2&lt;=0),"",(J2-AO2)/AO2)</f>
        <v>2.5641025641025664E-2</v>
      </c>
      <c r="V2" s="7">
        <f t="shared" ref="V2:V16" si="2">IF(OR(AO2="",N2="",AO2&lt;=0),"",(AO2-N2)/AO2)</f>
        <v>5.1282051282051218E-2</v>
      </c>
      <c r="W2" s="17">
        <f t="shared" ref="W2:W16" si="3">IF(OR(U2="",V2="",V2&lt;=0),"",U2/V2)</f>
        <v>0.50000000000000111</v>
      </c>
      <c r="X2" s="5">
        <f t="shared" ref="X2:X16" si="4">IF(OR(K2="",L2="",AP2=""),"",K2*L2-(E2*H2+IF(AND(AK2&lt;&gt;"",AL2&lt;&gt;""),AK2*AL2,0)+IF(AND(AM2&lt;&gt;"",AN2&lt;&gt;""),AM2*AN2,0))-IF(O2="",0,O2)-IF(P2="",0,P2))</f>
        <v>-1100</v>
      </c>
      <c r="Y2" s="7">
        <f t="shared" ref="Y2:Y16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-5.6410256410256411E-2</v>
      </c>
      <c r="Z2" s="7">
        <f>IF(OR(AE2="",多次统计数据!$B$8=""),"",AE2-多次统计数据!$B$8)</f>
        <v>-6.4413847896643645E-2</v>
      </c>
      <c r="AA2" s="11">
        <f t="shared" ref="AA2:AA16" si="6"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2.8495118518504836E-2</v>
      </c>
      <c r="AC2" s="8" t="str">
        <f>IF(OR(AB2="",多次统计数据!$B$9=""),"",IF(多次统计数据!$B$9&lt;AB2,"低于上限","达到或超过上限"))</f>
        <v>低于上限</v>
      </c>
      <c r="AD2" s="2" t="s">
        <v>45</v>
      </c>
      <c r="AE2" s="7">
        <f t="shared" ref="AE2:AE16" si="7">IF(OR(X2="",C2="",C2&lt;=0),"",X2/C2)</f>
        <v>-1.0999999999999999E-2</v>
      </c>
      <c r="AG2" s="2" t="s">
        <v>46</v>
      </c>
      <c r="AH2" s="2" t="s">
        <v>47</v>
      </c>
      <c r="AI2" s="2" t="s">
        <v>48</v>
      </c>
      <c r="AJ2" s="8" t="str">
        <f t="shared" ref="AJ2:AJ16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 t="shared" ref="AO2:AO16" si="9">IF(OR(A2="",H2="",H2&lt;=0),"",(E2*H2+IF(AND(AK2&lt;&gt;"",AL2&lt;&gt;""),AK2*AL2,0)+IF(AND(AM2&lt;&gt;"",AN2&lt;&gt;""),AM2*AN2,0))/AP2)</f>
        <v>3.9</v>
      </c>
      <c r="AP2" s="11">
        <f t="shared" ref="AP2:AP16" si="10"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$88)&gt;账户数据!$B$7,"违规：超过账户风险上限","通过")))))))))</f>
        <v>通过</v>
      </c>
    </row>
    <row r="3" spans="1:44" x14ac:dyDescent="0.15">
      <c r="A3" s="2">
        <v>2</v>
      </c>
      <c r="B3" s="2" t="s">
        <v>44</v>
      </c>
      <c r="C3" s="10">
        <v>98900</v>
      </c>
      <c r="D3" s="6">
        <v>0.02</v>
      </c>
      <c r="E3" s="10">
        <v>3.7</v>
      </c>
      <c r="F3" s="8">
        <f t="shared" si="0"/>
        <v>9800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3">
        <v>42653</v>
      </c>
      <c r="J3" s="10">
        <v>4</v>
      </c>
      <c r="K3" s="5">
        <v>4.22</v>
      </c>
      <c r="L3" s="8">
        <v>9800</v>
      </c>
      <c r="M3" s="16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 t="shared" si="1"/>
        <v>8.108108108108103E-2</v>
      </c>
      <c r="V3" s="7">
        <f t="shared" si="2"/>
        <v>5.4054054054054099E-2</v>
      </c>
      <c r="W3" s="17">
        <f t="shared" si="3"/>
        <v>1.4999999999999978</v>
      </c>
      <c r="X3" s="5">
        <f t="shared" si="4"/>
        <v>5096</v>
      </c>
      <c r="Y3" s="7">
        <f t="shared" si="5"/>
        <v>0.14054054054054055</v>
      </c>
      <c r="Z3" s="7">
        <f>IF(OR(AE3="",多次统计数据!$B$8=""),"",AE3-多次统计数据!$B$8)</f>
        <v>-1.8870531544798452E-3</v>
      </c>
      <c r="AA3" s="11">
        <f t="shared" si="6"/>
        <v>10</v>
      </c>
      <c r="AB3" s="7">
        <f>IF(OR(A3="",多次统计数据!$B$8="",多次统计数据!$B$6&lt;=0,多次统计数据!$B$6&gt;=1),"",1-POWER(1+多次统计数据!$B$8,-多次统计数据!$B$6/(1-多次统计数据!$B$6)))</f>
        <v>2.8495118518504836E-2</v>
      </c>
      <c r="AC3" s="8" t="str">
        <f>IF(OR(AB3="",多次统计数据!$B$9=""),"",IF(多次统计数据!$B$9&lt;AB3,"低于上限","达到或超过上限"))</f>
        <v>低于上限</v>
      </c>
      <c r="AD3" s="2" t="s">
        <v>45</v>
      </c>
      <c r="AE3" s="7">
        <f t="shared" si="7"/>
        <v>5.1526794742163803E-2</v>
      </c>
      <c r="AG3" s="2" t="s">
        <v>46</v>
      </c>
      <c r="AH3" s="2" t="s">
        <v>47</v>
      </c>
      <c r="AI3" s="2" t="s">
        <v>49</v>
      </c>
      <c r="AJ3" s="8" t="str">
        <f t="shared" si="8"/>
        <v>匹配</v>
      </c>
      <c r="AK3" s="10"/>
      <c r="AL3" s="12"/>
      <c r="AM3" s="10"/>
      <c r="AN3" s="12"/>
      <c r="AO3" s="5">
        <f t="shared" si="9"/>
        <v>3.7</v>
      </c>
      <c r="AP3" s="11">
        <f t="shared" si="10"/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$88)&gt;账户数据!$B$7,"违规：超过账户风险上限","通过")))))))))</f>
        <v>通过</v>
      </c>
    </row>
    <row r="4" spans="1:44" x14ac:dyDescent="0.15">
      <c r="A4" s="2">
        <v>3</v>
      </c>
      <c r="B4" s="2" t="s">
        <v>44</v>
      </c>
      <c r="C4" s="10">
        <v>103996</v>
      </c>
      <c r="D4" s="6">
        <v>0.02</v>
      </c>
      <c r="E4" s="10">
        <v>3.93</v>
      </c>
      <c r="F4" s="8">
        <f t="shared" si="0"/>
        <v>9000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3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6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 t="shared" si="1"/>
        <v>0.14503816793893126</v>
      </c>
      <c r="V4" s="7">
        <f t="shared" si="2"/>
        <v>5.8524173027989818E-2</v>
      </c>
      <c r="W4" s="17">
        <f t="shared" si="3"/>
        <v>2.4782608695652169</v>
      </c>
      <c r="X4" s="5">
        <f t="shared" si="4"/>
        <v>-2160</v>
      </c>
      <c r="Y4" s="7">
        <f t="shared" si="5"/>
        <v>-6.1068702290076333E-2</v>
      </c>
      <c r="Z4" s="7">
        <f>IF(OR(AE4="",多次统计数据!$B$8=""),"",AE4-多次统计数据!$B$8)</f>
        <v>-7.4183877513167365E-2</v>
      </c>
      <c r="AA4" s="11">
        <f t="shared" si="6"/>
        <v>32</v>
      </c>
      <c r="AB4" s="7">
        <f>IF(OR(A4="",多次统计数据!$B$8="",多次统计数据!$B$6&lt;=0,多次统计数据!$B$6&gt;=1),"",1-POWER(1+多次统计数据!$B$8,-多次统计数据!$B$6/(1-多次统计数据!$B$6)))</f>
        <v>2.8495118518504836E-2</v>
      </c>
      <c r="AC4" s="8" t="str">
        <f>IF(OR(AB4="",多次统计数据!$B$9=""),"",IF(多次统计数据!$B$9&lt;AB4,"低于上限","达到或超过上限"))</f>
        <v>低于上限</v>
      </c>
      <c r="AD4" s="2" t="s">
        <v>45</v>
      </c>
      <c r="AE4" s="7">
        <f t="shared" si="7"/>
        <v>-2.0770029616523713E-2</v>
      </c>
      <c r="AG4" s="2" t="s">
        <v>46</v>
      </c>
      <c r="AH4" s="2" t="s">
        <v>47</v>
      </c>
      <c r="AI4" s="2" t="s">
        <v>49</v>
      </c>
      <c r="AJ4" s="8" t="str">
        <f t="shared" si="8"/>
        <v>匹配</v>
      </c>
      <c r="AK4" s="10"/>
      <c r="AL4" s="12"/>
      <c r="AM4" s="10"/>
      <c r="AN4" s="12"/>
      <c r="AO4" s="5">
        <f t="shared" si="9"/>
        <v>3.93</v>
      </c>
      <c r="AP4" s="11">
        <f t="shared" si="10"/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$88)&gt;账户数据!$B$7,"违规：超过账户风险上限","通过")))))))))</f>
        <v>通过</v>
      </c>
    </row>
    <row r="5" spans="1:44" x14ac:dyDescent="0.15">
      <c r="A5" s="2">
        <v>4</v>
      </c>
      <c r="B5" s="2" t="s">
        <v>44</v>
      </c>
      <c r="C5" s="10">
        <v>101836</v>
      </c>
      <c r="D5" s="6">
        <v>0.02</v>
      </c>
      <c r="E5" s="10">
        <v>3.4</v>
      </c>
      <c r="F5" s="8">
        <f t="shared" si="0"/>
        <v>10100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3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6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 t="shared" si="1"/>
        <v>8.8235294117647134E-2</v>
      </c>
      <c r="V5" s="7">
        <f t="shared" si="2"/>
        <v>5.8823529411764629E-2</v>
      </c>
      <c r="W5" s="17">
        <f t="shared" si="3"/>
        <v>1.5000000000000033</v>
      </c>
      <c r="X5" s="5">
        <f t="shared" si="4"/>
        <v>909</v>
      </c>
      <c r="Y5" s="7">
        <f t="shared" si="5"/>
        <v>2.6470588235294117E-2</v>
      </c>
      <c r="Z5" s="7">
        <f>IF(OR(AE5="",多次统计数据!$B$8=""),"",AE5-多次统计数据!$B$8)</f>
        <v>-4.4487731395602761E-2</v>
      </c>
      <c r="AA5" s="11">
        <f t="shared" si="6"/>
        <v>13</v>
      </c>
      <c r="AB5" s="7">
        <f>IF(OR(A5="",多次统计数据!$B$8="",多次统计数据!$B$6&lt;=0,多次统计数据!$B$6&gt;=1),"",1-POWER(1+多次统计数据!$B$8,-多次统计数据!$B$6/(1-多次统计数据!$B$6)))</f>
        <v>2.8495118518504836E-2</v>
      </c>
      <c r="AC5" s="8" t="str">
        <f>IF(OR(AB5="",多次统计数据!$B$9=""),"",IF(多次统计数据!$B$9&lt;AB5,"低于上限","达到或超过上限"))</f>
        <v>低于上限</v>
      </c>
      <c r="AD5" s="2" t="s">
        <v>50</v>
      </c>
      <c r="AE5" s="7">
        <f t="shared" si="7"/>
        <v>8.9261165010408889E-3</v>
      </c>
      <c r="AG5" s="2" t="s">
        <v>46</v>
      </c>
      <c r="AH5" s="2" t="s">
        <v>47</v>
      </c>
      <c r="AI5" s="2" t="s">
        <v>49</v>
      </c>
      <c r="AJ5" s="8" t="str">
        <f t="shared" si="8"/>
        <v>匹配</v>
      </c>
      <c r="AK5" s="10"/>
      <c r="AL5" s="12"/>
      <c r="AM5" s="10"/>
      <c r="AN5" s="12"/>
      <c r="AO5" s="5">
        <f t="shared" si="9"/>
        <v>3.4</v>
      </c>
      <c r="AP5" s="11">
        <f t="shared" si="10"/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$88)&gt;账户数据!$B$7,"违规：超过账户风险上限","通过")))))))))</f>
        <v>通过</v>
      </c>
    </row>
    <row r="6" spans="1:44" x14ac:dyDescent="0.15">
      <c r="A6" s="2">
        <v>5</v>
      </c>
      <c r="B6" s="2" t="s">
        <v>44</v>
      </c>
      <c r="C6" s="10">
        <v>102745</v>
      </c>
      <c r="D6" s="6">
        <v>0.02</v>
      </c>
      <c r="E6" s="10">
        <v>2.87</v>
      </c>
      <c r="F6" s="8">
        <f t="shared" si="0"/>
        <v>17100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3">
        <v>43060</v>
      </c>
      <c r="J6" s="10">
        <v>3.2</v>
      </c>
      <c r="K6" s="5">
        <v>2.74</v>
      </c>
      <c r="L6" s="8">
        <v>17100</v>
      </c>
      <c r="M6" s="16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 t="shared" si="1"/>
        <v>0.11498257839721257</v>
      </c>
      <c r="V6" s="7">
        <f t="shared" si="2"/>
        <v>4.1811846689895509E-2</v>
      </c>
      <c r="W6" s="17">
        <f t="shared" si="3"/>
        <v>2.7499999999999982</v>
      </c>
      <c r="X6" s="5">
        <f t="shared" si="4"/>
        <v>-2222.9999999999927</v>
      </c>
      <c r="Y6" s="7">
        <f t="shared" si="5"/>
        <v>-4.5296167247386609E-2</v>
      </c>
      <c r="Z6" s="7">
        <f>IF(OR(AE6="",多次统计数据!$B$8=""),"",AE6-多次统计数据!$B$8)</f>
        <v>-7.5049937244057077E-2</v>
      </c>
      <c r="AA6" s="11">
        <f t="shared" si="6"/>
        <v>14</v>
      </c>
      <c r="AB6" s="7">
        <f>IF(OR(A6="",多次统计数据!$B$8="",多次统计数据!$B$6&lt;=0,多次统计数据!$B$6&gt;=1),"",1-POWER(1+多次统计数据!$B$8,-多次统计数据!$B$6/(1-多次统计数据!$B$6)))</f>
        <v>2.8495118518504836E-2</v>
      </c>
      <c r="AC6" s="8" t="str">
        <f>IF(OR(AB6="",多次统计数据!$B$9=""),"",IF(多次统计数据!$B$9&lt;AB6,"低于上限","达到或超过上限"))</f>
        <v>低于上限</v>
      </c>
      <c r="AD6" s="2" t="s">
        <v>50</v>
      </c>
      <c r="AE6" s="7">
        <f t="shared" si="7"/>
        <v>-2.1636089347413429E-2</v>
      </c>
      <c r="AG6" s="2" t="s">
        <v>46</v>
      </c>
      <c r="AH6" s="2" t="s">
        <v>47</v>
      </c>
      <c r="AI6" s="2" t="s">
        <v>51</v>
      </c>
      <c r="AJ6" s="8" t="str">
        <f t="shared" si="8"/>
        <v>匹配</v>
      </c>
      <c r="AK6" s="10"/>
      <c r="AL6" s="12"/>
      <c r="AM6" s="10"/>
      <c r="AN6" s="12"/>
      <c r="AO6" s="5">
        <f t="shared" si="9"/>
        <v>2.87</v>
      </c>
      <c r="AP6" s="11">
        <f t="shared" si="10"/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$88)&gt;账户数据!$B$7,"违规：超过账户风险上限","通过")))))))))</f>
        <v>通过</v>
      </c>
    </row>
    <row r="7" spans="1:44" x14ac:dyDescent="0.15">
      <c r="A7" s="2">
        <v>6</v>
      </c>
      <c r="B7" s="2" t="s">
        <v>44</v>
      </c>
      <c r="C7" s="10">
        <v>100522</v>
      </c>
      <c r="D7" s="6">
        <v>0.02</v>
      </c>
      <c r="E7" s="10">
        <v>2.57</v>
      </c>
      <c r="F7" s="8">
        <f t="shared" si="0"/>
        <v>11800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3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6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 t="shared" si="1"/>
        <v>0.16731517509727634</v>
      </c>
      <c r="V7" s="7">
        <f t="shared" si="2"/>
        <v>6.6147859922178961E-2</v>
      </c>
      <c r="W7" s="17">
        <f t="shared" si="3"/>
        <v>2.5294117647058845</v>
      </c>
      <c r="X7" s="5">
        <f t="shared" si="4"/>
        <v>-2241.9999999999964</v>
      </c>
      <c r="Y7" s="7">
        <f t="shared" si="5"/>
        <v>-7.3929961089494053E-2</v>
      </c>
      <c r="Z7" s="7">
        <f>IF(OR(AE7="",多次统计数据!$B$8=""),"",AE7-多次统计数据!$B$8)</f>
        <v>-7.5717423233385817E-2</v>
      </c>
      <c r="AA7" s="11">
        <f t="shared" si="6"/>
        <v>9</v>
      </c>
      <c r="AB7" s="7">
        <f>IF(OR(A7="",多次统计数据!$B$8="",多次统计数据!$B$6&lt;=0,多次统计数据!$B$6&gt;=1),"",1-POWER(1+多次统计数据!$B$8,-多次统计数据!$B$6/(1-多次统计数据!$B$6)))</f>
        <v>2.8495118518504836E-2</v>
      </c>
      <c r="AC7" s="8" t="str">
        <f>IF(OR(AB7="",多次统计数据!$B$9=""),"",IF(多次统计数据!$B$9&lt;AB7,"低于上限","达到或超过上限"))</f>
        <v>低于上限</v>
      </c>
      <c r="AD7" s="2" t="s">
        <v>50</v>
      </c>
      <c r="AE7" s="7">
        <f t="shared" si="7"/>
        <v>-2.2303575336742168E-2</v>
      </c>
      <c r="AG7" s="2" t="s">
        <v>46</v>
      </c>
      <c r="AH7" s="2" t="s">
        <v>47</v>
      </c>
      <c r="AI7" s="2" t="s">
        <v>52</v>
      </c>
      <c r="AJ7" s="8" t="str">
        <f t="shared" si="8"/>
        <v>匹配</v>
      </c>
      <c r="AK7" s="10"/>
      <c r="AL7" s="12"/>
      <c r="AM7" s="10"/>
      <c r="AN7" s="12"/>
      <c r="AO7" s="5">
        <f t="shared" si="9"/>
        <v>2.57</v>
      </c>
      <c r="AP7" s="11">
        <f t="shared" si="10"/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$88)&gt;账户数据!$B$7,"违规：超过账户风险上限","通过")))))))))</f>
        <v>通过</v>
      </c>
    </row>
    <row r="8" spans="1:44" x14ac:dyDescent="0.15">
      <c r="A8" s="2">
        <v>7</v>
      </c>
      <c r="B8" s="2" t="s">
        <v>44</v>
      </c>
      <c r="C8" s="10">
        <v>98280</v>
      </c>
      <c r="D8" s="6">
        <v>0.02</v>
      </c>
      <c r="E8" s="10">
        <v>1.91</v>
      </c>
      <c r="F8" s="8">
        <f t="shared" si="0"/>
        <v>32700</v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3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6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 t="shared" si="1"/>
        <v>4.7120418848167582E-2</v>
      </c>
      <c r="V8" s="7">
        <f t="shared" si="2"/>
        <v>3.1413612565444941E-2</v>
      </c>
      <c r="W8" s="17">
        <f t="shared" si="3"/>
        <v>1.5000000000000053</v>
      </c>
      <c r="X8" s="5">
        <f t="shared" si="4"/>
        <v>7521</v>
      </c>
      <c r="Y8" s="7">
        <f t="shared" si="5"/>
        <v>0.12041884816753927</v>
      </c>
      <c r="Z8" s="7">
        <f>IF(OR(AE8="",多次统计数据!$B$8=""),"",AE8-多次统计数据!$B$8)</f>
        <v>2.3112403629607883E-2</v>
      </c>
      <c r="AA8" s="11">
        <f t="shared" si="6"/>
        <v>601</v>
      </c>
      <c r="AB8" s="7">
        <f>IF(OR(A8="",多次统计数据!$B$8="",多次统计数据!$B$6&lt;=0,多次统计数据!$B$6&gt;=1),"",1-POWER(1+多次统计数据!$B$8,-多次统计数据!$B$6/(1-多次统计数据!$B$6)))</f>
        <v>2.8495118518504836E-2</v>
      </c>
      <c r="AC8" s="8" t="str">
        <f>IF(OR(AB8="",多次统计数据!$B$9=""),"",IF(多次统计数据!$B$9&lt;AB8,"低于上限","达到或超过上限"))</f>
        <v>低于上限</v>
      </c>
      <c r="AD8" s="2" t="s">
        <v>53</v>
      </c>
      <c r="AE8" s="7">
        <f t="shared" si="7"/>
        <v>7.6526251526251532E-2</v>
      </c>
      <c r="AF8" t="s">
        <v>54</v>
      </c>
      <c r="AG8" s="2" t="s">
        <v>46</v>
      </c>
      <c r="AH8" s="2" t="s">
        <v>47</v>
      </c>
      <c r="AI8" s="2" t="s">
        <v>55</v>
      </c>
      <c r="AJ8" s="8" t="str">
        <f t="shared" si="8"/>
        <v>匹配</v>
      </c>
      <c r="AK8" s="10"/>
      <c r="AL8" s="12"/>
      <c r="AM8" s="10"/>
      <c r="AN8" s="12"/>
      <c r="AO8" s="5">
        <f t="shared" si="9"/>
        <v>1.91</v>
      </c>
      <c r="AP8" s="11">
        <f t="shared" si="10"/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$88)&gt;账户数据!$B$7,"违规：超过账户风险上限","通过")))))))))</f>
        <v>通过</v>
      </c>
    </row>
    <row r="9" spans="1:44" x14ac:dyDescent="0.15">
      <c r="A9" s="2">
        <v>8</v>
      </c>
      <c r="B9" s="2" t="s">
        <v>44</v>
      </c>
      <c r="C9" s="10">
        <v>105801</v>
      </c>
      <c r="D9" s="6">
        <v>0.02</v>
      </c>
      <c r="E9" s="10">
        <v>3.83</v>
      </c>
      <c r="F9" s="8">
        <f t="shared" si="0"/>
        <v>6400</v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6400</v>
      </c>
      <c r="I9" s="13">
        <v>44900</v>
      </c>
      <c r="J9" s="10">
        <v>4.5</v>
      </c>
      <c r="K9" s="5">
        <f>IF(A9="","",IFERROR(LOOKUP(2,1/((持仓跟踪!$B$2:$B$157=A9)*(持仓跟踪!$X$2:$X$157="执行卖出")*(持仓跟踪!$Y$2:$Y$157&lt;&gt;"")),持仓跟踪!$Y$2:$Y$157),""))</f>
        <v>3.47</v>
      </c>
      <c r="L9" s="8">
        <f>IF(A9="","",IFERROR(LOOKUP(2,1/((持仓跟踪!$B$2:$B$157=A9)*(持仓跟踪!$X$2:$X$157="执行卖出")*(持仓跟踪!$Z$2:$Z$157&lt;&gt;"")),持仓跟踪!$Z$2:$Z$157),""))</f>
        <v>6400</v>
      </c>
      <c r="M9" s="16">
        <f>IF(A9="","",IFERROR(LOOKUP(2,1/((持仓跟踪!$B$2:$B$157=A9)*(持仓跟踪!$X$2:$X$157="执行卖出")*(持仓跟踪!$H$2:$H$157&lt;&gt;"")),持仓跟踪!$H$2:$H$157),""))</f>
        <v>44914</v>
      </c>
      <c r="N9" s="10">
        <v>3.5</v>
      </c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>
        <f t="shared" si="1"/>
        <v>0.17493472584856395</v>
      </c>
      <c r="V9" s="7">
        <f t="shared" si="2"/>
        <v>8.6161879895561372E-2</v>
      </c>
      <c r="W9" s="17">
        <f t="shared" si="3"/>
        <v>2.0303030303030298</v>
      </c>
      <c r="X9" s="5">
        <f t="shared" si="4"/>
        <v>-2304</v>
      </c>
      <c r="Y9" s="7">
        <f t="shared" si="5"/>
        <v>-9.3994778067885115E-2</v>
      </c>
      <c r="Z9" s="7">
        <f>IF(OR(AE9="",多次统计数据!$B$8=""),"",AE9-多次统计数据!$B$8)</f>
        <v>-7.5190579685568137E-2</v>
      </c>
      <c r="AA9" s="11">
        <f t="shared" si="6"/>
        <v>14</v>
      </c>
      <c r="AB9" s="7">
        <f>IF(OR(A9="",多次统计数据!$B$8="",多次统计数据!$B$6&lt;=0,多次统计数据!$B$6&gt;=1),"",1-POWER(1+多次统计数据!$B$8,-多次统计数据!$B$6/(1-多次统计数据!$B$6)))</f>
        <v>2.8495118518504836E-2</v>
      </c>
      <c r="AC9" s="8" t="str">
        <f>IF(OR(AB9="",多次统计数据!$B$9=""),"",IF(多次统计数据!$B$9&lt;AB9,"低于上限","达到或超过上限"))</f>
        <v>低于上限</v>
      </c>
      <c r="AD9" s="2" t="s">
        <v>50</v>
      </c>
      <c r="AE9" s="7">
        <f t="shared" si="7"/>
        <v>-2.1776731788924489E-2</v>
      </c>
      <c r="AG9" s="2" t="s">
        <v>46</v>
      </c>
      <c r="AH9" s="2" t="s">
        <v>47</v>
      </c>
      <c r="AI9" s="2" t="s">
        <v>49</v>
      </c>
      <c r="AJ9" s="8" t="str">
        <f t="shared" si="8"/>
        <v>匹配</v>
      </c>
      <c r="AK9" s="10"/>
      <c r="AL9" s="12"/>
      <c r="AM9" s="10"/>
      <c r="AN9" s="12"/>
      <c r="AO9" s="5">
        <f t="shared" si="9"/>
        <v>3.83</v>
      </c>
      <c r="AP9" s="11">
        <f t="shared" si="10"/>
        <v>6400</v>
      </c>
      <c r="AQ9" s="5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>0</v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$88)&gt;账户数据!$B$7,"违规：超过账户风险上限","通过")))))))))</f>
        <v>通过</v>
      </c>
    </row>
    <row r="10" spans="1:44" x14ac:dyDescent="0.15">
      <c r="A10" s="2">
        <v>9</v>
      </c>
      <c r="B10" s="2" t="s">
        <v>44</v>
      </c>
      <c r="C10" s="10">
        <v>103497</v>
      </c>
      <c r="D10" s="6">
        <v>0.02</v>
      </c>
      <c r="E10" s="10">
        <v>3.68</v>
      </c>
      <c r="F10" s="8">
        <f t="shared" si="0"/>
        <v>11400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11400</v>
      </c>
      <c r="I10" s="13">
        <v>45000</v>
      </c>
      <c r="J10" s="10">
        <v>4</v>
      </c>
      <c r="K10" s="5">
        <f>IF(A10="","",IFERROR(LOOKUP(2,1/((持仓跟踪!$B$2:$B$157=A10)*(持仓跟踪!$X$2:$X$157="执行卖出")*(持仓跟踪!$Y$2:$Y$157&lt;&gt;"")),持仓跟踪!$Y$2:$Y$157),""))</f>
        <v>3.46</v>
      </c>
      <c r="L10" s="8">
        <f>IF(A10="","",IFERROR(LOOKUP(2,1/((持仓跟踪!$B$2:$B$157=A10)*(持仓跟踪!$X$2:$X$157="执行卖出")*(持仓跟踪!$Z$2:$Z$157&lt;&gt;"")),持仓跟踪!$Z$2:$Z$157),""))</f>
        <v>11400</v>
      </c>
      <c r="M10" s="16">
        <f>IF(A10="","",IFERROR(LOOKUP(2,1/((持仓跟踪!$B$2:$B$157=A10)*(持仓跟踪!$X$2:$X$157="执行卖出")*(持仓跟踪!$H$2:$H$157&lt;&gt;"")),持仓跟踪!$H$2:$H$157),""))</f>
        <v>45041</v>
      </c>
      <c r="N10" s="10">
        <v>3.5</v>
      </c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>
        <f t="shared" si="1"/>
        <v>8.6956521739130391E-2</v>
      </c>
      <c r="V10" s="7">
        <f t="shared" si="2"/>
        <v>4.8913043478260913E-2</v>
      </c>
      <c r="W10" s="17">
        <f t="shared" si="3"/>
        <v>1.7777777777777752</v>
      </c>
      <c r="X10" s="5">
        <f t="shared" si="4"/>
        <v>-2508</v>
      </c>
      <c r="Y10" s="7">
        <f t="shared" si="5"/>
        <v>-5.9782608695652176E-2</v>
      </c>
      <c r="Z10" s="7">
        <f>IF(OR(AE10="",多次统计数据!$B$8=""),"",AE10-多次统计数据!$B$8)</f>
        <v>-7.7646434348424859E-2</v>
      </c>
      <c r="AA10" s="11">
        <f t="shared" si="6"/>
        <v>41</v>
      </c>
      <c r="AB10" s="7">
        <f>IF(OR(A10="",多次统计数据!$B$8="",多次统计数据!$B$6&lt;=0,多次统计数据!$B$6&gt;=1),"",1-POWER(1+多次统计数据!$B$8,-多次统计数据!$B$6/(1-多次统计数据!$B$6)))</f>
        <v>2.8495118518504836E-2</v>
      </c>
      <c r="AC10" s="8" t="str">
        <f>IF(OR(AB10="",多次统计数据!$B$9=""),"",IF(多次统计数据!$B$9&lt;AB10,"低于上限","达到或超过上限"))</f>
        <v>低于上限</v>
      </c>
      <c r="AD10" s="2" t="s">
        <v>56</v>
      </c>
      <c r="AE10" s="7">
        <f t="shared" si="7"/>
        <v>-2.423258645178121E-2</v>
      </c>
      <c r="AG10" s="2" t="s">
        <v>46</v>
      </c>
      <c r="AH10" s="2" t="s">
        <v>47</v>
      </c>
      <c r="AI10" s="2"/>
      <c r="AJ10" s="8" t="str">
        <f t="shared" si="8"/>
        <v>匹配</v>
      </c>
      <c r="AK10" s="10"/>
      <c r="AL10" s="12"/>
      <c r="AM10" s="10"/>
      <c r="AN10" s="12"/>
      <c r="AO10" s="5">
        <f t="shared" si="9"/>
        <v>3.68</v>
      </c>
      <c r="AP10" s="11">
        <f t="shared" si="10"/>
        <v>11400</v>
      </c>
      <c r="AQ10" s="5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>0</v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$88)&gt;账户数据!$B$7,"违规：超过账户风险上限","通过")))))))))</f>
        <v>通过</v>
      </c>
    </row>
    <row r="11" spans="1:44" x14ac:dyDescent="0.15">
      <c r="A11" s="2">
        <v>10</v>
      </c>
      <c r="B11" s="2" t="s">
        <v>44</v>
      </c>
      <c r="C11" s="10">
        <v>100989</v>
      </c>
      <c r="D11" s="6">
        <v>0.02</v>
      </c>
      <c r="E11" s="10">
        <v>2.86</v>
      </c>
      <c r="F11" s="8">
        <f t="shared" si="0"/>
        <v>18300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18300</v>
      </c>
      <c r="I11" s="13">
        <v>45357</v>
      </c>
      <c r="J11" s="10">
        <v>3</v>
      </c>
      <c r="K11" s="5">
        <f>IF(A11="","",IFERROR(LOOKUP(2,1/((持仓跟踪!$B$2:$B$157=A11)*(持仓跟踪!$X$2:$X$157="执行卖出")*(持仓跟踪!$Y$2:$Y$157&lt;&gt;"")),持仓跟踪!$Y$2:$Y$157),""))</f>
        <v>2.78</v>
      </c>
      <c r="L11" s="8">
        <f>IF(A11="","",IFERROR(LOOKUP(2,1/((持仓跟踪!$B$2:$B$157=A11)*(持仓跟踪!$X$2:$X$157="执行卖出")*(持仓跟踪!$Z$2:$Z$157&lt;&gt;"")),持仓跟踪!$Z$2:$Z$157),""))</f>
        <v>18300</v>
      </c>
      <c r="M11" s="16">
        <f>IF(A11="","",IFERROR(LOOKUP(2,1/((持仓跟踪!$B$2:$B$157=A11)*(持仓跟踪!$X$2:$X$157="执行卖出")*(持仓跟踪!$H$2:$H$157&lt;&gt;"")),持仓跟踪!$H$2:$H$157),""))</f>
        <v>45373</v>
      </c>
      <c r="N11" s="10">
        <v>2.75</v>
      </c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>
        <f t="shared" si="1"/>
        <v>4.8951048951048994E-2</v>
      </c>
      <c r="V11" s="7">
        <f t="shared" si="2"/>
        <v>3.8461538461538422E-2</v>
      </c>
      <c r="W11" s="17">
        <f t="shared" si="3"/>
        <v>1.2727272727272751</v>
      </c>
      <c r="X11" s="5">
        <f t="shared" si="4"/>
        <v>-1464</v>
      </c>
      <c r="Y11" s="7">
        <f t="shared" si="5"/>
        <v>-2.7972027972027972E-2</v>
      </c>
      <c r="Z11" s="7">
        <f>IF(OR(AE11="",多次统计数据!$B$8=""),"",AE11-多次统计数据!$B$8)</f>
        <v>-6.7910476242305062E-2</v>
      </c>
      <c r="AA11" s="11">
        <f t="shared" si="6"/>
        <v>16</v>
      </c>
      <c r="AB11" s="7">
        <f>IF(OR(A11="",多次统计数据!$B$8="",多次统计数据!$B$6&lt;=0,多次统计数据!$B$6&gt;=1),"",1-POWER(1+多次统计数据!$B$8,-多次统计数据!$B$6/(1-多次统计数据!$B$6)))</f>
        <v>2.8495118518504836E-2</v>
      </c>
      <c r="AC11" s="8" t="str">
        <f>IF(OR(AB11="",多次统计数据!$B$9=""),"",IF(多次统计数据!$B$9&lt;AB11,"低于上限","达到或超过上限"))</f>
        <v>低于上限</v>
      </c>
      <c r="AD11" s="2" t="s">
        <v>50</v>
      </c>
      <c r="AE11" s="7">
        <f t="shared" si="7"/>
        <v>-1.4496628345661408E-2</v>
      </c>
      <c r="AG11" s="2" t="s">
        <v>57</v>
      </c>
      <c r="AH11" s="2" t="s">
        <v>58</v>
      </c>
      <c r="AI11" s="2"/>
      <c r="AJ11" s="8" t="str">
        <f t="shared" si="8"/>
        <v>匹配</v>
      </c>
      <c r="AK11" s="10"/>
      <c r="AL11" s="12"/>
      <c r="AM11" s="10"/>
      <c r="AN11" s="12"/>
      <c r="AO11" s="5">
        <f t="shared" si="9"/>
        <v>2.86</v>
      </c>
      <c r="AP11" s="11">
        <f t="shared" si="10"/>
        <v>18300</v>
      </c>
      <c r="AQ11" s="5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>0</v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$88)&gt;账户数据!$B$7,"违规：超过账户风险上限","通过")))))))))</f>
        <v>通过</v>
      </c>
    </row>
    <row r="12" spans="1:44" x14ac:dyDescent="0.15">
      <c r="A12" s="2">
        <v>11</v>
      </c>
      <c r="B12" s="2" t="s">
        <v>59</v>
      </c>
      <c r="C12" s="10">
        <v>99525</v>
      </c>
      <c r="D12" s="6">
        <v>0.02</v>
      </c>
      <c r="E12" s="10">
        <v>20.5</v>
      </c>
      <c r="F12" s="8">
        <f t="shared" si="0"/>
        <v>1900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1900</v>
      </c>
      <c r="I12" s="13">
        <v>42815</v>
      </c>
      <c r="J12" s="10">
        <v>23</v>
      </c>
      <c r="K12" s="5">
        <f>IF(A12="","",IFERROR(LOOKUP(2,1/((持仓跟踪!$B$2:$B$157=A12)*(持仓跟踪!$X$2:$X$157="执行卖出")*(持仓跟踪!$Y$2:$Y$157&lt;&gt;"")),持仓跟踪!$Y$2:$Y$157),""))</f>
        <v>29.25</v>
      </c>
      <c r="L12" s="8">
        <f>IF(A12="","",IFERROR(LOOKUP(2,1/((持仓跟踪!$B$2:$B$157=A12)*(持仓跟踪!$X$2:$X$157="执行卖出")*(持仓跟踪!$Z$2:$Z$157&lt;&gt;"")),持仓跟踪!$Z$2:$Z$157),""))</f>
        <v>1900</v>
      </c>
      <c r="M12" s="16">
        <f>IF(A12="","",IFERROR(LOOKUP(2,1/((持仓跟踪!$B$2:$B$157=A12)*(持仓跟踪!$X$2:$X$157="执行卖出")*(持仓跟踪!$H$2:$H$157&lt;&gt;"")),持仓跟踪!$H$2:$H$157),""))</f>
        <v>43059</v>
      </c>
      <c r="N12" s="10">
        <v>19.5</v>
      </c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>
        <f t="shared" si="1"/>
        <v>0.12195121951219512</v>
      </c>
      <c r="V12" s="7">
        <f t="shared" si="2"/>
        <v>4.878048780487805E-2</v>
      </c>
      <c r="W12" s="17">
        <f t="shared" si="3"/>
        <v>2.5</v>
      </c>
      <c r="X12" s="5">
        <f t="shared" si="4"/>
        <v>16625</v>
      </c>
      <c r="Y12" s="7">
        <f t="shared" si="5"/>
        <v>0.42682926829268292</v>
      </c>
      <c r="Z12" s="7">
        <f>IF(OR(AE12="",多次统计数据!$B$8=""),"",AE12-多次统计数据!$B$8)</f>
        <v>0.11362960852134178</v>
      </c>
      <c r="AA12" s="11">
        <f t="shared" si="6"/>
        <v>244</v>
      </c>
      <c r="AB12" s="7">
        <f>IF(OR(A12="",多次统计数据!$B$8="",多次统计数据!$B$6&lt;=0,多次统计数据!$B$6&gt;=1),"",1-POWER(1+多次统计数据!$B$8,-多次统计数据!$B$6/(1-多次统计数据!$B$6)))</f>
        <v>2.8495118518504836E-2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7"/>
        <v>0.16704345641798543</v>
      </c>
      <c r="AG12" s="2" t="s">
        <v>60</v>
      </c>
      <c r="AH12" s="2" t="s">
        <v>61</v>
      </c>
      <c r="AI12" s="14" t="s">
        <v>62</v>
      </c>
      <c r="AJ12" s="8" t="str">
        <f t="shared" si="8"/>
        <v>匹配</v>
      </c>
      <c r="AK12" s="10"/>
      <c r="AL12" s="12"/>
      <c r="AM12" s="10"/>
      <c r="AN12" s="12"/>
      <c r="AO12" s="5">
        <f t="shared" si="9"/>
        <v>20.5</v>
      </c>
      <c r="AP12" s="11">
        <f t="shared" si="10"/>
        <v>1900</v>
      </c>
      <c r="AQ12" s="5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>0</v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$88)&gt;账户数据!$B$7,"违规：超过账户风险上限","通过")))))))))</f>
        <v>通过</v>
      </c>
    </row>
    <row r="13" spans="1:44" x14ac:dyDescent="0.15">
      <c r="A13" s="2">
        <v>12</v>
      </c>
      <c r="B13" s="2" t="s">
        <v>59</v>
      </c>
      <c r="C13" s="10">
        <v>116150</v>
      </c>
      <c r="D13" s="6">
        <v>0.02</v>
      </c>
      <c r="E13" s="10">
        <v>31.91</v>
      </c>
      <c r="F13" s="8">
        <f t="shared" si="0"/>
        <v>1200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1200</v>
      </c>
      <c r="I13" s="13">
        <v>43110</v>
      </c>
      <c r="J13" s="10">
        <v>35</v>
      </c>
      <c r="K13" s="5">
        <v>29.29</v>
      </c>
      <c r="L13" s="8">
        <f>IF(A13="","",IFERROR(LOOKUP(2,1/((持仓跟踪!$B$2:$B$157=A13)*(持仓跟踪!$X$2:$X$157="执行卖出")*(持仓跟踪!$Z$2:$Z$157&lt;&gt;"")),持仓跟踪!$Z$2:$Z$157),""))</f>
        <v>1200</v>
      </c>
      <c r="M13" s="16">
        <f>IF(A13="","",IFERROR(LOOKUP(2,1/((持仓跟踪!$B$2:$B$157=A13)*(持仓跟踪!$X$2:$X$157="执行卖出")*(持仓跟踪!$H$2:$H$157&lt;&gt;"")),持仓跟踪!$H$2:$H$157),""))</f>
        <v>43311</v>
      </c>
      <c r="N13" s="10">
        <v>30</v>
      </c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>
        <f t="shared" si="1"/>
        <v>9.6834848010028202E-2</v>
      </c>
      <c r="V13" s="7">
        <f t="shared" si="2"/>
        <v>5.9855844562832973E-2</v>
      </c>
      <c r="W13" s="17">
        <f t="shared" si="3"/>
        <v>1.6178010471204187</v>
      </c>
      <c r="X13" s="5">
        <f t="shared" si="4"/>
        <v>-3144</v>
      </c>
      <c r="Y13" s="7">
        <f t="shared" si="5"/>
        <v>-8.2105922908179252E-2</v>
      </c>
      <c r="Z13" s="7">
        <f>IF(OR(AE13="",多次统计数据!$B$8=""),"",AE13-多次统计数据!$B$8)</f>
        <v>-8.0482293871675936E-2</v>
      </c>
      <c r="AA13" s="11">
        <f t="shared" si="6"/>
        <v>201</v>
      </c>
      <c r="AB13" s="7">
        <f>IF(OR(A13="",多次统计数据!$B$8="",多次统计数据!$B$6&lt;=0,多次统计数据!$B$6&gt;=1),"",1-POWER(1+多次统计数据!$B$8,-多次统计数据!$B$6/(1-多次统计数据!$B$6)))</f>
        <v>2.8495118518504836E-2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7"/>
        <v>-2.7068445975032288E-2</v>
      </c>
      <c r="AG13" s="2" t="s">
        <v>60</v>
      </c>
      <c r="AH13" s="2" t="s">
        <v>61</v>
      </c>
      <c r="AI13" s="2"/>
      <c r="AJ13" s="8" t="str">
        <f t="shared" si="8"/>
        <v>匹配</v>
      </c>
      <c r="AK13" s="10"/>
      <c r="AL13" s="12"/>
      <c r="AM13" s="10"/>
      <c r="AN13" s="12"/>
      <c r="AO13" s="5">
        <f t="shared" si="9"/>
        <v>31.91</v>
      </c>
      <c r="AP13" s="11">
        <f t="shared" si="10"/>
        <v>1200</v>
      </c>
      <c r="AQ13" s="5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>0</v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$88)&gt;账户数据!$B$7,"违规：超过账户风险上限","通过")))))))))</f>
        <v>通过</v>
      </c>
    </row>
    <row r="14" spans="1:44" x14ac:dyDescent="0.15">
      <c r="A14" s="2">
        <v>13</v>
      </c>
      <c r="B14" s="2" t="s">
        <v>59</v>
      </c>
      <c r="C14" s="10">
        <v>113006</v>
      </c>
      <c r="D14" s="6">
        <v>0.02</v>
      </c>
      <c r="E14" s="10">
        <v>41.91</v>
      </c>
      <c r="F14" s="8">
        <f t="shared" si="0"/>
        <v>700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700</v>
      </c>
      <c r="I14" s="13">
        <v>43245</v>
      </c>
      <c r="J14" s="10">
        <v>50</v>
      </c>
      <c r="K14" s="5">
        <v>38.49</v>
      </c>
      <c r="L14" s="8">
        <v>700</v>
      </c>
      <c r="M14" s="18">
        <v>43311</v>
      </c>
      <c r="N14" s="10">
        <v>39</v>
      </c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>
        <f t="shared" si="1"/>
        <v>0.19303268909568133</v>
      </c>
      <c r="V14" s="7">
        <f t="shared" si="2"/>
        <v>6.9434502505368575E-2</v>
      </c>
      <c r="W14" s="17">
        <f t="shared" si="3"/>
        <v>2.7800687285223411</v>
      </c>
      <c r="X14" s="5">
        <f t="shared" si="4"/>
        <v>-2393.9999999999964</v>
      </c>
      <c r="Y14" s="7">
        <f t="shared" si="5"/>
        <v>-8.1603435934144486E-2</v>
      </c>
      <c r="Z14" s="7">
        <f>IF(OR(AE14="",多次统计数据!$B$8=""),"",AE14-多次统计数据!$B$8)</f>
        <v>-7.4598563752438882E-2</v>
      </c>
      <c r="AA14" s="11">
        <f t="shared" si="6"/>
        <v>66</v>
      </c>
      <c r="AB14" s="7">
        <f>IF(OR(A14="",多次统计数据!$B$8="",多次统计数据!$B$6&lt;=0,多次统计数据!$B$6&gt;=1),"",1-POWER(1+多次统计数据!$B$8,-多次统计数据!$B$6/(1-多次统计数据!$B$6)))</f>
        <v>2.8495118518504836E-2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7"/>
        <v>-2.1184715855795237E-2</v>
      </c>
      <c r="AG14" s="2" t="s">
        <v>60</v>
      </c>
      <c r="AH14" s="2" t="s">
        <v>61</v>
      </c>
      <c r="AI14" s="2"/>
      <c r="AJ14" s="8" t="str">
        <f t="shared" si="8"/>
        <v>匹配</v>
      </c>
      <c r="AK14" s="10"/>
      <c r="AL14" s="12"/>
      <c r="AM14" s="10"/>
      <c r="AN14" s="12"/>
      <c r="AO14" s="5">
        <f t="shared" si="9"/>
        <v>41.91</v>
      </c>
      <c r="AP14" s="11">
        <f t="shared" si="10"/>
        <v>700</v>
      </c>
      <c r="AQ14" s="5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>0</v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$88)&gt;账户数据!$B$7,"违规：超过账户风险上限","通过")))))))))</f>
        <v>通过</v>
      </c>
    </row>
    <row r="15" spans="1:44" x14ac:dyDescent="0.15">
      <c r="A15" s="2">
        <v>14</v>
      </c>
      <c r="B15" s="2" t="s">
        <v>59</v>
      </c>
      <c r="C15" s="10">
        <v>110612</v>
      </c>
      <c r="D15" s="6">
        <v>0.02</v>
      </c>
      <c r="E15" s="10">
        <v>42.06</v>
      </c>
      <c r="F15" s="8">
        <f t="shared" si="0"/>
        <v>700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700</v>
      </c>
      <c r="I15" s="13">
        <v>43542</v>
      </c>
      <c r="J15" s="10">
        <v>48</v>
      </c>
      <c r="K15" s="5">
        <v>41.91</v>
      </c>
      <c r="L15" s="8">
        <f>IF(A15="","",IFERROR(LOOKUP(2,1/((持仓跟踪!$B$2:$B$157=A15)*(持仓跟踪!$X$2:$X$157="执行卖出")*(持仓跟踪!$Z$2:$Z$157&lt;&gt;"")),持仓跟踪!$Z$2:$Z$157),""))</f>
        <v>700</v>
      </c>
      <c r="M15" s="16">
        <f>IF(A15="","",IFERROR(LOOKUP(2,1/((持仓跟踪!$B$2:$B$157=A15)*(持仓跟踪!$X$2:$X$157="执行卖出")*(持仓跟踪!$H$2:$H$157&lt;&gt;"")),持仓跟踪!$H$2:$H$157),""))</f>
        <v>43577</v>
      </c>
      <c r="N15" s="10">
        <v>39</v>
      </c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>
        <f t="shared" si="1"/>
        <v>0.14122681883024246</v>
      </c>
      <c r="V15" s="7">
        <f t="shared" si="2"/>
        <v>7.2753209700428007E-2</v>
      </c>
      <c r="W15" s="17">
        <f t="shared" si="3"/>
        <v>1.9411764705882333</v>
      </c>
      <c r="X15" s="5">
        <f t="shared" si="4"/>
        <v>-105.00000000000364</v>
      </c>
      <c r="Y15" s="7">
        <f t="shared" si="5"/>
        <v>-3.5663338088446316E-3</v>
      </c>
      <c r="Z15" s="7">
        <f>IF(OR(AE15="",多次统计数据!$B$8=""),"",AE15-多次统计数据!$B$8)</f>
        <v>-5.436311199095533E-2</v>
      </c>
      <c r="AA15" s="11">
        <f t="shared" si="6"/>
        <v>35</v>
      </c>
      <c r="AB15" s="7">
        <f>IF(OR(A15="",多次统计数据!$B$8="",多次统计数据!$B$6&lt;=0,多次统计数据!$B$6&gt;=1),"",1-POWER(1+多次统计数据!$B$8,-多次统计数据!$B$6/(1-多次统计数据!$B$6)))</f>
        <v>2.8495118518504836E-2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7"/>
        <v>-9.4926409431168076E-4</v>
      </c>
      <c r="AG15" s="2" t="s">
        <v>60</v>
      </c>
      <c r="AH15" s="2" t="s">
        <v>61</v>
      </c>
      <c r="AI15" s="2"/>
      <c r="AJ15" s="8" t="str">
        <f t="shared" si="8"/>
        <v>匹配</v>
      </c>
      <c r="AK15" s="10"/>
      <c r="AL15" s="12"/>
      <c r="AM15" s="10"/>
      <c r="AN15" s="12"/>
      <c r="AO15" s="5">
        <f t="shared" si="9"/>
        <v>42.06</v>
      </c>
      <c r="AP15" s="11">
        <f t="shared" si="10"/>
        <v>700</v>
      </c>
      <c r="AQ15" s="5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>0</v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$88)&gt;账户数据!$B$7,"违规：超过账户风险上限","通过")))))))))</f>
        <v>通过</v>
      </c>
    </row>
    <row r="16" spans="1:44" x14ac:dyDescent="0.15">
      <c r="A16" s="2">
        <v>15</v>
      </c>
      <c r="B16" s="2" t="s">
        <v>59</v>
      </c>
      <c r="C16" s="10">
        <v>110507</v>
      </c>
      <c r="D16" s="6">
        <v>0.02</v>
      </c>
      <c r="E16" s="10">
        <v>48.86</v>
      </c>
      <c r="F16" s="8">
        <f t="shared" si="0"/>
        <v>1600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1600</v>
      </c>
      <c r="I16" s="13">
        <v>43696</v>
      </c>
      <c r="J16" s="10">
        <v>50</v>
      </c>
      <c r="K16" s="5">
        <f>IF(A16="","",IFERROR(LOOKUP(2,1/((持仓跟踪!$B$2:$B$157=A16)*(持仓跟踪!$X$2:$X$157="执行卖出")*(持仓跟踪!$Y$2:$Y$157&lt;&gt;"")),持仓跟踪!$Y$2:$Y$157),""))</f>
        <v>58.41</v>
      </c>
      <c r="L16" s="8">
        <f>IF(A16="","",IFERROR(LOOKUP(2,1/((持仓跟踪!$B$2:$B$157=A16)*(持仓跟踪!$X$2:$X$157="执行卖出")*(持仓跟踪!$Z$2:$Z$157&lt;&gt;"")),持仓跟踪!$Z$2:$Z$157),""))</f>
        <v>1600</v>
      </c>
      <c r="M16" s="16">
        <f>IF(A16="","",IFERROR(LOOKUP(2,1/((持仓跟踪!$B$2:$B$157=A16)*(持仓跟踪!$X$2:$X$157="执行卖出")*(持仓跟踪!$H$2:$H$157&lt;&gt;"")),持仓跟踪!$H$2:$H$157),""))</f>
        <v>43798</v>
      </c>
      <c r="N16" s="10">
        <v>47.5</v>
      </c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>
        <f t="shared" si="1"/>
        <v>2.3331968890708158E-2</v>
      </c>
      <c r="V16" s="7">
        <f t="shared" si="2"/>
        <v>2.7834629553827251E-2</v>
      </c>
      <c r="W16" s="17">
        <f t="shared" si="3"/>
        <v>0.83823529411764786</v>
      </c>
      <c r="X16" s="5">
        <f t="shared" si="4"/>
        <v>15280</v>
      </c>
      <c r="Y16" s="7">
        <f t="shared" si="5"/>
        <v>0.19545640605812525</v>
      </c>
      <c r="Z16" s="7">
        <f>IF(OR(AE16="",多次统计数据!$B$8=""),"",AE16-多次统计数据!$B$8)</f>
        <v>8.4857935791267533E-2</v>
      </c>
      <c r="AA16" s="11">
        <f t="shared" si="6"/>
        <v>102</v>
      </c>
      <c r="AB16" s="7">
        <f>IF(OR(A16="",多次统计数据!$B$8="",多次统计数据!$B$6&lt;=0,多次统计数据!$B$6&gt;=1),"",1-POWER(1+多次统计数据!$B$8,-多次统计数据!$B$6/(1-多次统计数据!$B$6)))</f>
        <v>2.8495118518504836E-2</v>
      </c>
      <c r="AC16" s="8" t="str">
        <f>IF(OR(AB16="",多次统计数据!$B$9=""),"",IF(多次统计数据!$B$9&lt;AB16,"低于上限","达到或超过上限"))</f>
        <v>低于上限</v>
      </c>
      <c r="AD16" s="2" t="s">
        <v>45</v>
      </c>
      <c r="AE16" s="7">
        <f t="shared" si="7"/>
        <v>0.13827178368791118</v>
      </c>
      <c r="AG16" s="2" t="s">
        <v>60</v>
      </c>
      <c r="AH16" s="2" t="s">
        <v>47</v>
      </c>
      <c r="AI16" s="2"/>
      <c r="AJ16" s="8" t="str">
        <f t="shared" si="8"/>
        <v>匹配</v>
      </c>
      <c r="AK16" s="10"/>
      <c r="AL16" s="12"/>
      <c r="AM16" s="10"/>
      <c r="AN16" s="12"/>
      <c r="AO16" s="5">
        <f t="shared" si="9"/>
        <v>48.86</v>
      </c>
      <c r="AP16" s="11">
        <f t="shared" si="10"/>
        <v>1600</v>
      </c>
      <c r="AQ16" s="5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>0</v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$88)&gt;账户数据!$B$7,"违规：超过账户风险上限","通过")))))))))</f>
        <v>通过</v>
      </c>
    </row>
    <row r="17" spans="1:44" x14ac:dyDescent="0.15">
      <c r="A17" s="2">
        <v>16</v>
      </c>
      <c r="B17" s="2" t="s">
        <v>59</v>
      </c>
      <c r="C17" s="10">
        <v>125787</v>
      </c>
      <c r="D17" s="6">
        <v>0.02</v>
      </c>
      <c r="E17" s="10">
        <v>62.26</v>
      </c>
      <c r="F17" s="8">
        <f t="shared" ref="F17:F48" si="11">IF(OR(C17="",D17="",E17="",N17="",C17&lt;=0,D17&lt;=0,E17&lt;=N17),"",ROUNDDOWN((C17*D17)/(E17-N17)/100,0)*100)</f>
        <v>1100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1100</v>
      </c>
      <c r="I17" s="13">
        <v>43874</v>
      </c>
      <c r="J17" s="10">
        <v>70</v>
      </c>
      <c r="K17" s="5">
        <f>IF(A17="","",IFERROR(LOOKUP(2,1/((持仓跟踪!$B$2:$B$157=A17)*(持仓跟踪!$X$2:$X$157="执行卖出")*(持仓跟踪!$Y$2:$Y$157&lt;&gt;"")),持仓跟踪!$Y$2:$Y$157),""))</f>
        <v>58.95</v>
      </c>
      <c r="L17" s="8">
        <f>IF(A17="","",IFERROR(LOOKUP(2,1/((持仓跟踪!$B$2:$B$157=A17)*(持仓跟踪!$X$2:$X$157="执行卖出")*(持仓跟踪!$Z$2:$Z$157&lt;&gt;"")),持仓跟踪!$Z$2:$Z$157),""))</f>
        <v>1100</v>
      </c>
      <c r="M17" s="16">
        <f>IF(A17="","",IFERROR(LOOKUP(2,1/((持仓跟踪!$B$2:$B$157=A17)*(持仓跟踪!$X$2:$X$157="执行卖出")*(持仓跟踪!$H$2:$H$157&lt;&gt;"")),持仓跟踪!$H$2:$H$157),""))</f>
        <v>43887</v>
      </c>
      <c r="N17" s="10">
        <v>60</v>
      </c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>
        <f t="shared" ref="U17:U48" si="12">IF(OR(AO17="",J17="",AO17&lt;=0),"",(J17-AO17)/AO17)</f>
        <v>0.1243173787343399</v>
      </c>
      <c r="V17" s="7">
        <f t="shared" ref="V17:V48" si="13">IF(OR(AO17="",N17="",AO17&lt;=0),"",(AO17-N17)/AO17)</f>
        <v>3.6299389656280087E-2</v>
      </c>
      <c r="W17" s="17">
        <f t="shared" ref="W17:W48" si="14">IF(OR(U17="",V17="",V17&lt;=0),"",U17/V17)</f>
        <v>3.4247787610619507</v>
      </c>
      <c r="X17" s="5">
        <f t="shared" ref="X17:X48" si="15">IF(OR(K17="",L17="",AP17=""),"",K17*L17-(E17*H17+IF(AND(AK17&lt;&gt;"",AL17&lt;&gt;""),AK17*AL17,0)+IF(AND(AM17&lt;&gt;"",AN17&lt;&gt;""),AM17*AN17,0))-IF(O17="",0,O17)-IF(P17="",0,P17))</f>
        <v>-3641</v>
      </c>
      <c r="Y17" s="7">
        <f t="shared" ref="Y17:Y48" si="16"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-5.3164150337295213E-2</v>
      </c>
      <c r="Z17" s="7">
        <f>IF(OR(AE17="",多次统计数据!$B$8=""),"",AE17-多次统计数据!$B$8)</f>
        <v>-8.2359605407356207E-2</v>
      </c>
      <c r="AA17" s="11">
        <f t="shared" ref="AA17:AA48" si="17">IF(OR(I17="",M17="",M17&lt;I17),"",M17-I17)</f>
        <v>13</v>
      </c>
      <c r="AB17" s="7">
        <f>IF(OR(A17="",多次统计数据!$B$8="",多次统计数据!$B$6&lt;=0,多次统计数据!$B$6&gt;=1),"",1-POWER(1+多次统计数据!$B$8,-多次统计数据!$B$6/(1-多次统计数据!$B$6)))</f>
        <v>2.8495118518504836E-2</v>
      </c>
      <c r="AC17" s="8" t="str">
        <f>IF(OR(AB17="",多次统计数据!$B$9=""),"",IF(多次统计数据!$B$9&lt;AB17,"低于上限","达到或超过上限"))</f>
        <v>低于上限</v>
      </c>
      <c r="AD17" s="2" t="s">
        <v>50</v>
      </c>
      <c r="AE17" s="7">
        <f t="shared" ref="AE17:AE48" si="18">IF(OR(X17="",C17="",C17&lt;=0),"",X17/C17)</f>
        <v>-2.8945757510712555E-2</v>
      </c>
      <c r="AG17" s="2" t="s">
        <v>60</v>
      </c>
      <c r="AH17" s="2" t="s">
        <v>47</v>
      </c>
      <c r="AI17" s="2"/>
      <c r="AJ17" s="8" t="str">
        <f t="shared" ref="AJ17:AJ48" si="19"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>匹配</v>
      </c>
      <c r="AK17" s="10"/>
      <c r="AL17" s="12"/>
      <c r="AM17" s="10"/>
      <c r="AN17" s="12"/>
      <c r="AO17" s="5">
        <f t="shared" ref="AO17:AO48" si="20">IF(OR(A17="",H17="",H17&lt;=0),"",(E17*H17+IF(AND(AK17&lt;&gt;"",AL17&lt;&gt;""),AK17*AL17,0)+IF(AND(AM17&lt;&gt;"",AN17&lt;&gt;""),AM17*AN17,0))/AP17)</f>
        <v>62.26</v>
      </c>
      <c r="AP17" s="11">
        <f t="shared" ref="AP17:AP48" si="21">IF(OR(A17="",H17="",H17&lt;=0),"",H17+IF(AL17="",0,AL17)+IF(AN17="",0,AN17))</f>
        <v>1100</v>
      </c>
      <c r="AQ17" s="5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>0</v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$88)&gt;账户数据!$B$7,"违规：超过账户风险上限","通过")))))))))</f>
        <v>通过</v>
      </c>
    </row>
    <row r="18" spans="1:44" x14ac:dyDescent="0.15">
      <c r="A18" s="2">
        <v>17</v>
      </c>
      <c r="B18" s="2" t="s">
        <v>59</v>
      </c>
      <c r="C18" s="10">
        <v>122416</v>
      </c>
      <c r="D18" s="6">
        <v>0.02</v>
      </c>
      <c r="E18" s="10">
        <v>65.41</v>
      </c>
      <c r="F18" s="8">
        <f t="shared" si="11"/>
        <v>1200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1200</v>
      </c>
      <c r="I18" s="13">
        <v>43928</v>
      </c>
      <c r="J18" s="10">
        <v>70</v>
      </c>
      <c r="K18" s="5">
        <f>IF(A18="","",IFERROR(LOOKUP(2,1/((持仓跟踪!$B$2:$B$157=A18)*(持仓跟踪!$X$2:$X$157="执行卖出")*(持仓跟踪!$Y$2:$Y$157&lt;&gt;"")),持仓跟踪!$Y$2:$Y$157),""))</f>
        <v>63.61</v>
      </c>
      <c r="L18" s="8">
        <f>IF(A18="","",IFERROR(LOOKUP(2,1/((持仓跟踪!$B$2:$B$157=A18)*(持仓跟踪!$X$2:$X$157="执行卖出")*(持仓跟踪!$Z$2:$Z$157&lt;&gt;"")),持仓跟踪!$Z$2:$Z$157),""))</f>
        <v>1200</v>
      </c>
      <c r="M18" s="16">
        <f>IF(A18="","",IFERROR(LOOKUP(2,1/((持仓跟踪!$B$2:$B$157=A18)*(持仓跟踪!$X$2:$X$157="执行卖出")*(持仓跟踪!$H$2:$H$157&lt;&gt;"")),持仓跟踪!$H$2:$H$157),""))</f>
        <v>43950</v>
      </c>
      <c r="N18" s="10">
        <v>63.5</v>
      </c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>
        <f t="shared" si="12"/>
        <v>7.0172756459257052E-2</v>
      </c>
      <c r="V18" s="7">
        <f t="shared" si="13"/>
        <v>2.9200428069102533E-2</v>
      </c>
      <c r="W18" s="17">
        <f t="shared" si="14"/>
        <v>2.4031413612565506</v>
      </c>
      <c r="X18" s="5">
        <f t="shared" si="15"/>
        <v>-2160</v>
      </c>
      <c r="Y18" s="7">
        <f t="shared" si="16"/>
        <v>-2.7518728023238036E-2</v>
      </c>
      <c r="Z18" s="7">
        <f>IF(OR(AE18="",多次统计数据!$B$8=""),"",AE18-多次统计数据!$B$8)</f>
        <v>-7.1058600216601819E-2</v>
      </c>
      <c r="AA18" s="11">
        <f t="shared" si="17"/>
        <v>22</v>
      </c>
      <c r="AB18" s="7">
        <f>IF(OR(A18="",多次统计数据!$B$8="",多次统计数据!$B$6&lt;=0,多次统计数据!$B$6&gt;=1),"",1-POWER(1+多次统计数据!$B$8,-多次统计数据!$B$6/(1-多次统计数据!$B$6)))</f>
        <v>2.8495118518504836E-2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18"/>
        <v>-1.7644752319958174E-2</v>
      </c>
      <c r="AG18" s="2" t="s">
        <v>60</v>
      </c>
      <c r="AH18" s="2" t="s">
        <v>47</v>
      </c>
      <c r="AI18" s="2"/>
      <c r="AJ18" s="8" t="str">
        <f t="shared" si="19"/>
        <v>匹配</v>
      </c>
      <c r="AK18" s="10"/>
      <c r="AL18" s="12"/>
      <c r="AM18" s="10"/>
      <c r="AN18" s="12"/>
      <c r="AO18" s="5">
        <f t="shared" si="20"/>
        <v>65.41</v>
      </c>
      <c r="AP18" s="11">
        <f t="shared" si="21"/>
        <v>1200</v>
      </c>
      <c r="AQ18" s="5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>0</v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$88)&gt;账户数据!$B$7,"违规：超过账户风险上限","通过")))))))))</f>
        <v>通过</v>
      </c>
    </row>
    <row r="19" spans="1:44" x14ac:dyDescent="0.15">
      <c r="A19" s="2">
        <v>18</v>
      </c>
      <c r="B19" s="2" t="s">
        <v>59</v>
      </c>
      <c r="C19" s="10">
        <v>119986</v>
      </c>
      <c r="D19" s="6">
        <v>0.02</v>
      </c>
      <c r="E19" s="10">
        <v>69.36</v>
      </c>
      <c r="F19" s="8">
        <f t="shared" si="11"/>
        <v>1700</v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500</v>
      </c>
      <c r="I19" s="13">
        <v>43992</v>
      </c>
      <c r="J19" s="10">
        <v>80</v>
      </c>
      <c r="K19" s="5">
        <f>IF(A19="","",IFERROR(LOOKUP(2,1/((持仓跟踪!$B$2:$B$157=A19)*(持仓跟踪!$X$2:$X$157="执行卖出")*(持仓跟踪!$Y$2:$Y$157&lt;&gt;"")),持仓跟踪!$Y$2:$Y$157),""))</f>
        <v>79.209999999999994</v>
      </c>
      <c r="L19" s="8">
        <f>IF(A19="","",IFERROR(LOOKUP(2,1/((持仓跟踪!$B$2:$B$157=A19)*(持仓跟踪!$X$2:$X$157="执行卖出")*(持仓跟踪!$Z$2:$Z$157&lt;&gt;"")),持仓跟踪!$Z$2:$Z$157),""))</f>
        <v>500</v>
      </c>
      <c r="M19" s="16">
        <f>IF(A19="","",IFERROR(LOOKUP(2,1/((持仓跟踪!$B$2:$B$157=A19)*(持仓跟踪!$X$2:$X$157="执行卖出")*(持仓跟踪!$H$2:$H$157&lt;&gt;"")),持仓跟踪!$H$2:$H$157),""))</f>
        <v>44028</v>
      </c>
      <c r="N19" s="10">
        <v>68</v>
      </c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>
        <f t="shared" si="12"/>
        <v>0.15340253748558247</v>
      </c>
      <c r="V19" s="7">
        <f t="shared" si="13"/>
        <v>1.9607843137254895E-2</v>
      </c>
      <c r="W19" s="17">
        <f t="shared" si="14"/>
        <v>7.8235294117647092</v>
      </c>
      <c r="X19" s="5">
        <f t="shared" si="15"/>
        <v>4925</v>
      </c>
      <c r="Y19" s="7">
        <f t="shared" si="16"/>
        <v>0.14201268742791234</v>
      </c>
      <c r="Z19" s="7">
        <f>IF(OR(AE19="",多次统计数据!$B$8=""),"",AE19-多次统计数据!$B$8)</f>
        <v>-1.2367392476844673E-2</v>
      </c>
      <c r="AA19" s="11">
        <f t="shared" si="17"/>
        <v>36</v>
      </c>
      <c r="AB19" s="7">
        <f>IF(OR(A19="",多次统计数据!$B$8="",多次统计数据!$B$6&lt;=0,多次统计数据!$B$6&gt;=1),"",1-POWER(1+多次统计数据!$B$8,-多次统计数据!$B$6/(1-多次统计数据!$B$6)))</f>
        <v>2.8495118518504836E-2</v>
      </c>
      <c r="AC19" s="8" t="str">
        <f>IF(OR(AB19="",多次统计数据!$B$9=""),"",IF(多次统计数据!$B$9&lt;AB19,"低于上限","达到或超过上限"))</f>
        <v>低于上限</v>
      </c>
      <c r="AD19" s="2" t="s">
        <v>63</v>
      </c>
      <c r="AE19" s="7">
        <f t="shared" si="18"/>
        <v>4.1046455419798976E-2</v>
      </c>
      <c r="AG19" s="2" t="s">
        <v>60</v>
      </c>
      <c r="AH19" s="2" t="s">
        <v>61</v>
      </c>
      <c r="AI19" s="2"/>
      <c r="AJ19" s="8" t="str">
        <f t="shared" si="19"/>
        <v>匹配</v>
      </c>
      <c r="AK19" s="10"/>
      <c r="AL19" s="12"/>
      <c r="AM19" s="10"/>
      <c r="AN19" s="12"/>
      <c r="AO19" s="5">
        <f t="shared" si="20"/>
        <v>69.36</v>
      </c>
      <c r="AP19" s="11">
        <f t="shared" si="21"/>
        <v>500</v>
      </c>
      <c r="AQ19" s="5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>0</v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$88)&gt;账户数据!$B$7,"违规：超过账户风险上限","通过")))))))))</f>
        <v>通过</v>
      </c>
    </row>
    <row r="20" spans="1:44" x14ac:dyDescent="0.15">
      <c r="A20" s="2">
        <v>19</v>
      </c>
      <c r="B20" s="2" t="s">
        <v>59</v>
      </c>
      <c r="C20" s="10">
        <v>124911</v>
      </c>
      <c r="D20" s="6">
        <v>0.02</v>
      </c>
      <c r="E20" s="10">
        <v>92.83</v>
      </c>
      <c r="F20" s="8">
        <f t="shared" si="11"/>
        <v>300</v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300</v>
      </c>
      <c r="I20" s="13">
        <v>44195</v>
      </c>
      <c r="J20" s="10">
        <v>100</v>
      </c>
      <c r="K20" s="5">
        <f>IF(A20="","",IFERROR(LOOKUP(2,1/((持仓跟踪!$B$2:$B$157=A20)*(持仓跟踪!$X$2:$X$157="执行卖出")*(持仓跟踪!$Y$2:$Y$157&lt;&gt;"")),持仓跟踪!$Y$2:$Y$157),""))</f>
        <v>85.38</v>
      </c>
      <c r="L20" s="8">
        <f>IF(A20="","",IFERROR(LOOKUP(2,1/((持仓跟踪!$B$2:$B$157=A20)*(持仓跟踪!$X$2:$X$157="执行卖出")*(持仓跟踪!$Z$2:$Z$157&lt;&gt;"")),持仓跟踪!$Z$2:$Z$157),""))</f>
        <v>300</v>
      </c>
      <c r="M20" s="16">
        <f>IF(A20="","",IFERROR(LOOKUP(2,1/((持仓跟踪!$B$2:$B$157=A20)*(持仓跟踪!$X$2:$X$157="执行卖出")*(持仓跟踪!$H$2:$H$157&lt;&gt;"")),持仓跟踪!$H$2:$H$157),""))</f>
        <v>44225</v>
      </c>
      <c r="N20" s="10">
        <v>86</v>
      </c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>
        <f t="shared" si="12"/>
        <v>7.7237961865776167E-2</v>
      </c>
      <c r="V20" s="7">
        <f t="shared" si="13"/>
        <v>7.3575352795432494E-2</v>
      </c>
      <c r="W20" s="17">
        <f t="shared" si="14"/>
        <v>1.0497803806734998</v>
      </c>
      <c r="X20" s="5">
        <f t="shared" si="15"/>
        <v>-2235</v>
      </c>
      <c r="Y20" s="7">
        <f t="shared" si="16"/>
        <v>-8.0254228159000324E-2</v>
      </c>
      <c r="Z20" s="7">
        <f>IF(OR(AE20="",多次统计数据!$B$8=""),"",AE20-多次统计数据!$B$8)</f>
        <v>-7.1306587527260656E-2</v>
      </c>
      <c r="AA20" s="11">
        <f t="shared" si="17"/>
        <v>30</v>
      </c>
      <c r="AB20" s="7">
        <f>IF(OR(A20="",多次统计数据!$B$8="",多次统计数据!$B$6&lt;=0,多次统计数据!$B$6&gt;=1),"",1-POWER(1+多次统计数据!$B$8,-多次统计数据!$B$6/(1-多次统计数据!$B$6)))</f>
        <v>2.8495118518504836E-2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18"/>
        <v>-1.7892739630617001E-2</v>
      </c>
      <c r="AG20" s="2" t="s">
        <v>60</v>
      </c>
      <c r="AH20" s="2" t="s">
        <v>47</v>
      </c>
      <c r="AI20" s="2"/>
      <c r="AJ20" s="8" t="str">
        <f t="shared" si="19"/>
        <v>匹配</v>
      </c>
      <c r="AK20" s="10"/>
      <c r="AL20" s="12"/>
      <c r="AM20" s="10"/>
      <c r="AN20" s="12"/>
      <c r="AO20" s="5">
        <f t="shared" si="20"/>
        <v>92.83</v>
      </c>
      <c r="AP20" s="11">
        <f t="shared" si="21"/>
        <v>300</v>
      </c>
      <c r="AQ20" s="5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>0</v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$88)&gt;账户数据!$B$7,"违规：超过账户风险上限","通过")))))))))</f>
        <v>通过</v>
      </c>
    </row>
    <row r="21" spans="1:44" x14ac:dyDescent="0.15">
      <c r="A21" s="2">
        <v>20</v>
      </c>
      <c r="B21" s="2" t="s">
        <v>59</v>
      </c>
      <c r="C21" s="10">
        <v>122676</v>
      </c>
      <c r="D21" s="6">
        <v>0.02</v>
      </c>
      <c r="E21" s="10">
        <v>52.45</v>
      </c>
      <c r="F21" s="8">
        <f t="shared" si="11"/>
        <v>1000</v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1000</v>
      </c>
      <c r="I21" s="13">
        <v>44501</v>
      </c>
      <c r="J21" s="10">
        <v>58</v>
      </c>
      <c r="K21" s="5">
        <f>IF(A21="","",IFERROR(LOOKUP(2,1/((持仓跟踪!$B$2:$B$157=A21)*(持仓跟踪!$X$2:$X$157="执行卖出")*(持仓跟踪!$Y$2:$Y$157&lt;&gt;"")),持仓跟踪!$Y$2:$Y$157),""))</f>
        <v>49.25</v>
      </c>
      <c r="L21" s="8">
        <f>IF(A21="","",IFERROR(LOOKUP(2,1/((持仓跟踪!$B$2:$B$157=A21)*(持仓跟踪!$X$2:$X$157="执行卖出")*(持仓跟踪!$Z$2:$Z$157&lt;&gt;"")),持仓跟踪!$Z$2:$Z$157),""))</f>
        <v>1000</v>
      </c>
      <c r="M21" s="16">
        <f>IF(A21="","",IFERROR(LOOKUP(2,1/((持仓跟踪!$B$2:$B$157=A21)*(持仓跟踪!$X$2:$X$157="执行卖出")*(持仓跟踪!$H$2:$H$157&lt;&gt;"")),持仓跟踪!$H$2:$H$157),""))</f>
        <v>44530</v>
      </c>
      <c r="N21" s="10">
        <v>50</v>
      </c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>
        <f t="shared" si="12"/>
        <v>0.10581506196377496</v>
      </c>
      <c r="V21" s="7">
        <f t="shared" si="13"/>
        <v>4.6711153479504344E-2</v>
      </c>
      <c r="W21" s="17">
        <f t="shared" si="14"/>
        <v>2.2653061224489757</v>
      </c>
      <c r="X21" s="5">
        <f t="shared" si="15"/>
        <v>-3200</v>
      </c>
      <c r="Y21" s="7">
        <f t="shared" si="16"/>
        <v>-6.1010486177311724E-2</v>
      </c>
      <c r="Z21" s="7">
        <f>IF(OR(AE21="",多次统计数据!$B$8=""),"",AE21-多次统计数据!$B$8)</f>
        <v>-7.9498819692267894E-2</v>
      </c>
      <c r="AA21" s="11">
        <f t="shared" si="17"/>
        <v>29</v>
      </c>
      <c r="AB21" s="7">
        <f>IF(OR(A21="",多次统计数据!$B$8="",多次统计数据!$B$6&lt;=0,多次统计数据!$B$6&gt;=1),"",1-POWER(1+多次统计数据!$B$8,-多次统计数据!$B$6/(1-多次统计数据!$B$6)))</f>
        <v>2.8495118518504836E-2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18"/>
        <v>-2.6084971795624246E-2</v>
      </c>
      <c r="AG21" s="2" t="s">
        <v>46</v>
      </c>
      <c r="AH21" s="2" t="s">
        <v>47</v>
      </c>
      <c r="AI21" s="2"/>
      <c r="AJ21" s="8" t="str">
        <f t="shared" si="19"/>
        <v>匹配</v>
      </c>
      <c r="AK21" s="10"/>
      <c r="AL21" s="12"/>
      <c r="AM21" s="10"/>
      <c r="AN21" s="12"/>
      <c r="AO21" s="5">
        <f t="shared" si="20"/>
        <v>52.45</v>
      </c>
      <c r="AP21" s="11">
        <f t="shared" si="21"/>
        <v>1000</v>
      </c>
      <c r="AQ21" s="5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>0</v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$88)&gt;账户数据!$B$7,"违规：超过账户风险上限","通过")))))))))</f>
        <v>通过</v>
      </c>
    </row>
    <row r="22" spans="1:44" x14ac:dyDescent="0.15">
      <c r="A22" s="2">
        <v>21</v>
      </c>
      <c r="B22" s="2" t="s">
        <v>59</v>
      </c>
      <c r="C22" s="10">
        <v>119476</v>
      </c>
      <c r="D22" s="6">
        <v>0.02</v>
      </c>
      <c r="E22" s="10">
        <v>36.17</v>
      </c>
      <c r="F22" s="8">
        <f t="shared" si="11"/>
        <v>2000</v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2000</v>
      </c>
      <c r="I22" s="13">
        <v>44743</v>
      </c>
      <c r="J22" s="10">
        <v>40</v>
      </c>
      <c r="K22" s="5">
        <f>IF(A22="","",IFERROR(LOOKUP(2,1/((持仓跟踪!$B$2:$B$157=A22)*(持仓跟踪!$X$2:$X$157="执行卖出")*(持仓跟踪!$Y$2:$Y$157&lt;&gt;"")),持仓跟踪!$Y$2:$Y$157),""))</f>
        <v>37.19</v>
      </c>
      <c r="L22" s="8">
        <f>IF(A22="","",IFERROR(LOOKUP(2,1/((持仓跟踪!$B$2:$B$157=A22)*(持仓跟踪!$X$2:$X$157="执行卖出")*(持仓跟踪!$Z$2:$Z$157&lt;&gt;"")),持仓跟踪!$Z$2:$Z$157),""))</f>
        <v>2000</v>
      </c>
      <c r="M22" s="16">
        <f>IF(A22="","",IFERROR(LOOKUP(2,1/((持仓跟踪!$B$2:$B$157=A22)*(持仓跟踪!$X$2:$X$157="执行卖出")*(持仓跟踪!$H$2:$H$157&lt;&gt;"")),持仓跟踪!$H$2:$H$157),""))</f>
        <v>44760</v>
      </c>
      <c r="N22" s="10">
        <v>35</v>
      </c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>
        <f t="shared" si="12"/>
        <v>0.10588885816975389</v>
      </c>
      <c r="V22" s="7">
        <f t="shared" si="13"/>
        <v>3.2347249101465352E-2</v>
      </c>
      <c r="W22" s="17">
        <f t="shared" si="14"/>
        <v>3.2735042735042672</v>
      </c>
      <c r="X22" s="5">
        <f t="shared" si="15"/>
        <v>2040</v>
      </c>
      <c r="Y22" s="7">
        <f t="shared" si="16"/>
        <v>2.8200165883328725E-2</v>
      </c>
      <c r="Z22" s="7">
        <f>IF(OR(AE22="",多次统计数据!$B$8=""),"",AE22-多次统计数据!$B$8)</f>
        <v>-3.6339288989415422E-2</v>
      </c>
      <c r="AA22" s="11">
        <f t="shared" si="17"/>
        <v>17</v>
      </c>
      <c r="AB22" s="7">
        <f>IF(OR(A22="",多次统计数据!$B$8="",多次统计数据!$B$6&lt;=0,多次统计数据!$B$6&gt;=1),"",1-POWER(1+多次统计数据!$B$8,-多次统计数据!$B$6/(1-多次统计数据!$B$6)))</f>
        <v>2.8495118518504836E-2</v>
      </c>
      <c r="AC22" s="8" t="str">
        <f>IF(OR(AB22="",多次统计数据!$B$9=""),"",IF(多次统计数据!$B$9&lt;AB22,"低于上限","达到或超过上限"))</f>
        <v>低于上限</v>
      </c>
      <c r="AD22" s="2" t="s">
        <v>45</v>
      </c>
      <c r="AE22" s="7">
        <f t="shared" si="18"/>
        <v>1.707455890722823E-2</v>
      </c>
      <c r="AG22" s="2" t="s">
        <v>46</v>
      </c>
      <c r="AH22" s="2" t="s">
        <v>47</v>
      </c>
      <c r="AI22" s="2"/>
      <c r="AJ22" s="8" t="str">
        <f t="shared" si="19"/>
        <v>匹配</v>
      </c>
      <c r="AK22" s="10"/>
      <c r="AL22" s="12"/>
      <c r="AM22" s="10"/>
      <c r="AN22" s="12"/>
      <c r="AO22" s="5">
        <f t="shared" si="20"/>
        <v>36.17</v>
      </c>
      <c r="AP22" s="11">
        <f t="shared" si="21"/>
        <v>2000</v>
      </c>
      <c r="AQ22" s="5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>0</v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$88)&gt;账户数据!$B$7,"违规：超过账户风险上限","通过")))))))))</f>
        <v>通过</v>
      </c>
    </row>
    <row r="23" spans="1:44" x14ac:dyDescent="0.15">
      <c r="A23" s="2">
        <v>22</v>
      </c>
      <c r="B23" s="2" t="s">
        <v>59</v>
      </c>
      <c r="C23" s="10">
        <v>121516</v>
      </c>
      <c r="D23" s="6">
        <v>0.02</v>
      </c>
      <c r="E23" s="10">
        <v>48.37</v>
      </c>
      <c r="F23" s="8">
        <f t="shared" si="11"/>
        <v>1700</v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1700</v>
      </c>
      <c r="I23" s="13">
        <v>45065</v>
      </c>
      <c r="J23" s="10">
        <v>50</v>
      </c>
      <c r="K23" s="5">
        <f>IF(A23="","",IFERROR(LOOKUP(2,1/((持仓跟踪!$B$2:$B$157=A23)*(持仓跟踪!$X$2:$X$157="执行卖出")*(持仓跟踪!$Y$2:$Y$157&lt;&gt;"")),持仓跟踪!$Y$2:$Y$157),""))</f>
        <v>44.79</v>
      </c>
      <c r="L23" s="8">
        <v>1700</v>
      </c>
      <c r="M23" s="16">
        <f>IF(A23="","",IFERROR(LOOKUP(2,1/((持仓跟踪!$B$2:$B$157=A23)*(持仓跟踪!$X$2:$X$157="执行卖出")*(持仓跟踪!$H$2:$H$157&lt;&gt;"")),持仓跟踪!$H$2:$H$157),""))</f>
        <v>45077</v>
      </c>
      <c r="N23" s="10">
        <v>47</v>
      </c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>
        <f t="shared" si="12"/>
        <v>3.369857349596863E-2</v>
      </c>
      <c r="V23" s="7">
        <f t="shared" si="13"/>
        <v>2.8323340913789487E-2</v>
      </c>
      <c r="W23" s="17">
        <f t="shared" si="14"/>
        <v>1.1897810218978142</v>
      </c>
      <c r="X23" s="5">
        <f t="shared" si="15"/>
        <v>-6086</v>
      </c>
      <c r="Y23" s="7">
        <f t="shared" si="16"/>
        <v>-7.4012817862311356E-2</v>
      </c>
      <c r="Z23" s="7">
        <f>IF(OR(AE23="",多次统计数据!$B$8=""),"",AE23-多次统计数据!$B$8)</f>
        <v>-0.10349778746015792</v>
      </c>
      <c r="AA23" s="11">
        <f t="shared" si="17"/>
        <v>12</v>
      </c>
      <c r="AB23" s="7">
        <f>IF(OR(A23="",多次统计数据!$B$8="",多次统计数据!$B$6&lt;=0,多次统计数据!$B$6&gt;=1),"",1-POWER(1+多次统计数据!$B$8,-多次统计数据!$B$6/(1-多次统计数据!$B$6)))</f>
        <v>2.8495118518504836E-2</v>
      </c>
      <c r="AC23" s="8" t="str">
        <f>IF(OR(AB23="",多次统计数据!$B$9=""),"",IF(多次统计数据!$B$9&lt;AB23,"低于上限","达到或超过上限"))</f>
        <v>低于上限</v>
      </c>
      <c r="AD23" s="2" t="s">
        <v>50</v>
      </c>
      <c r="AE23" s="7">
        <f t="shared" si="18"/>
        <v>-5.0083939563514271E-2</v>
      </c>
      <c r="AG23" s="2" t="s">
        <v>60</v>
      </c>
      <c r="AH23" s="2" t="s">
        <v>47</v>
      </c>
      <c r="AI23" s="2"/>
      <c r="AJ23" s="8" t="str">
        <f t="shared" si="19"/>
        <v>匹配</v>
      </c>
      <c r="AK23" s="10"/>
      <c r="AL23" s="12"/>
      <c r="AM23" s="10"/>
      <c r="AN23" s="12"/>
      <c r="AO23" s="5">
        <f t="shared" si="20"/>
        <v>48.37</v>
      </c>
      <c r="AP23" s="11">
        <f t="shared" si="21"/>
        <v>1700</v>
      </c>
      <c r="AQ23" s="5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>0</v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$88)&gt;账户数据!$B$7,"违规：超过账户风险上限","通过")))))))))</f>
        <v>通过</v>
      </c>
    </row>
    <row r="24" spans="1:44" x14ac:dyDescent="0.15">
      <c r="A24" s="2">
        <v>23</v>
      </c>
      <c r="B24" s="2" t="s">
        <v>59</v>
      </c>
      <c r="C24" s="10">
        <v>115430</v>
      </c>
      <c r="D24" s="6">
        <v>0.02</v>
      </c>
      <c r="E24" s="10">
        <v>46.76</v>
      </c>
      <c r="F24" s="8">
        <f t="shared" si="11"/>
        <v>1300</v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1300</v>
      </c>
      <c r="I24" s="13">
        <v>45110</v>
      </c>
      <c r="J24" s="10">
        <v>50</v>
      </c>
      <c r="K24" s="5">
        <f>IF(A24="","",IFERROR(LOOKUP(2,1/((持仓跟踪!$B$2:$B$157=A24)*(持仓跟踪!$X$2:$X$157="执行卖出")*(持仓跟踪!$Y$2:$Y$157&lt;&gt;"")),持仓跟踪!$Y$2:$Y$157),""))</f>
        <v>48.59</v>
      </c>
      <c r="L24" s="8">
        <f>IF(A24="","",IFERROR(LOOKUP(2,1/((持仓跟踪!$B$2:$B$157=A24)*(持仓跟踪!$X$2:$X$157="执行卖出")*(持仓跟踪!$Z$2:$Z$157&lt;&gt;"")),持仓跟踪!$Z$2:$Z$157),""))</f>
        <v>1300</v>
      </c>
      <c r="M24" s="16">
        <f>IF(A24="","",IFERROR(LOOKUP(2,1/((持仓跟踪!$B$2:$B$157=A24)*(持仓跟踪!$X$2:$X$157="执行卖出")*(持仓跟踪!$H$2:$H$157&lt;&gt;"")),持仓跟踪!$H$2:$H$157),""))</f>
        <v>45112</v>
      </c>
      <c r="N24" s="10">
        <v>45</v>
      </c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>
        <f t="shared" si="12"/>
        <v>6.9289991445680113E-2</v>
      </c>
      <c r="V24" s="7">
        <f t="shared" si="13"/>
        <v>3.7639007698887894E-2</v>
      </c>
      <c r="W24" s="17">
        <f t="shared" si="14"/>
        <v>1.8409090909090942</v>
      </c>
      <c r="X24" s="5">
        <f t="shared" si="15"/>
        <v>2379.0000000000073</v>
      </c>
      <c r="Y24" s="7">
        <f t="shared" si="16"/>
        <v>3.9136013686912011E-2</v>
      </c>
      <c r="Z24" s="7">
        <f>IF(OR(AE24="",多次统计数据!$B$8=""),"",AE24-多次统计数据!$B$8)</f>
        <v>-3.2803954454730735E-2</v>
      </c>
      <c r="AA24" s="11">
        <f t="shared" si="17"/>
        <v>2</v>
      </c>
      <c r="AB24" s="7">
        <f>IF(OR(A24="",多次统计数据!$B$8="",多次统计数据!$B$6&lt;=0,多次统计数据!$B$6&gt;=1),"",1-POWER(1+多次统计数据!$B$8,-多次统计数据!$B$6/(1-多次统计数据!$B$6)))</f>
        <v>2.8495118518504836E-2</v>
      </c>
      <c r="AC24" s="8" t="str">
        <f>IF(OR(AB24="",多次统计数据!$B$9=""),"",IF(多次统计数据!$B$9&lt;AB24,"低于上限","达到或超过上限"))</f>
        <v>低于上限</v>
      </c>
      <c r="AD24" s="2" t="s">
        <v>45</v>
      </c>
      <c r="AE24" s="7">
        <f t="shared" si="18"/>
        <v>2.060989344191291E-2</v>
      </c>
      <c r="AG24" s="2" t="s">
        <v>60</v>
      </c>
      <c r="AH24" s="2" t="s">
        <v>47</v>
      </c>
      <c r="AI24" s="2"/>
      <c r="AJ24" s="8" t="str">
        <f t="shared" si="19"/>
        <v>匹配</v>
      </c>
      <c r="AK24" s="10"/>
      <c r="AL24" s="12"/>
      <c r="AM24" s="10"/>
      <c r="AN24" s="12"/>
      <c r="AO24" s="5">
        <f t="shared" si="20"/>
        <v>46.76</v>
      </c>
      <c r="AP24" s="11">
        <f t="shared" si="21"/>
        <v>1300</v>
      </c>
      <c r="AQ24" s="5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>0</v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$88)&gt;账户数据!$B$7,"违规：超过账户风险上限","通过")))))))))</f>
        <v>通过</v>
      </c>
    </row>
    <row r="25" spans="1:44" x14ac:dyDescent="0.15">
      <c r="A25" s="2">
        <v>24</v>
      </c>
      <c r="B25" s="2" t="s">
        <v>59</v>
      </c>
      <c r="C25" s="10">
        <v>117809</v>
      </c>
      <c r="D25" s="6">
        <v>0.02</v>
      </c>
      <c r="E25" s="10">
        <v>46.69</v>
      </c>
      <c r="F25" s="8">
        <f t="shared" si="11"/>
        <v>1300</v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1300</v>
      </c>
      <c r="I25" s="13">
        <v>45131</v>
      </c>
      <c r="J25" s="10">
        <v>50</v>
      </c>
      <c r="K25" s="5">
        <f>IF(A25="","",IFERROR(LOOKUP(2,1/((持仓跟踪!$B$2:$B$157=A25)*(持仓跟踪!$X$2:$X$157="执行卖出")*(持仓跟踪!$Y$2:$Y$157&lt;&gt;"")),持仓跟踪!$Y$2:$Y$157),""))</f>
        <v>47.16</v>
      </c>
      <c r="L25" s="8">
        <f>IF(A25="","",IFERROR(LOOKUP(2,1/((持仓跟踪!$B$2:$B$157=A25)*(持仓跟踪!$X$2:$X$157="执行卖出")*(持仓跟踪!$Z$2:$Z$157&lt;&gt;"")),持仓跟踪!$Z$2:$Z$157),""))</f>
        <v>1300</v>
      </c>
      <c r="M25" s="16">
        <f>IF(A25="","",IFERROR(LOOKUP(2,1/((持仓跟踪!$B$2:$B$157=A25)*(持仓跟踪!$X$2:$X$157="执行卖出")*(持仓跟踪!$H$2:$H$157&lt;&gt;"")),持仓跟踪!$H$2:$H$157),""))</f>
        <v>45132</v>
      </c>
      <c r="N25" s="10">
        <v>45</v>
      </c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>
        <f t="shared" si="12"/>
        <v>7.0893124866138413E-2</v>
      </c>
      <c r="V25" s="7">
        <f t="shared" si="13"/>
        <v>3.6196187620475433E-2</v>
      </c>
      <c r="W25" s="17">
        <f t="shared" si="14"/>
        <v>1.9585798816568085</v>
      </c>
      <c r="X25" s="5">
        <f t="shared" si="15"/>
        <v>610.99999999999272</v>
      </c>
      <c r="Y25" s="7">
        <f t="shared" si="16"/>
        <v>1.006639537374158E-2</v>
      </c>
      <c r="Z25" s="7">
        <f>IF(OR(AE25="",多次统计数据!$B$8=""),"",AE25-多次统计数据!$B$8)</f>
        <v>-4.8227486922524584E-2</v>
      </c>
      <c r="AA25" s="11">
        <f t="shared" si="17"/>
        <v>1</v>
      </c>
      <c r="AB25" s="7">
        <f>IF(OR(A25="",多次统计数据!$B$8="",多次统计数据!$B$6&lt;=0,多次统计数据!$B$6&gt;=1),"",1-POWER(1+多次统计数据!$B$8,-多次统计数据!$B$6/(1-多次统计数据!$B$6)))</f>
        <v>2.8495118518504836E-2</v>
      </c>
      <c r="AC25" s="8" t="str">
        <f>IF(OR(AB25="",多次统计数据!$B$9=""),"",IF(多次统计数据!$B$9&lt;AB25,"低于上限","达到或超过上限"))</f>
        <v>低于上限</v>
      </c>
      <c r="AD25" s="2" t="s">
        <v>45</v>
      </c>
      <c r="AE25" s="7">
        <f t="shared" si="18"/>
        <v>5.1863609741190633E-3</v>
      </c>
      <c r="AG25" s="2" t="s">
        <v>60</v>
      </c>
      <c r="AH25" s="2" t="s">
        <v>47</v>
      </c>
      <c r="AI25" s="2"/>
      <c r="AJ25" s="8" t="str">
        <f t="shared" si="19"/>
        <v>匹配</v>
      </c>
      <c r="AK25" s="10"/>
      <c r="AL25" s="12"/>
      <c r="AM25" s="10"/>
      <c r="AN25" s="12"/>
      <c r="AO25" s="5">
        <f t="shared" si="20"/>
        <v>46.69</v>
      </c>
      <c r="AP25" s="11">
        <f t="shared" si="21"/>
        <v>1300</v>
      </c>
      <c r="AQ25" s="5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>0</v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$88)&gt;账户数据!$B$7,"违规：超过账户风险上限","通过")))))))))</f>
        <v>通过</v>
      </c>
    </row>
    <row r="26" spans="1:44" x14ac:dyDescent="0.15">
      <c r="A26" s="2">
        <v>25</v>
      </c>
      <c r="B26" s="2" t="s">
        <v>59</v>
      </c>
      <c r="C26" s="10">
        <v>118420</v>
      </c>
      <c r="D26" s="6">
        <v>0.02</v>
      </c>
      <c r="E26" s="10">
        <v>48.45</v>
      </c>
      <c r="F26" s="8">
        <f t="shared" si="11"/>
        <v>1600</v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1600</v>
      </c>
      <c r="I26" s="13">
        <v>45135</v>
      </c>
      <c r="J26" s="10">
        <v>50</v>
      </c>
      <c r="K26" s="5">
        <f>IF(A26="","",IFERROR(LOOKUP(2,1/((持仓跟踪!$B$2:$B$157=A26)*(持仓跟踪!$X$2:$X$157="执行卖出")*(持仓跟踪!$Y$2:$Y$157&lt;&gt;"")),持仓跟踪!$Y$2:$Y$157),""))</f>
        <v>43.98</v>
      </c>
      <c r="L26" s="8">
        <f>IF(A26="","",IFERROR(LOOKUP(2,1/((持仓跟踪!$B$2:$B$157=A26)*(持仓跟踪!$X$2:$X$157="执行卖出")*(持仓跟踪!$Z$2:$Z$157&lt;&gt;"")),持仓跟踪!$Z$2:$Z$157),""))</f>
        <v>1600</v>
      </c>
      <c r="M26" s="16">
        <f>IF(A26="","",IFERROR(LOOKUP(2,1/((持仓跟踪!$B$2:$B$157=A26)*(持仓跟踪!$X$2:$X$157="执行卖出")*(持仓跟踪!$H$2:$H$157&lt;&gt;"")),持仓跟踪!$H$2:$H$157),""))</f>
        <v>45138</v>
      </c>
      <c r="N26" s="10">
        <v>47</v>
      </c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>
        <f t="shared" si="12"/>
        <v>3.1991744066047413E-2</v>
      </c>
      <c r="V26" s="7">
        <f t="shared" si="13"/>
        <v>2.9927760577915432E-2</v>
      </c>
      <c r="W26" s="17">
        <f t="shared" si="14"/>
        <v>1.0689655172413755</v>
      </c>
      <c r="X26" s="5">
        <f t="shared" si="15"/>
        <v>-7152</v>
      </c>
      <c r="Y26" s="7">
        <f t="shared" si="16"/>
        <v>-9.2260061919504643E-2</v>
      </c>
      <c r="Z26" s="7">
        <f>IF(OR(AE26="",多次统计数据!$B$8=""),"",AE26-多次统计数据!$B$8)</f>
        <v>-0.11380905140956377</v>
      </c>
      <c r="AA26" s="11">
        <f t="shared" si="17"/>
        <v>3</v>
      </c>
      <c r="AB26" s="7">
        <f>IF(OR(A26="",多次统计数据!$B$8="",多次统计数据!$B$6&lt;=0,多次统计数据!$B$6&gt;=1),"",1-POWER(1+多次统计数据!$B$8,-多次统计数据!$B$6/(1-多次统计数据!$B$6)))</f>
        <v>2.8495118518504836E-2</v>
      </c>
      <c r="AC26" s="8" t="str">
        <f>IF(OR(AB26="",多次统计数据!$B$9=""),"",IF(多次统计数据!$B$9&lt;AB26,"低于上限","达到或超过上限"))</f>
        <v>低于上限</v>
      </c>
      <c r="AD26" s="2" t="s">
        <v>50</v>
      </c>
      <c r="AE26" s="7">
        <f t="shared" si="18"/>
        <v>-6.0395203512920118E-2</v>
      </c>
      <c r="AG26" s="2" t="s">
        <v>60</v>
      </c>
      <c r="AH26" s="2" t="s">
        <v>47</v>
      </c>
      <c r="AI26" s="2"/>
      <c r="AJ26" s="8" t="str">
        <f t="shared" si="19"/>
        <v>匹配</v>
      </c>
      <c r="AK26" s="10"/>
      <c r="AL26" s="12"/>
      <c r="AM26" s="10"/>
      <c r="AN26" s="12"/>
      <c r="AO26" s="5">
        <f t="shared" si="20"/>
        <v>48.45</v>
      </c>
      <c r="AP26" s="11">
        <f t="shared" si="21"/>
        <v>1600</v>
      </c>
      <c r="AQ26" s="5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>0</v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$88)&gt;账户数据!$B$7,"违规：超过账户风险上限","通过")))))))))</f>
        <v>通过</v>
      </c>
    </row>
    <row r="27" spans="1:44" x14ac:dyDescent="0.15">
      <c r="A27" s="2">
        <v>26</v>
      </c>
      <c r="B27" s="2" t="s">
        <v>59</v>
      </c>
      <c r="C27" s="10">
        <v>111268</v>
      </c>
      <c r="D27" s="6">
        <v>0.02</v>
      </c>
      <c r="E27" s="10">
        <v>43</v>
      </c>
      <c r="F27" s="8">
        <f t="shared" si="11"/>
        <v>1400</v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1400</v>
      </c>
      <c r="I27" s="13">
        <v>45184</v>
      </c>
      <c r="J27" s="10">
        <v>45</v>
      </c>
      <c r="K27" s="5">
        <f>IF(A27="","",IFERROR(LOOKUP(2,1/((持仓跟踪!$B$2:$B$157=A27)*(持仓跟踪!$X$2:$X$157="执行卖出")*(持仓跟踪!$Y$2:$Y$157&lt;&gt;"")),持仓跟踪!$Y$2:$Y$157),""))</f>
        <v>43.63</v>
      </c>
      <c r="L27" s="8">
        <f>IF(A27="","",IFERROR(LOOKUP(2,1/((持仓跟踪!$B$2:$B$157=A27)*(持仓跟踪!$X$2:$X$157="执行卖出")*(持仓跟踪!$Z$2:$Z$157&lt;&gt;"")),持仓跟踪!$Z$2:$Z$157),""))</f>
        <v>1400</v>
      </c>
      <c r="M27" s="16">
        <f>IF(A27="","",IFERROR(LOOKUP(2,1/((持仓跟踪!$B$2:$B$157=A27)*(持仓跟踪!$X$2:$X$157="执行卖出")*(持仓跟踪!$H$2:$H$157&lt;&gt;"")),持仓跟踪!$H$2:$H$157),""))</f>
        <v>45215</v>
      </c>
      <c r="N27" s="10">
        <v>41.5</v>
      </c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>
        <f t="shared" si="12"/>
        <v>4.6511627906976744E-2</v>
      </c>
      <c r="V27" s="7">
        <f t="shared" si="13"/>
        <v>3.4883720930232558E-2</v>
      </c>
      <c r="W27" s="17">
        <f t="shared" si="14"/>
        <v>1.3333333333333333</v>
      </c>
      <c r="X27" s="5">
        <f t="shared" si="15"/>
        <v>882</v>
      </c>
      <c r="Y27" s="7">
        <f t="shared" si="16"/>
        <v>1.4651162790697675E-2</v>
      </c>
      <c r="Z27" s="7">
        <f>IF(OR(AE27="",多次统计数据!$B$8=""),"",AE27-多次统计数据!$B$8)</f>
        <v>-4.5487040548619059E-2</v>
      </c>
      <c r="AA27" s="11">
        <f t="shared" si="17"/>
        <v>31</v>
      </c>
      <c r="AB27" s="7">
        <f>IF(OR(A27="",多次统计数据!$B$8="",多次统计数据!$B$6&lt;=0,多次统计数据!$B$6&gt;=1),"",1-POWER(1+多次统计数据!$B$8,-多次统计数据!$B$6/(1-多次统计数据!$B$6)))</f>
        <v>2.8495118518504836E-2</v>
      </c>
      <c r="AC27" s="8" t="str">
        <f>IF(OR(AB27="",多次统计数据!$B$9=""),"",IF(多次统计数据!$B$9&lt;AB27,"低于上限","达到或超过上限"))</f>
        <v>低于上限</v>
      </c>
      <c r="AD27" s="2" t="s">
        <v>50</v>
      </c>
      <c r="AE27" s="7">
        <f t="shared" si="18"/>
        <v>7.9268073480245893E-3</v>
      </c>
      <c r="AG27" s="2" t="s">
        <v>60</v>
      </c>
      <c r="AH27" s="2" t="s">
        <v>47</v>
      </c>
      <c r="AI27" s="2"/>
      <c r="AJ27" s="8" t="str">
        <f t="shared" si="19"/>
        <v>匹配</v>
      </c>
      <c r="AK27" s="10"/>
      <c r="AL27" s="12"/>
      <c r="AM27" s="10"/>
      <c r="AN27" s="12"/>
      <c r="AO27" s="5">
        <f t="shared" si="20"/>
        <v>43</v>
      </c>
      <c r="AP27" s="11">
        <f t="shared" si="21"/>
        <v>1400</v>
      </c>
      <c r="AQ27" s="5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>0</v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$88)&gt;账户数据!$B$7,"违规：超过账户风险上限","通过")))))))))</f>
        <v>通过</v>
      </c>
    </row>
    <row r="28" spans="1:44" x14ac:dyDescent="0.15">
      <c r="A28" s="2">
        <v>27</v>
      </c>
      <c r="B28" s="2" t="s">
        <v>59</v>
      </c>
      <c r="C28" s="10">
        <v>112510</v>
      </c>
      <c r="D28" s="6">
        <v>0.02</v>
      </c>
      <c r="E28" s="10">
        <v>46.73</v>
      </c>
      <c r="F28" s="8">
        <f t="shared" si="11"/>
        <v>3000</v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3000</v>
      </c>
      <c r="I28" s="13">
        <v>45245</v>
      </c>
      <c r="J28" s="10">
        <v>50</v>
      </c>
      <c r="K28" s="5">
        <f>IF(A28="","",IFERROR(LOOKUP(2,1/((持仓跟踪!$B$2:$B$157=A28)*(持仓跟踪!$X$2:$X$157="执行卖出")*(持仓跟踪!$Y$2:$Y$157&lt;&gt;"")),持仓跟踪!$Y$2:$Y$157),""))</f>
        <v>45.39</v>
      </c>
      <c r="L28" s="8">
        <f>IF(A28="","",IFERROR(LOOKUP(2,1/((持仓跟踪!$B$2:$B$157=A28)*(持仓跟踪!$X$2:$X$157="执行卖出")*(持仓跟踪!$Z$2:$Z$157&lt;&gt;"")),持仓跟踪!$Z$2:$Z$157),""))</f>
        <v>3000</v>
      </c>
      <c r="M28" s="16">
        <f>IF(A28="","",IFERROR(LOOKUP(2,1/((持仓跟踪!$B$2:$B$157=A28)*(持仓跟踪!$X$2:$X$157="执行卖出")*(持仓跟踪!$H$2:$H$157&lt;&gt;"")),持仓跟踪!$H$2:$H$157),""))</f>
        <v>45264</v>
      </c>
      <c r="N28" s="10">
        <v>46</v>
      </c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>
        <f t="shared" si="12"/>
        <v>6.9976460517868683E-2</v>
      </c>
      <c r="V28" s="7">
        <f t="shared" si="13"/>
        <v>1.5621656323560816E-2</v>
      </c>
      <c r="W28" s="17">
        <f t="shared" si="14"/>
        <v>4.4794520547945442</v>
      </c>
      <c r="X28" s="5">
        <f t="shared" si="15"/>
        <v>-4020</v>
      </c>
      <c r="Y28" s="7">
        <f t="shared" si="16"/>
        <v>-2.8675369141878879E-2</v>
      </c>
      <c r="Z28" s="7">
        <f>IF(OR(AE28="",多次统计数据!$B$8=""),"",AE28-多次统计数据!$B$8)</f>
        <v>-8.9144005215993041E-2</v>
      </c>
      <c r="AA28" s="11">
        <f t="shared" si="17"/>
        <v>19</v>
      </c>
      <c r="AB28" s="7">
        <f>IF(OR(A28="",多次统计数据!$B$8="",多次统计数据!$B$6&lt;=0,多次统计数据!$B$6&gt;=1),"",1-POWER(1+多次统计数据!$B$8,-多次统计数据!$B$6/(1-多次统计数据!$B$6)))</f>
        <v>2.8495118518504836E-2</v>
      </c>
      <c r="AC28" s="8" t="str">
        <f>IF(OR(AB28="",多次统计数据!$B$9=""),"",IF(多次统计数据!$B$9&lt;AB28,"低于上限","达到或超过上限"))</f>
        <v>低于上限</v>
      </c>
      <c r="AD28" s="2" t="s">
        <v>50</v>
      </c>
      <c r="AE28" s="7">
        <f t="shared" si="18"/>
        <v>-3.5730157319349393E-2</v>
      </c>
      <c r="AG28" s="2" t="s">
        <v>60</v>
      </c>
      <c r="AH28" s="2" t="s">
        <v>47</v>
      </c>
      <c r="AI28" s="2"/>
      <c r="AJ28" s="8" t="str">
        <f t="shared" si="19"/>
        <v>匹配</v>
      </c>
      <c r="AK28" s="10"/>
      <c r="AL28" s="12"/>
      <c r="AM28" s="10"/>
      <c r="AN28" s="12"/>
      <c r="AO28" s="5">
        <f t="shared" si="20"/>
        <v>46.73</v>
      </c>
      <c r="AP28" s="11">
        <f t="shared" si="21"/>
        <v>3000</v>
      </c>
      <c r="AQ28" s="5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>0</v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$88)&gt;账户数据!$B$7,"违规：超过账户风险上限","通过")))))))))</f>
        <v>通过</v>
      </c>
    </row>
    <row r="29" spans="1:44" x14ac:dyDescent="0.15">
      <c r="A29" s="2">
        <v>28</v>
      </c>
      <c r="B29" s="2" t="s">
        <v>59</v>
      </c>
      <c r="C29" s="10">
        <v>108130</v>
      </c>
      <c r="D29" s="6">
        <v>0.02</v>
      </c>
      <c r="E29" s="10">
        <v>46.56</v>
      </c>
      <c r="F29" s="8">
        <f t="shared" si="11"/>
        <v>3800</v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3800</v>
      </c>
      <c r="I29" s="13">
        <v>45418</v>
      </c>
      <c r="J29" s="10">
        <v>50</v>
      </c>
      <c r="K29" s="5">
        <f>IF(A29="","",IFERROR(LOOKUP(2,1/((持仓跟踪!$B$2:$B$157=A29)*(持仓跟踪!$X$2:$X$157="执行卖出")*(持仓跟踪!$Y$2:$Y$157&lt;&gt;"")),持仓跟踪!$Y$2:$Y$157),""))</f>
        <v>44.73</v>
      </c>
      <c r="L29" s="8">
        <f>IF(A29="","",IFERROR(LOOKUP(2,1/((持仓跟踪!$B$2:$B$157=A29)*(持仓跟踪!$X$2:$X$157="执行卖出")*(持仓跟踪!$Z$2:$Z$157&lt;&gt;"")),持仓跟踪!$Z$2:$Z$157),""))</f>
        <v>3800</v>
      </c>
      <c r="M29" s="16">
        <f>IF(A29="","",IFERROR(LOOKUP(2,1/((持仓跟踪!$B$2:$B$157=A29)*(持仓跟踪!$X$2:$X$157="执行卖出")*(持仓跟踪!$H$2:$H$157&lt;&gt;"")),持仓跟踪!$H$2:$H$157),""))</f>
        <v>45060</v>
      </c>
      <c r="N29" s="10">
        <v>46</v>
      </c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>
        <f t="shared" si="12"/>
        <v>7.3883161512027437E-2</v>
      </c>
      <c r="V29" s="7">
        <f t="shared" si="13"/>
        <v>1.2027491408934755E-2</v>
      </c>
      <c r="W29" s="17">
        <f t="shared" si="14"/>
        <v>6.1428571428571139</v>
      </c>
      <c r="X29" s="5">
        <f t="shared" si="15"/>
        <v>-6954</v>
      </c>
      <c r="Y29" s="7">
        <f t="shared" si="16"/>
        <v>-3.9304123711340205E-2</v>
      </c>
      <c r="Z29" s="7">
        <f>IF(OR(AE29="",多次统计数据!$B$8=""),"",AE29-多次统计数据!$B$8)</f>
        <v>-0.11772532482256615</v>
      </c>
      <c r="AA29" s="11" t="str">
        <f t="shared" si="17"/>
        <v/>
      </c>
      <c r="AB29" s="7">
        <f>IF(OR(A29="",多次统计数据!$B$8="",多次统计数据!$B$6&lt;=0,多次统计数据!$B$6&gt;=1),"",1-POWER(1+多次统计数据!$B$8,-多次统计数据!$B$6/(1-多次统计数据!$B$6)))</f>
        <v>2.8495118518504836E-2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18"/>
        <v>-6.4311476925922498E-2</v>
      </c>
      <c r="AG29" s="2"/>
      <c r="AH29" s="2"/>
      <c r="AI29" s="2"/>
      <c r="AJ29" s="8" t="str">
        <f t="shared" si="19"/>
        <v/>
      </c>
      <c r="AK29" s="10"/>
      <c r="AL29" s="12"/>
      <c r="AM29" s="10"/>
      <c r="AN29" s="12"/>
      <c r="AO29" s="5">
        <f t="shared" si="20"/>
        <v>46.56</v>
      </c>
      <c r="AP29" s="11">
        <f t="shared" si="21"/>
        <v>3800</v>
      </c>
      <c r="AQ29" s="5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>0</v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$88)&gt;账户数据!$B$7,"违规：超过账户风险上限","通过")))))))))</f>
        <v>通过</v>
      </c>
    </row>
    <row r="30" spans="1:44" ht="27" x14ac:dyDescent="0.15">
      <c r="A30" s="2">
        <v>29</v>
      </c>
      <c r="B30" s="2" t="s">
        <v>59</v>
      </c>
      <c r="C30" s="10"/>
      <c r="D30" s="6"/>
      <c r="E30" s="10"/>
      <c r="F30" s="8" t="str">
        <f t="shared" si="11"/>
        <v/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禁止开仓：请完整填写解锁信息</v>
      </c>
      <c r="H30" s="2"/>
      <c r="I30" s="13"/>
      <c r="J30" s="10"/>
      <c r="K30" s="5" t="str">
        <f>IF(A30="","",IFERROR(LOOKUP(2,1/((持仓跟踪!$B$2:$B$157=A30)*(持仓跟踪!$X$2:$X$157="执行卖出")*(持仓跟踪!$Y$2:$Y$157&lt;&gt;"")),持仓跟踪!$Y$2:$Y$157),""))</f>
        <v/>
      </c>
      <c r="L30" s="8" t="str">
        <f>IF(A30="","",IFERROR(LOOKUP(2,1/((持仓跟踪!$B$2:$B$157=A30)*(持仓跟踪!$X$2:$X$157="执行卖出")*(持仓跟踪!$Z$2:$Z$157&lt;&gt;"")),持仓跟踪!$Z$2:$Z$157),""))</f>
        <v/>
      </c>
      <c r="M30" s="16" t="str">
        <f>IF(A30="","",IFERROR(LOOKUP(2,1/((持仓跟踪!$B$2:$B$157=A30)*(持仓跟踪!$X$2:$X$157="执行卖出")*(持仓跟踪!$H$2:$H$157&lt;&gt;"")),持仓跟踪!$H$2:$H$157),""))</f>
        <v/>
      </c>
      <c r="N30" s="10"/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 t="str">
        <f t="shared" si="12"/>
        <v/>
      </c>
      <c r="V30" s="7" t="str">
        <f t="shared" si="13"/>
        <v/>
      </c>
      <c r="W30" s="17" t="str">
        <f t="shared" si="14"/>
        <v/>
      </c>
      <c r="X30" s="5" t="str">
        <f t="shared" si="15"/>
        <v/>
      </c>
      <c r="Y30" s="7" t="str">
        <f t="shared" si="16"/>
        <v/>
      </c>
      <c r="Z30" s="7" t="str">
        <f>IF(OR(AE30="",多次统计数据!$B$8=""),"",AE30-多次统计数据!$B$8)</f>
        <v/>
      </c>
      <c r="AA30" s="11" t="str">
        <f t="shared" si="17"/>
        <v/>
      </c>
      <c r="AB30" s="7">
        <f>IF(OR(A30="",多次统计数据!$B$8="",多次统计数据!$B$6&lt;=0,多次统计数据!$B$6&gt;=1),"",1-POWER(1+多次统计数据!$B$8,-多次统计数据!$B$6/(1-多次统计数据!$B$6)))</f>
        <v>2.8495118518504836E-2</v>
      </c>
      <c r="AC30" s="8" t="str">
        <f>IF(OR(AB30="",多次统计数据!$B$9=""),"",IF(多次统计数据!$B$9&lt;AB30,"低于上限","达到或超过上限"))</f>
        <v>低于上限</v>
      </c>
      <c r="AD30" s="2"/>
      <c r="AE30" s="7" t="str">
        <f t="shared" si="18"/>
        <v/>
      </c>
      <c r="AG30" s="2"/>
      <c r="AH30" s="2"/>
      <c r="AI30" s="2"/>
      <c r="AJ30" s="8" t="str">
        <f t="shared" si="19"/>
        <v/>
      </c>
      <c r="AK30" s="10"/>
      <c r="AL30" s="12"/>
      <c r="AM30" s="10"/>
      <c r="AN30" s="12"/>
      <c r="AO30" s="5" t="str">
        <f t="shared" si="20"/>
        <v/>
      </c>
      <c r="AP30" s="11" t="str">
        <f t="shared" si="21"/>
        <v/>
      </c>
      <c r="AQ30" s="5" t="str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/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$88)&gt;账户数据!$B$7,"违规：超过账户风险上限","通过")))))))))</f>
        <v>违规：第一批价格或股数缺失</v>
      </c>
    </row>
    <row r="31" spans="1:44" x14ac:dyDescent="0.15">
      <c r="A31" s="2"/>
      <c r="B31" s="2"/>
      <c r="C31" s="10"/>
      <c r="D31" s="6"/>
      <c r="E31" s="10"/>
      <c r="F31" s="8" t="str">
        <f t="shared" si="11"/>
        <v/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3"/>
      <c r="J31" s="10"/>
      <c r="K31" s="5" t="str">
        <f>IF(A31="","",IFERROR(LOOKUP(2,1/((持仓跟踪!$B$2:$B$157=A31)*(持仓跟踪!$X$2:$X$157="执行卖出")*(持仓跟踪!$Y$2:$Y$157&lt;&gt;"")),持仓跟踪!$Y$2:$Y$157),""))</f>
        <v/>
      </c>
      <c r="L31" s="8" t="str">
        <f>IF(A31="","",IFERROR(LOOKUP(2,1/((持仓跟踪!$B$2:$B$157=A31)*(持仓跟踪!$X$2:$X$157="执行卖出")*(持仓跟踪!$Z$2:$Z$157&lt;&gt;"")),持仓跟踪!$Z$2:$Z$157),""))</f>
        <v/>
      </c>
      <c r="M31" s="16" t="str">
        <f>IF(A31="","",IFERROR(LOOKUP(2,1/((持仓跟踪!$B$2:$B$157=A31)*(持仓跟踪!$X$2:$X$157="执行卖出")*(持仓跟踪!$H$2:$H$157&lt;&gt;"")),持仓跟踪!$H$2:$H$157),""))</f>
        <v/>
      </c>
      <c r="N31" s="10"/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 t="str">
        <f t="shared" si="12"/>
        <v/>
      </c>
      <c r="V31" s="7" t="str">
        <f t="shared" si="13"/>
        <v/>
      </c>
      <c r="W31" s="17" t="str">
        <f t="shared" si="14"/>
        <v/>
      </c>
      <c r="X31" s="5" t="str">
        <f t="shared" si="15"/>
        <v/>
      </c>
      <c r="Y31" s="7" t="str">
        <f t="shared" si="16"/>
        <v/>
      </c>
      <c r="Z31" s="7" t="str">
        <f>IF(OR(AE31="",多次统计数据!$B$8=""),"",AE31-多次统计数据!$B$8)</f>
        <v/>
      </c>
      <c r="AA31" s="11" t="str">
        <f t="shared" si="1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18"/>
        <v/>
      </c>
      <c r="AG31" s="2"/>
      <c r="AH31" s="2"/>
      <c r="AI31" s="2"/>
      <c r="AJ31" s="8" t="str">
        <f t="shared" si="19"/>
        <v/>
      </c>
      <c r="AK31" s="10"/>
      <c r="AL31" s="12"/>
      <c r="AM31" s="10"/>
      <c r="AN31" s="12"/>
      <c r="AO31" s="5" t="str">
        <f t="shared" si="20"/>
        <v/>
      </c>
      <c r="AP31" s="11" t="str">
        <f t="shared" si="21"/>
        <v/>
      </c>
      <c r="AQ31" s="5" t="str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/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$88)&gt;账户数据!$B$7,"违规：超过账户风险上限","通过")))))))))</f>
        <v/>
      </c>
    </row>
    <row r="32" spans="1:44" x14ac:dyDescent="0.15">
      <c r="A32" s="2"/>
      <c r="B32" s="2"/>
      <c r="C32" s="10"/>
      <c r="D32" s="6"/>
      <c r="E32" s="10"/>
      <c r="F32" s="8" t="str">
        <f t="shared" si="11"/>
        <v/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3"/>
      <c r="J32" s="10"/>
      <c r="K32" s="5" t="str">
        <f>IF(A32="","",IFERROR(LOOKUP(2,1/((持仓跟踪!$B$2:$B$157=A32)*(持仓跟踪!$X$2:$X$157="执行卖出")*(持仓跟踪!$Y$2:$Y$157&lt;&gt;"")),持仓跟踪!$Y$2:$Y$157),""))</f>
        <v/>
      </c>
      <c r="L32" s="8" t="str">
        <f>IF(A32="","",IFERROR(LOOKUP(2,1/((持仓跟踪!$B$2:$B$157=A32)*(持仓跟踪!$X$2:$X$157="执行卖出")*(持仓跟踪!$Z$2:$Z$157&lt;&gt;"")),持仓跟踪!$Z$2:$Z$157),""))</f>
        <v/>
      </c>
      <c r="M32" s="16" t="str">
        <f>IF(A32="","",IFERROR(LOOKUP(2,1/((持仓跟踪!$B$2:$B$157=A32)*(持仓跟踪!$X$2:$X$157="执行卖出")*(持仓跟踪!$H$2:$H$157&lt;&gt;"")),持仓跟踪!$H$2:$H$157),""))</f>
        <v/>
      </c>
      <c r="N32" s="10"/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 t="str">
        <f t="shared" si="12"/>
        <v/>
      </c>
      <c r="V32" s="7" t="str">
        <f t="shared" si="13"/>
        <v/>
      </c>
      <c r="W32" s="17" t="str">
        <f t="shared" si="14"/>
        <v/>
      </c>
      <c r="X32" s="5" t="str">
        <f t="shared" si="15"/>
        <v/>
      </c>
      <c r="Y32" s="7" t="str">
        <f t="shared" si="16"/>
        <v/>
      </c>
      <c r="Z32" s="7" t="str">
        <f>IF(OR(AE32="",多次统计数据!$B$8=""),"",AE32-多次统计数据!$B$8)</f>
        <v/>
      </c>
      <c r="AA32" s="11" t="str">
        <f t="shared" si="1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18"/>
        <v/>
      </c>
      <c r="AG32" s="2"/>
      <c r="AH32" s="2"/>
      <c r="AI32" s="2"/>
      <c r="AJ32" s="8" t="str">
        <f t="shared" si="19"/>
        <v/>
      </c>
      <c r="AK32" s="10"/>
      <c r="AL32" s="12"/>
      <c r="AM32" s="10"/>
      <c r="AN32" s="12"/>
      <c r="AO32" s="5" t="str">
        <f t="shared" si="20"/>
        <v/>
      </c>
      <c r="AP32" s="11" t="str">
        <f t="shared" si="21"/>
        <v/>
      </c>
      <c r="AQ32" s="5" t="str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/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$88)&gt;账户数据!$B$7,"违规：超过账户风险上限","通过")))))))))</f>
        <v/>
      </c>
    </row>
    <row r="33" spans="1:44" x14ac:dyDescent="0.15">
      <c r="A33" s="2"/>
      <c r="B33" s="2"/>
      <c r="C33" s="10"/>
      <c r="D33" s="6"/>
      <c r="E33" s="10"/>
      <c r="F33" s="8" t="str">
        <f t="shared" si="11"/>
        <v/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3"/>
      <c r="J33" s="10"/>
      <c r="K33" s="5" t="str">
        <f>IF(A33="","",IFERROR(LOOKUP(2,1/((持仓跟踪!$B$2:$B$157=A33)*(持仓跟踪!$X$2:$X$157="执行卖出")*(持仓跟踪!$Y$2:$Y$157&lt;&gt;"")),持仓跟踪!$Y$2:$Y$157),""))</f>
        <v/>
      </c>
      <c r="L33" s="8" t="str">
        <f>IF(A33="","",IFERROR(LOOKUP(2,1/((持仓跟踪!$B$2:$B$157=A33)*(持仓跟踪!$X$2:$X$157="执行卖出")*(持仓跟踪!$Z$2:$Z$157&lt;&gt;"")),持仓跟踪!$Z$2:$Z$157),""))</f>
        <v/>
      </c>
      <c r="M33" s="16" t="str">
        <f>IF(A33="","",IFERROR(LOOKUP(2,1/((持仓跟踪!$B$2:$B$157=A33)*(持仓跟踪!$X$2:$X$157="执行卖出")*(持仓跟踪!$H$2:$H$157&lt;&gt;"")),持仓跟踪!$H$2:$H$157),""))</f>
        <v/>
      </c>
      <c r="N33" s="10"/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 t="str">
        <f t="shared" si="12"/>
        <v/>
      </c>
      <c r="V33" s="7" t="str">
        <f t="shared" si="13"/>
        <v/>
      </c>
      <c r="W33" s="17" t="str">
        <f t="shared" si="14"/>
        <v/>
      </c>
      <c r="X33" s="5" t="str">
        <f t="shared" si="15"/>
        <v/>
      </c>
      <c r="Y33" s="7" t="str">
        <f t="shared" si="16"/>
        <v/>
      </c>
      <c r="Z33" s="7" t="str">
        <f>IF(OR(AE33="",多次统计数据!$B$8=""),"",AE33-多次统计数据!$B$8)</f>
        <v/>
      </c>
      <c r="AA33" s="11" t="str">
        <f t="shared" si="1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18"/>
        <v/>
      </c>
      <c r="AG33" s="2"/>
      <c r="AH33" s="2"/>
      <c r="AI33" s="2"/>
      <c r="AJ33" s="8" t="str">
        <f t="shared" si="19"/>
        <v/>
      </c>
      <c r="AK33" s="10"/>
      <c r="AL33" s="12"/>
      <c r="AM33" s="10"/>
      <c r="AN33" s="12"/>
      <c r="AO33" s="5" t="str">
        <f t="shared" si="20"/>
        <v/>
      </c>
      <c r="AP33" s="11" t="str">
        <f t="shared" si="21"/>
        <v/>
      </c>
      <c r="AQ33" s="5" t="str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/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$88)&gt;账户数据!$B$7,"违规：超过账户风险上限","通过")))))))))</f>
        <v/>
      </c>
    </row>
    <row r="34" spans="1:44" x14ac:dyDescent="0.15">
      <c r="A34" s="2"/>
      <c r="B34" s="2"/>
      <c r="C34" s="10"/>
      <c r="D34" s="6"/>
      <c r="E34" s="10"/>
      <c r="F34" s="8" t="str">
        <f t="shared" si="11"/>
        <v/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3"/>
      <c r="J34" s="10"/>
      <c r="K34" s="5" t="str">
        <f>IF(A34="","",IFERROR(LOOKUP(2,1/((持仓跟踪!$B$2:$B$157=A34)*(持仓跟踪!$X$2:$X$157="执行卖出")*(持仓跟踪!$Y$2:$Y$157&lt;&gt;"")),持仓跟踪!$Y$2:$Y$157),""))</f>
        <v/>
      </c>
      <c r="L34" s="8" t="str">
        <f>IF(A34="","",IFERROR(LOOKUP(2,1/((持仓跟踪!$B$2:$B$157=A34)*(持仓跟踪!$X$2:$X$157="执行卖出")*(持仓跟踪!$Z$2:$Z$157&lt;&gt;"")),持仓跟踪!$Z$2:$Z$157),""))</f>
        <v/>
      </c>
      <c r="M34" s="16" t="str">
        <f>IF(A34="","",IFERROR(LOOKUP(2,1/((持仓跟踪!$B$2:$B$157=A34)*(持仓跟踪!$X$2:$X$157="执行卖出")*(持仓跟踪!$H$2:$H$157&lt;&gt;"")),持仓跟踪!$H$2:$H$157),""))</f>
        <v/>
      </c>
      <c r="N34" s="10"/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 t="str">
        <f t="shared" si="12"/>
        <v/>
      </c>
      <c r="V34" s="7" t="str">
        <f t="shared" si="13"/>
        <v/>
      </c>
      <c r="W34" s="17" t="str">
        <f t="shared" si="14"/>
        <v/>
      </c>
      <c r="X34" s="5" t="str">
        <f t="shared" si="15"/>
        <v/>
      </c>
      <c r="Y34" s="7" t="str">
        <f t="shared" si="16"/>
        <v/>
      </c>
      <c r="Z34" s="7" t="str">
        <f>IF(OR(AE34="",多次统计数据!$B$8=""),"",AE34-多次统计数据!$B$8)</f>
        <v/>
      </c>
      <c r="AA34" s="11" t="str">
        <f t="shared" si="1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18"/>
        <v/>
      </c>
      <c r="AG34" s="2"/>
      <c r="AH34" s="2"/>
      <c r="AI34" s="2"/>
      <c r="AJ34" s="8" t="str">
        <f t="shared" si="19"/>
        <v/>
      </c>
      <c r="AK34" s="10"/>
      <c r="AL34" s="12"/>
      <c r="AM34" s="10"/>
      <c r="AN34" s="12"/>
      <c r="AO34" s="5" t="str">
        <f t="shared" si="20"/>
        <v/>
      </c>
      <c r="AP34" s="11" t="str">
        <f t="shared" si="21"/>
        <v/>
      </c>
      <c r="AQ34" s="5" t="str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/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$88)&gt;账户数据!$B$7,"违规：超过账户风险上限","通过")))))))))</f>
        <v/>
      </c>
    </row>
    <row r="35" spans="1:44" x14ac:dyDescent="0.15">
      <c r="A35" s="2"/>
      <c r="B35" s="2"/>
      <c r="C35" s="10"/>
      <c r="D35" s="6"/>
      <c r="E35" s="10"/>
      <c r="F35" s="8" t="str">
        <f t="shared" si="11"/>
        <v/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3"/>
      <c r="J35" s="10"/>
      <c r="K35" s="5" t="str">
        <f>IF(A35="","",IFERROR(LOOKUP(2,1/((持仓跟踪!$B$2:$B$157=A35)*(持仓跟踪!$X$2:$X$157="执行卖出")*(持仓跟踪!$Y$2:$Y$157&lt;&gt;"")),持仓跟踪!$Y$2:$Y$157),""))</f>
        <v/>
      </c>
      <c r="L35" s="8" t="str">
        <f>IF(A35="","",IFERROR(LOOKUP(2,1/((持仓跟踪!$B$2:$B$157=A35)*(持仓跟踪!$X$2:$X$157="执行卖出")*(持仓跟踪!$Z$2:$Z$157&lt;&gt;"")),持仓跟踪!$Z$2:$Z$157),""))</f>
        <v/>
      </c>
      <c r="M35" s="16" t="str">
        <f>IF(A35="","",IFERROR(LOOKUP(2,1/((持仓跟踪!$B$2:$B$157=A35)*(持仓跟踪!$X$2:$X$157="执行卖出")*(持仓跟踪!$H$2:$H$157&lt;&gt;"")),持仓跟踪!$H$2:$H$157),""))</f>
        <v/>
      </c>
      <c r="N35" s="10"/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 t="str">
        <f t="shared" si="12"/>
        <v/>
      </c>
      <c r="V35" s="7" t="str">
        <f t="shared" si="13"/>
        <v/>
      </c>
      <c r="W35" s="17" t="str">
        <f t="shared" si="14"/>
        <v/>
      </c>
      <c r="X35" s="5" t="str">
        <f t="shared" si="15"/>
        <v/>
      </c>
      <c r="Y35" s="7" t="str">
        <f t="shared" si="16"/>
        <v/>
      </c>
      <c r="Z35" s="7" t="str">
        <f>IF(OR(AE35="",多次统计数据!$B$8=""),"",AE35-多次统计数据!$B$8)</f>
        <v/>
      </c>
      <c r="AA35" s="11" t="str">
        <f t="shared" si="1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18"/>
        <v/>
      </c>
      <c r="AG35" s="2"/>
      <c r="AH35" s="2"/>
      <c r="AI35" s="2"/>
      <c r="AJ35" s="8" t="str">
        <f t="shared" si="19"/>
        <v/>
      </c>
      <c r="AK35" s="10"/>
      <c r="AL35" s="12"/>
      <c r="AM35" s="10"/>
      <c r="AN35" s="12"/>
      <c r="AO35" s="5" t="str">
        <f t="shared" si="20"/>
        <v/>
      </c>
      <c r="AP35" s="11" t="str">
        <f t="shared" si="21"/>
        <v/>
      </c>
      <c r="AQ35" s="5" t="str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/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$88)&gt;账户数据!$B$7,"违规：超过账户风险上限","通过")))))))))</f>
        <v/>
      </c>
    </row>
    <row r="36" spans="1:44" x14ac:dyDescent="0.15">
      <c r="A36" s="2"/>
      <c r="B36" s="2"/>
      <c r="C36" s="10"/>
      <c r="D36" s="6"/>
      <c r="E36" s="10"/>
      <c r="F36" s="8" t="str">
        <f t="shared" si="11"/>
        <v/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3"/>
      <c r="J36" s="10"/>
      <c r="K36" s="5" t="str">
        <f>IF(A36="","",IFERROR(LOOKUP(2,1/((持仓跟踪!$B$2:$B$157=A36)*(持仓跟踪!$X$2:$X$157="执行卖出")*(持仓跟踪!$Y$2:$Y$157&lt;&gt;"")),持仓跟踪!$Y$2:$Y$157),""))</f>
        <v/>
      </c>
      <c r="L36" s="8" t="str">
        <f>IF(A36="","",IFERROR(LOOKUP(2,1/((持仓跟踪!$B$2:$B$157=A36)*(持仓跟踪!$X$2:$X$157="执行卖出")*(持仓跟踪!$Z$2:$Z$157&lt;&gt;"")),持仓跟踪!$Z$2:$Z$157),""))</f>
        <v/>
      </c>
      <c r="M36" s="16" t="str">
        <f>IF(A36="","",IFERROR(LOOKUP(2,1/((持仓跟踪!$B$2:$B$157=A36)*(持仓跟踪!$X$2:$X$157="执行卖出")*(持仓跟踪!$H$2:$H$157&lt;&gt;"")),持仓跟踪!$H$2:$H$157),""))</f>
        <v/>
      </c>
      <c r="N36" s="10"/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 t="str">
        <f t="shared" si="12"/>
        <v/>
      </c>
      <c r="V36" s="7" t="str">
        <f t="shared" si="13"/>
        <v/>
      </c>
      <c r="W36" s="17" t="str">
        <f t="shared" si="14"/>
        <v/>
      </c>
      <c r="X36" s="5" t="str">
        <f t="shared" si="15"/>
        <v/>
      </c>
      <c r="Y36" s="7" t="str">
        <f t="shared" si="16"/>
        <v/>
      </c>
      <c r="Z36" s="7" t="str">
        <f>IF(OR(AE36="",多次统计数据!$B$8=""),"",AE36-多次统计数据!$B$8)</f>
        <v/>
      </c>
      <c r="AA36" s="11" t="str">
        <f t="shared" si="1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18"/>
        <v/>
      </c>
      <c r="AG36" s="2"/>
      <c r="AH36" s="2"/>
      <c r="AI36" s="2"/>
      <c r="AJ36" s="8" t="str">
        <f t="shared" si="19"/>
        <v/>
      </c>
      <c r="AK36" s="10"/>
      <c r="AL36" s="12"/>
      <c r="AM36" s="10"/>
      <c r="AN36" s="12"/>
      <c r="AO36" s="5" t="str">
        <f t="shared" si="20"/>
        <v/>
      </c>
      <c r="AP36" s="11" t="str">
        <f t="shared" si="21"/>
        <v/>
      </c>
      <c r="AQ36" s="5" t="str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/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$88)&gt;账户数据!$B$7,"违规：超过账户风险上限","通过")))))))))</f>
        <v/>
      </c>
    </row>
    <row r="37" spans="1:44" x14ac:dyDescent="0.15">
      <c r="A37" s="2"/>
      <c r="B37" s="2"/>
      <c r="C37" s="10"/>
      <c r="D37" s="6"/>
      <c r="E37" s="10"/>
      <c r="F37" s="8" t="str">
        <f t="shared" si="11"/>
        <v/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3"/>
      <c r="J37" s="10"/>
      <c r="K37" s="5" t="str">
        <f>IF(A37="","",IFERROR(LOOKUP(2,1/((持仓跟踪!$B$2:$B$157=A37)*(持仓跟踪!$X$2:$X$157="执行卖出")*(持仓跟踪!$Y$2:$Y$157&lt;&gt;"")),持仓跟踪!$Y$2:$Y$157),""))</f>
        <v/>
      </c>
      <c r="L37" s="8" t="str">
        <f>IF(A37="","",IFERROR(LOOKUP(2,1/((持仓跟踪!$B$2:$B$157=A37)*(持仓跟踪!$X$2:$X$157="执行卖出")*(持仓跟踪!$Z$2:$Z$157&lt;&gt;"")),持仓跟踪!$Z$2:$Z$157),""))</f>
        <v/>
      </c>
      <c r="M37" s="16" t="str">
        <f>IF(A37="","",IFERROR(LOOKUP(2,1/((持仓跟踪!$B$2:$B$157=A37)*(持仓跟踪!$X$2:$X$157="执行卖出")*(持仓跟踪!$H$2:$H$157&lt;&gt;"")),持仓跟踪!$H$2:$H$157),""))</f>
        <v/>
      </c>
      <c r="N37" s="10"/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 t="str">
        <f t="shared" si="12"/>
        <v/>
      </c>
      <c r="V37" s="7" t="str">
        <f t="shared" si="13"/>
        <v/>
      </c>
      <c r="W37" s="17" t="str">
        <f t="shared" si="14"/>
        <v/>
      </c>
      <c r="X37" s="5" t="str">
        <f t="shared" si="15"/>
        <v/>
      </c>
      <c r="Y37" s="7" t="str">
        <f t="shared" si="16"/>
        <v/>
      </c>
      <c r="Z37" s="7" t="str">
        <f>IF(OR(AE37="",多次统计数据!$B$8=""),"",AE37-多次统计数据!$B$8)</f>
        <v/>
      </c>
      <c r="AA37" s="11" t="str">
        <f t="shared" si="1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18"/>
        <v/>
      </c>
      <c r="AG37" s="2"/>
      <c r="AH37" s="2"/>
      <c r="AI37" s="2"/>
      <c r="AJ37" s="8" t="str">
        <f t="shared" si="19"/>
        <v/>
      </c>
      <c r="AK37" s="10"/>
      <c r="AL37" s="12"/>
      <c r="AM37" s="10"/>
      <c r="AN37" s="12"/>
      <c r="AO37" s="5" t="str">
        <f t="shared" si="20"/>
        <v/>
      </c>
      <c r="AP37" s="11" t="str">
        <f t="shared" si="21"/>
        <v/>
      </c>
      <c r="AQ37" s="5" t="str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/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$88)&gt;账户数据!$B$7,"违规：超过账户风险上限","通过")))))))))</f>
        <v/>
      </c>
    </row>
    <row r="38" spans="1:44" x14ac:dyDescent="0.15">
      <c r="A38" s="2"/>
      <c r="B38" s="2"/>
      <c r="C38" s="10"/>
      <c r="D38" s="6"/>
      <c r="E38" s="10"/>
      <c r="F38" s="8" t="str">
        <f t="shared" si="11"/>
        <v/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3"/>
      <c r="J38" s="10"/>
      <c r="K38" s="5" t="str">
        <f>IF(A38="","",IFERROR(LOOKUP(2,1/((持仓跟踪!$B$2:$B$157=A38)*(持仓跟踪!$X$2:$X$157="执行卖出")*(持仓跟踪!$Y$2:$Y$157&lt;&gt;"")),持仓跟踪!$Y$2:$Y$157),""))</f>
        <v/>
      </c>
      <c r="L38" s="8" t="str">
        <f>IF(A38="","",IFERROR(LOOKUP(2,1/((持仓跟踪!$B$2:$B$157=A38)*(持仓跟踪!$X$2:$X$157="执行卖出")*(持仓跟踪!$Z$2:$Z$157&lt;&gt;"")),持仓跟踪!$Z$2:$Z$157),""))</f>
        <v/>
      </c>
      <c r="M38" s="16" t="str">
        <f>IF(A38="","",IFERROR(LOOKUP(2,1/((持仓跟踪!$B$2:$B$157=A38)*(持仓跟踪!$X$2:$X$157="执行卖出")*(持仓跟踪!$H$2:$H$157&lt;&gt;"")),持仓跟踪!$H$2:$H$157),""))</f>
        <v/>
      </c>
      <c r="N38" s="10"/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 t="str">
        <f t="shared" si="12"/>
        <v/>
      </c>
      <c r="V38" s="7" t="str">
        <f t="shared" si="13"/>
        <v/>
      </c>
      <c r="W38" s="17" t="str">
        <f t="shared" si="14"/>
        <v/>
      </c>
      <c r="X38" s="5" t="str">
        <f t="shared" si="15"/>
        <v/>
      </c>
      <c r="Y38" s="7" t="str">
        <f t="shared" si="16"/>
        <v/>
      </c>
      <c r="Z38" s="7" t="str">
        <f>IF(OR(AE38="",多次统计数据!$B$8=""),"",AE38-多次统计数据!$B$8)</f>
        <v/>
      </c>
      <c r="AA38" s="11" t="str">
        <f t="shared" si="1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18"/>
        <v/>
      </c>
      <c r="AG38" s="2"/>
      <c r="AH38" s="2"/>
      <c r="AI38" s="2"/>
      <c r="AJ38" s="8" t="str">
        <f t="shared" si="19"/>
        <v/>
      </c>
      <c r="AK38" s="10"/>
      <c r="AL38" s="12"/>
      <c r="AM38" s="10"/>
      <c r="AN38" s="12"/>
      <c r="AO38" s="5" t="str">
        <f t="shared" si="20"/>
        <v/>
      </c>
      <c r="AP38" s="11" t="str">
        <f t="shared" si="21"/>
        <v/>
      </c>
      <c r="AQ38" s="5" t="str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/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$88)&gt;账户数据!$B$7,"违规：超过账户风险上限","通过")))))))))</f>
        <v/>
      </c>
    </row>
    <row r="39" spans="1:44" x14ac:dyDescent="0.15">
      <c r="A39" s="2"/>
      <c r="B39" s="2"/>
      <c r="C39" s="10"/>
      <c r="D39" s="6"/>
      <c r="E39" s="10"/>
      <c r="F39" s="8" t="str">
        <f t="shared" si="11"/>
        <v/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3"/>
      <c r="J39" s="10"/>
      <c r="K39" s="5" t="str">
        <f>IF(A39="","",IFERROR(LOOKUP(2,1/((持仓跟踪!$B$2:$B$157=A39)*(持仓跟踪!$X$2:$X$157="执行卖出")*(持仓跟踪!$Y$2:$Y$157&lt;&gt;"")),持仓跟踪!$Y$2:$Y$157),""))</f>
        <v/>
      </c>
      <c r="L39" s="8" t="str">
        <f>IF(A39="","",IFERROR(LOOKUP(2,1/((持仓跟踪!$B$2:$B$157=A39)*(持仓跟踪!$X$2:$X$157="执行卖出")*(持仓跟踪!$Z$2:$Z$157&lt;&gt;"")),持仓跟踪!$Z$2:$Z$157),""))</f>
        <v/>
      </c>
      <c r="M39" s="16" t="str">
        <f>IF(A39="","",IFERROR(LOOKUP(2,1/((持仓跟踪!$B$2:$B$157=A39)*(持仓跟踪!$X$2:$X$157="执行卖出")*(持仓跟踪!$H$2:$H$157&lt;&gt;"")),持仓跟踪!$H$2:$H$157),""))</f>
        <v/>
      </c>
      <c r="N39" s="10"/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 t="str">
        <f t="shared" si="12"/>
        <v/>
      </c>
      <c r="V39" s="7" t="str">
        <f t="shared" si="13"/>
        <v/>
      </c>
      <c r="W39" s="17" t="str">
        <f t="shared" si="14"/>
        <v/>
      </c>
      <c r="X39" s="5" t="str">
        <f t="shared" si="15"/>
        <v/>
      </c>
      <c r="Y39" s="7" t="str">
        <f t="shared" si="16"/>
        <v/>
      </c>
      <c r="Z39" s="7" t="str">
        <f>IF(OR(AE39="",多次统计数据!$B$8=""),"",AE39-多次统计数据!$B$8)</f>
        <v/>
      </c>
      <c r="AA39" s="11" t="str">
        <f t="shared" si="1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18"/>
        <v/>
      </c>
      <c r="AG39" s="2"/>
      <c r="AH39" s="2"/>
      <c r="AI39" s="2"/>
      <c r="AJ39" s="8" t="str">
        <f t="shared" si="19"/>
        <v/>
      </c>
      <c r="AK39" s="10"/>
      <c r="AL39" s="12"/>
      <c r="AM39" s="10"/>
      <c r="AN39" s="12"/>
      <c r="AO39" s="5" t="str">
        <f t="shared" si="20"/>
        <v/>
      </c>
      <c r="AP39" s="11" t="str">
        <f t="shared" si="21"/>
        <v/>
      </c>
      <c r="AQ39" s="5" t="str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/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$88)&gt;账户数据!$B$7,"违规：超过账户风险上限","通过")))))))))</f>
        <v/>
      </c>
    </row>
    <row r="40" spans="1:44" x14ac:dyDescent="0.15">
      <c r="A40" s="2"/>
      <c r="B40" s="2"/>
      <c r="C40" s="10"/>
      <c r="D40" s="6"/>
      <c r="E40" s="10"/>
      <c r="F40" s="8" t="str">
        <f t="shared" si="11"/>
        <v/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3"/>
      <c r="J40" s="10"/>
      <c r="K40" s="5" t="str">
        <f>IF(A40="","",IFERROR(LOOKUP(2,1/((持仓跟踪!$B$2:$B$157=A40)*(持仓跟踪!$X$2:$X$157="执行卖出")*(持仓跟踪!$Y$2:$Y$157&lt;&gt;"")),持仓跟踪!$Y$2:$Y$157),""))</f>
        <v/>
      </c>
      <c r="L40" s="8" t="str">
        <f>IF(A40="","",IFERROR(LOOKUP(2,1/((持仓跟踪!$B$2:$B$157=A40)*(持仓跟踪!$X$2:$X$157="执行卖出")*(持仓跟踪!$Z$2:$Z$157&lt;&gt;"")),持仓跟踪!$Z$2:$Z$157),""))</f>
        <v/>
      </c>
      <c r="M40" s="16" t="str">
        <f>IF(A40="","",IFERROR(LOOKUP(2,1/((持仓跟踪!$B$2:$B$157=A40)*(持仓跟踪!$X$2:$X$157="执行卖出")*(持仓跟踪!$H$2:$H$157&lt;&gt;"")),持仓跟踪!$H$2:$H$157),""))</f>
        <v/>
      </c>
      <c r="N40" s="10"/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 t="str">
        <f t="shared" si="12"/>
        <v/>
      </c>
      <c r="V40" s="7" t="str">
        <f t="shared" si="13"/>
        <v/>
      </c>
      <c r="W40" s="17" t="str">
        <f t="shared" si="14"/>
        <v/>
      </c>
      <c r="X40" s="5" t="str">
        <f t="shared" si="15"/>
        <v/>
      </c>
      <c r="Y40" s="7" t="str">
        <f t="shared" si="16"/>
        <v/>
      </c>
      <c r="Z40" s="7" t="str">
        <f>IF(OR(AE40="",多次统计数据!$B$8=""),"",AE40-多次统计数据!$B$8)</f>
        <v/>
      </c>
      <c r="AA40" s="11" t="str">
        <f t="shared" si="1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18"/>
        <v/>
      </c>
      <c r="AG40" s="2"/>
      <c r="AH40" s="2"/>
      <c r="AI40" s="2"/>
      <c r="AJ40" s="8" t="str">
        <f t="shared" si="19"/>
        <v/>
      </c>
      <c r="AK40" s="10"/>
      <c r="AL40" s="12"/>
      <c r="AM40" s="10"/>
      <c r="AN40" s="12"/>
      <c r="AO40" s="5" t="str">
        <f t="shared" si="20"/>
        <v/>
      </c>
      <c r="AP40" s="11" t="str">
        <f t="shared" si="21"/>
        <v/>
      </c>
      <c r="AQ40" s="5" t="str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/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$88)&gt;账户数据!$B$7,"违规：超过账户风险上限","通过")))))))))</f>
        <v/>
      </c>
    </row>
    <row r="41" spans="1:44" x14ac:dyDescent="0.15">
      <c r="A41" s="2"/>
      <c r="B41" s="2"/>
      <c r="C41" s="10"/>
      <c r="D41" s="6"/>
      <c r="E41" s="10"/>
      <c r="F41" s="8" t="str">
        <f t="shared" si="11"/>
        <v/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3"/>
      <c r="J41" s="10"/>
      <c r="K41" s="5" t="str">
        <f>IF(A41="","",IFERROR(LOOKUP(2,1/((持仓跟踪!$B$2:$B$157=A41)*(持仓跟踪!$X$2:$X$157="执行卖出")*(持仓跟踪!$Y$2:$Y$157&lt;&gt;"")),持仓跟踪!$Y$2:$Y$157),""))</f>
        <v/>
      </c>
      <c r="L41" s="8" t="str">
        <f>IF(A41="","",IFERROR(LOOKUP(2,1/((持仓跟踪!$B$2:$B$157=A41)*(持仓跟踪!$X$2:$X$157="执行卖出")*(持仓跟踪!$Z$2:$Z$157&lt;&gt;"")),持仓跟踪!$Z$2:$Z$157),""))</f>
        <v/>
      </c>
      <c r="M41" s="16" t="str">
        <f>IF(A41="","",IFERROR(LOOKUP(2,1/((持仓跟踪!$B$2:$B$157=A41)*(持仓跟踪!$X$2:$X$157="执行卖出")*(持仓跟踪!$H$2:$H$157&lt;&gt;"")),持仓跟踪!$H$2:$H$157),""))</f>
        <v/>
      </c>
      <c r="N41" s="10"/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 t="str">
        <f t="shared" si="12"/>
        <v/>
      </c>
      <c r="V41" s="7" t="str">
        <f t="shared" si="13"/>
        <v/>
      </c>
      <c r="W41" s="17" t="str">
        <f t="shared" si="14"/>
        <v/>
      </c>
      <c r="X41" s="5" t="str">
        <f t="shared" si="15"/>
        <v/>
      </c>
      <c r="Y41" s="7" t="str">
        <f t="shared" si="16"/>
        <v/>
      </c>
      <c r="Z41" s="7" t="str">
        <f>IF(OR(AE41="",多次统计数据!$B$8=""),"",AE41-多次统计数据!$B$8)</f>
        <v/>
      </c>
      <c r="AA41" s="11" t="str">
        <f t="shared" si="1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18"/>
        <v/>
      </c>
      <c r="AG41" s="2"/>
      <c r="AH41" s="2"/>
      <c r="AI41" s="2"/>
      <c r="AJ41" s="8" t="str">
        <f t="shared" si="19"/>
        <v/>
      </c>
      <c r="AK41" s="10"/>
      <c r="AL41" s="12"/>
      <c r="AM41" s="10"/>
      <c r="AN41" s="12"/>
      <c r="AO41" s="5" t="str">
        <f t="shared" si="20"/>
        <v/>
      </c>
      <c r="AP41" s="11" t="str">
        <f t="shared" si="21"/>
        <v/>
      </c>
      <c r="AQ41" s="5" t="str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/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$88)&gt;账户数据!$B$7,"违规：超过账户风险上限","通过")))))))))</f>
        <v/>
      </c>
    </row>
    <row r="42" spans="1:44" x14ac:dyDescent="0.15">
      <c r="A42" s="2"/>
      <c r="B42" s="2"/>
      <c r="C42" s="10"/>
      <c r="D42" s="6"/>
      <c r="E42" s="10"/>
      <c r="F42" s="8" t="str">
        <f t="shared" si="11"/>
        <v/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3"/>
      <c r="J42" s="10"/>
      <c r="K42" s="5" t="str">
        <f>IF(A42="","",IFERROR(LOOKUP(2,1/((持仓跟踪!$B$2:$B$157=A42)*(持仓跟踪!$X$2:$X$157="执行卖出")*(持仓跟踪!$Y$2:$Y$157&lt;&gt;"")),持仓跟踪!$Y$2:$Y$157),""))</f>
        <v/>
      </c>
      <c r="L42" s="8" t="str">
        <f>IF(A42="","",IFERROR(LOOKUP(2,1/((持仓跟踪!$B$2:$B$157=A42)*(持仓跟踪!$X$2:$X$157="执行卖出")*(持仓跟踪!$Z$2:$Z$157&lt;&gt;"")),持仓跟踪!$Z$2:$Z$157),""))</f>
        <v/>
      </c>
      <c r="M42" s="16" t="str">
        <f>IF(A42="","",IFERROR(LOOKUP(2,1/((持仓跟踪!$B$2:$B$157=A42)*(持仓跟踪!$X$2:$X$157="执行卖出")*(持仓跟踪!$H$2:$H$157&lt;&gt;"")),持仓跟踪!$H$2:$H$157),""))</f>
        <v/>
      </c>
      <c r="N42" s="10"/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 t="str">
        <f t="shared" si="12"/>
        <v/>
      </c>
      <c r="V42" s="7" t="str">
        <f t="shared" si="13"/>
        <v/>
      </c>
      <c r="W42" s="17" t="str">
        <f t="shared" si="14"/>
        <v/>
      </c>
      <c r="X42" s="5" t="str">
        <f t="shared" si="15"/>
        <v/>
      </c>
      <c r="Y42" s="7" t="str">
        <f t="shared" si="16"/>
        <v/>
      </c>
      <c r="Z42" s="7" t="str">
        <f>IF(OR(AE42="",多次统计数据!$B$8=""),"",AE42-多次统计数据!$B$8)</f>
        <v/>
      </c>
      <c r="AA42" s="11" t="str">
        <f t="shared" si="1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18"/>
        <v/>
      </c>
      <c r="AG42" s="2"/>
      <c r="AH42" s="2"/>
      <c r="AI42" s="2"/>
      <c r="AJ42" s="8" t="str">
        <f t="shared" si="19"/>
        <v/>
      </c>
      <c r="AK42" s="10"/>
      <c r="AL42" s="12"/>
      <c r="AM42" s="10"/>
      <c r="AN42" s="12"/>
      <c r="AO42" s="5" t="str">
        <f t="shared" si="20"/>
        <v/>
      </c>
      <c r="AP42" s="11" t="str">
        <f t="shared" si="21"/>
        <v/>
      </c>
      <c r="AQ42" s="5" t="str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/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$88)&gt;账户数据!$B$7,"违规：超过账户风险上限","通过")))))))))</f>
        <v/>
      </c>
    </row>
    <row r="43" spans="1:44" x14ac:dyDescent="0.15">
      <c r="A43" s="2"/>
      <c r="B43" s="2"/>
      <c r="C43" s="10"/>
      <c r="D43" s="6"/>
      <c r="E43" s="10"/>
      <c r="F43" s="8" t="str">
        <f t="shared" si="11"/>
        <v/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3"/>
      <c r="J43" s="10"/>
      <c r="K43" s="5" t="str">
        <f>IF(A43="","",IFERROR(LOOKUP(2,1/((持仓跟踪!$B$2:$B$157=A43)*(持仓跟踪!$X$2:$X$157="执行卖出")*(持仓跟踪!$Y$2:$Y$157&lt;&gt;"")),持仓跟踪!$Y$2:$Y$157),""))</f>
        <v/>
      </c>
      <c r="L43" s="8" t="str">
        <f>IF(A43="","",IFERROR(LOOKUP(2,1/((持仓跟踪!$B$2:$B$157=A43)*(持仓跟踪!$X$2:$X$157="执行卖出")*(持仓跟踪!$Z$2:$Z$157&lt;&gt;"")),持仓跟踪!$Z$2:$Z$157),""))</f>
        <v/>
      </c>
      <c r="M43" s="16" t="str">
        <f>IF(A43="","",IFERROR(LOOKUP(2,1/((持仓跟踪!$B$2:$B$157=A43)*(持仓跟踪!$X$2:$X$157="执行卖出")*(持仓跟踪!$H$2:$H$157&lt;&gt;"")),持仓跟踪!$H$2:$H$157),""))</f>
        <v/>
      </c>
      <c r="N43" s="10"/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 t="str">
        <f t="shared" si="12"/>
        <v/>
      </c>
      <c r="V43" s="7" t="str">
        <f t="shared" si="13"/>
        <v/>
      </c>
      <c r="W43" s="17" t="str">
        <f t="shared" si="14"/>
        <v/>
      </c>
      <c r="X43" s="5" t="str">
        <f t="shared" si="15"/>
        <v/>
      </c>
      <c r="Y43" s="7" t="str">
        <f t="shared" si="16"/>
        <v/>
      </c>
      <c r="Z43" s="7" t="str">
        <f>IF(OR(AE43="",多次统计数据!$B$8=""),"",AE43-多次统计数据!$B$8)</f>
        <v/>
      </c>
      <c r="AA43" s="11" t="str">
        <f t="shared" si="1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18"/>
        <v/>
      </c>
      <c r="AG43" s="2"/>
      <c r="AH43" s="2"/>
      <c r="AI43" s="2"/>
      <c r="AJ43" s="8" t="str">
        <f t="shared" si="19"/>
        <v/>
      </c>
      <c r="AK43" s="10"/>
      <c r="AL43" s="12"/>
      <c r="AM43" s="10"/>
      <c r="AN43" s="12"/>
      <c r="AO43" s="5" t="str">
        <f t="shared" si="20"/>
        <v/>
      </c>
      <c r="AP43" s="11" t="str">
        <f t="shared" si="21"/>
        <v/>
      </c>
      <c r="AQ43" s="5" t="str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/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$88)&gt;账户数据!$B$7,"违规：超过账户风险上限","通过")))))))))</f>
        <v/>
      </c>
    </row>
    <row r="44" spans="1:44" x14ac:dyDescent="0.15">
      <c r="A44" s="2"/>
      <c r="B44" s="2"/>
      <c r="C44" s="10"/>
      <c r="D44" s="6"/>
      <c r="E44" s="10"/>
      <c r="F44" s="8" t="str">
        <f t="shared" si="11"/>
        <v/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3"/>
      <c r="J44" s="10"/>
      <c r="K44" s="5" t="str">
        <f>IF(A44="","",IFERROR(LOOKUP(2,1/((持仓跟踪!$B$2:$B$157=A44)*(持仓跟踪!$X$2:$X$157="执行卖出")*(持仓跟踪!$Y$2:$Y$157&lt;&gt;"")),持仓跟踪!$Y$2:$Y$157),""))</f>
        <v/>
      </c>
      <c r="L44" s="8" t="str">
        <f>IF(A44="","",IFERROR(LOOKUP(2,1/((持仓跟踪!$B$2:$B$157=A44)*(持仓跟踪!$X$2:$X$157="执行卖出")*(持仓跟踪!$Z$2:$Z$157&lt;&gt;"")),持仓跟踪!$Z$2:$Z$157),""))</f>
        <v/>
      </c>
      <c r="M44" s="16" t="str">
        <f>IF(A44="","",IFERROR(LOOKUP(2,1/((持仓跟踪!$B$2:$B$157=A44)*(持仓跟踪!$X$2:$X$157="执行卖出")*(持仓跟踪!$H$2:$H$157&lt;&gt;"")),持仓跟踪!$H$2:$H$157),""))</f>
        <v/>
      </c>
      <c r="N44" s="10"/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 t="str">
        <f t="shared" si="12"/>
        <v/>
      </c>
      <c r="V44" s="7" t="str">
        <f t="shared" si="13"/>
        <v/>
      </c>
      <c r="W44" s="17" t="str">
        <f t="shared" si="14"/>
        <v/>
      </c>
      <c r="X44" s="5" t="str">
        <f t="shared" si="15"/>
        <v/>
      </c>
      <c r="Y44" s="7" t="str">
        <f t="shared" si="16"/>
        <v/>
      </c>
      <c r="Z44" s="7" t="str">
        <f>IF(OR(AE44="",多次统计数据!$B$8=""),"",AE44-多次统计数据!$B$8)</f>
        <v/>
      </c>
      <c r="AA44" s="11" t="str">
        <f t="shared" si="1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18"/>
        <v/>
      </c>
      <c r="AG44" s="2"/>
      <c r="AH44" s="2"/>
      <c r="AI44" s="2"/>
      <c r="AJ44" s="8" t="str">
        <f t="shared" si="19"/>
        <v/>
      </c>
      <c r="AK44" s="10"/>
      <c r="AL44" s="12"/>
      <c r="AM44" s="10"/>
      <c r="AN44" s="12"/>
      <c r="AO44" s="5" t="str">
        <f t="shared" si="20"/>
        <v/>
      </c>
      <c r="AP44" s="11" t="str">
        <f t="shared" si="21"/>
        <v/>
      </c>
      <c r="AQ44" s="5" t="str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/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$88)&gt;账户数据!$B$7,"违规：超过账户风险上限","通过")))))))))</f>
        <v/>
      </c>
    </row>
    <row r="45" spans="1:44" x14ac:dyDescent="0.15">
      <c r="A45" s="2"/>
      <c r="B45" s="2"/>
      <c r="C45" s="10"/>
      <c r="D45" s="6"/>
      <c r="E45" s="10"/>
      <c r="F45" s="8" t="str">
        <f t="shared" si="11"/>
        <v/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3"/>
      <c r="J45" s="10"/>
      <c r="K45" s="5" t="str">
        <f>IF(A45="","",IFERROR(LOOKUP(2,1/((持仓跟踪!$B$2:$B$157=A45)*(持仓跟踪!$X$2:$X$157="执行卖出")*(持仓跟踪!$Y$2:$Y$157&lt;&gt;"")),持仓跟踪!$Y$2:$Y$157),""))</f>
        <v/>
      </c>
      <c r="L45" s="8" t="str">
        <f>IF(A45="","",IFERROR(LOOKUP(2,1/((持仓跟踪!$B$2:$B$157=A45)*(持仓跟踪!$X$2:$X$157="执行卖出")*(持仓跟踪!$Z$2:$Z$157&lt;&gt;"")),持仓跟踪!$Z$2:$Z$157),""))</f>
        <v/>
      </c>
      <c r="M45" s="16" t="str">
        <f>IF(A45="","",IFERROR(LOOKUP(2,1/((持仓跟踪!$B$2:$B$157=A45)*(持仓跟踪!$X$2:$X$157="执行卖出")*(持仓跟踪!$H$2:$H$157&lt;&gt;"")),持仓跟踪!$H$2:$H$157),""))</f>
        <v/>
      </c>
      <c r="N45" s="10"/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 t="str">
        <f t="shared" si="12"/>
        <v/>
      </c>
      <c r="V45" s="7" t="str">
        <f t="shared" si="13"/>
        <v/>
      </c>
      <c r="W45" s="17" t="str">
        <f t="shared" si="14"/>
        <v/>
      </c>
      <c r="X45" s="5" t="str">
        <f t="shared" si="15"/>
        <v/>
      </c>
      <c r="Y45" s="7" t="str">
        <f t="shared" si="16"/>
        <v/>
      </c>
      <c r="Z45" s="7" t="str">
        <f>IF(OR(AE45="",多次统计数据!$B$8=""),"",AE45-多次统计数据!$B$8)</f>
        <v/>
      </c>
      <c r="AA45" s="11" t="str">
        <f t="shared" si="1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18"/>
        <v/>
      </c>
      <c r="AG45" s="2"/>
      <c r="AH45" s="2"/>
      <c r="AI45" s="2"/>
      <c r="AJ45" s="8" t="str">
        <f t="shared" si="19"/>
        <v/>
      </c>
      <c r="AK45" s="10"/>
      <c r="AL45" s="12"/>
      <c r="AM45" s="10"/>
      <c r="AN45" s="12"/>
      <c r="AO45" s="5" t="str">
        <f t="shared" si="20"/>
        <v/>
      </c>
      <c r="AP45" s="11" t="str">
        <f t="shared" si="21"/>
        <v/>
      </c>
      <c r="AQ45" s="5" t="str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/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$88)&gt;账户数据!$B$7,"违规：超过账户风险上限","通过")))))))))</f>
        <v/>
      </c>
    </row>
    <row r="46" spans="1:44" x14ac:dyDescent="0.15">
      <c r="A46" s="2"/>
      <c r="B46" s="2"/>
      <c r="C46" s="10"/>
      <c r="D46" s="6"/>
      <c r="E46" s="10"/>
      <c r="F46" s="8" t="str">
        <f t="shared" si="11"/>
        <v/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3"/>
      <c r="J46" s="10"/>
      <c r="K46" s="5" t="str">
        <f>IF(A46="","",IFERROR(LOOKUP(2,1/((持仓跟踪!$B$2:$B$157=A46)*(持仓跟踪!$X$2:$X$157="执行卖出")*(持仓跟踪!$Y$2:$Y$157&lt;&gt;"")),持仓跟踪!$Y$2:$Y$157),""))</f>
        <v/>
      </c>
      <c r="L46" s="8" t="str">
        <f>IF(A46="","",IFERROR(LOOKUP(2,1/((持仓跟踪!$B$2:$B$157=A46)*(持仓跟踪!$X$2:$X$157="执行卖出")*(持仓跟踪!$Z$2:$Z$157&lt;&gt;"")),持仓跟踪!$Z$2:$Z$157),""))</f>
        <v/>
      </c>
      <c r="M46" s="16" t="str">
        <f>IF(A46="","",IFERROR(LOOKUP(2,1/((持仓跟踪!$B$2:$B$157=A46)*(持仓跟踪!$X$2:$X$157="执行卖出")*(持仓跟踪!$H$2:$H$157&lt;&gt;"")),持仓跟踪!$H$2:$H$157),""))</f>
        <v/>
      </c>
      <c r="N46" s="10"/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 t="str">
        <f t="shared" si="12"/>
        <v/>
      </c>
      <c r="V46" s="7" t="str">
        <f t="shared" si="13"/>
        <v/>
      </c>
      <c r="W46" s="17" t="str">
        <f t="shared" si="14"/>
        <v/>
      </c>
      <c r="X46" s="5" t="str">
        <f t="shared" si="15"/>
        <v/>
      </c>
      <c r="Y46" s="7" t="str">
        <f t="shared" si="16"/>
        <v/>
      </c>
      <c r="Z46" s="7" t="str">
        <f>IF(OR(AE46="",多次统计数据!$B$8=""),"",AE46-多次统计数据!$B$8)</f>
        <v/>
      </c>
      <c r="AA46" s="11" t="str">
        <f t="shared" si="1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18"/>
        <v/>
      </c>
      <c r="AG46" s="2"/>
      <c r="AH46" s="2"/>
      <c r="AI46" s="2"/>
      <c r="AJ46" s="8" t="str">
        <f t="shared" si="19"/>
        <v/>
      </c>
      <c r="AK46" s="10"/>
      <c r="AL46" s="12"/>
      <c r="AM46" s="10"/>
      <c r="AN46" s="12"/>
      <c r="AO46" s="5" t="str">
        <f t="shared" si="20"/>
        <v/>
      </c>
      <c r="AP46" s="11" t="str">
        <f t="shared" si="21"/>
        <v/>
      </c>
      <c r="AQ46" s="5" t="str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/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$88)&gt;账户数据!$B$7,"违规：超过账户风险上限","通过")))))))))</f>
        <v/>
      </c>
    </row>
    <row r="47" spans="1:44" x14ac:dyDescent="0.15">
      <c r="A47" s="2"/>
      <c r="B47" s="2"/>
      <c r="C47" s="10"/>
      <c r="D47" s="6"/>
      <c r="E47" s="10"/>
      <c r="F47" s="8" t="str">
        <f t="shared" si="11"/>
        <v/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3"/>
      <c r="J47" s="10"/>
      <c r="K47" s="5" t="str">
        <f>IF(A47="","",IFERROR(LOOKUP(2,1/((持仓跟踪!$B$2:$B$157=A47)*(持仓跟踪!$X$2:$X$157="执行卖出")*(持仓跟踪!$Y$2:$Y$157&lt;&gt;"")),持仓跟踪!$Y$2:$Y$157),""))</f>
        <v/>
      </c>
      <c r="L47" s="8" t="str">
        <f>IF(A47="","",IFERROR(LOOKUP(2,1/((持仓跟踪!$B$2:$B$157=A47)*(持仓跟踪!$X$2:$X$157="执行卖出")*(持仓跟踪!$Z$2:$Z$157&lt;&gt;"")),持仓跟踪!$Z$2:$Z$157),""))</f>
        <v/>
      </c>
      <c r="M47" s="16" t="str">
        <f>IF(A47="","",IFERROR(LOOKUP(2,1/((持仓跟踪!$B$2:$B$157=A47)*(持仓跟踪!$X$2:$X$157="执行卖出")*(持仓跟踪!$H$2:$H$157&lt;&gt;"")),持仓跟踪!$H$2:$H$157),""))</f>
        <v/>
      </c>
      <c r="N47" s="10"/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 t="str">
        <f t="shared" si="12"/>
        <v/>
      </c>
      <c r="V47" s="7" t="str">
        <f t="shared" si="13"/>
        <v/>
      </c>
      <c r="W47" s="17" t="str">
        <f t="shared" si="14"/>
        <v/>
      </c>
      <c r="X47" s="5" t="str">
        <f t="shared" si="15"/>
        <v/>
      </c>
      <c r="Y47" s="7" t="str">
        <f t="shared" si="16"/>
        <v/>
      </c>
      <c r="Z47" s="7" t="str">
        <f>IF(OR(AE47="",多次统计数据!$B$8=""),"",AE47-多次统计数据!$B$8)</f>
        <v/>
      </c>
      <c r="AA47" s="11" t="str">
        <f t="shared" si="1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18"/>
        <v/>
      </c>
      <c r="AG47" s="2"/>
      <c r="AH47" s="2"/>
      <c r="AI47" s="2"/>
      <c r="AJ47" s="8" t="str">
        <f t="shared" si="19"/>
        <v/>
      </c>
      <c r="AK47" s="10"/>
      <c r="AL47" s="12"/>
      <c r="AM47" s="10"/>
      <c r="AN47" s="12"/>
      <c r="AO47" s="5" t="str">
        <f t="shared" si="20"/>
        <v/>
      </c>
      <c r="AP47" s="11" t="str">
        <f t="shared" si="21"/>
        <v/>
      </c>
      <c r="AQ47" s="5" t="str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/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$88)&gt;账户数据!$B$7,"违规：超过账户风险上限","通过")))))))))</f>
        <v/>
      </c>
    </row>
    <row r="48" spans="1:44" x14ac:dyDescent="0.15">
      <c r="A48" s="2"/>
      <c r="B48" s="2"/>
      <c r="C48" s="10"/>
      <c r="D48" s="6"/>
      <c r="E48" s="10"/>
      <c r="F48" s="8" t="str">
        <f t="shared" si="11"/>
        <v/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3"/>
      <c r="J48" s="10"/>
      <c r="K48" s="5" t="str">
        <f>IF(A48="","",IFERROR(LOOKUP(2,1/((持仓跟踪!$B$2:$B$157=A48)*(持仓跟踪!$X$2:$X$157="执行卖出")*(持仓跟踪!$Y$2:$Y$157&lt;&gt;"")),持仓跟踪!$Y$2:$Y$157),""))</f>
        <v/>
      </c>
      <c r="L48" s="8" t="str">
        <f>IF(A48="","",IFERROR(LOOKUP(2,1/((持仓跟踪!$B$2:$B$157=A48)*(持仓跟踪!$X$2:$X$157="执行卖出")*(持仓跟踪!$Z$2:$Z$157&lt;&gt;"")),持仓跟踪!$Z$2:$Z$157),""))</f>
        <v/>
      </c>
      <c r="M48" s="16" t="str">
        <f>IF(A48="","",IFERROR(LOOKUP(2,1/((持仓跟踪!$B$2:$B$157=A48)*(持仓跟踪!$X$2:$X$157="执行卖出")*(持仓跟踪!$H$2:$H$157&lt;&gt;"")),持仓跟踪!$H$2:$H$157),""))</f>
        <v/>
      </c>
      <c r="N48" s="10"/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 t="str">
        <f t="shared" si="12"/>
        <v/>
      </c>
      <c r="V48" s="7" t="str">
        <f t="shared" si="13"/>
        <v/>
      </c>
      <c r="W48" s="17" t="str">
        <f t="shared" si="14"/>
        <v/>
      </c>
      <c r="X48" s="5" t="str">
        <f t="shared" si="15"/>
        <v/>
      </c>
      <c r="Y48" s="7" t="str">
        <f t="shared" si="16"/>
        <v/>
      </c>
      <c r="Z48" s="7" t="str">
        <f>IF(OR(AE48="",多次统计数据!$B$8=""),"",AE48-多次统计数据!$B$8)</f>
        <v/>
      </c>
      <c r="AA48" s="11" t="str">
        <f t="shared" si="1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18"/>
        <v/>
      </c>
      <c r="AG48" s="2"/>
      <c r="AH48" s="2"/>
      <c r="AI48" s="2"/>
      <c r="AJ48" s="8" t="str">
        <f t="shared" si="19"/>
        <v/>
      </c>
      <c r="AK48" s="10"/>
      <c r="AL48" s="12"/>
      <c r="AM48" s="10"/>
      <c r="AN48" s="12"/>
      <c r="AO48" s="5" t="str">
        <f t="shared" si="20"/>
        <v/>
      </c>
      <c r="AP48" s="11" t="str">
        <f t="shared" si="21"/>
        <v/>
      </c>
      <c r="AQ48" s="5" t="str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/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$88)&gt;账户数据!$B$7,"违规：超过账户风险上限","通过")))))))))</f>
        <v/>
      </c>
    </row>
    <row r="49" spans="1:44" x14ac:dyDescent="0.15">
      <c r="A49" s="2"/>
      <c r="B49" s="2"/>
      <c r="C49" s="10"/>
      <c r="D49" s="6"/>
      <c r="E49" s="10"/>
      <c r="F49" s="8" t="str">
        <f t="shared" ref="F49:F80" si="22">IF(OR(C49="",D49="",E49="",N49="",C49&lt;=0,D49&lt;=0,E49&lt;=N49),"",ROUNDDOWN((C49*D49)/(E49-N49)/100,0)*100)</f>
        <v/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3"/>
      <c r="J49" s="10"/>
      <c r="K49" s="5" t="str">
        <f>IF(A49="","",IFERROR(LOOKUP(2,1/((持仓跟踪!$B$2:$B$157=A49)*(持仓跟踪!$X$2:$X$157="执行卖出")*(持仓跟踪!$Y$2:$Y$157&lt;&gt;"")),持仓跟踪!$Y$2:$Y$157),""))</f>
        <v/>
      </c>
      <c r="L49" s="8" t="str">
        <f>IF(A49="","",IFERROR(LOOKUP(2,1/((持仓跟踪!$B$2:$B$157=A49)*(持仓跟踪!$X$2:$X$157="执行卖出")*(持仓跟踪!$Z$2:$Z$157&lt;&gt;"")),持仓跟踪!$Z$2:$Z$157),""))</f>
        <v/>
      </c>
      <c r="M49" s="16" t="str">
        <f>IF(A49="","",IFERROR(LOOKUP(2,1/((持仓跟踪!$B$2:$B$157=A49)*(持仓跟踪!$X$2:$X$157="执行卖出")*(持仓跟踪!$H$2:$H$157&lt;&gt;"")),持仓跟踪!$H$2:$H$157),""))</f>
        <v/>
      </c>
      <c r="N49" s="10"/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 t="str">
        <f t="shared" ref="U49:U80" si="23">IF(OR(AO49="",J49="",AO49&lt;=0),"",(J49-AO49)/AO49)</f>
        <v/>
      </c>
      <c r="V49" s="7" t="str">
        <f t="shared" ref="V49:V80" si="24">IF(OR(AO49="",N49="",AO49&lt;=0),"",(AO49-N49)/AO49)</f>
        <v/>
      </c>
      <c r="W49" s="17" t="str">
        <f t="shared" ref="W49:W80" si="25">IF(OR(U49="",V49="",V49&lt;=0),"",U49/V49)</f>
        <v/>
      </c>
      <c r="X49" s="5" t="str">
        <f t="shared" ref="X49:X80" si="26">IF(OR(K49="",L49="",AP49=""),"",K49*L49-(E49*H49+IF(AND(AK49&lt;&gt;"",AL49&lt;&gt;""),AK49*AL49,0)+IF(AND(AM49&lt;&gt;"",AN49&lt;&gt;""),AM49*AN49,0))-IF(O49="",0,O49)-IF(P49="",0,P49))</f>
        <v/>
      </c>
      <c r="Y49" s="7" t="str">
        <f t="shared" ref="Y49:Y80" si="27"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 t="str">
        <f>IF(OR(AE49="",多次统计数据!$B$8=""),"",AE49-多次统计数据!$B$8)</f>
        <v/>
      </c>
      <c r="AA49" s="11" t="str">
        <f t="shared" ref="AA49:AA80" si="28">IF(OR(I49="",M49="",M49&lt;I49),"",M49-I49)</f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ref="AE49:AE80" si="29">IF(OR(X49="",C49="",C49&lt;=0),"",X49/C49)</f>
        <v/>
      </c>
      <c r="AG49" s="2"/>
      <c r="AH49" s="2"/>
      <c r="AI49" s="2"/>
      <c r="AJ49" s="8" t="str">
        <f t="shared" ref="AJ49:AJ80" si="30"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 t="str">
        <f t="shared" ref="AO49:AO80" si="31">IF(OR(A49="",H49="",H49&lt;=0),"",(E49*H49+IF(AND(AK49&lt;&gt;"",AL49&lt;&gt;""),AK49*AL49,0)+IF(AND(AM49&lt;&gt;"",AN49&lt;&gt;""),AM49*AN49,0))/AP49)</f>
        <v/>
      </c>
      <c r="AP49" s="11" t="str">
        <f t="shared" ref="AP49:AP80" si="32">IF(OR(A49="",H49="",H49&lt;=0),"",H49+IF(AL49="",0,AL49)+IF(AN49="",0,AN49))</f>
        <v/>
      </c>
      <c r="AQ49" s="5" t="str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/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$88)&gt;账户数据!$B$7,"违规：超过账户风险上限","通过")))))))))</f>
        <v/>
      </c>
    </row>
    <row r="50" spans="1:44" x14ac:dyDescent="0.15">
      <c r="A50" s="2"/>
      <c r="B50" s="2"/>
      <c r="C50" s="10"/>
      <c r="D50" s="6"/>
      <c r="E50" s="10"/>
      <c r="F50" s="8" t="str">
        <f t="shared" si="22"/>
        <v/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3"/>
      <c r="J50" s="10"/>
      <c r="K50" s="5" t="str">
        <f>IF(A50="","",IFERROR(LOOKUP(2,1/((持仓跟踪!$B$2:$B$157=A50)*(持仓跟踪!$X$2:$X$157="执行卖出")*(持仓跟踪!$Y$2:$Y$157&lt;&gt;"")),持仓跟踪!$Y$2:$Y$157),""))</f>
        <v/>
      </c>
      <c r="L50" s="8" t="str">
        <f>IF(A50="","",IFERROR(LOOKUP(2,1/((持仓跟踪!$B$2:$B$157=A50)*(持仓跟踪!$X$2:$X$157="执行卖出")*(持仓跟踪!$Z$2:$Z$157&lt;&gt;"")),持仓跟踪!$Z$2:$Z$157),""))</f>
        <v/>
      </c>
      <c r="M50" s="16" t="str">
        <f>IF(A50="","",IFERROR(LOOKUP(2,1/((持仓跟踪!$B$2:$B$157=A50)*(持仓跟踪!$X$2:$X$157="执行卖出")*(持仓跟踪!$H$2:$H$157&lt;&gt;"")),持仓跟踪!$H$2:$H$157),""))</f>
        <v/>
      </c>
      <c r="N50" s="10"/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 t="str">
        <f t="shared" si="23"/>
        <v/>
      </c>
      <c r="V50" s="7" t="str">
        <f t="shared" si="24"/>
        <v/>
      </c>
      <c r="W50" s="17" t="str">
        <f t="shared" si="25"/>
        <v/>
      </c>
      <c r="X50" s="5" t="str">
        <f t="shared" si="26"/>
        <v/>
      </c>
      <c r="Y50" s="7" t="str">
        <f t="shared" si="27"/>
        <v/>
      </c>
      <c r="Z50" s="7" t="str">
        <f>IF(OR(AE50="",多次统计数据!$B$8=""),"",AE50-多次统计数据!$B$8)</f>
        <v/>
      </c>
      <c r="AA50" s="11" t="str">
        <f t="shared" si="28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9"/>
        <v/>
      </c>
      <c r="AG50" s="2"/>
      <c r="AH50" s="2"/>
      <c r="AI50" s="2"/>
      <c r="AJ50" s="8" t="str">
        <f t="shared" si="30"/>
        <v/>
      </c>
      <c r="AK50" s="10"/>
      <c r="AL50" s="12"/>
      <c r="AM50" s="10"/>
      <c r="AN50" s="12"/>
      <c r="AO50" s="5" t="str">
        <f t="shared" si="31"/>
        <v/>
      </c>
      <c r="AP50" s="11" t="str">
        <f t="shared" si="32"/>
        <v/>
      </c>
      <c r="AQ50" s="5" t="str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/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$88)&gt;账户数据!$B$7,"违规：超过账户风险上限","通过")))))))))</f>
        <v/>
      </c>
    </row>
    <row r="51" spans="1:44" x14ac:dyDescent="0.15">
      <c r="A51" s="2"/>
      <c r="B51" s="2"/>
      <c r="C51" s="10"/>
      <c r="D51" s="6"/>
      <c r="E51" s="10"/>
      <c r="F51" s="8" t="str">
        <f t="shared" si="22"/>
        <v/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3"/>
      <c r="J51" s="10"/>
      <c r="K51" s="5" t="str">
        <f>IF(A51="","",IFERROR(LOOKUP(2,1/((持仓跟踪!$B$2:$B$157=A51)*(持仓跟踪!$X$2:$X$157="执行卖出")*(持仓跟踪!$Y$2:$Y$157&lt;&gt;"")),持仓跟踪!$Y$2:$Y$157),""))</f>
        <v/>
      </c>
      <c r="L51" s="8" t="str">
        <f>IF(A51="","",IFERROR(LOOKUP(2,1/((持仓跟踪!$B$2:$B$157=A51)*(持仓跟踪!$X$2:$X$157="执行卖出")*(持仓跟踪!$Z$2:$Z$157&lt;&gt;"")),持仓跟踪!$Z$2:$Z$157),""))</f>
        <v/>
      </c>
      <c r="M51" s="16" t="str">
        <f>IF(A51="","",IFERROR(LOOKUP(2,1/((持仓跟踪!$B$2:$B$157=A51)*(持仓跟踪!$X$2:$X$157="执行卖出")*(持仓跟踪!$H$2:$H$157&lt;&gt;"")),持仓跟踪!$H$2:$H$157),""))</f>
        <v/>
      </c>
      <c r="N51" s="10"/>
      <c r="O51" s="10"/>
      <c r="P51" s="5" t="str">
        <f>IF(A51="","",IFERROR(LOOKUP(2,1/((持仓跟踪!$B$2:$B$157=A51)*(持仓跟踪!$X$2:$X$157="执行卖出")*(持仓跟踪!$AA$2:$AA$157&lt;&gt;"")),持仓跟踪!$AA$2:$AA$157),""))</f>
        <v/>
      </c>
      <c r="Q51" s="2"/>
      <c r="R51" s="2"/>
      <c r="S51" s="2"/>
      <c r="T51" s="2"/>
      <c r="U51" s="7" t="str">
        <f t="shared" si="23"/>
        <v/>
      </c>
      <c r="V51" s="7" t="str">
        <f t="shared" si="24"/>
        <v/>
      </c>
      <c r="W51" s="17" t="str">
        <f t="shared" si="25"/>
        <v/>
      </c>
      <c r="X51" s="5" t="str">
        <f t="shared" si="26"/>
        <v/>
      </c>
      <c r="Y51" s="7" t="str">
        <f t="shared" si="27"/>
        <v/>
      </c>
      <c r="Z51" s="7" t="str">
        <f>IF(OR(AE51="",多次统计数据!$B$8=""),"",AE51-多次统计数据!$B$8)</f>
        <v/>
      </c>
      <c r="AA51" s="11" t="str">
        <f t="shared" si="28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9"/>
        <v/>
      </c>
      <c r="AG51" s="2"/>
      <c r="AH51" s="2"/>
      <c r="AI51" s="2"/>
      <c r="AJ51" s="8" t="str">
        <f t="shared" si="30"/>
        <v/>
      </c>
      <c r="AK51" s="10"/>
      <c r="AL51" s="12"/>
      <c r="AM51" s="10"/>
      <c r="AN51" s="12"/>
      <c r="AO51" s="5" t="str">
        <f t="shared" si="31"/>
        <v/>
      </c>
      <c r="AP51" s="11" t="str">
        <f t="shared" si="32"/>
        <v/>
      </c>
      <c r="AQ51" s="5" t="str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/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$88)&gt;账户数据!$B$7,"违规：超过账户风险上限","通过")))))))))</f>
        <v/>
      </c>
    </row>
    <row r="52" spans="1:44" x14ac:dyDescent="0.15">
      <c r="A52" s="2"/>
      <c r="B52" s="2"/>
      <c r="C52" s="10"/>
      <c r="D52" s="6"/>
      <c r="E52" s="10"/>
      <c r="F52" s="8" t="str">
        <f t="shared" si="22"/>
        <v/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3"/>
      <c r="J52" s="10"/>
      <c r="K52" s="5" t="str">
        <f>IF(A52="","",IFERROR(LOOKUP(2,1/((持仓跟踪!$B$2:$B$157=A52)*(持仓跟踪!$X$2:$X$157="执行卖出")*(持仓跟踪!$Y$2:$Y$157&lt;&gt;"")),持仓跟踪!$Y$2:$Y$157),""))</f>
        <v/>
      </c>
      <c r="L52" s="8" t="str">
        <f>IF(A52="","",IFERROR(LOOKUP(2,1/((持仓跟踪!$B$2:$B$157=A52)*(持仓跟踪!$X$2:$X$157="执行卖出")*(持仓跟踪!$Z$2:$Z$157&lt;&gt;"")),持仓跟踪!$Z$2:$Z$157),""))</f>
        <v/>
      </c>
      <c r="M52" s="16" t="str">
        <f>IF(A52="","",IFERROR(LOOKUP(2,1/((持仓跟踪!$B$2:$B$157=A52)*(持仓跟踪!$X$2:$X$157="执行卖出")*(持仓跟踪!$H$2:$H$157&lt;&gt;"")),持仓跟踪!$H$2:$H$157),""))</f>
        <v/>
      </c>
      <c r="N52" s="10"/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 t="str">
        <f t="shared" si="23"/>
        <v/>
      </c>
      <c r="V52" s="7" t="str">
        <f t="shared" si="24"/>
        <v/>
      </c>
      <c r="W52" s="17" t="str">
        <f t="shared" si="25"/>
        <v/>
      </c>
      <c r="X52" s="5" t="str">
        <f t="shared" si="26"/>
        <v/>
      </c>
      <c r="Y52" s="7" t="str">
        <f t="shared" si="27"/>
        <v/>
      </c>
      <c r="Z52" s="7" t="str">
        <f>IF(OR(AE52="",多次统计数据!$B$8=""),"",AE52-多次统计数据!$B$8)</f>
        <v/>
      </c>
      <c r="AA52" s="11" t="str">
        <f t="shared" si="28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9"/>
        <v/>
      </c>
      <c r="AG52" s="2"/>
      <c r="AH52" s="2"/>
      <c r="AI52" s="2"/>
      <c r="AJ52" s="8" t="str">
        <f t="shared" si="30"/>
        <v/>
      </c>
      <c r="AK52" s="10"/>
      <c r="AL52" s="12"/>
      <c r="AM52" s="10"/>
      <c r="AN52" s="12"/>
      <c r="AO52" s="5" t="str">
        <f t="shared" si="31"/>
        <v/>
      </c>
      <c r="AP52" s="11" t="str">
        <f t="shared" si="32"/>
        <v/>
      </c>
      <c r="AQ52" s="5" t="str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/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$88)&gt;账户数据!$B$7,"违规：超过账户风险上限","通过")))))))))</f>
        <v/>
      </c>
    </row>
    <row r="53" spans="1:44" x14ac:dyDescent="0.15">
      <c r="A53" s="2"/>
      <c r="B53" s="2"/>
      <c r="C53" s="10"/>
      <c r="D53" s="6"/>
      <c r="E53" s="10"/>
      <c r="F53" s="8" t="str">
        <f t="shared" si="22"/>
        <v/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3"/>
      <c r="J53" s="10"/>
      <c r="K53" s="5" t="str">
        <f>IF(A53="","",IFERROR(LOOKUP(2,1/((持仓跟踪!$B$2:$B$157=A53)*(持仓跟踪!$X$2:$X$157="执行卖出")*(持仓跟踪!$Y$2:$Y$157&lt;&gt;"")),持仓跟踪!$Y$2:$Y$157),""))</f>
        <v/>
      </c>
      <c r="L53" s="8" t="str">
        <f>IF(A53="","",IFERROR(LOOKUP(2,1/((持仓跟踪!$B$2:$B$157=A53)*(持仓跟踪!$X$2:$X$157="执行卖出")*(持仓跟踪!$Z$2:$Z$157&lt;&gt;"")),持仓跟踪!$Z$2:$Z$157),""))</f>
        <v/>
      </c>
      <c r="M53" s="16" t="str">
        <f>IF(A53="","",IFERROR(LOOKUP(2,1/((持仓跟踪!$B$2:$B$157=A53)*(持仓跟踪!$X$2:$X$157="执行卖出")*(持仓跟踪!$H$2:$H$157&lt;&gt;"")),持仓跟踪!$H$2:$H$157),""))</f>
        <v/>
      </c>
      <c r="N53" s="10"/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 t="str">
        <f t="shared" si="23"/>
        <v/>
      </c>
      <c r="V53" s="7" t="str">
        <f t="shared" si="24"/>
        <v/>
      </c>
      <c r="W53" s="17" t="str">
        <f t="shared" si="25"/>
        <v/>
      </c>
      <c r="X53" s="5" t="str">
        <f t="shared" si="26"/>
        <v/>
      </c>
      <c r="Y53" s="7" t="str">
        <f t="shared" si="27"/>
        <v/>
      </c>
      <c r="Z53" s="7" t="str">
        <f>IF(OR(AE53="",多次统计数据!$B$8=""),"",AE53-多次统计数据!$B$8)</f>
        <v/>
      </c>
      <c r="AA53" s="11" t="str">
        <f t="shared" si="28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9"/>
        <v/>
      </c>
      <c r="AG53" s="2"/>
      <c r="AH53" s="2"/>
      <c r="AI53" s="2"/>
      <c r="AJ53" s="8" t="str">
        <f t="shared" si="30"/>
        <v/>
      </c>
      <c r="AK53" s="10"/>
      <c r="AL53" s="12"/>
      <c r="AM53" s="10"/>
      <c r="AN53" s="12"/>
      <c r="AO53" s="5" t="str">
        <f t="shared" si="31"/>
        <v/>
      </c>
      <c r="AP53" s="11" t="str">
        <f t="shared" si="32"/>
        <v/>
      </c>
      <c r="AQ53" s="5" t="str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/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$88)&gt;账户数据!$B$7,"违规：超过账户风险上限","通过")))))))))</f>
        <v/>
      </c>
    </row>
    <row r="54" spans="1:44" x14ac:dyDescent="0.15">
      <c r="A54" s="2"/>
      <c r="B54" s="2"/>
      <c r="C54" s="10"/>
      <c r="D54" s="6"/>
      <c r="E54" s="10"/>
      <c r="F54" s="8" t="str">
        <f t="shared" si="22"/>
        <v/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3"/>
      <c r="J54" s="10"/>
      <c r="K54" s="5" t="str">
        <f>IF(A54="","",IFERROR(LOOKUP(2,1/((持仓跟踪!$B$2:$B$157=A54)*(持仓跟踪!$X$2:$X$157="执行卖出")*(持仓跟踪!$Y$2:$Y$157&lt;&gt;"")),持仓跟踪!$Y$2:$Y$157),""))</f>
        <v/>
      </c>
      <c r="L54" s="8" t="str">
        <f>IF(A54="","",IFERROR(LOOKUP(2,1/((持仓跟踪!$B$2:$B$157=A54)*(持仓跟踪!$X$2:$X$157="执行卖出")*(持仓跟踪!$Z$2:$Z$157&lt;&gt;"")),持仓跟踪!$Z$2:$Z$157),""))</f>
        <v/>
      </c>
      <c r="M54" s="16" t="str">
        <f>IF(A54="","",IFERROR(LOOKUP(2,1/((持仓跟踪!$B$2:$B$157=A54)*(持仓跟踪!$X$2:$X$157="执行卖出")*(持仓跟踪!$H$2:$H$157&lt;&gt;"")),持仓跟踪!$H$2:$H$157),""))</f>
        <v/>
      </c>
      <c r="N54" s="10"/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 t="str">
        <f t="shared" si="23"/>
        <v/>
      </c>
      <c r="V54" s="7" t="str">
        <f t="shared" si="24"/>
        <v/>
      </c>
      <c r="W54" s="17" t="str">
        <f t="shared" si="25"/>
        <v/>
      </c>
      <c r="X54" s="5" t="str">
        <f t="shared" si="26"/>
        <v/>
      </c>
      <c r="Y54" s="7" t="str">
        <f t="shared" si="27"/>
        <v/>
      </c>
      <c r="Z54" s="7" t="str">
        <f>IF(OR(AE54="",多次统计数据!$B$8=""),"",AE54-多次统计数据!$B$8)</f>
        <v/>
      </c>
      <c r="AA54" s="11" t="str">
        <f t="shared" si="28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9"/>
        <v/>
      </c>
      <c r="AG54" s="2"/>
      <c r="AH54" s="2"/>
      <c r="AI54" s="2"/>
      <c r="AJ54" s="8" t="str">
        <f t="shared" si="30"/>
        <v/>
      </c>
      <c r="AK54" s="10"/>
      <c r="AL54" s="12"/>
      <c r="AM54" s="10"/>
      <c r="AN54" s="12"/>
      <c r="AO54" s="5" t="str">
        <f t="shared" si="31"/>
        <v/>
      </c>
      <c r="AP54" s="11" t="str">
        <f t="shared" si="32"/>
        <v/>
      </c>
      <c r="AQ54" s="5" t="str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/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$88)&gt;账户数据!$B$7,"违规：超过账户风险上限","通过")))))))))</f>
        <v/>
      </c>
    </row>
    <row r="55" spans="1:44" x14ac:dyDescent="0.15">
      <c r="A55" s="2"/>
      <c r="B55" s="2"/>
      <c r="C55" s="10"/>
      <c r="D55" s="6"/>
      <c r="E55" s="10"/>
      <c r="F55" s="8" t="str">
        <f t="shared" si="22"/>
        <v/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3"/>
      <c r="J55" s="10"/>
      <c r="K55" s="5" t="str">
        <f>IF(A55="","",IFERROR(LOOKUP(2,1/((持仓跟踪!$B$2:$B$157=A55)*(持仓跟踪!$X$2:$X$157="执行卖出")*(持仓跟踪!$Y$2:$Y$157&lt;&gt;"")),持仓跟踪!$Y$2:$Y$157),""))</f>
        <v/>
      </c>
      <c r="L55" s="8" t="str">
        <f>IF(A55="","",IFERROR(LOOKUP(2,1/((持仓跟踪!$B$2:$B$157=A55)*(持仓跟踪!$X$2:$X$157="执行卖出")*(持仓跟踪!$Z$2:$Z$157&lt;&gt;"")),持仓跟踪!$Z$2:$Z$157),""))</f>
        <v/>
      </c>
      <c r="M55" s="16" t="str">
        <f>IF(A55="","",IFERROR(LOOKUP(2,1/((持仓跟踪!$B$2:$B$157=A55)*(持仓跟踪!$X$2:$X$157="执行卖出")*(持仓跟踪!$H$2:$H$157&lt;&gt;"")),持仓跟踪!$H$2:$H$157),""))</f>
        <v/>
      </c>
      <c r="N55" s="10"/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 t="str">
        <f t="shared" si="23"/>
        <v/>
      </c>
      <c r="V55" s="7" t="str">
        <f t="shared" si="24"/>
        <v/>
      </c>
      <c r="W55" s="17" t="str">
        <f t="shared" si="25"/>
        <v/>
      </c>
      <c r="X55" s="5" t="str">
        <f t="shared" si="26"/>
        <v/>
      </c>
      <c r="Y55" s="7" t="str">
        <f t="shared" si="27"/>
        <v/>
      </c>
      <c r="Z55" s="7" t="str">
        <f>IF(OR(AE55="",多次统计数据!$B$8=""),"",AE55-多次统计数据!$B$8)</f>
        <v/>
      </c>
      <c r="AA55" s="11" t="str">
        <f t="shared" si="28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9"/>
        <v/>
      </c>
      <c r="AG55" s="2"/>
      <c r="AH55" s="2"/>
      <c r="AI55" s="2"/>
      <c r="AJ55" s="8" t="str">
        <f t="shared" si="30"/>
        <v/>
      </c>
      <c r="AK55" s="10"/>
      <c r="AL55" s="12"/>
      <c r="AM55" s="10"/>
      <c r="AN55" s="12"/>
      <c r="AO55" s="5" t="str">
        <f t="shared" si="31"/>
        <v/>
      </c>
      <c r="AP55" s="11" t="str">
        <f t="shared" si="32"/>
        <v/>
      </c>
      <c r="AQ55" s="5" t="str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/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$88)&gt;账户数据!$B$7,"违规：超过账户风险上限","通过")))))))))</f>
        <v/>
      </c>
    </row>
    <row r="56" spans="1:44" x14ac:dyDescent="0.15">
      <c r="A56" s="2"/>
      <c r="B56" s="2"/>
      <c r="C56" s="10"/>
      <c r="D56" s="6"/>
      <c r="E56" s="10"/>
      <c r="F56" s="8" t="str">
        <f t="shared" si="22"/>
        <v/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3"/>
      <c r="J56" s="10"/>
      <c r="K56" s="5" t="str">
        <f>IF(A56="","",IFERROR(LOOKUP(2,1/((持仓跟踪!$B$2:$B$157=A56)*(持仓跟踪!$X$2:$X$157="执行卖出")*(持仓跟踪!$Y$2:$Y$157&lt;&gt;"")),持仓跟踪!$Y$2:$Y$157),""))</f>
        <v/>
      </c>
      <c r="L56" s="8" t="str">
        <f>IF(A56="","",IFERROR(LOOKUP(2,1/((持仓跟踪!$B$2:$B$157=A56)*(持仓跟踪!$X$2:$X$157="执行卖出")*(持仓跟踪!$Z$2:$Z$157&lt;&gt;"")),持仓跟踪!$Z$2:$Z$157),""))</f>
        <v/>
      </c>
      <c r="M56" s="16" t="str">
        <f>IF(A56="","",IFERROR(LOOKUP(2,1/((持仓跟踪!$B$2:$B$157=A56)*(持仓跟踪!$X$2:$X$157="执行卖出")*(持仓跟踪!$H$2:$H$157&lt;&gt;"")),持仓跟踪!$H$2:$H$157),""))</f>
        <v/>
      </c>
      <c r="N56" s="10"/>
      <c r="O56" s="10"/>
      <c r="P56" s="5" t="str">
        <f>IF(A56="","",IFERROR(LOOKUP(2,1/((持仓跟踪!$B$2:$B$157=A56)*(持仓跟踪!$X$2:$X$157="执行卖出")*(持仓跟踪!$AA$2:$AA$157&lt;&gt;"")),持仓跟踪!$AA$2:$AA$157),""))</f>
        <v/>
      </c>
      <c r="Q56" s="2"/>
      <c r="R56" s="2"/>
      <c r="S56" s="2"/>
      <c r="T56" s="2"/>
      <c r="U56" s="7" t="str">
        <f t="shared" si="23"/>
        <v/>
      </c>
      <c r="V56" s="7" t="str">
        <f t="shared" si="24"/>
        <v/>
      </c>
      <c r="W56" s="17" t="str">
        <f t="shared" si="25"/>
        <v/>
      </c>
      <c r="X56" s="5" t="str">
        <f t="shared" si="26"/>
        <v/>
      </c>
      <c r="Y56" s="7" t="str">
        <f t="shared" si="27"/>
        <v/>
      </c>
      <c r="Z56" s="7" t="str">
        <f>IF(OR(AE56="",多次统计数据!$B$8=""),"",AE56-多次统计数据!$B$8)</f>
        <v/>
      </c>
      <c r="AA56" s="11" t="str">
        <f t="shared" si="28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9"/>
        <v/>
      </c>
      <c r="AG56" s="2"/>
      <c r="AH56" s="2"/>
      <c r="AI56" s="2"/>
      <c r="AJ56" s="8" t="str">
        <f t="shared" si="30"/>
        <v/>
      </c>
      <c r="AK56" s="10"/>
      <c r="AL56" s="12"/>
      <c r="AM56" s="10"/>
      <c r="AN56" s="12"/>
      <c r="AO56" s="5" t="str">
        <f t="shared" si="31"/>
        <v/>
      </c>
      <c r="AP56" s="11" t="str">
        <f t="shared" si="32"/>
        <v/>
      </c>
      <c r="AQ56" s="5" t="str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/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$88)&gt;账户数据!$B$7,"违规：超过账户风险上限","通过")))))))))</f>
        <v/>
      </c>
    </row>
    <row r="57" spans="1:44" x14ac:dyDescent="0.15">
      <c r="A57" s="2"/>
      <c r="B57" s="2"/>
      <c r="C57" s="10"/>
      <c r="D57" s="6"/>
      <c r="E57" s="10"/>
      <c r="F57" s="8" t="str">
        <f t="shared" si="22"/>
        <v/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3"/>
      <c r="J57" s="10"/>
      <c r="K57" s="5" t="str">
        <f>IF(A57="","",IFERROR(LOOKUP(2,1/((持仓跟踪!$B$2:$B$157=A57)*(持仓跟踪!$X$2:$X$157="执行卖出")*(持仓跟踪!$Y$2:$Y$157&lt;&gt;"")),持仓跟踪!$Y$2:$Y$157),""))</f>
        <v/>
      </c>
      <c r="L57" s="8" t="str">
        <f>IF(A57="","",IFERROR(LOOKUP(2,1/((持仓跟踪!$B$2:$B$157=A57)*(持仓跟踪!$X$2:$X$157="执行卖出")*(持仓跟踪!$Z$2:$Z$157&lt;&gt;"")),持仓跟踪!$Z$2:$Z$157),""))</f>
        <v/>
      </c>
      <c r="M57" s="16" t="str">
        <f>IF(A57="","",IFERROR(LOOKUP(2,1/((持仓跟踪!$B$2:$B$157=A57)*(持仓跟踪!$X$2:$X$157="执行卖出")*(持仓跟踪!$H$2:$H$157&lt;&gt;"")),持仓跟踪!$H$2:$H$157),""))</f>
        <v/>
      </c>
      <c r="N57" s="10"/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 t="str">
        <f t="shared" si="23"/>
        <v/>
      </c>
      <c r="V57" s="7" t="str">
        <f t="shared" si="24"/>
        <v/>
      </c>
      <c r="W57" s="17" t="str">
        <f t="shared" si="25"/>
        <v/>
      </c>
      <c r="X57" s="5" t="str">
        <f t="shared" si="26"/>
        <v/>
      </c>
      <c r="Y57" s="7" t="str">
        <f t="shared" si="27"/>
        <v/>
      </c>
      <c r="Z57" s="7" t="str">
        <f>IF(OR(AE57="",多次统计数据!$B$8=""),"",AE57-多次统计数据!$B$8)</f>
        <v/>
      </c>
      <c r="AA57" s="11" t="str">
        <f t="shared" si="28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9"/>
        <v/>
      </c>
      <c r="AG57" s="2"/>
      <c r="AH57" s="2"/>
      <c r="AI57" s="2"/>
      <c r="AJ57" s="8" t="str">
        <f t="shared" si="30"/>
        <v/>
      </c>
      <c r="AK57" s="10"/>
      <c r="AL57" s="12"/>
      <c r="AM57" s="10"/>
      <c r="AN57" s="12"/>
      <c r="AO57" s="5" t="str">
        <f t="shared" si="31"/>
        <v/>
      </c>
      <c r="AP57" s="11" t="str">
        <f t="shared" si="32"/>
        <v/>
      </c>
      <c r="AQ57" s="5" t="str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/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$88)&gt;账户数据!$B$7,"违规：超过账户风险上限","通过")))))))))</f>
        <v/>
      </c>
    </row>
    <row r="58" spans="1:44" x14ac:dyDescent="0.15">
      <c r="A58" s="2"/>
      <c r="B58" s="2"/>
      <c r="C58" s="10"/>
      <c r="D58" s="6"/>
      <c r="E58" s="10"/>
      <c r="F58" s="8" t="str">
        <f t="shared" si="22"/>
        <v/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3"/>
      <c r="J58" s="10"/>
      <c r="K58" s="5" t="str">
        <f>IF(A58="","",IFERROR(LOOKUP(2,1/((持仓跟踪!$B$2:$B$157=A58)*(持仓跟踪!$X$2:$X$157="执行卖出")*(持仓跟踪!$Y$2:$Y$157&lt;&gt;"")),持仓跟踪!$Y$2:$Y$157),""))</f>
        <v/>
      </c>
      <c r="L58" s="8" t="str">
        <f>IF(A58="","",IFERROR(LOOKUP(2,1/((持仓跟踪!$B$2:$B$157=A58)*(持仓跟踪!$X$2:$X$157="执行卖出")*(持仓跟踪!$Z$2:$Z$157&lt;&gt;"")),持仓跟踪!$Z$2:$Z$157),""))</f>
        <v/>
      </c>
      <c r="M58" s="16" t="str">
        <f>IF(A58="","",IFERROR(LOOKUP(2,1/((持仓跟踪!$B$2:$B$157=A58)*(持仓跟踪!$X$2:$X$157="执行卖出")*(持仓跟踪!$H$2:$H$157&lt;&gt;"")),持仓跟踪!$H$2:$H$157),""))</f>
        <v/>
      </c>
      <c r="N58" s="10"/>
      <c r="O58" s="10"/>
      <c r="P58" s="5" t="str">
        <f>IF(A58="","",IFERROR(LOOKUP(2,1/((持仓跟踪!$B$2:$B$157=A58)*(持仓跟踪!$X$2:$X$157="执行卖出")*(持仓跟踪!$AA$2:$AA$157&lt;&gt;"")),持仓跟踪!$AA$2:$AA$157),""))</f>
        <v/>
      </c>
      <c r="Q58" s="2"/>
      <c r="R58" s="2"/>
      <c r="S58" s="2"/>
      <c r="T58" s="2"/>
      <c r="U58" s="7" t="str">
        <f t="shared" si="23"/>
        <v/>
      </c>
      <c r="V58" s="7" t="str">
        <f t="shared" si="24"/>
        <v/>
      </c>
      <c r="W58" s="17" t="str">
        <f t="shared" si="25"/>
        <v/>
      </c>
      <c r="X58" s="5" t="str">
        <f t="shared" si="26"/>
        <v/>
      </c>
      <c r="Y58" s="7" t="str">
        <f t="shared" si="27"/>
        <v/>
      </c>
      <c r="Z58" s="7" t="str">
        <f>IF(OR(AE58="",多次统计数据!$B$8=""),"",AE58-多次统计数据!$B$8)</f>
        <v/>
      </c>
      <c r="AA58" s="11" t="str">
        <f t="shared" si="28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9"/>
        <v/>
      </c>
      <c r="AG58" s="2"/>
      <c r="AH58" s="2"/>
      <c r="AI58" s="2"/>
      <c r="AJ58" s="8" t="str">
        <f t="shared" si="30"/>
        <v/>
      </c>
      <c r="AK58" s="10"/>
      <c r="AL58" s="12"/>
      <c r="AM58" s="10"/>
      <c r="AN58" s="12"/>
      <c r="AO58" s="5" t="str">
        <f t="shared" si="31"/>
        <v/>
      </c>
      <c r="AP58" s="11" t="str">
        <f t="shared" si="32"/>
        <v/>
      </c>
      <c r="AQ58" s="5" t="str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/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$88)&gt;账户数据!$B$7,"违规：超过账户风险上限","通过")))))))))</f>
        <v/>
      </c>
    </row>
    <row r="59" spans="1:44" x14ac:dyDescent="0.15">
      <c r="A59" s="2"/>
      <c r="B59" s="2"/>
      <c r="C59" s="10"/>
      <c r="D59" s="6"/>
      <c r="E59" s="10"/>
      <c r="F59" s="8" t="str">
        <f t="shared" si="22"/>
        <v/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3"/>
      <c r="J59" s="10"/>
      <c r="K59" s="5" t="str">
        <f>IF(A59="","",IFERROR(LOOKUP(2,1/((持仓跟踪!$B$2:$B$157=A59)*(持仓跟踪!$X$2:$X$157="执行卖出")*(持仓跟踪!$Y$2:$Y$157&lt;&gt;"")),持仓跟踪!$Y$2:$Y$157),""))</f>
        <v/>
      </c>
      <c r="L59" s="8" t="str">
        <f>IF(A59="","",IFERROR(LOOKUP(2,1/((持仓跟踪!$B$2:$B$157=A59)*(持仓跟踪!$X$2:$X$157="执行卖出")*(持仓跟踪!$Z$2:$Z$157&lt;&gt;"")),持仓跟踪!$Z$2:$Z$157),""))</f>
        <v/>
      </c>
      <c r="M59" s="16" t="str">
        <f>IF(A59="","",IFERROR(LOOKUP(2,1/((持仓跟踪!$B$2:$B$157=A59)*(持仓跟踪!$X$2:$X$157="执行卖出")*(持仓跟踪!$H$2:$H$157&lt;&gt;"")),持仓跟踪!$H$2:$H$157),""))</f>
        <v/>
      </c>
      <c r="N59" s="10"/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 t="str">
        <f t="shared" si="23"/>
        <v/>
      </c>
      <c r="V59" s="7" t="str">
        <f t="shared" si="24"/>
        <v/>
      </c>
      <c r="W59" s="17" t="str">
        <f t="shared" si="25"/>
        <v/>
      </c>
      <c r="X59" s="5" t="str">
        <f t="shared" si="26"/>
        <v/>
      </c>
      <c r="Y59" s="7" t="str">
        <f t="shared" si="27"/>
        <v/>
      </c>
      <c r="Z59" s="7" t="str">
        <f>IF(OR(AE59="",多次统计数据!$B$8=""),"",AE59-多次统计数据!$B$8)</f>
        <v/>
      </c>
      <c r="AA59" s="11" t="str">
        <f t="shared" si="28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9"/>
        <v/>
      </c>
      <c r="AG59" s="2"/>
      <c r="AH59" s="2"/>
      <c r="AI59" s="2"/>
      <c r="AJ59" s="8" t="str">
        <f t="shared" si="30"/>
        <v/>
      </c>
      <c r="AK59" s="10"/>
      <c r="AL59" s="12"/>
      <c r="AM59" s="10"/>
      <c r="AN59" s="12"/>
      <c r="AO59" s="5" t="str">
        <f t="shared" si="31"/>
        <v/>
      </c>
      <c r="AP59" s="11" t="str">
        <f t="shared" si="32"/>
        <v/>
      </c>
      <c r="AQ59" s="5" t="str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/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$88)&gt;账户数据!$B$7,"违规：超过账户风险上限","通过")))))))))</f>
        <v/>
      </c>
    </row>
    <row r="60" spans="1:44" x14ac:dyDescent="0.15">
      <c r="A60" s="2"/>
      <c r="B60" s="2"/>
      <c r="C60" s="10"/>
      <c r="D60" s="6"/>
      <c r="E60" s="10"/>
      <c r="F60" s="8" t="str">
        <f t="shared" si="22"/>
        <v/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3"/>
      <c r="J60" s="10"/>
      <c r="K60" s="5" t="str">
        <f>IF(A60="","",IFERROR(LOOKUP(2,1/((持仓跟踪!$B$2:$B$157=A60)*(持仓跟踪!$X$2:$X$157="执行卖出")*(持仓跟踪!$Y$2:$Y$157&lt;&gt;"")),持仓跟踪!$Y$2:$Y$157),""))</f>
        <v/>
      </c>
      <c r="L60" s="8" t="str">
        <f>IF(A60="","",IFERROR(LOOKUP(2,1/((持仓跟踪!$B$2:$B$157=A60)*(持仓跟踪!$X$2:$X$157="执行卖出")*(持仓跟踪!$Z$2:$Z$157&lt;&gt;"")),持仓跟踪!$Z$2:$Z$157),""))</f>
        <v/>
      </c>
      <c r="M60" s="16" t="str">
        <f>IF(A60="","",IFERROR(LOOKUP(2,1/((持仓跟踪!$B$2:$B$157=A60)*(持仓跟踪!$X$2:$X$157="执行卖出")*(持仓跟踪!$H$2:$H$157&lt;&gt;"")),持仓跟踪!$H$2:$H$157),""))</f>
        <v/>
      </c>
      <c r="N60" s="10"/>
      <c r="O60" s="10"/>
      <c r="P60" s="5" t="str">
        <f>IF(A60="","",IFERROR(LOOKUP(2,1/((持仓跟踪!$B$2:$B$157=A60)*(持仓跟踪!$X$2:$X$157="执行卖出")*(持仓跟踪!$AA$2:$AA$157&lt;&gt;"")),持仓跟踪!$AA$2:$AA$157),""))</f>
        <v/>
      </c>
      <c r="Q60" s="2"/>
      <c r="R60" s="2"/>
      <c r="S60" s="2"/>
      <c r="T60" s="2"/>
      <c r="U60" s="7" t="str">
        <f t="shared" si="23"/>
        <v/>
      </c>
      <c r="V60" s="7" t="str">
        <f t="shared" si="24"/>
        <v/>
      </c>
      <c r="W60" s="17" t="str">
        <f t="shared" si="25"/>
        <v/>
      </c>
      <c r="X60" s="5" t="str">
        <f t="shared" si="26"/>
        <v/>
      </c>
      <c r="Y60" s="7" t="str">
        <f t="shared" si="27"/>
        <v/>
      </c>
      <c r="Z60" s="7" t="str">
        <f>IF(OR(AE60="",多次统计数据!$B$8=""),"",AE60-多次统计数据!$B$8)</f>
        <v/>
      </c>
      <c r="AA60" s="11" t="str">
        <f t="shared" si="28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9"/>
        <v/>
      </c>
      <c r="AG60" s="2"/>
      <c r="AH60" s="2"/>
      <c r="AI60" s="2"/>
      <c r="AJ60" s="8" t="str">
        <f t="shared" si="30"/>
        <v/>
      </c>
      <c r="AK60" s="10"/>
      <c r="AL60" s="12"/>
      <c r="AM60" s="10"/>
      <c r="AN60" s="12"/>
      <c r="AO60" s="5" t="str">
        <f t="shared" si="31"/>
        <v/>
      </c>
      <c r="AP60" s="11" t="str">
        <f t="shared" si="32"/>
        <v/>
      </c>
      <c r="AQ60" s="5" t="str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/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$88)&gt;账户数据!$B$7,"违规：超过账户风险上限","通过")))))))))</f>
        <v/>
      </c>
    </row>
    <row r="61" spans="1:44" x14ac:dyDescent="0.15">
      <c r="A61" s="2"/>
      <c r="B61" s="2"/>
      <c r="C61" s="10"/>
      <c r="D61" s="6"/>
      <c r="E61" s="10"/>
      <c r="F61" s="8" t="str">
        <f t="shared" si="22"/>
        <v/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3"/>
      <c r="J61" s="10"/>
      <c r="K61" s="5" t="str">
        <f>IF(A61="","",IFERROR(LOOKUP(2,1/((持仓跟踪!$B$2:$B$157=A61)*(持仓跟踪!$X$2:$X$157="执行卖出")*(持仓跟踪!$Y$2:$Y$157&lt;&gt;"")),持仓跟踪!$Y$2:$Y$157),""))</f>
        <v/>
      </c>
      <c r="L61" s="8" t="str">
        <f>IF(A61="","",IFERROR(LOOKUP(2,1/((持仓跟踪!$B$2:$B$157=A61)*(持仓跟踪!$X$2:$X$157="执行卖出")*(持仓跟踪!$Z$2:$Z$157&lt;&gt;"")),持仓跟踪!$Z$2:$Z$157),""))</f>
        <v/>
      </c>
      <c r="M61" s="16" t="str">
        <f>IF(A61="","",IFERROR(LOOKUP(2,1/((持仓跟踪!$B$2:$B$157=A61)*(持仓跟踪!$X$2:$X$157="执行卖出")*(持仓跟踪!$H$2:$H$157&lt;&gt;"")),持仓跟踪!$H$2:$H$157),""))</f>
        <v/>
      </c>
      <c r="N61" s="10"/>
      <c r="O61" s="10"/>
      <c r="P61" s="5" t="str">
        <f>IF(A61="","",IFERROR(LOOKUP(2,1/((持仓跟踪!$B$2:$B$157=A61)*(持仓跟踪!$X$2:$X$157="执行卖出")*(持仓跟踪!$AA$2:$AA$157&lt;&gt;"")),持仓跟踪!$AA$2:$AA$157),""))</f>
        <v/>
      </c>
      <c r="Q61" s="2"/>
      <c r="R61" s="2"/>
      <c r="S61" s="2"/>
      <c r="T61" s="2"/>
      <c r="U61" s="7" t="str">
        <f t="shared" si="23"/>
        <v/>
      </c>
      <c r="V61" s="7" t="str">
        <f t="shared" si="24"/>
        <v/>
      </c>
      <c r="W61" s="17" t="str">
        <f t="shared" si="25"/>
        <v/>
      </c>
      <c r="X61" s="5" t="str">
        <f t="shared" si="26"/>
        <v/>
      </c>
      <c r="Y61" s="7" t="str">
        <f t="shared" si="27"/>
        <v/>
      </c>
      <c r="Z61" s="7" t="str">
        <f>IF(OR(AE61="",多次统计数据!$B$8=""),"",AE61-多次统计数据!$B$8)</f>
        <v/>
      </c>
      <c r="AA61" s="11" t="str">
        <f t="shared" si="28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9"/>
        <v/>
      </c>
      <c r="AG61" s="2"/>
      <c r="AH61" s="2"/>
      <c r="AI61" s="2"/>
      <c r="AJ61" s="8" t="str">
        <f t="shared" si="30"/>
        <v/>
      </c>
      <c r="AK61" s="10"/>
      <c r="AL61" s="12"/>
      <c r="AM61" s="10"/>
      <c r="AN61" s="12"/>
      <c r="AO61" s="5" t="str">
        <f t="shared" si="31"/>
        <v/>
      </c>
      <c r="AP61" s="11" t="str">
        <f t="shared" si="32"/>
        <v/>
      </c>
      <c r="AQ61" s="5" t="str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/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$88)&gt;账户数据!$B$7,"违规：超过账户风险上限","通过")))))))))</f>
        <v/>
      </c>
    </row>
    <row r="62" spans="1:44" x14ac:dyDescent="0.15">
      <c r="A62" s="2"/>
      <c r="B62" s="2"/>
      <c r="C62" s="10"/>
      <c r="D62" s="6"/>
      <c r="E62" s="10"/>
      <c r="F62" s="8" t="str">
        <f t="shared" si="22"/>
        <v/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3"/>
      <c r="J62" s="10"/>
      <c r="K62" s="5" t="str">
        <f>IF(A62="","",IFERROR(LOOKUP(2,1/((持仓跟踪!$B$2:$B$157=A62)*(持仓跟踪!$X$2:$X$157="执行卖出")*(持仓跟踪!$Y$2:$Y$157&lt;&gt;"")),持仓跟踪!$Y$2:$Y$157),""))</f>
        <v/>
      </c>
      <c r="L62" s="8" t="str">
        <f>IF(A62="","",IFERROR(LOOKUP(2,1/((持仓跟踪!$B$2:$B$157=A62)*(持仓跟踪!$X$2:$X$157="执行卖出")*(持仓跟踪!$Z$2:$Z$157&lt;&gt;"")),持仓跟踪!$Z$2:$Z$157),""))</f>
        <v/>
      </c>
      <c r="M62" s="16" t="str">
        <f>IF(A62="","",IFERROR(LOOKUP(2,1/((持仓跟踪!$B$2:$B$157=A62)*(持仓跟踪!$X$2:$X$157="执行卖出")*(持仓跟踪!$H$2:$H$157&lt;&gt;"")),持仓跟踪!$H$2:$H$157),""))</f>
        <v/>
      </c>
      <c r="N62" s="10"/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 t="str">
        <f t="shared" si="23"/>
        <v/>
      </c>
      <c r="V62" s="7" t="str">
        <f t="shared" si="24"/>
        <v/>
      </c>
      <c r="W62" s="17" t="str">
        <f t="shared" si="25"/>
        <v/>
      </c>
      <c r="X62" s="5" t="str">
        <f t="shared" si="26"/>
        <v/>
      </c>
      <c r="Y62" s="7" t="str">
        <f t="shared" si="27"/>
        <v/>
      </c>
      <c r="Z62" s="7" t="str">
        <f>IF(OR(AE62="",多次统计数据!$B$8=""),"",AE62-多次统计数据!$B$8)</f>
        <v/>
      </c>
      <c r="AA62" s="11" t="str">
        <f t="shared" si="28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9"/>
        <v/>
      </c>
      <c r="AG62" s="2"/>
      <c r="AH62" s="2"/>
      <c r="AI62" s="2"/>
      <c r="AJ62" s="8" t="str">
        <f t="shared" si="30"/>
        <v/>
      </c>
      <c r="AK62" s="10"/>
      <c r="AL62" s="12"/>
      <c r="AM62" s="10"/>
      <c r="AN62" s="12"/>
      <c r="AO62" s="5" t="str">
        <f t="shared" si="31"/>
        <v/>
      </c>
      <c r="AP62" s="11" t="str">
        <f t="shared" si="32"/>
        <v/>
      </c>
      <c r="AQ62" s="5" t="str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/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$88)&gt;账户数据!$B$7,"违规：超过账户风险上限","通过")))))))))</f>
        <v/>
      </c>
    </row>
    <row r="63" spans="1:44" x14ac:dyDescent="0.15">
      <c r="A63" s="2"/>
      <c r="B63" s="2"/>
      <c r="C63" s="10"/>
      <c r="D63" s="6"/>
      <c r="E63" s="10"/>
      <c r="F63" s="8" t="str">
        <f t="shared" si="22"/>
        <v/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3"/>
      <c r="J63" s="10"/>
      <c r="K63" s="5" t="str">
        <f>IF(A63="","",IFERROR(LOOKUP(2,1/((持仓跟踪!$B$2:$B$157=A63)*(持仓跟踪!$X$2:$X$157="执行卖出")*(持仓跟踪!$Y$2:$Y$157&lt;&gt;"")),持仓跟踪!$Y$2:$Y$157),""))</f>
        <v/>
      </c>
      <c r="L63" s="8" t="str">
        <f>IF(A63="","",IFERROR(LOOKUP(2,1/((持仓跟踪!$B$2:$B$157=A63)*(持仓跟踪!$X$2:$X$157="执行卖出")*(持仓跟踪!$Z$2:$Z$157&lt;&gt;"")),持仓跟踪!$Z$2:$Z$157),""))</f>
        <v/>
      </c>
      <c r="M63" s="16" t="str">
        <f>IF(A63="","",IFERROR(LOOKUP(2,1/((持仓跟踪!$B$2:$B$157=A63)*(持仓跟踪!$X$2:$X$157="执行卖出")*(持仓跟踪!$H$2:$H$157&lt;&gt;"")),持仓跟踪!$H$2:$H$157),""))</f>
        <v/>
      </c>
      <c r="N63" s="10"/>
      <c r="O63" s="10"/>
      <c r="P63" s="5" t="str">
        <f>IF(A63="","",IFERROR(LOOKUP(2,1/((持仓跟踪!$B$2:$B$157=A63)*(持仓跟踪!$X$2:$X$157="执行卖出")*(持仓跟踪!$AA$2:$AA$157&lt;&gt;"")),持仓跟踪!$AA$2:$AA$157),""))</f>
        <v/>
      </c>
      <c r="Q63" s="2"/>
      <c r="R63" s="2"/>
      <c r="S63" s="2"/>
      <c r="T63" s="2"/>
      <c r="U63" s="7" t="str">
        <f t="shared" si="23"/>
        <v/>
      </c>
      <c r="V63" s="7" t="str">
        <f t="shared" si="24"/>
        <v/>
      </c>
      <c r="W63" s="17" t="str">
        <f t="shared" si="25"/>
        <v/>
      </c>
      <c r="X63" s="5" t="str">
        <f t="shared" si="26"/>
        <v/>
      </c>
      <c r="Y63" s="7" t="str">
        <f t="shared" si="27"/>
        <v/>
      </c>
      <c r="Z63" s="7" t="str">
        <f>IF(OR(AE63="",多次统计数据!$B$8=""),"",AE63-多次统计数据!$B$8)</f>
        <v/>
      </c>
      <c r="AA63" s="11" t="str">
        <f t="shared" si="28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9"/>
        <v/>
      </c>
      <c r="AG63" s="2"/>
      <c r="AH63" s="2"/>
      <c r="AI63" s="2"/>
      <c r="AJ63" s="8" t="str">
        <f t="shared" si="30"/>
        <v/>
      </c>
      <c r="AK63" s="10"/>
      <c r="AL63" s="12"/>
      <c r="AM63" s="10"/>
      <c r="AN63" s="12"/>
      <c r="AO63" s="5" t="str">
        <f t="shared" si="31"/>
        <v/>
      </c>
      <c r="AP63" s="11" t="str">
        <f t="shared" si="32"/>
        <v/>
      </c>
      <c r="AQ63" s="5" t="str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/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$88)&gt;账户数据!$B$7,"违规：超过账户风险上限","通过")))))))))</f>
        <v/>
      </c>
    </row>
    <row r="64" spans="1:44" x14ac:dyDescent="0.15">
      <c r="A64" s="2"/>
      <c r="B64" s="2"/>
      <c r="C64" s="10"/>
      <c r="D64" s="6"/>
      <c r="E64" s="10"/>
      <c r="F64" s="8" t="str">
        <f t="shared" si="22"/>
        <v/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3"/>
      <c r="J64" s="10"/>
      <c r="K64" s="5" t="str">
        <f>IF(A64="","",IFERROR(LOOKUP(2,1/((持仓跟踪!$B$2:$B$157=A64)*(持仓跟踪!$X$2:$X$157="执行卖出")*(持仓跟踪!$Y$2:$Y$157&lt;&gt;"")),持仓跟踪!$Y$2:$Y$157),""))</f>
        <v/>
      </c>
      <c r="L64" s="8" t="str">
        <f>IF(A64="","",IFERROR(LOOKUP(2,1/((持仓跟踪!$B$2:$B$157=A64)*(持仓跟踪!$X$2:$X$157="执行卖出")*(持仓跟踪!$Z$2:$Z$157&lt;&gt;"")),持仓跟踪!$Z$2:$Z$157),""))</f>
        <v/>
      </c>
      <c r="M64" s="16" t="str">
        <f>IF(A64="","",IFERROR(LOOKUP(2,1/((持仓跟踪!$B$2:$B$157=A64)*(持仓跟踪!$X$2:$X$157="执行卖出")*(持仓跟踪!$H$2:$H$157&lt;&gt;"")),持仓跟踪!$H$2:$H$157),""))</f>
        <v/>
      </c>
      <c r="N64" s="10"/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 t="str">
        <f t="shared" si="23"/>
        <v/>
      </c>
      <c r="V64" s="7" t="str">
        <f t="shared" si="24"/>
        <v/>
      </c>
      <c r="W64" s="17" t="str">
        <f t="shared" si="25"/>
        <v/>
      </c>
      <c r="X64" s="5" t="str">
        <f t="shared" si="26"/>
        <v/>
      </c>
      <c r="Y64" s="7" t="str">
        <f t="shared" si="27"/>
        <v/>
      </c>
      <c r="Z64" s="7" t="str">
        <f>IF(OR(AE64="",多次统计数据!$B$8=""),"",AE64-多次统计数据!$B$8)</f>
        <v/>
      </c>
      <c r="AA64" s="11" t="str">
        <f t="shared" si="28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9"/>
        <v/>
      </c>
      <c r="AG64" s="2"/>
      <c r="AH64" s="2"/>
      <c r="AI64" s="2"/>
      <c r="AJ64" s="8" t="str">
        <f t="shared" si="30"/>
        <v/>
      </c>
      <c r="AK64" s="10"/>
      <c r="AL64" s="12"/>
      <c r="AM64" s="10"/>
      <c r="AN64" s="12"/>
      <c r="AO64" s="5" t="str">
        <f t="shared" si="31"/>
        <v/>
      </c>
      <c r="AP64" s="11" t="str">
        <f t="shared" si="32"/>
        <v/>
      </c>
      <c r="AQ64" s="5" t="str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/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$88)&gt;账户数据!$B$7,"违规：超过账户风险上限","通过")))))))))</f>
        <v/>
      </c>
    </row>
    <row r="65" spans="1:44" x14ac:dyDescent="0.15">
      <c r="A65" s="2"/>
      <c r="B65" s="2"/>
      <c r="C65" s="10"/>
      <c r="D65" s="6"/>
      <c r="E65" s="10"/>
      <c r="F65" s="8" t="str">
        <f t="shared" si="22"/>
        <v/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3"/>
      <c r="J65" s="10"/>
      <c r="K65" s="5" t="str">
        <f>IF(A65="","",IFERROR(LOOKUP(2,1/((持仓跟踪!$B$2:$B$157=A65)*(持仓跟踪!$X$2:$X$157="执行卖出")*(持仓跟踪!$Y$2:$Y$157&lt;&gt;"")),持仓跟踪!$Y$2:$Y$157),""))</f>
        <v/>
      </c>
      <c r="L65" s="8" t="str">
        <f>IF(A65="","",IFERROR(LOOKUP(2,1/((持仓跟踪!$B$2:$B$157=A65)*(持仓跟踪!$X$2:$X$157="执行卖出")*(持仓跟踪!$Z$2:$Z$157&lt;&gt;"")),持仓跟踪!$Z$2:$Z$157),""))</f>
        <v/>
      </c>
      <c r="M65" s="16" t="str">
        <f>IF(A65="","",IFERROR(LOOKUP(2,1/((持仓跟踪!$B$2:$B$157=A65)*(持仓跟踪!$X$2:$X$157="执行卖出")*(持仓跟踪!$H$2:$H$157&lt;&gt;"")),持仓跟踪!$H$2:$H$157),""))</f>
        <v/>
      </c>
      <c r="N65" s="10"/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 t="str">
        <f t="shared" si="23"/>
        <v/>
      </c>
      <c r="V65" s="7" t="str">
        <f t="shared" si="24"/>
        <v/>
      </c>
      <c r="W65" s="17" t="str">
        <f t="shared" si="25"/>
        <v/>
      </c>
      <c r="X65" s="5" t="str">
        <f t="shared" si="26"/>
        <v/>
      </c>
      <c r="Y65" s="7" t="str">
        <f t="shared" si="27"/>
        <v/>
      </c>
      <c r="Z65" s="7" t="str">
        <f>IF(OR(AE65="",多次统计数据!$B$8=""),"",AE65-多次统计数据!$B$8)</f>
        <v/>
      </c>
      <c r="AA65" s="11" t="str">
        <f t="shared" si="28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9"/>
        <v/>
      </c>
      <c r="AG65" s="2"/>
      <c r="AH65" s="2"/>
      <c r="AI65" s="2"/>
      <c r="AJ65" s="8" t="str">
        <f t="shared" si="30"/>
        <v/>
      </c>
      <c r="AK65" s="10"/>
      <c r="AL65" s="12"/>
      <c r="AM65" s="10"/>
      <c r="AN65" s="12"/>
      <c r="AO65" s="5" t="str">
        <f t="shared" si="31"/>
        <v/>
      </c>
      <c r="AP65" s="11" t="str">
        <f t="shared" si="32"/>
        <v/>
      </c>
      <c r="AQ65" s="5" t="str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/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$88)&gt;账户数据!$B$7,"违规：超过账户风险上限","通过")))))))))</f>
        <v/>
      </c>
    </row>
    <row r="66" spans="1:44" x14ac:dyDescent="0.15">
      <c r="A66" s="2"/>
      <c r="B66" s="2"/>
      <c r="C66" s="10"/>
      <c r="D66" s="6"/>
      <c r="E66" s="10"/>
      <c r="F66" s="8" t="str">
        <f t="shared" si="22"/>
        <v/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3"/>
      <c r="J66" s="10"/>
      <c r="K66" s="5" t="str">
        <f>IF(A66="","",IFERROR(LOOKUP(2,1/((持仓跟踪!$B$2:$B$157=A66)*(持仓跟踪!$X$2:$X$157="执行卖出")*(持仓跟踪!$Y$2:$Y$157&lt;&gt;"")),持仓跟踪!$Y$2:$Y$157),""))</f>
        <v/>
      </c>
      <c r="L66" s="8" t="str">
        <f>IF(A66="","",IFERROR(LOOKUP(2,1/((持仓跟踪!$B$2:$B$157=A66)*(持仓跟踪!$X$2:$X$157="执行卖出")*(持仓跟踪!$Z$2:$Z$157&lt;&gt;"")),持仓跟踪!$Z$2:$Z$157),""))</f>
        <v/>
      </c>
      <c r="M66" s="16" t="str">
        <f>IF(A66="","",IFERROR(LOOKUP(2,1/((持仓跟踪!$B$2:$B$157=A66)*(持仓跟踪!$X$2:$X$157="执行卖出")*(持仓跟踪!$H$2:$H$157&lt;&gt;"")),持仓跟踪!$H$2:$H$157),""))</f>
        <v/>
      </c>
      <c r="N66" s="10"/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 t="str">
        <f t="shared" si="23"/>
        <v/>
      </c>
      <c r="V66" s="7" t="str">
        <f t="shared" si="24"/>
        <v/>
      </c>
      <c r="W66" s="17" t="str">
        <f t="shared" si="25"/>
        <v/>
      </c>
      <c r="X66" s="5" t="str">
        <f t="shared" si="26"/>
        <v/>
      </c>
      <c r="Y66" s="7" t="str">
        <f t="shared" si="27"/>
        <v/>
      </c>
      <c r="Z66" s="7" t="str">
        <f>IF(OR(AE66="",多次统计数据!$B$8=""),"",AE66-多次统计数据!$B$8)</f>
        <v/>
      </c>
      <c r="AA66" s="11" t="str">
        <f t="shared" si="28"/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si="29"/>
        <v/>
      </c>
      <c r="AG66" s="2"/>
      <c r="AH66" s="2"/>
      <c r="AI66" s="2"/>
      <c r="AJ66" s="8" t="str">
        <f t="shared" si="30"/>
        <v/>
      </c>
      <c r="AK66" s="10"/>
      <c r="AL66" s="12"/>
      <c r="AM66" s="10"/>
      <c r="AN66" s="12"/>
      <c r="AO66" s="5" t="str">
        <f t="shared" si="31"/>
        <v/>
      </c>
      <c r="AP66" s="11" t="str">
        <f t="shared" si="32"/>
        <v/>
      </c>
      <c r="AQ66" s="5" t="str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/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$88)&gt;账户数据!$B$7,"违规：超过账户风险上限","通过")))))))))</f>
        <v/>
      </c>
    </row>
    <row r="67" spans="1:44" x14ac:dyDescent="0.15">
      <c r="A67" s="2"/>
      <c r="B67" s="2"/>
      <c r="C67" s="10"/>
      <c r="D67" s="6"/>
      <c r="E67" s="10"/>
      <c r="F67" s="8" t="str">
        <f t="shared" si="22"/>
        <v/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3"/>
      <c r="J67" s="10"/>
      <c r="K67" s="5" t="str">
        <f>IF(A67="","",IFERROR(LOOKUP(2,1/((持仓跟踪!$B$2:$B$157=A67)*(持仓跟踪!$X$2:$X$157="执行卖出")*(持仓跟踪!$Y$2:$Y$157&lt;&gt;"")),持仓跟踪!$Y$2:$Y$157),""))</f>
        <v/>
      </c>
      <c r="L67" s="8" t="str">
        <f>IF(A67="","",IFERROR(LOOKUP(2,1/((持仓跟踪!$B$2:$B$157=A67)*(持仓跟踪!$X$2:$X$157="执行卖出")*(持仓跟踪!$Z$2:$Z$157&lt;&gt;"")),持仓跟踪!$Z$2:$Z$157),""))</f>
        <v/>
      </c>
      <c r="M67" s="16" t="str">
        <f>IF(A67="","",IFERROR(LOOKUP(2,1/((持仓跟踪!$B$2:$B$157=A67)*(持仓跟踪!$X$2:$X$157="执行卖出")*(持仓跟踪!$H$2:$H$157&lt;&gt;"")),持仓跟踪!$H$2:$H$157),""))</f>
        <v/>
      </c>
      <c r="N67" s="10"/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 t="str">
        <f t="shared" si="23"/>
        <v/>
      </c>
      <c r="V67" s="7" t="str">
        <f t="shared" si="24"/>
        <v/>
      </c>
      <c r="W67" s="17" t="str">
        <f t="shared" si="25"/>
        <v/>
      </c>
      <c r="X67" s="5" t="str">
        <f t="shared" si="26"/>
        <v/>
      </c>
      <c r="Y67" s="7" t="str">
        <f t="shared" si="27"/>
        <v/>
      </c>
      <c r="Z67" s="7" t="str">
        <f>IF(OR(AE67="",多次统计数据!$B$8=""),"",AE67-多次统计数据!$B$8)</f>
        <v/>
      </c>
      <c r="AA67" s="11" t="str">
        <f t="shared" si="28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29"/>
        <v/>
      </c>
      <c r="AG67" s="2"/>
      <c r="AH67" s="2"/>
      <c r="AI67" s="2"/>
      <c r="AJ67" s="8" t="str">
        <f t="shared" si="30"/>
        <v/>
      </c>
      <c r="AK67" s="10"/>
      <c r="AL67" s="12"/>
      <c r="AM67" s="10"/>
      <c r="AN67" s="12"/>
      <c r="AO67" s="5" t="str">
        <f t="shared" si="31"/>
        <v/>
      </c>
      <c r="AP67" s="11" t="str">
        <f t="shared" si="32"/>
        <v/>
      </c>
      <c r="AQ67" s="5" t="str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/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$88)&gt;账户数据!$B$7,"违规：超过账户风险上限","通过")))))))))</f>
        <v/>
      </c>
    </row>
    <row r="68" spans="1:44" x14ac:dyDescent="0.15">
      <c r="A68" s="2"/>
      <c r="B68" s="2"/>
      <c r="C68" s="10"/>
      <c r="D68" s="6"/>
      <c r="E68" s="10"/>
      <c r="F68" s="8" t="str">
        <f t="shared" si="22"/>
        <v/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3"/>
      <c r="J68" s="10"/>
      <c r="K68" s="5" t="str">
        <f>IF(A68="","",IFERROR(LOOKUP(2,1/((持仓跟踪!$B$2:$B$157=A68)*(持仓跟踪!$X$2:$X$157="执行卖出")*(持仓跟踪!$Y$2:$Y$157&lt;&gt;"")),持仓跟踪!$Y$2:$Y$157),""))</f>
        <v/>
      </c>
      <c r="L68" s="8" t="str">
        <f>IF(A68="","",IFERROR(LOOKUP(2,1/((持仓跟踪!$B$2:$B$157=A68)*(持仓跟踪!$X$2:$X$157="执行卖出")*(持仓跟踪!$Z$2:$Z$157&lt;&gt;"")),持仓跟踪!$Z$2:$Z$157),""))</f>
        <v/>
      </c>
      <c r="M68" s="16" t="str">
        <f>IF(A68="","",IFERROR(LOOKUP(2,1/((持仓跟踪!$B$2:$B$157=A68)*(持仓跟踪!$X$2:$X$157="执行卖出")*(持仓跟踪!$H$2:$H$157&lt;&gt;"")),持仓跟踪!$H$2:$H$157),""))</f>
        <v/>
      </c>
      <c r="N68" s="10"/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 t="str">
        <f t="shared" si="23"/>
        <v/>
      </c>
      <c r="V68" s="7" t="str">
        <f t="shared" si="24"/>
        <v/>
      </c>
      <c r="W68" s="17" t="str">
        <f t="shared" si="25"/>
        <v/>
      </c>
      <c r="X68" s="5" t="str">
        <f t="shared" si="26"/>
        <v/>
      </c>
      <c r="Y68" s="7" t="str">
        <f t="shared" si="27"/>
        <v/>
      </c>
      <c r="Z68" s="7" t="str">
        <f>IF(OR(AE68="",多次统计数据!$B$8=""),"",AE68-多次统计数据!$B$8)</f>
        <v/>
      </c>
      <c r="AA68" s="11" t="str">
        <f t="shared" si="28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29"/>
        <v/>
      </c>
      <c r="AG68" s="2"/>
      <c r="AH68" s="2"/>
      <c r="AI68" s="2"/>
      <c r="AJ68" s="8" t="str">
        <f t="shared" si="30"/>
        <v/>
      </c>
      <c r="AK68" s="10"/>
      <c r="AL68" s="12"/>
      <c r="AM68" s="10"/>
      <c r="AN68" s="12"/>
      <c r="AO68" s="5" t="str">
        <f t="shared" si="31"/>
        <v/>
      </c>
      <c r="AP68" s="11" t="str">
        <f t="shared" si="32"/>
        <v/>
      </c>
      <c r="AQ68" s="5" t="str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/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$88)&gt;账户数据!$B$7,"违规：超过账户风险上限","通过")))))))))</f>
        <v/>
      </c>
    </row>
    <row r="69" spans="1:44" x14ac:dyDescent="0.15">
      <c r="A69" s="2"/>
      <c r="B69" s="2"/>
      <c r="C69" s="10"/>
      <c r="D69" s="6"/>
      <c r="E69" s="10"/>
      <c r="F69" s="8" t="str">
        <f t="shared" si="22"/>
        <v/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3"/>
      <c r="J69" s="10"/>
      <c r="K69" s="5" t="str">
        <f>IF(A69="","",IFERROR(LOOKUP(2,1/((持仓跟踪!$B$2:$B$157=A69)*(持仓跟踪!$X$2:$X$157="执行卖出")*(持仓跟踪!$Y$2:$Y$157&lt;&gt;"")),持仓跟踪!$Y$2:$Y$157),""))</f>
        <v/>
      </c>
      <c r="L69" s="8" t="str">
        <f>IF(A69="","",IFERROR(LOOKUP(2,1/((持仓跟踪!$B$2:$B$157=A69)*(持仓跟踪!$X$2:$X$157="执行卖出")*(持仓跟踪!$Z$2:$Z$157&lt;&gt;"")),持仓跟踪!$Z$2:$Z$157),""))</f>
        <v/>
      </c>
      <c r="M69" s="16" t="str">
        <f>IF(A69="","",IFERROR(LOOKUP(2,1/((持仓跟踪!$B$2:$B$157=A69)*(持仓跟踪!$X$2:$X$157="执行卖出")*(持仓跟踪!$H$2:$H$157&lt;&gt;"")),持仓跟踪!$H$2:$H$157),""))</f>
        <v/>
      </c>
      <c r="N69" s="10"/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 t="str">
        <f t="shared" si="23"/>
        <v/>
      </c>
      <c r="V69" s="7" t="str">
        <f t="shared" si="24"/>
        <v/>
      </c>
      <c r="W69" s="17" t="str">
        <f t="shared" si="25"/>
        <v/>
      </c>
      <c r="X69" s="5" t="str">
        <f t="shared" si="26"/>
        <v/>
      </c>
      <c r="Y69" s="7" t="str">
        <f t="shared" si="27"/>
        <v/>
      </c>
      <c r="Z69" s="7" t="str">
        <f>IF(OR(AE69="",多次统计数据!$B$8=""),"",AE69-多次统计数据!$B$8)</f>
        <v/>
      </c>
      <c r="AA69" s="11" t="str">
        <f t="shared" si="28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29"/>
        <v/>
      </c>
      <c r="AG69" s="2"/>
      <c r="AH69" s="2"/>
      <c r="AI69" s="2"/>
      <c r="AJ69" s="8" t="str">
        <f t="shared" si="30"/>
        <v/>
      </c>
      <c r="AK69" s="10"/>
      <c r="AL69" s="12"/>
      <c r="AM69" s="10"/>
      <c r="AN69" s="12"/>
      <c r="AO69" s="5" t="str">
        <f t="shared" si="31"/>
        <v/>
      </c>
      <c r="AP69" s="11" t="str">
        <f t="shared" si="32"/>
        <v/>
      </c>
      <c r="AQ69" s="5" t="str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/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$88)&gt;账户数据!$B$7,"违规：超过账户风险上限","通过")))))))))</f>
        <v/>
      </c>
    </row>
    <row r="70" spans="1:44" x14ac:dyDescent="0.15">
      <c r="A70" s="2"/>
      <c r="B70" s="2"/>
      <c r="C70" s="10"/>
      <c r="D70" s="6"/>
      <c r="E70" s="10"/>
      <c r="F70" s="8" t="str">
        <f t="shared" si="22"/>
        <v/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3"/>
      <c r="J70" s="10"/>
      <c r="K70" s="5" t="str">
        <f>IF(A70="","",IFERROR(LOOKUP(2,1/((持仓跟踪!$B$2:$B$157=A70)*(持仓跟踪!$X$2:$X$157="执行卖出")*(持仓跟踪!$Y$2:$Y$157&lt;&gt;"")),持仓跟踪!$Y$2:$Y$157),""))</f>
        <v/>
      </c>
      <c r="L70" s="8" t="str">
        <f>IF(A70="","",IFERROR(LOOKUP(2,1/((持仓跟踪!$B$2:$B$157=A70)*(持仓跟踪!$X$2:$X$157="执行卖出")*(持仓跟踪!$Z$2:$Z$157&lt;&gt;"")),持仓跟踪!$Z$2:$Z$157),""))</f>
        <v/>
      </c>
      <c r="M70" s="16" t="str">
        <f>IF(A70="","",IFERROR(LOOKUP(2,1/((持仓跟踪!$B$2:$B$157=A70)*(持仓跟踪!$X$2:$X$157="执行卖出")*(持仓跟踪!$H$2:$H$157&lt;&gt;"")),持仓跟踪!$H$2:$H$157),""))</f>
        <v/>
      </c>
      <c r="N70" s="10"/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 t="str">
        <f t="shared" si="23"/>
        <v/>
      </c>
      <c r="V70" s="7" t="str">
        <f t="shared" si="24"/>
        <v/>
      </c>
      <c r="W70" s="17" t="str">
        <f t="shared" si="25"/>
        <v/>
      </c>
      <c r="X70" s="5" t="str">
        <f t="shared" si="26"/>
        <v/>
      </c>
      <c r="Y70" s="7" t="str">
        <f t="shared" si="27"/>
        <v/>
      </c>
      <c r="Z70" s="7" t="str">
        <f>IF(OR(AE70="",多次统计数据!$B$8=""),"",AE70-多次统计数据!$B$8)</f>
        <v/>
      </c>
      <c r="AA70" s="11" t="str">
        <f t="shared" si="28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29"/>
        <v/>
      </c>
      <c r="AG70" s="2"/>
      <c r="AH70" s="2"/>
      <c r="AI70" s="2"/>
      <c r="AJ70" s="8" t="str">
        <f t="shared" si="30"/>
        <v/>
      </c>
      <c r="AK70" s="10"/>
      <c r="AL70" s="12"/>
      <c r="AM70" s="10"/>
      <c r="AN70" s="12"/>
      <c r="AO70" s="5" t="str">
        <f t="shared" si="31"/>
        <v/>
      </c>
      <c r="AP70" s="11" t="str">
        <f t="shared" si="32"/>
        <v/>
      </c>
      <c r="AQ70" s="5" t="str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/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$88)&gt;账户数据!$B$7,"违规：超过账户风险上限","通过")))))))))</f>
        <v/>
      </c>
    </row>
    <row r="71" spans="1:44" x14ac:dyDescent="0.15">
      <c r="A71" s="2"/>
      <c r="B71" s="2"/>
      <c r="C71" s="10"/>
      <c r="D71" s="6"/>
      <c r="E71" s="10"/>
      <c r="F71" s="8" t="str">
        <f t="shared" si="22"/>
        <v/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3"/>
      <c r="J71" s="10"/>
      <c r="K71" s="5" t="str">
        <f>IF(A71="","",IFERROR(LOOKUP(2,1/((持仓跟踪!$B$2:$B$157=A71)*(持仓跟踪!$X$2:$X$157="执行卖出")*(持仓跟踪!$Y$2:$Y$157&lt;&gt;"")),持仓跟踪!$Y$2:$Y$157),""))</f>
        <v/>
      </c>
      <c r="L71" s="8" t="str">
        <f>IF(A71="","",IFERROR(LOOKUP(2,1/((持仓跟踪!$B$2:$B$157=A71)*(持仓跟踪!$X$2:$X$157="执行卖出")*(持仓跟踪!$Z$2:$Z$157&lt;&gt;"")),持仓跟踪!$Z$2:$Z$157),""))</f>
        <v/>
      </c>
      <c r="M71" s="16" t="str">
        <f>IF(A71="","",IFERROR(LOOKUP(2,1/((持仓跟踪!$B$2:$B$157=A71)*(持仓跟踪!$X$2:$X$157="执行卖出")*(持仓跟踪!$H$2:$H$157&lt;&gt;"")),持仓跟踪!$H$2:$H$157),""))</f>
        <v/>
      </c>
      <c r="N71" s="10"/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 t="str">
        <f t="shared" si="23"/>
        <v/>
      </c>
      <c r="V71" s="7" t="str">
        <f t="shared" si="24"/>
        <v/>
      </c>
      <c r="W71" s="17" t="str">
        <f t="shared" si="25"/>
        <v/>
      </c>
      <c r="X71" s="5" t="str">
        <f t="shared" si="26"/>
        <v/>
      </c>
      <c r="Y71" s="7" t="str">
        <f t="shared" si="27"/>
        <v/>
      </c>
      <c r="Z71" s="7" t="str">
        <f>IF(OR(AE71="",多次统计数据!$B$8=""),"",AE71-多次统计数据!$B$8)</f>
        <v/>
      </c>
      <c r="AA71" s="11" t="str">
        <f t="shared" si="28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29"/>
        <v/>
      </c>
      <c r="AG71" s="2"/>
      <c r="AH71" s="2"/>
      <c r="AI71" s="2"/>
      <c r="AJ71" s="8" t="str">
        <f t="shared" si="30"/>
        <v/>
      </c>
      <c r="AK71" s="10"/>
      <c r="AL71" s="12"/>
      <c r="AM71" s="10"/>
      <c r="AN71" s="12"/>
      <c r="AO71" s="5" t="str">
        <f t="shared" si="31"/>
        <v/>
      </c>
      <c r="AP71" s="11" t="str">
        <f t="shared" si="32"/>
        <v/>
      </c>
      <c r="AQ71" s="5" t="str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/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$88)&gt;账户数据!$B$7,"违规：超过账户风险上限","通过")))))))))</f>
        <v/>
      </c>
    </row>
    <row r="72" spans="1:44" x14ac:dyDescent="0.15">
      <c r="A72" s="2"/>
      <c r="B72" s="2"/>
      <c r="C72" s="10"/>
      <c r="D72" s="6"/>
      <c r="E72" s="10"/>
      <c r="F72" s="8" t="str">
        <f t="shared" si="22"/>
        <v/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3"/>
      <c r="J72" s="10"/>
      <c r="K72" s="5" t="str">
        <f>IF(A72="","",IFERROR(LOOKUP(2,1/((持仓跟踪!$B$2:$B$157=A72)*(持仓跟踪!$X$2:$X$157="执行卖出")*(持仓跟踪!$Y$2:$Y$157&lt;&gt;"")),持仓跟踪!$Y$2:$Y$157),""))</f>
        <v/>
      </c>
      <c r="L72" s="8" t="str">
        <f>IF(A72="","",IFERROR(LOOKUP(2,1/((持仓跟踪!$B$2:$B$157=A72)*(持仓跟踪!$X$2:$X$157="执行卖出")*(持仓跟踪!$Z$2:$Z$157&lt;&gt;"")),持仓跟踪!$Z$2:$Z$157),""))</f>
        <v/>
      </c>
      <c r="M72" s="16" t="str">
        <f>IF(A72="","",IFERROR(LOOKUP(2,1/((持仓跟踪!$B$2:$B$157=A72)*(持仓跟踪!$X$2:$X$157="执行卖出")*(持仓跟踪!$H$2:$H$157&lt;&gt;"")),持仓跟踪!$H$2:$H$157),""))</f>
        <v/>
      </c>
      <c r="N72" s="10"/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 t="str">
        <f t="shared" si="23"/>
        <v/>
      </c>
      <c r="V72" s="7" t="str">
        <f t="shared" si="24"/>
        <v/>
      </c>
      <c r="W72" s="17" t="str">
        <f t="shared" si="25"/>
        <v/>
      </c>
      <c r="X72" s="5" t="str">
        <f t="shared" si="26"/>
        <v/>
      </c>
      <c r="Y72" s="7" t="str">
        <f t="shared" si="27"/>
        <v/>
      </c>
      <c r="Z72" s="7" t="str">
        <f>IF(OR(AE72="",多次统计数据!$B$8=""),"",AE72-多次统计数据!$B$8)</f>
        <v/>
      </c>
      <c r="AA72" s="11" t="str">
        <f t="shared" si="28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29"/>
        <v/>
      </c>
      <c r="AG72" s="2"/>
      <c r="AH72" s="2"/>
      <c r="AI72" s="2"/>
      <c r="AJ72" s="8" t="str">
        <f t="shared" si="30"/>
        <v/>
      </c>
      <c r="AK72" s="10"/>
      <c r="AL72" s="12"/>
      <c r="AM72" s="10"/>
      <c r="AN72" s="12"/>
      <c r="AO72" s="5" t="str">
        <f t="shared" si="31"/>
        <v/>
      </c>
      <c r="AP72" s="11" t="str">
        <f t="shared" si="32"/>
        <v/>
      </c>
      <c r="AQ72" s="5" t="str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/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$88)&gt;账户数据!$B$7,"违规：超过账户风险上限","通过")))))))))</f>
        <v/>
      </c>
    </row>
    <row r="73" spans="1:44" x14ac:dyDescent="0.15">
      <c r="A73" s="2"/>
      <c r="B73" s="2"/>
      <c r="C73" s="10"/>
      <c r="D73" s="6"/>
      <c r="E73" s="10"/>
      <c r="F73" s="8" t="str">
        <f t="shared" si="22"/>
        <v/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3"/>
      <c r="J73" s="10"/>
      <c r="K73" s="5" t="str">
        <f>IF(A73="","",IFERROR(LOOKUP(2,1/((持仓跟踪!$B$2:$B$157=A73)*(持仓跟踪!$X$2:$X$157="执行卖出")*(持仓跟踪!$Y$2:$Y$157&lt;&gt;"")),持仓跟踪!$Y$2:$Y$157),""))</f>
        <v/>
      </c>
      <c r="L73" s="8" t="str">
        <f>IF(A73="","",IFERROR(LOOKUP(2,1/((持仓跟踪!$B$2:$B$157=A73)*(持仓跟踪!$X$2:$X$157="执行卖出")*(持仓跟踪!$Z$2:$Z$157&lt;&gt;"")),持仓跟踪!$Z$2:$Z$157),""))</f>
        <v/>
      </c>
      <c r="M73" s="16" t="str">
        <f>IF(A73="","",IFERROR(LOOKUP(2,1/((持仓跟踪!$B$2:$B$157=A73)*(持仓跟踪!$X$2:$X$157="执行卖出")*(持仓跟踪!$H$2:$H$157&lt;&gt;"")),持仓跟踪!$H$2:$H$157),""))</f>
        <v/>
      </c>
      <c r="N73" s="10"/>
      <c r="O73" s="10"/>
      <c r="P73" s="5" t="str">
        <f>IF(A73="","",IFERROR(LOOKUP(2,1/((持仓跟踪!$B$2:$B$157=A73)*(持仓跟踪!$X$2:$X$157="执行卖出")*(持仓跟踪!$AA$2:$AA$157&lt;&gt;"")),持仓跟踪!$AA$2:$AA$157),""))</f>
        <v/>
      </c>
      <c r="Q73" s="2"/>
      <c r="R73" s="2"/>
      <c r="S73" s="2"/>
      <c r="T73" s="2"/>
      <c r="U73" s="7" t="str">
        <f t="shared" si="23"/>
        <v/>
      </c>
      <c r="V73" s="7" t="str">
        <f t="shared" si="24"/>
        <v/>
      </c>
      <c r="W73" s="17" t="str">
        <f t="shared" si="25"/>
        <v/>
      </c>
      <c r="X73" s="5" t="str">
        <f t="shared" si="26"/>
        <v/>
      </c>
      <c r="Y73" s="7" t="str">
        <f t="shared" si="27"/>
        <v/>
      </c>
      <c r="Z73" s="7" t="str">
        <f>IF(OR(AE73="",多次统计数据!$B$8=""),"",AE73-多次统计数据!$B$8)</f>
        <v/>
      </c>
      <c r="AA73" s="11" t="str">
        <f t="shared" si="28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29"/>
        <v/>
      </c>
      <c r="AG73" s="2"/>
      <c r="AH73" s="2"/>
      <c r="AI73" s="2"/>
      <c r="AJ73" s="8" t="str">
        <f t="shared" si="30"/>
        <v/>
      </c>
      <c r="AK73" s="10"/>
      <c r="AL73" s="12"/>
      <c r="AM73" s="10"/>
      <c r="AN73" s="12"/>
      <c r="AO73" s="5" t="str">
        <f t="shared" si="31"/>
        <v/>
      </c>
      <c r="AP73" s="11" t="str">
        <f t="shared" si="32"/>
        <v/>
      </c>
      <c r="AQ73" s="5" t="str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/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$88)&gt;账户数据!$B$7,"违规：超过账户风险上限","通过")))))))))</f>
        <v/>
      </c>
    </row>
    <row r="74" spans="1:44" x14ac:dyDescent="0.15">
      <c r="A74" s="2"/>
      <c r="B74" s="2"/>
      <c r="C74" s="10"/>
      <c r="D74" s="6"/>
      <c r="E74" s="10"/>
      <c r="F74" s="8" t="str">
        <f t="shared" si="22"/>
        <v/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3"/>
      <c r="J74" s="10"/>
      <c r="K74" s="5" t="str">
        <f>IF(A74="","",IFERROR(LOOKUP(2,1/((持仓跟踪!$B$2:$B$157=A74)*(持仓跟踪!$X$2:$X$157="执行卖出")*(持仓跟踪!$Y$2:$Y$157&lt;&gt;"")),持仓跟踪!$Y$2:$Y$157),""))</f>
        <v/>
      </c>
      <c r="L74" s="8" t="str">
        <f>IF(A74="","",IFERROR(LOOKUP(2,1/((持仓跟踪!$B$2:$B$157=A74)*(持仓跟踪!$X$2:$X$157="执行卖出")*(持仓跟踪!$Z$2:$Z$157&lt;&gt;"")),持仓跟踪!$Z$2:$Z$157),""))</f>
        <v/>
      </c>
      <c r="M74" s="16" t="str">
        <f>IF(A74="","",IFERROR(LOOKUP(2,1/((持仓跟踪!$B$2:$B$157=A74)*(持仓跟踪!$X$2:$X$157="执行卖出")*(持仓跟踪!$H$2:$H$157&lt;&gt;"")),持仓跟踪!$H$2:$H$157),""))</f>
        <v/>
      </c>
      <c r="N74" s="10"/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 t="str">
        <f t="shared" si="23"/>
        <v/>
      </c>
      <c r="V74" s="7" t="str">
        <f t="shared" si="24"/>
        <v/>
      </c>
      <c r="W74" s="17" t="str">
        <f t="shared" si="25"/>
        <v/>
      </c>
      <c r="X74" s="5" t="str">
        <f t="shared" si="26"/>
        <v/>
      </c>
      <c r="Y74" s="7" t="str">
        <f t="shared" si="27"/>
        <v/>
      </c>
      <c r="Z74" s="7" t="str">
        <f>IF(OR(AE74="",多次统计数据!$B$8=""),"",AE74-多次统计数据!$B$8)</f>
        <v/>
      </c>
      <c r="AA74" s="11" t="str">
        <f t="shared" si="28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29"/>
        <v/>
      </c>
      <c r="AG74" s="2"/>
      <c r="AH74" s="2"/>
      <c r="AI74" s="2"/>
      <c r="AJ74" s="8" t="str">
        <f t="shared" si="30"/>
        <v/>
      </c>
      <c r="AK74" s="10"/>
      <c r="AL74" s="12"/>
      <c r="AM74" s="10"/>
      <c r="AN74" s="12"/>
      <c r="AO74" s="5" t="str">
        <f t="shared" si="31"/>
        <v/>
      </c>
      <c r="AP74" s="11" t="str">
        <f t="shared" si="32"/>
        <v/>
      </c>
      <c r="AQ74" s="5" t="str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/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$88)&gt;账户数据!$B$7,"违规：超过账户风险上限","通过")))))))))</f>
        <v/>
      </c>
    </row>
    <row r="75" spans="1:44" x14ac:dyDescent="0.15">
      <c r="A75" s="2"/>
      <c r="B75" s="2"/>
      <c r="C75" s="10"/>
      <c r="D75" s="6"/>
      <c r="E75" s="10"/>
      <c r="F75" s="8" t="str">
        <f t="shared" si="22"/>
        <v/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3"/>
      <c r="J75" s="10"/>
      <c r="K75" s="5" t="str">
        <f>IF(A75="","",IFERROR(LOOKUP(2,1/((持仓跟踪!$B$2:$B$157=A75)*(持仓跟踪!$X$2:$X$157="执行卖出")*(持仓跟踪!$Y$2:$Y$157&lt;&gt;"")),持仓跟踪!$Y$2:$Y$157),""))</f>
        <v/>
      </c>
      <c r="L75" s="8" t="str">
        <f>IF(A75="","",IFERROR(LOOKUP(2,1/((持仓跟踪!$B$2:$B$157=A75)*(持仓跟踪!$X$2:$X$157="执行卖出")*(持仓跟踪!$Z$2:$Z$157&lt;&gt;"")),持仓跟踪!$Z$2:$Z$157),""))</f>
        <v/>
      </c>
      <c r="M75" s="16" t="str">
        <f>IF(A75="","",IFERROR(LOOKUP(2,1/((持仓跟踪!$B$2:$B$157=A75)*(持仓跟踪!$X$2:$X$157="执行卖出")*(持仓跟踪!$H$2:$H$157&lt;&gt;"")),持仓跟踪!$H$2:$H$157),""))</f>
        <v/>
      </c>
      <c r="N75" s="10"/>
      <c r="O75" s="10"/>
      <c r="P75" s="5" t="str">
        <f>IF(A75="","",IFERROR(LOOKUP(2,1/((持仓跟踪!$B$2:$B$157=A75)*(持仓跟踪!$X$2:$X$157="执行卖出")*(持仓跟踪!$AA$2:$AA$157&lt;&gt;"")),持仓跟踪!$AA$2:$AA$157),""))</f>
        <v/>
      </c>
      <c r="Q75" s="2"/>
      <c r="R75" s="2"/>
      <c r="S75" s="2"/>
      <c r="T75" s="2"/>
      <c r="U75" s="7" t="str">
        <f t="shared" si="23"/>
        <v/>
      </c>
      <c r="V75" s="7" t="str">
        <f t="shared" si="24"/>
        <v/>
      </c>
      <c r="W75" s="17" t="str">
        <f t="shared" si="25"/>
        <v/>
      </c>
      <c r="X75" s="5" t="str">
        <f t="shared" si="26"/>
        <v/>
      </c>
      <c r="Y75" s="7" t="str">
        <f t="shared" si="27"/>
        <v/>
      </c>
      <c r="Z75" s="7" t="str">
        <f>IF(OR(AE75="",多次统计数据!$B$8=""),"",AE75-多次统计数据!$B$8)</f>
        <v/>
      </c>
      <c r="AA75" s="11" t="str">
        <f t="shared" si="28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29"/>
        <v/>
      </c>
      <c r="AG75" s="2"/>
      <c r="AH75" s="2"/>
      <c r="AI75" s="2"/>
      <c r="AJ75" s="8" t="str">
        <f t="shared" si="30"/>
        <v/>
      </c>
      <c r="AK75" s="10"/>
      <c r="AL75" s="12"/>
      <c r="AM75" s="10"/>
      <c r="AN75" s="12"/>
      <c r="AO75" s="5" t="str">
        <f t="shared" si="31"/>
        <v/>
      </c>
      <c r="AP75" s="11" t="str">
        <f t="shared" si="32"/>
        <v/>
      </c>
      <c r="AQ75" s="5" t="str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/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$88)&gt;账户数据!$B$7,"违规：超过账户风险上限","通过")))))))))</f>
        <v/>
      </c>
    </row>
    <row r="76" spans="1:44" x14ac:dyDescent="0.15">
      <c r="A76" s="2"/>
      <c r="B76" s="2"/>
      <c r="C76" s="10"/>
      <c r="D76" s="6"/>
      <c r="E76" s="10"/>
      <c r="F76" s="8" t="str">
        <f t="shared" si="22"/>
        <v/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3"/>
      <c r="J76" s="10"/>
      <c r="K76" s="5" t="str">
        <f>IF(A76="","",IFERROR(LOOKUP(2,1/((持仓跟踪!$B$2:$B$157=A76)*(持仓跟踪!$X$2:$X$157="执行卖出")*(持仓跟踪!$Y$2:$Y$157&lt;&gt;"")),持仓跟踪!$Y$2:$Y$157),""))</f>
        <v/>
      </c>
      <c r="L76" s="8" t="str">
        <f>IF(A76="","",IFERROR(LOOKUP(2,1/((持仓跟踪!$B$2:$B$157=A76)*(持仓跟踪!$X$2:$X$157="执行卖出")*(持仓跟踪!$Z$2:$Z$157&lt;&gt;"")),持仓跟踪!$Z$2:$Z$157),""))</f>
        <v/>
      </c>
      <c r="M76" s="16" t="str">
        <f>IF(A76="","",IFERROR(LOOKUP(2,1/((持仓跟踪!$B$2:$B$157=A76)*(持仓跟踪!$X$2:$X$157="执行卖出")*(持仓跟踪!$H$2:$H$157&lt;&gt;"")),持仓跟踪!$H$2:$H$157),""))</f>
        <v/>
      </c>
      <c r="N76" s="10"/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 t="str">
        <f t="shared" si="23"/>
        <v/>
      </c>
      <c r="V76" s="7" t="str">
        <f t="shared" si="24"/>
        <v/>
      </c>
      <c r="W76" s="17" t="str">
        <f t="shared" si="25"/>
        <v/>
      </c>
      <c r="X76" s="5" t="str">
        <f t="shared" si="26"/>
        <v/>
      </c>
      <c r="Y76" s="7" t="str">
        <f t="shared" si="27"/>
        <v/>
      </c>
      <c r="Z76" s="7" t="str">
        <f>IF(OR(AE76="",多次统计数据!$B$8=""),"",AE76-多次统计数据!$B$8)</f>
        <v/>
      </c>
      <c r="AA76" s="11" t="str">
        <f t="shared" si="28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29"/>
        <v/>
      </c>
      <c r="AG76" s="2"/>
      <c r="AH76" s="2"/>
      <c r="AI76" s="2"/>
      <c r="AJ76" s="8" t="str">
        <f t="shared" si="30"/>
        <v/>
      </c>
      <c r="AK76" s="10"/>
      <c r="AL76" s="12"/>
      <c r="AM76" s="10"/>
      <c r="AN76" s="12"/>
      <c r="AO76" s="5" t="str">
        <f t="shared" si="31"/>
        <v/>
      </c>
      <c r="AP76" s="11" t="str">
        <f t="shared" si="32"/>
        <v/>
      </c>
      <c r="AQ76" s="5" t="str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/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$88)&gt;账户数据!$B$7,"违规：超过账户风险上限","通过")))))))))</f>
        <v/>
      </c>
    </row>
    <row r="77" spans="1:44" x14ac:dyDescent="0.15">
      <c r="A77" s="2"/>
      <c r="B77" s="2"/>
      <c r="C77" s="10"/>
      <c r="D77" s="6"/>
      <c r="E77" s="10"/>
      <c r="F77" s="8" t="str">
        <f t="shared" si="22"/>
        <v/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3"/>
      <c r="J77" s="10"/>
      <c r="K77" s="5" t="str">
        <f>IF(A77="","",IFERROR(LOOKUP(2,1/((持仓跟踪!$B$2:$B$157=A77)*(持仓跟踪!$X$2:$X$157="执行卖出")*(持仓跟踪!$Y$2:$Y$157&lt;&gt;"")),持仓跟踪!$Y$2:$Y$157),""))</f>
        <v/>
      </c>
      <c r="L77" s="8" t="str">
        <f>IF(A77="","",IFERROR(LOOKUP(2,1/((持仓跟踪!$B$2:$B$157=A77)*(持仓跟踪!$X$2:$X$157="执行卖出")*(持仓跟踪!$Z$2:$Z$157&lt;&gt;"")),持仓跟踪!$Z$2:$Z$157),""))</f>
        <v/>
      </c>
      <c r="M77" s="16" t="str">
        <f>IF(A77="","",IFERROR(LOOKUP(2,1/((持仓跟踪!$B$2:$B$157=A77)*(持仓跟踪!$X$2:$X$157="执行卖出")*(持仓跟踪!$H$2:$H$157&lt;&gt;"")),持仓跟踪!$H$2:$H$157),""))</f>
        <v/>
      </c>
      <c r="N77" s="10"/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 t="str">
        <f t="shared" si="23"/>
        <v/>
      </c>
      <c r="V77" s="7" t="str">
        <f t="shared" si="24"/>
        <v/>
      </c>
      <c r="W77" s="17" t="str">
        <f t="shared" si="25"/>
        <v/>
      </c>
      <c r="X77" s="5" t="str">
        <f t="shared" si="26"/>
        <v/>
      </c>
      <c r="Y77" s="7" t="str">
        <f t="shared" si="27"/>
        <v/>
      </c>
      <c r="Z77" s="7" t="str">
        <f>IF(OR(AE77="",多次统计数据!$B$8=""),"",AE77-多次统计数据!$B$8)</f>
        <v/>
      </c>
      <c r="AA77" s="11" t="str">
        <f t="shared" si="28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29"/>
        <v/>
      </c>
      <c r="AG77" s="2"/>
      <c r="AH77" s="2"/>
      <c r="AI77" s="2"/>
      <c r="AJ77" s="8" t="str">
        <f t="shared" si="30"/>
        <v/>
      </c>
      <c r="AK77" s="10"/>
      <c r="AL77" s="12"/>
      <c r="AM77" s="10"/>
      <c r="AN77" s="12"/>
      <c r="AO77" s="5" t="str">
        <f t="shared" si="31"/>
        <v/>
      </c>
      <c r="AP77" s="11" t="str">
        <f t="shared" si="32"/>
        <v/>
      </c>
      <c r="AQ77" s="5" t="str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/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$88)&gt;账户数据!$B$7,"违规：超过账户风险上限","通过")))))))))</f>
        <v/>
      </c>
    </row>
    <row r="78" spans="1:44" x14ac:dyDescent="0.15">
      <c r="A78" s="2"/>
      <c r="B78" s="2"/>
      <c r="C78" s="10"/>
      <c r="D78" s="6"/>
      <c r="E78" s="10"/>
      <c r="F78" s="8" t="str">
        <f t="shared" si="22"/>
        <v/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3"/>
      <c r="J78" s="10"/>
      <c r="K78" s="5" t="str">
        <f>IF(A78="","",IFERROR(LOOKUP(2,1/((持仓跟踪!$B$2:$B$157=A78)*(持仓跟踪!$X$2:$X$157="执行卖出")*(持仓跟踪!$Y$2:$Y$157&lt;&gt;"")),持仓跟踪!$Y$2:$Y$157),""))</f>
        <v/>
      </c>
      <c r="L78" s="8" t="str">
        <f>IF(A78="","",IFERROR(LOOKUP(2,1/((持仓跟踪!$B$2:$B$157=A78)*(持仓跟踪!$X$2:$X$157="执行卖出")*(持仓跟踪!$Z$2:$Z$157&lt;&gt;"")),持仓跟踪!$Z$2:$Z$157),""))</f>
        <v/>
      </c>
      <c r="M78" s="16" t="str">
        <f>IF(A78="","",IFERROR(LOOKUP(2,1/((持仓跟踪!$B$2:$B$157=A78)*(持仓跟踪!$X$2:$X$157="执行卖出")*(持仓跟踪!$H$2:$H$157&lt;&gt;"")),持仓跟踪!$H$2:$H$157),""))</f>
        <v/>
      </c>
      <c r="N78" s="10"/>
      <c r="O78" s="10"/>
      <c r="P78" s="5" t="str">
        <f>IF(A78="","",IFERROR(LOOKUP(2,1/((持仓跟踪!$B$2:$B$157=A78)*(持仓跟踪!$X$2:$X$157="执行卖出")*(持仓跟踪!$AA$2:$AA$157&lt;&gt;"")),持仓跟踪!$AA$2:$AA$157),""))</f>
        <v/>
      </c>
      <c r="Q78" s="2"/>
      <c r="R78" s="2"/>
      <c r="S78" s="2"/>
      <c r="T78" s="2"/>
      <c r="U78" s="7" t="str">
        <f t="shared" si="23"/>
        <v/>
      </c>
      <c r="V78" s="7" t="str">
        <f t="shared" si="24"/>
        <v/>
      </c>
      <c r="W78" s="17" t="str">
        <f t="shared" si="25"/>
        <v/>
      </c>
      <c r="X78" s="5" t="str">
        <f t="shared" si="26"/>
        <v/>
      </c>
      <c r="Y78" s="7" t="str">
        <f t="shared" si="27"/>
        <v/>
      </c>
      <c r="Z78" s="7" t="str">
        <f>IF(OR(AE78="",多次统计数据!$B$8=""),"",AE78-多次统计数据!$B$8)</f>
        <v/>
      </c>
      <c r="AA78" s="11" t="str">
        <f t="shared" si="28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29"/>
        <v/>
      </c>
      <c r="AG78" s="2"/>
      <c r="AH78" s="2"/>
      <c r="AI78" s="2"/>
      <c r="AJ78" s="8" t="str">
        <f t="shared" si="30"/>
        <v/>
      </c>
      <c r="AK78" s="10"/>
      <c r="AL78" s="12"/>
      <c r="AM78" s="10"/>
      <c r="AN78" s="12"/>
      <c r="AO78" s="5" t="str">
        <f t="shared" si="31"/>
        <v/>
      </c>
      <c r="AP78" s="11" t="str">
        <f t="shared" si="32"/>
        <v/>
      </c>
      <c r="AQ78" s="5" t="str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/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$88)&gt;账户数据!$B$7,"违规：超过账户风险上限","通过")))))))))</f>
        <v/>
      </c>
    </row>
    <row r="79" spans="1:44" x14ac:dyDescent="0.15">
      <c r="A79" s="2"/>
      <c r="B79" s="2"/>
      <c r="C79" s="10"/>
      <c r="D79" s="6"/>
      <c r="E79" s="10"/>
      <c r="F79" s="8" t="str">
        <f t="shared" si="22"/>
        <v/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3"/>
      <c r="J79" s="10"/>
      <c r="K79" s="5" t="str">
        <f>IF(A79="","",IFERROR(LOOKUP(2,1/((持仓跟踪!$B$2:$B$157=A79)*(持仓跟踪!$X$2:$X$157="执行卖出")*(持仓跟踪!$Y$2:$Y$157&lt;&gt;"")),持仓跟踪!$Y$2:$Y$157),""))</f>
        <v/>
      </c>
      <c r="L79" s="8" t="str">
        <f>IF(A79="","",IFERROR(LOOKUP(2,1/((持仓跟踪!$B$2:$B$157=A79)*(持仓跟踪!$X$2:$X$157="执行卖出")*(持仓跟踪!$Z$2:$Z$157&lt;&gt;"")),持仓跟踪!$Z$2:$Z$157),""))</f>
        <v/>
      </c>
      <c r="M79" s="16" t="str">
        <f>IF(A79="","",IFERROR(LOOKUP(2,1/((持仓跟踪!$B$2:$B$157=A79)*(持仓跟踪!$X$2:$X$157="执行卖出")*(持仓跟踪!$H$2:$H$157&lt;&gt;"")),持仓跟踪!$H$2:$H$157),""))</f>
        <v/>
      </c>
      <c r="N79" s="10"/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 t="str">
        <f t="shared" si="23"/>
        <v/>
      </c>
      <c r="V79" s="7" t="str">
        <f t="shared" si="24"/>
        <v/>
      </c>
      <c r="W79" s="17" t="str">
        <f t="shared" si="25"/>
        <v/>
      </c>
      <c r="X79" s="5" t="str">
        <f t="shared" si="26"/>
        <v/>
      </c>
      <c r="Y79" s="7" t="str">
        <f t="shared" si="27"/>
        <v/>
      </c>
      <c r="Z79" s="7" t="str">
        <f>IF(OR(AE79="",多次统计数据!$B$8=""),"",AE79-多次统计数据!$B$8)</f>
        <v/>
      </c>
      <c r="AA79" s="11" t="str">
        <f t="shared" si="28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29"/>
        <v/>
      </c>
      <c r="AG79" s="2"/>
      <c r="AH79" s="2"/>
      <c r="AI79" s="2"/>
      <c r="AJ79" s="8" t="str">
        <f t="shared" si="30"/>
        <v/>
      </c>
      <c r="AK79" s="10"/>
      <c r="AL79" s="12"/>
      <c r="AM79" s="10"/>
      <c r="AN79" s="12"/>
      <c r="AO79" s="5" t="str">
        <f t="shared" si="31"/>
        <v/>
      </c>
      <c r="AP79" s="11" t="str">
        <f t="shared" si="32"/>
        <v/>
      </c>
      <c r="AQ79" s="5" t="str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/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$88)&gt;账户数据!$B$7,"违规：超过账户风险上限","通过")))))))))</f>
        <v/>
      </c>
    </row>
    <row r="80" spans="1:44" x14ac:dyDescent="0.15">
      <c r="A80" s="2"/>
      <c r="B80" s="2"/>
      <c r="C80" s="10"/>
      <c r="D80" s="6"/>
      <c r="E80" s="10"/>
      <c r="F80" s="8" t="str">
        <f t="shared" si="22"/>
        <v/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3"/>
      <c r="J80" s="10"/>
      <c r="K80" s="5" t="str">
        <f>IF(A80="","",IFERROR(LOOKUP(2,1/((持仓跟踪!$B$2:$B$157=A80)*(持仓跟踪!$X$2:$X$157="执行卖出")*(持仓跟踪!$Y$2:$Y$157&lt;&gt;"")),持仓跟踪!$Y$2:$Y$157),""))</f>
        <v/>
      </c>
      <c r="L80" s="8" t="str">
        <f>IF(A80="","",IFERROR(LOOKUP(2,1/((持仓跟踪!$B$2:$B$157=A80)*(持仓跟踪!$X$2:$X$157="执行卖出")*(持仓跟踪!$Z$2:$Z$157&lt;&gt;"")),持仓跟踪!$Z$2:$Z$157),""))</f>
        <v/>
      </c>
      <c r="M80" s="16" t="str">
        <f>IF(A80="","",IFERROR(LOOKUP(2,1/((持仓跟踪!$B$2:$B$157=A80)*(持仓跟踪!$X$2:$X$157="执行卖出")*(持仓跟踪!$H$2:$H$157&lt;&gt;"")),持仓跟踪!$H$2:$H$157),""))</f>
        <v/>
      </c>
      <c r="N80" s="10"/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 t="str">
        <f t="shared" si="23"/>
        <v/>
      </c>
      <c r="V80" s="7" t="str">
        <f t="shared" si="24"/>
        <v/>
      </c>
      <c r="W80" s="17" t="str">
        <f t="shared" si="25"/>
        <v/>
      </c>
      <c r="X80" s="5" t="str">
        <f t="shared" si="26"/>
        <v/>
      </c>
      <c r="Y80" s="7" t="str">
        <f t="shared" si="27"/>
        <v/>
      </c>
      <c r="Z80" s="7" t="str">
        <f>IF(OR(AE80="",多次统计数据!$B$8=""),"",AE80-多次统计数据!$B$8)</f>
        <v/>
      </c>
      <c r="AA80" s="11" t="str">
        <f t="shared" si="28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29"/>
        <v/>
      </c>
      <c r="AG80" s="2"/>
      <c r="AH80" s="2"/>
      <c r="AI80" s="2"/>
      <c r="AJ80" s="8" t="str">
        <f t="shared" si="30"/>
        <v/>
      </c>
      <c r="AK80" s="10"/>
      <c r="AL80" s="12"/>
      <c r="AM80" s="10"/>
      <c r="AN80" s="12"/>
      <c r="AO80" s="5" t="str">
        <f t="shared" si="31"/>
        <v/>
      </c>
      <c r="AP80" s="11" t="str">
        <f t="shared" si="32"/>
        <v/>
      </c>
      <c r="AQ80" s="5" t="str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/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$88)&gt;账户数据!$B$7,"违规：超过账户风险上限","通过")))))))))</f>
        <v/>
      </c>
    </row>
    <row r="81" spans="1:44" x14ac:dyDescent="0.15">
      <c r="A81" s="2"/>
      <c r="B81" s="2"/>
      <c r="C81" s="10"/>
      <c r="D81" s="6"/>
      <c r="E81" s="10"/>
      <c r="F81" s="8" t="str">
        <f t="shared" ref="F81:F88" si="33">IF(OR(C81="",D81="",E81="",N81="",C81&lt;=0,D81&lt;=0,E81&lt;=N81),"",ROUNDDOWN((C81*D81)/(E81-N81)/100,0)*100)</f>
        <v/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3"/>
      <c r="J81" s="10"/>
      <c r="K81" s="5" t="str">
        <f>IF(A81="","",IFERROR(LOOKUP(2,1/((持仓跟踪!$B$2:$B$157=A81)*(持仓跟踪!$X$2:$X$157="执行卖出")*(持仓跟踪!$Y$2:$Y$157&lt;&gt;"")),持仓跟踪!$Y$2:$Y$157),""))</f>
        <v/>
      </c>
      <c r="L81" s="8" t="str">
        <f>IF(A81="","",IFERROR(LOOKUP(2,1/((持仓跟踪!$B$2:$B$157=A81)*(持仓跟踪!$X$2:$X$157="执行卖出")*(持仓跟踪!$Z$2:$Z$157&lt;&gt;"")),持仓跟踪!$Z$2:$Z$157),""))</f>
        <v/>
      </c>
      <c r="M81" s="16" t="str">
        <f>IF(A81="","",IFERROR(LOOKUP(2,1/((持仓跟踪!$B$2:$B$157=A81)*(持仓跟踪!$X$2:$X$157="执行卖出")*(持仓跟踪!$H$2:$H$157&lt;&gt;"")),持仓跟踪!$H$2:$H$157),""))</f>
        <v/>
      </c>
      <c r="N81" s="10"/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 t="str">
        <f t="shared" ref="U81:U88" si="34">IF(OR(AO81="",J81="",AO81&lt;=0),"",(J81-AO81)/AO81)</f>
        <v/>
      </c>
      <c r="V81" s="7" t="str">
        <f t="shared" ref="V81:V88" si="35">IF(OR(AO81="",N81="",AO81&lt;=0),"",(AO81-N81)/AO81)</f>
        <v/>
      </c>
      <c r="W81" s="17" t="str">
        <f t="shared" ref="W81:W88" si="36">IF(OR(U81="",V81="",V81&lt;=0),"",U81/V81)</f>
        <v/>
      </c>
      <c r="X81" s="5" t="str">
        <f t="shared" ref="X81:X88" si="37">IF(OR(K81="",L81="",AP81=""),"",K81*L81-(E81*H81+IF(AND(AK81&lt;&gt;"",AL81&lt;&gt;""),AK81*AL81,0)+IF(AND(AM81&lt;&gt;"",AN81&lt;&gt;""),AM81*AN81,0))-IF(O81="",0,O81)-IF(P81="",0,P81))</f>
        <v/>
      </c>
      <c r="Y81" s="7" t="str">
        <f t="shared" ref="Y81:Y88" si="38"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 t="shared" ref="AA81:AA88" si="39"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ref="AE81:AE88" si="40">IF(OR(X81="",C81="",C81&lt;=0),"",X81/C81)</f>
        <v/>
      </c>
      <c r="AG81" s="2"/>
      <c r="AH81" s="2"/>
      <c r="AI81" s="2"/>
      <c r="AJ81" s="8" t="str">
        <f t="shared" ref="AJ81:AJ88" si="41"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 t="shared" ref="AO81:AO88" si="42">IF(OR(A81="",H81="",H81&lt;=0),"",(E81*H81+IF(AND(AK81&lt;&gt;"",AL81&lt;&gt;""),AK81*AL81,0)+IF(AND(AM81&lt;&gt;"",AN81&lt;&gt;""),AM81*AN81,0))/AP81)</f>
        <v/>
      </c>
      <c r="AP81" s="11" t="str">
        <f t="shared" ref="AP81:AP88" si="43">IF(OR(A81="",H81="",H81&lt;=0),"",H81+IF(AL81="",0,AL81)+IF(AN81="",0,AN81))</f>
        <v/>
      </c>
      <c r="AQ81" s="5" t="str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/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$88)&gt;账户数据!$B$7,"违规：超过账户风险上限","通过")))))))))</f>
        <v/>
      </c>
    </row>
    <row r="82" spans="1:44" x14ac:dyDescent="0.15">
      <c r="A82" s="2"/>
      <c r="B82" s="2"/>
      <c r="C82" s="10"/>
      <c r="D82" s="6"/>
      <c r="E82" s="10"/>
      <c r="F82" s="8" t="str">
        <f t="shared" si="33"/>
        <v/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3"/>
      <c r="J82" s="10"/>
      <c r="K82" s="5" t="str">
        <f>IF(A82="","",IFERROR(LOOKUP(2,1/((持仓跟踪!$B$2:$B$157=A82)*(持仓跟踪!$X$2:$X$157="执行卖出")*(持仓跟踪!$Y$2:$Y$157&lt;&gt;"")),持仓跟踪!$Y$2:$Y$157),""))</f>
        <v/>
      </c>
      <c r="L82" s="8" t="str">
        <f>IF(A82="","",IFERROR(LOOKUP(2,1/((持仓跟踪!$B$2:$B$157=A82)*(持仓跟踪!$X$2:$X$157="执行卖出")*(持仓跟踪!$Z$2:$Z$157&lt;&gt;"")),持仓跟踪!$Z$2:$Z$157),""))</f>
        <v/>
      </c>
      <c r="M82" s="16" t="str">
        <f>IF(A82="","",IFERROR(LOOKUP(2,1/((持仓跟踪!$B$2:$B$157=A82)*(持仓跟踪!$X$2:$X$157="执行卖出")*(持仓跟踪!$H$2:$H$157&lt;&gt;"")),持仓跟踪!$H$2:$H$157),""))</f>
        <v/>
      </c>
      <c r="N82" s="10"/>
      <c r="O82" s="10"/>
      <c r="P82" s="5" t="str">
        <f>IF(A82="","",IFERROR(LOOKUP(2,1/((持仓跟踪!$B$2:$B$157=A82)*(持仓跟踪!$X$2:$X$157="执行卖出")*(持仓跟踪!$AA$2:$AA$157&lt;&gt;"")),持仓跟踪!$AA$2:$AA$157),""))</f>
        <v/>
      </c>
      <c r="Q82" s="2"/>
      <c r="R82" s="2"/>
      <c r="S82" s="2"/>
      <c r="T82" s="2"/>
      <c r="U82" s="7" t="str">
        <f t="shared" si="34"/>
        <v/>
      </c>
      <c r="V82" s="7" t="str">
        <f t="shared" si="35"/>
        <v/>
      </c>
      <c r="W82" s="17" t="str">
        <f t="shared" si="36"/>
        <v/>
      </c>
      <c r="X82" s="5" t="str">
        <f t="shared" si="37"/>
        <v/>
      </c>
      <c r="Y82" s="7" t="str">
        <f t="shared" si="38"/>
        <v/>
      </c>
      <c r="Z82" s="7" t="str">
        <f>IF(OR(AE82="",多次统计数据!$B$8=""),"",AE82-多次统计数据!$B$8)</f>
        <v/>
      </c>
      <c r="AA82" s="11" t="str">
        <f t="shared" si="39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40"/>
        <v/>
      </c>
      <c r="AG82" s="2"/>
      <c r="AH82" s="2"/>
      <c r="AI82" s="2"/>
      <c r="AJ82" s="8" t="str">
        <f t="shared" si="41"/>
        <v/>
      </c>
      <c r="AK82" s="10"/>
      <c r="AL82" s="12"/>
      <c r="AM82" s="10"/>
      <c r="AN82" s="12"/>
      <c r="AO82" s="5" t="str">
        <f t="shared" si="42"/>
        <v/>
      </c>
      <c r="AP82" s="11" t="str">
        <f t="shared" si="43"/>
        <v/>
      </c>
      <c r="AQ82" s="5" t="str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/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$88)&gt;账户数据!$B$7,"违规：超过账户风险上限","通过")))))))))</f>
        <v/>
      </c>
    </row>
    <row r="83" spans="1:44" x14ac:dyDescent="0.15">
      <c r="A83" s="2"/>
      <c r="B83" s="2"/>
      <c r="C83" s="10"/>
      <c r="D83" s="6"/>
      <c r="E83" s="10"/>
      <c r="F83" s="8" t="str">
        <f t="shared" si="33"/>
        <v/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3"/>
      <c r="J83" s="10"/>
      <c r="K83" s="5" t="str">
        <f>IF(A83="","",IFERROR(LOOKUP(2,1/((持仓跟踪!$B$2:$B$157=A83)*(持仓跟踪!$X$2:$X$157="执行卖出")*(持仓跟踪!$Y$2:$Y$157&lt;&gt;"")),持仓跟踪!$Y$2:$Y$157),""))</f>
        <v/>
      </c>
      <c r="L83" s="8" t="str">
        <f>IF(A83="","",IFERROR(LOOKUP(2,1/((持仓跟踪!$B$2:$B$157=A83)*(持仓跟踪!$X$2:$X$157="执行卖出")*(持仓跟踪!$Z$2:$Z$157&lt;&gt;"")),持仓跟踪!$Z$2:$Z$157),""))</f>
        <v/>
      </c>
      <c r="M83" s="16" t="str">
        <f>IF(A83="","",IFERROR(LOOKUP(2,1/((持仓跟踪!$B$2:$B$157=A83)*(持仓跟踪!$X$2:$X$157="执行卖出")*(持仓跟踪!$H$2:$H$157&lt;&gt;"")),持仓跟踪!$H$2:$H$157),""))</f>
        <v/>
      </c>
      <c r="N83" s="10"/>
      <c r="O83" s="10"/>
      <c r="P83" s="5" t="str">
        <f>IF(A83="","",IFERROR(LOOKUP(2,1/((持仓跟踪!$B$2:$B$157=A83)*(持仓跟踪!$X$2:$X$157="执行卖出")*(持仓跟踪!$AA$2:$AA$157&lt;&gt;"")),持仓跟踪!$AA$2:$AA$157),""))</f>
        <v/>
      </c>
      <c r="Q83" s="2"/>
      <c r="R83" s="2"/>
      <c r="S83" s="2"/>
      <c r="T83" s="2"/>
      <c r="U83" s="7" t="str">
        <f t="shared" si="34"/>
        <v/>
      </c>
      <c r="V83" s="7" t="str">
        <f t="shared" si="35"/>
        <v/>
      </c>
      <c r="W83" s="17" t="str">
        <f t="shared" si="36"/>
        <v/>
      </c>
      <c r="X83" s="5" t="str">
        <f t="shared" si="37"/>
        <v/>
      </c>
      <c r="Y83" s="7" t="str">
        <f t="shared" si="38"/>
        <v/>
      </c>
      <c r="Z83" s="7" t="str">
        <f>IF(OR(AE83="",多次统计数据!$B$8=""),"",AE83-多次统计数据!$B$8)</f>
        <v/>
      </c>
      <c r="AA83" s="11" t="str">
        <f t="shared" si="39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40"/>
        <v/>
      </c>
      <c r="AG83" s="2"/>
      <c r="AH83" s="2"/>
      <c r="AI83" s="2"/>
      <c r="AJ83" s="8" t="str">
        <f t="shared" si="41"/>
        <v/>
      </c>
      <c r="AK83" s="10"/>
      <c r="AL83" s="12"/>
      <c r="AM83" s="10"/>
      <c r="AN83" s="12"/>
      <c r="AO83" s="5" t="str">
        <f t="shared" si="42"/>
        <v/>
      </c>
      <c r="AP83" s="11" t="str">
        <f t="shared" si="43"/>
        <v/>
      </c>
      <c r="AQ83" s="5" t="str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/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$88)&gt;账户数据!$B$7,"违规：超过账户风险上限","通过")))))))))</f>
        <v/>
      </c>
    </row>
    <row r="84" spans="1:44" x14ac:dyDescent="0.15">
      <c r="A84" s="2"/>
      <c r="B84" s="2"/>
      <c r="C84" s="10"/>
      <c r="D84" s="6"/>
      <c r="E84" s="10"/>
      <c r="F84" s="8" t="str">
        <f t="shared" si="33"/>
        <v/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3"/>
      <c r="J84" s="10"/>
      <c r="K84" s="5" t="str">
        <f>IF(A84="","",IFERROR(LOOKUP(2,1/((持仓跟踪!$B$2:$B$157=A84)*(持仓跟踪!$X$2:$X$157="执行卖出")*(持仓跟踪!$Y$2:$Y$157&lt;&gt;"")),持仓跟踪!$Y$2:$Y$157),""))</f>
        <v/>
      </c>
      <c r="L84" s="8" t="str">
        <f>IF(A84="","",IFERROR(LOOKUP(2,1/((持仓跟踪!$B$2:$B$157=A84)*(持仓跟踪!$X$2:$X$157="执行卖出")*(持仓跟踪!$Z$2:$Z$157&lt;&gt;"")),持仓跟踪!$Z$2:$Z$157),""))</f>
        <v/>
      </c>
      <c r="M84" s="16" t="str">
        <f>IF(A84="","",IFERROR(LOOKUP(2,1/((持仓跟踪!$B$2:$B$157=A84)*(持仓跟踪!$X$2:$X$157="执行卖出")*(持仓跟踪!$H$2:$H$157&lt;&gt;"")),持仓跟踪!$H$2:$H$157),""))</f>
        <v/>
      </c>
      <c r="N84" s="10"/>
      <c r="O84" s="10"/>
      <c r="P84" s="5" t="str">
        <f>IF(A84="","",IFERROR(LOOKUP(2,1/((持仓跟踪!$B$2:$B$157=A84)*(持仓跟踪!$X$2:$X$157="执行卖出")*(持仓跟踪!$AA$2:$AA$157&lt;&gt;"")),持仓跟踪!$AA$2:$AA$157),""))</f>
        <v/>
      </c>
      <c r="Q84" s="2"/>
      <c r="R84" s="2"/>
      <c r="S84" s="2"/>
      <c r="T84" s="2"/>
      <c r="U84" s="7" t="str">
        <f t="shared" si="34"/>
        <v/>
      </c>
      <c r="V84" s="7" t="str">
        <f t="shared" si="35"/>
        <v/>
      </c>
      <c r="W84" s="17" t="str">
        <f t="shared" si="36"/>
        <v/>
      </c>
      <c r="X84" s="5" t="str">
        <f t="shared" si="37"/>
        <v/>
      </c>
      <c r="Y84" s="7" t="str">
        <f t="shared" si="38"/>
        <v/>
      </c>
      <c r="Z84" s="7" t="str">
        <f>IF(OR(AE84="",多次统计数据!$B$8=""),"",AE84-多次统计数据!$B$8)</f>
        <v/>
      </c>
      <c r="AA84" s="11" t="str">
        <f t="shared" si="39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40"/>
        <v/>
      </c>
      <c r="AG84" s="2"/>
      <c r="AH84" s="2"/>
      <c r="AI84" s="2"/>
      <c r="AJ84" s="8" t="str">
        <f t="shared" si="41"/>
        <v/>
      </c>
      <c r="AK84" s="10"/>
      <c r="AL84" s="12"/>
      <c r="AM84" s="10"/>
      <c r="AN84" s="12"/>
      <c r="AO84" s="5" t="str">
        <f t="shared" si="42"/>
        <v/>
      </c>
      <c r="AP84" s="11" t="str">
        <f t="shared" si="43"/>
        <v/>
      </c>
      <c r="AQ84" s="5" t="str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/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$88)&gt;账户数据!$B$7,"违规：超过账户风险上限","通过")))))))))</f>
        <v/>
      </c>
    </row>
    <row r="85" spans="1:44" x14ac:dyDescent="0.15">
      <c r="A85" s="2"/>
      <c r="B85" s="2"/>
      <c r="C85" s="10"/>
      <c r="D85" s="6"/>
      <c r="E85" s="10"/>
      <c r="F85" s="8" t="str">
        <f t="shared" si="33"/>
        <v/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3"/>
      <c r="J85" s="10"/>
      <c r="K85" s="5" t="str">
        <f>IF(A85="","",IFERROR(LOOKUP(2,1/((持仓跟踪!$B$2:$B$157=A85)*(持仓跟踪!$X$2:$X$157="执行卖出")*(持仓跟踪!$Y$2:$Y$157&lt;&gt;"")),持仓跟踪!$Y$2:$Y$157),""))</f>
        <v/>
      </c>
      <c r="L85" s="8" t="str">
        <f>IF(A85="","",IFERROR(LOOKUP(2,1/((持仓跟踪!$B$2:$B$157=A85)*(持仓跟踪!$X$2:$X$157="执行卖出")*(持仓跟踪!$Z$2:$Z$157&lt;&gt;"")),持仓跟踪!$Z$2:$Z$157),""))</f>
        <v/>
      </c>
      <c r="M85" s="16" t="str">
        <f>IF(A85="","",IFERROR(LOOKUP(2,1/((持仓跟踪!$B$2:$B$157=A85)*(持仓跟踪!$X$2:$X$157="执行卖出")*(持仓跟踪!$H$2:$H$157&lt;&gt;"")),持仓跟踪!$H$2:$H$157),""))</f>
        <v/>
      </c>
      <c r="N85" s="10"/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 t="str">
        <f t="shared" si="34"/>
        <v/>
      </c>
      <c r="V85" s="7" t="str">
        <f t="shared" si="35"/>
        <v/>
      </c>
      <c r="W85" s="17" t="str">
        <f t="shared" si="36"/>
        <v/>
      </c>
      <c r="X85" s="5" t="str">
        <f t="shared" si="37"/>
        <v/>
      </c>
      <c r="Y85" s="7" t="str">
        <f t="shared" si="38"/>
        <v/>
      </c>
      <c r="Z85" s="7" t="str">
        <f>IF(OR(AE85="",多次统计数据!$B$8=""),"",AE85-多次统计数据!$B$8)</f>
        <v/>
      </c>
      <c r="AA85" s="11" t="str">
        <f t="shared" si="39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40"/>
        <v/>
      </c>
      <c r="AG85" s="2"/>
      <c r="AH85" s="2"/>
      <c r="AI85" s="2"/>
      <c r="AJ85" s="8" t="str">
        <f t="shared" si="41"/>
        <v/>
      </c>
      <c r="AK85" s="10"/>
      <c r="AL85" s="12"/>
      <c r="AM85" s="10"/>
      <c r="AN85" s="12"/>
      <c r="AO85" s="5" t="str">
        <f t="shared" si="42"/>
        <v/>
      </c>
      <c r="AP85" s="11" t="str">
        <f t="shared" si="43"/>
        <v/>
      </c>
      <c r="AQ85" s="5" t="str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/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$88)&gt;账户数据!$B$7,"违规：超过账户风险上限","通过")))))))))</f>
        <v/>
      </c>
    </row>
    <row r="86" spans="1:44" x14ac:dyDescent="0.15">
      <c r="A86" s="2"/>
      <c r="B86" s="2"/>
      <c r="C86" s="10"/>
      <c r="D86" s="6"/>
      <c r="E86" s="10"/>
      <c r="F86" s="8" t="str">
        <f t="shared" si="33"/>
        <v/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3"/>
      <c r="J86" s="10"/>
      <c r="K86" s="5" t="str">
        <f>IF(A86="","",IFERROR(LOOKUP(2,1/((持仓跟踪!$B$2:$B$157=A86)*(持仓跟踪!$X$2:$X$157="执行卖出")*(持仓跟踪!$Y$2:$Y$157&lt;&gt;"")),持仓跟踪!$Y$2:$Y$157),""))</f>
        <v/>
      </c>
      <c r="L86" s="8" t="str">
        <f>IF(A86="","",IFERROR(LOOKUP(2,1/((持仓跟踪!$B$2:$B$157=A86)*(持仓跟踪!$X$2:$X$157="执行卖出")*(持仓跟踪!$Z$2:$Z$157&lt;&gt;"")),持仓跟踪!$Z$2:$Z$157),""))</f>
        <v/>
      </c>
      <c r="M86" s="16" t="str">
        <f>IF(A86="","",IFERROR(LOOKUP(2,1/((持仓跟踪!$B$2:$B$157=A86)*(持仓跟踪!$X$2:$X$157="执行卖出")*(持仓跟踪!$H$2:$H$157&lt;&gt;"")),持仓跟踪!$H$2:$H$157),""))</f>
        <v/>
      </c>
      <c r="N86" s="10"/>
      <c r="O86" s="10"/>
      <c r="P86" s="5" t="str">
        <f>IF(A86="","",IFERROR(LOOKUP(2,1/((持仓跟踪!$B$2:$B$157=A86)*(持仓跟踪!$X$2:$X$157="执行卖出")*(持仓跟踪!$AA$2:$AA$157&lt;&gt;"")),持仓跟踪!$AA$2:$AA$157),""))</f>
        <v/>
      </c>
      <c r="Q86" s="2"/>
      <c r="R86" s="2"/>
      <c r="S86" s="2"/>
      <c r="T86" s="2"/>
      <c r="U86" s="7" t="str">
        <f t="shared" si="34"/>
        <v/>
      </c>
      <c r="V86" s="7" t="str">
        <f t="shared" si="35"/>
        <v/>
      </c>
      <c r="W86" s="17" t="str">
        <f t="shared" si="36"/>
        <v/>
      </c>
      <c r="X86" s="5" t="str">
        <f t="shared" si="37"/>
        <v/>
      </c>
      <c r="Y86" s="7" t="str">
        <f t="shared" si="38"/>
        <v/>
      </c>
      <c r="Z86" s="7" t="str">
        <f>IF(OR(AE86="",多次统计数据!$B$8=""),"",AE86-多次统计数据!$B$8)</f>
        <v/>
      </c>
      <c r="AA86" s="11" t="str">
        <f t="shared" si="39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40"/>
        <v/>
      </c>
      <c r="AG86" s="2"/>
      <c r="AH86" s="2"/>
      <c r="AI86" s="2"/>
      <c r="AJ86" s="8" t="str">
        <f t="shared" si="41"/>
        <v/>
      </c>
      <c r="AK86" s="10"/>
      <c r="AL86" s="12"/>
      <c r="AM86" s="10"/>
      <c r="AN86" s="12"/>
      <c r="AO86" s="5" t="str">
        <f t="shared" si="42"/>
        <v/>
      </c>
      <c r="AP86" s="11" t="str">
        <f t="shared" si="43"/>
        <v/>
      </c>
      <c r="AQ86" s="5" t="str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/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$88)&gt;账户数据!$B$7,"违规：超过账户风险上限","通过")))))))))</f>
        <v/>
      </c>
    </row>
    <row r="87" spans="1:44" x14ac:dyDescent="0.15">
      <c r="A87" s="2"/>
      <c r="B87" s="2"/>
      <c r="C87" s="10"/>
      <c r="D87" s="6"/>
      <c r="E87" s="10"/>
      <c r="F87" s="8" t="str">
        <f t="shared" si="33"/>
        <v/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3"/>
      <c r="J87" s="10"/>
      <c r="K87" s="5" t="str">
        <f>IF(A87="","",IFERROR(LOOKUP(2,1/((持仓跟踪!$B$2:$B$157=A87)*(持仓跟踪!$X$2:$X$157="执行卖出")*(持仓跟踪!$Y$2:$Y$157&lt;&gt;"")),持仓跟踪!$Y$2:$Y$157),""))</f>
        <v/>
      </c>
      <c r="L87" s="8" t="str">
        <f>IF(A87="","",IFERROR(LOOKUP(2,1/((持仓跟踪!$B$2:$B$157=A87)*(持仓跟踪!$X$2:$X$157="执行卖出")*(持仓跟踪!$Z$2:$Z$157&lt;&gt;"")),持仓跟踪!$Z$2:$Z$157),""))</f>
        <v/>
      </c>
      <c r="M87" s="16" t="str">
        <f>IF(A87="","",IFERROR(LOOKUP(2,1/((持仓跟踪!$B$2:$B$157=A87)*(持仓跟踪!$X$2:$X$157="执行卖出")*(持仓跟踪!$H$2:$H$157&lt;&gt;"")),持仓跟踪!$H$2:$H$157),""))</f>
        <v/>
      </c>
      <c r="N87" s="10"/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 t="str">
        <f t="shared" si="34"/>
        <v/>
      </c>
      <c r="V87" s="7" t="str">
        <f t="shared" si="35"/>
        <v/>
      </c>
      <c r="W87" s="17" t="str">
        <f t="shared" si="36"/>
        <v/>
      </c>
      <c r="X87" s="5" t="str">
        <f t="shared" si="37"/>
        <v/>
      </c>
      <c r="Y87" s="7" t="str">
        <f t="shared" si="38"/>
        <v/>
      </c>
      <c r="Z87" s="7" t="str">
        <f>IF(OR(AE87="",多次统计数据!$B$8=""),"",AE87-多次统计数据!$B$8)</f>
        <v/>
      </c>
      <c r="AA87" s="11" t="str">
        <f t="shared" si="39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40"/>
        <v/>
      </c>
      <c r="AG87" s="2"/>
      <c r="AH87" s="2"/>
      <c r="AI87" s="2"/>
      <c r="AJ87" s="8" t="str">
        <f t="shared" si="41"/>
        <v/>
      </c>
      <c r="AK87" s="10"/>
      <c r="AL87" s="12"/>
      <c r="AM87" s="10"/>
      <c r="AN87" s="12"/>
      <c r="AO87" s="5" t="str">
        <f t="shared" si="42"/>
        <v/>
      </c>
      <c r="AP87" s="11" t="str">
        <f t="shared" si="43"/>
        <v/>
      </c>
      <c r="AQ87" s="5" t="str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/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$88)&gt;账户数据!$B$7,"违规：超过账户风险上限","通过")))))))))</f>
        <v/>
      </c>
    </row>
    <row r="88" spans="1:44" x14ac:dyDescent="0.15">
      <c r="A88" s="2"/>
      <c r="B88" s="2"/>
      <c r="C88" s="10"/>
      <c r="D88" s="6"/>
      <c r="E88" s="10"/>
      <c r="F88" s="8" t="str">
        <f t="shared" si="33"/>
        <v/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3"/>
      <c r="J88" s="10"/>
      <c r="K88" s="5" t="str">
        <f>IF(A88="","",IFERROR(LOOKUP(2,1/((持仓跟踪!$B$2:$B$157=A88)*(持仓跟踪!$X$2:$X$157="执行卖出")*(持仓跟踪!$Y$2:$Y$157&lt;&gt;"")),持仓跟踪!$Y$2:$Y$157),""))</f>
        <v/>
      </c>
      <c r="L88" s="8" t="str">
        <f>IF(A88="","",IFERROR(LOOKUP(2,1/((持仓跟踪!$B$2:$B$157=A88)*(持仓跟踪!$X$2:$X$157="执行卖出")*(持仓跟踪!$Z$2:$Z$157&lt;&gt;"")),持仓跟踪!$Z$2:$Z$157),""))</f>
        <v/>
      </c>
      <c r="M88" s="16" t="str">
        <f>IF(A88="","",IFERROR(LOOKUP(2,1/((持仓跟踪!$B$2:$B$157=A88)*(持仓跟踪!$X$2:$X$157="执行卖出")*(持仓跟踪!$H$2:$H$157&lt;&gt;"")),持仓跟踪!$H$2:$H$157),""))</f>
        <v/>
      </c>
      <c r="N88" s="10"/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 t="str">
        <f t="shared" si="34"/>
        <v/>
      </c>
      <c r="V88" s="7" t="str">
        <f t="shared" si="35"/>
        <v/>
      </c>
      <c r="W88" s="17" t="str">
        <f t="shared" si="36"/>
        <v/>
      </c>
      <c r="X88" s="5" t="str">
        <f t="shared" si="37"/>
        <v/>
      </c>
      <c r="Y88" s="7" t="str">
        <f t="shared" si="38"/>
        <v/>
      </c>
      <c r="Z88" s="7" t="str">
        <f>IF(OR(AE88="",多次统计数据!$B$8=""),"",AE88-多次统计数据!$B$8)</f>
        <v/>
      </c>
      <c r="AA88" s="11" t="str">
        <f t="shared" si="39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40"/>
        <v/>
      </c>
      <c r="AG88" s="2"/>
      <c r="AH88" s="2"/>
      <c r="AI88" s="2"/>
      <c r="AJ88" s="8" t="str">
        <f t="shared" si="41"/>
        <v/>
      </c>
      <c r="AK88" s="10"/>
      <c r="AL88" s="12"/>
      <c r="AM88" s="10"/>
      <c r="AN88" s="12"/>
      <c r="AO88" s="5" t="str">
        <f t="shared" si="42"/>
        <v/>
      </c>
      <c r="AP88" s="11" t="str">
        <f t="shared" si="43"/>
        <v/>
      </c>
      <c r="AQ88" s="5" t="str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/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$88)&gt;账户数据!$B$7,"违规：超过账户风险上限","通过")))))))))</f>
        <v/>
      </c>
    </row>
  </sheetData>
  <phoneticPr fontId="5" type="noConversion"/>
  <conditionalFormatting sqref="G2:G88">
    <cfRule type="expression" dxfId="21" priority="10">
      <formula>$G2="禁止开仓"</formula>
    </cfRule>
    <cfRule type="expression" dxfId="20" priority="11">
      <formula>$G2="允许开仓"</formula>
    </cfRule>
    <cfRule type="expression" dxfId="19" priority="12">
      <formula>LEFT($G2,4)="禁止开仓"</formula>
    </cfRule>
    <cfRule type="expression" dxfId="18" priority="13">
      <formula>$G2="允许开仓（接近锁仓）"</formula>
    </cfRule>
    <cfRule type="expression" dxfId="17" priority="14">
      <formula>$G2="允许开仓"</formula>
    </cfRule>
  </conditionalFormatting>
  <conditionalFormatting sqref="W2:W88">
    <cfRule type="cellIs" dxfId="16" priority="3" operator="lessThan">
      <formula>2</formula>
    </cfRule>
  </conditionalFormatting>
  <conditionalFormatting sqref="X2:Y88 AE2:AE88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AC2:AC88">
    <cfRule type="expression" dxfId="13" priority="4">
      <formula>$AC2="达到或超过上限"</formula>
    </cfRule>
    <cfRule type="expression" dxfId="12" priority="5">
      <formula>$AC2="低于上限"</formula>
    </cfRule>
  </conditionalFormatting>
  <conditionalFormatting sqref="AJ2:AJ88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88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:C88 E2:E88 N2:N88 J2:K88" xr:uid="{00000000-0002-0000-0000-000000000000}">
      <formula1>0</formula1>
    </dataValidation>
    <dataValidation type="decimal" allowBlank="1" sqref="D2:D88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88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$88)&lt;=_AccountRiskLimit))</formula1>
    </dataValidation>
    <dataValidation type="date" allowBlank="1" sqref="I2:I88" xr:uid="{00000000-0002-0000-0000-000003000000}">
      <formula1>DATE(2000,1,1)</formula1>
      <formula2>DATE(2100,12,31)</formula2>
    </dataValidation>
    <dataValidation type="custom" allowBlank="1" sqref="L2:L88" xr:uid="{00000000-0002-0000-0000-000004000000}">
      <formula1>OR(L2="",L2=H2)</formula1>
    </dataValidation>
    <dataValidation type="custom" allowBlank="1" sqref="M2:M88" xr:uid="{00000000-0002-0000-0000-000005000000}">
      <formula1>OR(M2="",AND(ISNUMBER(M2),M2&gt;=I2))</formula1>
    </dataValidation>
    <dataValidation type="list" allowBlank="1" sqref="AD2:AD88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88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88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88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88" xr:uid="{00000000-0002-0000-0000-00000A000000}">
      <formula1>OR(AL2="",AND(AK2&lt;&gt;"",ISNUMBER(AL2),AL2&gt;0,AL2=INT(AL2),MOD(AL2,100)=0,_LockStatus&lt;&gt;"已锁仓",_LockStatus&lt;&gt;"解锁信息不完整",AQ2&lt;=C2*D2,SUM($AQ$2:$AQ$88)&lt;=_AccountRiskLimit))</formula1>
    </dataValidation>
    <dataValidation type="custom" allowBlank="1" showErrorMessage="1" errorTitle="第三批买入价无效" error="请先完整填写第二批，再填写大于0的第三批价格" sqref="AM2:AM88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88" xr:uid="{00000000-0002-0000-0000-00000C000000}">
      <formula1>OR(AN2="",AND(AK2&lt;&gt;"",AL2&lt;&gt;"",AM2&lt;&gt;"",ISNUMBER(AN2),AN2&gt;0,AN2=INT(AN2),MOD(AN2,100)=0,_LockStatus&lt;&gt;"已锁仓",_LockStatus&lt;&gt;"解锁信息不完整",AQ2&lt;=C2*D2,SUM($AQ$2:$AQ$88)&lt;=_AccountRiskLimit))</formula1>
    </dataValidation>
    <dataValidation type="decimal" operator="greaterThanOrEqual" allowBlank="1" sqref="O2:P88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57"/>
  <sheetViews>
    <sheetView showGridLines="0" workbookViewId="0">
      <pane xSplit="3" ySplit="1" topLeftCell="S17" activePane="bottomRight" state="frozen"/>
      <selection pane="topRight"/>
      <selection pane="bottomLeft"/>
      <selection pane="bottomRight" activeCell="Z28" sqref="Z28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5" t="s">
        <v>64</v>
      </c>
      <c r="B1" s="15" t="s">
        <v>0</v>
      </c>
      <c r="C1" s="15" t="s">
        <v>1</v>
      </c>
      <c r="D1" s="15" t="s">
        <v>65</v>
      </c>
      <c r="E1" s="15" t="s">
        <v>66</v>
      </c>
      <c r="F1" s="15" t="s">
        <v>67</v>
      </c>
      <c r="G1" s="15" t="s">
        <v>68</v>
      </c>
      <c r="H1" s="15" t="s">
        <v>69</v>
      </c>
      <c r="I1" s="15" t="s">
        <v>70</v>
      </c>
      <c r="J1" s="15" t="s">
        <v>71</v>
      </c>
      <c r="K1" s="15" t="s">
        <v>72</v>
      </c>
      <c r="L1" s="15" t="s">
        <v>73</v>
      </c>
      <c r="M1" s="15" t="s">
        <v>74</v>
      </c>
      <c r="N1" s="15" t="s">
        <v>75</v>
      </c>
      <c r="O1" s="15" t="s">
        <v>76</v>
      </c>
      <c r="P1" s="15" t="s">
        <v>77</v>
      </c>
      <c r="Q1" s="15" t="s">
        <v>78</v>
      </c>
      <c r="R1" s="15" t="s">
        <v>79</v>
      </c>
      <c r="S1" s="15" t="s">
        <v>80</v>
      </c>
      <c r="T1" s="15" t="s">
        <v>81</v>
      </c>
      <c r="U1" s="15" t="s">
        <v>82</v>
      </c>
      <c r="V1" s="15" t="s">
        <v>83</v>
      </c>
      <c r="W1" s="15" t="s">
        <v>84</v>
      </c>
      <c r="X1" s="15" t="s">
        <v>85</v>
      </c>
      <c r="Y1" s="15" t="s">
        <v>10</v>
      </c>
      <c r="Z1" s="15" t="s">
        <v>86</v>
      </c>
      <c r="AA1" s="15" t="s">
        <v>15</v>
      </c>
      <c r="AB1" s="15" t="s">
        <v>87</v>
      </c>
      <c r="AC1" s="15" t="s">
        <v>88</v>
      </c>
    </row>
    <row r="2" spans="1:29" x14ac:dyDescent="0.15">
      <c r="A2" s="2" t="s">
        <v>89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3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90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spans="1:29" x14ac:dyDescent="0.15">
      <c r="A3" s="2" t="s">
        <v>89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3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90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spans="1:29" x14ac:dyDescent="0.15">
      <c r="A4" s="2" t="s">
        <v>89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3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90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spans="1:29" x14ac:dyDescent="0.15">
      <c r="A5" s="2" t="s">
        <v>89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3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90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spans="1:29" x14ac:dyDescent="0.15">
      <c r="A6" s="2" t="s">
        <v>89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3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90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spans="1:29" x14ac:dyDescent="0.15">
      <c r="A7" s="2" t="s">
        <v>89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3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90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spans="1:29" x14ac:dyDescent="0.15">
      <c r="A8" s="2" t="s">
        <v>89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3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90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spans="1:29" x14ac:dyDescent="0.15">
      <c r="A9" s="2" t="s">
        <v>89</v>
      </c>
      <c r="B9" s="2">
        <v>8</v>
      </c>
      <c r="C9" s="8" t="str">
        <f>IF(B9="","",IFERROR(LOOKUP(2,1/(单次交易!$A$2:$A$88=B9),单次交易!$B$2:$B$88),""))</f>
        <v>节电风能</v>
      </c>
      <c r="D9" s="12"/>
      <c r="E9" s="10"/>
      <c r="F9" s="10"/>
      <c r="G9" s="2"/>
      <c r="H9" s="13">
        <v>44914</v>
      </c>
      <c r="I9" s="10">
        <v>3.47</v>
      </c>
      <c r="J9" s="12"/>
      <c r="K9" s="2"/>
      <c r="L9" s="2"/>
      <c r="M9" s="2"/>
      <c r="N9" s="5">
        <f>IF(B9="","",IFERROR(LOOKUP(2,1/(单次交易!$A$2:$A$88=B9),单次交易!$N$2:$N$88),""))</f>
        <v>3.5</v>
      </c>
      <c r="O9" s="5">
        <f t="shared" si="0"/>
        <v>3.47</v>
      </c>
      <c r="P9" s="11">
        <f t="shared" si="1"/>
        <v>0</v>
      </c>
      <c r="Q9" s="5">
        <f t="shared" si="2"/>
        <v>3.5</v>
      </c>
      <c r="R9" s="10"/>
      <c r="S9" s="5">
        <f t="shared" si="3"/>
        <v>3.5</v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>触发止损：应全部卖出</v>
      </c>
      <c r="X9" s="2" t="s">
        <v>90</v>
      </c>
      <c r="Y9" s="10">
        <v>3.47</v>
      </c>
      <c r="Z9" s="11">
        <f>IF(X9&lt;&gt;"执行卖出","",IFERROR(LOOKUP(2,1/(单次交易!$A$2:$A$88=B9),单次交易!$AP$2:$AP$88),""))</f>
        <v>6400</v>
      </c>
      <c r="AA9" s="10"/>
      <c r="AB9" s="8" t="str">
        <f t="shared" si="8"/>
        <v>待补充每日记录</v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>每日数据不完整</v>
      </c>
    </row>
    <row r="10" spans="1:29" x14ac:dyDescent="0.15">
      <c r="A10" s="2" t="s">
        <v>89</v>
      </c>
      <c r="B10" s="2">
        <v>9</v>
      </c>
      <c r="C10" s="8" t="str">
        <f>IF(B10="","",IFERROR(LOOKUP(2,1/(单次交易!$A$2:$A$88=B10),单次交易!$B$2:$B$88),""))</f>
        <v>节电风能</v>
      </c>
      <c r="D10" s="12"/>
      <c r="E10" s="10"/>
      <c r="F10" s="10"/>
      <c r="G10" s="2"/>
      <c r="H10" s="13">
        <v>45041</v>
      </c>
      <c r="I10" s="10">
        <v>3.46</v>
      </c>
      <c r="J10" s="12"/>
      <c r="K10" s="2"/>
      <c r="L10" s="2"/>
      <c r="M10" s="2"/>
      <c r="N10" s="5">
        <f>IF(B10="","",IFERROR(LOOKUP(2,1/(单次交易!$A$2:$A$88=B10),单次交易!$N$2:$N$88),""))</f>
        <v>3.5</v>
      </c>
      <c r="O10" s="5">
        <f t="shared" si="0"/>
        <v>3.46</v>
      </c>
      <c r="P10" s="11">
        <f t="shared" si="1"/>
        <v>0</v>
      </c>
      <c r="Q10" s="5">
        <f t="shared" si="2"/>
        <v>3.5</v>
      </c>
      <c r="R10" s="10"/>
      <c r="S10" s="5">
        <f t="shared" si="3"/>
        <v>3.5</v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>触发止损：应全部卖出</v>
      </c>
      <c r="X10" s="2" t="s">
        <v>90</v>
      </c>
      <c r="Y10" s="10">
        <v>3.46</v>
      </c>
      <c r="Z10" s="11">
        <f>IF(X10&lt;&gt;"执行卖出","",IFERROR(LOOKUP(2,1/(单次交易!$A$2:$A$88=B10),单次交易!$AP$2:$AP$88),""))</f>
        <v>11400</v>
      </c>
      <c r="AA10" s="10"/>
      <c r="AB10" s="8" t="str">
        <f t="shared" si="8"/>
        <v>待补充每日记录</v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>每日数据不完整</v>
      </c>
    </row>
    <row r="11" spans="1:29" x14ac:dyDescent="0.15">
      <c r="A11" s="2" t="s">
        <v>89</v>
      </c>
      <c r="B11" s="2">
        <v>10</v>
      </c>
      <c r="C11" s="8" t="str">
        <f>IF(B11="","",IFERROR(LOOKUP(2,1/(单次交易!$A$2:$A$88=B11),单次交易!$B$2:$B$88),""))</f>
        <v>节电风能</v>
      </c>
      <c r="D11" s="12"/>
      <c r="E11" s="10"/>
      <c r="F11" s="10"/>
      <c r="G11" s="2"/>
      <c r="H11" s="13">
        <v>45373</v>
      </c>
      <c r="I11" s="10">
        <v>2.78</v>
      </c>
      <c r="J11" s="12"/>
      <c r="K11" s="2"/>
      <c r="L11" s="2"/>
      <c r="M11" s="2"/>
      <c r="N11" s="5">
        <f>IF(B11="","",IFERROR(LOOKUP(2,1/(单次交易!$A$2:$A$88=B11),单次交易!$N$2:$N$88),""))</f>
        <v>2.75</v>
      </c>
      <c r="O11" s="5">
        <f t="shared" si="0"/>
        <v>2.78</v>
      </c>
      <c r="P11" s="11">
        <f t="shared" si="1"/>
        <v>0</v>
      </c>
      <c r="Q11" s="5">
        <f t="shared" si="2"/>
        <v>2.75</v>
      </c>
      <c r="R11" s="10"/>
      <c r="S11" s="5">
        <f t="shared" si="3"/>
        <v>2.75</v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>继续观察</v>
      </c>
      <c r="X11" s="2" t="s">
        <v>90</v>
      </c>
      <c r="Y11" s="10">
        <v>2.78</v>
      </c>
      <c r="Z11" s="11">
        <f>IF(X11&lt;&gt;"执行卖出","",IFERROR(LOOKUP(2,1/(单次交易!$A$2:$A$88=B11),单次交易!$AP$2:$AP$88),""))</f>
        <v>18300</v>
      </c>
      <c r="AA11" s="10"/>
      <c r="AB11" s="8" t="str">
        <f t="shared" si="8"/>
        <v>待补充每日记录</v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>每日数据不完整</v>
      </c>
    </row>
    <row r="12" spans="1:29" x14ac:dyDescent="0.15">
      <c r="A12" s="2" t="s">
        <v>89</v>
      </c>
      <c r="B12" s="2">
        <v>11</v>
      </c>
      <c r="C12" s="8" t="str">
        <f>IF(B12="","",IFERROR(LOOKUP(2,1/(单次交易!$A$2:$A$88=B12),单次交易!$B$2:$B$88),""))</f>
        <v>恒瑞医药</v>
      </c>
      <c r="D12" s="12"/>
      <c r="E12" s="10"/>
      <c r="F12" s="10"/>
      <c r="G12" s="2"/>
      <c r="H12" s="13">
        <v>43059</v>
      </c>
      <c r="I12" s="10">
        <v>29.25</v>
      </c>
      <c r="J12" s="12"/>
      <c r="K12" s="2"/>
      <c r="L12" s="2"/>
      <c r="M12" s="2"/>
      <c r="N12" s="5">
        <f>IF(B12="","",IFERROR(LOOKUP(2,1/(单次交易!$A$2:$A$88=B12),单次交易!$N$2:$N$88),""))</f>
        <v>19.5</v>
      </c>
      <c r="O12" s="5">
        <f t="shared" si="0"/>
        <v>29.25</v>
      </c>
      <c r="P12" s="11">
        <f t="shared" si="1"/>
        <v>0</v>
      </c>
      <c r="Q12" s="5">
        <f t="shared" si="2"/>
        <v>19.5</v>
      </c>
      <c r="R12" s="10"/>
      <c r="S12" s="5">
        <f t="shared" si="3"/>
        <v>19.5</v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>继续观察</v>
      </c>
      <c r="X12" s="2" t="s">
        <v>90</v>
      </c>
      <c r="Y12" s="10">
        <v>29.25</v>
      </c>
      <c r="Z12" s="11">
        <f>IF(X12&lt;&gt;"执行卖出","",IFERROR(LOOKUP(2,1/(单次交易!$A$2:$A$88=B12),单次交易!$AP$2:$AP$88),""))</f>
        <v>1900</v>
      </c>
      <c r="AA12" s="10"/>
      <c r="AB12" s="8" t="str">
        <f t="shared" si="8"/>
        <v>待补充每日记录</v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>每日数据不完整</v>
      </c>
    </row>
    <row r="13" spans="1:29" x14ac:dyDescent="0.15">
      <c r="A13" s="2" t="s">
        <v>89</v>
      </c>
      <c r="B13" s="2">
        <v>12</v>
      </c>
      <c r="C13" s="8" t="str">
        <f>IF(B13="","",IFERROR(LOOKUP(2,1/(单次交易!$A$2:$A$88=B13),单次交易!$B$2:$B$88),""))</f>
        <v>恒瑞医药</v>
      </c>
      <c r="D13" s="12"/>
      <c r="E13" s="10"/>
      <c r="F13" s="10"/>
      <c r="G13" s="2"/>
      <c r="H13" s="13">
        <v>43137</v>
      </c>
      <c r="I13" s="10">
        <v>29.29</v>
      </c>
      <c r="J13" s="12"/>
      <c r="K13" s="2"/>
      <c r="L13" s="2"/>
      <c r="M13" s="2"/>
      <c r="N13" s="5">
        <f>IF(B13="","",IFERROR(LOOKUP(2,1/(单次交易!$A$2:$A$88=B13),单次交易!$N$2:$N$88),""))</f>
        <v>30</v>
      </c>
      <c r="O13" s="5">
        <f t="shared" si="0"/>
        <v>29.29</v>
      </c>
      <c r="P13" s="11">
        <f t="shared" si="1"/>
        <v>0</v>
      </c>
      <c r="Q13" s="5">
        <f t="shared" si="2"/>
        <v>30</v>
      </c>
      <c r="R13" s="10"/>
      <c r="S13" s="5">
        <f t="shared" si="3"/>
        <v>30</v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>触发止损：应全部卖出</v>
      </c>
      <c r="X13" s="2" t="s">
        <v>90</v>
      </c>
      <c r="Y13" s="10">
        <v>29.29</v>
      </c>
      <c r="Z13" s="11">
        <f>IF(X13&lt;&gt;"执行卖出","",IFERROR(LOOKUP(2,1/(单次交易!$A$2:$A$88=B13),单次交易!$AP$2:$AP$88),""))</f>
        <v>1200</v>
      </c>
      <c r="AA13" s="10"/>
      <c r="AB13" s="8" t="str">
        <f t="shared" si="8"/>
        <v>待补充每日记录</v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>每日数据不完整</v>
      </c>
    </row>
    <row r="14" spans="1:29" x14ac:dyDescent="0.15">
      <c r="A14" s="2" t="s">
        <v>89</v>
      </c>
      <c r="B14" s="2">
        <v>12</v>
      </c>
      <c r="C14" s="8" t="str">
        <f>IF(B14="","",IFERROR(LOOKUP(2,1/(单次交易!$A$2:$A$88=B14),单次交易!$B$2:$B$88),""))</f>
        <v>恒瑞医药</v>
      </c>
      <c r="D14" s="12"/>
      <c r="E14" s="10"/>
      <c r="F14" s="10"/>
      <c r="G14" s="2"/>
      <c r="H14" s="13">
        <v>43311</v>
      </c>
      <c r="I14" s="10">
        <v>38.49</v>
      </c>
      <c r="J14" s="12"/>
      <c r="K14" s="2"/>
      <c r="L14" s="2"/>
      <c r="M14" s="2"/>
      <c r="N14" s="5">
        <f>IF(B14="","",IFERROR(LOOKUP(2,1/(单次交易!$A$2:$A$88=B14),单次交易!$N$2:$N$88),""))</f>
        <v>30</v>
      </c>
      <c r="O14" s="5">
        <f t="shared" si="0"/>
        <v>38.49</v>
      </c>
      <c r="P14" s="11">
        <f t="shared" si="1"/>
        <v>0</v>
      </c>
      <c r="Q14" s="5">
        <f t="shared" si="2"/>
        <v>30</v>
      </c>
      <c r="R14" s="10"/>
      <c r="S14" s="5">
        <f t="shared" si="3"/>
        <v>30</v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>继续观察</v>
      </c>
      <c r="X14" s="2" t="s">
        <v>90</v>
      </c>
      <c r="Y14" s="10">
        <v>38.49</v>
      </c>
      <c r="Z14" s="11">
        <f>IF(X14&lt;&gt;"执行卖出","",IFERROR(LOOKUP(2,1/(单次交易!$A$2:$A$88=B14),单次交易!$AP$2:$AP$88),""))</f>
        <v>1200</v>
      </c>
      <c r="AA14" s="10"/>
      <c r="AB14" s="8" t="str">
        <f t="shared" si="8"/>
        <v>待补充每日记录</v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>每日数据不完整</v>
      </c>
    </row>
    <row r="15" spans="1:29" x14ac:dyDescent="0.15">
      <c r="A15" s="2" t="s">
        <v>89</v>
      </c>
      <c r="B15" s="2">
        <v>14</v>
      </c>
      <c r="C15" s="8" t="str">
        <f>IF(B15="","",IFERROR(LOOKUP(2,1/(单次交易!$A$2:$A$88=B15),单次交易!$B$2:$B$88),""))</f>
        <v>恒瑞医药</v>
      </c>
      <c r="D15" s="12"/>
      <c r="E15" s="10"/>
      <c r="F15" s="10"/>
      <c r="G15" s="2"/>
      <c r="H15" s="13">
        <v>43577</v>
      </c>
      <c r="I15" s="10">
        <v>41.91</v>
      </c>
      <c r="J15" s="12"/>
      <c r="K15" s="2"/>
      <c r="L15" s="2"/>
      <c r="M15" s="2"/>
      <c r="N15" s="5">
        <f>IF(B15="","",IFERROR(LOOKUP(2,1/(单次交易!$A$2:$A$88=B15),单次交易!$N$2:$N$88),""))</f>
        <v>39</v>
      </c>
      <c r="O15" s="5">
        <f t="shared" si="0"/>
        <v>41.91</v>
      </c>
      <c r="P15" s="11">
        <f t="shared" si="1"/>
        <v>0</v>
      </c>
      <c r="Q15" s="5">
        <f t="shared" si="2"/>
        <v>39</v>
      </c>
      <c r="R15" s="10"/>
      <c r="S15" s="5">
        <f t="shared" si="3"/>
        <v>39</v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>继续观察</v>
      </c>
      <c r="X15" s="2" t="s">
        <v>90</v>
      </c>
      <c r="Y15" s="10">
        <v>41.91</v>
      </c>
      <c r="Z15" s="11">
        <f>IF(X15&lt;&gt;"执行卖出","",IFERROR(LOOKUP(2,1/(单次交易!$A$2:$A$88=B15),单次交易!$AP$2:$AP$88),""))</f>
        <v>700</v>
      </c>
      <c r="AA15" s="10"/>
      <c r="AB15" s="8" t="str">
        <f t="shared" si="8"/>
        <v>待补充每日记录</v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>每日数据不完整</v>
      </c>
    </row>
    <row r="16" spans="1:29" x14ac:dyDescent="0.15">
      <c r="A16" s="2" t="s">
        <v>89</v>
      </c>
      <c r="B16" s="2">
        <v>15</v>
      </c>
      <c r="C16" s="8" t="str">
        <f>IF(B16="","",IFERROR(LOOKUP(2,1/(单次交易!$A$2:$A$88=B16),单次交易!$B$2:$B$88),""))</f>
        <v>恒瑞医药</v>
      </c>
      <c r="D16" s="12"/>
      <c r="E16" s="10"/>
      <c r="F16" s="10"/>
      <c r="G16" s="2"/>
      <c r="H16" s="13">
        <v>43798</v>
      </c>
      <c r="I16" s="10">
        <v>58.41</v>
      </c>
      <c r="J16" s="12"/>
      <c r="K16" s="2"/>
      <c r="L16" s="2"/>
      <c r="M16" s="2"/>
      <c r="N16" s="5">
        <f>IF(B16="","",IFERROR(LOOKUP(2,1/(单次交易!$A$2:$A$88=B16),单次交易!$N$2:$N$88),""))</f>
        <v>47.5</v>
      </c>
      <c r="O16" s="5">
        <f t="shared" si="0"/>
        <v>58.41</v>
      </c>
      <c r="P16" s="11">
        <f t="shared" si="1"/>
        <v>0</v>
      </c>
      <c r="Q16" s="5">
        <f t="shared" si="2"/>
        <v>47.5</v>
      </c>
      <c r="R16" s="10"/>
      <c r="S16" s="5">
        <f t="shared" si="3"/>
        <v>47.5</v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>继续观察</v>
      </c>
      <c r="X16" s="2" t="s">
        <v>90</v>
      </c>
      <c r="Y16" s="10">
        <v>58.41</v>
      </c>
      <c r="Z16" s="11">
        <f>IF(X16&lt;&gt;"执行卖出","",IFERROR(LOOKUP(2,1/(单次交易!$A$2:$A$88=B16),单次交易!$AP$2:$AP$88),""))</f>
        <v>1600</v>
      </c>
      <c r="AA16" s="10"/>
      <c r="AB16" s="8" t="str">
        <f t="shared" si="8"/>
        <v>待补充每日记录</v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>每日数据不完整</v>
      </c>
    </row>
    <row r="17" spans="1:29" x14ac:dyDescent="0.15">
      <c r="A17" s="2" t="s">
        <v>89</v>
      </c>
      <c r="B17" s="2">
        <v>16</v>
      </c>
      <c r="C17" s="8" t="str">
        <f>IF(B17="","",IFERROR(LOOKUP(2,1/(单次交易!$A$2:$A$88=B17),单次交易!$B$2:$B$88),""))</f>
        <v>恒瑞医药</v>
      </c>
      <c r="D17" s="12"/>
      <c r="E17" s="10"/>
      <c r="F17" s="10"/>
      <c r="G17" s="2"/>
      <c r="H17" s="13">
        <v>43887</v>
      </c>
      <c r="I17" s="10">
        <v>58.95</v>
      </c>
      <c r="J17" s="12"/>
      <c r="K17" s="2"/>
      <c r="L17" s="2"/>
      <c r="M17" s="2"/>
      <c r="N17" s="5">
        <f>IF(B17="","",IFERROR(LOOKUP(2,1/(单次交易!$A$2:$A$88=B17),单次交易!$N$2:$N$88),""))</f>
        <v>60</v>
      </c>
      <c r="O17" s="5">
        <f t="shared" si="0"/>
        <v>58.95</v>
      </c>
      <c r="P17" s="11">
        <f t="shared" si="1"/>
        <v>0</v>
      </c>
      <c r="Q17" s="5">
        <f t="shared" si="2"/>
        <v>60</v>
      </c>
      <c r="R17" s="10"/>
      <c r="S17" s="5">
        <f t="shared" si="3"/>
        <v>60</v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>触发止损：应全部卖出</v>
      </c>
      <c r="X17" s="2" t="s">
        <v>90</v>
      </c>
      <c r="Y17" s="10">
        <v>58.95</v>
      </c>
      <c r="Z17" s="11">
        <f>IF(X17&lt;&gt;"执行卖出","",IFERROR(LOOKUP(2,1/(单次交易!$A$2:$A$88=B17),单次交易!$AP$2:$AP$88),""))</f>
        <v>1100</v>
      </c>
      <c r="AA17" s="10"/>
      <c r="AB17" s="8" t="str">
        <f t="shared" si="8"/>
        <v>待补充每日记录</v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>每日数据不完整</v>
      </c>
    </row>
    <row r="18" spans="1:29" x14ac:dyDescent="0.15">
      <c r="A18" s="2" t="s">
        <v>89</v>
      </c>
      <c r="B18" s="2">
        <v>17</v>
      </c>
      <c r="C18" s="8" t="str">
        <f>IF(B18="","",IFERROR(LOOKUP(2,1/(单次交易!$A$2:$A$88=B18),单次交易!$B$2:$B$88),""))</f>
        <v>恒瑞医药</v>
      </c>
      <c r="D18" s="12"/>
      <c r="E18" s="10"/>
      <c r="F18" s="10"/>
      <c r="G18" s="2"/>
      <c r="H18" s="13">
        <v>43950</v>
      </c>
      <c r="I18" s="10">
        <v>63.61</v>
      </c>
      <c r="J18" s="12"/>
      <c r="K18" s="2"/>
      <c r="L18" s="2"/>
      <c r="M18" s="2"/>
      <c r="N18" s="5">
        <f>IF(B18="","",IFERROR(LOOKUP(2,1/(单次交易!$A$2:$A$88=B18),单次交易!$N$2:$N$88),""))</f>
        <v>63.5</v>
      </c>
      <c r="O18" s="5">
        <f t="shared" si="0"/>
        <v>63.61</v>
      </c>
      <c r="P18" s="11">
        <f t="shared" si="1"/>
        <v>0</v>
      </c>
      <c r="Q18" s="5">
        <f t="shared" si="2"/>
        <v>63.5</v>
      </c>
      <c r="R18" s="10"/>
      <c r="S18" s="5">
        <f t="shared" si="3"/>
        <v>63.5</v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>继续观察</v>
      </c>
      <c r="X18" s="2" t="s">
        <v>90</v>
      </c>
      <c r="Y18" s="10">
        <v>63.61</v>
      </c>
      <c r="Z18" s="11">
        <f>IF(X18&lt;&gt;"执行卖出","",IFERROR(LOOKUP(2,1/(单次交易!$A$2:$A$88=B18),单次交易!$AP$2:$AP$88),""))</f>
        <v>1200</v>
      </c>
      <c r="AA18" s="10"/>
      <c r="AB18" s="8" t="str">
        <f t="shared" si="8"/>
        <v>待补充每日记录</v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>每日数据不完整</v>
      </c>
    </row>
    <row r="19" spans="1:29" x14ac:dyDescent="0.15">
      <c r="A19" s="2" t="s">
        <v>89</v>
      </c>
      <c r="B19" s="2">
        <v>18</v>
      </c>
      <c r="C19" s="8" t="str">
        <f>IF(B19="","",IFERROR(LOOKUP(2,1/(单次交易!$A$2:$A$88=B19),单次交易!$B$2:$B$88),""))</f>
        <v>恒瑞医药</v>
      </c>
      <c r="D19" s="12"/>
      <c r="E19" s="10"/>
      <c r="F19" s="10"/>
      <c r="G19" s="2"/>
      <c r="H19" s="13">
        <v>44028</v>
      </c>
      <c r="I19" s="10">
        <v>79.209999999999994</v>
      </c>
      <c r="J19" s="12"/>
      <c r="K19" s="2"/>
      <c r="L19" s="2"/>
      <c r="M19" s="2"/>
      <c r="N19" s="5">
        <f>IF(B19="","",IFERROR(LOOKUP(2,1/(单次交易!$A$2:$A$88=B19),单次交易!$N$2:$N$88),""))</f>
        <v>68</v>
      </c>
      <c r="O19" s="5">
        <f t="shared" si="0"/>
        <v>79.209999999999994</v>
      </c>
      <c r="P19" s="11">
        <f t="shared" si="1"/>
        <v>0</v>
      </c>
      <c r="Q19" s="5">
        <f t="shared" si="2"/>
        <v>68</v>
      </c>
      <c r="R19" s="10"/>
      <c r="S19" s="5">
        <f t="shared" si="3"/>
        <v>68</v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>继续观察</v>
      </c>
      <c r="X19" s="2" t="s">
        <v>90</v>
      </c>
      <c r="Y19" s="10">
        <v>79.209999999999994</v>
      </c>
      <c r="Z19" s="11">
        <f>IF(X19&lt;&gt;"执行卖出","",IFERROR(LOOKUP(2,1/(单次交易!$A$2:$A$88=B19),单次交易!$AP$2:$AP$88),""))</f>
        <v>500</v>
      </c>
      <c r="AA19" s="10"/>
      <c r="AB19" s="8" t="str">
        <f t="shared" si="8"/>
        <v>待补充每日记录</v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>每日数据不完整</v>
      </c>
    </row>
    <row r="20" spans="1:29" x14ac:dyDescent="0.15">
      <c r="A20" s="2" t="s">
        <v>89</v>
      </c>
      <c r="B20" s="2">
        <v>19</v>
      </c>
      <c r="C20" s="8" t="str">
        <f>IF(B20="","",IFERROR(LOOKUP(2,1/(单次交易!$A$2:$A$88=B20),单次交易!$B$2:$B$88),""))</f>
        <v>恒瑞医药</v>
      </c>
      <c r="D20" s="12"/>
      <c r="E20" s="10"/>
      <c r="F20" s="10"/>
      <c r="G20" s="2"/>
      <c r="H20" s="13">
        <v>44225</v>
      </c>
      <c r="I20" s="10">
        <v>85.38</v>
      </c>
      <c r="J20" s="12"/>
      <c r="K20" s="2"/>
      <c r="L20" s="2"/>
      <c r="M20" s="2"/>
      <c r="N20" s="5">
        <f>IF(B20="","",IFERROR(LOOKUP(2,1/(单次交易!$A$2:$A$88=B20),单次交易!$N$2:$N$88),""))</f>
        <v>86</v>
      </c>
      <c r="O20" s="5">
        <f t="shared" si="0"/>
        <v>85.38</v>
      </c>
      <c r="P20" s="11">
        <f t="shared" si="1"/>
        <v>0</v>
      </c>
      <c r="Q20" s="5">
        <f t="shared" si="2"/>
        <v>86</v>
      </c>
      <c r="R20" s="10"/>
      <c r="S20" s="5">
        <f t="shared" si="3"/>
        <v>86</v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>触发止损：应全部卖出</v>
      </c>
      <c r="X20" s="2" t="s">
        <v>90</v>
      </c>
      <c r="Y20" s="10">
        <v>85.38</v>
      </c>
      <c r="Z20" s="11">
        <f>IF(X20&lt;&gt;"执行卖出","",IFERROR(LOOKUP(2,1/(单次交易!$A$2:$A$88=B20),单次交易!$AP$2:$AP$88),""))</f>
        <v>300</v>
      </c>
      <c r="AA20" s="10"/>
      <c r="AB20" s="8" t="str">
        <f t="shared" si="8"/>
        <v>待补充每日记录</v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>每日数据不完整</v>
      </c>
    </row>
    <row r="21" spans="1:29" x14ac:dyDescent="0.15">
      <c r="A21" s="2" t="s">
        <v>89</v>
      </c>
      <c r="B21" s="2">
        <v>20</v>
      </c>
      <c r="C21" s="8" t="str">
        <f>IF(B21="","",IFERROR(LOOKUP(2,1/(单次交易!$A$2:$A$88=B21),单次交易!$B$2:$B$88),""))</f>
        <v>恒瑞医药</v>
      </c>
      <c r="D21" s="12"/>
      <c r="E21" s="10"/>
      <c r="F21" s="10"/>
      <c r="G21" s="2"/>
      <c r="H21" s="13">
        <v>44530</v>
      </c>
      <c r="I21" s="10">
        <v>49.25</v>
      </c>
      <c r="J21" s="12"/>
      <c r="K21" s="2"/>
      <c r="L21" s="2"/>
      <c r="M21" s="2"/>
      <c r="N21" s="5">
        <f>IF(B21="","",IFERROR(LOOKUP(2,1/(单次交易!$A$2:$A$88=B21),单次交易!$N$2:$N$88),""))</f>
        <v>50</v>
      </c>
      <c r="O21" s="5">
        <f t="shared" si="0"/>
        <v>49.25</v>
      </c>
      <c r="P21" s="11">
        <f t="shared" si="1"/>
        <v>0</v>
      </c>
      <c r="Q21" s="5">
        <f t="shared" si="2"/>
        <v>50</v>
      </c>
      <c r="R21" s="10"/>
      <c r="S21" s="5">
        <f t="shared" si="3"/>
        <v>50</v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>触发止损：应全部卖出</v>
      </c>
      <c r="X21" s="2" t="s">
        <v>90</v>
      </c>
      <c r="Y21" s="10">
        <v>49.25</v>
      </c>
      <c r="Z21" s="11">
        <f>IF(X21&lt;&gt;"执行卖出","",IFERROR(LOOKUP(2,1/(单次交易!$A$2:$A$88=B21),单次交易!$AP$2:$AP$88),""))</f>
        <v>1000</v>
      </c>
      <c r="AA21" s="10"/>
      <c r="AB21" s="8" t="str">
        <f t="shared" si="8"/>
        <v>待补充每日记录</v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>每日数据不完整</v>
      </c>
    </row>
    <row r="22" spans="1:29" x14ac:dyDescent="0.15">
      <c r="A22" s="2" t="s">
        <v>89</v>
      </c>
      <c r="B22" s="2">
        <v>21</v>
      </c>
      <c r="C22" s="8" t="str">
        <f>IF(B22="","",IFERROR(LOOKUP(2,1/(单次交易!$A$2:$A$88=B22),单次交易!$B$2:$B$88),""))</f>
        <v>恒瑞医药</v>
      </c>
      <c r="D22" s="12"/>
      <c r="E22" s="10"/>
      <c r="F22" s="10"/>
      <c r="G22" s="2"/>
      <c r="H22" s="13">
        <v>44760</v>
      </c>
      <c r="I22" s="10">
        <v>37.17</v>
      </c>
      <c r="J22" s="12"/>
      <c r="K22" s="2"/>
      <c r="L22" s="2"/>
      <c r="M22" s="2"/>
      <c r="N22" s="5">
        <f>IF(B22="","",IFERROR(LOOKUP(2,1/(单次交易!$A$2:$A$88=B22),单次交易!$N$2:$N$88),""))</f>
        <v>35</v>
      </c>
      <c r="O22" s="5">
        <f t="shared" si="0"/>
        <v>37.17</v>
      </c>
      <c r="P22" s="11">
        <f t="shared" si="1"/>
        <v>0</v>
      </c>
      <c r="Q22" s="5">
        <f t="shared" si="2"/>
        <v>35</v>
      </c>
      <c r="R22" s="10"/>
      <c r="S22" s="5">
        <f t="shared" si="3"/>
        <v>35</v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>继续观察</v>
      </c>
      <c r="X22" s="2" t="s">
        <v>90</v>
      </c>
      <c r="Y22" s="10">
        <v>37.19</v>
      </c>
      <c r="Z22" s="11">
        <f>IF(X22&lt;&gt;"执行卖出","",IFERROR(LOOKUP(2,1/(单次交易!$A$2:$A$88=B22),单次交易!$AP$2:$AP$88),""))</f>
        <v>2000</v>
      </c>
      <c r="AA22" s="10"/>
      <c r="AB22" s="8" t="str">
        <f t="shared" si="8"/>
        <v>待补充每日记录</v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>每日数据不完整</v>
      </c>
    </row>
    <row r="23" spans="1:29" x14ac:dyDescent="0.15">
      <c r="A23" s="2" t="s">
        <v>89</v>
      </c>
      <c r="B23" s="2">
        <v>22</v>
      </c>
      <c r="C23" s="8" t="str">
        <f>IF(B23="","",IFERROR(LOOKUP(2,1/(单次交易!$A$2:$A$88=B23),单次交易!$B$2:$B$88),""))</f>
        <v>恒瑞医药</v>
      </c>
      <c r="D23" s="12"/>
      <c r="E23" s="10"/>
      <c r="F23" s="10"/>
      <c r="G23" s="2"/>
      <c r="H23" s="13">
        <v>45077</v>
      </c>
      <c r="I23" s="10">
        <v>44.79</v>
      </c>
      <c r="J23" s="12"/>
      <c r="K23" s="2"/>
      <c r="L23" s="2"/>
      <c r="M23" s="2"/>
      <c r="N23" s="5">
        <f>IF(B23="","",IFERROR(LOOKUP(2,1/(单次交易!$A$2:$A$88=B23),单次交易!$N$2:$N$88),""))</f>
        <v>47</v>
      </c>
      <c r="O23" s="5">
        <f t="shared" si="0"/>
        <v>44.79</v>
      </c>
      <c r="P23" s="11">
        <f t="shared" si="1"/>
        <v>0</v>
      </c>
      <c r="Q23" s="5">
        <f t="shared" si="2"/>
        <v>47</v>
      </c>
      <c r="R23" s="10"/>
      <c r="S23" s="5">
        <f t="shared" si="3"/>
        <v>47</v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>触发止损：应全部卖出</v>
      </c>
      <c r="X23" s="2" t="s">
        <v>90</v>
      </c>
      <c r="Y23" s="10">
        <v>44.79</v>
      </c>
      <c r="Z23" s="11">
        <f>IF(X23&lt;&gt;"执行卖出","",IFERROR(LOOKUP(2,1/(单次交易!$A$2:$A$88=B23),单次交易!$AP$2:$AP$88),""))</f>
        <v>1700</v>
      </c>
      <c r="AA23" s="10"/>
      <c r="AB23" s="8" t="str">
        <f t="shared" si="8"/>
        <v>待补充每日记录</v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>每日数据不完整</v>
      </c>
    </row>
    <row r="24" spans="1:29" x14ac:dyDescent="0.15">
      <c r="A24" s="2" t="s">
        <v>89</v>
      </c>
      <c r="B24" s="2">
        <v>23</v>
      </c>
      <c r="C24" s="8" t="str">
        <f>IF(B24="","",IFERROR(LOOKUP(2,1/(单次交易!$A$2:$A$88=B24),单次交易!$B$2:$B$88),""))</f>
        <v>恒瑞医药</v>
      </c>
      <c r="D24" s="12"/>
      <c r="E24" s="10"/>
      <c r="F24" s="10"/>
      <c r="G24" s="2"/>
      <c r="H24" s="13">
        <v>45112</v>
      </c>
      <c r="I24" s="10">
        <v>48.59</v>
      </c>
      <c r="J24" s="12"/>
      <c r="K24" s="2"/>
      <c r="L24" s="2"/>
      <c r="M24" s="2"/>
      <c r="N24" s="5">
        <f>IF(B24="","",IFERROR(LOOKUP(2,1/(单次交易!$A$2:$A$88=B24),单次交易!$N$2:$N$88),""))</f>
        <v>45</v>
      </c>
      <c r="O24" s="5">
        <f t="shared" si="0"/>
        <v>48.59</v>
      </c>
      <c r="P24" s="11">
        <f t="shared" si="1"/>
        <v>0</v>
      </c>
      <c r="Q24" s="5">
        <f t="shared" si="2"/>
        <v>45</v>
      </c>
      <c r="R24" s="10"/>
      <c r="S24" s="5">
        <f t="shared" si="3"/>
        <v>45</v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>继续观察</v>
      </c>
      <c r="X24" s="2" t="s">
        <v>90</v>
      </c>
      <c r="Y24" s="10">
        <v>48.59</v>
      </c>
      <c r="Z24" s="11">
        <f>IF(X24&lt;&gt;"执行卖出","",IFERROR(LOOKUP(2,1/(单次交易!$A$2:$A$88=B24),单次交易!$AP$2:$AP$88),""))</f>
        <v>1300</v>
      </c>
      <c r="AA24" s="10"/>
      <c r="AB24" s="8" t="str">
        <f t="shared" si="8"/>
        <v>待补充每日记录</v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>每日数据不完整</v>
      </c>
    </row>
    <row r="25" spans="1:29" x14ac:dyDescent="0.15">
      <c r="A25" s="2" t="s">
        <v>89</v>
      </c>
      <c r="B25" s="2">
        <v>24</v>
      </c>
      <c r="C25" s="8" t="str">
        <f>IF(B25="","",IFERROR(LOOKUP(2,1/(单次交易!$A$2:$A$88=B25),单次交易!$B$2:$B$88),""))</f>
        <v>恒瑞医药</v>
      </c>
      <c r="D25" s="12"/>
      <c r="E25" s="10"/>
      <c r="F25" s="10"/>
      <c r="G25" s="2"/>
      <c r="H25" s="13">
        <v>45132</v>
      </c>
      <c r="I25" s="10">
        <v>47.16</v>
      </c>
      <c r="J25" s="12"/>
      <c r="K25" s="2"/>
      <c r="L25" s="2"/>
      <c r="M25" s="2"/>
      <c r="N25" s="5">
        <f>IF(B25="","",IFERROR(LOOKUP(2,1/(单次交易!$A$2:$A$88=B25),单次交易!$N$2:$N$88),""))</f>
        <v>45</v>
      </c>
      <c r="O25" s="5">
        <f t="shared" si="0"/>
        <v>47.16</v>
      </c>
      <c r="P25" s="11">
        <f t="shared" si="1"/>
        <v>0</v>
      </c>
      <c r="Q25" s="5">
        <f t="shared" si="2"/>
        <v>45</v>
      </c>
      <c r="R25" s="10"/>
      <c r="S25" s="5">
        <f t="shared" si="3"/>
        <v>45</v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>继续观察</v>
      </c>
      <c r="X25" s="2" t="s">
        <v>90</v>
      </c>
      <c r="Y25" s="10">
        <v>47.16</v>
      </c>
      <c r="Z25" s="11">
        <f>IF(X25&lt;&gt;"执行卖出","",IFERROR(LOOKUP(2,1/(单次交易!$A$2:$A$88=B25),单次交易!$AP$2:$AP$88),""))</f>
        <v>1300</v>
      </c>
      <c r="AA25" s="10"/>
      <c r="AB25" s="8" t="str">
        <f t="shared" si="8"/>
        <v>待补充每日记录</v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>每日数据不完整</v>
      </c>
    </row>
    <row r="26" spans="1:29" x14ac:dyDescent="0.15">
      <c r="A26" s="2" t="s">
        <v>89</v>
      </c>
      <c r="B26" s="2">
        <v>25</v>
      </c>
      <c r="C26" s="8" t="str">
        <f>IF(B26="","",IFERROR(LOOKUP(2,1/(单次交易!$A$2:$A$88=B26),单次交易!$B$2:$B$88),""))</f>
        <v>恒瑞医药</v>
      </c>
      <c r="D26" s="12"/>
      <c r="E26" s="10"/>
      <c r="F26" s="10"/>
      <c r="G26" s="2"/>
      <c r="H26" s="13">
        <v>45138</v>
      </c>
      <c r="I26" s="10">
        <v>43.98</v>
      </c>
      <c r="J26" s="12"/>
      <c r="K26" s="2"/>
      <c r="L26" s="2"/>
      <c r="M26" s="2"/>
      <c r="N26" s="5">
        <f>IF(B26="","",IFERROR(LOOKUP(2,1/(单次交易!$A$2:$A$88=B26),单次交易!$N$2:$N$88),""))</f>
        <v>47</v>
      </c>
      <c r="O26" s="5">
        <f t="shared" si="0"/>
        <v>43.98</v>
      </c>
      <c r="P26" s="11">
        <f t="shared" si="1"/>
        <v>0</v>
      </c>
      <c r="Q26" s="5">
        <f t="shared" si="2"/>
        <v>47</v>
      </c>
      <c r="R26" s="10"/>
      <c r="S26" s="5">
        <f t="shared" si="3"/>
        <v>47</v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>触发止损：应全部卖出</v>
      </c>
      <c r="X26" s="2" t="s">
        <v>90</v>
      </c>
      <c r="Y26" s="10">
        <v>43.98</v>
      </c>
      <c r="Z26" s="11">
        <f>IF(X26&lt;&gt;"执行卖出","",IFERROR(LOOKUP(2,1/(单次交易!$A$2:$A$88=B26),单次交易!$AP$2:$AP$88),""))</f>
        <v>1600</v>
      </c>
      <c r="AA26" s="10"/>
      <c r="AB26" s="8" t="str">
        <f t="shared" si="8"/>
        <v>待补充每日记录</v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>每日数据不完整</v>
      </c>
    </row>
    <row r="27" spans="1:29" x14ac:dyDescent="0.15">
      <c r="A27" s="2" t="s">
        <v>89</v>
      </c>
      <c r="B27" s="2">
        <v>26</v>
      </c>
      <c r="C27" s="8" t="str">
        <f>IF(B27="","",IFERROR(LOOKUP(2,1/(单次交易!$A$2:$A$88=B27),单次交易!$B$2:$B$88),""))</f>
        <v>恒瑞医药</v>
      </c>
      <c r="D27" s="12"/>
      <c r="E27" s="10"/>
      <c r="F27" s="10"/>
      <c r="G27" s="2"/>
      <c r="H27" s="13">
        <v>45215</v>
      </c>
      <c r="I27" s="10">
        <v>43.63</v>
      </c>
      <c r="J27" s="12"/>
      <c r="K27" s="2"/>
      <c r="L27" s="2"/>
      <c r="M27" s="2"/>
      <c r="N27" s="5">
        <f>IF(B27="","",IFERROR(LOOKUP(2,1/(单次交易!$A$2:$A$88=B27),单次交易!$N$2:$N$88),""))</f>
        <v>41.5</v>
      </c>
      <c r="O27" s="5">
        <f t="shared" si="0"/>
        <v>43.63</v>
      </c>
      <c r="P27" s="11">
        <f t="shared" si="1"/>
        <v>0</v>
      </c>
      <c r="Q27" s="5">
        <f t="shared" si="2"/>
        <v>41.5</v>
      </c>
      <c r="R27" s="10"/>
      <c r="S27" s="5">
        <f t="shared" si="3"/>
        <v>41.5</v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>继续观察</v>
      </c>
      <c r="X27" s="2" t="s">
        <v>90</v>
      </c>
      <c r="Y27" s="10">
        <v>43.63</v>
      </c>
      <c r="Z27" s="11">
        <f>IF(X27&lt;&gt;"执行卖出","",IFERROR(LOOKUP(2,1/(单次交易!$A$2:$A$88=B27),单次交易!$AP$2:$AP$88),""))</f>
        <v>1400</v>
      </c>
      <c r="AA27" s="10"/>
      <c r="AB27" s="8" t="str">
        <f t="shared" si="8"/>
        <v>待补充每日记录</v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>每日数据不完整</v>
      </c>
    </row>
    <row r="28" spans="1:29" x14ac:dyDescent="0.15">
      <c r="A28" s="2" t="s">
        <v>89</v>
      </c>
      <c r="B28" s="2">
        <v>27</v>
      </c>
      <c r="C28" s="8" t="str">
        <f>IF(B28="","",IFERROR(LOOKUP(2,1/(单次交易!$A$2:$A$88=B28),单次交易!$B$2:$B$88),""))</f>
        <v>恒瑞医药</v>
      </c>
      <c r="D28" s="12"/>
      <c r="E28" s="10"/>
      <c r="F28" s="10"/>
      <c r="G28" s="2"/>
      <c r="H28" s="13">
        <v>45264</v>
      </c>
      <c r="I28" s="10">
        <v>45.39</v>
      </c>
      <c r="J28" s="12"/>
      <c r="K28" s="2"/>
      <c r="L28" s="2"/>
      <c r="M28" s="2"/>
      <c r="N28" s="5">
        <f>IF(B28="","",IFERROR(LOOKUP(2,1/(单次交易!$A$2:$A$88=B28),单次交易!$N$2:$N$88),""))</f>
        <v>46</v>
      </c>
      <c r="O28" s="5">
        <f t="shared" si="0"/>
        <v>45.39</v>
      </c>
      <c r="P28" s="11">
        <f t="shared" si="1"/>
        <v>0</v>
      </c>
      <c r="Q28" s="5">
        <f t="shared" si="2"/>
        <v>46</v>
      </c>
      <c r="R28" s="10"/>
      <c r="S28" s="5">
        <f t="shared" si="3"/>
        <v>46</v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>触发止损：应全部卖出</v>
      </c>
      <c r="X28" s="2" t="s">
        <v>90</v>
      </c>
      <c r="Y28" s="10">
        <v>45.39</v>
      </c>
      <c r="Z28" s="11">
        <f>IF(X28&lt;&gt;"执行卖出","",IFERROR(LOOKUP(2,1/(单次交易!$A$2:$A$88=B28),单次交易!$AP$2:$AP$88),""))</f>
        <v>3000</v>
      </c>
      <c r="AA28" s="10"/>
      <c r="AB28" s="8" t="str">
        <f t="shared" si="8"/>
        <v>待补充每日记录</v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>每日数据不完整</v>
      </c>
    </row>
    <row r="29" spans="1:29" x14ac:dyDescent="0.15">
      <c r="A29" s="2" t="s">
        <v>89</v>
      </c>
      <c r="B29" s="2">
        <v>28</v>
      </c>
      <c r="C29" s="8" t="str">
        <f>IF(B29="","",IFERROR(LOOKUP(2,1/(单次交易!$A$2:$A$88=B29),单次交易!$B$2:$B$88),""))</f>
        <v>恒瑞医药</v>
      </c>
      <c r="D29" s="12"/>
      <c r="E29" s="10"/>
      <c r="F29" s="10"/>
      <c r="G29" s="2"/>
      <c r="H29" s="13">
        <v>45060</v>
      </c>
      <c r="I29" s="10">
        <v>44.73</v>
      </c>
      <c r="J29" s="12"/>
      <c r="K29" s="2"/>
      <c r="L29" s="2"/>
      <c r="M29" s="2"/>
      <c r="N29" s="5">
        <f>IF(B29="","",IFERROR(LOOKUP(2,1/(单次交易!$A$2:$A$88=B29),单次交易!$N$2:$N$88),""))</f>
        <v>46</v>
      </c>
      <c r="O29" s="5">
        <f t="shared" si="0"/>
        <v>44.73</v>
      </c>
      <c r="P29" s="11">
        <f t="shared" si="1"/>
        <v>0</v>
      </c>
      <c r="Q29" s="5">
        <f t="shared" si="2"/>
        <v>46</v>
      </c>
      <c r="R29" s="10"/>
      <c r="S29" s="5">
        <f t="shared" si="3"/>
        <v>46</v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>触发止损：应全部卖出</v>
      </c>
      <c r="X29" s="2" t="s">
        <v>90</v>
      </c>
      <c r="Y29" s="10">
        <v>44.73</v>
      </c>
      <c r="Z29" s="11">
        <f>IF(X29&lt;&gt;"执行卖出","",IFERROR(LOOKUP(2,1/(单次交易!$A$2:$A$88=B29),单次交易!$AP$2:$AP$88),""))</f>
        <v>3800</v>
      </c>
      <c r="AA29" s="10"/>
      <c r="AB29" s="8" t="str">
        <f t="shared" si="8"/>
        <v>待补充每日记录</v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>每日数据不完整</v>
      </c>
    </row>
    <row r="30" spans="1:29" x14ac:dyDescent="0.15">
      <c r="A30" s="2"/>
      <c r="B30" s="2"/>
      <c r="C30" s="8" t="str">
        <f>IF(B30="","",IFERROR(LOOKUP(2,1/(单次交易!$A$2:$A$88=B30),单次交易!$B$2:$B$88),""))</f>
        <v/>
      </c>
      <c r="D30" s="12"/>
      <c r="E30" s="10"/>
      <c r="F30" s="10"/>
      <c r="G30" s="2"/>
      <c r="H30" s="13"/>
      <c r="I30" s="10"/>
      <c r="J30" s="12"/>
      <c r="K30" s="2"/>
      <c r="L30" s="2"/>
      <c r="M30" s="2"/>
      <c r="N30" s="5" t="str">
        <f>IF(B30="","",IFERROR(LOOKUP(2,1/(单次交易!$A$2:$A$88=B30),单次交易!$N$2:$N$88),""))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IF(X30&lt;&gt;"执行卖出","",IFERROR(LOOKUP(2,1/(单次交易!$A$2:$A$88=B30),单次交易!$AP$2:$AP$88),""))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IF(B31="","",IFERROR(LOOKUP(2,1/(单次交易!$A$2:$A$88=B31),单次交易!$B$2:$B$88),""))</f>
        <v/>
      </c>
      <c r="D31" s="12"/>
      <c r="E31" s="10"/>
      <c r="F31" s="10"/>
      <c r="G31" s="2"/>
      <c r="H31" s="13"/>
      <c r="I31" s="10"/>
      <c r="J31" s="12"/>
      <c r="K31" s="2"/>
      <c r="L31" s="2"/>
      <c r="M31" s="2"/>
      <c r="N31" s="5" t="str">
        <f>IF(B31="","",IFERROR(LOOKUP(2,1/(单次交易!$A$2:$A$88=B31),单次交易!$N$2:$N$88),""))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IF(X31&lt;&gt;"执行卖出","",IFERROR(LOOKUP(2,1/(单次交易!$A$2:$A$88=B31),单次交易!$AP$2:$AP$88),""))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IF(B32="","",IFERROR(LOOKUP(2,1/(单次交易!$A$2:$A$88=B32),单次交易!$B$2:$B$88),""))</f>
        <v/>
      </c>
      <c r="D32" s="12"/>
      <c r="E32" s="10"/>
      <c r="F32" s="10"/>
      <c r="G32" s="2"/>
      <c r="H32" s="13"/>
      <c r="I32" s="10"/>
      <c r="J32" s="12"/>
      <c r="K32" s="2"/>
      <c r="L32" s="2"/>
      <c r="M32" s="2"/>
      <c r="N32" s="5" t="str">
        <f>IF(B32="","",IFERROR(LOOKUP(2,1/(单次交易!$A$2:$A$88=B32),单次交易!$N$2:$N$88),""))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IF(X32&lt;&gt;"执行卖出","",IFERROR(LOOKUP(2,1/(单次交易!$A$2:$A$88=B32),单次交易!$AP$2:$AP$88),""))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IF(B33="","",IFERROR(LOOKUP(2,1/(单次交易!$A$2:$A$88=B33),单次交易!$B$2:$B$88),""))</f>
        <v/>
      </c>
      <c r="D33" s="12"/>
      <c r="E33" s="10"/>
      <c r="F33" s="10"/>
      <c r="G33" s="2"/>
      <c r="H33" s="13"/>
      <c r="I33" s="10"/>
      <c r="J33" s="12"/>
      <c r="K33" s="2"/>
      <c r="L33" s="2"/>
      <c r="M33" s="2"/>
      <c r="N33" s="5" t="str">
        <f>IF(B33="","",IFERROR(LOOKUP(2,1/(单次交易!$A$2:$A$88=B33),单次交易!$N$2:$N$88),""))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IF(X33&lt;&gt;"执行卖出","",IFERROR(LOOKUP(2,1/(单次交易!$A$2:$A$88=B33),单次交易!$AP$2:$AP$88),""))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IF(B34="","",IFERROR(LOOKUP(2,1/(单次交易!$A$2:$A$88=B34),单次交易!$B$2:$B$88),""))</f>
        <v/>
      </c>
      <c r="D34" s="12"/>
      <c r="E34" s="10"/>
      <c r="F34" s="10"/>
      <c r="G34" s="2"/>
      <c r="H34" s="13"/>
      <c r="I34" s="10"/>
      <c r="J34" s="12"/>
      <c r="K34" s="2"/>
      <c r="L34" s="2"/>
      <c r="M34" s="2"/>
      <c r="N34" s="5" t="str">
        <f>IF(B34="","",IFERROR(LOOKUP(2,1/(单次交易!$A$2:$A$88=B34),单次交易!$N$2:$N$88),""))</f>
        <v/>
      </c>
      <c r="O34" s="5" t="str">
        <f t="shared" ref="O34:O65" si="9">IF(A34&lt;&gt;"每日跟踪","",IF(OR(B34="",H34="",I34=""),"",IFERROR(SUMPRODUCT(MAX((($A$2:$A$157="每日跟踪")*($B$2:$B$157=B34)*($H$2:$H$157&lt;=H34))*$I$2:$I$157)),"")))</f>
        <v/>
      </c>
      <c r="P34" s="11" t="str">
        <f t="shared" ref="P34:P65" si="10">IF(A34&lt;&gt;"每日跟踪","",IF(O34="","",IFERROR(SUMPRODUCT(MAX((($A$2:$A$157="止损计划")*($B$2:$B$157=B34)*($E$2:$E$157&lt;=O34))*$D$2:$D$157)),0)))</f>
        <v/>
      </c>
      <c r="Q34" s="5" t="str">
        <f t="shared" ref="Q34:Q65" si="11">IF(A34&lt;&gt;"每日跟踪","",IF(N34="","",MAX(N34,IFERROR(SUMPRODUCT(MAX((($A$2:$A$157="止损计划")*($B$2:$B$157=B34)*($E$2:$E$157&lt;=O34))*$F$2:$F$157)),0))))</f>
        <v/>
      </c>
      <c r="R34" s="10"/>
      <c r="S34" s="5" t="str">
        <f t="shared" ref="S34:S65" si="12">IF(A34&lt;&gt;"每日跟踪","",IF(Q34="","",MAX(Q34,IFERROR(SUMPRODUCT(MAX((($A$2:$A$157="每日跟踪")*($B$2:$B$157=B34)*($H$2:$H$157&lt;=H34))*$R$2:$R$157)),0))))</f>
        <v/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IF(X34&lt;&gt;"执行卖出","",IFERROR(LOOKUP(2,1/(单次交易!$A$2:$A$88=B34),单次交易!$AP$2:$AP$88),""))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IF(B35="","",IFERROR(LOOKUP(2,1/(单次交易!$A$2:$A$88=B35),单次交易!$B$2:$B$88),""))</f>
        <v/>
      </c>
      <c r="D35" s="12"/>
      <c r="E35" s="10"/>
      <c r="F35" s="10"/>
      <c r="G35" s="2"/>
      <c r="H35" s="13"/>
      <c r="I35" s="10"/>
      <c r="J35" s="12"/>
      <c r="K35" s="2"/>
      <c r="L35" s="2"/>
      <c r="M35" s="2"/>
      <c r="N35" s="5" t="str">
        <f>IF(B35="","",IFERROR(LOOKUP(2,1/(单次交易!$A$2:$A$88=B35),单次交易!$N$2:$N$88),""))</f>
        <v/>
      </c>
      <c r="O35" s="5" t="str">
        <f t="shared" si="9"/>
        <v/>
      </c>
      <c r="P35" s="11" t="str">
        <f t="shared" si="10"/>
        <v/>
      </c>
      <c r="Q35" s="5" t="str">
        <f t="shared" si="11"/>
        <v/>
      </c>
      <c r="R35" s="10"/>
      <c r="S35" s="5" t="str">
        <f t="shared" si="12"/>
        <v/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IF(X35&lt;&gt;"执行卖出","",IFERROR(LOOKUP(2,1/(单次交易!$A$2:$A$88=B35),单次交易!$AP$2:$AP$88),""))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IF(B36="","",IFERROR(LOOKUP(2,1/(单次交易!$A$2:$A$88=B36),单次交易!$B$2:$B$88),""))</f>
        <v/>
      </c>
      <c r="D36" s="12"/>
      <c r="E36" s="10"/>
      <c r="F36" s="10"/>
      <c r="G36" s="2"/>
      <c r="H36" s="13"/>
      <c r="I36" s="10"/>
      <c r="J36" s="12"/>
      <c r="K36" s="2"/>
      <c r="L36" s="2"/>
      <c r="M36" s="2"/>
      <c r="N36" s="5" t="str">
        <f>IF(B36="","",IFERROR(LOOKUP(2,1/(单次交易!$A$2:$A$88=B36),单次交易!$N$2:$N$88),""))</f>
        <v/>
      </c>
      <c r="O36" s="5" t="str">
        <f t="shared" si="9"/>
        <v/>
      </c>
      <c r="P36" s="11" t="str">
        <f t="shared" si="10"/>
        <v/>
      </c>
      <c r="Q36" s="5" t="str">
        <f t="shared" si="11"/>
        <v/>
      </c>
      <c r="R36" s="10"/>
      <c r="S36" s="5" t="str">
        <f t="shared" si="12"/>
        <v/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IF(X36&lt;&gt;"执行卖出","",IFERROR(LOOKUP(2,1/(单次交易!$A$2:$A$88=B36),单次交易!$AP$2:$AP$88),""))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IF(B37="","",IFERROR(LOOKUP(2,1/(单次交易!$A$2:$A$88=B37),单次交易!$B$2:$B$88),""))</f>
        <v/>
      </c>
      <c r="D37" s="12"/>
      <c r="E37" s="10"/>
      <c r="F37" s="10"/>
      <c r="G37" s="2"/>
      <c r="H37" s="13"/>
      <c r="I37" s="10"/>
      <c r="J37" s="12"/>
      <c r="K37" s="2"/>
      <c r="L37" s="2"/>
      <c r="M37" s="2"/>
      <c r="N37" s="5" t="str">
        <f>IF(B37="","",IFERROR(LOOKUP(2,1/(单次交易!$A$2:$A$88=B37),单次交易!$N$2:$N$88),""))</f>
        <v/>
      </c>
      <c r="O37" s="5" t="str">
        <f t="shared" si="9"/>
        <v/>
      </c>
      <c r="P37" s="11" t="str">
        <f t="shared" si="10"/>
        <v/>
      </c>
      <c r="Q37" s="5" t="str">
        <f t="shared" si="11"/>
        <v/>
      </c>
      <c r="R37" s="10"/>
      <c r="S37" s="5" t="str">
        <f t="shared" si="12"/>
        <v/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IF(X37&lt;&gt;"执行卖出","",IFERROR(LOOKUP(2,1/(单次交易!$A$2:$A$88=B37),单次交易!$AP$2:$AP$88),""))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IF(B38="","",IFERROR(LOOKUP(2,1/(单次交易!$A$2:$A$88=B38),单次交易!$B$2:$B$88),""))</f>
        <v/>
      </c>
      <c r="D38" s="12"/>
      <c r="E38" s="10"/>
      <c r="F38" s="10"/>
      <c r="G38" s="2"/>
      <c r="H38" s="13"/>
      <c r="I38" s="10"/>
      <c r="J38" s="12"/>
      <c r="K38" s="2"/>
      <c r="L38" s="2"/>
      <c r="M38" s="2"/>
      <c r="N38" s="5" t="str">
        <f>IF(B38="","",IFERROR(LOOKUP(2,1/(单次交易!$A$2:$A$88=B38),单次交易!$N$2:$N$88),""))</f>
        <v/>
      </c>
      <c r="O38" s="5" t="str">
        <f t="shared" si="9"/>
        <v/>
      </c>
      <c r="P38" s="11" t="str">
        <f t="shared" si="10"/>
        <v/>
      </c>
      <c r="Q38" s="5" t="str">
        <f t="shared" si="11"/>
        <v/>
      </c>
      <c r="R38" s="10"/>
      <c r="S38" s="5" t="str">
        <f t="shared" si="12"/>
        <v/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IF(X38&lt;&gt;"执行卖出","",IFERROR(LOOKUP(2,1/(单次交易!$A$2:$A$88=B38),单次交易!$AP$2:$AP$88),""))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IF(B39="","",IFERROR(LOOKUP(2,1/(单次交易!$A$2:$A$88=B39),单次交易!$B$2:$B$88),""))</f>
        <v/>
      </c>
      <c r="D39" s="12"/>
      <c r="E39" s="10"/>
      <c r="F39" s="10"/>
      <c r="G39" s="2"/>
      <c r="H39" s="13"/>
      <c r="I39" s="10"/>
      <c r="J39" s="12"/>
      <c r="K39" s="2"/>
      <c r="L39" s="2"/>
      <c r="M39" s="2"/>
      <c r="N39" s="5" t="str">
        <f>IF(B39="","",IFERROR(LOOKUP(2,1/(单次交易!$A$2:$A$88=B39),单次交易!$N$2:$N$88),""))</f>
        <v/>
      </c>
      <c r="O39" s="5" t="str">
        <f t="shared" si="9"/>
        <v/>
      </c>
      <c r="P39" s="11" t="str">
        <f t="shared" si="10"/>
        <v/>
      </c>
      <c r="Q39" s="5" t="str">
        <f t="shared" si="11"/>
        <v/>
      </c>
      <c r="R39" s="10"/>
      <c r="S39" s="5" t="str">
        <f t="shared" si="12"/>
        <v/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IF(X39&lt;&gt;"执行卖出","",IFERROR(LOOKUP(2,1/(单次交易!$A$2:$A$88=B39),单次交易!$AP$2:$AP$88),""))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IF(B40="","",IFERROR(LOOKUP(2,1/(单次交易!$A$2:$A$88=B40),单次交易!$B$2:$B$88),""))</f>
        <v/>
      </c>
      <c r="D40" s="12"/>
      <c r="E40" s="10"/>
      <c r="F40" s="10"/>
      <c r="G40" s="2"/>
      <c r="H40" s="13"/>
      <c r="I40" s="10"/>
      <c r="J40" s="12"/>
      <c r="K40" s="2"/>
      <c r="L40" s="2"/>
      <c r="M40" s="2"/>
      <c r="N40" s="5" t="str">
        <f>IF(B40="","",IFERROR(LOOKUP(2,1/(单次交易!$A$2:$A$88=B40),单次交易!$N$2:$N$88),""))</f>
        <v/>
      </c>
      <c r="O40" s="5" t="str">
        <f t="shared" si="9"/>
        <v/>
      </c>
      <c r="P40" s="11" t="str">
        <f t="shared" si="10"/>
        <v/>
      </c>
      <c r="Q40" s="5" t="str">
        <f t="shared" si="11"/>
        <v/>
      </c>
      <c r="R40" s="10"/>
      <c r="S40" s="5" t="str">
        <f t="shared" si="12"/>
        <v/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IF(X40&lt;&gt;"执行卖出","",IFERROR(LOOKUP(2,1/(单次交易!$A$2:$A$88=B40),单次交易!$AP$2:$AP$88),""))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IF(B41="","",IFERROR(LOOKUP(2,1/(单次交易!$A$2:$A$88=B41),单次交易!$B$2:$B$88),""))</f>
        <v/>
      </c>
      <c r="D41" s="12"/>
      <c r="E41" s="10"/>
      <c r="F41" s="10"/>
      <c r="G41" s="2"/>
      <c r="H41" s="13"/>
      <c r="I41" s="10"/>
      <c r="J41" s="12"/>
      <c r="K41" s="2"/>
      <c r="L41" s="2"/>
      <c r="M41" s="2"/>
      <c r="N41" s="5" t="str">
        <f>IF(B41="","",IFERROR(LOOKUP(2,1/(单次交易!$A$2:$A$88=B41),单次交易!$N$2:$N$88),""))</f>
        <v/>
      </c>
      <c r="O41" s="5" t="str">
        <f t="shared" si="9"/>
        <v/>
      </c>
      <c r="P41" s="11" t="str">
        <f t="shared" si="10"/>
        <v/>
      </c>
      <c r="Q41" s="5" t="str">
        <f t="shared" si="11"/>
        <v/>
      </c>
      <c r="R41" s="10"/>
      <c r="S41" s="5" t="str">
        <f t="shared" si="12"/>
        <v/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IF(X41&lt;&gt;"执行卖出","",IFERROR(LOOKUP(2,1/(单次交易!$A$2:$A$88=B41),单次交易!$AP$2:$AP$88),""))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IF(B42="","",IFERROR(LOOKUP(2,1/(单次交易!$A$2:$A$88=B42),单次交易!$B$2:$B$88),""))</f>
        <v/>
      </c>
      <c r="D42" s="12"/>
      <c r="E42" s="10"/>
      <c r="F42" s="10"/>
      <c r="G42" s="2"/>
      <c r="H42" s="13"/>
      <c r="I42" s="10"/>
      <c r="J42" s="12"/>
      <c r="K42" s="2"/>
      <c r="L42" s="2"/>
      <c r="M42" s="2"/>
      <c r="N42" s="5" t="str">
        <f>IF(B42="","",IFERROR(LOOKUP(2,1/(单次交易!$A$2:$A$88=B42),单次交易!$N$2:$N$88),""))</f>
        <v/>
      </c>
      <c r="O42" s="5" t="str">
        <f t="shared" si="9"/>
        <v/>
      </c>
      <c r="P42" s="11" t="str">
        <f t="shared" si="10"/>
        <v/>
      </c>
      <c r="Q42" s="5" t="str">
        <f t="shared" si="11"/>
        <v/>
      </c>
      <c r="R42" s="10"/>
      <c r="S42" s="5" t="str">
        <f t="shared" si="12"/>
        <v/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/>
      </c>
      <c r="X42" s="2"/>
      <c r="Y42" s="10"/>
      <c r="Z42" s="11" t="str">
        <f>IF(X42&lt;&gt;"执行卖出","",IFERROR(LOOKUP(2,1/(单次交易!$A$2:$A$88=B42),单次交易!$AP$2:$AP$88),""))</f>
        <v/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IF(B43="","",IFERROR(LOOKUP(2,1/(单次交易!$A$2:$A$88=B43),单次交易!$B$2:$B$88),""))</f>
        <v/>
      </c>
      <c r="D43" s="12"/>
      <c r="E43" s="10"/>
      <c r="F43" s="10"/>
      <c r="G43" s="2"/>
      <c r="H43" s="13"/>
      <c r="I43" s="10"/>
      <c r="J43" s="12"/>
      <c r="K43" s="2"/>
      <c r="L43" s="2"/>
      <c r="M43" s="2"/>
      <c r="N43" s="5" t="str">
        <f>IF(B43="","",IFERROR(LOOKUP(2,1/(单次交易!$A$2:$A$88=B43),单次交易!$N$2:$N$88),""))</f>
        <v/>
      </c>
      <c r="O43" s="5" t="str">
        <f t="shared" si="9"/>
        <v/>
      </c>
      <c r="P43" s="11" t="str">
        <f t="shared" si="10"/>
        <v/>
      </c>
      <c r="Q43" s="5" t="str">
        <f t="shared" si="11"/>
        <v/>
      </c>
      <c r="R43" s="10"/>
      <c r="S43" s="5" t="str">
        <f t="shared" si="12"/>
        <v/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/>
      </c>
      <c r="X43" s="2"/>
      <c r="Y43" s="10"/>
      <c r="Z43" s="11" t="str">
        <f>IF(X43&lt;&gt;"执行卖出","",IFERROR(LOOKUP(2,1/(单次交易!$A$2:$A$88=B43),单次交易!$AP$2:$AP$88),""))</f>
        <v/>
      </c>
      <c r="AA43" s="10"/>
      <c r="AB43" s="8" t="str">
        <f t="shared" si="17"/>
        <v/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IF(B44="","",IFERROR(LOOKUP(2,1/(单次交易!$A$2:$A$88=B44),单次交易!$B$2:$B$88),""))</f>
        <v/>
      </c>
      <c r="D44" s="12"/>
      <c r="E44" s="10"/>
      <c r="F44" s="10"/>
      <c r="G44" s="2"/>
      <c r="H44" s="13"/>
      <c r="I44" s="10"/>
      <c r="J44" s="12"/>
      <c r="K44" s="2"/>
      <c r="L44" s="2"/>
      <c r="M44" s="2"/>
      <c r="N44" s="5" t="str">
        <f>IF(B44="","",IFERROR(LOOKUP(2,1/(单次交易!$A$2:$A$88=B44),单次交易!$N$2:$N$88),""))</f>
        <v/>
      </c>
      <c r="O44" s="5" t="str">
        <f t="shared" si="9"/>
        <v/>
      </c>
      <c r="P44" s="11" t="str">
        <f t="shared" si="10"/>
        <v/>
      </c>
      <c r="Q44" s="5" t="str">
        <f t="shared" si="11"/>
        <v/>
      </c>
      <c r="R44" s="10"/>
      <c r="S44" s="5" t="str">
        <f t="shared" si="12"/>
        <v/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/>
      </c>
      <c r="X44" s="2"/>
      <c r="Y44" s="10"/>
      <c r="Z44" s="11" t="str">
        <f>IF(X44&lt;&gt;"执行卖出","",IFERROR(LOOKUP(2,1/(单次交易!$A$2:$A$88=B44),单次交易!$AP$2:$AP$88),""))</f>
        <v/>
      </c>
      <c r="AA44" s="10"/>
      <c r="AB44" s="8" t="str">
        <f t="shared" si="17"/>
        <v/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IF(B45="","",IFERROR(LOOKUP(2,1/(单次交易!$A$2:$A$88=B45),单次交易!$B$2:$B$88),""))</f>
        <v/>
      </c>
      <c r="D45" s="12"/>
      <c r="E45" s="10"/>
      <c r="F45" s="10"/>
      <c r="G45" s="2"/>
      <c r="H45" s="13"/>
      <c r="I45" s="10"/>
      <c r="J45" s="12"/>
      <c r="K45" s="2"/>
      <c r="L45" s="2"/>
      <c r="M45" s="2"/>
      <c r="N45" s="5" t="str">
        <f>IF(B45="","",IFERROR(LOOKUP(2,1/(单次交易!$A$2:$A$88=B45),单次交易!$N$2:$N$88),""))</f>
        <v/>
      </c>
      <c r="O45" s="5" t="str">
        <f t="shared" si="9"/>
        <v/>
      </c>
      <c r="P45" s="11" t="str">
        <f t="shared" si="10"/>
        <v/>
      </c>
      <c r="Q45" s="5" t="str">
        <f t="shared" si="11"/>
        <v/>
      </c>
      <c r="R45" s="10"/>
      <c r="S45" s="5" t="str">
        <f t="shared" si="12"/>
        <v/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/>
      </c>
      <c r="X45" s="2"/>
      <c r="Y45" s="10"/>
      <c r="Z45" s="11" t="str">
        <f>IF(X45&lt;&gt;"执行卖出","",IFERROR(LOOKUP(2,1/(单次交易!$A$2:$A$88=B45),单次交易!$AP$2:$AP$88),""))</f>
        <v/>
      </c>
      <c r="AA45" s="10"/>
      <c r="AB45" s="8" t="str">
        <f t="shared" si="17"/>
        <v/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IF(B46="","",IFERROR(LOOKUP(2,1/(单次交易!$A$2:$A$88=B46),单次交易!$B$2:$B$88),""))</f>
        <v/>
      </c>
      <c r="D46" s="12"/>
      <c r="E46" s="10"/>
      <c r="F46" s="10"/>
      <c r="G46" s="2"/>
      <c r="H46" s="13"/>
      <c r="I46" s="10"/>
      <c r="J46" s="12"/>
      <c r="K46" s="2"/>
      <c r="L46" s="2"/>
      <c r="M46" s="2"/>
      <c r="N46" s="5" t="str">
        <f>IF(B46="","",IFERROR(LOOKUP(2,1/(单次交易!$A$2:$A$88=B46),单次交易!$N$2:$N$88),""))</f>
        <v/>
      </c>
      <c r="O46" s="5" t="str">
        <f t="shared" si="9"/>
        <v/>
      </c>
      <c r="P46" s="11" t="str">
        <f t="shared" si="10"/>
        <v/>
      </c>
      <c r="Q46" s="5" t="str">
        <f t="shared" si="11"/>
        <v/>
      </c>
      <c r="R46" s="10"/>
      <c r="S46" s="5" t="str">
        <f t="shared" si="12"/>
        <v/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/>
      </c>
      <c r="X46" s="2"/>
      <c r="Y46" s="10"/>
      <c r="Z46" s="11" t="str">
        <f>IF(X46&lt;&gt;"执行卖出","",IFERROR(LOOKUP(2,1/(单次交易!$A$2:$A$88=B46),单次交易!$AP$2:$AP$88),""))</f>
        <v/>
      </c>
      <c r="AA46" s="10"/>
      <c r="AB46" s="8" t="str">
        <f t="shared" si="17"/>
        <v/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IF(B47="","",IFERROR(LOOKUP(2,1/(单次交易!$A$2:$A$88=B47),单次交易!$B$2:$B$88),""))</f>
        <v/>
      </c>
      <c r="D47" s="12"/>
      <c r="E47" s="10"/>
      <c r="F47" s="10"/>
      <c r="G47" s="2"/>
      <c r="H47" s="13"/>
      <c r="I47" s="10"/>
      <c r="J47" s="12"/>
      <c r="K47" s="2"/>
      <c r="L47" s="2"/>
      <c r="M47" s="2"/>
      <c r="N47" s="5" t="str">
        <f>IF(B47="","",IFERROR(LOOKUP(2,1/(单次交易!$A$2:$A$88=B47),单次交易!$N$2:$N$88),""))</f>
        <v/>
      </c>
      <c r="O47" s="5" t="str">
        <f t="shared" si="9"/>
        <v/>
      </c>
      <c r="P47" s="11" t="str">
        <f t="shared" si="10"/>
        <v/>
      </c>
      <c r="Q47" s="5" t="str">
        <f t="shared" si="11"/>
        <v/>
      </c>
      <c r="R47" s="10"/>
      <c r="S47" s="5" t="str">
        <f t="shared" si="12"/>
        <v/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/>
      </c>
      <c r="X47" s="2"/>
      <c r="Y47" s="10"/>
      <c r="Z47" s="11" t="str">
        <f>IF(X47&lt;&gt;"执行卖出","",IFERROR(LOOKUP(2,1/(单次交易!$A$2:$A$88=B47),单次交易!$AP$2:$AP$88),""))</f>
        <v/>
      </c>
      <c r="AA47" s="10"/>
      <c r="AB47" s="8" t="str">
        <f t="shared" si="17"/>
        <v/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IF(B48="","",IFERROR(LOOKUP(2,1/(单次交易!$A$2:$A$88=B48),单次交易!$B$2:$B$88),""))</f>
        <v/>
      </c>
      <c r="D48" s="12"/>
      <c r="E48" s="10"/>
      <c r="F48" s="10"/>
      <c r="G48" s="2"/>
      <c r="H48" s="13"/>
      <c r="I48" s="10"/>
      <c r="J48" s="12"/>
      <c r="K48" s="2"/>
      <c r="L48" s="2"/>
      <c r="M48" s="2"/>
      <c r="N48" s="5" t="str">
        <f>IF(B48="","",IFERROR(LOOKUP(2,1/(单次交易!$A$2:$A$88=B48),单次交易!$N$2:$N$88),""))</f>
        <v/>
      </c>
      <c r="O48" s="5" t="str">
        <f t="shared" si="9"/>
        <v/>
      </c>
      <c r="P48" s="11" t="str">
        <f t="shared" si="10"/>
        <v/>
      </c>
      <c r="Q48" s="5" t="str">
        <f t="shared" si="11"/>
        <v/>
      </c>
      <c r="R48" s="10"/>
      <c r="S48" s="5" t="str">
        <f t="shared" si="12"/>
        <v/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/>
      </c>
      <c r="X48" s="2"/>
      <c r="Y48" s="10"/>
      <c r="Z48" s="11" t="str">
        <f>IF(X48&lt;&gt;"执行卖出","",IFERROR(LOOKUP(2,1/(单次交易!$A$2:$A$88=B48),单次交易!$AP$2:$AP$88),""))</f>
        <v/>
      </c>
      <c r="AA48" s="10"/>
      <c r="AB48" s="8" t="str">
        <f t="shared" si="17"/>
        <v/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IF(B49="","",IFERROR(LOOKUP(2,1/(单次交易!$A$2:$A$88=B49),单次交易!$B$2:$B$88),""))</f>
        <v/>
      </c>
      <c r="D49" s="12"/>
      <c r="E49" s="10"/>
      <c r="F49" s="10"/>
      <c r="G49" s="2"/>
      <c r="H49" s="13"/>
      <c r="I49" s="10"/>
      <c r="J49" s="12"/>
      <c r="K49" s="2"/>
      <c r="L49" s="2"/>
      <c r="M49" s="2"/>
      <c r="N49" s="5" t="str">
        <f>IF(B49="","",IFERROR(LOOKUP(2,1/(单次交易!$A$2:$A$88=B49),单次交易!$N$2:$N$88),""))</f>
        <v/>
      </c>
      <c r="O49" s="5" t="str">
        <f t="shared" si="9"/>
        <v/>
      </c>
      <c r="P49" s="11" t="str">
        <f t="shared" si="10"/>
        <v/>
      </c>
      <c r="Q49" s="5" t="str">
        <f t="shared" si="11"/>
        <v/>
      </c>
      <c r="R49" s="10"/>
      <c r="S49" s="5" t="str">
        <f t="shared" si="12"/>
        <v/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/>
      </c>
      <c r="X49" s="2"/>
      <c r="Y49" s="10"/>
      <c r="Z49" s="11" t="str">
        <f>IF(X49&lt;&gt;"执行卖出","",IFERROR(LOOKUP(2,1/(单次交易!$A$2:$A$88=B49),单次交易!$AP$2:$AP$88),""))</f>
        <v/>
      </c>
      <c r="AA49" s="10"/>
      <c r="AB49" s="8" t="str">
        <f t="shared" si="17"/>
        <v/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IF(B50="","",IFERROR(LOOKUP(2,1/(单次交易!$A$2:$A$88=B50),单次交易!$B$2:$B$88),""))</f>
        <v/>
      </c>
      <c r="D50" s="12"/>
      <c r="E50" s="10"/>
      <c r="F50" s="10"/>
      <c r="G50" s="2"/>
      <c r="H50" s="13"/>
      <c r="I50" s="10"/>
      <c r="J50" s="12"/>
      <c r="K50" s="2"/>
      <c r="L50" s="2"/>
      <c r="M50" s="2"/>
      <c r="N50" s="5" t="str">
        <f>IF(B50="","",IFERROR(LOOKUP(2,1/(单次交易!$A$2:$A$88=B50),单次交易!$N$2:$N$88),""))</f>
        <v/>
      </c>
      <c r="O50" s="5" t="str">
        <f t="shared" si="9"/>
        <v/>
      </c>
      <c r="P50" s="11" t="str">
        <f t="shared" si="10"/>
        <v/>
      </c>
      <c r="Q50" s="5" t="str">
        <f t="shared" si="11"/>
        <v/>
      </c>
      <c r="R50" s="10"/>
      <c r="S50" s="5" t="str">
        <f t="shared" si="12"/>
        <v/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/>
      </c>
      <c r="X50" s="2"/>
      <c r="Y50" s="10"/>
      <c r="Z50" s="11" t="str">
        <f>IF(X50&lt;&gt;"执行卖出","",IFERROR(LOOKUP(2,1/(单次交易!$A$2:$A$88=B50),单次交易!$AP$2:$AP$88),""))</f>
        <v/>
      </c>
      <c r="AA50" s="10"/>
      <c r="AB50" s="8" t="str">
        <f t="shared" si="17"/>
        <v/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IF(B51="","",IFERROR(LOOKUP(2,1/(单次交易!$A$2:$A$88=B51),单次交易!$B$2:$B$88),""))</f>
        <v/>
      </c>
      <c r="D51" s="12"/>
      <c r="E51" s="10"/>
      <c r="F51" s="10"/>
      <c r="G51" s="2"/>
      <c r="H51" s="13"/>
      <c r="I51" s="10"/>
      <c r="J51" s="12"/>
      <c r="K51" s="2"/>
      <c r="L51" s="2"/>
      <c r="M51" s="2"/>
      <c r="N51" s="5" t="str">
        <f>IF(B51="","",IFERROR(LOOKUP(2,1/(单次交易!$A$2:$A$88=B51),单次交易!$N$2:$N$88),""))</f>
        <v/>
      </c>
      <c r="O51" s="5" t="str">
        <f t="shared" si="9"/>
        <v/>
      </c>
      <c r="P51" s="11" t="str">
        <f t="shared" si="10"/>
        <v/>
      </c>
      <c r="Q51" s="5" t="str">
        <f t="shared" si="11"/>
        <v/>
      </c>
      <c r="R51" s="10"/>
      <c r="S51" s="5" t="str">
        <f t="shared" si="12"/>
        <v/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/>
      </c>
      <c r="X51" s="2"/>
      <c r="Y51" s="10"/>
      <c r="Z51" s="11" t="str">
        <f>IF(X51&lt;&gt;"执行卖出","",IFERROR(LOOKUP(2,1/(单次交易!$A$2:$A$88=B51),单次交易!$AP$2:$AP$88),""))</f>
        <v/>
      </c>
      <c r="AA51" s="10"/>
      <c r="AB51" s="8" t="str">
        <f t="shared" si="17"/>
        <v/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IF(B52="","",IFERROR(LOOKUP(2,1/(单次交易!$A$2:$A$88=B52),单次交易!$B$2:$B$88),""))</f>
        <v/>
      </c>
      <c r="D52" s="12"/>
      <c r="E52" s="10"/>
      <c r="F52" s="10"/>
      <c r="G52" s="2"/>
      <c r="H52" s="13"/>
      <c r="I52" s="10"/>
      <c r="J52" s="12"/>
      <c r="K52" s="2"/>
      <c r="L52" s="2"/>
      <c r="M52" s="2"/>
      <c r="N52" s="5" t="str">
        <f>IF(B52="","",IFERROR(LOOKUP(2,1/(单次交易!$A$2:$A$88=B52),单次交易!$N$2:$N$88),""))</f>
        <v/>
      </c>
      <c r="O52" s="5" t="str">
        <f t="shared" si="9"/>
        <v/>
      </c>
      <c r="P52" s="11" t="str">
        <f t="shared" si="10"/>
        <v/>
      </c>
      <c r="Q52" s="5" t="str">
        <f t="shared" si="11"/>
        <v/>
      </c>
      <c r="R52" s="10"/>
      <c r="S52" s="5" t="str">
        <f t="shared" si="12"/>
        <v/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/>
      </c>
      <c r="X52" s="2"/>
      <c r="Y52" s="10"/>
      <c r="Z52" s="11" t="str">
        <f>IF(X52&lt;&gt;"执行卖出","",IFERROR(LOOKUP(2,1/(单次交易!$A$2:$A$88=B52),单次交易!$AP$2:$AP$88),""))</f>
        <v/>
      </c>
      <c r="AA52" s="10"/>
      <c r="AB52" s="8" t="str">
        <f t="shared" si="17"/>
        <v/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IF(B53="","",IFERROR(LOOKUP(2,1/(单次交易!$A$2:$A$88=B53),单次交易!$B$2:$B$88),""))</f>
        <v/>
      </c>
      <c r="D53" s="12"/>
      <c r="E53" s="10"/>
      <c r="F53" s="10"/>
      <c r="G53" s="2"/>
      <c r="H53" s="13"/>
      <c r="I53" s="10"/>
      <c r="J53" s="12"/>
      <c r="K53" s="2"/>
      <c r="L53" s="2"/>
      <c r="M53" s="2"/>
      <c r="N53" s="5" t="str">
        <f>IF(B53="","",IFERROR(LOOKUP(2,1/(单次交易!$A$2:$A$88=B53),单次交易!$N$2:$N$88),""))</f>
        <v/>
      </c>
      <c r="O53" s="5" t="str">
        <f t="shared" si="9"/>
        <v/>
      </c>
      <c r="P53" s="11" t="str">
        <f t="shared" si="10"/>
        <v/>
      </c>
      <c r="Q53" s="5" t="str">
        <f t="shared" si="11"/>
        <v/>
      </c>
      <c r="R53" s="10"/>
      <c r="S53" s="5" t="str">
        <f t="shared" si="12"/>
        <v/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/>
      </c>
      <c r="X53" s="2"/>
      <c r="Y53" s="10"/>
      <c r="Z53" s="11" t="str">
        <f>IF(X53&lt;&gt;"执行卖出","",IFERROR(LOOKUP(2,1/(单次交易!$A$2:$A$88=B53),单次交易!$AP$2:$AP$88),""))</f>
        <v/>
      </c>
      <c r="AA53" s="10"/>
      <c r="AB53" s="8" t="str">
        <f t="shared" si="17"/>
        <v/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IF(B54="","",IFERROR(LOOKUP(2,1/(单次交易!$A$2:$A$88=B54),单次交易!$B$2:$B$88),""))</f>
        <v/>
      </c>
      <c r="D54" s="12"/>
      <c r="E54" s="10"/>
      <c r="F54" s="10"/>
      <c r="G54" s="2"/>
      <c r="H54" s="13"/>
      <c r="I54" s="10"/>
      <c r="J54" s="12"/>
      <c r="K54" s="2"/>
      <c r="L54" s="2"/>
      <c r="M54" s="2"/>
      <c r="N54" s="5" t="str">
        <f>IF(B54="","",IFERROR(LOOKUP(2,1/(单次交易!$A$2:$A$88=B54),单次交易!$N$2:$N$88),""))</f>
        <v/>
      </c>
      <c r="O54" s="5" t="str">
        <f t="shared" si="9"/>
        <v/>
      </c>
      <c r="P54" s="11" t="str">
        <f t="shared" si="10"/>
        <v/>
      </c>
      <c r="Q54" s="5" t="str">
        <f t="shared" si="11"/>
        <v/>
      </c>
      <c r="R54" s="10"/>
      <c r="S54" s="5" t="str">
        <f t="shared" si="12"/>
        <v/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/>
      </c>
      <c r="X54" s="2"/>
      <c r="Y54" s="10"/>
      <c r="Z54" s="11" t="str">
        <f>IF(X54&lt;&gt;"执行卖出","",IFERROR(LOOKUP(2,1/(单次交易!$A$2:$A$88=B54),单次交易!$AP$2:$AP$88),""))</f>
        <v/>
      </c>
      <c r="AA54" s="10"/>
      <c r="AB54" s="8" t="str">
        <f t="shared" si="17"/>
        <v/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IF(B55="","",IFERROR(LOOKUP(2,1/(单次交易!$A$2:$A$88=B55),单次交易!$B$2:$B$88),""))</f>
        <v/>
      </c>
      <c r="D55" s="12"/>
      <c r="E55" s="10"/>
      <c r="F55" s="10"/>
      <c r="G55" s="2"/>
      <c r="H55" s="13"/>
      <c r="I55" s="10"/>
      <c r="J55" s="12"/>
      <c r="K55" s="2"/>
      <c r="L55" s="2"/>
      <c r="M55" s="2"/>
      <c r="N55" s="5" t="str">
        <f>IF(B55="","",IFERROR(LOOKUP(2,1/(单次交易!$A$2:$A$88=B55),单次交易!$N$2:$N$88),""))</f>
        <v/>
      </c>
      <c r="O55" s="5" t="str">
        <f t="shared" si="9"/>
        <v/>
      </c>
      <c r="P55" s="11" t="str">
        <f t="shared" si="10"/>
        <v/>
      </c>
      <c r="Q55" s="5" t="str">
        <f t="shared" si="11"/>
        <v/>
      </c>
      <c r="R55" s="10"/>
      <c r="S55" s="5" t="str">
        <f t="shared" si="12"/>
        <v/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/>
      </c>
      <c r="X55" s="2"/>
      <c r="Y55" s="10"/>
      <c r="Z55" s="11" t="str">
        <f>IF(X55&lt;&gt;"执行卖出","",IFERROR(LOOKUP(2,1/(单次交易!$A$2:$A$88=B55),单次交易!$AP$2:$AP$88),""))</f>
        <v/>
      </c>
      <c r="AA55" s="10"/>
      <c r="AB55" s="8" t="str">
        <f t="shared" si="17"/>
        <v/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IF(B56="","",IFERROR(LOOKUP(2,1/(单次交易!$A$2:$A$88=B56),单次交易!$B$2:$B$88),""))</f>
        <v/>
      </c>
      <c r="D56" s="12"/>
      <c r="E56" s="10"/>
      <c r="F56" s="10"/>
      <c r="G56" s="2"/>
      <c r="H56" s="13"/>
      <c r="I56" s="10"/>
      <c r="J56" s="12"/>
      <c r="K56" s="2"/>
      <c r="L56" s="2"/>
      <c r="M56" s="2"/>
      <c r="N56" s="5" t="str">
        <f>IF(B56="","",IFERROR(LOOKUP(2,1/(单次交易!$A$2:$A$88=B56),单次交易!$N$2:$N$88),""))</f>
        <v/>
      </c>
      <c r="O56" s="5" t="str">
        <f t="shared" si="9"/>
        <v/>
      </c>
      <c r="P56" s="11" t="str">
        <f t="shared" si="10"/>
        <v/>
      </c>
      <c r="Q56" s="5" t="str">
        <f t="shared" si="11"/>
        <v/>
      </c>
      <c r="R56" s="10"/>
      <c r="S56" s="5" t="str">
        <f t="shared" si="12"/>
        <v/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/>
      </c>
      <c r="X56" s="2"/>
      <c r="Y56" s="10"/>
      <c r="Z56" s="11" t="str">
        <f>IF(X56&lt;&gt;"执行卖出","",IFERROR(LOOKUP(2,1/(单次交易!$A$2:$A$88=B56),单次交易!$AP$2:$AP$88),""))</f>
        <v/>
      </c>
      <c r="AA56" s="10"/>
      <c r="AB56" s="8" t="str">
        <f t="shared" si="17"/>
        <v/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IF(B57="","",IFERROR(LOOKUP(2,1/(单次交易!$A$2:$A$88=B57),单次交易!$B$2:$B$88),""))</f>
        <v/>
      </c>
      <c r="D57" s="12"/>
      <c r="E57" s="10"/>
      <c r="F57" s="10"/>
      <c r="G57" s="2"/>
      <c r="H57" s="13"/>
      <c r="I57" s="10"/>
      <c r="J57" s="12"/>
      <c r="K57" s="2"/>
      <c r="L57" s="2"/>
      <c r="M57" s="2"/>
      <c r="N57" s="5" t="str">
        <f>IF(B57="","",IFERROR(LOOKUP(2,1/(单次交易!$A$2:$A$88=B57),单次交易!$N$2:$N$88),""))</f>
        <v/>
      </c>
      <c r="O57" s="5" t="str">
        <f t="shared" si="9"/>
        <v/>
      </c>
      <c r="P57" s="11" t="str">
        <f t="shared" si="10"/>
        <v/>
      </c>
      <c r="Q57" s="5" t="str">
        <f t="shared" si="11"/>
        <v/>
      </c>
      <c r="R57" s="10"/>
      <c r="S57" s="5" t="str">
        <f t="shared" si="12"/>
        <v/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/>
      </c>
      <c r="X57" s="2"/>
      <c r="Y57" s="10"/>
      <c r="Z57" s="11" t="str">
        <f>IF(X57&lt;&gt;"执行卖出","",IFERROR(LOOKUP(2,1/(单次交易!$A$2:$A$88=B57),单次交易!$AP$2:$AP$88),""))</f>
        <v/>
      </c>
      <c r="AA57" s="10"/>
      <c r="AB57" s="8" t="str">
        <f t="shared" si="17"/>
        <v/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IF(B58="","",IFERROR(LOOKUP(2,1/(单次交易!$A$2:$A$88=B58),单次交易!$B$2:$B$88),""))</f>
        <v/>
      </c>
      <c r="D58" s="12"/>
      <c r="E58" s="10"/>
      <c r="F58" s="10"/>
      <c r="G58" s="2"/>
      <c r="H58" s="13"/>
      <c r="I58" s="10"/>
      <c r="J58" s="12"/>
      <c r="K58" s="2"/>
      <c r="L58" s="2"/>
      <c r="M58" s="2"/>
      <c r="N58" s="5" t="str">
        <f>IF(B58="","",IFERROR(LOOKUP(2,1/(单次交易!$A$2:$A$88=B58),单次交易!$N$2:$N$88),""))</f>
        <v/>
      </c>
      <c r="O58" s="5" t="str">
        <f t="shared" si="9"/>
        <v/>
      </c>
      <c r="P58" s="11" t="str">
        <f t="shared" si="10"/>
        <v/>
      </c>
      <c r="Q58" s="5" t="str">
        <f t="shared" si="11"/>
        <v/>
      </c>
      <c r="R58" s="10"/>
      <c r="S58" s="5" t="str">
        <f t="shared" si="12"/>
        <v/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/>
      </c>
      <c r="X58" s="2"/>
      <c r="Y58" s="10"/>
      <c r="Z58" s="11" t="str">
        <f>IF(X58&lt;&gt;"执行卖出","",IFERROR(LOOKUP(2,1/(单次交易!$A$2:$A$88=B58),单次交易!$AP$2:$AP$88),""))</f>
        <v/>
      </c>
      <c r="AA58" s="10"/>
      <c r="AB58" s="8" t="str">
        <f t="shared" si="17"/>
        <v/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IF(B59="","",IFERROR(LOOKUP(2,1/(单次交易!$A$2:$A$88=B59),单次交易!$B$2:$B$88),""))</f>
        <v/>
      </c>
      <c r="D59" s="12"/>
      <c r="E59" s="10"/>
      <c r="F59" s="10"/>
      <c r="G59" s="2"/>
      <c r="H59" s="13"/>
      <c r="I59" s="10"/>
      <c r="J59" s="12"/>
      <c r="K59" s="2"/>
      <c r="L59" s="2"/>
      <c r="M59" s="2"/>
      <c r="N59" s="5" t="str">
        <f>IF(B59="","",IFERROR(LOOKUP(2,1/(单次交易!$A$2:$A$88=B59),单次交易!$N$2:$N$88),""))</f>
        <v/>
      </c>
      <c r="O59" s="5" t="str">
        <f t="shared" si="9"/>
        <v/>
      </c>
      <c r="P59" s="11" t="str">
        <f t="shared" si="10"/>
        <v/>
      </c>
      <c r="Q59" s="5" t="str">
        <f t="shared" si="11"/>
        <v/>
      </c>
      <c r="R59" s="10"/>
      <c r="S59" s="5" t="str">
        <f t="shared" si="12"/>
        <v/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/>
      </c>
      <c r="X59" s="2"/>
      <c r="Y59" s="10"/>
      <c r="Z59" s="11" t="str">
        <f>IF(X59&lt;&gt;"执行卖出","",IFERROR(LOOKUP(2,1/(单次交易!$A$2:$A$88=B59),单次交易!$AP$2:$AP$88),""))</f>
        <v/>
      </c>
      <c r="AA59" s="10"/>
      <c r="AB59" s="8" t="str">
        <f t="shared" si="17"/>
        <v/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IF(B60="","",IFERROR(LOOKUP(2,1/(单次交易!$A$2:$A$88=B60),单次交易!$B$2:$B$88),""))</f>
        <v/>
      </c>
      <c r="D60" s="12"/>
      <c r="E60" s="10"/>
      <c r="F60" s="10"/>
      <c r="G60" s="2"/>
      <c r="H60" s="13"/>
      <c r="I60" s="10"/>
      <c r="J60" s="12"/>
      <c r="K60" s="2"/>
      <c r="L60" s="2"/>
      <c r="M60" s="2"/>
      <c r="N60" s="5" t="str">
        <f>IF(B60="","",IFERROR(LOOKUP(2,1/(单次交易!$A$2:$A$88=B60),单次交易!$N$2:$N$88),""))</f>
        <v/>
      </c>
      <c r="O60" s="5" t="str">
        <f t="shared" si="9"/>
        <v/>
      </c>
      <c r="P60" s="11" t="str">
        <f t="shared" si="10"/>
        <v/>
      </c>
      <c r="Q60" s="5" t="str">
        <f t="shared" si="11"/>
        <v/>
      </c>
      <c r="R60" s="10"/>
      <c r="S60" s="5" t="str">
        <f t="shared" si="12"/>
        <v/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/>
      </c>
      <c r="X60" s="2"/>
      <c r="Y60" s="10"/>
      <c r="Z60" s="11" t="str">
        <f>IF(X60&lt;&gt;"执行卖出","",IFERROR(LOOKUP(2,1/(单次交易!$A$2:$A$88=B60),单次交易!$AP$2:$AP$88),""))</f>
        <v/>
      </c>
      <c r="AA60" s="10"/>
      <c r="AB60" s="8" t="str">
        <f t="shared" si="17"/>
        <v/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IF(B61="","",IFERROR(LOOKUP(2,1/(单次交易!$A$2:$A$88=B61),单次交易!$B$2:$B$88),""))</f>
        <v/>
      </c>
      <c r="D61" s="12"/>
      <c r="E61" s="10"/>
      <c r="F61" s="10"/>
      <c r="G61" s="2"/>
      <c r="H61" s="13"/>
      <c r="I61" s="10"/>
      <c r="J61" s="12"/>
      <c r="K61" s="2"/>
      <c r="L61" s="2"/>
      <c r="M61" s="2"/>
      <c r="N61" s="5" t="str">
        <f>IF(B61="","",IFERROR(LOOKUP(2,1/(单次交易!$A$2:$A$88=B61),单次交易!$N$2:$N$88),""))</f>
        <v/>
      </c>
      <c r="O61" s="5" t="str">
        <f t="shared" si="9"/>
        <v/>
      </c>
      <c r="P61" s="11" t="str">
        <f t="shared" si="10"/>
        <v/>
      </c>
      <c r="Q61" s="5" t="str">
        <f t="shared" si="11"/>
        <v/>
      </c>
      <c r="R61" s="10"/>
      <c r="S61" s="5" t="str">
        <f t="shared" si="12"/>
        <v/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/>
      </c>
      <c r="X61" s="2"/>
      <c r="Y61" s="10"/>
      <c r="Z61" s="11" t="str">
        <f>IF(X61&lt;&gt;"执行卖出","",IFERROR(LOOKUP(2,1/(单次交易!$A$2:$A$88=B61),单次交易!$AP$2:$AP$88),""))</f>
        <v/>
      </c>
      <c r="AA61" s="10"/>
      <c r="AB61" s="8" t="str">
        <f t="shared" si="17"/>
        <v/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IF(B62="","",IFERROR(LOOKUP(2,1/(单次交易!$A$2:$A$88=B62),单次交易!$B$2:$B$88),""))</f>
        <v/>
      </c>
      <c r="D62" s="12"/>
      <c r="E62" s="10"/>
      <c r="F62" s="10"/>
      <c r="G62" s="2"/>
      <c r="H62" s="13"/>
      <c r="I62" s="10"/>
      <c r="J62" s="12"/>
      <c r="K62" s="2"/>
      <c r="L62" s="2"/>
      <c r="M62" s="2"/>
      <c r="N62" s="5" t="str">
        <f>IF(B62="","",IFERROR(LOOKUP(2,1/(单次交易!$A$2:$A$88=B62),单次交易!$N$2:$N$88),""))</f>
        <v/>
      </c>
      <c r="O62" s="5" t="str">
        <f t="shared" si="9"/>
        <v/>
      </c>
      <c r="P62" s="11" t="str">
        <f t="shared" si="10"/>
        <v/>
      </c>
      <c r="Q62" s="5" t="str">
        <f t="shared" si="11"/>
        <v/>
      </c>
      <c r="R62" s="10"/>
      <c r="S62" s="5" t="str">
        <f t="shared" si="12"/>
        <v/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/>
      </c>
      <c r="X62" s="2"/>
      <c r="Y62" s="10"/>
      <c r="Z62" s="11" t="str">
        <f>IF(X62&lt;&gt;"执行卖出","",IFERROR(LOOKUP(2,1/(单次交易!$A$2:$A$88=B62),单次交易!$AP$2:$AP$88),""))</f>
        <v/>
      </c>
      <c r="AA62" s="10"/>
      <c r="AB62" s="8" t="str">
        <f t="shared" si="17"/>
        <v/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IF(B63="","",IFERROR(LOOKUP(2,1/(单次交易!$A$2:$A$88=B63),单次交易!$B$2:$B$88),""))</f>
        <v/>
      </c>
      <c r="D63" s="12"/>
      <c r="E63" s="10"/>
      <c r="F63" s="10"/>
      <c r="G63" s="2"/>
      <c r="H63" s="13"/>
      <c r="I63" s="10"/>
      <c r="J63" s="12"/>
      <c r="K63" s="2"/>
      <c r="L63" s="2"/>
      <c r="M63" s="2"/>
      <c r="N63" s="5" t="str">
        <f>IF(B63="","",IFERROR(LOOKUP(2,1/(单次交易!$A$2:$A$88=B63),单次交易!$N$2:$N$88),""))</f>
        <v/>
      </c>
      <c r="O63" s="5" t="str">
        <f t="shared" si="9"/>
        <v/>
      </c>
      <c r="P63" s="11" t="str">
        <f t="shared" si="10"/>
        <v/>
      </c>
      <c r="Q63" s="5" t="str">
        <f t="shared" si="11"/>
        <v/>
      </c>
      <c r="R63" s="10"/>
      <c r="S63" s="5" t="str">
        <f t="shared" si="12"/>
        <v/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/>
      </c>
      <c r="X63" s="2"/>
      <c r="Y63" s="10"/>
      <c r="Z63" s="11" t="str">
        <f>IF(X63&lt;&gt;"执行卖出","",IFERROR(LOOKUP(2,1/(单次交易!$A$2:$A$88=B63),单次交易!$AP$2:$AP$88),""))</f>
        <v/>
      </c>
      <c r="AA63" s="10"/>
      <c r="AB63" s="8" t="str">
        <f t="shared" si="17"/>
        <v/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IF(B64="","",IFERROR(LOOKUP(2,1/(单次交易!$A$2:$A$88=B64),单次交易!$B$2:$B$88),""))</f>
        <v/>
      </c>
      <c r="D64" s="12"/>
      <c r="E64" s="10"/>
      <c r="F64" s="10"/>
      <c r="G64" s="2"/>
      <c r="H64" s="13"/>
      <c r="I64" s="10"/>
      <c r="J64" s="12"/>
      <c r="K64" s="2"/>
      <c r="L64" s="2"/>
      <c r="M64" s="2"/>
      <c r="N64" s="5" t="str">
        <f>IF(B64="","",IFERROR(LOOKUP(2,1/(单次交易!$A$2:$A$88=B64),单次交易!$N$2:$N$88),""))</f>
        <v/>
      </c>
      <c r="O64" s="5" t="str">
        <f t="shared" si="9"/>
        <v/>
      </c>
      <c r="P64" s="11" t="str">
        <f t="shared" si="10"/>
        <v/>
      </c>
      <c r="Q64" s="5" t="str">
        <f t="shared" si="11"/>
        <v/>
      </c>
      <c r="R64" s="10"/>
      <c r="S64" s="5" t="str">
        <f t="shared" si="12"/>
        <v/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/>
      </c>
      <c r="X64" s="2"/>
      <c r="Y64" s="10"/>
      <c r="Z64" s="11" t="str">
        <f>IF(X64&lt;&gt;"执行卖出","",IFERROR(LOOKUP(2,1/(单次交易!$A$2:$A$88=B64),单次交易!$AP$2:$AP$88),""))</f>
        <v/>
      </c>
      <c r="AA64" s="10"/>
      <c r="AB64" s="8" t="str">
        <f t="shared" si="17"/>
        <v/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IF(B65="","",IFERROR(LOOKUP(2,1/(单次交易!$A$2:$A$88=B65),单次交易!$B$2:$B$88),""))</f>
        <v/>
      </c>
      <c r="D65" s="12"/>
      <c r="E65" s="10"/>
      <c r="F65" s="10"/>
      <c r="G65" s="2"/>
      <c r="H65" s="13"/>
      <c r="I65" s="10"/>
      <c r="J65" s="12"/>
      <c r="K65" s="2"/>
      <c r="L65" s="2"/>
      <c r="M65" s="2"/>
      <c r="N65" s="5" t="str">
        <f>IF(B65="","",IFERROR(LOOKUP(2,1/(单次交易!$A$2:$A$88=B65),单次交易!$N$2:$N$88),""))</f>
        <v/>
      </c>
      <c r="O65" s="5" t="str">
        <f t="shared" si="9"/>
        <v/>
      </c>
      <c r="P65" s="11" t="str">
        <f t="shared" si="10"/>
        <v/>
      </c>
      <c r="Q65" s="5" t="str">
        <f t="shared" si="11"/>
        <v/>
      </c>
      <c r="R65" s="10"/>
      <c r="S65" s="5" t="str">
        <f t="shared" si="12"/>
        <v/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/>
      </c>
      <c r="X65" s="2"/>
      <c r="Y65" s="10"/>
      <c r="Z65" s="11" t="str">
        <f>IF(X65&lt;&gt;"执行卖出","",IFERROR(LOOKUP(2,1/(单次交易!$A$2:$A$88=B65),单次交易!$AP$2:$AP$88),""))</f>
        <v/>
      </c>
      <c r="AA65" s="10"/>
      <c r="AB65" s="8" t="str">
        <f t="shared" si="17"/>
        <v/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IF(B66="","",IFERROR(LOOKUP(2,1/(单次交易!$A$2:$A$88=B66),单次交易!$B$2:$B$88),""))</f>
        <v/>
      </c>
      <c r="D66" s="12"/>
      <c r="E66" s="10"/>
      <c r="F66" s="10"/>
      <c r="G66" s="2"/>
      <c r="H66" s="13"/>
      <c r="I66" s="10"/>
      <c r="J66" s="12"/>
      <c r="K66" s="2"/>
      <c r="L66" s="2"/>
      <c r="M66" s="2"/>
      <c r="N66" s="5" t="str">
        <f>IF(B66="","",IFERROR(LOOKUP(2,1/(单次交易!$A$2:$A$88=B66),单次交易!$N$2:$N$88),""))</f>
        <v/>
      </c>
      <c r="O66" s="5" t="str">
        <f t="shared" ref="O66:O97" si="18">IF(A66&lt;&gt;"每日跟踪","",IF(OR(B66="",H66="",I66=""),"",IFERROR(SUMPRODUCT(MAX((($A$2:$A$157="每日跟踪")*($B$2:$B$157=B66)*($H$2:$H$157&lt;=H66))*$I$2:$I$157)),"")))</f>
        <v/>
      </c>
      <c r="P66" s="11" t="str">
        <f t="shared" ref="P66:P97" si="19">IF(A66&lt;&gt;"每日跟踪","",IF(O66="","",IFERROR(SUMPRODUCT(MAX((($A$2:$A$157="止损计划")*($B$2:$B$157=B66)*($E$2:$E$157&lt;=O66))*$D$2:$D$157)),0)))</f>
        <v/>
      </c>
      <c r="Q66" s="5" t="str">
        <f t="shared" ref="Q66:Q97" si="20">IF(A66&lt;&gt;"每日跟踪","",IF(N66="","",MAX(N66,IFERROR(SUMPRODUCT(MAX((($A$2:$A$157="止损计划")*($B$2:$B$157=B66)*($E$2:$E$157&lt;=O66))*$F$2:$F$157)),0))))</f>
        <v/>
      </c>
      <c r="R66" s="10"/>
      <c r="S66" s="5" t="str">
        <f t="shared" ref="S66:S97" si="21">IF(A66&lt;&gt;"每日跟踪","",IF(Q66="","",MAX(Q66,IFERROR(SUMPRODUCT(MAX((($A$2:$A$157="每日跟踪")*($B$2:$B$157=B66)*($H$2:$H$157&lt;=H66))*$R$2:$R$157)),0))))</f>
        <v/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/>
      </c>
      <c r="X66" s="2"/>
      <c r="Y66" s="10"/>
      <c r="Z66" s="11" t="str">
        <f>IF(X66&lt;&gt;"执行卖出","",IFERROR(LOOKUP(2,1/(单次交易!$A$2:$A$88=B66),单次交易!$AP$2:$AP$88),""))</f>
        <v/>
      </c>
      <c r="AA66" s="10"/>
      <c r="AB66" s="8" t="str">
        <f t="shared" si="17"/>
        <v/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IF(B67="","",IFERROR(LOOKUP(2,1/(单次交易!$A$2:$A$88=B67),单次交易!$B$2:$B$88),""))</f>
        <v/>
      </c>
      <c r="D67" s="12"/>
      <c r="E67" s="10"/>
      <c r="F67" s="10"/>
      <c r="G67" s="2"/>
      <c r="H67" s="13"/>
      <c r="I67" s="10"/>
      <c r="J67" s="12"/>
      <c r="K67" s="2"/>
      <c r="L67" s="2"/>
      <c r="M67" s="2"/>
      <c r="N67" s="5" t="str">
        <f>IF(B67="","",IFERROR(LOOKUP(2,1/(单次交易!$A$2:$A$88=B67),单次交易!$N$2:$N$88),""))</f>
        <v/>
      </c>
      <c r="O67" s="5" t="str">
        <f t="shared" si="18"/>
        <v/>
      </c>
      <c r="P67" s="11" t="str">
        <f t="shared" si="19"/>
        <v/>
      </c>
      <c r="Q67" s="5" t="str">
        <f t="shared" si="20"/>
        <v/>
      </c>
      <c r="R67" s="10"/>
      <c r="S67" s="5" t="str">
        <f t="shared" si="21"/>
        <v/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IF(X67&lt;&gt;"执行卖出","",IFERROR(LOOKUP(2,1/(单次交易!$A$2:$A$88=B67),单次交易!$AP$2:$AP$88),""))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IF(B68="","",IFERROR(LOOKUP(2,1/(单次交易!$A$2:$A$88=B68),单次交易!$B$2:$B$88),""))</f>
        <v/>
      </c>
      <c r="D68" s="12"/>
      <c r="E68" s="10"/>
      <c r="F68" s="10"/>
      <c r="G68" s="2"/>
      <c r="H68" s="13"/>
      <c r="I68" s="10"/>
      <c r="J68" s="12"/>
      <c r="K68" s="2"/>
      <c r="L68" s="2"/>
      <c r="M68" s="2"/>
      <c r="N68" s="5" t="str">
        <f>IF(B68="","",IFERROR(LOOKUP(2,1/(单次交易!$A$2:$A$88=B68),单次交易!$N$2:$N$88),""))</f>
        <v/>
      </c>
      <c r="O68" s="5" t="str">
        <f t="shared" si="18"/>
        <v/>
      </c>
      <c r="P68" s="11" t="str">
        <f t="shared" si="19"/>
        <v/>
      </c>
      <c r="Q68" s="5" t="str">
        <f t="shared" si="20"/>
        <v/>
      </c>
      <c r="R68" s="10"/>
      <c r="S68" s="5" t="str">
        <f t="shared" si="21"/>
        <v/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IF(X68&lt;&gt;"执行卖出","",IFERROR(LOOKUP(2,1/(单次交易!$A$2:$A$88=B68),单次交易!$AP$2:$AP$88),""))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IF(B69="","",IFERROR(LOOKUP(2,1/(单次交易!$A$2:$A$88=B69),单次交易!$B$2:$B$88),""))</f>
        <v/>
      </c>
      <c r="D69" s="12"/>
      <c r="E69" s="10"/>
      <c r="F69" s="10"/>
      <c r="G69" s="2"/>
      <c r="H69" s="13"/>
      <c r="I69" s="10"/>
      <c r="J69" s="12"/>
      <c r="K69" s="2"/>
      <c r="L69" s="2"/>
      <c r="M69" s="2"/>
      <c r="N69" s="5" t="str">
        <f>IF(B69="","",IFERROR(LOOKUP(2,1/(单次交易!$A$2:$A$88=B69),单次交易!$N$2:$N$88),""))</f>
        <v/>
      </c>
      <c r="O69" s="5" t="str">
        <f t="shared" si="18"/>
        <v/>
      </c>
      <c r="P69" s="11" t="str">
        <f t="shared" si="19"/>
        <v/>
      </c>
      <c r="Q69" s="5" t="str">
        <f t="shared" si="20"/>
        <v/>
      </c>
      <c r="R69" s="10"/>
      <c r="S69" s="5" t="str">
        <f t="shared" si="21"/>
        <v/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IF(X69&lt;&gt;"执行卖出","",IFERROR(LOOKUP(2,1/(单次交易!$A$2:$A$88=B69),单次交易!$AP$2:$AP$88),""))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IF(B70="","",IFERROR(LOOKUP(2,1/(单次交易!$A$2:$A$88=B70),单次交易!$B$2:$B$88),""))</f>
        <v/>
      </c>
      <c r="D70" s="12"/>
      <c r="E70" s="10"/>
      <c r="F70" s="10"/>
      <c r="G70" s="2"/>
      <c r="H70" s="13"/>
      <c r="I70" s="10"/>
      <c r="J70" s="12"/>
      <c r="K70" s="2"/>
      <c r="L70" s="2"/>
      <c r="M70" s="2"/>
      <c r="N70" s="5" t="str">
        <f>IF(B70="","",IFERROR(LOOKUP(2,1/(单次交易!$A$2:$A$88=B70),单次交易!$N$2:$N$88),""))</f>
        <v/>
      </c>
      <c r="O70" s="5" t="str">
        <f t="shared" si="18"/>
        <v/>
      </c>
      <c r="P70" s="11" t="str">
        <f t="shared" si="19"/>
        <v/>
      </c>
      <c r="Q70" s="5" t="str">
        <f t="shared" si="20"/>
        <v/>
      </c>
      <c r="R70" s="10"/>
      <c r="S70" s="5" t="str">
        <f t="shared" si="21"/>
        <v/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IF(X70&lt;&gt;"执行卖出","",IFERROR(LOOKUP(2,1/(单次交易!$A$2:$A$88=B70),单次交易!$AP$2:$AP$88),""))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IF(B71="","",IFERROR(LOOKUP(2,1/(单次交易!$A$2:$A$88=B71),单次交易!$B$2:$B$88),""))</f>
        <v/>
      </c>
      <c r="D71" s="12"/>
      <c r="E71" s="10"/>
      <c r="F71" s="10"/>
      <c r="G71" s="2"/>
      <c r="H71" s="13"/>
      <c r="I71" s="10"/>
      <c r="J71" s="12"/>
      <c r="K71" s="2"/>
      <c r="L71" s="2"/>
      <c r="M71" s="2"/>
      <c r="N71" s="5" t="str">
        <f>IF(B71="","",IFERROR(LOOKUP(2,1/(单次交易!$A$2:$A$88=B71),单次交易!$N$2:$N$88),""))</f>
        <v/>
      </c>
      <c r="O71" s="5" t="str">
        <f t="shared" si="18"/>
        <v/>
      </c>
      <c r="P71" s="11" t="str">
        <f t="shared" si="19"/>
        <v/>
      </c>
      <c r="Q71" s="5" t="str">
        <f t="shared" si="20"/>
        <v/>
      </c>
      <c r="R71" s="10"/>
      <c r="S71" s="5" t="str">
        <f t="shared" si="21"/>
        <v/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IF(X71&lt;&gt;"执行卖出","",IFERROR(LOOKUP(2,1/(单次交易!$A$2:$A$88=B71),单次交易!$AP$2:$AP$88),""))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IF(B72="","",IFERROR(LOOKUP(2,1/(单次交易!$A$2:$A$88=B72),单次交易!$B$2:$B$88),""))</f>
        <v/>
      </c>
      <c r="D72" s="12"/>
      <c r="E72" s="10"/>
      <c r="F72" s="10"/>
      <c r="G72" s="2"/>
      <c r="H72" s="13"/>
      <c r="I72" s="10"/>
      <c r="J72" s="12"/>
      <c r="K72" s="2"/>
      <c r="L72" s="2"/>
      <c r="M72" s="2"/>
      <c r="N72" s="5" t="str">
        <f>IF(B72="","",IFERROR(LOOKUP(2,1/(单次交易!$A$2:$A$88=B72),单次交易!$N$2:$N$88),""))</f>
        <v/>
      </c>
      <c r="O72" s="5" t="str">
        <f t="shared" si="18"/>
        <v/>
      </c>
      <c r="P72" s="11" t="str">
        <f t="shared" si="19"/>
        <v/>
      </c>
      <c r="Q72" s="5" t="str">
        <f t="shared" si="20"/>
        <v/>
      </c>
      <c r="R72" s="10"/>
      <c r="S72" s="5" t="str">
        <f t="shared" si="21"/>
        <v/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IF(X72&lt;&gt;"执行卖出","",IFERROR(LOOKUP(2,1/(单次交易!$A$2:$A$88=B72),单次交易!$AP$2:$AP$88),""))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IF(B73="","",IFERROR(LOOKUP(2,1/(单次交易!$A$2:$A$88=B73),单次交易!$B$2:$B$88),""))</f>
        <v/>
      </c>
      <c r="D73" s="12"/>
      <c r="E73" s="10"/>
      <c r="F73" s="10"/>
      <c r="G73" s="2"/>
      <c r="H73" s="13"/>
      <c r="I73" s="10"/>
      <c r="J73" s="12"/>
      <c r="K73" s="2"/>
      <c r="L73" s="2"/>
      <c r="M73" s="2"/>
      <c r="N73" s="5" t="str">
        <f>IF(B73="","",IFERROR(LOOKUP(2,1/(单次交易!$A$2:$A$88=B73),单次交易!$N$2:$N$88),""))</f>
        <v/>
      </c>
      <c r="O73" s="5" t="str">
        <f t="shared" si="18"/>
        <v/>
      </c>
      <c r="P73" s="11" t="str">
        <f t="shared" si="19"/>
        <v/>
      </c>
      <c r="Q73" s="5" t="str">
        <f t="shared" si="20"/>
        <v/>
      </c>
      <c r="R73" s="10"/>
      <c r="S73" s="5" t="str">
        <f t="shared" si="21"/>
        <v/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IF(X73&lt;&gt;"执行卖出","",IFERROR(LOOKUP(2,1/(单次交易!$A$2:$A$88=B73),单次交易!$AP$2:$AP$88),""))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IF(B74="","",IFERROR(LOOKUP(2,1/(单次交易!$A$2:$A$88=B74),单次交易!$B$2:$B$88),""))</f>
        <v/>
      </c>
      <c r="D74" s="12"/>
      <c r="E74" s="10"/>
      <c r="F74" s="10"/>
      <c r="G74" s="2"/>
      <c r="H74" s="13"/>
      <c r="I74" s="10"/>
      <c r="J74" s="12"/>
      <c r="K74" s="2"/>
      <c r="L74" s="2"/>
      <c r="M74" s="2"/>
      <c r="N74" s="5" t="str">
        <f>IF(B74="","",IFERROR(LOOKUP(2,1/(单次交易!$A$2:$A$88=B74),单次交易!$N$2:$N$88),""))</f>
        <v/>
      </c>
      <c r="O74" s="5" t="str">
        <f t="shared" si="18"/>
        <v/>
      </c>
      <c r="P74" s="11" t="str">
        <f t="shared" si="19"/>
        <v/>
      </c>
      <c r="Q74" s="5" t="str">
        <f t="shared" si="20"/>
        <v/>
      </c>
      <c r="R74" s="10"/>
      <c r="S74" s="5" t="str">
        <f t="shared" si="21"/>
        <v/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IF(X74&lt;&gt;"执行卖出","",IFERROR(LOOKUP(2,1/(单次交易!$A$2:$A$88=B74),单次交易!$AP$2:$AP$88),""))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IF(B75="","",IFERROR(LOOKUP(2,1/(单次交易!$A$2:$A$88=B75),单次交易!$B$2:$B$88),""))</f>
        <v/>
      </c>
      <c r="D75" s="12"/>
      <c r="E75" s="10"/>
      <c r="F75" s="10"/>
      <c r="G75" s="2"/>
      <c r="H75" s="13"/>
      <c r="I75" s="10"/>
      <c r="J75" s="12"/>
      <c r="K75" s="2"/>
      <c r="L75" s="2"/>
      <c r="M75" s="2"/>
      <c r="N75" s="5" t="str">
        <f>IF(B75="","",IFERROR(LOOKUP(2,1/(单次交易!$A$2:$A$88=B75),单次交易!$N$2:$N$88),""))</f>
        <v/>
      </c>
      <c r="O75" s="5" t="str">
        <f t="shared" si="18"/>
        <v/>
      </c>
      <c r="P75" s="11" t="str">
        <f t="shared" si="19"/>
        <v/>
      </c>
      <c r="Q75" s="5" t="str">
        <f t="shared" si="20"/>
        <v/>
      </c>
      <c r="R75" s="10"/>
      <c r="S75" s="5" t="str">
        <f t="shared" si="21"/>
        <v/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IF(X75&lt;&gt;"执行卖出","",IFERROR(LOOKUP(2,1/(单次交易!$A$2:$A$88=B75),单次交易!$AP$2:$AP$88),""))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IF(B76="","",IFERROR(LOOKUP(2,1/(单次交易!$A$2:$A$88=B76),单次交易!$B$2:$B$88),""))</f>
        <v/>
      </c>
      <c r="D76" s="12"/>
      <c r="E76" s="10"/>
      <c r="F76" s="10"/>
      <c r="G76" s="2"/>
      <c r="H76" s="13"/>
      <c r="I76" s="10"/>
      <c r="J76" s="12"/>
      <c r="K76" s="2"/>
      <c r="L76" s="2"/>
      <c r="M76" s="2"/>
      <c r="N76" s="5" t="str">
        <f>IF(B76="","",IFERROR(LOOKUP(2,1/(单次交易!$A$2:$A$88=B76),单次交易!$N$2:$N$88),""))</f>
        <v/>
      </c>
      <c r="O76" s="5" t="str">
        <f t="shared" si="18"/>
        <v/>
      </c>
      <c r="P76" s="11" t="str">
        <f t="shared" si="19"/>
        <v/>
      </c>
      <c r="Q76" s="5" t="str">
        <f t="shared" si="20"/>
        <v/>
      </c>
      <c r="R76" s="10"/>
      <c r="S76" s="5" t="str">
        <f t="shared" si="21"/>
        <v/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IF(X76&lt;&gt;"执行卖出","",IFERROR(LOOKUP(2,1/(单次交易!$A$2:$A$88=B76),单次交易!$AP$2:$AP$88),""))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IF(B77="","",IFERROR(LOOKUP(2,1/(单次交易!$A$2:$A$88=B77),单次交易!$B$2:$B$88),""))</f>
        <v/>
      </c>
      <c r="D77" s="12"/>
      <c r="E77" s="10"/>
      <c r="F77" s="10"/>
      <c r="G77" s="2"/>
      <c r="H77" s="13"/>
      <c r="I77" s="10"/>
      <c r="J77" s="12"/>
      <c r="K77" s="2"/>
      <c r="L77" s="2"/>
      <c r="M77" s="2"/>
      <c r="N77" s="5" t="str">
        <f>IF(B77="","",IFERROR(LOOKUP(2,1/(单次交易!$A$2:$A$88=B77),单次交易!$N$2:$N$88),""))</f>
        <v/>
      </c>
      <c r="O77" s="5" t="str">
        <f t="shared" si="18"/>
        <v/>
      </c>
      <c r="P77" s="11" t="str">
        <f t="shared" si="19"/>
        <v/>
      </c>
      <c r="Q77" s="5" t="str">
        <f t="shared" si="20"/>
        <v/>
      </c>
      <c r="R77" s="10"/>
      <c r="S77" s="5" t="str">
        <f t="shared" si="21"/>
        <v/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IF(X77&lt;&gt;"执行卖出","",IFERROR(LOOKUP(2,1/(单次交易!$A$2:$A$88=B77),单次交易!$AP$2:$AP$88),""))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IF(B78="","",IFERROR(LOOKUP(2,1/(单次交易!$A$2:$A$88=B78),单次交易!$B$2:$B$88),""))</f>
        <v/>
      </c>
      <c r="D78" s="12"/>
      <c r="E78" s="10"/>
      <c r="F78" s="10"/>
      <c r="G78" s="2"/>
      <c r="H78" s="13"/>
      <c r="I78" s="10"/>
      <c r="J78" s="12"/>
      <c r="K78" s="2"/>
      <c r="L78" s="2"/>
      <c r="M78" s="2"/>
      <c r="N78" s="5" t="str">
        <f>IF(B78="","",IFERROR(LOOKUP(2,1/(单次交易!$A$2:$A$88=B78),单次交易!$N$2:$N$88),""))</f>
        <v/>
      </c>
      <c r="O78" s="5" t="str">
        <f t="shared" si="18"/>
        <v/>
      </c>
      <c r="P78" s="11" t="str">
        <f t="shared" si="19"/>
        <v/>
      </c>
      <c r="Q78" s="5" t="str">
        <f t="shared" si="20"/>
        <v/>
      </c>
      <c r="R78" s="10"/>
      <c r="S78" s="5" t="str">
        <f t="shared" si="21"/>
        <v/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IF(X78&lt;&gt;"执行卖出","",IFERROR(LOOKUP(2,1/(单次交易!$A$2:$A$88=B78),单次交易!$AP$2:$AP$88),""))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IF(B79="","",IFERROR(LOOKUP(2,1/(单次交易!$A$2:$A$88=B79),单次交易!$B$2:$B$88),""))</f>
        <v/>
      </c>
      <c r="D79" s="12"/>
      <c r="E79" s="10"/>
      <c r="F79" s="10"/>
      <c r="G79" s="2"/>
      <c r="H79" s="13"/>
      <c r="I79" s="10"/>
      <c r="J79" s="12"/>
      <c r="K79" s="2"/>
      <c r="L79" s="2"/>
      <c r="M79" s="2"/>
      <c r="N79" s="5" t="str">
        <f>IF(B79="","",IFERROR(LOOKUP(2,1/(单次交易!$A$2:$A$88=B79),单次交易!$N$2:$N$88),""))</f>
        <v/>
      </c>
      <c r="O79" s="5" t="str">
        <f t="shared" si="18"/>
        <v/>
      </c>
      <c r="P79" s="11" t="str">
        <f t="shared" si="19"/>
        <v/>
      </c>
      <c r="Q79" s="5" t="str">
        <f t="shared" si="20"/>
        <v/>
      </c>
      <c r="R79" s="10"/>
      <c r="S79" s="5" t="str">
        <f t="shared" si="21"/>
        <v/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IF(X79&lt;&gt;"执行卖出","",IFERROR(LOOKUP(2,1/(单次交易!$A$2:$A$88=B79),单次交易!$AP$2:$AP$88),""))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IF(B80="","",IFERROR(LOOKUP(2,1/(单次交易!$A$2:$A$88=B80),单次交易!$B$2:$B$88),""))</f>
        <v/>
      </c>
      <c r="D80" s="12"/>
      <c r="E80" s="10"/>
      <c r="F80" s="10"/>
      <c r="G80" s="2"/>
      <c r="H80" s="13"/>
      <c r="I80" s="10"/>
      <c r="J80" s="12"/>
      <c r="K80" s="2"/>
      <c r="L80" s="2"/>
      <c r="M80" s="2"/>
      <c r="N80" s="5" t="str">
        <f>IF(B80="","",IFERROR(LOOKUP(2,1/(单次交易!$A$2:$A$88=B80),单次交易!$N$2:$N$88),""))</f>
        <v/>
      </c>
      <c r="O80" s="5" t="str">
        <f t="shared" si="18"/>
        <v/>
      </c>
      <c r="P80" s="11" t="str">
        <f t="shared" si="19"/>
        <v/>
      </c>
      <c r="Q80" s="5" t="str">
        <f t="shared" si="20"/>
        <v/>
      </c>
      <c r="R80" s="10"/>
      <c r="S80" s="5" t="str">
        <f t="shared" si="21"/>
        <v/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IF(X80&lt;&gt;"执行卖出","",IFERROR(LOOKUP(2,1/(单次交易!$A$2:$A$88=B80),单次交易!$AP$2:$AP$88),""))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IF(B81="","",IFERROR(LOOKUP(2,1/(单次交易!$A$2:$A$88=B81),单次交易!$B$2:$B$88),""))</f>
        <v/>
      </c>
      <c r="D81" s="12"/>
      <c r="E81" s="10"/>
      <c r="F81" s="10"/>
      <c r="G81" s="2"/>
      <c r="H81" s="13"/>
      <c r="I81" s="10"/>
      <c r="J81" s="12"/>
      <c r="K81" s="2"/>
      <c r="L81" s="2"/>
      <c r="M81" s="2"/>
      <c r="N81" s="5" t="str">
        <f>IF(B81="","",IFERROR(LOOKUP(2,1/(单次交易!$A$2:$A$88=B81),单次交易!$N$2:$N$88),""))</f>
        <v/>
      </c>
      <c r="O81" s="5" t="str">
        <f t="shared" si="18"/>
        <v/>
      </c>
      <c r="P81" s="11" t="str">
        <f t="shared" si="19"/>
        <v/>
      </c>
      <c r="Q81" s="5" t="str">
        <f t="shared" si="20"/>
        <v/>
      </c>
      <c r="R81" s="10"/>
      <c r="S81" s="5" t="str">
        <f t="shared" si="21"/>
        <v/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IF(X81&lt;&gt;"执行卖出","",IFERROR(LOOKUP(2,1/(单次交易!$A$2:$A$88=B81),单次交易!$AP$2:$AP$88),""))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IF(B82="","",IFERROR(LOOKUP(2,1/(单次交易!$A$2:$A$88=B82),单次交易!$B$2:$B$88),""))</f>
        <v/>
      </c>
      <c r="D82" s="12"/>
      <c r="E82" s="10"/>
      <c r="F82" s="10"/>
      <c r="G82" s="2"/>
      <c r="H82" s="13"/>
      <c r="I82" s="10"/>
      <c r="J82" s="12"/>
      <c r="K82" s="2"/>
      <c r="L82" s="2"/>
      <c r="M82" s="2"/>
      <c r="N82" s="5" t="str">
        <f>IF(B82="","",IFERROR(LOOKUP(2,1/(单次交易!$A$2:$A$88=B82),单次交易!$N$2:$N$88),""))</f>
        <v/>
      </c>
      <c r="O82" s="5" t="str">
        <f t="shared" si="18"/>
        <v/>
      </c>
      <c r="P82" s="11" t="str">
        <f t="shared" si="19"/>
        <v/>
      </c>
      <c r="Q82" s="5" t="str">
        <f t="shared" si="20"/>
        <v/>
      </c>
      <c r="R82" s="10"/>
      <c r="S82" s="5" t="str">
        <f t="shared" si="21"/>
        <v/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IF(X82&lt;&gt;"执行卖出","",IFERROR(LOOKUP(2,1/(单次交易!$A$2:$A$88=B82),单次交易!$AP$2:$AP$88),""))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IF(B83="","",IFERROR(LOOKUP(2,1/(单次交易!$A$2:$A$88=B83),单次交易!$B$2:$B$88),""))</f>
        <v/>
      </c>
      <c r="D83" s="12"/>
      <c r="E83" s="10"/>
      <c r="F83" s="10"/>
      <c r="G83" s="2"/>
      <c r="H83" s="13"/>
      <c r="I83" s="10"/>
      <c r="J83" s="12"/>
      <c r="K83" s="2"/>
      <c r="L83" s="2"/>
      <c r="M83" s="2"/>
      <c r="N83" s="5" t="str">
        <f>IF(B83="","",IFERROR(LOOKUP(2,1/(单次交易!$A$2:$A$88=B83),单次交易!$N$2:$N$88),""))</f>
        <v/>
      </c>
      <c r="O83" s="5" t="str">
        <f t="shared" si="18"/>
        <v/>
      </c>
      <c r="P83" s="11" t="str">
        <f t="shared" si="19"/>
        <v/>
      </c>
      <c r="Q83" s="5" t="str">
        <f t="shared" si="20"/>
        <v/>
      </c>
      <c r="R83" s="10"/>
      <c r="S83" s="5" t="str">
        <f t="shared" si="21"/>
        <v/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IF(X83&lt;&gt;"执行卖出","",IFERROR(LOOKUP(2,1/(单次交易!$A$2:$A$88=B83),单次交易!$AP$2:$AP$88),""))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IF(B84="","",IFERROR(LOOKUP(2,1/(单次交易!$A$2:$A$88=B84),单次交易!$B$2:$B$88),""))</f>
        <v/>
      </c>
      <c r="D84" s="12"/>
      <c r="E84" s="10"/>
      <c r="F84" s="10"/>
      <c r="G84" s="2"/>
      <c r="H84" s="13"/>
      <c r="I84" s="10"/>
      <c r="J84" s="12"/>
      <c r="K84" s="2"/>
      <c r="L84" s="2"/>
      <c r="M84" s="2"/>
      <c r="N84" s="5" t="str">
        <f>IF(B84="","",IFERROR(LOOKUP(2,1/(单次交易!$A$2:$A$88=B84),单次交易!$N$2:$N$88),""))</f>
        <v/>
      </c>
      <c r="O84" s="5" t="str">
        <f t="shared" si="18"/>
        <v/>
      </c>
      <c r="P84" s="11" t="str">
        <f t="shared" si="19"/>
        <v/>
      </c>
      <c r="Q84" s="5" t="str">
        <f t="shared" si="20"/>
        <v/>
      </c>
      <c r="R84" s="10"/>
      <c r="S84" s="5" t="str">
        <f t="shared" si="21"/>
        <v/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IF(X84&lt;&gt;"执行卖出","",IFERROR(LOOKUP(2,1/(单次交易!$A$2:$A$88=B84),单次交易!$AP$2:$AP$88),""))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IF(B85="","",IFERROR(LOOKUP(2,1/(单次交易!$A$2:$A$88=B85),单次交易!$B$2:$B$88),""))</f>
        <v/>
      </c>
      <c r="D85" s="12"/>
      <c r="E85" s="10"/>
      <c r="F85" s="10"/>
      <c r="G85" s="2"/>
      <c r="H85" s="13"/>
      <c r="I85" s="10"/>
      <c r="J85" s="12"/>
      <c r="K85" s="2"/>
      <c r="L85" s="2"/>
      <c r="M85" s="2"/>
      <c r="N85" s="5" t="str">
        <f>IF(B85="","",IFERROR(LOOKUP(2,1/(单次交易!$A$2:$A$88=B85),单次交易!$N$2:$N$88),""))</f>
        <v/>
      </c>
      <c r="O85" s="5" t="str">
        <f t="shared" si="18"/>
        <v/>
      </c>
      <c r="P85" s="11" t="str">
        <f t="shared" si="19"/>
        <v/>
      </c>
      <c r="Q85" s="5" t="str">
        <f t="shared" si="20"/>
        <v/>
      </c>
      <c r="R85" s="10"/>
      <c r="S85" s="5" t="str">
        <f t="shared" si="21"/>
        <v/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IF(X85&lt;&gt;"执行卖出","",IFERROR(LOOKUP(2,1/(单次交易!$A$2:$A$88=B85),单次交易!$AP$2:$AP$88),""))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IF(B86="","",IFERROR(LOOKUP(2,1/(单次交易!$A$2:$A$88=B86),单次交易!$B$2:$B$88),""))</f>
        <v/>
      </c>
      <c r="D86" s="12"/>
      <c r="E86" s="10"/>
      <c r="F86" s="10"/>
      <c r="G86" s="2"/>
      <c r="H86" s="13"/>
      <c r="I86" s="10"/>
      <c r="J86" s="12"/>
      <c r="K86" s="2"/>
      <c r="L86" s="2"/>
      <c r="M86" s="2"/>
      <c r="N86" s="5" t="str">
        <f>IF(B86="","",IFERROR(LOOKUP(2,1/(单次交易!$A$2:$A$88=B86),单次交易!$N$2:$N$88),""))</f>
        <v/>
      </c>
      <c r="O86" s="5" t="str">
        <f t="shared" si="18"/>
        <v/>
      </c>
      <c r="P86" s="11" t="str">
        <f t="shared" si="19"/>
        <v/>
      </c>
      <c r="Q86" s="5" t="str">
        <f t="shared" si="20"/>
        <v/>
      </c>
      <c r="R86" s="10"/>
      <c r="S86" s="5" t="str">
        <f t="shared" si="21"/>
        <v/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IF(X86&lt;&gt;"执行卖出","",IFERROR(LOOKUP(2,1/(单次交易!$A$2:$A$88=B86),单次交易!$AP$2:$AP$88),""))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IF(B87="","",IFERROR(LOOKUP(2,1/(单次交易!$A$2:$A$88=B87),单次交易!$B$2:$B$88),""))</f>
        <v/>
      </c>
      <c r="D87" s="12"/>
      <c r="E87" s="10"/>
      <c r="F87" s="10"/>
      <c r="G87" s="2"/>
      <c r="H87" s="13"/>
      <c r="I87" s="10"/>
      <c r="J87" s="12"/>
      <c r="K87" s="2"/>
      <c r="L87" s="2"/>
      <c r="M87" s="2"/>
      <c r="N87" s="5" t="str">
        <f>IF(B87="","",IFERROR(LOOKUP(2,1/(单次交易!$A$2:$A$88=B87),单次交易!$N$2:$N$88),""))</f>
        <v/>
      </c>
      <c r="O87" s="5" t="str">
        <f t="shared" si="18"/>
        <v/>
      </c>
      <c r="P87" s="11" t="str">
        <f t="shared" si="19"/>
        <v/>
      </c>
      <c r="Q87" s="5" t="str">
        <f t="shared" si="20"/>
        <v/>
      </c>
      <c r="R87" s="10"/>
      <c r="S87" s="5" t="str">
        <f t="shared" si="21"/>
        <v/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IF(X87&lt;&gt;"执行卖出","",IFERROR(LOOKUP(2,1/(单次交易!$A$2:$A$88=B87),单次交易!$AP$2:$AP$88),""))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IF(B88="","",IFERROR(LOOKUP(2,1/(单次交易!$A$2:$A$88=B88),单次交易!$B$2:$B$88),""))</f>
        <v/>
      </c>
      <c r="D88" s="12"/>
      <c r="E88" s="10"/>
      <c r="F88" s="10"/>
      <c r="G88" s="2"/>
      <c r="H88" s="13"/>
      <c r="I88" s="10"/>
      <c r="J88" s="12"/>
      <c r="K88" s="2"/>
      <c r="L88" s="2"/>
      <c r="M88" s="2"/>
      <c r="N88" s="5" t="str">
        <f>IF(B88="","",IFERROR(LOOKUP(2,1/(单次交易!$A$2:$A$88=B88),单次交易!$N$2:$N$88),""))</f>
        <v/>
      </c>
      <c r="O88" s="5" t="str">
        <f t="shared" si="18"/>
        <v/>
      </c>
      <c r="P88" s="11" t="str">
        <f t="shared" si="19"/>
        <v/>
      </c>
      <c r="Q88" s="5" t="str">
        <f t="shared" si="20"/>
        <v/>
      </c>
      <c r="R88" s="10"/>
      <c r="S88" s="5" t="str">
        <f t="shared" si="21"/>
        <v/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IF(X88&lt;&gt;"执行卖出","",IFERROR(LOOKUP(2,1/(单次交易!$A$2:$A$88=B88),单次交易!$AP$2:$AP$88),""))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3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3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3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3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3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3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3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3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3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3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3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3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3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3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3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3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3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3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3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3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3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3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3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3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3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3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3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3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3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3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3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3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3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3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3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3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3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3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3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3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3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3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3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3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3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3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3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3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3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3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3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3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3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3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3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3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3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3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3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3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3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3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3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3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3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3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3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3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3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phoneticPr fontId="7" type="noConversion"/>
  <conditionalFormatting sqref="A2:AC157">
    <cfRule type="expression" dxfId="7" priority="1">
      <formula>$A2="止损计划"</formula>
    </cfRule>
  </conditionalFormatting>
  <conditionalFormatting sqref="W2:W157">
    <cfRule type="expression" dxfId="6" priority="2">
      <formula>LEFT($W2,4)="触发止损"</formula>
    </cfRule>
  </conditionalFormatting>
  <conditionalFormatting sqref="AB2:AC157">
    <cfRule type="expression" dxfId="5" priority="3">
      <formula>OR(LEFT($AB2,2)="违规",ISNUMBER(SEARCH("无效",$AC2)))</formula>
    </cfRule>
  </conditionalFormatting>
  <dataValidations count="8">
    <dataValidation type="list" allowBlank="1" sqref="A2:A157" xr:uid="{00000000-0002-0000-0100-000000000000}">
      <formula1>"止损计划,每日跟踪"</formula1>
    </dataValidation>
    <dataValidation type="list" allowBlank="1" sqref="B2:B157" xr:uid="{00000000-0002-0000-0100-000001000000}">
      <formula1>_TradeIds</formula1>
    </dataValidation>
    <dataValidation type="whole" operator="greaterThanOrEqual" allowBlank="1" sqref="D2:D157" xr:uid="{00000000-0002-0000-0100-000002000000}">
      <formula1>1</formula1>
    </dataValidation>
    <dataValidation type="date" allowBlank="1" sqref="H2:H157" xr:uid="{00000000-0002-0000-0100-000003000000}">
      <formula1>DATE(2000,1,1)</formula1>
      <formula2>DATE(2100,12,31)</formula2>
    </dataValidation>
    <dataValidation type="list" allowBlank="1" sqref="L2:L157" xr:uid="{00000000-0002-0000-0100-000004000000}">
      <formula1>"吸筹,启动,趋势上行,加速上涨,高位分歧,回调确认,破位,其他"</formula1>
    </dataValidation>
    <dataValidation type="decimal" operator="greaterThan" allowBlank="1" sqref="R2:R157 Y2:Y157 E2:F157 I2:J157" xr:uid="{00000000-0002-0000-0100-000005000000}">
      <formula1>0</formula1>
    </dataValidation>
    <dataValidation type="list" allowBlank="1" sqref="X2:X157" xr:uid="{00000000-0002-0000-0100-000006000000}">
      <formula1>"继续持有,执行卖出"</formula1>
    </dataValidation>
    <dataValidation type="decimal" operator="greaterThanOrEqual" allowBlank="1" sqref="AA2:AA15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9"/>
  <sheetViews>
    <sheetView workbookViewId="0">
      <pane ySplit="1" topLeftCell="A38" activePane="bottomLeft" state="frozen"/>
      <selection pane="bottomLeft" activeCell="I41" sqref="I41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91</v>
      </c>
      <c r="D1" s="1" t="s">
        <v>92</v>
      </c>
      <c r="E1" s="1" t="s">
        <v>69</v>
      </c>
      <c r="F1" s="1" t="s">
        <v>93</v>
      </c>
      <c r="G1" s="1" t="s">
        <v>94</v>
      </c>
      <c r="H1" s="1" t="s">
        <v>95</v>
      </c>
      <c r="I1" s="1" t="s">
        <v>96</v>
      </c>
      <c r="J1" t="s">
        <v>31</v>
      </c>
      <c r="K1" t="s">
        <v>97</v>
      </c>
      <c r="L1" t="s">
        <v>98</v>
      </c>
    </row>
    <row r="2" spans="1:12" x14ac:dyDescent="0.15">
      <c r="A2" s="2"/>
      <c r="B2" s="2"/>
      <c r="C2" s="2"/>
      <c r="D2" s="2"/>
      <c r="E2" s="13"/>
      <c r="F2" s="2"/>
      <c r="G2" s="2"/>
      <c r="H2" s="2"/>
      <c r="I2" s="2"/>
    </row>
    <row r="3" spans="1:12" x14ac:dyDescent="0.15">
      <c r="A3" s="2"/>
      <c r="B3" s="2"/>
      <c r="C3" s="2"/>
      <c r="D3" s="2"/>
      <c r="E3" s="13"/>
      <c r="F3" s="2"/>
      <c r="G3" s="2"/>
      <c r="H3" s="2"/>
      <c r="I3" s="2"/>
    </row>
    <row r="4" spans="1:12" x14ac:dyDescent="0.15">
      <c r="A4" s="2"/>
      <c r="B4" s="2"/>
      <c r="C4" s="2"/>
      <c r="D4" s="2"/>
      <c r="E4" s="13"/>
      <c r="F4" s="2"/>
      <c r="G4" s="2"/>
      <c r="H4" s="2"/>
      <c r="I4" s="2"/>
    </row>
    <row r="5" spans="1:12" x14ac:dyDescent="0.15">
      <c r="A5" s="2"/>
      <c r="B5" s="2"/>
      <c r="C5" s="2"/>
      <c r="D5" s="2"/>
      <c r="E5" s="13"/>
      <c r="F5" s="2"/>
      <c r="G5" s="2"/>
      <c r="H5" s="2"/>
      <c r="I5" s="2"/>
    </row>
    <row r="6" spans="1:12" x14ac:dyDescent="0.15">
      <c r="A6" s="2"/>
      <c r="B6" s="2"/>
      <c r="C6" s="2"/>
      <c r="D6" s="2"/>
      <c r="E6" s="13"/>
      <c r="F6" s="2"/>
      <c r="G6" s="2"/>
      <c r="H6" s="2"/>
      <c r="I6" s="2"/>
    </row>
    <row r="7" spans="1:12" x14ac:dyDescent="0.15">
      <c r="A7" s="2"/>
      <c r="B7" s="2"/>
      <c r="C7" s="2"/>
      <c r="D7" s="2"/>
      <c r="E7" s="13"/>
      <c r="F7" s="2"/>
      <c r="G7" s="2"/>
      <c r="H7" s="2"/>
      <c r="I7" s="2"/>
    </row>
    <row r="8" spans="1:12" x14ac:dyDescent="0.15">
      <c r="A8" s="2"/>
      <c r="B8" s="2"/>
      <c r="C8" s="2"/>
      <c r="D8" s="2"/>
      <c r="E8" s="13"/>
      <c r="F8" s="2"/>
      <c r="G8" s="2"/>
      <c r="H8" s="2"/>
      <c r="I8" s="2"/>
    </row>
    <row r="9" spans="1:12" x14ac:dyDescent="0.15">
      <c r="A9" s="2"/>
      <c r="B9" s="2"/>
      <c r="C9" s="2"/>
      <c r="D9" s="2"/>
      <c r="E9" s="13"/>
      <c r="F9" s="2"/>
      <c r="G9" s="2"/>
      <c r="H9" s="2"/>
      <c r="I9" s="2"/>
    </row>
    <row r="10" spans="1:12" x14ac:dyDescent="0.15">
      <c r="A10" s="2"/>
      <c r="B10" s="2"/>
      <c r="C10" s="2"/>
      <c r="D10" s="2"/>
      <c r="E10" s="13"/>
      <c r="F10" s="2"/>
      <c r="G10" s="2"/>
      <c r="H10" s="2"/>
      <c r="I10" s="2"/>
    </row>
    <row r="11" spans="1:12" x14ac:dyDescent="0.15">
      <c r="A11" s="2"/>
      <c r="B11" s="2"/>
      <c r="C11" s="2"/>
      <c r="D11" s="2"/>
      <c r="E11" s="13"/>
      <c r="F11" s="2"/>
      <c r="G11" s="2"/>
      <c r="H11" s="2"/>
      <c r="I11" s="2"/>
    </row>
    <row r="12" spans="1:12" x14ac:dyDescent="0.15">
      <c r="A12" s="2"/>
      <c r="B12" s="2"/>
      <c r="C12" s="2"/>
      <c r="D12" s="2"/>
      <c r="E12" s="13"/>
      <c r="F12" s="2"/>
      <c r="G12" s="2"/>
      <c r="H12" s="2"/>
      <c r="I12" s="2"/>
    </row>
    <row r="13" spans="1:12" x14ac:dyDescent="0.15">
      <c r="A13" s="2"/>
      <c r="B13" s="2"/>
      <c r="C13" s="2"/>
      <c r="D13" s="2"/>
      <c r="E13" s="13"/>
      <c r="F13" s="2"/>
      <c r="G13" s="2"/>
      <c r="H13" s="2"/>
      <c r="I13" s="2"/>
    </row>
    <row r="14" spans="1:12" ht="40.5" x14ac:dyDescent="0.15">
      <c r="A14" s="2">
        <v>1</v>
      </c>
      <c r="B14" s="2"/>
      <c r="C14" s="2"/>
      <c r="D14" s="2"/>
      <c r="E14" s="13"/>
      <c r="F14" s="2"/>
      <c r="G14" s="2"/>
      <c r="H14" s="2"/>
      <c r="I14" s="2" t="s">
        <v>99</v>
      </c>
    </row>
    <row r="15" spans="1:12" ht="40.5" x14ac:dyDescent="0.15">
      <c r="A15" s="2">
        <v>2</v>
      </c>
      <c r="B15" s="2"/>
      <c r="C15" s="2"/>
      <c r="D15" s="2"/>
      <c r="E15" s="13"/>
      <c r="F15" s="2"/>
      <c r="G15" s="2"/>
      <c r="H15" s="2"/>
      <c r="I15" s="2" t="s">
        <v>100</v>
      </c>
    </row>
    <row r="16" spans="1:12" ht="54" x14ac:dyDescent="0.15">
      <c r="A16" s="2">
        <v>3</v>
      </c>
      <c r="B16" s="2"/>
      <c r="C16" s="2"/>
      <c r="D16" s="2"/>
      <c r="E16" s="13"/>
      <c r="F16" s="2"/>
      <c r="G16" s="2"/>
      <c r="H16" s="2"/>
      <c r="I16" s="2" t="s">
        <v>101</v>
      </c>
    </row>
    <row r="17" spans="1:9" ht="40.5" x14ac:dyDescent="0.15">
      <c r="A17" s="2">
        <v>4</v>
      </c>
      <c r="B17" s="2"/>
      <c r="C17" s="2"/>
      <c r="D17" s="2"/>
      <c r="E17" s="13"/>
      <c r="F17" s="2"/>
      <c r="G17" s="2"/>
      <c r="H17" s="2"/>
      <c r="I17" s="2" t="s">
        <v>102</v>
      </c>
    </row>
    <row r="18" spans="1:9" ht="54" x14ac:dyDescent="0.15">
      <c r="A18" s="2">
        <v>5</v>
      </c>
      <c r="B18" s="2"/>
      <c r="C18" s="2"/>
      <c r="D18" s="2"/>
      <c r="E18" s="13"/>
      <c r="F18" s="2"/>
      <c r="G18" s="2"/>
      <c r="H18" s="2"/>
      <c r="I18" s="2" t="s">
        <v>103</v>
      </c>
    </row>
    <row r="19" spans="1:9" ht="40.5" x14ac:dyDescent="0.15">
      <c r="A19" s="2">
        <v>6</v>
      </c>
      <c r="B19" s="2"/>
      <c r="C19" s="2"/>
      <c r="D19" s="2"/>
      <c r="E19" s="13"/>
      <c r="F19" s="2"/>
      <c r="G19" s="2"/>
      <c r="H19" s="2"/>
      <c r="I19" s="2" t="s">
        <v>104</v>
      </c>
    </row>
    <row r="20" spans="1:9" x14ac:dyDescent="0.15">
      <c r="A20" s="2">
        <v>7</v>
      </c>
      <c r="B20" s="2"/>
      <c r="C20" s="2"/>
      <c r="D20" s="2"/>
      <c r="E20" s="13"/>
      <c r="F20" s="2"/>
      <c r="G20" s="2"/>
      <c r="H20" s="2"/>
      <c r="I20" s="2" t="s">
        <v>105</v>
      </c>
    </row>
    <row r="21" spans="1:9" x14ac:dyDescent="0.15">
      <c r="A21" s="2">
        <v>8</v>
      </c>
      <c r="B21" s="2"/>
      <c r="C21" s="2"/>
      <c r="D21" s="2"/>
      <c r="E21" s="13"/>
      <c r="F21" s="2"/>
      <c r="G21" s="2"/>
      <c r="H21" s="2"/>
      <c r="I21" s="2" t="s">
        <v>106</v>
      </c>
    </row>
    <row r="22" spans="1:9" ht="27" x14ac:dyDescent="0.15">
      <c r="A22" s="2">
        <v>9</v>
      </c>
      <c r="B22" s="2"/>
      <c r="C22" s="2"/>
      <c r="D22" s="2"/>
      <c r="E22" s="13"/>
      <c r="F22" s="2"/>
      <c r="G22" s="2"/>
      <c r="H22" s="2"/>
      <c r="I22" s="2" t="s">
        <v>107</v>
      </c>
    </row>
    <row r="23" spans="1:9" ht="27" x14ac:dyDescent="0.15">
      <c r="A23" s="2">
        <v>10</v>
      </c>
      <c r="B23" s="2"/>
      <c r="C23" s="2"/>
      <c r="D23" s="2"/>
      <c r="E23" s="13"/>
      <c r="F23" s="2"/>
      <c r="G23" s="2"/>
      <c r="H23" s="2"/>
      <c r="I23" s="2" t="s">
        <v>108</v>
      </c>
    </row>
    <row r="24" spans="1:9" ht="40.5" x14ac:dyDescent="0.15">
      <c r="A24" s="2">
        <v>11</v>
      </c>
      <c r="B24" s="2"/>
      <c r="C24" s="2"/>
      <c r="D24" s="2"/>
      <c r="E24" s="13"/>
      <c r="F24" s="2"/>
      <c r="G24" s="2"/>
      <c r="H24" s="2"/>
      <c r="I24" s="14" t="s">
        <v>109</v>
      </c>
    </row>
    <row r="25" spans="1:9" ht="27" x14ac:dyDescent="0.15">
      <c r="A25" s="2">
        <v>12</v>
      </c>
      <c r="B25" s="2"/>
      <c r="C25" s="2"/>
      <c r="D25" s="2"/>
      <c r="E25" s="13"/>
      <c r="F25" s="2"/>
      <c r="G25" s="2"/>
      <c r="H25" s="2"/>
      <c r="I25" s="14" t="s">
        <v>110</v>
      </c>
    </row>
    <row r="26" spans="1:9" x14ac:dyDescent="0.15">
      <c r="A26" s="2">
        <v>13</v>
      </c>
      <c r="B26" s="2"/>
      <c r="C26" s="2"/>
      <c r="D26" s="2"/>
      <c r="E26" s="13"/>
      <c r="F26" s="2"/>
      <c r="G26" s="2"/>
      <c r="H26" s="2"/>
      <c r="I26" s="14" t="s">
        <v>111</v>
      </c>
    </row>
    <row r="27" spans="1:9" ht="27" x14ac:dyDescent="0.15">
      <c r="A27" s="2">
        <v>14</v>
      </c>
      <c r="B27" s="2"/>
      <c r="C27" s="2"/>
      <c r="D27" s="2"/>
      <c r="E27" s="13"/>
      <c r="F27" s="2"/>
      <c r="G27" s="2"/>
      <c r="H27" s="2"/>
      <c r="I27" s="14" t="s">
        <v>112</v>
      </c>
    </row>
    <row r="28" spans="1:9" x14ac:dyDescent="0.15">
      <c r="A28" s="2">
        <v>15</v>
      </c>
      <c r="B28" s="2"/>
      <c r="C28" s="2"/>
      <c r="D28" s="2"/>
      <c r="E28" s="13"/>
      <c r="F28" s="2"/>
      <c r="G28" s="2"/>
      <c r="H28" s="2"/>
      <c r="I28" s="14" t="s">
        <v>113</v>
      </c>
    </row>
    <row r="29" spans="1:9" x14ac:dyDescent="0.15">
      <c r="A29" s="2">
        <v>16</v>
      </c>
      <c r="B29" s="2"/>
      <c r="C29" s="2"/>
      <c r="D29" s="2"/>
      <c r="E29" s="13"/>
      <c r="F29" s="2"/>
      <c r="G29" s="2"/>
      <c r="H29" s="2"/>
      <c r="I29" s="14" t="s">
        <v>114</v>
      </c>
    </row>
    <row r="30" spans="1:9" x14ac:dyDescent="0.15">
      <c r="A30" s="2">
        <v>17</v>
      </c>
      <c r="B30" s="2"/>
      <c r="C30" s="2"/>
      <c r="D30" s="2"/>
      <c r="E30" s="13"/>
      <c r="F30" s="2"/>
      <c r="G30" s="2"/>
      <c r="H30" s="2"/>
      <c r="I30" s="14" t="s">
        <v>115</v>
      </c>
    </row>
    <row r="31" spans="1:9" x14ac:dyDescent="0.15">
      <c r="A31" s="2">
        <v>18</v>
      </c>
      <c r="B31" s="2"/>
      <c r="C31" s="2"/>
      <c r="D31" s="2"/>
      <c r="E31" s="13"/>
      <c r="F31" s="2"/>
      <c r="G31" s="2"/>
      <c r="H31" s="2"/>
      <c r="I31" s="2" t="s">
        <v>116</v>
      </c>
    </row>
    <row r="32" spans="1:9" ht="27" x14ac:dyDescent="0.15">
      <c r="A32" s="2">
        <v>19</v>
      </c>
      <c r="B32" s="2"/>
      <c r="C32" s="2"/>
      <c r="D32" s="2"/>
      <c r="E32" s="13"/>
      <c r="F32" s="2"/>
      <c r="G32" s="2"/>
      <c r="H32" s="2"/>
      <c r="I32" s="2" t="s">
        <v>117</v>
      </c>
    </row>
    <row r="33" spans="1:9" ht="27" x14ac:dyDescent="0.15">
      <c r="A33" s="2">
        <v>20</v>
      </c>
      <c r="B33" s="2"/>
      <c r="C33" s="2"/>
      <c r="D33" s="2"/>
      <c r="E33" s="13"/>
      <c r="F33" s="2"/>
      <c r="G33" s="2"/>
      <c r="H33" s="2"/>
      <c r="I33" s="2" t="s">
        <v>118</v>
      </c>
    </row>
    <row r="34" spans="1:9" x14ac:dyDescent="0.15">
      <c r="A34" s="2">
        <v>21</v>
      </c>
      <c r="B34" s="2"/>
      <c r="C34" s="2"/>
      <c r="D34" s="2"/>
      <c r="E34" s="13"/>
      <c r="F34" s="2"/>
      <c r="G34" s="2"/>
      <c r="H34" s="2"/>
      <c r="I34" s="2" t="s">
        <v>119</v>
      </c>
    </row>
    <row r="35" spans="1:9" ht="40.5" x14ac:dyDescent="0.15">
      <c r="A35" s="2">
        <v>22</v>
      </c>
      <c r="B35" s="2"/>
      <c r="C35" s="2"/>
      <c r="D35" s="2"/>
      <c r="E35" s="13"/>
      <c r="F35" s="2"/>
      <c r="G35" s="2"/>
      <c r="H35" s="2"/>
      <c r="I35" s="19" t="s">
        <v>254</v>
      </c>
    </row>
    <row r="36" spans="1:9" ht="27" x14ac:dyDescent="0.15">
      <c r="A36" s="2">
        <v>23</v>
      </c>
      <c r="B36" s="2"/>
      <c r="C36" s="2"/>
      <c r="D36" s="2"/>
      <c r="E36" s="13"/>
      <c r="F36" s="2"/>
      <c r="G36" s="2"/>
      <c r="H36" s="2"/>
      <c r="I36" s="19" t="s">
        <v>255</v>
      </c>
    </row>
    <row r="37" spans="1:9" ht="27" x14ac:dyDescent="0.15">
      <c r="A37" s="2">
        <v>24</v>
      </c>
      <c r="B37" s="2"/>
      <c r="C37" s="2"/>
      <c r="D37" s="2"/>
      <c r="E37" s="13"/>
      <c r="F37" s="2"/>
      <c r="G37" s="2"/>
      <c r="H37" s="2"/>
      <c r="I37" s="19" t="s">
        <v>256</v>
      </c>
    </row>
    <row r="38" spans="1:9" ht="27" x14ac:dyDescent="0.15">
      <c r="A38" s="2">
        <v>25</v>
      </c>
      <c r="B38" s="2"/>
      <c r="C38" s="2"/>
      <c r="D38" s="2"/>
      <c r="E38" s="13"/>
      <c r="F38" s="2"/>
      <c r="G38" s="2"/>
      <c r="H38" s="2"/>
      <c r="I38" s="19" t="s">
        <v>257</v>
      </c>
    </row>
    <row r="39" spans="1:9" ht="27" x14ac:dyDescent="0.15">
      <c r="A39" s="2">
        <v>26</v>
      </c>
      <c r="B39" s="2"/>
      <c r="C39" s="2"/>
      <c r="D39" s="2"/>
      <c r="E39" s="13"/>
      <c r="F39" s="2"/>
      <c r="G39" s="2"/>
      <c r="H39" s="2"/>
      <c r="I39" s="19" t="s">
        <v>258</v>
      </c>
    </row>
    <row r="40" spans="1:9" ht="27" x14ac:dyDescent="0.15">
      <c r="A40" s="2">
        <v>27</v>
      </c>
      <c r="B40" s="2"/>
      <c r="C40" s="2"/>
      <c r="D40" s="2"/>
      <c r="E40" s="13"/>
      <c r="F40" s="2"/>
      <c r="G40" s="2"/>
      <c r="H40" s="2"/>
      <c r="I40" s="19" t="s">
        <v>259</v>
      </c>
    </row>
    <row r="41" spans="1:9" ht="27" x14ac:dyDescent="0.15">
      <c r="A41" s="2">
        <v>28</v>
      </c>
      <c r="B41" s="2"/>
      <c r="C41" s="2"/>
      <c r="D41" s="2"/>
      <c r="E41" s="13"/>
      <c r="F41" s="2"/>
      <c r="G41" s="2"/>
      <c r="H41" s="2"/>
      <c r="I41" s="19" t="s">
        <v>260</v>
      </c>
    </row>
    <row r="42" spans="1:9" x14ac:dyDescent="0.15">
      <c r="A42" s="2"/>
      <c r="B42" s="2"/>
      <c r="C42" s="2"/>
      <c r="D42" s="2"/>
      <c r="E42" s="13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3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3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3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3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3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3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3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3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3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3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3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3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3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3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3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3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3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3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3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3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3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3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3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3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3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3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3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3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3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3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3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3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3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3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3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3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3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3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3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3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3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3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3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3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3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3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3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3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3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3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3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3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3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3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3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3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3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3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3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3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3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3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3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3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3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3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3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3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3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3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3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3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3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3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3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3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3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3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3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3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3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3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3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3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3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3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3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3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3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3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3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3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3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3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3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3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3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3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3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3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3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3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3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3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3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3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3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3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3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3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3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3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3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3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3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3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3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3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3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3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3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3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3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3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3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3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3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3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3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3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3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3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3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3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3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3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3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3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3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3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3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3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3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3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3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3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3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3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3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3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3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3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3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3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3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3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3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3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3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3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3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3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3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3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3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3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3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3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3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3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3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3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3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3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3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3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3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3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3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3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3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3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3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3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3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3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3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3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3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3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3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3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3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3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3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3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3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3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3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3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3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3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3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3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3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3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3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3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3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3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3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3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3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3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3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3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3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3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3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3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3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3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3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3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3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3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3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3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3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3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3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3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3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3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3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3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3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3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3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3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3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3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3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3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3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3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3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3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3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3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3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3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3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3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3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3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3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3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3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3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3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3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3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3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3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3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3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3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3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3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3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3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3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3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3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3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3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3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3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3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3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3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3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3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3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3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3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3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3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3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3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3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3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3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3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3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3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3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3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3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3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3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3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3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3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3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3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3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3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3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3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3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3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3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3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3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3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3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3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3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3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3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3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3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3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3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3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3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3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3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3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3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3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3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3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3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3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3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3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3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3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3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3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3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3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3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3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3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3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3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3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3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3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3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3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3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3"/>
      <c r="F399" s="2"/>
      <c r="G399" s="2"/>
      <c r="H399" s="2"/>
      <c r="I399" s="2"/>
    </row>
  </sheetData>
  <phoneticPr fontId="7" type="noConversion"/>
  <dataValidations count="3">
    <dataValidation type="list" allowBlank="1" sqref="D2:D399" xr:uid="{00000000-0002-0000-0200-000000000000}">
      <formula1>"买入,持续追踪,卖出"</formula1>
    </dataValidation>
    <dataValidation type="date" allowBlank="1" sqref="E2:E399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tabSelected="1" workbookViewId="0">
      <pane ySplit="1" topLeftCell="A5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120</v>
      </c>
      <c r="B1" s="3" t="s">
        <v>121</v>
      </c>
      <c r="C1" s="3" t="s">
        <v>122</v>
      </c>
    </row>
    <row r="2" spans="1:3" x14ac:dyDescent="0.15">
      <c r="A2" s="4" t="s">
        <v>123</v>
      </c>
      <c r="B2" s="8">
        <f>COUNT(单次交易!M2:M88)</f>
        <v>28</v>
      </c>
      <c r="C2" s="4" t="s">
        <v>124</v>
      </c>
    </row>
    <row r="3" spans="1:3" x14ac:dyDescent="0.15">
      <c r="A3" s="4" t="s">
        <v>125</v>
      </c>
      <c r="B3" s="8">
        <f>COUNTIF(单次交易!X2:X88,"&gt;0")</f>
        <v>10</v>
      </c>
      <c r="C3" s="4" t="s">
        <v>126</v>
      </c>
    </row>
    <row r="4" spans="1:3" x14ac:dyDescent="0.15">
      <c r="A4" s="4" t="s">
        <v>127</v>
      </c>
      <c r="B4" s="8">
        <f>COUNTIF(单次交易!X2:X88,"&lt;0")</f>
        <v>18</v>
      </c>
      <c r="C4" s="4" t="s">
        <v>128</v>
      </c>
    </row>
    <row r="5" spans="1:3" x14ac:dyDescent="0.15">
      <c r="A5" s="4" t="s">
        <v>129</v>
      </c>
      <c r="B5" s="8">
        <f>COUNTIFS(单次交易!M2:M88,"&lt;&gt;",单次交易!X2:X88,"=0")</f>
        <v>0</v>
      </c>
      <c r="C5" s="4" t="s">
        <v>130</v>
      </c>
    </row>
    <row r="6" spans="1:3" x14ac:dyDescent="0.15">
      <c r="A6" s="4" t="s">
        <v>131</v>
      </c>
      <c r="B6" s="7">
        <f>IFERROR(B3/(B3+B4),"")</f>
        <v>0.35714285714285715</v>
      </c>
      <c r="C6" s="4" t="s">
        <v>132</v>
      </c>
    </row>
    <row r="7" spans="1:3" x14ac:dyDescent="0.15">
      <c r="A7" s="4" t="s">
        <v>133</v>
      </c>
      <c r="B7" s="7">
        <f>IFERROR(B4/(B3+B4),"")</f>
        <v>0.6428571428571429</v>
      </c>
      <c r="C7" s="4" t="s">
        <v>134</v>
      </c>
    </row>
    <row r="8" spans="1:3" x14ac:dyDescent="0.15">
      <c r="A8" s="4" t="s">
        <v>135</v>
      </c>
      <c r="B8" s="7">
        <f>IFERROR(AVERAGEIF(单次交易!X2:X88,"&gt;0",单次交易!AE2:AE88),"")</f>
        <v>5.3413847896643649E-2</v>
      </c>
      <c r="C8" s="4" t="s">
        <v>136</v>
      </c>
    </row>
    <row r="9" spans="1:3" x14ac:dyDescent="0.15">
      <c r="A9" s="4" t="s">
        <v>137</v>
      </c>
      <c r="B9" s="7">
        <f>IFERROR(-AVERAGEIF(单次交易!X2:X88,"&lt;0",单次交易!AE2:AE88),"")</f>
        <v>2.7028170299489097E-2</v>
      </c>
      <c r="C9" s="4" t="s">
        <v>138</v>
      </c>
    </row>
    <row r="10" spans="1:3" x14ac:dyDescent="0.15">
      <c r="A10" s="4" t="s">
        <v>139</v>
      </c>
      <c r="B10" s="8">
        <f>SUMIF(单次交易!X2:X88,"&gt;0",单次交易!AA2:AA88)</f>
        <v>1057</v>
      </c>
      <c r="C10" s="4" t="s">
        <v>140</v>
      </c>
    </row>
    <row r="11" spans="1:3" x14ac:dyDescent="0.15">
      <c r="A11" s="4" t="s">
        <v>141</v>
      </c>
      <c r="B11" s="8">
        <f>SUMIF(单次交易!X2:X88,"&lt;0",单次交易!AA2:AA88)</f>
        <v>564</v>
      </c>
      <c r="C11" s="4" t="s">
        <v>140</v>
      </c>
    </row>
    <row r="12" spans="1:3" x14ac:dyDescent="0.15">
      <c r="A12" s="4" t="s">
        <v>142</v>
      </c>
      <c r="B12" s="5">
        <f>IFERROR(SUMPRODUCT(单次交易!AO2:AO88,单次交易!AP2:AP88)/COUNT(单次交易!AP2:AP88),"")</f>
        <v>56899.214285714283</v>
      </c>
      <c r="C12" s="4" t="s">
        <v>143</v>
      </c>
    </row>
    <row r="13" spans="1:3" x14ac:dyDescent="0.15">
      <c r="A13" s="4" t="s">
        <v>144</v>
      </c>
      <c r="B13" s="7">
        <f>IF(OR(B6="",B7="",B8="",B9=""),"",B6*B8-B7*B9)</f>
        <v>1.7011219134154543E-3</v>
      </c>
      <c r="C13" s="4" t="s">
        <v>145</v>
      </c>
    </row>
    <row r="14" spans="1:3" x14ac:dyDescent="0.15">
      <c r="A14" s="4" t="s">
        <v>146</v>
      </c>
      <c r="B14" s="7">
        <f>IF(COUNT(单次交易!AE2:AE88)=0,"",EXP(SUMPRODUCT(IFERROR(LN(1+单次交易!AE2:AE88),0)))-1)</f>
        <v>-2.1184715855795289E-2</v>
      </c>
      <c r="C14" s="4" t="s">
        <v>147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C12" sqref="C12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120</v>
      </c>
      <c r="B1" s="9" t="s">
        <v>148</v>
      </c>
      <c r="C1" s="9" t="s">
        <v>149</v>
      </c>
    </row>
    <row r="2" spans="1:3" x14ac:dyDescent="0.15">
      <c r="A2" s="4" t="s">
        <v>150</v>
      </c>
      <c r="B2" s="10">
        <v>100000</v>
      </c>
      <c r="C2" s="4" t="s">
        <v>151</v>
      </c>
    </row>
    <row r="3" spans="1:3" x14ac:dyDescent="0.15">
      <c r="A3" s="4" t="s">
        <v>152</v>
      </c>
      <c r="B3" s="5">
        <f>IF(B2="","",B2+SUM(单次交易!X2:X88))</f>
        <v>101176.00000000001</v>
      </c>
      <c r="C3" s="4" t="s">
        <v>153</v>
      </c>
    </row>
    <row r="4" spans="1:3" x14ac:dyDescent="0.15">
      <c r="A4" s="4" t="s">
        <v>154</v>
      </c>
      <c r="B4" s="6">
        <v>0.02</v>
      </c>
      <c r="C4" s="4" t="s">
        <v>155</v>
      </c>
    </row>
    <row r="5" spans="1:3" x14ac:dyDescent="0.15">
      <c r="A5" s="4" t="s">
        <v>156</v>
      </c>
      <c r="B5" s="5">
        <f>IF(B3="","",B3*B4)</f>
        <v>2023.5200000000004</v>
      </c>
      <c r="C5" s="4" t="s">
        <v>157</v>
      </c>
    </row>
    <row r="6" spans="1:3" x14ac:dyDescent="0.15">
      <c r="A6" s="4" t="s">
        <v>158</v>
      </c>
      <c r="B6" s="6">
        <v>0.06</v>
      </c>
      <c r="C6" s="4" t="s">
        <v>159</v>
      </c>
    </row>
    <row r="7" spans="1:3" x14ac:dyDescent="0.15">
      <c r="A7" s="4" t="s">
        <v>160</v>
      </c>
      <c r="B7" s="5">
        <f>IF(B3="","",B3*B6)</f>
        <v>6070.56</v>
      </c>
      <c r="C7" s="4" t="s">
        <v>161</v>
      </c>
    </row>
    <row r="8" spans="1:3" x14ac:dyDescent="0.15">
      <c r="A8" s="4" t="s">
        <v>162</v>
      </c>
      <c r="B8" s="5">
        <f ca="1">SUMIFS(单次交易!X2:X88,单次交易!X2:X88,"&lt;0",单次交易!M2:M88,"&gt;="&amp;EOMONTH(TODAY(),-1)+1,单次交易!M2:M88,"&lt;="&amp;EOMONTH(TODAY(),0))</f>
        <v>0</v>
      </c>
      <c r="C8" s="4" t="s">
        <v>163</v>
      </c>
    </row>
    <row r="9" spans="1:3" x14ac:dyDescent="0.15">
      <c r="A9" s="4" t="s">
        <v>164</v>
      </c>
      <c r="B9" s="5">
        <f>IFERROR(SUM(单次交易!AQ2:AQ88),0)</f>
        <v>0</v>
      </c>
      <c r="C9" s="4" t="s">
        <v>165</v>
      </c>
    </row>
    <row r="10" spans="1:3" x14ac:dyDescent="0.15">
      <c r="A10" s="4" t="s">
        <v>166</v>
      </c>
      <c r="B10" s="5">
        <f>IF(OR(B7="",B9=""),"",B7-B9)</f>
        <v>6070.56</v>
      </c>
      <c r="C10" s="4" t="s">
        <v>167</v>
      </c>
    </row>
    <row r="11" spans="1:3" x14ac:dyDescent="0.15">
      <c r="A11" s="4" t="s">
        <v>168</v>
      </c>
      <c r="B11" s="7">
        <f>IF(OR(B2="",B3="",B2&lt;=0),"",B3/B2-1)</f>
        <v>1.1760000000000215E-2</v>
      </c>
      <c r="C11" s="4" t="s">
        <v>169</v>
      </c>
    </row>
    <row r="12" spans="1:3" x14ac:dyDescent="0.15">
      <c r="A12" s="4"/>
      <c r="B12" s="4"/>
      <c r="C12" s="4"/>
    </row>
    <row r="13" spans="1:3" x14ac:dyDescent="0.15">
      <c r="A13" s="4" t="s">
        <v>170</v>
      </c>
      <c r="B13" s="6">
        <v>0.06</v>
      </c>
      <c r="C13" s="4" t="s">
        <v>171</v>
      </c>
    </row>
    <row r="14" spans="1:3" x14ac:dyDescent="0.15">
      <c r="A14" s="4" t="s">
        <v>172</v>
      </c>
      <c r="B14" s="11">
        <f>IFERROR(LOOKUP(2,1/((单次交易!$M$2:$M$88&lt;&gt;"")*(单次交易!$X$2:$X$88&gt;0)),ROW(单次交易!$X$2:$X$88)-1),0)</f>
        <v>26</v>
      </c>
      <c r="C14" s="4" t="s">
        <v>173</v>
      </c>
    </row>
    <row r="15" spans="1:3" x14ac:dyDescent="0.15">
      <c r="A15" s="4" t="s">
        <v>174</v>
      </c>
      <c r="B15" s="11">
        <f>IFERROR(LOOKUP(2,1/(单次交易!$M$2:$M$88&lt;&gt;""),ROW(单次交易!$M$2:$M$88)-1),0)</f>
        <v>28</v>
      </c>
      <c r="C15" s="4" t="s">
        <v>175</v>
      </c>
    </row>
    <row r="16" spans="1:3" x14ac:dyDescent="0.15">
      <c r="A16" s="4" t="s">
        <v>176</v>
      </c>
      <c r="B16" s="12"/>
      <c r="C16" s="4" t="s">
        <v>177</v>
      </c>
    </row>
    <row r="17" spans="1:3" x14ac:dyDescent="0.15">
      <c r="A17" s="4" t="s">
        <v>178</v>
      </c>
      <c r="B17" s="2" t="s">
        <v>179</v>
      </c>
      <c r="C17" s="4" t="s">
        <v>180</v>
      </c>
    </row>
    <row r="18" spans="1:3" x14ac:dyDescent="0.15">
      <c r="A18" s="4" t="s">
        <v>181</v>
      </c>
      <c r="B18" s="11">
        <f>MAX(B14,IF(AND(ISNUMBER(B16),B16&gt;=1,B16&lt;=B15,B17&lt;&gt;""),B16,0))</f>
        <v>26</v>
      </c>
      <c r="C18" s="4" t="s">
        <v>182</v>
      </c>
    </row>
    <row r="19" spans="1:3" x14ac:dyDescent="0.15">
      <c r="A19" s="4" t="s">
        <v>183</v>
      </c>
      <c r="B19" s="5" t="e">
        <f>IF(B2="","",IF(B18=0,B2,B2+SUM(单次交易!#REF!:INDEX(单次交易!$X:$X,B18+1))))</f>
        <v>#REF!</v>
      </c>
      <c r="C19" s="4" t="s">
        <v>184</v>
      </c>
    </row>
    <row r="20" spans="1:3" x14ac:dyDescent="0.15">
      <c r="A20" s="4" t="s">
        <v>185</v>
      </c>
      <c r="B20" s="5">
        <f>IF(B18&gt;=B15,0,-SUMPRODUCT((ROW(单次交易!$X$2:$X$88)-1&gt;B18)*(单次交易!$M$2:$M$88&lt;&gt;"")*(IFERROR(单次交易!$X$2:$X$88,0)&lt;0)*IFERROR(单次交易!$X$2:$X$88,0)))</f>
        <v>4470</v>
      </c>
      <c r="C20" s="4" t="s">
        <v>186</v>
      </c>
    </row>
    <row r="21" spans="1:3" x14ac:dyDescent="0.15">
      <c r="A21" s="4" t="s">
        <v>187</v>
      </c>
      <c r="B21" s="7" t="e">
        <f>IF(OR(B19="",B19&lt;=0),"",B20/B19)</f>
        <v>#REF!</v>
      </c>
      <c r="C21" s="4" t="s">
        <v>188</v>
      </c>
    </row>
    <row r="22" spans="1:3" x14ac:dyDescent="0.15">
      <c r="A22" s="4" t="s">
        <v>189</v>
      </c>
      <c r="B22" s="7" t="e">
        <f>IF(OR(B13="",B13&lt;=0,B21=""),"",B21/B13)</f>
        <v>#REF!</v>
      </c>
      <c r="C22" s="4" t="s">
        <v>190</v>
      </c>
    </row>
    <row r="23" spans="1:3" x14ac:dyDescent="0.15">
      <c r="A23" s="4" t="s">
        <v>191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192</v>
      </c>
    </row>
  </sheetData>
  <phoneticPr fontId="7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120</v>
      </c>
      <c r="B1" s="3" t="s">
        <v>148</v>
      </c>
      <c r="C1" s="3" t="s">
        <v>122</v>
      </c>
    </row>
    <row r="2" spans="1:3" x14ac:dyDescent="0.15">
      <c r="A2" s="4" t="s">
        <v>193</v>
      </c>
      <c r="B2" s="5">
        <f>账户数据!B3</f>
        <v>101176.00000000001</v>
      </c>
      <c r="C2" s="4" t="s">
        <v>194</v>
      </c>
    </row>
    <row r="3" spans="1:3" x14ac:dyDescent="0.15">
      <c r="A3" s="4" t="s">
        <v>195</v>
      </c>
      <c r="B3" s="6">
        <v>0.1</v>
      </c>
      <c r="C3" s="4" t="s">
        <v>196</v>
      </c>
    </row>
    <row r="4" spans="1:3" x14ac:dyDescent="0.15">
      <c r="A4" s="4" t="s">
        <v>197</v>
      </c>
      <c r="B4" s="5">
        <f>IF(OR(B2="",B3=""),"",B2*B3)</f>
        <v>10117.600000000002</v>
      </c>
      <c r="C4" s="4" t="s">
        <v>198</v>
      </c>
    </row>
    <row r="5" spans="1:3" x14ac:dyDescent="0.15">
      <c r="A5" s="4" t="s">
        <v>142</v>
      </c>
      <c r="B5" s="5">
        <f>多次统计数据!B12</f>
        <v>56899.214285714283</v>
      </c>
      <c r="C5" s="4" t="s">
        <v>199</v>
      </c>
    </row>
    <row r="6" spans="1:3" x14ac:dyDescent="0.15">
      <c r="A6" s="4" t="s">
        <v>200</v>
      </c>
      <c r="B6" s="7">
        <f>多次统计数据!B13</f>
        <v>1.7011219134154543E-3</v>
      </c>
      <c r="C6" s="4" t="s">
        <v>201</v>
      </c>
    </row>
    <row r="7" spans="1:3" x14ac:dyDescent="0.15">
      <c r="A7" s="4" t="s">
        <v>202</v>
      </c>
      <c r="B7" s="8">
        <f>IF(OR(B3="",B6="",B3&lt;=0,B6&lt;=0),"暂不可计算",ROUNDUP(LN(1+B3)/LN(1+B6),0))</f>
        <v>57</v>
      </c>
      <c r="C7" s="4" t="s">
        <v>203</v>
      </c>
    </row>
  </sheetData>
  <phoneticPr fontId="7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204</v>
      </c>
      <c r="B1" s="1" t="s">
        <v>205</v>
      </c>
      <c r="C1" s="1" t="s">
        <v>206</v>
      </c>
    </row>
    <row r="2" spans="1:3" x14ac:dyDescent="0.15">
      <c r="A2" s="2" t="s">
        <v>207</v>
      </c>
      <c r="B2" s="2" t="s">
        <v>208</v>
      </c>
      <c r="C2" s="2" t="s">
        <v>209</v>
      </c>
    </row>
    <row r="3" spans="1:3" x14ac:dyDescent="0.15">
      <c r="A3" s="2" t="s">
        <v>210</v>
      </c>
      <c r="B3" s="2" t="s">
        <v>211</v>
      </c>
      <c r="C3" s="2" t="s">
        <v>212</v>
      </c>
    </row>
    <row r="4" spans="1:3" x14ac:dyDescent="0.15">
      <c r="A4" s="2" t="s">
        <v>213</v>
      </c>
      <c r="B4" s="2" t="s">
        <v>214</v>
      </c>
      <c r="C4" s="2" t="s">
        <v>215</v>
      </c>
    </row>
    <row r="5" spans="1:3" x14ac:dyDescent="0.15">
      <c r="A5" s="2" t="s">
        <v>216</v>
      </c>
      <c r="B5" s="2" t="s">
        <v>211</v>
      </c>
      <c r="C5" s="2" t="s">
        <v>217</v>
      </c>
    </row>
    <row r="6" spans="1:3" x14ac:dyDescent="0.15">
      <c r="A6" s="2" t="s">
        <v>71</v>
      </c>
      <c r="B6" s="2" t="s">
        <v>218</v>
      </c>
      <c r="C6" s="2" t="s">
        <v>219</v>
      </c>
    </row>
    <row r="7" spans="1:3" x14ac:dyDescent="0.15">
      <c r="A7" s="2" t="s">
        <v>220</v>
      </c>
      <c r="B7" s="2" t="s">
        <v>214</v>
      </c>
      <c r="C7" s="2" t="s">
        <v>221</v>
      </c>
    </row>
    <row r="8" spans="1:3" x14ac:dyDescent="0.15">
      <c r="A8" s="2" t="s">
        <v>222</v>
      </c>
      <c r="B8" s="2" t="s">
        <v>214</v>
      </c>
      <c r="C8" s="2" t="s">
        <v>223</v>
      </c>
    </row>
    <row r="9" spans="1:3" x14ac:dyDescent="0.15">
      <c r="A9" s="2" t="s">
        <v>224</v>
      </c>
      <c r="B9" s="2" t="s">
        <v>225</v>
      </c>
      <c r="C9" s="2" t="s">
        <v>226</v>
      </c>
    </row>
    <row r="10" spans="1:3" x14ac:dyDescent="0.15">
      <c r="A10" s="2" t="s">
        <v>227</v>
      </c>
      <c r="B10" s="2" t="s">
        <v>228</v>
      </c>
      <c r="C10" s="2" t="s">
        <v>229</v>
      </c>
    </row>
    <row r="11" spans="1:3" x14ac:dyDescent="0.15">
      <c r="A11" s="2" t="s">
        <v>230</v>
      </c>
      <c r="B11" s="2" t="s">
        <v>228</v>
      </c>
      <c r="C11" s="2" t="s">
        <v>231</v>
      </c>
    </row>
    <row r="12" spans="1:3" x14ac:dyDescent="0.15">
      <c r="A12" s="2" t="s">
        <v>232</v>
      </c>
      <c r="B12" s="2" t="s">
        <v>208</v>
      </c>
      <c r="C12" s="2" t="s">
        <v>233</v>
      </c>
    </row>
    <row r="13" spans="1:3" x14ac:dyDescent="0.15">
      <c r="A13" s="2" t="s">
        <v>234</v>
      </c>
      <c r="B13" s="2" t="s">
        <v>208</v>
      </c>
      <c r="C13" s="2" t="s">
        <v>235</v>
      </c>
    </row>
    <row r="14" spans="1:3" x14ac:dyDescent="0.15">
      <c r="A14" s="2" t="s">
        <v>236</v>
      </c>
      <c r="B14" s="2" t="s">
        <v>211</v>
      </c>
      <c r="C14" s="2" t="s">
        <v>237</v>
      </c>
    </row>
    <row r="15" spans="1:3" x14ac:dyDescent="0.15">
      <c r="A15" s="2" t="s">
        <v>238</v>
      </c>
      <c r="B15" s="2" t="s">
        <v>211</v>
      </c>
      <c r="C15" s="2" t="s">
        <v>239</v>
      </c>
    </row>
    <row r="16" spans="1:3" x14ac:dyDescent="0.15">
      <c r="A16" s="2" t="s">
        <v>240</v>
      </c>
      <c r="B16" s="2" t="s">
        <v>218</v>
      </c>
      <c r="C16" s="2" t="s">
        <v>241</v>
      </c>
    </row>
    <row r="17" spans="1:3" x14ac:dyDescent="0.15">
      <c r="A17" s="2" t="s">
        <v>242</v>
      </c>
      <c r="B17" s="2" t="s">
        <v>214</v>
      </c>
      <c r="C17" s="2" t="s">
        <v>243</v>
      </c>
    </row>
    <row r="18" spans="1:3" x14ac:dyDescent="0.15">
      <c r="A18" s="2" t="s">
        <v>244</v>
      </c>
      <c r="B18" s="2" t="s">
        <v>225</v>
      </c>
      <c r="C18" s="2" t="s">
        <v>245</v>
      </c>
    </row>
    <row r="19" spans="1:3" x14ac:dyDescent="0.15">
      <c r="A19" s="2" t="s">
        <v>246</v>
      </c>
      <c r="B19" s="2" t="s">
        <v>218</v>
      </c>
      <c r="C19" s="2" t="s">
        <v>247</v>
      </c>
    </row>
    <row r="20" spans="1:3" x14ac:dyDescent="0.15">
      <c r="A20" s="2" t="s">
        <v>248</v>
      </c>
      <c r="B20" s="2" t="s">
        <v>249</v>
      </c>
      <c r="C20" s="2" t="s">
        <v>250</v>
      </c>
    </row>
    <row r="21" spans="1:3" x14ac:dyDescent="0.15">
      <c r="A21" s="2" t="s">
        <v>251</v>
      </c>
      <c r="B21" s="2" t="s">
        <v>252</v>
      </c>
      <c r="C21" s="2" t="s">
        <v>253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7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2026-07-26T08:10:00Z</dcterms:created>
  <dcterms:modified xsi:type="dcterms:W3CDTF">2026-08-28T01:47:59Z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