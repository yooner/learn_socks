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11FFC107-F9CD-46BE-9B24-18FE74601BA9}" xr6:coauthVersionLast="47" xr6:coauthVersionMax="47" xr10:uidLastSave="{00000000-0000-0000-0000-000000000000}"/>
  <bookViews>
    <workbookView xWindow="-28920" yWindow="-120" windowWidth="29040" windowHeight="15840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持仓跟踪!$AC$2:$AC$157</definedName>
    <definedName name="_TrackTradeId">持仓跟踪!$B$2:$B$157</definedName>
    <definedName name="_TrackType">持仓跟踪!$A$2:$A$157</definedName>
    <definedName name="_TradeIds">单次交易!$A$2:$A$88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AC157" i="2" l="1"/>
  <c r="AB157" i="2"/>
  <c r="Z157" i="2"/>
  <c r="W157" i="2"/>
  <c r="T157" i="2"/>
  <c r="V157" i="2" s="1"/>
  <c r="S157" i="2"/>
  <c r="Q157" i="2"/>
  <c r="P157" i="2"/>
  <c r="O157" i="2"/>
  <c r="N157" i="2"/>
  <c r="C157" i="2"/>
  <c r="AC156" i="2"/>
  <c r="AB156" i="2"/>
  <c r="Z156" i="2"/>
  <c r="W156" i="2"/>
  <c r="T156" i="2"/>
  <c r="V156" i="2" s="1"/>
  <c r="S156" i="2"/>
  <c r="Q156" i="2"/>
  <c r="P156" i="2"/>
  <c r="O156" i="2"/>
  <c r="N156" i="2"/>
  <c r="C156" i="2"/>
  <c r="AC155" i="2"/>
  <c r="AB155" i="2"/>
  <c r="Z155" i="2"/>
  <c r="W155" i="2"/>
  <c r="T155" i="2"/>
  <c r="V155" i="2" s="1"/>
  <c r="S155" i="2"/>
  <c r="Q155" i="2"/>
  <c r="P155" i="2"/>
  <c r="O155" i="2"/>
  <c r="N155" i="2"/>
  <c r="C155" i="2"/>
  <c r="AC154" i="2"/>
  <c r="AB154" i="2"/>
  <c r="Z154" i="2"/>
  <c r="W154" i="2"/>
  <c r="T154" i="2"/>
  <c r="S154" i="2"/>
  <c r="Q154" i="2"/>
  <c r="P154" i="2"/>
  <c r="O154" i="2"/>
  <c r="N154" i="2"/>
  <c r="C154" i="2"/>
  <c r="AC153" i="2"/>
  <c r="AB153" i="2"/>
  <c r="Z153" i="2"/>
  <c r="W153" i="2"/>
  <c r="T153" i="2"/>
  <c r="S153" i="2"/>
  <c r="Q153" i="2"/>
  <c r="P153" i="2"/>
  <c r="O153" i="2"/>
  <c r="N153" i="2"/>
  <c r="C153" i="2"/>
  <c r="AC152" i="2"/>
  <c r="AB152" i="2"/>
  <c r="Z152" i="2"/>
  <c r="W152" i="2"/>
  <c r="T152" i="2"/>
  <c r="U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V150" i="2" s="1"/>
  <c r="S150" i="2"/>
  <c r="Q150" i="2"/>
  <c r="P150" i="2"/>
  <c r="O150" i="2"/>
  <c r="N150" i="2"/>
  <c r="C150" i="2"/>
  <c r="AC149" i="2"/>
  <c r="AB149" i="2"/>
  <c r="Z149" i="2"/>
  <c r="W149" i="2"/>
  <c r="T149" i="2"/>
  <c r="V149" i="2" s="1"/>
  <c r="S149" i="2"/>
  <c r="Q149" i="2"/>
  <c r="P149" i="2"/>
  <c r="O149" i="2"/>
  <c r="N149" i="2"/>
  <c r="C149" i="2"/>
  <c r="AC148" i="2"/>
  <c r="AB148" i="2"/>
  <c r="Z148" i="2"/>
  <c r="W148" i="2"/>
  <c r="T148" i="2"/>
  <c r="S148" i="2"/>
  <c r="Q148" i="2"/>
  <c r="P148" i="2"/>
  <c r="O148" i="2"/>
  <c r="N148" i="2"/>
  <c r="C148" i="2"/>
  <c r="AC147" i="2"/>
  <c r="AB147" i="2"/>
  <c r="Z147" i="2"/>
  <c r="W147" i="2"/>
  <c r="T147" i="2"/>
  <c r="U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U145" i="2" s="1"/>
  <c r="S145" i="2"/>
  <c r="Q145" i="2"/>
  <c r="P145" i="2"/>
  <c r="O145" i="2"/>
  <c r="N145" i="2"/>
  <c r="C145" i="2"/>
  <c r="AC144" i="2"/>
  <c r="AB144" i="2"/>
  <c r="Z144" i="2"/>
  <c r="W144" i="2"/>
  <c r="T144" i="2"/>
  <c r="U144" i="2" s="1"/>
  <c r="S144" i="2"/>
  <c r="Q144" i="2"/>
  <c r="P144" i="2"/>
  <c r="O144" i="2"/>
  <c r="N144" i="2"/>
  <c r="C144" i="2"/>
  <c r="AC143" i="2"/>
  <c r="AB143" i="2"/>
  <c r="Z143" i="2"/>
  <c r="W143" i="2"/>
  <c r="T143" i="2"/>
  <c r="V143" i="2" s="1"/>
  <c r="S143" i="2"/>
  <c r="Q143" i="2"/>
  <c r="P143" i="2"/>
  <c r="O143" i="2"/>
  <c r="N143" i="2"/>
  <c r="C143" i="2"/>
  <c r="AC142" i="2"/>
  <c r="AB142" i="2"/>
  <c r="Z142" i="2"/>
  <c r="W142" i="2"/>
  <c r="T142" i="2"/>
  <c r="U142" i="2" s="1"/>
  <c r="S142" i="2"/>
  <c r="Q142" i="2"/>
  <c r="P142" i="2"/>
  <c r="O142" i="2"/>
  <c r="N142" i="2"/>
  <c r="C142" i="2"/>
  <c r="AC141" i="2"/>
  <c r="AB141" i="2"/>
  <c r="Z141" i="2"/>
  <c r="W141" i="2"/>
  <c r="T141" i="2"/>
  <c r="V141" i="2" s="1"/>
  <c r="S141" i="2"/>
  <c r="Q141" i="2"/>
  <c r="P141" i="2"/>
  <c r="O141" i="2"/>
  <c r="N141" i="2"/>
  <c r="C141" i="2"/>
  <c r="AC140" i="2"/>
  <c r="AB140" i="2"/>
  <c r="Z140" i="2"/>
  <c r="W140" i="2"/>
  <c r="T140" i="2"/>
  <c r="V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V138" i="2" s="1"/>
  <c r="S138" i="2"/>
  <c r="Q138" i="2"/>
  <c r="P138" i="2"/>
  <c r="O138" i="2"/>
  <c r="N138" i="2"/>
  <c r="C138" i="2"/>
  <c r="AC137" i="2"/>
  <c r="AB137" i="2"/>
  <c r="Z137" i="2"/>
  <c r="W137" i="2"/>
  <c r="T137" i="2"/>
  <c r="V137" i="2" s="1"/>
  <c r="S137" i="2"/>
  <c r="Q137" i="2"/>
  <c r="P137" i="2"/>
  <c r="O137" i="2"/>
  <c r="N137" i="2"/>
  <c r="C137" i="2"/>
  <c r="AC136" i="2"/>
  <c r="AB136" i="2"/>
  <c r="Z136" i="2"/>
  <c r="W136" i="2"/>
  <c r="T136" i="2"/>
  <c r="V136" i="2" s="1"/>
  <c r="S136" i="2"/>
  <c r="Q136" i="2"/>
  <c r="P136" i="2"/>
  <c r="O136" i="2"/>
  <c r="N136" i="2"/>
  <c r="C136" i="2"/>
  <c r="AC135" i="2"/>
  <c r="AB135" i="2"/>
  <c r="Z135" i="2"/>
  <c r="W135" i="2"/>
  <c r="T135" i="2"/>
  <c r="V135" i="2" s="1"/>
  <c r="S135" i="2"/>
  <c r="Q135" i="2"/>
  <c r="P135" i="2"/>
  <c r="O135" i="2"/>
  <c r="N135" i="2"/>
  <c r="C135" i="2"/>
  <c r="AC134" i="2"/>
  <c r="AB134" i="2"/>
  <c r="Z134" i="2"/>
  <c r="W134" i="2"/>
  <c r="T134" i="2"/>
  <c r="V134" i="2" s="1"/>
  <c r="S134" i="2"/>
  <c r="Q134" i="2"/>
  <c r="P134" i="2"/>
  <c r="O134" i="2"/>
  <c r="N134" i="2"/>
  <c r="C134" i="2"/>
  <c r="AC133" i="2"/>
  <c r="AB133" i="2"/>
  <c r="Z133" i="2"/>
  <c r="W133" i="2"/>
  <c r="T133" i="2"/>
  <c r="S133" i="2"/>
  <c r="Q133" i="2"/>
  <c r="P133" i="2"/>
  <c r="O133" i="2"/>
  <c r="N133" i="2"/>
  <c r="C133" i="2"/>
  <c r="AC132" i="2"/>
  <c r="AB132" i="2"/>
  <c r="Z132" i="2"/>
  <c r="W132" i="2"/>
  <c r="T132" i="2"/>
  <c r="U132" i="2" s="1"/>
  <c r="S132" i="2"/>
  <c r="Q132" i="2"/>
  <c r="P132" i="2"/>
  <c r="O132" i="2"/>
  <c r="N132" i="2"/>
  <c r="C132" i="2"/>
  <c r="AC131" i="2"/>
  <c r="AB131" i="2"/>
  <c r="Z131" i="2"/>
  <c r="W131" i="2"/>
  <c r="T131" i="2"/>
  <c r="V131" i="2" s="1"/>
  <c r="S131" i="2"/>
  <c r="Q131" i="2"/>
  <c r="P131" i="2"/>
  <c r="O131" i="2"/>
  <c r="N131" i="2"/>
  <c r="C131" i="2"/>
  <c r="AC130" i="2"/>
  <c r="AB130" i="2"/>
  <c r="Z130" i="2"/>
  <c r="W130" i="2"/>
  <c r="T130" i="2"/>
  <c r="V130" i="2" s="1"/>
  <c r="S130" i="2"/>
  <c r="Q130" i="2"/>
  <c r="P130" i="2"/>
  <c r="O130" i="2"/>
  <c r="N130" i="2"/>
  <c r="C130" i="2"/>
  <c r="AC129" i="2"/>
  <c r="AB129" i="2"/>
  <c r="Z129" i="2"/>
  <c r="W129" i="2"/>
  <c r="T129" i="2"/>
  <c r="V129" i="2" s="1"/>
  <c r="S129" i="2"/>
  <c r="Q129" i="2"/>
  <c r="P129" i="2"/>
  <c r="O129" i="2"/>
  <c r="N129" i="2"/>
  <c r="C129" i="2"/>
  <c r="AC128" i="2"/>
  <c r="AB128" i="2"/>
  <c r="Z128" i="2"/>
  <c r="W128" i="2"/>
  <c r="T128" i="2"/>
  <c r="S128" i="2"/>
  <c r="Q128" i="2"/>
  <c r="P128" i="2"/>
  <c r="O128" i="2"/>
  <c r="N128" i="2"/>
  <c r="C128" i="2"/>
  <c r="AC127" i="2"/>
  <c r="AB127" i="2"/>
  <c r="Z127" i="2"/>
  <c r="W127" i="2"/>
  <c r="T127" i="2"/>
  <c r="U127" i="2" s="1"/>
  <c r="S127" i="2"/>
  <c r="Q127" i="2"/>
  <c r="P127" i="2"/>
  <c r="O127" i="2"/>
  <c r="N127" i="2"/>
  <c r="C127" i="2"/>
  <c r="AC126" i="2"/>
  <c r="AB126" i="2"/>
  <c r="Z126" i="2"/>
  <c r="W126" i="2"/>
  <c r="T126" i="2"/>
  <c r="S126" i="2"/>
  <c r="Q126" i="2"/>
  <c r="P126" i="2"/>
  <c r="O126" i="2"/>
  <c r="N126" i="2"/>
  <c r="C126" i="2"/>
  <c r="AC125" i="2"/>
  <c r="AB125" i="2"/>
  <c r="Z125" i="2"/>
  <c r="W125" i="2"/>
  <c r="T125" i="2"/>
  <c r="U125" i="2" s="1"/>
  <c r="S125" i="2"/>
  <c r="Q125" i="2"/>
  <c r="P125" i="2"/>
  <c r="O125" i="2"/>
  <c r="N125" i="2"/>
  <c r="C125" i="2"/>
  <c r="AC124" i="2"/>
  <c r="AB124" i="2"/>
  <c r="Z124" i="2"/>
  <c r="W124" i="2"/>
  <c r="T124" i="2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V122" i="2" s="1"/>
  <c r="S122" i="2"/>
  <c r="Q122" i="2"/>
  <c r="P122" i="2"/>
  <c r="O122" i="2"/>
  <c r="N122" i="2"/>
  <c r="C122" i="2"/>
  <c r="AC121" i="2"/>
  <c r="AB121" i="2"/>
  <c r="Z121" i="2"/>
  <c r="W121" i="2"/>
  <c r="T121" i="2"/>
  <c r="V121" i="2" s="1"/>
  <c r="S121" i="2"/>
  <c r="Q121" i="2"/>
  <c r="P121" i="2"/>
  <c r="O121" i="2"/>
  <c r="N121" i="2"/>
  <c r="C121" i="2"/>
  <c r="AC120" i="2"/>
  <c r="AB120" i="2"/>
  <c r="Z120" i="2"/>
  <c r="W120" i="2"/>
  <c r="T120" i="2"/>
  <c r="V120" i="2" s="1"/>
  <c r="S120" i="2"/>
  <c r="Q120" i="2"/>
  <c r="P120" i="2"/>
  <c r="O120" i="2"/>
  <c r="N120" i="2"/>
  <c r="C120" i="2"/>
  <c r="AC119" i="2"/>
  <c r="AB119" i="2"/>
  <c r="Z119" i="2"/>
  <c r="W119" i="2"/>
  <c r="T119" i="2"/>
  <c r="U119" i="2" s="1"/>
  <c r="S119" i="2"/>
  <c r="Q119" i="2"/>
  <c r="P119" i="2"/>
  <c r="O119" i="2"/>
  <c r="N119" i="2"/>
  <c r="C119" i="2"/>
  <c r="AC118" i="2"/>
  <c r="AB118" i="2"/>
  <c r="Z118" i="2"/>
  <c r="W118" i="2"/>
  <c r="T118" i="2"/>
  <c r="V118" i="2" s="1"/>
  <c r="S118" i="2"/>
  <c r="Q118" i="2"/>
  <c r="P118" i="2"/>
  <c r="O118" i="2"/>
  <c r="N118" i="2"/>
  <c r="C118" i="2"/>
  <c r="AC117" i="2"/>
  <c r="AB117" i="2"/>
  <c r="Z117" i="2"/>
  <c r="W117" i="2"/>
  <c r="T117" i="2"/>
  <c r="U117" i="2" s="1"/>
  <c r="S117" i="2"/>
  <c r="Q117" i="2"/>
  <c r="P117" i="2"/>
  <c r="O117" i="2"/>
  <c r="N117" i="2"/>
  <c r="C117" i="2"/>
  <c r="AC116" i="2"/>
  <c r="AB116" i="2"/>
  <c r="Z116" i="2"/>
  <c r="W116" i="2"/>
  <c r="T116" i="2"/>
  <c r="V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U114" i="2" s="1"/>
  <c r="S114" i="2"/>
  <c r="Q114" i="2"/>
  <c r="P114" i="2"/>
  <c r="O114" i="2"/>
  <c r="N114" i="2"/>
  <c r="C114" i="2"/>
  <c r="AC113" i="2"/>
  <c r="AB113" i="2"/>
  <c r="Z113" i="2"/>
  <c r="W113" i="2"/>
  <c r="T113" i="2"/>
  <c r="S113" i="2"/>
  <c r="Q113" i="2"/>
  <c r="P113" i="2"/>
  <c r="O113" i="2"/>
  <c r="N113" i="2"/>
  <c r="C113" i="2"/>
  <c r="AC112" i="2"/>
  <c r="AB112" i="2"/>
  <c r="Z112" i="2"/>
  <c r="W112" i="2"/>
  <c r="T112" i="2"/>
  <c r="U112" i="2" s="1"/>
  <c r="S112" i="2"/>
  <c r="Q112" i="2"/>
  <c r="P112" i="2"/>
  <c r="O112" i="2"/>
  <c r="N112" i="2"/>
  <c r="C112" i="2"/>
  <c r="AC111" i="2"/>
  <c r="AB111" i="2"/>
  <c r="Z111" i="2"/>
  <c r="W111" i="2"/>
  <c r="T111" i="2"/>
  <c r="S111" i="2"/>
  <c r="Q111" i="2"/>
  <c r="P111" i="2"/>
  <c r="O111" i="2"/>
  <c r="N111" i="2"/>
  <c r="C111" i="2"/>
  <c r="AC110" i="2"/>
  <c r="AB110" i="2"/>
  <c r="Z110" i="2"/>
  <c r="W110" i="2"/>
  <c r="T110" i="2"/>
  <c r="V110" i="2" s="1"/>
  <c r="S110" i="2"/>
  <c r="Q110" i="2"/>
  <c r="P110" i="2"/>
  <c r="O110" i="2"/>
  <c r="N110" i="2"/>
  <c r="C110" i="2"/>
  <c r="AC109" i="2"/>
  <c r="AB109" i="2"/>
  <c r="Z109" i="2"/>
  <c r="W109" i="2"/>
  <c r="T109" i="2"/>
  <c r="S109" i="2"/>
  <c r="Q109" i="2"/>
  <c r="P109" i="2"/>
  <c r="O109" i="2"/>
  <c r="N109" i="2"/>
  <c r="C109" i="2"/>
  <c r="AC108" i="2"/>
  <c r="AB108" i="2"/>
  <c r="Z108" i="2"/>
  <c r="W108" i="2"/>
  <c r="T108" i="2"/>
  <c r="S108" i="2"/>
  <c r="Q108" i="2"/>
  <c r="P108" i="2"/>
  <c r="O108" i="2"/>
  <c r="N108" i="2"/>
  <c r="C108" i="2"/>
  <c r="AC107" i="2"/>
  <c r="AB107" i="2"/>
  <c r="Z107" i="2"/>
  <c r="W107" i="2"/>
  <c r="T107" i="2"/>
  <c r="S107" i="2"/>
  <c r="Q107" i="2"/>
  <c r="P107" i="2"/>
  <c r="O107" i="2"/>
  <c r="N107" i="2"/>
  <c r="C107" i="2"/>
  <c r="AC106" i="2"/>
  <c r="AB106" i="2"/>
  <c r="Z106" i="2"/>
  <c r="W106" i="2"/>
  <c r="T106" i="2"/>
  <c r="S106" i="2"/>
  <c r="Q106" i="2"/>
  <c r="P106" i="2"/>
  <c r="O106" i="2"/>
  <c r="N106" i="2"/>
  <c r="C106" i="2"/>
  <c r="AC105" i="2"/>
  <c r="AB105" i="2"/>
  <c r="Z105" i="2"/>
  <c r="W105" i="2"/>
  <c r="T105" i="2"/>
  <c r="U105" i="2" s="1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S103" i="2"/>
  <c r="Q103" i="2"/>
  <c r="P103" i="2"/>
  <c r="O103" i="2"/>
  <c r="N103" i="2"/>
  <c r="C103" i="2"/>
  <c r="AC102" i="2"/>
  <c r="AB102" i="2"/>
  <c r="Z102" i="2"/>
  <c r="W102" i="2"/>
  <c r="T102" i="2"/>
  <c r="U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V100" i="2" s="1"/>
  <c r="S100" i="2"/>
  <c r="Q100" i="2"/>
  <c r="P100" i="2"/>
  <c r="O100" i="2"/>
  <c r="N100" i="2"/>
  <c r="C100" i="2"/>
  <c r="AC99" i="2"/>
  <c r="AB99" i="2"/>
  <c r="Z99" i="2"/>
  <c r="W99" i="2"/>
  <c r="T99" i="2"/>
  <c r="V99" i="2" s="1"/>
  <c r="S99" i="2"/>
  <c r="Q99" i="2"/>
  <c r="P99" i="2"/>
  <c r="O99" i="2"/>
  <c r="N99" i="2"/>
  <c r="C99" i="2"/>
  <c r="AC98" i="2"/>
  <c r="AB98" i="2"/>
  <c r="Z98" i="2"/>
  <c r="W98" i="2"/>
  <c r="T98" i="2"/>
  <c r="V98" i="2" s="1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S96" i="2"/>
  <c r="Q96" i="2"/>
  <c r="P96" i="2"/>
  <c r="O96" i="2"/>
  <c r="N96" i="2"/>
  <c r="C96" i="2"/>
  <c r="AC95" i="2"/>
  <c r="AB95" i="2"/>
  <c r="Z95" i="2"/>
  <c r="W95" i="2"/>
  <c r="T95" i="2"/>
  <c r="V95" i="2" s="1"/>
  <c r="S95" i="2"/>
  <c r="Q95" i="2"/>
  <c r="P95" i="2"/>
  <c r="O95" i="2"/>
  <c r="N95" i="2"/>
  <c r="C95" i="2"/>
  <c r="AC94" i="2"/>
  <c r="AB94" i="2"/>
  <c r="Z94" i="2"/>
  <c r="W94" i="2"/>
  <c r="T94" i="2"/>
  <c r="V94" i="2" s="1"/>
  <c r="S94" i="2"/>
  <c r="Q94" i="2"/>
  <c r="P94" i="2"/>
  <c r="O94" i="2"/>
  <c r="N94" i="2"/>
  <c r="C94" i="2"/>
  <c r="AC93" i="2"/>
  <c r="AB93" i="2"/>
  <c r="Z93" i="2"/>
  <c r="W93" i="2"/>
  <c r="T93" i="2"/>
  <c r="S93" i="2"/>
  <c r="Q93" i="2"/>
  <c r="P93" i="2"/>
  <c r="O93" i="2"/>
  <c r="N93" i="2"/>
  <c r="C93" i="2"/>
  <c r="AC92" i="2"/>
  <c r="AB92" i="2"/>
  <c r="Z92" i="2"/>
  <c r="W92" i="2"/>
  <c r="T92" i="2"/>
  <c r="U92" i="2" s="1"/>
  <c r="S92" i="2"/>
  <c r="Q92" i="2"/>
  <c r="P92" i="2"/>
  <c r="O92" i="2"/>
  <c r="N92" i="2"/>
  <c r="C92" i="2"/>
  <c r="AC91" i="2"/>
  <c r="AB91" i="2"/>
  <c r="Z91" i="2"/>
  <c r="W91" i="2"/>
  <c r="T91" i="2"/>
  <c r="S91" i="2"/>
  <c r="Q91" i="2"/>
  <c r="P91" i="2"/>
  <c r="O91" i="2"/>
  <c r="N91" i="2"/>
  <c r="C91" i="2"/>
  <c r="AC90" i="2"/>
  <c r="AB90" i="2"/>
  <c r="Z90" i="2"/>
  <c r="W90" i="2"/>
  <c r="T90" i="2"/>
  <c r="V90" i="2" s="1"/>
  <c r="S90" i="2"/>
  <c r="Q90" i="2"/>
  <c r="P90" i="2"/>
  <c r="O90" i="2"/>
  <c r="N90" i="2"/>
  <c r="C90" i="2"/>
  <c r="AC89" i="2"/>
  <c r="AB89" i="2"/>
  <c r="Z89" i="2"/>
  <c r="W89" i="2"/>
  <c r="T89" i="2"/>
  <c r="S89" i="2"/>
  <c r="Q89" i="2"/>
  <c r="P89" i="2"/>
  <c r="O89" i="2"/>
  <c r="N89" i="2"/>
  <c r="C89" i="2"/>
  <c r="AC88" i="2"/>
  <c r="AB88" i="2"/>
  <c r="Z88" i="2"/>
  <c r="W88" i="2"/>
  <c r="T88" i="2"/>
  <c r="S88" i="2"/>
  <c r="Q88" i="2"/>
  <c r="P88" i="2"/>
  <c r="O88" i="2"/>
  <c r="N88" i="2"/>
  <c r="C88" i="2"/>
  <c r="AC87" i="2"/>
  <c r="AB87" i="2"/>
  <c r="Z87" i="2"/>
  <c r="W87" i="2"/>
  <c r="T87" i="2"/>
  <c r="U87" i="2" s="1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U85" i="2" s="1"/>
  <c r="S85" i="2"/>
  <c r="Q85" i="2"/>
  <c r="P85" i="2"/>
  <c r="O85" i="2"/>
  <c r="N85" i="2"/>
  <c r="C85" i="2"/>
  <c r="AC84" i="2"/>
  <c r="AB84" i="2"/>
  <c r="Z84" i="2"/>
  <c r="W84" i="2"/>
  <c r="T84" i="2"/>
  <c r="V84" i="2" s="1"/>
  <c r="S84" i="2"/>
  <c r="Q84" i="2"/>
  <c r="P84" i="2"/>
  <c r="O84" i="2"/>
  <c r="N84" i="2"/>
  <c r="C84" i="2"/>
  <c r="AC83" i="2"/>
  <c r="AB83" i="2"/>
  <c r="Z83" i="2"/>
  <c r="W83" i="2"/>
  <c r="T83" i="2"/>
  <c r="V83" i="2" s="1"/>
  <c r="S83" i="2"/>
  <c r="Q83" i="2"/>
  <c r="P83" i="2"/>
  <c r="O83" i="2"/>
  <c r="N83" i="2"/>
  <c r="C83" i="2"/>
  <c r="AC82" i="2"/>
  <c r="AB82" i="2"/>
  <c r="Z82" i="2"/>
  <c r="W82" i="2"/>
  <c r="T82" i="2"/>
  <c r="V82" i="2" s="1"/>
  <c r="S82" i="2"/>
  <c r="Q82" i="2"/>
  <c r="P82" i="2"/>
  <c r="O82" i="2"/>
  <c r="N82" i="2"/>
  <c r="C82" i="2"/>
  <c r="AC81" i="2"/>
  <c r="AB81" i="2"/>
  <c r="Z81" i="2"/>
  <c r="W81" i="2"/>
  <c r="T81" i="2"/>
  <c r="V81" i="2" s="1"/>
  <c r="S81" i="2"/>
  <c r="Q81" i="2"/>
  <c r="P81" i="2"/>
  <c r="O81" i="2"/>
  <c r="N81" i="2"/>
  <c r="C81" i="2"/>
  <c r="AC80" i="2"/>
  <c r="AB80" i="2"/>
  <c r="Z80" i="2"/>
  <c r="W80" i="2"/>
  <c r="T80" i="2"/>
  <c r="U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S76" i="2"/>
  <c r="Q76" i="2"/>
  <c r="P76" i="2"/>
  <c r="O76" i="2"/>
  <c r="N76" i="2"/>
  <c r="C76" i="2"/>
  <c r="AC75" i="2"/>
  <c r="AB75" i="2"/>
  <c r="Z75" i="2"/>
  <c r="W75" i="2"/>
  <c r="T75" i="2"/>
  <c r="V75" i="2" s="1"/>
  <c r="S75" i="2"/>
  <c r="Q75" i="2"/>
  <c r="P75" i="2"/>
  <c r="O75" i="2"/>
  <c r="N75" i="2"/>
  <c r="C75" i="2"/>
  <c r="AC74" i="2"/>
  <c r="AB74" i="2"/>
  <c r="Z74" i="2"/>
  <c r="W74" i="2"/>
  <c r="T74" i="2"/>
  <c r="V74" i="2" s="1"/>
  <c r="S74" i="2"/>
  <c r="Q74" i="2"/>
  <c r="P74" i="2"/>
  <c r="O74" i="2"/>
  <c r="N74" i="2"/>
  <c r="C74" i="2"/>
  <c r="AC73" i="2"/>
  <c r="AB73" i="2"/>
  <c r="Z73" i="2"/>
  <c r="W73" i="2"/>
  <c r="T73" i="2"/>
  <c r="S73" i="2"/>
  <c r="Q73" i="2"/>
  <c r="P73" i="2"/>
  <c r="O73" i="2"/>
  <c r="N73" i="2"/>
  <c r="C73" i="2"/>
  <c r="AC72" i="2"/>
  <c r="AB72" i="2"/>
  <c r="Z72" i="2"/>
  <c r="W72" i="2"/>
  <c r="T72" i="2"/>
  <c r="U72" i="2" s="1"/>
  <c r="S72" i="2"/>
  <c r="Q72" i="2"/>
  <c r="P72" i="2"/>
  <c r="O72" i="2"/>
  <c r="N72" i="2"/>
  <c r="C72" i="2"/>
  <c r="AC71" i="2"/>
  <c r="AB71" i="2"/>
  <c r="Z71" i="2"/>
  <c r="W71" i="2"/>
  <c r="T71" i="2"/>
  <c r="S71" i="2"/>
  <c r="Q71" i="2"/>
  <c r="P71" i="2"/>
  <c r="O71" i="2"/>
  <c r="N71" i="2"/>
  <c r="C71" i="2"/>
  <c r="AC70" i="2"/>
  <c r="AB70" i="2"/>
  <c r="Z70" i="2"/>
  <c r="W70" i="2"/>
  <c r="T70" i="2"/>
  <c r="V70" i="2" s="1"/>
  <c r="S70" i="2"/>
  <c r="Q70" i="2"/>
  <c r="P70" i="2"/>
  <c r="O70" i="2"/>
  <c r="N70" i="2"/>
  <c r="C70" i="2"/>
  <c r="AC69" i="2"/>
  <c r="AB69" i="2"/>
  <c r="Z69" i="2"/>
  <c r="W69" i="2"/>
  <c r="T69" i="2"/>
  <c r="V69" i="2" s="1"/>
  <c r="S69" i="2"/>
  <c r="Q69" i="2"/>
  <c r="P69" i="2"/>
  <c r="O69" i="2"/>
  <c r="N69" i="2"/>
  <c r="C69" i="2"/>
  <c r="AC68" i="2"/>
  <c r="AB68" i="2"/>
  <c r="Z68" i="2"/>
  <c r="W68" i="2"/>
  <c r="T68" i="2"/>
  <c r="S68" i="2"/>
  <c r="Q68" i="2"/>
  <c r="P68" i="2"/>
  <c r="O68" i="2"/>
  <c r="N68" i="2"/>
  <c r="C68" i="2"/>
  <c r="AC67" i="2"/>
  <c r="AB67" i="2"/>
  <c r="Z67" i="2"/>
  <c r="W67" i="2"/>
  <c r="T67" i="2"/>
  <c r="U67" i="2" s="1"/>
  <c r="S67" i="2"/>
  <c r="Q67" i="2"/>
  <c r="P67" i="2"/>
  <c r="O67" i="2"/>
  <c r="N67" i="2"/>
  <c r="C67" i="2"/>
  <c r="AC66" i="2"/>
  <c r="AB66" i="2"/>
  <c r="Z66" i="2"/>
  <c r="W66" i="2"/>
  <c r="T66" i="2"/>
  <c r="U66" i="2" s="1"/>
  <c r="S66" i="2"/>
  <c r="Q66" i="2"/>
  <c r="P66" i="2"/>
  <c r="O66" i="2"/>
  <c r="N66" i="2"/>
  <c r="C66" i="2"/>
  <c r="AC65" i="2"/>
  <c r="AB65" i="2"/>
  <c r="Z65" i="2"/>
  <c r="W65" i="2"/>
  <c r="T65" i="2"/>
  <c r="U65" i="2" s="1"/>
  <c r="S65" i="2"/>
  <c r="Q65" i="2"/>
  <c r="P65" i="2"/>
  <c r="O65" i="2"/>
  <c r="N65" i="2"/>
  <c r="C65" i="2"/>
  <c r="AC64" i="2"/>
  <c r="AB64" i="2"/>
  <c r="Z64" i="2"/>
  <c r="W64" i="2"/>
  <c r="T64" i="2"/>
  <c r="V64" i="2" s="1"/>
  <c r="S64" i="2"/>
  <c r="Q64" i="2"/>
  <c r="P64" i="2"/>
  <c r="O64" i="2"/>
  <c r="N64" i="2"/>
  <c r="C64" i="2"/>
  <c r="AC63" i="2"/>
  <c r="AB63" i="2"/>
  <c r="Z63" i="2"/>
  <c r="W63" i="2"/>
  <c r="T63" i="2"/>
  <c r="V63" i="2" s="1"/>
  <c r="S63" i="2"/>
  <c r="Q63" i="2"/>
  <c r="P63" i="2"/>
  <c r="O63" i="2"/>
  <c r="N63" i="2"/>
  <c r="C63" i="2"/>
  <c r="AC62" i="2"/>
  <c r="AB62" i="2"/>
  <c r="Z62" i="2"/>
  <c r="W62" i="2"/>
  <c r="T62" i="2"/>
  <c r="V62" i="2" s="1"/>
  <c r="S62" i="2"/>
  <c r="Q62" i="2"/>
  <c r="P62" i="2"/>
  <c r="O62" i="2"/>
  <c r="N62" i="2"/>
  <c r="C62" i="2"/>
  <c r="AC61" i="2"/>
  <c r="AB61" i="2"/>
  <c r="Z61" i="2"/>
  <c r="W61" i="2"/>
  <c r="T61" i="2"/>
  <c r="U61" i="2" s="1"/>
  <c r="S61" i="2"/>
  <c r="Q61" i="2"/>
  <c r="P61" i="2"/>
  <c r="O61" i="2"/>
  <c r="N61" i="2"/>
  <c r="C61" i="2"/>
  <c r="AC60" i="2"/>
  <c r="AB60" i="2"/>
  <c r="Z60" i="2"/>
  <c r="W60" i="2"/>
  <c r="T60" i="2"/>
  <c r="V60" i="2" s="1"/>
  <c r="S60" i="2"/>
  <c r="Q60" i="2"/>
  <c r="P60" i="2"/>
  <c r="O60" i="2"/>
  <c r="N60" i="2"/>
  <c r="C60" i="2"/>
  <c r="AC59" i="2"/>
  <c r="AB59" i="2"/>
  <c r="Z59" i="2"/>
  <c r="W59" i="2"/>
  <c r="T59" i="2"/>
  <c r="V59" i="2" s="1"/>
  <c r="S59" i="2"/>
  <c r="Q59" i="2"/>
  <c r="P59" i="2"/>
  <c r="O59" i="2"/>
  <c r="N59" i="2"/>
  <c r="C59" i="2"/>
  <c r="AC58" i="2"/>
  <c r="AB58" i="2"/>
  <c r="Z58" i="2"/>
  <c r="W58" i="2"/>
  <c r="T58" i="2"/>
  <c r="V58" i="2" s="1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V55" i="2" s="1"/>
  <c r="S55" i="2"/>
  <c r="Q55" i="2"/>
  <c r="P55" i="2"/>
  <c r="O55" i="2"/>
  <c r="N55" i="2"/>
  <c r="C55" i="2"/>
  <c r="AC54" i="2"/>
  <c r="AB54" i="2"/>
  <c r="Z54" i="2"/>
  <c r="W54" i="2"/>
  <c r="T54" i="2"/>
  <c r="V54" i="2" s="1"/>
  <c r="S54" i="2"/>
  <c r="Q54" i="2"/>
  <c r="P54" i="2"/>
  <c r="O54" i="2"/>
  <c r="N54" i="2"/>
  <c r="C54" i="2"/>
  <c r="AC53" i="2"/>
  <c r="AB53" i="2"/>
  <c r="Z53" i="2"/>
  <c r="W53" i="2"/>
  <c r="T53" i="2"/>
  <c r="S53" i="2"/>
  <c r="Q53" i="2"/>
  <c r="P53" i="2"/>
  <c r="O53" i="2"/>
  <c r="N53" i="2"/>
  <c r="C53" i="2"/>
  <c r="AC52" i="2"/>
  <c r="AB52" i="2"/>
  <c r="Z52" i="2"/>
  <c r="W52" i="2"/>
  <c r="T52" i="2"/>
  <c r="U52" i="2" s="1"/>
  <c r="S52" i="2"/>
  <c r="Q52" i="2"/>
  <c r="P52" i="2"/>
  <c r="O52" i="2"/>
  <c r="N52" i="2"/>
  <c r="C52" i="2"/>
  <c r="AC51" i="2"/>
  <c r="AB51" i="2"/>
  <c r="Z51" i="2"/>
  <c r="W51" i="2"/>
  <c r="T51" i="2"/>
  <c r="V51" i="2" s="1"/>
  <c r="S51" i="2"/>
  <c r="Q51" i="2"/>
  <c r="P51" i="2"/>
  <c r="O51" i="2"/>
  <c r="N51" i="2"/>
  <c r="C51" i="2"/>
  <c r="AC50" i="2"/>
  <c r="AB50" i="2"/>
  <c r="Z50" i="2"/>
  <c r="W50" i="2"/>
  <c r="T50" i="2"/>
  <c r="V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S48" i="2"/>
  <c r="Q48" i="2"/>
  <c r="P48" i="2"/>
  <c r="O48" i="2"/>
  <c r="N48" i="2"/>
  <c r="C48" i="2"/>
  <c r="AC47" i="2"/>
  <c r="AB47" i="2"/>
  <c r="Z47" i="2"/>
  <c r="W47" i="2"/>
  <c r="T47" i="2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U45" i="2" s="1"/>
  <c r="S45" i="2"/>
  <c r="Q45" i="2"/>
  <c r="P45" i="2"/>
  <c r="O45" i="2"/>
  <c r="N45" i="2"/>
  <c r="C45" i="2"/>
  <c r="AC44" i="2"/>
  <c r="AB44" i="2"/>
  <c r="Z44" i="2"/>
  <c r="W44" i="2"/>
  <c r="T44" i="2"/>
  <c r="V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V41" i="2" s="1"/>
  <c r="S41" i="2"/>
  <c r="Q41" i="2"/>
  <c r="P41" i="2"/>
  <c r="O41" i="2"/>
  <c r="N41" i="2"/>
  <c r="C41" i="2"/>
  <c r="AC40" i="2"/>
  <c r="AB40" i="2"/>
  <c r="Z40" i="2"/>
  <c r="W40" i="2"/>
  <c r="T40" i="2"/>
  <c r="V40" i="2" s="1"/>
  <c r="S40" i="2"/>
  <c r="Q40" i="2"/>
  <c r="P40" i="2"/>
  <c r="O40" i="2"/>
  <c r="N40" i="2"/>
  <c r="C40" i="2"/>
  <c r="AC39" i="2"/>
  <c r="AB39" i="2"/>
  <c r="Z39" i="2"/>
  <c r="W39" i="2"/>
  <c r="T39" i="2"/>
  <c r="U39" i="2" s="1"/>
  <c r="S39" i="2"/>
  <c r="Q39" i="2"/>
  <c r="P39" i="2"/>
  <c r="O39" i="2"/>
  <c r="N39" i="2"/>
  <c r="C39" i="2"/>
  <c r="AC38" i="2"/>
  <c r="AB38" i="2"/>
  <c r="Z38" i="2"/>
  <c r="W38" i="2"/>
  <c r="T38" i="2"/>
  <c r="V38" i="2" s="1"/>
  <c r="S38" i="2"/>
  <c r="Q38" i="2"/>
  <c r="P38" i="2"/>
  <c r="O38" i="2"/>
  <c r="N38" i="2"/>
  <c r="C38" i="2"/>
  <c r="AC37" i="2"/>
  <c r="AB37" i="2"/>
  <c r="Z37" i="2"/>
  <c r="W37" i="2"/>
  <c r="T37" i="2"/>
  <c r="V37" i="2" s="1"/>
  <c r="S37" i="2"/>
  <c r="Q37" i="2"/>
  <c r="P37" i="2"/>
  <c r="O37" i="2"/>
  <c r="N37" i="2"/>
  <c r="C37" i="2"/>
  <c r="AC36" i="2"/>
  <c r="AB36" i="2"/>
  <c r="Z36" i="2"/>
  <c r="W36" i="2"/>
  <c r="T36" i="2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U34" i="2" s="1"/>
  <c r="S34" i="2"/>
  <c r="Q34" i="2"/>
  <c r="P34" i="2"/>
  <c r="O34" i="2"/>
  <c r="N34" i="2"/>
  <c r="C34" i="2"/>
  <c r="AC33" i="2"/>
  <c r="AB33" i="2"/>
  <c r="Z33" i="2"/>
  <c r="W33" i="2"/>
  <c r="T33" i="2"/>
  <c r="S33" i="2"/>
  <c r="Q33" i="2"/>
  <c r="P33" i="2"/>
  <c r="O33" i="2"/>
  <c r="N33" i="2"/>
  <c r="C33" i="2"/>
  <c r="AC32" i="2"/>
  <c r="AB32" i="2"/>
  <c r="Z32" i="2"/>
  <c r="W32" i="2"/>
  <c r="T32" i="2"/>
  <c r="S32" i="2"/>
  <c r="Q32" i="2"/>
  <c r="P32" i="2"/>
  <c r="O32" i="2"/>
  <c r="N32" i="2"/>
  <c r="C32" i="2"/>
  <c r="AC31" i="2"/>
  <c r="AB31" i="2"/>
  <c r="Z31" i="2"/>
  <c r="W31" i="2"/>
  <c r="T31" i="2"/>
  <c r="S31" i="2"/>
  <c r="Q31" i="2"/>
  <c r="P31" i="2"/>
  <c r="O31" i="2"/>
  <c r="N31" i="2"/>
  <c r="C31" i="2"/>
  <c r="AC30" i="2"/>
  <c r="AB30" i="2"/>
  <c r="Z30" i="2"/>
  <c r="W30" i="2"/>
  <c r="T30" i="2"/>
  <c r="V30" i="2" s="1"/>
  <c r="S30" i="2"/>
  <c r="Q30" i="2"/>
  <c r="P30" i="2"/>
  <c r="O30" i="2"/>
  <c r="N30" i="2"/>
  <c r="C30" i="2"/>
  <c r="AC29" i="2"/>
  <c r="AB29" i="2"/>
  <c r="Z29" i="2"/>
  <c r="W29" i="2"/>
  <c r="T29" i="2"/>
  <c r="V29" i="2" s="1"/>
  <c r="S29" i="2"/>
  <c r="Q29" i="2"/>
  <c r="P29" i="2"/>
  <c r="O29" i="2"/>
  <c r="N29" i="2"/>
  <c r="C29" i="2"/>
  <c r="AC28" i="2"/>
  <c r="AB28" i="2"/>
  <c r="Z28" i="2"/>
  <c r="W28" i="2"/>
  <c r="T28" i="2"/>
  <c r="S28" i="2"/>
  <c r="Q28" i="2"/>
  <c r="P28" i="2"/>
  <c r="O28" i="2"/>
  <c r="N28" i="2"/>
  <c r="C28" i="2"/>
  <c r="AC27" i="2"/>
  <c r="AB27" i="2"/>
  <c r="Z27" i="2"/>
  <c r="W27" i="2"/>
  <c r="T27" i="2"/>
  <c r="U27" i="2" s="1"/>
  <c r="S27" i="2"/>
  <c r="Q27" i="2"/>
  <c r="P27" i="2"/>
  <c r="O27" i="2"/>
  <c r="N27" i="2"/>
  <c r="C27" i="2"/>
  <c r="AC26" i="2"/>
  <c r="AB26" i="2"/>
  <c r="Z26" i="2"/>
  <c r="W26" i="2"/>
  <c r="T26" i="2"/>
  <c r="U26" i="2" s="1"/>
  <c r="S26" i="2"/>
  <c r="Q26" i="2"/>
  <c r="P26" i="2"/>
  <c r="O26" i="2"/>
  <c r="N26" i="2"/>
  <c r="C26" i="2"/>
  <c r="AC25" i="2"/>
  <c r="AB25" i="2"/>
  <c r="Z25" i="2"/>
  <c r="W25" i="2"/>
  <c r="T25" i="2"/>
  <c r="S25" i="2"/>
  <c r="Q25" i="2"/>
  <c r="P25" i="2"/>
  <c r="O25" i="2"/>
  <c r="N25" i="2"/>
  <c r="C25" i="2"/>
  <c r="AC24" i="2"/>
  <c r="AB24" i="2"/>
  <c r="Z24" i="2"/>
  <c r="W24" i="2"/>
  <c r="T24" i="2"/>
  <c r="V24" i="2" s="1"/>
  <c r="S24" i="2"/>
  <c r="Q24" i="2"/>
  <c r="P24" i="2"/>
  <c r="O24" i="2"/>
  <c r="N24" i="2"/>
  <c r="C24" i="2"/>
  <c r="AC23" i="2"/>
  <c r="AB23" i="2"/>
  <c r="Z23" i="2"/>
  <c r="W23" i="2"/>
  <c r="T23" i="2"/>
  <c r="V23" i="2" s="1"/>
  <c r="S23" i="2"/>
  <c r="Q23" i="2"/>
  <c r="P23" i="2"/>
  <c r="O23" i="2"/>
  <c r="N23" i="2"/>
  <c r="C23" i="2"/>
  <c r="AC22" i="2"/>
  <c r="AB22" i="2"/>
  <c r="Z22" i="2"/>
  <c r="W22" i="2"/>
  <c r="T22" i="2"/>
  <c r="V22" i="2" s="1"/>
  <c r="S22" i="2"/>
  <c r="Q22" i="2"/>
  <c r="P22" i="2"/>
  <c r="O22" i="2"/>
  <c r="N22" i="2"/>
  <c r="C22" i="2"/>
  <c r="AC21" i="2"/>
  <c r="AB21" i="2"/>
  <c r="Z21" i="2"/>
  <c r="W21" i="2"/>
  <c r="T21" i="2"/>
  <c r="U21" i="2" s="1"/>
  <c r="S21" i="2"/>
  <c r="Q21" i="2"/>
  <c r="P21" i="2"/>
  <c r="O21" i="2"/>
  <c r="N21" i="2"/>
  <c r="C21" i="2"/>
  <c r="AC20" i="2"/>
  <c r="AB20" i="2"/>
  <c r="Z20" i="2"/>
  <c r="W20" i="2"/>
  <c r="T20" i="2"/>
  <c r="V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V18" i="2" s="1"/>
  <c r="S18" i="2"/>
  <c r="Q18" i="2"/>
  <c r="P18" i="2"/>
  <c r="O18" i="2"/>
  <c r="N18" i="2"/>
  <c r="C18" i="2"/>
  <c r="AC17" i="2"/>
  <c r="AB17" i="2"/>
  <c r="Z17" i="2"/>
  <c r="W17" i="2"/>
  <c r="T17" i="2"/>
  <c r="S17" i="2"/>
  <c r="Q17" i="2"/>
  <c r="P17" i="2"/>
  <c r="O17" i="2"/>
  <c r="N17" i="2"/>
  <c r="C17" i="2"/>
  <c r="AC16" i="2"/>
  <c r="AB16" i="2"/>
  <c r="Z16" i="2"/>
  <c r="W16" i="2"/>
  <c r="T16" i="2"/>
  <c r="S16" i="2"/>
  <c r="Q16" i="2"/>
  <c r="P16" i="2"/>
  <c r="O16" i="2"/>
  <c r="N16" i="2"/>
  <c r="C16" i="2"/>
  <c r="AC15" i="2"/>
  <c r="AB15" i="2"/>
  <c r="Z15" i="2"/>
  <c r="W15" i="2"/>
  <c r="T15" i="2"/>
  <c r="V15" i="2" s="1"/>
  <c r="S15" i="2"/>
  <c r="Q15" i="2"/>
  <c r="P15" i="2"/>
  <c r="O15" i="2"/>
  <c r="N15" i="2"/>
  <c r="C15" i="2"/>
  <c r="AC14" i="2"/>
  <c r="AB14" i="2"/>
  <c r="Z14" i="2"/>
  <c r="W14" i="2"/>
  <c r="T14" i="2"/>
  <c r="V14" i="2" s="1"/>
  <c r="S14" i="2"/>
  <c r="Q14" i="2"/>
  <c r="P14" i="2"/>
  <c r="O14" i="2"/>
  <c r="N14" i="2"/>
  <c r="C14" i="2"/>
  <c r="AC13" i="2"/>
  <c r="AB13" i="2"/>
  <c r="Z13" i="2"/>
  <c r="W13" i="2"/>
  <c r="T13" i="2"/>
  <c r="S13" i="2"/>
  <c r="Q13" i="2"/>
  <c r="P13" i="2"/>
  <c r="O13" i="2"/>
  <c r="N13" i="2"/>
  <c r="C13" i="2"/>
  <c r="AC12" i="2"/>
  <c r="AB12" i="2"/>
  <c r="Z12" i="2"/>
  <c r="W12" i="2"/>
  <c r="T12" i="2"/>
  <c r="U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V10" i="2" s="1"/>
  <c r="S10" i="2"/>
  <c r="Q10" i="2"/>
  <c r="P10" i="2"/>
  <c r="O10" i="2"/>
  <c r="N10" i="2"/>
  <c r="C10" i="2"/>
  <c r="AC9" i="2"/>
  <c r="AB9" i="2"/>
  <c r="Z9" i="2"/>
  <c r="W9" i="2"/>
  <c r="T9" i="2"/>
  <c r="S9" i="2"/>
  <c r="Q9" i="2"/>
  <c r="P9" i="2"/>
  <c r="O9" i="2"/>
  <c r="N9" i="2"/>
  <c r="C9" i="2"/>
  <c r="AC8" i="2"/>
  <c r="AB8" i="2"/>
  <c r="O8" i="2"/>
  <c r="T8" i="2" s="1"/>
  <c r="N8" i="2"/>
  <c r="C8" i="2"/>
  <c r="AC7" i="2"/>
  <c r="AB7" i="2"/>
  <c r="O7" i="2"/>
  <c r="P7" i="2" s="1"/>
  <c r="N7" i="2"/>
  <c r="C7" i="2"/>
  <c r="AC6" i="2"/>
  <c r="AB6" i="2"/>
  <c r="O6" i="2"/>
  <c r="T6" i="2" s="1"/>
  <c r="U6" i="2" s="1"/>
  <c r="N6" i="2"/>
  <c r="C6" i="2"/>
  <c r="AC5" i="2"/>
  <c r="AB5" i="2"/>
  <c r="O5" i="2"/>
  <c r="P5" i="2" s="1"/>
  <c r="N5" i="2"/>
  <c r="C5" i="2"/>
  <c r="AC4" i="2"/>
  <c r="AB4" i="2"/>
  <c r="O4" i="2"/>
  <c r="T4" i="2" s="1"/>
  <c r="U4" i="2" s="1"/>
  <c r="N4" i="2"/>
  <c r="C4" i="2"/>
  <c r="AC3" i="2"/>
  <c r="AB3" i="2"/>
  <c r="O3" i="2"/>
  <c r="P3" i="2" s="1"/>
  <c r="N3" i="2"/>
  <c r="C3" i="2"/>
  <c r="AC2" i="2"/>
  <c r="AB2" i="2"/>
  <c r="O2" i="2"/>
  <c r="T2" i="2" s="1"/>
  <c r="V2" i="2" s="1"/>
  <c r="N2" i="2"/>
  <c r="C2" i="2"/>
  <c r="AR88" i="1"/>
  <c r="AQ88" i="1"/>
  <c r="AP88" i="1"/>
  <c r="AO88" i="1"/>
  <c r="U88" i="1" s="1"/>
  <c r="AJ88" i="1"/>
  <c r="P88" i="1"/>
  <c r="M88" i="1"/>
  <c r="AA88" i="1" s="1"/>
  <c r="L88" i="1"/>
  <c r="K88" i="1"/>
  <c r="G88" i="1"/>
  <c r="F88" i="1"/>
  <c r="AR87" i="1"/>
  <c r="AQ87" i="1"/>
  <c r="AP87" i="1"/>
  <c r="AO87" i="1"/>
  <c r="AJ87" i="1"/>
  <c r="P87" i="1"/>
  <c r="M87" i="1"/>
  <c r="AA87" i="1" s="1"/>
  <c r="L87" i="1"/>
  <c r="K87" i="1"/>
  <c r="G87" i="1"/>
  <c r="F87" i="1"/>
  <c r="AR86" i="1"/>
  <c r="AQ86" i="1"/>
  <c r="AP86" i="1"/>
  <c r="AO86" i="1"/>
  <c r="V86" i="1" s="1"/>
  <c r="AJ86" i="1"/>
  <c r="P86" i="1"/>
  <c r="M86" i="1"/>
  <c r="AA86" i="1" s="1"/>
  <c r="L86" i="1"/>
  <c r="K86" i="1"/>
  <c r="G86" i="1"/>
  <c r="F86" i="1"/>
  <c r="AR85" i="1"/>
  <c r="AQ85" i="1"/>
  <c r="AP85" i="1"/>
  <c r="AO85" i="1"/>
  <c r="V85" i="1" s="1"/>
  <c r="AJ85" i="1"/>
  <c r="P85" i="1"/>
  <c r="M85" i="1"/>
  <c r="AA85" i="1" s="1"/>
  <c r="L85" i="1"/>
  <c r="K85" i="1"/>
  <c r="G85" i="1"/>
  <c r="F85" i="1"/>
  <c r="AR84" i="1"/>
  <c r="AQ84" i="1"/>
  <c r="AP84" i="1"/>
  <c r="AO84" i="1"/>
  <c r="AJ84" i="1"/>
  <c r="P84" i="1"/>
  <c r="M84" i="1"/>
  <c r="AA84" i="1" s="1"/>
  <c r="L84" i="1"/>
  <c r="K84" i="1"/>
  <c r="G84" i="1"/>
  <c r="F84" i="1"/>
  <c r="AR83" i="1"/>
  <c r="AQ83" i="1"/>
  <c r="AP83" i="1"/>
  <c r="AO83" i="1"/>
  <c r="AJ83" i="1"/>
  <c r="P83" i="1"/>
  <c r="M83" i="1"/>
  <c r="AA83" i="1" s="1"/>
  <c r="L83" i="1"/>
  <c r="K83" i="1"/>
  <c r="G83" i="1"/>
  <c r="F83" i="1"/>
  <c r="AR82" i="1"/>
  <c r="AQ82" i="1"/>
  <c r="AP82" i="1"/>
  <c r="AO82" i="1"/>
  <c r="AJ82" i="1"/>
  <c r="P82" i="1"/>
  <c r="M82" i="1"/>
  <c r="AA82" i="1" s="1"/>
  <c r="L82" i="1"/>
  <c r="K82" i="1"/>
  <c r="G82" i="1"/>
  <c r="F82" i="1"/>
  <c r="AR81" i="1"/>
  <c r="AQ81" i="1"/>
  <c r="AP81" i="1"/>
  <c r="AO81" i="1"/>
  <c r="AJ81" i="1"/>
  <c r="P81" i="1"/>
  <c r="M81" i="1"/>
  <c r="AA81" i="1" s="1"/>
  <c r="L81" i="1"/>
  <c r="K81" i="1"/>
  <c r="G81" i="1"/>
  <c r="F81" i="1"/>
  <c r="AR80" i="1"/>
  <c r="AQ80" i="1"/>
  <c r="AP80" i="1"/>
  <c r="AO80" i="1"/>
  <c r="U80" i="1" s="1"/>
  <c r="AJ80" i="1"/>
  <c r="P80" i="1"/>
  <c r="M80" i="1"/>
  <c r="AA80" i="1" s="1"/>
  <c r="L80" i="1"/>
  <c r="K80" i="1"/>
  <c r="G80" i="1"/>
  <c r="F80" i="1"/>
  <c r="AR79" i="1"/>
  <c r="AQ79" i="1"/>
  <c r="AP79" i="1"/>
  <c r="AO79" i="1"/>
  <c r="AJ79" i="1"/>
  <c r="P79" i="1"/>
  <c r="M79" i="1"/>
  <c r="AA79" i="1" s="1"/>
  <c r="L79" i="1"/>
  <c r="K79" i="1"/>
  <c r="G79" i="1"/>
  <c r="F79" i="1"/>
  <c r="AR78" i="1"/>
  <c r="AQ78" i="1"/>
  <c r="AP78" i="1"/>
  <c r="AO78" i="1"/>
  <c r="U78" i="1" s="1"/>
  <c r="AJ78" i="1"/>
  <c r="P78" i="1"/>
  <c r="M78" i="1"/>
  <c r="AA78" i="1" s="1"/>
  <c r="L78" i="1"/>
  <c r="K78" i="1"/>
  <c r="G78" i="1"/>
  <c r="F78" i="1"/>
  <c r="AR77" i="1"/>
  <c r="AQ77" i="1"/>
  <c r="AP77" i="1"/>
  <c r="AO77" i="1"/>
  <c r="U77" i="1" s="1"/>
  <c r="AJ77" i="1"/>
  <c r="P77" i="1"/>
  <c r="M77" i="1"/>
  <c r="AA77" i="1" s="1"/>
  <c r="L77" i="1"/>
  <c r="K77" i="1"/>
  <c r="G77" i="1"/>
  <c r="F77" i="1"/>
  <c r="AR76" i="1"/>
  <c r="AQ76" i="1"/>
  <c r="AP76" i="1"/>
  <c r="AO76" i="1"/>
  <c r="V76" i="1" s="1"/>
  <c r="AJ76" i="1"/>
  <c r="P76" i="1"/>
  <c r="M76" i="1"/>
  <c r="AA76" i="1" s="1"/>
  <c r="L76" i="1"/>
  <c r="K76" i="1"/>
  <c r="G76" i="1"/>
  <c r="F76" i="1"/>
  <c r="AR75" i="1"/>
  <c r="AQ75" i="1"/>
  <c r="AP75" i="1"/>
  <c r="AO75" i="1"/>
  <c r="U75" i="1" s="1"/>
  <c r="AJ75" i="1"/>
  <c r="P75" i="1"/>
  <c r="M75" i="1"/>
  <c r="AA75" i="1" s="1"/>
  <c r="L75" i="1"/>
  <c r="K75" i="1"/>
  <c r="G75" i="1"/>
  <c r="F75" i="1"/>
  <c r="AR74" i="1"/>
  <c r="AQ74" i="1"/>
  <c r="AP74" i="1"/>
  <c r="AO74" i="1"/>
  <c r="AJ74" i="1"/>
  <c r="P74" i="1"/>
  <c r="M74" i="1"/>
  <c r="AA74" i="1" s="1"/>
  <c r="L74" i="1"/>
  <c r="K74" i="1"/>
  <c r="G74" i="1"/>
  <c r="F74" i="1"/>
  <c r="AR73" i="1"/>
  <c r="AQ73" i="1"/>
  <c r="AP73" i="1"/>
  <c r="AO73" i="1"/>
  <c r="AJ73" i="1"/>
  <c r="P73" i="1"/>
  <c r="M73" i="1"/>
  <c r="AA73" i="1" s="1"/>
  <c r="L73" i="1"/>
  <c r="K73" i="1"/>
  <c r="G73" i="1"/>
  <c r="F73" i="1"/>
  <c r="AR72" i="1"/>
  <c r="AQ72" i="1"/>
  <c r="AP72" i="1"/>
  <c r="AO72" i="1"/>
  <c r="V72" i="1" s="1"/>
  <c r="AJ72" i="1"/>
  <c r="P72" i="1"/>
  <c r="M72" i="1"/>
  <c r="AA72" i="1" s="1"/>
  <c r="L72" i="1"/>
  <c r="K72" i="1"/>
  <c r="G72" i="1"/>
  <c r="F72" i="1"/>
  <c r="AR71" i="1"/>
  <c r="AQ71" i="1"/>
  <c r="AP71" i="1"/>
  <c r="AO71" i="1"/>
  <c r="AJ71" i="1"/>
  <c r="P71" i="1"/>
  <c r="M71" i="1"/>
  <c r="AA71" i="1" s="1"/>
  <c r="L71" i="1"/>
  <c r="K71" i="1"/>
  <c r="G71" i="1"/>
  <c r="F71" i="1"/>
  <c r="AR70" i="1"/>
  <c r="AQ70" i="1"/>
  <c r="AP70" i="1"/>
  <c r="AO70" i="1"/>
  <c r="V70" i="1" s="1"/>
  <c r="AJ70" i="1"/>
  <c r="P70" i="1"/>
  <c r="M70" i="1"/>
  <c r="AA70" i="1" s="1"/>
  <c r="L70" i="1"/>
  <c r="K70" i="1"/>
  <c r="G70" i="1"/>
  <c r="F70" i="1"/>
  <c r="AR69" i="1"/>
  <c r="AQ69" i="1"/>
  <c r="AP69" i="1"/>
  <c r="AO69" i="1"/>
  <c r="V69" i="1" s="1"/>
  <c r="AJ69" i="1"/>
  <c r="P69" i="1"/>
  <c r="M69" i="1"/>
  <c r="AA69" i="1" s="1"/>
  <c r="L69" i="1"/>
  <c r="K69" i="1"/>
  <c r="G69" i="1"/>
  <c r="F69" i="1"/>
  <c r="AR68" i="1"/>
  <c r="AQ68" i="1"/>
  <c r="AP68" i="1"/>
  <c r="AO68" i="1"/>
  <c r="AJ68" i="1"/>
  <c r="P68" i="1"/>
  <c r="M68" i="1"/>
  <c r="AA68" i="1" s="1"/>
  <c r="L68" i="1"/>
  <c r="K68" i="1"/>
  <c r="G68" i="1"/>
  <c r="F68" i="1"/>
  <c r="AR67" i="1"/>
  <c r="AQ67" i="1"/>
  <c r="AP67" i="1"/>
  <c r="AO67" i="1"/>
  <c r="V67" i="1" s="1"/>
  <c r="AJ67" i="1"/>
  <c r="P67" i="1"/>
  <c r="M67" i="1"/>
  <c r="AA67" i="1" s="1"/>
  <c r="L67" i="1"/>
  <c r="K67" i="1"/>
  <c r="G67" i="1"/>
  <c r="F67" i="1"/>
  <c r="AR66" i="1"/>
  <c r="AQ66" i="1"/>
  <c r="AP66" i="1"/>
  <c r="AO66" i="1"/>
  <c r="U66" i="1" s="1"/>
  <c r="AJ66" i="1"/>
  <c r="P66" i="1"/>
  <c r="M66" i="1"/>
  <c r="AA66" i="1" s="1"/>
  <c r="L66" i="1"/>
  <c r="K66" i="1"/>
  <c r="G66" i="1"/>
  <c r="F66" i="1"/>
  <c r="AR65" i="1"/>
  <c r="AQ65" i="1"/>
  <c r="AP65" i="1"/>
  <c r="AO65" i="1"/>
  <c r="U65" i="1" s="1"/>
  <c r="AJ65" i="1"/>
  <c r="P65" i="1"/>
  <c r="M65" i="1"/>
  <c r="AA65" i="1" s="1"/>
  <c r="L65" i="1"/>
  <c r="K65" i="1"/>
  <c r="G65" i="1"/>
  <c r="F65" i="1"/>
  <c r="AR64" i="1"/>
  <c r="AQ64" i="1"/>
  <c r="AP64" i="1"/>
  <c r="AO64" i="1"/>
  <c r="AJ64" i="1"/>
  <c r="P64" i="1"/>
  <c r="M64" i="1"/>
  <c r="AA64" i="1" s="1"/>
  <c r="L64" i="1"/>
  <c r="K64" i="1"/>
  <c r="G64" i="1"/>
  <c r="F64" i="1"/>
  <c r="AR63" i="1"/>
  <c r="AQ63" i="1"/>
  <c r="AP63" i="1"/>
  <c r="AO63" i="1"/>
  <c r="V63" i="1" s="1"/>
  <c r="AJ63" i="1"/>
  <c r="P63" i="1"/>
  <c r="M63" i="1"/>
  <c r="AA63" i="1" s="1"/>
  <c r="L63" i="1"/>
  <c r="K63" i="1"/>
  <c r="G63" i="1"/>
  <c r="F63" i="1"/>
  <c r="AR62" i="1"/>
  <c r="AQ62" i="1"/>
  <c r="AP62" i="1"/>
  <c r="AO62" i="1"/>
  <c r="V62" i="1" s="1"/>
  <c r="AJ62" i="1"/>
  <c r="P62" i="1"/>
  <c r="M62" i="1"/>
  <c r="AA62" i="1" s="1"/>
  <c r="L62" i="1"/>
  <c r="K62" i="1"/>
  <c r="G62" i="1"/>
  <c r="F62" i="1"/>
  <c r="AR61" i="1"/>
  <c r="AQ61" i="1"/>
  <c r="AP61" i="1"/>
  <c r="AO61" i="1"/>
  <c r="V61" i="1" s="1"/>
  <c r="AJ61" i="1"/>
  <c r="P61" i="1"/>
  <c r="M61" i="1"/>
  <c r="AA61" i="1" s="1"/>
  <c r="L61" i="1"/>
  <c r="K61" i="1"/>
  <c r="G61" i="1"/>
  <c r="F61" i="1"/>
  <c r="AR60" i="1"/>
  <c r="AQ60" i="1"/>
  <c r="AP60" i="1"/>
  <c r="AO60" i="1"/>
  <c r="U60" i="1" s="1"/>
  <c r="AJ60" i="1"/>
  <c r="P60" i="1"/>
  <c r="M60" i="1"/>
  <c r="AA60" i="1" s="1"/>
  <c r="L60" i="1"/>
  <c r="K60" i="1"/>
  <c r="G60" i="1"/>
  <c r="F60" i="1"/>
  <c r="AR59" i="1"/>
  <c r="AQ59" i="1"/>
  <c r="AP59" i="1"/>
  <c r="AO59" i="1"/>
  <c r="AJ59" i="1"/>
  <c r="P59" i="1"/>
  <c r="M59" i="1"/>
  <c r="AA59" i="1" s="1"/>
  <c r="L59" i="1"/>
  <c r="K59" i="1"/>
  <c r="G59" i="1"/>
  <c r="F59" i="1"/>
  <c r="AR58" i="1"/>
  <c r="AQ58" i="1"/>
  <c r="AP58" i="1"/>
  <c r="AO58" i="1"/>
  <c r="AJ58" i="1"/>
  <c r="P58" i="1"/>
  <c r="M58" i="1"/>
  <c r="AA58" i="1" s="1"/>
  <c r="L58" i="1"/>
  <c r="K58" i="1"/>
  <c r="G58" i="1"/>
  <c r="F58" i="1"/>
  <c r="AR57" i="1"/>
  <c r="AQ57" i="1"/>
  <c r="AP57" i="1"/>
  <c r="AO57" i="1"/>
  <c r="U57" i="1" s="1"/>
  <c r="AJ57" i="1"/>
  <c r="P57" i="1"/>
  <c r="M57" i="1"/>
  <c r="AA57" i="1" s="1"/>
  <c r="L57" i="1"/>
  <c r="K57" i="1"/>
  <c r="G57" i="1"/>
  <c r="F57" i="1"/>
  <c r="AR56" i="1"/>
  <c r="AQ56" i="1"/>
  <c r="AP56" i="1"/>
  <c r="AO56" i="1"/>
  <c r="V56" i="1" s="1"/>
  <c r="AJ56" i="1"/>
  <c r="P56" i="1"/>
  <c r="M56" i="1"/>
  <c r="AA56" i="1" s="1"/>
  <c r="L56" i="1"/>
  <c r="K56" i="1"/>
  <c r="G56" i="1"/>
  <c r="F56" i="1"/>
  <c r="AR55" i="1"/>
  <c r="AQ55" i="1"/>
  <c r="AP55" i="1"/>
  <c r="AO55" i="1"/>
  <c r="U55" i="1" s="1"/>
  <c r="AJ55" i="1"/>
  <c r="P55" i="1"/>
  <c r="M55" i="1"/>
  <c r="AA55" i="1" s="1"/>
  <c r="L55" i="1"/>
  <c r="K55" i="1"/>
  <c r="G55" i="1"/>
  <c r="F55" i="1"/>
  <c r="AR54" i="1"/>
  <c r="AQ54" i="1"/>
  <c r="AP54" i="1"/>
  <c r="AO54" i="1"/>
  <c r="U54" i="1" s="1"/>
  <c r="AJ54" i="1"/>
  <c r="P54" i="1"/>
  <c r="M54" i="1"/>
  <c r="AA54" i="1" s="1"/>
  <c r="L54" i="1"/>
  <c r="K54" i="1"/>
  <c r="G54" i="1"/>
  <c r="F54" i="1"/>
  <c r="AR53" i="1"/>
  <c r="AQ53" i="1"/>
  <c r="AP53" i="1"/>
  <c r="AO53" i="1"/>
  <c r="AJ53" i="1"/>
  <c r="P53" i="1"/>
  <c r="M53" i="1"/>
  <c r="AA53" i="1" s="1"/>
  <c r="L53" i="1"/>
  <c r="K53" i="1"/>
  <c r="G53" i="1"/>
  <c r="F53" i="1"/>
  <c r="AR52" i="1"/>
  <c r="AQ52" i="1"/>
  <c r="AP52" i="1"/>
  <c r="AO52" i="1"/>
  <c r="U52" i="1" s="1"/>
  <c r="AJ52" i="1"/>
  <c r="P52" i="1"/>
  <c r="M52" i="1"/>
  <c r="AA52" i="1" s="1"/>
  <c r="L52" i="1"/>
  <c r="K52" i="1"/>
  <c r="G52" i="1"/>
  <c r="F52" i="1"/>
  <c r="AR51" i="1"/>
  <c r="AQ51" i="1"/>
  <c r="AP51" i="1"/>
  <c r="AO51" i="1"/>
  <c r="AJ51" i="1"/>
  <c r="P51" i="1"/>
  <c r="M51" i="1"/>
  <c r="AA51" i="1" s="1"/>
  <c r="L51" i="1"/>
  <c r="K51" i="1"/>
  <c r="G51" i="1"/>
  <c r="F51" i="1"/>
  <c r="AR50" i="1"/>
  <c r="AQ50" i="1"/>
  <c r="AP50" i="1"/>
  <c r="AO50" i="1"/>
  <c r="AJ50" i="1"/>
  <c r="P50" i="1"/>
  <c r="M50" i="1"/>
  <c r="AA50" i="1" s="1"/>
  <c r="L50" i="1"/>
  <c r="K50" i="1"/>
  <c r="G50" i="1"/>
  <c r="F50" i="1"/>
  <c r="AR49" i="1"/>
  <c r="AQ49" i="1"/>
  <c r="AP49" i="1"/>
  <c r="AO49" i="1"/>
  <c r="AJ49" i="1"/>
  <c r="P49" i="1"/>
  <c r="M49" i="1"/>
  <c r="AA49" i="1" s="1"/>
  <c r="L49" i="1"/>
  <c r="K49" i="1"/>
  <c r="G49" i="1"/>
  <c r="F49" i="1"/>
  <c r="AR48" i="1"/>
  <c r="AQ48" i="1"/>
  <c r="AP48" i="1"/>
  <c r="AO48" i="1"/>
  <c r="V48" i="1" s="1"/>
  <c r="AJ48" i="1"/>
  <c r="P48" i="1"/>
  <c r="M48" i="1"/>
  <c r="AA48" i="1" s="1"/>
  <c r="L48" i="1"/>
  <c r="K48" i="1"/>
  <c r="G48" i="1"/>
  <c r="F48" i="1"/>
  <c r="AR47" i="1"/>
  <c r="AQ47" i="1"/>
  <c r="AP47" i="1"/>
  <c r="AO47" i="1"/>
  <c r="V47" i="1" s="1"/>
  <c r="AJ47" i="1"/>
  <c r="P47" i="1"/>
  <c r="M47" i="1"/>
  <c r="AA47" i="1" s="1"/>
  <c r="L47" i="1"/>
  <c r="K47" i="1"/>
  <c r="G47" i="1"/>
  <c r="F47" i="1"/>
  <c r="AR46" i="1"/>
  <c r="AQ46" i="1"/>
  <c r="AP46" i="1"/>
  <c r="AO46" i="1"/>
  <c r="AJ46" i="1"/>
  <c r="P46" i="1"/>
  <c r="M46" i="1"/>
  <c r="AA46" i="1" s="1"/>
  <c r="L46" i="1"/>
  <c r="K46" i="1"/>
  <c r="G46" i="1"/>
  <c r="F46" i="1"/>
  <c r="AR45" i="1"/>
  <c r="AQ45" i="1"/>
  <c r="AP45" i="1"/>
  <c r="AO45" i="1"/>
  <c r="AJ45" i="1"/>
  <c r="P45" i="1"/>
  <c r="M45" i="1"/>
  <c r="AA45" i="1" s="1"/>
  <c r="L45" i="1"/>
  <c r="K45" i="1"/>
  <c r="G45" i="1"/>
  <c r="F45" i="1"/>
  <c r="AR44" i="1"/>
  <c r="AQ44" i="1"/>
  <c r="AP44" i="1"/>
  <c r="AO44" i="1"/>
  <c r="U44" i="1" s="1"/>
  <c r="AJ44" i="1"/>
  <c r="P44" i="1"/>
  <c r="M44" i="1"/>
  <c r="AA44" i="1" s="1"/>
  <c r="L44" i="1"/>
  <c r="K44" i="1"/>
  <c r="G44" i="1"/>
  <c r="F44" i="1"/>
  <c r="AR43" i="1"/>
  <c r="AQ43" i="1"/>
  <c r="AP43" i="1"/>
  <c r="AO43" i="1"/>
  <c r="AJ43" i="1"/>
  <c r="P43" i="1"/>
  <c r="M43" i="1"/>
  <c r="AA43" i="1" s="1"/>
  <c r="L43" i="1"/>
  <c r="K43" i="1"/>
  <c r="G43" i="1"/>
  <c r="F43" i="1"/>
  <c r="AR42" i="1"/>
  <c r="AQ42" i="1"/>
  <c r="AP42" i="1"/>
  <c r="AO42" i="1"/>
  <c r="AJ42" i="1"/>
  <c r="P42" i="1"/>
  <c r="M42" i="1"/>
  <c r="AA42" i="1" s="1"/>
  <c r="L42" i="1"/>
  <c r="K42" i="1"/>
  <c r="G42" i="1"/>
  <c r="F42" i="1"/>
  <c r="AR41" i="1"/>
  <c r="AQ41" i="1"/>
  <c r="AP41" i="1"/>
  <c r="AO41" i="1"/>
  <c r="AJ41" i="1"/>
  <c r="P41" i="1"/>
  <c r="M41" i="1"/>
  <c r="AA41" i="1" s="1"/>
  <c r="L41" i="1"/>
  <c r="K41" i="1"/>
  <c r="G41" i="1"/>
  <c r="F41" i="1"/>
  <c r="AR40" i="1"/>
  <c r="AQ40" i="1"/>
  <c r="AP40" i="1"/>
  <c r="AO40" i="1"/>
  <c r="AJ40" i="1"/>
  <c r="P40" i="1"/>
  <c r="M40" i="1"/>
  <c r="AA40" i="1" s="1"/>
  <c r="L40" i="1"/>
  <c r="K40" i="1"/>
  <c r="G40" i="1"/>
  <c r="F40" i="1"/>
  <c r="AR39" i="1"/>
  <c r="AQ39" i="1"/>
  <c r="AP39" i="1"/>
  <c r="AO39" i="1"/>
  <c r="U39" i="1" s="1"/>
  <c r="AJ39" i="1"/>
  <c r="P39" i="1"/>
  <c r="M39" i="1"/>
  <c r="AA39" i="1" s="1"/>
  <c r="L39" i="1"/>
  <c r="K39" i="1"/>
  <c r="G39" i="1"/>
  <c r="F39" i="1"/>
  <c r="AR38" i="1"/>
  <c r="AQ38" i="1"/>
  <c r="AP38" i="1"/>
  <c r="AO38" i="1"/>
  <c r="V38" i="1" s="1"/>
  <c r="AJ38" i="1"/>
  <c r="P38" i="1"/>
  <c r="M38" i="1"/>
  <c r="L38" i="1"/>
  <c r="K38" i="1"/>
  <c r="G38" i="1"/>
  <c r="F38" i="1"/>
  <c r="AR37" i="1"/>
  <c r="AQ37" i="1"/>
  <c r="AP37" i="1"/>
  <c r="AO37" i="1"/>
  <c r="U37" i="1" s="1"/>
  <c r="AJ37" i="1"/>
  <c r="P37" i="1"/>
  <c r="M37" i="1"/>
  <c r="AA37" i="1" s="1"/>
  <c r="L37" i="1"/>
  <c r="K37" i="1"/>
  <c r="G37" i="1"/>
  <c r="F37" i="1"/>
  <c r="AR36" i="1"/>
  <c r="AQ36" i="1"/>
  <c r="AP36" i="1"/>
  <c r="AO36" i="1"/>
  <c r="AJ36" i="1"/>
  <c r="P36" i="1"/>
  <c r="M36" i="1"/>
  <c r="AA36" i="1" s="1"/>
  <c r="L36" i="1"/>
  <c r="K36" i="1"/>
  <c r="G36" i="1"/>
  <c r="F36" i="1"/>
  <c r="AR35" i="1"/>
  <c r="AQ35" i="1"/>
  <c r="AP35" i="1"/>
  <c r="AO35" i="1"/>
  <c r="U35" i="1" s="1"/>
  <c r="AJ35" i="1"/>
  <c r="P35" i="1"/>
  <c r="M35" i="1"/>
  <c r="AA35" i="1" s="1"/>
  <c r="L35" i="1"/>
  <c r="K35" i="1"/>
  <c r="G35" i="1"/>
  <c r="F35" i="1"/>
  <c r="AR34" i="1"/>
  <c r="AQ34" i="1"/>
  <c r="AP34" i="1"/>
  <c r="AO34" i="1"/>
  <c r="V34" i="1" s="1"/>
  <c r="AJ34" i="1"/>
  <c r="P34" i="1"/>
  <c r="M34" i="1"/>
  <c r="AA34" i="1" s="1"/>
  <c r="L34" i="1"/>
  <c r="K34" i="1"/>
  <c r="G34" i="1"/>
  <c r="F34" i="1"/>
  <c r="AR33" i="1"/>
  <c r="AQ33" i="1"/>
  <c r="AP33" i="1"/>
  <c r="AO33" i="1"/>
  <c r="V33" i="1" s="1"/>
  <c r="AJ33" i="1"/>
  <c r="P33" i="1"/>
  <c r="M33" i="1"/>
  <c r="AA33" i="1" s="1"/>
  <c r="L33" i="1"/>
  <c r="K33" i="1"/>
  <c r="G33" i="1"/>
  <c r="F33" i="1"/>
  <c r="AR32" i="1"/>
  <c r="AQ32" i="1"/>
  <c r="AP32" i="1"/>
  <c r="AO32" i="1"/>
  <c r="U32" i="1" s="1"/>
  <c r="AJ32" i="1"/>
  <c r="P32" i="1"/>
  <c r="M32" i="1"/>
  <c r="AA32" i="1" s="1"/>
  <c r="L32" i="1"/>
  <c r="K32" i="1"/>
  <c r="G32" i="1"/>
  <c r="F32" i="1"/>
  <c r="AR31" i="1"/>
  <c r="AQ31" i="1"/>
  <c r="AP31" i="1"/>
  <c r="AO31" i="1"/>
  <c r="AJ31" i="1"/>
  <c r="P31" i="1"/>
  <c r="M31" i="1"/>
  <c r="AA31" i="1" s="1"/>
  <c r="L31" i="1"/>
  <c r="K31" i="1"/>
  <c r="G31" i="1"/>
  <c r="F31" i="1"/>
  <c r="AR30" i="1"/>
  <c r="AQ30" i="1"/>
  <c r="AP30" i="1"/>
  <c r="AO30" i="1"/>
  <c r="V30" i="1" s="1"/>
  <c r="AJ30" i="1"/>
  <c r="P30" i="1"/>
  <c r="M30" i="1"/>
  <c r="AA30" i="1" s="1"/>
  <c r="L30" i="1"/>
  <c r="K30" i="1"/>
  <c r="G30" i="1"/>
  <c r="F30" i="1"/>
  <c r="AR29" i="1"/>
  <c r="AQ29" i="1"/>
  <c r="AP29" i="1"/>
  <c r="AO29" i="1"/>
  <c r="V29" i="1" s="1"/>
  <c r="AJ29" i="1"/>
  <c r="P29" i="1"/>
  <c r="M29" i="1"/>
  <c r="AA29" i="1" s="1"/>
  <c r="L29" i="1"/>
  <c r="K29" i="1"/>
  <c r="G29" i="1"/>
  <c r="F29" i="1"/>
  <c r="AR28" i="1"/>
  <c r="AQ28" i="1"/>
  <c r="AP28" i="1"/>
  <c r="AO28" i="1"/>
  <c r="U28" i="1" s="1"/>
  <c r="AJ28" i="1"/>
  <c r="P28" i="1"/>
  <c r="M28" i="1"/>
  <c r="AA28" i="1" s="1"/>
  <c r="L28" i="1"/>
  <c r="K28" i="1"/>
  <c r="G28" i="1"/>
  <c r="F28" i="1"/>
  <c r="AR27" i="1"/>
  <c r="AQ27" i="1"/>
  <c r="AP27" i="1"/>
  <c r="AO27" i="1"/>
  <c r="AJ27" i="1"/>
  <c r="P27" i="1"/>
  <c r="M27" i="1"/>
  <c r="AA27" i="1" s="1"/>
  <c r="L27" i="1"/>
  <c r="K27" i="1"/>
  <c r="G27" i="1"/>
  <c r="F27" i="1"/>
  <c r="AR26" i="1"/>
  <c r="AQ26" i="1"/>
  <c r="AP26" i="1"/>
  <c r="AO26" i="1"/>
  <c r="V26" i="1" s="1"/>
  <c r="AJ26" i="1"/>
  <c r="P26" i="1"/>
  <c r="M26" i="1"/>
  <c r="AA26" i="1" s="1"/>
  <c r="L26" i="1"/>
  <c r="K26" i="1"/>
  <c r="G26" i="1"/>
  <c r="F26" i="1"/>
  <c r="AR25" i="1"/>
  <c r="AQ25" i="1"/>
  <c r="AP25" i="1"/>
  <c r="AO25" i="1"/>
  <c r="AJ25" i="1"/>
  <c r="P25" i="1"/>
  <c r="M25" i="1"/>
  <c r="AA25" i="1" s="1"/>
  <c r="L25" i="1"/>
  <c r="K25" i="1"/>
  <c r="G25" i="1"/>
  <c r="F25" i="1"/>
  <c r="AR24" i="1"/>
  <c r="AQ24" i="1"/>
  <c r="AP24" i="1"/>
  <c r="AO24" i="1"/>
  <c r="V24" i="1" s="1"/>
  <c r="AJ24" i="1"/>
  <c r="P24" i="1"/>
  <c r="M24" i="1"/>
  <c r="AA24" i="1" s="1"/>
  <c r="L24" i="1"/>
  <c r="K24" i="1"/>
  <c r="G24" i="1"/>
  <c r="F24" i="1"/>
  <c r="AR23" i="1"/>
  <c r="AQ23" i="1"/>
  <c r="AP23" i="1"/>
  <c r="AO23" i="1"/>
  <c r="V23" i="1" s="1"/>
  <c r="AJ23" i="1"/>
  <c r="P23" i="1"/>
  <c r="M23" i="1"/>
  <c r="AA23" i="1" s="1"/>
  <c r="L23" i="1"/>
  <c r="K23" i="1"/>
  <c r="G23" i="1"/>
  <c r="F23" i="1"/>
  <c r="AR22" i="1"/>
  <c r="AQ22" i="1"/>
  <c r="AP22" i="1"/>
  <c r="AO22" i="1"/>
  <c r="AJ22" i="1"/>
  <c r="P22" i="1"/>
  <c r="M22" i="1"/>
  <c r="AA22" i="1" s="1"/>
  <c r="L22" i="1"/>
  <c r="K22" i="1"/>
  <c r="G22" i="1"/>
  <c r="F22" i="1"/>
  <c r="AR21" i="1"/>
  <c r="AQ21" i="1"/>
  <c r="AP21" i="1"/>
  <c r="AO21" i="1"/>
  <c r="U21" i="1" s="1"/>
  <c r="AJ21" i="1"/>
  <c r="P21" i="1"/>
  <c r="M21" i="1"/>
  <c r="AA21" i="1" s="1"/>
  <c r="L21" i="1"/>
  <c r="K21" i="1"/>
  <c r="G21" i="1"/>
  <c r="F21" i="1"/>
  <c r="AR20" i="1"/>
  <c r="AQ20" i="1"/>
  <c r="AP20" i="1"/>
  <c r="AO20" i="1"/>
  <c r="U20" i="1" s="1"/>
  <c r="AJ20" i="1"/>
  <c r="P20" i="1"/>
  <c r="M20" i="1"/>
  <c r="AA20" i="1" s="1"/>
  <c r="L20" i="1"/>
  <c r="K20" i="1"/>
  <c r="G20" i="1"/>
  <c r="F20" i="1"/>
  <c r="AR19" i="1"/>
  <c r="AQ19" i="1"/>
  <c r="AP19" i="1"/>
  <c r="AO19" i="1"/>
  <c r="AJ19" i="1"/>
  <c r="P19" i="1"/>
  <c r="M19" i="1"/>
  <c r="AA19" i="1" s="1"/>
  <c r="L19" i="1"/>
  <c r="K19" i="1"/>
  <c r="G19" i="1"/>
  <c r="F19" i="1"/>
  <c r="AR18" i="1"/>
  <c r="AQ18" i="1"/>
  <c r="AP18" i="1"/>
  <c r="AO18" i="1"/>
  <c r="V18" i="1" s="1"/>
  <c r="AJ18" i="1"/>
  <c r="P18" i="1"/>
  <c r="M18" i="1"/>
  <c r="AA18" i="1" s="1"/>
  <c r="L18" i="1"/>
  <c r="K18" i="1"/>
  <c r="G18" i="1"/>
  <c r="F18" i="1"/>
  <c r="AR17" i="1"/>
  <c r="AQ17" i="1"/>
  <c r="AP17" i="1"/>
  <c r="AO17" i="1"/>
  <c r="U17" i="1" s="1"/>
  <c r="AJ17" i="1"/>
  <c r="P17" i="1"/>
  <c r="M17" i="1"/>
  <c r="AA17" i="1" s="1"/>
  <c r="L17" i="1"/>
  <c r="K17" i="1"/>
  <c r="G17" i="1"/>
  <c r="F17" i="1"/>
  <c r="AR16" i="1"/>
  <c r="AQ16" i="1"/>
  <c r="AP16" i="1"/>
  <c r="AO16" i="1"/>
  <c r="AJ16" i="1"/>
  <c r="P16" i="1"/>
  <c r="M16" i="1"/>
  <c r="AA16" i="1" s="1"/>
  <c r="L16" i="1"/>
  <c r="K16" i="1"/>
  <c r="G16" i="1"/>
  <c r="F16" i="1"/>
  <c r="AR15" i="1"/>
  <c r="AQ15" i="1"/>
  <c r="AP15" i="1"/>
  <c r="AO15" i="1"/>
  <c r="V15" i="1" s="1"/>
  <c r="AJ15" i="1"/>
  <c r="P15" i="1"/>
  <c r="M15" i="1"/>
  <c r="AA15" i="1" s="1"/>
  <c r="L15" i="1"/>
  <c r="K15" i="1"/>
  <c r="G15" i="1"/>
  <c r="F15" i="1"/>
  <c r="AR14" i="1"/>
  <c r="AQ14" i="1"/>
  <c r="AP14" i="1"/>
  <c r="AO14" i="1"/>
  <c r="V14" i="1" s="1"/>
  <c r="AJ14" i="1"/>
  <c r="P14" i="1"/>
  <c r="M14" i="1"/>
  <c r="AA14" i="1" s="1"/>
  <c r="L14" i="1"/>
  <c r="K14" i="1"/>
  <c r="G14" i="1"/>
  <c r="F14" i="1"/>
  <c r="AR13" i="1"/>
  <c r="AQ13" i="1"/>
  <c r="AP13" i="1"/>
  <c r="AO13" i="1"/>
  <c r="AJ13" i="1"/>
  <c r="P13" i="1"/>
  <c r="M13" i="1"/>
  <c r="AA13" i="1" s="1"/>
  <c r="L13" i="1"/>
  <c r="K13" i="1"/>
  <c r="G13" i="1"/>
  <c r="F13" i="1"/>
  <c r="AR12" i="1"/>
  <c r="AQ12" i="1"/>
  <c r="AP12" i="1"/>
  <c r="AO12" i="1"/>
  <c r="U12" i="1" s="1"/>
  <c r="AJ12" i="1"/>
  <c r="P12" i="1"/>
  <c r="M12" i="1"/>
  <c r="AA12" i="1" s="1"/>
  <c r="L12" i="1"/>
  <c r="K12" i="1"/>
  <c r="G12" i="1"/>
  <c r="F12" i="1"/>
  <c r="AR11" i="1"/>
  <c r="AQ11" i="1"/>
  <c r="AP11" i="1"/>
  <c r="AO11" i="1"/>
  <c r="AJ11" i="1"/>
  <c r="P11" i="1"/>
  <c r="M11" i="1"/>
  <c r="AA11" i="1" s="1"/>
  <c r="L11" i="1"/>
  <c r="K11" i="1"/>
  <c r="G11" i="1"/>
  <c r="F11" i="1"/>
  <c r="AR10" i="1"/>
  <c r="AQ10" i="1"/>
  <c r="AP10" i="1"/>
  <c r="AO10" i="1"/>
  <c r="U10" i="1" s="1"/>
  <c r="AJ10" i="1"/>
  <c r="P10" i="1"/>
  <c r="M10" i="1"/>
  <c r="AA10" i="1" s="1"/>
  <c r="L10" i="1"/>
  <c r="K10" i="1"/>
  <c r="G10" i="1"/>
  <c r="F10" i="1"/>
  <c r="AR9" i="1"/>
  <c r="AQ9" i="1"/>
  <c r="AP9" i="1"/>
  <c r="AO9" i="1"/>
  <c r="V9" i="1" s="1"/>
  <c r="AJ9" i="1"/>
  <c r="P9" i="1"/>
  <c r="M9" i="1"/>
  <c r="AA9" i="1" s="1"/>
  <c r="L9" i="1"/>
  <c r="K9" i="1"/>
  <c r="G9" i="1"/>
  <c r="F9" i="1"/>
  <c r="AP8" i="1"/>
  <c r="AO8" i="1" s="1"/>
  <c r="AJ8" i="1"/>
  <c r="P8" i="1"/>
  <c r="AA8" i="1"/>
  <c r="F8" i="1"/>
  <c r="AP7" i="1"/>
  <c r="AO7" i="1" s="1"/>
  <c r="AJ7" i="1"/>
  <c r="P7" i="1"/>
  <c r="M7" i="1"/>
  <c r="AA7" i="1" s="1"/>
  <c r="K7" i="1"/>
  <c r="F7" i="1"/>
  <c r="AP6" i="1"/>
  <c r="AJ6" i="1"/>
  <c r="P6" i="1"/>
  <c r="M6" i="1"/>
  <c r="AA6" i="1" s="1"/>
  <c r="F6" i="1"/>
  <c r="AP5" i="1"/>
  <c r="AO5" i="1" s="1"/>
  <c r="AJ5" i="1"/>
  <c r="P5" i="1"/>
  <c r="M5" i="1"/>
  <c r="AA5" i="1" s="1"/>
  <c r="F5" i="1"/>
  <c r="AP4" i="1"/>
  <c r="AO4" i="1" s="1"/>
  <c r="AJ4" i="1"/>
  <c r="P4" i="1"/>
  <c r="M4" i="1"/>
  <c r="AA4" i="1" s="1"/>
  <c r="K4" i="1"/>
  <c r="F4" i="1"/>
  <c r="AP3" i="1"/>
  <c r="AO3" i="1" s="1"/>
  <c r="AJ3" i="1"/>
  <c r="P3" i="1"/>
  <c r="M3" i="1"/>
  <c r="AA3" i="1" s="1"/>
  <c r="F3" i="1"/>
  <c r="AP2" i="1"/>
  <c r="AO2" i="1" s="1"/>
  <c r="AJ2" i="1"/>
  <c r="P2" i="1"/>
  <c r="M2" i="1"/>
  <c r="AA2" i="1" s="1"/>
  <c r="F2" i="1"/>
  <c r="Z8" i="2" l="1"/>
  <c r="Q8" i="2"/>
  <c r="S8" i="2" s="1"/>
  <c r="W8" i="2" s="1"/>
  <c r="P8" i="2"/>
  <c r="Z7" i="2"/>
  <c r="Q7" i="2"/>
  <c r="S7" i="2" s="1"/>
  <c r="W7" i="2" s="1"/>
  <c r="T7" i="2"/>
  <c r="U7" i="2" s="1"/>
  <c r="Z6" i="2"/>
  <c r="AO6" i="1"/>
  <c r="Q6" i="2"/>
  <c r="S6" i="2" s="1"/>
  <c r="W6" i="2" s="1"/>
  <c r="P6" i="2"/>
  <c r="Q5" i="2"/>
  <c r="S5" i="2" s="1"/>
  <c r="W5" i="2" s="1"/>
  <c r="Z5" i="2"/>
  <c r="T5" i="2"/>
  <c r="U5" i="2" s="1"/>
  <c r="Z4" i="2"/>
  <c r="Q4" i="2"/>
  <c r="S4" i="2" s="1"/>
  <c r="W4" i="2" s="1"/>
  <c r="P4" i="2"/>
  <c r="Z3" i="2"/>
  <c r="Q3" i="2"/>
  <c r="S3" i="2" s="1"/>
  <c r="W3" i="2" s="1"/>
  <c r="T3" i="2"/>
  <c r="V3" i="2" s="1"/>
  <c r="Z2" i="2"/>
  <c r="Q2" i="2"/>
  <c r="S2" i="2" s="1"/>
  <c r="P2" i="2"/>
  <c r="X3" i="1"/>
  <c r="V152" i="2"/>
  <c r="X82" i="1"/>
  <c r="AE82" i="1" s="1"/>
  <c r="X2" i="1"/>
  <c r="AE2" i="1" s="1"/>
  <c r="V75" i="1"/>
  <c r="W75" i="1" s="1"/>
  <c r="U62" i="1"/>
  <c r="W62" i="1" s="1"/>
  <c r="V35" i="1"/>
  <c r="W35" i="1" s="1"/>
  <c r="X61" i="1"/>
  <c r="Y61" i="1" s="1"/>
  <c r="U94" i="2"/>
  <c r="V37" i="1"/>
  <c r="W37" i="1" s="1"/>
  <c r="U30" i="1"/>
  <c r="W30" i="1" s="1"/>
  <c r="V54" i="1"/>
  <c r="W54" i="1" s="1"/>
  <c r="U23" i="1"/>
  <c r="W23" i="1" s="1"/>
  <c r="V57" i="1"/>
  <c r="W57" i="1" s="1"/>
  <c r="V52" i="1"/>
  <c r="W52" i="1" s="1"/>
  <c r="X58" i="1"/>
  <c r="Y58" i="1" s="1"/>
  <c r="X24" i="1"/>
  <c r="Y24" i="1" s="1"/>
  <c r="U47" i="1"/>
  <c r="W47" i="1" s="1"/>
  <c r="X49" i="1"/>
  <c r="Y49" i="1" s="1"/>
  <c r="X10" i="1"/>
  <c r="Y10" i="1" s="1"/>
  <c r="V88" i="1"/>
  <c r="W88" i="1" s="1"/>
  <c r="X12" i="1"/>
  <c r="Y12" i="1" s="1"/>
  <c r="X37" i="1"/>
  <c r="AE37" i="1" s="1"/>
  <c r="U56" i="1"/>
  <c r="W56" i="1" s="1"/>
  <c r="U72" i="1"/>
  <c r="W72" i="1" s="1"/>
  <c r="V67" i="2"/>
  <c r="V28" i="1"/>
  <c r="W28" i="1" s="1"/>
  <c r="V12" i="1"/>
  <c r="W12" i="1" s="1"/>
  <c r="V66" i="2"/>
  <c r="U140" i="2"/>
  <c r="V27" i="2"/>
  <c r="V117" i="2"/>
  <c r="U2" i="2"/>
  <c r="V101" i="2"/>
  <c r="U41" i="2"/>
  <c r="U129" i="2"/>
  <c r="X20" i="1"/>
  <c r="Y20" i="1" s="1"/>
  <c r="V39" i="1"/>
  <c r="W39" i="1" s="1"/>
  <c r="U70" i="1"/>
  <c r="W70" i="1" s="1"/>
  <c r="V77" i="1"/>
  <c r="W77" i="1" s="1"/>
  <c r="X47" i="1"/>
  <c r="AE47" i="1" s="1"/>
  <c r="U63" i="1"/>
  <c r="W63" i="1" s="1"/>
  <c r="X74" i="1"/>
  <c r="AE74" i="1" s="1"/>
  <c r="X88" i="1"/>
  <c r="AE88" i="1" s="1"/>
  <c r="X87" i="1"/>
  <c r="AE87" i="1" s="1"/>
  <c r="U69" i="2"/>
  <c r="V145" i="2"/>
  <c r="X62" i="1"/>
  <c r="Y62" i="1" s="1"/>
  <c r="V65" i="1"/>
  <c r="W65" i="1" s="1"/>
  <c r="U64" i="2"/>
  <c r="V55" i="1"/>
  <c r="W55" i="1" s="1"/>
  <c r="X69" i="1"/>
  <c r="Y69" i="1" s="1"/>
  <c r="V80" i="2"/>
  <c r="V42" i="2"/>
  <c r="X65" i="1"/>
  <c r="AE65" i="1" s="1"/>
  <c r="U34" i="1"/>
  <c r="W34" i="1" s="1"/>
  <c r="X48" i="1"/>
  <c r="AE48" i="1" s="1"/>
  <c r="V39" i="2"/>
  <c r="V102" i="2"/>
  <c r="U24" i="2"/>
  <c r="V6" i="2"/>
  <c r="U84" i="2"/>
  <c r="V105" i="2"/>
  <c r="V142" i="2"/>
  <c r="X51" i="1"/>
  <c r="Y51" i="1" s="1"/>
  <c r="U51" i="2"/>
  <c r="U116" i="2"/>
  <c r="U121" i="2"/>
  <c r="U149" i="2"/>
  <c r="X18" i="1"/>
  <c r="Y18" i="1" s="1"/>
  <c r="X81" i="1"/>
  <c r="AE81" i="1" s="1"/>
  <c r="V86" i="2"/>
  <c r="V65" i="2"/>
  <c r="V144" i="2"/>
  <c r="X72" i="1"/>
  <c r="Y72" i="1" s="1"/>
  <c r="V72" i="2"/>
  <c r="X36" i="1"/>
  <c r="AE36" i="1" s="1"/>
  <c r="X43" i="1"/>
  <c r="Y43" i="1" s="1"/>
  <c r="U69" i="1"/>
  <c r="W69" i="1" s="1"/>
  <c r="U62" i="2"/>
  <c r="V132" i="2"/>
  <c r="U56" i="2"/>
  <c r="V119" i="2"/>
  <c r="V125" i="2"/>
  <c r="V146" i="2"/>
  <c r="X19" i="1"/>
  <c r="Y19" i="1" s="1"/>
  <c r="X85" i="1"/>
  <c r="AE85" i="1" s="1"/>
  <c r="X38" i="1"/>
  <c r="AE38" i="1" s="1"/>
  <c r="X45" i="1"/>
  <c r="Y45" i="1" s="1"/>
  <c r="X78" i="1"/>
  <c r="Y78" i="1" s="1"/>
  <c r="U99" i="2"/>
  <c r="X64" i="1"/>
  <c r="AE64" i="1" s="1"/>
  <c r="X80" i="1"/>
  <c r="Y80" i="1" s="1"/>
  <c r="V34" i="2"/>
  <c r="U57" i="2"/>
  <c r="U120" i="2"/>
  <c r="X44" i="1"/>
  <c r="Y44" i="1" s="1"/>
  <c r="U26" i="1"/>
  <c r="W26" i="1" s="1"/>
  <c r="X28" i="1"/>
  <c r="AE28" i="1" s="1"/>
  <c r="X52" i="1"/>
  <c r="V66" i="1"/>
  <c r="W66" i="1" s="1"/>
  <c r="U9" i="1"/>
  <c r="W9" i="1" s="1"/>
  <c r="X76" i="1"/>
  <c r="Y76" i="1" s="1"/>
  <c r="U14" i="1"/>
  <c r="W14" i="1" s="1"/>
  <c r="U33" i="1"/>
  <c r="W33" i="1" s="1"/>
  <c r="X40" i="1"/>
  <c r="Y40" i="1" s="1"/>
  <c r="X75" i="1"/>
  <c r="AE75" i="1" s="1"/>
  <c r="U43" i="2"/>
  <c r="X35" i="1"/>
  <c r="AE35" i="1" s="1"/>
  <c r="X60" i="1"/>
  <c r="Y60" i="1" s="1"/>
  <c r="V61" i="2"/>
  <c r="U25" i="2"/>
  <c r="V25" i="2"/>
  <c r="U81" i="2"/>
  <c r="U15" i="1"/>
  <c r="W15" i="1" s="1"/>
  <c r="V44" i="1"/>
  <c r="W44" i="1" s="1"/>
  <c r="V9" i="2"/>
  <c r="U9" i="2"/>
  <c r="V147" i="2"/>
  <c r="V20" i="1"/>
  <c r="W20" i="1" s="1"/>
  <c r="U76" i="1"/>
  <c r="W76" i="1" s="1"/>
  <c r="U86" i="1"/>
  <c r="W86" i="1" s="1"/>
  <c r="X68" i="1"/>
  <c r="AE68" i="1" s="1"/>
  <c r="X73" i="1"/>
  <c r="Y73" i="1" s="1"/>
  <c r="V17" i="2"/>
  <c r="U17" i="2"/>
  <c r="V127" i="2"/>
  <c r="U134" i="2"/>
  <c r="U87" i="1"/>
  <c r="V87" i="1"/>
  <c r="V96" i="2"/>
  <c r="U96" i="2"/>
  <c r="U84" i="1"/>
  <c r="V84" i="1"/>
  <c r="V71" i="1"/>
  <c r="U71" i="1"/>
  <c r="V4" i="2"/>
  <c r="U22" i="2"/>
  <c r="V6" i="1"/>
  <c r="U6" i="1"/>
  <c r="V22" i="1"/>
  <c r="U22" i="1"/>
  <c r="X46" i="1"/>
  <c r="Y46" i="1" s="1"/>
  <c r="V89" i="2"/>
  <c r="U89" i="2"/>
  <c r="U122" i="2"/>
  <c r="X32" i="1"/>
  <c r="X70" i="1"/>
  <c r="V32" i="1"/>
  <c r="W32" i="1" s="1"/>
  <c r="X66" i="1"/>
  <c r="AE66" i="1" s="1"/>
  <c r="X13" i="1"/>
  <c r="Y13" i="1" s="1"/>
  <c r="U24" i="1"/>
  <c r="W24" i="1" s="1"/>
  <c r="U48" i="1"/>
  <c r="W48" i="1" s="1"/>
  <c r="U49" i="2"/>
  <c r="V31" i="2"/>
  <c r="U31" i="2"/>
  <c r="U141" i="2"/>
  <c r="U29" i="1"/>
  <c r="W29" i="1" s="1"/>
  <c r="X42" i="1"/>
  <c r="AE42" i="1" s="1"/>
  <c r="V124" i="2"/>
  <c r="U124" i="2"/>
  <c r="V36" i="2"/>
  <c r="U36" i="2"/>
  <c r="U25" i="1"/>
  <c r="V25" i="1"/>
  <c r="V46" i="1"/>
  <c r="U46" i="1"/>
  <c r="V114" i="2"/>
  <c r="U106" i="2"/>
  <c r="V106" i="2"/>
  <c r="U18" i="1"/>
  <c r="W18" i="1" s="1"/>
  <c r="V21" i="1"/>
  <c r="W21" i="1" s="1"/>
  <c r="X23" i="1"/>
  <c r="X31" i="1"/>
  <c r="Y31" i="1" s="1"/>
  <c r="U61" i="1"/>
  <c r="W61" i="1" s="1"/>
  <c r="U32" i="2"/>
  <c r="V32" i="2"/>
  <c r="V36" i="1"/>
  <c r="U36" i="1"/>
  <c r="U29" i="2"/>
  <c r="X84" i="1"/>
  <c r="V10" i="1"/>
  <c r="W10" i="1" s="1"/>
  <c r="V13" i="1"/>
  <c r="U13" i="1"/>
  <c r="U44" i="2"/>
  <c r="U107" i="2"/>
  <c r="V107" i="2"/>
  <c r="V16" i="1"/>
  <c r="U16" i="1"/>
  <c r="X21" i="1"/>
  <c r="Y21" i="1" s="1"/>
  <c r="X30" i="1"/>
  <c r="Y30" i="1" s="1"/>
  <c r="X63" i="1"/>
  <c r="AE63" i="1" s="1"/>
  <c r="U139" i="2"/>
  <c r="V91" i="2"/>
  <c r="U91" i="2"/>
  <c r="V103" i="2"/>
  <c r="U103" i="2"/>
  <c r="V19" i="2"/>
  <c r="U19" i="2"/>
  <c r="V76" i="2"/>
  <c r="U76" i="2"/>
  <c r="V12" i="2"/>
  <c r="U83" i="2"/>
  <c r="X86" i="1"/>
  <c r="Y86" i="1" s="1"/>
  <c r="V109" i="2"/>
  <c r="U109" i="2"/>
  <c r="X26" i="1"/>
  <c r="V21" i="2"/>
  <c r="V45" i="2"/>
  <c r="V52" i="2"/>
  <c r="U14" i="2"/>
  <c r="U126" i="2"/>
  <c r="V126" i="2"/>
  <c r="V7" i="2"/>
  <c r="U47" i="2"/>
  <c r="V47" i="2"/>
  <c r="V104" i="2"/>
  <c r="V16" i="2"/>
  <c r="U16" i="2"/>
  <c r="V46" i="2"/>
  <c r="U63" i="2"/>
  <c r="U100" i="2"/>
  <c r="U143" i="2"/>
  <c r="V26" i="2"/>
  <c r="U60" i="2"/>
  <c r="U123" i="2"/>
  <c r="V85" i="2"/>
  <c r="U23" i="2"/>
  <c r="U40" i="2"/>
  <c r="U82" i="2"/>
  <c r="U97" i="2"/>
  <c r="U20" i="2"/>
  <c r="V92" i="2"/>
  <c r="U135" i="2"/>
  <c r="X56" i="1"/>
  <c r="AE56" i="1" s="1"/>
  <c r="X9" i="1"/>
  <c r="Y9" i="1" s="1"/>
  <c r="V87" i="2"/>
  <c r="V112" i="2"/>
  <c r="V3" i="1"/>
  <c r="U3" i="1"/>
  <c r="V58" i="1"/>
  <c r="U58" i="1"/>
  <c r="U67" i="1"/>
  <c r="W67" i="1" s="1"/>
  <c r="U53" i="1"/>
  <c r="V53" i="1"/>
  <c r="V11" i="1"/>
  <c r="U11" i="1"/>
  <c r="V50" i="1"/>
  <c r="U50" i="1"/>
  <c r="V49" i="1"/>
  <c r="U49" i="1"/>
  <c r="V64" i="1"/>
  <c r="U64" i="1"/>
  <c r="X33" i="1"/>
  <c r="V45" i="1"/>
  <c r="U45" i="1"/>
  <c r="V2" i="1"/>
  <c r="U2" i="1"/>
  <c r="V74" i="1"/>
  <c r="U74" i="1"/>
  <c r="X71" i="1"/>
  <c r="V80" i="1"/>
  <c r="W80" i="1" s="1"/>
  <c r="V83" i="1"/>
  <c r="U83" i="1"/>
  <c r="U7" i="1"/>
  <c r="V7" i="1"/>
  <c r="V17" i="1"/>
  <c r="W17" i="1" s="1"/>
  <c r="V111" i="2"/>
  <c r="U111" i="2"/>
  <c r="V71" i="2"/>
  <c r="U71" i="2"/>
  <c r="X27" i="1"/>
  <c r="V60" i="1"/>
  <c r="W60" i="1" s="1"/>
  <c r="U38" i="1"/>
  <c r="W38" i="1" s="1"/>
  <c r="U31" i="1"/>
  <c r="V31" i="1"/>
  <c r="X50" i="1"/>
  <c r="B15" i="5"/>
  <c r="AA38" i="1"/>
  <c r="U40" i="1"/>
  <c r="V40" i="1"/>
  <c r="V73" i="1"/>
  <c r="U73" i="1"/>
  <c r="V5" i="1"/>
  <c r="U5" i="1"/>
  <c r="V79" i="1"/>
  <c r="U79" i="1"/>
  <c r="U85" i="1"/>
  <c r="W85" i="1" s="1"/>
  <c r="X11" i="1"/>
  <c r="V19" i="1"/>
  <c r="U19" i="1"/>
  <c r="V27" i="1"/>
  <c r="U27" i="1"/>
  <c r="X29" i="1"/>
  <c r="V51" i="1"/>
  <c r="U51" i="1"/>
  <c r="V42" i="1"/>
  <c r="U42" i="1"/>
  <c r="U4" i="1"/>
  <c r="V4" i="1"/>
  <c r="X15" i="1"/>
  <c r="U68" i="1"/>
  <c r="V68" i="1"/>
  <c r="X77" i="1"/>
  <c r="X53" i="1"/>
  <c r="X67" i="1"/>
  <c r="X25" i="1"/>
  <c r="V59" i="1"/>
  <c r="U59" i="1"/>
  <c r="V81" i="1"/>
  <c r="U81" i="1"/>
  <c r="X83" i="1"/>
  <c r="V154" i="2"/>
  <c r="U154" i="2"/>
  <c r="V78" i="1"/>
  <c r="W78" i="1" s="1"/>
  <c r="V8" i="1"/>
  <c r="U8" i="1"/>
  <c r="X17" i="1"/>
  <c r="X57" i="1"/>
  <c r="V82" i="1"/>
  <c r="U82" i="1"/>
  <c r="V93" i="2"/>
  <c r="U93" i="2"/>
  <c r="X34" i="1"/>
  <c r="X22" i="1"/>
  <c r="X41" i="1"/>
  <c r="X16" i="1"/>
  <c r="V43" i="1"/>
  <c r="U43" i="1"/>
  <c r="X59" i="1"/>
  <c r="V41" i="1"/>
  <c r="U41" i="1"/>
  <c r="X55" i="1"/>
  <c r="B2" i="4"/>
  <c r="X39" i="1"/>
  <c r="X79" i="1"/>
  <c r="X14" i="1"/>
  <c r="X54" i="1"/>
  <c r="V73" i="2"/>
  <c r="U73" i="2"/>
  <c r="V53" i="2"/>
  <c r="U53" i="2"/>
  <c r="V68" i="2"/>
  <c r="U68" i="2"/>
  <c r="V28" i="2"/>
  <c r="U28" i="2"/>
  <c r="V48" i="2"/>
  <c r="U48" i="2"/>
  <c r="U37" i="2"/>
  <c r="U157" i="2"/>
  <c r="U137" i="2"/>
  <c r="V88" i="2"/>
  <c r="U88" i="2"/>
  <c r="V113" i="2"/>
  <c r="U113" i="2"/>
  <c r="U131" i="2"/>
  <c r="U136" i="2"/>
  <c r="U11" i="2"/>
  <c r="U77" i="2"/>
  <c r="V108" i="2"/>
  <c r="U108" i="2"/>
  <c r="U156" i="2"/>
  <c r="U54" i="2"/>
  <c r="U59" i="2"/>
  <c r="V133" i="2"/>
  <c r="U133" i="2"/>
  <c r="U151" i="2"/>
  <c r="V13" i="2"/>
  <c r="U13" i="2"/>
  <c r="V128" i="2"/>
  <c r="U128" i="2"/>
  <c r="U74" i="2"/>
  <c r="U79" i="2"/>
  <c r="V153" i="2"/>
  <c r="U153" i="2"/>
  <c r="V8" i="2"/>
  <c r="U8" i="2"/>
  <c r="V33" i="2"/>
  <c r="U33" i="2"/>
  <c r="V148" i="2"/>
  <c r="U148" i="2"/>
  <c r="U10" i="2"/>
  <c r="U30" i="2"/>
  <c r="U50" i="2"/>
  <c r="U70" i="2"/>
  <c r="U90" i="2"/>
  <c r="U110" i="2"/>
  <c r="U130" i="2"/>
  <c r="U150" i="2"/>
  <c r="U18" i="2"/>
  <c r="U38" i="2"/>
  <c r="U58" i="2"/>
  <c r="U78" i="2"/>
  <c r="U98" i="2"/>
  <c r="U118" i="2"/>
  <c r="U138" i="2"/>
  <c r="U15" i="2"/>
  <c r="U35" i="2"/>
  <c r="U55" i="2"/>
  <c r="U75" i="2"/>
  <c r="U95" i="2"/>
  <c r="U115" i="2"/>
  <c r="U155" i="2"/>
  <c r="AQ8" i="1" l="1"/>
  <c r="L8" i="1"/>
  <c r="X8" i="1" s="1"/>
  <c r="AE8" i="1" s="1"/>
  <c r="AQ7" i="1"/>
  <c r="L7" i="1"/>
  <c r="X7" i="1" s="1"/>
  <c r="AE7" i="1" s="1"/>
  <c r="W2" i="2"/>
  <c r="AQ6" i="1"/>
  <c r="X6" i="1"/>
  <c r="Y6" i="1" s="1"/>
  <c r="V5" i="2"/>
  <c r="L5" i="1"/>
  <c r="X5" i="1" s="1"/>
  <c r="AE5" i="1" s="1"/>
  <c r="AQ5" i="1"/>
  <c r="AQ4" i="1"/>
  <c r="L4" i="1"/>
  <c r="X4" i="1" s="1"/>
  <c r="AE4" i="1" s="1"/>
  <c r="Y82" i="1"/>
  <c r="U3" i="2"/>
  <c r="AQ2" i="1"/>
  <c r="AQ3" i="1"/>
  <c r="W84" i="1"/>
  <c r="AE61" i="1"/>
  <c r="AE24" i="1"/>
  <c r="W71" i="1"/>
  <c r="W73" i="1"/>
  <c r="W74" i="1"/>
  <c r="W58" i="1"/>
  <c r="Y36" i="1"/>
  <c r="AE20" i="1"/>
  <c r="Y37" i="1"/>
  <c r="W43" i="1"/>
  <c r="Y2" i="1"/>
  <c r="AE58" i="1"/>
  <c r="AE10" i="1"/>
  <c r="AE49" i="1"/>
  <c r="AE12" i="1"/>
  <c r="AE13" i="1"/>
  <c r="AE40" i="1"/>
  <c r="AE30" i="1"/>
  <c r="W45" i="1"/>
  <c r="Y75" i="1"/>
  <c r="AE19" i="1"/>
  <c r="Y81" i="1"/>
  <c r="AE69" i="1"/>
  <c r="AE21" i="1"/>
  <c r="W19" i="1"/>
  <c r="Y35" i="1"/>
  <c r="Y38" i="1"/>
  <c r="AE60" i="1"/>
  <c r="AE18" i="1"/>
  <c r="Y85" i="1"/>
  <c r="AE62" i="1"/>
  <c r="Y63" i="1"/>
  <c r="W83" i="1"/>
  <c r="Y66" i="1"/>
  <c r="Y74" i="1"/>
  <c r="AE51" i="1"/>
  <c r="Y88" i="1"/>
  <c r="Y48" i="1"/>
  <c r="Y47" i="1"/>
  <c r="Y87" i="1"/>
  <c r="AE43" i="1"/>
  <c r="W42" i="1"/>
  <c r="AE80" i="1"/>
  <c r="W11" i="1"/>
  <c r="AE31" i="1"/>
  <c r="W25" i="1"/>
  <c r="Y64" i="1"/>
  <c r="W6" i="1"/>
  <c r="Y65" i="1"/>
  <c r="Y28" i="1"/>
  <c r="AE44" i="1"/>
  <c r="AE78" i="1"/>
  <c r="Y68" i="1"/>
  <c r="W82" i="1"/>
  <c r="AE46" i="1"/>
  <c r="AE72" i="1"/>
  <c r="W16" i="1"/>
  <c r="W13" i="1"/>
  <c r="W81" i="1"/>
  <c r="AE76" i="1"/>
  <c r="AE45" i="1"/>
  <c r="Y52" i="1"/>
  <c r="AE52" i="1"/>
  <c r="AE73" i="1"/>
  <c r="Y42" i="1"/>
  <c r="W3" i="1"/>
  <c r="AE26" i="1"/>
  <c r="Y26" i="1"/>
  <c r="W46" i="1"/>
  <c r="AE9" i="1"/>
  <c r="W36" i="1"/>
  <c r="AE86" i="1"/>
  <c r="Y56" i="1"/>
  <c r="Y70" i="1"/>
  <c r="AE70" i="1"/>
  <c r="W53" i="1"/>
  <c r="Y32" i="1"/>
  <c r="AE32" i="1"/>
  <c r="W8" i="1"/>
  <c r="W51" i="1"/>
  <c r="W64" i="1"/>
  <c r="W22" i="1"/>
  <c r="Y84" i="1"/>
  <c r="AE84" i="1"/>
  <c r="W49" i="1"/>
  <c r="AE23" i="1"/>
  <c r="Y23" i="1"/>
  <c r="W87" i="1"/>
  <c r="Y59" i="1"/>
  <c r="AE59" i="1"/>
  <c r="AE77" i="1"/>
  <c r="Y77" i="1"/>
  <c r="AE22" i="1"/>
  <c r="Y22" i="1"/>
  <c r="W7" i="1"/>
  <c r="AE15" i="1"/>
  <c r="Y15" i="1"/>
  <c r="Y11" i="1"/>
  <c r="AE11" i="1"/>
  <c r="W31" i="1"/>
  <c r="Y71" i="1"/>
  <c r="AE71" i="1"/>
  <c r="AE3" i="1"/>
  <c r="Y3" i="1"/>
  <c r="W40" i="1"/>
  <c r="Y33" i="1"/>
  <c r="AE33" i="1"/>
  <c r="Y79" i="1"/>
  <c r="AE79" i="1"/>
  <c r="W4" i="1"/>
  <c r="Y16" i="1"/>
  <c r="AE16" i="1"/>
  <c r="Y50" i="1"/>
  <c r="AE50" i="1"/>
  <c r="AE34" i="1"/>
  <c r="Y34" i="1"/>
  <c r="W68" i="1"/>
  <c r="Y67" i="1"/>
  <c r="AE67" i="1"/>
  <c r="AE83" i="1"/>
  <c r="Y83" i="1"/>
  <c r="W50" i="1"/>
  <c r="AE55" i="1"/>
  <c r="Y55" i="1"/>
  <c r="Y53" i="1"/>
  <c r="AE53" i="1"/>
  <c r="AE25" i="1"/>
  <c r="Y25" i="1"/>
  <c r="Y27" i="1"/>
  <c r="AE27" i="1"/>
  <c r="W41" i="1"/>
  <c r="AE41" i="1"/>
  <c r="Y41" i="1"/>
  <c r="Y57" i="1"/>
  <c r="AE57" i="1"/>
  <c r="Y29" i="1"/>
  <c r="AE29" i="1"/>
  <c r="W79" i="1"/>
  <c r="AE54" i="1"/>
  <c r="Y54" i="1"/>
  <c r="AE17" i="1"/>
  <c r="Y17" i="1"/>
  <c r="W27" i="1"/>
  <c r="B12" i="4"/>
  <c r="B5" i="6" s="1"/>
  <c r="Y39" i="1"/>
  <c r="AE39" i="1"/>
  <c r="AE14" i="1"/>
  <c r="Y14" i="1"/>
  <c r="W59" i="1"/>
  <c r="W5" i="1"/>
  <c r="W2" i="1"/>
  <c r="Y8" i="1" l="1"/>
  <c r="Y7" i="1"/>
  <c r="AE6" i="1"/>
  <c r="Y5" i="1"/>
  <c r="B11" i="4"/>
  <c r="Y4" i="1"/>
  <c r="B9" i="5"/>
  <c r="B8" i="5"/>
  <c r="B4" i="4"/>
  <c r="B3" i="4"/>
  <c r="B3" i="5"/>
  <c r="B14" i="5"/>
  <c r="B18" i="5" s="1"/>
  <c r="B5" i="4"/>
  <c r="B10" i="4"/>
  <c r="B7" i="4" l="1"/>
  <c r="B2" i="6"/>
  <c r="B4" i="6" s="1"/>
  <c r="B11" i="5"/>
  <c r="B7" i="5"/>
  <c r="B10" i="5" s="1"/>
  <c r="B5" i="5"/>
  <c r="B6" i="4"/>
  <c r="B20" i="5"/>
  <c r="B19" i="5"/>
  <c r="B8" i="4"/>
  <c r="B21" i="5" l="1"/>
  <c r="B22" i="5" s="1"/>
  <c r="B23" i="5" s="1"/>
  <c r="AB70" i="1"/>
  <c r="AB50" i="1"/>
  <c r="AB30" i="1"/>
  <c r="AB10" i="1"/>
  <c r="AB77" i="1"/>
  <c r="AB76" i="1"/>
  <c r="AB75" i="1"/>
  <c r="AB74" i="1"/>
  <c r="AB73" i="1"/>
  <c r="AB72" i="1"/>
  <c r="AB71" i="1"/>
  <c r="AB67" i="1"/>
  <c r="AB37" i="1"/>
  <c r="AB36" i="1"/>
  <c r="AB35" i="1"/>
  <c r="AB34" i="1"/>
  <c r="AB33" i="1"/>
  <c r="AB32" i="1"/>
  <c r="AB31" i="1"/>
  <c r="AB27" i="1"/>
  <c r="AB66" i="1"/>
  <c r="AB26" i="1"/>
  <c r="AB65" i="1"/>
  <c r="AB25" i="1"/>
  <c r="AB85" i="1"/>
  <c r="AB82" i="1"/>
  <c r="AB45" i="1"/>
  <c r="AB42" i="1"/>
  <c r="AB5" i="1"/>
  <c r="AB2" i="1"/>
  <c r="AB68" i="1"/>
  <c r="AB28" i="1"/>
  <c r="AB60" i="1"/>
  <c r="AB49" i="1"/>
  <c r="AB40" i="1"/>
  <c r="AB78" i="1"/>
  <c r="AB53" i="1"/>
  <c r="AB55" i="1"/>
  <c r="AB44" i="1"/>
  <c r="AB12" i="1"/>
  <c r="AB84" i="1"/>
  <c r="AB43" i="1"/>
  <c r="AB38" i="1"/>
  <c r="AB81" i="1"/>
  <c r="AB63" i="1"/>
  <c r="AB62" i="1"/>
  <c r="AB61" i="1"/>
  <c r="AB46" i="1"/>
  <c r="AB6" i="1"/>
  <c r="AB47" i="1"/>
  <c r="AB64" i="1"/>
  <c r="AB20" i="1"/>
  <c r="AB21" i="1"/>
  <c r="AB87" i="1"/>
  <c r="AB41" i="1"/>
  <c r="AB23" i="1"/>
  <c r="AB22" i="1"/>
  <c r="AB7" i="1"/>
  <c r="AB83" i="1"/>
  <c r="AB11" i="1"/>
  <c r="AB3" i="1"/>
  <c r="AB17" i="1"/>
  <c r="AB59" i="1"/>
  <c r="AB54" i="1"/>
  <c r="AB18" i="1"/>
  <c r="AB4" i="1"/>
  <c r="AB51" i="1"/>
  <c r="AB86" i="1"/>
  <c r="AB69" i="1"/>
  <c r="AB39" i="1"/>
  <c r="AB13" i="1"/>
  <c r="AB79" i="1"/>
  <c r="AB56" i="1"/>
  <c r="AB9" i="1"/>
  <c r="AB24" i="1"/>
  <c r="AB19" i="1"/>
  <c r="AB52" i="1"/>
  <c r="Z80" i="1"/>
  <c r="AB58" i="1"/>
  <c r="AB14" i="1"/>
  <c r="AB88" i="1"/>
  <c r="AB80" i="1"/>
  <c r="Z65" i="1"/>
  <c r="AB15" i="1"/>
  <c r="AB8" i="1"/>
  <c r="AB29" i="1"/>
  <c r="Z26" i="1"/>
  <c r="AB57" i="1"/>
  <c r="AB16" i="1"/>
  <c r="AB48" i="1"/>
  <c r="Z32" i="1"/>
  <c r="Z20" i="1"/>
  <c r="Z61" i="1"/>
  <c r="Z58" i="1"/>
  <c r="Z62" i="1"/>
  <c r="Z74" i="1"/>
  <c r="Z60" i="1"/>
  <c r="Z23" i="1"/>
  <c r="Z10" i="1"/>
  <c r="Z52" i="1"/>
  <c r="Z56" i="1"/>
  <c r="Z4" i="1"/>
  <c r="Z84" i="1"/>
  <c r="Z70" i="1"/>
  <c r="Z2" i="1"/>
  <c r="Z40" i="1"/>
  <c r="Z82" i="1"/>
  <c r="Z72" i="1"/>
  <c r="Z49" i="1"/>
  <c r="Z9" i="1"/>
  <c r="Z45" i="1"/>
  <c r="Z19" i="1"/>
  <c r="Z73" i="1"/>
  <c r="Z51" i="1"/>
  <c r="Z68" i="1"/>
  <c r="Z36" i="1"/>
  <c r="Z18" i="1"/>
  <c r="Z35" i="1"/>
  <c r="Z42" i="1"/>
  <c r="Z86" i="1"/>
  <c r="Z88" i="1"/>
  <c r="Z43" i="1"/>
  <c r="Z37" i="1"/>
  <c r="Z24" i="1"/>
  <c r="Z7" i="1"/>
  <c r="Z78" i="1"/>
  <c r="Z31" i="1"/>
  <c r="Z63" i="1"/>
  <c r="Z44" i="1"/>
  <c r="Z48" i="1"/>
  <c r="Z12" i="1"/>
  <c r="Z8" i="1"/>
  <c r="Z6" i="1"/>
  <c r="Z21" i="1"/>
  <c r="Z76" i="1"/>
  <c r="Z28" i="1"/>
  <c r="Z81" i="1"/>
  <c r="Z13" i="1"/>
  <c r="Z87" i="1"/>
  <c r="Z47" i="1"/>
  <c r="Z64" i="1"/>
  <c r="Z46" i="1"/>
  <c r="Z75" i="1"/>
  <c r="Z69" i="1"/>
  <c r="Z38" i="1"/>
  <c r="Z5" i="1"/>
  <c r="Z85" i="1"/>
  <c r="Z30" i="1"/>
  <c r="Z66" i="1"/>
  <c r="Z22" i="1"/>
  <c r="Z16" i="1"/>
  <c r="Z17" i="1"/>
  <c r="Z55" i="1"/>
  <c r="Z39" i="1"/>
  <c r="Z29" i="1"/>
  <c r="Z11" i="1"/>
  <c r="Z27" i="1"/>
  <c r="Z41" i="1"/>
  <c r="Z71" i="1"/>
  <c r="Z77" i="1"/>
  <c r="Z25" i="1"/>
  <c r="Z50" i="1"/>
  <c r="Z53" i="1"/>
  <c r="Z14" i="1"/>
  <c r="Z83" i="1"/>
  <c r="Z15" i="1"/>
  <c r="Z67" i="1"/>
  <c r="Z59" i="1"/>
  <c r="Z34" i="1"/>
  <c r="Z79" i="1"/>
  <c r="Z3" i="1"/>
  <c r="Z33" i="1"/>
  <c r="Z54" i="1"/>
  <c r="Z57" i="1"/>
  <c r="B9" i="4"/>
  <c r="B13" i="4" s="1"/>
  <c r="B6" i="6" s="1"/>
  <c r="B7" i="6" s="1"/>
  <c r="B14" i="4"/>
  <c r="G8" i="1" l="1"/>
  <c r="AR8" i="1"/>
  <c r="G7" i="1"/>
  <c r="AR7" i="1"/>
  <c r="G6" i="1"/>
  <c r="AR6" i="1"/>
  <c r="G5" i="1"/>
  <c r="AR5" i="1"/>
  <c r="G4" i="1"/>
  <c r="AR4" i="1"/>
  <c r="G3" i="1"/>
  <c r="AR3" i="1"/>
  <c r="G2" i="1"/>
  <c r="AR2" i="1"/>
  <c r="AC83" i="1"/>
  <c r="AC51" i="1"/>
  <c r="AC8" i="1"/>
  <c r="AC15" i="1"/>
  <c r="AC38" i="1"/>
  <c r="AC31" i="1"/>
  <c r="AC84" i="1"/>
  <c r="AC20" i="1"/>
  <c r="AC32" i="1"/>
  <c r="AC10" i="1"/>
  <c r="AC4" i="1"/>
  <c r="AC64" i="1"/>
  <c r="AC33" i="1"/>
  <c r="AC30" i="1"/>
  <c r="AC43" i="1"/>
  <c r="AC27" i="1"/>
  <c r="AC9" i="1"/>
  <c r="AC2" i="1"/>
  <c r="AC34" i="1"/>
  <c r="AC50" i="1"/>
  <c r="AC58" i="1"/>
  <c r="AC56" i="1"/>
  <c r="AC5" i="1"/>
  <c r="AC35" i="1"/>
  <c r="AC70" i="1"/>
  <c r="AC80" i="1"/>
  <c r="AC79" i="1"/>
  <c r="AC7" i="1"/>
  <c r="AC42" i="1"/>
  <c r="AC36" i="1"/>
  <c r="AC47" i="1"/>
  <c r="AC40" i="1"/>
  <c r="AC45" i="1"/>
  <c r="AC37" i="1"/>
  <c r="AC52" i="1"/>
  <c r="AC18" i="1"/>
  <c r="AC49" i="1"/>
  <c r="AC82" i="1"/>
  <c r="AC67" i="1"/>
  <c r="AC54" i="1"/>
  <c r="AC6" i="1"/>
  <c r="AC60" i="1"/>
  <c r="AC85" i="1"/>
  <c r="AC71" i="1"/>
  <c r="AC88" i="1"/>
  <c r="AC19" i="1"/>
  <c r="AC59" i="1"/>
  <c r="AC46" i="1"/>
  <c r="AC72" i="1"/>
  <c r="AC61" i="1"/>
  <c r="AC12" i="1"/>
  <c r="AC73" i="1"/>
  <c r="AC48" i="1"/>
  <c r="AC13" i="1"/>
  <c r="AC62" i="1"/>
  <c r="AC44" i="1"/>
  <c r="AC25" i="1"/>
  <c r="AC74" i="1"/>
  <c r="AC39" i="1"/>
  <c r="AC17" i="1"/>
  <c r="AC22" i="1"/>
  <c r="AC63" i="1"/>
  <c r="AC55" i="1"/>
  <c r="AC65" i="1"/>
  <c r="AC75" i="1"/>
  <c r="AC69" i="1"/>
  <c r="AC23" i="1"/>
  <c r="AC81" i="1"/>
  <c r="AC26" i="1"/>
  <c r="AC76" i="1"/>
  <c r="AC16" i="1"/>
  <c r="AC86" i="1"/>
  <c r="AC3" i="1"/>
  <c r="AC41" i="1"/>
  <c r="AC66" i="1"/>
  <c r="AC77" i="1"/>
  <c r="AC57" i="1"/>
  <c r="AC11" i="1"/>
  <c r="AC87" i="1"/>
  <c r="AC53" i="1"/>
  <c r="AC24" i="1"/>
  <c r="AC21" i="1"/>
  <c r="AC78" i="1"/>
  <c r="AC28" i="1"/>
  <c r="AC29" i="1"/>
  <c r="AC14" i="1"/>
  <c r="AC6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family val="3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family val="3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family val="3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family val="3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family val="3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family val="3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family val="3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family val="3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family val="3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family val="3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family val="3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family val="3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family val="3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family val="3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<sst xmlns="http://schemas.openxmlformats.org/spreadsheetml/2006/main" count="295" uniqueCount="233">
  <si>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</si>
  <si>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</si>
  <si>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</si>
  <si>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</si>
  <si>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</si>
  <si>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</si>
  <si>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</si>
  <si>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</si>
  <si>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</si>
  <si>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</si>
  <si>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</si>
  <si>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</si>
  <si>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</si>
  <si>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</si>
  <si>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</si>
  <si>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</si>
  <si>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</si>
  <si>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</si>
  <si>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</si>
  <si>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</si>
  <si>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</si>
  <si>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</si>
  <si>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</si>
  <si>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</si>
  <si>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</si>
  <si>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</si>
  <si>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</si>
  <si>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</si>
  <si>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</si>
  <si>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</si>
  <si>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</si>
  <si>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</si>
  <si>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</si>
  <si>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</si>
  <si>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</si>
  <si>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</si>
  <si>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</si>
  <si>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</si>
  <si>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</si>
  <si>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</si>
  <si>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</si>
  <si>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</si>
  <si>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</si>
  <si>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</si>
  <si>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</si>
  <si>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</si>
  <si>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</si>
  <si>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</si>
  <si>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</si>
  <si>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</si>
  <si>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</si>
  <si>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</si>
  <si>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</si>
  <si>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</si>
  <si>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</si>
  <si>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</si>
  <si>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</si>
  <si>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</si>
  <si>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</si>
  <si>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</si>
  <si>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</si>
  <si>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</si>
  <si>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</si>
  <si>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</si>
  <si>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</si>
  <si>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</si>
  <si>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</si>
  <si>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</si>
  <si>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</si>
  <si>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压力位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</si>
  <si>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</si>
  <si>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</si>
  <si>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</si>
  <si>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</si>
  <si>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</si>
  <si>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</si>
  <si>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</si>
  <si>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</si>
  <si>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</si>
  <si>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</si>
  <si>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</si>
  <si>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</si>
  <si>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</si>
  <si>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</si>
  <si>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</si>
  <si>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</si>
  <si>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</si>
  <si>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</si>
  <si>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</si>
  <si>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</si>
  <si>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</si>
  <si>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</si>
  <si>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</si>
  <si>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</si>
  <si>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</si>
  <si>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</si>
  <si>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</si>
  <si>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</si>
  <si>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</si>
  <si>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</si>
  <si>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</si>
  <si>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</si>
  <si>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</si>
  <si>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</si>
  <si>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</si>
  <si>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</si>
  <si>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</si>
  <si>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</si>
  <si>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</si>
  <si>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</si>
  <si>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</si>
  <si>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</si>
  <si>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</si>
  <si>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</si>
  <si>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</si>
  <si>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</si>
  <si>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</si>
  <si>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</si>
  <si>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</si>
  <si>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</si>
  <si>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</si>
  <si>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</si>
  <si>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</si>
  <si>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</si>
  <si>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</si>
  <si>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</si>
  <si>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</si>
  <si>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</si>
  <si>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</si>
  <si>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</si>
  <si>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</si>
  <si>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</si>
  <si>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</si>
  <si>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</si>
  <si>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</si>
  <si>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</si>
  <si>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</si>
  <si>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</si>
  <si>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</si>
  <si>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</si>
  <si>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</si>
  <si>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</si>
  <si>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</si>
  <si>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</si>
  <si>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</si>
  <si>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</si>
  <si>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</si>
  <si>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</si>
  <si>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</si>
  <si>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</si>
  <si>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</si>
  <si>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</si>
  <si>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</si>
  <si>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</si>
  <si>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</si>
  <si>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</si>
  <si>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</si>
  <si>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</si>
  <si>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</si>
  <si>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</si>
  <si>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</si>
  <si>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</si>
  <si>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</si>
  <si>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</si>
  <si>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</si>
  <si>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</si>
  <si>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</si>
  <si>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</si>
  <si>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</si>
  <si>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</si>
  <si>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</si>
  <si>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</si>
  <si>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</si>
  <si>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</si>
  <si>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</si>
  <si>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</si>
  <si>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</si>
  <si>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</si>
  <si>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</si>
  <si>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</si>
  <si>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</si>
  <si>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</si>
  <si>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</si>
  <si>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</si>
  <si>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</si>
  <si>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</si>
  <si>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</si>
  <si>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</si>
  <si>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</si>
  <si>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</si>
  <si>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</si>
  <si>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</si>
  <si>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</si>
  <si>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</si>
  <si>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</si>
  <si>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</si>
  <si>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</si>
  <si>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</si>
  <si>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</si>
  <si>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</si>
  <si>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</si>
  <si>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</si>
  <si>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</si>
  <si>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</si>
  <si>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</si>
  <si>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</si>
  <si>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</si>
  <si>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</si>
  <si>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</si>
  <si>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</si>
  <si>
    <t>节电风能</t>
    <phoneticPr fontId="5" type="noConversion"/>
  </si>
  <si>
    <t>短期博反弹</t>
  </si>
  <si>
    <t>已完成</t>
    <phoneticPr fontId="5" type="noConversion"/>
  </si>
  <si>
    <t>4～10个交易日</t>
  </si>
  <si>
    <t>不一定能冲到4块，但是最近交易量上来了</t>
    <phoneticPr fontId="5" type="noConversion"/>
  </si>
  <si>
    <t>买入理由1，买入量上升，买入理由2，有sow，买入理由3，没有跌破支撑 买入理由4，有可能跨越小溪一下子到4块以上，不买理由</t>
    <phoneticPr fontId="5" type="noConversion"/>
  </si>
  <si>
    <t>4块压力很大</t>
    <phoneticPr fontId="5" type="noConversion"/>
  </si>
  <si>
    <t>不买理由1，没有明显的sow，可能继续下跌没 买入理由1，下降趋势已经停止，不买理由2，可能持续吸筹，买入理由2，下发支撑明显</t>
    <phoneticPr fontId="5" type="noConversion"/>
  </si>
  <si>
    <t>每日跟踪</t>
  </si>
  <si>
    <t>执行卖出</t>
  </si>
  <si>
    <t>不买理由1，没有交易量，可能吸筹持续时间很长，买入理由2，没有供应，前方有sow 这是自然回测，可能有第二波高开，重点看跌不跌破支撑，没跌破就上冲，跌破就下跌</t>
    <phoneticPr fontId="5" type="noConversion"/>
  </si>
  <si>
    <t>4块压力很大</t>
  </si>
  <si>
    <t>1.不买理由1 话没有看到明显的拉升型号，不买理由2，上方供应多，买入理由1 成交量明显变大 买入理由2 没破支撑</t>
    <phoneticPr fontId="5" type="noConversion"/>
  </si>
  <si>
    <t>4-良好</t>
  </si>
  <si>
    <t>3.3有压力，甚至3都有压力</t>
    <phoneticPr fontId="5" type="noConversion"/>
  </si>
  <si>
    <t>1.不买理由1 没有看到sow，交易量也不大，买入理由2，低点有支撑没有破之前的低点，前方可能是震仓，之前有明显吸筹拉高测试痕迹，不买理由2  之前可能是派发，派发下跌，然后再派发</t>
  </si>
  <si>
    <t>1.不买理由1，还是下降阶段  2 买入理由1 成交量走高，一直慢慢涨，说明在吸筹，目前还没遇到压力，压力在3块附近，</t>
    <phoneticPr fontId="5" type="noConversion"/>
  </si>
  <si>
    <t>3块有压力</t>
    <phoneticPr fontId="5" type="noConversion"/>
  </si>
  <si>
    <t>1.下跌过程中，买入理由2 成交量不见，底部稳</t>
    <phoneticPr fontId="5" type="noConversion"/>
  </si>
  <si>
    <t>3-一般</t>
  </si>
  <si>
    <t>2块有压力</t>
    <phoneticPr fontId="5" type="noConversion"/>
  </si>
  <si>
    <t>1-差</t>
  </si>
  <si>
    <t>贪婪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</si>
</sst>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.00;[Red]\-\¥#,##0.00"/>
    <numFmt numFmtId="177" formatCode="yyyy\-mm\-dd"/>
  </numFmts>
  <fonts count="6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2" borderId="1" xfId="0" applyFont="1" applyFill="1" applyBorder="1" applyAlignment="1">
      <alignment horizontal="center" vertical="center" wrapText="1"/>
    </xf>
    <xf numFmtId="2" fontId="0" fillId="4" borderId="1" xfId="0" applyNumberFormat="1" applyFill="1" applyBorder="1" applyAlignment="1">
      <alignment vertical="top" wrapText="1"/>
    </xf>
    <xf numFmtId="177" fontId="0" fillId="4" borderId="1" xfId="0" applyNumberFormat="1" applyFill="1" applyBorder="1" applyAlignment="1">
      <alignment vertical="top" wrapText="1"/>
    </xf>
    <xf numFmtId="0" fontId="3" fillId="0" borderId="0" xfId="0" applyFont="1"/>
  </cellXfs>
  <cellStyles count="1">
    <cellStyle name="常规" xfId="0" builtinId="0"/>
  </cellStyles>
  <dxfs count="22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88">
  <autoFilter ref="A1:AR88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IF(A2="","",IFERROR(LOOKUP(2,1/((持仓跟踪!$B$2:$B$157=A2)*(持仓跟踪!$X$2:$X$157="执行卖出")*(持仓跟踪!$Y$2:$Y$157&lt;&gt;"")),持仓跟踪!$Y$2:$Y$157),""))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IF(A2="","",IFERROR(LOOKUP(2,1/((持仓跟踪!$B$2:$B$157=A2)*(持仓跟踪!$X$2:$X$157="执行卖出")*(持仓跟踪!$H$2:$H$157&lt;&gt;"")),持仓跟踪!$H$2:$H$157),""))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IF(A2="","",IFERROR(LOOKUP(2,1/((持仓跟踪!$B$2:$B$157=A2)*(持仓跟踪!$X$2:$X$157="执行卖出")*(持仓跟踪!$AA$2:$AA$157&lt;&gt;"")),持仓跟踪!$AA$2:$AA$157),""))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157">
  <autoFilter ref="A1:AC15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IF(B2="","",IFERROR(LOOKUP(2,1/(单次交易!$A$2:$A$88=B2),单次交易!$B$2:$B$88),""))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IF(B2="","",IFERROR(LOOKUP(2,1/(单次交易!$A$2:$A$88=B2),单次交易!$N$2:$N$88),""))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IF(X2&lt;&gt;"执行卖出","",IFERROR(LOOKUP(2,1/(单次交易!$A$2:$A$88=B2),单次交易!$AP$2:$AP$88),""))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$88=B2),单次交易!$E$2:$E$88)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399">
  <autoFilter ref="A1:L399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88"/>
  <sheetViews>
    <sheetView tabSelected="1" zoomScale="115" zoomScaleNormal="115" workbookViewId="0">
      <pane xSplit="2" topLeftCell="AD1" activePane="topRight" state="frozen"/>
      <selection pane="topRight" activeCell="AG15" sqref="AG15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6" t="s">
        <v>32</v>
      </c>
      <c r="AH1" s="16" t="s">
        <v>33</v>
      </c>
      <c r="AI1" s="16" t="s">
        <v>34</v>
      </c>
      <c r="AJ1" s="16" t="s">
        <v>35</v>
      </c>
      <c r="AK1" s="16" t="s">
        <v>36</v>
      </c>
      <c r="AL1" s="16" t="s">
        <v>37</v>
      </c>
      <c r="AM1" s="16" t="s">
        <v>38</v>
      </c>
      <c r="AN1" s="16" t="s">
        <v>39</v>
      </c>
      <c r="AO1" s="16" t="s">
        <v>40</v>
      </c>
      <c r="AP1" s="16" t="s">
        <v>41</v>
      </c>
      <c r="AQ1" s="16" t="s">
        <v>42</v>
      </c>
      <c r="AR1" s="16" t="s">
        <v>43</v>
      </c>
    </row>
    <row r="2" spans="1:44" x14ac:dyDescent="0.15">
      <c r="A2" s="2">
        <v>1</v>
      </c>
      <c r="B2" s="13" t="s">
        <v>210</v>
      </c>
      <c r="C2" s="10">
        <v>100000</v>
      </c>
      <c r="D2" s="6">
        <v>0.02</v>
      </c>
      <c r="E2" s="10">
        <v>3.9</v>
      </c>
      <c r="F2" s="8">
        <f t="shared" ref="F2:F16" si="0">IF(OR(C2="",D2="",E2="",N2="",C2&lt;=0,D2&lt;=0,E2&lt;=N2),"",ROUNDDOWN((C2*D2)/(E2-N2)/100,0)*100)</f>
        <v>10000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$157,"止损计划",持仓跟踪!$B$2:$B$157,A2,持仓跟踪!$AC$2:$AC$157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5000</v>
      </c>
      <c r="I2" s="15">
        <v>42570</v>
      </c>
      <c r="J2" s="10">
        <v>4</v>
      </c>
      <c r="K2" s="5">
        <v>3.68</v>
      </c>
      <c r="L2" s="8">
        <v>5000</v>
      </c>
      <c r="M2" s="18">
        <f>IF(A2="","",IFERROR(LOOKUP(2,1/((持仓跟踪!$B$2:$B$157=A2)*(持仓跟踪!$X$2:$X$157="执行卖出")*(持仓跟踪!$H$2:$H$157&lt;&gt;"")),持仓跟踪!$H$2:$H$157),""))</f>
        <v>42578</v>
      </c>
      <c r="N2" s="10">
        <v>3.7</v>
      </c>
      <c r="O2" s="10"/>
      <c r="P2" s="5" t="str">
        <f>IF(A2="","",IFERROR(LOOKUP(2,1/((持仓跟踪!$B$2:$B$157=A2)*(持仓跟踪!$X$2:$X$157="执行卖出")*(持仓跟踪!$AA$2:$AA$157&lt;&gt;"")),持仓跟踪!$AA$2:$AA$157),""))</f>
        <v/>
      </c>
      <c r="Q2" s="2"/>
      <c r="R2" s="2"/>
      <c r="S2" s="2"/>
      <c r="T2" s="2"/>
      <c r="U2" s="7">
        <f t="shared" ref="U2:U16" si="1">IF(OR(AO2="",J2="",AO2&lt;=0),"",(J2-AO2)/AO2)</f>
        <v>2.5641025641025664E-2</v>
      </c>
      <c r="V2" s="7">
        <f t="shared" ref="V2:V16" si="2">IF(OR(AO2="",N2="",AO2&lt;=0),"",(AO2-N2)/AO2)</f>
        <v>5.1282051282051218E-2</v>
      </c>
      <c r="W2" s="17">
        <f t="shared" ref="W2:W16" si="3">IF(OR(U2="",V2="",V2&lt;=0),"",U2/V2)</f>
        <v>0.50000000000000111</v>
      </c>
      <c r="X2" s="5">
        <f t="shared" ref="X2:X16" si="4">IF(OR(K2="",L2="",AP2=""),"",K2*L2-(E2*H2+IF(AND(AK2&lt;&gt;"",AL2&lt;&gt;""),AK2*AL2,0)+IF(AND(AM2&lt;&gt;"",AN2&lt;&gt;""),AM2*AN2,0))-IF(O2="",0,O2)-IF(P2="",0,P2))</f>
        <v>-1100</v>
      </c>
      <c r="Y2" s="7">
        <f t="shared" ref="Y2:Y16" si="5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-5.6410256410256411E-2</v>
      </c>
      <c r="Z2" s="7">
        <f>IF(OR(AE2="",多次统计数据!$B$8=""),"",AE2-多次统计数据!$B$8)</f>
        <v>-5.6659720923152065E-2</v>
      </c>
      <c r="AA2" s="11">
        <f t="shared" ref="AA2:AA16" si="6">IF(OR(I2="",M2="",M2&lt;I2),"",M2-I2)</f>
        <v>8</v>
      </c>
      <c r="AB2" s="7">
        <f>IF(OR(A2="",多次统计数据!$B$8="",多次统计数据!$B$6&lt;=0,多次统计数据!$B$6&gt;=1),"",1-POWER(1+多次统计数据!$B$8,-多次统计数据!$B$6/(1-多次统计数据!$B$6)))</f>
        <v>3.2931548535292232E-2</v>
      </c>
      <c r="AC2" s="8" t="str">
        <f>IF(OR(AB2="",多次统计数据!$B$9=""),"",IF(多次统计数据!$B$9&lt;AB2,"低于上限","达到或超过上限"))</f>
        <v>低于上限</v>
      </c>
      <c r="AD2" s="2" t="s">
        <v>223</v>
      </c>
      <c r="AE2" s="7">
        <f t="shared" ref="AE2:AE16" si="7">IF(OR(X2="",C2="",C2&lt;=0),"",X2/C2)</f>
        <v>-1.0999999999999999E-2</v>
      </c>
      <c r="AG2" s="2" t="s">
        <v>211</v>
      </c>
      <c r="AH2" s="2" t="s">
        <v>213</v>
      </c>
      <c r="AI2" s="13" t="s">
        <v>214</v>
      </c>
      <c r="AJ2" s="8" t="str">
        <f t="shared" ref="AJ2:AJ16" si="8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>匹配</v>
      </c>
      <c r="AK2" s="10"/>
      <c r="AL2" s="12"/>
      <c r="AM2" s="10"/>
      <c r="AN2" s="12"/>
      <c r="AO2" s="5">
        <f t="shared" ref="AO2:AO16" si="9">IF(OR(A2="",H2="",H2&lt;=0),"",(E2*H2+IF(AND(AK2&lt;&gt;"",AL2&lt;&gt;""),AK2*AL2,0)+IF(AND(AM2&lt;&gt;"",AN2&lt;&gt;""),AM2*AN2,0))/AP2)</f>
        <v>3.9</v>
      </c>
      <c r="AP2" s="11">
        <f t="shared" ref="AP2:AP16" si="10">IF(OR(A2="",H2="",H2&lt;=0),"",H2+IF(AL2="",0,AL2)+IF(AN2="",0,AN2))</f>
        <v>5000</v>
      </c>
      <c r="AQ2" s="5">
        <f>IF(A2="","",IF(M2&lt;&gt;"",0,IF(OR(H2="",N2=""),"",MAX(E2-MAX(N2,IFERROR(SUMPRODUCT(MAX(((持仓跟踪!$A$2:$A$157="每日跟踪")*(持仓跟踪!$B$2:$B$157=A2))*持仓跟踪!$S$2:$S$157)),0)),0)*H2+IF(OR(AK2="",AL2=""),0,MAX(AK2-MAX(N2,IFERROR(SUMPRODUCT(MAX(((持仓跟踪!$A$2:$A$157="每日跟踪")*(持仓跟踪!$B$2:$B$157=A2))*持仓跟踪!$S$2:$S$157)),0)),0)*AL2)+IF(OR(AM2="",AN2=""),0,MAX(AM2-MAX(N2,IFERROR(SUMPRODUCT(MAX(((持仓跟踪!$A$2:$A$157="每日跟踪")*(持仓跟踪!$B$2:$B$157=A2))*持仓跟踪!$S$2:$S$157)),0)),0)*AN2))))</f>
        <v>0</v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$88)&gt;账户数据!$B$7,"违规：超过账户风险上限","通过")))))))))</f>
        <v>通过</v>
      </c>
    </row>
    <row r="3" spans="1:44" x14ac:dyDescent="0.15">
      <c r="A3" s="2">
        <v>2</v>
      </c>
      <c r="B3" s="13" t="s">
        <v>210</v>
      </c>
      <c r="C3" s="10">
        <v>98900</v>
      </c>
      <c r="D3" s="6">
        <v>0.02</v>
      </c>
      <c r="E3" s="10">
        <v>3.7</v>
      </c>
      <c r="F3" s="8">
        <f t="shared" si="0"/>
        <v>9800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$157,"止损计划",持仓跟踪!$B$2:$B$157,A3,持仓跟踪!$AC$2:$AC$157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9800</v>
      </c>
      <c r="I3" s="15">
        <v>42653</v>
      </c>
      <c r="J3" s="10">
        <v>4</v>
      </c>
      <c r="K3" s="5">
        <v>4.22</v>
      </c>
      <c r="L3" s="8">
        <v>9800</v>
      </c>
      <c r="M3" s="18">
        <f>IF(A3="","",IFERROR(LOOKUP(2,1/((持仓跟踪!$B$2:$B$157=A3)*(持仓跟踪!$X$2:$X$157="执行卖出")*(持仓跟踪!$H$2:$H$157&lt;&gt;"")),持仓跟踪!$H$2:$H$157),""))</f>
        <v>42663</v>
      </c>
      <c r="N3" s="10">
        <v>3.5</v>
      </c>
      <c r="O3" s="10"/>
      <c r="P3" s="5" t="str">
        <f>IF(A3="","",IFERROR(LOOKUP(2,1/((持仓跟踪!$B$2:$B$157=A3)*(持仓跟踪!$X$2:$X$157="执行卖出")*(持仓跟踪!$AA$2:$AA$157&lt;&gt;"")),持仓跟踪!$AA$2:$AA$157),""))</f>
        <v/>
      </c>
      <c r="Q3" s="2"/>
      <c r="R3" s="2"/>
      <c r="S3" s="2"/>
      <c r="T3" s="2"/>
      <c r="U3" s="7">
        <f t="shared" si="1"/>
        <v>8.108108108108103E-2</v>
      </c>
      <c r="V3" s="7">
        <f t="shared" si="2"/>
        <v>5.4054054054054099E-2</v>
      </c>
      <c r="W3" s="17">
        <f t="shared" si="3"/>
        <v>1.4999999999999978</v>
      </c>
      <c r="X3" s="5">
        <f t="shared" si="4"/>
        <v>5096</v>
      </c>
      <c r="Y3" s="7">
        <f t="shared" si="5"/>
        <v>0.14054054054054055</v>
      </c>
      <c r="Z3" s="7">
        <f>IF(OR(AE3="",多次统计数据!$B$8=""),"",AE3-多次统计数据!$B$8)</f>
        <v>5.8670738190117339E-3</v>
      </c>
      <c r="AA3" s="11">
        <f t="shared" si="6"/>
        <v>10</v>
      </c>
      <c r="AB3" s="7">
        <f>IF(OR(A3="",多次统计数据!$B$8="",多次统计数据!$B$6&lt;=0,多次统计数据!$B$6&gt;=1),"",1-POWER(1+多次统计数据!$B$8,-多次统计数据!$B$6/(1-多次统计数据!$B$6)))</f>
        <v>3.2931548535292232E-2</v>
      </c>
      <c r="AC3" s="8" t="str">
        <f>IF(OR(AB3="",多次统计数据!$B$9=""),"",IF(多次统计数据!$B$9&lt;AB3,"低于上限","达到或超过上限"))</f>
        <v>低于上限</v>
      </c>
      <c r="AD3" s="2" t="s">
        <v>223</v>
      </c>
      <c r="AE3" s="7">
        <f t="shared" si="7"/>
        <v>5.1526794742163803E-2</v>
      </c>
      <c r="AG3" s="2" t="s">
        <v>211</v>
      </c>
      <c r="AH3" s="2" t="s">
        <v>213</v>
      </c>
      <c r="AI3" s="13" t="s">
        <v>216</v>
      </c>
      <c r="AJ3" s="8" t="str">
        <f t="shared" si="8"/>
        <v>匹配</v>
      </c>
      <c r="AK3" s="10"/>
      <c r="AL3" s="12"/>
      <c r="AM3" s="10"/>
      <c r="AN3" s="12"/>
      <c r="AO3" s="5">
        <f t="shared" si="9"/>
        <v>3.7</v>
      </c>
      <c r="AP3" s="11">
        <f t="shared" si="10"/>
        <v>9800</v>
      </c>
      <c r="AQ3" s="5">
        <f>IF(A3="","",IF(M3&lt;&gt;"",0,IF(OR(H3="",N3=""),"",MAX(E3-MAX(N3,IFERROR(SUMPRODUCT(MAX(((持仓跟踪!$A$2:$A$157="每日跟踪")*(持仓跟踪!$B$2:$B$157=A3))*持仓跟踪!$S$2:$S$157)),0)),0)*H3+IF(OR(AK3="",AL3=""),0,MAX(AK3-MAX(N3,IFERROR(SUMPRODUCT(MAX(((持仓跟踪!$A$2:$A$157="每日跟踪")*(持仓跟踪!$B$2:$B$157=A3))*持仓跟踪!$S$2:$S$157)),0)),0)*AL3)+IF(OR(AM3="",AN3=""),0,MAX(AM3-MAX(N3,IFERROR(SUMPRODUCT(MAX(((持仓跟踪!$A$2:$A$157="每日跟踪")*(持仓跟踪!$B$2:$B$157=A3))*持仓跟踪!$S$2:$S$157)),0)),0)*AN3))))</f>
        <v>0</v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$88)&gt;账户数据!$B$7,"违规：超过账户风险上限","通过")))))))))</f>
        <v>通过</v>
      </c>
    </row>
    <row r="4" spans="1:44" x14ac:dyDescent="0.15">
      <c r="A4" s="2">
        <v>3</v>
      </c>
      <c r="B4" s="13" t="s">
        <v>210</v>
      </c>
      <c r="C4" s="10">
        <v>103996</v>
      </c>
      <c r="D4" s="6">
        <v>0.02</v>
      </c>
      <c r="E4" s="10">
        <v>3.93</v>
      </c>
      <c r="F4" s="8">
        <f t="shared" si="0"/>
        <v>9000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$157,"止损计划",持仓跟踪!$B$2:$B$157,A4,持仓跟踪!$AC$2:$AC$157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9000</v>
      </c>
      <c r="I4" s="15">
        <v>42684</v>
      </c>
      <c r="J4" s="10">
        <v>4.5</v>
      </c>
      <c r="K4" s="5">
        <f>IF(A4="","",IFERROR(LOOKUP(2,1/((持仓跟踪!$B$2:$B$157=A4)*(持仓跟踪!$X$2:$X$157="执行卖出")*(持仓跟踪!$Y$2:$Y$157&lt;&gt;"")),持仓跟踪!$Y$2:$Y$157),""))</f>
        <v>3.69</v>
      </c>
      <c r="L4" s="8">
        <f>IF(A4="","",IFERROR(LOOKUP(2,1/((持仓跟踪!$B$2:$B$157=A4)*(持仓跟踪!$X$2:$X$157="执行卖出")*(持仓跟踪!$Z$2:$Z$157&lt;&gt;"")),持仓跟踪!$Z$2:$Z$157),""))</f>
        <v>9000</v>
      </c>
      <c r="M4" s="18">
        <f>IF(A4="","",IFERROR(LOOKUP(2,1/((持仓跟踪!$B$2:$B$157=A4)*(持仓跟踪!$X$2:$X$157="执行卖出")*(持仓跟踪!$H$2:$H$157&lt;&gt;"")),持仓跟踪!$H$2:$H$157),""))</f>
        <v>42716</v>
      </c>
      <c r="N4" s="10">
        <v>3.7</v>
      </c>
      <c r="O4" s="10"/>
      <c r="P4" s="5" t="str">
        <f>IF(A4="","",IFERROR(LOOKUP(2,1/((持仓跟踪!$B$2:$B$157=A4)*(持仓跟踪!$X$2:$X$157="执行卖出")*(持仓跟踪!$AA$2:$AA$157&lt;&gt;"")),持仓跟踪!$AA$2:$AA$157),""))</f>
        <v/>
      </c>
      <c r="Q4" s="2"/>
      <c r="R4" s="2"/>
      <c r="S4" s="2"/>
      <c r="T4" s="2"/>
      <c r="U4" s="7">
        <f t="shared" si="1"/>
        <v>0.14503816793893126</v>
      </c>
      <c r="V4" s="7">
        <f t="shared" si="2"/>
        <v>5.8524173027989818E-2</v>
      </c>
      <c r="W4" s="17">
        <f t="shared" si="3"/>
        <v>2.4782608695652169</v>
      </c>
      <c r="X4" s="5">
        <f t="shared" si="4"/>
        <v>-2160</v>
      </c>
      <c r="Y4" s="7">
        <f t="shared" si="5"/>
        <v>-6.1068702290076333E-2</v>
      </c>
      <c r="Z4" s="7">
        <f>IF(OR(AE4="",多次统计数据!$B$8=""),"",AE4-多次统计数据!$B$8)</f>
        <v>-6.6429750539675786E-2</v>
      </c>
      <c r="AA4" s="11">
        <f t="shared" si="6"/>
        <v>32</v>
      </c>
      <c r="AB4" s="7">
        <f>IF(OR(A4="",多次统计数据!$B$8="",多次统计数据!$B$6&lt;=0,多次统计数据!$B$6&gt;=1),"",1-POWER(1+多次统计数据!$B$8,-多次统计数据!$B$6/(1-多次统计数据!$B$6)))</f>
        <v>3.2931548535292232E-2</v>
      </c>
      <c r="AC4" s="8" t="str">
        <f>IF(OR(AB4="",多次统计数据!$B$9=""),"",IF(多次统计数据!$B$9&lt;AB4,"低于上限","达到或超过上限"))</f>
        <v>低于上限</v>
      </c>
      <c r="AD4" s="2" t="s">
        <v>223</v>
      </c>
      <c r="AE4" s="7">
        <f t="shared" si="7"/>
        <v>-2.0770029616523713E-2</v>
      </c>
      <c r="AG4" s="2" t="s">
        <v>211</v>
      </c>
      <c r="AH4" s="2" t="s">
        <v>213</v>
      </c>
      <c r="AI4" s="13" t="s">
        <v>216</v>
      </c>
      <c r="AJ4" s="8" t="str">
        <f t="shared" si="8"/>
        <v>匹配</v>
      </c>
      <c r="AK4" s="10"/>
      <c r="AL4" s="12"/>
      <c r="AM4" s="10"/>
      <c r="AN4" s="12"/>
      <c r="AO4" s="5">
        <f t="shared" si="9"/>
        <v>3.93</v>
      </c>
      <c r="AP4" s="11">
        <f t="shared" si="10"/>
        <v>9000</v>
      </c>
      <c r="AQ4" s="5">
        <f>IF(A4="","",IF(M4&lt;&gt;"",0,IF(OR(H4="",N4=""),"",MAX(E4-MAX(N4,IFERROR(SUMPRODUCT(MAX(((持仓跟踪!$A$2:$A$157="每日跟踪")*(持仓跟踪!$B$2:$B$157=A4))*持仓跟踪!$S$2:$S$157)),0)),0)*H4+IF(OR(AK4="",AL4=""),0,MAX(AK4-MAX(N4,IFERROR(SUMPRODUCT(MAX(((持仓跟踪!$A$2:$A$157="每日跟踪")*(持仓跟踪!$B$2:$B$157=A4))*持仓跟踪!$S$2:$S$157)),0)),0)*AL4)+IF(OR(AM4="",AN4=""),0,MAX(AM4-MAX(N4,IFERROR(SUMPRODUCT(MAX(((持仓跟踪!$A$2:$A$157="每日跟踪")*(持仓跟踪!$B$2:$B$157=A4))*持仓跟踪!$S$2:$S$157)),0)),0)*AN4))))</f>
        <v>0</v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$88)&gt;账户数据!$B$7,"违规：超过账户风险上限","通过")))))))))</f>
        <v>通过</v>
      </c>
    </row>
    <row r="5" spans="1:44" x14ac:dyDescent="0.15">
      <c r="A5" s="2">
        <v>4</v>
      </c>
      <c r="B5" s="13" t="s">
        <v>210</v>
      </c>
      <c r="C5" s="10">
        <v>101836</v>
      </c>
      <c r="D5" s="6">
        <v>0.02</v>
      </c>
      <c r="E5" s="10">
        <v>3.4</v>
      </c>
      <c r="F5" s="8">
        <f t="shared" si="0"/>
        <v>10100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$157,"止损计划",持仓跟踪!$B$2:$B$157,A5,持仓跟踪!$AC$2:$AC$157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10100</v>
      </c>
      <c r="I5" s="15">
        <v>42825</v>
      </c>
      <c r="J5" s="10">
        <v>3.7</v>
      </c>
      <c r="K5" s="5">
        <v>3.49</v>
      </c>
      <c r="L5" s="8">
        <f>IF(A5="","",IFERROR(LOOKUP(2,1/((持仓跟踪!$B$2:$B$157=A5)*(持仓跟踪!$X$2:$X$157="执行卖出")*(持仓跟踪!$Z$2:$Z$157&lt;&gt;"")),持仓跟踪!$Z$2:$Z$157),""))</f>
        <v>10100</v>
      </c>
      <c r="M5" s="18">
        <f>IF(A5="","",IFERROR(LOOKUP(2,1/((持仓跟踪!$B$2:$B$157=A5)*(持仓跟踪!$X$2:$X$157="执行卖出")*(持仓跟踪!$H$2:$H$157&lt;&gt;"")),持仓跟踪!$H$2:$H$157),""))</f>
        <v>42838</v>
      </c>
      <c r="N5" s="10">
        <v>3.2</v>
      </c>
      <c r="O5" s="10"/>
      <c r="P5" s="5" t="str">
        <f>IF(A5="","",IFERROR(LOOKUP(2,1/((持仓跟踪!$B$2:$B$157=A5)*(持仓跟踪!$X$2:$X$157="执行卖出")*(持仓跟踪!$AA$2:$AA$157&lt;&gt;"")),持仓跟踪!$AA$2:$AA$157),""))</f>
        <v/>
      </c>
      <c r="Q5" s="2"/>
      <c r="R5" s="2"/>
      <c r="S5" s="2"/>
      <c r="T5" s="2"/>
      <c r="U5" s="7">
        <f t="shared" si="1"/>
        <v>8.8235294117647134E-2</v>
      </c>
      <c r="V5" s="7">
        <f t="shared" si="2"/>
        <v>5.8823529411764629E-2</v>
      </c>
      <c r="W5" s="17">
        <f t="shared" si="3"/>
        <v>1.5000000000000033</v>
      </c>
      <c r="X5" s="5">
        <f t="shared" si="4"/>
        <v>909</v>
      </c>
      <c r="Y5" s="7">
        <f t="shared" si="5"/>
        <v>2.6470588235294117E-2</v>
      </c>
      <c r="Z5" s="7">
        <f>IF(OR(AE5="",多次统计数据!$B$8=""),"",AE5-多次统计数据!$B$8)</f>
        <v>-3.6733604422111182E-2</v>
      </c>
      <c r="AA5" s="11">
        <f t="shared" si="6"/>
        <v>13</v>
      </c>
      <c r="AB5" s="7">
        <f>IF(OR(A5="",多次统计数据!$B$8="",多次统计数据!$B$6&lt;=0,多次统计数据!$B$6&gt;=1),"",1-POWER(1+多次统计数据!$B$8,-多次统计数据!$B$6/(1-多次统计数据!$B$6)))</f>
        <v>3.2931548535292232E-2</v>
      </c>
      <c r="AC5" s="8" t="str">
        <f>IF(OR(AB5="",多次统计数据!$B$9=""),"",IF(多次统计数据!$B$9&lt;AB5,"低于上限","达到或超过上限"))</f>
        <v>低于上限</v>
      </c>
      <c r="AD5" s="2" t="s">
        <v>229</v>
      </c>
      <c r="AE5" s="7">
        <f t="shared" si="7"/>
        <v>8.9261165010408889E-3</v>
      </c>
      <c r="AG5" s="2" t="s">
        <v>211</v>
      </c>
      <c r="AH5" s="2" t="s">
        <v>213</v>
      </c>
      <c r="AI5" s="2" t="s">
        <v>221</v>
      </c>
      <c r="AJ5" s="8" t="str">
        <f t="shared" si="8"/>
        <v>匹配</v>
      </c>
      <c r="AK5" s="10"/>
      <c r="AL5" s="12"/>
      <c r="AM5" s="10"/>
      <c r="AN5" s="12"/>
      <c r="AO5" s="5">
        <f t="shared" si="9"/>
        <v>3.4</v>
      </c>
      <c r="AP5" s="11">
        <f t="shared" si="10"/>
        <v>10100</v>
      </c>
      <c r="AQ5" s="5">
        <f>IF(A5="","",IF(M5&lt;&gt;"",0,IF(OR(H5="",N5=""),"",MAX(E5-MAX(N5,IFERROR(SUMPRODUCT(MAX(((持仓跟踪!$A$2:$A$157="每日跟踪")*(持仓跟踪!$B$2:$B$157=A5))*持仓跟踪!$S$2:$S$157)),0)),0)*H5+IF(OR(AK5="",AL5=""),0,MAX(AK5-MAX(N5,IFERROR(SUMPRODUCT(MAX(((持仓跟踪!$A$2:$A$157="每日跟踪")*(持仓跟踪!$B$2:$B$157=A5))*持仓跟踪!$S$2:$S$157)),0)),0)*AL5)+IF(OR(AM5="",AN5=""),0,MAX(AM5-MAX(N5,IFERROR(SUMPRODUCT(MAX(((持仓跟踪!$A$2:$A$157="每日跟踪")*(持仓跟踪!$B$2:$B$157=A5))*持仓跟踪!$S$2:$S$157)),0)),0)*AN5))))</f>
        <v>0</v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$88)&gt;账户数据!$B$7,"违规：超过账户风险上限","通过")))))))))</f>
        <v>通过</v>
      </c>
    </row>
    <row r="6" spans="1:44" x14ac:dyDescent="0.15">
      <c r="A6" s="2">
        <v>5</v>
      </c>
      <c r="B6" s="13" t="s">
        <v>210</v>
      </c>
      <c r="C6" s="10">
        <v>102745</v>
      </c>
      <c r="D6" s="6">
        <v>0.02</v>
      </c>
      <c r="E6" s="10">
        <v>2.87</v>
      </c>
      <c r="F6" s="8">
        <f t="shared" si="0"/>
        <v>17100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$157,"止损计划",持仓跟踪!$B$2:$B$157,A6,持仓跟踪!$AC$2:$AC$157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17100</v>
      </c>
      <c r="I6" s="15">
        <v>43060</v>
      </c>
      <c r="J6" s="10">
        <v>3.2</v>
      </c>
      <c r="K6" s="5">
        <v>2.74</v>
      </c>
      <c r="L6" s="8">
        <v>17100</v>
      </c>
      <c r="M6" s="18">
        <f>IF(A6="","",IFERROR(LOOKUP(2,1/((持仓跟踪!$B$2:$B$157=A6)*(持仓跟踪!$X$2:$X$157="执行卖出")*(持仓跟踪!$H$2:$H$157&lt;&gt;"")),持仓跟踪!$H$2:$H$157),""))</f>
        <v>43074</v>
      </c>
      <c r="N6" s="10">
        <v>2.75</v>
      </c>
      <c r="O6" s="10"/>
      <c r="P6" s="5" t="str">
        <f>IF(A6="","",IFERROR(LOOKUP(2,1/((持仓跟踪!$B$2:$B$157=A6)*(持仓跟踪!$X$2:$X$157="执行卖出")*(持仓跟踪!$AA$2:$AA$157&lt;&gt;"")),持仓跟踪!$AA$2:$AA$157),""))</f>
        <v/>
      </c>
      <c r="Q6" s="2"/>
      <c r="R6" s="2"/>
      <c r="S6" s="2"/>
      <c r="T6" s="2"/>
      <c r="U6" s="7">
        <f t="shared" si="1"/>
        <v>0.11498257839721257</v>
      </c>
      <c r="V6" s="7">
        <f t="shared" si="2"/>
        <v>4.1811846689895509E-2</v>
      </c>
      <c r="W6" s="17">
        <f t="shared" si="3"/>
        <v>2.7499999999999982</v>
      </c>
      <c r="X6" s="5">
        <f t="shared" si="4"/>
        <v>-2222.9999999999927</v>
      </c>
      <c r="Y6" s="7">
        <f t="shared" si="5"/>
        <v>-4.5296167247386609E-2</v>
      </c>
      <c r="Z6" s="7">
        <f>IF(OR(AE6="",多次统计数据!$B$8=""),"",AE6-多次统计数据!$B$8)</f>
        <v>-6.7295810270565498E-2</v>
      </c>
      <c r="AA6" s="11">
        <f t="shared" si="6"/>
        <v>14</v>
      </c>
      <c r="AB6" s="7">
        <f>IF(OR(A6="",多次统计数据!$B$8="",多次统计数据!$B$6&lt;=0,多次统计数据!$B$6&gt;=1),"",1-POWER(1+多次统计数据!$B$8,-多次统计数据!$B$6/(1-多次统计数据!$B$6)))</f>
        <v>3.2931548535292232E-2</v>
      </c>
      <c r="AC6" s="8" t="str">
        <f>IF(OR(AB6="",多次统计数据!$B$9=""),"",IF(多次统计数据!$B$9&lt;AB6,"低于上限","达到或超过上限"))</f>
        <v>低于上限</v>
      </c>
      <c r="AD6" s="2" t="s">
        <v>229</v>
      </c>
      <c r="AE6" s="7">
        <f t="shared" si="7"/>
        <v>-2.1636089347413429E-2</v>
      </c>
      <c r="AG6" s="2" t="s">
        <v>211</v>
      </c>
      <c r="AH6" s="2" t="s">
        <v>213</v>
      </c>
      <c r="AI6" s="13" t="s">
        <v>224</v>
      </c>
      <c r="AJ6" s="8" t="str">
        <f t="shared" si="8"/>
        <v>匹配</v>
      </c>
      <c r="AK6" s="10"/>
      <c r="AL6" s="12"/>
      <c r="AM6" s="10"/>
      <c r="AN6" s="12"/>
      <c r="AO6" s="5">
        <f t="shared" si="9"/>
        <v>2.87</v>
      </c>
      <c r="AP6" s="11">
        <f t="shared" si="10"/>
        <v>17100</v>
      </c>
      <c r="AQ6" s="5">
        <f>IF(A6="","",IF(M6&lt;&gt;"",0,IF(OR(H6="",N6=""),"",MAX(E6-MAX(N6,IFERROR(SUMPRODUCT(MAX(((持仓跟踪!$A$2:$A$157="每日跟踪")*(持仓跟踪!$B$2:$B$157=A6))*持仓跟踪!$S$2:$S$157)),0)),0)*H6+IF(OR(AK6="",AL6=""),0,MAX(AK6-MAX(N6,IFERROR(SUMPRODUCT(MAX(((持仓跟踪!$A$2:$A$157="每日跟踪")*(持仓跟踪!$B$2:$B$157=A6))*持仓跟踪!$S$2:$S$157)),0)),0)*AL6)+IF(OR(AM6="",AN6=""),0,MAX(AM6-MAX(N6,IFERROR(SUMPRODUCT(MAX(((持仓跟踪!$A$2:$A$157="每日跟踪")*(持仓跟踪!$B$2:$B$157=A6))*持仓跟踪!$S$2:$S$157)),0)),0)*AN6))))</f>
        <v>0</v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$88)&gt;账户数据!$B$7,"违规：超过账户风险上限","通过")))))))))</f>
        <v>通过</v>
      </c>
    </row>
    <row r="7" spans="1:44" x14ac:dyDescent="0.15">
      <c r="A7" s="2">
        <v>6</v>
      </c>
      <c r="B7" s="13" t="s">
        <v>210</v>
      </c>
      <c r="C7" s="10">
        <v>100522</v>
      </c>
      <c r="D7" s="6">
        <v>0.02</v>
      </c>
      <c r="E7" s="10">
        <v>2.57</v>
      </c>
      <c r="F7" s="8">
        <f t="shared" si="0"/>
        <v>11800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$157,"止损计划",持仓跟踪!$B$2:$B$157,A7,持仓跟踪!$AC$2:$AC$157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11800</v>
      </c>
      <c r="I7" s="15">
        <v>43173</v>
      </c>
      <c r="J7" s="10">
        <v>3</v>
      </c>
      <c r="K7" s="5">
        <f>IF(A7="","",IFERROR(LOOKUP(2,1/((持仓跟踪!$B$2:$B$157=A7)*(持仓跟踪!$X$2:$X$157="执行卖出")*(持仓跟踪!$Y$2:$Y$157&lt;&gt;"")),持仓跟踪!$Y$2:$Y$157),""))</f>
        <v>2.38</v>
      </c>
      <c r="L7" s="8">
        <f>IF(A7="","",IFERROR(LOOKUP(2,1/((持仓跟踪!$B$2:$B$157=A7)*(持仓跟踪!$X$2:$X$157="执行卖出")*(持仓跟踪!$Z$2:$Z$157&lt;&gt;"")),持仓跟踪!$Z$2:$Z$157),""))</f>
        <v>11800</v>
      </c>
      <c r="M7" s="18">
        <f>IF(A7="","",IFERROR(LOOKUP(2,1/((持仓跟踪!$B$2:$B$157=A7)*(持仓跟踪!$X$2:$X$157="执行卖出")*(持仓跟踪!$H$2:$H$157&lt;&gt;"")),持仓跟踪!$H$2:$H$157),""))</f>
        <v>43182</v>
      </c>
      <c r="N7" s="10">
        <v>2.4</v>
      </c>
      <c r="O7" s="10"/>
      <c r="P7" s="5" t="str">
        <f>IF(A7="","",IFERROR(LOOKUP(2,1/((持仓跟踪!$B$2:$B$157=A7)*(持仓跟踪!$X$2:$X$157="执行卖出")*(持仓跟踪!$AA$2:$AA$157&lt;&gt;"")),持仓跟踪!$AA$2:$AA$157),""))</f>
        <v/>
      </c>
      <c r="Q7" s="2"/>
      <c r="R7" s="2"/>
      <c r="S7" s="2"/>
      <c r="T7" s="2"/>
      <c r="U7" s="7">
        <f t="shared" si="1"/>
        <v>0.16731517509727634</v>
      </c>
      <c r="V7" s="7">
        <f t="shared" si="2"/>
        <v>6.6147859922178961E-2</v>
      </c>
      <c r="W7" s="17">
        <f t="shared" si="3"/>
        <v>2.5294117647058845</v>
      </c>
      <c r="X7" s="5">
        <f t="shared" si="4"/>
        <v>-2241.9999999999964</v>
      </c>
      <c r="Y7" s="7">
        <f t="shared" si="5"/>
        <v>-7.3929961089494053E-2</v>
      </c>
      <c r="Z7" s="7">
        <f>IF(OR(AE7="",多次统计数据!$B$8=""),"",AE7-多次统计数据!$B$8)</f>
        <v>-6.7963296259894238E-2</v>
      </c>
      <c r="AA7" s="11">
        <f t="shared" si="6"/>
        <v>9</v>
      </c>
      <c r="AB7" s="7">
        <f>IF(OR(A7="",多次统计数据!$B$8="",多次统计数据!$B$6&lt;=0,多次统计数据!$B$6&gt;=1),"",1-POWER(1+多次统计数据!$B$8,-多次统计数据!$B$6/(1-多次统计数据!$B$6)))</f>
        <v>3.2931548535292232E-2</v>
      </c>
      <c r="AC7" s="8" t="str">
        <f>IF(OR(AB7="",多次统计数据!$B$9=""),"",IF(多次统计数据!$B$9&lt;AB7,"低于上限","达到或超过上限"))</f>
        <v>低于上限</v>
      </c>
      <c r="AD7" s="2" t="s">
        <v>229</v>
      </c>
      <c r="AE7" s="7">
        <f t="shared" si="7"/>
        <v>-2.2303575336742168E-2</v>
      </c>
      <c r="AG7" s="2" t="s">
        <v>211</v>
      </c>
      <c r="AH7" s="2" t="s">
        <v>213</v>
      </c>
      <c r="AI7" s="13" t="s">
        <v>227</v>
      </c>
      <c r="AJ7" s="8" t="str">
        <f t="shared" si="8"/>
        <v>匹配</v>
      </c>
      <c r="AK7" s="10"/>
      <c r="AL7" s="12"/>
      <c r="AM7" s="10"/>
      <c r="AN7" s="12"/>
      <c r="AO7" s="5">
        <f t="shared" si="9"/>
        <v>2.57</v>
      </c>
      <c r="AP7" s="11">
        <f t="shared" si="10"/>
        <v>11800</v>
      </c>
      <c r="AQ7" s="5">
        <f>IF(A7="","",IF(M7&lt;&gt;"",0,IF(OR(H7="",N7=""),"",MAX(E7-MAX(N7,IFERROR(SUMPRODUCT(MAX(((持仓跟踪!$A$2:$A$157="每日跟踪")*(持仓跟踪!$B$2:$B$157=A7))*持仓跟踪!$S$2:$S$157)),0)),0)*H7+IF(OR(AK7="",AL7=""),0,MAX(AK7-MAX(N7,IFERROR(SUMPRODUCT(MAX(((持仓跟踪!$A$2:$A$157="每日跟踪")*(持仓跟踪!$B$2:$B$157=A7))*持仓跟踪!$S$2:$S$157)),0)),0)*AL7)+IF(OR(AM7="",AN7=""),0,MAX(AM7-MAX(N7,IFERROR(SUMPRODUCT(MAX(((持仓跟踪!$A$2:$A$157="每日跟踪")*(持仓跟踪!$B$2:$B$157=A7))*持仓跟踪!$S$2:$S$157)),0)),0)*AN7))))</f>
        <v>0</v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$88)&gt;账户数据!$B$7,"违规：超过账户风险上限","通过")))))))))</f>
        <v>通过</v>
      </c>
    </row>
    <row r="8" spans="1:44" x14ac:dyDescent="0.15">
      <c r="A8" s="2">
        <v>7</v>
      </c>
      <c r="B8" s="13" t="s">
        <v>210</v>
      </c>
      <c r="C8" s="10">
        <v>98280</v>
      </c>
      <c r="D8" s="6">
        <v>0.02</v>
      </c>
      <c r="E8" s="10">
        <v>1.91</v>
      </c>
      <c r="F8" s="8">
        <f t="shared" si="0"/>
        <v>32700</v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$157,"止损计划",持仓跟踪!$B$2:$B$157,A8,持仓跟踪!$AC$2:$AC$157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32700</v>
      </c>
      <c r="I8" s="15">
        <v>43790</v>
      </c>
      <c r="J8" s="10">
        <v>2</v>
      </c>
      <c r="K8" s="5">
        <v>2.14</v>
      </c>
      <c r="L8" s="8">
        <f>IF(A8="","",IFERROR(LOOKUP(2,1/((持仓跟踪!$B$2:$B$157=A8)*(持仓跟踪!$X$2:$X$157="执行卖出")*(持仓跟踪!$Z$2:$Z$157&lt;&gt;"")),持仓跟踪!$Z$2:$Z$157),""))</f>
        <v>32700</v>
      </c>
      <c r="M8" s="18">
        <v>44391</v>
      </c>
      <c r="N8" s="10">
        <v>1.85</v>
      </c>
      <c r="O8" s="10"/>
      <c r="P8" s="5" t="str">
        <f>IF(A8="","",IFERROR(LOOKUP(2,1/((持仓跟踪!$B$2:$B$157=A8)*(持仓跟踪!$X$2:$X$157="执行卖出")*(持仓跟踪!$AA$2:$AA$157&lt;&gt;"")),持仓跟踪!$AA$2:$AA$157),""))</f>
        <v/>
      </c>
      <c r="Q8" s="2"/>
      <c r="R8" s="2"/>
      <c r="S8" s="2"/>
      <c r="T8" s="2"/>
      <c r="U8" s="7">
        <f t="shared" si="1"/>
        <v>4.7120418848167582E-2</v>
      </c>
      <c r="V8" s="7">
        <f t="shared" si="2"/>
        <v>3.1413612565444941E-2</v>
      </c>
      <c r="W8" s="17">
        <f t="shared" si="3"/>
        <v>1.5000000000000053</v>
      </c>
      <c r="X8" s="5">
        <f t="shared" si="4"/>
        <v>7521</v>
      </c>
      <c r="Y8" s="7">
        <f t="shared" si="5"/>
        <v>0.12041884816753927</v>
      </c>
      <c r="Z8" s="7">
        <f>IF(OR(AE8="",多次统计数据!$B$8=""),"",AE8-多次统计数据!$B$8)</f>
        <v>3.0866530603099462E-2</v>
      </c>
      <c r="AA8" s="11">
        <f t="shared" si="6"/>
        <v>601</v>
      </c>
      <c r="AB8" s="7">
        <f>IF(OR(A8="",多次统计数据!$B$8="",多次统计数据!$B$6&lt;=0,多次统计数据!$B$6&gt;=1),"",1-POWER(1+多次统计数据!$B$8,-多次统计数据!$B$6/(1-多次统计数据!$B$6)))</f>
        <v>3.2931548535292232E-2</v>
      </c>
      <c r="AC8" s="8" t="str">
        <f>IF(OR(AB8="",多次统计数据!$B$9=""),"",IF(多次统计数据!$B$9&lt;AB8,"低于上限","达到或超过上限"))</f>
        <v>低于上限</v>
      </c>
      <c r="AD8" s="2" t="s">
        <v>231</v>
      </c>
      <c r="AE8" s="7">
        <f t="shared" si="7"/>
        <v>7.6526251526251532E-2</v>
      </c>
      <c r="AF8" s="19" t="s">
        <v>232</v>
      </c>
      <c r="AG8" s="2" t="s">
        <v>211</v>
      </c>
      <c r="AH8" s="2" t="s">
        <v>213</v>
      </c>
      <c r="AI8" s="13" t="s">
        <v>230</v>
      </c>
      <c r="AJ8" s="8" t="str">
        <f t="shared" si="8"/>
        <v>匹配</v>
      </c>
      <c r="AK8" s="10"/>
      <c r="AL8" s="12"/>
      <c r="AM8" s="10"/>
      <c r="AN8" s="12"/>
      <c r="AO8" s="5">
        <f t="shared" si="9"/>
        <v>1.91</v>
      </c>
      <c r="AP8" s="11">
        <f t="shared" si="10"/>
        <v>32700</v>
      </c>
      <c r="AQ8" s="5">
        <f>IF(A8="","",IF(M8&lt;&gt;"",0,IF(OR(H8="",N8=""),"",MAX(E8-MAX(N8,IFERROR(SUMPRODUCT(MAX(((持仓跟踪!$A$2:$A$157="每日跟踪")*(持仓跟踪!$B$2:$B$157=A8))*持仓跟踪!$S$2:$S$157)),0)),0)*H8+IF(OR(AK8="",AL8=""),0,MAX(AK8-MAX(N8,IFERROR(SUMPRODUCT(MAX(((持仓跟踪!$A$2:$A$157="每日跟踪")*(持仓跟踪!$B$2:$B$157=A8))*持仓跟踪!$S$2:$S$157)),0)),0)*AL8)+IF(OR(AM8="",AN8=""),0,MAX(AM8-MAX(N8,IFERROR(SUMPRODUCT(MAX(((持仓跟踪!$A$2:$A$157="每日跟踪")*(持仓跟踪!$B$2:$B$157=A8))*持仓跟踪!$S$2:$S$157)),0)),0)*AN8))))</f>
        <v>0</v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$88)&gt;账户数据!$B$7,"违规：超过账户风险上限","通过")))))))))</f>
        <v>通过</v>
      </c>
    </row>
    <row r="9" spans="1:44" x14ac:dyDescent="0.15">
      <c r="A9" s="2"/>
      <c r="B9" s="2"/>
      <c r="C9" s="10"/>
      <c r="D9" s="6"/>
      <c r="E9" s="10"/>
      <c r="F9" s="8" t="str">
        <f t="shared" si="0"/>
        <v/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$157,"止损计划",持仓跟踪!$B$2:$B$157,A9,持仓跟踪!$AC$2:$AC$157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" s="2"/>
      <c r="I9" s="15"/>
      <c r="J9" s="10"/>
      <c r="K9" s="5" t="str">
        <f>IF(A9="","",IFERROR(LOOKUP(2,1/((持仓跟踪!$B$2:$B$157=A9)*(持仓跟踪!$X$2:$X$157="执行卖出")*(持仓跟踪!$Y$2:$Y$157&lt;&gt;"")),持仓跟踪!$Y$2:$Y$157),""))</f>
        <v/>
      </c>
      <c r="L9" s="8" t="str">
        <f>IF(A9="","",IFERROR(LOOKUP(2,1/((持仓跟踪!$B$2:$B$157=A9)*(持仓跟踪!$X$2:$X$157="执行卖出")*(持仓跟踪!$Z$2:$Z$157&lt;&gt;"")),持仓跟踪!$Z$2:$Z$157),""))</f>
        <v/>
      </c>
      <c r="M9" s="18" t="str">
        <f>IF(A9="","",IFERROR(LOOKUP(2,1/((持仓跟踪!$B$2:$B$157=A9)*(持仓跟踪!$X$2:$X$157="执行卖出")*(持仓跟踪!$H$2:$H$157&lt;&gt;"")),持仓跟踪!$H$2:$H$157),""))</f>
        <v/>
      </c>
      <c r="N9" s="10"/>
      <c r="O9" s="10"/>
      <c r="P9" s="5" t="str">
        <f>IF(A9="","",IFERROR(LOOKUP(2,1/((持仓跟踪!$B$2:$B$157=A9)*(持仓跟踪!$X$2:$X$157="执行卖出")*(持仓跟踪!$AA$2:$AA$157&lt;&gt;"")),持仓跟踪!$AA$2:$AA$157),""))</f>
        <v/>
      </c>
      <c r="Q9" s="2"/>
      <c r="R9" s="2"/>
      <c r="S9" s="2"/>
      <c r="T9" s="2"/>
      <c r="U9" s="7" t="str">
        <f t="shared" si="1"/>
        <v/>
      </c>
      <c r="V9" s="7" t="str">
        <f t="shared" si="2"/>
        <v/>
      </c>
      <c r="W9" s="17" t="str">
        <f t="shared" si="3"/>
        <v/>
      </c>
      <c r="X9" s="5" t="str">
        <f t="shared" si="4"/>
        <v/>
      </c>
      <c r="Y9" s="7" t="str">
        <f t="shared" si="5"/>
        <v/>
      </c>
      <c r="Z9" s="7" t="str">
        <f>IF(OR(AE9="",多次统计数据!$B$8=""),"",AE9-多次统计数据!$B$8)</f>
        <v/>
      </c>
      <c r="AA9" s="11" t="str">
        <f t="shared" si="6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7"/>
        <v/>
      </c>
      <c r="AG9" s="2"/>
      <c r="AH9" s="2"/>
      <c r="AI9" s="2"/>
      <c r="AJ9" s="8" t="str">
        <f t="shared" si="8"/>
        <v/>
      </c>
      <c r="AK9" s="10"/>
      <c r="AL9" s="12"/>
      <c r="AM9" s="10"/>
      <c r="AN9" s="12"/>
      <c r="AO9" s="5" t="str">
        <f t="shared" si="9"/>
        <v/>
      </c>
      <c r="AP9" s="11" t="str">
        <f t="shared" si="10"/>
        <v/>
      </c>
      <c r="AQ9" s="5" t="str">
        <f>IF(A9="","",IF(M9&lt;&gt;"",0,IF(OR(H9="",N9=""),"",MAX(E9-MAX(N9,IFERROR(SUMPRODUCT(MAX(((持仓跟踪!$A$2:$A$157="每日跟踪")*(持仓跟踪!$B$2:$B$157=A9))*持仓跟踪!$S$2:$S$157)),0)),0)*H9+IF(OR(AK9="",AL9=""),0,MAX(AK9-MAX(N9,IFERROR(SUMPRODUCT(MAX(((持仓跟踪!$A$2:$A$157="每日跟踪")*(持仓跟踪!$B$2:$B$157=A9))*持仓跟踪!$S$2:$S$157)),0)),0)*AL9)+IF(OR(AM9="",AN9=""),0,MAX(AM9-MAX(N9,IFERROR(SUMPRODUCT(MAX(((持仓跟踪!$A$2:$A$157="每日跟踪")*(持仓跟踪!$B$2:$B$157=A9))*持仓跟踪!$S$2:$S$157)),0)),0)*AN9))))</f>
        <v/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$88)&gt;账户数据!$B$7,"违规：超过账户风险上限","通过")))))))))</f>
        <v/>
      </c>
    </row>
    <row r="10" spans="1:44" x14ac:dyDescent="0.15">
      <c r="A10" s="2"/>
      <c r="B10" s="2"/>
      <c r="C10" s="10"/>
      <c r="D10" s="6"/>
      <c r="E10" s="10"/>
      <c r="F10" s="8" t="str">
        <f t="shared" si="0"/>
        <v/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$157,"止损计划",持仓跟踪!$B$2:$B$157,A10,持仓跟踪!$AC$2:$AC$157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" s="2"/>
      <c r="I10" s="15"/>
      <c r="J10" s="10"/>
      <c r="K10" s="5" t="str">
        <f>IF(A10="","",IFERROR(LOOKUP(2,1/((持仓跟踪!$B$2:$B$157=A10)*(持仓跟踪!$X$2:$X$157="执行卖出")*(持仓跟踪!$Y$2:$Y$157&lt;&gt;"")),持仓跟踪!$Y$2:$Y$157),""))</f>
        <v/>
      </c>
      <c r="L10" s="8" t="str">
        <f>IF(A10="","",IFERROR(LOOKUP(2,1/((持仓跟踪!$B$2:$B$157=A10)*(持仓跟踪!$X$2:$X$157="执行卖出")*(持仓跟踪!$Z$2:$Z$157&lt;&gt;"")),持仓跟踪!$Z$2:$Z$157),""))</f>
        <v/>
      </c>
      <c r="M10" s="18" t="str">
        <f>IF(A10="","",IFERROR(LOOKUP(2,1/((持仓跟踪!$B$2:$B$157=A10)*(持仓跟踪!$X$2:$X$157="执行卖出")*(持仓跟踪!$H$2:$H$157&lt;&gt;"")),持仓跟踪!$H$2:$H$157),""))</f>
        <v/>
      </c>
      <c r="N10" s="10"/>
      <c r="O10" s="10"/>
      <c r="P10" s="5" t="str">
        <f>IF(A10="","",IFERROR(LOOKUP(2,1/((持仓跟踪!$B$2:$B$157=A10)*(持仓跟踪!$X$2:$X$157="执行卖出")*(持仓跟踪!$AA$2:$AA$157&lt;&gt;"")),持仓跟踪!$AA$2:$AA$157),""))</f>
        <v/>
      </c>
      <c r="Q10" s="2"/>
      <c r="R10" s="2"/>
      <c r="S10" s="2"/>
      <c r="T10" s="2"/>
      <c r="U10" s="7" t="str">
        <f t="shared" si="1"/>
        <v/>
      </c>
      <c r="V10" s="7" t="str">
        <f t="shared" si="2"/>
        <v/>
      </c>
      <c r="W10" s="17" t="str">
        <f t="shared" si="3"/>
        <v/>
      </c>
      <c r="X10" s="5" t="str">
        <f t="shared" si="4"/>
        <v/>
      </c>
      <c r="Y10" s="7" t="str">
        <f t="shared" si="5"/>
        <v/>
      </c>
      <c r="Z10" s="7" t="str">
        <f>IF(OR(AE10="",多次统计数据!$B$8=""),"",AE10-多次统计数据!$B$8)</f>
        <v/>
      </c>
      <c r="AA10" s="11" t="str">
        <f t="shared" si="6"/>
        <v/>
      </c>
      <c r="AB10" s="7" t="str">
        <f>IF(OR(A10="",多次统计数据!$B$8="",多次统计数据!$B$6&lt;=0,多次统计数据!$B$6&gt;=1),"",1-POWER(1+多次统计数据!$B$8,-多次统计数据!$B$6/(1-多次统计数据!$B$6)))</f>
        <v/>
      </c>
      <c r="AC10" s="8" t="str">
        <f>IF(OR(AB10="",多次统计数据!$B$9=""),"",IF(多次统计数据!$B$9&lt;AB10,"低于上限","达到或超过上限"))</f>
        <v/>
      </c>
      <c r="AD10" s="2"/>
      <c r="AE10" s="7" t="str">
        <f t="shared" si="7"/>
        <v/>
      </c>
      <c r="AG10" s="2"/>
      <c r="AH10" s="2"/>
      <c r="AI10" s="2"/>
      <c r="AJ10" s="8" t="str">
        <f t="shared" si="8"/>
        <v/>
      </c>
      <c r="AK10" s="10"/>
      <c r="AL10" s="12"/>
      <c r="AM10" s="10"/>
      <c r="AN10" s="12"/>
      <c r="AO10" s="5" t="str">
        <f t="shared" si="9"/>
        <v/>
      </c>
      <c r="AP10" s="11" t="str">
        <f t="shared" si="10"/>
        <v/>
      </c>
      <c r="AQ10" s="5" t="str">
        <f>IF(A10="","",IF(M10&lt;&gt;"",0,IF(OR(H10="",N10=""),"",MAX(E10-MAX(N10,IFERROR(SUMPRODUCT(MAX(((持仓跟踪!$A$2:$A$157="每日跟踪")*(持仓跟踪!$B$2:$B$157=A10))*持仓跟踪!$S$2:$S$157)),0)),0)*H10+IF(OR(AK10="",AL10=""),0,MAX(AK10-MAX(N10,IFERROR(SUMPRODUCT(MAX(((持仓跟踪!$A$2:$A$157="每日跟踪")*(持仓跟踪!$B$2:$B$157=A10))*持仓跟踪!$S$2:$S$157)),0)),0)*AL10)+IF(OR(AM10="",AN10=""),0,MAX(AM10-MAX(N10,IFERROR(SUMPRODUCT(MAX(((持仓跟踪!$A$2:$A$157="每日跟踪")*(持仓跟踪!$B$2:$B$157=A10))*持仓跟踪!$S$2:$S$157)),0)),0)*AN10))))</f>
        <v/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$88)&gt;账户数据!$B$7,"违规：超过账户风险上限","通过")))))))))</f>
        <v/>
      </c>
    </row>
    <row r="11" spans="1:44" x14ac:dyDescent="0.15">
      <c r="A11" s="2"/>
      <c r="B11" s="2"/>
      <c r="C11" s="10"/>
      <c r="D11" s="6"/>
      <c r="E11" s="10"/>
      <c r="F11" s="8" t="str">
        <f t="shared" si="0"/>
        <v/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$157,"止损计划",持仓跟踪!$B$2:$B$157,A11,持仓跟踪!$AC$2:$AC$157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" s="2"/>
      <c r="I11" s="15"/>
      <c r="J11" s="10"/>
      <c r="K11" s="5" t="str">
        <f>IF(A11="","",IFERROR(LOOKUP(2,1/((持仓跟踪!$B$2:$B$157=A11)*(持仓跟踪!$X$2:$X$157="执行卖出")*(持仓跟踪!$Y$2:$Y$157&lt;&gt;"")),持仓跟踪!$Y$2:$Y$157),""))</f>
        <v/>
      </c>
      <c r="L11" s="8" t="str">
        <f>IF(A11="","",IFERROR(LOOKUP(2,1/((持仓跟踪!$B$2:$B$157=A11)*(持仓跟踪!$X$2:$X$157="执行卖出")*(持仓跟踪!$Z$2:$Z$157&lt;&gt;"")),持仓跟踪!$Z$2:$Z$157),""))</f>
        <v/>
      </c>
      <c r="M11" s="18" t="str">
        <f>IF(A11="","",IFERROR(LOOKUP(2,1/((持仓跟踪!$B$2:$B$157=A11)*(持仓跟踪!$X$2:$X$157="执行卖出")*(持仓跟踪!$H$2:$H$157&lt;&gt;"")),持仓跟踪!$H$2:$H$157),""))</f>
        <v/>
      </c>
      <c r="N11" s="10"/>
      <c r="O11" s="10"/>
      <c r="P11" s="5" t="str">
        <f>IF(A11="","",IFERROR(LOOKUP(2,1/((持仓跟踪!$B$2:$B$157=A11)*(持仓跟踪!$X$2:$X$157="执行卖出")*(持仓跟踪!$AA$2:$AA$157&lt;&gt;"")),持仓跟踪!$AA$2:$AA$157),""))</f>
        <v/>
      </c>
      <c r="Q11" s="2"/>
      <c r="R11" s="2"/>
      <c r="S11" s="2"/>
      <c r="T11" s="2"/>
      <c r="U11" s="7" t="str">
        <f t="shared" si="1"/>
        <v/>
      </c>
      <c r="V11" s="7" t="str">
        <f t="shared" si="2"/>
        <v/>
      </c>
      <c r="W11" s="17" t="str">
        <f t="shared" si="3"/>
        <v/>
      </c>
      <c r="X11" s="5" t="str">
        <f t="shared" si="4"/>
        <v/>
      </c>
      <c r="Y11" s="7" t="str">
        <f t="shared" si="5"/>
        <v/>
      </c>
      <c r="Z11" s="7" t="str">
        <f>IF(OR(AE11="",多次统计数据!$B$8=""),"",AE11-多次统计数据!$B$8)</f>
        <v/>
      </c>
      <c r="AA11" s="11" t="str">
        <f t="shared" si="6"/>
        <v/>
      </c>
      <c r="AB11" s="7" t="str">
        <f>IF(OR(A11="",多次统计数据!$B$8="",多次统计数据!$B$6&lt;=0,多次统计数据!$B$6&gt;=1),"",1-POWER(1+多次统计数据!$B$8,-多次统计数据!$B$6/(1-多次统计数据!$B$6)))</f>
        <v/>
      </c>
      <c r="AC11" s="8" t="str">
        <f>IF(OR(AB11="",多次统计数据!$B$9=""),"",IF(多次统计数据!$B$9&lt;AB11,"低于上限","达到或超过上限"))</f>
        <v/>
      </c>
      <c r="AD11" s="2"/>
      <c r="AE11" s="7" t="str">
        <f t="shared" si="7"/>
        <v/>
      </c>
      <c r="AG11" s="2"/>
      <c r="AH11" s="2"/>
      <c r="AI11" s="2"/>
      <c r="AJ11" s="8" t="str">
        <f t="shared" si="8"/>
        <v/>
      </c>
      <c r="AK11" s="10"/>
      <c r="AL11" s="12"/>
      <c r="AM11" s="10"/>
      <c r="AN11" s="12"/>
      <c r="AO11" s="5" t="str">
        <f t="shared" si="9"/>
        <v/>
      </c>
      <c r="AP11" s="11" t="str">
        <f t="shared" si="10"/>
        <v/>
      </c>
      <c r="AQ11" s="5" t="str">
        <f>IF(A11="","",IF(M11&lt;&gt;"",0,IF(OR(H11="",N11=""),"",MAX(E11-MAX(N11,IFERROR(SUMPRODUCT(MAX(((持仓跟踪!$A$2:$A$157="每日跟踪")*(持仓跟踪!$B$2:$B$157=A11))*持仓跟踪!$S$2:$S$157)),0)),0)*H11+IF(OR(AK11="",AL11=""),0,MAX(AK11-MAX(N11,IFERROR(SUMPRODUCT(MAX(((持仓跟踪!$A$2:$A$157="每日跟踪")*(持仓跟踪!$B$2:$B$157=A11))*持仓跟踪!$S$2:$S$157)),0)),0)*AL11)+IF(OR(AM11="",AN11=""),0,MAX(AM11-MAX(N11,IFERROR(SUMPRODUCT(MAX(((持仓跟踪!$A$2:$A$157="每日跟踪")*(持仓跟踪!$B$2:$B$157=A11))*持仓跟踪!$S$2:$S$157)),0)),0)*AN11))))</f>
        <v/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$88)&gt;账户数据!$B$7,"违规：超过账户风险上限","通过")))))))))</f>
        <v/>
      </c>
    </row>
    <row r="12" spans="1:44" x14ac:dyDescent="0.15">
      <c r="A12" s="2"/>
      <c r="B12" s="2"/>
      <c r="C12" s="10"/>
      <c r="D12" s="6"/>
      <c r="E12" s="10"/>
      <c r="F12" s="8" t="str">
        <f t="shared" si="0"/>
        <v/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$157,"止损计划",持仓跟踪!$B$2:$B$157,A12,持仓跟踪!$AC$2:$AC$157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" s="2"/>
      <c r="I12" s="15"/>
      <c r="J12" s="10"/>
      <c r="K12" s="5" t="str">
        <f>IF(A12="","",IFERROR(LOOKUP(2,1/((持仓跟踪!$B$2:$B$157=A12)*(持仓跟踪!$X$2:$X$157="执行卖出")*(持仓跟踪!$Y$2:$Y$157&lt;&gt;"")),持仓跟踪!$Y$2:$Y$157),""))</f>
        <v/>
      </c>
      <c r="L12" s="8" t="str">
        <f>IF(A12="","",IFERROR(LOOKUP(2,1/((持仓跟踪!$B$2:$B$157=A12)*(持仓跟踪!$X$2:$X$157="执行卖出")*(持仓跟踪!$Z$2:$Z$157&lt;&gt;"")),持仓跟踪!$Z$2:$Z$157),""))</f>
        <v/>
      </c>
      <c r="M12" s="18" t="str">
        <f>IF(A12="","",IFERROR(LOOKUP(2,1/((持仓跟踪!$B$2:$B$157=A12)*(持仓跟踪!$X$2:$X$157="执行卖出")*(持仓跟踪!$H$2:$H$157&lt;&gt;"")),持仓跟踪!$H$2:$H$157),""))</f>
        <v/>
      </c>
      <c r="N12" s="10"/>
      <c r="O12" s="10"/>
      <c r="P12" s="5" t="str">
        <f>IF(A12="","",IFERROR(LOOKUP(2,1/((持仓跟踪!$B$2:$B$157=A12)*(持仓跟踪!$X$2:$X$157="执行卖出")*(持仓跟踪!$AA$2:$AA$157&lt;&gt;"")),持仓跟踪!$AA$2:$AA$157),""))</f>
        <v/>
      </c>
      <c r="Q12" s="2"/>
      <c r="R12" s="2"/>
      <c r="S12" s="2"/>
      <c r="T12" s="2"/>
      <c r="U12" s="7" t="str">
        <f t="shared" si="1"/>
        <v/>
      </c>
      <c r="V12" s="7" t="str">
        <f t="shared" si="2"/>
        <v/>
      </c>
      <c r="W12" s="17" t="str">
        <f t="shared" si="3"/>
        <v/>
      </c>
      <c r="X12" s="5" t="str">
        <f t="shared" si="4"/>
        <v/>
      </c>
      <c r="Y12" s="7" t="str">
        <f t="shared" si="5"/>
        <v/>
      </c>
      <c r="Z12" s="7" t="str">
        <f>IF(OR(AE12="",多次统计数据!$B$8=""),"",AE12-多次统计数据!$B$8)</f>
        <v/>
      </c>
      <c r="AA12" s="11" t="str">
        <f t="shared" si="6"/>
        <v/>
      </c>
      <c r="AB12" s="7" t="str">
        <f>IF(OR(A12="",多次统计数据!$B$8="",多次统计数据!$B$6&lt;=0,多次统计数据!$B$6&gt;=1),"",1-POWER(1+多次统计数据!$B$8,-多次统计数据!$B$6/(1-多次统计数据!$B$6)))</f>
        <v/>
      </c>
      <c r="AC12" s="8" t="str">
        <f>IF(OR(AB12="",多次统计数据!$B$9=""),"",IF(多次统计数据!$B$9&lt;AB12,"低于上限","达到或超过上限"))</f>
        <v/>
      </c>
      <c r="AD12" s="2"/>
      <c r="AE12" s="7" t="str">
        <f t="shared" si="7"/>
        <v/>
      </c>
      <c r="AG12" s="2"/>
      <c r="AH12" s="2"/>
      <c r="AI12" s="2"/>
      <c r="AJ12" s="8" t="str">
        <f t="shared" si="8"/>
        <v/>
      </c>
      <c r="AK12" s="10"/>
      <c r="AL12" s="12"/>
      <c r="AM12" s="10"/>
      <c r="AN12" s="12"/>
      <c r="AO12" s="5" t="str">
        <f t="shared" si="9"/>
        <v/>
      </c>
      <c r="AP12" s="11" t="str">
        <f t="shared" si="10"/>
        <v/>
      </c>
      <c r="AQ12" s="5" t="str">
        <f>IF(A12="","",IF(M12&lt;&gt;"",0,IF(OR(H12="",N12=""),"",MAX(E12-MAX(N12,IFERROR(SUMPRODUCT(MAX(((持仓跟踪!$A$2:$A$157="每日跟踪")*(持仓跟踪!$B$2:$B$157=A12))*持仓跟踪!$S$2:$S$157)),0)),0)*H12+IF(OR(AK12="",AL12=""),0,MAX(AK12-MAX(N12,IFERROR(SUMPRODUCT(MAX(((持仓跟踪!$A$2:$A$157="每日跟踪")*(持仓跟踪!$B$2:$B$157=A12))*持仓跟踪!$S$2:$S$157)),0)),0)*AL12)+IF(OR(AM12="",AN12=""),0,MAX(AM12-MAX(N12,IFERROR(SUMPRODUCT(MAX(((持仓跟踪!$A$2:$A$157="每日跟踪")*(持仓跟踪!$B$2:$B$157=A12))*持仓跟踪!$S$2:$S$157)),0)),0)*AN12))))</f>
        <v/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$88)&gt;账户数据!$B$7,"违规：超过账户风险上限","通过")))))))))</f>
        <v/>
      </c>
    </row>
    <row r="13" spans="1:44" x14ac:dyDescent="0.15">
      <c r="A13" s="2"/>
      <c r="B13" s="2"/>
      <c r="C13" s="10"/>
      <c r="D13" s="6"/>
      <c r="E13" s="10"/>
      <c r="F13" s="8" t="str">
        <f t="shared" si="0"/>
        <v/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$157,"止损计划",持仓跟踪!$B$2:$B$157,A13,持仓跟踪!$AC$2:$AC$157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" s="2"/>
      <c r="I13" s="15"/>
      <c r="J13" s="10"/>
      <c r="K13" s="5" t="str">
        <f>IF(A13="","",IFERROR(LOOKUP(2,1/((持仓跟踪!$B$2:$B$157=A13)*(持仓跟踪!$X$2:$X$157="执行卖出")*(持仓跟踪!$Y$2:$Y$157&lt;&gt;"")),持仓跟踪!$Y$2:$Y$157),""))</f>
        <v/>
      </c>
      <c r="L13" s="8" t="str">
        <f>IF(A13="","",IFERROR(LOOKUP(2,1/((持仓跟踪!$B$2:$B$157=A13)*(持仓跟踪!$X$2:$X$157="执行卖出")*(持仓跟踪!$Z$2:$Z$157&lt;&gt;"")),持仓跟踪!$Z$2:$Z$157),""))</f>
        <v/>
      </c>
      <c r="M13" s="18" t="str">
        <f>IF(A13="","",IFERROR(LOOKUP(2,1/((持仓跟踪!$B$2:$B$157=A13)*(持仓跟踪!$X$2:$X$157="执行卖出")*(持仓跟踪!$H$2:$H$157&lt;&gt;"")),持仓跟踪!$H$2:$H$157),""))</f>
        <v/>
      </c>
      <c r="N13" s="10"/>
      <c r="O13" s="10"/>
      <c r="P13" s="5" t="str">
        <f>IF(A13="","",IFERROR(LOOKUP(2,1/((持仓跟踪!$B$2:$B$157=A13)*(持仓跟踪!$X$2:$X$157="执行卖出")*(持仓跟踪!$AA$2:$AA$157&lt;&gt;"")),持仓跟踪!$AA$2:$AA$157),""))</f>
        <v/>
      </c>
      <c r="Q13" s="2"/>
      <c r="R13" s="2"/>
      <c r="S13" s="2"/>
      <c r="T13" s="2"/>
      <c r="U13" s="7" t="str">
        <f t="shared" si="1"/>
        <v/>
      </c>
      <c r="V13" s="7" t="str">
        <f t="shared" si="2"/>
        <v/>
      </c>
      <c r="W13" s="17" t="str">
        <f t="shared" si="3"/>
        <v/>
      </c>
      <c r="X13" s="5" t="str">
        <f t="shared" si="4"/>
        <v/>
      </c>
      <c r="Y13" s="7" t="str">
        <f t="shared" si="5"/>
        <v/>
      </c>
      <c r="Z13" s="7" t="str">
        <f>IF(OR(AE13="",多次统计数据!$B$8=""),"",AE13-多次统计数据!$B$8)</f>
        <v/>
      </c>
      <c r="AA13" s="11" t="str">
        <f t="shared" si="6"/>
        <v/>
      </c>
      <c r="AB13" s="7" t="str">
        <f>IF(OR(A13="",多次统计数据!$B$8="",多次统计数据!$B$6&lt;=0,多次统计数据!$B$6&gt;=1),"",1-POWER(1+多次统计数据!$B$8,-多次统计数据!$B$6/(1-多次统计数据!$B$6)))</f>
        <v/>
      </c>
      <c r="AC13" s="8" t="str">
        <f>IF(OR(AB13="",多次统计数据!$B$9=""),"",IF(多次统计数据!$B$9&lt;AB13,"低于上限","达到或超过上限"))</f>
        <v/>
      </c>
      <c r="AD13" s="2"/>
      <c r="AE13" s="7" t="str">
        <f t="shared" si="7"/>
        <v/>
      </c>
      <c r="AG13" s="2"/>
      <c r="AH13" s="2"/>
      <c r="AI13" s="2"/>
      <c r="AJ13" s="8" t="str">
        <f t="shared" si="8"/>
        <v/>
      </c>
      <c r="AK13" s="10"/>
      <c r="AL13" s="12"/>
      <c r="AM13" s="10"/>
      <c r="AN13" s="12"/>
      <c r="AO13" s="5" t="str">
        <f t="shared" si="9"/>
        <v/>
      </c>
      <c r="AP13" s="11" t="str">
        <f t="shared" si="10"/>
        <v/>
      </c>
      <c r="AQ13" s="5" t="str">
        <f>IF(A13="","",IF(M13&lt;&gt;"",0,IF(OR(H13="",N13=""),"",MAX(E13-MAX(N13,IFERROR(SUMPRODUCT(MAX(((持仓跟踪!$A$2:$A$157="每日跟踪")*(持仓跟踪!$B$2:$B$157=A13))*持仓跟踪!$S$2:$S$157)),0)),0)*H13+IF(OR(AK13="",AL13=""),0,MAX(AK13-MAX(N13,IFERROR(SUMPRODUCT(MAX(((持仓跟踪!$A$2:$A$157="每日跟踪")*(持仓跟踪!$B$2:$B$157=A13))*持仓跟踪!$S$2:$S$157)),0)),0)*AL13)+IF(OR(AM13="",AN13=""),0,MAX(AM13-MAX(N13,IFERROR(SUMPRODUCT(MAX(((持仓跟踪!$A$2:$A$157="每日跟踪")*(持仓跟踪!$B$2:$B$157=A13))*持仓跟踪!$S$2:$S$157)),0)),0)*AN13))))</f>
        <v/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$88)&gt;账户数据!$B$7,"违规：超过账户风险上限","通过")))))))))</f>
        <v/>
      </c>
    </row>
    <row r="14" spans="1:44" x14ac:dyDescent="0.15">
      <c r="A14" s="2"/>
      <c r="B14" s="2"/>
      <c r="C14" s="10"/>
      <c r="D14" s="6"/>
      <c r="E14" s="10"/>
      <c r="F14" s="8" t="str">
        <f t="shared" si="0"/>
        <v/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$157,"止损计划",持仓跟踪!$B$2:$B$157,A14,持仓跟踪!$AC$2:$AC$157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" s="2"/>
      <c r="I14" s="15"/>
      <c r="J14" s="10"/>
      <c r="K14" s="5" t="str">
        <f>IF(A14="","",IFERROR(LOOKUP(2,1/((持仓跟踪!$B$2:$B$157=A14)*(持仓跟踪!$X$2:$X$157="执行卖出")*(持仓跟踪!$Y$2:$Y$157&lt;&gt;"")),持仓跟踪!$Y$2:$Y$157),""))</f>
        <v/>
      </c>
      <c r="L14" s="8" t="str">
        <f>IF(A14="","",IFERROR(LOOKUP(2,1/((持仓跟踪!$B$2:$B$157=A14)*(持仓跟踪!$X$2:$X$157="执行卖出")*(持仓跟踪!$Z$2:$Z$157&lt;&gt;"")),持仓跟踪!$Z$2:$Z$157),""))</f>
        <v/>
      </c>
      <c r="M14" s="18" t="str">
        <f>IF(A14="","",IFERROR(LOOKUP(2,1/((持仓跟踪!$B$2:$B$157=A14)*(持仓跟踪!$X$2:$X$157="执行卖出")*(持仓跟踪!$H$2:$H$157&lt;&gt;"")),持仓跟踪!$H$2:$H$157),""))</f>
        <v/>
      </c>
      <c r="N14" s="10"/>
      <c r="O14" s="10"/>
      <c r="P14" s="5" t="str">
        <f>IF(A14="","",IFERROR(LOOKUP(2,1/((持仓跟踪!$B$2:$B$157=A14)*(持仓跟踪!$X$2:$X$157="执行卖出")*(持仓跟踪!$AA$2:$AA$157&lt;&gt;"")),持仓跟踪!$AA$2:$AA$157),""))</f>
        <v/>
      </c>
      <c r="Q14" s="2"/>
      <c r="R14" s="2"/>
      <c r="S14" s="2"/>
      <c r="T14" s="2"/>
      <c r="U14" s="7" t="str">
        <f t="shared" si="1"/>
        <v/>
      </c>
      <c r="V14" s="7" t="str">
        <f t="shared" si="2"/>
        <v/>
      </c>
      <c r="W14" s="17" t="str">
        <f t="shared" si="3"/>
        <v/>
      </c>
      <c r="X14" s="5" t="str">
        <f t="shared" si="4"/>
        <v/>
      </c>
      <c r="Y14" s="7" t="str">
        <f t="shared" si="5"/>
        <v/>
      </c>
      <c r="Z14" s="7" t="str">
        <f>IF(OR(AE14="",多次统计数据!$B$8=""),"",AE14-多次统计数据!$B$8)</f>
        <v/>
      </c>
      <c r="AA14" s="11" t="str">
        <f t="shared" si="6"/>
        <v/>
      </c>
      <c r="AB14" s="7" t="str">
        <f>IF(OR(A14="",多次统计数据!$B$8="",多次统计数据!$B$6&lt;=0,多次统计数据!$B$6&gt;=1),"",1-POWER(1+多次统计数据!$B$8,-多次统计数据!$B$6/(1-多次统计数据!$B$6)))</f>
        <v/>
      </c>
      <c r="AC14" s="8" t="str">
        <f>IF(OR(AB14="",多次统计数据!$B$9=""),"",IF(多次统计数据!$B$9&lt;AB14,"低于上限","达到或超过上限"))</f>
        <v/>
      </c>
      <c r="AD14" s="2"/>
      <c r="AE14" s="7" t="str">
        <f t="shared" si="7"/>
        <v/>
      </c>
      <c r="AG14" s="2"/>
      <c r="AH14" s="2"/>
      <c r="AI14" s="2"/>
      <c r="AJ14" s="8" t="str">
        <f t="shared" si="8"/>
        <v/>
      </c>
      <c r="AK14" s="10"/>
      <c r="AL14" s="12"/>
      <c r="AM14" s="10"/>
      <c r="AN14" s="12"/>
      <c r="AO14" s="5" t="str">
        <f t="shared" si="9"/>
        <v/>
      </c>
      <c r="AP14" s="11" t="str">
        <f t="shared" si="10"/>
        <v/>
      </c>
      <c r="AQ14" s="5" t="str">
        <f>IF(A14="","",IF(M14&lt;&gt;"",0,IF(OR(H14="",N14=""),"",MAX(E14-MAX(N14,IFERROR(SUMPRODUCT(MAX(((持仓跟踪!$A$2:$A$157="每日跟踪")*(持仓跟踪!$B$2:$B$157=A14))*持仓跟踪!$S$2:$S$157)),0)),0)*H14+IF(OR(AK14="",AL14=""),0,MAX(AK14-MAX(N14,IFERROR(SUMPRODUCT(MAX(((持仓跟踪!$A$2:$A$157="每日跟踪")*(持仓跟踪!$B$2:$B$157=A14))*持仓跟踪!$S$2:$S$157)),0)),0)*AL14)+IF(OR(AM14="",AN14=""),0,MAX(AM14-MAX(N14,IFERROR(SUMPRODUCT(MAX(((持仓跟踪!$A$2:$A$157="每日跟踪")*(持仓跟踪!$B$2:$B$157=A14))*持仓跟踪!$S$2:$S$157)),0)),0)*AN14))))</f>
        <v/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$88)&gt;账户数据!$B$7,"违规：超过账户风险上限","通过")))))))))</f>
        <v/>
      </c>
    </row>
    <row r="15" spans="1:44" x14ac:dyDescent="0.15">
      <c r="A15" s="2"/>
      <c r="B15" s="2"/>
      <c r="C15" s="10"/>
      <c r="D15" s="6"/>
      <c r="E15" s="10"/>
      <c r="F15" s="8" t="str">
        <f t="shared" si="0"/>
        <v/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$157,"止损计划",持仓跟踪!$B$2:$B$157,A15,持仓跟踪!$AC$2:$AC$157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" s="2"/>
      <c r="I15" s="15"/>
      <c r="J15" s="10"/>
      <c r="K15" s="5" t="str">
        <f>IF(A15="","",IFERROR(LOOKUP(2,1/((持仓跟踪!$B$2:$B$157=A15)*(持仓跟踪!$X$2:$X$157="执行卖出")*(持仓跟踪!$Y$2:$Y$157&lt;&gt;"")),持仓跟踪!$Y$2:$Y$157),""))</f>
        <v/>
      </c>
      <c r="L15" s="8" t="str">
        <f>IF(A15="","",IFERROR(LOOKUP(2,1/((持仓跟踪!$B$2:$B$157=A15)*(持仓跟踪!$X$2:$X$157="执行卖出")*(持仓跟踪!$Z$2:$Z$157&lt;&gt;"")),持仓跟踪!$Z$2:$Z$157),""))</f>
        <v/>
      </c>
      <c r="M15" s="18" t="str">
        <f>IF(A15="","",IFERROR(LOOKUP(2,1/((持仓跟踪!$B$2:$B$157=A15)*(持仓跟踪!$X$2:$X$157="执行卖出")*(持仓跟踪!$H$2:$H$157&lt;&gt;"")),持仓跟踪!$H$2:$H$157),""))</f>
        <v/>
      </c>
      <c r="N15" s="10"/>
      <c r="O15" s="10"/>
      <c r="P15" s="5" t="str">
        <f>IF(A15="","",IFERROR(LOOKUP(2,1/((持仓跟踪!$B$2:$B$157=A15)*(持仓跟踪!$X$2:$X$157="执行卖出")*(持仓跟踪!$AA$2:$AA$157&lt;&gt;"")),持仓跟踪!$AA$2:$AA$157),""))</f>
        <v/>
      </c>
      <c r="Q15" s="2"/>
      <c r="R15" s="2"/>
      <c r="S15" s="2"/>
      <c r="T15" s="2"/>
      <c r="U15" s="7" t="str">
        <f t="shared" si="1"/>
        <v/>
      </c>
      <c r="V15" s="7" t="str">
        <f t="shared" si="2"/>
        <v/>
      </c>
      <c r="W15" s="17" t="str">
        <f t="shared" si="3"/>
        <v/>
      </c>
      <c r="X15" s="5" t="str">
        <f t="shared" si="4"/>
        <v/>
      </c>
      <c r="Y15" s="7" t="str">
        <f t="shared" si="5"/>
        <v/>
      </c>
      <c r="Z15" s="7" t="str">
        <f>IF(OR(AE15="",多次统计数据!$B$8=""),"",AE15-多次统计数据!$B$8)</f>
        <v/>
      </c>
      <c r="AA15" s="11" t="str">
        <f t="shared" si="6"/>
        <v/>
      </c>
      <c r="AB15" s="7" t="str">
        <f>IF(OR(A15="",多次统计数据!$B$8="",多次统计数据!$B$6&lt;=0,多次统计数据!$B$6&gt;=1),"",1-POWER(1+多次统计数据!$B$8,-多次统计数据!$B$6/(1-多次统计数据!$B$6)))</f>
        <v/>
      </c>
      <c r="AC15" s="8" t="str">
        <f>IF(OR(AB15="",多次统计数据!$B$9=""),"",IF(多次统计数据!$B$9&lt;AB15,"低于上限","达到或超过上限"))</f>
        <v/>
      </c>
      <c r="AD15" s="2"/>
      <c r="AE15" s="7" t="str">
        <f t="shared" si="7"/>
        <v/>
      </c>
      <c r="AG15" s="2"/>
      <c r="AH15" s="2"/>
      <c r="AI15" s="2"/>
      <c r="AJ15" s="8" t="str">
        <f t="shared" si="8"/>
        <v/>
      </c>
      <c r="AK15" s="10"/>
      <c r="AL15" s="12"/>
      <c r="AM15" s="10"/>
      <c r="AN15" s="12"/>
      <c r="AO15" s="5" t="str">
        <f t="shared" si="9"/>
        <v/>
      </c>
      <c r="AP15" s="11" t="str">
        <f t="shared" si="10"/>
        <v/>
      </c>
      <c r="AQ15" s="5" t="str">
        <f>IF(A15="","",IF(M15&lt;&gt;"",0,IF(OR(H15="",N15=""),"",MAX(E15-MAX(N15,IFERROR(SUMPRODUCT(MAX(((持仓跟踪!$A$2:$A$157="每日跟踪")*(持仓跟踪!$B$2:$B$157=A15))*持仓跟踪!$S$2:$S$157)),0)),0)*H15+IF(OR(AK15="",AL15=""),0,MAX(AK15-MAX(N15,IFERROR(SUMPRODUCT(MAX(((持仓跟踪!$A$2:$A$157="每日跟踪")*(持仓跟踪!$B$2:$B$157=A15))*持仓跟踪!$S$2:$S$157)),0)),0)*AL15)+IF(OR(AM15="",AN15=""),0,MAX(AM15-MAX(N15,IFERROR(SUMPRODUCT(MAX(((持仓跟踪!$A$2:$A$157="每日跟踪")*(持仓跟踪!$B$2:$B$157=A15))*持仓跟踪!$S$2:$S$157)),0)),0)*AN15))))</f>
        <v/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$88)&gt;账户数据!$B$7,"违规：超过账户风险上限","通过")))))))))</f>
        <v/>
      </c>
    </row>
    <row r="16" spans="1:44" x14ac:dyDescent="0.15">
      <c r="A16" s="2"/>
      <c r="B16" s="2"/>
      <c r="C16" s="10"/>
      <c r="D16" s="6"/>
      <c r="E16" s="10"/>
      <c r="F16" s="8" t="str">
        <f t="shared" si="0"/>
        <v/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$157,"止损计划",持仓跟踪!$B$2:$B$157,A16,持仓跟踪!$AC$2:$AC$157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" s="2"/>
      <c r="I16" s="15"/>
      <c r="J16" s="10"/>
      <c r="K16" s="5" t="str">
        <f>IF(A16="","",IFERROR(LOOKUP(2,1/((持仓跟踪!$B$2:$B$157=A16)*(持仓跟踪!$X$2:$X$157="执行卖出")*(持仓跟踪!$Y$2:$Y$157&lt;&gt;"")),持仓跟踪!$Y$2:$Y$157),""))</f>
        <v/>
      </c>
      <c r="L16" s="8" t="str">
        <f>IF(A16="","",IFERROR(LOOKUP(2,1/((持仓跟踪!$B$2:$B$157=A16)*(持仓跟踪!$X$2:$X$157="执行卖出")*(持仓跟踪!$Z$2:$Z$157&lt;&gt;"")),持仓跟踪!$Z$2:$Z$157),""))</f>
        <v/>
      </c>
      <c r="M16" s="18" t="str">
        <f>IF(A16="","",IFERROR(LOOKUP(2,1/((持仓跟踪!$B$2:$B$157=A16)*(持仓跟踪!$X$2:$X$157="执行卖出")*(持仓跟踪!$H$2:$H$157&lt;&gt;"")),持仓跟踪!$H$2:$H$157),""))</f>
        <v/>
      </c>
      <c r="N16" s="10"/>
      <c r="O16" s="10"/>
      <c r="P16" s="5" t="str">
        <f>IF(A16="","",IFERROR(LOOKUP(2,1/((持仓跟踪!$B$2:$B$157=A16)*(持仓跟踪!$X$2:$X$157="执行卖出")*(持仓跟踪!$AA$2:$AA$157&lt;&gt;"")),持仓跟踪!$AA$2:$AA$157),""))</f>
        <v/>
      </c>
      <c r="Q16" s="2"/>
      <c r="R16" s="2"/>
      <c r="S16" s="2"/>
      <c r="T16" s="2"/>
      <c r="U16" s="7" t="str">
        <f t="shared" si="1"/>
        <v/>
      </c>
      <c r="V16" s="7" t="str">
        <f t="shared" si="2"/>
        <v/>
      </c>
      <c r="W16" s="17" t="str">
        <f t="shared" si="3"/>
        <v/>
      </c>
      <c r="X16" s="5" t="str">
        <f t="shared" si="4"/>
        <v/>
      </c>
      <c r="Y16" s="7" t="str">
        <f t="shared" si="5"/>
        <v/>
      </c>
      <c r="Z16" s="7" t="str">
        <f>IF(OR(AE16="",多次统计数据!$B$8=""),"",AE16-多次统计数据!$B$8)</f>
        <v/>
      </c>
      <c r="AA16" s="11" t="str">
        <f t="shared" si="6"/>
        <v/>
      </c>
      <c r="AB16" s="7" t="str">
        <f>IF(OR(A16="",多次统计数据!$B$8="",多次统计数据!$B$6&lt;=0,多次统计数据!$B$6&gt;=1),"",1-POWER(1+多次统计数据!$B$8,-多次统计数据!$B$6/(1-多次统计数据!$B$6)))</f>
        <v/>
      </c>
      <c r="AC16" s="8" t="str">
        <f>IF(OR(AB16="",多次统计数据!$B$9=""),"",IF(多次统计数据!$B$9&lt;AB16,"低于上限","达到或超过上限"))</f>
        <v/>
      </c>
      <c r="AD16" s="2"/>
      <c r="AE16" s="7" t="str">
        <f t="shared" si="7"/>
        <v/>
      </c>
      <c r="AG16" s="2"/>
      <c r="AH16" s="2"/>
      <c r="AI16" s="2"/>
      <c r="AJ16" s="8" t="str">
        <f t="shared" si="8"/>
        <v/>
      </c>
      <c r="AK16" s="10"/>
      <c r="AL16" s="12"/>
      <c r="AM16" s="10"/>
      <c r="AN16" s="12"/>
      <c r="AO16" s="5" t="str">
        <f t="shared" si="9"/>
        <v/>
      </c>
      <c r="AP16" s="11" t="str">
        <f t="shared" si="10"/>
        <v/>
      </c>
      <c r="AQ16" s="5" t="str">
        <f>IF(A16="","",IF(M16&lt;&gt;"",0,IF(OR(H16="",N16=""),"",MAX(E16-MAX(N16,IFERROR(SUMPRODUCT(MAX(((持仓跟踪!$A$2:$A$157="每日跟踪")*(持仓跟踪!$B$2:$B$157=A16))*持仓跟踪!$S$2:$S$157)),0)),0)*H16+IF(OR(AK16="",AL16=""),0,MAX(AK16-MAX(N16,IFERROR(SUMPRODUCT(MAX(((持仓跟踪!$A$2:$A$157="每日跟踪")*(持仓跟踪!$B$2:$B$157=A16))*持仓跟踪!$S$2:$S$157)),0)),0)*AL16)+IF(OR(AM16="",AN16=""),0,MAX(AM16-MAX(N16,IFERROR(SUMPRODUCT(MAX(((持仓跟踪!$A$2:$A$157="每日跟踪")*(持仓跟踪!$B$2:$B$157=A16))*持仓跟踪!$S$2:$S$157)),0)),0)*AN16))))</f>
        <v/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$88)&gt;账户数据!$B$7,"违规：超过账户风险上限","通过")))))))))</f>
        <v/>
      </c>
    </row>
    <row r="17" spans="1:44" x14ac:dyDescent="0.15">
      <c r="A17" s="2"/>
      <c r="B17" s="2"/>
      <c r="C17" s="10"/>
      <c r="D17" s="6"/>
      <c r="E17" s="10"/>
      <c r="F17" s="8" t="str">
        <f t="shared" ref="F17:F48" si="11">IF(OR(C17="",D17="",E17="",N17="",C17&lt;=0,D17&lt;=0,E17&lt;=N17),"",ROUNDDOWN((C17*D17)/(E17-N17)/100,0)*100)</f>
        <v/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$157,"止损计划",持仓跟踪!$B$2:$B$157,A17,持仓跟踪!$AC$2:$AC$157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" s="2"/>
      <c r="I17" s="15"/>
      <c r="J17" s="10"/>
      <c r="K17" s="5" t="str">
        <f>IF(A17="","",IFERROR(LOOKUP(2,1/((持仓跟踪!$B$2:$B$157=A17)*(持仓跟踪!$X$2:$X$157="执行卖出")*(持仓跟踪!$Y$2:$Y$157&lt;&gt;"")),持仓跟踪!$Y$2:$Y$157),""))</f>
        <v/>
      </c>
      <c r="L17" s="8" t="str">
        <f>IF(A17="","",IFERROR(LOOKUP(2,1/((持仓跟踪!$B$2:$B$157=A17)*(持仓跟踪!$X$2:$X$157="执行卖出")*(持仓跟踪!$Z$2:$Z$157&lt;&gt;"")),持仓跟踪!$Z$2:$Z$157),""))</f>
        <v/>
      </c>
      <c r="M17" s="18" t="str">
        <f>IF(A17="","",IFERROR(LOOKUP(2,1/((持仓跟踪!$B$2:$B$157=A17)*(持仓跟踪!$X$2:$X$157="执行卖出")*(持仓跟踪!$H$2:$H$157&lt;&gt;"")),持仓跟踪!$H$2:$H$157),""))</f>
        <v/>
      </c>
      <c r="N17" s="10"/>
      <c r="O17" s="10"/>
      <c r="P17" s="5" t="str">
        <f>IF(A17="","",IFERROR(LOOKUP(2,1/((持仓跟踪!$B$2:$B$157=A17)*(持仓跟踪!$X$2:$X$157="执行卖出")*(持仓跟踪!$AA$2:$AA$157&lt;&gt;"")),持仓跟踪!$AA$2:$AA$157),""))</f>
        <v/>
      </c>
      <c r="Q17" s="2"/>
      <c r="R17" s="2"/>
      <c r="S17" s="2"/>
      <c r="T17" s="2"/>
      <c r="U17" s="7" t="str">
        <f t="shared" ref="U17:U48" si="12">IF(OR(AO17="",J17="",AO17&lt;=0),"",(J17-AO17)/AO17)</f>
        <v/>
      </c>
      <c r="V17" s="7" t="str">
        <f t="shared" ref="V17:V48" si="13">IF(OR(AO17="",N17="",AO17&lt;=0),"",(AO17-N17)/AO17)</f>
        <v/>
      </c>
      <c r="W17" s="17" t="str">
        <f t="shared" ref="W17:W48" si="14">IF(OR(U17="",V17="",V17&lt;=0),"",U17/V17)</f>
        <v/>
      </c>
      <c r="X17" s="5" t="str">
        <f t="shared" ref="X17:X48" si="15">IF(OR(K17="",L17="",AP17=""),"",K17*L17-(E17*H17+IF(AND(AK17&lt;&gt;"",AL17&lt;&gt;""),AK17*AL17,0)+IF(AND(AM17&lt;&gt;"",AN17&lt;&gt;""),AM17*AN17,0))-IF(O17="",0,O17)-IF(P17="",0,P17))</f>
        <v/>
      </c>
      <c r="Y17" s="7" t="str">
        <f t="shared" ref="Y17:Y48" si="16">IF(OR(X17="",AP17=""),"",IF((E17*H17+IF(AND(AK17&lt;&gt;"",AL17&lt;&gt;""),AK17*AL17,0)+IF(AND(AM17&lt;&gt;"",AN17&lt;&gt;""),AM17*AN17,0))+IF(O17="",0,O17)&lt;=0,"",X17/((E17*H17+IF(AND(AK17&lt;&gt;"",AL17&lt;&gt;""),AK17*AL17,0)+IF(AND(AM17&lt;&gt;"",AN17&lt;&gt;""),AM17*AN17,0))+IF(O17="",0,O17))))</f>
        <v/>
      </c>
      <c r="Z17" s="7" t="str">
        <f>IF(OR(AE17="",多次统计数据!$B$8=""),"",AE17-多次统计数据!$B$8)</f>
        <v/>
      </c>
      <c r="AA17" s="11" t="str">
        <f t="shared" ref="AA17:AA48" si="17">IF(OR(I17="",M17="",M17&lt;I17),"",M17-I17)</f>
        <v/>
      </c>
      <c r="AB17" s="7" t="str">
        <f>IF(OR(A17="",多次统计数据!$B$8="",多次统计数据!$B$6&lt;=0,多次统计数据!$B$6&gt;=1),"",1-POWER(1+多次统计数据!$B$8,-多次统计数据!$B$6/(1-多次统计数据!$B$6)))</f>
        <v/>
      </c>
      <c r="AC17" s="8" t="str">
        <f>IF(OR(AB17="",多次统计数据!$B$9=""),"",IF(多次统计数据!$B$9&lt;AB17,"低于上限","达到或超过上限"))</f>
        <v/>
      </c>
      <c r="AD17" s="2"/>
      <c r="AE17" s="7" t="str">
        <f t="shared" ref="AE17:AE48" si="18">IF(OR(X17="",C17="",C17&lt;=0),"",X17/C17)</f>
        <v/>
      </c>
      <c r="AG17" s="2"/>
      <c r="AH17" s="2"/>
      <c r="AI17" s="2"/>
      <c r="AJ17" s="8" t="str">
        <f t="shared" ref="AJ17:AJ48" si="19">IF(OR(AG17="",AH17=""),"",IF(OR(AND(AG17="短期博反弹",OR(AH17="1～3个交易日",AH17="4～10个交易日")),AND(AG17="突破冲新高",OR(AH17="4～10个交易日",AH17="11～20个交易日")),AND(AG17="趋势波段",OR(AH17="11～20个交易日",AH17="21～60个交易日",AH17="60个交易日以上"))),"匹配","周期与交易预期不匹配，请重新确认"))</f>
        <v/>
      </c>
      <c r="AK17" s="10"/>
      <c r="AL17" s="12"/>
      <c r="AM17" s="10"/>
      <c r="AN17" s="12"/>
      <c r="AO17" s="5" t="str">
        <f t="shared" ref="AO17:AO48" si="20">IF(OR(A17="",H17="",H17&lt;=0),"",(E17*H17+IF(AND(AK17&lt;&gt;"",AL17&lt;&gt;""),AK17*AL17,0)+IF(AND(AM17&lt;&gt;"",AN17&lt;&gt;""),AM17*AN17,0))/AP17)</f>
        <v/>
      </c>
      <c r="AP17" s="11" t="str">
        <f t="shared" ref="AP17:AP48" si="21">IF(OR(A17="",H17="",H17&lt;=0),"",H17+IF(AL17="",0,AL17)+IF(AN17="",0,AN17))</f>
        <v/>
      </c>
      <c r="AQ17" s="5" t="str">
        <f>IF(A17="","",IF(M17&lt;&gt;"",0,IF(OR(H17="",N17=""),"",MAX(E17-MAX(N17,IFERROR(SUMPRODUCT(MAX(((持仓跟踪!$A$2:$A$157="每日跟踪")*(持仓跟踪!$B$2:$B$157=A17))*持仓跟踪!$S$2:$S$157)),0)),0)*H17+IF(OR(AK17="",AL17=""),0,MAX(AK17-MAX(N17,IFERROR(SUMPRODUCT(MAX(((持仓跟踪!$A$2:$A$157="每日跟踪")*(持仓跟踪!$B$2:$B$157=A17))*持仓跟踪!$S$2:$S$157)),0)),0)*AL17)+IF(OR(AM17="",AN17=""),0,MAX(AM17-MAX(N17,IFERROR(SUMPRODUCT(MAX(((持仓跟踪!$A$2:$A$157="每日跟踪")*(持仓跟踪!$B$2:$B$157=A17))*持仓跟踪!$S$2:$S$157)),0)),0)*AN17))))</f>
        <v/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$88)&gt;账户数据!$B$7,"违规：超过账户风险上限","通过")))))))))</f>
        <v/>
      </c>
    </row>
    <row r="18" spans="1:44" x14ac:dyDescent="0.15">
      <c r="A18" s="2"/>
      <c r="B18" s="2"/>
      <c r="C18" s="10"/>
      <c r="D18" s="6"/>
      <c r="E18" s="10"/>
      <c r="F18" s="8" t="str">
        <f t="shared" si="11"/>
        <v/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$157,"止损计划",持仓跟踪!$B$2:$B$157,A18,持仓跟踪!$AC$2:$AC$157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" s="2"/>
      <c r="I18" s="15"/>
      <c r="J18" s="10"/>
      <c r="K18" s="5" t="str">
        <f>IF(A18="","",IFERROR(LOOKUP(2,1/((持仓跟踪!$B$2:$B$157=A18)*(持仓跟踪!$X$2:$X$157="执行卖出")*(持仓跟踪!$Y$2:$Y$157&lt;&gt;"")),持仓跟踪!$Y$2:$Y$157),""))</f>
        <v/>
      </c>
      <c r="L18" s="8" t="str">
        <f>IF(A18="","",IFERROR(LOOKUP(2,1/((持仓跟踪!$B$2:$B$157=A18)*(持仓跟踪!$X$2:$X$157="执行卖出")*(持仓跟踪!$Z$2:$Z$157&lt;&gt;"")),持仓跟踪!$Z$2:$Z$157),""))</f>
        <v/>
      </c>
      <c r="M18" s="18" t="str">
        <f>IF(A18="","",IFERROR(LOOKUP(2,1/((持仓跟踪!$B$2:$B$157=A18)*(持仓跟踪!$X$2:$X$157="执行卖出")*(持仓跟踪!$H$2:$H$157&lt;&gt;"")),持仓跟踪!$H$2:$H$157),""))</f>
        <v/>
      </c>
      <c r="N18" s="10"/>
      <c r="O18" s="10"/>
      <c r="P18" s="5" t="str">
        <f>IF(A18="","",IFERROR(LOOKUP(2,1/((持仓跟踪!$B$2:$B$157=A18)*(持仓跟踪!$X$2:$X$157="执行卖出")*(持仓跟踪!$AA$2:$AA$157&lt;&gt;"")),持仓跟踪!$AA$2:$AA$157),""))</f>
        <v/>
      </c>
      <c r="Q18" s="2"/>
      <c r="R18" s="2"/>
      <c r="S18" s="2"/>
      <c r="T18" s="2"/>
      <c r="U18" s="7" t="str">
        <f t="shared" si="12"/>
        <v/>
      </c>
      <c r="V18" s="7" t="str">
        <f t="shared" si="13"/>
        <v/>
      </c>
      <c r="W18" s="17" t="str">
        <f t="shared" si="14"/>
        <v/>
      </c>
      <c r="X18" s="5" t="str">
        <f t="shared" si="15"/>
        <v/>
      </c>
      <c r="Y18" s="7" t="str">
        <f t="shared" si="16"/>
        <v/>
      </c>
      <c r="Z18" s="7" t="str">
        <f>IF(OR(AE18="",多次统计数据!$B$8=""),"",AE18-多次统计数据!$B$8)</f>
        <v/>
      </c>
      <c r="AA18" s="11" t="str">
        <f t="shared" si="17"/>
        <v/>
      </c>
      <c r="AB18" s="7" t="str">
        <f>IF(OR(A18="",多次统计数据!$B$8="",多次统计数据!$B$6&lt;=0,多次统计数据!$B$6&gt;=1),"",1-POWER(1+多次统计数据!$B$8,-多次统计数据!$B$6/(1-多次统计数据!$B$6)))</f>
        <v/>
      </c>
      <c r="AC18" s="8" t="str">
        <f>IF(OR(AB18="",多次统计数据!$B$9=""),"",IF(多次统计数据!$B$9&lt;AB18,"低于上限","达到或超过上限"))</f>
        <v/>
      </c>
      <c r="AD18" s="2"/>
      <c r="AE18" s="7" t="str">
        <f t="shared" si="18"/>
        <v/>
      </c>
      <c r="AG18" s="2"/>
      <c r="AH18" s="2"/>
      <c r="AI18" s="2"/>
      <c r="AJ18" s="8" t="str">
        <f t="shared" si="19"/>
        <v/>
      </c>
      <c r="AK18" s="10"/>
      <c r="AL18" s="12"/>
      <c r="AM18" s="10"/>
      <c r="AN18" s="12"/>
      <c r="AO18" s="5" t="str">
        <f t="shared" si="20"/>
        <v/>
      </c>
      <c r="AP18" s="11" t="str">
        <f t="shared" si="21"/>
        <v/>
      </c>
      <c r="AQ18" s="5" t="str">
        <f>IF(A18="","",IF(M18&lt;&gt;"",0,IF(OR(H18="",N18=""),"",MAX(E18-MAX(N18,IFERROR(SUMPRODUCT(MAX(((持仓跟踪!$A$2:$A$157="每日跟踪")*(持仓跟踪!$B$2:$B$157=A18))*持仓跟踪!$S$2:$S$157)),0)),0)*H18+IF(OR(AK18="",AL18=""),0,MAX(AK18-MAX(N18,IFERROR(SUMPRODUCT(MAX(((持仓跟踪!$A$2:$A$157="每日跟踪")*(持仓跟踪!$B$2:$B$157=A18))*持仓跟踪!$S$2:$S$157)),0)),0)*AL18)+IF(OR(AM18="",AN18=""),0,MAX(AM18-MAX(N18,IFERROR(SUMPRODUCT(MAX(((持仓跟踪!$A$2:$A$157="每日跟踪")*(持仓跟踪!$B$2:$B$157=A18))*持仓跟踪!$S$2:$S$157)),0)),0)*AN18))))</f>
        <v/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$88)&gt;账户数据!$B$7,"违规：超过账户风险上限","通过")))))))))</f>
        <v/>
      </c>
    </row>
    <row r="19" spans="1:44" x14ac:dyDescent="0.15">
      <c r="A19" s="2"/>
      <c r="B19" s="2"/>
      <c r="C19" s="10"/>
      <c r="D19" s="6"/>
      <c r="E19" s="10"/>
      <c r="F19" s="8" t="str">
        <f t="shared" si="11"/>
        <v/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$157,"止损计划",持仓跟踪!$B$2:$B$157,A19,持仓跟踪!$AC$2:$AC$157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" s="2"/>
      <c r="I19" s="15"/>
      <c r="J19" s="10"/>
      <c r="K19" s="5" t="str">
        <f>IF(A19="","",IFERROR(LOOKUP(2,1/((持仓跟踪!$B$2:$B$157=A19)*(持仓跟踪!$X$2:$X$157="执行卖出")*(持仓跟踪!$Y$2:$Y$157&lt;&gt;"")),持仓跟踪!$Y$2:$Y$157),""))</f>
        <v/>
      </c>
      <c r="L19" s="8" t="str">
        <f>IF(A19="","",IFERROR(LOOKUP(2,1/((持仓跟踪!$B$2:$B$157=A19)*(持仓跟踪!$X$2:$X$157="执行卖出")*(持仓跟踪!$Z$2:$Z$157&lt;&gt;"")),持仓跟踪!$Z$2:$Z$157),""))</f>
        <v/>
      </c>
      <c r="M19" s="18" t="str">
        <f>IF(A19="","",IFERROR(LOOKUP(2,1/((持仓跟踪!$B$2:$B$157=A19)*(持仓跟踪!$X$2:$X$157="执行卖出")*(持仓跟踪!$H$2:$H$157&lt;&gt;"")),持仓跟踪!$H$2:$H$157),""))</f>
        <v/>
      </c>
      <c r="N19" s="10"/>
      <c r="O19" s="10"/>
      <c r="P19" s="5" t="str">
        <f>IF(A19="","",IFERROR(LOOKUP(2,1/((持仓跟踪!$B$2:$B$157=A19)*(持仓跟踪!$X$2:$X$157="执行卖出")*(持仓跟踪!$AA$2:$AA$157&lt;&gt;"")),持仓跟踪!$AA$2:$AA$157),""))</f>
        <v/>
      </c>
      <c r="Q19" s="2"/>
      <c r="R19" s="2"/>
      <c r="S19" s="2"/>
      <c r="T19" s="2"/>
      <c r="U19" s="7" t="str">
        <f t="shared" si="12"/>
        <v/>
      </c>
      <c r="V19" s="7" t="str">
        <f t="shared" si="13"/>
        <v/>
      </c>
      <c r="W19" s="17" t="str">
        <f t="shared" si="14"/>
        <v/>
      </c>
      <c r="X19" s="5" t="str">
        <f t="shared" si="15"/>
        <v/>
      </c>
      <c r="Y19" s="7" t="str">
        <f t="shared" si="16"/>
        <v/>
      </c>
      <c r="Z19" s="7" t="str">
        <f>IF(OR(AE19="",多次统计数据!$B$8=""),"",AE19-多次统计数据!$B$8)</f>
        <v/>
      </c>
      <c r="AA19" s="11" t="str">
        <f t="shared" si="17"/>
        <v/>
      </c>
      <c r="AB19" s="7" t="str">
        <f>IF(OR(A19="",多次统计数据!$B$8="",多次统计数据!$B$6&lt;=0,多次统计数据!$B$6&gt;=1),"",1-POWER(1+多次统计数据!$B$8,-多次统计数据!$B$6/(1-多次统计数据!$B$6)))</f>
        <v/>
      </c>
      <c r="AC19" s="8" t="str">
        <f>IF(OR(AB19="",多次统计数据!$B$9=""),"",IF(多次统计数据!$B$9&lt;AB19,"低于上限","达到或超过上限"))</f>
        <v/>
      </c>
      <c r="AD19" s="2"/>
      <c r="AE19" s="7" t="str">
        <f t="shared" si="18"/>
        <v/>
      </c>
      <c r="AG19" s="2"/>
      <c r="AH19" s="2"/>
      <c r="AI19" s="2"/>
      <c r="AJ19" s="8" t="str">
        <f t="shared" si="19"/>
        <v/>
      </c>
      <c r="AK19" s="10"/>
      <c r="AL19" s="12"/>
      <c r="AM19" s="10"/>
      <c r="AN19" s="12"/>
      <c r="AO19" s="5" t="str">
        <f t="shared" si="20"/>
        <v/>
      </c>
      <c r="AP19" s="11" t="str">
        <f t="shared" si="21"/>
        <v/>
      </c>
      <c r="AQ19" s="5" t="str">
        <f>IF(A19="","",IF(M19&lt;&gt;"",0,IF(OR(H19="",N19=""),"",MAX(E19-MAX(N19,IFERROR(SUMPRODUCT(MAX(((持仓跟踪!$A$2:$A$157="每日跟踪")*(持仓跟踪!$B$2:$B$157=A19))*持仓跟踪!$S$2:$S$157)),0)),0)*H19+IF(OR(AK19="",AL19=""),0,MAX(AK19-MAX(N19,IFERROR(SUMPRODUCT(MAX(((持仓跟踪!$A$2:$A$157="每日跟踪")*(持仓跟踪!$B$2:$B$157=A19))*持仓跟踪!$S$2:$S$157)),0)),0)*AL19)+IF(OR(AM19="",AN19=""),0,MAX(AM19-MAX(N19,IFERROR(SUMPRODUCT(MAX(((持仓跟踪!$A$2:$A$157="每日跟踪")*(持仓跟踪!$B$2:$B$157=A19))*持仓跟踪!$S$2:$S$157)),0)),0)*AN19))))</f>
        <v/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$88)&gt;账户数据!$B$7,"违规：超过账户风险上限","通过")))))))))</f>
        <v/>
      </c>
    </row>
    <row r="20" spans="1:44" x14ac:dyDescent="0.15">
      <c r="A20" s="2"/>
      <c r="B20" s="2"/>
      <c r="C20" s="10"/>
      <c r="D20" s="6"/>
      <c r="E20" s="10"/>
      <c r="F20" s="8" t="str">
        <f t="shared" si="11"/>
        <v/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$157,"止损计划",持仓跟踪!$B$2:$B$157,A20,持仓跟踪!$AC$2:$AC$157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" s="2"/>
      <c r="I20" s="15"/>
      <c r="J20" s="10"/>
      <c r="K20" s="5" t="str">
        <f>IF(A20="","",IFERROR(LOOKUP(2,1/((持仓跟踪!$B$2:$B$157=A20)*(持仓跟踪!$X$2:$X$157="执行卖出")*(持仓跟踪!$Y$2:$Y$157&lt;&gt;"")),持仓跟踪!$Y$2:$Y$157),""))</f>
        <v/>
      </c>
      <c r="L20" s="8" t="str">
        <f>IF(A20="","",IFERROR(LOOKUP(2,1/((持仓跟踪!$B$2:$B$157=A20)*(持仓跟踪!$X$2:$X$157="执行卖出")*(持仓跟踪!$Z$2:$Z$157&lt;&gt;"")),持仓跟踪!$Z$2:$Z$157),""))</f>
        <v/>
      </c>
      <c r="M20" s="18" t="str">
        <f>IF(A20="","",IFERROR(LOOKUP(2,1/((持仓跟踪!$B$2:$B$157=A20)*(持仓跟踪!$X$2:$X$157="执行卖出")*(持仓跟踪!$H$2:$H$157&lt;&gt;"")),持仓跟踪!$H$2:$H$157),""))</f>
        <v/>
      </c>
      <c r="N20" s="10"/>
      <c r="O20" s="10"/>
      <c r="P20" s="5" t="str">
        <f>IF(A20="","",IFERROR(LOOKUP(2,1/((持仓跟踪!$B$2:$B$157=A20)*(持仓跟踪!$X$2:$X$157="执行卖出")*(持仓跟踪!$AA$2:$AA$157&lt;&gt;"")),持仓跟踪!$AA$2:$AA$157),""))</f>
        <v/>
      </c>
      <c r="Q20" s="2"/>
      <c r="R20" s="2"/>
      <c r="S20" s="2"/>
      <c r="T20" s="2"/>
      <c r="U20" s="7" t="str">
        <f t="shared" si="12"/>
        <v/>
      </c>
      <c r="V20" s="7" t="str">
        <f t="shared" si="13"/>
        <v/>
      </c>
      <c r="W20" s="17" t="str">
        <f t="shared" si="14"/>
        <v/>
      </c>
      <c r="X20" s="5" t="str">
        <f t="shared" si="15"/>
        <v/>
      </c>
      <c r="Y20" s="7" t="str">
        <f t="shared" si="16"/>
        <v/>
      </c>
      <c r="Z20" s="7" t="str">
        <f>IF(OR(AE20="",多次统计数据!$B$8=""),"",AE20-多次统计数据!$B$8)</f>
        <v/>
      </c>
      <c r="AA20" s="11" t="str">
        <f t="shared" si="17"/>
        <v/>
      </c>
      <c r="AB20" s="7" t="str">
        <f>IF(OR(A20="",多次统计数据!$B$8="",多次统计数据!$B$6&lt;=0,多次统计数据!$B$6&gt;=1),"",1-POWER(1+多次统计数据!$B$8,-多次统计数据!$B$6/(1-多次统计数据!$B$6)))</f>
        <v/>
      </c>
      <c r="AC20" s="8" t="str">
        <f>IF(OR(AB20="",多次统计数据!$B$9=""),"",IF(多次统计数据!$B$9&lt;AB20,"低于上限","达到或超过上限"))</f>
        <v/>
      </c>
      <c r="AD20" s="2"/>
      <c r="AE20" s="7" t="str">
        <f t="shared" si="18"/>
        <v/>
      </c>
      <c r="AG20" s="2"/>
      <c r="AH20" s="2"/>
      <c r="AI20" s="2"/>
      <c r="AJ20" s="8" t="str">
        <f t="shared" si="19"/>
        <v/>
      </c>
      <c r="AK20" s="10"/>
      <c r="AL20" s="12"/>
      <c r="AM20" s="10"/>
      <c r="AN20" s="12"/>
      <c r="AO20" s="5" t="str">
        <f t="shared" si="20"/>
        <v/>
      </c>
      <c r="AP20" s="11" t="str">
        <f t="shared" si="21"/>
        <v/>
      </c>
      <c r="AQ20" s="5" t="str">
        <f>IF(A20="","",IF(M20&lt;&gt;"",0,IF(OR(H20="",N20=""),"",MAX(E20-MAX(N20,IFERROR(SUMPRODUCT(MAX(((持仓跟踪!$A$2:$A$157="每日跟踪")*(持仓跟踪!$B$2:$B$157=A20))*持仓跟踪!$S$2:$S$157)),0)),0)*H20+IF(OR(AK20="",AL20=""),0,MAX(AK20-MAX(N20,IFERROR(SUMPRODUCT(MAX(((持仓跟踪!$A$2:$A$157="每日跟踪")*(持仓跟踪!$B$2:$B$157=A20))*持仓跟踪!$S$2:$S$157)),0)),0)*AL20)+IF(OR(AM20="",AN20=""),0,MAX(AM20-MAX(N20,IFERROR(SUMPRODUCT(MAX(((持仓跟踪!$A$2:$A$157="每日跟踪")*(持仓跟踪!$B$2:$B$157=A20))*持仓跟踪!$S$2:$S$157)),0)),0)*AN20))))</f>
        <v/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$88)&gt;账户数据!$B$7,"违规：超过账户风险上限","通过")))))))))</f>
        <v/>
      </c>
    </row>
    <row r="21" spans="1:44" x14ac:dyDescent="0.15">
      <c r="A21" s="2"/>
      <c r="B21" s="2"/>
      <c r="C21" s="10"/>
      <c r="D21" s="6"/>
      <c r="E21" s="10"/>
      <c r="F21" s="8" t="str">
        <f t="shared" si="11"/>
        <v/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$157,"止损计划",持仓跟踪!$B$2:$B$157,A21,持仓跟踪!$AC$2:$AC$157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1" s="2"/>
      <c r="I21" s="15"/>
      <c r="J21" s="10"/>
      <c r="K21" s="5" t="str">
        <f>IF(A21="","",IFERROR(LOOKUP(2,1/((持仓跟踪!$B$2:$B$157=A21)*(持仓跟踪!$X$2:$X$157="执行卖出")*(持仓跟踪!$Y$2:$Y$157&lt;&gt;"")),持仓跟踪!$Y$2:$Y$157),""))</f>
        <v/>
      </c>
      <c r="L21" s="8" t="str">
        <f>IF(A21="","",IFERROR(LOOKUP(2,1/((持仓跟踪!$B$2:$B$157=A21)*(持仓跟踪!$X$2:$X$157="执行卖出")*(持仓跟踪!$Z$2:$Z$157&lt;&gt;"")),持仓跟踪!$Z$2:$Z$157),""))</f>
        <v/>
      </c>
      <c r="M21" s="18" t="str">
        <f>IF(A21="","",IFERROR(LOOKUP(2,1/((持仓跟踪!$B$2:$B$157=A21)*(持仓跟踪!$X$2:$X$157="执行卖出")*(持仓跟踪!$H$2:$H$157&lt;&gt;"")),持仓跟踪!$H$2:$H$157),""))</f>
        <v/>
      </c>
      <c r="N21" s="10"/>
      <c r="O21" s="10"/>
      <c r="P21" s="5" t="str">
        <f>IF(A21="","",IFERROR(LOOKUP(2,1/((持仓跟踪!$B$2:$B$157=A21)*(持仓跟踪!$X$2:$X$157="执行卖出")*(持仓跟踪!$AA$2:$AA$157&lt;&gt;"")),持仓跟踪!$AA$2:$AA$157),""))</f>
        <v/>
      </c>
      <c r="Q21" s="2"/>
      <c r="R21" s="2"/>
      <c r="S21" s="2"/>
      <c r="T21" s="2"/>
      <c r="U21" s="7" t="str">
        <f t="shared" si="12"/>
        <v/>
      </c>
      <c r="V21" s="7" t="str">
        <f t="shared" si="13"/>
        <v/>
      </c>
      <c r="W21" s="17" t="str">
        <f t="shared" si="14"/>
        <v/>
      </c>
      <c r="X21" s="5" t="str">
        <f t="shared" si="15"/>
        <v/>
      </c>
      <c r="Y21" s="7" t="str">
        <f t="shared" si="16"/>
        <v/>
      </c>
      <c r="Z21" s="7" t="str">
        <f>IF(OR(AE21="",多次统计数据!$B$8=""),"",AE21-多次统计数据!$B$8)</f>
        <v/>
      </c>
      <c r="AA21" s="11" t="str">
        <f t="shared" si="17"/>
        <v/>
      </c>
      <c r="AB21" s="7" t="str">
        <f>IF(OR(A21="",多次统计数据!$B$8="",多次统计数据!$B$6&lt;=0,多次统计数据!$B$6&gt;=1),"",1-POWER(1+多次统计数据!$B$8,-多次统计数据!$B$6/(1-多次统计数据!$B$6)))</f>
        <v/>
      </c>
      <c r="AC21" s="8" t="str">
        <f>IF(OR(AB21="",多次统计数据!$B$9=""),"",IF(多次统计数据!$B$9&lt;AB21,"低于上限","达到或超过上限"))</f>
        <v/>
      </c>
      <c r="AD21" s="2"/>
      <c r="AE21" s="7" t="str">
        <f t="shared" si="18"/>
        <v/>
      </c>
      <c r="AG21" s="2"/>
      <c r="AH21" s="2"/>
      <c r="AI21" s="2"/>
      <c r="AJ21" s="8" t="str">
        <f t="shared" si="19"/>
        <v/>
      </c>
      <c r="AK21" s="10"/>
      <c r="AL21" s="12"/>
      <c r="AM21" s="10"/>
      <c r="AN21" s="12"/>
      <c r="AO21" s="5" t="str">
        <f t="shared" si="20"/>
        <v/>
      </c>
      <c r="AP21" s="11" t="str">
        <f t="shared" si="21"/>
        <v/>
      </c>
      <c r="AQ21" s="5" t="str">
        <f>IF(A21="","",IF(M21&lt;&gt;"",0,IF(OR(H21="",N21=""),"",MAX(E21-MAX(N21,IFERROR(SUMPRODUCT(MAX(((持仓跟踪!$A$2:$A$157="每日跟踪")*(持仓跟踪!$B$2:$B$157=A21))*持仓跟踪!$S$2:$S$157)),0)),0)*H21+IF(OR(AK21="",AL21=""),0,MAX(AK21-MAX(N21,IFERROR(SUMPRODUCT(MAX(((持仓跟踪!$A$2:$A$157="每日跟踪")*(持仓跟踪!$B$2:$B$157=A21))*持仓跟踪!$S$2:$S$157)),0)),0)*AL21)+IF(OR(AM21="",AN21=""),0,MAX(AM21-MAX(N21,IFERROR(SUMPRODUCT(MAX(((持仓跟踪!$A$2:$A$157="每日跟踪")*(持仓跟踪!$B$2:$B$157=A21))*持仓跟踪!$S$2:$S$157)),0)),0)*AN21))))</f>
        <v/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$88)&gt;账户数据!$B$7,"违规：超过账户风险上限","通过")))))))))</f>
        <v/>
      </c>
    </row>
    <row r="22" spans="1:44" x14ac:dyDescent="0.15">
      <c r="A22" s="2"/>
      <c r="B22" s="2"/>
      <c r="C22" s="10"/>
      <c r="D22" s="6"/>
      <c r="E22" s="10"/>
      <c r="F22" s="8" t="str">
        <f t="shared" si="11"/>
        <v/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$157,"止损计划",持仓跟踪!$B$2:$B$157,A22,持仓跟踪!$AC$2:$AC$157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2" s="2"/>
      <c r="I22" s="15"/>
      <c r="J22" s="10"/>
      <c r="K22" s="5" t="str">
        <f>IF(A22="","",IFERROR(LOOKUP(2,1/((持仓跟踪!$B$2:$B$157=A22)*(持仓跟踪!$X$2:$X$157="执行卖出")*(持仓跟踪!$Y$2:$Y$157&lt;&gt;"")),持仓跟踪!$Y$2:$Y$157),""))</f>
        <v/>
      </c>
      <c r="L22" s="8" t="str">
        <f>IF(A22="","",IFERROR(LOOKUP(2,1/((持仓跟踪!$B$2:$B$157=A22)*(持仓跟踪!$X$2:$X$157="执行卖出")*(持仓跟踪!$Z$2:$Z$157&lt;&gt;"")),持仓跟踪!$Z$2:$Z$157),""))</f>
        <v/>
      </c>
      <c r="M22" s="18" t="str">
        <f>IF(A22="","",IFERROR(LOOKUP(2,1/((持仓跟踪!$B$2:$B$157=A22)*(持仓跟踪!$X$2:$X$157="执行卖出")*(持仓跟踪!$H$2:$H$157&lt;&gt;"")),持仓跟踪!$H$2:$H$157),""))</f>
        <v/>
      </c>
      <c r="N22" s="10"/>
      <c r="O22" s="10"/>
      <c r="P22" s="5" t="str">
        <f>IF(A22="","",IFERROR(LOOKUP(2,1/((持仓跟踪!$B$2:$B$157=A22)*(持仓跟踪!$X$2:$X$157="执行卖出")*(持仓跟踪!$AA$2:$AA$157&lt;&gt;"")),持仓跟踪!$AA$2:$AA$157),""))</f>
        <v/>
      </c>
      <c r="Q22" s="2"/>
      <c r="R22" s="2"/>
      <c r="S22" s="2"/>
      <c r="T22" s="2"/>
      <c r="U22" s="7" t="str">
        <f t="shared" si="12"/>
        <v/>
      </c>
      <c r="V22" s="7" t="str">
        <f t="shared" si="13"/>
        <v/>
      </c>
      <c r="W22" s="17" t="str">
        <f t="shared" si="14"/>
        <v/>
      </c>
      <c r="X22" s="5" t="str">
        <f t="shared" si="15"/>
        <v/>
      </c>
      <c r="Y22" s="7" t="str">
        <f t="shared" si="16"/>
        <v/>
      </c>
      <c r="Z22" s="7" t="str">
        <f>IF(OR(AE22="",多次统计数据!$B$8=""),"",AE22-多次统计数据!$B$8)</f>
        <v/>
      </c>
      <c r="AA22" s="11" t="str">
        <f t="shared" si="17"/>
        <v/>
      </c>
      <c r="AB22" s="7" t="str">
        <f>IF(OR(A22="",多次统计数据!$B$8="",多次统计数据!$B$6&lt;=0,多次统计数据!$B$6&gt;=1),"",1-POWER(1+多次统计数据!$B$8,-多次统计数据!$B$6/(1-多次统计数据!$B$6)))</f>
        <v/>
      </c>
      <c r="AC22" s="8" t="str">
        <f>IF(OR(AB22="",多次统计数据!$B$9=""),"",IF(多次统计数据!$B$9&lt;AB22,"低于上限","达到或超过上限"))</f>
        <v/>
      </c>
      <c r="AD22" s="2"/>
      <c r="AE22" s="7" t="str">
        <f t="shared" si="18"/>
        <v/>
      </c>
      <c r="AG22" s="2"/>
      <c r="AH22" s="2"/>
      <c r="AI22" s="2"/>
      <c r="AJ22" s="8" t="str">
        <f t="shared" si="19"/>
        <v/>
      </c>
      <c r="AK22" s="10"/>
      <c r="AL22" s="12"/>
      <c r="AM22" s="10"/>
      <c r="AN22" s="12"/>
      <c r="AO22" s="5" t="str">
        <f t="shared" si="20"/>
        <v/>
      </c>
      <c r="AP22" s="11" t="str">
        <f t="shared" si="21"/>
        <v/>
      </c>
      <c r="AQ22" s="5" t="str">
        <f>IF(A22="","",IF(M22&lt;&gt;"",0,IF(OR(H22="",N22=""),"",MAX(E22-MAX(N22,IFERROR(SUMPRODUCT(MAX(((持仓跟踪!$A$2:$A$157="每日跟踪")*(持仓跟踪!$B$2:$B$157=A22))*持仓跟踪!$S$2:$S$157)),0)),0)*H22+IF(OR(AK22="",AL22=""),0,MAX(AK22-MAX(N22,IFERROR(SUMPRODUCT(MAX(((持仓跟踪!$A$2:$A$157="每日跟踪")*(持仓跟踪!$B$2:$B$157=A22))*持仓跟踪!$S$2:$S$157)),0)),0)*AL22)+IF(OR(AM22="",AN22=""),0,MAX(AM22-MAX(N22,IFERROR(SUMPRODUCT(MAX(((持仓跟踪!$A$2:$A$157="每日跟踪")*(持仓跟踪!$B$2:$B$157=A22))*持仓跟踪!$S$2:$S$157)),0)),0)*AN22))))</f>
        <v/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$88)&gt;账户数据!$B$7,"违规：超过账户风险上限","通过")))))))))</f>
        <v/>
      </c>
    </row>
    <row r="23" spans="1:44" x14ac:dyDescent="0.15">
      <c r="A23" s="2"/>
      <c r="B23" s="2"/>
      <c r="C23" s="10"/>
      <c r="D23" s="6"/>
      <c r="E23" s="10"/>
      <c r="F23" s="8" t="str">
        <f t="shared" si="11"/>
        <v/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$157,"止损计划",持仓跟踪!$B$2:$B$157,A23,持仓跟踪!$AC$2:$AC$157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3" s="2"/>
      <c r="I23" s="15"/>
      <c r="J23" s="10"/>
      <c r="K23" s="5" t="str">
        <f>IF(A23="","",IFERROR(LOOKUP(2,1/((持仓跟踪!$B$2:$B$157=A23)*(持仓跟踪!$X$2:$X$157="执行卖出")*(持仓跟踪!$Y$2:$Y$157&lt;&gt;"")),持仓跟踪!$Y$2:$Y$157),""))</f>
        <v/>
      </c>
      <c r="L23" s="8" t="str">
        <f>IF(A23="","",IFERROR(LOOKUP(2,1/((持仓跟踪!$B$2:$B$157=A23)*(持仓跟踪!$X$2:$X$157="执行卖出")*(持仓跟踪!$Z$2:$Z$157&lt;&gt;"")),持仓跟踪!$Z$2:$Z$157),""))</f>
        <v/>
      </c>
      <c r="M23" s="18" t="str">
        <f>IF(A23="","",IFERROR(LOOKUP(2,1/((持仓跟踪!$B$2:$B$157=A23)*(持仓跟踪!$X$2:$X$157="执行卖出")*(持仓跟踪!$H$2:$H$157&lt;&gt;"")),持仓跟踪!$H$2:$H$157),""))</f>
        <v/>
      </c>
      <c r="N23" s="10"/>
      <c r="O23" s="10"/>
      <c r="P23" s="5" t="str">
        <f>IF(A23="","",IFERROR(LOOKUP(2,1/((持仓跟踪!$B$2:$B$157=A23)*(持仓跟踪!$X$2:$X$157="执行卖出")*(持仓跟踪!$AA$2:$AA$157&lt;&gt;"")),持仓跟踪!$AA$2:$AA$157),""))</f>
        <v/>
      </c>
      <c r="Q23" s="2"/>
      <c r="R23" s="2"/>
      <c r="S23" s="2"/>
      <c r="T23" s="2"/>
      <c r="U23" s="7" t="str">
        <f t="shared" si="12"/>
        <v/>
      </c>
      <c r="V23" s="7" t="str">
        <f t="shared" si="13"/>
        <v/>
      </c>
      <c r="W23" s="17" t="str">
        <f t="shared" si="14"/>
        <v/>
      </c>
      <c r="X23" s="5" t="str">
        <f t="shared" si="15"/>
        <v/>
      </c>
      <c r="Y23" s="7" t="str">
        <f t="shared" si="16"/>
        <v/>
      </c>
      <c r="Z23" s="7" t="str">
        <f>IF(OR(AE23="",多次统计数据!$B$8=""),"",AE23-多次统计数据!$B$8)</f>
        <v/>
      </c>
      <c r="AA23" s="11" t="str">
        <f t="shared" si="17"/>
        <v/>
      </c>
      <c r="AB23" s="7" t="str">
        <f>IF(OR(A23="",多次统计数据!$B$8="",多次统计数据!$B$6&lt;=0,多次统计数据!$B$6&gt;=1),"",1-POWER(1+多次统计数据!$B$8,-多次统计数据!$B$6/(1-多次统计数据!$B$6)))</f>
        <v/>
      </c>
      <c r="AC23" s="8" t="str">
        <f>IF(OR(AB23="",多次统计数据!$B$9=""),"",IF(多次统计数据!$B$9&lt;AB23,"低于上限","达到或超过上限"))</f>
        <v/>
      </c>
      <c r="AD23" s="2"/>
      <c r="AE23" s="7" t="str">
        <f t="shared" si="18"/>
        <v/>
      </c>
      <c r="AG23" s="2"/>
      <c r="AH23" s="2"/>
      <c r="AI23" s="2"/>
      <c r="AJ23" s="8" t="str">
        <f t="shared" si="19"/>
        <v/>
      </c>
      <c r="AK23" s="10"/>
      <c r="AL23" s="12"/>
      <c r="AM23" s="10"/>
      <c r="AN23" s="12"/>
      <c r="AO23" s="5" t="str">
        <f t="shared" si="20"/>
        <v/>
      </c>
      <c r="AP23" s="11" t="str">
        <f t="shared" si="21"/>
        <v/>
      </c>
      <c r="AQ23" s="5" t="str">
        <f>IF(A23="","",IF(M23&lt;&gt;"",0,IF(OR(H23="",N23=""),"",MAX(E23-MAX(N23,IFERROR(SUMPRODUCT(MAX(((持仓跟踪!$A$2:$A$157="每日跟踪")*(持仓跟踪!$B$2:$B$157=A23))*持仓跟踪!$S$2:$S$157)),0)),0)*H23+IF(OR(AK23="",AL23=""),0,MAX(AK23-MAX(N23,IFERROR(SUMPRODUCT(MAX(((持仓跟踪!$A$2:$A$157="每日跟踪")*(持仓跟踪!$B$2:$B$157=A23))*持仓跟踪!$S$2:$S$157)),0)),0)*AL23)+IF(OR(AM23="",AN23=""),0,MAX(AM23-MAX(N23,IFERROR(SUMPRODUCT(MAX(((持仓跟踪!$A$2:$A$157="每日跟踪")*(持仓跟踪!$B$2:$B$157=A23))*持仓跟踪!$S$2:$S$157)),0)),0)*AN23))))</f>
        <v/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$88)&gt;账户数据!$B$7,"违规：超过账户风险上限","通过")))))))))</f>
        <v/>
      </c>
    </row>
    <row r="24" spans="1:44" x14ac:dyDescent="0.15">
      <c r="A24" s="2"/>
      <c r="B24" s="2"/>
      <c r="C24" s="10"/>
      <c r="D24" s="6"/>
      <c r="E24" s="10"/>
      <c r="F24" s="8" t="str">
        <f t="shared" si="11"/>
        <v/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$157,"止损计划",持仓跟踪!$B$2:$B$157,A24,持仓跟踪!$AC$2:$AC$157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4" s="2"/>
      <c r="I24" s="15"/>
      <c r="J24" s="10"/>
      <c r="K24" s="5" t="str">
        <f>IF(A24="","",IFERROR(LOOKUP(2,1/((持仓跟踪!$B$2:$B$157=A24)*(持仓跟踪!$X$2:$X$157="执行卖出")*(持仓跟踪!$Y$2:$Y$157&lt;&gt;"")),持仓跟踪!$Y$2:$Y$157),""))</f>
        <v/>
      </c>
      <c r="L24" s="8" t="str">
        <f>IF(A24="","",IFERROR(LOOKUP(2,1/((持仓跟踪!$B$2:$B$157=A24)*(持仓跟踪!$X$2:$X$157="执行卖出")*(持仓跟踪!$Z$2:$Z$157&lt;&gt;"")),持仓跟踪!$Z$2:$Z$157),""))</f>
        <v/>
      </c>
      <c r="M24" s="18" t="str">
        <f>IF(A24="","",IFERROR(LOOKUP(2,1/((持仓跟踪!$B$2:$B$157=A24)*(持仓跟踪!$X$2:$X$157="执行卖出")*(持仓跟踪!$H$2:$H$157&lt;&gt;"")),持仓跟踪!$H$2:$H$157),""))</f>
        <v/>
      </c>
      <c r="N24" s="10"/>
      <c r="O24" s="10"/>
      <c r="P24" s="5" t="str">
        <f>IF(A24="","",IFERROR(LOOKUP(2,1/((持仓跟踪!$B$2:$B$157=A24)*(持仓跟踪!$X$2:$X$157="执行卖出")*(持仓跟踪!$AA$2:$AA$157&lt;&gt;"")),持仓跟踪!$AA$2:$AA$157),""))</f>
        <v/>
      </c>
      <c r="Q24" s="2"/>
      <c r="R24" s="2"/>
      <c r="S24" s="2"/>
      <c r="T24" s="2"/>
      <c r="U24" s="7" t="str">
        <f t="shared" si="12"/>
        <v/>
      </c>
      <c r="V24" s="7" t="str">
        <f t="shared" si="13"/>
        <v/>
      </c>
      <c r="W24" s="17" t="str">
        <f t="shared" si="14"/>
        <v/>
      </c>
      <c r="X24" s="5" t="str">
        <f t="shared" si="15"/>
        <v/>
      </c>
      <c r="Y24" s="7" t="str">
        <f t="shared" si="16"/>
        <v/>
      </c>
      <c r="Z24" s="7" t="str">
        <f>IF(OR(AE24="",多次统计数据!$B$8=""),"",AE24-多次统计数据!$B$8)</f>
        <v/>
      </c>
      <c r="AA24" s="11" t="str">
        <f t="shared" si="17"/>
        <v/>
      </c>
      <c r="AB24" s="7" t="str">
        <f>IF(OR(A24="",多次统计数据!$B$8="",多次统计数据!$B$6&lt;=0,多次统计数据!$B$6&gt;=1),"",1-POWER(1+多次统计数据!$B$8,-多次统计数据!$B$6/(1-多次统计数据!$B$6)))</f>
        <v/>
      </c>
      <c r="AC24" s="8" t="str">
        <f>IF(OR(AB24="",多次统计数据!$B$9=""),"",IF(多次统计数据!$B$9&lt;AB24,"低于上限","达到或超过上限"))</f>
        <v/>
      </c>
      <c r="AD24" s="2"/>
      <c r="AE24" s="7" t="str">
        <f t="shared" si="18"/>
        <v/>
      </c>
      <c r="AG24" s="2"/>
      <c r="AH24" s="2"/>
      <c r="AI24" s="2"/>
      <c r="AJ24" s="8" t="str">
        <f t="shared" si="19"/>
        <v/>
      </c>
      <c r="AK24" s="10"/>
      <c r="AL24" s="12"/>
      <c r="AM24" s="10"/>
      <c r="AN24" s="12"/>
      <c r="AO24" s="5" t="str">
        <f t="shared" si="20"/>
        <v/>
      </c>
      <c r="AP24" s="11" t="str">
        <f t="shared" si="21"/>
        <v/>
      </c>
      <c r="AQ24" s="5" t="str">
        <f>IF(A24="","",IF(M24&lt;&gt;"",0,IF(OR(H24="",N24=""),"",MAX(E24-MAX(N24,IFERROR(SUMPRODUCT(MAX(((持仓跟踪!$A$2:$A$157="每日跟踪")*(持仓跟踪!$B$2:$B$157=A24))*持仓跟踪!$S$2:$S$157)),0)),0)*H24+IF(OR(AK24="",AL24=""),0,MAX(AK24-MAX(N24,IFERROR(SUMPRODUCT(MAX(((持仓跟踪!$A$2:$A$157="每日跟踪")*(持仓跟踪!$B$2:$B$157=A24))*持仓跟踪!$S$2:$S$157)),0)),0)*AL24)+IF(OR(AM24="",AN24=""),0,MAX(AM24-MAX(N24,IFERROR(SUMPRODUCT(MAX(((持仓跟踪!$A$2:$A$157="每日跟踪")*(持仓跟踪!$B$2:$B$157=A24))*持仓跟踪!$S$2:$S$157)),0)),0)*AN24))))</f>
        <v/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$88)&gt;账户数据!$B$7,"违规：超过账户风险上限","通过")))))))))</f>
        <v/>
      </c>
    </row>
    <row r="25" spans="1:44" x14ac:dyDescent="0.15">
      <c r="A25" s="2"/>
      <c r="B25" s="2"/>
      <c r="C25" s="10"/>
      <c r="D25" s="6"/>
      <c r="E25" s="10"/>
      <c r="F25" s="8" t="str">
        <f t="shared" si="11"/>
        <v/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$157,"止损计划",持仓跟踪!$B$2:$B$157,A25,持仓跟踪!$AC$2:$AC$157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5" s="2"/>
      <c r="I25" s="15"/>
      <c r="J25" s="10"/>
      <c r="K25" s="5" t="str">
        <f>IF(A25="","",IFERROR(LOOKUP(2,1/((持仓跟踪!$B$2:$B$157=A25)*(持仓跟踪!$X$2:$X$157="执行卖出")*(持仓跟踪!$Y$2:$Y$157&lt;&gt;"")),持仓跟踪!$Y$2:$Y$157),""))</f>
        <v/>
      </c>
      <c r="L25" s="8" t="str">
        <f>IF(A25="","",IFERROR(LOOKUP(2,1/((持仓跟踪!$B$2:$B$157=A25)*(持仓跟踪!$X$2:$X$157="执行卖出")*(持仓跟踪!$Z$2:$Z$157&lt;&gt;"")),持仓跟踪!$Z$2:$Z$157),""))</f>
        <v/>
      </c>
      <c r="M25" s="18" t="str">
        <f>IF(A25="","",IFERROR(LOOKUP(2,1/((持仓跟踪!$B$2:$B$157=A25)*(持仓跟踪!$X$2:$X$157="执行卖出")*(持仓跟踪!$H$2:$H$157&lt;&gt;"")),持仓跟踪!$H$2:$H$157),""))</f>
        <v/>
      </c>
      <c r="N25" s="10"/>
      <c r="O25" s="10"/>
      <c r="P25" s="5" t="str">
        <f>IF(A25="","",IFERROR(LOOKUP(2,1/((持仓跟踪!$B$2:$B$157=A25)*(持仓跟踪!$X$2:$X$157="执行卖出")*(持仓跟踪!$AA$2:$AA$157&lt;&gt;"")),持仓跟踪!$AA$2:$AA$157),""))</f>
        <v/>
      </c>
      <c r="Q25" s="2"/>
      <c r="R25" s="2"/>
      <c r="S25" s="2"/>
      <c r="T25" s="2"/>
      <c r="U25" s="7" t="str">
        <f t="shared" si="12"/>
        <v/>
      </c>
      <c r="V25" s="7" t="str">
        <f t="shared" si="13"/>
        <v/>
      </c>
      <c r="W25" s="17" t="str">
        <f t="shared" si="14"/>
        <v/>
      </c>
      <c r="X25" s="5" t="str">
        <f t="shared" si="15"/>
        <v/>
      </c>
      <c r="Y25" s="7" t="str">
        <f t="shared" si="16"/>
        <v/>
      </c>
      <c r="Z25" s="7" t="str">
        <f>IF(OR(AE25="",多次统计数据!$B$8=""),"",AE25-多次统计数据!$B$8)</f>
        <v/>
      </c>
      <c r="AA25" s="11" t="str">
        <f t="shared" si="17"/>
        <v/>
      </c>
      <c r="AB25" s="7" t="str">
        <f>IF(OR(A25="",多次统计数据!$B$8="",多次统计数据!$B$6&lt;=0,多次统计数据!$B$6&gt;=1),"",1-POWER(1+多次统计数据!$B$8,-多次统计数据!$B$6/(1-多次统计数据!$B$6)))</f>
        <v/>
      </c>
      <c r="AC25" s="8" t="str">
        <f>IF(OR(AB25="",多次统计数据!$B$9=""),"",IF(多次统计数据!$B$9&lt;AB25,"低于上限","达到或超过上限"))</f>
        <v/>
      </c>
      <c r="AD25" s="2"/>
      <c r="AE25" s="7" t="str">
        <f t="shared" si="18"/>
        <v/>
      </c>
      <c r="AG25" s="2"/>
      <c r="AH25" s="2"/>
      <c r="AI25" s="2"/>
      <c r="AJ25" s="8" t="str">
        <f t="shared" si="19"/>
        <v/>
      </c>
      <c r="AK25" s="10"/>
      <c r="AL25" s="12"/>
      <c r="AM25" s="10"/>
      <c r="AN25" s="12"/>
      <c r="AO25" s="5" t="str">
        <f t="shared" si="20"/>
        <v/>
      </c>
      <c r="AP25" s="11" t="str">
        <f t="shared" si="21"/>
        <v/>
      </c>
      <c r="AQ25" s="5" t="str">
        <f>IF(A25="","",IF(M25&lt;&gt;"",0,IF(OR(H25="",N25=""),"",MAX(E25-MAX(N25,IFERROR(SUMPRODUCT(MAX(((持仓跟踪!$A$2:$A$157="每日跟踪")*(持仓跟踪!$B$2:$B$157=A25))*持仓跟踪!$S$2:$S$157)),0)),0)*H25+IF(OR(AK25="",AL25=""),0,MAX(AK25-MAX(N25,IFERROR(SUMPRODUCT(MAX(((持仓跟踪!$A$2:$A$157="每日跟踪")*(持仓跟踪!$B$2:$B$157=A25))*持仓跟踪!$S$2:$S$157)),0)),0)*AL25)+IF(OR(AM25="",AN25=""),0,MAX(AM25-MAX(N25,IFERROR(SUMPRODUCT(MAX(((持仓跟踪!$A$2:$A$157="每日跟踪")*(持仓跟踪!$B$2:$B$157=A25))*持仓跟踪!$S$2:$S$157)),0)),0)*AN25))))</f>
        <v/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$88)&gt;账户数据!$B$7,"违规：超过账户风险上限","通过")))))))))</f>
        <v/>
      </c>
    </row>
    <row r="26" spans="1:44" x14ac:dyDescent="0.15">
      <c r="A26" s="2"/>
      <c r="B26" s="2"/>
      <c r="C26" s="10"/>
      <c r="D26" s="6"/>
      <c r="E26" s="10"/>
      <c r="F26" s="8" t="str">
        <f t="shared" si="11"/>
        <v/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$157,"止损计划",持仓跟踪!$B$2:$B$157,A26,持仓跟踪!$AC$2:$AC$157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6" s="2"/>
      <c r="I26" s="15"/>
      <c r="J26" s="10"/>
      <c r="K26" s="5" t="str">
        <f>IF(A26="","",IFERROR(LOOKUP(2,1/((持仓跟踪!$B$2:$B$157=A26)*(持仓跟踪!$X$2:$X$157="执行卖出")*(持仓跟踪!$Y$2:$Y$157&lt;&gt;"")),持仓跟踪!$Y$2:$Y$157),""))</f>
        <v/>
      </c>
      <c r="L26" s="8" t="str">
        <f>IF(A26="","",IFERROR(LOOKUP(2,1/((持仓跟踪!$B$2:$B$157=A26)*(持仓跟踪!$X$2:$X$157="执行卖出")*(持仓跟踪!$Z$2:$Z$157&lt;&gt;"")),持仓跟踪!$Z$2:$Z$157),""))</f>
        <v/>
      </c>
      <c r="M26" s="18" t="str">
        <f>IF(A26="","",IFERROR(LOOKUP(2,1/((持仓跟踪!$B$2:$B$157=A26)*(持仓跟踪!$X$2:$X$157="执行卖出")*(持仓跟踪!$H$2:$H$157&lt;&gt;"")),持仓跟踪!$H$2:$H$157),""))</f>
        <v/>
      </c>
      <c r="N26" s="10"/>
      <c r="O26" s="10"/>
      <c r="P26" s="5" t="str">
        <f>IF(A26="","",IFERROR(LOOKUP(2,1/((持仓跟踪!$B$2:$B$157=A26)*(持仓跟踪!$X$2:$X$157="执行卖出")*(持仓跟踪!$AA$2:$AA$157&lt;&gt;"")),持仓跟踪!$AA$2:$AA$157),""))</f>
        <v/>
      </c>
      <c r="Q26" s="2"/>
      <c r="R26" s="2"/>
      <c r="S26" s="2"/>
      <c r="T26" s="2"/>
      <c r="U26" s="7" t="str">
        <f t="shared" si="12"/>
        <v/>
      </c>
      <c r="V26" s="7" t="str">
        <f t="shared" si="13"/>
        <v/>
      </c>
      <c r="W26" s="17" t="str">
        <f t="shared" si="14"/>
        <v/>
      </c>
      <c r="X26" s="5" t="str">
        <f t="shared" si="15"/>
        <v/>
      </c>
      <c r="Y26" s="7" t="str">
        <f t="shared" si="16"/>
        <v/>
      </c>
      <c r="Z26" s="7" t="str">
        <f>IF(OR(AE26="",多次统计数据!$B$8=""),"",AE26-多次统计数据!$B$8)</f>
        <v/>
      </c>
      <c r="AA26" s="11" t="str">
        <f t="shared" si="17"/>
        <v/>
      </c>
      <c r="AB26" s="7" t="str">
        <f>IF(OR(A26="",多次统计数据!$B$8="",多次统计数据!$B$6&lt;=0,多次统计数据!$B$6&gt;=1),"",1-POWER(1+多次统计数据!$B$8,-多次统计数据!$B$6/(1-多次统计数据!$B$6)))</f>
        <v/>
      </c>
      <c r="AC26" s="8" t="str">
        <f>IF(OR(AB26="",多次统计数据!$B$9=""),"",IF(多次统计数据!$B$9&lt;AB26,"低于上限","达到或超过上限"))</f>
        <v/>
      </c>
      <c r="AD26" s="2"/>
      <c r="AE26" s="7" t="str">
        <f t="shared" si="18"/>
        <v/>
      </c>
      <c r="AG26" s="2"/>
      <c r="AH26" s="2"/>
      <c r="AI26" s="2"/>
      <c r="AJ26" s="8" t="str">
        <f t="shared" si="19"/>
        <v/>
      </c>
      <c r="AK26" s="10"/>
      <c r="AL26" s="12"/>
      <c r="AM26" s="10"/>
      <c r="AN26" s="12"/>
      <c r="AO26" s="5" t="str">
        <f t="shared" si="20"/>
        <v/>
      </c>
      <c r="AP26" s="11" t="str">
        <f t="shared" si="21"/>
        <v/>
      </c>
      <c r="AQ26" s="5" t="str">
        <f>IF(A26="","",IF(M26&lt;&gt;"",0,IF(OR(H26="",N26=""),"",MAX(E26-MAX(N26,IFERROR(SUMPRODUCT(MAX(((持仓跟踪!$A$2:$A$157="每日跟踪")*(持仓跟踪!$B$2:$B$157=A26))*持仓跟踪!$S$2:$S$157)),0)),0)*H26+IF(OR(AK26="",AL26=""),0,MAX(AK26-MAX(N26,IFERROR(SUMPRODUCT(MAX(((持仓跟踪!$A$2:$A$157="每日跟踪")*(持仓跟踪!$B$2:$B$157=A26))*持仓跟踪!$S$2:$S$157)),0)),0)*AL26)+IF(OR(AM26="",AN26=""),0,MAX(AM26-MAX(N26,IFERROR(SUMPRODUCT(MAX(((持仓跟踪!$A$2:$A$157="每日跟踪")*(持仓跟踪!$B$2:$B$157=A26))*持仓跟踪!$S$2:$S$157)),0)),0)*AN26))))</f>
        <v/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$88)&gt;账户数据!$B$7,"违规：超过账户风险上限","通过")))))))))</f>
        <v/>
      </c>
    </row>
    <row r="27" spans="1:44" x14ac:dyDescent="0.15">
      <c r="A27" s="2"/>
      <c r="B27" s="2"/>
      <c r="C27" s="10"/>
      <c r="D27" s="6"/>
      <c r="E27" s="10"/>
      <c r="F27" s="8" t="str">
        <f t="shared" si="11"/>
        <v/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$157,"止损计划",持仓跟踪!$B$2:$B$157,A27,持仓跟踪!$AC$2:$AC$157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7" s="2"/>
      <c r="I27" s="15"/>
      <c r="J27" s="10"/>
      <c r="K27" s="5" t="str">
        <f>IF(A27="","",IFERROR(LOOKUP(2,1/((持仓跟踪!$B$2:$B$157=A27)*(持仓跟踪!$X$2:$X$157="执行卖出")*(持仓跟踪!$Y$2:$Y$157&lt;&gt;"")),持仓跟踪!$Y$2:$Y$157),""))</f>
        <v/>
      </c>
      <c r="L27" s="8" t="str">
        <f>IF(A27="","",IFERROR(LOOKUP(2,1/((持仓跟踪!$B$2:$B$157=A27)*(持仓跟踪!$X$2:$X$157="执行卖出")*(持仓跟踪!$Z$2:$Z$157&lt;&gt;"")),持仓跟踪!$Z$2:$Z$157),""))</f>
        <v/>
      </c>
      <c r="M27" s="18" t="str">
        <f>IF(A27="","",IFERROR(LOOKUP(2,1/((持仓跟踪!$B$2:$B$157=A27)*(持仓跟踪!$X$2:$X$157="执行卖出")*(持仓跟踪!$H$2:$H$157&lt;&gt;"")),持仓跟踪!$H$2:$H$157),""))</f>
        <v/>
      </c>
      <c r="N27" s="10"/>
      <c r="O27" s="10"/>
      <c r="P27" s="5" t="str">
        <f>IF(A27="","",IFERROR(LOOKUP(2,1/((持仓跟踪!$B$2:$B$157=A27)*(持仓跟踪!$X$2:$X$157="执行卖出")*(持仓跟踪!$AA$2:$AA$157&lt;&gt;"")),持仓跟踪!$AA$2:$AA$157),""))</f>
        <v/>
      </c>
      <c r="Q27" s="2"/>
      <c r="R27" s="2"/>
      <c r="S27" s="2"/>
      <c r="T27" s="2"/>
      <c r="U27" s="7" t="str">
        <f t="shared" si="12"/>
        <v/>
      </c>
      <c r="V27" s="7" t="str">
        <f t="shared" si="13"/>
        <v/>
      </c>
      <c r="W27" s="17" t="str">
        <f t="shared" si="14"/>
        <v/>
      </c>
      <c r="X27" s="5" t="str">
        <f t="shared" si="15"/>
        <v/>
      </c>
      <c r="Y27" s="7" t="str">
        <f t="shared" si="16"/>
        <v/>
      </c>
      <c r="Z27" s="7" t="str">
        <f>IF(OR(AE27="",多次统计数据!$B$8=""),"",AE27-多次统计数据!$B$8)</f>
        <v/>
      </c>
      <c r="AA27" s="11" t="str">
        <f t="shared" si="17"/>
        <v/>
      </c>
      <c r="AB27" s="7" t="str">
        <f>IF(OR(A27="",多次统计数据!$B$8="",多次统计数据!$B$6&lt;=0,多次统计数据!$B$6&gt;=1),"",1-POWER(1+多次统计数据!$B$8,-多次统计数据!$B$6/(1-多次统计数据!$B$6)))</f>
        <v/>
      </c>
      <c r="AC27" s="8" t="str">
        <f>IF(OR(AB27="",多次统计数据!$B$9=""),"",IF(多次统计数据!$B$9&lt;AB27,"低于上限","达到或超过上限"))</f>
        <v/>
      </c>
      <c r="AD27" s="2"/>
      <c r="AE27" s="7" t="str">
        <f t="shared" si="18"/>
        <v/>
      </c>
      <c r="AG27" s="2"/>
      <c r="AH27" s="2"/>
      <c r="AI27" s="2"/>
      <c r="AJ27" s="8" t="str">
        <f t="shared" si="19"/>
        <v/>
      </c>
      <c r="AK27" s="10"/>
      <c r="AL27" s="12"/>
      <c r="AM27" s="10"/>
      <c r="AN27" s="12"/>
      <c r="AO27" s="5" t="str">
        <f t="shared" si="20"/>
        <v/>
      </c>
      <c r="AP27" s="11" t="str">
        <f t="shared" si="21"/>
        <v/>
      </c>
      <c r="AQ27" s="5" t="str">
        <f>IF(A27="","",IF(M27&lt;&gt;"",0,IF(OR(H27="",N27=""),"",MAX(E27-MAX(N27,IFERROR(SUMPRODUCT(MAX(((持仓跟踪!$A$2:$A$157="每日跟踪")*(持仓跟踪!$B$2:$B$157=A27))*持仓跟踪!$S$2:$S$157)),0)),0)*H27+IF(OR(AK27="",AL27=""),0,MAX(AK27-MAX(N27,IFERROR(SUMPRODUCT(MAX(((持仓跟踪!$A$2:$A$157="每日跟踪")*(持仓跟踪!$B$2:$B$157=A27))*持仓跟踪!$S$2:$S$157)),0)),0)*AL27)+IF(OR(AM27="",AN27=""),0,MAX(AM27-MAX(N27,IFERROR(SUMPRODUCT(MAX(((持仓跟踪!$A$2:$A$157="每日跟踪")*(持仓跟踪!$B$2:$B$157=A27))*持仓跟踪!$S$2:$S$157)),0)),0)*AN27))))</f>
        <v/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$88)&gt;账户数据!$B$7,"违规：超过账户风险上限","通过")))))))))</f>
        <v/>
      </c>
    </row>
    <row r="28" spans="1:44" x14ac:dyDescent="0.15">
      <c r="A28" s="2"/>
      <c r="B28" s="2"/>
      <c r="C28" s="10"/>
      <c r="D28" s="6"/>
      <c r="E28" s="10"/>
      <c r="F28" s="8" t="str">
        <f t="shared" si="11"/>
        <v/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$157,"止损计划",持仓跟踪!$B$2:$B$157,A28,持仓跟踪!$AC$2:$AC$157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8" s="2"/>
      <c r="I28" s="15"/>
      <c r="J28" s="10"/>
      <c r="K28" s="5" t="str">
        <f>IF(A28="","",IFERROR(LOOKUP(2,1/((持仓跟踪!$B$2:$B$157=A28)*(持仓跟踪!$X$2:$X$157="执行卖出")*(持仓跟踪!$Y$2:$Y$157&lt;&gt;"")),持仓跟踪!$Y$2:$Y$157),""))</f>
        <v/>
      </c>
      <c r="L28" s="8" t="str">
        <f>IF(A28="","",IFERROR(LOOKUP(2,1/((持仓跟踪!$B$2:$B$157=A28)*(持仓跟踪!$X$2:$X$157="执行卖出")*(持仓跟踪!$Z$2:$Z$157&lt;&gt;"")),持仓跟踪!$Z$2:$Z$157),""))</f>
        <v/>
      </c>
      <c r="M28" s="18" t="str">
        <f>IF(A28="","",IFERROR(LOOKUP(2,1/((持仓跟踪!$B$2:$B$157=A28)*(持仓跟踪!$X$2:$X$157="执行卖出")*(持仓跟踪!$H$2:$H$157&lt;&gt;"")),持仓跟踪!$H$2:$H$157),""))</f>
        <v/>
      </c>
      <c r="N28" s="10"/>
      <c r="O28" s="10"/>
      <c r="P28" s="5" t="str">
        <f>IF(A28="","",IFERROR(LOOKUP(2,1/((持仓跟踪!$B$2:$B$157=A28)*(持仓跟踪!$X$2:$X$157="执行卖出")*(持仓跟踪!$AA$2:$AA$157&lt;&gt;"")),持仓跟踪!$AA$2:$AA$157),""))</f>
        <v/>
      </c>
      <c r="Q28" s="2"/>
      <c r="R28" s="2"/>
      <c r="S28" s="2"/>
      <c r="T28" s="2"/>
      <c r="U28" s="7" t="str">
        <f t="shared" si="12"/>
        <v/>
      </c>
      <c r="V28" s="7" t="str">
        <f t="shared" si="13"/>
        <v/>
      </c>
      <c r="W28" s="17" t="str">
        <f t="shared" si="14"/>
        <v/>
      </c>
      <c r="X28" s="5" t="str">
        <f t="shared" si="15"/>
        <v/>
      </c>
      <c r="Y28" s="7" t="str">
        <f t="shared" si="16"/>
        <v/>
      </c>
      <c r="Z28" s="7" t="str">
        <f>IF(OR(AE28="",多次统计数据!$B$8=""),"",AE28-多次统计数据!$B$8)</f>
        <v/>
      </c>
      <c r="AA28" s="11" t="str">
        <f t="shared" si="17"/>
        <v/>
      </c>
      <c r="AB28" s="7" t="str">
        <f>IF(OR(A28="",多次统计数据!$B$8="",多次统计数据!$B$6&lt;=0,多次统计数据!$B$6&gt;=1),"",1-POWER(1+多次统计数据!$B$8,-多次统计数据!$B$6/(1-多次统计数据!$B$6)))</f>
        <v/>
      </c>
      <c r="AC28" s="8" t="str">
        <f>IF(OR(AB28="",多次统计数据!$B$9=""),"",IF(多次统计数据!$B$9&lt;AB28,"低于上限","达到或超过上限"))</f>
        <v/>
      </c>
      <c r="AD28" s="2"/>
      <c r="AE28" s="7" t="str">
        <f t="shared" si="18"/>
        <v/>
      </c>
      <c r="AG28" s="2"/>
      <c r="AH28" s="2"/>
      <c r="AI28" s="2"/>
      <c r="AJ28" s="8" t="str">
        <f t="shared" si="19"/>
        <v/>
      </c>
      <c r="AK28" s="10"/>
      <c r="AL28" s="12"/>
      <c r="AM28" s="10"/>
      <c r="AN28" s="12"/>
      <c r="AO28" s="5" t="str">
        <f t="shared" si="20"/>
        <v/>
      </c>
      <c r="AP28" s="11" t="str">
        <f t="shared" si="21"/>
        <v/>
      </c>
      <c r="AQ28" s="5" t="str">
        <f>IF(A28="","",IF(M28&lt;&gt;"",0,IF(OR(H28="",N28=""),"",MAX(E28-MAX(N28,IFERROR(SUMPRODUCT(MAX(((持仓跟踪!$A$2:$A$157="每日跟踪")*(持仓跟踪!$B$2:$B$157=A28))*持仓跟踪!$S$2:$S$157)),0)),0)*H28+IF(OR(AK28="",AL28=""),0,MAX(AK28-MAX(N28,IFERROR(SUMPRODUCT(MAX(((持仓跟踪!$A$2:$A$157="每日跟踪")*(持仓跟踪!$B$2:$B$157=A28))*持仓跟踪!$S$2:$S$157)),0)),0)*AL28)+IF(OR(AM28="",AN28=""),0,MAX(AM28-MAX(N28,IFERROR(SUMPRODUCT(MAX(((持仓跟踪!$A$2:$A$157="每日跟踪")*(持仓跟踪!$B$2:$B$157=A28))*持仓跟踪!$S$2:$S$157)),0)),0)*AN28))))</f>
        <v/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$88)&gt;账户数据!$B$7,"违规：超过账户风险上限","通过")))))))))</f>
        <v/>
      </c>
    </row>
    <row r="29" spans="1:44" x14ac:dyDescent="0.15">
      <c r="A29" s="2"/>
      <c r="B29" s="2"/>
      <c r="C29" s="10"/>
      <c r="D29" s="6"/>
      <c r="E29" s="10"/>
      <c r="F29" s="8" t="str">
        <f t="shared" si="11"/>
        <v/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$157,"止损计划",持仓跟踪!$B$2:$B$157,A29,持仓跟踪!$AC$2:$AC$157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9" s="2"/>
      <c r="I29" s="15"/>
      <c r="J29" s="10"/>
      <c r="K29" s="5" t="str">
        <f>IF(A29="","",IFERROR(LOOKUP(2,1/((持仓跟踪!$B$2:$B$157=A29)*(持仓跟踪!$X$2:$X$157="执行卖出")*(持仓跟踪!$Y$2:$Y$157&lt;&gt;"")),持仓跟踪!$Y$2:$Y$157),""))</f>
        <v/>
      </c>
      <c r="L29" s="8" t="str">
        <f>IF(A29="","",IFERROR(LOOKUP(2,1/((持仓跟踪!$B$2:$B$157=A29)*(持仓跟踪!$X$2:$X$157="执行卖出")*(持仓跟踪!$Z$2:$Z$157&lt;&gt;"")),持仓跟踪!$Z$2:$Z$157),""))</f>
        <v/>
      </c>
      <c r="M29" s="18" t="str">
        <f>IF(A29="","",IFERROR(LOOKUP(2,1/((持仓跟踪!$B$2:$B$157=A29)*(持仓跟踪!$X$2:$X$157="执行卖出")*(持仓跟踪!$H$2:$H$157&lt;&gt;"")),持仓跟踪!$H$2:$H$157),""))</f>
        <v/>
      </c>
      <c r="N29" s="10"/>
      <c r="O29" s="10"/>
      <c r="P29" s="5" t="str">
        <f>IF(A29="","",IFERROR(LOOKUP(2,1/((持仓跟踪!$B$2:$B$157=A29)*(持仓跟踪!$X$2:$X$157="执行卖出")*(持仓跟踪!$AA$2:$AA$157&lt;&gt;"")),持仓跟踪!$AA$2:$AA$157),""))</f>
        <v/>
      </c>
      <c r="Q29" s="2"/>
      <c r="R29" s="2"/>
      <c r="S29" s="2"/>
      <c r="T29" s="2"/>
      <c r="U29" s="7" t="str">
        <f t="shared" si="12"/>
        <v/>
      </c>
      <c r="V29" s="7" t="str">
        <f t="shared" si="13"/>
        <v/>
      </c>
      <c r="W29" s="17" t="str">
        <f t="shared" si="14"/>
        <v/>
      </c>
      <c r="X29" s="5" t="str">
        <f t="shared" si="15"/>
        <v/>
      </c>
      <c r="Y29" s="7" t="str">
        <f t="shared" si="16"/>
        <v/>
      </c>
      <c r="Z29" s="7" t="str">
        <f>IF(OR(AE29="",多次统计数据!$B$8=""),"",AE29-多次统计数据!$B$8)</f>
        <v/>
      </c>
      <c r="AA29" s="11" t="str">
        <f t="shared" si="17"/>
        <v/>
      </c>
      <c r="AB29" s="7" t="str">
        <f>IF(OR(A29="",多次统计数据!$B$8="",多次统计数据!$B$6&lt;=0,多次统计数据!$B$6&gt;=1),"",1-POWER(1+多次统计数据!$B$8,-多次统计数据!$B$6/(1-多次统计数据!$B$6)))</f>
        <v/>
      </c>
      <c r="AC29" s="8" t="str">
        <f>IF(OR(AB29="",多次统计数据!$B$9=""),"",IF(多次统计数据!$B$9&lt;AB29,"低于上限","达到或超过上限"))</f>
        <v/>
      </c>
      <c r="AD29" s="2"/>
      <c r="AE29" s="7" t="str">
        <f t="shared" si="18"/>
        <v/>
      </c>
      <c r="AG29" s="2"/>
      <c r="AH29" s="2"/>
      <c r="AI29" s="2"/>
      <c r="AJ29" s="8" t="str">
        <f t="shared" si="19"/>
        <v/>
      </c>
      <c r="AK29" s="10"/>
      <c r="AL29" s="12"/>
      <c r="AM29" s="10"/>
      <c r="AN29" s="12"/>
      <c r="AO29" s="5" t="str">
        <f t="shared" si="20"/>
        <v/>
      </c>
      <c r="AP29" s="11" t="str">
        <f t="shared" si="21"/>
        <v/>
      </c>
      <c r="AQ29" s="5" t="str">
        <f>IF(A29="","",IF(M29&lt;&gt;"",0,IF(OR(H29="",N29=""),"",MAX(E29-MAX(N29,IFERROR(SUMPRODUCT(MAX(((持仓跟踪!$A$2:$A$157="每日跟踪")*(持仓跟踪!$B$2:$B$157=A29))*持仓跟踪!$S$2:$S$157)),0)),0)*H29+IF(OR(AK29="",AL29=""),0,MAX(AK29-MAX(N29,IFERROR(SUMPRODUCT(MAX(((持仓跟踪!$A$2:$A$157="每日跟踪")*(持仓跟踪!$B$2:$B$157=A29))*持仓跟踪!$S$2:$S$157)),0)),0)*AL29)+IF(OR(AM29="",AN29=""),0,MAX(AM29-MAX(N29,IFERROR(SUMPRODUCT(MAX(((持仓跟踪!$A$2:$A$157="每日跟踪")*(持仓跟踪!$B$2:$B$157=A29))*持仓跟踪!$S$2:$S$157)),0)),0)*AN29))))</f>
        <v/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$88)&gt;账户数据!$B$7,"违规：超过账户风险上限","通过")))))))))</f>
        <v/>
      </c>
    </row>
    <row r="30" spans="1:44" x14ac:dyDescent="0.15">
      <c r="A30" s="2"/>
      <c r="B30" s="2"/>
      <c r="C30" s="10"/>
      <c r="D30" s="6"/>
      <c r="E30" s="10"/>
      <c r="F30" s="8" t="str">
        <f t="shared" si="11"/>
        <v/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$157,"止损计划",持仓跟踪!$B$2:$B$157,A30,持仓跟踪!$AC$2:$AC$157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0" s="2"/>
      <c r="I30" s="15"/>
      <c r="J30" s="10"/>
      <c r="K30" s="5" t="str">
        <f>IF(A30="","",IFERROR(LOOKUP(2,1/((持仓跟踪!$B$2:$B$157=A30)*(持仓跟踪!$X$2:$X$157="执行卖出")*(持仓跟踪!$Y$2:$Y$157&lt;&gt;"")),持仓跟踪!$Y$2:$Y$157),""))</f>
        <v/>
      </c>
      <c r="L30" s="8" t="str">
        <f>IF(A30="","",IFERROR(LOOKUP(2,1/((持仓跟踪!$B$2:$B$157=A30)*(持仓跟踪!$X$2:$X$157="执行卖出")*(持仓跟踪!$Z$2:$Z$157&lt;&gt;"")),持仓跟踪!$Z$2:$Z$157),""))</f>
        <v/>
      </c>
      <c r="M30" s="18" t="str">
        <f>IF(A30="","",IFERROR(LOOKUP(2,1/((持仓跟踪!$B$2:$B$157=A30)*(持仓跟踪!$X$2:$X$157="执行卖出")*(持仓跟踪!$H$2:$H$157&lt;&gt;"")),持仓跟踪!$H$2:$H$157),""))</f>
        <v/>
      </c>
      <c r="N30" s="10"/>
      <c r="O30" s="10"/>
      <c r="P30" s="5" t="str">
        <f>IF(A30="","",IFERROR(LOOKUP(2,1/((持仓跟踪!$B$2:$B$157=A30)*(持仓跟踪!$X$2:$X$157="执行卖出")*(持仓跟踪!$AA$2:$AA$157&lt;&gt;"")),持仓跟踪!$AA$2:$AA$157),""))</f>
        <v/>
      </c>
      <c r="Q30" s="2"/>
      <c r="R30" s="2"/>
      <c r="S30" s="2"/>
      <c r="T30" s="2"/>
      <c r="U30" s="7" t="str">
        <f t="shared" si="12"/>
        <v/>
      </c>
      <c r="V30" s="7" t="str">
        <f t="shared" si="13"/>
        <v/>
      </c>
      <c r="W30" s="17" t="str">
        <f t="shared" si="14"/>
        <v/>
      </c>
      <c r="X30" s="5" t="str">
        <f t="shared" si="15"/>
        <v/>
      </c>
      <c r="Y30" s="7" t="str">
        <f t="shared" si="16"/>
        <v/>
      </c>
      <c r="Z30" s="7" t="str">
        <f>IF(OR(AE30="",多次统计数据!$B$8=""),"",AE30-多次统计数据!$B$8)</f>
        <v/>
      </c>
      <c r="AA30" s="11" t="str">
        <f t="shared" si="17"/>
        <v/>
      </c>
      <c r="AB30" s="7" t="str">
        <f>IF(OR(A30="",多次统计数据!$B$8="",多次统计数据!$B$6&lt;=0,多次统计数据!$B$6&gt;=1),"",1-POWER(1+多次统计数据!$B$8,-多次统计数据!$B$6/(1-多次统计数据!$B$6)))</f>
        <v/>
      </c>
      <c r="AC30" s="8" t="str">
        <f>IF(OR(AB30="",多次统计数据!$B$9=""),"",IF(多次统计数据!$B$9&lt;AB30,"低于上限","达到或超过上限"))</f>
        <v/>
      </c>
      <c r="AD30" s="2"/>
      <c r="AE30" s="7" t="str">
        <f t="shared" si="18"/>
        <v/>
      </c>
      <c r="AG30" s="2"/>
      <c r="AH30" s="2"/>
      <c r="AI30" s="2"/>
      <c r="AJ30" s="8" t="str">
        <f t="shared" si="19"/>
        <v/>
      </c>
      <c r="AK30" s="10"/>
      <c r="AL30" s="12"/>
      <c r="AM30" s="10"/>
      <c r="AN30" s="12"/>
      <c r="AO30" s="5" t="str">
        <f t="shared" si="20"/>
        <v/>
      </c>
      <c r="AP30" s="11" t="str">
        <f t="shared" si="21"/>
        <v/>
      </c>
      <c r="AQ30" s="5" t="str">
        <f>IF(A30="","",IF(M30&lt;&gt;"",0,IF(OR(H30="",N30=""),"",MAX(E30-MAX(N30,IFERROR(SUMPRODUCT(MAX(((持仓跟踪!$A$2:$A$157="每日跟踪")*(持仓跟踪!$B$2:$B$157=A30))*持仓跟踪!$S$2:$S$157)),0)),0)*H30+IF(OR(AK30="",AL30=""),0,MAX(AK30-MAX(N30,IFERROR(SUMPRODUCT(MAX(((持仓跟踪!$A$2:$A$157="每日跟踪")*(持仓跟踪!$B$2:$B$157=A30))*持仓跟踪!$S$2:$S$157)),0)),0)*AL30)+IF(OR(AM30="",AN30=""),0,MAX(AM30-MAX(N30,IFERROR(SUMPRODUCT(MAX(((持仓跟踪!$A$2:$A$157="每日跟踪")*(持仓跟踪!$B$2:$B$157=A30))*持仓跟踪!$S$2:$S$157)),0)),0)*AN30))))</f>
        <v/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$88)&gt;账户数据!$B$7,"违规：超过账户风险上限","通过")))))))))</f>
        <v/>
      </c>
    </row>
    <row r="31" spans="1:44" x14ac:dyDescent="0.15">
      <c r="A31" s="2"/>
      <c r="B31" s="2"/>
      <c r="C31" s="10"/>
      <c r="D31" s="6"/>
      <c r="E31" s="10"/>
      <c r="F31" s="8" t="str">
        <f t="shared" si="11"/>
        <v/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$157,"止损计划",持仓跟踪!$B$2:$B$157,A31,持仓跟踪!$AC$2:$AC$157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1" s="2"/>
      <c r="I31" s="15"/>
      <c r="J31" s="10"/>
      <c r="K31" s="5" t="str">
        <f>IF(A31="","",IFERROR(LOOKUP(2,1/((持仓跟踪!$B$2:$B$157=A31)*(持仓跟踪!$X$2:$X$157="执行卖出")*(持仓跟踪!$Y$2:$Y$157&lt;&gt;"")),持仓跟踪!$Y$2:$Y$157),""))</f>
        <v/>
      </c>
      <c r="L31" s="8" t="str">
        <f>IF(A31="","",IFERROR(LOOKUP(2,1/((持仓跟踪!$B$2:$B$157=A31)*(持仓跟踪!$X$2:$X$157="执行卖出")*(持仓跟踪!$Z$2:$Z$157&lt;&gt;"")),持仓跟踪!$Z$2:$Z$157),""))</f>
        <v/>
      </c>
      <c r="M31" s="18" t="str">
        <f>IF(A31="","",IFERROR(LOOKUP(2,1/((持仓跟踪!$B$2:$B$157=A31)*(持仓跟踪!$X$2:$X$157="执行卖出")*(持仓跟踪!$H$2:$H$157&lt;&gt;"")),持仓跟踪!$H$2:$H$157),""))</f>
        <v/>
      </c>
      <c r="N31" s="10"/>
      <c r="O31" s="10"/>
      <c r="P31" s="5" t="str">
        <f>IF(A31="","",IFERROR(LOOKUP(2,1/((持仓跟踪!$B$2:$B$157=A31)*(持仓跟踪!$X$2:$X$157="执行卖出")*(持仓跟踪!$AA$2:$AA$157&lt;&gt;"")),持仓跟踪!$AA$2:$AA$157),""))</f>
        <v/>
      </c>
      <c r="Q31" s="2"/>
      <c r="R31" s="2"/>
      <c r="S31" s="2"/>
      <c r="T31" s="2"/>
      <c r="U31" s="7" t="str">
        <f t="shared" si="12"/>
        <v/>
      </c>
      <c r="V31" s="7" t="str">
        <f t="shared" si="13"/>
        <v/>
      </c>
      <c r="W31" s="17" t="str">
        <f t="shared" si="14"/>
        <v/>
      </c>
      <c r="X31" s="5" t="str">
        <f t="shared" si="15"/>
        <v/>
      </c>
      <c r="Y31" s="7" t="str">
        <f t="shared" si="16"/>
        <v/>
      </c>
      <c r="Z31" s="7" t="str">
        <f>IF(OR(AE31="",多次统计数据!$B$8=""),"",AE31-多次统计数据!$B$8)</f>
        <v/>
      </c>
      <c r="AA31" s="11" t="str">
        <f t="shared" si="17"/>
        <v/>
      </c>
      <c r="AB31" s="7" t="str">
        <f>IF(OR(A31="",多次统计数据!$B$8="",多次统计数据!$B$6&lt;=0,多次统计数据!$B$6&gt;=1),"",1-POWER(1+多次统计数据!$B$8,-多次统计数据!$B$6/(1-多次统计数据!$B$6)))</f>
        <v/>
      </c>
      <c r="AC31" s="8" t="str">
        <f>IF(OR(AB31="",多次统计数据!$B$9=""),"",IF(多次统计数据!$B$9&lt;AB31,"低于上限","达到或超过上限"))</f>
        <v/>
      </c>
      <c r="AD31" s="2"/>
      <c r="AE31" s="7" t="str">
        <f t="shared" si="18"/>
        <v/>
      </c>
      <c r="AG31" s="2"/>
      <c r="AH31" s="2"/>
      <c r="AI31" s="2"/>
      <c r="AJ31" s="8" t="str">
        <f t="shared" si="19"/>
        <v/>
      </c>
      <c r="AK31" s="10"/>
      <c r="AL31" s="12"/>
      <c r="AM31" s="10"/>
      <c r="AN31" s="12"/>
      <c r="AO31" s="5" t="str">
        <f t="shared" si="20"/>
        <v/>
      </c>
      <c r="AP31" s="11" t="str">
        <f t="shared" si="21"/>
        <v/>
      </c>
      <c r="AQ31" s="5" t="str">
        <f>IF(A31="","",IF(M31&lt;&gt;"",0,IF(OR(H31="",N31=""),"",MAX(E31-MAX(N31,IFERROR(SUMPRODUCT(MAX(((持仓跟踪!$A$2:$A$157="每日跟踪")*(持仓跟踪!$B$2:$B$157=A31))*持仓跟踪!$S$2:$S$157)),0)),0)*H31+IF(OR(AK31="",AL31=""),0,MAX(AK31-MAX(N31,IFERROR(SUMPRODUCT(MAX(((持仓跟踪!$A$2:$A$157="每日跟踪")*(持仓跟踪!$B$2:$B$157=A31))*持仓跟踪!$S$2:$S$157)),0)),0)*AL31)+IF(OR(AM31="",AN31=""),0,MAX(AM31-MAX(N31,IFERROR(SUMPRODUCT(MAX(((持仓跟踪!$A$2:$A$157="每日跟踪")*(持仓跟踪!$B$2:$B$157=A31))*持仓跟踪!$S$2:$S$157)),0)),0)*AN31))))</f>
        <v/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$88)&gt;账户数据!$B$7,"违规：超过账户风险上限","通过")))))))))</f>
        <v/>
      </c>
    </row>
    <row r="32" spans="1:44" x14ac:dyDescent="0.15">
      <c r="A32" s="2"/>
      <c r="B32" s="2"/>
      <c r="C32" s="10"/>
      <c r="D32" s="6"/>
      <c r="E32" s="10"/>
      <c r="F32" s="8" t="str">
        <f t="shared" si="11"/>
        <v/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$157,"止损计划",持仓跟踪!$B$2:$B$157,A32,持仓跟踪!$AC$2:$AC$157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2" s="2"/>
      <c r="I32" s="15"/>
      <c r="J32" s="10"/>
      <c r="K32" s="5" t="str">
        <f>IF(A32="","",IFERROR(LOOKUP(2,1/((持仓跟踪!$B$2:$B$157=A32)*(持仓跟踪!$X$2:$X$157="执行卖出")*(持仓跟踪!$Y$2:$Y$157&lt;&gt;"")),持仓跟踪!$Y$2:$Y$157),""))</f>
        <v/>
      </c>
      <c r="L32" s="8" t="str">
        <f>IF(A32="","",IFERROR(LOOKUP(2,1/((持仓跟踪!$B$2:$B$157=A32)*(持仓跟踪!$X$2:$X$157="执行卖出")*(持仓跟踪!$Z$2:$Z$157&lt;&gt;"")),持仓跟踪!$Z$2:$Z$157),""))</f>
        <v/>
      </c>
      <c r="M32" s="18" t="str">
        <f>IF(A32="","",IFERROR(LOOKUP(2,1/((持仓跟踪!$B$2:$B$157=A32)*(持仓跟踪!$X$2:$X$157="执行卖出")*(持仓跟踪!$H$2:$H$157&lt;&gt;"")),持仓跟踪!$H$2:$H$157),""))</f>
        <v/>
      </c>
      <c r="N32" s="10"/>
      <c r="O32" s="10"/>
      <c r="P32" s="5" t="str">
        <f>IF(A32="","",IFERROR(LOOKUP(2,1/((持仓跟踪!$B$2:$B$157=A32)*(持仓跟踪!$X$2:$X$157="执行卖出")*(持仓跟踪!$AA$2:$AA$157&lt;&gt;"")),持仓跟踪!$AA$2:$AA$157),""))</f>
        <v/>
      </c>
      <c r="Q32" s="2"/>
      <c r="R32" s="2"/>
      <c r="S32" s="2"/>
      <c r="T32" s="2"/>
      <c r="U32" s="7" t="str">
        <f t="shared" si="12"/>
        <v/>
      </c>
      <c r="V32" s="7" t="str">
        <f t="shared" si="13"/>
        <v/>
      </c>
      <c r="W32" s="17" t="str">
        <f t="shared" si="14"/>
        <v/>
      </c>
      <c r="X32" s="5" t="str">
        <f t="shared" si="15"/>
        <v/>
      </c>
      <c r="Y32" s="7" t="str">
        <f t="shared" si="16"/>
        <v/>
      </c>
      <c r="Z32" s="7" t="str">
        <f>IF(OR(AE32="",多次统计数据!$B$8=""),"",AE32-多次统计数据!$B$8)</f>
        <v/>
      </c>
      <c r="AA32" s="11" t="str">
        <f t="shared" si="17"/>
        <v/>
      </c>
      <c r="AB32" s="7" t="str">
        <f>IF(OR(A32="",多次统计数据!$B$8="",多次统计数据!$B$6&lt;=0,多次统计数据!$B$6&gt;=1),"",1-POWER(1+多次统计数据!$B$8,-多次统计数据!$B$6/(1-多次统计数据!$B$6)))</f>
        <v/>
      </c>
      <c r="AC32" s="8" t="str">
        <f>IF(OR(AB32="",多次统计数据!$B$9=""),"",IF(多次统计数据!$B$9&lt;AB32,"低于上限","达到或超过上限"))</f>
        <v/>
      </c>
      <c r="AD32" s="2"/>
      <c r="AE32" s="7" t="str">
        <f t="shared" si="18"/>
        <v/>
      </c>
      <c r="AG32" s="2"/>
      <c r="AH32" s="2"/>
      <c r="AI32" s="2"/>
      <c r="AJ32" s="8" t="str">
        <f t="shared" si="19"/>
        <v/>
      </c>
      <c r="AK32" s="10"/>
      <c r="AL32" s="12"/>
      <c r="AM32" s="10"/>
      <c r="AN32" s="12"/>
      <c r="AO32" s="5" t="str">
        <f t="shared" si="20"/>
        <v/>
      </c>
      <c r="AP32" s="11" t="str">
        <f t="shared" si="21"/>
        <v/>
      </c>
      <c r="AQ32" s="5" t="str">
        <f>IF(A32="","",IF(M32&lt;&gt;"",0,IF(OR(H32="",N32=""),"",MAX(E32-MAX(N32,IFERROR(SUMPRODUCT(MAX(((持仓跟踪!$A$2:$A$157="每日跟踪")*(持仓跟踪!$B$2:$B$157=A32))*持仓跟踪!$S$2:$S$157)),0)),0)*H32+IF(OR(AK32="",AL32=""),0,MAX(AK32-MAX(N32,IFERROR(SUMPRODUCT(MAX(((持仓跟踪!$A$2:$A$157="每日跟踪")*(持仓跟踪!$B$2:$B$157=A32))*持仓跟踪!$S$2:$S$157)),0)),0)*AL32)+IF(OR(AM32="",AN32=""),0,MAX(AM32-MAX(N32,IFERROR(SUMPRODUCT(MAX(((持仓跟踪!$A$2:$A$157="每日跟踪")*(持仓跟踪!$B$2:$B$157=A32))*持仓跟踪!$S$2:$S$157)),0)),0)*AN32))))</f>
        <v/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$88)&gt;账户数据!$B$7,"违规：超过账户风险上限","通过")))))))))</f>
        <v/>
      </c>
    </row>
    <row r="33" spans="1:44" x14ac:dyDescent="0.15">
      <c r="A33" s="2"/>
      <c r="B33" s="2"/>
      <c r="C33" s="10"/>
      <c r="D33" s="6"/>
      <c r="E33" s="10"/>
      <c r="F33" s="8" t="str">
        <f t="shared" si="11"/>
        <v/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$157,"止损计划",持仓跟踪!$B$2:$B$157,A33,持仓跟踪!$AC$2:$AC$157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3" s="2"/>
      <c r="I33" s="15"/>
      <c r="J33" s="10"/>
      <c r="K33" s="5" t="str">
        <f>IF(A33="","",IFERROR(LOOKUP(2,1/((持仓跟踪!$B$2:$B$157=A33)*(持仓跟踪!$X$2:$X$157="执行卖出")*(持仓跟踪!$Y$2:$Y$157&lt;&gt;"")),持仓跟踪!$Y$2:$Y$157),""))</f>
        <v/>
      </c>
      <c r="L33" s="8" t="str">
        <f>IF(A33="","",IFERROR(LOOKUP(2,1/((持仓跟踪!$B$2:$B$157=A33)*(持仓跟踪!$X$2:$X$157="执行卖出")*(持仓跟踪!$Z$2:$Z$157&lt;&gt;"")),持仓跟踪!$Z$2:$Z$157),""))</f>
        <v/>
      </c>
      <c r="M33" s="18" t="str">
        <f>IF(A33="","",IFERROR(LOOKUP(2,1/((持仓跟踪!$B$2:$B$157=A33)*(持仓跟踪!$X$2:$X$157="执行卖出")*(持仓跟踪!$H$2:$H$157&lt;&gt;"")),持仓跟踪!$H$2:$H$157),""))</f>
        <v/>
      </c>
      <c r="N33" s="10"/>
      <c r="O33" s="10"/>
      <c r="P33" s="5" t="str">
        <f>IF(A33="","",IFERROR(LOOKUP(2,1/((持仓跟踪!$B$2:$B$157=A33)*(持仓跟踪!$X$2:$X$157="执行卖出")*(持仓跟踪!$AA$2:$AA$157&lt;&gt;"")),持仓跟踪!$AA$2:$AA$157),""))</f>
        <v/>
      </c>
      <c r="Q33" s="2"/>
      <c r="R33" s="2"/>
      <c r="S33" s="2"/>
      <c r="T33" s="2"/>
      <c r="U33" s="7" t="str">
        <f t="shared" si="12"/>
        <v/>
      </c>
      <c r="V33" s="7" t="str">
        <f t="shared" si="13"/>
        <v/>
      </c>
      <c r="W33" s="17" t="str">
        <f t="shared" si="14"/>
        <v/>
      </c>
      <c r="X33" s="5" t="str">
        <f t="shared" si="15"/>
        <v/>
      </c>
      <c r="Y33" s="7" t="str">
        <f t="shared" si="16"/>
        <v/>
      </c>
      <c r="Z33" s="7" t="str">
        <f>IF(OR(AE33="",多次统计数据!$B$8=""),"",AE33-多次统计数据!$B$8)</f>
        <v/>
      </c>
      <c r="AA33" s="11" t="str">
        <f t="shared" si="17"/>
        <v/>
      </c>
      <c r="AB33" s="7" t="str">
        <f>IF(OR(A33="",多次统计数据!$B$8="",多次统计数据!$B$6&lt;=0,多次统计数据!$B$6&gt;=1),"",1-POWER(1+多次统计数据!$B$8,-多次统计数据!$B$6/(1-多次统计数据!$B$6)))</f>
        <v/>
      </c>
      <c r="AC33" s="8" t="str">
        <f>IF(OR(AB33="",多次统计数据!$B$9=""),"",IF(多次统计数据!$B$9&lt;AB33,"低于上限","达到或超过上限"))</f>
        <v/>
      </c>
      <c r="AD33" s="2"/>
      <c r="AE33" s="7" t="str">
        <f t="shared" si="18"/>
        <v/>
      </c>
      <c r="AG33" s="2"/>
      <c r="AH33" s="2"/>
      <c r="AI33" s="2"/>
      <c r="AJ33" s="8" t="str">
        <f t="shared" si="19"/>
        <v/>
      </c>
      <c r="AK33" s="10"/>
      <c r="AL33" s="12"/>
      <c r="AM33" s="10"/>
      <c r="AN33" s="12"/>
      <c r="AO33" s="5" t="str">
        <f t="shared" si="20"/>
        <v/>
      </c>
      <c r="AP33" s="11" t="str">
        <f t="shared" si="21"/>
        <v/>
      </c>
      <c r="AQ33" s="5" t="str">
        <f>IF(A33="","",IF(M33&lt;&gt;"",0,IF(OR(H33="",N33=""),"",MAX(E33-MAX(N33,IFERROR(SUMPRODUCT(MAX(((持仓跟踪!$A$2:$A$157="每日跟踪")*(持仓跟踪!$B$2:$B$157=A33))*持仓跟踪!$S$2:$S$157)),0)),0)*H33+IF(OR(AK33="",AL33=""),0,MAX(AK33-MAX(N33,IFERROR(SUMPRODUCT(MAX(((持仓跟踪!$A$2:$A$157="每日跟踪")*(持仓跟踪!$B$2:$B$157=A33))*持仓跟踪!$S$2:$S$157)),0)),0)*AL33)+IF(OR(AM33="",AN33=""),0,MAX(AM33-MAX(N33,IFERROR(SUMPRODUCT(MAX(((持仓跟踪!$A$2:$A$157="每日跟踪")*(持仓跟踪!$B$2:$B$157=A33))*持仓跟踪!$S$2:$S$157)),0)),0)*AN33))))</f>
        <v/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$88)&gt;账户数据!$B$7,"违规：超过账户风险上限","通过")))))))))</f>
        <v/>
      </c>
    </row>
    <row r="34" spans="1:44" x14ac:dyDescent="0.15">
      <c r="A34" s="2"/>
      <c r="B34" s="2"/>
      <c r="C34" s="10"/>
      <c r="D34" s="6"/>
      <c r="E34" s="10"/>
      <c r="F34" s="8" t="str">
        <f t="shared" si="11"/>
        <v/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$157,"止损计划",持仓跟踪!$B$2:$B$157,A34,持仓跟踪!$AC$2:$AC$157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4" s="2"/>
      <c r="I34" s="15"/>
      <c r="J34" s="10"/>
      <c r="K34" s="5" t="str">
        <f>IF(A34="","",IFERROR(LOOKUP(2,1/((持仓跟踪!$B$2:$B$157=A34)*(持仓跟踪!$X$2:$X$157="执行卖出")*(持仓跟踪!$Y$2:$Y$157&lt;&gt;"")),持仓跟踪!$Y$2:$Y$157),""))</f>
        <v/>
      </c>
      <c r="L34" s="8" t="str">
        <f>IF(A34="","",IFERROR(LOOKUP(2,1/((持仓跟踪!$B$2:$B$157=A34)*(持仓跟踪!$X$2:$X$157="执行卖出")*(持仓跟踪!$Z$2:$Z$157&lt;&gt;"")),持仓跟踪!$Z$2:$Z$157),""))</f>
        <v/>
      </c>
      <c r="M34" s="18" t="str">
        <f>IF(A34="","",IFERROR(LOOKUP(2,1/((持仓跟踪!$B$2:$B$157=A34)*(持仓跟踪!$X$2:$X$157="执行卖出")*(持仓跟踪!$H$2:$H$157&lt;&gt;"")),持仓跟踪!$H$2:$H$157),""))</f>
        <v/>
      </c>
      <c r="N34" s="10"/>
      <c r="O34" s="10"/>
      <c r="P34" s="5" t="str">
        <f>IF(A34="","",IFERROR(LOOKUP(2,1/((持仓跟踪!$B$2:$B$157=A34)*(持仓跟踪!$X$2:$X$157="执行卖出")*(持仓跟踪!$AA$2:$AA$157&lt;&gt;"")),持仓跟踪!$AA$2:$AA$157),""))</f>
        <v/>
      </c>
      <c r="Q34" s="2"/>
      <c r="R34" s="2"/>
      <c r="S34" s="2"/>
      <c r="T34" s="2"/>
      <c r="U34" s="7" t="str">
        <f t="shared" si="12"/>
        <v/>
      </c>
      <c r="V34" s="7" t="str">
        <f t="shared" si="13"/>
        <v/>
      </c>
      <c r="W34" s="17" t="str">
        <f t="shared" si="14"/>
        <v/>
      </c>
      <c r="X34" s="5" t="str">
        <f t="shared" si="15"/>
        <v/>
      </c>
      <c r="Y34" s="7" t="str">
        <f t="shared" si="16"/>
        <v/>
      </c>
      <c r="Z34" s="7" t="str">
        <f>IF(OR(AE34="",多次统计数据!$B$8=""),"",AE34-多次统计数据!$B$8)</f>
        <v/>
      </c>
      <c r="AA34" s="11" t="str">
        <f t="shared" si="17"/>
        <v/>
      </c>
      <c r="AB34" s="7" t="str">
        <f>IF(OR(A34="",多次统计数据!$B$8="",多次统计数据!$B$6&lt;=0,多次统计数据!$B$6&gt;=1),"",1-POWER(1+多次统计数据!$B$8,-多次统计数据!$B$6/(1-多次统计数据!$B$6)))</f>
        <v/>
      </c>
      <c r="AC34" s="8" t="str">
        <f>IF(OR(AB34="",多次统计数据!$B$9=""),"",IF(多次统计数据!$B$9&lt;AB34,"低于上限","达到或超过上限"))</f>
        <v/>
      </c>
      <c r="AD34" s="2"/>
      <c r="AE34" s="7" t="str">
        <f t="shared" si="18"/>
        <v/>
      </c>
      <c r="AG34" s="2"/>
      <c r="AH34" s="2"/>
      <c r="AI34" s="2"/>
      <c r="AJ34" s="8" t="str">
        <f t="shared" si="19"/>
        <v/>
      </c>
      <c r="AK34" s="10"/>
      <c r="AL34" s="12"/>
      <c r="AM34" s="10"/>
      <c r="AN34" s="12"/>
      <c r="AO34" s="5" t="str">
        <f t="shared" si="20"/>
        <v/>
      </c>
      <c r="AP34" s="11" t="str">
        <f t="shared" si="21"/>
        <v/>
      </c>
      <c r="AQ34" s="5" t="str">
        <f>IF(A34="","",IF(M34&lt;&gt;"",0,IF(OR(H34="",N34=""),"",MAX(E34-MAX(N34,IFERROR(SUMPRODUCT(MAX(((持仓跟踪!$A$2:$A$157="每日跟踪")*(持仓跟踪!$B$2:$B$157=A34))*持仓跟踪!$S$2:$S$157)),0)),0)*H34+IF(OR(AK34="",AL34=""),0,MAX(AK34-MAX(N34,IFERROR(SUMPRODUCT(MAX(((持仓跟踪!$A$2:$A$157="每日跟踪")*(持仓跟踪!$B$2:$B$157=A34))*持仓跟踪!$S$2:$S$157)),0)),0)*AL34)+IF(OR(AM34="",AN34=""),0,MAX(AM34-MAX(N34,IFERROR(SUMPRODUCT(MAX(((持仓跟踪!$A$2:$A$157="每日跟踪")*(持仓跟踪!$B$2:$B$157=A34))*持仓跟踪!$S$2:$S$157)),0)),0)*AN34))))</f>
        <v/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$88)&gt;账户数据!$B$7,"违规：超过账户风险上限","通过")))))))))</f>
        <v/>
      </c>
    </row>
    <row r="35" spans="1:44" x14ac:dyDescent="0.15">
      <c r="A35" s="2"/>
      <c r="B35" s="2"/>
      <c r="C35" s="10"/>
      <c r="D35" s="6"/>
      <c r="E35" s="10"/>
      <c r="F35" s="8" t="str">
        <f t="shared" si="11"/>
        <v/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$157,"止损计划",持仓跟踪!$B$2:$B$157,A35,持仓跟踪!$AC$2:$AC$157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5" s="2"/>
      <c r="I35" s="15"/>
      <c r="J35" s="10"/>
      <c r="K35" s="5" t="str">
        <f>IF(A35="","",IFERROR(LOOKUP(2,1/((持仓跟踪!$B$2:$B$157=A35)*(持仓跟踪!$X$2:$X$157="执行卖出")*(持仓跟踪!$Y$2:$Y$157&lt;&gt;"")),持仓跟踪!$Y$2:$Y$157),""))</f>
        <v/>
      </c>
      <c r="L35" s="8" t="str">
        <f>IF(A35="","",IFERROR(LOOKUP(2,1/((持仓跟踪!$B$2:$B$157=A35)*(持仓跟踪!$X$2:$X$157="执行卖出")*(持仓跟踪!$Z$2:$Z$157&lt;&gt;"")),持仓跟踪!$Z$2:$Z$157),""))</f>
        <v/>
      </c>
      <c r="M35" s="18" t="str">
        <f>IF(A35="","",IFERROR(LOOKUP(2,1/((持仓跟踪!$B$2:$B$157=A35)*(持仓跟踪!$X$2:$X$157="执行卖出")*(持仓跟踪!$H$2:$H$157&lt;&gt;"")),持仓跟踪!$H$2:$H$157),""))</f>
        <v/>
      </c>
      <c r="N35" s="10"/>
      <c r="O35" s="10"/>
      <c r="P35" s="5" t="str">
        <f>IF(A35="","",IFERROR(LOOKUP(2,1/((持仓跟踪!$B$2:$B$157=A35)*(持仓跟踪!$X$2:$X$157="执行卖出")*(持仓跟踪!$AA$2:$AA$157&lt;&gt;"")),持仓跟踪!$AA$2:$AA$157),""))</f>
        <v/>
      </c>
      <c r="Q35" s="2"/>
      <c r="R35" s="2"/>
      <c r="S35" s="2"/>
      <c r="T35" s="2"/>
      <c r="U35" s="7" t="str">
        <f t="shared" si="12"/>
        <v/>
      </c>
      <c r="V35" s="7" t="str">
        <f t="shared" si="13"/>
        <v/>
      </c>
      <c r="W35" s="17" t="str">
        <f t="shared" si="14"/>
        <v/>
      </c>
      <c r="X35" s="5" t="str">
        <f t="shared" si="15"/>
        <v/>
      </c>
      <c r="Y35" s="7" t="str">
        <f t="shared" si="16"/>
        <v/>
      </c>
      <c r="Z35" s="7" t="str">
        <f>IF(OR(AE35="",多次统计数据!$B$8=""),"",AE35-多次统计数据!$B$8)</f>
        <v/>
      </c>
      <c r="AA35" s="11" t="str">
        <f t="shared" si="17"/>
        <v/>
      </c>
      <c r="AB35" s="7" t="str">
        <f>IF(OR(A35="",多次统计数据!$B$8="",多次统计数据!$B$6&lt;=0,多次统计数据!$B$6&gt;=1),"",1-POWER(1+多次统计数据!$B$8,-多次统计数据!$B$6/(1-多次统计数据!$B$6)))</f>
        <v/>
      </c>
      <c r="AC35" s="8" t="str">
        <f>IF(OR(AB35="",多次统计数据!$B$9=""),"",IF(多次统计数据!$B$9&lt;AB35,"低于上限","达到或超过上限"))</f>
        <v/>
      </c>
      <c r="AD35" s="2"/>
      <c r="AE35" s="7" t="str">
        <f t="shared" si="18"/>
        <v/>
      </c>
      <c r="AG35" s="2"/>
      <c r="AH35" s="2"/>
      <c r="AI35" s="2"/>
      <c r="AJ35" s="8" t="str">
        <f t="shared" si="19"/>
        <v/>
      </c>
      <c r="AK35" s="10"/>
      <c r="AL35" s="12"/>
      <c r="AM35" s="10"/>
      <c r="AN35" s="12"/>
      <c r="AO35" s="5" t="str">
        <f t="shared" si="20"/>
        <v/>
      </c>
      <c r="AP35" s="11" t="str">
        <f t="shared" si="21"/>
        <v/>
      </c>
      <c r="AQ35" s="5" t="str">
        <f>IF(A35="","",IF(M35&lt;&gt;"",0,IF(OR(H35="",N35=""),"",MAX(E35-MAX(N35,IFERROR(SUMPRODUCT(MAX(((持仓跟踪!$A$2:$A$157="每日跟踪")*(持仓跟踪!$B$2:$B$157=A35))*持仓跟踪!$S$2:$S$157)),0)),0)*H35+IF(OR(AK35="",AL35=""),0,MAX(AK35-MAX(N35,IFERROR(SUMPRODUCT(MAX(((持仓跟踪!$A$2:$A$157="每日跟踪")*(持仓跟踪!$B$2:$B$157=A35))*持仓跟踪!$S$2:$S$157)),0)),0)*AL35)+IF(OR(AM35="",AN35=""),0,MAX(AM35-MAX(N35,IFERROR(SUMPRODUCT(MAX(((持仓跟踪!$A$2:$A$157="每日跟踪")*(持仓跟踪!$B$2:$B$157=A35))*持仓跟踪!$S$2:$S$157)),0)),0)*AN35))))</f>
        <v/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$88)&gt;账户数据!$B$7,"违规：超过账户风险上限","通过")))))))))</f>
        <v/>
      </c>
    </row>
    <row r="36" spans="1:44" x14ac:dyDescent="0.15">
      <c r="A36" s="2"/>
      <c r="B36" s="2"/>
      <c r="C36" s="10"/>
      <c r="D36" s="6"/>
      <c r="E36" s="10"/>
      <c r="F36" s="8" t="str">
        <f t="shared" si="11"/>
        <v/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$157,"止损计划",持仓跟踪!$B$2:$B$157,A36,持仓跟踪!$AC$2:$AC$157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6" s="2"/>
      <c r="I36" s="15"/>
      <c r="J36" s="10"/>
      <c r="K36" s="5" t="str">
        <f>IF(A36="","",IFERROR(LOOKUP(2,1/((持仓跟踪!$B$2:$B$157=A36)*(持仓跟踪!$X$2:$X$157="执行卖出")*(持仓跟踪!$Y$2:$Y$157&lt;&gt;"")),持仓跟踪!$Y$2:$Y$157),""))</f>
        <v/>
      </c>
      <c r="L36" s="8" t="str">
        <f>IF(A36="","",IFERROR(LOOKUP(2,1/((持仓跟踪!$B$2:$B$157=A36)*(持仓跟踪!$X$2:$X$157="执行卖出")*(持仓跟踪!$Z$2:$Z$157&lt;&gt;"")),持仓跟踪!$Z$2:$Z$157),""))</f>
        <v/>
      </c>
      <c r="M36" s="18" t="str">
        <f>IF(A36="","",IFERROR(LOOKUP(2,1/((持仓跟踪!$B$2:$B$157=A36)*(持仓跟踪!$X$2:$X$157="执行卖出")*(持仓跟踪!$H$2:$H$157&lt;&gt;"")),持仓跟踪!$H$2:$H$157),""))</f>
        <v/>
      </c>
      <c r="N36" s="10"/>
      <c r="O36" s="10"/>
      <c r="P36" s="5" t="str">
        <f>IF(A36="","",IFERROR(LOOKUP(2,1/((持仓跟踪!$B$2:$B$157=A36)*(持仓跟踪!$X$2:$X$157="执行卖出")*(持仓跟踪!$AA$2:$AA$157&lt;&gt;"")),持仓跟踪!$AA$2:$AA$157),""))</f>
        <v/>
      </c>
      <c r="Q36" s="2"/>
      <c r="R36" s="2"/>
      <c r="S36" s="2"/>
      <c r="T36" s="2"/>
      <c r="U36" s="7" t="str">
        <f t="shared" si="12"/>
        <v/>
      </c>
      <c r="V36" s="7" t="str">
        <f t="shared" si="13"/>
        <v/>
      </c>
      <c r="W36" s="17" t="str">
        <f t="shared" si="14"/>
        <v/>
      </c>
      <c r="X36" s="5" t="str">
        <f t="shared" si="15"/>
        <v/>
      </c>
      <c r="Y36" s="7" t="str">
        <f t="shared" si="16"/>
        <v/>
      </c>
      <c r="Z36" s="7" t="str">
        <f>IF(OR(AE36="",多次统计数据!$B$8=""),"",AE36-多次统计数据!$B$8)</f>
        <v/>
      </c>
      <c r="AA36" s="11" t="str">
        <f t="shared" si="17"/>
        <v/>
      </c>
      <c r="AB36" s="7" t="str">
        <f>IF(OR(A36="",多次统计数据!$B$8="",多次统计数据!$B$6&lt;=0,多次统计数据!$B$6&gt;=1),"",1-POWER(1+多次统计数据!$B$8,-多次统计数据!$B$6/(1-多次统计数据!$B$6)))</f>
        <v/>
      </c>
      <c r="AC36" s="8" t="str">
        <f>IF(OR(AB36="",多次统计数据!$B$9=""),"",IF(多次统计数据!$B$9&lt;AB36,"低于上限","达到或超过上限"))</f>
        <v/>
      </c>
      <c r="AD36" s="2"/>
      <c r="AE36" s="7" t="str">
        <f t="shared" si="18"/>
        <v/>
      </c>
      <c r="AG36" s="2"/>
      <c r="AH36" s="2"/>
      <c r="AI36" s="2"/>
      <c r="AJ36" s="8" t="str">
        <f t="shared" si="19"/>
        <v/>
      </c>
      <c r="AK36" s="10"/>
      <c r="AL36" s="12"/>
      <c r="AM36" s="10"/>
      <c r="AN36" s="12"/>
      <c r="AO36" s="5" t="str">
        <f t="shared" si="20"/>
        <v/>
      </c>
      <c r="AP36" s="11" t="str">
        <f t="shared" si="21"/>
        <v/>
      </c>
      <c r="AQ36" s="5" t="str">
        <f>IF(A36="","",IF(M36&lt;&gt;"",0,IF(OR(H36="",N36=""),"",MAX(E36-MAX(N36,IFERROR(SUMPRODUCT(MAX(((持仓跟踪!$A$2:$A$157="每日跟踪")*(持仓跟踪!$B$2:$B$157=A36))*持仓跟踪!$S$2:$S$157)),0)),0)*H36+IF(OR(AK36="",AL36=""),0,MAX(AK36-MAX(N36,IFERROR(SUMPRODUCT(MAX(((持仓跟踪!$A$2:$A$157="每日跟踪")*(持仓跟踪!$B$2:$B$157=A36))*持仓跟踪!$S$2:$S$157)),0)),0)*AL36)+IF(OR(AM36="",AN36=""),0,MAX(AM36-MAX(N36,IFERROR(SUMPRODUCT(MAX(((持仓跟踪!$A$2:$A$157="每日跟踪")*(持仓跟踪!$B$2:$B$157=A36))*持仓跟踪!$S$2:$S$157)),0)),0)*AN36))))</f>
        <v/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$88)&gt;账户数据!$B$7,"违规：超过账户风险上限","通过")))))))))</f>
        <v/>
      </c>
    </row>
    <row r="37" spans="1:44" x14ac:dyDescent="0.15">
      <c r="A37" s="2"/>
      <c r="B37" s="2"/>
      <c r="C37" s="10"/>
      <c r="D37" s="6"/>
      <c r="E37" s="10"/>
      <c r="F37" s="8" t="str">
        <f t="shared" si="11"/>
        <v/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$157,"止损计划",持仓跟踪!$B$2:$B$157,A37,持仓跟踪!$AC$2:$AC$157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7" s="2"/>
      <c r="I37" s="15"/>
      <c r="J37" s="10"/>
      <c r="K37" s="5" t="str">
        <f>IF(A37="","",IFERROR(LOOKUP(2,1/((持仓跟踪!$B$2:$B$157=A37)*(持仓跟踪!$X$2:$X$157="执行卖出")*(持仓跟踪!$Y$2:$Y$157&lt;&gt;"")),持仓跟踪!$Y$2:$Y$157),""))</f>
        <v/>
      </c>
      <c r="L37" s="8" t="str">
        <f>IF(A37="","",IFERROR(LOOKUP(2,1/((持仓跟踪!$B$2:$B$157=A37)*(持仓跟踪!$X$2:$X$157="执行卖出")*(持仓跟踪!$Z$2:$Z$157&lt;&gt;"")),持仓跟踪!$Z$2:$Z$157),""))</f>
        <v/>
      </c>
      <c r="M37" s="18" t="str">
        <f>IF(A37="","",IFERROR(LOOKUP(2,1/((持仓跟踪!$B$2:$B$157=A37)*(持仓跟踪!$X$2:$X$157="执行卖出")*(持仓跟踪!$H$2:$H$157&lt;&gt;"")),持仓跟踪!$H$2:$H$157),""))</f>
        <v/>
      </c>
      <c r="N37" s="10"/>
      <c r="O37" s="10"/>
      <c r="P37" s="5" t="str">
        <f>IF(A37="","",IFERROR(LOOKUP(2,1/((持仓跟踪!$B$2:$B$157=A37)*(持仓跟踪!$X$2:$X$157="执行卖出")*(持仓跟踪!$AA$2:$AA$157&lt;&gt;"")),持仓跟踪!$AA$2:$AA$157),""))</f>
        <v/>
      </c>
      <c r="Q37" s="2"/>
      <c r="R37" s="2"/>
      <c r="S37" s="2"/>
      <c r="T37" s="2"/>
      <c r="U37" s="7" t="str">
        <f t="shared" si="12"/>
        <v/>
      </c>
      <c r="V37" s="7" t="str">
        <f t="shared" si="13"/>
        <v/>
      </c>
      <c r="W37" s="17" t="str">
        <f t="shared" si="14"/>
        <v/>
      </c>
      <c r="X37" s="5" t="str">
        <f t="shared" si="15"/>
        <v/>
      </c>
      <c r="Y37" s="7" t="str">
        <f t="shared" si="16"/>
        <v/>
      </c>
      <c r="Z37" s="7" t="str">
        <f>IF(OR(AE37="",多次统计数据!$B$8=""),"",AE37-多次统计数据!$B$8)</f>
        <v/>
      </c>
      <c r="AA37" s="11" t="str">
        <f t="shared" si="17"/>
        <v/>
      </c>
      <c r="AB37" s="7" t="str">
        <f>IF(OR(A37="",多次统计数据!$B$8="",多次统计数据!$B$6&lt;=0,多次统计数据!$B$6&gt;=1),"",1-POWER(1+多次统计数据!$B$8,-多次统计数据!$B$6/(1-多次统计数据!$B$6)))</f>
        <v/>
      </c>
      <c r="AC37" s="8" t="str">
        <f>IF(OR(AB37="",多次统计数据!$B$9=""),"",IF(多次统计数据!$B$9&lt;AB37,"低于上限","达到或超过上限"))</f>
        <v/>
      </c>
      <c r="AD37" s="2"/>
      <c r="AE37" s="7" t="str">
        <f t="shared" si="18"/>
        <v/>
      </c>
      <c r="AG37" s="2"/>
      <c r="AH37" s="2"/>
      <c r="AI37" s="2"/>
      <c r="AJ37" s="8" t="str">
        <f t="shared" si="19"/>
        <v/>
      </c>
      <c r="AK37" s="10"/>
      <c r="AL37" s="12"/>
      <c r="AM37" s="10"/>
      <c r="AN37" s="12"/>
      <c r="AO37" s="5" t="str">
        <f t="shared" si="20"/>
        <v/>
      </c>
      <c r="AP37" s="11" t="str">
        <f t="shared" si="21"/>
        <v/>
      </c>
      <c r="AQ37" s="5" t="str">
        <f>IF(A37="","",IF(M37&lt;&gt;"",0,IF(OR(H37="",N37=""),"",MAX(E37-MAX(N37,IFERROR(SUMPRODUCT(MAX(((持仓跟踪!$A$2:$A$157="每日跟踪")*(持仓跟踪!$B$2:$B$157=A37))*持仓跟踪!$S$2:$S$157)),0)),0)*H37+IF(OR(AK37="",AL37=""),0,MAX(AK37-MAX(N37,IFERROR(SUMPRODUCT(MAX(((持仓跟踪!$A$2:$A$157="每日跟踪")*(持仓跟踪!$B$2:$B$157=A37))*持仓跟踪!$S$2:$S$157)),0)),0)*AL37)+IF(OR(AM37="",AN37=""),0,MAX(AM37-MAX(N37,IFERROR(SUMPRODUCT(MAX(((持仓跟踪!$A$2:$A$157="每日跟踪")*(持仓跟踪!$B$2:$B$157=A37))*持仓跟踪!$S$2:$S$157)),0)),0)*AN37))))</f>
        <v/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$88)&gt;账户数据!$B$7,"违规：超过账户风险上限","通过")))))))))</f>
        <v/>
      </c>
    </row>
    <row r="38" spans="1:44" x14ac:dyDescent="0.15">
      <c r="A38" s="2"/>
      <c r="B38" s="2"/>
      <c r="C38" s="10"/>
      <c r="D38" s="6"/>
      <c r="E38" s="10"/>
      <c r="F38" s="8" t="str">
        <f t="shared" si="11"/>
        <v/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$157,"止损计划",持仓跟踪!$B$2:$B$157,A38,持仓跟踪!$AC$2:$AC$157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8" s="2"/>
      <c r="I38" s="15"/>
      <c r="J38" s="10"/>
      <c r="K38" s="5" t="str">
        <f>IF(A38="","",IFERROR(LOOKUP(2,1/((持仓跟踪!$B$2:$B$157=A38)*(持仓跟踪!$X$2:$X$157="执行卖出")*(持仓跟踪!$Y$2:$Y$157&lt;&gt;"")),持仓跟踪!$Y$2:$Y$157),""))</f>
        <v/>
      </c>
      <c r="L38" s="8" t="str">
        <f>IF(A38="","",IFERROR(LOOKUP(2,1/((持仓跟踪!$B$2:$B$157=A38)*(持仓跟踪!$X$2:$X$157="执行卖出")*(持仓跟踪!$Z$2:$Z$157&lt;&gt;"")),持仓跟踪!$Z$2:$Z$157),""))</f>
        <v/>
      </c>
      <c r="M38" s="18" t="str">
        <f>IF(A38="","",IFERROR(LOOKUP(2,1/((持仓跟踪!$B$2:$B$157=A38)*(持仓跟踪!$X$2:$X$157="执行卖出")*(持仓跟踪!$H$2:$H$157&lt;&gt;"")),持仓跟踪!$H$2:$H$157),""))</f>
        <v/>
      </c>
      <c r="N38" s="10"/>
      <c r="O38" s="10"/>
      <c r="P38" s="5" t="str">
        <f>IF(A38="","",IFERROR(LOOKUP(2,1/((持仓跟踪!$B$2:$B$157=A38)*(持仓跟踪!$X$2:$X$157="执行卖出")*(持仓跟踪!$AA$2:$AA$157&lt;&gt;"")),持仓跟踪!$AA$2:$AA$157),""))</f>
        <v/>
      </c>
      <c r="Q38" s="2"/>
      <c r="R38" s="2"/>
      <c r="S38" s="2"/>
      <c r="T38" s="2"/>
      <c r="U38" s="7" t="str">
        <f t="shared" si="12"/>
        <v/>
      </c>
      <c r="V38" s="7" t="str">
        <f t="shared" si="13"/>
        <v/>
      </c>
      <c r="W38" s="17" t="str">
        <f t="shared" si="14"/>
        <v/>
      </c>
      <c r="X38" s="5" t="str">
        <f t="shared" si="15"/>
        <v/>
      </c>
      <c r="Y38" s="7" t="str">
        <f t="shared" si="16"/>
        <v/>
      </c>
      <c r="Z38" s="7" t="str">
        <f>IF(OR(AE38="",多次统计数据!$B$8=""),"",AE38-多次统计数据!$B$8)</f>
        <v/>
      </c>
      <c r="AA38" s="11" t="str">
        <f t="shared" si="17"/>
        <v/>
      </c>
      <c r="AB38" s="7" t="str">
        <f>IF(OR(A38="",多次统计数据!$B$8="",多次统计数据!$B$6&lt;=0,多次统计数据!$B$6&gt;=1),"",1-POWER(1+多次统计数据!$B$8,-多次统计数据!$B$6/(1-多次统计数据!$B$6)))</f>
        <v/>
      </c>
      <c r="AC38" s="8" t="str">
        <f>IF(OR(AB38="",多次统计数据!$B$9=""),"",IF(多次统计数据!$B$9&lt;AB38,"低于上限","达到或超过上限"))</f>
        <v/>
      </c>
      <c r="AD38" s="2"/>
      <c r="AE38" s="7" t="str">
        <f t="shared" si="18"/>
        <v/>
      </c>
      <c r="AG38" s="2"/>
      <c r="AH38" s="2"/>
      <c r="AI38" s="2"/>
      <c r="AJ38" s="8" t="str">
        <f t="shared" si="19"/>
        <v/>
      </c>
      <c r="AK38" s="10"/>
      <c r="AL38" s="12"/>
      <c r="AM38" s="10"/>
      <c r="AN38" s="12"/>
      <c r="AO38" s="5" t="str">
        <f t="shared" si="20"/>
        <v/>
      </c>
      <c r="AP38" s="11" t="str">
        <f t="shared" si="21"/>
        <v/>
      </c>
      <c r="AQ38" s="5" t="str">
        <f>IF(A38="","",IF(M38&lt;&gt;"",0,IF(OR(H38="",N38=""),"",MAX(E38-MAX(N38,IFERROR(SUMPRODUCT(MAX(((持仓跟踪!$A$2:$A$157="每日跟踪")*(持仓跟踪!$B$2:$B$157=A38))*持仓跟踪!$S$2:$S$157)),0)),0)*H38+IF(OR(AK38="",AL38=""),0,MAX(AK38-MAX(N38,IFERROR(SUMPRODUCT(MAX(((持仓跟踪!$A$2:$A$157="每日跟踪")*(持仓跟踪!$B$2:$B$157=A38))*持仓跟踪!$S$2:$S$157)),0)),0)*AL38)+IF(OR(AM38="",AN38=""),0,MAX(AM38-MAX(N38,IFERROR(SUMPRODUCT(MAX(((持仓跟踪!$A$2:$A$157="每日跟踪")*(持仓跟踪!$B$2:$B$157=A38))*持仓跟踪!$S$2:$S$157)),0)),0)*AN38))))</f>
        <v/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$88)&gt;账户数据!$B$7,"违规：超过账户风险上限","通过")))))))))</f>
        <v/>
      </c>
    </row>
    <row r="39" spans="1:44" x14ac:dyDescent="0.15">
      <c r="A39" s="2"/>
      <c r="B39" s="2"/>
      <c r="C39" s="10"/>
      <c r="D39" s="6"/>
      <c r="E39" s="10"/>
      <c r="F39" s="8" t="str">
        <f t="shared" si="11"/>
        <v/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$157,"止损计划",持仓跟踪!$B$2:$B$157,A39,持仓跟踪!$AC$2:$AC$157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39" s="2"/>
      <c r="I39" s="15"/>
      <c r="J39" s="10"/>
      <c r="K39" s="5" t="str">
        <f>IF(A39="","",IFERROR(LOOKUP(2,1/((持仓跟踪!$B$2:$B$157=A39)*(持仓跟踪!$X$2:$X$157="执行卖出")*(持仓跟踪!$Y$2:$Y$157&lt;&gt;"")),持仓跟踪!$Y$2:$Y$157),""))</f>
        <v/>
      </c>
      <c r="L39" s="8" t="str">
        <f>IF(A39="","",IFERROR(LOOKUP(2,1/((持仓跟踪!$B$2:$B$157=A39)*(持仓跟踪!$X$2:$X$157="执行卖出")*(持仓跟踪!$Z$2:$Z$157&lt;&gt;"")),持仓跟踪!$Z$2:$Z$157),""))</f>
        <v/>
      </c>
      <c r="M39" s="18" t="str">
        <f>IF(A39="","",IFERROR(LOOKUP(2,1/((持仓跟踪!$B$2:$B$157=A39)*(持仓跟踪!$X$2:$X$157="执行卖出")*(持仓跟踪!$H$2:$H$157&lt;&gt;"")),持仓跟踪!$H$2:$H$157),""))</f>
        <v/>
      </c>
      <c r="N39" s="10"/>
      <c r="O39" s="10"/>
      <c r="P39" s="5" t="str">
        <f>IF(A39="","",IFERROR(LOOKUP(2,1/((持仓跟踪!$B$2:$B$157=A39)*(持仓跟踪!$X$2:$X$157="执行卖出")*(持仓跟踪!$AA$2:$AA$157&lt;&gt;"")),持仓跟踪!$AA$2:$AA$157),""))</f>
        <v/>
      </c>
      <c r="Q39" s="2"/>
      <c r="R39" s="2"/>
      <c r="S39" s="2"/>
      <c r="T39" s="2"/>
      <c r="U39" s="7" t="str">
        <f t="shared" si="12"/>
        <v/>
      </c>
      <c r="V39" s="7" t="str">
        <f t="shared" si="13"/>
        <v/>
      </c>
      <c r="W39" s="17" t="str">
        <f t="shared" si="14"/>
        <v/>
      </c>
      <c r="X39" s="5" t="str">
        <f t="shared" si="15"/>
        <v/>
      </c>
      <c r="Y39" s="7" t="str">
        <f t="shared" si="16"/>
        <v/>
      </c>
      <c r="Z39" s="7" t="str">
        <f>IF(OR(AE39="",多次统计数据!$B$8=""),"",AE39-多次统计数据!$B$8)</f>
        <v/>
      </c>
      <c r="AA39" s="11" t="str">
        <f t="shared" si="17"/>
        <v/>
      </c>
      <c r="AB39" s="7" t="str">
        <f>IF(OR(A39="",多次统计数据!$B$8="",多次统计数据!$B$6&lt;=0,多次统计数据!$B$6&gt;=1),"",1-POWER(1+多次统计数据!$B$8,-多次统计数据!$B$6/(1-多次统计数据!$B$6)))</f>
        <v/>
      </c>
      <c r="AC39" s="8" t="str">
        <f>IF(OR(AB39="",多次统计数据!$B$9=""),"",IF(多次统计数据!$B$9&lt;AB39,"低于上限","达到或超过上限"))</f>
        <v/>
      </c>
      <c r="AD39" s="2"/>
      <c r="AE39" s="7" t="str">
        <f t="shared" si="18"/>
        <v/>
      </c>
      <c r="AG39" s="2"/>
      <c r="AH39" s="2"/>
      <c r="AI39" s="2"/>
      <c r="AJ39" s="8" t="str">
        <f t="shared" si="19"/>
        <v/>
      </c>
      <c r="AK39" s="10"/>
      <c r="AL39" s="12"/>
      <c r="AM39" s="10"/>
      <c r="AN39" s="12"/>
      <c r="AO39" s="5" t="str">
        <f t="shared" si="20"/>
        <v/>
      </c>
      <c r="AP39" s="11" t="str">
        <f t="shared" si="21"/>
        <v/>
      </c>
      <c r="AQ39" s="5" t="str">
        <f>IF(A39="","",IF(M39&lt;&gt;"",0,IF(OR(H39="",N39=""),"",MAX(E39-MAX(N39,IFERROR(SUMPRODUCT(MAX(((持仓跟踪!$A$2:$A$157="每日跟踪")*(持仓跟踪!$B$2:$B$157=A39))*持仓跟踪!$S$2:$S$157)),0)),0)*H39+IF(OR(AK39="",AL39=""),0,MAX(AK39-MAX(N39,IFERROR(SUMPRODUCT(MAX(((持仓跟踪!$A$2:$A$157="每日跟踪")*(持仓跟踪!$B$2:$B$157=A39))*持仓跟踪!$S$2:$S$157)),0)),0)*AL39)+IF(OR(AM39="",AN39=""),0,MAX(AM39-MAX(N39,IFERROR(SUMPRODUCT(MAX(((持仓跟踪!$A$2:$A$157="每日跟踪")*(持仓跟踪!$B$2:$B$157=A39))*持仓跟踪!$S$2:$S$157)),0)),0)*AN39))))</f>
        <v/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$88)&gt;账户数据!$B$7,"违规：超过账户风险上限","通过")))))))))</f>
        <v/>
      </c>
    </row>
    <row r="40" spans="1:44" x14ac:dyDescent="0.15">
      <c r="A40" s="2"/>
      <c r="B40" s="2"/>
      <c r="C40" s="10"/>
      <c r="D40" s="6"/>
      <c r="E40" s="10"/>
      <c r="F40" s="8" t="str">
        <f t="shared" si="11"/>
        <v/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$157,"止损计划",持仓跟踪!$B$2:$B$157,A40,持仓跟踪!$AC$2:$AC$157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0" s="2"/>
      <c r="I40" s="15"/>
      <c r="J40" s="10"/>
      <c r="K40" s="5" t="str">
        <f>IF(A40="","",IFERROR(LOOKUP(2,1/((持仓跟踪!$B$2:$B$157=A40)*(持仓跟踪!$X$2:$X$157="执行卖出")*(持仓跟踪!$Y$2:$Y$157&lt;&gt;"")),持仓跟踪!$Y$2:$Y$157),""))</f>
        <v/>
      </c>
      <c r="L40" s="8" t="str">
        <f>IF(A40="","",IFERROR(LOOKUP(2,1/((持仓跟踪!$B$2:$B$157=A40)*(持仓跟踪!$X$2:$X$157="执行卖出")*(持仓跟踪!$Z$2:$Z$157&lt;&gt;"")),持仓跟踪!$Z$2:$Z$157),""))</f>
        <v/>
      </c>
      <c r="M40" s="18" t="str">
        <f>IF(A40="","",IFERROR(LOOKUP(2,1/((持仓跟踪!$B$2:$B$157=A40)*(持仓跟踪!$X$2:$X$157="执行卖出")*(持仓跟踪!$H$2:$H$157&lt;&gt;"")),持仓跟踪!$H$2:$H$157),""))</f>
        <v/>
      </c>
      <c r="N40" s="10"/>
      <c r="O40" s="10"/>
      <c r="P40" s="5" t="str">
        <f>IF(A40="","",IFERROR(LOOKUP(2,1/((持仓跟踪!$B$2:$B$157=A40)*(持仓跟踪!$X$2:$X$157="执行卖出")*(持仓跟踪!$AA$2:$AA$157&lt;&gt;"")),持仓跟踪!$AA$2:$AA$157),""))</f>
        <v/>
      </c>
      <c r="Q40" s="2"/>
      <c r="R40" s="2"/>
      <c r="S40" s="2"/>
      <c r="T40" s="2"/>
      <c r="U40" s="7" t="str">
        <f t="shared" si="12"/>
        <v/>
      </c>
      <c r="V40" s="7" t="str">
        <f t="shared" si="13"/>
        <v/>
      </c>
      <c r="W40" s="17" t="str">
        <f t="shared" si="14"/>
        <v/>
      </c>
      <c r="X40" s="5" t="str">
        <f t="shared" si="15"/>
        <v/>
      </c>
      <c r="Y40" s="7" t="str">
        <f t="shared" si="16"/>
        <v/>
      </c>
      <c r="Z40" s="7" t="str">
        <f>IF(OR(AE40="",多次统计数据!$B$8=""),"",AE40-多次统计数据!$B$8)</f>
        <v/>
      </c>
      <c r="AA40" s="11" t="str">
        <f t="shared" si="17"/>
        <v/>
      </c>
      <c r="AB40" s="7" t="str">
        <f>IF(OR(A40="",多次统计数据!$B$8="",多次统计数据!$B$6&lt;=0,多次统计数据!$B$6&gt;=1),"",1-POWER(1+多次统计数据!$B$8,-多次统计数据!$B$6/(1-多次统计数据!$B$6)))</f>
        <v/>
      </c>
      <c r="AC40" s="8" t="str">
        <f>IF(OR(AB40="",多次统计数据!$B$9=""),"",IF(多次统计数据!$B$9&lt;AB40,"低于上限","达到或超过上限"))</f>
        <v/>
      </c>
      <c r="AD40" s="2"/>
      <c r="AE40" s="7" t="str">
        <f t="shared" si="18"/>
        <v/>
      </c>
      <c r="AG40" s="2"/>
      <c r="AH40" s="2"/>
      <c r="AI40" s="2"/>
      <c r="AJ40" s="8" t="str">
        <f t="shared" si="19"/>
        <v/>
      </c>
      <c r="AK40" s="10"/>
      <c r="AL40" s="12"/>
      <c r="AM40" s="10"/>
      <c r="AN40" s="12"/>
      <c r="AO40" s="5" t="str">
        <f t="shared" si="20"/>
        <v/>
      </c>
      <c r="AP40" s="11" t="str">
        <f t="shared" si="21"/>
        <v/>
      </c>
      <c r="AQ40" s="5" t="str">
        <f>IF(A40="","",IF(M40&lt;&gt;"",0,IF(OR(H40="",N40=""),"",MAX(E40-MAX(N40,IFERROR(SUMPRODUCT(MAX(((持仓跟踪!$A$2:$A$157="每日跟踪")*(持仓跟踪!$B$2:$B$157=A40))*持仓跟踪!$S$2:$S$157)),0)),0)*H40+IF(OR(AK40="",AL40=""),0,MAX(AK40-MAX(N40,IFERROR(SUMPRODUCT(MAX(((持仓跟踪!$A$2:$A$157="每日跟踪")*(持仓跟踪!$B$2:$B$157=A40))*持仓跟踪!$S$2:$S$157)),0)),0)*AL40)+IF(OR(AM40="",AN40=""),0,MAX(AM40-MAX(N40,IFERROR(SUMPRODUCT(MAX(((持仓跟踪!$A$2:$A$157="每日跟踪")*(持仓跟踪!$B$2:$B$157=A40))*持仓跟踪!$S$2:$S$157)),0)),0)*AN40))))</f>
        <v/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$88)&gt;账户数据!$B$7,"违规：超过账户风险上限","通过")))))))))</f>
        <v/>
      </c>
    </row>
    <row r="41" spans="1:44" x14ac:dyDescent="0.15">
      <c r="A41" s="2"/>
      <c r="B41" s="2"/>
      <c r="C41" s="10"/>
      <c r="D41" s="6"/>
      <c r="E41" s="10"/>
      <c r="F41" s="8" t="str">
        <f t="shared" si="11"/>
        <v/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$157,"止损计划",持仓跟踪!$B$2:$B$157,A41,持仓跟踪!$AC$2:$AC$157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1" s="2"/>
      <c r="I41" s="15"/>
      <c r="J41" s="10"/>
      <c r="K41" s="5" t="str">
        <f>IF(A41="","",IFERROR(LOOKUP(2,1/((持仓跟踪!$B$2:$B$157=A41)*(持仓跟踪!$X$2:$X$157="执行卖出")*(持仓跟踪!$Y$2:$Y$157&lt;&gt;"")),持仓跟踪!$Y$2:$Y$157),""))</f>
        <v/>
      </c>
      <c r="L41" s="8" t="str">
        <f>IF(A41="","",IFERROR(LOOKUP(2,1/((持仓跟踪!$B$2:$B$157=A41)*(持仓跟踪!$X$2:$X$157="执行卖出")*(持仓跟踪!$Z$2:$Z$157&lt;&gt;"")),持仓跟踪!$Z$2:$Z$157),""))</f>
        <v/>
      </c>
      <c r="M41" s="18" t="str">
        <f>IF(A41="","",IFERROR(LOOKUP(2,1/((持仓跟踪!$B$2:$B$157=A41)*(持仓跟踪!$X$2:$X$157="执行卖出")*(持仓跟踪!$H$2:$H$157&lt;&gt;"")),持仓跟踪!$H$2:$H$157),""))</f>
        <v/>
      </c>
      <c r="N41" s="10"/>
      <c r="O41" s="10"/>
      <c r="P41" s="5" t="str">
        <f>IF(A41="","",IFERROR(LOOKUP(2,1/((持仓跟踪!$B$2:$B$157=A41)*(持仓跟踪!$X$2:$X$157="执行卖出")*(持仓跟踪!$AA$2:$AA$157&lt;&gt;"")),持仓跟踪!$AA$2:$AA$157),""))</f>
        <v/>
      </c>
      <c r="Q41" s="2"/>
      <c r="R41" s="2"/>
      <c r="S41" s="2"/>
      <c r="T41" s="2"/>
      <c r="U41" s="7" t="str">
        <f t="shared" si="12"/>
        <v/>
      </c>
      <c r="V41" s="7" t="str">
        <f t="shared" si="13"/>
        <v/>
      </c>
      <c r="W41" s="17" t="str">
        <f t="shared" si="14"/>
        <v/>
      </c>
      <c r="X41" s="5" t="str">
        <f t="shared" si="15"/>
        <v/>
      </c>
      <c r="Y41" s="7" t="str">
        <f t="shared" si="16"/>
        <v/>
      </c>
      <c r="Z41" s="7" t="str">
        <f>IF(OR(AE41="",多次统计数据!$B$8=""),"",AE41-多次统计数据!$B$8)</f>
        <v/>
      </c>
      <c r="AA41" s="11" t="str">
        <f t="shared" si="17"/>
        <v/>
      </c>
      <c r="AB41" s="7" t="str">
        <f>IF(OR(A41="",多次统计数据!$B$8="",多次统计数据!$B$6&lt;=0,多次统计数据!$B$6&gt;=1),"",1-POWER(1+多次统计数据!$B$8,-多次统计数据!$B$6/(1-多次统计数据!$B$6)))</f>
        <v/>
      </c>
      <c r="AC41" s="8" t="str">
        <f>IF(OR(AB41="",多次统计数据!$B$9=""),"",IF(多次统计数据!$B$9&lt;AB41,"低于上限","达到或超过上限"))</f>
        <v/>
      </c>
      <c r="AD41" s="2"/>
      <c r="AE41" s="7" t="str">
        <f t="shared" si="18"/>
        <v/>
      </c>
      <c r="AG41" s="2"/>
      <c r="AH41" s="2"/>
      <c r="AI41" s="2"/>
      <c r="AJ41" s="8" t="str">
        <f t="shared" si="19"/>
        <v/>
      </c>
      <c r="AK41" s="10"/>
      <c r="AL41" s="12"/>
      <c r="AM41" s="10"/>
      <c r="AN41" s="12"/>
      <c r="AO41" s="5" t="str">
        <f t="shared" si="20"/>
        <v/>
      </c>
      <c r="AP41" s="11" t="str">
        <f t="shared" si="21"/>
        <v/>
      </c>
      <c r="AQ41" s="5" t="str">
        <f>IF(A41="","",IF(M41&lt;&gt;"",0,IF(OR(H41="",N41=""),"",MAX(E41-MAX(N41,IFERROR(SUMPRODUCT(MAX(((持仓跟踪!$A$2:$A$157="每日跟踪")*(持仓跟踪!$B$2:$B$157=A41))*持仓跟踪!$S$2:$S$157)),0)),0)*H41+IF(OR(AK41="",AL41=""),0,MAX(AK41-MAX(N41,IFERROR(SUMPRODUCT(MAX(((持仓跟踪!$A$2:$A$157="每日跟踪")*(持仓跟踪!$B$2:$B$157=A41))*持仓跟踪!$S$2:$S$157)),0)),0)*AL41)+IF(OR(AM41="",AN41=""),0,MAX(AM41-MAX(N41,IFERROR(SUMPRODUCT(MAX(((持仓跟踪!$A$2:$A$157="每日跟踪")*(持仓跟踪!$B$2:$B$157=A41))*持仓跟踪!$S$2:$S$157)),0)),0)*AN41))))</f>
        <v/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$88)&gt;账户数据!$B$7,"违规：超过账户风险上限","通过")))))))))</f>
        <v/>
      </c>
    </row>
    <row r="42" spans="1:44" x14ac:dyDescent="0.15">
      <c r="A42" s="2"/>
      <c r="B42" s="2"/>
      <c r="C42" s="10"/>
      <c r="D42" s="6"/>
      <c r="E42" s="10"/>
      <c r="F42" s="8" t="str">
        <f t="shared" si="11"/>
        <v/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$157,"止损计划",持仓跟踪!$B$2:$B$157,A42,持仓跟踪!$AC$2:$AC$157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2" s="2"/>
      <c r="I42" s="15"/>
      <c r="J42" s="10"/>
      <c r="K42" s="5" t="str">
        <f>IF(A42="","",IFERROR(LOOKUP(2,1/((持仓跟踪!$B$2:$B$157=A42)*(持仓跟踪!$X$2:$X$157="执行卖出")*(持仓跟踪!$Y$2:$Y$157&lt;&gt;"")),持仓跟踪!$Y$2:$Y$157),""))</f>
        <v/>
      </c>
      <c r="L42" s="8" t="str">
        <f>IF(A42="","",IFERROR(LOOKUP(2,1/((持仓跟踪!$B$2:$B$157=A42)*(持仓跟踪!$X$2:$X$157="执行卖出")*(持仓跟踪!$Z$2:$Z$157&lt;&gt;"")),持仓跟踪!$Z$2:$Z$157),""))</f>
        <v/>
      </c>
      <c r="M42" s="18" t="str">
        <f>IF(A42="","",IFERROR(LOOKUP(2,1/((持仓跟踪!$B$2:$B$157=A42)*(持仓跟踪!$X$2:$X$157="执行卖出")*(持仓跟踪!$H$2:$H$157&lt;&gt;"")),持仓跟踪!$H$2:$H$157),""))</f>
        <v/>
      </c>
      <c r="N42" s="10"/>
      <c r="O42" s="10"/>
      <c r="P42" s="5" t="str">
        <f>IF(A42="","",IFERROR(LOOKUP(2,1/((持仓跟踪!$B$2:$B$157=A42)*(持仓跟踪!$X$2:$X$157="执行卖出")*(持仓跟踪!$AA$2:$AA$157&lt;&gt;"")),持仓跟踪!$AA$2:$AA$157),""))</f>
        <v/>
      </c>
      <c r="Q42" s="2"/>
      <c r="R42" s="2"/>
      <c r="S42" s="2"/>
      <c r="T42" s="2"/>
      <c r="U42" s="7" t="str">
        <f t="shared" si="12"/>
        <v/>
      </c>
      <c r="V42" s="7" t="str">
        <f t="shared" si="13"/>
        <v/>
      </c>
      <c r="W42" s="17" t="str">
        <f t="shared" si="14"/>
        <v/>
      </c>
      <c r="X42" s="5" t="str">
        <f t="shared" si="15"/>
        <v/>
      </c>
      <c r="Y42" s="7" t="str">
        <f t="shared" si="16"/>
        <v/>
      </c>
      <c r="Z42" s="7" t="str">
        <f>IF(OR(AE42="",多次统计数据!$B$8=""),"",AE42-多次统计数据!$B$8)</f>
        <v/>
      </c>
      <c r="AA42" s="11" t="str">
        <f t="shared" si="17"/>
        <v/>
      </c>
      <c r="AB42" s="7" t="str">
        <f>IF(OR(A42="",多次统计数据!$B$8="",多次统计数据!$B$6&lt;=0,多次统计数据!$B$6&gt;=1),"",1-POWER(1+多次统计数据!$B$8,-多次统计数据!$B$6/(1-多次统计数据!$B$6)))</f>
        <v/>
      </c>
      <c r="AC42" s="8" t="str">
        <f>IF(OR(AB42="",多次统计数据!$B$9=""),"",IF(多次统计数据!$B$9&lt;AB42,"低于上限","达到或超过上限"))</f>
        <v/>
      </c>
      <c r="AD42" s="2"/>
      <c r="AE42" s="7" t="str">
        <f t="shared" si="18"/>
        <v/>
      </c>
      <c r="AG42" s="2"/>
      <c r="AH42" s="2"/>
      <c r="AI42" s="2"/>
      <c r="AJ42" s="8" t="str">
        <f t="shared" si="19"/>
        <v/>
      </c>
      <c r="AK42" s="10"/>
      <c r="AL42" s="12"/>
      <c r="AM42" s="10"/>
      <c r="AN42" s="12"/>
      <c r="AO42" s="5" t="str">
        <f t="shared" si="20"/>
        <v/>
      </c>
      <c r="AP42" s="11" t="str">
        <f t="shared" si="21"/>
        <v/>
      </c>
      <c r="AQ42" s="5" t="str">
        <f>IF(A42="","",IF(M42&lt;&gt;"",0,IF(OR(H42="",N42=""),"",MAX(E42-MAX(N42,IFERROR(SUMPRODUCT(MAX(((持仓跟踪!$A$2:$A$157="每日跟踪")*(持仓跟踪!$B$2:$B$157=A42))*持仓跟踪!$S$2:$S$157)),0)),0)*H42+IF(OR(AK42="",AL42=""),0,MAX(AK42-MAX(N42,IFERROR(SUMPRODUCT(MAX(((持仓跟踪!$A$2:$A$157="每日跟踪")*(持仓跟踪!$B$2:$B$157=A42))*持仓跟踪!$S$2:$S$157)),0)),0)*AL42)+IF(OR(AM42="",AN42=""),0,MAX(AM42-MAX(N42,IFERROR(SUMPRODUCT(MAX(((持仓跟踪!$A$2:$A$157="每日跟踪")*(持仓跟踪!$B$2:$B$157=A42))*持仓跟踪!$S$2:$S$157)),0)),0)*AN42))))</f>
        <v/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$88)&gt;账户数据!$B$7,"违规：超过账户风险上限","通过")))))))))</f>
        <v/>
      </c>
    </row>
    <row r="43" spans="1:44" x14ac:dyDescent="0.15">
      <c r="A43" s="2"/>
      <c r="B43" s="2"/>
      <c r="C43" s="10"/>
      <c r="D43" s="6"/>
      <c r="E43" s="10"/>
      <c r="F43" s="8" t="str">
        <f t="shared" si="11"/>
        <v/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$157,"止损计划",持仓跟踪!$B$2:$B$157,A43,持仓跟踪!$AC$2:$AC$157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3" s="2"/>
      <c r="I43" s="15"/>
      <c r="J43" s="10"/>
      <c r="K43" s="5" t="str">
        <f>IF(A43="","",IFERROR(LOOKUP(2,1/((持仓跟踪!$B$2:$B$157=A43)*(持仓跟踪!$X$2:$X$157="执行卖出")*(持仓跟踪!$Y$2:$Y$157&lt;&gt;"")),持仓跟踪!$Y$2:$Y$157),""))</f>
        <v/>
      </c>
      <c r="L43" s="8" t="str">
        <f>IF(A43="","",IFERROR(LOOKUP(2,1/((持仓跟踪!$B$2:$B$157=A43)*(持仓跟踪!$X$2:$X$157="执行卖出")*(持仓跟踪!$Z$2:$Z$157&lt;&gt;"")),持仓跟踪!$Z$2:$Z$157),""))</f>
        <v/>
      </c>
      <c r="M43" s="18" t="str">
        <f>IF(A43="","",IFERROR(LOOKUP(2,1/((持仓跟踪!$B$2:$B$157=A43)*(持仓跟踪!$X$2:$X$157="执行卖出")*(持仓跟踪!$H$2:$H$157&lt;&gt;"")),持仓跟踪!$H$2:$H$157),""))</f>
        <v/>
      </c>
      <c r="N43" s="10"/>
      <c r="O43" s="10"/>
      <c r="P43" s="5" t="str">
        <f>IF(A43="","",IFERROR(LOOKUP(2,1/((持仓跟踪!$B$2:$B$157=A43)*(持仓跟踪!$X$2:$X$157="执行卖出")*(持仓跟踪!$AA$2:$AA$157&lt;&gt;"")),持仓跟踪!$AA$2:$AA$157),""))</f>
        <v/>
      </c>
      <c r="Q43" s="2"/>
      <c r="R43" s="2"/>
      <c r="S43" s="2"/>
      <c r="T43" s="2"/>
      <c r="U43" s="7" t="str">
        <f t="shared" si="12"/>
        <v/>
      </c>
      <c r="V43" s="7" t="str">
        <f t="shared" si="13"/>
        <v/>
      </c>
      <c r="W43" s="17" t="str">
        <f t="shared" si="14"/>
        <v/>
      </c>
      <c r="X43" s="5" t="str">
        <f t="shared" si="15"/>
        <v/>
      </c>
      <c r="Y43" s="7" t="str">
        <f t="shared" si="16"/>
        <v/>
      </c>
      <c r="Z43" s="7" t="str">
        <f>IF(OR(AE43="",多次统计数据!$B$8=""),"",AE43-多次统计数据!$B$8)</f>
        <v/>
      </c>
      <c r="AA43" s="11" t="str">
        <f t="shared" si="17"/>
        <v/>
      </c>
      <c r="AB43" s="7" t="str">
        <f>IF(OR(A43="",多次统计数据!$B$8="",多次统计数据!$B$6&lt;=0,多次统计数据!$B$6&gt;=1),"",1-POWER(1+多次统计数据!$B$8,-多次统计数据!$B$6/(1-多次统计数据!$B$6)))</f>
        <v/>
      </c>
      <c r="AC43" s="8" t="str">
        <f>IF(OR(AB43="",多次统计数据!$B$9=""),"",IF(多次统计数据!$B$9&lt;AB43,"低于上限","达到或超过上限"))</f>
        <v/>
      </c>
      <c r="AD43" s="2"/>
      <c r="AE43" s="7" t="str">
        <f t="shared" si="18"/>
        <v/>
      </c>
      <c r="AG43" s="2"/>
      <c r="AH43" s="2"/>
      <c r="AI43" s="2"/>
      <c r="AJ43" s="8" t="str">
        <f t="shared" si="19"/>
        <v/>
      </c>
      <c r="AK43" s="10"/>
      <c r="AL43" s="12"/>
      <c r="AM43" s="10"/>
      <c r="AN43" s="12"/>
      <c r="AO43" s="5" t="str">
        <f t="shared" si="20"/>
        <v/>
      </c>
      <c r="AP43" s="11" t="str">
        <f t="shared" si="21"/>
        <v/>
      </c>
      <c r="AQ43" s="5" t="str">
        <f>IF(A43="","",IF(M43&lt;&gt;"",0,IF(OR(H43="",N43=""),"",MAX(E43-MAX(N43,IFERROR(SUMPRODUCT(MAX(((持仓跟踪!$A$2:$A$157="每日跟踪")*(持仓跟踪!$B$2:$B$157=A43))*持仓跟踪!$S$2:$S$157)),0)),0)*H43+IF(OR(AK43="",AL43=""),0,MAX(AK43-MAX(N43,IFERROR(SUMPRODUCT(MAX(((持仓跟踪!$A$2:$A$157="每日跟踪")*(持仓跟踪!$B$2:$B$157=A43))*持仓跟踪!$S$2:$S$157)),0)),0)*AL43)+IF(OR(AM43="",AN43=""),0,MAX(AM43-MAX(N43,IFERROR(SUMPRODUCT(MAX(((持仓跟踪!$A$2:$A$157="每日跟踪")*(持仓跟踪!$B$2:$B$157=A43))*持仓跟踪!$S$2:$S$157)),0)),0)*AN43))))</f>
        <v/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$88)&gt;账户数据!$B$7,"违规：超过账户风险上限","通过")))))))))</f>
        <v/>
      </c>
    </row>
    <row r="44" spans="1:44" x14ac:dyDescent="0.15">
      <c r="A44" s="2"/>
      <c r="B44" s="2"/>
      <c r="C44" s="10"/>
      <c r="D44" s="6"/>
      <c r="E44" s="10"/>
      <c r="F44" s="8" t="str">
        <f t="shared" si="11"/>
        <v/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$157,"止损计划",持仓跟踪!$B$2:$B$157,A44,持仓跟踪!$AC$2:$AC$157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4" s="2"/>
      <c r="I44" s="15"/>
      <c r="J44" s="10"/>
      <c r="K44" s="5" t="str">
        <f>IF(A44="","",IFERROR(LOOKUP(2,1/((持仓跟踪!$B$2:$B$157=A44)*(持仓跟踪!$X$2:$X$157="执行卖出")*(持仓跟踪!$Y$2:$Y$157&lt;&gt;"")),持仓跟踪!$Y$2:$Y$157),""))</f>
        <v/>
      </c>
      <c r="L44" s="8" t="str">
        <f>IF(A44="","",IFERROR(LOOKUP(2,1/((持仓跟踪!$B$2:$B$157=A44)*(持仓跟踪!$X$2:$X$157="执行卖出")*(持仓跟踪!$Z$2:$Z$157&lt;&gt;"")),持仓跟踪!$Z$2:$Z$157),""))</f>
        <v/>
      </c>
      <c r="M44" s="18" t="str">
        <f>IF(A44="","",IFERROR(LOOKUP(2,1/((持仓跟踪!$B$2:$B$157=A44)*(持仓跟踪!$X$2:$X$157="执行卖出")*(持仓跟踪!$H$2:$H$157&lt;&gt;"")),持仓跟踪!$H$2:$H$157),""))</f>
        <v/>
      </c>
      <c r="N44" s="10"/>
      <c r="O44" s="10"/>
      <c r="P44" s="5" t="str">
        <f>IF(A44="","",IFERROR(LOOKUP(2,1/((持仓跟踪!$B$2:$B$157=A44)*(持仓跟踪!$X$2:$X$157="执行卖出")*(持仓跟踪!$AA$2:$AA$157&lt;&gt;"")),持仓跟踪!$AA$2:$AA$157),""))</f>
        <v/>
      </c>
      <c r="Q44" s="2"/>
      <c r="R44" s="2"/>
      <c r="S44" s="2"/>
      <c r="T44" s="2"/>
      <c r="U44" s="7" t="str">
        <f t="shared" si="12"/>
        <v/>
      </c>
      <c r="V44" s="7" t="str">
        <f t="shared" si="13"/>
        <v/>
      </c>
      <c r="W44" s="17" t="str">
        <f t="shared" si="14"/>
        <v/>
      </c>
      <c r="X44" s="5" t="str">
        <f t="shared" si="15"/>
        <v/>
      </c>
      <c r="Y44" s="7" t="str">
        <f t="shared" si="16"/>
        <v/>
      </c>
      <c r="Z44" s="7" t="str">
        <f>IF(OR(AE44="",多次统计数据!$B$8=""),"",AE44-多次统计数据!$B$8)</f>
        <v/>
      </c>
      <c r="AA44" s="11" t="str">
        <f t="shared" si="17"/>
        <v/>
      </c>
      <c r="AB44" s="7" t="str">
        <f>IF(OR(A44="",多次统计数据!$B$8="",多次统计数据!$B$6&lt;=0,多次统计数据!$B$6&gt;=1),"",1-POWER(1+多次统计数据!$B$8,-多次统计数据!$B$6/(1-多次统计数据!$B$6)))</f>
        <v/>
      </c>
      <c r="AC44" s="8" t="str">
        <f>IF(OR(AB44="",多次统计数据!$B$9=""),"",IF(多次统计数据!$B$9&lt;AB44,"低于上限","达到或超过上限"))</f>
        <v/>
      </c>
      <c r="AD44" s="2"/>
      <c r="AE44" s="7" t="str">
        <f t="shared" si="18"/>
        <v/>
      </c>
      <c r="AG44" s="2"/>
      <c r="AH44" s="2"/>
      <c r="AI44" s="2"/>
      <c r="AJ44" s="8" t="str">
        <f t="shared" si="19"/>
        <v/>
      </c>
      <c r="AK44" s="10"/>
      <c r="AL44" s="12"/>
      <c r="AM44" s="10"/>
      <c r="AN44" s="12"/>
      <c r="AO44" s="5" t="str">
        <f t="shared" si="20"/>
        <v/>
      </c>
      <c r="AP44" s="11" t="str">
        <f t="shared" si="21"/>
        <v/>
      </c>
      <c r="AQ44" s="5" t="str">
        <f>IF(A44="","",IF(M44&lt;&gt;"",0,IF(OR(H44="",N44=""),"",MAX(E44-MAX(N44,IFERROR(SUMPRODUCT(MAX(((持仓跟踪!$A$2:$A$157="每日跟踪")*(持仓跟踪!$B$2:$B$157=A44))*持仓跟踪!$S$2:$S$157)),0)),0)*H44+IF(OR(AK44="",AL44=""),0,MAX(AK44-MAX(N44,IFERROR(SUMPRODUCT(MAX(((持仓跟踪!$A$2:$A$157="每日跟踪")*(持仓跟踪!$B$2:$B$157=A44))*持仓跟踪!$S$2:$S$157)),0)),0)*AL44)+IF(OR(AM44="",AN44=""),0,MAX(AM44-MAX(N44,IFERROR(SUMPRODUCT(MAX(((持仓跟踪!$A$2:$A$157="每日跟踪")*(持仓跟踪!$B$2:$B$157=A44))*持仓跟踪!$S$2:$S$157)),0)),0)*AN44))))</f>
        <v/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$88)&gt;账户数据!$B$7,"违规：超过账户风险上限","通过")))))))))</f>
        <v/>
      </c>
    </row>
    <row r="45" spans="1:44" x14ac:dyDescent="0.15">
      <c r="A45" s="2"/>
      <c r="B45" s="2"/>
      <c r="C45" s="10"/>
      <c r="D45" s="6"/>
      <c r="E45" s="10"/>
      <c r="F45" s="8" t="str">
        <f t="shared" si="11"/>
        <v/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$157,"止损计划",持仓跟踪!$B$2:$B$157,A45,持仓跟踪!$AC$2:$AC$157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5" s="2"/>
      <c r="I45" s="15"/>
      <c r="J45" s="10"/>
      <c r="K45" s="5" t="str">
        <f>IF(A45="","",IFERROR(LOOKUP(2,1/((持仓跟踪!$B$2:$B$157=A45)*(持仓跟踪!$X$2:$X$157="执行卖出")*(持仓跟踪!$Y$2:$Y$157&lt;&gt;"")),持仓跟踪!$Y$2:$Y$157),""))</f>
        <v/>
      </c>
      <c r="L45" s="8" t="str">
        <f>IF(A45="","",IFERROR(LOOKUP(2,1/((持仓跟踪!$B$2:$B$157=A45)*(持仓跟踪!$X$2:$X$157="执行卖出")*(持仓跟踪!$Z$2:$Z$157&lt;&gt;"")),持仓跟踪!$Z$2:$Z$157),""))</f>
        <v/>
      </c>
      <c r="M45" s="18" t="str">
        <f>IF(A45="","",IFERROR(LOOKUP(2,1/((持仓跟踪!$B$2:$B$157=A45)*(持仓跟踪!$X$2:$X$157="执行卖出")*(持仓跟踪!$H$2:$H$157&lt;&gt;"")),持仓跟踪!$H$2:$H$157),""))</f>
        <v/>
      </c>
      <c r="N45" s="10"/>
      <c r="O45" s="10"/>
      <c r="P45" s="5" t="str">
        <f>IF(A45="","",IFERROR(LOOKUP(2,1/((持仓跟踪!$B$2:$B$157=A45)*(持仓跟踪!$X$2:$X$157="执行卖出")*(持仓跟踪!$AA$2:$AA$157&lt;&gt;"")),持仓跟踪!$AA$2:$AA$157),""))</f>
        <v/>
      </c>
      <c r="Q45" s="2"/>
      <c r="R45" s="2"/>
      <c r="S45" s="2"/>
      <c r="T45" s="2"/>
      <c r="U45" s="7" t="str">
        <f t="shared" si="12"/>
        <v/>
      </c>
      <c r="V45" s="7" t="str">
        <f t="shared" si="13"/>
        <v/>
      </c>
      <c r="W45" s="17" t="str">
        <f t="shared" si="14"/>
        <v/>
      </c>
      <c r="X45" s="5" t="str">
        <f t="shared" si="15"/>
        <v/>
      </c>
      <c r="Y45" s="7" t="str">
        <f t="shared" si="16"/>
        <v/>
      </c>
      <c r="Z45" s="7" t="str">
        <f>IF(OR(AE45="",多次统计数据!$B$8=""),"",AE45-多次统计数据!$B$8)</f>
        <v/>
      </c>
      <c r="AA45" s="11" t="str">
        <f t="shared" si="17"/>
        <v/>
      </c>
      <c r="AB45" s="7" t="str">
        <f>IF(OR(A45="",多次统计数据!$B$8="",多次统计数据!$B$6&lt;=0,多次统计数据!$B$6&gt;=1),"",1-POWER(1+多次统计数据!$B$8,-多次统计数据!$B$6/(1-多次统计数据!$B$6)))</f>
        <v/>
      </c>
      <c r="AC45" s="8" t="str">
        <f>IF(OR(AB45="",多次统计数据!$B$9=""),"",IF(多次统计数据!$B$9&lt;AB45,"低于上限","达到或超过上限"))</f>
        <v/>
      </c>
      <c r="AD45" s="2"/>
      <c r="AE45" s="7" t="str">
        <f t="shared" si="18"/>
        <v/>
      </c>
      <c r="AG45" s="2"/>
      <c r="AH45" s="2"/>
      <c r="AI45" s="2"/>
      <c r="AJ45" s="8" t="str">
        <f t="shared" si="19"/>
        <v/>
      </c>
      <c r="AK45" s="10"/>
      <c r="AL45" s="12"/>
      <c r="AM45" s="10"/>
      <c r="AN45" s="12"/>
      <c r="AO45" s="5" t="str">
        <f t="shared" si="20"/>
        <v/>
      </c>
      <c r="AP45" s="11" t="str">
        <f t="shared" si="21"/>
        <v/>
      </c>
      <c r="AQ45" s="5" t="str">
        <f>IF(A45="","",IF(M45&lt;&gt;"",0,IF(OR(H45="",N45=""),"",MAX(E45-MAX(N45,IFERROR(SUMPRODUCT(MAX(((持仓跟踪!$A$2:$A$157="每日跟踪")*(持仓跟踪!$B$2:$B$157=A45))*持仓跟踪!$S$2:$S$157)),0)),0)*H45+IF(OR(AK45="",AL45=""),0,MAX(AK45-MAX(N45,IFERROR(SUMPRODUCT(MAX(((持仓跟踪!$A$2:$A$157="每日跟踪")*(持仓跟踪!$B$2:$B$157=A45))*持仓跟踪!$S$2:$S$157)),0)),0)*AL45)+IF(OR(AM45="",AN45=""),0,MAX(AM45-MAX(N45,IFERROR(SUMPRODUCT(MAX(((持仓跟踪!$A$2:$A$157="每日跟踪")*(持仓跟踪!$B$2:$B$157=A45))*持仓跟踪!$S$2:$S$157)),0)),0)*AN45))))</f>
        <v/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$88)&gt;账户数据!$B$7,"违规：超过账户风险上限","通过")))))))))</f>
        <v/>
      </c>
    </row>
    <row r="46" spans="1:44" x14ac:dyDescent="0.15">
      <c r="A46" s="2"/>
      <c r="B46" s="2"/>
      <c r="C46" s="10"/>
      <c r="D46" s="6"/>
      <c r="E46" s="10"/>
      <c r="F46" s="8" t="str">
        <f t="shared" si="11"/>
        <v/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$157,"止损计划",持仓跟踪!$B$2:$B$157,A46,持仓跟踪!$AC$2:$AC$157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6" s="2"/>
      <c r="I46" s="15"/>
      <c r="J46" s="10"/>
      <c r="K46" s="5" t="str">
        <f>IF(A46="","",IFERROR(LOOKUP(2,1/((持仓跟踪!$B$2:$B$157=A46)*(持仓跟踪!$X$2:$X$157="执行卖出")*(持仓跟踪!$Y$2:$Y$157&lt;&gt;"")),持仓跟踪!$Y$2:$Y$157),""))</f>
        <v/>
      </c>
      <c r="L46" s="8" t="str">
        <f>IF(A46="","",IFERROR(LOOKUP(2,1/((持仓跟踪!$B$2:$B$157=A46)*(持仓跟踪!$X$2:$X$157="执行卖出")*(持仓跟踪!$Z$2:$Z$157&lt;&gt;"")),持仓跟踪!$Z$2:$Z$157),""))</f>
        <v/>
      </c>
      <c r="M46" s="18" t="str">
        <f>IF(A46="","",IFERROR(LOOKUP(2,1/((持仓跟踪!$B$2:$B$157=A46)*(持仓跟踪!$X$2:$X$157="执行卖出")*(持仓跟踪!$H$2:$H$157&lt;&gt;"")),持仓跟踪!$H$2:$H$157),""))</f>
        <v/>
      </c>
      <c r="N46" s="10"/>
      <c r="O46" s="10"/>
      <c r="P46" s="5" t="str">
        <f>IF(A46="","",IFERROR(LOOKUP(2,1/((持仓跟踪!$B$2:$B$157=A46)*(持仓跟踪!$X$2:$X$157="执行卖出")*(持仓跟踪!$AA$2:$AA$157&lt;&gt;"")),持仓跟踪!$AA$2:$AA$157),""))</f>
        <v/>
      </c>
      <c r="Q46" s="2"/>
      <c r="R46" s="2"/>
      <c r="S46" s="2"/>
      <c r="T46" s="2"/>
      <c r="U46" s="7" t="str">
        <f t="shared" si="12"/>
        <v/>
      </c>
      <c r="V46" s="7" t="str">
        <f t="shared" si="13"/>
        <v/>
      </c>
      <c r="W46" s="17" t="str">
        <f t="shared" si="14"/>
        <v/>
      </c>
      <c r="X46" s="5" t="str">
        <f t="shared" si="15"/>
        <v/>
      </c>
      <c r="Y46" s="7" t="str">
        <f t="shared" si="16"/>
        <v/>
      </c>
      <c r="Z46" s="7" t="str">
        <f>IF(OR(AE46="",多次统计数据!$B$8=""),"",AE46-多次统计数据!$B$8)</f>
        <v/>
      </c>
      <c r="AA46" s="11" t="str">
        <f t="shared" si="17"/>
        <v/>
      </c>
      <c r="AB46" s="7" t="str">
        <f>IF(OR(A46="",多次统计数据!$B$8="",多次统计数据!$B$6&lt;=0,多次统计数据!$B$6&gt;=1),"",1-POWER(1+多次统计数据!$B$8,-多次统计数据!$B$6/(1-多次统计数据!$B$6)))</f>
        <v/>
      </c>
      <c r="AC46" s="8" t="str">
        <f>IF(OR(AB46="",多次统计数据!$B$9=""),"",IF(多次统计数据!$B$9&lt;AB46,"低于上限","达到或超过上限"))</f>
        <v/>
      </c>
      <c r="AD46" s="2"/>
      <c r="AE46" s="7" t="str">
        <f t="shared" si="18"/>
        <v/>
      </c>
      <c r="AG46" s="2"/>
      <c r="AH46" s="2"/>
      <c r="AI46" s="2"/>
      <c r="AJ46" s="8" t="str">
        <f t="shared" si="19"/>
        <v/>
      </c>
      <c r="AK46" s="10"/>
      <c r="AL46" s="12"/>
      <c r="AM46" s="10"/>
      <c r="AN46" s="12"/>
      <c r="AO46" s="5" t="str">
        <f t="shared" si="20"/>
        <v/>
      </c>
      <c r="AP46" s="11" t="str">
        <f t="shared" si="21"/>
        <v/>
      </c>
      <c r="AQ46" s="5" t="str">
        <f>IF(A46="","",IF(M46&lt;&gt;"",0,IF(OR(H46="",N46=""),"",MAX(E46-MAX(N46,IFERROR(SUMPRODUCT(MAX(((持仓跟踪!$A$2:$A$157="每日跟踪")*(持仓跟踪!$B$2:$B$157=A46))*持仓跟踪!$S$2:$S$157)),0)),0)*H46+IF(OR(AK46="",AL46=""),0,MAX(AK46-MAX(N46,IFERROR(SUMPRODUCT(MAX(((持仓跟踪!$A$2:$A$157="每日跟踪")*(持仓跟踪!$B$2:$B$157=A46))*持仓跟踪!$S$2:$S$157)),0)),0)*AL46)+IF(OR(AM46="",AN46=""),0,MAX(AM46-MAX(N46,IFERROR(SUMPRODUCT(MAX(((持仓跟踪!$A$2:$A$157="每日跟踪")*(持仓跟踪!$B$2:$B$157=A46))*持仓跟踪!$S$2:$S$157)),0)),0)*AN46))))</f>
        <v/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$88)&gt;账户数据!$B$7,"违规：超过账户风险上限","通过")))))))))</f>
        <v/>
      </c>
    </row>
    <row r="47" spans="1:44" x14ac:dyDescent="0.15">
      <c r="A47" s="2"/>
      <c r="B47" s="2"/>
      <c r="C47" s="10"/>
      <c r="D47" s="6"/>
      <c r="E47" s="10"/>
      <c r="F47" s="8" t="str">
        <f t="shared" si="11"/>
        <v/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$157,"止损计划",持仓跟踪!$B$2:$B$157,A47,持仓跟踪!$AC$2:$AC$157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7" s="2"/>
      <c r="I47" s="15"/>
      <c r="J47" s="10"/>
      <c r="K47" s="5" t="str">
        <f>IF(A47="","",IFERROR(LOOKUP(2,1/((持仓跟踪!$B$2:$B$157=A47)*(持仓跟踪!$X$2:$X$157="执行卖出")*(持仓跟踪!$Y$2:$Y$157&lt;&gt;"")),持仓跟踪!$Y$2:$Y$157),""))</f>
        <v/>
      </c>
      <c r="L47" s="8" t="str">
        <f>IF(A47="","",IFERROR(LOOKUP(2,1/((持仓跟踪!$B$2:$B$157=A47)*(持仓跟踪!$X$2:$X$157="执行卖出")*(持仓跟踪!$Z$2:$Z$157&lt;&gt;"")),持仓跟踪!$Z$2:$Z$157),""))</f>
        <v/>
      </c>
      <c r="M47" s="18" t="str">
        <f>IF(A47="","",IFERROR(LOOKUP(2,1/((持仓跟踪!$B$2:$B$157=A47)*(持仓跟踪!$X$2:$X$157="执行卖出")*(持仓跟踪!$H$2:$H$157&lt;&gt;"")),持仓跟踪!$H$2:$H$157),""))</f>
        <v/>
      </c>
      <c r="N47" s="10"/>
      <c r="O47" s="10"/>
      <c r="P47" s="5" t="str">
        <f>IF(A47="","",IFERROR(LOOKUP(2,1/((持仓跟踪!$B$2:$B$157=A47)*(持仓跟踪!$X$2:$X$157="执行卖出")*(持仓跟踪!$AA$2:$AA$157&lt;&gt;"")),持仓跟踪!$AA$2:$AA$157),""))</f>
        <v/>
      </c>
      <c r="Q47" s="2"/>
      <c r="R47" s="2"/>
      <c r="S47" s="2"/>
      <c r="T47" s="2"/>
      <c r="U47" s="7" t="str">
        <f t="shared" si="12"/>
        <v/>
      </c>
      <c r="V47" s="7" t="str">
        <f t="shared" si="13"/>
        <v/>
      </c>
      <c r="W47" s="17" t="str">
        <f t="shared" si="14"/>
        <v/>
      </c>
      <c r="X47" s="5" t="str">
        <f t="shared" si="15"/>
        <v/>
      </c>
      <c r="Y47" s="7" t="str">
        <f t="shared" si="16"/>
        <v/>
      </c>
      <c r="Z47" s="7" t="str">
        <f>IF(OR(AE47="",多次统计数据!$B$8=""),"",AE47-多次统计数据!$B$8)</f>
        <v/>
      </c>
      <c r="AA47" s="11" t="str">
        <f t="shared" si="17"/>
        <v/>
      </c>
      <c r="AB47" s="7" t="str">
        <f>IF(OR(A47="",多次统计数据!$B$8="",多次统计数据!$B$6&lt;=0,多次统计数据!$B$6&gt;=1),"",1-POWER(1+多次统计数据!$B$8,-多次统计数据!$B$6/(1-多次统计数据!$B$6)))</f>
        <v/>
      </c>
      <c r="AC47" s="8" t="str">
        <f>IF(OR(AB47="",多次统计数据!$B$9=""),"",IF(多次统计数据!$B$9&lt;AB47,"低于上限","达到或超过上限"))</f>
        <v/>
      </c>
      <c r="AD47" s="2"/>
      <c r="AE47" s="7" t="str">
        <f t="shared" si="18"/>
        <v/>
      </c>
      <c r="AG47" s="2"/>
      <c r="AH47" s="2"/>
      <c r="AI47" s="2"/>
      <c r="AJ47" s="8" t="str">
        <f t="shared" si="19"/>
        <v/>
      </c>
      <c r="AK47" s="10"/>
      <c r="AL47" s="12"/>
      <c r="AM47" s="10"/>
      <c r="AN47" s="12"/>
      <c r="AO47" s="5" t="str">
        <f t="shared" si="20"/>
        <v/>
      </c>
      <c r="AP47" s="11" t="str">
        <f t="shared" si="21"/>
        <v/>
      </c>
      <c r="AQ47" s="5" t="str">
        <f>IF(A47="","",IF(M47&lt;&gt;"",0,IF(OR(H47="",N47=""),"",MAX(E47-MAX(N47,IFERROR(SUMPRODUCT(MAX(((持仓跟踪!$A$2:$A$157="每日跟踪")*(持仓跟踪!$B$2:$B$157=A47))*持仓跟踪!$S$2:$S$157)),0)),0)*H47+IF(OR(AK47="",AL47=""),0,MAX(AK47-MAX(N47,IFERROR(SUMPRODUCT(MAX(((持仓跟踪!$A$2:$A$157="每日跟踪")*(持仓跟踪!$B$2:$B$157=A47))*持仓跟踪!$S$2:$S$157)),0)),0)*AL47)+IF(OR(AM47="",AN47=""),0,MAX(AM47-MAX(N47,IFERROR(SUMPRODUCT(MAX(((持仓跟踪!$A$2:$A$157="每日跟踪")*(持仓跟踪!$B$2:$B$157=A47))*持仓跟踪!$S$2:$S$157)),0)),0)*AN47))))</f>
        <v/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$88)&gt;账户数据!$B$7,"违规：超过账户风险上限","通过")))))))))</f>
        <v/>
      </c>
    </row>
    <row r="48" spans="1:44" x14ac:dyDescent="0.15">
      <c r="A48" s="2"/>
      <c r="B48" s="2"/>
      <c r="C48" s="10"/>
      <c r="D48" s="6"/>
      <c r="E48" s="10"/>
      <c r="F48" s="8" t="str">
        <f t="shared" si="11"/>
        <v/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$157,"止损计划",持仓跟踪!$B$2:$B$157,A48,持仓跟踪!$AC$2:$AC$157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8" s="2"/>
      <c r="I48" s="15"/>
      <c r="J48" s="10"/>
      <c r="K48" s="5" t="str">
        <f>IF(A48="","",IFERROR(LOOKUP(2,1/((持仓跟踪!$B$2:$B$157=A48)*(持仓跟踪!$X$2:$X$157="执行卖出")*(持仓跟踪!$Y$2:$Y$157&lt;&gt;"")),持仓跟踪!$Y$2:$Y$157),""))</f>
        <v/>
      </c>
      <c r="L48" s="8" t="str">
        <f>IF(A48="","",IFERROR(LOOKUP(2,1/((持仓跟踪!$B$2:$B$157=A48)*(持仓跟踪!$X$2:$X$157="执行卖出")*(持仓跟踪!$Z$2:$Z$157&lt;&gt;"")),持仓跟踪!$Z$2:$Z$157),""))</f>
        <v/>
      </c>
      <c r="M48" s="18" t="str">
        <f>IF(A48="","",IFERROR(LOOKUP(2,1/((持仓跟踪!$B$2:$B$157=A48)*(持仓跟踪!$X$2:$X$157="执行卖出")*(持仓跟踪!$H$2:$H$157&lt;&gt;"")),持仓跟踪!$H$2:$H$157),""))</f>
        <v/>
      </c>
      <c r="N48" s="10"/>
      <c r="O48" s="10"/>
      <c r="P48" s="5" t="str">
        <f>IF(A48="","",IFERROR(LOOKUP(2,1/((持仓跟踪!$B$2:$B$157=A48)*(持仓跟踪!$X$2:$X$157="执行卖出")*(持仓跟踪!$AA$2:$AA$157&lt;&gt;"")),持仓跟踪!$AA$2:$AA$157),""))</f>
        <v/>
      </c>
      <c r="Q48" s="2"/>
      <c r="R48" s="2"/>
      <c r="S48" s="2"/>
      <c r="T48" s="2"/>
      <c r="U48" s="7" t="str">
        <f t="shared" si="12"/>
        <v/>
      </c>
      <c r="V48" s="7" t="str">
        <f t="shared" si="13"/>
        <v/>
      </c>
      <c r="W48" s="17" t="str">
        <f t="shared" si="14"/>
        <v/>
      </c>
      <c r="X48" s="5" t="str">
        <f t="shared" si="15"/>
        <v/>
      </c>
      <c r="Y48" s="7" t="str">
        <f t="shared" si="16"/>
        <v/>
      </c>
      <c r="Z48" s="7" t="str">
        <f>IF(OR(AE48="",多次统计数据!$B$8=""),"",AE48-多次统计数据!$B$8)</f>
        <v/>
      </c>
      <c r="AA48" s="11" t="str">
        <f t="shared" si="17"/>
        <v/>
      </c>
      <c r="AB48" s="7" t="str">
        <f>IF(OR(A48="",多次统计数据!$B$8="",多次统计数据!$B$6&lt;=0,多次统计数据!$B$6&gt;=1),"",1-POWER(1+多次统计数据!$B$8,-多次统计数据!$B$6/(1-多次统计数据!$B$6)))</f>
        <v/>
      </c>
      <c r="AC48" s="8" t="str">
        <f>IF(OR(AB48="",多次统计数据!$B$9=""),"",IF(多次统计数据!$B$9&lt;AB48,"低于上限","达到或超过上限"))</f>
        <v/>
      </c>
      <c r="AD48" s="2"/>
      <c r="AE48" s="7" t="str">
        <f t="shared" si="18"/>
        <v/>
      </c>
      <c r="AG48" s="2"/>
      <c r="AH48" s="2"/>
      <c r="AI48" s="2"/>
      <c r="AJ48" s="8" t="str">
        <f t="shared" si="19"/>
        <v/>
      </c>
      <c r="AK48" s="10"/>
      <c r="AL48" s="12"/>
      <c r="AM48" s="10"/>
      <c r="AN48" s="12"/>
      <c r="AO48" s="5" t="str">
        <f t="shared" si="20"/>
        <v/>
      </c>
      <c r="AP48" s="11" t="str">
        <f t="shared" si="21"/>
        <v/>
      </c>
      <c r="AQ48" s="5" t="str">
        <f>IF(A48="","",IF(M48&lt;&gt;"",0,IF(OR(H48="",N48=""),"",MAX(E48-MAX(N48,IFERROR(SUMPRODUCT(MAX(((持仓跟踪!$A$2:$A$157="每日跟踪")*(持仓跟踪!$B$2:$B$157=A48))*持仓跟踪!$S$2:$S$157)),0)),0)*H48+IF(OR(AK48="",AL48=""),0,MAX(AK48-MAX(N48,IFERROR(SUMPRODUCT(MAX(((持仓跟踪!$A$2:$A$157="每日跟踪")*(持仓跟踪!$B$2:$B$157=A48))*持仓跟踪!$S$2:$S$157)),0)),0)*AL48)+IF(OR(AM48="",AN48=""),0,MAX(AM48-MAX(N48,IFERROR(SUMPRODUCT(MAX(((持仓跟踪!$A$2:$A$157="每日跟踪")*(持仓跟踪!$B$2:$B$157=A48))*持仓跟踪!$S$2:$S$157)),0)),0)*AN48))))</f>
        <v/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$88)&gt;账户数据!$B$7,"违规：超过账户风险上限","通过")))))))))</f>
        <v/>
      </c>
    </row>
    <row r="49" spans="1:44" x14ac:dyDescent="0.15">
      <c r="A49" s="2"/>
      <c r="B49" s="2"/>
      <c r="C49" s="10"/>
      <c r="D49" s="6"/>
      <c r="E49" s="10"/>
      <c r="F49" s="8" t="str">
        <f t="shared" ref="F49:F80" si="22">IF(OR(C49="",D49="",E49="",N49="",C49&lt;=0,D49&lt;=0,E49&lt;=N49),"",ROUNDDOWN((C49*D49)/(E49-N49)/100,0)*100)</f>
        <v/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$157,"止损计划",持仓跟踪!$B$2:$B$157,A49,持仓跟踪!$AC$2:$AC$157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49" s="2"/>
      <c r="I49" s="15"/>
      <c r="J49" s="10"/>
      <c r="K49" s="5" t="str">
        <f>IF(A49="","",IFERROR(LOOKUP(2,1/((持仓跟踪!$B$2:$B$157=A49)*(持仓跟踪!$X$2:$X$157="执行卖出")*(持仓跟踪!$Y$2:$Y$157&lt;&gt;"")),持仓跟踪!$Y$2:$Y$157),""))</f>
        <v/>
      </c>
      <c r="L49" s="8" t="str">
        <f>IF(A49="","",IFERROR(LOOKUP(2,1/((持仓跟踪!$B$2:$B$157=A49)*(持仓跟踪!$X$2:$X$157="执行卖出")*(持仓跟踪!$Z$2:$Z$157&lt;&gt;"")),持仓跟踪!$Z$2:$Z$157),""))</f>
        <v/>
      </c>
      <c r="M49" s="18" t="str">
        <f>IF(A49="","",IFERROR(LOOKUP(2,1/((持仓跟踪!$B$2:$B$157=A49)*(持仓跟踪!$X$2:$X$157="执行卖出")*(持仓跟踪!$H$2:$H$157&lt;&gt;"")),持仓跟踪!$H$2:$H$157),""))</f>
        <v/>
      </c>
      <c r="N49" s="10"/>
      <c r="O49" s="10"/>
      <c r="P49" s="5" t="str">
        <f>IF(A49="","",IFERROR(LOOKUP(2,1/((持仓跟踪!$B$2:$B$157=A49)*(持仓跟踪!$X$2:$X$157="执行卖出")*(持仓跟踪!$AA$2:$AA$157&lt;&gt;"")),持仓跟踪!$AA$2:$AA$157),""))</f>
        <v/>
      </c>
      <c r="Q49" s="2"/>
      <c r="R49" s="2"/>
      <c r="S49" s="2"/>
      <c r="T49" s="2"/>
      <c r="U49" s="7" t="str">
        <f t="shared" ref="U49:U80" si="23">IF(OR(AO49="",J49="",AO49&lt;=0),"",(J49-AO49)/AO49)</f>
        <v/>
      </c>
      <c r="V49" s="7" t="str">
        <f t="shared" ref="V49:V80" si="24">IF(OR(AO49="",N49="",AO49&lt;=0),"",(AO49-N49)/AO49)</f>
        <v/>
      </c>
      <c r="W49" s="17" t="str">
        <f t="shared" ref="W49:W80" si="25">IF(OR(U49="",V49="",V49&lt;=0),"",U49/V49)</f>
        <v/>
      </c>
      <c r="X49" s="5" t="str">
        <f t="shared" ref="X49:X80" si="26">IF(OR(K49="",L49="",AP49=""),"",K49*L49-(E49*H49+IF(AND(AK49&lt;&gt;"",AL49&lt;&gt;""),AK49*AL49,0)+IF(AND(AM49&lt;&gt;"",AN49&lt;&gt;""),AM49*AN49,0))-IF(O49="",0,O49)-IF(P49="",0,P49))</f>
        <v/>
      </c>
      <c r="Y49" s="7" t="str">
        <f t="shared" ref="Y49:Y80" si="27">IF(OR(X49="",AP49=""),"",IF((E49*H49+IF(AND(AK49&lt;&gt;"",AL49&lt;&gt;""),AK49*AL49,0)+IF(AND(AM49&lt;&gt;"",AN49&lt;&gt;""),AM49*AN49,0))+IF(O49="",0,O49)&lt;=0,"",X49/((E49*H49+IF(AND(AK49&lt;&gt;"",AL49&lt;&gt;""),AK49*AL49,0)+IF(AND(AM49&lt;&gt;"",AN49&lt;&gt;""),AM49*AN49,0))+IF(O49="",0,O49))))</f>
        <v/>
      </c>
      <c r="Z49" s="7" t="str">
        <f>IF(OR(AE49="",多次统计数据!$B$8=""),"",AE49-多次统计数据!$B$8)</f>
        <v/>
      </c>
      <c r="AA49" s="11" t="str">
        <f t="shared" ref="AA49:AA80" si="28">IF(OR(I49="",M49="",M49&lt;I49),"",M49-I49)</f>
        <v/>
      </c>
      <c r="AB49" s="7" t="str">
        <f>IF(OR(A49="",多次统计数据!$B$8="",多次统计数据!$B$6&lt;=0,多次统计数据!$B$6&gt;=1),"",1-POWER(1+多次统计数据!$B$8,-多次统计数据!$B$6/(1-多次统计数据!$B$6)))</f>
        <v/>
      </c>
      <c r="AC49" s="8" t="str">
        <f>IF(OR(AB49="",多次统计数据!$B$9=""),"",IF(多次统计数据!$B$9&lt;AB49,"低于上限","达到或超过上限"))</f>
        <v/>
      </c>
      <c r="AD49" s="2"/>
      <c r="AE49" s="7" t="str">
        <f t="shared" ref="AE49:AE80" si="29">IF(OR(X49="",C49="",C49&lt;=0),"",X49/C49)</f>
        <v/>
      </c>
      <c r="AG49" s="2"/>
      <c r="AH49" s="2"/>
      <c r="AI49" s="2"/>
      <c r="AJ49" s="8" t="str">
        <f t="shared" ref="AJ49:AJ80" si="30">IF(OR(AG49="",AH49=""),"",IF(OR(AND(AG49="短期博反弹",OR(AH49="1～3个交易日",AH49="4～10个交易日")),AND(AG49="突破冲新高",OR(AH49="4～10个交易日",AH49="11～20个交易日")),AND(AG49="趋势波段",OR(AH49="11～20个交易日",AH49="21～60个交易日",AH49="60个交易日以上"))),"匹配","周期与交易预期不匹配，请重新确认"))</f>
        <v/>
      </c>
      <c r="AK49" s="10"/>
      <c r="AL49" s="12"/>
      <c r="AM49" s="10"/>
      <c r="AN49" s="12"/>
      <c r="AO49" s="5" t="str">
        <f t="shared" ref="AO49:AO80" si="31">IF(OR(A49="",H49="",H49&lt;=0),"",(E49*H49+IF(AND(AK49&lt;&gt;"",AL49&lt;&gt;""),AK49*AL49,0)+IF(AND(AM49&lt;&gt;"",AN49&lt;&gt;""),AM49*AN49,0))/AP49)</f>
        <v/>
      </c>
      <c r="AP49" s="11" t="str">
        <f t="shared" ref="AP49:AP80" si="32">IF(OR(A49="",H49="",H49&lt;=0),"",H49+IF(AL49="",0,AL49)+IF(AN49="",0,AN49))</f>
        <v/>
      </c>
      <c r="AQ49" s="5" t="str">
        <f>IF(A49="","",IF(M49&lt;&gt;"",0,IF(OR(H49="",N49=""),"",MAX(E49-MAX(N49,IFERROR(SUMPRODUCT(MAX(((持仓跟踪!$A$2:$A$157="每日跟踪")*(持仓跟踪!$B$2:$B$157=A49))*持仓跟踪!$S$2:$S$157)),0)),0)*H49+IF(OR(AK49="",AL49=""),0,MAX(AK49-MAX(N49,IFERROR(SUMPRODUCT(MAX(((持仓跟踪!$A$2:$A$157="每日跟踪")*(持仓跟踪!$B$2:$B$157=A49))*持仓跟踪!$S$2:$S$157)),0)),0)*AL49)+IF(OR(AM49="",AN49=""),0,MAX(AM49-MAX(N49,IFERROR(SUMPRODUCT(MAX(((持仓跟踪!$A$2:$A$157="每日跟踪")*(持仓跟踪!$B$2:$B$157=A49))*持仓跟踪!$S$2:$S$157)),0)),0)*AN49))))</f>
        <v/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$88)&gt;账户数据!$B$7,"违规：超过账户风险上限","通过")))))))))</f>
        <v/>
      </c>
    </row>
    <row r="50" spans="1:44" x14ac:dyDescent="0.15">
      <c r="A50" s="2"/>
      <c r="B50" s="2"/>
      <c r="C50" s="10"/>
      <c r="D50" s="6"/>
      <c r="E50" s="10"/>
      <c r="F50" s="8" t="str">
        <f t="shared" si="22"/>
        <v/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$157,"止损计划",持仓跟踪!$B$2:$B$157,A50,持仓跟踪!$AC$2:$AC$157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0" s="2"/>
      <c r="I50" s="15"/>
      <c r="J50" s="10"/>
      <c r="K50" s="5" t="str">
        <f>IF(A50="","",IFERROR(LOOKUP(2,1/((持仓跟踪!$B$2:$B$157=A50)*(持仓跟踪!$X$2:$X$157="执行卖出")*(持仓跟踪!$Y$2:$Y$157&lt;&gt;"")),持仓跟踪!$Y$2:$Y$157),""))</f>
        <v/>
      </c>
      <c r="L50" s="8" t="str">
        <f>IF(A50="","",IFERROR(LOOKUP(2,1/((持仓跟踪!$B$2:$B$157=A50)*(持仓跟踪!$X$2:$X$157="执行卖出")*(持仓跟踪!$Z$2:$Z$157&lt;&gt;"")),持仓跟踪!$Z$2:$Z$157),""))</f>
        <v/>
      </c>
      <c r="M50" s="18" t="str">
        <f>IF(A50="","",IFERROR(LOOKUP(2,1/((持仓跟踪!$B$2:$B$157=A50)*(持仓跟踪!$X$2:$X$157="执行卖出")*(持仓跟踪!$H$2:$H$157&lt;&gt;"")),持仓跟踪!$H$2:$H$157),""))</f>
        <v/>
      </c>
      <c r="N50" s="10"/>
      <c r="O50" s="10"/>
      <c r="P50" s="5" t="str">
        <f>IF(A50="","",IFERROR(LOOKUP(2,1/((持仓跟踪!$B$2:$B$157=A50)*(持仓跟踪!$X$2:$X$157="执行卖出")*(持仓跟踪!$AA$2:$AA$157&lt;&gt;"")),持仓跟踪!$AA$2:$AA$157),""))</f>
        <v/>
      </c>
      <c r="Q50" s="2"/>
      <c r="R50" s="2"/>
      <c r="S50" s="2"/>
      <c r="T50" s="2"/>
      <c r="U50" s="7" t="str">
        <f t="shared" si="23"/>
        <v/>
      </c>
      <c r="V50" s="7" t="str">
        <f t="shared" si="24"/>
        <v/>
      </c>
      <c r="W50" s="17" t="str">
        <f t="shared" si="25"/>
        <v/>
      </c>
      <c r="X50" s="5" t="str">
        <f t="shared" si="26"/>
        <v/>
      </c>
      <c r="Y50" s="7" t="str">
        <f t="shared" si="27"/>
        <v/>
      </c>
      <c r="Z50" s="7" t="str">
        <f>IF(OR(AE50="",多次统计数据!$B$8=""),"",AE50-多次统计数据!$B$8)</f>
        <v/>
      </c>
      <c r="AA50" s="11" t="str">
        <f t="shared" si="28"/>
        <v/>
      </c>
      <c r="AB50" s="7" t="str">
        <f>IF(OR(A50="",多次统计数据!$B$8="",多次统计数据!$B$6&lt;=0,多次统计数据!$B$6&gt;=1),"",1-POWER(1+多次统计数据!$B$8,-多次统计数据!$B$6/(1-多次统计数据!$B$6)))</f>
        <v/>
      </c>
      <c r="AC50" s="8" t="str">
        <f>IF(OR(AB50="",多次统计数据!$B$9=""),"",IF(多次统计数据!$B$9&lt;AB50,"低于上限","达到或超过上限"))</f>
        <v/>
      </c>
      <c r="AD50" s="2"/>
      <c r="AE50" s="7" t="str">
        <f t="shared" si="29"/>
        <v/>
      </c>
      <c r="AG50" s="2"/>
      <c r="AH50" s="2"/>
      <c r="AI50" s="2"/>
      <c r="AJ50" s="8" t="str">
        <f t="shared" si="30"/>
        <v/>
      </c>
      <c r="AK50" s="10"/>
      <c r="AL50" s="12"/>
      <c r="AM50" s="10"/>
      <c r="AN50" s="12"/>
      <c r="AO50" s="5" t="str">
        <f t="shared" si="31"/>
        <v/>
      </c>
      <c r="AP50" s="11" t="str">
        <f t="shared" si="32"/>
        <v/>
      </c>
      <c r="AQ50" s="5" t="str">
        <f>IF(A50="","",IF(M50&lt;&gt;"",0,IF(OR(H50="",N50=""),"",MAX(E50-MAX(N50,IFERROR(SUMPRODUCT(MAX(((持仓跟踪!$A$2:$A$157="每日跟踪")*(持仓跟踪!$B$2:$B$157=A50))*持仓跟踪!$S$2:$S$157)),0)),0)*H50+IF(OR(AK50="",AL50=""),0,MAX(AK50-MAX(N50,IFERROR(SUMPRODUCT(MAX(((持仓跟踪!$A$2:$A$157="每日跟踪")*(持仓跟踪!$B$2:$B$157=A50))*持仓跟踪!$S$2:$S$157)),0)),0)*AL50)+IF(OR(AM50="",AN50=""),0,MAX(AM50-MAX(N50,IFERROR(SUMPRODUCT(MAX(((持仓跟踪!$A$2:$A$157="每日跟踪")*(持仓跟踪!$B$2:$B$157=A50))*持仓跟踪!$S$2:$S$157)),0)),0)*AN50))))</f>
        <v/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$88)&gt;账户数据!$B$7,"违规：超过账户风险上限","通过")))))))))</f>
        <v/>
      </c>
    </row>
    <row r="51" spans="1:44" x14ac:dyDescent="0.15">
      <c r="A51" s="2"/>
      <c r="B51" s="2"/>
      <c r="C51" s="10"/>
      <c r="D51" s="6"/>
      <c r="E51" s="10"/>
      <c r="F51" s="8" t="str">
        <f t="shared" si="22"/>
        <v/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$157,"止损计划",持仓跟踪!$B$2:$B$157,A51,持仓跟踪!$AC$2:$AC$157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1" s="2"/>
      <c r="I51" s="15"/>
      <c r="J51" s="10"/>
      <c r="K51" s="5" t="str">
        <f>IF(A51="","",IFERROR(LOOKUP(2,1/((持仓跟踪!$B$2:$B$157=A51)*(持仓跟踪!$X$2:$X$157="执行卖出")*(持仓跟踪!$Y$2:$Y$157&lt;&gt;"")),持仓跟踪!$Y$2:$Y$157),""))</f>
        <v/>
      </c>
      <c r="L51" s="8" t="str">
        <f>IF(A51="","",IFERROR(LOOKUP(2,1/((持仓跟踪!$B$2:$B$157=A51)*(持仓跟踪!$X$2:$X$157="执行卖出")*(持仓跟踪!$Z$2:$Z$157&lt;&gt;"")),持仓跟踪!$Z$2:$Z$157),""))</f>
        <v/>
      </c>
      <c r="M51" s="18" t="str">
        <f>IF(A51="","",IFERROR(LOOKUP(2,1/((持仓跟踪!$B$2:$B$157=A51)*(持仓跟踪!$X$2:$X$157="执行卖出")*(持仓跟踪!$H$2:$H$157&lt;&gt;"")),持仓跟踪!$H$2:$H$157),""))</f>
        <v/>
      </c>
      <c r="N51" s="10"/>
      <c r="O51" s="10"/>
      <c r="P51" s="5" t="str">
        <f>IF(A51="","",IFERROR(LOOKUP(2,1/((持仓跟踪!$B$2:$B$157=A51)*(持仓跟踪!$X$2:$X$157="执行卖出")*(持仓跟踪!$AA$2:$AA$157&lt;&gt;"")),持仓跟踪!$AA$2:$AA$157),""))</f>
        <v/>
      </c>
      <c r="Q51" s="2"/>
      <c r="R51" s="2"/>
      <c r="S51" s="2"/>
      <c r="T51" s="2"/>
      <c r="U51" s="7" t="str">
        <f t="shared" si="23"/>
        <v/>
      </c>
      <c r="V51" s="7" t="str">
        <f t="shared" si="24"/>
        <v/>
      </c>
      <c r="W51" s="17" t="str">
        <f t="shared" si="25"/>
        <v/>
      </c>
      <c r="X51" s="5" t="str">
        <f t="shared" si="26"/>
        <v/>
      </c>
      <c r="Y51" s="7" t="str">
        <f t="shared" si="27"/>
        <v/>
      </c>
      <c r="Z51" s="7" t="str">
        <f>IF(OR(AE51="",多次统计数据!$B$8=""),"",AE51-多次统计数据!$B$8)</f>
        <v/>
      </c>
      <c r="AA51" s="11" t="str">
        <f t="shared" si="28"/>
        <v/>
      </c>
      <c r="AB51" s="7" t="str">
        <f>IF(OR(A51="",多次统计数据!$B$8="",多次统计数据!$B$6&lt;=0,多次统计数据!$B$6&gt;=1),"",1-POWER(1+多次统计数据!$B$8,-多次统计数据!$B$6/(1-多次统计数据!$B$6)))</f>
        <v/>
      </c>
      <c r="AC51" s="8" t="str">
        <f>IF(OR(AB51="",多次统计数据!$B$9=""),"",IF(多次统计数据!$B$9&lt;AB51,"低于上限","达到或超过上限"))</f>
        <v/>
      </c>
      <c r="AD51" s="2"/>
      <c r="AE51" s="7" t="str">
        <f t="shared" si="29"/>
        <v/>
      </c>
      <c r="AG51" s="2"/>
      <c r="AH51" s="2"/>
      <c r="AI51" s="2"/>
      <c r="AJ51" s="8" t="str">
        <f t="shared" si="30"/>
        <v/>
      </c>
      <c r="AK51" s="10"/>
      <c r="AL51" s="12"/>
      <c r="AM51" s="10"/>
      <c r="AN51" s="12"/>
      <c r="AO51" s="5" t="str">
        <f t="shared" si="31"/>
        <v/>
      </c>
      <c r="AP51" s="11" t="str">
        <f t="shared" si="32"/>
        <v/>
      </c>
      <c r="AQ51" s="5" t="str">
        <f>IF(A51="","",IF(M51&lt;&gt;"",0,IF(OR(H51="",N51=""),"",MAX(E51-MAX(N51,IFERROR(SUMPRODUCT(MAX(((持仓跟踪!$A$2:$A$157="每日跟踪")*(持仓跟踪!$B$2:$B$157=A51))*持仓跟踪!$S$2:$S$157)),0)),0)*H51+IF(OR(AK51="",AL51=""),0,MAX(AK51-MAX(N51,IFERROR(SUMPRODUCT(MAX(((持仓跟踪!$A$2:$A$157="每日跟踪")*(持仓跟踪!$B$2:$B$157=A51))*持仓跟踪!$S$2:$S$157)),0)),0)*AL51)+IF(OR(AM51="",AN51=""),0,MAX(AM51-MAX(N51,IFERROR(SUMPRODUCT(MAX(((持仓跟踪!$A$2:$A$157="每日跟踪")*(持仓跟踪!$B$2:$B$157=A51))*持仓跟踪!$S$2:$S$157)),0)),0)*AN51))))</f>
        <v/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$88)&gt;账户数据!$B$7,"违规：超过账户风险上限","通过")))))))))</f>
        <v/>
      </c>
    </row>
    <row r="52" spans="1:44" x14ac:dyDescent="0.15">
      <c r="A52" s="2"/>
      <c r="B52" s="2"/>
      <c r="C52" s="10"/>
      <c r="D52" s="6"/>
      <c r="E52" s="10"/>
      <c r="F52" s="8" t="str">
        <f t="shared" si="22"/>
        <v/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$157,"止损计划",持仓跟踪!$B$2:$B$157,A52,持仓跟踪!$AC$2:$AC$157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2" s="2"/>
      <c r="I52" s="15"/>
      <c r="J52" s="10"/>
      <c r="K52" s="5" t="str">
        <f>IF(A52="","",IFERROR(LOOKUP(2,1/((持仓跟踪!$B$2:$B$157=A52)*(持仓跟踪!$X$2:$X$157="执行卖出")*(持仓跟踪!$Y$2:$Y$157&lt;&gt;"")),持仓跟踪!$Y$2:$Y$157),""))</f>
        <v/>
      </c>
      <c r="L52" s="8" t="str">
        <f>IF(A52="","",IFERROR(LOOKUP(2,1/((持仓跟踪!$B$2:$B$157=A52)*(持仓跟踪!$X$2:$X$157="执行卖出")*(持仓跟踪!$Z$2:$Z$157&lt;&gt;"")),持仓跟踪!$Z$2:$Z$157),""))</f>
        <v/>
      </c>
      <c r="M52" s="18" t="str">
        <f>IF(A52="","",IFERROR(LOOKUP(2,1/((持仓跟踪!$B$2:$B$157=A52)*(持仓跟踪!$X$2:$X$157="执行卖出")*(持仓跟踪!$H$2:$H$157&lt;&gt;"")),持仓跟踪!$H$2:$H$157),""))</f>
        <v/>
      </c>
      <c r="N52" s="10"/>
      <c r="O52" s="10"/>
      <c r="P52" s="5" t="str">
        <f>IF(A52="","",IFERROR(LOOKUP(2,1/((持仓跟踪!$B$2:$B$157=A52)*(持仓跟踪!$X$2:$X$157="执行卖出")*(持仓跟踪!$AA$2:$AA$157&lt;&gt;"")),持仓跟踪!$AA$2:$AA$157),""))</f>
        <v/>
      </c>
      <c r="Q52" s="2"/>
      <c r="R52" s="2"/>
      <c r="S52" s="2"/>
      <c r="T52" s="2"/>
      <c r="U52" s="7" t="str">
        <f t="shared" si="23"/>
        <v/>
      </c>
      <c r="V52" s="7" t="str">
        <f t="shared" si="24"/>
        <v/>
      </c>
      <c r="W52" s="17" t="str">
        <f t="shared" si="25"/>
        <v/>
      </c>
      <c r="X52" s="5" t="str">
        <f t="shared" si="26"/>
        <v/>
      </c>
      <c r="Y52" s="7" t="str">
        <f t="shared" si="27"/>
        <v/>
      </c>
      <c r="Z52" s="7" t="str">
        <f>IF(OR(AE52="",多次统计数据!$B$8=""),"",AE52-多次统计数据!$B$8)</f>
        <v/>
      </c>
      <c r="AA52" s="11" t="str">
        <f t="shared" si="28"/>
        <v/>
      </c>
      <c r="AB52" s="7" t="str">
        <f>IF(OR(A52="",多次统计数据!$B$8="",多次统计数据!$B$6&lt;=0,多次统计数据!$B$6&gt;=1),"",1-POWER(1+多次统计数据!$B$8,-多次统计数据!$B$6/(1-多次统计数据!$B$6)))</f>
        <v/>
      </c>
      <c r="AC52" s="8" t="str">
        <f>IF(OR(AB52="",多次统计数据!$B$9=""),"",IF(多次统计数据!$B$9&lt;AB52,"低于上限","达到或超过上限"))</f>
        <v/>
      </c>
      <c r="AD52" s="2"/>
      <c r="AE52" s="7" t="str">
        <f t="shared" si="29"/>
        <v/>
      </c>
      <c r="AG52" s="2"/>
      <c r="AH52" s="2"/>
      <c r="AI52" s="2"/>
      <c r="AJ52" s="8" t="str">
        <f t="shared" si="30"/>
        <v/>
      </c>
      <c r="AK52" s="10"/>
      <c r="AL52" s="12"/>
      <c r="AM52" s="10"/>
      <c r="AN52" s="12"/>
      <c r="AO52" s="5" t="str">
        <f t="shared" si="31"/>
        <v/>
      </c>
      <c r="AP52" s="11" t="str">
        <f t="shared" si="32"/>
        <v/>
      </c>
      <c r="AQ52" s="5" t="str">
        <f>IF(A52="","",IF(M52&lt;&gt;"",0,IF(OR(H52="",N52=""),"",MAX(E52-MAX(N52,IFERROR(SUMPRODUCT(MAX(((持仓跟踪!$A$2:$A$157="每日跟踪")*(持仓跟踪!$B$2:$B$157=A52))*持仓跟踪!$S$2:$S$157)),0)),0)*H52+IF(OR(AK52="",AL52=""),0,MAX(AK52-MAX(N52,IFERROR(SUMPRODUCT(MAX(((持仓跟踪!$A$2:$A$157="每日跟踪")*(持仓跟踪!$B$2:$B$157=A52))*持仓跟踪!$S$2:$S$157)),0)),0)*AL52)+IF(OR(AM52="",AN52=""),0,MAX(AM52-MAX(N52,IFERROR(SUMPRODUCT(MAX(((持仓跟踪!$A$2:$A$157="每日跟踪")*(持仓跟踪!$B$2:$B$157=A52))*持仓跟踪!$S$2:$S$157)),0)),0)*AN52))))</f>
        <v/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$88)&gt;账户数据!$B$7,"违规：超过账户风险上限","通过")))))))))</f>
        <v/>
      </c>
    </row>
    <row r="53" spans="1:44" x14ac:dyDescent="0.15">
      <c r="A53" s="2"/>
      <c r="B53" s="2"/>
      <c r="C53" s="10"/>
      <c r="D53" s="6"/>
      <c r="E53" s="10"/>
      <c r="F53" s="8" t="str">
        <f t="shared" si="22"/>
        <v/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$157,"止损计划",持仓跟踪!$B$2:$B$157,A53,持仓跟踪!$AC$2:$AC$157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3" s="2"/>
      <c r="I53" s="15"/>
      <c r="J53" s="10"/>
      <c r="K53" s="5" t="str">
        <f>IF(A53="","",IFERROR(LOOKUP(2,1/((持仓跟踪!$B$2:$B$157=A53)*(持仓跟踪!$X$2:$X$157="执行卖出")*(持仓跟踪!$Y$2:$Y$157&lt;&gt;"")),持仓跟踪!$Y$2:$Y$157),""))</f>
        <v/>
      </c>
      <c r="L53" s="8" t="str">
        <f>IF(A53="","",IFERROR(LOOKUP(2,1/((持仓跟踪!$B$2:$B$157=A53)*(持仓跟踪!$X$2:$X$157="执行卖出")*(持仓跟踪!$Z$2:$Z$157&lt;&gt;"")),持仓跟踪!$Z$2:$Z$157),""))</f>
        <v/>
      </c>
      <c r="M53" s="18" t="str">
        <f>IF(A53="","",IFERROR(LOOKUP(2,1/((持仓跟踪!$B$2:$B$157=A53)*(持仓跟踪!$X$2:$X$157="执行卖出")*(持仓跟踪!$H$2:$H$157&lt;&gt;"")),持仓跟踪!$H$2:$H$157),""))</f>
        <v/>
      </c>
      <c r="N53" s="10"/>
      <c r="O53" s="10"/>
      <c r="P53" s="5" t="str">
        <f>IF(A53="","",IFERROR(LOOKUP(2,1/((持仓跟踪!$B$2:$B$157=A53)*(持仓跟踪!$X$2:$X$157="执行卖出")*(持仓跟踪!$AA$2:$AA$157&lt;&gt;"")),持仓跟踪!$AA$2:$AA$157),""))</f>
        <v/>
      </c>
      <c r="Q53" s="2"/>
      <c r="R53" s="2"/>
      <c r="S53" s="2"/>
      <c r="T53" s="2"/>
      <c r="U53" s="7" t="str">
        <f t="shared" si="23"/>
        <v/>
      </c>
      <c r="V53" s="7" t="str">
        <f t="shared" si="24"/>
        <v/>
      </c>
      <c r="W53" s="17" t="str">
        <f t="shared" si="25"/>
        <v/>
      </c>
      <c r="X53" s="5" t="str">
        <f t="shared" si="26"/>
        <v/>
      </c>
      <c r="Y53" s="7" t="str">
        <f t="shared" si="27"/>
        <v/>
      </c>
      <c r="Z53" s="7" t="str">
        <f>IF(OR(AE53="",多次统计数据!$B$8=""),"",AE53-多次统计数据!$B$8)</f>
        <v/>
      </c>
      <c r="AA53" s="11" t="str">
        <f t="shared" si="28"/>
        <v/>
      </c>
      <c r="AB53" s="7" t="str">
        <f>IF(OR(A53="",多次统计数据!$B$8="",多次统计数据!$B$6&lt;=0,多次统计数据!$B$6&gt;=1),"",1-POWER(1+多次统计数据!$B$8,-多次统计数据!$B$6/(1-多次统计数据!$B$6)))</f>
        <v/>
      </c>
      <c r="AC53" s="8" t="str">
        <f>IF(OR(AB53="",多次统计数据!$B$9=""),"",IF(多次统计数据!$B$9&lt;AB53,"低于上限","达到或超过上限"))</f>
        <v/>
      </c>
      <c r="AD53" s="2"/>
      <c r="AE53" s="7" t="str">
        <f t="shared" si="29"/>
        <v/>
      </c>
      <c r="AG53" s="2"/>
      <c r="AH53" s="2"/>
      <c r="AI53" s="2"/>
      <c r="AJ53" s="8" t="str">
        <f t="shared" si="30"/>
        <v/>
      </c>
      <c r="AK53" s="10"/>
      <c r="AL53" s="12"/>
      <c r="AM53" s="10"/>
      <c r="AN53" s="12"/>
      <c r="AO53" s="5" t="str">
        <f t="shared" si="31"/>
        <v/>
      </c>
      <c r="AP53" s="11" t="str">
        <f t="shared" si="32"/>
        <v/>
      </c>
      <c r="AQ53" s="5" t="str">
        <f>IF(A53="","",IF(M53&lt;&gt;"",0,IF(OR(H53="",N53=""),"",MAX(E53-MAX(N53,IFERROR(SUMPRODUCT(MAX(((持仓跟踪!$A$2:$A$157="每日跟踪")*(持仓跟踪!$B$2:$B$157=A53))*持仓跟踪!$S$2:$S$157)),0)),0)*H53+IF(OR(AK53="",AL53=""),0,MAX(AK53-MAX(N53,IFERROR(SUMPRODUCT(MAX(((持仓跟踪!$A$2:$A$157="每日跟踪")*(持仓跟踪!$B$2:$B$157=A53))*持仓跟踪!$S$2:$S$157)),0)),0)*AL53)+IF(OR(AM53="",AN53=""),0,MAX(AM53-MAX(N53,IFERROR(SUMPRODUCT(MAX(((持仓跟踪!$A$2:$A$157="每日跟踪")*(持仓跟踪!$B$2:$B$157=A53))*持仓跟踪!$S$2:$S$157)),0)),0)*AN53))))</f>
        <v/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$88)&gt;账户数据!$B$7,"违规：超过账户风险上限","通过")))))))))</f>
        <v/>
      </c>
    </row>
    <row r="54" spans="1:44" x14ac:dyDescent="0.15">
      <c r="A54" s="2"/>
      <c r="B54" s="2"/>
      <c r="C54" s="10"/>
      <c r="D54" s="6"/>
      <c r="E54" s="10"/>
      <c r="F54" s="8" t="str">
        <f t="shared" si="22"/>
        <v/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$157,"止损计划",持仓跟踪!$B$2:$B$157,A54,持仓跟踪!$AC$2:$AC$157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4" s="2"/>
      <c r="I54" s="15"/>
      <c r="J54" s="10"/>
      <c r="K54" s="5" t="str">
        <f>IF(A54="","",IFERROR(LOOKUP(2,1/((持仓跟踪!$B$2:$B$157=A54)*(持仓跟踪!$X$2:$X$157="执行卖出")*(持仓跟踪!$Y$2:$Y$157&lt;&gt;"")),持仓跟踪!$Y$2:$Y$157),""))</f>
        <v/>
      </c>
      <c r="L54" s="8" t="str">
        <f>IF(A54="","",IFERROR(LOOKUP(2,1/((持仓跟踪!$B$2:$B$157=A54)*(持仓跟踪!$X$2:$X$157="执行卖出")*(持仓跟踪!$Z$2:$Z$157&lt;&gt;"")),持仓跟踪!$Z$2:$Z$157),""))</f>
        <v/>
      </c>
      <c r="M54" s="18" t="str">
        <f>IF(A54="","",IFERROR(LOOKUP(2,1/((持仓跟踪!$B$2:$B$157=A54)*(持仓跟踪!$X$2:$X$157="执行卖出")*(持仓跟踪!$H$2:$H$157&lt;&gt;"")),持仓跟踪!$H$2:$H$157),""))</f>
        <v/>
      </c>
      <c r="N54" s="10"/>
      <c r="O54" s="10"/>
      <c r="P54" s="5" t="str">
        <f>IF(A54="","",IFERROR(LOOKUP(2,1/((持仓跟踪!$B$2:$B$157=A54)*(持仓跟踪!$X$2:$X$157="执行卖出")*(持仓跟踪!$AA$2:$AA$157&lt;&gt;"")),持仓跟踪!$AA$2:$AA$157),""))</f>
        <v/>
      </c>
      <c r="Q54" s="2"/>
      <c r="R54" s="2"/>
      <c r="S54" s="2"/>
      <c r="T54" s="2"/>
      <c r="U54" s="7" t="str">
        <f t="shared" si="23"/>
        <v/>
      </c>
      <c r="V54" s="7" t="str">
        <f t="shared" si="24"/>
        <v/>
      </c>
      <c r="W54" s="17" t="str">
        <f t="shared" si="25"/>
        <v/>
      </c>
      <c r="X54" s="5" t="str">
        <f t="shared" si="26"/>
        <v/>
      </c>
      <c r="Y54" s="7" t="str">
        <f t="shared" si="27"/>
        <v/>
      </c>
      <c r="Z54" s="7" t="str">
        <f>IF(OR(AE54="",多次统计数据!$B$8=""),"",AE54-多次统计数据!$B$8)</f>
        <v/>
      </c>
      <c r="AA54" s="11" t="str">
        <f t="shared" si="28"/>
        <v/>
      </c>
      <c r="AB54" s="7" t="str">
        <f>IF(OR(A54="",多次统计数据!$B$8="",多次统计数据!$B$6&lt;=0,多次统计数据!$B$6&gt;=1),"",1-POWER(1+多次统计数据!$B$8,-多次统计数据!$B$6/(1-多次统计数据!$B$6)))</f>
        <v/>
      </c>
      <c r="AC54" s="8" t="str">
        <f>IF(OR(AB54="",多次统计数据!$B$9=""),"",IF(多次统计数据!$B$9&lt;AB54,"低于上限","达到或超过上限"))</f>
        <v/>
      </c>
      <c r="AD54" s="2"/>
      <c r="AE54" s="7" t="str">
        <f t="shared" si="29"/>
        <v/>
      </c>
      <c r="AG54" s="2"/>
      <c r="AH54" s="2"/>
      <c r="AI54" s="2"/>
      <c r="AJ54" s="8" t="str">
        <f t="shared" si="30"/>
        <v/>
      </c>
      <c r="AK54" s="10"/>
      <c r="AL54" s="12"/>
      <c r="AM54" s="10"/>
      <c r="AN54" s="12"/>
      <c r="AO54" s="5" t="str">
        <f t="shared" si="31"/>
        <v/>
      </c>
      <c r="AP54" s="11" t="str">
        <f t="shared" si="32"/>
        <v/>
      </c>
      <c r="AQ54" s="5" t="str">
        <f>IF(A54="","",IF(M54&lt;&gt;"",0,IF(OR(H54="",N54=""),"",MAX(E54-MAX(N54,IFERROR(SUMPRODUCT(MAX(((持仓跟踪!$A$2:$A$157="每日跟踪")*(持仓跟踪!$B$2:$B$157=A54))*持仓跟踪!$S$2:$S$157)),0)),0)*H54+IF(OR(AK54="",AL54=""),0,MAX(AK54-MAX(N54,IFERROR(SUMPRODUCT(MAX(((持仓跟踪!$A$2:$A$157="每日跟踪")*(持仓跟踪!$B$2:$B$157=A54))*持仓跟踪!$S$2:$S$157)),0)),0)*AL54)+IF(OR(AM54="",AN54=""),0,MAX(AM54-MAX(N54,IFERROR(SUMPRODUCT(MAX(((持仓跟踪!$A$2:$A$157="每日跟踪")*(持仓跟踪!$B$2:$B$157=A54))*持仓跟踪!$S$2:$S$157)),0)),0)*AN54))))</f>
        <v/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$88)&gt;账户数据!$B$7,"违规：超过账户风险上限","通过")))))))))</f>
        <v/>
      </c>
    </row>
    <row r="55" spans="1:44" x14ac:dyDescent="0.15">
      <c r="A55" s="2"/>
      <c r="B55" s="2"/>
      <c r="C55" s="10"/>
      <c r="D55" s="6"/>
      <c r="E55" s="10"/>
      <c r="F55" s="8" t="str">
        <f t="shared" si="22"/>
        <v/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$157,"止损计划",持仓跟踪!$B$2:$B$157,A55,持仓跟踪!$AC$2:$AC$157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5" s="2"/>
      <c r="I55" s="15"/>
      <c r="J55" s="10"/>
      <c r="K55" s="5" t="str">
        <f>IF(A55="","",IFERROR(LOOKUP(2,1/((持仓跟踪!$B$2:$B$157=A55)*(持仓跟踪!$X$2:$X$157="执行卖出")*(持仓跟踪!$Y$2:$Y$157&lt;&gt;"")),持仓跟踪!$Y$2:$Y$157),""))</f>
        <v/>
      </c>
      <c r="L55" s="8" t="str">
        <f>IF(A55="","",IFERROR(LOOKUP(2,1/((持仓跟踪!$B$2:$B$157=A55)*(持仓跟踪!$X$2:$X$157="执行卖出")*(持仓跟踪!$Z$2:$Z$157&lt;&gt;"")),持仓跟踪!$Z$2:$Z$157),""))</f>
        <v/>
      </c>
      <c r="M55" s="18" t="str">
        <f>IF(A55="","",IFERROR(LOOKUP(2,1/((持仓跟踪!$B$2:$B$157=A55)*(持仓跟踪!$X$2:$X$157="执行卖出")*(持仓跟踪!$H$2:$H$157&lt;&gt;"")),持仓跟踪!$H$2:$H$157),""))</f>
        <v/>
      </c>
      <c r="N55" s="10"/>
      <c r="O55" s="10"/>
      <c r="P55" s="5" t="str">
        <f>IF(A55="","",IFERROR(LOOKUP(2,1/((持仓跟踪!$B$2:$B$157=A55)*(持仓跟踪!$X$2:$X$157="执行卖出")*(持仓跟踪!$AA$2:$AA$157&lt;&gt;"")),持仓跟踪!$AA$2:$AA$157),""))</f>
        <v/>
      </c>
      <c r="Q55" s="2"/>
      <c r="R55" s="2"/>
      <c r="S55" s="2"/>
      <c r="T55" s="2"/>
      <c r="U55" s="7" t="str">
        <f t="shared" si="23"/>
        <v/>
      </c>
      <c r="V55" s="7" t="str">
        <f t="shared" si="24"/>
        <v/>
      </c>
      <c r="W55" s="17" t="str">
        <f t="shared" si="25"/>
        <v/>
      </c>
      <c r="X55" s="5" t="str">
        <f t="shared" si="26"/>
        <v/>
      </c>
      <c r="Y55" s="7" t="str">
        <f t="shared" si="27"/>
        <v/>
      </c>
      <c r="Z55" s="7" t="str">
        <f>IF(OR(AE55="",多次统计数据!$B$8=""),"",AE55-多次统计数据!$B$8)</f>
        <v/>
      </c>
      <c r="AA55" s="11" t="str">
        <f t="shared" si="28"/>
        <v/>
      </c>
      <c r="AB55" s="7" t="str">
        <f>IF(OR(A55="",多次统计数据!$B$8="",多次统计数据!$B$6&lt;=0,多次统计数据!$B$6&gt;=1),"",1-POWER(1+多次统计数据!$B$8,-多次统计数据!$B$6/(1-多次统计数据!$B$6)))</f>
        <v/>
      </c>
      <c r="AC55" s="8" t="str">
        <f>IF(OR(AB55="",多次统计数据!$B$9=""),"",IF(多次统计数据!$B$9&lt;AB55,"低于上限","达到或超过上限"))</f>
        <v/>
      </c>
      <c r="AD55" s="2"/>
      <c r="AE55" s="7" t="str">
        <f t="shared" si="29"/>
        <v/>
      </c>
      <c r="AG55" s="2"/>
      <c r="AH55" s="2"/>
      <c r="AI55" s="2"/>
      <c r="AJ55" s="8" t="str">
        <f t="shared" si="30"/>
        <v/>
      </c>
      <c r="AK55" s="10"/>
      <c r="AL55" s="12"/>
      <c r="AM55" s="10"/>
      <c r="AN55" s="12"/>
      <c r="AO55" s="5" t="str">
        <f t="shared" si="31"/>
        <v/>
      </c>
      <c r="AP55" s="11" t="str">
        <f t="shared" si="32"/>
        <v/>
      </c>
      <c r="AQ55" s="5" t="str">
        <f>IF(A55="","",IF(M55&lt;&gt;"",0,IF(OR(H55="",N55=""),"",MAX(E55-MAX(N55,IFERROR(SUMPRODUCT(MAX(((持仓跟踪!$A$2:$A$157="每日跟踪")*(持仓跟踪!$B$2:$B$157=A55))*持仓跟踪!$S$2:$S$157)),0)),0)*H55+IF(OR(AK55="",AL55=""),0,MAX(AK55-MAX(N55,IFERROR(SUMPRODUCT(MAX(((持仓跟踪!$A$2:$A$157="每日跟踪")*(持仓跟踪!$B$2:$B$157=A55))*持仓跟踪!$S$2:$S$157)),0)),0)*AL55)+IF(OR(AM55="",AN55=""),0,MAX(AM55-MAX(N55,IFERROR(SUMPRODUCT(MAX(((持仓跟踪!$A$2:$A$157="每日跟踪")*(持仓跟踪!$B$2:$B$157=A55))*持仓跟踪!$S$2:$S$157)),0)),0)*AN55))))</f>
        <v/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$88)&gt;账户数据!$B$7,"违规：超过账户风险上限","通过")))))))))</f>
        <v/>
      </c>
    </row>
    <row r="56" spans="1:44" x14ac:dyDescent="0.15">
      <c r="A56" s="2"/>
      <c r="B56" s="2"/>
      <c r="C56" s="10"/>
      <c r="D56" s="6"/>
      <c r="E56" s="10"/>
      <c r="F56" s="8" t="str">
        <f t="shared" si="22"/>
        <v/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$157,"止损计划",持仓跟踪!$B$2:$B$157,A56,持仓跟踪!$AC$2:$AC$157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6" s="2"/>
      <c r="I56" s="15"/>
      <c r="J56" s="10"/>
      <c r="K56" s="5" t="str">
        <f>IF(A56="","",IFERROR(LOOKUP(2,1/((持仓跟踪!$B$2:$B$157=A56)*(持仓跟踪!$X$2:$X$157="执行卖出")*(持仓跟踪!$Y$2:$Y$157&lt;&gt;"")),持仓跟踪!$Y$2:$Y$157),""))</f>
        <v/>
      </c>
      <c r="L56" s="8" t="str">
        <f>IF(A56="","",IFERROR(LOOKUP(2,1/((持仓跟踪!$B$2:$B$157=A56)*(持仓跟踪!$X$2:$X$157="执行卖出")*(持仓跟踪!$Z$2:$Z$157&lt;&gt;"")),持仓跟踪!$Z$2:$Z$157),""))</f>
        <v/>
      </c>
      <c r="M56" s="18" t="str">
        <f>IF(A56="","",IFERROR(LOOKUP(2,1/((持仓跟踪!$B$2:$B$157=A56)*(持仓跟踪!$X$2:$X$157="执行卖出")*(持仓跟踪!$H$2:$H$157&lt;&gt;"")),持仓跟踪!$H$2:$H$157),""))</f>
        <v/>
      </c>
      <c r="N56" s="10"/>
      <c r="O56" s="10"/>
      <c r="P56" s="5" t="str">
        <f>IF(A56="","",IFERROR(LOOKUP(2,1/((持仓跟踪!$B$2:$B$157=A56)*(持仓跟踪!$X$2:$X$157="执行卖出")*(持仓跟踪!$AA$2:$AA$157&lt;&gt;"")),持仓跟踪!$AA$2:$AA$157),""))</f>
        <v/>
      </c>
      <c r="Q56" s="2"/>
      <c r="R56" s="2"/>
      <c r="S56" s="2"/>
      <c r="T56" s="2"/>
      <c r="U56" s="7" t="str">
        <f t="shared" si="23"/>
        <v/>
      </c>
      <c r="V56" s="7" t="str">
        <f t="shared" si="24"/>
        <v/>
      </c>
      <c r="W56" s="17" t="str">
        <f t="shared" si="25"/>
        <v/>
      </c>
      <c r="X56" s="5" t="str">
        <f t="shared" si="26"/>
        <v/>
      </c>
      <c r="Y56" s="7" t="str">
        <f t="shared" si="27"/>
        <v/>
      </c>
      <c r="Z56" s="7" t="str">
        <f>IF(OR(AE56="",多次统计数据!$B$8=""),"",AE56-多次统计数据!$B$8)</f>
        <v/>
      </c>
      <c r="AA56" s="11" t="str">
        <f t="shared" si="28"/>
        <v/>
      </c>
      <c r="AB56" s="7" t="str">
        <f>IF(OR(A56="",多次统计数据!$B$8="",多次统计数据!$B$6&lt;=0,多次统计数据!$B$6&gt;=1),"",1-POWER(1+多次统计数据!$B$8,-多次统计数据!$B$6/(1-多次统计数据!$B$6)))</f>
        <v/>
      </c>
      <c r="AC56" s="8" t="str">
        <f>IF(OR(AB56="",多次统计数据!$B$9=""),"",IF(多次统计数据!$B$9&lt;AB56,"低于上限","达到或超过上限"))</f>
        <v/>
      </c>
      <c r="AD56" s="2"/>
      <c r="AE56" s="7" t="str">
        <f t="shared" si="29"/>
        <v/>
      </c>
      <c r="AG56" s="2"/>
      <c r="AH56" s="2"/>
      <c r="AI56" s="2"/>
      <c r="AJ56" s="8" t="str">
        <f t="shared" si="30"/>
        <v/>
      </c>
      <c r="AK56" s="10"/>
      <c r="AL56" s="12"/>
      <c r="AM56" s="10"/>
      <c r="AN56" s="12"/>
      <c r="AO56" s="5" t="str">
        <f t="shared" si="31"/>
        <v/>
      </c>
      <c r="AP56" s="11" t="str">
        <f t="shared" si="32"/>
        <v/>
      </c>
      <c r="AQ56" s="5" t="str">
        <f>IF(A56="","",IF(M56&lt;&gt;"",0,IF(OR(H56="",N56=""),"",MAX(E56-MAX(N56,IFERROR(SUMPRODUCT(MAX(((持仓跟踪!$A$2:$A$157="每日跟踪")*(持仓跟踪!$B$2:$B$157=A56))*持仓跟踪!$S$2:$S$157)),0)),0)*H56+IF(OR(AK56="",AL56=""),0,MAX(AK56-MAX(N56,IFERROR(SUMPRODUCT(MAX(((持仓跟踪!$A$2:$A$157="每日跟踪")*(持仓跟踪!$B$2:$B$157=A56))*持仓跟踪!$S$2:$S$157)),0)),0)*AL56)+IF(OR(AM56="",AN56=""),0,MAX(AM56-MAX(N56,IFERROR(SUMPRODUCT(MAX(((持仓跟踪!$A$2:$A$157="每日跟踪")*(持仓跟踪!$B$2:$B$157=A56))*持仓跟踪!$S$2:$S$157)),0)),0)*AN56))))</f>
        <v/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$88)&gt;账户数据!$B$7,"违规：超过账户风险上限","通过")))))))))</f>
        <v/>
      </c>
    </row>
    <row r="57" spans="1:44" x14ac:dyDescent="0.15">
      <c r="A57" s="2"/>
      <c r="B57" s="2"/>
      <c r="C57" s="10"/>
      <c r="D57" s="6"/>
      <c r="E57" s="10"/>
      <c r="F57" s="8" t="str">
        <f t="shared" si="22"/>
        <v/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$157,"止损计划",持仓跟踪!$B$2:$B$157,A57,持仓跟踪!$AC$2:$AC$157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7" s="2"/>
      <c r="I57" s="15"/>
      <c r="J57" s="10"/>
      <c r="K57" s="5" t="str">
        <f>IF(A57="","",IFERROR(LOOKUP(2,1/((持仓跟踪!$B$2:$B$157=A57)*(持仓跟踪!$X$2:$X$157="执行卖出")*(持仓跟踪!$Y$2:$Y$157&lt;&gt;"")),持仓跟踪!$Y$2:$Y$157),""))</f>
        <v/>
      </c>
      <c r="L57" s="8" t="str">
        <f>IF(A57="","",IFERROR(LOOKUP(2,1/((持仓跟踪!$B$2:$B$157=A57)*(持仓跟踪!$X$2:$X$157="执行卖出")*(持仓跟踪!$Z$2:$Z$157&lt;&gt;"")),持仓跟踪!$Z$2:$Z$157),""))</f>
        <v/>
      </c>
      <c r="M57" s="18" t="str">
        <f>IF(A57="","",IFERROR(LOOKUP(2,1/((持仓跟踪!$B$2:$B$157=A57)*(持仓跟踪!$X$2:$X$157="执行卖出")*(持仓跟踪!$H$2:$H$157&lt;&gt;"")),持仓跟踪!$H$2:$H$157),""))</f>
        <v/>
      </c>
      <c r="N57" s="10"/>
      <c r="O57" s="10"/>
      <c r="P57" s="5" t="str">
        <f>IF(A57="","",IFERROR(LOOKUP(2,1/((持仓跟踪!$B$2:$B$157=A57)*(持仓跟踪!$X$2:$X$157="执行卖出")*(持仓跟踪!$AA$2:$AA$157&lt;&gt;"")),持仓跟踪!$AA$2:$AA$157),""))</f>
        <v/>
      </c>
      <c r="Q57" s="2"/>
      <c r="R57" s="2"/>
      <c r="S57" s="2"/>
      <c r="T57" s="2"/>
      <c r="U57" s="7" t="str">
        <f t="shared" si="23"/>
        <v/>
      </c>
      <c r="V57" s="7" t="str">
        <f t="shared" si="24"/>
        <v/>
      </c>
      <c r="W57" s="17" t="str">
        <f t="shared" si="25"/>
        <v/>
      </c>
      <c r="X57" s="5" t="str">
        <f t="shared" si="26"/>
        <v/>
      </c>
      <c r="Y57" s="7" t="str">
        <f t="shared" si="27"/>
        <v/>
      </c>
      <c r="Z57" s="7" t="str">
        <f>IF(OR(AE57="",多次统计数据!$B$8=""),"",AE57-多次统计数据!$B$8)</f>
        <v/>
      </c>
      <c r="AA57" s="11" t="str">
        <f t="shared" si="28"/>
        <v/>
      </c>
      <c r="AB57" s="7" t="str">
        <f>IF(OR(A57="",多次统计数据!$B$8="",多次统计数据!$B$6&lt;=0,多次统计数据!$B$6&gt;=1),"",1-POWER(1+多次统计数据!$B$8,-多次统计数据!$B$6/(1-多次统计数据!$B$6)))</f>
        <v/>
      </c>
      <c r="AC57" s="8" t="str">
        <f>IF(OR(AB57="",多次统计数据!$B$9=""),"",IF(多次统计数据!$B$9&lt;AB57,"低于上限","达到或超过上限"))</f>
        <v/>
      </c>
      <c r="AD57" s="2"/>
      <c r="AE57" s="7" t="str">
        <f t="shared" si="29"/>
        <v/>
      </c>
      <c r="AG57" s="2"/>
      <c r="AH57" s="2"/>
      <c r="AI57" s="2"/>
      <c r="AJ57" s="8" t="str">
        <f t="shared" si="30"/>
        <v/>
      </c>
      <c r="AK57" s="10"/>
      <c r="AL57" s="12"/>
      <c r="AM57" s="10"/>
      <c r="AN57" s="12"/>
      <c r="AO57" s="5" t="str">
        <f t="shared" si="31"/>
        <v/>
      </c>
      <c r="AP57" s="11" t="str">
        <f t="shared" si="32"/>
        <v/>
      </c>
      <c r="AQ57" s="5" t="str">
        <f>IF(A57="","",IF(M57&lt;&gt;"",0,IF(OR(H57="",N57=""),"",MAX(E57-MAX(N57,IFERROR(SUMPRODUCT(MAX(((持仓跟踪!$A$2:$A$157="每日跟踪")*(持仓跟踪!$B$2:$B$157=A57))*持仓跟踪!$S$2:$S$157)),0)),0)*H57+IF(OR(AK57="",AL57=""),0,MAX(AK57-MAX(N57,IFERROR(SUMPRODUCT(MAX(((持仓跟踪!$A$2:$A$157="每日跟踪")*(持仓跟踪!$B$2:$B$157=A57))*持仓跟踪!$S$2:$S$157)),0)),0)*AL57)+IF(OR(AM57="",AN57=""),0,MAX(AM57-MAX(N57,IFERROR(SUMPRODUCT(MAX(((持仓跟踪!$A$2:$A$157="每日跟踪")*(持仓跟踪!$B$2:$B$157=A57))*持仓跟踪!$S$2:$S$157)),0)),0)*AN57))))</f>
        <v/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$88)&gt;账户数据!$B$7,"违规：超过账户风险上限","通过")))))))))</f>
        <v/>
      </c>
    </row>
    <row r="58" spans="1:44" x14ac:dyDescent="0.15">
      <c r="A58" s="2"/>
      <c r="B58" s="2"/>
      <c r="C58" s="10"/>
      <c r="D58" s="6"/>
      <c r="E58" s="10"/>
      <c r="F58" s="8" t="str">
        <f t="shared" si="22"/>
        <v/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$157,"止损计划",持仓跟踪!$B$2:$B$157,A58,持仓跟踪!$AC$2:$AC$157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8" s="2"/>
      <c r="I58" s="15"/>
      <c r="J58" s="10"/>
      <c r="K58" s="5" t="str">
        <f>IF(A58="","",IFERROR(LOOKUP(2,1/((持仓跟踪!$B$2:$B$157=A58)*(持仓跟踪!$X$2:$X$157="执行卖出")*(持仓跟踪!$Y$2:$Y$157&lt;&gt;"")),持仓跟踪!$Y$2:$Y$157),""))</f>
        <v/>
      </c>
      <c r="L58" s="8" t="str">
        <f>IF(A58="","",IFERROR(LOOKUP(2,1/((持仓跟踪!$B$2:$B$157=A58)*(持仓跟踪!$X$2:$X$157="执行卖出")*(持仓跟踪!$Z$2:$Z$157&lt;&gt;"")),持仓跟踪!$Z$2:$Z$157),""))</f>
        <v/>
      </c>
      <c r="M58" s="18" t="str">
        <f>IF(A58="","",IFERROR(LOOKUP(2,1/((持仓跟踪!$B$2:$B$157=A58)*(持仓跟踪!$X$2:$X$157="执行卖出")*(持仓跟踪!$H$2:$H$157&lt;&gt;"")),持仓跟踪!$H$2:$H$157),""))</f>
        <v/>
      </c>
      <c r="N58" s="10"/>
      <c r="O58" s="10"/>
      <c r="P58" s="5" t="str">
        <f>IF(A58="","",IFERROR(LOOKUP(2,1/((持仓跟踪!$B$2:$B$157=A58)*(持仓跟踪!$X$2:$X$157="执行卖出")*(持仓跟踪!$AA$2:$AA$157&lt;&gt;"")),持仓跟踪!$AA$2:$AA$157),""))</f>
        <v/>
      </c>
      <c r="Q58" s="2"/>
      <c r="R58" s="2"/>
      <c r="S58" s="2"/>
      <c r="T58" s="2"/>
      <c r="U58" s="7" t="str">
        <f t="shared" si="23"/>
        <v/>
      </c>
      <c r="V58" s="7" t="str">
        <f t="shared" si="24"/>
        <v/>
      </c>
      <c r="W58" s="17" t="str">
        <f t="shared" si="25"/>
        <v/>
      </c>
      <c r="X58" s="5" t="str">
        <f t="shared" si="26"/>
        <v/>
      </c>
      <c r="Y58" s="7" t="str">
        <f t="shared" si="27"/>
        <v/>
      </c>
      <c r="Z58" s="7" t="str">
        <f>IF(OR(AE58="",多次统计数据!$B$8=""),"",AE58-多次统计数据!$B$8)</f>
        <v/>
      </c>
      <c r="AA58" s="11" t="str">
        <f t="shared" si="28"/>
        <v/>
      </c>
      <c r="AB58" s="7" t="str">
        <f>IF(OR(A58="",多次统计数据!$B$8="",多次统计数据!$B$6&lt;=0,多次统计数据!$B$6&gt;=1),"",1-POWER(1+多次统计数据!$B$8,-多次统计数据!$B$6/(1-多次统计数据!$B$6)))</f>
        <v/>
      </c>
      <c r="AC58" s="8" t="str">
        <f>IF(OR(AB58="",多次统计数据!$B$9=""),"",IF(多次统计数据!$B$9&lt;AB58,"低于上限","达到或超过上限"))</f>
        <v/>
      </c>
      <c r="AD58" s="2"/>
      <c r="AE58" s="7" t="str">
        <f t="shared" si="29"/>
        <v/>
      </c>
      <c r="AG58" s="2"/>
      <c r="AH58" s="2"/>
      <c r="AI58" s="2"/>
      <c r="AJ58" s="8" t="str">
        <f t="shared" si="30"/>
        <v/>
      </c>
      <c r="AK58" s="10"/>
      <c r="AL58" s="12"/>
      <c r="AM58" s="10"/>
      <c r="AN58" s="12"/>
      <c r="AO58" s="5" t="str">
        <f t="shared" si="31"/>
        <v/>
      </c>
      <c r="AP58" s="11" t="str">
        <f t="shared" si="32"/>
        <v/>
      </c>
      <c r="AQ58" s="5" t="str">
        <f>IF(A58="","",IF(M58&lt;&gt;"",0,IF(OR(H58="",N58=""),"",MAX(E58-MAX(N58,IFERROR(SUMPRODUCT(MAX(((持仓跟踪!$A$2:$A$157="每日跟踪")*(持仓跟踪!$B$2:$B$157=A58))*持仓跟踪!$S$2:$S$157)),0)),0)*H58+IF(OR(AK58="",AL58=""),0,MAX(AK58-MAX(N58,IFERROR(SUMPRODUCT(MAX(((持仓跟踪!$A$2:$A$157="每日跟踪")*(持仓跟踪!$B$2:$B$157=A58))*持仓跟踪!$S$2:$S$157)),0)),0)*AL58)+IF(OR(AM58="",AN58=""),0,MAX(AM58-MAX(N58,IFERROR(SUMPRODUCT(MAX(((持仓跟踪!$A$2:$A$157="每日跟踪")*(持仓跟踪!$B$2:$B$157=A58))*持仓跟踪!$S$2:$S$157)),0)),0)*AN58))))</f>
        <v/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$88)&gt;账户数据!$B$7,"违规：超过账户风险上限","通过")))))))))</f>
        <v/>
      </c>
    </row>
    <row r="59" spans="1:44" x14ac:dyDescent="0.15">
      <c r="A59" s="2"/>
      <c r="B59" s="2"/>
      <c r="C59" s="10"/>
      <c r="D59" s="6"/>
      <c r="E59" s="10"/>
      <c r="F59" s="8" t="str">
        <f t="shared" si="22"/>
        <v/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$157,"止损计划",持仓跟踪!$B$2:$B$157,A59,持仓跟踪!$AC$2:$AC$157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59" s="2"/>
      <c r="I59" s="15"/>
      <c r="J59" s="10"/>
      <c r="K59" s="5" t="str">
        <f>IF(A59="","",IFERROR(LOOKUP(2,1/((持仓跟踪!$B$2:$B$157=A59)*(持仓跟踪!$X$2:$X$157="执行卖出")*(持仓跟踪!$Y$2:$Y$157&lt;&gt;"")),持仓跟踪!$Y$2:$Y$157),""))</f>
        <v/>
      </c>
      <c r="L59" s="8" t="str">
        <f>IF(A59="","",IFERROR(LOOKUP(2,1/((持仓跟踪!$B$2:$B$157=A59)*(持仓跟踪!$X$2:$X$157="执行卖出")*(持仓跟踪!$Z$2:$Z$157&lt;&gt;"")),持仓跟踪!$Z$2:$Z$157),""))</f>
        <v/>
      </c>
      <c r="M59" s="18" t="str">
        <f>IF(A59="","",IFERROR(LOOKUP(2,1/((持仓跟踪!$B$2:$B$157=A59)*(持仓跟踪!$X$2:$X$157="执行卖出")*(持仓跟踪!$H$2:$H$157&lt;&gt;"")),持仓跟踪!$H$2:$H$157),""))</f>
        <v/>
      </c>
      <c r="N59" s="10"/>
      <c r="O59" s="10"/>
      <c r="P59" s="5" t="str">
        <f>IF(A59="","",IFERROR(LOOKUP(2,1/((持仓跟踪!$B$2:$B$157=A59)*(持仓跟踪!$X$2:$X$157="执行卖出")*(持仓跟踪!$AA$2:$AA$157&lt;&gt;"")),持仓跟踪!$AA$2:$AA$157),""))</f>
        <v/>
      </c>
      <c r="Q59" s="2"/>
      <c r="R59" s="2"/>
      <c r="S59" s="2"/>
      <c r="T59" s="2"/>
      <c r="U59" s="7" t="str">
        <f t="shared" si="23"/>
        <v/>
      </c>
      <c r="V59" s="7" t="str">
        <f t="shared" si="24"/>
        <v/>
      </c>
      <c r="W59" s="17" t="str">
        <f t="shared" si="25"/>
        <v/>
      </c>
      <c r="X59" s="5" t="str">
        <f t="shared" si="26"/>
        <v/>
      </c>
      <c r="Y59" s="7" t="str">
        <f t="shared" si="27"/>
        <v/>
      </c>
      <c r="Z59" s="7" t="str">
        <f>IF(OR(AE59="",多次统计数据!$B$8=""),"",AE59-多次统计数据!$B$8)</f>
        <v/>
      </c>
      <c r="AA59" s="11" t="str">
        <f t="shared" si="28"/>
        <v/>
      </c>
      <c r="AB59" s="7" t="str">
        <f>IF(OR(A59="",多次统计数据!$B$8="",多次统计数据!$B$6&lt;=0,多次统计数据!$B$6&gt;=1),"",1-POWER(1+多次统计数据!$B$8,-多次统计数据!$B$6/(1-多次统计数据!$B$6)))</f>
        <v/>
      </c>
      <c r="AC59" s="8" t="str">
        <f>IF(OR(AB59="",多次统计数据!$B$9=""),"",IF(多次统计数据!$B$9&lt;AB59,"低于上限","达到或超过上限"))</f>
        <v/>
      </c>
      <c r="AD59" s="2"/>
      <c r="AE59" s="7" t="str">
        <f t="shared" si="29"/>
        <v/>
      </c>
      <c r="AG59" s="2"/>
      <c r="AH59" s="2"/>
      <c r="AI59" s="2"/>
      <c r="AJ59" s="8" t="str">
        <f t="shared" si="30"/>
        <v/>
      </c>
      <c r="AK59" s="10"/>
      <c r="AL59" s="12"/>
      <c r="AM59" s="10"/>
      <c r="AN59" s="12"/>
      <c r="AO59" s="5" t="str">
        <f t="shared" si="31"/>
        <v/>
      </c>
      <c r="AP59" s="11" t="str">
        <f t="shared" si="32"/>
        <v/>
      </c>
      <c r="AQ59" s="5" t="str">
        <f>IF(A59="","",IF(M59&lt;&gt;"",0,IF(OR(H59="",N59=""),"",MAX(E59-MAX(N59,IFERROR(SUMPRODUCT(MAX(((持仓跟踪!$A$2:$A$157="每日跟踪")*(持仓跟踪!$B$2:$B$157=A59))*持仓跟踪!$S$2:$S$157)),0)),0)*H59+IF(OR(AK59="",AL59=""),0,MAX(AK59-MAX(N59,IFERROR(SUMPRODUCT(MAX(((持仓跟踪!$A$2:$A$157="每日跟踪")*(持仓跟踪!$B$2:$B$157=A59))*持仓跟踪!$S$2:$S$157)),0)),0)*AL59)+IF(OR(AM59="",AN59=""),0,MAX(AM59-MAX(N59,IFERROR(SUMPRODUCT(MAX(((持仓跟踪!$A$2:$A$157="每日跟踪")*(持仓跟踪!$B$2:$B$157=A59))*持仓跟踪!$S$2:$S$157)),0)),0)*AN59))))</f>
        <v/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$88)&gt;账户数据!$B$7,"违规：超过账户风险上限","通过")))))))))</f>
        <v/>
      </c>
    </row>
    <row r="60" spans="1:44" x14ac:dyDescent="0.15">
      <c r="A60" s="2"/>
      <c r="B60" s="2"/>
      <c r="C60" s="10"/>
      <c r="D60" s="6"/>
      <c r="E60" s="10"/>
      <c r="F60" s="8" t="str">
        <f t="shared" si="22"/>
        <v/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$157,"止损计划",持仓跟踪!$B$2:$B$157,A60,持仓跟踪!$AC$2:$AC$157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0" s="2"/>
      <c r="I60" s="15"/>
      <c r="J60" s="10"/>
      <c r="K60" s="5" t="str">
        <f>IF(A60="","",IFERROR(LOOKUP(2,1/((持仓跟踪!$B$2:$B$157=A60)*(持仓跟踪!$X$2:$X$157="执行卖出")*(持仓跟踪!$Y$2:$Y$157&lt;&gt;"")),持仓跟踪!$Y$2:$Y$157),""))</f>
        <v/>
      </c>
      <c r="L60" s="8" t="str">
        <f>IF(A60="","",IFERROR(LOOKUP(2,1/((持仓跟踪!$B$2:$B$157=A60)*(持仓跟踪!$X$2:$X$157="执行卖出")*(持仓跟踪!$Z$2:$Z$157&lt;&gt;"")),持仓跟踪!$Z$2:$Z$157),""))</f>
        <v/>
      </c>
      <c r="M60" s="18" t="str">
        <f>IF(A60="","",IFERROR(LOOKUP(2,1/((持仓跟踪!$B$2:$B$157=A60)*(持仓跟踪!$X$2:$X$157="执行卖出")*(持仓跟踪!$H$2:$H$157&lt;&gt;"")),持仓跟踪!$H$2:$H$157),""))</f>
        <v/>
      </c>
      <c r="N60" s="10"/>
      <c r="O60" s="10"/>
      <c r="P60" s="5" t="str">
        <f>IF(A60="","",IFERROR(LOOKUP(2,1/((持仓跟踪!$B$2:$B$157=A60)*(持仓跟踪!$X$2:$X$157="执行卖出")*(持仓跟踪!$AA$2:$AA$157&lt;&gt;"")),持仓跟踪!$AA$2:$AA$157),""))</f>
        <v/>
      </c>
      <c r="Q60" s="2"/>
      <c r="R60" s="2"/>
      <c r="S60" s="2"/>
      <c r="T60" s="2"/>
      <c r="U60" s="7" t="str">
        <f t="shared" si="23"/>
        <v/>
      </c>
      <c r="V60" s="7" t="str">
        <f t="shared" si="24"/>
        <v/>
      </c>
      <c r="W60" s="17" t="str">
        <f t="shared" si="25"/>
        <v/>
      </c>
      <c r="X60" s="5" t="str">
        <f t="shared" si="26"/>
        <v/>
      </c>
      <c r="Y60" s="7" t="str">
        <f t="shared" si="27"/>
        <v/>
      </c>
      <c r="Z60" s="7" t="str">
        <f>IF(OR(AE60="",多次统计数据!$B$8=""),"",AE60-多次统计数据!$B$8)</f>
        <v/>
      </c>
      <c r="AA60" s="11" t="str">
        <f t="shared" si="28"/>
        <v/>
      </c>
      <c r="AB60" s="7" t="str">
        <f>IF(OR(A60="",多次统计数据!$B$8="",多次统计数据!$B$6&lt;=0,多次统计数据!$B$6&gt;=1),"",1-POWER(1+多次统计数据!$B$8,-多次统计数据!$B$6/(1-多次统计数据!$B$6)))</f>
        <v/>
      </c>
      <c r="AC60" s="8" t="str">
        <f>IF(OR(AB60="",多次统计数据!$B$9=""),"",IF(多次统计数据!$B$9&lt;AB60,"低于上限","达到或超过上限"))</f>
        <v/>
      </c>
      <c r="AD60" s="2"/>
      <c r="AE60" s="7" t="str">
        <f t="shared" si="29"/>
        <v/>
      </c>
      <c r="AG60" s="2"/>
      <c r="AH60" s="2"/>
      <c r="AI60" s="2"/>
      <c r="AJ60" s="8" t="str">
        <f t="shared" si="30"/>
        <v/>
      </c>
      <c r="AK60" s="10"/>
      <c r="AL60" s="12"/>
      <c r="AM60" s="10"/>
      <c r="AN60" s="12"/>
      <c r="AO60" s="5" t="str">
        <f t="shared" si="31"/>
        <v/>
      </c>
      <c r="AP60" s="11" t="str">
        <f t="shared" si="32"/>
        <v/>
      </c>
      <c r="AQ60" s="5" t="str">
        <f>IF(A60="","",IF(M60&lt;&gt;"",0,IF(OR(H60="",N60=""),"",MAX(E60-MAX(N60,IFERROR(SUMPRODUCT(MAX(((持仓跟踪!$A$2:$A$157="每日跟踪")*(持仓跟踪!$B$2:$B$157=A60))*持仓跟踪!$S$2:$S$157)),0)),0)*H60+IF(OR(AK60="",AL60=""),0,MAX(AK60-MAX(N60,IFERROR(SUMPRODUCT(MAX(((持仓跟踪!$A$2:$A$157="每日跟踪")*(持仓跟踪!$B$2:$B$157=A60))*持仓跟踪!$S$2:$S$157)),0)),0)*AL60)+IF(OR(AM60="",AN60=""),0,MAX(AM60-MAX(N60,IFERROR(SUMPRODUCT(MAX(((持仓跟踪!$A$2:$A$157="每日跟踪")*(持仓跟踪!$B$2:$B$157=A60))*持仓跟踪!$S$2:$S$157)),0)),0)*AN60))))</f>
        <v/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$88)&gt;账户数据!$B$7,"违规：超过账户风险上限","通过")))))))))</f>
        <v/>
      </c>
    </row>
    <row r="61" spans="1:44" x14ac:dyDescent="0.15">
      <c r="A61" s="2"/>
      <c r="B61" s="2"/>
      <c r="C61" s="10"/>
      <c r="D61" s="6"/>
      <c r="E61" s="10"/>
      <c r="F61" s="8" t="str">
        <f t="shared" si="22"/>
        <v/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$157,"止损计划",持仓跟踪!$B$2:$B$157,A61,持仓跟踪!$AC$2:$AC$157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1" s="2"/>
      <c r="I61" s="15"/>
      <c r="J61" s="10"/>
      <c r="K61" s="5" t="str">
        <f>IF(A61="","",IFERROR(LOOKUP(2,1/((持仓跟踪!$B$2:$B$157=A61)*(持仓跟踪!$X$2:$X$157="执行卖出")*(持仓跟踪!$Y$2:$Y$157&lt;&gt;"")),持仓跟踪!$Y$2:$Y$157),""))</f>
        <v/>
      </c>
      <c r="L61" s="8" t="str">
        <f>IF(A61="","",IFERROR(LOOKUP(2,1/((持仓跟踪!$B$2:$B$157=A61)*(持仓跟踪!$X$2:$X$157="执行卖出")*(持仓跟踪!$Z$2:$Z$157&lt;&gt;"")),持仓跟踪!$Z$2:$Z$157),""))</f>
        <v/>
      </c>
      <c r="M61" s="18" t="str">
        <f>IF(A61="","",IFERROR(LOOKUP(2,1/((持仓跟踪!$B$2:$B$157=A61)*(持仓跟踪!$X$2:$X$157="执行卖出")*(持仓跟踪!$H$2:$H$157&lt;&gt;"")),持仓跟踪!$H$2:$H$157),""))</f>
        <v/>
      </c>
      <c r="N61" s="10"/>
      <c r="O61" s="10"/>
      <c r="P61" s="5" t="str">
        <f>IF(A61="","",IFERROR(LOOKUP(2,1/((持仓跟踪!$B$2:$B$157=A61)*(持仓跟踪!$X$2:$X$157="执行卖出")*(持仓跟踪!$AA$2:$AA$157&lt;&gt;"")),持仓跟踪!$AA$2:$AA$157),""))</f>
        <v/>
      </c>
      <c r="Q61" s="2"/>
      <c r="R61" s="2"/>
      <c r="S61" s="2"/>
      <c r="T61" s="2"/>
      <c r="U61" s="7" t="str">
        <f t="shared" si="23"/>
        <v/>
      </c>
      <c r="V61" s="7" t="str">
        <f t="shared" si="24"/>
        <v/>
      </c>
      <c r="W61" s="17" t="str">
        <f t="shared" si="25"/>
        <v/>
      </c>
      <c r="X61" s="5" t="str">
        <f t="shared" si="26"/>
        <v/>
      </c>
      <c r="Y61" s="7" t="str">
        <f t="shared" si="27"/>
        <v/>
      </c>
      <c r="Z61" s="7" t="str">
        <f>IF(OR(AE61="",多次统计数据!$B$8=""),"",AE61-多次统计数据!$B$8)</f>
        <v/>
      </c>
      <c r="AA61" s="11" t="str">
        <f t="shared" si="28"/>
        <v/>
      </c>
      <c r="AB61" s="7" t="str">
        <f>IF(OR(A61="",多次统计数据!$B$8="",多次统计数据!$B$6&lt;=0,多次统计数据!$B$6&gt;=1),"",1-POWER(1+多次统计数据!$B$8,-多次统计数据!$B$6/(1-多次统计数据!$B$6)))</f>
        <v/>
      </c>
      <c r="AC61" s="8" t="str">
        <f>IF(OR(AB61="",多次统计数据!$B$9=""),"",IF(多次统计数据!$B$9&lt;AB61,"低于上限","达到或超过上限"))</f>
        <v/>
      </c>
      <c r="AD61" s="2"/>
      <c r="AE61" s="7" t="str">
        <f t="shared" si="29"/>
        <v/>
      </c>
      <c r="AG61" s="2"/>
      <c r="AH61" s="2"/>
      <c r="AI61" s="2"/>
      <c r="AJ61" s="8" t="str">
        <f t="shared" si="30"/>
        <v/>
      </c>
      <c r="AK61" s="10"/>
      <c r="AL61" s="12"/>
      <c r="AM61" s="10"/>
      <c r="AN61" s="12"/>
      <c r="AO61" s="5" t="str">
        <f t="shared" si="31"/>
        <v/>
      </c>
      <c r="AP61" s="11" t="str">
        <f t="shared" si="32"/>
        <v/>
      </c>
      <c r="AQ61" s="5" t="str">
        <f>IF(A61="","",IF(M61&lt;&gt;"",0,IF(OR(H61="",N61=""),"",MAX(E61-MAX(N61,IFERROR(SUMPRODUCT(MAX(((持仓跟踪!$A$2:$A$157="每日跟踪")*(持仓跟踪!$B$2:$B$157=A61))*持仓跟踪!$S$2:$S$157)),0)),0)*H61+IF(OR(AK61="",AL61=""),0,MAX(AK61-MAX(N61,IFERROR(SUMPRODUCT(MAX(((持仓跟踪!$A$2:$A$157="每日跟踪")*(持仓跟踪!$B$2:$B$157=A61))*持仓跟踪!$S$2:$S$157)),0)),0)*AL61)+IF(OR(AM61="",AN61=""),0,MAX(AM61-MAX(N61,IFERROR(SUMPRODUCT(MAX(((持仓跟踪!$A$2:$A$157="每日跟踪")*(持仓跟踪!$B$2:$B$157=A61))*持仓跟踪!$S$2:$S$157)),0)),0)*AN61))))</f>
        <v/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$88)&gt;账户数据!$B$7,"违规：超过账户风险上限","通过")))))))))</f>
        <v/>
      </c>
    </row>
    <row r="62" spans="1:44" x14ac:dyDescent="0.15">
      <c r="A62" s="2"/>
      <c r="B62" s="2"/>
      <c r="C62" s="10"/>
      <c r="D62" s="6"/>
      <c r="E62" s="10"/>
      <c r="F62" s="8" t="str">
        <f t="shared" si="22"/>
        <v/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$157,"止损计划",持仓跟踪!$B$2:$B$157,A62,持仓跟踪!$AC$2:$AC$157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2" s="2"/>
      <c r="I62" s="15"/>
      <c r="J62" s="10"/>
      <c r="K62" s="5" t="str">
        <f>IF(A62="","",IFERROR(LOOKUP(2,1/((持仓跟踪!$B$2:$B$157=A62)*(持仓跟踪!$X$2:$X$157="执行卖出")*(持仓跟踪!$Y$2:$Y$157&lt;&gt;"")),持仓跟踪!$Y$2:$Y$157),""))</f>
        <v/>
      </c>
      <c r="L62" s="8" t="str">
        <f>IF(A62="","",IFERROR(LOOKUP(2,1/((持仓跟踪!$B$2:$B$157=A62)*(持仓跟踪!$X$2:$X$157="执行卖出")*(持仓跟踪!$Z$2:$Z$157&lt;&gt;"")),持仓跟踪!$Z$2:$Z$157),""))</f>
        <v/>
      </c>
      <c r="M62" s="18" t="str">
        <f>IF(A62="","",IFERROR(LOOKUP(2,1/((持仓跟踪!$B$2:$B$157=A62)*(持仓跟踪!$X$2:$X$157="执行卖出")*(持仓跟踪!$H$2:$H$157&lt;&gt;"")),持仓跟踪!$H$2:$H$157),""))</f>
        <v/>
      </c>
      <c r="N62" s="10"/>
      <c r="O62" s="10"/>
      <c r="P62" s="5" t="str">
        <f>IF(A62="","",IFERROR(LOOKUP(2,1/((持仓跟踪!$B$2:$B$157=A62)*(持仓跟踪!$X$2:$X$157="执行卖出")*(持仓跟踪!$AA$2:$AA$157&lt;&gt;"")),持仓跟踪!$AA$2:$AA$157),""))</f>
        <v/>
      </c>
      <c r="Q62" s="2"/>
      <c r="R62" s="2"/>
      <c r="S62" s="2"/>
      <c r="T62" s="2"/>
      <c r="U62" s="7" t="str">
        <f t="shared" si="23"/>
        <v/>
      </c>
      <c r="V62" s="7" t="str">
        <f t="shared" si="24"/>
        <v/>
      </c>
      <c r="W62" s="17" t="str">
        <f t="shared" si="25"/>
        <v/>
      </c>
      <c r="X62" s="5" t="str">
        <f t="shared" si="26"/>
        <v/>
      </c>
      <c r="Y62" s="7" t="str">
        <f t="shared" si="27"/>
        <v/>
      </c>
      <c r="Z62" s="7" t="str">
        <f>IF(OR(AE62="",多次统计数据!$B$8=""),"",AE62-多次统计数据!$B$8)</f>
        <v/>
      </c>
      <c r="AA62" s="11" t="str">
        <f t="shared" si="28"/>
        <v/>
      </c>
      <c r="AB62" s="7" t="str">
        <f>IF(OR(A62="",多次统计数据!$B$8="",多次统计数据!$B$6&lt;=0,多次统计数据!$B$6&gt;=1),"",1-POWER(1+多次统计数据!$B$8,-多次统计数据!$B$6/(1-多次统计数据!$B$6)))</f>
        <v/>
      </c>
      <c r="AC62" s="8" t="str">
        <f>IF(OR(AB62="",多次统计数据!$B$9=""),"",IF(多次统计数据!$B$9&lt;AB62,"低于上限","达到或超过上限"))</f>
        <v/>
      </c>
      <c r="AD62" s="2"/>
      <c r="AE62" s="7" t="str">
        <f t="shared" si="29"/>
        <v/>
      </c>
      <c r="AG62" s="2"/>
      <c r="AH62" s="2"/>
      <c r="AI62" s="2"/>
      <c r="AJ62" s="8" t="str">
        <f t="shared" si="30"/>
        <v/>
      </c>
      <c r="AK62" s="10"/>
      <c r="AL62" s="12"/>
      <c r="AM62" s="10"/>
      <c r="AN62" s="12"/>
      <c r="AO62" s="5" t="str">
        <f t="shared" si="31"/>
        <v/>
      </c>
      <c r="AP62" s="11" t="str">
        <f t="shared" si="32"/>
        <v/>
      </c>
      <c r="AQ62" s="5" t="str">
        <f>IF(A62="","",IF(M62&lt;&gt;"",0,IF(OR(H62="",N62=""),"",MAX(E62-MAX(N62,IFERROR(SUMPRODUCT(MAX(((持仓跟踪!$A$2:$A$157="每日跟踪")*(持仓跟踪!$B$2:$B$157=A62))*持仓跟踪!$S$2:$S$157)),0)),0)*H62+IF(OR(AK62="",AL62=""),0,MAX(AK62-MAX(N62,IFERROR(SUMPRODUCT(MAX(((持仓跟踪!$A$2:$A$157="每日跟踪")*(持仓跟踪!$B$2:$B$157=A62))*持仓跟踪!$S$2:$S$157)),0)),0)*AL62)+IF(OR(AM62="",AN62=""),0,MAX(AM62-MAX(N62,IFERROR(SUMPRODUCT(MAX(((持仓跟踪!$A$2:$A$157="每日跟踪")*(持仓跟踪!$B$2:$B$157=A62))*持仓跟踪!$S$2:$S$157)),0)),0)*AN62))))</f>
        <v/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$88)&gt;账户数据!$B$7,"违规：超过账户风险上限","通过")))))))))</f>
        <v/>
      </c>
    </row>
    <row r="63" spans="1:44" x14ac:dyDescent="0.15">
      <c r="A63" s="2"/>
      <c r="B63" s="2"/>
      <c r="C63" s="10"/>
      <c r="D63" s="6"/>
      <c r="E63" s="10"/>
      <c r="F63" s="8" t="str">
        <f t="shared" si="22"/>
        <v/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$157,"止损计划",持仓跟踪!$B$2:$B$157,A63,持仓跟踪!$AC$2:$AC$157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3" s="2"/>
      <c r="I63" s="15"/>
      <c r="J63" s="10"/>
      <c r="K63" s="5" t="str">
        <f>IF(A63="","",IFERROR(LOOKUP(2,1/((持仓跟踪!$B$2:$B$157=A63)*(持仓跟踪!$X$2:$X$157="执行卖出")*(持仓跟踪!$Y$2:$Y$157&lt;&gt;"")),持仓跟踪!$Y$2:$Y$157),""))</f>
        <v/>
      </c>
      <c r="L63" s="8" t="str">
        <f>IF(A63="","",IFERROR(LOOKUP(2,1/((持仓跟踪!$B$2:$B$157=A63)*(持仓跟踪!$X$2:$X$157="执行卖出")*(持仓跟踪!$Z$2:$Z$157&lt;&gt;"")),持仓跟踪!$Z$2:$Z$157),""))</f>
        <v/>
      </c>
      <c r="M63" s="18" t="str">
        <f>IF(A63="","",IFERROR(LOOKUP(2,1/((持仓跟踪!$B$2:$B$157=A63)*(持仓跟踪!$X$2:$X$157="执行卖出")*(持仓跟踪!$H$2:$H$157&lt;&gt;"")),持仓跟踪!$H$2:$H$157),""))</f>
        <v/>
      </c>
      <c r="N63" s="10"/>
      <c r="O63" s="10"/>
      <c r="P63" s="5" t="str">
        <f>IF(A63="","",IFERROR(LOOKUP(2,1/((持仓跟踪!$B$2:$B$157=A63)*(持仓跟踪!$X$2:$X$157="执行卖出")*(持仓跟踪!$AA$2:$AA$157&lt;&gt;"")),持仓跟踪!$AA$2:$AA$157),""))</f>
        <v/>
      </c>
      <c r="Q63" s="2"/>
      <c r="R63" s="2"/>
      <c r="S63" s="2"/>
      <c r="T63" s="2"/>
      <c r="U63" s="7" t="str">
        <f t="shared" si="23"/>
        <v/>
      </c>
      <c r="V63" s="7" t="str">
        <f t="shared" si="24"/>
        <v/>
      </c>
      <c r="W63" s="17" t="str">
        <f t="shared" si="25"/>
        <v/>
      </c>
      <c r="X63" s="5" t="str">
        <f t="shared" si="26"/>
        <v/>
      </c>
      <c r="Y63" s="7" t="str">
        <f t="shared" si="27"/>
        <v/>
      </c>
      <c r="Z63" s="7" t="str">
        <f>IF(OR(AE63="",多次统计数据!$B$8=""),"",AE63-多次统计数据!$B$8)</f>
        <v/>
      </c>
      <c r="AA63" s="11" t="str">
        <f t="shared" si="28"/>
        <v/>
      </c>
      <c r="AB63" s="7" t="str">
        <f>IF(OR(A63="",多次统计数据!$B$8="",多次统计数据!$B$6&lt;=0,多次统计数据!$B$6&gt;=1),"",1-POWER(1+多次统计数据!$B$8,-多次统计数据!$B$6/(1-多次统计数据!$B$6)))</f>
        <v/>
      </c>
      <c r="AC63" s="8" t="str">
        <f>IF(OR(AB63="",多次统计数据!$B$9=""),"",IF(多次统计数据!$B$9&lt;AB63,"低于上限","达到或超过上限"))</f>
        <v/>
      </c>
      <c r="AD63" s="2"/>
      <c r="AE63" s="7" t="str">
        <f t="shared" si="29"/>
        <v/>
      </c>
      <c r="AG63" s="2"/>
      <c r="AH63" s="2"/>
      <c r="AI63" s="2"/>
      <c r="AJ63" s="8" t="str">
        <f t="shared" si="30"/>
        <v/>
      </c>
      <c r="AK63" s="10"/>
      <c r="AL63" s="12"/>
      <c r="AM63" s="10"/>
      <c r="AN63" s="12"/>
      <c r="AO63" s="5" t="str">
        <f t="shared" si="31"/>
        <v/>
      </c>
      <c r="AP63" s="11" t="str">
        <f t="shared" si="32"/>
        <v/>
      </c>
      <c r="AQ63" s="5" t="str">
        <f>IF(A63="","",IF(M63&lt;&gt;"",0,IF(OR(H63="",N63=""),"",MAX(E63-MAX(N63,IFERROR(SUMPRODUCT(MAX(((持仓跟踪!$A$2:$A$157="每日跟踪")*(持仓跟踪!$B$2:$B$157=A63))*持仓跟踪!$S$2:$S$157)),0)),0)*H63+IF(OR(AK63="",AL63=""),0,MAX(AK63-MAX(N63,IFERROR(SUMPRODUCT(MAX(((持仓跟踪!$A$2:$A$157="每日跟踪")*(持仓跟踪!$B$2:$B$157=A63))*持仓跟踪!$S$2:$S$157)),0)),0)*AL63)+IF(OR(AM63="",AN63=""),0,MAX(AM63-MAX(N63,IFERROR(SUMPRODUCT(MAX(((持仓跟踪!$A$2:$A$157="每日跟踪")*(持仓跟踪!$B$2:$B$157=A63))*持仓跟踪!$S$2:$S$157)),0)),0)*AN63))))</f>
        <v/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$88)&gt;账户数据!$B$7,"违规：超过账户风险上限","通过")))))))))</f>
        <v/>
      </c>
    </row>
    <row r="64" spans="1:44" x14ac:dyDescent="0.15">
      <c r="A64" s="2"/>
      <c r="B64" s="2"/>
      <c r="C64" s="10"/>
      <c r="D64" s="6"/>
      <c r="E64" s="10"/>
      <c r="F64" s="8" t="str">
        <f t="shared" si="22"/>
        <v/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$157,"止损计划",持仓跟踪!$B$2:$B$157,A64,持仓跟踪!$AC$2:$AC$157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4" s="2"/>
      <c r="I64" s="15"/>
      <c r="J64" s="10"/>
      <c r="K64" s="5" t="str">
        <f>IF(A64="","",IFERROR(LOOKUP(2,1/((持仓跟踪!$B$2:$B$157=A64)*(持仓跟踪!$X$2:$X$157="执行卖出")*(持仓跟踪!$Y$2:$Y$157&lt;&gt;"")),持仓跟踪!$Y$2:$Y$157),""))</f>
        <v/>
      </c>
      <c r="L64" s="8" t="str">
        <f>IF(A64="","",IFERROR(LOOKUP(2,1/((持仓跟踪!$B$2:$B$157=A64)*(持仓跟踪!$X$2:$X$157="执行卖出")*(持仓跟踪!$Z$2:$Z$157&lt;&gt;"")),持仓跟踪!$Z$2:$Z$157),""))</f>
        <v/>
      </c>
      <c r="M64" s="18" t="str">
        <f>IF(A64="","",IFERROR(LOOKUP(2,1/((持仓跟踪!$B$2:$B$157=A64)*(持仓跟踪!$X$2:$X$157="执行卖出")*(持仓跟踪!$H$2:$H$157&lt;&gt;"")),持仓跟踪!$H$2:$H$157),""))</f>
        <v/>
      </c>
      <c r="N64" s="10"/>
      <c r="O64" s="10"/>
      <c r="P64" s="5" t="str">
        <f>IF(A64="","",IFERROR(LOOKUP(2,1/((持仓跟踪!$B$2:$B$157=A64)*(持仓跟踪!$X$2:$X$157="执行卖出")*(持仓跟踪!$AA$2:$AA$157&lt;&gt;"")),持仓跟踪!$AA$2:$AA$157),""))</f>
        <v/>
      </c>
      <c r="Q64" s="2"/>
      <c r="R64" s="2"/>
      <c r="S64" s="2"/>
      <c r="T64" s="2"/>
      <c r="U64" s="7" t="str">
        <f t="shared" si="23"/>
        <v/>
      </c>
      <c r="V64" s="7" t="str">
        <f t="shared" si="24"/>
        <v/>
      </c>
      <c r="W64" s="17" t="str">
        <f t="shared" si="25"/>
        <v/>
      </c>
      <c r="X64" s="5" t="str">
        <f t="shared" si="26"/>
        <v/>
      </c>
      <c r="Y64" s="7" t="str">
        <f t="shared" si="27"/>
        <v/>
      </c>
      <c r="Z64" s="7" t="str">
        <f>IF(OR(AE64="",多次统计数据!$B$8=""),"",AE64-多次统计数据!$B$8)</f>
        <v/>
      </c>
      <c r="AA64" s="11" t="str">
        <f t="shared" si="28"/>
        <v/>
      </c>
      <c r="AB64" s="7" t="str">
        <f>IF(OR(A64="",多次统计数据!$B$8="",多次统计数据!$B$6&lt;=0,多次统计数据!$B$6&gt;=1),"",1-POWER(1+多次统计数据!$B$8,-多次统计数据!$B$6/(1-多次统计数据!$B$6)))</f>
        <v/>
      </c>
      <c r="AC64" s="8" t="str">
        <f>IF(OR(AB64="",多次统计数据!$B$9=""),"",IF(多次统计数据!$B$9&lt;AB64,"低于上限","达到或超过上限"))</f>
        <v/>
      </c>
      <c r="AD64" s="2"/>
      <c r="AE64" s="7" t="str">
        <f t="shared" si="29"/>
        <v/>
      </c>
      <c r="AG64" s="2"/>
      <c r="AH64" s="2"/>
      <c r="AI64" s="2"/>
      <c r="AJ64" s="8" t="str">
        <f t="shared" si="30"/>
        <v/>
      </c>
      <c r="AK64" s="10"/>
      <c r="AL64" s="12"/>
      <c r="AM64" s="10"/>
      <c r="AN64" s="12"/>
      <c r="AO64" s="5" t="str">
        <f t="shared" si="31"/>
        <v/>
      </c>
      <c r="AP64" s="11" t="str">
        <f t="shared" si="32"/>
        <v/>
      </c>
      <c r="AQ64" s="5" t="str">
        <f>IF(A64="","",IF(M64&lt;&gt;"",0,IF(OR(H64="",N64=""),"",MAX(E64-MAX(N64,IFERROR(SUMPRODUCT(MAX(((持仓跟踪!$A$2:$A$157="每日跟踪")*(持仓跟踪!$B$2:$B$157=A64))*持仓跟踪!$S$2:$S$157)),0)),0)*H64+IF(OR(AK64="",AL64=""),0,MAX(AK64-MAX(N64,IFERROR(SUMPRODUCT(MAX(((持仓跟踪!$A$2:$A$157="每日跟踪")*(持仓跟踪!$B$2:$B$157=A64))*持仓跟踪!$S$2:$S$157)),0)),0)*AL64)+IF(OR(AM64="",AN64=""),0,MAX(AM64-MAX(N64,IFERROR(SUMPRODUCT(MAX(((持仓跟踪!$A$2:$A$157="每日跟踪")*(持仓跟踪!$B$2:$B$157=A64))*持仓跟踪!$S$2:$S$157)),0)),0)*AN64))))</f>
        <v/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$88)&gt;账户数据!$B$7,"违规：超过账户风险上限","通过")))))))))</f>
        <v/>
      </c>
    </row>
    <row r="65" spans="1:44" x14ac:dyDescent="0.15">
      <c r="A65" s="2"/>
      <c r="B65" s="2"/>
      <c r="C65" s="10"/>
      <c r="D65" s="6"/>
      <c r="E65" s="10"/>
      <c r="F65" s="8" t="str">
        <f t="shared" si="22"/>
        <v/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$157,"止损计划",持仓跟踪!$B$2:$B$157,A65,持仓跟踪!$AC$2:$AC$157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5" s="2"/>
      <c r="I65" s="15"/>
      <c r="J65" s="10"/>
      <c r="K65" s="5" t="str">
        <f>IF(A65="","",IFERROR(LOOKUP(2,1/((持仓跟踪!$B$2:$B$157=A65)*(持仓跟踪!$X$2:$X$157="执行卖出")*(持仓跟踪!$Y$2:$Y$157&lt;&gt;"")),持仓跟踪!$Y$2:$Y$157),""))</f>
        <v/>
      </c>
      <c r="L65" s="8" t="str">
        <f>IF(A65="","",IFERROR(LOOKUP(2,1/((持仓跟踪!$B$2:$B$157=A65)*(持仓跟踪!$X$2:$X$157="执行卖出")*(持仓跟踪!$Z$2:$Z$157&lt;&gt;"")),持仓跟踪!$Z$2:$Z$157),""))</f>
        <v/>
      </c>
      <c r="M65" s="18" t="str">
        <f>IF(A65="","",IFERROR(LOOKUP(2,1/((持仓跟踪!$B$2:$B$157=A65)*(持仓跟踪!$X$2:$X$157="执行卖出")*(持仓跟踪!$H$2:$H$157&lt;&gt;"")),持仓跟踪!$H$2:$H$157),""))</f>
        <v/>
      </c>
      <c r="N65" s="10"/>
      <c r="O65" s="10"/>
      <c r="P65" s="5" t="str">
        <f>IF(A65="","",IFERROR(LOOKUP(2,1/((持仓跟踪!$B$2:$B$157=A65)*(持仓跟踪!$X$2:$X$157="执行卖出")*(持仓跟踪!$AA$2:$AA$157&lt;&gt;"")),持仓跟踪!$AA$2:$AA$157),""))</f>
        <v/>
      </c>
      <c r="Q65" s="2"/>
      <c r="R65" s="2"/>
      <c r="S65" s="2"/>
      <c r="T65" s="2"/>
      <c r="U65" s="7" t="str">
        <f t="shared" si="23"/>
        <v/>
      </c>
      <c r="V65" s="7" t="str">
        <f t="shared" si="24"/>
        <v/>
      </c>
      <c r="W65" s="17" t="str">
        <f t="shared" si="25"/>
        <v/>
      </c>
      <c r="X65" s="5" t="str">
        <f t="shared" si="26"/>
        <v/>
      </c>
      <c r="Y65" s="7" t="str">
        <f t="shared" si="27"/>
        <v/>
      </c>
      <c r="Z65" s="7" t="str">
        <f>IF(OR(AE65="",多次统计数据!$B$8=""),"",AE65-多次统计数据!$B$8)</f>
        <v/>
      </c>
      <c r="AA65" s="11" t="str">
        <f t="shared" si="28"/>
        <v/>
      </c>
      <c r="AB65" s="7" t="str">
        <f>IF(OR(A65="",多次统计数据!$B$8="",多次统计数据!$B$6&lt;=0,多次统计数据!$B$6&gt;=1),"",1-POWER(1+多次统计数据!$B$8,-多次统计数据!$B$6/(1-多次统计数据!$B$6)))</f>
        <v/>
      </c>
      <c r="AC65" s="8" t="str">
        <f>IF(OR(AB65="",多次统计数据!$B$9=""),"",IF(多次统计数据!$B$9&lt;AB65,"低于上限","达到或超过上限"))</f>
        <v/>
      </c>
      <c r="AD65" s="2"/>
      <c r="AE65" s="7" t="str">
        <f t="shared" si="29"/>
        <v/>
      </c>
      <c r="AG65" s="2"/>
      <c r="AH65" s="2"/>
      <c r="AI65" s="2"/>
      <c r="AJ65" s="8" t="str">
        <f t="shared" si="30"/>
        <v/>
      </c>
      <c r="AK65" s="10"/>
      <c r="AL65" s="12"/>
      <c r="AM65" s="10"/>
      <c r="AN65" s="12"/>
      <c r="AO65" s="5" t="str">
        <f t="shared" si="31"/>
        <v/>
      </c>
      <c r="AP65" s="11" t="str">
        <f t="shared" si="32"/>
        <v/>
      </c>
      <c r="AQ65" s="5" t="str">
        <f>IF(A65="","",IF(M65&lt;&gt;"",0,IF(OR(H65="",N65=""),"",MAX(E65-MAX(N65,IFERROR(SUMPRODUCT(MAX(((持仓跟踪!$A$2:$A$157="每日跟踪")*(持仓跟踪!$B$2:$B$157=A65))*持仓跟踪!$S$2:$S$157)),0)),0)*H65+IF(OR(AK65="",AL65=""),0,MAX(AK65-MAX(N65,IFERROR(SUMPRODUCT(MAX(((持仓跟踪!$A$2:$A$157="每日跟踪")*(持仓跟踪!$B$2:$B$157=A65))*持仓跟踪!$S$2:$S$157)),0)),0)*AL65)+IF(OR(AM65="",AN65=""),0,MAX(AM65-MAX(N65,IFERROR(SUMPRODUCT(MAX(((持仓跟踪!$A$2:$A$157="每日跟踪")*(持仓跟踪!$B$2:$B$157=A65))*持仓跟踪!$S$2:$S$157)),0)),0)*AN65))))</f>
        <v/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$88)&gt;账户数据!$B$7,"违规：超过账户风险上限","通过")))))))))</f>
        <v/>
      </c>
    </row>
    <row r="66" spans="1:44" x14ac:dyDescent="0.15">
      <c r="A66" s="2"/>
      <c r="B66" s="2"/>
      <c r="C66" s="10"/>
      <c r="D66" s="6"/>
      <c r="E66" s="10"/>
      <c r="F66" s="8" t="str">
        <f t="shared" si="22"/>
        <v/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$157,"止损计划",持仓跟踪!$B$2:$B$157,A66,持仓跟踪!$AC$2:$AC$157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6" s="2"/>
      <c r="I66" s="15"/>
      <c r="J66" s="10"/>
      <c r="K66" s="5" t="str">
        <f>IF(A66="","",IFERROR(LOOKUP(2,1/((持仓跟踪!$B$2:$B$157=A66)*(持仓跟踪!$X$2:$X$157="执行卖出")*(持仓跟踪!$Y$2:$Y$157&lt;&gt;"")),持仓跟踪!$Y$2:$Y$157),""))</f>
        <v/>
      </c>
      <c r="L66" s="8" t="str">
        <f>IF(A66="","",IFERROR(LOOKUP(2,1/((持仓跟踪!$B$2:$B$157=A66)*(持仓跟踪!$X$2:$X$157="执行卖出")*(持仓跟踪!$Z$2:$Z$157&lt;&gt;"")),持仓跟踪!$Z$2:$Z$157),""))</f>
        <v/>
      </c>
      <c r="M66" s="18" t="str">
        <f>IF(A66="","",IFERROR(LOOKUP(2,1/((持仓跟踪!$B$2:$B$157=A66)*(持仓跟踪!$X$2:$X$157="执行卖出")*(持仓跟踪!$H$2:$H$157&lt;&gt;"")),持仓跟踪!$H$2:$H$157),""))</f>
        <v/>
      </c>
      <c r="N66" s="10"/>
      <c r="O66" s="10"/>
      <c r="P66" s="5" t="str">
        <f>IF(A66="","",IFERROR(LOOKUP(2,1/((持仓跟踪!$B$2:$B$157=A66)*(持仓跟踪!$X$2:$X$157="执行卖出")*(持仓跟踪!$AA$2:$AA$157&lt;&gt;"")),持仓跟踪!$AA$2:$AA$157),""))</f>
        <v/>
      </c>
      <c r="Q66" s="2"/>
      <c r="R66" s="2"/>
      <c r="S66" s="2"/>
      <c r="T66" s="2"/>
      <c r="U66" s="7" t="str">
        <f t="shared" si="23"/>
        <v/>
      </c>
      <c r="V66" s="7" t="str">
        <f t="shared" si="24"/>
        <v/>
      </c>
      <c r="W66" s="17" t="str">
        <f t="shared" si="25"/>
        <v/>
      </c>
      <c r="X66" s="5" t="str">
        <f t="shared" si="26"/>
        <v/>
      </c>
      <c r="Y66" s="7" t="str">
        <f t="shared" si="27"/>
        <v/>
      </c>
      <c r="Z66" s="7" t="str">
        <f>IF(OR(AE66="",多次统计数据!$B$8=""),"",AE66-多次统计数据!$B$8)</f>
        <v/>
      </c>
      <c r="AA66" s="11" t="str">
        <f t="shared" si="28"/>
        <v/>
      </c>
      <c r="AB66" s="7" t="str">
        <f>IF(OR(A66="",多次统计数据!$B$8="",多次统计数据!$B$6&lt;=0,多次统计数据!$B$6&gt;=1),"",1-POWER(1+多次统计数据!$B$8,-多次统计数据!$B$6/(1-多次统计数据!$B$6)))</f>
        <v/>
      </c>
      <c r="AC66" s="8" t="str">
        <f>IF(OR(AB66="",多次统计数据!$B$9=""),"",IF(多次统计数据!$B$9&lt;AB66,"低于上限","达到或超过上限"))</f>
        <v/>
      </c>
      <c r="AD66" s="2"/>
      <c r="AE66" s="7" t="str">
        <f t="shared" si="29"/>
        <v/>
      </c>
      <c r="AG66" s="2"/>
      <c r="AH66" s="2"/>
      <c r="AI66" s="2"/>
      <c r="AJ66" s="8" t="str">
        <f t="shared" si="30"/>
        <v/>
      </c>
      <c r="AK66" s="10"/>
      <c r="AL66" s="12"/>
      <c r="AM66" s="10"/>
      <c r="AN66" s="12"/>
      <c r="AO66" s="5" t="str">
        <f t="shared" si="31"/>
        <v/>
      </c>
      <c r="AP66" s="11" t="str">
        <f t="shared" si="32"/>
        <v/>
      </c>
      <c r="AQ66" s="5" t="str">
        <f>IF(A66="","",IF(M66&lt;&gt;"",0,IF(OR(H66="",N66=""),"",MAX(E66-MAX(N66,IFERROR(SUMPRODUCT(MAX(((持仓跟踪!$A$2:$A$157="每日跟踪")*(持仓跟踪!$B$2:$B$157=A66))*持仓跟踪!$S$2:$S$157)),0)),0)*H66+IF(OR(AK66="",AL66=""),0,MAX(AK66-MAX(N66,IFERROR(SUMPRODUCT(MAX(((持仓跟踪!$A$2:$A$157="每日跟踪")*(持仓跟踪!$B$2:$B$157=A66))*持仓跟踪!$S$2:$S$157)),0)),0)*AL66)+IF(OR(AM66="",AN66=""),0,MAX(AM66-MAX(N66,IFERROR(SUMPRODUCT(MAX(((持仓跟踪!$A$2:$A$157="每日跟踪")*(持仓跟踪!$B$2:$B$157=A66))*持仓跟踪!$S$2:$S$157)),0)),0)*AN66))))</f>
        <v/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$88)&gt;账户数据!$B$7,"违规：超过账户风险上限","通过")))))))))</f>
        <v/>
      </c>
    </row>
    <row r="67" spans="1:44" x14ac:dyDescent="0.15">
      <c r="A67" s="2"/>
      <c r="B67" s="2"/>
      <c r="C67" s="10"/>
      <c r="D67" s="6"/>
      <c r="E67" s="10"/>
      <c r="F67" s="8" t="str">
        <f t="shared" si="22"/>
        <v/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$157,"止损计划",持仓跟踪!$B$2:$B$157,A67,持仓跟踪!$AC$2:$AC$157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7" s="2"/>
      <c r="I67" s="15"/>
      <c r="J67" s="10"/>
      <c r="K67" s="5" t="str">
        <f>IF(A67="","",IFERROR(LOOKUP(2,1/((持仓跟踪!$B$2:$B$157=A67)*(持仓跟踪!$X$2:$X$157="执行卖出")*(持仓跟踪!$Y$2:$Y$157&lt;&gt;"")),持仓跟踪!$Y$2:$Y$157),""))</f>
        <v/>
      </c>
      <c r="L67" s="8" t="str">
        <f>IF(A67="","",IFERROR(LOOKUP(2,1/((持仓跟踪!$B$2:$B$157=A67)*(持仓跟踪!$X$2:$X$157="执行卖出")*(持仓跟踪!$Z$2:$Z$157&lt;&gt;"")),持仓跟踪!$Z$2:$Z$157),""))</f>
        <v/>
      </c>
      <c r="M67" s="18" t="str">
        <f>IF(A67="","",IFERROR(LOOKUP(2,1/((持仓跟踪!$B$2:$B$157=A67)*(持仓跟踪!$X$2:$X$157="执行卖出")*(持仓跟踪!$H$2:$H$157&lt;&gt;"")),持仓跟踪!$H$2:$H$157),""))</f>
        <v/>
      </c>
      <c r="N67" s="10"/>
      <c r="O67" s="10"/>
      <c r="P67" s="5" t="str">
        <f>IF(A67="","",IFERROR(LOOKUP(2,1/((持仓跟踪!$B$2:$B$157=A67)*(持仓跟踪!$X$2:$X$157="执行卖出")*(持仓跟踪!$AA$2:$AA$157&lt;&gt;"")),持仓跟踪!$AA$2:$AA$157),""))</f>
        <v/>
      </c>
      <c r="Q67" s="2"/>
      <c r="R67" s="2"/>
      <c r="S67" s="2"/>
      <c r="T67" s="2"/>
      <c r="U67" s="7" t="str">
        <f t="shared" si="23"/>
        <v/>
      </c>
      <c r="V67" s="7" t="str">
        <f t="shared" si="24"/>
        <v/>
      </c>
      <c r="W67" s="17" t="str">
        <f t="shared" si="25"/>
        <v/>
      </c>
      <c r="X67" s="5" t="str">
        <f t="shared" si="26"/>
        <v/>
      </c>
      <c r="Y67" s="7" t="str">
        <f t="shared" si="27"/>
        <v/>
      </c>
      <c r="Z67" s="7" t="str">
        <f>IF(OR(AE67="",多次统计数据!$B$8=""),"",AE67-多次统计数据!$B$8)</f>
        <v/>
      </c>
      <c r="AA67" s="11" t="str">
        <f t="shared" si="28"/>
        <v/>
      </c>
      <c r="AB67" s="7" t="str">
        <f>IF(OR(A67="",多次统计数据!$B$8="",多次统计数据!$B$6&lt;=0,多次统计数据!$B$6&gt;=1),"",1-POWER(1+多次统计数据!$B$8,-多次统计数据!$B$6/(1-多次统计数据!$B$6)))</f>
        <v/>
      </c>
      <c r="AC67" s="8" t="str">
        <f>IF(OR(AB67="",多次统计数据!$B$9=""),"",IF(多次统计数据!$B$9&lt;AB67,"低于上限","达到或超过上限"))</f>
        <v/>
      </c>
      <c r="AD67" s="2"/>
      <c r="AE67" s="7" t="str">
        <f t="shared" si="29"/>
        <v/>
      </c>
      <c r="AG67" s="2"/>
      <c r="AH67" s="2"/>
      <c r="AI67" s="2"/>
      <c r="AJ67" s="8" t="str">
        <f t="shared" si="30"/>
        <v/>
      </c>
      <c r="AK67" s="10"/>
      <c r="AL67" s="12"/>
      <c r="AM67" s="10"/>
      <c r="AN67" s="12"/>
      <c r="AO67" s="5" t="str">
        <f t="shared" si="31"/>
        <v/>
      </c>
      <c r="AP67" s="11" t="str">
        <f t="shared" si="32"/>
        <v/>
      </c>
      <c r="AQ67" s="5" t="str">
        <f>IF(A67="","",IF(M67&lt;&gt;"",0,IF(OR(H67="",N67=""),"",MAX(E67-MAX(N67,IFERROR(SUMPRODUCT(MAX(((持仓跟踪!$A$2:$A$157="每日跟踪")*(持仓跟踪!$B$2:$B$157=A67))*持仓跟踪!$S$2:$S$157)),0)),0)*H67+IF(OR(AK67="",AL67=""),0,MAX(AK67-MAX(N67,IFERROR(SUMPRODUCT(MAX(((持仓跟踪!$A$2:$A$157="每日跟踪")*(持仓跟踪!$B$2:$B$157=A67))*持仓跟踪!$S$2:$S$157)),0)),0)*AL67)+IF(OR(AM67="",AN67=""),0,MAX(AM67-MAX(N67,IFERROR(SUMPRODUCT(MAX(((持仓跟踪!$A$2:$A$157="每日跟踪")*(持仓跟踪!$B$2:$B$157=A67))*持仓跟踪!$S$2:$S$157)),0)),0)*AN67))))</f>
        <v/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$88)&gt;账户数据!$B$7,"违规：超过账户风险上限","通过")))))))))</f>
        <v/>
      </c>
    </row>
    <row r="68" spans="1:44" x14ac:dyDescent="0.15">
      <c r="A68" s="2"/>
      <c r="B68" s="2"/>
      <c r="C68" s="10"/>
      <c r="D68" s="6"/>
      <c r="E68" s="10"/>
      <c r="F68" s="8" t="str">
        <f t="shared" si="22"/>
        <v/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$157,"止损计划",持仓跟踪!$B$2:$B$157,A68,持仓跟踪!$AC$2:$AC$157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8" s="2"/>
      <c r="I68" s="15"/>
      <c r="J68" s="10"/>
      <c r="K68" s="5" t="str">
        <f>IF(A68="","",IFERROR(LOOKUP(2,1/((持仓跟踪!$B$2:$B$157=A68)*(持仓跟踪!$X$2:$X$157="执行卖出")*(持仓跟踪!$Y$2:$Y$157&lt;&gt;"")),持仓跟踪!$Y$2:$Y$157),""))</f>
        <v/>
      </c>
      <c r="L68" s="8" t="str">
        <f>IF(A68="","",IFERROR(LOOKUP(2,1/((持仓跟踪!$B$2:$B$157=A68)*(持仓跟踪!$X$2:$X$157="执行卖出")*(持仓跟踪!$Z$2:$Z$157&lt;&gt;"")),持仓跟踪!$Z$2:$Z$157),""))</f>
        <v/>
      </c>
      <c r="M68" s="18" t="str">
        <f>IF(A68="","",IFERROR(LOOKUP(2,1/((持仓跟踪!$B$2:$B$157=A68)*(持仓跟踪!$X$2:$X$157="执行卖出")*(持仓跟踪!$H$2:$H$157&lt;&gt;"")),持仓跟踪!$H$2:$H$157),""))</f>
        <v/>
      </c>
      <c r="N68" s="10"/>
      <c r="O68" s="10"/>
      <c r="P68" s="5" t="str">
        <f>IF(A68="","",IFERROR(LOOKUP(2,1/((持仓跟踪!$B$2:$B$157=A68)*(持仓跟踪!$X$2:$X$157="执行卖出")*(持仓跟踪!$AA$2:$AA$157&lt;&gt;"")),持仓跟踪!$AA$2:$AA$157),""))</f>
        <v/>
      </c>
      <c r="Q68" s="2"/>
      <c r="R68" s="2"/>
      <c r="S68" s="2"/>
      <c r="T68" s="2"/>
      <c r="U68" s="7" t="str">
        <f t="shared" si="23"/>
        <v/>
      </c>
      <c r="V68" s="7" t="str">
        <f t="shared" si="24"/>
        <v/>
      </c>
      <c r="W68" s="17" t="str">
        <f t="shared" si="25"/>
        <v/>
      </c>
      <c r="X68" s="5" t="str">
        <f t="shared" si="26"/>
        <v/>
      </c>
      <c r="Y68" s="7" t="str">
        <f t="shared" si="27"/>
        <v/>
      </c>
      <c r="Z68" s="7" t="str">
        <f>IF(OR(AE68="",多次统计数据!$B$8=""),"",AE68-多次统计数据!$B$8)</f>
        <v/>
      </c>
      <c r="AA68" s="11" t="str">
        <f t="shared" si="28"/>
        <v/>
      </c>
      <c r="AB68" s="7" t="str">
        <f>IF(OR(A68="",多次统计数据!$B$8="",多次统计数据!$B$6&lt;=0,多次统计数据!$B$6&gt;=1),"",1-POWER(1+多次统计数据!$B$8,-多次统计数据!$B$6/(1-多次统计数据!$B$6)))</f>
        <v/>
      </c>
      <c r="AC68" s="8" t="str">
        <f>IF(OR(AB68="",多次统计数据!$B$9=""),"",IF(多次统计数据!$B$9&lt;AB68,"低于上限","达到或超过上限"))</f>
        <v/>
      </c>
      <c r="AD68" s="2"/>
      <c r="AE68" s="7" t="str">
        <f t="shared" si="29"/>
        <v/>
      </c>
      <c r="AG68" s="2"/>
      <c r="AH68" s="2"/>
      <c r="AI68" s="2"/>
      <c r="AJ68" s="8" t="str">
        <f t="shared" si="30"/>
        <v/>
      </c>
      <c r="AK68" s="10"/>
      <c r="AL68" s="12"/>
      <c r="AM68" s="10"/>
      <c r="AN68" s="12"/>
      <c r="AO68" s="5" t="str">
        <f t="shared" si="31"/>
        <v/>
      </c>
      <c r="AP68" s="11" t="str">
        <f t="shared" si="32"/>
        <v/>
      </c>
      <c r="AQ68" s="5" t="str">
        <f>IF(A68="","",IF(M68&lt;&gt;"",0,IF(OR(H68="",N68=""),"",MAX(E68-MAX(N68,IFERROR(SUMPRODUCT(MAX(((持仓跟踪!$A$2:$A$157="每日跟踪")*(持仓跟踪!$B$2:$B$157=A68))*持仓跟踪!$S$2:$S$157)),0)),0)*H68+IF(OR(AK68="",AL68=""),0,MAX(AK68-MAX(N68,IFERROR(SUMPRODUCT(MAX(((持仓跟踪!$A$2:$A$157="每日跟踪")*(持仓跟踪!$B$2:$B$157=A68))*持仓跟踪!$S$2:$S$157)),0)),0)*AL68)+IF(OR(AM68="",AN68=""),0,MAX(AM68-MAX(N68,IFERROR(SUMPRODUCT(MAX(((持仓跟踪!$A$2:$A$157="每日跟踪")*(持仓跟踪!$B$2:$B$157=A68))*持仓跟踪!$S$2:$S$157)),0)),0)*AN68))))</f>
        <v/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$88)&gt;账户数据!$B$7,"违规：超过账户风险上限","通过")))))))))</f>
        <v/>
      </c>
    </row>
    <row r="69" spans="1:44" x14ac:dyDescent="0.15">
      <c r="A69" s="2"/>
      <c r="B69" s="2"/>
      <c r="C69" s="10"/>
      <c r="D69" s="6"/>
      <c r="E69" s="10"/>
      <c r="F69" s="8" t="str">
        <f t="shared" si="22"/>
        <v/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$157,"止损计划",持仓跟踪!$B$2:$B$157,A69,持仓跟踪!$AC$2:$AC$157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69" s="2"/>
      <c r="I69" s="15"/>
      <c r="J69" s="10"/>
      <c r="K69" s="5" t="str">
        <f>IF(A69="","",IFERROR(LOOKUP(2,1/((持仓跟踪!$B$2:$B$157=A69)*(持仓跟踪!$X$2:$X$157="执行卖出")*(持仓跟踪!$Y$2:$Y$157&lt;&gt;"")),持仓跟踪!$Y$2:$Y$157),""))</f>
        <v/>
      </c>
      <c r="L69" s="8" t="str">
        <f>IF(A69="","",IFERROR(LOOKUP(2,1/((持仓跟踪!$B$2:$B$157=A69)*(持仓跟踪!$X$2:$X$157="执行卖出")*(持仓跟踪!$Z$2:$Z$157&lt;&gt;"")),持仓跟踪!$Z$2:$Z$157),""))</f>
        <v/>
      </c>
      <c r="M69" s="18" t="str">
        <f>IF(A69="","",IFERROR(LOOKUP(2,1/((持仓跟踪!$B$2:$B$157=A69)*(持仓跟踪!$X$2:$X$157="执行卖出")*(持仓跟踪!$H$2:$H$157&lt;&gt;"")),持仓跟踪!$H$2:$H$157),""))</f>
        <v/>
      </c>
      <c r="N69" s="10"/>
      <c r="O69" s="10"/>
      <c r="P69" s="5" t="str">
        <f>IF(A69="","",IFERROR(LOOKUP(2,1/((持仓跟踪!$B$2:$B$157=A69)*(持仓跟踪!$X$2:$X$157="执行卖出")*(持仓跟踪!$AA$2:$AA$157&lt;&gt;"")),持仓跟踪!$AA$2:$AA$157),""))</f>
        <v/>
      </c>
      <c r="Q69" s="2"/>
      <c r="R69" s="2"/>
      <c r="S69" s="2"/>
      <c r="T69" s="2"/>
      <c r="U69" s="7" t="str">
        <f t="shared" si="23"/>
        <v/>
      </c>
      <c r="V69" s="7" t="str">
        <f t="shared" si="24"/>
        <v/>
      </c>
      <c r="W69" s="17" t="str">
        <f t="shared" si="25"/>
        <v/>
      </c>
      <c r="X69" s="5" t="str">
        <f t="shared" si="26"/>
        <v/>
      </c>
      <c r="Y69" s="7" t="str">
        <f t="shared" si="27"/>
        <v/>
      </c>
      <c r="Z69" s="7" t="str">
        <f>IF(OR(AE69="",多次统计数据!$B$8=""),"",AE69-多次统计数据!$B$8)</f>
        <v/>
      </c>
      <c r="AA69" s="11" t="str">
        <f t="shared" si="28"/>
        <v/>
      </c>
      <c r="AB69" s="7" t="str">
        <f>IF(OR(A69="",多次统计数据!$B$8="",多次统计数据!$B$6&lt;=0,多次统计数据!$B$6&gt;=1),"",1-POWER(1+多次统计数据!$B$8,-多次统计数据!$B$6/(1-多次统计数据!$B$6)))</f>
        <v/>
      </c>
      <c r="AC69" s="8" t="str">
        <f>IF(OR(AB69="",多次统计数据!$B$9=""),"",IF(多次统计数据!$B$9&lt;AB69,"低于上限","达到或超过上限"))</f>
        <v/>
      </c>
      <c r="AD69" s="2"/>
      <c r="AE69" s="7" t="str">
        <f t="shared" si="29"/>
        <v/>
      </c>
      <c r="AG69" s="2"/>
      <c r="AH69" s="2"/>
      <c r="AI69" s="2"/>
      <c r="AJ69" s="8" t="str">
        <f t="shared" si="30"/>
        <v/>
      </c>
      <c r="AK69" s="10"/>
      <c r="AL69" s="12"/>
      <c r="AM69" s="10"/>
      <c r="AN69" s="12"/>
      <c r="AO69" s="5" t="str">
        <f t="shared" si="31"/>
        <v/>
      </c>
      <c r="AP69" s="11" t="str">
        <f t="shared" si="32"/>
        <v/>
      </c>
      <c r="AQ69" s="5" t="str">
        <f>IF(A69="","",IF(M69&lt;&gt;"",0,IF(OR(H69="",N69=""),"",MAX(E69-MAX(N69,IFERROR(SUMPRODUCT(MAX(((持仓跟踪!$A$2:$A$157="每日跟踪")*(持仓跟踪!$B$2:$B$157=A69))*持仓跟踪!$S$2:$S$157)),0)),0)*H69+IF(OR(AK69="",AL69=""),0,MAX(AK69-MAX(N69,IFERROR(SUMPRODUCT(MAX(((持仓跟踪!$A$2:$A$157="每日跟踪")*(持仓跟踪!$B$2:$B$157=A69))*持仓跟踪!$S$2:$S$157)),0)),0)*AL69)+IF(OR(AM69="",AN69=""),0,MAX(AM69-MAX(N69,IFERROR(SUMPRODUCT(MAX(((持仓跟踪!$A$2:$A$157="每日跟踪")*(持仓跟踪!$B$2:$B$157=A69))*持仓跟踪!$S$2:$S$157)),0)),0)*AN69))))</f>
        <v/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$88)&gt;账户数据!$B$7,"违规：超过账户风险上限","通过")))))))))</f>
        <v/>
      </c>
    </row>
    <row r="70" spans="1:44" x14ac:dyDescent="0.15">
      <c r="A70" s="2"/>
      <c r="B70" s="2"/>
      <c r="C70" s="10"/>
      <c r="D70" s="6"/>
      <c r="E70" s="10"/>
      <c r="F70" s="8" t="str">
        <f t="shared" si="22"/>
        <v/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$157,"止损计划",持仓跟踪!$B$2:$B$157,A70,持仓跟踪!$AC$2:$AC$157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0" s="2"/>
      <c r="I70" s="15"/>
      <c r="J70" s="10"/>
      <c r="K70" s="5" t="str">
        <f>IF(A70="","",IFERROR(LOOKUP(2,1/((持仓跟踪!$B$2:$B$157=A70)*(持仓跟踪!$X$2:$X$157="执行卖出")*(持仓跟踪!$Y$2:$Y$157&lt;&gt;"")),持仓跟踪!$Y$2:$Y$157),""))</f>
        <v/>
      </c>
      <c r="L70" s="8" t="str">
        <f>IF(A70="","",IFERROR(LOOKUP(2,1/((持仓跟踪!$B$2:$B$157=A70)*(持仓跟踪!$X$2:$X$157="执行卖出")*(持仓跟踪!$Z$2:$Z$157&lt;&gt;"")),持仓跟踪!$Z$2:$Z$157),""))</f>
        <v/>
      </c>
      <c r="M70" s="18" t="str">
        <f>IF(A70="","",IFERROR(LOOKUP(2,1/((持仓跟踪!$B$2:$B$157=A70)*(持仓跟踪!$X$2:$X$157="执行卖出")*(持仓跟踪!$H$2:$H$157&lt;&gt;"")),持仓跟踪!$H$2:$H$157),""))</f>
        <v/>
      </c>
      <c r="N70" s="10"/>
      <c r="O70" s="10"/>
      <c r="P70" s="5" t="str">
        <f>IF(A70="","",IFERROR(LOOKUP(2,1/((持仓跟踪!$B$2:$B$157=A70)*(持仓跟踪!$X$2:$X$157="执行卖出")*(持仓跟踪!$AA$2:$AA$157&lt;&gt;"")),持仓跟踪!$AA$2:$AA$157),""))</f>
        <v/>
      </c>
      <c r="Q70" s="2"/>
      <c r="R70" s="2"/>
      <c r="S70" s="2"/>
      <c r="T70" s="2"/>
      <c r="U70" s="7" t="str">
        <f t="shared" si="23"/>
        <v/>
      </c>
      <c r="V70" s="7" t="str">
        <f t="shared" si="24"/>
        <v/>
      </c>
      <c r="W70" s="17" t="str">
        <f t="shared" si="25"/>
        <v/>
      </c>
      <c r="X70" s="5" t="str">
        <f t="shared" si="26"/>
        <v/>
      </c>
      <c r="Y70" s="7" t="str">
        <f t="shared" si="27"/>
        <v/>
      </c>
      <c r="Z70" s="7" t="str">
        <f>IF(OR(AE70="",多次统计数据!$B$8=""),"",AE70-多次统计数据!$B$8)</f>
        <v/>
      </c>
      <c r="AA70" s="11" t="str">
        <f t="shared" si="28"/>
        <v/>
      </c>
      <c r="AB70" s="7" t="str">
        <f>IF(OR(A70="",多次统计数据!$B$8="",多次统计数据!$B$6&lt;=0,多次统计数据!$B$6&gt;=1),"",1-POWER(1+多次统计数据!$B$8,-多次统计数据!$B$6/(1-多次统计数据!$B$6)))</f>
        <v/>
      </c>
      <c r="AC70" s="8" t="str">
        <f>IF(OR(AB70="",多次统计数据!$B$9=""),"",IF(多次统计数据!$B$9&lt;AB70,"低于上限","达到或超过上限"))</f>
        <v/>
      </c>
      <c r="AD70" s="2"/>
      <c r="AE70" s="7" t="str">
        <f t="shared" si="29"/>
        <v/>
      </c>
      <c r="AG70" s="2"/>
      <c r="AH70" s="2"/>
      <c r="AI70" s="2"/>
      <c r="AJ70" s="8" t="str">
        <f t="shared" si="30"/>
        <v/>
      </c>
      <c r="AK70" s="10"/>
      <c r="AL70" s="12"/>
      <c r="AM70" s="10"/>
      <c r="AN70" s="12"/>
      <c r="AO70" s="5" t="str">
        <f t="shared" si="31"/>
        <v/>
      </c>
      <c r="AP70" s="11" t="str">
        <f t="shared" si="32"/>
        <v/>
      </c>
      <c r="AQ70" s="5" t="str">
        <f>IF(A70="","",IF(M70&lt;&gt;"",0,IF(OR(H70="",N70=""),"",MAX(E70-MAX(N70,IFERROR(SUMPRODUCT(MAX(((持仓跟踪!$A$2:$A$157="每日跟踪")*(持仓跟踪!$B$2:$B$157=A70))*持仓跟踪!$S$2:$S$157)),0)),0)*H70+IF(OR(AK70="",AL70=""),0,MAX(AK70-MAX(N70,IFERROR(SUMPRODUCT(MAX(((持仓跟踪!$A$2:$A$157="每日跟踪")*(持仓跟踪!$B$2:$B$157=A70))*持仓跟踪!$S$2:$S$157)),0)),0)*AL70)+IF(OR(AM70="",AN70=""),0,MAX(AM70-MAX(N70,IFERROR(SUMPRODUCT(MAX(((持仓跟踪!$A$2:$A$157="每日跟踪")*(持仓跟踪!$B$2:$B$157=A70))*持仓跟踪!$S$2:$S$157)),0)),0)*AN70))))</f>
        <v/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$88)&gt;账户数据!$B$7,"违规：超过账户风险上限","通过")))))))))</f>
        <v/>
      </c>
    </row>
    <row r="71" spans="1:44" x14ac:dyDescent="0.15">
      <c r="A71" s="2"/>
      <c r="B71" s="2"/>
      <c r="C71" s="10"/>
      <c r="D71" s="6"/>
      <c r="E71" s="10"/>
      <c r="F71" s="8" t="str">
        <f t="shared" si="22"/>
        <v/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$157,"止损计划",持仓跟踪!$B$2:$B$157,A71,持仓跟踪!$AC$2:$AC$157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1" s="2"/>
      <c r="I71" s="15"/>
      <c r="J71" s="10"/>
      <c r="K71" s="5" t="str">
        <f>IF(A71="","",IFERROR(LOOKUP(2,1/((持仓跟踪!$B$2:$B$157=A71)*(持仓跟踪!$X$2:$X$157="执行卖出")*(持仓跟踪!$Y$2:$Y$157&lt;&gt;"")),持仓跟踪!$Y$2:$Y$157),""))</f>
        <v/>
      </c>
      <c r="L71" s="8" t="str">
        <f>IF(A71="","",IFERROR(LOOKUP(2,1/((持仓跟踪!$B$2:$B$157=A71)*(持仓跟踪!$X$2:$X$157="执行卖出")*(持仓跟踪!$Z$2:$Z$157&lt;&gt;"")),持仓跟踪!$Z$2:$Z$157),""))</f>
        <v/>
      </c>
      <c r="M71" s="18" t="str">
        <f>IF(A71="","",IFERROR(LOOKUP(2,1/((持仓跟踪!$B$2:$B$157=A71)*(持仓跟踪!$X$2:$X$157="执行卖出")*(持仓跟踪!$H$2:$H$157&lt;&gt;"")),持仓跟踪!$H$2:$H$157),""))</f>
        <v/>
      </c>
      <c r="N71" s="10"/>
      <c r="O71" s="10"/>
      <c r="P71" s="5" t="str">
        <f>IF(A71="","",IFERROR(LOOKUP(2,1/((持仓跟踪!$B$2:$B$157=A71)*(持仓跟踪!$X$2:$X$157="执行卖出")*(持仓跟踪!$AA$2:$AA$157&lt;&gt;"")),持仓跟踪!$AA$2:$AA$157),""))</f>
        <v/>
      </c>
      <c r="Q71" s="2"/>
      <c r="R71" s="2"/>
      <c r="S71" s="2"/>
      <c r="T71" s="2"/>
      <c r="U71" s="7" t="str">
        <f t="shared" si="23"/>
        <v/>
      </c>
      <c r="V71" s="7" t="str">
        <f t="shared" si="24"/>
        <v/>
      </c>
      <c r="W71" s="17" t="str">
        <f t="shared" si="25"/>
        <v/>
      </c>
      <c r="X71" s="5" t="str">
        <f t="shared" si="26"/>
        <v/>
      </c>
      <c r="Y71" s="7" t="str">
        <f t="shared" si="27"/>
        <v/>
      </c>
      <c r="Z71" s="7" t="str">
        <f>IF(OR(AE71="",多次统计数据!$B$8=""),"",AE71-多次统计数据!$B$8)</f>
        <v/>
      </c>
      <c r="AA71" s="11" t="str">
        <f t="shared" si="28"/>
        <v/>
      </c>
      <c r="AB71" s="7" t="str">
        <f>IF(OR(A71="",多次统计数据!$B$8="",多次统计数据!$B$6&lt;=0,多次统计数据!$B$6&gt;=1),"",1-POWER(1+多次统计数据!$B$8,-多次统计数据!$B$6/(1-多次统计数据!$B$6)))</f>
        <v/>
      </c>
      <c r="AC71" s="8" t="str">
        <f>IF(OR(AB71="",多次统计数据!$B$9=""),"",IF(多次统计数据!$B$9&lt;AB71,"低于上限","达到或超过上限"))</f>
        <v/>
      </c>
      <c r="AD71" s="2"/>
      <c r="AE71" s="7" t="str">
        <f t="shared" si="29"/>
        <v/>
      </c>
      <c r="AG71" s="2"/>
      <c r="AH71" s="2"/>
      <c r="AI71" s="2"/>
      <c r="AJ71" s="8" t="str">
        <f t="shared" si="30"/>
        <v/>
      </c>
      <c r="AK71" s="10"/>
      <c r="AL71" s="12"/>
      <c r="AM71" s="10"/>
      <c r="AN71" s="12"/>
      <c r="AO71" s="5" t="str">
        <f t="shared" si="31"/>
        <v/>
      </c>
      <c r="AP71" s="11" t="str">
        <f t="shared" si="32"/>
        <v/>
      </c>
      <c r="AQ71" s="5" t="str">
        <f>IF(A71="","",IF(M71&lt;&gt;"",0,IF(OR(H71="",N71=""),"",MAX(E71-MAX(N71,IFERROR(SUMPRODUCT(MAX(((持仓跟踪!$A$2:$A$157="每日跟踪")*(持仓跟踪!$B$2:$B$157=A71))*持仓跟踪!$S$2:$S$157)),0)),0)*H71+IF(OR(AK71="",AL71=""),0,MAX(AK71-MAX(N71,IFERROR(SUMPRODUCT(MAX(((持仓跟踪!$A$2:$A$157="每日跟踪")*(持仓跟踪!$B$2:$B$157=A71))*持仓跟踪!$S$2:$S$157)),0)),0)*AL71)+IF(OR(AM71="",AN71=""),0,MAX(AM71-MAX(N71,IFERROR(SUMPRODUCT(MAX(((持仓跟踪!$A$2:$A$157="每日跟踪")*(持仓跟踪!$B$2:$B$157=A71))*持仓跟踪!$S$2:$S$157)),0)),0)*AN71))))</f>
        <v/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$88)&gt;账户数据!$B$7,"违规：超过账户风险上限","通过")))))))))</f>
        <v/>
      </c>
    </row>
    <row r="72" spans="1:44" x14ac:dyDescent="0.15">
      <c r="A72" s="2"/>
      <c r="B72" s="2"/>
      <c r="C72" s="10"/>
      <c r="D72" s="6"/>
      <c r="E72" s="10"/>
      <c r="F72" s="8" t="str">
        <f t="shared" si="22"/>
        <v/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$157,"止损计划",持仓跟踪!$B$2:$B$157,A72,持仓跟踪!$AC$2:$AC$157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2" s="2"/>
      <c r="I72" s="15"/>
      <c r="J72" s="10"/>
      <c r="K72" s="5" t="str">
        <f>IF(A72="","",IFERROR(LOOKUP(2,1/((持仓跟踪!$B$2:$B$157=A72)*(持仓跟踪!$X$2:$X$157="执行卖出")*(持仓跟踪!$Y$2:$Y$157&lt;&gt;"")),持仓跟踪!$Y$2:$Y$157),""))</f>
        <v/>
      </c>
      <c r="L72" s="8" t="str">
        <f>IF(A72="","",IFERROR(LOOKUP(2,1/((持仓跟踪!$B$2:$B$157=A72)*(持仓跟踪!$X$2:$X$157="执行卖出")*(持仓跟踪!$Z$2:$Z$157&lt;&gt;"")),持仓跟踪!$Z$2:$Z$157),""))</f>
        <v/>
      </c>
      <c r="M72" s="18" t="str">
        <f>IF(A72="","",IFERROR(LOOKUP(2,1/((持仓跟踪!$B$2:$B$157=A72)*(持仓跟踪!$X$2:$X$157="执行卖出")*(持仓跟踪!$H$2:$H$157&lt;&gt;"")),持仓跟踪!$H$2:$H$157),""))</f>
        <v/>
      </c>
      <c r="N72" s="10"/>
      <c r="O72" s="10"/>
      <c r="P72" s="5" t="str">
        <f>IF(A72="","",IFERROR(LOOKUP(2,1/((持仓跟踪!$B$2:$B$157=A72)*(持仓跟踪!$X$2:$X$157="执行卖出")*(持仓跟踪!$AA$2:$AA$157&lt;&gt;"")),持仓跟踪!$AA$2:$AA$157),""))</f>
        <v/>
      </c>
      <c r="Q72" s="2"/>
      <c r="R72" s="2"/>
      <c r="S72" s="2"/>
      <c r="T72" s="2"/>
      <c r="U72" s="7" t="str">
        <f t="shared" si="23"/>
        <v/>
      </c>
      <c r="V72" s="7" t="str">
        <f t="shared" si="24"/>
        <v/>
      </c>
      <c r="W72" s="17" t="str">
        <f t="shared" si="25"/>
        <v/>
      </c>
      <c r="X72" s="5" t="str">
        <f t="shared" si="26"/>
        <v/>
      </c>
      <c r="Y72" s="7" t="str">
        <f t="shared" si="27"/>
        <v/>
      </c>
      <c r="Z72" s="7" t="str">
        <f>IF(OR(AE72="",多次统计数据!$B$8=""),"",AE72-多次统计数据!$B$8)</f>
        <v/>
      </c>
      <c r="AA72" s="11" t="str">
        <f t="shared" si="28"/>
        <v/>
      </c>
      <c r="AB72" s="7" t="str">
        <f>IF(OR(A72="",多次统计数据!$B$8="",多次统计数据!$B$6&lt;=0,多次统计数据!$B$6&gt;=1),"",1-POWER(1+多次统计数据!$B$8,-多次统计数据!$B$6/(1-多次统计数据!$B$6)))</f>
        <v/>
      </c>
      <c r="AC72" s="8" t="str">
        <f>IF(OR(AB72="",多次统计数据!$B$9=""),"",IF(多次统计数据!$B$9&lt;AB72,"低于上限","达到或超过上限"))</f>
        <v/>
      </c>
      <c r="AD72" s="2"/>
      <c r="AE72" s="7" t="str">
        <f t="shared" si="29"/>
        <v/>
      </c>
      <c r="AG72" s="2"/>
      <c r="AH72" s="2"/>
      <c r="AI72" s="2"/>
      <c r="AJ72" s="8" t="str">
        <f t="shared" si="30"/>
        <v/>
      </c>
      <c r="AK72" s="10"/>
      <c r="AL72" s="12"/>
      <c r="AM72" s="10"/>
      <c r="AN72" s="12"/>
      <c r="AO72" s="5" t="str">
        <f t="shared" si="31"/>
        <v/>
      </c>
      <c r="AP72" s="11" t="str">
        <f t="shared" si="32"/>
        <v/>
      </c>
      <c r="AQ72" s="5" t="str">
        <f>IF(A72="","",IF(M72&lt;&gt;"",0,IF(OR(H72="",N72=""),"",MAX(E72-MAX(N72,IFERROR(SUMPRODUCT(MAX(((持仓跟踪!$A$2:$A$157="每日跟踪")*(持仓跟踪!$B$2:$B$157=A72))*持仓跟踪!$S$2:$S$157)),0)),0)*H72+IF(OR(AK72="",AL72=""),0,MAX(AK72-MAX(N72,IFERROR(SUMPRODUCT(MAX(((持仓跟踪!$A$2:$A$157="每日跟踪")*(持仓跟踪!$B$2:$B$157=A72))*持仓跟踪!$S$2:$S$157)),0)),0)*AL72)+IF(OR(AM72="",AN72=""),0,MAX(AM72-MAX(N72,IFERROR(SUMPRODUCT(MAX(((持仓跟踪!$A$2:$A$157="每日跟踪")*(持仓跟踪!$B$2:$B$157=A72))*持仓跟踪!$S$2:$S$157)),0)),0)*AN72))))</f>
        <v/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$88)&gt;账户数据!$B$7,"违规：超过账户风险上限","通过")))))))))</f>
        <v/>
      </c>
    </row>
    <row r="73" spans="1:44" x14ac:dyDescent="0.15">
      <c r="A73" s="2"/>
      <c r="B73" s="2"/>
      <c r="C73" s="10"/>
      <c r="D73" s="6"/>
      <c r="E73" s="10"/>
      <c r="F73" s="8" t="str">
        <f t="shared" si="22"/>
        <v/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$157,"止损计划",持仓跟踪!$B$2:$B$157,A73,持仓跟踪!$AC$2:$AC$157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3" s="2"/>
      <c r="I73" s="15"/>
      <c r="J73" s="10"/>
      <c r="K73" s="5" t="str">
        <f>IF(A73="","",IFERROR(LOOKUP(2,1/((持仓跟踪!$B$2:$B$157=A73)*(持仓跟踪!$X$2:$X$157="执行卖出")*(持仓跟踪!$Y$2:$Y$157&lt;&gt;"")),持仓跟踪!$Y$2:$Y$157),""))</f>
        <v/>
      </c>
      <c r="L73" s="8" t="str">
        <f>IF(A73="","",IFERROR(LOOKUP(2,1/((持仓跟踪!$B$2:$B$157=A73)*(持仓跟踪!$X$2:$X$157="执行卖出")*(持仓跟踪!$Z$2:$Z$157&lt;&gt;"")),持仓跟踪!$Z$2:$Z$157),""))</f>
        <v/>
      </c>
      <c r="M73" s="18" t="str">
        <f>IF(A73="","",IFERROR(LOOKUP(2,1/((持仓跟踪!$B$2:$B$157=A73)*(持仓跟踪!$X$2:$X$157="执行卖出")*(持仓跟踪!$H$2:$H$157&lt;&gt;"")),持仓跟踪!$H$2:$H$157),""))</f>
        <v/>
      </c>
      <c r="N73" s="10"/>
      <c r="O73" s="10"/>
      <c r="P73" s="5" t="str">
        <f>IF(A73="","",IFERROR(LOOKUP(2,1/((持仓跟踪!$B$2:$B$157=A73)*(持仓跟踪!$X$2:$X$157="执行卖出")*(持仓跟踪!$AA$2:$AA$157&lt;&gt;"")),持仓跟踪!$AA$2:$AA$157),""))</f>
        <v/>
      </c>
      <c r="Q73" s="2"/>
      <c r="R73" s="2"/>
      <c r="S73" s="2"/>
      <c r="T73" s="2"/>
      <c r="U73" s="7" t="str">
        <f t="shared" si="23"/>
        <v/>
      </c>
      <c r="V73" s="7" t="str">
        <f t="shared" si="24"/>
        <v/>
      </c>
      <c r="W73" s="17" t="str">
        <f t="shared" si="25"/>
        <v/>
      </c>
      <c r="X73" s="5" t="str">
        <f t="shared" si="26"/>
        <v/>
      </c>
      <c r="Y73" s="7" t="str">
        <f t="shared" si="27"/>
        <v/>
      </c>
      <c r="Z73" s="7" t="str">
        <f>IF(OR(AE73="",多次统计数据!$B$8=""),"",AE73-多次统计数据!$B$8)</f>
        <v/>
      </c>
      <c r="AA73" s="11" t="str">
        <f t="shared" si="28"/>
        <v/>
      </c>
      <c r="AB73" s="7" t="str">
        <f>IF(OR(A73="",多次统计数据!$B$8="",多次统计数据!$B$6&lt;=0,多次统计数据!$B$6&gt;=1),"",1-POWER(1+多次统计数据!$B$8,-多次统计数据!$B$6/(1-多次统计数据!$B$6)))</f>
        <v/>
      </c>
      <c r="AC73" s="8" t="str">
        <f>IF(OR(AB73="",多次统计数据!$B$9=""),"",IF(多次统计数据!$B$9&lt;AB73,"低于上限","达到或超过上限"))</f>
        <v/>
      </c>
      <c r="AD73" s="2"/>
      <c r="AE73" s="7" t="str">
        <f t="shared" si="29"/>
        <v/>
      </c>
      <c r="AG73" s="2"/>
      <c r="AH73" s="2"/>
      <c r="AI73" s="2"/>
      <c r="AJ73" s="8" t="str">
        <f t="shared" si="30"/>
        <v/>
      </c>
      <c r="AK73" s="10"/>
      <c r="AL73" s="12"/>
      <c r="AM73" s="10"/>
      <c r="AN73" s="12"/>
      <c r="AO73" s="5" t="str">
        <f t="shared" si="31"/>
        <v/>
      </c>
      <c r="AP73" s="11" t="str">
        <f t="shared" si="32"/>
        <v/>
      </c>
      <c r="AQ73" s="5" t="str">
        <f>IF(A73="","",IF(M73&lt;&gt;"",0,IF(OR(H73="",N73=""),"",MAX(E73-MAX(N73,IFERROR(SUMPRODUCT(MAX(((持仓跟踪!$A$2:$A$157="每日跟踪")*(持仓跟踪!$B$2:$B$157=A73))*持仓跟踪!$S$2:$S$157)),0)),0)*H73+IF(OR(AK73="",AL73=""),0,MAX(AK73-MAX(N73,IFERROR(SUMPRODUCT(MAX(((持仓跟踪!$A$2:$A$157="每日跟踪")*(持仓跟踪!$B$2:$B$157=A73))*持仓跟踪!$S$2:$S$157)),0)),0)*AL73)+IF(OR(AM73="",AN73=""),0,MAX(AM73-MAX(N73,IFERROR(SUMPRODUCT(MAX(((持仓跟踪!$A$2:$A$157="每日跟踪")*(持仓跟踪!$B$2:$B$157=A73))*持仓跟踪!$S$2:$S$157)),0)),0)*AN73))))</f>
        <v/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$88)&gt;账户数据!$B$7,"违规：超过账户风险上限","通过")))))))))</f>
        <v/>
      </c>
    </row>
    <row r="74" spans="1:44" x14ac:dyDescent="0.15">
      <c r="A74" s="2"/>
      <c r="B74" s="2"/>
      <c r="C74" s="10"/>
      <c r="D74" s="6"/>
      <c r="E74" s="10"/>
      <c r="F74" s="8" t="str">
        <f t="shared" si="22"/>
        <v/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$157,"止损计划",持仓跟踪!$B$2:$B$157,A74,持仓跟踪!$AC$2:$AC$157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4" s="2"/>
      <c r="I74" s="15"/>
      <c r="J74" s="10"/>
      <c r="K74" s="5" t="str">
        <f>IF(A74="","",IFERROR(LOOKUP(2,1/((持仓跟踪!$B$2:$B$157=A74)*(持仓跟踪!$X$2:$X$157="执行卖出")*(持仓跟踪!$Y$2:$Y$157&lt;&gt;"")),持仓跟踪!$Y$2:$Y$157),""))</f>
        <v/>
      </c>
      <c r="L74" s="8" t="str">
        <f>IF(A74="","",IFERROR(LOOKUP(2,1/((持仓跟踪!$B$2:$B$157=A74)*(持仓跟踪!$X$2:$X$157="执行卖出")*(持仓跟踪!$Z$2:$Z$157&lt;&gt;"")),持仓跟踪!$Z$2:$Z$157),""))</f>
        <v/>
      </c>
      <c r="M74" s="18" t="str">
        <f>IF(A74="","",IFERROR(LOOKUP(2,1/((持仓跟踪!$B$2:$B$157=A74)*(持仓跟踪!$X$2:$X$157="执行卖出")*(持仓跟踪!$H$2:$H$157&lt;&gt;"")),持仓跟踪!$H$2:$H$157),""))</f>
        <v/>
      </c>
      <c r="N74" s="10"/>
      <c r="O74" s="10"/>
      <c r="P74" s="5" t="str">
        <f>IF(A74="","",IFERROR(LOOKUP(2,1/((持仓跟踪!$B$2:$B$157=A74)*(持仓跟踪!$X$2:$X$157="执行卖出")*(持仓跟踪!$AA$2:$AA$157&lt;&gt;"")),持仓跟踪!$AA$2:$AA$157),""))</f>
        <v/>
      </c>
      <c r="Q74" s="2"/>
      <c r="R74" s="2"/>
      <c r="S74" s="2"/>
      <c r="T74" s="2"/>
      <c r="U74" s="7" t="str">
        <f t="shared" si="23"/>
        <v/>
      </c>
      <c r="V74" s="7" t="str">
        <f t="shared" si="24"/>
        <v/>
      </c>
      <c r="W74" s="17" t="str">
        <f t="shared" si="25"/>
        <v/>
      </c>
      <c r="X74" s="5" t="str">
        <f t="shared" si="26"/>
        <v/>
      </c>
      <c r="Y74" s="7" t="str">
        <f t="shared" si="27"/>
        <v/>
      </c>
      <c r="Z74" s="7" t="str">
        <f>IF(OR(AE74="",多次统计数据!$B$8=""),"",AE74-多次统计数据!$B$8)</f>
        <v/>
      </c>
      <c r="AA74" s="11" t="str">
        <f t="shared" si="28"/>
        <v/>
      </c>
      <c r="AB74" s="7" t="str">
        <f>IF(OR(A74="",多次统计数据!$B$8="",多次统计数据!$B$6&lt;=0,多次统计数据!$B$6&gt;=1),"",1-POWER(1+多次统计数据!$B$8,-多次统计数据!$B$6/(1-多次统计数据!$B$6)))</f>
        <v/>
      </c>
      <c r="AC74" s="8" t="str">
        <f>IF(OR(AB74="",多次统计数据!$B$9=""),"",IF(多次统计数据!$B$9&lt;AB74,"低于上限","达到或超过上限"))</f>
        <v/>
      </c>
      <c r="AD74" s="2"/>
      <c r="AE74" s="7" t="str">
        <f t="shared" si="29"/>
        <v/>
      </c>
      <c r="AG74" s="2"/>
      <c r="AH74" s="2"/>
      <c r="AI74" s="2"/>
      <c r="AJ74" s="8" t="str">
        <f t="shared" si="30"/>
        <v/>
      </c>
      <c r="AK74" s="10"/>
      <c r="AL74" s="12"/>
      <c r="AM74" s="10"/>
      <c r="AN74" s="12"/>
      <c r="AO74" s="5" t="str">
        <f t="shared" si="31"/>
        <v/>
      </c>
      <c r="AP74" s="11" t="str">
        <f t="shared" si="32"/>
        <v/>
      </c>
      <c r="AQ74" s="5" t="str">
        <f>IF(A74="","",IF(M74&lt;&gt;"",0,IF(OR(H74="",N74=""),"",MAX(E74-MAX(N74,IFERROR(SUMPRODUCT(MAX(((持仓跟踪!$A$2:$A$157="每日跟踪")*(持仓跟踪!$B$2:$B$157=A74))*持仓跟踪!$S$2:$S$157)),0)),0)*H74+IF(OR(AK74="",AL74=""),0,MAX(AK74-MAX(N74,IFERROR(SUMPRODUCT(MAX(((持仓跟踪!$A$2:$A$157="每日跟踪")*(持仓跟踪!$B$2:$B$157=A74))*持仓跟踪!$S$2:$S$157)),0)),0)*AL74)+IF(OR(AM74="",AN74=""),0,MAX(AM74-MAX(N74,IFERROR(SUMPRODUCT(MAX(((持仓跟踪!$A$2:$A$157="每日跟踪")*(持仓跟踪!$B$2:$B$157=A74))*持仓跟踪!$S$2:$S$157)),0)),0)*AN74))))</f>
        <v/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$88)&gt;账户数据!$B$7,"违规：超过账户风险上限","通过")))))))))</f>
        <v/>
      </c>
    </row>
    <row r="75" spans="1:44" x14ac:dyDescent="0.15">
      <c r="A75" s="2"/>
      <c r="B75" s="2"/>
      <c r="C75" s="10"/>
      <c r="D75" s="6"/>
      <c r="E75" s="10"/>
      <c r="F75" s="8" t="str">
        <f t="shared" si="22"/>
        <v/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$157,"止损计划",持仓跟踪!$B$2:$B$157,A75,持仓跟踪!$AC$2:$AC$157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5" s="2"/>
      <c r="I75" s="15"/>
      <c r="J75" s="10"/>
      <c r="K75" s="5" t="str">
        <f>IF(A75="","",IFERROR(LOOKUP(2,1/((持仓跟踪!$B$2:$B$157=A75)*(持仓跟踪!$X$2:$X$157="执行卖出")*(持仓跟踪!$Y$2:$Y$157&lt;&gt;"")),持仓跟踪!$Y$2:$Y$157),""))</f>
        <v/>
      </c>
      <c r="L75" s="8" t="str">
        <f>IF(A75="","",IFERROR(LOOKUP(2,1/((持仓跟踪!$B$2:$B$157=A75)*(持仓跟踪!$X$2:$X$157="执行卖出")*(持仓跟踪!$Z$2:$Z$157&lt;&gt;"")),持仓跟踪!$Z$2:$Z$157),""))</f>
        <v/>
      </c>
      <c r="M75" s="18" t="str">
        <f>IF(A75="","",IFERROR(LOOKUP(2,1/((持仓跟踪!$B$2:$B$157=A75)*(持仓跟踪!$X$2:$X$157="执行卖出")*(持仓跟踪!$H$2:$H$157&lt;&gt;"")),持仓跟踪!$H$2:$H$157),""))</f>
        <v/>
      </c>
      <c r="N75" s="10"/>
      <c r="O75" s="10"/>
      <c r="P75" s="5" t="str">
        <f>IF(A75="","",IFERROR(LOOKUP(2,1/((持仓跟踪!$B$2:$B$157=A75)*(持仓跟踪!$X$2:$X$157="执行卖出")*(持仓跟踪!$AA$2:$AA$157&lt;&gt;"")),持仓跟踪!$AA$2:$AA$157),""))</f>
        <v/>
      </c>
      <c r="Q75" s="2"/>
      <c r="R75" s="2"/>
      <c r="S75" s="2"/>
      <c r="T75" s="2"/>
      <c r="U75" s="7" t="str">
        <f t="shared" si="23"/>
        <v/>
      </c>
      <c r="V75" s="7" t="str">
        <f t="shared" si="24"/>
        <v/>
      </c>
      <c r="W75" s="17" t="str">
        <f t="shared" si="25"/>
        <v/>
      </c>
      <c r="X75" s="5" t="str">
        <f t="shared" si="26"/>
        <v/>
      </c>
      <c r="Y75" s="7" t="str">
        <f t="shared" si="27"/>
        <v/>
      </c>
      <c r="Z75" s="7" t="str">
        <f>IF(OR(AE75="",多次统计数据!$B$8=""),"",AE75-多次统计数据!$B$8)</f>
        <v/>
      </c>
      <c r="AA75" s="11" t="str">
        <f t="shared" si="28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29"/>
        <v/>
      </c>
      <c r="AG75" s="2"/>
      <c r="AH75" s="2"/>
      <c r="AI75" s="2"/>
      <c r="AJ75" s="8" t="str">
        <f t="shared" si="30"/>
        <v/>
      </c>
      <c r="AK75" s="10"/>
      <c r="AL75" s="12"/>
      <c r="AM75" s="10"/>
      <c r="AN75" s="12"/>
      <c r="AO75" s="5" t="str">
        <f t="shared" si="31"/>
        <v/>
      </c>
      <c r="AP75" s="11" t="str">
        <f t="shared" si="32"/>
        <v/>
      </c>
      <c r="AQ75" s="5" t="str">
        <f>IF(A75="","",IF(M75&lt;&gt;"",0,IF(OR(H75="",N75=""),"",MAX(E75-MAX(N75,IFERROR(SUMPRODUCT(MAX(((持仓跟踪!$A$2:$A$157="每日跟踪")*(持仓跟踪!$B$2:$B$157=A75))*持仓跟踪!$S$2:$S$157)),0)),0)*H75+IF(OR(AK75="",AL75=""),0,MAX(AK75-MAX(N75,IFERROR(SUMPRODUCT(MAX(((持仓跟踪!$A$2:$A$157="每日跟踪")*(持仓跟踪!$B$2:$B$157=A75))*持仓跟踪!$S$2:$S$157)),0)),0)*AL75)+IF(OR(AM75="",AN75=""),0,MAX(AM75-MAX(N75,IFERROR(SUMPRODUCT(MAX(((持仓跟踪!$A$2:$A$157="每日跟踪")*(持仓跟踪!$B$2:$B$157=A75))*持仓跟踪!$S$2:$S$157)),0)),0)*AN75))))</f>
        <v/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$88)&gt;账户数据!$B$7,"违规：超过账户风险上限","通过")))))))))</f>
        <v/>
      </c>
    </row>
    <row r="76" spans="1:44" x14ac:dyDescent="0.15">
      <c r="A76" s="2"/>
      <c r="B76" s="2"/>
      <c r="C76" s="10"/>
      <c r="D76" s="6"/>
      <c r="E76" s="10"/>
      <c r="F76" s="8" t="str">
        <f t="shared" si="22"/>
        <v/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$157,"止损计划",持仓跟踪!$B$2:$B$157,A76,持仓跟踪!$AC$2:$AC$157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6" s="2"/>
      <c r="I76" s="15"/>
      <c r="J76" s="10"/>
      <c r="K76" s="5" t="str">
        <f>IF(A76="","",IFERROR(LOOKUP(2,1/((持仓跟踪!$B$2:$B$157=A76)*(持仓跟踪!$X$2:$X$157="执行卖出")*(持仓跟踪!$Y$2:$Y$157&lt;&gt;"")),持仓跟踪!$Y$2:$Y$157),""))</f>
        <v/>
      </c>
      <c r="L76" s="8" t="str">
        <f>IF(A76="","",IFERROR(LOOKUP(2,1/((持仓跟踪!$B$2:$B$157=A76)*(持仓跟踪!$X$2:$X$157="执行卖出")*(持仓跟踪!$Z$2:$Z$157&lt;&gt;"")),持仓跟踪!$Z$2:$Z$157),""))</f>
        <v/>
      </c>
      <c r="M76" s="18" t="str">
        <f>IF(A76="","",IFERROR(LOOKUP(2,1/((持仓跟踪!$B$2:$B$157=A76)*(持仓跟踪!$X$2:$X$157="执行卖出")*(持仓跟踪!$H$2:$H$157&lt;&gt;"")),持仓跟踪!$H$2:$H$157),""))</f>
        <v/>
      </c>
      <c r="N76" s="10"/>
      <c r="O76" s="10"/>
      <c r="P76" s="5" t="str">
        <f>IF(A76="","",IFERROR(LOOKUP(2,1/((持仓跟踪!$B$2:$B$157=A76)*(持仓跟踪!$X$2:$X$157="执行卖出")*(持仓跟踪!$AA$2:$AA$157&lt;&gt;"")),持仓跟踪!$AA$2:$AA$157),""))</f>
        <v/>
      </c>
      <c r="Q76" s="2"/>
      <c r="R76" s="2"/>
      <c r="S76" s="2"/>
      <c r="T76" s="2"/>
      <c r="U76" s="7" t="str">
        <f t="shared" si="23"/>
        <v/>
      </c>
      <c r="V76" s="7" t="str">
        <f t="shared" si="24"/>
        <v/>
      </c>
      <c r="W76" s="17" t="str">
        <f t="shared" si="25"/>
        <v/>
      </c>
      <c r="X76" s="5" t="str">
        <f t="shared" si="26"/>
        <v/>
      </c>
      <c r="Y76" s="7" t="str">
        <f t="shared" si="27"/>
        <v/>
      </c>
      <c r="Z76" s="7" t="str">
        <f>IF(OR(AE76="",多次统计数据!$B$8=""),"",AE76-多次统计数据!$B$8)</f>
        <v/>
      </c>
      <c r="AA76" s="11" t="str">
        <f t="shared" si="28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29"/>
        <v/>
      </c>
      <c r="AG76" s="2"/>
      <c r="AH76" s="2"/>
      <c r="AI76" s="2"/>
      <c r="AJ76" s="8" t="str">
        <f t="shared" si="30"/>
        <v/>
      </c>
      <c r="AK76" s="10"/>
      <c r="AL76" s="12"/>
      <c r="AM76" s="10"/>
      <c r="AN76" s="12"/>
      <c r="AO76" s="5" t="str">
        <f t="shared" si="31"/>
        <v/>
      </c>
      <c r="AP76" s="11" t="str">
        <f t="shared" si="32"/>
        <v/>
      </c>
      <c r="AQ76" s="5" t="str">
        <f>IF(A76="","",IF(M76&lt;&gt;"",0,IF(OR(H76="",N76=""),"",MAX(E76-MAX(N76,IFERROR(SUMPRODUCT(MAX(((持仓跟踪!$A$2:$A$157="每日跟踪")*(持仓跟踪!$B$2:$B$157=A76))*持仓跟踪!$S$2:$S$157)),0)),0)*H76+IF(OR(AK76="",AL76=""),0,MAX(AK76-MAX(N76,IFERROR(SUMPRODUCT(MAX(((持仓跟踪!$A$2:$A$157="每日跟踪")*(持仓跟踪!$B$2:$B$157=A76))*持仓跟踪!$S$2:$S$157)),0)),0)*AL76)+IF(OR(AM76="",AN76=""),0,MAX(AM76-MAX(N76,IFERROR(SUMPRODUCT(MAX(((持仓跟踪!$A$2:$A$157="每日跟踪")*(持仓跟踪!$B$2:$B$157=A76))*持仓跟踪!$S$2:$S$157)),0)),0)*AN76))))</f>
        <v/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$88)&gt;账户数据!$B$7,"违规：超过账户风险上限","通过")))))))))</f>
        <v/>
      </c>
    </row>
    <row r="77" spans="1:44" x14ac:dyDescent="0.15">
      <c r="A77" s="2"/>
      <c r="B77" s="2"/>
      <c r="C77" s="10"/>
      <c r="D77" s="6"/>
      <c r="E77" s="10"/>
      <c r="F77" s="8" t="str">
        <f t="shared" si="22"/>
        <v/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$157,"止损计划",持仓跟踪!$B$2:$B$157,A77,持仓跟踪!$AC$2:$AC$157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7" s="2"/>
      <c r="I77" s="15"/>
      <c r="J77" s="10"/>
      <c r="K77" s="5" t="str">
        <f>IF(A77="","",IFERROR(LOOKUP(2,1/((持仓跟踪!$B$2:$B$157=A77)*(持仓跟踪!$X$2:$X$157="执行卖出")*(持仓跟踪!$Y$2:$Y$157&lt;&gt;"")),持仓跟踪!$Y$2:$Y$157),""))</f>
        <v/>
      </c>
      <c r="L77" s="8" t="str">
        <f>IF(A77="","",IFERROR(LOOKUP(2,1/((持仓跟踪!$B$2:$B$157=A77)*(持仓跟踪!$X$2:$X$157="执行卖出")*(持仓跟踪!$Z$2:$Z$157&lt;&gt;"")),持仓跟踪!$Z$2:$Z$157),""))</f>
        <v/>
      </c>
      <c r="M77" s="18" t="str">
        <f>IF(A77="","",IFERROR(LOOKUP(2,1/((持仓跟踪!$B$2:$B$157=A77)*(持仓跟踪!$X$2:$X$157="执行卖出")*(持仓跟踪!$H$2:$H$157&lt;&gt;"")),持仓跟踪!$H$2:$H$157),""))</f>
        <v/>
      </c>
      <c r="N77" s="10"/>
      <c r="O77" s="10"/>
      <c r="P77" s="5" t="str">
        <f>IF(A77="","",IFERROR(LOOKUP(2,1/((持仓跟踪!$B$2:$B$157=A77)*(持仓跟踪!$X$2:$X$157="执行卖出")*(持仓跟踪!$AA$2:$AA$157&lt;&gt;"")),持仓跟踪!$AA$2:$AA$157),""))</f>
        <v/>
      </c>
      <c r="Q77" s="2"/>
      <c r="R77" s="2"/>
      <c r="S77" s="2"/>
      <c r="T77" s="2"/>
      <c r="U77" s="7" t="str">
        <f t="shared" si="23"/>
        <v/>
      </c>
      <c r="V77" s="7" t="str">
        <f t="shared" si="24"/>
        <v/>
      </c>
      <c r="W77" s="17" t="str">
        <f t="shared" si="25"/>
        <v/>
      </c>
      <c r="X77" s="5" t="str">
        <f t="shared" si="26"/>
        <v/>
      </c>
      <c r="Y77" s="7" t="str">
        <f t="shared" si="27"/>
        <v/>
      </c>
      <c r="Z77" s="7" t="str">
        <f>IF(OR(AE77="",多次统计数据!$B$8=""),"",AE77-多次统计数据!$B$8)</f>
        <v/>
      </c>
      <c r="AA77" s="11" t="str">
        <f t="shared" si="28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29"/>
        <v/>
      </c>
      <c r="AG77" s="2"/>
      <c r="AH77" s="2"/>
      <c r="AI77" s="2"/>
      <c r="AJ77" s="8" t="str">
        <f t="shared" si="30"/>
        <v/>
      </c>
      <c r="AK77" s="10"/>
      <c r="AL77" s="12"/>
      <c r="AM77" s="10"/>
      <c r="AN77" s="12"/>
      <c r="AO77" s="5" t="str">
        <f t="shared" si="31"/>
        <v/>
      </c>
      <c r="AP77" s="11" t="str">
        <f t="shared" si="32"/>
        <v/>
      </c>
      <c r="AQ77" s="5" t="str">
        <f>IF(A77="","",IF(M77&lt;&gt;"",0,IF(OR(H77="",N77=""),"",MAX(E77-MAX(N77,IFERROR(SUMPRODUCT(MAX(((持仓跟踪!$A$2:$A$157="每日跟踪")*(持仓跟踪!$B$2:$B$157=A77))*持仓跟踪!$S$2:$S$157)),0)),0)*H77+IF(OR(AK77="",AL77=""),0,MAX(AK77-MAX(N77,IFERROR(SUMPRODUCT(MAX(((持仓跟踪!$A$2:$A$157="每日跟踪")*(持仓跟踪!$B$2:$B$157=A77))*持仓跟踪!$S$2:$S$157)),0)),0)*AL77)+IF(OR(AM77="",AN77=""),0,MAX(AM77-MAX(N77,IFERROR(SUMPRODUCT(MAX(((持仓跟踪!$A$2:$A$157="每日跟踪")*(持仓跟踪!$B$2:$B$157=A77))*持仓跟踪!$S$2:$S$157)),0)),0)*AN77))))</f>
        <v/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$88)&gt;账户数据!$B$7,"违规：超过账户风险上限","通过")))))))))</f>
        <v/>
      </c>
    </row>
    <row r="78" spans="1:44" x14ac:dyDescent="0.15">
      <c r="A78" s="2"/>
      <c r="B78" s="2"/>
      <c r="C78" s="10"/>
      <c r="D78" s="6"/>
      <c r="E78" s="10"/>
      <c r="F78" s="8" t="str">
        <f t="shared" si="22"/>
        <v/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$157,"止损计划",持仓跟踪!$B$2:$B$157,A78,持仓跟踪!$AC$2:$AC$157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8" s="2"/>
      <c r="I78" s="15"/>
      <c r="J78" s="10"/>
      <c r="K78" s="5" t="str">
        <f>IF(A78="","",IFERROR(LOOKUP(2,1/((持仓跟踪!$B$2:$B$157=A78)*(持仓跟踪!$X$2:$X$157="执行卖出")*(持仓跟踪!$Y$2:$Y$157&lt;&gt;"")),持仓跟踪!$Y$2:$Y$157),""))</f>
        <v/>
      </c>
      <c r="L78" s="8" t="str">
        <f>IF(A78="","",IFERROR(LOOKUP(2,1/((持仓跟踪!$B$2:$B$157=A78)*(持仓跟踪!$X$2:$X$157="执行卖出")*(持仓跟踪!$Z$2:$Z$157&lt;&gt;"")),持仓跟踪!$Z$2:$Z$157),""))</f>
        <v/>
      </c>
      <c r="M78" s="18" t="str">
        <f>IF(A78="","",IFERROR(LOOKUP(2,1/((持仓跟踪!$B$2:$B$157=A78)*(持仓跟踪!$X$2:$X$157="执行卖出")*(持仓跟踪!$H$2:$H$157&lt;&gt;"")),持仓跟踪!$H$2:$H$157),""))</f>
        <v/>
      </c>
      <c r="N78" s="10"/>
      <c r="O78" s="10"/>
      <c r="P78" s="5" t="str">
        <f>IF(A78="","",IFERROR(LOOKUP(2,1/((持仓跟踪!$B$2:$B$157=A78)*(持仓跟踪!$X$2:$X$157="执行卖出")*(持仓跟踪!$AA$2:$AA$157&lt;&gt;"")),持仓跟踪!$AA$2:$AA$157),""))</f>
        <v/>
      </c>
      <c r="Q78" s="2"/>
      <c r="R78" s="2"/>
      <c r="S78" s="2"/>
      <c r="T78" s="2"/>
      <c r="U78" s="7" t="str">
        <f t="shared" si="23"/>
        <v/>
      </c>
      <c r="V78" s="7" t="str">
        <f t="shared" si="24"/>
        <v/>
      </c>
      <c r="W78" s="17" t="str">
        <f t="shared" si="25"/>
        <v/>
      </c>
      <c r="X78" s="5" t="str">
        <f t="shared" si="26"/>
        <v/>
      </c>
      <c r="Y78" s="7" t="str">
        <f t="shared" si="27"/>
        <v/>
      </c>
      <c r="Z78" s="7" t="str">
        <f>IF(OR(AE78="",多次统计数据!$B$8=""),"",AE78-多次统计数据!$B$8)</f>
        <v/>
      </c>
      <c r="AA78" s="11" t="str">
        <f t="shared" si="28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29"/>
        <v/>
      </c>
      <c r="AG78" s="2"/>
      <c r="AH78" s="2"/>
      <c r="AI78" s="2"/>
      <c r="AJ78" s="8" t="str">
        <f t="shared" si="30"/>
        <v/>
      </c>
      <c r="AK78" s="10"/>
      <c r="AL78" s="12"/>
      <c r="AM78" s="10"/>
      <c r="AN78" s="12"/>
      <c r="AO78" s="5" t="str">
        <f t="shared" si="31"/>
        <v/>
      </c>
      <c r="AP78" s="11" t="str">
        <f t="shared" si="32"/>
        <v/>
      </c>
      <c r="AQ78" s="5" t="str">
        <f>IF(A78="","",IF(M78&lt;&gt;"",0,IF(OR(H78="",N78=""),"",MAX(E78-MAX(N78,IFERROR(SUMPRODUCT(MAX(((持仓跟踪!$A$2:$A$157="每日跟踪")*(持仓跟踪!$B$2:$B$157=A78))*持仓跟踪!$S$2:$S$157)),0)),0)*H78+IF(OR(AK78="",AL78=""),0,MAX(AK78-MAX(N78,IFERROR(SUMPRODUCT(MAX(((持仓跟踪!$A$2:$A$157="每日跟踪")*(持仓跟踪!$B$2:$B$157=A78))*持仓跟踪!$S$2:$S$157)),0)),0)*AL78)+IF(OR(AM78="",AN78=""),0,MAX(AM78-MAX(N78,IFERROR(SUMPRODUCT(MAX(((持仓跟踪!$A$2:$A$157="每日跟踪")*(持仓跟踪!$B$2:$B$157=A78))*持仓跟踪!$S$2:$S$157)),0)),0)*AN78))))</f>
        <v/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$88)&gt;账户数据!$B$7,"违规：超过账户风险上限","通过")))))))))</f>
        <v/>
      </c>
    </row>
    <row r="79" spans="1:44" x14ac:dyDescent="0.15">
      <c r="A79" s="2"/>
      <c r="B79" s="2"/>
      <c r="C79" s="10"/>
      <c r="D79" s="6"/>
      <c r="E79" s="10"/>
      <c r="F79" s="8" t="str">
        <f t="shared" si="22"/>
        <v/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$157,"止损计划",持仓跟踪!$B$2:$B$157,A79,持仓跟踪!$AC$2:$AC$157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79" s="2"/>
      <c r="I79" s="15"/>
      <c r="J79" s="10"/>
      <c r="K79" s="5" t="str">
        <f>IF(A79="","",IFERROR(LOOKUP(2,1/((持仓跟踪!$B$2:$B$157=A79)*(持仓跟踪!$X$2:$X$157="执行卖出")*(持仓跟踪!$Y$2:$Y$157&lt;&gt;"")),持仓跟踪!$Y$2:$Y$157),""))</f>
        <v/>
      </c>
      <c r="L79" s="8" t="str">
        <f>IF(A79="","",IFERROR(LOOKUP(2,1/((持仓跟踪!$B$2:$B$157=A79)*(持仓跟踪!$X$2:$X$157="执行卖出")*(持仓跟踪!$Z$2:$Z$157&lt;&gt;"")),持仓跟踪!$Z$2:$Z$157),""))</f>
        <v/>
      </c>
      <c r="M79" s="18" t="str">
        <f>IF(A79="","",IFERROR(LOOKUP(2,1/((持仓跟踪!$B$2:$B$157=A79)*(持仓跟踪!$X$2:$X$157="执行卖出")*(持仓跟踪!$H$2:$H$157&lt;&gt;"")),持仓跟踪!$H$2:$H$157),""))</f>
        <v/>
      </c>
      <c r="N79" s="10"/>
      <c r="O79" s="10"/>
      <c r="P79" s="5" t="str">
        <f>IF(A79="","",IFERROR(LOOKUP(2,1/((持仓跟踪!$B$2:$B$157=A79)*(持仓跟踪!$X$2:$X$157="执行卖出")*(持仓跟踪!$AA$2:$AA$157&lt;&gt;"")),持仓跟踪!$AA$2:$AA$157),""))</f>
        <v/>
      </c>
      <c r="Q79" s="2"/>
      <c r="R79" s="2"/>
      <c r="S79" s="2"/>
      <c r="T79" s="2"/>
      <c r="U79" s="7" t="str">
        <f t="shared" si="23"/>
        <v/>
      </c>
      <c r="V79" s="7" t="str">
        <f t="shared" si="24"/>
        <v/>
      </c>
      <c r="W79" s="17" t="str">
        <f t="shared" si="25"/>
        <v/>
      </c>
      <c r="X79" s="5" t="str">
        <f t="shared" si="26"/>
        <v/>
      </c>
      <c r="Y79" s="7" t="str">
        <f t="shared" si="27"/>
        <v/>
      </c>
      <c r="Z79" s="7" t="str">
        <f>IF(OR(AE79="",多次统计数据!$B$8=""),"",AE79-多次统计数据!$B$8)</f>
        <v/>
      </c>
      <c r="AA79" s="11" t="str">
        <f t="shared" si="28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29"/>
        <v/>
      </c>
      <c r="AG79" s="2"/>
      <c r="AH79" s="2"/>
      <c r="AI79" s="2"/>
      <c r="AJ79" s="8" t="str">
        <f t="shared" si="30"/>
        <v/>
      </c>
      <c r="AK79" s="10"/>
      <c r="AL79" s="12"/>
      <c r="AM79" s="10"/>
      <c r="AN79" s="12"/>
      <c r="AO79" s="5" t="str">
        <f t="shared" si="31"/>
        <v/>
      </c>
      <c r="AP79" s="11" t="str">
        <f t="shared" si="32"/>
        <v/>
      </c>
      <c r="AQ79" s="5" t="str">
        <f>IF(A79="","",IF(M79&lt;&gt;"",0,IF(OR(H79="",N79=""),"",MAX(E79-MAX(N79,IFERROR(SUMPRODUCT(MAX(((持仓跟踪!$A$2:$A$157="每日跟踪")*(持仓跟踪!$B$2:$B$157=A79))*持仓跟踪!$S$2:$S$157)),0)),0)*H79+IF(OR(AK79="",AL79=""),0,MAX(AK79-MAX(N79,IFERROR(SUMPRODUCT(MAX(((持仓跟踪!$A$2:$A$157="每日跟踪")*(持仓跟踪!$B$2:$B$157=A79))*持仓跟踪!$S$2:$S$157)),0)),0)*AL79)+IF(OR(AM79="",AN79=""),0,MAX(AM79-MAX(N79,IFERROR(SUMPRODUCT(MAX(((持仓跟踪!$A$2:$A$157="每日跟踪")*(持仓跟踪!$B$2:$B$157=A79))*持仓跟踪!$S$2:$S$157)),0)),0)*AN79))))</f>
        <v/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$88)&gt;账户数据!$B$7,"违规：超过账户风险上限","通过")))))))))</f>
        <v/>
      </c>
    </row>
    <row r="80" spans="1:44" x14ac:dyDescent="0.15">
      <c r="A80" s="2"/>
      <c r="B80" s="2"/>
      <c r="C80" s="10"/>
      <c r="D80" s="6"/>
      <c r="E80" s="10"/>
      <c r="F80" s="8" t="str">
        <f t="shared" si="22"/>
        <v/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$157,"止损计划",持仓跟踪!$B$2:$B$157,A80,持仓跟踪!$AC$2:$AC$157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0" s="2"/>
      <c r="I80" s="15"/>
      <c r="J80" s="10"/>
      <c r="K80" s="5" t="str">
        <f>IF(A80="","",IFERROR(LOOKUP(2,1/((持仓跟踪!$B$2:$B$157=A80)*(持仓跟踪!$X$2:$X$157="执行卖出")*(持仓跟踪!$Y$2:$Y$157&lt;&gt;"")),持仓跟踪!$Y$2:$Y$157),""))</f>
        <v/>
      </c>
      <c r="L80" s="8" t="str">
        <f>IF(A80="","",IFERROR(LOOKUP(2,1/((持仓跟踪!$B$2:$B$157=A80)*(持仓跟踪!$X$2:$X$157="执行卖出")*(持仓跟踪!$Z$2:$Z$157&lt;&gt;"")),持仓跟踪!$Z$2:$Z$157),""))</f>
        <v/>
      </c>
      <c r="M80" s="18" t="str">
        <f>IF(A80="","",IFERROR(LOOKUP(2,1/((持仓跟踪!$B$2:$B$157=A80)*(持仓跟踪!$X$2:$X$157="执行卖出")*(持仓跟踪!$H$2:$H$157&lt;&gt;"")),持仓跟踪!$H$2:$H$157),""))</f>
        <v/>
      </c>
      <c r="N80" s="10"/>
      <c r="O80" s="10"/>
      <c r="P80" s="5" t="str">
        <f>IF(A80="","",IFERROR(LOOKUP(2,1/((持仓跟踪!$B$2:$B$157=A80)*(持仓跟踪!$X$2:$X$157="执行卖出")*(持仓跟踪!$AA$2:$AA$157&lt;&gt;"")),持仓跟踪!$AA$2:$AA$157),""))</f>
        <v/>
      </c>
      <c r="Q80" s="2"/>
      <c r="R80" s="2"/>
      <c r="S80" s="2"/>
      <c r="T80" s="2"/>
      <c r="U80" s="7" t="str">
        <f t="shared" si="23"/>
        <v/>
      </c>
      <c r="V80" s="7" t="str">
        <f t="shared" si="24"/>
        <v/>
      </c>
      <c r="W80" s="17" t="str">
        <f t="shared" si="25"/>
        <v/>
      </c>
      <c r="X80" s="5" t="str">
        <f t="shared" si="26"/>
        <v/>
      </c>
      <c r="Y80" s="7" t="str">
        <f t="shared" si="27"/>
        <v/>
      </c>
      <c r="Z80" s="7" t="str">
        <f>IF(OR(AE80="",多次统计数据!$B$8=""),"",AE80-多次统计数据!$B$8)</f>
        <v/>
      </c>
      <c r="AA80" s="11" t="str">
        <f t="shared" si="28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29"/>
        <v/>
      </c>
      <c r="AG80" s="2"/>
      <c r="AH80" s="2"/>
      <c r="AI80" s="2"/>
      <c r="AJ80" s="8" t="str">
        <f t="shared" si="30"/>
        <v/>
      </c>
      <c r="AK80" s="10"/>
      <c r="AL80" s="12"/>
      <c r="AM80" s="10"/>
      <c r="AN80" s="12"/>
      <c r="AO80" s="5" t="str">
        <f t="shared" si="31"/>
        <v/>
      </c>
      <c r="AP80" s="11" t="str">
        <f t="shared" si="32"/>
        <v/>
      </c>
      <c r="AQ80" s="5" t="str">
        <f>IF(A80="","",IF(M80&lt;&gt;"",0,IF(OR(H80="",N80=""),"",MAX(E80-MAX(N80,IFERROR(SUMPRODUCT(MAX(((持仓跟踪!$A$2:$A$157="每日跟踪")*(持仓跟踪!$B$2:$B$157=A80))*持仓跟踪!$S$2:$S$157)),0)),0)*H80+IF(OR(AK80="",AL80=""),0,MAX(AK80-MAX(N80,IFERROR(SUMPRODUCT(MAX(((持仓跟踪!$A$2:$A$157="每日跟踪")*(持仓跟踪!$B$2:$B$157=A80))*持仓跟踪!$S$2:$S$157)),0)),0)*AL80)+IF(OR(AM80="",AN80=""),0,MAX(AM80-MAX(N80,IFERROR(SUMPRODUCT(MAX(((持仓跟踪!$A$2:$A$157="每日跟踪")*(持仓跟踪!$B$2:$B$157=A80))*持仓跟踪!$S$2:$S$157)),0)),0)*AN80))))</f>
        <v/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$88)&gt;账户数据!$B$7,"违规：超过账户风险上限","通过")))))))))</f>
        <v/>
      </c>
    </row>
    <row r="81" spans="1:44" x14ac:dyDescent="0.15">
      <c r="A81" s="2"/>
      <c r="B81" s="2"/>
      <c r="C81" s="10"/>
      <c r="D81" s="6"/>
      <c r="E81" s="10"/>
      <c r="F81" s="8" t="str">
        <f t="shared" ref="F81:F88" si="33">IF(OR(C81="",D81="",E81="",N81="",C81&lt;=0,D81&lt;=0,E81&lt;=N81),"",ROUNDDOWN((C81*D81)/(E81-N81)/100,0)*100)</f>
        <v/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$157,"止损计划",持仓跟踪!$B$2:$B$157,A81,持仓跟踪!$AC$2:$AC$157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1" s="2"/>
      <c r="I81" s="15"/>
      <c r="J81" s="10"/>
      <c r="K81" s="5" t="str">
        <f>IF(A81="","",IFERROR(LOOKUP(2,1/((持仓跟踪!$B$2:$B$157=A81)*(持仓跟踪!$X$2:$X$157="执行卖出")*(持仓跟踪!$Y$2:$Y$157&lt;&gt;"")),持仓跟踪!$Y$2:$Y$157),""))</f>
        <v/>
      </c>
      <c r="L81" s="8" t="str">
        <f>IF(A81="","",IFERROR(LOOKUP(2,1/((持仓跟踪!$B$2:$B$157=A81)*(持仓跟踪!$X$2:$X$157="执行卖出")*(持仓跟踪!$Z$2:$Z$157&lt;&gt;"")),持仓跟踪!$Z$2:$Z$157),""))</f>
        <v/>
      </c>
      <c r="M81" s="18" t="str">
        <f>IF(A81="","",IFERROR(LOOKUP(2,1/((持仓跟踪!$B$2:$B$157=A81)*(持仓跟踪!$X$2:$X$157="执行卖出")*(持仓跟踪!$H$2:$H$157&lt;&gt;"")),持仓跟踪!$H$2:$H$157),""))</f>
        <v/>
      </c>
      <c r="N81" s="10"/>
      <c r="O81" s="10"/>
      <c r="P81" s="5" t="str">
        <f>IF(A81="","",IFERROR(LOOKUP(2,1/((持仓跟踪!$B$2:$B$157=A81)*(持仓跟踪!$X$2:$X$157="执行卖出")*(持仓跟踪!$AA$2:$AA$157&lt;&gt;"")),持仓跟踪!$AA$2:$AA$157),""))</f>
        <v/>
      </c>
      <c r="Q81" s="2"/>
      <c r="R81" s="2"/>
      <c r="S81" s="2"/>
      <c r="T81" s="2"/>
      <c r="U81" s="7" t="str">
        <f t="shared" ref="U81:U88" si="34">IF(OR(AO81="",J81="",AO81&lt;=0),"",(J81-AO81)/AO81)</f>
        <v/>
      </c>
      <c r="V81" s="7" t="str">
        <f t="shared" ref="V81:V88" si="35">IF(OR(AO81="",N81="",AO81&lt;=0),"",(AO81-N81)/AO81)</f>
        <v/>
      </c>
      <c r="W81" s="17" t="str">
        <f t="shared" ref="W81:W88" si="36">IF(OR(U81="",V81="",V81&lt;=0),"",U81/V81)</f>
        <v/>
      </c>
      <c r="X81" s="5" t="str">
        <f t="shared" ref="X81:X88" si="37">IF(OR(K81="",L81="",AP81=""),"",K81*L81-(E81*H81+IF(AND(AK81&lt;&gt;"",AL81&lt;&gt;""),AK81*AL81,0)+IF(AND(AM81&lt;&gt;"",AN81&lt;&gt;""),AM81*AN81,0))-IF(O81="",0,O81)-IF(P81="",0,P81))</f>
        <v/>
      </c>
      <c r="Y81" s="7" t="str">
        <f t="shared" ref="Y81:Y88" si="38">IF(OR(X81="",AP81=""),"",IF((E81*H81+IF(AND(AK81&lt;&gt;"",AL81&lt;&gt;""),AK81*AL81,0)+IF(AND(AM81&lt;&gt;"",AN81&lt;&gt;""),AM81*AN81,0))+IF(O81="",0,O81)&lt;=0,"",X81/((E81*H81+IF(AND(AK81&lt;&gt;"",AL81&lt;&gt;""),AK81*AL81,0)+IF(AND(AM81&lt;&gt;"",AN81&lt;&gt;""),AM81*AN81,0))+IF(O81="",0,O81))))</f>
        <v/>
      </c>
      <c r="Z81" s="7" t="str">
        <f>IF(OR(AE81="",多次统计数据!$B$8=""),"",AE81-多次统计数据!$B$8)</f>
        <v/>
      </c>
      <c r="AA81" s="11" t="str">
        <f t="shared" ref="AA81:AA88" si="39">IF(OR(I81="",M81="",M81&lt;I81),"",M81-I81)</f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ref="AE81:AE88" si="40">IF(OR(X81="",C81="",C81&lt;=0),"",X81/C81)</f>
        <v/>
      </c>
      <c r="AG81" s="2"/>
      <c r="AH81" s="2"/>
      <c r="AI81" s="2"/>
      <c r="AJ81" s="8" t="str">
        <f t="shared" ref="AJ81:AJ88" si="41">IF(OR(AG81="",AH81=""),"",IF(OR(AND(AG81="短期博反弹",OR(AH81="1～3个交易日",AH81="4～10个交易日")),AND(AG81="突破冲新高",OR(AH81="4～10个交易日",AH81="11～20个交易日")),AND(AG81="趋势波段",OR(AH81="11～20个交易日",AH81="21～60个交易日",AH81="60个交易日以上"))),"匹配","周期与交易预期不匹配，请重新确认"))</f>
        <v/>
      </c>
      <c r="AK81" s="10"/>
      <c r="AL81" s="12"/>
      <c r="AM81" s="10"/>
      <c r="AN81" s="12"/>
      <c r="AO81" s="5" t="str">
        <f t="shared" ref="AO81:AO88" si="42">IF(OR(A81="",H81="",H81&lt;=0),"",(E81*H81+IF(AND(AK81&lt;&gt;"",AL81&lt;&gt;""),AK81*AL81,0)+IF(AND(AM81&lt;&gt;"",AN81&lt;&gt;""),AM81*AN81,0))/AP81)</f>
        <v/>
      </c>
      <c r="AP81" s="11" t="str">
        <f t="shared" ref="AP81:AP88" si="43">IF(OR(A81="",H81="",H81&lt;=0),"",H81+IF(AL81="",0,AL81)+IF(AN81="",0,AN81))</f>
        <v/>
      </c>
      <c r="AQ81" s="5" t="str">
        <f>IF(A81="","",IF(M81&lt;&gt;"",0,IF(OR(H81="",N81=""),"",MAX(E81-MAX(N81,IFERROR(SUMPRODUCT(MAX(((持仓跟踪!$A$2:$A$157="每日跟踪")*(持仓跟踪!$B$2:$B$157=A81))*持仓跟踪!$S$2:$S$157)),0)),0)*H81+IF(OR(AK81="",AL81=""),0,MAX(AK81-MAX(N81,IFERROR(SUMPRODUCT(MAX(((持仓跟踪!$A$2:$A$157="每日跟踪")*(持仓跟踪!$B$2:$B$157=A81))*持仓跟踪!$S$2:$S$157)),0)),0)*AL81)+IF(OR(AM81="",AN81=""),0,MAX(AM81-MAX(N81,IFERROR(SUMPRODUCT(MAX(((持仓跟踪!$A$2:$A$157="每日跟踪")*(持仓跟踪!$B$2:$B$157=A81))*持仓跟踪!$S$2:$S$157)),0)),0)*AN81))))</f>
        <v/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$88)&gt;账户数据!$B$7,"违规：超过账户风险上限","通过")))))))))</f>
        <v/>
      </c>
    </row>
    <row r="82" spans="1:44" x14ac:dyDescent="0.15">
      <c r="A82" s="2"/>
      <c r="B82" s="2"/>
      <c r="C82" s="10"/>
      <c r="D82" s="6"/>
      <c r="E82" s="10"/>
      <c r="F82" s="8" t="str">
        <f t="shared" si="33"/>
        <v/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$157,"止损计划",持仓跟踪!$B$2:$B$157,A82,持仓跟踪!$AC$2:$AC$157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2" s="2"/>
      <c r="I82" s="15"/>
      <c r="J82" s="10"/>
      <c r="K82" s="5" t="str">
        <f>IF(A82="","",IFERROR(LOOKUP(2,1/((持仓跟踪!$B$2:$B$157=A82)*(持仓跟踪!$X$2:$X$157="执行卖出")*(持仓跟踪!$Y$2:$Y$157&lt;&gt;"")),持仓跟踪!$Y$2:$Y$157),""))</f>
        <v/>
      </c>
      <c r="L82" s="8" t="str">
        <f>IF(A82="","",IFERROR(LOOKUP(2,1/((持仓跟踪!$B$2:$B$157=A82)*(持仓跟踪!$X$2:$X$157="执行卖出")*(持仓跟踪!$Z$2:$Z$157&lt;&gt;"")),持仓跟踪!$Z$2:$Z$157),""))</f>
        <v/>
      </c>
      <c r="M82" s="18" t="str">
        <f>IF(A82="","",IFERROR(LOOKUP(2,1/((持仓跟踪!$B$2:$B$157=A82)*(持仓跟踪!$X$2:$X$157="执行卖出")*(持仓跟踪!$H$2:$H$157&lt;&gt;"")),持仓跟踪!$H$2:$H$157),""))</f>
        <v/>
      </c>
      <c r="N82" s="10"/>
      <c r="O82" s="10"/>
      <c r="P82" s="5" t="str">
        <f>IF(A82="","",IFERROR(LOOKUP(2,1/((持仓跟踪!$B$2:$B$157=A82)*(持仓跟踪!$X$2:$X$157="执行卖出")*(持仓跟踪!$AA$2:$AA$157&lt;&gt;"")),持仓跟踪!$AA$2:$AA$157),""))</f>
        <v/>
      </c>
      <c r="Q82" s="2"/>
      <c r="R82" s="2"/>
      <c r="S82" s="2"/>
      <c r="T82" s="2"/>
      <c r="U82" s="7" t="str">
        <f t="shared" si="34"/>
        <v/>
      </c>
      <c r="V82" s="7" t="str">
        <f t="shared" si="35"/>
        <v/>
      </c>
      <c r="W82" s="17" t="str">
        <f t="shared" si="36"/>
        <v/>
      </c>
      <c r="X82" s="5" t="str">
        <f t="shared" si="37"/>
        <v/>
      </c>
      <c r="Y82" s="7" t="str">
        <f t="shared" si="38"/>
        <v/>
      </c>
      <c r="Z82" s="7" t="str">
        <f>IF(OR(AE82="",多次统计数据!$B$8=""),"",AE82-多次统计数据!$B$8)</f>
        <v/>
      </c>
      <c r="AA82" s="11" t="str">
        <f t="shared" si="39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40"/>
        <v/>
      </c>
      <c r="AG82" s="2"/>
      <c r="AH82" s="2"/>
      <c r="AI82" s="2"/>
      <c r="AJ82" s="8" t="str">
        <f t="shared" si="41"/>
        <v/>
      </c>
      <c r="AK82" s="10"/>
      <c r="AL82" s="12"/>
      <c r="AM82" s="10"/>
      <c r="AN82" s="12"/>
      <c r="AO82" s="5" t="str">
        <f t="shared" si="42"/>
        <v/>
      </c>
      <c r="AP82" s="11" t="str">
        <f t="shared" si="43"/>
        <v/>
      </c>
      <c r="AQ82" s="5" t="str">
        <f>IF(A82="","",IF(M82&lt;&gt;"",0,IF(OR(H82="",N82=""),"",MAX(E82-MAX(N82,IFERROR(SUMPRODUCT(MAX(((持仓跟踪!$A$2:$A$157="每日跟踪")*(持仓跟踪!$B$2:$B$157=A82))*持仓跟踪!$S$2:$S$157)),0)),0)*H82+IF(OR(AK82="",AL82=""),0,MAX(AK82-MAX(N82,IFERROR(SUMPRODUCT(MAX(((持仓跟踪!$A$2:$A$157="每日跟踪")*(持仓跟踪!$B$2:$B$157=A82))*持仓跟踪!$S$2:$S$157)),0)),0)*AL82)+IF(OR(AM82="",AN82=""),0,MAX(AM82-MAX(N82,IFERROR(SUMPRODUCT(MAX(((持仓跟踪!$A$2:$A$157="每日跟踪")*(持仓跟踪!$B$2:$B$157=A82))*持仓跟踪!$S$2:$S$157)),0)),0)*AN82))))</f>
        <v/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$88)&gt;账户数据!$B$7,"违规：超过账户风险上限","通过")))))))))</f>
        <v/>
      </c>
    </row>
    <row r="83" spans="1:44" x14ac:dyDescent="0.15">
      <c r="A83" s="2"/>
      <c r="B83" s="2"/>
      <c r="C83" s="10"/>
      <c r="D83" s="6"/>
      <c r="E83" s="10"/>
      <c r="F83" s="8" t="str">
        <f t="shared" si="33"/>
        <v/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$157,"止损计划",持仓跟踪!$B$2:$B$157,A83,持仓跟踪!$AC$2:$AC$157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3" s="2"/>
      <c r="I83" s="15"/>
      <c r="J83" s="10"/>
      <c r="K83" s="5" t="str">
        <f>IF(A83="","",IFERROR(LOOKUP(2,1/((持仓跟踪!$B$2:$B$157=A83)*(持仓跟踪!$X$2:$X$157="执行卖出")*(持仓跟踪!$Y$2:$Y$157&lt;&gt;"")),持仓跟踪!$Y$2:$Y$157),""))</f>
        <v/>
      </c>
      <c r="L83" s="8" t="str">
        <f>IF(A83="","",IFERROR(LOOKUP(2,1/((持仓跟踪!$B$2:$B$157=A83)*(持仓跟踪!$X$2:$X$157="执行卖出")*(持仓跟踪!$Z$2:$Z$157&lt;&gt;"")),持仓跟踪!$Z$2:$Z$157),""))</f>
        <v/>
      </c>
      <c r="M83" s="18" t="str">
        <f>IF(A83="","",IFERROR(LOOKUP(2,1/((持仓跟踪!$B$2:$B$157=A83)*(持仓跟踪!$X$2:$X$157="执行卖出")*(持仓跟踪!$H$2:$H$157&lt;&gt;"")),持仓跟踪!$H$2:$H$157),""))</f>
        <v/>
      </c>
      <c r="N83" s="10"/>
      <c r="O83" s="10"/>
      <c r="P83" s="5" t="str">
        <f>IF(A83="","",IFERROR(LOOKUP(2,1/((持仓跟踪!$B$2:$B$157=A83)*(持仓跟踪!$X$2:$X$157="执行卖出")*(持仓跟踪!$AA$2:$AA$157&lt;&gt;"")),持仓跟踪!$AA$2:$AA$157),""))</f>
        <v/>
      </c>
      <c r="Q83" s="2"/>
      <c r="R83" s="2"/>
      <c r="S83" s="2"/>
      <c r="T83" s="2"/>
      <c r="U83" s="7" t="str">
        <f t="shared" si="34"/>
        <v/>
      </c>
      <c r="V83" s="7" t="str">
        <f t="shared" si="35"/>
        <v/>
      </c>
      <c r="W83" s="17" t="str">
        <f t="shared" si="36"/>
        <v/>
      </c>
      <c r="X83" s="5" t="str">
        <f t="shared" si="37"/>
        <v/>
      </c>
      <c r="Y83" s="7" t="str">
        <f t="shared" si="38"/>
        <v/>
      </c>
      <c r="Z83" s="7" t="str">
        <f>IF(OR(AE83="",多次统计数据!$B$8=""),"",AE83-多次统计数据!$B$8)</f>
        <v/>
      </c>
      <c r="AA83" s="11" t="str">
        <f t="shared" si="39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40"/>
        <v/>
      </c>
      <c r="AG83" s="2"/>
      <c r="AH83" s="2"/>
      <c r="AI83" s="2"/>
      <c r="AJ83" s="8" t="str">
        <f t="shared" si="41"/>
        <v/>
      </c>
      <c r="AK83" s="10"/>
      <c r="AL83" s="12"/>
      <c r="AM83" s="10"/>
      <c r="AN83" s="12"/>
      <c r="AO83" s="5" t="str">
        <f t="shared" si="42"/>
        <v/>
      </c>
      <c r="AP83" s="11" t="str">
        <f t="shared" si="43"/>
        <v/>
      </c>
      <c r="AQ83" s="5" t="str">
        <f>IF(A83="","",IF(M83&lt;&gt;"",0,IF(OR(H83="",N83=""),"",MAX(E83-MAX(N83,IFERROR(SUMPRODUCT(MAX(((持仓跟踪!$A$2:$A$157="每日跟踪")*(持仓跟踪!$B$2:$B$157=A83))*持仓跟踪!$S$2:$S$157)),0)),0)*H83+IF(OR(AK83="",AL83=""),0,MAX(AK83-MAX(N83,IFERROR(SUMPRODUCT(MAX(((持仓跟踪!$A$2:$A$157="每日跟踪")*(持仓跟踪!$B$2:$B$157=A83))*持仓跟踪!$S$2:$S$157)),0)),0)*AL83)+IF(OR(AM83="",AN83=""),0,MAX(AM83-MAX(N83,IFERROR(SUMPRODUCT(MAX(((持仓跟踪!$A$2:$A$157="每日跟踪")*(持仓跟踪!$B$2:$B$157=A83))*持仓跟踪!$S$2:$S$157)),0)),0)*AN83))))</f>
        <v/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$88)&gt;账户数据!$B$7,"违规：超过账户风险上限","通过")))))))))</f>
        <v/>
      </c>
    </row>
    <row r="84" spans="1:44" x14ac:dyDescent="0.15">
      <c r="A84" s="2"/>
      <c r="B84" s="2"/>
      <c r="C84" s="10"/>
      <c r="D84" s="6"/>
      <c r="E84" s="10"/>
      <c r="F84" s="8" t="str">
        <f t="shared" si="33"/>
        <v/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$157,"止损计划",持仓跟踪!$B$2:$B$157,A84,持仓跟踪!$AC$2:$AC$157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4" s="2"/>
      <c r="I84" s="15"/>
      <c r="J84" s="10"/>
      <c r="K84" s="5" t="str">
        <f>IF(A84="","",IFERROR(LOOKUP(2,1/((持仓跟踪!$B$2:$B$157=A84)*(持仓跟踪!$X$2:$X$157="执行卖出")*(持仓跟踪!$Y$2:$Y$157&lt;&gt;"")),持仓跟踪!$Y$2:$Y$157),""))</f>
        <v/>
      </c>
      <c r="L84" s="8" t="str">
        <f>IF(A84="","",IFERROR(LOOKUP(2,1/((持仓跟踪!$B$2:$B$157=A84)*(持仓跟踪!$X$2:$X$157="执行卖出")*(持仓跟踪!$Z$2:$Z$157&lt;&gt;"")),持仓跟踪!$Z$2:$Z$157),""))</f>
        <v/>
      </c>
      <c r="M84" s="18" t="str">
        <f>IF(A84="","",IFERROR(LOOKUP(2,1/((持仓跟踪!$B$2:$B$157=A84)*(持仓跟踪!$X$2:$X$157="执行卖出")*(持仓跟踪!$H$2:$H$157&lt;&gt;"")),持仓跟踪!$H$2:$H$157),""))</f>
        <v/>
      </c>
      <c r="N84" s="10"/>
      <c r="O84" s="10"/>
      <c r="P84" s="5" t="str">
        <f>IF(A84="","",IFERROR(LOOKUP(2,1/((持仓跟踪!$B$2:$B$157=A84)*(持仓跟踪!$X$2:$X$157="执行卖出")*(持仓跟踪!$AA$2:$AA$157&lt;&gt;"")),持仓跟踪!$AA$2:$AA$157),""))</f>
        <v/>
      </c>
      <c r="Q84" s="2"/>
      <c r="R84" s="2"/>
      <c r="S84" s="2"/>
      <c r="T84" s="2"/>
      <c r="U84" s="7" t="str">
        <f t="shared" si="34"/>
        <v/>
      </c>
      <c r="V84" s="7" t="str">
        <f t="shared" si="35"/>
        <v/>
      </c>
      <c r="W84" s="17" t="str">
        <f t="shared" si="36"/>
        <v/>
      </c>
      <c r="X84" s="5" t="str">
        <f t="shared" si="37"/>
        <v/>
      </c>
      <c r="Y84" s="7" t="str">
        <f t="shared" si="38"/>
        <v/>
      </c>
      <c r="Z84" s="7" t="str">
        <f>IF(OR(AE84="",多次统计数据!$B$8=""),"",AE84-多次统计数据!$B$8)</f>
        <v/>
      </c>
      <c r="AA84" s="11" t="str">
        <f t="shared" si="39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40"/>
        <v/>
      </c>
      <c r="AG84" s="2"/>
      <c r="AH84" s="2"/>
      <c r="AI84" s="2"/>
      <c r="AJ84" s="8" t="str">
        <f t="shared" si="41"/>
        <v/>
      </c>
      <c r="AK84" s="10"/>
      <c r="AL84" s="12"/>
      <c r="AM84" s="10"/>
      <c r="AN84" s="12"/>
      <c r="AO84" s="5" t="str">
        <f t="shared" si="42"/>
        <v/>
      </c>
      <c r="AP84" s="11" t="str">
        <f t="shared" si="43"/>
        <v/>
      </c>
      <c r="AQ84" s="5" t="str">
        <f>IF(A84="","",IF(M84&lt;&gt;"",0,IF(OR(H84="",N84=""),"",MAX(E84-MAX(N84,IFERROR(SUMPRODUCT(MAX(((持仓跟踪!$A$2:$A$157="每日跟踪")*(持仓跟踪!$B$2:$B$157=A84))*持仓跟踪!$S$2:$S$157)),0)),0)*H84+IF(OR(AK84="",AL84=""),0,MAX(AK84-MAX(N84,IFERROR(SUMPRODUCT(MAX(((持仓跟踪!$A$2:$A$157="每日跟踪")*(持仓跟踪!$B$2:$B$157=A84))*持仓跟踪!$S$2:$S$157)),0)),0)*AL84)+IF(OR(AM84="",AN84=""),0,MAX(AM84-MAX(N84,IFERROR(SUMPRODUCT(MAX(((持仓跟踪!$A$2:$A$157="每日跟踪")*(持仓跟踪!$B$2:$B$157=A84))*持仓跟踪!$S$2:$S$157)),0)),0)*AN84))))</f>
        <v/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$88)&gt;账户数据!$B$7,"违规：超过账户风险上限","通过")))))))))</f>
        <v/>
      </c>
    </row>
    <row r="85" spans="1:44" x14ac:dyDescent="0.15">
      <c r="A85" s="2"/>
      <c r="B85" s="2"/>
      <c r="C85" s="10"/>
      <c r="D85" s="6"/>
      <c r="E85" s="10"/>
      <c r="F85" s="8" t="str">
        <f t="shared" si="33"/>
        <v/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$157,"止损计划",持仓跟踪!$B$2:$B$157,A85,持仓跟踪!$AC$2:$AC$157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5" s="2"/>
      <c r="I85" s="15"/>
      <c r="J85" s="10"/>
      <c r="K85" s="5" t="str">
        <f>IF(A85="","",IFERROR(LOOKUP(2,1/((持仓跟踪!$B$2:$B$157=A85)*(持仓跟踪!$X$2:$X$157="执行卖出")*(持仓跟踪!$Y$2:$Y$157&lt;&gt;"")),持仓跟踪!$Y$2:$Y$157),""))</f>
        <v/>
      </c>
      <c r="L85" s="8" t="str">
        <f>IF(A85="","",IFERROR(LOOKUP(2,1/((持仓跟踪!$B$2:$B$157=A85)*(持仓跟踪!$X$2:$X$157="执行卖出")*(持仓跟踪!$Z$2:$Z$157&lt;&gt;"")),持仓跟踪!$Z$2:$Z$157),""))</f>
        <v/>
      </c>
      <c r="M85" s="18" t="str">
        <f>IF(A85="","",IFERROR(LOOKUP(2,1/((持仓跟踪!$B$2:$B$157=A85)*(持仓跟踪!$X$2:$X$157="执行卖出")*(持仓跟踪!$H$2:$H$157&lt;&gt;"")),持仓跟踪!$H$2:$H$157),""))</f>
        <v/>
      </c>
      <c r="N85" s="10"/>
      <c r="O85" s="10"/>
      <c r="P85" s="5" t="str">
        <f>IF(A85="","",IFERROR(LOOKUP(2,1/((持仓跟踪!$B$2:$B$157=A85)*(持仓跟踪!$X$2:$X$157="执行卖出")*(持仓跟踪!$AA$2:$AA$157&lt;&gt;"")),持仓跟踪!$AA$2:$AA$157),""))</f>
        <v/>
      </c>
      <c r="Q85" s="2"/>
      <c r="R85" s="2"/>
      <c r="S85" s="2"/>
      <c r="T85" s="2"/>
      <c r="U85" s="7" t="str">
        <f t="shared" si="34"/>
        <v/>
      </c>
      <c r="V85" s="7" t="str">
        <f t="shared" si="35"/>
        <v/>
      </c>
      <c r="W85" s="17" t="str">
        <f t="shared" si="36"/>
        <v/>
      </c>
      <c r="X85" s="5" t="str">
        <f t="shared" si="37"/>
        <v/>
      </c>
      <c r="Y85" s="7" t="str">
        <f t="shared" si="38"/>
        <v/>
      </c>
      <c r="Z85" s="7" t="str">
        <f>IF(OR(AE85="",多次统计数据!$B$8=""),"",AE85-多次统计数据!$B$8)</f>
        <v/>
      </c>
      <c r="AA85" s="11" t="str">
        <f t="shared" si="39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40"/>
        <v/>
      </c>
      <c r="AG85" s="2"/>
      <c r="AH85" s="2"/>
      <c r="AI85" s="2"/>
      <c r="AJ85" s="8" t="str">
        <f t="shared" si="41"/>
        <v/>
      </c>
      <c r="AK85" s="10"/>
      <c r="AL85" s="12"/>
      <c r="AM85" s="10"/>
      <c r="AN85" s="12"/>
      <c r="AO85" s="5" t="str">
        <f t="shared" si="42"/>
        <v/>
      </c>
      <c r="AP85" s="11" t="str">
        <f t="shared" si="43"/>
        <v/>
      </c>
      <c r="AQ85" s="5" t="str">
        <f>IF(A85="","",IF(M85&lt;&gt;"",0,IF(OR(H85="",N85=""),"",MAX(E85-MAX(N85,IFERROR(SUMPRODUCT(MAX(((持仓跟踪!$A$2:$A$157="每日跟踪")*(持仓跟踪!$B$2:$B$157=A85))*持仓跟踪!$S$2:$S$157)),0)),0)*H85+IF(OR(AK85="",AL85=""),0,MAX(AK85-MAX(N85,IFERROR(SUMPRODUCT(MAX(((持仓跟踪!$A$2:$A$157="每日跟踪")*(持仓跟踪!$B$2:$B$157=A85))*持仓跟踪!$S$2:$S$157)),0)),0)*AL85)+IF(OR(AM85="",AN85=""),0,MAX(AM85-MAX(N85,IFERROR(SUMPRODUCT(MAX(((持仓跟踪!$A$2:$A$157="每日跟踪")*(持仓跟踪!$B$2:$B$157=A85))*持仓跟踪!$S$2:$S$157)),0)),0)*AN85))))</f>
        <v/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$88)&gt;账户数据!$B$7,"违规：超过账户风险上限","通过")))))))))</f>
        <v/>
      </c>
    </row>
    <row r="86" spans="1:44" x14ac:dyDescent="0.15">
      <c r="A86" s="2"/>
      <c r="B86" s="2"/>
      <c r="C86" s="10"/>
      <c r="D86" s="6"/>
      <c r="E86" s="10"/>
      <c r="F86" s="8" t="str">
        <f t="shared" si="33"/>
        <v/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$157,"止损计划",持仓跟踪!$B$2:$B$157,A86,持仓跟踪!$AC$2:$AC$157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6" s="2"/>
      <c r="I86" s="15"/>
      <c r="J86" s="10"/>
      <c r="K86" s="5" t="str">
        <f>IF(A86="","",IFERROR(LOOKUP(2,1/((持仓跟踪!$B$2:$B$157=A86)*(持仓跟踪!$X$2:$X$157="执行卖出")*(持仓跟踪!$Y$2:$Y$157&lt;&gt;"")),持仓跟踪!$Y$2:$Y$157),""))</f>
        <v/>
      </c>
      <c r="L86" s="8" t="str">
        <f>IF(A86="","",IFERROR(LOOKUP(2,1/((持仓跟踪!$B$2:$B$157=A86)*(持仓跟踪!$X$2:$X$157="执行卖出")*(持仓跟踪!$Z$2:$Z$157&lt;&gt;"")),持仓跟踪!$Z$2:$Z$157),""))</f>
        <v/>
      </c>
      <c r="M86" s="18" t="str">
        <f>IF(A86="","",IFERROR(LOOKUP(2,1/((持仓跟踪!$B$2:$B$157=A86)*(持仓跟踪!$X$2:$X$157="执行卖出")*(持仓跟踪!$H$2:$H$157&lt;&gt;"")),持仓跟踪!$H$2:$H$157),""))</f>
        <v/>
      </c>
      <c r="N86" s="10"/>
      <c r="O86" s="10"/>
      <c r="P86" s="5" t="str">
        <f>IF(A86="","",IFERROR(LOOKUP(2,1/((持仓跟踪!$B$2:$B$157=A86)*(持仓跟踪!$X$2:$X$157="执行卖出")*(持仓跟踪!$AA$2:$AA$157&lt;&gt;"")),持仓跟踪!$AA$2:$AA$157),""))</f>
        <v/>
      </c>
      <c r="Q86" s="2"/>
      <c r="R86" s="2"/>
      <c r="S86" s="2"/>
      <c r="T86" s="2"/>
      <c r="U86" s="7" t="str">
        <f t="shared" si="34"/>
        <v/>
      </c>
      <c r="V86" s="7" t="str">
        <f t="shared" si="35"/>
        <v/>
      </c>
      <c r="W86" s="17" t="str">
        <f t="shared" si="36"/>
        <v/>
      </c>
      <c r="X86" s="5" t="str">
        <f t="shared" si="37"/>
        <v/>
      </c>
      <c r="Y86" s="7" t="str">
        <f t="shared" si="38"/>
        <v/>
      </c>
      <c r="Z86" s="7" t="str">
        <f>IF(OR(AE86="",多次统计数据!$B$8=""),"",AE86-多次统计数据!$B$8)</f>
        <v/>
      </c>
      <c r="AA86" s="11" t="str">
        <f t="shared" si="39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40"/>
        <v/>
      </c>
      <c r="AG86" s="2"/>
      <c r="AH86" s="2"/>
      <c r="AI86" s="2"/>
      <c r="AJ86" s="8" t="str">
        <f t="shared" si="41"/>
        <v/>
      </c>
      <c r="AK86" s="10"/>
      <c r="AL86" s="12"/>
      <c r="AM86" s="10"/>
      <c r="AN86" s="12"/>
      <c r="AO86" s="5" t="str">
        <f t="shared" si="42"/>
        <v/>
      </c>
      <c r="AP86" s="11" t="str">
        <f t="shared" si="43"/>
        <v/>
      </c>
      <c r="AQ86" s="5" t="str">
        <f>IF(A86="","",IF(M86&lt;&gt;"",0,IF(OR(H86="",N86=""),"",MAX(E86-MAX(N86,IFERROR(SUMPRODUCT(MAX(((持仓跟踪!$A$2:$A$157="每日跟踪")*(持仓跟踪!$B$2:$B$157=A86))*持仓跟踪!$S$2:$S$157)),0)),0)*H86+IF(OR(AK86="",AL86=""),0,MAX(AK86-MAX(N86,IFERROR(SUMPRODUCT(MAX(((持仓跟踪!$A$2:$A$157="每日跟踪")*(持仓跟踪!$B$2:$B$157=A86))*持仓跟踪!$S$2:$S$157)),0)),0)*AL86)+IF(OR(AM86="",AN86=""),0,MAX(AM86-MAX(N86,IFERROR(SUMPRODUCT(MAX(((持仓跟踪!$A$2:$A$157="每日跟踪")*(持仓跟踪!$B$2:$B$157=A86))*持仓跟踪!$S$2:$S$157)),0)),0)*AN86))))</f>
        <v/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$88)&gt;账户数据!$B$7,"违规：超过账户风险上限","通过")))))))))</f>
        <v/>
      </c>
    </row>
    <row r="87" spans="1:44" x14ac:dyDescent="0.15">
      <c r="A87" s="2"/>
      <c r="B87" s="2"/>
      <c r="C87" s="10"/>
      <c r="D87" s="6"/>
      <c r="E87" s="10"/>
      <c r="F87" s="8" t="str">
        <f t="shared" si="33"/>
        <v/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$157,"止损计划",持仓跟踪!$B$2:$B$157,A87,持仓跟踪!$AC$2:$AC$157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7" s="2"/>
      <c r="I87" s="15"/>
      <c r="J87" s="10"/>
      <c r="K87" s="5" t="str">
        <f>IF(A87="","",IFERROR(LOOKUP(2,1/((持仓跟踪!$B$2:$B$157=A87)*(持仓跟踪!$X$2:$X$157="执行卖出")*(持仓跟踪!$Y$2:$Y$157&lt;&gt;"")),持仓跟踪!$Y$2:$Y$157),""))</f>
        <v/>
      </c>
      <c r="L87" s="8" t="str">
        <f>IF(A87="","",IFERROR(LOOKUP(2,1/((持仓跟踪!$B$2:$B$157=A87)*(持仓跟踪!$X$2:$X$157="执行卖出")*(持仓跟踪!$Z$2:$Z$157&lt;&gt;"")),持仓跟踪!$Z$2:$Z$157),""))</f>
        <v/>
      </c>
      <c r="M87" s="18" t="str">
        <f>IF(A87="","",IFERROR(LOOKUP(2,1/((持仓跟踪!$B$2:$B$157=A87)*(持仓跟踪!$X$2:$X$157="执行卖出")*(持仓跟踪!$H$2:$H$157&lt;&gt;"")),持仓跟踪!$H$2:$H$157),""))</f>
        <v/>
      </c>
      <c r="N87" s="10"/>
      <c r="O87" s="10"/>
      <c r="P87" s="5" t="str">
        <f>IF(A87="","",IFERROR(LOOKUP(2,1/((持仓跟踪!$B$2:$B$157=A87)*(持仓跟踪!$X$2:$X$157="执行卖出")*(持仓跟踪!$AA$2:$AA$157&lt;&gt;"")),持仓跟踪!$AA$2:$AA$157),""))</f>
        <v/>
      </c>
      <c r="Q87" s="2"/>
      <c r="R87" s="2"/>
      <c r="S87" s="2"/>
      <c r="T87" s="2"/>
      <c r="U87" s="7" t="str">
        <f t="shared" si="34"/>
        <v/>
      </c>
      <c r="V87" s="7" t="str">
        <f t="shared" si="35"/>
        <v/>
      </c>
      <c r="W87" s="17" t="str">
        <f t="shared" si="36"/>
        <v/>
      </c>
      <c r="X87" s="5" t="str">
        <f t="shared" si="37"/>
        <v/>
      </c>
      <c r="Y87" s="7" t="str">
        <f t="shared" si="38"/>
        <v/>
      </c>
      <c r="Z87" s="7" t="str">
        <f>IF(OR(AE87="",多次统计数据!$B$8=""),"",AE87-多次统计数据!$B$8)</f>
        <v/>
      </c>
      <c r="AA87" s="11" t="str">
        <f t="shared" si="39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40"/>
        <v/>
      </c>
      <c r="AG87" s="2"/>
      <c r="AH87" s="2"/>
      <c r="AI87" s="2"/>
      <c r="AJ87" s="8" t="str">
        <f t="shared" si="41"/>
        <v/>
      </c>
      <c r="AK87" s="10"/>
      <c r="AL87" s="12"/>
      <c r="AM87" s="10"/>
      <c r="AN87" s="12"/>
      <c r="AO87" s="5" t="str">
        <f t="shared" si="42"/>
        <v/>
      </c>
      <c r="AP87" s="11" t="str">
        <f t="shared" si="43"/>
        <v/>
      </c>
      <c r="AQ87" s="5" t="str">
        <f>IF(A87="","",IF(M87&lt;&gt;"",0,IF(OR(H87="",N87=""),"",MAX(E87-MAX(N87,IFERROR(SUMPRODUCT(MAX(((持仓跟踪!$A$2:$A$157="每日跟踪")*(持仓跟踪!$B$2:$B$157=A87))*持仓跟踪!$S$2:$S$157)),0)),0)*H87+IF(OR(AK87="",AL87=""),0,MAX(AK87-MAX(N87,IFERROR(SUMPRODUCT(MAX(((持仓跟踪!$A$2:$A$157="每日跟踪")*(持仓跟踪!$B$2:$B$157=A87))*持仓跟踪!$S$2:$S$157)),0)),0)*AL87)+IF(OR(AM87="",AN87=""),0,MAX(AM87-MAX(N87,IFERROR(SUMPRODUCT(MAX(((持仓跟踪!$A$2:$A$157="每日跟踪")*(持仓跟踪!$B$2:$B$157=A87))*持仓跟踪!$S$2:$S$157)),0)),0)*AN87))))</f>
        <v/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$88)&gt;账户数据!$B$7,"违规：超过账户风险上限","通过")))))))))</f>
        <v/>
      </c>
    </row>
    <row r="88" spans="1:44" x14ac:dyDescent="0.15">
      <c r="A88" s="2"/>
      <c r="B88" s="2"/>
      <c r="C88" s="10"/>
      <c r="D88" s="6"/>
      <c r="E88" s="10"/>
      <c r="F88" s="8" t="str">
        <f t="shared" si="33"/>
        <v/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$157,"止损计划",持仓跟踪!$B$2:$B$157,A88,持仓跟踪!$AC$2:$AC$157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88" s="2"/>
      <c r="I88" s="15"/>
      <c r="J88" s="10"/>
      <c r="K88" s="5" t="str">
        <f>IF(A88="","",IFERROR(LOOKUP(2,1/((持仓跟踪!$B$2:$B$157=A88)*(持仓跟踪!$X$2:$X$157="执行卖出")*(持仓跟踪!$Y$2:$Y$157&lt;&gt;"")),持仓跟踪!$Y$2:$Y$157),""))</f>
        <v/>
      </c>
      <c r="L88" s="8" t="str">
        <f>IF(A88="","",IFERROR(LOOKUP(2,1/((持仓跟踪!$B$2:$B$157=A88)*(持仓跟踪!$X$2:$X$157="执行卖出")*(持仓跟踪!$Z$2:$Z$157&lt;&gt;"")),持仓跟踪!$Z$2:$Z$157),""))</f>
        <v/>
      </c>
      <c r="M88" s="18" t="str">
        <f>IF(A88="","",IFERROR(LOOKUP(2,1/((持仓跟踪!$B$2:$B$157=A88)*(持仓跟踪!$X$2:$X$157="执行卖出")*(持仓跟踪!$H$2:$H$157&lt;&gt;"")),持仓跟踪!$H$2:$H$157),""))</f>
        <v/>
      </c>
      <c r="N88" s="10"/>
      <c r="O88" s="10"/>
      <c r="P88" s="5" t="str">
        <f>IF(A88="","",IFERROR(LOOKUP(2,1/((持仓跟踪!$B$2:$B$157=A88)*(持仓跟踪!$X$2:$X$157="执行卖出")*(持仓跟踪!$AA$2:$AA$157&lt;&gt;"")),持仓跟踪!$AA$2:$AA$157),""))</f>
        <v/>
      </c>
      <c r="Q88" s="2"/>
      <c r="R88" s="2"/>
      <c r="S88" s="2"/>
      <c r="T88" s="2"/>
      <c r="U88" s="7" t="str">
        <f t="shared" si="34"/>
        <v/>
      </c>
      <c r="V88" s="7" t="str">
        <f t="shared" si="35"/>
        <v/>
      </c>
      <c r="W88" s="17" t="str">
        <f t="shared" si="36"/>
        <v/>
      </c>
      <c r="X88" s="5" t="str">
        <f t="shared" si="37"/>
        <v/>
      </c>
      <c r="Y88" s="7" t="str">
        <f t="shared" si="38"/>
        <v/>
      </c>
      <c r="Z88" s="7" t="str">
        <f>IF(OR(AE88="",多次统计数据!$B$8=""),"",AE88-多次统计数据!$B$8)</f>
        <v/>
      </c>
      <c r="AA88" s="11" t="str">
        <f t="shared" si="39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40"/>
        <v/>
      </c>
      <c r="AG88" s="2"/>
      <c r="AH88" s="2"/>
      <c r="AI88" s="2"/>
      <c r="AJ88" s="8" t="str">
        <f t="shared" si="41"/>
        <v/>
      </c>
      <c r="AK88" s="10"/>
      <c r="AL88" s="12"/>
      <c r="AM88" s="10"/>
      <c r="AN88" s="12"/>
      <c r="AO88" s="5" t="str">
        <f t="shared" si="42"/>
        <v/>
      </c>
      <c r="AP88" s="11" t="str">
        <f t="shared" si="43"/>
        <v/>
      </c>
      <c r="AQ88" s="5" t="str">
        <f>IF(A88="","",IF(M88&lt;&gt;"",0,IF(OR(H88="",N88=""),"",MAX(E88-MAX(N88,IFERROR(SUMPRODUCT(MAX(((持仓跟踪!$A$2:$A$157="每日跟踪")*(持仓跟踪!$B$2:$B$157=A88))*持仓跟踪!$S$2:$S$157)),0)),0)*H88+IF(OR(AK88="",AL88=""),0,MAX(AK88-MAX(N88,IFERROR(SUMPRODUCT(MAX(((持仓跟踪!$A$2:$A$157="每日跟踪")*(持仓跟踪!$B$2:$B$157=A88))*持仓跟踪!$S$2:$S$157)),0)),0)*AL88)+IF(OR(AM88="",AN88=""),0,MAX(AM88-MAX(N88,IFERROR(SUMPRODUCT(MAX(((持仓跟踪!$A$2:$A$157="每日跟踪")*(持仓跟踪!$B$2:$B$157=A88))*持仓跟踪!$S$2:$S$157)),0)),0)*AN88))))</f>
        <v/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$88)&gt;账户数据!$B$7,"违规：超过账户风险上限","通过")))))))))</f>
        <v/>
      </c>
    </row>
  </sheetData>
  <phoneticPr fontId="5" type="noConversion"/>
  <conditionalFormatting sqref="G2:G88">
    <cfRule type="expression" dxfId="21" priority="10">
      <formula>$G2="禁止开仓"</formula>
    </cfRule>
    <cfRule type="expression" dxfId="20" priority="11">
      <formula>$G2="允许开仓"</formula>
    </cfRule>
    <cfRule type="expression" dxfId="19" priority="12">
      <formula>LEFT($G2,4)="禁止开仓"</formula>
    </cfRule>
    <cfRule type="expression" dxfId="18" priority="13">
      <formula>$G2="允许开仓（接近锁仓）"</formula>
    </cfRule>
    <cfRule type="expression" dxfId="17" priority="14">
      <formula>$G2="允许开仓"</formula>
    </cfRule>
  </conditionalFormatting>
  <conditionalFormatting sqref="W2:W88">
    <cfRule type="cellIs" dxfId="16" priority="3" operator="lessThan">
      <formula>2</formula>
    </cfRule>
  </conditionalFormatting>
  <conditionalFormatting sqref="X2:Y88 AE2:AE88">
    <cfRule type="cellIs" dxfId="15" priority="1" operator="greaterThan">
      <formula>0</formula>
    </cfRule>
    <cfRule type="cellIs" dxfId="14" priority="2" operator="lessThan">
      <formula>0</formula>
    </cfRule>
  </conditionalFormatting>
  <conditionalFormatting sqref="AC2:AC88">
    <cfRule type="expression" dxfId="13" priority="4">
      <formula>$AC2="达到或超过上限"</formula>
    </cfRule>
    <cfRule type="expression" dxfId="12" priority="5">
      <formula>$AC2="低于上限"</formula>
    </cfRule>
  </conditionalFormatting>
  <conditionalFormatting sqref="AJ2:AJ88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88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:C88 J2:K88 N2:N88 E2:E88" xr:uid="{00000000-0002-0000-0000-000000000000}">
      <formula1>0</formula1>
    </dataValidation>
    <dataValidation type="decimal" allowBlank="1" sqref="D2:D88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88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$88)&lt;=_AccountRiskLimit))</formula1>
    </dataValidation>
    <dataValidation type="date" allowBlank="1" sqref="I2:I88" xr:uid="{00000000-0002-0000-0000-000003000000}">
      <formula1>DATE(2000,1,1)</formula1>
      <formula2>DATE(2100,12,31)</formula2>
    </dataValidation>
    <dataValidation type="custom" allowBlank="1" sqref="L2:L88" xr:uid="{00000000-0002-0000-0000-000004000000}">
      <formula1>OR(L2="",L2=H2)</formula1>
    </dataValidation>
    <dataValidation type="custom" allowBlank="1" sqref="M2:M88" xr:uid="{00000000-0002-0000-0000-000005000000}">
      <formula1>OR(M2="",AND(ISNUMBER(M2),M2&gt;=I2))</formula1>
    </dataValidation>
    <dataValidation type="list" allowBlank="1" sqref="AD2:AD88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88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88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88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88" xr:uid="{00000000-0002-0000-0000-00000A000000}">
      <formula1>OR(AL2="",AND(AK2&lt;&gt;"",ISNUMBER(AL2),AL2&gt;0,AL2=INT(AL2),MOD(AL2,100)=0,_LockStatus&lt;&gt;"已锁仓",_LockStatus&lt;&gt;"解锁信息不完整",AQ2&lt;=C2*D2,SUM($AQ$2:$AQ$88)&lt;=_AccountRiskLimit))</formula1>
    </dataValidation>
    <dataValidation type="custom" allowBlank="1" showErrorMessage="1" errorTitle="第三批买入价无效" error="请先完整填写第二批，再填写大于0的第三批价格" sqref="AM2:AM88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88" xr:uid="{00000000-0002-0000-0000-00000C000000}">
      <formula1>OR(AN2="",AND(AK2&lt;&gt;"",AL2&lt;&gt;"",AM2&lt;&gt;"",ISNUMBER(AN2),AN2&gt;0,AN2=INT(AN2),MOD(AN2,100)=0,_LockStatus&lt;&gt;"已锁仓",_LockStatus&lt;&gt;"解锁信息不完整",AQ2&lt;=C2*D2,SUM($AQ$2:$AQ$88)&lt;=_AccountRiskLimit))</formula1>
    </dataValidation>
    <dataValidation type="decimal" operator="greaterThanOrEqual" allowBlank="1" sqref="O2:P88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57"/>
  <sheetViews>
    <sheetView showGridLines="0" workbookViewId="0">
      <pane xSplit="3" ySplit="1" topLeftCell="V2" activePane="bottomRight" state="frozen"/>
      <selection pane="topRight"/>
      <selection pane="bottomLeft"/>
      <selection pane="bottomRight" activeCell="Y11" sqref="Y11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6" t="s">
        <v>44</v>
      </c>
      <c r="B1" s="16" t="s">
        <v>0</v>
      </c>
      <c r="C1" s="16" t="s">
        <v>1</v>
      </c>
      <c r="D1" s="16" t="s">
        <v>45</v>
      </c>
      <c r="E1" s="16" t="s">
        <v>46</v>
      </c>
      <c r="F1" s="16" t="s">
        <v>47</v>
      </c>
      <c r="G1" s="16" t="s">
        <v>48</v>
      </c>
      <c r="H1" s="16" t="s">
        <v>49</v>
      </c>
      <c r="I1" s="16" t="s">
        <v>50</v>
      </c>
      <c r="J1" s="16" t="s">
        <v>51</v>
      </c>
      <c r="K1" s="16" t="s">
        <v>52</v>
      </c>
      <c r="L1" s="16" t="s">
        <v>53</v>
      </c>
      <c r="M1" s="16" t="s">
        <v>54</v>
      </c>
      <c r="N1" s="16" t="s">
        <v>55</v>
      </c>
      <c r="O1" s="16" t="s">
        <v>56</v>
      </c>
      <c r="P1" s="16" t="s">
        <v>57</v>
      </c>
      <c r="Q1" s="16" t="s">
        <v>58</v>
      </c>
      <c r="R1" s="16" t="s">
        <v>59</v>
      </c>
      <c r="S1" s="16" t="s">
        <v>60</v>
      </c>
      <c r="T1" s="16" t="s">
        <v>61</v>
      </c>
      <c r="U1" s="16" t="s">
        <v>62</v>
      </c>
      <c r="V1" s="16" t="s">
        <v>63</v>
      </c>
      <c r="W1" s="16" t="s">
        <v>64</v>
      </c>
      <c r="X1" s="16" t="s">
        <v>65</v>
      </c>
      <c r="Y1" s="16" t="s">
        <v>10</v>
      </c>
      <c r="Z1" s="16" t="s">
        <v>66</v>
      </c>
      <c r="AA1" s="16" t="s">
        <v>15</v>
      </c>
      <c r="AB1" s="16" t="s">
        <v>67</v>
      </c>
      <c r="AC1" s="16" t="s">
        <v>68</v>
      </c>
    </row>
    <row r="2" spans="1:29" x14ac:dyDescent="0.15">
      <c r="A2" s="2" t="s">
        <v>218</v>
      </c>
      <c r="B2" s="2">
        <v>1</v>
      </c>
      <c r="C2" s="8" t="str">
        <f>IF(B2="","",IFERROR(LOOKUP(2,1/(单次交易!$A$2:$A$88=B2),单次交易!$B$2:$B$88),""))</f>
        <v>节电风能</v>
      </c>
      <c r="D2" s="12"/>
      <c r="E2" s="10"/>
      <c r="F2" s="10"/>
      <c r="G2" s="2"/>
      <c r="H2" s="15">
        <v>42578</v>
      </c>
      <c r="I2" s="10">
        <v>3.68</v>
      </c>
      <c r="J2" s="12"/>
      <c r="K2" s="2"/>
      <c r="L2" s="2"/>
      <c r="M2" s="2"/>
      <c r="N2" s="5">
        <f>IF(B2="","",IFERROR(LOOKUP(2,1/(单次交易!$A$2:$A$88=B2),单次交易!$N$2:$N$88),""))</f>
        <v>3.7</v>
      </c>
      <c r="O2" s="5">
        <f t="shared" ref="O2:O33" si="0">IF(A2&lt;&gt;"每日跟踪","",IF(OR(B2="",H2="",I2=""),"",IFERROR(SUMPRODUCT(MAX((($A$2:$A$157="每日跟踪")*($B$2:$B$157=B2)*($H$2:$H$157&lt;=H2))*$I$2:$I$157)),"")))</f>
        <v>3.68</v>
      </c>
      <c r="P2" s="11">
        <f t="shared" ref="P2:P33" si="1">IF(A2&lt;&gt;"每日跟踪","",IF(O2="","",IFERROR(SUMPRODUCT(MAX((($A$2:$A$157="止损计划")*($B$2:$B$157=B2)*($E$2:$E$157&lt;=O2))*$D$2:$D$157)),0)))</f>
        <v>0</v>
      </c>
      <c r="Q2" s="5">
        <f t="shared" ref="Q2:Q33" si="2">IF(A2&lt;&gt;"每日跟踪","",IF(N2="","",MAX(N2,IFERROR(SUMPRODUCT(MAX((($A$2:$A$157="止损计划")*($B$2:$B$157=B2)*($E$2:$E$157&lt;=O2))*$F$2:$F$157)),0))))</f>
        <v>3.7</v>
      </c>
      <c r="R2" s="10"/>
      <c r="S2" s="5">
        <f t="shared" ref="S2:S33" si="3">IF(A2&lt;&gt;"每日跟踪","",IF(Q2="","",MAX(Q2,IFERROR(SUMPRODUCT(MAX((($A$2:$A$157="每日跟踪")*($B$2:$B$157=B2)*($H$2:$H$157&lt;=H2))*$R$2:$R$157)),0))))</f>
        <v>3.7</v>
      </c>
      <c r="T2" s="5" t="str">
        <f t="shared" ref="T2:T33" si="4">IF(A2&lt;&gt;"每日跟踪","",IF(O2="","",IF(COUNTIFS($A$2:$A$157,"止损计划",$B$2:$B$157,B2,$E$2:$E$157,"&gt;"&amp;O2)=0,"",INDEX($E$2:$E$157,MATCH(1,INDEX(($A$2:$A$157="止损计划")*($B$2:$B$157=B2)*($E$2:$E$157&gt;O2),0),0)))))</f>
        <v/>
      </c>
      <c r="U2" s="5" t="str">
        <f t="shared" ref="U2:U33" si="5">IF(OR(A2&lt;&gt;"每日跟踪",T2=""),"",IFERROR(SUMIFS($F$2:$F$157,$A$2:$A$157,"止损计划",$B$2:$B$157,B2,$E$2:$E$157,T2),""))</f>
        <v/>
      </c>
      <c r="V2" s="7" t="str">
        <f t="shared" ref="V2:V41" si="6">IF(OR(A2&lt;&gt;"每日跟踪",T2="",I2="",I2&lt;=0),"",T2/I2-1)</f>
        <v/>
      </c>
      <c r="W2" s="8" t="str">
        <f t="shared" ref="W2:W41" si="7">IF(A2&lt;&gt;"每日跟踪","",IF(OR(I2="",S2=""),"",IF(I2&lt;=S2,"触发止损：应全部卖出","继续观察")))</f>
        <v>触发止损：应全部卖出</v>
      </c>
      <c r="X2" s="2" t="s">
        <v>219</v>
      </c>
      <c r="Y2" s="10">
        <v>3.7</v>
      </c>
      <c r="Z2" s="11">
        <f>IF(X2&lt;&gt;"执行卖出","",IFERROR(LOOKUP(2,1/(单次交易!$A$2:$A$88=B2),单次交易!$AP$2:$AP$88),""))</f>
        <v>5000</v>
      </c>
      <c r="AA2" s="10"/>
      <c r="AB2" s="8" t="str">
        <f t="shared" ref="AB2:AB41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>待补充每日记录</v>
      </c>
      <c r="AC2" s="8" t="str">
        <f>IF(A2="","",IF(A2="止损计划",IF(OR(B2="",D2="",E2="",F2="",G2=""),"计划不完整",IF(OR(D2&lt;1,D2&lt;&gt;INT(D2)),"阶段序号无效",IF(COUNTIFS($A$2:$A$157,"止损计划",$B$2:$B$157,B2,$D$2:$D$157,D2)&gt;1,"阶段序号重复",IF(E2&lt;=IFERROR(LOOKUP(2,1/(单次交易!$A$2:$A$88=B2),单次交易!$E$2:$E$88),0),"激活价须高于买入价",IF(F2&lt;N2,"止损价不得低于初始止损",IF(F2&gt;E2,"止损价不得高于激活价",IF(AND(COUNTIFS($A$2:$A$157,"止损计划",$B$2:$B$157,B2,$D$2:$D$157,"&lt;"&amp;D2)&gt;0,OR(E2&lt;=SUMPRODUCT(MAX((($A$2:$A$157="止损计划")*($B$2:$B$157=B2)*($D$2:$D$157&lt;D2))*$E$2:$E$157)),F2&lt;SUMPRODUCT(MAX((($A$2:$A$157="止损计划")*($B$2:$B$157=B2)*($D$2:$D$157&lt;D2))*$F$2:$F$157)))),"阶段价格必须逐级提高","计划有效"))))))),IF(A2="每日跟踪",IF(OR(B2="",H2="",I2="",J2=""),"每日数据不完整",IF(COUNTIFS($A$2:$A$157,"每日跟踪",$B$2:$B$157,B2,$H$2:$H$157,H2)&gt;1,"同一交易日期重复",IF(AND(R2&lt;&gt;"",R2&lt;S2),"人工止损无效：不能下调","跟踪有效"))),"记录类型无效")))</f>
        <v>每日数据不完整</v>
      </c>
    </row>
    <row r="3" spans="1:29" x14ac:dyDescent="0.15">
      <c r="A3" s="2" t="s">
        <v>218</v>
      </c>
      <c r="B3" s="2">
        <v>2</v>
      </c>
      <c r="C3" s="8" t="str">
        <f>IF(B3="","",IFERROR(LOOKUP(2,1/(单次交易!$A$2:$A$88=B3),单次交易!$B$2:$B$88),""))</f>
        <v>节电风能</v>
      </c>
      <c r="D3" s="12"/>
      <c r="E3" s="10"/>
      <c r="F3" s="10"/>
      <c r="G3" s="2"/>
      <c r="H3" s="15">
        <v>42663</v>
      </c>
      <c r="I3" s="10">
        <v>4.22</v>
      </c>
      <c r="J3" s="12"/>
      <c r="K3" s="2"/>
      <c r="L3" s="2"/>
      <c r="M3" s="2"/>
      <c r="N3" s="5">
        <f>IF(B3="","",IFERROR(LOOKUP(2,1/(单次交易!$A$2:$A$88=B3),单次交易!$N$2:$N$88),""))</f>
        <v>3.5</v>
      </c>
      <c r="O3" s="5">
        <f t="shared" si="0"/>
        <v>4.22</v>
      </c>
      <c r="P3" s="11">
        <f t="shared" si="1"/>
        <v>0</v>
      </c>
      <c r="Q3" s="5">
        <f t="shared" si="2"/>
        <v>3.5</v>
      </c>
      <c r="R3" s="10"/>
      <c r="S3" s="5">
        <f t="shared" si="3"/>
        <v>3.5</v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>继续观察</v>
      </c>
      <c r="X3" s="2" t="s">
        <v>219</v>
      </c>
      <c r="Y3" s="10">
        <v>4.22</v>
      </c>
      <c r="Z3" s="11">
        <f>IF(X3&lt;&gt;"执行卖出","",IFERROR(LOOKUP(2,1/(单次交易!$A$2:$A$88=B3),单次交易!$AP$2:$AP$88),""))</f>
        <v>9800</v>
      </c>
      <c r="AA3" s="10"/>
      <c r="AB3" s="8" t="str">
        <f t="shared" si="8"/>
        <v>待补充每日记录</v>
      </c>
      <c r="AC3" s="8" t="str">
        <f>IF(A3="","",IF(A3="止损计划",IF(OR(B3="",D3="",E3="",F3="",G3=""),"计划不完整",IF(OR(D3&lt;1,D3&lt;&gt;INT(D3)),"阶段序号无效",IF(COUNTIFS($A$2:$A$157,"止损计划",$B$2:$B$157,B3,$D$2:$D$157,D3)&gt;1,"阶段序号重复",IF(E3&lt;=IFERROR(LOOKUP(2,1/(单次交易!$A$2:$A$88=B3),单次交易!$E$2:$E$88),0),"激活价须高于买入价",IF(F3&lt;N3,"止损价不得低于初始止损",IF(F3&gt;E3,"止损价不得高于激活价",IF(AND(COUNTIFS($A$2:$A$157,"止损计划",$B$2:$B$157,B3,$D$2:$D$157,"&lt;"&amp;D3)&gt;0,OR(E3&lt;=SUMPRODUCT(MAX((($A$2:$A$157="止损计划")*($B$2:$B$157=B3)*($D$2:$D$157&lt;D3))*$E$2:$E$157)),F3&lt;SUMPRODUCT(MAX((($A$2:$A$157="止损计划")*($B$2:$B$157=B3)*($D$2:$D$157&lt;D3))*$F$2:$F$157)))),"阶段价格必须逐级提高","计划有效"))))))),IF(A3="每日跟踪",IF(OR(B3="",H3="",I3="",J3=""),"每日数据不完整",IF(COUNTIFS($A$2:$A$157,"每日跟踪",$B$2:$B$157,B3,$H$2:$H$157,H3)&gt;1,"同一交易日期重复",IF(AND(R3&lt;&gt;"",R3&lt;S3),"人工止损无效：不能下调","跟踪有效"))),"记录类型无效")))</f>
        <v>每日数据不完整</v>
      </c>
    </row>
    <row r="4" spans="1:29" x14ac:dyDescent="0.15">
      <c r="A4" s="2" t="s">
        <v>218</v>
      </c>
      <c r="B4" s="2">
        <v>3</v>
      </c>
      <c r="C4" s="8" t="str">
        <f>IF(B4="","",IFERROR(LOOKUP(2,1/(单次交易!$A$2:$A$88=B4),单次交易!$B$2:$B$88),""))</f>
        <v>节电风能</v>
      </c>
      <c r="D4" s="12"/>
      <c r="E4" s="10"/>
      <c r="F4" s="10"/>
      <c r="G4" s="2"/>
      <c r="H4" s="15">
        <v>42716</v>
      </c>
      <c r="I4" s="10">
        <v>3.69</v>
      </c>
      <c r="J4" s="12"/>
      <c r="K4" s="2"/>
      <c r="L4" s="2"/>
      <c r="M4" s="2"/>
      <c r="N4" s="5">
        <f>IF(B4="","",IFERROR(LOOKUP(2,1/(单次交易!$A$2:$A$88=B4),单次交易!$N$2:$N$88),""))</f>
        <v>3.7</v>
      </c>
      <c r="O4" s="5">
        <f t="shared" si="0"/>
        <v>3.69</v>
      </c>
      <c r="P4" s="11">
        <f t="shared" si="1"/>
        <v>0</v>
      </c>
      <c r="Q4" s="5">
        <f t="shared" si="2"/>
        <v>3.7</v>
      </c>
      <c r="R4" s="10"/>
      <c r="S4" s="5">
        <f t="shared" si="3"/>
        <v>3.7</v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>触发止损：应全部卖出</v>
      </c>
      <c r="X4" s="2" t="s">
        <v>219</v>
      </c>
      <c r="Y4" s="10">
        <v>3.69</v>
      </c>
      <c r="Z4" s="11">
        <f>IF(X4&lt;&gt;"执行卖出","",IFERROR(LOOKUP(2,1/(单次交易!$A$2:$A$88=B4),单次交易!$AP$2:$AP$88),""))</f>
        <v>9000</v>
      </c>
      <c r="AA4" s="10"/>
      <c r="AB4" s="8" t="str">
        <f t="shared" si="8"/>
        <v>待补充每日记录</v>
      </c>
      <c r="AC4" s="8" t="str">
        <f>IF(A4="","",IF(A4="止损计划",IF(OR(B4="",D4="",E4="",F4="",G4=""),"计划不完整",IF(OR(D4&lt;1,D4&lt;&gt;INT(D4)),"阶段序号无效",IF(COUNTIFS($A$2:$A$157,"止损计划",$B$2:$B$157,B4,$D$2:$D$157,D4)&gt;1,"阶段序号重复",IF(E4&lt;=IFERROR(LOOKUP(2,1/(单次交易!$A$2:$A$88=B4),单次交易!$E$2:$E$88),0),"激活价须高于买入价",IF(F4&lt;N4,"止损价不得低于初始止损",IF(F4&gt;E4,"止损价不得高于激活价",IF(AND(COUNTIFS($A$2:$A$157,"止损计划",$B$2:$B$157,B4,$D$2:$D$157,"&lt;"&amp;D4)&gt;0,OR(E4&lt;=SUMPRODUCT(MAX((($A$2:$A$157="止损计划")*($B$2:$B$157=B4)*($D$2:$D$157&lt;D4))*$E$2:$E$157)),F4&lt;SUMPRODUCT(MAX((($A$2:$A$157="止损计划")*($B$2:$B$157=B4)*($D$2:$D$157&lt;D4))*$F$2:$F$157)))),"阶段价格必须逐级提高","计划有效"))))))),IF(A4="每日跟踪",IF(OR(B4="",H4="",I4="",J4=""),"每日数据不完整",IF(COUNTIFS($A$2:$A$157,"每日跟踪",$B$2:$B$157,B4,$H$2:$H$157,H4)&gt;1,"同一交易日期重复",IF(AND(R4&lt;&gt;"",R4&lt;S4),"人工止损无效：不能下调","跟踪有效"))),"记录类型无效")))</f>
        <v>每日数据不完整</v>
      </c>
    </row>
    <row r="5" spans="1:29" x14ac:dyDescent="0.15">
      <c r="A5" s="2" t="s">
        <v>218</v>
      </c>
      <c r="B5" s="2">
        <v>4</v>
      </c>
      <c r="C5" s="8" t="str">
        <f>IF(B5="","",IFERROR(LOOKUP(2,1/(单次交易!$A$2:$A$88=B5),单次交易!$B$2:$B$88),""))</f>
        <v>节电风能</v>
      </c>
      <c r="D5" s="12"/>
      <c r="E5" s="10"/>
      <c r="F5" s="10"/>
      <c r="G5" s="2"/>
      <c r="H5" s="15">
        <v>42838</v>
      </c>
      <c r="I5" s="10">
        <v>3.49</v>
      </c>
      <c r="J5" s="12"/>
      <c r="K5" s="2"/>
      <c r="L5" s="2"/>
      <c r="M5" s="2"/>
      <c r="N5" s="5">
        <f>IF(B5="","",IFERROR(LOOKUP(2,1/(单次交易!$A$2:$A$88=B5),单次交易!$N$2:$N$88),""))</f>
        <v>3.2</v>
      </c>
      <c r="O5" s="5">
        <f t="shared" si="0"/>
        <v>3.49</v>
      </c>
      <c r="P5" s="11">
        <f t="shared" si="1"/>
        <v>0</v>
      </c>
      <c r="Q5" s="5">
        <f t="shared" si="2"/>
        <v>3.2</v>
      </c>
      <c r="R5" s="10"/>
      <c r="S5" s="5">
        <f t="shared" si="3"/>
        <v>3.2</v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>继续观察</v>
      </c>
      <c r="X5" s="2" t="s">
        <v>219</v>
      </c>
      <c r="Y5" s="10">
        <v>3.49</v>
      </c>
      <c r="Z5" s="11">
        <f>IF(X5&lt;&gt;"执行卖出","",IFERROR(LOOKUP(2,1/(单次交易!$A$2:$A$88=B5),单次交易!$AP$2:$AP$88),""))</f>
        <v>10100</v>
      </c>
      <c r="AA5" s="10"/>
      <c r="AB5" s="8" t="str">
        <f t="shared" si="8"/>
        <v>待补充每日记录</v>
      </c>
      <c r="AC5" s="8" t="str">
        <f>IF(A5="","",IF(A5="止损计划",IF(OR(B5="",D5="",E5="",F5="",G5=""),"计划不完整",IF(OR(D5&lt;1,D5&lt;&gt;INT(D5)),"阶段序号无效",IF(COUNTIFS($A$2:$A$157,"止损计划",$B$2:$B$157,B5,$D$2:$D$157,D5)&gt;1,"阶段序号重复",IF(E5&lt;=IFERROR(LOOKUP(2,1/(单次交易!$A$2:$A$88=B5),单次交易!$E$2:$E$88),0),"激活价须高于买入价",IF(F5&lt;N5,"止损价不得低于初始止损",IF(F5&gt;E5,"止损价不得高于激活价",IF(AND(COUNTIFS($A$2:$A$157,"止损计划",$B$2:$B$157,B5,$D$2:$D$157,"&lt;"&amp;D5)&gt;0,OR(E5&lt;=SUMPRODUCT(MAX((($A$2:$A$157="止损计划")*($B$2:$B$157=B5)*($D$2:$D$157&lt;D5))*$E$2:$E$157)),F5&lt;SUMPRODUCT(MAX((($A$2:$A$157="止损计划")*($B$2:$B$157=B5)*($D$2:$D$157&lt;D5))*$F$2:$F$157)))),"阶段价格必须逐级提高","计划有效"))))))),IF(A5="每日跟踪",IF(OR(B5="",H5="",I5="",J5=""),"每日数据不完整",IF(COUNTIFS($A$2:$A$157,"每日跟踪",$B$2:$B$157,B5,$H$2:$H$157,H5)&gt;1,"同一交易日期重复",IF(AND(R5&lt;&gt;"",R5&lt;S5),"人工止损无效：不能下调","跟踪有效"))),"记录类型无效")))</f>
        <v>每日数据不完整</v>
      </c>
    </row>
    <row r="6" spans="1:29" x14ac:dyDescent="0.15">
      <c r="A6" s="2" t="s">
        <v>218</v>
      </c>
      <c r="B6" s="2">
        <v>5</v>
      </c>
      <c r="C6" s="8" t="str">
        <f>IF(B6="","",IFERROR(LOOKUP(2,1/(单次交易!$A$2:$A$88=B6),单次交易!$B$2:$B$88),""))</f>
        <v>节电风能</v>
      </c>
      <c r="D6" s="12"/>
      <c r="E6" s="10"/>
      <c r="F6" s="10"/>
      <c r="G6" s="2"/>
      <c r="H6" s="15">
        <v>43074</v>
      </c>
      <c r="I6" s="10">
        <v>2.74</v>
      </c>
      <c r="J6" s="12"/>
      <c r="K6" s="2"/>
      <c r="L6" s="2"/>
      <c r="M6" s="2"/>
      <c r="N6" s="5">
        <f>IF(B6="","",IFERROR(LOOKUP(2,1/(单次交易!$A$2:$A$88=B6),单次交易!$N$2:$N$88),""))</f>
        <v>2.75</v>
      </c>
      <c r="O6" s="5">
        <f t="shared" si="0"/>
        <v>2.74</v>
      </c>
      <c r="P6" s="11">
        <f t="shared" si="1"/>
        <v>0</v>
      </c>
      <c r="Q6" s="5">
        <f t="shared" si="2"/>
        <v>2.75</v>
      </c>
      <c r="R6" s="10"/>
      <c r="S6" s="5">
        <f t="shared" si="3"/>
        <v>2.75</v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>触发止损：应全部卖出</v>
      </c>
      <c r="X6" s="2" t="s">
        <v>219</v>
      </c>
      <c r="Y6" s="10">
        <v>2.74</v>
      </c>
      <c r="Z6" s="11">
        <f>IF(X6&lt;&gt;"执行卖出","",IFERROR(LOOKUP(2,1/(单次交易!$A$2:$A$88=B6),单次交易!$AP$2:$AP$88),""))</f>
        <v>17100</v>
      </c>
      <c r="AA6" s="10"/>
      <c r="AB6" s="8" t="str">
        <f t="shared" si="8"/>
        <v>待补充每日记录</v>
      </c>
      <c r="AC6" s="8" t="str">
        <f>IF(A6="","",IF(A6="止损计划",IF(OR(B6="",D6="",E6="",F6="",G6=""),"计划不完整",IF(OR(D6&lt;1,D6&lt;&gt;INT(D6)),"阶段序号无效",IF(COUNTIFS($A$2:$A$157,"止损计划",$B$2:$B$157,B6,$D$2:$D$157,D6)&gt;1,"阶段序号重复",IF(E6&lt;=IFERROR(LOOKUP(2,1/(单次交易!$A$2:$A$88=B6),单次交易!$E$2:$E$88),0),"激活价须高于买入价",IF(F6&lt;N6,"止损价不得低于初始止损",IF(F6&gt;E6,"止损价不得高于激活价",IF(AND(COUNTIFS($A$2:$A$157,"止损计划",$B$2:$B$157,B6,$D$2:$D$157,"&lt;"&amp;D6)&gt;0,OR(E6&lt;=SUMPRODUCT(MAX((($A$2:$A$157="止损计划")*($B$2:$B$157=B6)*($D$2:$D$157&lt;D6))*$E$2:$E$157)),F6&lt;SUMPRODUCT(MAX((($A$2:$A$157="止损计划")*($B$2:$B$157=B6)*($D$2:$D$157&lt;D6))*$F$2:$F$157)))),"阶段价格必须逐级提高","计划有效"))))))),IF(A6="每日跟踪",IF(OR(B6="",H6="",I6="",J6=""),"每日数据不完整",IF(COUNTIFS($A$2:$A$157,"每日跟踪",$B$2:$B$157,B6,$H$2:$H$157,H6)&gt;1,"同一交易日期重复",IF(AND(R6&lt;&gt;"",R6&lt;S6),"人工止损无效：不能下调","跟踪有效"))),"记录类型无效")))</f>
        <v>每日数据不完整</v>
      </c>
    </row>
    <row r="7" spans="1:29" x14ac:dyDescent="0.15">
      <c r="A7" s="2" t="s">
        <v>218</v>
      </c>
      <c r="B7" s="2">
        <v>6</v>
      </c>
      <c r="C7" s="8" t="str">
        <f>IF(B7="","",IFERROR(LOOKUP(2,1/(单次交易!$A$2:$A$88=B7),单次交易!$B$2:$B$88),""))</f>
        <v>节电风能</v>
      </c>
      <c r="D7" s="12"/>
      <c r="E7" s="10"/>
      <c r="F7" s="10"/>
      <c r="G7" s="2"/>
      <c r="H7" s="15">
        <v>43182</v>
      </c>
      <c r="I7" s="10">
        <v>2.38</v>
      </c>
      <c r="J7" s="12"/>
      <c r="K7" s="2"/>
      <c r="L7" s="2"/>
      <c r="M7" s="2"/>
      <c r="N7" s="5">
        <f>IF(B7="","",IFERROR(LOOKUP(2,1/(单次交易!$A$2:$A$88=B7),单次交易!$N$2:$N$88),""))</f>
        <v>2.4</v>
      </c>
      <c r="O7" s="5">
        <f t="shared" si="0"/>
        <v>2.38</v>
      </c>
      <c r="P7" s="11">
        <f t="shared" si="1"/>
        <v>0</v>
      </c>
      <c r="Q7" s="5">
        <f t="shared" si="2"/>
        <v>2.4</v>
      </c>
      <c r="R7" s="10"/>
      <c r="S7" s="5">
        <f t="shared" si="3"/>
        <v>2.4</v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>触发止损：应全部卖出</v>
      </c>
      <c r="X7" s="2" t="s">
        <v>219</v>
      </c>
      <c r="Y7" s="10">
        <v>2.38</v>
      </c>
      <c r="Z7" s="11">
        <f>IF(X7&lt;&gt;"执行卖出","",IFERROR(LOOKUP(2,1/(单次交易!$A$2:$A$88=B7),单次交易!$AP$2:$AP$88),""))</f>
        <v>11800</v>
      </c>
      <c r="AA7" s="10"/>
      <c r="AB7" s="8" t="str">
        <f t="shared" si="8"/>
        <v>待补充每日记录</v>
      </c>
      <c r="AC7" s="8" t="str">
        <f>IF(A7="","",IF(A7="止损计划",IF(OR(B7="",D7="",E7="",F7="",G7=""),"计划不完整",IF(OR(D7&lt;1,D7&lt;&gt;INT(D7)),"阶段序号无效",IF(COUNTIFS($A$2:$A$157,"止损计划",$B$2:$B$157,B7,$D$2:$D$157,D7)&gt;1,"阶段序号重复",IF(E7&lt;=IFERROR(LOOKUP(2,1/(单次交易!$A$2:$A$88=B7),单次交易!$E$2:$E$88),0),"激活价须高于买入价",IF(F7&lt;N7,"止损价不得低于初始止损",IF(F7&gt;E7,"止损价不得高于激活价",IF(AND(COUNTIFS($A$2:$A$157,"止损计划",$B$2:$B$157,B7,$D$2:$D$157,"&lt;"&amp;D7)&gt;0,OR(E7&lt;=SUMPRODUCT(MAX((($A$2:$A$157="止损计划")*($B$2:$B$157=B7)*($D$2:$D$157&lt;D7))*$E$2:$E$157)),F7&lt;SUMPRODUCT(MAX((($A$2:$A$157="止损计划")*($B$2:$B$157=B7)*($D$2:$D$157&lt;D7))*$F$2:$F$157)))),"阶段价格必须逐级提高","计划有效"))))))),IF(A7="每日跟踪",IF(OR(B7="",H7="",I7="",J7=""),"每日数据不完整",IF(COUNTIFS($A$2:$A$157,"每日跟踪",$B$2:$B$157,B7,$H$2:$H$157,H7)&gt;1,"同一交易日期重复",IF(AND(R7&lt;&gt;"",R7&lt;S7),"人工止损无效：不能下调","跟踪有效"))),"记录类型无效")))</f>
        <v>每日数据不完整</v>
      </c>
    </row>
    <row r="8" spans="1:29" x14ac:dyDescent="0.15">
      <c r="A8" s="2" t="s">
        <v>218</v>
      </c>
      <c r="B8" s="2">
        <v>7</v>
      </c>
      <c r="C8" s="8" t="str">
        <f>IF(B8="","",IFERROR(LOOKUP(2,1/(单次交易!$A$2:$A$88=B8),单次交易!$B$2:$B$88),""))</f>
        <v>节电风能</v>
      </c>
      <c r="D8" s="12"/>
      <c r="E8" s="10"/>
      <c r="F8" s="10"/>
      <c r="G8" s="2"/>
      <c r="H8" s="15">
        <v>44026</v>
      </c>
      <c r="I8" s="10">
        <v>2.14</v>
      </c>
      <c r="J8" s="12"/>
      <c r="K8" s="2"/>
      <c r="L8" s="2"/>
      <c r="M8" s="2"/>
      <c r="N8" s="5">
        <f>IF(B8="","",IFERROR(LOOKUP(2,1/(单次交易!$A$2:$A$88=B8),单次交易!$N$2:$N$88),""))</f>
        <v>1.85</v>
      </c>
      <c r="O8" s="5">
        <f t="shared" si="0"/>
        <v>2.14</v>
      </c>
      <c r="P8" s="11">
        <f t="shared" si="1"/>
        <v>0</v>
      </c>
      <c r="Q8" s="5">
        <f t="shared" si="2"/>
        <v>1.85</v>
      </c>
      <c r="R8" s="10"/>
      <c r="S8" s="5">
        <f t="shared" si="3"/>
        <v>1.85</v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>继续观察</v>
      </c>
      <c r="X8" s="2" t="s">
        <v>219</v>
      </c>
      <c r="Y8" s="10">
        <v>2.14</v>
      </c>
      <c r="Z8" s="11">
        <f>IF(X8&lt;&gt;"执行卖出","",IFERROR(LOOKUP(2,1/(单次交易!$A$2:$A$88=B8),单次交易!$AP$2:$AP$88),""))</f>
        <v>32700</v>
      </c>
      <c r="AA8" s="10"/>
      <c r="AB8" s="8" t="str">
        <f t="shared" si="8"/>
        <v>待补充每日记录</v>
      </c>
      <c r="AC8" s="8" t="str">
        <f>IF(A8="","",IF(A8="止损计划",IF(OR(B8="",D8="",E8="",F8="",G8=""),"计划不完整",IF(OR(D8&lt;1,D8&lt;&gt;INT(D8)),"阶段序号无效",IF(COUNTIFS($A$2:$A$157,"止损计划",$B$2:$B$157,B8,$D$2:$D$157,D8)&gt;1,"阶段序号重复",IF(E8&lt;=IFERROR(LOOKUP(2,1/(单次交易!$A$2:$A$88=B8),单次交易!$E$2:$E$88),0),"激活价须高于买入价",IF(F8&lt;N8,"止损价不得低于初始止损",IF(F8&gt;E8,"止损价不得高于激活价",IF(AND(COUNTIFS($A$2:$A$157,"止损计划",$B$2:$B$157,B8,$D$2:$D$157,"&lt;"&amp;D8)&gt;0,OR(E8&lt;=SUMPRODUCT(MAX((($A$2:$A$157="止损计划")*($B$2:$B$157=B8)*($D$2:$D$157&lt;D8))*$E$2:$E$157)),F8&lt;SUMPRODUCT(MAX((($A$2:$A$157="止损计划")*($B$2:$B$157=B8)*($D$2:$D$157&lt;D8))*$F$2:$F$157)))),"阶段价格必须逐级提高","计划有效"))))))),IF(A8="每日跟踪",IF(OR(B8="",H8="",I8="",J8=""),"每日数据不完整",IF(COUNTIFS($A$2:$A$157,"每日跟踪",$B$2:$B$157,B8,$H$2:$H$157,H8)&gt;1,"同一交易日期重复",IF(AND(R8&lt;&gt;"",R8&lt;S8),"人工止损无效：不能下调","跟踪有效"))),"记录类型无效")))</f>
        <v>每日数据不完整</v>
      </c>
    </row>
    <row r="9" spans="1:29" x14ac:dyDescent="0.15">
      <c r="A9" s="2"/>
      <c r="B9" s="2"/>
      <c r="C9" s="8" t="str">
        <f>IF(B9="","",IFERROR(LOOKUP(2,1/(单次交易!$A$2:$A$88=B9),单次交易!$B$2:$B$88),""))</f>
        <v/>
      </c>
      <c r="D9" s="12"/>
      <c r="E9" s="10"/>
      <c r="F9" s="10"/>
      <c r="G9" s="2"/>
      <c r="H9" s="15"/>
      <c r="I9" s="10"/>
      <c r="J9" s="12"/>
      <c r="K9" s="2"/>
      <c r="L9" s="2"/>
      <c r="M9" s="2"/>
      <c r="N9" s="5" t="str">
        <f>IF(B9="","",IFERROR(LOOKUP(2,1/(单次交易!$A$2:$A$88=B9),单次交易!$N$2:$N$88),""))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IF(X9&lt;&gt;"执行卖出","",IFERROR(LOOKUP(2,1/(单次交易!$A$2:$A$88=B9),单次交易!$AP$2:$AP$88),""))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$157,"止损计划",$B$2:$B$157,B9,$D$2:$D$157,D9)&gt;1,"阶段序号重复",IF(E9&lt;=IFERROR(LOOKUP(2,1/(单次交易!$A$2:$A$88=B9),单次交易!$E$2:$E$88),0),"激活价须高于买入价",IF(F9&lt;N9,"止损价不得低于初始止损",IF(F9&gt;E9,"止损价不得高于激活价",IF(AND(COUNTIFS($A$2:$A$157,"止损计划",$B$2:$B$157,B9,$D$2:$D$157,"&lt;"&amp;D9)&gt;0,OR(E9&lt;=SUMPRODUCT(MAX((($A$2:$A$157="止损计划")*($B$2:$B$157=B9)*($D$2:$D$157&lt;D9))*$E$2:$E$157)),F9&lt;SUMPRODUCT(MAX((($A$2:$A$157="止损计划")*($B$2:$B$157=B9)*($D$2:$D$157&lt;D9))*$F$2:$F$157)))),"阶段价格必须逐级提高","计划有效"))))))),IF(A9="每日跟踪",IF(OR(B9="",H9="",I9="",J9=""),"每日数据不完整",IF(COUNTIFS($A$2:$A$157,"每日跟踪",$B$2:$B$157,B9,$H$2:$H$157,H9)&gt;1,"同一交易日期重复",IF(AND(R9&lt;&gt;"",R9&lt;S9),"人工止损无效：不能下调","跟踪有效"))),"记录类型无效")))</f>
        <v/>
      </c>
    </row>
    <row r="10" spans="1:29" x14ac:dyDescent="0.15">
      <c r="A10" s="2"/>
      <c r="B10" s="2"/>
      <c r="C10" s="8" t="str">
        <f>IF(B10="","",IFERROR(LOOKUP(2,1/(单次交易!$A$2:$A$88=B10),单次交易!$B$2:$B$88),""))</f>
        <v/>
      </c>
      <c r="D10" s="12"/>
      <c r="E10" s="10"/>
      <c r="F10" s="10"/>
      <c r="G10" s="2"/>
      <c r="H10" s="15"/>
      <c r="I10" s="10"/>
      <c r="J10" s="12"/>
      <c r="K10" s="2"/>
      <c r="L10" s="2"/>
      <c r="M10" s="2"/>
      <c r="N10" s="5" t="str">
        <f>IF(B10="","",IFERROR(LOOKUP(2,1/(单次交易!$A$2:$A$88=B10),单次交易!$N$2:$N$88),""))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IF(X10&lt;&gt;"执行卖出","",IFERROR(LOOKUP(2,1/(单次交易!$A$2:$A$88=B10),单次交易!$AP$2:$AP$88),""))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$157,"止损计划",$B$2:$B$157,B10,$D$2:$D$157,D10)&gt;1,"阶段序号重复",IF(E10&lt;=IFERROR(LOOKUP(2,1/(单次交易!$A$2:$A$88=B10),单次交易!$E$2:$E$88),0),"激活价须高于买入价",IF(F10&lt;N10,"止损价不得低于初始止损",IF(F10&gt;E10,"止损价不得高于激活价",IF(AND(COUNTIFS($A$2:$A$157,"止损计划",$B$2:$B$157,B10,$D$2:$D$157,"&lt;"&amp;D10)&gt;0,OR(E10&lt;=SUMPRODUCT(MAX((($A$2:$A$157="止损计划")*($B$2:$B$157=B10)*($D$2:$D$157&lt;D10))*$E$2:$E$157)),F10&lt;SUMPRODUCT(MAX((($A$2:$A$157="止损计划")*($B$2:$B$157=B10)*($D$2:$D$157&lt;D10))*$F$2:$F$157)))),"阶段价格必须逐级提高","计划有效"))))))),IF(A10="每日跟踪",IF(OR(B10="",H10="",I10="",J10=""),"每日数据不完整",IF(COUNTIFS($A$2:$A$157,"每日跟踪",$B$2:$B$157,B10,$H$2:$H$157,H10)&gt;1,"同一交易日期重复",IF(AND(R10&lt;&gt;"",R10&lt;S10),"人工止损无效：不能下调","跟踪有效"))),"记录类型无效")))</f>
        <v/>
      </c>
    </row>
    <row r="11" spans="1:29" x14ac:dyDescent="0.15">
      <c r="A11" s="2"/>
      <c r="B11" s="2"/>
      <c r="C11" s="8" t="str">
        <f>IF(B11="","",IFERROR(LOOKUP(2,1/(单次交易!$A$2:$A$88=B11),单次交易!$B$2:$B$88),""))</f>
        <v/>
      </c>
      <c r="D11" s="12"/>
      <c r="E11" s="10"/>
      <c r="F11" s="10"/>
      <c r="G11" s="2"/>
      <c r="H11" s="15"/>
      <c r="I11" s="10"/>
      <c r="J11" s="12"/>
      <c r="K11" s="2"/>
      <c r="L11" s="2"/>
      <c r="M11" s="2"/>
      <c r="N11" s="5" t="str">
        <f>IF(B11="","",IFERROR(LOOKUP(2,1/(单次交易!$A$2:$A$88=B11),单次交易!$N$2:$N$88),""))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IF(X11&lt;&gt;"执行卖出","",IFERROR(LOOKUP(2,1/(单次交易!$A$2:$A$88=B11),单次交易!$AP$2:$AP$88),""))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$157,"止损计划",$B$2:$B$157,B11,$D$2:$D$157,D11)&gt;1,"阶段序号重复",IF(E11&lt;=IFERROR(LOOKUP(2,1/(单次交易!$A$2:$A$88=B11),单次交易!$E$2:$E$88),0),"激活价须高于买入价",IF(F11&lt;N11,"止损价不得低于初始止损",IF(F11&gt;E11,"止损价不得高于激活价",IF(AND(COUNTIFS($A$2:$A$157,"止损计划",$B$2:$B$157,B11,$D$2:$D$157,"&lt;"&amp;D11)&gt;0,OR(E11&lt;=SUMPRODUCT(MAX((($A$2:$A$157="止损计划")*($B$2:$B$157=B11)*($D$2:$D$157&lt;D11))*$E$2:$E$157)),F11&lt;SUMPRODUCT(MAX((($A$2:$A$157="止损计划")*($B$2:$B$157=B11)*($D$2:$D$157&lt;D11))*$F$2:$F$157)))),"阶段价格必须逐级提高","计划有效"))))))),IF(A11="每日跟踪",IF(OR(B11="",H11="",I11="",J11=""),"每日数据不完整",IF(COUNTIFS($A$2:$A$157,"每日跟踪",$B$2:$B$157,B11,$H$2:$H$157,H11)&gt;1,"同一交易日期重复",IF(AND(R11&lt;&gt;"",R11&lt;S11),"人工止损无效：不能下调","跟踪有效"))),"记录类型无效")))</f>
        <v/>
      </c>
    </row>
    <row r="12" spans="1:29" x14ac:dyDescent="0.15">
      <c r="A12" s="2"/>
      <c r="B12" s="2"/>
      <c r="C12" s="8" t="str">
        <f>IF(B12="","",IFERROR(LOOKUP(2,1/(单次交易!$A$2:$A$88=B12),单次交易!$B$2:$B$88),""))</f>
        <v/>
      </c>
      <c r="D12" s="12"/>
      <c r="E12" s="10"/>
      <c r="F12" s="10"/>
      <c r="G12" s="2"/>
      <c r="H12" s="15"/>
      <c r="I12" s="10"/>
      <c r="J12" s="12"/>
      <c r="K12" s="2"/>
      <c r="L12" s="2"/>
      <c r="M12" s="2"/>
      <c r="N12" s="5" t="str">
        <f>IF(B12="","",IFERROR(LOOKUP(2,1/(单次交易!$A$2:$A$88=B12),单次交易!$N$2:$N$88),""))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IF(X12&lt;&gt;"执行卖出","",IFERROR(LOOKUP(2,1/(单次交易!$A$2:$A$88=B12),单次交易!$AP$2:$AP$88),""))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$157,"止损计划",$B$2:$B$157,B12,$D$2:$D$157,D12)&gt;1,"阶段序号重复",IF(E12&lt;=IFERROR(LOOKUP(2,1/(单次交易!$A$2:$A$88=B12),单次交易!$E$2:$E$88),0),"激活价须高于买入价",IF(F12&lt;N12,"止损价不得低于初始止损",IF(F12&gt;E12,"止损价不得高于激活价",IF(AND(COUNTIFS($A$2:$A$157,"止损计划",$B$2:$B$157,B12,$D$2:$D$157,"&lt;"&amp;D12)&gt;0,OR(E12&lt;=SUMPRODUCT(MAX((($A$2:$A$157="止损计划")*($B$2:$B$157=B12)*($D$2:$D$157&lt;D12))*$E$2:$E$157)),F12&lt;SUMPRODUCT(MAX((($A$2:$A$157="止损计划")*($B$2:$B$157=B12)*($D$2:$D$157&lt;D12))*$F$2:$F$157)))),"阶段价格必须逐级提高","计划有效"))))))),IF(A12="每日跟踪",IF(OR(B12="",H12="",I12="",J12=""),"每日数据不完整",IF(COUNTIFS($A$2:$A$157,"每日跟踪",$B$2:$B$157,B12,$H$2:$H$157,H12)&gt;1,"同一交易日期重复",IF(AND(R12&lt;&gt;"",R12&lt;S12),"人工止损无效：不能下调","跟踪有效"))),"记录类型无效")))</f>
        <v/>
      </c>
    </row>
    <row r="13" spans="1:29" x14ac:dyDescent="0.15">
      <c r="A13" s="2"/>
      <c r="B13" s="2"/>
      <c r="C13" s="8" t="str">
        <f>IF(B13="","",IFERROR(LOOKUP(2,1/(单次交易!$A$2:$A$88=B13),单次交易!$B$2:$B$88),""))</f>
        <v/>
      </c>
      <c r="D13" s="12"/>
      <c r="E13" s="10"/>
      <c r="F13" s="10"/>
      <c r="G13" s="2"/>
      <c r="H13" s="15"/>
      <c r="I13" s="10"/>
      <c r="J13" s="12"/>
      <c r="K13" s="2"/>
      <c r="L13" s="2"/>
      <c r="M13" s="2"/>
      <c r="N13" s="5" t="str">
        <f>IF(B13="","",IFERROR(LOOKUP(2,1/(单次交易!$A$2:$A$88=B13),单次交易!$N$2:$N$88),""))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IF(X13&lt;&gt;"执行卖出","",IFERROR(LOOKUP(2,1/(单次交易!$A$2:$A$88=B13),单次交易!$AP$2:$AP$88),""))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$157,"止损计划",$B$2:$B$157,B13,$D$2:$D$157,D13)&gt;1,"阶段序号重复",IF(E13&lt;=IFERROR(LOOKUP(2,1/(单次交易!$A$2:$A$88=B13),单次交易!$E$2:$E$88),0),"激活价须高于买入价",IF(F13&lt;N13,"止损价不得低于初始止损",IF(F13&gt;E13,"止损价不得高于激活价",IF(AND(COUNTIFS($A$2:$A$157,"止损计划",$B$2:$B$157,B13,$D$2:$D$157,"&lt;"&amp;D13)&gt;0,OR(E13&lt;=SUMPRODUCT(MAX((($A$2:$A$157="止损计划")*($B$2:$B$157=B13)*($D$2:$D$157&lt;D13))*$E$2:$E$157)),F13&lt;SUMPRODUCT(MAX((($A$2:$A$157="止损计划")*($B$2:$B$157=B13)*($D$2:$D$157&lt;D13))*$F$2:$F$157)))),"阶段价格必须逐级提高","计划有效"))))))),IF(A13="每日跟踪",IF(OR(B13="",H13="",I13="",J13=""),"每日数据不完整",IF(COUNTIFS($A$2:$A$157,"每日跟踪",$B$2:$B$157,B13,$H$2:$H$157,H13)&gt;1,"同一交易日期重复",IF(AND(R13&lt;&gt;"",R13&lt;S13),"人工止损无效：不能下调","跟踪有效"))),"记录类型无效")))</f>
        <v/>
      </c>
    </row>
    <row r="14" spans="1:29" x14ac:dyDescent="0.15">
      <c r="A14" s="2"/>
      <c r="B14" s="2"/>
      <c r="C14" s="8" t="str">
        <f>IF(B14="","",IFERROR(LOOKUP(2,1/(单次交易!$A$2:$A$88=B14),单次交易!$B$2:$B$88),""))</f>
        <v/>
      </c>
      <c r="D14" s="12"/>
      <c r="E14" s="10"/>
      <c r="F14" s="10"/>
      <c r="G14" s="2"/>
      <c r="H14" s="15"/>
      <c r="I14" s="10"/>
      <c r="J14" s="12"/>
      <c r="K14" s="2"/>
      <c r="L14" s="2"/>
      <c r="M14" s="2"/>
      <c r="N14" s="5" t="str">
        <f>IF(B14="","",IFERROR(LOOKUP(2,1/(单次交易!$A$2:$A$88=B14),单次交易!$N$2:$N$88),""))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IF(X14&lt;&gt;"执行卖出","",IFERROR(LOOKUP(2,1/(单次交易!$A$2:$A$88=B14),单次交易!$AP$2:$AP$88),""))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$157,"止损计划",$B$2:$B$157,B14,$D$2:$D$157,D14)&gt;1,"阶段序号重复",IF(E14&lt;=IFERROR(LOOKUP(2,1/(单次交易!$A$2:$A$88=B14),单次交易!$E$2:$E$88),0),"激活价须高于买入价",IF(F14&lt;N14,"止损价不得低于初始止损",IF(F14&gt;E14,"止损价不得高于激活价",IF(AND(COUNTIFS($A$2:$A$157,"止损计划",$B$2:$B$157,B14,$D$2:$D$157,"&lt;"&amp;D14)&gt;0,OR(E14&lt;=SUMPRODUCT(MAX((($A$2:$A$157="止损计划")*($B$2:$B$157=B14)*($D$2:$D$157&lt;D14))*$E$2:$E$157)),F14&lt;SUMPRODUCT(MAX((($A$2:$A$157="止损计划")*($B$2:$B$157=B14)*($D$2:$D$157&lt;D14))*$F$2:$F$157)))),"阶段价格必须逐级提高","计划有效"))))))),IF(A14="每日跟踪",IF(OR(B14="",H14="",I14="",J14=""),"每日数据不完整",IF(COUNTIFS($A$2:$A$157,"每日跟踪",$B$2:$B$157,B14,$H$2:$H$157,H14)&gt;1,"同一交易日期重复",IF(AND(R14&lt;&gt;"",R14&lt;S14),"人工止损无效：不能下调","跟踪有效"))),"记录类型无效")))</f>
        <v/>
      </c>
    </row>
    <row r="15" spans="1:29" x14ac:dyDescent="0.15">
      <c r="A15" s="2"/>
      <c r="B15" s="2"/>
      <c r="C15" s="8" t="str">
        <f>IF(B15="","",IFERROR(LOOKUP(2,1/(单次交易!$A$2:$A$88=B15),单次交易!$B$2:$B$88),""))</f>
        <v/>
      </c>
      <c r="D15" s="12"/>
      <c r="E15" s="10"/>
      <c r="F15" s="10"/>
      <c r="G15" s="2"/>
      <c r="H15" s="15"/>
      <c r="I15" s="10"/>
      <c r="J15" s="12"/>
      <c r="K15" s="2"/>
      <c r="L15" s="2"/>
      <c r="M15" s="2"/>
      <c r="N15" s="5" t="str">
        <f>IF(B15="","",IFERROR(LOOKUP(2,1/(单次交易!$A$2:$A$88=B15),单次交易!$N$2:$N$88),""))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IF(X15&lt;&gt;"执行卖出","",IFERROR(LOOKUP(2,1/(单次交易!$A$2:$A$88=B15),单次交易!$AP$2:$AP$88),""))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$157,"止损计划",$B$2:$B$157,B15,$D$2:$D$157,D15)&gt;1,"阶段序号重复",IF(E15&lt;=IFERROR(LOOKUP(2,1/(单次交易!$A$2:$A$88=B15),单次交易!$E$2:$E$88),0),"激活价须高于买入价",IF(F15&lt;N15,"止损价不得低于初始止损",IF(F15&gt;E15,"止损价不得高于激活价",IF(AND(COUNTIFS($A$2:$A$157,"止损计划",$B$2:$B$157,B15,$D$2:$D$157,"&lt;"&amp;D15)&gt;0,OR(E15&lt;=SUMPRODUCT(MAX((($A$2:$A$157="止损计划")*($B$2:$B$157=B15)*($D$2:$D$157&lt;D15))*$E$2:$E$157)),F15&lt;SUMPRODUCT(MAX((($A$2:$A$157="止损计划")*($B$2:$B$157=B15)*($D$2:$D$157&lt;D15))*$F$2:$F$157)))),"阶段价格必须逐级提高","计划有效"))))))),IF(A15="每日跟踪",IF(OR(B15="",H15="",I15="",J15=""),"每日数据不完整",IF(COUNTIFS($A$2:$A$157,"每日跟踪",$B$2:$B$157,B15,$H$2:$H$157,H15)&gt;1,"同一交易日期重复",IF(AND(R15&lt;&gt;"",R15&lt;S15),"人工止损无效：不能下调","跟踪有效"))),"记录类型无效")))</f>
        <v/>
      </c>
    </row>
    <row r="16" spans="1:29" x14ac:dyDescent="0.15">
      <c r="A16" s="2"/>
      <c r="B16" s="2"/>
      <c r="C16" s="8" t="str">
        <f>IF(B16="","",IFERROR(LOOKUP(2,1/(单次交易!$A$2:$A$88=B16),单次交易!$B$2:$B$88),""))</f>
        <v/>
      </c>
      <c r="D16" s="12"/>
      <c r="E16" s="10"/>
      <c r="F16" s="10"/>
      <c r="G16" s="2"/>
      <c r="H16" s="15"/>
      <c r="I16" s="10"/>
      <c r="J16" s="12"/>
      <c r="K16" s="2"/>
      <c r="L16" s="2"/>
      <c r="M16" s="2"/>
      <c r="N16" s="5" t="str">
        <f>IF(B16="","",IFERROR(LOOKUP(2,1/(单次交易!$A$2:$A$88=B16),单次交易!$N$2:$N$88),""))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IF(X16&lt;&gt;"执行卖出","",IFERROR(LOOKUP(2,1/(单次交易!$A$2:$A$88=B16),单次交易!$AP$2:$AP$88),""))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$157,"止损计划",$B$2:$B$157,B16,$D$2:$D$157,D16)&gt;1,"阶段序号重复",IF(E16&lt;=IFERROR(LOOKUP(2,1/(单次交易!$A$2:$A$88=B16),单次交易!$E$2:$E$88),0),"激活价须高于买入价",IF(F16&lt;N16,"止损价不得低于初始止损",IF(F16&gt;E16,"止损价不得高于激活价",IF(AND(COUNTIFS($A$2:$A$157,"止损计划",$B$2:$B$157,B16,$D$2:$D$157,"&lt;"&amp;D16)&gt;0,OR(E16&lt;=SUMPRODUCT(MAX((($A$2:$A$157="止损计划")*($B$2:$B$157=B16)*($D$2:$D$157&lt;D16))*$E$2:$E$157)),F16&lt;SUMPRODUCT(MAX((($A$2:$A$157="止损计划")*($B$2:$B$157=B16)*($D$2:$D$157&lt;D16))*$F$2:$F$157)))),"阶段价格必须逐级提高","计划有效"))))))),IF(A16="每日跟踪",IF(OR(B16="",H16="",I16="",J16=""),"每日数据不完整",IF(COUNTIFS($A$2:$A$157,"每日跟踪",$B$2:$B$157,B16,$H$2:$H$157,H16)&gt;1,"同一交易日期重复",IF(AND(R16&lt;&gt;"",R16&lt;S16),"人工止损无效：不能下调","跟踪有效"))),"记录类型无效")))</f>
        <v/>
      </c>
    </row>
    <row r="17" spans="1:29" x14ac:dyDescent="0.15">
      <c r="A17" s="2"/>
      <c r="B17" s="2"/>
      <c r="C17" s="8" t="str">
        <f>IF(B17="","",IFERROR(LOOKUP(2,1/(单次交易!$A$2:$A$88=B17),单次交易!$B$2:$B$88),""))</f>
        <v/>
      </c>
      <c r="D17" s="12"/>
      <c r="E17" s="10"/>
      <c r="F17" s="10"/>
      <c r="G17" s="2"/>
      <c r="H17" s="15"/>
      <c r="I17" s="10"/>
      <c r="J17" s="12"/>
      <c r="K17" s="2"/>
      <c r="L17" s="2"/>
      <c r="M17" s="2"/>
      <c r="N17" s="5" t="str">
        <f>IF(B17="","",IFERROR(LOOKUP(2,1/(单次交易!$A$2:$A$88=B17),单次交易!$N$2:$N$88),""))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IF(X17&lt;&gt;"执行卖出","",IFERROR(LOOKUP(2,1/(单次交易!$A$2:$A$88=B17),单次交易!$AP$2:$AP$88),""))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$157,"止损计划",$B$2:$B$157,B17,$D$2:$D$157,D17)&gt;1,"阶段序号重复",IF(E17&lt;=IFERROR(LOOKUP(2,1/(单次交易!$A$2:$A$88=B17),单次交易!$E$2:$E$88),0),"激活价须高于买入价",IF(F17&lt;N17,"止损价不得低于初始止损",IF(F17&gt;E17,"止损价不得高于激活价",IF(AND(COUNTIFS($A$2:$A$157,"止损计划",$B$2:$B$157,B17,$D$2:$D$157,"&lt;"&amp;D17)&gt;0,OR(E17&lt;=SUMPRODUCT(MAX((($A$2:$A$157="止损计划")*($B$2:$B$157=B17)*($D$2:$D$157&lt;D17))*$E$2:$E$157)),F17&lt;SUMPRODUCT(MAX((($A$2:$A$157="止损计划")*($B$2:$B$157=B17)*($D$2:$D$157&lt;D17))*$F$2:$F$157)))),"阶段价格必须逐级提高","计划有效"))))))),IF(A17="每日跟踪",IF(OR(B17="",H17="",I17="",J17=""),"每日数据不完整",IF(COUNTIFS($A$2:$A$157,"每日跟踪",$B$2:$B$157,B17,$H$2:$H$157,H17)&gt;1,"同一交易日期重复",IF(AND(R17&lt;&gt;"",R17&lt;S17),"人工止损无效：不能下调","跟踪有效"))),"记录类型无效")))</f>
        <v/>
      </c>
    </row>
    <row r="18" spans="1:29" x14ac:dyDescent="0.15">
      <c r="A18" s="2"/>
      <c r="B18" s="2"/>
      <c r="C18" s="8" t="str">
        <f>IF(B18="","",IFERROR(LOOKUP(2,1/(单次交易!$A$2:$A$88=B18),单次交易!$B$2:$B$88),""))</f>
        <v/>
      </c>
      <c r="D18" s="12"/>
      <c r="E18" s="10"/>
      <c r="F18" s="10"/>
      <c r="G18" s="2"/>
      <c r="H18" s="15"/>
      <c r="I18" s="10"/>
      <c r="J18" s="12"/>
      <c r="K18" s="2"/>
      <c r="L18" s="2"/>
      <c r="M18" s="2"/>
      <c r="N18" s="5" t="str">
        <f>IF(B18="","",IFERROR(LOOKUP(2,1/(单次交易!$A$2:$A$88=B18),单次交易!$N$2:$N$88),""))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IF(X18&lt;&gt;"执行卖出","",IFERROR(LOOKUP(2,1/(单次交易!$A$2:$A$88=B18),单次交易!$AP$2:$AP$88),""))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$157,"止损计划",$B$2:$B$157,B18,$D$2:$D$157,D18)&gt;1,"阶段序号重复",IF(E18&lt;=IFERROR(LOOKUP(2,1/(单次交易!$A$2:$A$88=B18),单次交易!$E$2:$E$88),0),"激活价须高于买入价",IF(F18&lt;N18,"止损价不得低于初始止损",IF(F18&gt;E18,"止损价不得高于激活价",IF(AND(COUNTIFS($A$2:$A$157,"止损计划",$B$2:$B$157,B18,$D$2:$D$157,"&lt;"&amp;D18)&gt;0,OR(E18&lt;=SUMPRODUCT(MAX((($A$2:$A$157="止损计划")*($B$2:$B$157=B18)*($D$2:$D$157&lt;D18))*$E$2:$E$157)),F18&lt;SUMPRODUCT(MAX((($A$2:$A$157="止损计划")*($B$2:$B$157=B18)*($D$2:$D$157&lt;D18))*$F$2:$F$157)))),"阶段价格必须逐级提高","计划有效"))))))),IF(A18="每日跟踪",IF(OR(B18="",H18="",I18="",J18=""),"每日数据不完整",IF(COUNTIFS($A$2:$A$157,"每日跟踪",$B$2:$B$157,B18,$H$2:$H$157,H18)&gt;1,"同一交易日期重复",IF(AND(R18&lt;&gt;"",R18&lt;S18),"人工止损无效：不能下调","跟踪有效"))),"记录类型无效")))</f>
        <v/>
      </c>
    </row>
    <row r="19" spans="1:29" x14ac:dyDescent="0.15">
      <c r="A19" s="2"/>
      <c r="B19" s="2"/>
      <c r="C19" s="8" t="str">
        <f>IF(B19="","",IFERROR(LOOKUP(2,1/(单次交易!$A$2:$A$88=B19),单次交易!$B$2:$B$88),""))</f>
        <v/>
      </c>
      <c r="D19" s="12"/>
      <c r="E19" s="10"/>
      <c r="F19" s="10"/>
      <c r="G19" s="2"/>
      <c r="H19" s="15"/>
      <c r="I19" s="10"/>
      <c r="J19" s="12"/>
      <c r="K19" s="2"/>
      <c r="L19" s="2"/>
      <c r="M19" s="2"/>
      <c r="N19" s="5" t="str">
        <f>IF(B19="","",IFERROR(LOOKUP(2,1/(单次交易!$A$2:$A$88=B19),单次交易!$N$2:$N$88),""))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IF(X19&lt;&gt;"执行卖出","",IFERROR(LOOKUP(2,1/(单次交易!$A$2:$A$88=B19),单次交易!$AP$2:$AP$88),""))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$157,"止损计划",$B$2:$B$157,B19,$D$2:$D$157,D19)&gt;1,"阶段序号重复",IF(E19&lt;=IFERROR(LOOKUP(2,1/(单次交易!$A$2:$A$88=B19),单次交易!$E$2:$E$88),0),"激活价须高于买入价",IF(F19&lt;N19,"止损价不得低于初始止损",IF(F19&gt;E19,"止损价不得高于激活价",IF(AND(COUNTIFS($A$2:$A$157,"止损计划",$B$2:$B$157,B19,$D$2:$D$157,"&lt;"&amp;D19)&gt;0,OR(E19&lt;=SUMPRODUCT(MAX((($A$2:$A$157="止损计划")*($B$2:$B$157=B19)*($D$2:$D$157&lt;D19))*$E$2:$E$157)),F19&lt;SUMPRODUCT(MAX((($A$2:$A$157="止损计划")*($B$2:$B$157=B19)*($D$2:$D$157&lt;D19))*$F$2:$F$157)))),"阶段价格必须逐级提高","计划有效"))))))),IF(A19="每日跟踪",IF(OR(B19="",H19="",I19="",J19=""),"每日数据不完整",IF(COUNTIFS($A$2:$A$157,"每日跟踪",$B$2:$B$157,B19,$H$2:$H$157,H19)&gt;1,"同一交易日期重复",IF(AND(R19&lt;&gt;"",R19&lt;S19),"人工止损无效：不能下调","跟踪有效"))),"记录类型无效")))</f>
        <v/>
      </c>
    </row>
    <row r="20" spans="1:29" x14ac:dyDescent="0.15">
      <c r="A20" s="2"/>
      <c r="B20" s="2"/>
      <c r="C20" s="8" t="str">
        <f>IF(B20="","",IFERROR(LOOKUP(2,1/(单次交易!$A$2:$A$88=B20),单次交易!$B$2:$B$88),""))</f>
        <v/>
      </c>
      <c r="D20" s="12"/>
      <c r="E20" s="10"/>
      <c r="F20" s="10"/>
      <c r="G20" s="2"/>
      <c r="H20" s="15"/>
      <c r="I20" s="10"/>
      <c r="J20" s="12"/>
      <c r="K20" s="2"/>
      <c r="L20" s="2"/>
      <c r="M20" s="2"/>
      <c r="N20" s="5" t="str">
        <f>IF(B20="","",IFERROR(LOOKUP(2,1/(单次交易!$A$2:$A$88=B20),单次交易!$N$2:$N$88),""))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IF(X20&lt;&gt;"执行卖出","",IFERROR(LOOKUP(2,1/(单次交易!$A$2:$A$88=B20),单次交易!$AP$2:$AP$88),""))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$157,"止损计划",$B$2:$B$157,B20,$D$2:$D$157,D20)&gt;1,"阶段序号重复",IF(E20&lt;=IFERROR(LOOKUP(2,1/(单次交易!$A$2:$A$88=B20),单次交易!$E$2:$E$88),0),"激活价须高于买入价",IF(F20&lt;N20,"止损价不得低于初始止损",IF(F20&gt;E20,"止损价不得高于激活价",IF(AND(COUNTIFS($A$2:$A$157,"止损计划",$B$2:$B$157,B20,$D$2:$D$157,"&lt;"&amp;D20)&gt;0,OR(E20&lt;=SUMPRODUCT(MAX((($A$2:$A$157="止损计划")*($B$2:$B$157=B20)*($D$2:$D$157&lt;D20))*$E$2:$E$157)),F20&lt;SUMPRODUCT(MAX((($A$2:$A$157="止损计划")*($B$2:$B$157=B20)*($D$2:$D$157&lt;D20))*$F$2:$F$157)))),"阶段价格必须逐级提高","计划有效"))))))),IF(A20="每日跟踪",IF(OR(B20="",H20="",I20="",J20=""),"每日数据不完整",IF(COUNTIFS($A$2:$A$157,"每日跟踪",$B$2:$B$157,B20,$H$2:$H$157,H20)&gt;1,"同一交易日期重复",IF(AND(R20&lt;&gt;"",R20&lt;S20),"人工止损无效：不能下调","跟踪有效"))),"记录类型无效")))</f>
        <v/>
      </c>
    </row>
    <row r="21" spans="1:29" x14ac:dyDescent="0.15">
      <c r="A21" s="2"/>
      <c r="B21" s="2"/>
      <c r="C21" s="8" t="str">
        <f>IF(B21="","",IFERROR(LOOKUP(2,1/(单次交易!$A$2:$A$88=B21),单次交易!$B$2:$B$88),""))</f>
        <v/>
      </c>
      <c r="D21" s="12"/>
      <c r="E21" s="10"/>
      <c r="F21" s="10"/>
      <c r="G21" s="2"/>
      <c r="H21" s="15"/>
      <c r="I21" s="10"/>
      <c r="J21" s="12"/>
      <c r="K21" s="2"/>
      <c r="L21" s="2"/>
      <c r="M21" s="2"/>
      <c r="N21" s="5" t="str">
        <f>IF(B21="","",IFERROR(LOOKUP(2,1/(单次交易!$A$2:$A$88=B21),单次交易!$N$2:$N$88),""))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IF(X21&lt;&gt;"执行卖出","",IFERROR(LOOKUP(2,1/(单次交易!$A$2:$A$88=B21),单次交易!$AP$2:$AP$88),""))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$157,"止损计划",$B$2:$B$157,B21,$D$2:$D$157,D21)&gt;1,"阶段序号重复",IF(E21&lt;=IFERROR(LOOKUP(2,1/(单次交易!$A$2:$A$88=B21),单次交易!$E$2:$E$88),0),"激活价须高于买入价",IF(F21&lt;N21,"止损价不得低于初始止损",IF(F21&gt;E21,"止损价不得高于激活价",IF(AND(COUNTIFS($A$2:$A$157,"止损计划",$B$2:$B$157,B21,$D$2:$D$157,"&lt;"&amp;D21)&gt;0,OR(E21&lt;=SUMPRODUCT(MAX((($A$2:$A$157="止损计划")*($B$2:$B$157=B21)*($D$2:$D$157&lt;D21))*$E$2:$E$157)),F21&lt;SUMPRODUCT(MAX((($A$2:$A$157="止损计划")*($B$2:$B$157=B21)*($D$2:$D$157&lt;D21))*$F$2:$F$157)))),"阶段价格必须逐级提高","计划有效"))))))),IF(A21="每日跟踪",IF(OR(B21="",H21="",I21="",J21=""),"每日数据不完整",IF(COUNTIFS($A$2:$A$157,"每日跟踪",$B$2:$B$157,B21,$H$2:$H$157,H21)&gt;1,"同一交易日期重复",IF(AND(R21&lt;&gt;"",R21&lt;S21),"人工止损无效：不能下调","跟踪有效"))),"记录类型无效")))</f>
        <v/>
      </c>
    </row>
    <row r="22" spans="1:29" x14ac:dyDescent="0.15">
      <c r="A22" s="2"/>
      <c r="B22" s="2"/>
      <c r="C22" s="8" t="str">
        <f>IF(B22="","",IFERROR(LOOKUP(2,1/(单次交易!$A$2:$A$88=B22),单次交易!$B$2:$B$88),""))</f>
        <v/>
      </c>
      <c r="D22" s="12"/>
      <c r="E22" s="10"/>
      <c r="F22" s="10"/>
      <c r="G22" s="2"/>
      <c r="H22" s="15"/>
      <c r="I22" s="10"/>
      <c r="J22" s="12"/>
      <c r="K22" s="2"/>
      <c r="L22" s="2"/>
      <c r="M22" s="2"/>
      <c r="N22" s="5" t="str">
        <f>IF(B22="","",IFERROR(LOOKUP(2,1/(单次交易!$A$2:$A$88=B22),单次交易!$N$2:$N$88),""))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IF(X22&lt;&gt;"执行卖出","",IFERROR(LOOKUP(2,1/(单次交易!$A$2:$A$88=B22),单次交易!$AP$2:$AP$88),""))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$157,"止损计划",$B$2:$B$157,B22,$D$2:$D$157,D22)&gt;1,"阶段序号重复",IF(E22&lt;=IFERROR(LOOKUP(2,1/(单次交易!$A$2:$A$88=B22),单次交易!$E$2:$E$88),0),"激活价须高于买入价",IF(F22&lt;N22,"止损价不得低于初始止损",IF(F22&gt;E22,"止损价不得高于激活价",IF(AND(COUNTIFS($A$2:$A$157,"止损计划",$B$2:$B$157,B22,$D$2:$D$157,"&lt;"&amp;D22)&gt;0,OR(E22&lt;=SUMPRODUCT(MAX((($A$2:$A$157="止损计划")*($B$2:$B$157=B22)*($D$2:$D$157&lt;D22))*$E$2:$E$157)),F22&lt;SUMPRODUCT(MAX((($A$2:$A$157="止损计划")*($B$2:$B$157=B22)*($D$2:$D$157&lt;D22))*$F$2:$F$157)))),"阶段价格必须逐级提高","计划有效"))))))),IF(A22="每日跟踪",IF(OR(B22="",H22="",I22="",J22=""),"每日数据不完整",IF(COUNTIFS($A$2:$A$157,"每日跟踪",$B$2:$B$157,B22,$H$2:$H$157,H22)&gt;1,"同一交易日期重复",IF(AND(R22&lt;&gt;"",R22&lt;S22),"人工止损无效：不能下调","跟踪有效"))),"记录类型无效")))</f>
        <v/>
      </c>
    </row>
    <row r="23" spans="1:29" x14ac:dyDescent="0.15">
      <c r="A23" s="2"/>
      <c r="B23" s="2"/>
      <c r="C23" s="8" t="str">
        <f>IF(B23="","",IFERROR(LOOKUP(2,1/(单次交易!$A$2:$A$88=B23),单次交易!$B$2:$B$88),""))</f>
        <v/>
      </c>
      <c r="D23" s="12"/>
      <c r="E23" s="10"/>
      <c r="F23" s="10"/>
      <c r="G23" s="2"/>
      <c r="H23" s="15"/>
      <c r="I23" s="10"/>
      <c r="J23" s="12"/>
      <c r="K23" s="2"/>
      <c r="L23" s="2"/>
      <c r="M23" s="2"/>
      <c r="N23" s="5" t="str">
        <f>IF(B23="","",IFERROR(LOOKUP(2,1/(单次交易!$A$2:$A$88=B23),单次交易!$N$2:$N$88),""))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IF(X23&lt;&gt;"执行卖出","",IFERROR(LOOKUP(2,1/(单次交易!$A$2:$A$88=B23),单次交易!$AP$2:$AP$88),""))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$157,"止损计划",$B$2:$B$157,B23,$D$2:$D$157,D23)&gt;1,"阶段序号重复",IF(E23&lt;=IFERROR(LOOKUP(2,1/(单次交易!$A$2:$A$88=B23),单次交易!$E$2:$E$88),0),"激活价须高于买入价",IF(F23&lt;N23,"止损价不得低于初始止损",IF(F23&gt;E23,"止损价不得高于激活价",IF(AND(COUNTIFS($A$2:$A$157,"止损计划",$B$2:$B$157,B23,$D$2:$D$157,"&lt;"&amp;D23)&gt;0,OR(E23&lt;=SUMPRODUCT(MAX((($A$2:$A$157="止损计划")*($B$2:$B$157=B23)*($D$2:$D$157&lt;D23))*$E$2:$E$157)),F23&lt;SUMPRODUCT(MAX((($A$2:$A$157="止损计划")*($B$2:$B$157=B23)*($D$2:$D$157&lt;D23))*$F$2:$F$157)))),"阶段价格必须逐级提高","计划有效"))))))),IF(A23="每日跟踪",IF(OR(B23="",H23="",I23="",J23=""),"每日数据不完整",IF(COUNTIFS($A$2:$A$157,"每日跟踪",$B$2:$B$157,B23,$H$2:$H$157,H23)&gt;1,"同一交易日期重复",IF(AND(R23&lt;&gt;"",R23&lt;S23),"人工止损无效：不能下调","跟踪有效"))),"记录类型无效")))</f>
        <v/>
      </c>
    </row>
    <row r="24" spans="1:29" x14ac:dyDescent="0.15">
      <c r="A24" s="2"/>
      <c r="B24" s="2"/>
      <c r="C24" s="8" t="str">
        <f>IF(B24="","",IFERROR(LOOKUP(2,1/(单次交易!$A$2:$A$88=B24),单次交易!$B$2:$B$88),""))</f>
        <v/>
      </c>
      <c r="D24" s="12"/>
      <c r="E24" s="10"/>
      <c r="F24" s="10"/>
      <c r="G24" s="2"/>
      <c r="H24" s="15"/>
      <c r="I24" s="10"/>
      <c r="J24" s="12"/>
      <c r="K24" s="2"/>
      <c r="L24" s="2"/>
      <c r="M24" s="2"/>
      <c r="N24" s="5" t="str">
        <f>IF(B24="","",IFERROR(LOOKUP(2,1/(单次交易!$A$2:$A$88=B24),单次交易!$N$2:$N$88),""))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IF(X24&lt;&gt;"执行卖出","",IFERROR(LOOKUP(2,1/(单次交易!$A$2:$A$88=B24),单次交易!$AP$2:$AP$88),""))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$157,"止损计划",$B$2:$B$157,B24,$D$2:$D$157,D24)&gt;1,"阶段序号重复",IF(E24&lt;=IFERROR(LOOKUP(2,1/(单次交易!$A$2:$A$88=B24),单次交易!$E$2:$E$88),0),"激活价须高于买入价",IF(F24&lt;N24,"止损价不得低于初始止损",IF(F24&gt;E24,"止损价不得高于激活价",IF(AND(COUNTIFS($A$2:$A$157,"止损计划",$B$2:$B$157,B24,$D$2:$D$157,"&lt;"&amp;D24)&gt;0,OR(E24&lt;=SUMPRODUCT(MAX((($A$2:$A$157="止损计划")*($B$2:$B$157=B24)*($D$2:$D$157&lt;D24))*$E$2:$E$157)),F24&lt;SUMPRODUCT(MAX((($A$2:$A$157="止损计划")*($B$2:$B$157=B24)*($D$2:$D$157&lt;D24))*$F$2:$F$157)))),"阶段价格必须逐级提高","计划有效"))))))),IF(A24="每日跟踪",IF(OR(B24="",H24="",I24="",J24=""),"每日数据不完整",IF(COUNTIFS($A$2:$A$157,"每日跟踪",$B$2:$B$157,B24,$H$2:$H$157,H24)&gt;1,"同一交易日期重复",IF(AND(R24&lt;&gt;"",R24&lt;S24),"人工止损无效：不能下调","跟踪有效"))),"记录类型无效")))</f>
        <v/>
      </c>
    </row>
    <row r="25" spans="1:29" x14ac:dyDescent="0.15">
      <c r="A25" s="2"/>
      <c r="B25" s="2"/>
      <c r="C25" s="8" t="str">
        <f>IF(B25="","",IFERROR(LOOKUP(2,1/(单次交易!$A$2:$A$88=B25),单次交易!$B$2:$B$88),""))</f>
        <v/>
      </c>
      <c r="D25" s="12"/>
      <c r="E25" s="10"/>
      <c r="F25" s="10"/>
      <c r="G25" s="2"/>
      <c r="H25" s="15"/>
      <c r="I25" s="10"/>
      <c r="J25" s="12"/>
      <c r="K25" s="2"/>
      <c r="L25" s="2"/>
      <c r="M25" s="2"/>
      <c r="N25" s="5" t="str">
        <f>IF(B25="","",IFERROR(LOOKUP(2,1/(单次交易!$A$2:$A$88=B25),单次交易!$N$2:$N$88),""))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IF(X25&lt;&gt;"执行卖出","",IFERROR(LOOKUP(2,1/(单次交易!$A$2:$A$88=B25),单次交易!$AP$2:$AP$88),""))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$157,"止损计划",$B$2:$B$157,B25,$D$2:$D$157,D25)&gt;1,"阶段序号重复",IF(E25&lt;=IFERROR(LOOKUP(2,1/(单次交易!$A$2:$A$88=B25),单次交易!$E$2:$E$88),0),"激活价须高于买入价",IF(F25&lt;N25,"止损价不得低于初始止损",IF(F25&gt;E25,"止损价不得高于激活价",IF(AND(COUNTIFS($A$2:$A$157,"止损计划",$B$2:$B$157,B25,$D$2:$D$157,"&lt;"&amp;D25)&gt;0,OR(E25&lt;=SUMPRODUCT(MAX((($A$2:$A$157="止损计划")*($B$2:$B$157=B25)*($D$2:$D$157&lt;D25))*$E$2:$E$157)),F25&lt;SUMPRODUCT(MAX((($A$2:$A$157="止损计划")*($B$2:$B$157=B25)*($D$2:$D$157&lt;D25))*$F$2:$F$157)))),"阶段价格必须逐级提高","计划有效"))))))),IF(A25="每日跟踪",IF(OR(B25="",H25="",I25="",J25=""),"每日数据不完整",IF(COUNTIFS($A$2:$A$157,"每日跟踪",$B$2:$B$157,B25,$H$2:$H$157,H25)&gt;1,"同一交易日期重复",IF(AND(R25&lt;&gt;"",R25&lt;S25),"人工止损无效：不能下调","跟踪有效"))),"记录类型无效")))</f>
        <v/>
      </c>
    </row>
    <row r="26" spans="1:29" x14ac:dyDescent="0.15">
      <c r="A26" s="2"/>
      <c r="B26" s="2"/>
      <c r="C26" s="8" t="str">
        <f>IF(B26="","",IFERROR(LOOKUP(2,1/(单次交易!$A$2:$A$88=B26),单次交易!$B$2:$B$88),""))</f>
        <v/>
      </c>
      <c r="D26" s="12"/>
      <c r="E26" s="10"/>
      <c r="F26" s="10"/>
      <c r="G26" s="2"/>
      <c r="H26" s="15"/>
      <c r="I26" s="10"/>
      <c r="J26" s="12"/>
      <c r="K26" s="2"/>
      <c r="L26" s="2"/>
      <c r="M26" s="2"/>
      <c r="N26" s="5" t="str">
        <f>IF(B26="","",IFERROR(LOOKUP(2,1/(单次交易!$A$2:$A$88=B26),单次交易!$N$2:$N$88),""))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IF(X26&lt;&gt;"执行卖出","",IFERROR(LOOKUP(2,1/(单次交易!$A$2:$A$88=B26),单次交易!$AP$2:$AP$88),""))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$157,"止损计划",$B$2:$B$157,B26,$D$2:$D$157,D26)&gt;1,"阶段序号重复",IF(E26&lt;=IFERROR(LOOKUP(2,1/(单次交易!$A$2:$A$88=B26),单次交易!$E$2:$E$88),0),"激活价须高于买入价",IF(F26&lt;N26,"止损价不得低于初始止损",IF(F26&gt;E26,"止损价不得高于激活价",IF(AND(COUNTIFS($A$2:$A$157,"止损计划",$B$2:$B$157,B26,$D$2:$D$157,"&lt;"&amp;D26)&gt;0,OR(E26&lt;=SUMPRODUCT(MAX((($A$2:$A$157="止损计划")*($B$2:$B$157=B26)*($D$2:$D$157&lt;D26))*$E$2:$E$157)),F26&lt;SUMPRODUCT(MAX((($A$2:$A$157="止损计划")*($B$2:$B$157=B26)*($D$2:$D$157&lt;D26))*$F$2:$F$157)))),"阶段价格必须逐级提高","计划有效"))))))),IF(A26="每日跟踪",IF(OR(B26="",H26="",I26="",J26=""),"每日数据不完整",IF(COUNTIFS($A$2:$A$157,"每日跟踪",$B$2:$B$157,B26,$H$2:$H$157,H26)&gt;1,"同一交易日期重复",IF(AND(R26&lt;&gt;"",R26&lt;S26),"人工止损无效：不能下调","跟踪有效"))),"记录类型无效")))</f>
        <v/>
      </c>
    </row>
    <row r="27" spans="1:29" x14ac:dyDescent="0.15">
      <c r="A27" s="2"/>
      <c r="B27" s="2"/>
      <c r="C27" s="8" t="str">
        <f>IF(B27="","",IFERROR(LOOKUP(2,1/(单次交易!$A$2:$A$88=B27),单次交易!$B$2:$B$88),""))</f>
        <v/>
      </c>
      <c r="D27" s="12"/>
      <c r="E27" s="10"/>
      <c r="F27" s="10"/>
      <c r="G27" s="2"/>
      <c r="H27" s="15"/>
      <c r="I27" s="10"/>
      <c r="J27" s="12"/>
      <c r="K27" s="2"/>
      <c r="L27" s="2"/>
      <c r="M27" s="2"/>
      <c r="N27" s="5" t="str">
        <f>IF(B27="","",IFERROR(LOOKUP(2,1/(单次交易!$A$2:$A$88=B27),单次交易!$N$2:$N$88),""))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IF(X27&lt;&gt;"执行卖出","",IFERROR(LOOKUP(2,1/(单次交易!$A$2:$A$88=B27),单次交易!$AP$2:$AP$88),""))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$157,"止损计划",$B$2:$B$157,B27,$D$2:$D$157,D27)&gt;1,"阶段序号重复",IF(E27&lt;=IFERROR(LOOKUP(2,1/(单次交易!$A$2:$A$88=B27),单次交易!$E$2:$E$88),0),"激活价须高于买入价",IF(F27&lt;N27,"止损价不得低于初始止损",IF(F27&gt;E27,"止损价不得高于激活价",IF(AND(COUNTIFS($A$2:$A$157,"止损计划",$B$2:$B$157,B27,$D$2:$D$157,"&lt;"&amp;D27)&gt;0,OR(E27&lt;=SUMPRODUCT(MAX((($A$2:$A$157="止损计划")*($B$2:$B$157=B27)*($D$2:$D$157&lt;D27))*$E$2:$E$157)),F27&lt;SUMPRODUCT(MAX((($A$2:$A$157="止损计划")*($B$2:$B$157=B27)*($D$2:$D$157&lt;D27))*$F$2:$F$157)))),"阶段价格必须逐级提高","计划有效"))))))),IF(A27="每日跟踪",IF(OR(B27="",H27="",I27="",J27=""),"每日数据不完整",IF(COUNTIFS($A$2:$A$157,"每日跟踪",$B$2:$B$157,B27,$H$2:$H$157,H27)&gt;1,"同一交易日期重复",IF(AND(R27&lt;&gt;"",R27&lt;S27),"人工止损无效：不能下调","跟踪有效"))),"记录类型无效")))</f>
        <v/>
      </c>
    </row>
    <row r="28" spans="1:29" x14ac:dyDescent="0.15">
      <c r="A28" s="2"/>
      <c r="B28" s="2"/>
      <c r="C28" s="8" t="str">
        <f>IF(B28="","",IFERROR(LOOKUP(2,1/(单次交易!$A$2:$A$88=B28),单次交易!$B$2:$B$88),""))</f>
        <v/>
      </c>
      <c r="D28" s="12"/>
      <c r="E28" s="10"/>
      <c r="F28" s="10"/>
      <c r="G28" s="2"/>
      <c r="H28" s="15"/>
      <c r="I28" s="10"/>
      <c r="J28" s="12"/>
      <c r="K28" s="2"/>
      <c r="L28" s="2"/>
      <c r="M28" s="2"/>
      <c r="N28" s="5" t="str">
        <f>IF(B28="","",IFERROR(LOOKUP(2,1/(单次交易!$A$2:$A$88=B28),单次交易!$N$2:$N$88),""))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IF(X28&lt;&gt;"执行卖出","",IFERROR(LOOKUP(2,1/(单次交易!$A$2:$A$88=B28),单次交易!$AP$2:$AP$88),""))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$157,"止损计划",$B$2:$B$157,B28,$D$2:$D$157,D28)&gt;1,"阶段序号重复",IF(E28&lt;=IFERROR(LOOKUP(2,1/(单次交易!$A$2:$A$88=B28),单次交易!$E$2:$E$88),0),"激活价须高于买入价",IF(F28&lt;N28,"止损价不得低于初始止损",IF(F28&gt;E28,"止损价不得高于激活价",IF(AND(COUNTIFS($A$2:$A$157,"止损计划",$B$2:$B$157,B28,$D$2:$D$157,"&lt;"&amp;D28)&gt;0,OR(E28&lt;=SUMPRODUCT(MAX((($A$2:$A$157="止损计划")*($B$2:$B$157=B28)*($D$2:$D$157&lt;D28))*$E$2:$E$157)),F28&lt;SUMPRODUCT(MAX((($A$2:$A$157="止损计划")*($B$2:$B$157=B28)*($D$2:$D$157&lt;D28))*$F$2:$F$157)))),"阶段价格必须逐级提高","计划有效"))))))),IF(A28="每日跟踪",IF(OR(B28="",H28="",I28="",J28=""),"每日数据不完整",IF(COUNTIFS($A$2:$A$157,"每日跟踪",$B$2:$B$157,B28,$H$2:$H$157,H28)&gt;1,"同一交易日期重复",IF(AND(R28&lt;&gt;"",R28&lt;S28),"人工止损无效：不能下调","跟踪有效"))),"记录类型无效")))</f>
        <v/>
      </c>
    </row>
    <row r="29" spans="1:29" x14ac:dyDescent="0.15">
      <c r="A29" s="2"/>
      <c r="B29" s="2"/>
      <c r="C29" s="8" t="str">
        <f>IF(B29="","",IFERROR(LOOKUP(2,1/(单次交易!$A$2:$A$88=B29),单次交易!$B$2:$B$88),""))</f>
        <v/>
      </c>
      <c r="D29" s="12"/>
      <c r="E29" s="10"/>
      <c r="F29" s="10"/>
      <c r="G29" s="2"/>
      <c r="H29" s="15"/>
      <c r="I29" s="10"/>
      <c r="J29" s="12"/>
      <c r="K29" s="2"/>
      <c r="L29" s="2"/>
      <c r="M29" s="2"/>
      <c r="N29" s="5" t="str">
        <f>IF(B29="","",IFERROR(LOOKUP(2,1/(单次交易!$A$2:$A$88=B29),单次交易!$N$2:$N$88),""))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IF(X29&lt;&gt;"执行卖出","",IFERROR(LOOKUP(2,1/(单次交易!$A$2:$A$88=B29),单次交易!$AP$2:$AP$88),""))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$157,"止损计划",$B$2:$B$157,B29,$D$2:$D$157,D29)&gt;1,"阶段序号重复",IF(E29&lt;=IFERROR(LOOKUP(2,1/(单次交易!$A$2:$A$88=B29),单次交易!$E$2:$E$88),0),"激活价须高于买入价",IF(F29&lt;N29,"止损价不得低于初始止损",IF(F29&gt;E29,"止损价不得高于激活价",IF(AND(COUNTIFS($A$2:$A$157,"止损计划",$B$2:$B$157,B29,$D$2:$D$157,"&lt;"&amp;D29)&gt;0,OR(E29&lt;=SUMPRODUCT(MAX((($A$2:$A$157="止损计划")*($B$2:$B$157=B29)*($D$2:$D$157&lt;D29))*$E$2:$E$157)),F29&lt;SUMPRODUCT(MAX((($A$2:$A$157="止损计划")*($B$2:$B$157=B29)*($D$2:$D$157&lt;D29))*$F$2:$F$157)))),"阶段价格必须逐级提高","计划有效"))))))),IF(A29="每日跟踪",IF(OR(B29="",H29="",I29="",J29=""),"每日数据不完整",IF(COUNTIFS($A$2:$A$157,"每日跟踪",$B$2:$B$157,B29,$H$2:$H$157,H29)&gt;1,"同一交易日期重复",IF(AND(R29&lt;&gt;"",R29&lt;S29),"人工止损无效：不能下调","跟踪有效"))),"记录类型无效")))</f>
        <v/>
      </c>
    </row>
    <row r="30" spans="1:29" x14ac:dyDescent="0.15">
      <c r="A30" s="2"/>
      <c r="B30" s="2"/>
      <c r="C30" s="8" t="str">
        <f>IF(B30="","",IFERROR(LOOKUP(2,1/(单次交易!$A$2:$A$88=B30),单次交易!$B$2:$B$88),""))</f>
        <v/>
      </c>
      <c r="D30" s="12"/>
      <c r="E30" s="10"/>
      <c r="F30" s="10"/>
      <c r="G30" s="2"/>
      <c r="H30" s="15"/>
      <c r="I30" s="10"/>
      <c r="J30" s="12"/>
      <c r="K30" s="2"/>
      <c r="L30" s="2"/>
      <c r="M30" s="2"/>
      <c r="N30" s="5" t="str">
        <f>IF(B30="","",IFERROR(LOOKUP(2,1/(单次交易!$A$2:$A$88=B30),单次交易!$N$2:$N$88),""))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IF(X30&lt;&gt;"执行卖出","",IFERROR(LOOKUP(2,1/(单次交易!$A$2:$A$88=B30),单次交易!$AP$2:$AP$88),""))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$157,"止损计划",$B$2:$B$157,B30,$D$2:$D$157,D30)&gt;1,"阶段序号重复",IF(E30&lt;=IFERROR(LOOKUP(2,1/(单次交易!$A$2:$A$88=B30),单次交易!$E$2:$E$88),0),"激活价须高于买入价",IF(F30&lt;N30,"止损价不得低于初始止损",IF(F30&gt;E30,"止损价不得高于激活价",IF(AND(COUNTIFS($A$2:$A$157,"止损计划",$B$2:$B$157,B30,$D$2:$D$157,"&lt;"&amp;D30)&gt;0,OR(E30&lt;=SUMPRODUCT(MAX((($A$2:$A$157="止损计划")*($B$2:$B$157=B30)*($D$2:$D$157&lt;D30))*$E$2:$E$157)),F30&lt;SUMPRODUCT(MAX((($A$2:$A$157="止损计划")*($B$2:$B$157=B30)*($D$2:$D$157&lt;D30))*$F$2:$F$157)))),"阶段价格必须逐级提高","计划有效"))))))),IF(A30="每日跟踪",IF(OR(B30="",H30="",I30="",J30=""),"每日数据不完整",IF(COUNTIFS($A$2:$A$157,"每日跟踪",$B$2:$B$157,B30,$H$2:$H$157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IF(B31="","",IFERROR(LOOKUP(2,1/(单次交易!$A$2:$A$88=B31),单次交易!$B$2:$B$88),""))</f>
        <v/>
      </c>
      <c r="D31" s="12"/>
      <c r="E31" s="10"/>
      <c r="F31" s="10"/>
      <c r="G31" s="2"/>
      <c r="H31" s="15"/>
      <c r="I31" s="10"/>
      <c r="J31" s="12"/>
      <c r="K31" s="2"/>
      <c r="L31" s="2"/>
      <c r="M31" s="2"/>
      <c r="N31" s="5" t="str">
        <f>IF(B31="","",IFERROR(LOOKUP(2,1/(单次交易!$A$2:$A$88=B31),单次交易!$N$2:$N$88),""))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IF(X31&lt;&gt;"执行卖出","",IFERROR(LOOKUP(2,1/(单次交易!$A$2:$A$88=B31),单次交易!$AP$2:$AP$88),""))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$157,"止损计划",$B$2:$B$157,B31,$D$2:$D$157,D31)&gt;1,"阶段序号重复",IF(E31&lt;=IFERROR(LOOKUP(2,1/(单次交易!$A$2:$A$88=B31),单次交易!$E$2:$E$88),0),"激活价须高于买入价",IF(F31&lt;N31,"止损价不得低于初始止损",IF(F31&gt;E31,"止损价不得高于激活价",IF(AND(COUNTIFS($A$2:$A$157,"止损计划",$B$2:$B$157,B31,$D$2:$D$157,"&lt;"&amp;D31)&gt;0,OR(E31&lt;=SUMPRODUCT(MAX((($A$2:$A$157="止损计划")*($B$2:$B$157=B31)*($D$2:$D$157&lt;D31))*$E$2:$E$157)),F31&lt;SUMPRODUCT(MAX((($A$2:$A$157="止损计划")*($B$2:$B$157=B31)*($D$2:$D$157&lt;D31))*$F$2:$F$157)))),"阶段价格必须逐级提高","计划有效"))))))),IF(A31="每日跟踪",IF(OR(B31="",H31="",I31="",J31=""),"每日数据不完整",IF(COUNTIFS($A$2:$A$157,"每日跟踪",$B$2:$B$157,B31,$H$2:$H$157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IF(B32="","",IFERROR(LOOKUP(2,1/(单次交易!$A$2:$A$88=B32),单次交易!$B$2:$B$88),""))</f>
        <v/>
      </c>
      <c r="D32" s="12"/>
      <c r="E32" s="10"/>
      <c r="F32" s="10"/>
      <c r="G32" s="2"/>
      <c r="H32" s="15"/>
      <c r="I32" s="10"/>
      <c r="J32" s="12"/>
      <c r="K32" s="2"/>
      <c r="L32" s="2"/>
      <c r="M32" s="2"/>
      <c r="N32" s="5" t="str">
        <f>IF(B32="","",IFERROR(LOOKUP(2,1/(单次交易!$A$2:$A$88=B32),单次交易!$N$2:$N$88),""))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IF(X32&lt;&gt;"执行卖出","",IFERROR(LOOKUP(2,1/(单次交易!$A$2:$A$88=B32),单次交易!$AP$2:$AP$88),""))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$157,"止损计划",$B$2:$B$157,B32,$D$2:$D$157,D32)&gt;1,"阶段序号重复",IF(E32&lt;=IFERROR(LOOKUP(2,1/(单次交易!$A$2:$A$88=B32),单次交易!$E$2:$E$88),0),"激活价须高于买入价",IF(F32&lt;N32,"止损价不得低于初始止损",IF(F32&gt;E32,"止损价不得高于激活价",IF(AND(COUNTIFS($A$2:$A$157,"止损计划",$B$2:$B$157,B32,$D$2:$D$157,"&lt;"&amp;D32)&gt;0,OR(E32&lt;=SUMPRODUCT(MAX((($A$2:$A$157="止损计划")*($B$2:$B$157=B32)*($D$2:$D$157&lt;D32))*$E$2:$E$157)),F32&lt;SUMPRODUCT(MAX((($A$2:$A$157="止损计划")*($B$2:$B$157=B32)*($D$2:$D$157&lt;D32))*$F$2:$F$157)))),"阶段价格必须逐级提高","计划有效"))))))),IF(A32="每日跟踪",IF(OR(B32="",H32="",I32="",J32=""),"每日数据不完整",IF(COUNTIFS($A$2:$A$157,"每日跟踪",$B$2:$B$157,B32,$H$2:$H$157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IF(B33="","",IFERROR(LOOKUP(2,1/(单次交易!$A$2:$A$88=B33),单次交易!$B$2:$B$88),""))</f>
        <v/>
      </c>
      <c r="D33" s="12"/>
      <c r="E33" s="10"/>
      <c r="F33" s="10"/>
      <c r="G33" s="2"/>
      <c r="H33" s="15"/>
      <c r="I33" s="10"/>
      <c r="J33" s="12"/>
      <c r="K33" s="2"/>
      <c r="L33" s="2"/>
      <c r="M33" s="2"/>
      <c r="N33" s="5" t="str">
        <f>IF(B33="","",IFERROR(LOOKUP(2,1/(单次交易!$A$2:$A$88=B33),单次交易!$N$2:$N$88),""))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IF(X33&lt;&gt;"执行卖出","",IFERROR(LOOKUP(2,1/(单次交易!$A$2:$A$88=B33),单次交易!$AP$2:$AP$88),""))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$157,"止损计划",$B$2:$B$157,B33,$D$2:$D$157,D33)&gt;1,"阶段序号重复",IF(E33&lt;=IFERROR(LOOKUP(2,1/(单次交易!$A$2:$A$88=B33),单次交易!$E$2:$E$88),0),"激活价须高于买入价",IF(F33&lt;N33,"止损价不得低于初始止损",IF(F33&gt;E33,"止损价不得高于激活价",IF(AND(COUNTIFS($A$2:$A$157,"止损计划",$B$2:$B$157,B33,$D$2:$D$157,"&lt;"&amp;D33)&gt;0,OR(E33&lt;=SUMPRODUCT(MAX((($A$2:$A$157="止损计划")*($B$2:$B$157=B33)*($D$2:$D$157&lt;D33))*$E$2:$E$157)),F33&lt;SUMPRODUCT(MAX((($A$2:$A$157="止损计划")*($B$2:$B$157=B33)*($D$2:$D$157&lt;D33))*$F$2:$F$157)))),"阶段价格必须逐级提高","计划有效"))))))),IF(A33="每日跟踪",IF(OR(B33="",H33="",I33="",J33=""),"每日数据不完整",IF(COUNTIFS($A$2:$A$157,"每日跟踪",$B$2:$B$157,B33,$H$2:$H$157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IF(B34="","",IFERROR(LOOKUP(2,1/(单次交易!$A$2:$A$88=B34),单次交易!$B$2:$B$88),""))</f>
        <v/>
      </c>
      <c r="D34" s="12"/>
      <c r="E34" s="10"/>
      <c r="F34" s="10"/>
      <c r="G34" s="2"/>
      <c r="H34" s="15"/>
      <c r="I34" s="10"/>
      <c r="J34" s="12"/>
      <c r="K34" s="2"/>
      <c r="L34" s="2"/>
      <c r="M34" s="2"/>
      <c r="N34" s="5" t="str">
        <f>IF(B34="","",IFERROR(LOOKUP(2,1/(单次交易!$A$2:$A$88=B34),单次交易!$N$2:$N$88),""))</f>
        <v/>
      </c>
      <c r="O34" s="5" t="str">
        <f t="shared" ref="O34:O65" si="9">IF(A34&lt;&gt;"每日跟踪","",IF(OR(B34="",H34="",I34=""),"",IFERROR(SUMPRODUCT(MAX((($A$2:$A$157="每日跟踪")*($B$2:$B$157=B34)*($H$2:$H$157&lt;=H34))*$I$2:$I$157)),"")))</f>
        <v/>
      </c>
      <c r="P34" s="11" t="str">
        <f t="shared" ref="P34:P65" si="10">IF(A34&lt;&gt;"每日跟踪","",IF(O34="","",IFERROR(SUMPRODUCT(MAX((($A$2:$A$157="止损计划")*($B$2:$B$157=B34)*($E$2:$E$157&lt;=O34))*$D$2:$D$157)),0)))</f>
        <v/>
      </c>
      <c r="Q34" s="5" t="str">
        <f t="shared" ref="Q34:Q65" si="11">IF(A34&lt;&gt;"每日跟踪","",IF(N34="","",MAX(N34,IFERROR(SUMPRODUCT(MAX((($A$2:$A$157="止损计划")*($B$2:$B$157=B34)*($E$2:$E$157&lt;=O34))*$F$2:$F$157)),0))))</f>
        <v/>
      </c>
      <c r="R34" s="10"/>
      <c r="S34" s="5" t="str">
        <f t="shared" ref="S34:S65" si="12">IF(A34&lt;&gt;"每日跟踪","",IF(Q34="","",MAX(Q34,IFERROR(SUMPRODUCT(MAX((($A$2:$A$157="每日跟踪")*($B$2:$B$157=B34)*($H$2:$H$157&lt;=H34))*$R$2:$R$157)),0))))</f>
        <v/>
      </c>
      <c r="T34" s="5" t="str">
        <f t="shared" ref="T34:T65" si="13">IF(A34&lt;&gt;"每日跟踪","",IF(O34="","",IF(COUNTIFS($A$2:$A$157,"止损计划",$B$2:$B$157,B34,$E$2:$E$157,"&gt;"&amp;O34)=0,"",INDEX($E$2:$E$157,MATCH(1,INDEX(($A$2:$A$157="止损计划")*($B$2:$B$157=B34)*($E$2:$E$157&gt;O34),0),0)))))</f>
        <v/>
      </c>
      <c r="U34" s="5" t="str">
        <f t="shared" ref="U34:U65" si="14">IF(OR(A34&lt;&gt;"每日跟踪",T34=""),"",IFERROR(SUMIFS($F$2:$F$157,$A$2:$A$157,"止损计划",$B$2:$B$157,B34,$E$2:$E$157,T34),""))</f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IF(X34&lt;&gt;"执行卖出","",IFERROR(LOOKUP(2,1/(单次交易!$A$2:$A$88=B34),单次交易!$AP$2:$AP$88),""))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$157,"止损计划",$B$2:$B$157,B34,$D$2:$D$157,D34)&gt;1,"阶段序号重复",IF(E34&lt;=IFERROR(LOOKUP(2,1/(单次交易!$A$2:$A$88=B34),单次交易!$E$2:$E$88),0),"激活价须高于买入价",IF(F34&lt;N34,"止损价不得低于初始止损",IF(F34&gt;E34,"止损价不得高于激活价",IF(AND(COUNTIFS($A$2:$A$157,"止损计划",$B$2:$B$157,B34,$D$2:$D$157,"&lt;"&amp;D34)&gt;0,OR(E34&lt;=SUMPRODUCT(MAX((($A$2:$A$157="止损计划")*($B$2:$B$157=B34)*($D$2:$D$157&lt;D34))*$E$2:$E$157)),F34&lt;SUMPRODUCT(MAX((($A$2:$A$157="止损计划")*($B$2:$B$157=B34)*($D$2:$D$157&lt;D34))*$F$2:$F$157)))),"阶段价格必须逐级提高","计划有效"))))))),IF(A34="每日跟踪",IF(OR(B34="",H34="",I34="",J34=""),"每日数据不完整",IF(COUNTIFS($A$2:$A$157,"每日跟踪",$B$2:$B$157,B34,$H$2:$H$157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IF(B35="","",IFERROR(LOOKUP(2,1/(单次交易!$A$2:$A$88=B35),单次交易!$B$2:$B$88),""))</f>
        <v/>
      </c>
      <c r="D35" s="12"/>
      <c r="E35" s="10"/>
      <c r="F35" s="10"/>
      <c r="G35" s="2"/>
      <c r="H35" s="15"/>
      <c r="I35" s="10"/>
      <c r="J35" s="12"/>
      <c r="K35" s="2"/>
      <c r="L35" s="2"/>
      <c r="M35" s="2"/>
      <c r="N35" s="5" t="str">
        <f>IF(B35="","",IFERROR(LOOKUP(2,1/(单次交易!$A$2:$A$88=B35),单次交易!$N$2:$N$88),""))</f>
        <v/>
      </c>
      <c r="O35" s="5" t="str">
        <f t="shared" si="9"/>
        <v/>
      </c>
      <c r="P35" s="11" t="str">
        <f t="shared" si="10"/>
        <v/>
      </c>
      <c r="Q35" s="5" t="str">
        <f t="shared" si="11"/>
        <v/>
      </c>
      <c r="R35" s="10"/>
      <c r="S35" s="5" t="str">
        <f t="shared" si="12"/>
        <v/>
      </c>
      <c r="T35" s="5" t="str">
        <f t="shared" si="13"/>
        <v/>
      </c>
      <c r="U35" s="5" t="str">
        <f t="shared" si="14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IF(X35&lt;&gt;"执行卖出","",IFERROR(LOOKUP(2,1/(单次交易!$A$2:$A$88=B35),单次交易!$AP$2:$AP$88),""))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$157,"止损计划",$B$2:$B$157,B35,$D$2:$D$157,D35)&gt;1,"阶段序号重复",IF(E35&lt;=IFERROR(LOOKUP(2,1/(单次交易!$A$2:$A$88=B35),单次交易!$E$2:$E$88),0),"激活价须高于买入价",IF(F35&lt;N35,"止损价不得低于初始止损",IF(F35&gt;E35,"止损价不得高于激活价",IF(AND(COUNTIFS($A$2:$A$157,"止损计划",$B$2:$B$157,B35,$D$2:$D$157,"&lt;"&amp;D35)&gt;0,OR(E35&lt;=SUMPRODUCT(MAX((($A$2:$A$157="止损计划")*($B$2:$B$157=B35)*($D$2:$D$157&lt;D35))*$E$2:$E$157)),F35&lt;SUMPRODUCT(MAX((($A$2:$A$157="止损计划")*($B$2:$B$157=B35)*($D$2:$D$157&lt;D35))*$F$2:$F$157)))),"阶段价格必须逐级提高","计划有效"))))))),IF(A35="每日跟踪",IF(OR(B35="",H35="",I35="",J35=""),"每日数据不完整",IF(COUNTIFS($A$2:$A$157,"每日跟踪",$B$2:$B$157,B35,$H$2:$H$157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IF(B36="","",IFERROR(LOOKUP(2,1/(单次交易!$A$2:$A$88=B36),单次交易!$B$2:$B$88),""))</f>
        <v/>
      </c>
      <c r="D36" s="12"/>
      <c r="E36" s="10"/>
      <c r="F36" s="10"/>
      <c r="G36" s="2"/>
      <c r="H36" s="15"/>
      <c r="I36" s="10"/>
      <c r="J36" s="12"/>
      <c r="K36" s="2"/>
      <c r="L36" s="2"/>
      <c r="M36" s="2"/>
      <c r="N36" s="5" t="str">
        <f>IF(B36="","",IFERROR(LOOKUP(2,1/(单次交易!$A$2:$A$88=B36),单次交易!$N$2:$N$88),""))</f>
        <v/>
      </c>
      <c r="O36" s="5" t="str">
        <f t="shared" si="9"/>
        <v/>
      </c>
      <c r="P36" s="11" t="str">
        <f t="shared" si="10"/>
        <v/>
      </c>
      <c r="Q36" s="5" t="str">
        <f t="shared" si="11"/>
        <v/>
      </c>
      <c r="R36" s="10"/>
      <c r="S36" s="5" t="str">
        <f t="shared" si="12"/>
        <v/>
      </c>
      <c r="T36" s="5" t="str">
        <f t="shared" si="13"/>
        <v/>
      </c>
      <c r="U36" s="5" t="str">
        <f t="shared" si="14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IF(X36&lt;&gt;"执行卖出","",IFERROR(LOOKUP(2,1/(单次交易!$A$2:$A$88=B36),单次交易!$AP$2:$AP$88),""))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$157,"止损计划",$B$2:$B$157,B36,$D$2:$D$157,D36)&gt;1,"阶段序号重复",IF(E36&lt;=IFERROR(LOOKUP(2,1/(单次交易!$A$2:$A$88=B36),单次交易!$E$2:$E$88),0),"激活价须高于买入价",IF(F36&lt;N36,"止损价不得低于初始止损",IF(F36&gt;E36,"止损价不得高于激活价",IF(AND(COUNTIFS($A$2:$A$157,"止损计划",$B$2:$B$157,B36,$D$2:$D$157,"&lt;"&amp;D36)&gt;0,OR(E36&lt;=SUMPRODUCT(MAX((($A$2:$A$157="止损计划")*($B$2:$B$157=B36)*($D$2:$D$157&lt;D36))*$E$2:$E$157)),F36&lt;SUMPRODUCT(MAX((($A$2:$A$157="止损计划")*($B$2:$B$157=B36)*($D$2:$D$157&lt;D36))*$F$2:$F$157)))),"阶段价格必须逐级提高","计划有效"))))))),IF(A36="每日跟踪",IF(OR(B36="",H36="",I36="",J36=""),"每日数据不完整",IF(COUNTIFS($A$2:$A$157,"每日跟踪",$B$2:$B$157,B36,$H$2:$H$157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IF(B37="","",IFERROR(LOOKUP(2,1/(单次交易!$A$2:$A$88=B37),单次交易!$B$2:$B$88),""))</f>
        <v/>
      </c>
      <c r="D37" s="12"/>
      <c r="E37" s="10"/>
      <c r="F37" s="10"/>
      <c r="G37" s="2"/>
      <c r="H37" s="15"/>
      <c r="I37" s="10"/>
      <c r="J37" s="12"/>
      <c r="K37" s="2"/>
      <c r="L37" s="2"/>
      <c r="M37" s="2"/>
      <c r="N37" s="5" t="str">
        <f>IF(B37="","",IFERROR(LOOKUP(2,1/(单次交易!$A$2:$A$88=B37),单次交易!$N$2:$N$88),""))</f>
        <v/>
      </c>
      <c r="O37" s="5" t="str">
        <f t="shared" si="9"/>
        <v/>
      </c>
      <c r="P37" s="11" t="str">
        <f t="shared" si="10"/>
        <v/>
      </c>
      <c r="Q37" s="5" t="str">
        <f t="shared" si="11"/>
        <v/>
      </c>
      <c r="R37" s="10"/>
      <c r="S37" s="5" t="str">
        <f t="shared" si="12"/>
        <v/>
      </c>
      <c r="T37" s="5" t="str">
        <f t="shared" si="13"/>
        <v/>
      </c>
      <c r="U37" s="5" t="str">
        <f t="shared" si="14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IF(X37&lt;&gt;"执行卖出","",IFERROR(LOOKUP(2,1/(单次交易!$A$2:$A$88=B37),单次交易!$AP$2:$AP$88),""))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$157,"止损计划",$B$2:$B$157,B37,$D$2:$D$157,D37)&gt;1,"阶段序号重复",IF(E37&lt;=IFERROR(LOOKUP(2,1/(单次交易!$A$2:$A$88=B37),单次交易!$E$2:$E$88),0),"激活价须高于买入价",IF(F37&lt;N37,"止损价不得低于初始止损",IF(F37&gt;E37,"止损价不得高于激活价",IF(AND(COUNTIFS($A$2:$A$157,"止损计划",$B$2:$B$157,B37,$D$2:$D$157,"&lt;"&amp;D37)&gt;0,OR(E37&lt;=SUMPRODUCT(MAX((($A$2:$A$157="止损计划")*($B$2:$B$157=B37)*($D$2:$D$157&lt;D37))*$E$2:$E$157)),F37&lt;SUMPRODUCT(MAX((($A$2:$A$157="止损计划")*($B$2:$B$157=B37)*($D$2:$D$157&lt;D37))*$F$2:$F$157)))),"阶段价格必须逐级提高","计划有效"))))))),IF(A37="每日跟踪",IF(OR(B37="",H37="",I37="",J37=""),"每日数据不完整",IF(COUNTIFS($A$2:$A$157,"每日跟踪",$B$2:$B$157,B37,$H$2:$H$157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IF(B38="","",IFERROR(LOOKUP(2,1/(单次交易!$A$2:$A$88=B38),单次交易!$B$2:$B$88),""))</f>
        <v/>
      </c>
      <c r="D38" s="12"/>
      <c r="E38" s="10"/>
      <c r="F38" s="10"/>
      <c r="G38" s="2"/>
      <c r="H38" s="15"/>
      <c r="I38" s="10"/>
      <c r="J38" s="12"/>
      <c r="K38" s="2"/>
      <c r="L38" s="2"/>
      <c r="M38" s="2"/>
      <c r="N38" s="5" t="str">
        <f>IF(B38="","",IFERROR(LOOKUP(2,1/(单次交易!$A$2:$A$88=B38),单次交易!$N$2:$N$88),""))</f>
        <v/>
      </c>
      <c r="O38" s="5" t="str">
        <f t="shared" si="9"/>
        <v/>
      </c>
      <c r="P38" s="11" t="str">
        <f t="shared" si="10"/>
        <v/>
      </c>
      <c r="Q38" s="5" t="str">
        <f t="shared" si="11"/>
        <v/>
      </c>
      <c r="R38" s="10"/>
      <c r="S38" s="5" t="str">
        <f t="shared" si="12"/>
        <v/>
      </c>
      <c r="T38" s="5" t="str">
        <f t="shared" si="13"/>
        <v/>
      </c>
      <c r="U38" s="5" t="str">
        <f t="shared" si="14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IF(X38&lt;&gt;"执行卖出","",IFERROR(LOOKUP(2,1/(单次交易!$A$2:$A$88=B38),单次交易!$AP$2:$AP$88),""))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$157,"止损计划",$B$2:$B$157,B38,$D$2:$D$157,D38)&gt;1,"阶段序号重复",IF(E38&lt;=IFERROR(LOOKUP(2,1/(单次交易!$A$2:$A$88=B38),单次交易!$E$2:$E$88),0),"激活价须高于买入价",IF(F38&lt;N38,"止损价不得低于初始止损",IF(F38&gt;E38,"止损价不得高于激活价",IF(AND(COUNTIFS($A$2:$A$157,"止损计划",$B$2:$B$157,B38,$D$2:$D$157,"&lt;"&amp;D38)&gt;0,OR(E38&lt;=SUMPRODUCT(MAX((($A$2:$A$157="止损计划")*($B$2:$B$157=B38)*($D$2:$D$157&lt;D38))*$E$2:$E$157)),F38&lt;SUMPRODUCT(MAX((($A$2:$A$157="止损计划")*($B$2:$B$157=B38)*($D$2:$D$157&lt;D38))*$F$2:$F$157)))),"阶段价格必须逐级提高","计划有效"))))))),IF(A38="每日跟踪",IF(OR(B38="",H38="",I38="",J38=""),"每日数据不完整",IF(COUNTIFS($A$2:$A$157,"每日跟踪",$B$2:$B$157,B38,$H$2:$H$157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IF(B39="","",IFERROR(LOOKUP(2,1/(单次交易!$A$2:$A$88=B39),单次交易!$B$2:$B$88),""))</f>
        <v/>
      </c>
      <c r="D39" s="12"/>
      <c r="E39" s="10"/>
      <c r="F39" s="10"/>
      <c r="G39" s="2"/>
      <c r="H39" s="15"/>
      <c r="I39" s="10"/>
      <c r="J39" s="12"/>
      <c r="K39" s="2"/>
      <c r="L39" s="2"/>
      <c r="M39" s="2"/>
      <c r="N39" s="5" t="str">
        <f>IF(B39="","",IFERROR(LOOKUP(2,1/(单次交易!$A$2:$A$88=B39),单次交易!$N$2:$N$88),""))</f>
        <v/>
      </c>
      <c r="O39" s="5" t="str">
        <f t="shared" si="9"/>
        <v/>
      </c>
      <c r="P39" s="11" t="str">
        <f t="shared" si="10"/>
        <v/>
      </c>
      <c r="Q39" s="5" t="str">
        <f t="shared" si="11"/>
        <v/>
      </c>
      <c r="R39" s="10"/>
      <c r="S39" s="5" t="str">
        <f t="shared" si="12"/>
        <v/>
      </c>
      <c r="T39" s="5" t="str">
        <f t="shared" si="13"/>
        <v/>
      </c>
      <c r="U39" s="5" t="str">
        <f t="shared" si="14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IF(X39&lt;&gt;"执行卖出","",IFERROR(LOOKUP(2,1/(单次交易!$A$2:$A$88=B39),单次交易!$AP$2:$AP$88),""))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$157,"止损计划",$B$2:$B$157,B39,$D$2:$D$157,D39)&gt;1,"阶段序号重复",IF(E39&lt;=IFERROR(LOOKUP(2,1/(单次交易!$A$2:$A$88=B39),单次交易!$E$2:$E$88),0),"激活价须高于买入价",IF(F39&lt;N39,"止损价不得低于初始止损",IF(F39&gt;E39,"止损价不得高于激活价",IF(AND(COUNTIFS($A$2:$A$157,"止损计划",$B$2:$B$157,B39,$D$2:$D$157,"&lt;"&amp;D39)&gt;0,OR(E39&lt;=SUMPRODUCT(MAX((($A$2:$A$157="止损计划")*($B$2:$B$157=B39)*($D$2:$D$157&lt;D39))*$E$2:$E$157)),F39&lt;SUMPRODUCT(MAX((($A$2:$A$157="止损计划")*($B$2:$B$157=B39)*($D$2:$D$157&lt;D39))*$F$2:$F$157)))),"阶段价格必须逐级提高","计划有效"))))))),IF(A39="每日跟踪",IF(OR(B39="",H39="",I39="",J39=""),"每日数据不完整",IF(COUNTIFS($A$2:$A$157,"每日跟踪",$B$2:$B$157,B39,$H$2:$H$157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IF(B40="","",IFERROR(LOOKUP(2,1/(单次交易!$A$2:$A$88=B40),单次交易!$B$2:$B$88),""))</f>
        <v/>
      </c>
      <c r="D40" s="12"/>
      <c r="E40" s="10"/>
      <c r="F40" s="10"/>
      <c r="G40" s="2"/>
      <c r="H40" s="15"/>
      <c r="I40" s="10"/>
      <c r="J40" s="12"/>
      <c r="K40" s="2"/>
      <c r="L40" s="2"/>
      <c r="M40" s="2"/>
      <c r="N40" s="5" t="str">
        <f>IF(B40="","",IFERROR(LOOKUP(2,1/(单次交易!$A$2:$A$88=B40),单次交易!$N$2:$N$88),""))</f>
        <v/>
      </c>
      <c r="O40" s="5" t="str">
        <f t="shared" si="9"/>
        <v/>
      </c>
      <c r="P40" s="11" t="str">
        <f t="shared" si="10"/>
        <v/>
      </c>
      <c r="Q40" s="5" t="str">
        <f t="shared" si="11"/>
        <v/>
      </c>
      <c r="R40" s="10"/>
      <c r="S40" s="5" t="str">
        <f t="shared" si="12"/>
        <v/>
      </c>
      <c r="T40" s="5" t="str">
        <f t="shared" si="13"/>
        <v/>
      </c>
      <c r="U40" s="5" t="str">
        <f t="shared" si="14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IF(X40&lt;&gt;"执行卖出","",IFERROR(LOOKUP(2,1/(单次交易!$A$2:$A$88=B40),单次交易!$AP$2:$AP$88),""))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$157,"止损计划",$B$2:$B$157,B40,$D$2:$D$157,D40)&gt;1,"阶段序号重复",IF(E40&lt;=IFERROR(LOOKUP(2,1/(单次交易!$A$2:$A$88=B40),单次交易!$E$2:$E$88),0),"激活价须高于买入价",IF(F40&lt;N40,"止损价不得低于初始止损",IF(F40&gt;E40,"止损价不得高于激活价",IF(AND(COUNTIFS($A$2:$A$157,"止损计划",$B$2:$B$157,B40,$D$2:$D$157,"&lt;"&amp;D40)&gt;0,OR(E40&lt;=SUMPRODUCT(MAX((($A$2:$A$157="止损计划")*($B$2:$B$157=B40)*($D$2:$D$157&lt;D40))*$E$2:$E$157)),F40&lt;SUMPRODUCT(MAX((($A$2:$A$157="止损计划")*($B$2:$B$157=B40)*($D$2:$D$157&lt;D40))*$F$2:$F$157)))),"阶段价格必须逐级提高","计划有效"))))))),IF(A40="每日跟踪",IF(OR(B40="",H40="",I40="",J40=""),"每日数据不完整",IF(COUNTIFS($A$2:$A$157,"每日跟踪",$B$2:$B$157,B40,$H$2:$H$157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IF(B41="","",IFERROR(LOOKUP(2,1/(单次交易!$A$2:$A$88=B41),单次交易!$B$2:$B$88),""))</f>
        <v/>
      </c>
      <c r="D41" s="12"/>
      <c r="E41" s="10"/>
      <c r="F41" s="10"/>
      <c r="G41" s="2"/>
      <c r="H41" s="15"/>
      <c r="I41" s="10"/>
      <c r="J41" s="12"/>
      <c r="K41" s="2"/>
      <c r="L41" s="2"/>
      <c r="M41" s="2"/>
      <c r="N41" s="5" t="str">
        <f>IF(B41="","",IFERROR(LOOKUP(2,1/(单次交易!$A$2:$A$88=B41),单次交易!$N$2:$N$88),""))</f>
        <v/>
      </c>
      <c r="O41" s="5" t="str">
        <f t="shared" si="9"/>
        <v/>
      </c>
      <c r="P41" s="11" t="str">
        <f t="shared" si="10"/>
        <v/>
      </c>
      <c r="Q41" s="5" t="str">
        <f t="shared" si="11"/>
        <v/>
      </c>
      <c r="R41" s="10"/>
      <c r="S41" s="5" t="str">
        <f t="shared" si="12"/>
        <v/>
      </c>
      <c r="T41" s="5" t="str">
        <f t="shared" si="13"/>
        <v/>
      </c>
      <c r="U41" s="5" t="str">
        <f t="shared" si="14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IF(X41&lt;&gt;"执行卖出","",IFERROR(LOOKUP(2,1/(单次交易!$A$2:$A$88=B41),单次交易!$AP$2:$AP$88),""))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$157,"止损计划",$B$2:$B$157,B41,$D$2:$D$157,D41)&gt;1,"阶段序号重复",IF(E41&lt;=IFERROR(LOOKUP(2,1/(单次交易!$A$2:$A$88=B41),单次交易!$E$2:$E$88),0),"激活价须高于买入价",IF(F41&lt;N41,"止损价不得低于初始止损",IF(F41&gt;E41,"止损价不得高于激活价",IF(AND(COUNTIFS($A$2:$A$157,"止损计划",$B$2:$B$157,B41,$D$2:$D$157,"&lt;"&amp;D41)&gt;0,OR(E41&lt;=SUMPRODUCT(MAX((($A$2:$A$157="止损计划")*($B$2:$B$157=B41)*($D$2:$D$157&lt;D41))*$E$2:$E$157)),F41&lt;SUMPRODUCT(MAX((($A$2:$A$157="止损计划")*($B$2:$B$157=B41)*($D$2:$D$157&lt;D41))*$F$2:$F$157)))),"阶段价格必须逐级提高","计划有效"))))))),IF(A41="每日跟踪",IF(OR(B41="",H41="",I41="",J41=""),"每日数据不完整",IF(COUNTIFS($A$2:$A$157,"每日跟踪",$B$2:$B$157,B41,$H$2:$H$157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IF(B42="","",IFERROR(LOOKUP(2,1/(单次交易!$A$2:$A$88=B42),单次交易!$B$2:$B$88),""))</f>
        <v/>
      </c>
      <c r="D42" s="12"/>
      <c r="E42" s="10"/>
      <c r="F42" s="10"/>
      <c r="G42" s="2"/>
      <c r="H42" s="15"/>
      <c r="I42" s="10"/>
      <c r="J42" s="12"/>
      <c r="K42" s="2"/>
      <c r="L42" s="2"/>
      <c r="M42" s="2"/>
      <c r="N42" s="5" t="str">
        <f>IF(B42="","",IFERROR(LOOKUP(2,1/(单次交易!$A$2:$A$88=B42),单次交易!$N$2:$N$88),""))</f>
        <v/>
      </c>
      <c r="O42" s="5" t="str">
        <f t="shared" si="9"/>
        <v/>
      </c>
      <c r="P42" s="11" t="str">
        <f t="shared" si="10"/>
        <v/>
      </c>
      <c r="Q42" s="5" t="str">
        <f t="shared" si="11"/>
        <v/>
      </c>
      <c r="R42" s="10"/>
      <c r="S42" s="5" t="str">
        <f t="shared" si="12"/>
        <v/>
      </c>
      <c r="T42" s="5" t="str">
        <f t="shared" si="13"/>
        <v/>
      </c>
      <c r="U42" s="5" t="str">
        <f t="shared" si="14"/>
        <v/>
      </c>
      <c r="V42" s="7" t="str">
        <f t="shared" ref="V42:V105" si="15">IF(OR(A42&lt;&gt;"每日跟踪",T42="",I42="",I42&lt;=0),"",T42/I42-1)</f>
        <v/>
      </c>
      <c r="W42" s="8" t="str">
        <f t="shared" ref="W42:W105" si="16">IF(A42&lt;&gt;"每日跟踪","",IF(OR(I42="",S42=""),"",IF(I42&lt;=S42,"触发止损：应全部卖出","继续观察")))</f>
        <v/>
      </c>
      <c r="X42" s="2"/>
      <c r="Y42" s="10"/>
      <c r="Z42" s="11" t="str">
        <f>IF(X42&lt;&gt;"执行卖出","",IFERROR(LOOKUP(2,1/(单次交易!$A$2:$A$88=B42),单次交易!$AP$2:$AP$88),""))</f>
        <v/>
      </c>
      <c r="AA42" s="10"/>
      <c r="AB42" s="8" t="str">
        <f t="shared" ref="AB42:AB105" si="17">IF(A42&lt;&gt;"每日跟踪","",IF(OR(B42="",H42="",I42="",J42="",K42="",L42="",M42=""),"待补充每日记录",IF(W42="触发止损：应全部卖出",IF(X42&lt;&gt;"执行卖出","违规：触发止损但未执行",IF(Y42="","待补充实际卖出价","卖出记录完整")),IF(X42="","待选择卖出动作",IF(X42="执行卖出",IF(Y42="","待补充实际卖出价","卖出记录完整"),"正常")))))</f>
        <v/>
      </c>
      <c r="AC42" s="8" t="str">
        <f>IF(A42="","",IF(A42="止损计划",IF(OR(B42="",D42="",E42="",F42="",G42=""),"计划不完整",IF(OR(D42&lt;1,D42&lt;&gt;INT(D42)),"阶段序号无效",IF(COUNTIFS($A$2:$A$157,"止损计划",$B$2:$B$157,B42,$D$2:$D$157,D42)&gt;1,"阶段序号重复",IF(E42&lt;=IFERROR(LOOKUP(2,1/(单次交易!$A$2:$A$88=B42),单次交易!$E$2:$E$88),0),"激活价须高于买入价",IF(F42&lt;N42,"止损价不得低于初始止损",IF(F42&gt;E42,"止损价不得高于激活价",IF(AND(COUNTIFS($A$2:$A$157,"止损计划",$B$2:$B$157,B42,$D$2:$D$157,"&lt;"&amp;D42)&gt;0,OR(E42&lt;=SUMPRODUCT(MAX((($A$2:$A$157="止损计划")*($B$2:$B$157=B42)*($D$2:$D$157&lt;D42))*$E$2:$E$157)),F42&lt;SUMPRODUCT(MAX((($A$2:$A$157="止损计划")*($B$2:$B$157=B42)*($D$2:$D$157&lt;D42))*$F$2:$F$157)))),"阶段价格必须逐级提高","计划有效"))))))),IF(A42="每日跟踪",IF(OR(B42="",H42="",I42="",J42=""),"每日数据不完整",IF(COUNTIFS($A$2:$A$157,"每日跟踪",$B$2:$B$157,B42,$H$2:$H$157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IF(B43="","",IFERROR(LOOKUP(2,1/(单次交易!$A$2:$A$88=B43),单次交易!$B$2:$B$88),""))</f>
        <v/>
      </c>
      <c r="D43" s="12"/>
      <c r="E43" s="10"/>
      <c r="F43" s="10"/>
      <c r="G43" s="2"/>
      <c r="H43" s="15"/>
      <c r="I43" s="10"/>
      <c r="J43" s="12"/>
      <c r="K43" s="2"/>
      <c r="L43" s="2"/>
      <c r="M43" s="2"/>
      <c r="N43" s="5" t="str">
        <f>IF(B43="","",IFERROR(LOOKUP(2,1/(单次交易!$A$2:$A$88=B43),单次交易!$N$2:$N$88),""))</f>
        <v/>
      </c>
      <c r="O43" s="5" t="str">
        <f t="shared" si="9"/>
        <v/>
      </c>
      <c r="P43" s="11" t="str">
        <f t="shared" si="10"/>
        <v/>
      </c>
      <c r="Q43" s="5" t="str">
        <f t="shared" si="11"/>
        <v/>
      </c>
      <c r="R43" s="10"/>
      <c r="S43" s="5" t="str">
        <f t="shared" si="12"/>
        <v/>
      </c>
      <c r="T43" s="5" t="str">
        <f t="shared" si="13"/>
        <v/>
      </c>
      <c r="U43" s="5" t="str">
        <f t="shared" si="14"/>
        <v/>
      </c>
      <c r="V43" s="7" t="str">
        <f t="shared" si="15"/>
        <v/>
      </c>
      <c r="W43" s="8" t="str">
        <f t="shared" si="16"/>
        <v/>
      </c>
      <c r="X43" s="2"/>
      <c r="Y43" s="10"/>
      <c r="Z43" s="11" t="str">
        <f>IF(X43&lt;&gt;"执行卖出","",IFERROR(LOOKUP(2,1/(单次交易!$A$2:$A$88=B43),单次交易!$AP$2:$AP$88),""))</f>
        <v/>
      </c>
      <c r="AA43" s="10"/>
      <c r="AB43" s="8" t="str">
        <f t="shared" si="17"/>
        <v/>
      </c>
      <c r="AC43" s="8" t="str">
        <f>IF(A43="","",IF(A43="止损计划",IF(OR(B43="",D43="",E43="",F43="",G43=""),"计划不完整",IF(OR(D43&lt;1,D43&lt;&gt;INT(D43)),"阶段序号无效",IF(COUNTIFS($A$2:$A$157,"止损计划",$B$2:$B$157,B43,$D$2:$D$157,D43)&gt;1,"阶段序号重复",IF(E43&lt;=IFERROR(LOOKUP(2,1/(单次交易!$A$2:$A$88=B43),单次交易!$E$2:$E$88),0),"激活价须高于买入价",IF(F43&lt;N43,"止损价不得低于初始止损",IF(F43&gt;E43,"止损价不得高于激活价",IF(AND(COUNTIFS($A$2:$A$157,"止损计划",$B$2:$B$157,B43,$D$2:$D$157,"&lt;"&amp;D43)&gt;0,OR(E43&lt;=SUMPRODUCT(MAX((($A$2:$A$157="止损计划")*($B$2:$B$157=B43)*($D$2:$D$157&lt;D43))*$E$2:$E$157)),F43&lt;SUMPRODUCT(MAX((($A$2:$A$157="止损计划")*($B$2:$B$157=B43)*($D$2:$D$157&lt;D43))*$F$2:$F$157)))),"阶段价格必须逐级提高","计划有效"))))))),IF(A43="每日跟踪",IF(OR(B43="",H43="",I43="",J43=""),"每日数据不完整",IF(COUNTIFS($A$2:$A$157,"每日跟踪",$B$2:$B$157,B43,$H$2:$H$157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IF(B44="","",IFERROR(LOOKUP(2,1/(单次交易!$A$2:$A$88=B44),单次交易!$B$2:$B$88),""))</f>
        <v/>
      </c>
      <c r="D44" s="12"/>
      <c r="E44" s="10"/>
      <c r="F44" s="10"/>
      <c r="G44" s="2"/>
      <c r="H44" s="15"/>
      <c r="I44" s="10"/>
      <c r="J44" s="12"/>
      <c r="K44" s="2"/>
      <c r="L44" s="2"/>
      <c r="M44" s="2"/>
      <c r="N44" s="5" t="str">
        <f>IF(B44="","",IFERROR(LOOKUP(2,1/(单次交易!$A$2:$A$88=B44),单次交易!$N$2:$N$88),""))</f>
        <v/>
      </c>
      <c r="O44" s="5" t="str">
        <f t="shared" si="9"/>
        <v/>
      </c>
      <c r="P44" s="11" t="str">
        <f t="shared" si="10"/>
        <v/>
      </c>
      <c r="Q44" s="5" t="str">
        <f t="shared" si="11"/>
        <v/>
      </c>
      <c r="R44" s="10"/>
      <c r="S44" s="5" t="str">
        <f t="shared" si="12"/>
        <v/>
      </c>
      <c r="T44" s="5" t="str">
        <f t="shared" si="13"/>
        <v/>
      </c>
      <c r="U44" s="5" t="str">
        <f t="shared" si="14"/>
        <v/>
      </c>
      <c r="V44" s="7" t="str">
        <f t="shared" si="15"/>
        <v/>
      </c>
      <c r="W44" s="8" t="str">
        <f t="shared" si="16"/>
        <v/>
      </c>
      <c r="X44" s="2"/>
      <c r="Y44" s="10"/>
      <c r="Z44" s="11" t="str">
        <f>IF(X44&lt;&gt;"执行卖出","",IFERROR(LOOKUP(2,1/(单次交易!$A$2:$A$88=B44),单次交易!$AP$2:$AP$88),""))</f>
        <v/>
      </c>
      <c r="AA44" s="10"/>
      <c r="AB44" s="8" t="str">
        <f t="shared" si="17"/>
        <v/>
      </c>
      <c r="AC44" s="8" t="str">
        <f>IF(A44="","",IF(A44="止损计划",IF(OR(B44="",D44="",E44="",F44="",G44=""),"计划不完整",IF(OR(D44&lt;1,D44&lt;&gt;INT(D44)),"阶段序号无效",IF(COUNTIFS($A$2:$A$157,"止损计划",$B$2:$B$157,B44,$D$2:$D$157,D44)&gt;1,"阶段序号重复",IF(E44&lt;=IFERROR(LOOKUP(2,1/(单次交易!$A$2:$A$88=B44),单次交易!$E$2:$E$88),0),"激活价须高于买入价",IF(F44&lt;N44,"止损价不得低于初始止损",IF(F44&gt;E44,"止损价不得高于激活价",IF(AND(COUNTIFS($A$2:$A$157,"止损计划",$B$2:$B$157,B44,$D$2:$D$157,"&lt;"&amp;D44)&gt;0,OR(E44&lt;=SUMPRODUCT(MAX((($A$2:$A$157="止损计划")*($B$2:$B$157=B44)*($D$2:$D$157&lt;D44))*$E$2:$E$157)),F44&lt;SUMPRODUCT(MAX((($A$2:$A$157="止损计划")*($B$2:$B$157=B44)*($D$2:$D$157&lt;D44))*$F$2:$F$157)))),"阶段价格必须逐级提高","计划有效"))))))),IF(A44="每日跟踪",IF(OR(B44="",H44="",I44="",J44=""),"每日数据不完整",IF(COUNTIFS($A$2:$A$157,"每日跟踪",$B$2:$B$157,B44,$H$2:$H$157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IF(B45="","",IFERROR(LOOKUP(2,1/(单次交易!$A$2:$A$88=B45),单次交易!$B$2:$B$88),""))</f>
        <v/>
      </c>
      <c r="D45" s="12"/>
      <c r="E45" s="10"/>
      <c r="F45" s="10"/>
      <c r="G45" s="2"/>
      <c r="H45" s="15"/>
      <c r="I45" s="10"/>
      <c r="J45" s="12"/>
      <c r="K45" s="2"/>
      <c r="L45" s="2"/>
      <c r="M45" s="2"/>
      <c r="N45" s="5" t="str">
        <f>IF(B45="","",IFERROR(LOOKUP(2,1/(单次交易!$A$2:$A$88=B45),单次交易!$N$2:$N$88),""))</f>
        <v/>
      </c>
      <c r="O45" s="5" t="str">
        <f t="shared" si="9"/>
        <v/>
      </c>
      <c r="P45" s="11" t="str">
        <f t="shared" si="10"/>
        <v/>
      </c>
      <c r="Q45" s="5" t="str">
        <f t="shared" si="11"/>
        <v/>
      </c>
      <c r="R45" s="10"/>
      <c r="S45" s="5" t="str">
        <f t="shared" si="12"/>
        <v/>
      </c>
      <c r="T45" s="5" t="str">
        <f t="shared" si="13"/>
        <v/>
      </c>
      <c r="U45" s="5" t="str">
        <f t="shared" si="14"/>
        <v/>
      </c>
      <c r="V45" s="7" t="str">
        <f t="shared" si="15"/>
        <v/>
      </c>
      <c r="W45" s="8" t="str">
        <f t="shared" si="16"/>
        <v/>
      </c>
      <c r="X45" s="2"/>
      <c r="Y45" s="10"/>
      <c r="Z45" s="11" t="str">
        <f>IF(X45&lt;&gt;"执行卖出","",IFERROR(LOOKUP(2,1/(单次交易!$A$2:$A$88=B45),单次交易!$AP$2:$AP$88),""))</f>
        <v/>
      </c>
      <c r="AA45" s="10"/>
      <c r="AB45" s="8" t="str">
        <f t="shared" si="17"/>
        <v/>
      </c>
      <c r="AC45" s="8" t="str">
        <f>IF(A45="","",IF(A45="止损计划",IF(OR(B45="",D45="",E45="",F45="",G45=""),"计划不完整",IF(OR(D45&lt;1,D45&lt;&gt;INT(D45)),"阶段序号无效",IF(COUNTIFS($A$2:$A$157,"止损计划",$B$2:$B$157,B45,$D$2:$D$157,D45)&gt;1,"阶段序号重复",IF(E45&lt;=IFERROR(LOOKUP(2,1/(单次交易!$A$2:$A$88=B45),单次交易!$E$2:$E$88),0),"激活价须高于买入价",IF(F45&lt;N45,"止损价不得低于初始止损",IF(F45&gt;E45,"止损价不得高于激活价",IF(AND(COUNTIFS($A$2:$A$157,"止损计划",$B$2:$B$157,B45,$D$2:$D$157,"&lt;"&amp;D45)&gt;0,OR(E45&lt;=SUMPRODUCT(MAX((($A$2:$A$157="止损计划")*($B$2:$B$157=B45)*($D$2:$D$157&lt;D45))*$E$2:$E$157)),F45&lt;SUMPRODUCT(MAX((($A$2:$A$157="止损计划")*($B$2:$B$157=B45)*($D$2:$D$157&lt;D45))*$F$2:$F$157)))),"阶段价格必须逐级提高","计划有效"))))))),IF(A45="每日跟踪",IF(OR(B45="",H45="",I45="",J45=""),"每日数据不完整",IF(COUNTIFS($A$2:$A$157,"每日跟踪",$B$2:$B$157,B45,$H$2:$H$157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IF(B46="","",IFERROR(LOOKUP(2,1/(单次交易!$A$2:$A$88=B46),单次交易!$B$2:$B$88),""))</f>
        <v/>
      </c>
      <c r="D46" s="12"/>
      <c r="E46" s="10"/>
      <c r="F46" s="10"/>
      <c r="G46" s="2"/>
      <c r="H46" s="15"/>
      <c r="I46" s="10"/>
      <c r="J46" s="12"/>
      <c r="K46" s="2"/>
      <c r="L46" s="2"/>
      <c r="M46" s="2"/>
      <c r="N46" s="5" t="str">
        <f>IF(B46="","",IFERROR(LOOKUP(2,1/(单次交易!$A$2:$A$88=B46),单次交易!$N$2:$N$88),""))</f>
        <v/>
      </c>
      <c r="O46" s="5" t="str">
        <f t="shared" si="9"/>
        <v/>
      </c>
      <c r="P46" s="11" t="str">
        <f t="shared" si="10"/>
        <v/>
      </c>
      <c r="Q46" s="5" t="str">
        <f t="shared" si="11"/>
        <v/>
      </c>
      <c r="R46" s="10"/>
      <c r="S46" s="5" t="str">
        <f t="shared" si="12"/>
        <v/>
      </c>
      <c r="T46" s="5" t="str">
        <f t="shared" si="13"/>
        <v/>
      </c>
      <c r="U46" s="5" t="str">
        <f t="shared" si="14"/>
        <v/>
      </c>
      <c r="V46" s="7" t="str">
        <f t="shared" si="15"/>
        <v/>
      </c>
      <c r="W46" s="8" t="str">
        <f t="shared" si="16"/>
        <v/>
      </c>
      <c r="X46" s="2"/>
      <c r="Y46" s="10"/>
      <c r="Z46" s="11" t="str">
        <f>IF(X46&lt;&gt;"执行卖出","",IFERROR(LOOKUP(2,1/(单次交易!$A$2:$A$88=B46),单次交易!$AP$2:$AP$88),""))</f>
        <v/>
      </c>
      <c r="AA46" s="10"/>
      <c r="AB46" s="8" t="str">
        <f t="shared" si="17"/>
        <v/>
      </c>
      <c r="AC46" s="8" t="str">
        <f>IF(A46="","",IF(A46="止损计划",IF(OR(B46="",D46="",E46="",F46="",G46=""),"计划不完整",IF(OR(D46&lt;1,D46&lt;&gt;INT(D46)),"阶段序号无效",IF(COUNTIFS($A$2:$A$157,"止损计划",$B$2:$B$157,B46,$D$2:$D$157,D46)&gt;1,"阶段序号重复",IF(E46&lt;=IFERROR(LOOKUP(2,1/(单次交易!$A$2:$A$88=B46),单次交易!$E$2:$E$88),0),"激活价须高于买入价",IF(F46&lt;N46,"止损价不得低于初始止损",IF(F46&gt;E46,"止损价不得高于激活价",IF(AND(COUNTIFS($A$2:$A$157,"止损计划",$B$2:$B$157,B46,$D$2:$D$157,"&lt;"&amp;D46)&gt;0,OR(E46&lt;=SUMPRODUCT(MAX((($A$2:$A$157="止损计划")*($B$2:$B$157=B46)*($D$2:$D$157&lt;D46))*$E$2:$E$157)),F46&lt;SUMPRODUCT(MAX((($A$2:$A$157="止损计划")*($B$2:$B$157=B46)*($D$2:$D$157&lt;D46))*$F$2:$F$157)))),"阶段价格必须逐级提高","计划有效"))))))),IF(A46="每日跟踪",IF(OR(B46="",H46="",I46="",J46=""),"每日数据不完整",IF(COUNTIFS($A$2:$A$157,"每日跟踪",$B$2:$B$157,B46,$H$2:$H$157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IF(B47="","",IFERROR(LOOKUP(2,1/(单次交易!$A$2:$A$88=B47),单次交易!$B$2:$B$88),""))</f>
        <v/>
      </c>
      <c r="D47" s="12"/>
      <c r="E47" s="10"/>
      <c r="F47" s="10"/>
      <c r="G47" s="2"/>
      <c r="H47" s="15"/>
      <c r="I47" s="10"/>
      <c r="J47" s="12"/>
      <c r="K47" s="2"/>
      <c r="L47" s="2"/>
      <c r="M47" s="2"/>
      <c r="N47" s="5" t="str">
        <f>IF(B47="","",IFERROR(LOOKUP(2,1/(单次交易!$A$2:$A$88=B47),单次交易!$N$2:$N$88),""))</f>
        <v/>
      </c>
      <c r="O47" s="5" t="str">
        <f t="shared" si="9"/>
        <v/>
      </c>
      <c r="P47" s="11" t="str">
        <f t="shared" si="10"/>
        <v/>
      </c>
      <c r="Q47" s="5" t="str">
        <f t="shared" si="11"/>
        <v/>
      </c>
      <c r="R47" s="10"/>
      <c r="S47" s="5" t="str">
        <f t="shared" si="12"/>
        <v/>
      </c>
      <c r="T47" s="5" t="str">
        <f t="shared" si="13"/>
        <v/>
      </c>
      <c r="U47" s="5" t="str">
        <f t="shared" si="14"/>
        <v/>
      </c>
      <c r="V47" s="7" t="str">
        <f t="shared" si="15"/>
        <v/>
      </c>
      <c r="W47" s="8" t="str">
        <f t="shared" si="16"/>
        <v/>
      </c>
      <c r="X47" s="2"/>
      <c r="Y47" s="10"/>
      <c r="Z47" s="11" t="str">
        <f>IF(X47&lt;&gt;"执行卖出","",IFERROR(LOOKUP(2,1/(单次交易!$A$2:$A$88=B47),单次交易!$AP$2:$AP$88),""))</f>
        <v/>
      </c>
      <c r="AA47" s="10"/>
      <c r="AB47" s="8" t="str">
        <f t="shared" si="17"/>
        <v/>
      </c>
      <c r="AC47" s="8" t="str">
        <f>IF(A47="","",IF(A47="止损计划",IF(OR(B47="",D47="",E47="",F47="",G47=""),"计划不完整",IF(OR(D47&lt;1,D47&lt;&gt;INT(D47)),"阶段序号无效",IF(COUNTIFS($A$2:$A$157,"止损计划",$B$2:$B$157,B47,$D$2:$D$157,D47)&gt;1,"阶段序号重复",IF(E47&lt;=IFERROR(LOOKUP(2,1/(单次交易!$A$2:$A$88=B47),单次交易!$E$2:$E$88),0),"激活价须高于买入价",IF(F47&lt;N47,"止损价不得低于初始止损",IF(F47&gt;E47,"止损价不得高于激活价",IF(AND(COUNTIFS($A$2:$A$157,"止损计划",$B$2:$B$157,B47,$D$2:$D$157,"&lt;"&amp;D47)&gt;0,OR(E47&lt;=SUMPRODUCT(MAX((($A$2:$A$157="止损计划")*($B$2:$B$157=B47)*($D$2:$D$157&lt;D47))*$E$2:$E$157)),F47&lt;SUMPRODUCT(MAX((($A$2:$A$157="止损计划")*($B$2:$B$157=B47)*($D$2:$D$157&lt;D47))*$F$2:$F$157)))),"阶段价格必须逐级提高","计划有效"))))))),IF(A47="每日跟踪",IF(OR(B47="",H47="",I47="",J47=""),"每日数据不完整",IF(COUNTIFS($A$2:$A$157,"每日跟踪",$B$2:$B$157,B47,$H$2:$H$157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IF(B48="","",IFERROR(LOOKUP(2,1/(单次交易!$A$2:$A$88=B48),单次交易!$B$2:$B$88),""))</f>
        <v/>
      </c>
      <c r="D48" s="12"/>
      <c r="E48" s="10"/>
      <c r="F48" s="10"/>
      <c r="G48" s="2"/>
      <c r="H48" s="15"/>
      <c r="I48" s="10"/>
      <c r="J48" s="12"/>
      <c r="K48" s="2"/>
      <c r="L48" s="2"/>
      <c r="M48" s="2"/>
      <c r="N48" s="5" t="str">
        <f>IF(B48="","",IFERROR(LOOKUP(2,1/(单次交易!$A$2:$A$88=B48),单次交易!$N$2:$N$88),""))</f>
        <v/>
      </c>
      <c r="O48" s="5" t="str">
        <f t="shared" si="9"/>
        <v/>
      </c>
      <c r="P48" s="11" t="str">
        <f t="shared" si="10"/>
        <v/>
      </c>
      <c r="Q48" s="5" t="str">
        <f t="shared" si="11"/>
        <v/>
      </c>
      <c r="R48" s="10"/>
      <c r="S48" s="5" t="str">
        <f t="shared" si="12"/>
        <v/>
      </c>
      <c r="T48" s="5" t="str">
        <f t="shared" si="13"/>
        <v/>
      </c>
      <c r="U48" s="5" t="str">
        <f t="shared" si="14"/>
        <v/>
      </c>
      <c r="V48" s="7" t="str">
        <f t="shared" si="15"/>
        <v/>
      </c>
      <c r="W48" s="8" t="str">
        <f t="shared" si="16"/>
        <v/>
      </c>
      <c r="X48" s="2"/>
      <c r="Y48" s="10"/>
      <c r="Z48" s="11" t="str">
        <f>IF(X48&lt;&gt;"执行卖出","",IFERROR(LOOKUP(2,1/(单次交易!$A$2:$A$88=B48),单次交易!$AP$2:$AP$88),""))</f>
        <v/>
      </c>
      <c r="AA48" s="10"/>
      <c r="AB48" s="8" t="str">
        <f t="shared" si="17"/>
        <v/>
      </c>
      <c r="AC48" s="8" t="str">
        <f>IF(A48="","",IF(A48="止损计划",IF(OR(B48="",D48="",E48="",F48="",G48=""),"计划不完整",IF(OR(D48&lt;1,D48&lt;&gt;INT(D48)),"阶段序号无效",IF(COUNTIFS($A$2:$A$157,"止损计划",$B$2:$B$157,B48,$D$2:$D$157,D48)&gt;1,"阶段序号重复",IF(E48&lt;=IFERROR(LOOKUP(2,1/(单次交易!$A$2:$A$88=B48),单次交易!$E$2:$E$88),0),"激活价须高于买入价",IF(F48&lt;N48,"止损价不得低于初始止损",IF(F48&gt;E48,"止损价不得高于激活价",IF(AND(COUNTIFS($A$2:$A$157,"止损计划",$B$2:$B$157,B48,$D$2:$D$157,"&lt;"&amp;D48)&gt;0,OR(E48&lt;=SUMPRODUCT(MAX((($A$2:$A$157="止损计划")*($B$2:$B$157=B48)*($D$2:$D$157&lt;D48))*$E$2:$E$157)),F48&lt;SUMPRODUCT(MAX((($A$2:$A$157="止损计划")*($B$2:$B$157=B48)*($D$2:$D$157&lt;D48))*$F$2:$F$157)))),"阶段价格必须逐级提高","计划有效"))))))),IF(A48="每日跟踪",IF(OR(B48="",H48="",I48="",J48=""),"每日数据不完整",IF(COUNTIFS($A$2:$A$157,"每日跟踪",$B$2:$B$157,B48,$H$2:$H$157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IF(B49="","",IFERROR(LOOKUP(2,1/(单次交易!$A$2:$A$88=B49),单次交易!$B$2:$B$88),""))</f>
        <v/>
      </c>
      <c r="D49" s="12"/>
      <c r="E49" s="10"/>
      <c r="F49" s="10"/>
      <c r="G49" s="2"/>
      <c r="H49" s="15"/>
      <c r="I49" s="10"/>
      <c r="J49" s="12"/>
      <c r="K49" s="2"/>
      <c r="L49" s="2"/>
      <c r="M49" s="2"/>
      <c r="N49" s="5" t="str">
        <f>IF(B49="","",IFERROR(LOOKUP(2,1/(单次交易!$A$2:$A$88=B49),单次交易!$N$2:$N$88),""))</f>
        <v/>
      </c>
      <c r="O49" s="5" t="str">
        <f t="shared" si="9"/>
        <v/>
      </c>
      <c r="P49" s="11" t="str">
        <f t="shared" si="10"/>
        <v/>
      </c>
      <c r="Q49" s="5" t="str">
        <f t="shared" si="11"/>
        <v/>
      </c>
      <c r="R49" s="10"/>
      <c r="S49" s="5" t="str">
        <f t="shared" si="12"/>
        <v/>
      </c>
      <c r="T49" s="5" t="str">
        <f t="shared" si="13"/>
        <v/>
      </c>
      <c r="U49" s="5" t="str">
        <f t="shared" si="14"/>
        <v/>
      </c>
      <c r="V49" s="7" t="str">
        <f t="shared" si="15"/>
        <v/>
      </c>
      <c r="W49" s="8" t="str">
        <f t="shared" si="16"/>
        <v/>
      </c>
      <c r="X49" s="2"/>
      <c r="Y49" s="10"/>
      <c r="Z49" s="11" t="str">
        <f>IF(X49&lt;&gt;"执行卖出","",IFERROR(LOOKUP(2,1/(单次交易!$A$2:$A$88=B49),单次交易!$AP$2:$AP$88),""))</f>
        <v/>
      </c>
      <c r="AA49" s="10"/>
      <c r="AB49" s="8" t="str">
        <f t="shared" si="17"/>
        <v/>
      </c>
      <c r="AC49" s="8" t="str">
        <f>IF(A49="","",IF(A49="止损计划",IF(OR(B49="",D49="",E49="",F49="",G49=""),"计划不完整",IF(OR(D49&lt;1,D49&lt;&gt;INT(D49)),"阶段序号无效",IF(COUNTIFS($A$2:$A$157,"止损计划",$B$2:$B$157,B49,$D$2:$D$157,D49)&gt;1,"阶段序号重复",IF(E49&lt;=IFERROR(LOOKUP(2,1/(单次交易!$A$2:$A$88=B49),单次交易!$E$2:$E$88),0),"激活价须高于买入价",IF(F49&lt;N49,"止损价不得低于初始止损",IF(F49&gt;E49,"止损价不得高于激活价",IF(AND(COUNTIFS($A$2:$A$157,"止损计划",$B$2:$B$157,B49,$D$2:$D$157,"&lt;"&amp;D49)&gt;0,OR(E49&lt;=SUMPRODUCT(MAX((($A$2:$A$157="止损计划")*($B$2:$B$157=B49)*($D$2:$D$157&lt;D49))*$E$2:$E$157)),F49&lt;SUMPRODUCT(MAX((($A$2:$A$157="止损计划")*($B$2:$B$157=B49)*($D$2:$D$157&lt;D49))*$F$2:$F$157)))),"阶段价格必须逐级提高","计划有效"))))))),IF(A49="每日跟踪",IF(OR(B49="",H49="",I49="",J49=""),"每日数据不完整",IF(COUNTIFS($A$2:$A$157,"每日跟踪",$B$2:$B$157,B49,$H$2:$H$157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IF(B50="","",IFERROR(LOOKUP(2,1/(单次交易!$A$2:$A$88=B50),单次交易!$B$2:$B$88),""))</f>
        <v/>
      </c>
      <c r="D50" s="12"/>
      <c r="E50" s="10"/>
      <c r="F50" s="10"/>
      <c r="G50" s="2"/>
      <c r="H50" s="15"/>
      <c r="I50" s="10"/>
      <c r="J50" s="12"/>
      <c r="K50" s="2"/>
      <c r="L50" s="2"/>
      <c r="M50" s="2"/>
      <c r="N50" s="5" t="str">
        <f>IF(B50="","",IFERROR(LOOKUP(2,1/(单次交易!$A$2:$A$88=B50),单次交易!$N$2:$N$88),""))</f>
        <v/>
      </c>
      <c r="O50" s="5" t="str">
        <f t="shared" si="9"/>
        <v/>
      </c>
      <c r="P50" s="11" t="str">
        <f t="shared" si="10"/>
        <v/>
      </c>
      <c r="Q50" s="5" t="str">
        <f t="shared" si="11"/>
        <v/>
      </c>
      <c r="R50" s="10"/>
      <c r="S50" s="5" t="str">
        <f t="shared" si="12"/>
        <v/>
      </c>
      <c r="T50" s="5" t="str">
        <f t="shared" si="13"/>
        <v/>
      </c>
      <c r="U50" s="5" t="str">
        <f t="shared" si="14"/>
        <v/>
      </c>
      <c r="V50" s="7" t="str">
        <f t="shared" si="15"/>
        <v/>
      </c>
      <c r="W50" s="8" t="str">
        <f t="shared" si="16"/>
        <v/>
      </c>
      <c r="X50" s="2"/>
      <c r="Y50" s="10"/>
      <c r="Z50" s="11" t="str">
        <f>IF(X50&lt;&gt;"执行卖出","",IFERROR(LOOKUP(2,1/(单次交易!$A$2:$A$88=B50),单次交易!$AP$2:$AP$88),""))</f>
        <v/>
      </c>
      <c r="AA50" s="10"/>
      <c r="AB50" s="8" t="str">
        <f t="shared" si="17"/>
        <v/>
      </c>
      <c r="AC50" s="8" t="str">
        <f>IF(A50="","",IF(A50="止损计划",IF(OR(B50="",D50="",E50="",F50="",G50=""),"计划不完整",IF(OR(D50&lt;1,D50&lt;&gt;INT(D50)),"阶段序号无效",IF(COUNTIFS($A$2:$A$157,"止损计划",$B$2:$B$157,B50,$D$2:$D$157,D50)&gt;1,"阶段序号重复",IF(E50&lt;=IFERROR(LOOKUP(2,1/(单次交易!$A$2:$A$88=B50),单次交易!$E$2:$E$88),0),"激活价须高于买入价",IF(F50&lt;N50,"止损价不得低于初始止损",IF(F50&gt;E50,"止损价不得高于激活价",IF(AND(COUNTIFS($A$2:$A$157,"止损计划",$B$2:$B$157,B50,$D$2:$D$157,"&lt;"&amp;D50)&gt;0,OR(E50&lt;=SUMPRODUCT(MAX((($A$2:$A$157="止损计划")*($B$2:$B$157=B50)*($D$2:$D$157&lt;D50))*$E$2:$E$157)),F50&lt;SUMPRODUCT(MAX((($A$2:$A$157="止损计划")*($B$2:$B$157=B50)*($D$2:$D$157&lt;D50))*$F$2:$F$157)))),"阶段价格必须逐级提高","计划有效"))))))),IF(A50="每日跟踪",IF(OR(B50="",H50="",I50="",J50=""),"每日数据不完整",IF(COUNTIFS($A$2:$A$157,"每日跟踪",$B$2:$B$157,B50,$H$2:$H$157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IF(B51="","",IFERROR(LOOKUP(2,1/(单次交易!$A$2:$A$88=B51),单次交易!$B$2:$B$88),""))</f>
        <v/>
      </c>
      <c r="D51" s="12"/>
      <c r="E51" s="10"/>
      <c r="F51" s="10"/>
      <c r="G51" s="2"/>
      <c r="H51" s="15"/>
      <c r="I51" s="10"/>
      <c r="J51" s="12"/>
      <c r="K51" s="2"/>
      <c r="L51" s="2"/>
      <c r="M51" s="2"/>
      <c r="N51" s="5" t="str">
        <f>IF(B51="","",IFERROR(LOOKUP(2,1/(单次交易!$A$2:$A$88=B51),单次交易!$N$2:$N$88),""))</f>
        <v/>
      </c>
      <c r="O51" s="5" t="str">
        <f t="shared" si="9"/>
        <v/>
      </c>
      <c r="P51" s="11" t="str">
        <f t="shared" si="10"/>
        <v/>
      </c>
      <c r="Q51" s="5" t="str">
        <f t="shared" si="11"/>
        <v/>
      </c>
      <c r="R51" s="10"/>
      <c r="S51" s="5" t="str">
        <f t="shared" si="12"/>
        <v/>
      </c>
      <c r="T51" s="5" t="str">
        <f t="shared" si="13"/>
        <v/>
      </c>
      <c r="U51" s="5" t="str">
        <f t="shared" si="14"/>
        <v/>
      </c>
      <c r="V51" s="7" t="str">
        <f t="shared" si="15"/>
        <v/>
      </c>
      <c r="W51" s="8" t="str">
        <f t="shared" si="16"/>
        <v/>
      </c>
      <c r="X51" s="2"/>
      <c r="Y51" s="10"/>
      <c r="Z51" s="11" t="str">
        <f>IF(X51&lt;&gt;"执行卖出","",IFERROR(LOOKUP(2,1/(单次交易!$A$2:$A$88=B51),单次交易!$AP$2:$AP$88),""))</f>
        <v/>
      </c>
      <c r="AA51" s="10"/>
      <c r="AB51" s="8" t="str">
        <f t="shared" si="17"/>
        <v/>
      </c>
      <c r="AC51" s="8" t="str">
        <f>IF(A51="","",IF(A51="止损计划",IF(OR(B51="",D51="",E51="",F51="",G51=""),"计划不完整",IF(OR(D51&lt;1,D51&lt;&gt;INT(D51)),"阶段序号无效",IF(COUNTIFS($A$2:$A$157,"止损计划",$B$2:$B$157,B51,$D$2:$D$157,D51)&gt;1,"阶段序号重复",IF(E51&lt;=IFERROR(LOOKUP(2,1/(单次交易!$A$2:$A$88=B51),单次交易!$E$2:$E$88),0),"激活价须高于买入价",IF(F51&lt;N51,"止损价不得低于初始止损",IF(F51&gt;E51,"止损价不得高于激活价",IF(AND(COUNTIFS($A$2:$A$157,"止损计划",$B$2:$B$157,B51,$D$2:$D$157,"&lt;"&amp;D51)&gt;0,OR(E51&lt;=SUMPRODUCT(MAX((($A$2:$A$157="止损计划")*($B$2:$B$157=B51)*($D$2:$D$157&lt;D51))*$E$2:$E$157)),F51&lt;SUMPRODUCT(MAX((($A$2:$A$157="止损计划")*($B$2:$B$157=B51)*($D$2:$D$157&lt;D51))*$F$2:$F$157)))),"阶段价格必须逐级提高","计划有效"))))))),IF(A51="每日跟踪",IF(OR(B51="",H51="",I51="",J51=""),"每日数据不完整",IF(COUNTIFS($A$2:$A$157,"每日跟踪",$B$2:$B$157,B51,$H$2:$H$157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IF(B52="","",IFERROR(LOOKUP(2,1/(单次交易!$A$2:$A$88=B52),单次交易!$B$2:$B$88),""))</f>
        <v/>
      </c>
      <c r="D52" s="12"/>
      <c r="E52" s="10"/>
      <c r="F52" s="10"/>
      <c r="G52" s="2"/>
      <c r="H52" s="15"/>
      <c r="I52" s="10"/>
      <c r="J52" s="12"/>
      <c r="K52" s="2"/>
      <c r="L52" s="2"/>
      <c r="M52" s="2"/>
      <c r="N52" s="5" t="str">
        <f>IF(B52="","",IFERROR(LOOKUP(2,1/(单次交易!$A$2:$A$88=B52),单次交易!$N$2:$N$88),""))</f>
        <v/>
      </c>
      <c r="O52" s="5" t="str">
        <f t="shared" si="9"/>
        <v/>
      </c>
      <c r="P52" s="11" t="str">
        <f t="shared" si="10"/>
        <v/>
      </c>
      <c r="Q52" s="5" t="str">
        <f t="shared" si="11"/>
        <v/>
      </c>
      <c r="R52" s="10"/>
      <c r="S52" s="5" t="str">
        <f t="shared" si="12"/>
        <v/>
      </c>
      <c r="T52" s="5" t="str">
        <f t="shared" si="13"/>
        <v/>
      </c>
      <c r="U52" s="5" t="str">
        <f t="shared" si="14"/>
        <v/>
      </c>
      <c r="V52" s="7" t="str">
        <f t="shared" si="15"/>
        <v/>
      </c>
      <c r="W52" s="8" t="str">
        <f t="shared" si="16"/>
        <v/>
      </c>
      <c r="X52" s="2"/>
      <c r="Y52" s="10"/>
      <c r="Z52" s="11" t="str">
        <f>IF(X52&lt;&gt;"执行卖出","",IFERROR(LOOKUP(2,1/(单次交易!$A$2:$A$88=B52),单次交易!$AP$2:$AP$88),""))</f>
        <v/>
      </c>
      <c r="AA52" s="10"/>
      <c r="AB52" s="8" t="str">
        <f t="shared" si="17"/>
        <v/>
      </c>
      <c r="AC52" s="8" t="str">
        <f>IF(A52="","",IF(A52="止损计划",IF(OR(B52="",D52="",E52="",F52="",G52=""),"计划不完整",IF(OR(D52&lt;1,D52&lt;&gt;INT(D52)),"阶段序号无效",IF(COUNTIFS($A$2:$A$157,"止损计划",$B$2:$B$157,B52,$D$2:$D$157,D52)&gt;1,"阶段序号重复",IF(E52&lt;=IFERROR(LOOKUP(2,1/(单次交易!$A$2:$A$88=B52),单次交易!$E$2:$E$88),0),"激活价须高于买入价",IF(F52&lt;N52,"止损价不得低于初始止损",IF(F52&gt;E52,"止损价不得高于激活价",IF(AND(COUNTIFS($A$2:$A$157,"止损计划",$B$2:$B$157,B52,$D$2:$D$157,"&lt;"&amp;D52)&gt;0,OR(E52&lt;=SUMPRODUCT(MAX((($A$2:$A$157="止损计划")*($B$2:$B$157=B52)*($D$2:$D$157&lt;D52))*$E$2:$E$157)),F52&lt;SUMPRODUCT(MAX((($A$2:$A$157="止损计划")*($B$2:$B$157=B52)*($D$2:$D$157&lt;D52))*$F$2:$F$157)))),"阶段价格必须逐级提高","计划有效"))))))),IF(A52="每日跟踪",IF(OR(B52="",H52="",I52="",J52=""),"每日数据不完整",IF(COUNTIFS($A$2:$A$157,"每日跟踪",$B$2:$B$157,B52,$H$2:$H$157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IF(B53="","",IFERROR(LOOKUP(2,1/(单次交易!$A$2:$A$88=B53),单次交易!$B$2:$B$88),""))</f>
        <v/>
      </c>
      <c r="D53" s="12"/>
      <c r="E53" s="10"/>
      <c r="F53" s="10"/>
      <c r="G53" s="2"/>
      <c r="H53" s="15"/>
      <c r="I53" s="10"/>
      <c r="J53" s="12"/>
      <c r="K53" s="2"/>
      <c r="L53" s="2"/>
      <c r="M53" s="2"/>
      <c r="N53" s="5" t="str">
        <f>IF(B53="","",IFERROR(LOOKUP(2,1/(单次交易!$A$2:$A$88=B53),单次交易!$N$2:$N$88),""))</f>
        <v/>
      </c>
      <c r="O53" s="5" t="str">
        <f t="shared" si="9"/>
        <v/>
      </c>
      <c r="P53" s="11" t="str">
        <f t="shared" si="10"/>
        <v/>
      </c>
      <c r="Q53" s="5" t="str">
        <f t="shared" si="11"/>
        <v/>
      </c>
      <c r="R53" s="10"/>
      <c r="S53" s="5" t="str">
        <f t="shared" si="12"/>
        <v/>
      </c>
      <c r="T53" s="5" t="str">
        <f t="shared" si="13"/>
        <v/>
      </c>
      <c r="U53" s="5" t="str">
        <f t="shared" si="14"/>
        <v/>
      </c>
      <c r="V53" s="7" t="str">
        <f t="shared" si="15"/>
        <v/>
      </c>
      <c r="W53" s="8" t="str">
        <f t="shared" si="16"/>
        <v/>
      </c>
      <c r="X53" s="2"/>
      <c r="Y53" s="10"/>
      <c r="Z53" s="11" t="str">
        <f>IF(X53&lt;&gt;"执行卖出","",IFERROR(LOOKUP(2,1/(单次交易!$A$2:$A$88=B53),单次交易!$AP$2:$AP$88),""))</f>
        <v/>
      </c>
      <c r="AA53" s="10"/>
      <c r="AB53" s="8" t="str">
        <f t="shared" si="17"/>
        <v/>
      </c>
      <c r="AC53" s="8" t="str">
        <f>IF(A53="","",IF(A53="止损计划",IF(OR(B53="",D53="",E53="",F53="",G53=""),"计划不完整",IF(OR(D53&lt;1,D53&lt;&gt;INT(D53)),"阶段序号无效",IF(COUNTIFS($A$2:$A$157,"止损计划",$B$2:$B$157,B53,$D$2:$D$157,D53)&gt;1,"阶段序号重复",IF(E53&lt;=IFERROR(LOOKUP(2,1/(单次交易!$A$2:$A$88=B53),单次交易!$E$2:$E$88),0),"激活价须高于买入价",IF(F53&lt;N53,"止损价不得低于初始止损",IF(F53&gt;E53,"止损价不得高于激活价",IF(AND(COUNTIFS($A$2:$A$157,"止损计划",$B$2:$B$157,B53,$D$2:$D$157,"&lt;"&amp;D53)&gt;0,OR(E53&lt;=SUMPRODUCT(MAX((($A$2:$A$157="止损计划")*($B$2:$B$157=B53)*($D$2:$D$157&lt;D53))*$E$2:$E$157)),F53&lt;SUMPRODUCT(MAX((($A$2:$A$157="止损计划")*($B$2:$B$157=B53)*($D$2:$D$157&lt;D53))*$F$2:$F$157)))),"阶段价格必须逐级提高","计划有效"))))))),IF(A53="每日跟踪",IF(OR(B53="",H53="",I53="",J53=""),"每日数据不完整",IF(COUNTIFS($A$2:$A$157,"每日跟踪",$B$2:$B$157,B53,$H$2:$H$157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IF(B54="","",IFERROR(LOOKUP(2,1/(单次交易!$A$2:$A$88=B54),单次交易!$B$2:$B$88),""))</f>
        <v/>
      </c>
      <c r="D54" s="12"/>
      <c r="E54" s="10"/>
      <c r="F54" s="10"/>
      <c r="G54" s="2"/>
      <c r="H54" s="15"/>
      <c r="I54" s="10"/>
      <c r="J54" s="12"/>
      <c r="K54" s="2"/>
      <c r="L54" s="2"/>
      <c r="M54" s="2"/>
      <c r="N54" s="5" t="str">
        <f>IF(B54="","",IFERROR(LOOKUP(2,1/(单次交易!$A$2:$A$88=B54),单次交易!$N$2:$N$88),""))</f>
        <v/>
      </c>
      <c r="O54" s="5" t="str">
        <f t="shared" si="9"/>
        <v/>
      </c>
      <c r="P54" s="11" t="str">
        <f t="shared" si="10"/>
        <v/>
      </c>
      <c r="Q54" s="5" t="str">
        <f t="shared" si="11"/>
        <v/>
      </c>
      <c r="R54" s="10"/>
      <c r="S54" s="5" t="str">
        <f t="shared" si="12"/>
        <v/>
      </c>
      <c r="T54" s="5" t="str">
        <f t="shared" si="13"/>
        <v/>
      </c>
      <c r="U54" s="5" t="str">
        <f t="shared" si="14"/>
        <v/>
      </c>
      <c r="V54" s="7" t="str">
        <f t="shared" si="15"/>
        <v/>
      </c>
      <c r="W54" s="8" t="str">
        <f t="shared" si="16"/>
        <v/>
      </c>
      <c r="X54" s="2"/>
      <c r="Y54" s="10"/>
      <c r="Z54" s="11" t="str">
        <f>IF(X54&lt;&gt;"执行卖出","",IFERROR(LOOKUP(2,1/(单次交易!$A$2:$A$88=B54),单次交易!$AP$2:$AP$88),""))</f>
        <v/>
      </c>
      <c r="AA54" s="10"/>
      <c r="AB54" s="8" t="str">
        <f t="shared" si="17"/>
        <v/>
      </c>
      <c r="AC54" s="8" t="str">
        <f>IF(A54="","",IF(A54="止损计划",IF(OR(B54="",D54="",E54="",F54="",G54=""),"计划不完整",IF(OR(D54&lt;1,D54&lt;&gt;INT(D54)),"阶段序号无效",IF(COUNTIFS($A$2:$A$157,"止损计划",$B$2:$B$157,B54,$D$2:$D$157,D54)&gt;1,"阶段序号重复",IF(E54&lt;=IFERROR(LOOKUP(2,1/(单次交易!$A$2:$A$88=B54),单次交易!$E$2:$E$88),0),"激活价须高于买入价",IF(F54&lt;N54,"止损价不得低于初始止损",IF(F54&gt;E54,"止损价不得高于激活价",IF(AND(COUNTIFS($A$2:$A$157,"止损计划",$B$2:$B$157,B54,$D$2:$D$157,"&lt;"&amp;D54)&gt;0,OR(E54&lt;=SUMPRODUCT(MAX((($A$2:$A$157="止损计划")*($B$2:$B$157=B54)*($D$2:$D$157&lt;D54))*$E$2:$E$157)),F54&lt;SUMPRODUCT(MAX((($A$2:$A$157="止损计划")*($B$2:$B$157=B54)*($D$2:$D$157&lt;D54))*$F$2:$F$157)))),"阶段价格必须逐级提高","计划有效"))))))),IF(A54="每日跟踪",IF(OR(B54="",H54="",I54="",J54=""),"每日数据不完整",IF(COUNTIFS($A$2:$A$157,"每日跟踪",$B$2:$B$157,B54,$H$2:$H$157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IF(B55="","",IFERROR(LOOKUP(2,1/(单次交易!$A$2:$A$88=B55),单次交易!$B$2:$B$88),""))</f>
        <v/>
      </c>
      <c r="D55" s="12"/>
      <c r="E55" s="10"/>
      <c r="F55" s="10"/>
      <c r="G55" s="2"/>
      <c r="H55" s="15"/>
      <c r="I55" s="10"/>
      <c r="J55" s="12"/>
      <c r="K55" s="2"/>
      <c r="L55" s="2"/>
      <c r="M55" s="2"/>
      <c r="N55" s="5" t="str">
        <f>IF(B55="","",IFERROR(LOOKUP(2,1/(单次交易!$A$2:$A$88=B55),单次交易!$N$2:$N$88),""))</f>
        <v/>
      </c>
      <c r="O55" s="5" t="str">
        <f t="shared" si="9"/>
        <v/>
      </c>
      <c r="P55" s="11" t="str">
        <f t="shared" si="10"/>
        <v/>
      </c>
      <c r="Q55" s="5" t="str">
        <f t="shared" si="11"/>
        <v/>
      </c>
      <c r="R55" s="10"/>
      <c r="S55" s="5" t="str">
        <f t="shared" si="12"/>
        <v/>
      </c>
      <c r="T55" s="5" t="str">
        <f t="shared" si="13"/>
        <v/>
      </c>
      <c r="U55" s="5" t="str">
        <f t="shared" si="14"/>
        <v/>
      </c>
      <c r="V55" s="7" t="str">
        <f t="shared" si="15"/>
        <v/>
      </c>
      <c r="W55" s="8" t="str">
        <f t="shared" si="16"/>
        <v/>
      </c>
      <c r="X55" s="2"/>
      <c r="Y55" s="10"/>
      <c r="Z55" s="11" t="str">
        <f>IF(X55&lt;&gt;"执行卖出","",IFERROR(LOOKUP(2,1/(单次交易!$A$2:$A$88=B55),单次交易!$AP$2:$AP$88),""))</f>
        <v/>
      </c>
      <c r="AA55" s="10"/>
      <c r="AB55" s="8" t="str">
        <f t="shared" si="17"/>
        <v/>
      </c>
      <c r="AC55" s="8" t="str">
        <f>IF(A55="","",IF(A55="止损计划",IF(OR(B55="",D55="",E55="",F55="",G55=""),"计划不完整",IF(OR(D55&lt;1,D55&lt;&gt;INT(D55)),"阶段序号无效",IF(COUNTIFS($A$2:$A$157,"止损计划",$B$2:$B$157,B55,$D$2:$D$157,D55)&gt;1,"阶段序号重复",IF(E55&lt;=IFERROR(LOOKUP(2,1/(单次交易!$A$2:$A$88=B55),单次交易!$E$2:$E$88),0),"激活价须高于买入价",IF(F55&lt;N55,"止损价不得低于初始止损",IF(F55&gt;E55,"止损价不得高于激活价",IF(AND(COUNTIFS($A$2:$A$157,"止损计划",$B$2:$B$157,B55,$D$2:$D$157,"&lt;"&amp;D55)&gt;0,OR(E55&lt;=SUMPRODUCT(MAX((($A$2:$A$157="止损计划")*($B$2:$B$157=B55)*($D$2:$D$157&lt;D55))*$E$2:$E$157)),F55&lt;SUMPRODUCT(MAX((($A$2:$A$157="止损计划")*($B$2:$B$157=B55)*($D$2:$D$157&lt;D55))*$F$2:$F$157)))),"阶段价格必须逐级提高","计划有效"))))))),IF(A55="每日跟踪",IF(OR(B55="",H55="",I55="",J55=""),"每日数据不完整",IF(COUNTIFS($A$2:$A$157,"每日跟踪",$B$2:$B$157,B55,$H$2:$H$157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IF(B56="","",IFERROR(LOOKUP(2,1/(单次交易!$A$2:$A$88=B56),单次交易!$B$2:$B$88),""))</f>
        <v/>
      </c>
      <c r="D56" s="12"/>
      <c r="E56" s="10"/>
      <c r="F56" s="10"/>
      <c r="G56" s="2"/>
      <c r="H56" s="15"/>
      <c r="I56" s="10"/>
      <c r="J56" s="12"/>
      <c r="K56" s="2"/>
      <c r="L56" s="2"/>
      <c r="M56" s="2"/>
      <c r="N56" s="5" t="str">
        <f>IF(B56="","",IFERROR(LOOKUP(2,1/(单次交易!$A$2:$A$88=B56),单次交易!$N$2:$N$88),""))</f>
        <v/>
      </c>
      <c r="O56" s="5" t="str">
        <f t="shared" si="9"/>
        <v/>
      </c>
      <c r="P56" s="11" t="str">
        <f t="shared" si="10"/>
        <v/>
      </c>
      <c r="Q56" s="5" t="str">
        <f t="shared" si="11"/>
        <v/>
      </c>
      <c r="R56" s="10"/>
      <c r="S56" s="5" t="str">
        <f t="shared" si="12"/>
        <v/>
      </c>
      <c r="T56" s="5" t="str">
        <f t="shared" si="13"/>
        <v/>
      </c>
      <c r="U56" s="5" t="str">
        <f t="shared" si="14"/>
        <v/>
      </c>
      <c r="V56" s="7" t="str">
        <f t="shared" si="15"/>
        <v/>
      </c>
      <c r="W56" s="8" t="str">
        <f t="shared" si="16"/>
        <v/>
      </c>
      <c r="X56" s="2"/>
      <c r="Y56" s="10"/>
      <c r="Z56" s="11" t="str">
        <f>IF(X56&lt;&gt;"执行卖出","",IFERROR(LOOKUP(2,1/(单次交易!$A$2:$A$88=B56),单次交易!$AP$2:$AP$88),""))</f>
        <v/>
      </c>
      <c r="AA56" s="10"/>
      <c r="AB56" s="8" t="str">
        <f t="shared" si="17"/>
        <v/>
      </c>
      <c r="AC56" s="8" t="str">
        <f>IF(A56="","",IF(A56="止损计划",IF(OR(B56="",D56="",E56="",F56="",G56=""),"计划不完整",IF(OR(D56&lt;1,D56&lt;&gt;INT(D56)),"阶段序号无效",IF(COUNTIFS($A$2:$A$157,"止损计划",$B$2:$B$157,B56,$D$2:$D$157,D56)&gt;1,"阶段序号重复",IF(E56&lt;=IFERROR(LOOKUP(2,1/(单次交易!$A$2:$A$88=B56),单次交易!$E$2:$E$88),0),"激活价须高于买入价",IF(F56&lt;N56,"止损价不得低于初始止损",IF(F56&gt;E56,"止损价不得高于激活价",IF(AND(COUNTIFS($A$2:$A$157,"止损计划",$B$2:$B$157,B56,$D$2:$D$157,"&lt;"&amp;D56)&gt;0,OR(E56&lt;=SUMPRODUCT(MAX((($A$2:$A$157="止损计划")*($B$2:$B$157=B56)*($D$2:$D$157&lt;D56))*$E$2:$E$157)),F56&lt;SUMPRODUCT(MAX((($A$2:$A$157="止损计划")*($B$2:$B$157=B56)*($D$2:$D$157&lt;D56))*$F$2:$F$157)))),"阶段价格必须逐级提高","计划有效"))))))),IF(A56="每日跟踪",IF(OR(B56="",H56="",I56="",J56=""),"每日数据不完整",IF(COUNTIFS($A$2:$A$157,"每日跟踪",$B$2:$B$157,B56,$H$2:$H$157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IF(B57="","",IFERROR(LOOKUP(2,1/(单次交易!$A$2:$A$88=B57),单次交易!$B$2:$B$88),""))</f>
        <v/>
      </c>
      <c r="D57" s="12"/>
      <c r="E57" s="10"/>
      <c r="F57" s="10"/>
      <c r="G57" s="2"/>
      <c r="H57" s="15"/>
      <c r="I57" s="10"/>
      <c r="J57" s="12"/>
      <c r="K57" s="2"/>
      <c r="L57" s="2"/>
      <c r="M57" s="2"/>
      <c r="N57" s="5" t="str">
        <f>IF(B57="","",IFERROR(LOOKUP(2,1/(单次交易!$A$2:$A$88=B57),单次交易!$N$2:$N$88),""))</f>
        <v/>
      </c>
      <c r="O57" s="5" t="str">
        <f t="shared" si="9"/>
        <v/>
      </c>
      <c r="P57" s="11" t="str">
        <f t="shared" si="10"/>
        <v/>
      </c>
      <c r="Q57" s="5" t="str">
        <f t="shared" si="11"/>
        <v/>
      </c>
      <c r="R57" s="10"/>
      <c r="S57" s="5" t="str">
        <f t="shared" si="12"/>
        <v/>
      </c>
      <c r="T57" s="5" t="str">
        <f t="shared" si="13"/>
        <v/>
      </c>
      <c r="U57" s="5" t="str">
        <f t="shared" si="14"/>
        <v/>
      </c>
      <c r="V57" s="7" t="str">
        <f t="shared" si="15"/>
        <v/>
      </c>
      <c r="W57" s="8" t="str">
        <f t="shared" si="16"/>
        <v/>
      </c>
      <c r="X57" s="2"/>
      <c r="Y57" s="10"/>
      <c r="Z57" s="11" t="str">
        <f>IF(X57&lt;&gt;"执行卖出","",IFERROR(LOOKUP(2,1/(单次交易!$A$2:$A$88=B57),单次交易!$AP$2:$AP$88),""))</f>
        <v/>
      </c>
      <c r="AA57" s="10"/>
      <c r="AB57" s="8" t="str">
        <f t="shared" si="17"/>
        <v/>
      </c>
      <c r="AC57" s="8" t="str">
        <f>IF(A57="","",IF(A57="止损计划",IF(OR(B57="",D57="",E57="",F57="",G57=""),"计划不完整",IF(OR(D57&lt;1,D57&lt;&gt;INT(D57)),"阶段序号无效",IF(COUNTIFS($A$2:$A$157,"止损计划",$B$2:$B$157,B57,$D$2:$D$157,D57)&gt;1,"阶段序号重复",IF(E57&lt;=IFERROR(LOOKUP(2,1/(单次交易!$A$2:$A$88=B57),单次交易!$E$2:$E$88),0),"激活价须高于买入价",IF(F57&lt;N57,"止损价不得低于初始止损",IF(F57&gt;E57,"止损价不得高于激活价",IF(AND(COUNTIFS($A$2:$A$157,"止损计划",$B$2:$B$157,B57,$D$2:$D$157,"&lt;"&amp;D57)&gt;0,OR(E57&lt;=SUMPRODUCT(MAX((($A$2:$A$157="止损计划")*($B$2:$B$157=B57)*($D$2:$D$157&lt;D57))*$E$2:$E$157)),F57&lt;SUMPRODUCT(MAX((($A$2:$A$157="止损计划")*($B$2:$B$157=B57)*($D$2:$D$157&lt;D57))*$F$2:$F$157)))),"阶段价格必须逐级提高","计划有效"))))))),IF(A57="每日跟踪",IF(OR(B57="",H57="",I57="",J57=""),"每日数据不完整",IF(COUNTIFS($A$2:$A$157,"每日跟踪",$B$2:$B$157,B57,$H$2:$H$157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IF(B58="","",IFERROR(LOOKUP(2,1/(单次交易!$A$2:$A$88=B58),单次交易!$B$2:$B$88),""))</f>
        <v/>
      </c>
      <c r="D58" s="12"/>
      <c r="E58" s="10"/>
      <c r="F58" s="10"/>
      <c r="G58" s="2"/>
      <c r="H58" s="15"/>
      <c r="I58" s="10"/>
      <c r="J58" s="12"/>
      <c r="K58" s="2"/>
      <c r="L58" s="2"/>
      <c r="M58" s="2"/>
      <c r="N58" s="5" t="str">
        <f>IF(B58="","",IFERROR(LOOKUP(2,1/(单次交易!$A$2:$A$88=B58),单次交易!$N$2:$N$88),""))</f>
        <v/>
      </c>
      <c r="O58" s="5" t="str">
        <f t="shared" si="9"/>
        <v/>
      </c>
      <c r="P58" s="11" t="str">
        <f t="shared" si="10"/>
        <v/>
      </c>
      <c r="Q58" s="5" t="str">
        <f t="shared" si="11"/>
        <v/>
      </c>
      <c r="R58" s="10"/>
      <c r="S58" s="5" t="str">
        <f t="shared" si="12"/>
        <v/>
      </c>
      <c r="T58" s="5" t="str">
        <f t="shared" si="13"/>
        <v/>
      </c>
      <c r="U58" s="5" t="str">
        <f t="shared" si="14"/>
        <v/>
      </c>
      <c r="V58" s="7" t="str">
        <f t="shared" si="15"/>
        <v/>
      </c>
      <c r="W58" s="8" t="str">
        <f t="shared" si="16"/>
        <v/>
      </c>
      <c r="X58" s="2"/>
      <c r="Y58" s="10"/>
      <c r="Z58" s="11" t="str">
        <f>IF(X58&lt;&gt;"执行卖出","",IFERROR(LOOKUP(2,1/(单次交易!$A$2:$A$88=B58),单次交易!$AP$2:$AP$88),""))</f>
        <v/>
      </c>
      <c r="AA58" s="10"/>
      <c r="AB58" s="8" t="str">
        <f t="shared" si="17"/>
        <v/>
      </c>
      <c r="AC58" s="8" t="str">
        <f>IF(A58="","",IF(A58="止损计划",IF(OR(B58="",D58="",E58="",F58="",G58=""),"计划不完整",IF(OR(D58&lt;1,D58&lt;&gt;INT(D58)),"阶段序号无效",IF(COUNTIFS($A$2:$A$157,"止损计划",$B$2:$B$157,B58,$D$2:$D$157,D58)&gt;1,"阶段序号重复",IF(E58&lt;=IFERROR(LOOKUP(2,1/(单次交易!$A$2:$A$88=B58),单次交易!$E$2:$E$88),0),"激活价须高于买入价",IF(F58&lt;N58,"止损价不得低于初始止损",IF(F58&gt;E58,"止损价不得高于激活价",IF(AND(COUNTIFS($A$2:$A$157,"止损计划",$B$2:$B$157,B58,$D$2:$D$157,"&lt;"&amp;D58)&gt;0,OR(E58&lt;=SUMPRODUCT(MAX((($A$2:$A$157="止损计划")*($B$2:$B$157=B58)*($D$2:$D$157&lt;D58))*$E$2:$E$157)),F58&lt;SUMPRODUCT(MAX((($A$2:$A$157="止损计划")*($B$2:$B$157=B58)*($D$2:$D$157&lt;D58))*$F$2:$F$157)))),"阶段价格必须逐级提高","计划有效"))))))),IF(A58="每日跟踪",IF(OR(B58="",H58="",I58="",J58=""),"每日数据不完整",IF(COUNTIFS($A$2:$A$157,"每日跟踪",$B$2:$B$157,B58,$H$2:$H$157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IF(B59="","",IFERROR(LOOKUP(2,1/(单次交易!$A$2:$A$88=B59),单次交易!$B$2:$B$88),""))</f>
        <v/>
      </c>
      <c r="D59" s="12"/>
      <c r="E59" s="10"/>
      <c r="F59" s="10"/>
      <c r="G59" s="2"/>
      <c r="H59" s="15"/>
      <c r="I59" s="10"/>
      <c r="J59" s="12"/>
      <c r="K59" s="2"/>
      <c r="L59" s="2"/>
      <c r="M59" s="2"/>
      <c r="N59" s="5" t="str">
        <f>IF(B59="","",IFERROR(LOOKUP(2,1/(单次交易!$A$2:$A$88=B59),单次交易!$N$2:$N$88),""))</f>
        <v/>
      </c>
      <c r="O59" s="5" t="str">
        <f t="shared" si="9"/>
        <v/>
      </c>
      <c r="P59" s="11" t="str">
        <f t="shared" si="10"/>
        <v/>
      </c>
      <c r="Q59" s="5" t="str">
        <f t="shared" si="11"/>
        <v/>
      </c>
      <c r="R59" s="10"/>
      <c r="S59" s="5" t="str">
        <f t="shared" si="12"/>
        <v/>
      </c>
      <c r="T59" s="5" t="str">
        <f t="shared" si="13"/>
        <v/>
      </c>
      <c r="U59" s="5" t="str">
        <f t="shared" si="14"/>
        <v/>
      </c>
      <c r="V59" s="7" t="str">
        <f t="shared" si="15"/>
        <v/>
      </c>
      <c r="W59" s="8" t="str">
        <f t="shared" si="16"/>
        <v/>
      </c>
      <c r="X59" s="2"/>
      <c r="Y59" s="10"/>
      <c r="Z59" s="11" t="str">
        <f>IF(X59&lt;&gt;"执行卖出","",IFERROR(LOOKUP(2,1/(单次交易!$A$2:$A$88=B59),单次交易!$AP$2:$AP$88),""))</f>
        <v/>
      </c>
      <c r="AA59" s="10"/>
      <c r="AB59" s="8" t="str">
        <f t="shared" si="17"/>
        <v/>
      </c>
      <c r="AC59" s="8" t="str">
        <f>IF(A59="","",IF(A59="止损计划",IF(OR(B59="",D59="",E59="",F59="",G59=""),"计划不完整",IF(OR(D59&lt;1,D59&lt;&gt;INT(D59)),"阶段序号无效",IF(COUNTIFS($A$2:$A$157,"止损计划",$B$2:$B$157,B59,$D$2:$D$157,D59)&gt;1,"阶段序号重复",IF(E59&lt;=IFERROR(LOOKUP(2,1/(单次交易!$A$2:$A$88=B59),单次交易!$E$2:$E$88),0),"激活价须高于买入价",IF(F59&lt;N59,"止损价不得低于初始止损",IF(F59&gt;E59,"止损价不得高于激活价",IF(AND(COUNTIFS($A$2:$A$157,"止损计划",$B$2:$B$157,B59,$D$2:$D$157,"&lt;"&amp;D59)&gt;0,OR(E59&lt;=SUMPRODUCT(MAX((($A$2:$A$157="止损计划")*($B$2:$B$157=B59)*($D$2:$D$157&lt;D59))*$E$2:$E$157)),F59&lt;SUMPRODUCT(MAX((($A$2:$A$157="止损计划")*($B$2:$B$157=B59)*($D$2:$D$157&lt;D59))*$F$2:$F$157)))),"阶段价格必须逐级提高","计划有效"))))))),IF(A59="每日跟踪",IF(OR(B59="",H59="",I59="",J59=""),"每日数据不完整",IF(COUNTIFS($A$2:$A$157,"每日跟踪",$B$2:$B$157,B59,$H$2:$H$157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IF(B60="","",IFERROR(LOOKUP(2,1/(单次交易!$A$2:$A$88=B60),单次交易!$B$2:$B$88),""))</f>
        <v/>
      </c>
      <c r="D60" s="12"/>
      <c r="E60" s="10"/>
      <c r="F60" s="10"/>
      <c r="G60" s="2"/>
      <c r="H60" s="15"/>
      <c r="I60" s="10"/>
      <c r="J60" s="12"/>
      <c r="K60" s="2"/>
      <c r="L60" s="2"/>
      <c r="M60" s="2"/>
      <c r="N60" s="5" t="str">
        <f>IF(B60="","",IFERROR(LOOKUP(2,1/(单次交易!$A$2:$A$88=B60),单次交易!$N$2:$N$88),""))</f>
        <v/>
      </c>
      <c r="O60" s="5" t="str">
        <f t="shared" si="9"/>
        <v/>
      </c>
      <c r="P60" s="11" t="str">
        <f t="shared" si="10"/>
        <v/>
      </c>
      <c r="Q60" s="5" t="str">
        <f t="shared" si="11"/>
        <v/>
      </c>
      <c r="R60" s="10"/>
      <c r="S60" s="5" t="str">
        <f t="shared" si="12"/>
        <v/>
      </c>
      <c r="T60" s="5" t="str">
        <f t="shared" si="13"/>
        <v/>
      </c>
      <c r="U60" s="5" t="str">
        <f t="shared" si="14"/>
        <v/>
      </c>
      <c r="V60" s="7" t="str">
        <f t="shared" si="15"/>
        <v/>
      </c>
      <c r="W60" s="8" t="str">
        <f t="shared" si="16"/>
        <v/>
      </c>
      <c r="X60" s="2"/>
      <c r="Y60" s="10"/>
      <c r="Z60" s="11" t="str">
        <f>IF(X60&lt;&gt;"执行卖出","",IFERROR(LOOKUP(2,1/(单次交易!$A$2:$A$88=B60),单次交易!$AP$2:$AP$88),""))</f>
        <v/>
      </c>
      <c r="AA60" s="10"/>
      <c r="AB60" s="8" t="str">
        <f t="shared" si="17"/>
        <v/>
      </c>
      <c r="AC60" s="8" t="str">
        <f>IF(A60="","",IF(A60="止损计划",IF(OR(B60="",D60="",E60="",F60="",G60=""),"计划不完整",IF(OR(D60&lt;1,D60&lt;&gt;INT(D60)),"阶段序号无效",IF(COUNTIFS($A$2:$A$157,"止损计划",$B$2:$B$157,B60,$D$2:$D$157,D60)&gt;1,"阶段序号重复",IF(E60&lt;=IFERROR(LOOKUP(2,1/(单次交易!$A$2:$A$88=B60),单次交易!$E$2:$E$88),0),"激活价须高于买入价",IF(F60&lt;N60,"止损价不得低于初始止损",IF(F60&gt;E60,"止损价不得高于激活价",IF(AND(COUNTIFS($A$2:$A$157,"止损计划",$B$2:$B$157,B60,$D$2:$D$157,"&lt;"&amp;D60)&gt;0,OR(E60&lt;=SUMPRODUCT(MAX((($A$2:$A$157="止损计划")*($B$2:$B$157=B60)*($D$2:$D$157&lt;D60))*$E$2:$E$157)),F60&lt;SUMPRODUCT(MAX((($A$2:$A$157="止损计划")*($B$2:$B$157=B60)*($D$2:$D$157&lt;D60))*$F$2:$F$157)))),"阶段价格必须逐级提高","计划有效"))))))),IF(A60="每日跟踪",IF(OR(B60="",H60="",I60="",J60=""),"每日数据不完整",IF(COUNTIFS($A$2:$A$157,"每日跟踪",$B$2:$B$157,B60,$H$2:$H$157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IF(B61="","",IFERROR(LOOKUP(2,1/(单次交易!$A$2:$A$88=B61),单次交易!$B$2:$B$88),""))</f>
        <v/>
      </c>
      <c r="D61" s="12"/>
      <c r="E61" s="10"/>
      <c r="F61" s="10"/>
      <c r="G61" s="2"/>
      <c r="H61" s="15"/>
      <c r="I61" s="10"/>
      <c r="J61" s="12"/>
      <c r="K61" s="2"/>
      <c r="L61" s="2"/>
      <c r="M61" s="2"/>
      <c r="N61" s="5" t="str">
        <f>IF(B61="","",IFERROR(LOOKUP(2,1/(单次交易!$A$2:$A$88=B61),单次交易!$N$2:$N$88),""))</f>
        <v/>
      </c>
      <c r="O61" s="5" t="str">
        <f t="shared" si="9"/>
        <v/>
      </c>
      <c r="P61" s="11" t="str">
        <f t="shared" si="10"/>
        <v/>
      </c>
      <c r="Q61" s="5" t="str">
        <f t="shared" si="11"/>
        <v/>
      </c>
      <c r="R61" s="10"/>
      <c r="S61" s="5" t="str">
        <f t="shared" si="12"/>
        <v/>
      </c>
      <c r="T61" s="5" t="str">
        <f t="shared" si="13"/>
        <v/>
      </c>
      <c r="U61" s="5" t="str">
        <f t="shared" si="14"/>
        <v/>
      </c>
      <c r="V61" s="7" t="str">
        <f t="shared" si="15"/>
        <v/>
      </c>
      <c r="W61" s="8" t="str">
        <f t="shared" si="16"/>
        <v/>
      </c>
      <c r="X61" s="2"/>
      <c r="Y61" s="10"/>
      <c r="Z61" s="11" t="str">
        <f>IF(X61&lt;&gt;"执行卖出","",IFERROR(LOOKUP(2,1/(单次交易!$A$2:$A$88=B61),单次交易!$AP$2:$AP$88),""))</f>
        <v/>
      </c>
      <c r="AA61" s="10"/>
      <c r="AB61" s="8" t="str">
        <f t="shared" si="17"/>
        <v/>
      </c>
      <c r="AC61" s="8" t="str">
        <f>IF(A61="","",IF(A61="止损计划",IF(OR(B61="",D61="",E61="",F61="",G61=""),"计划不完整",IF(OR(D61&lt;1,D61&lt;&gt;INT(D61)),"阶段序号无效",IF(COUNTIFS($A$2:$A$157,"止损计划",$B$2:$B$157,B61,$D$2:$D$157,D61)&gt;1,"阶段序号重复",IF(E61&lt;=IFERROR(LOOKUP(2,1/(单次交易!$A$2:$A$88=B61),单次交易!$E$2:$E$88),0),"激活价须高于买入价",IF(F61&lt;N61,"止损价不得低于初始止损",IF(F61&gt;E61,"止损价不得高于激活价",IF(AND(COUNTIFS($A$2:$A$157,"止损计划",$B$2:$B$157,B61,$D$2:$D$157,"&lt;"&amp;D61)&gt;0,OR(E61&lt;=SUMPRODUCT(MAX((($A$2:$A$157="止损计划")*($B$2:$B$157=B61)*($D$2:$D$157&lt;D61))*$E$2:$E$157)),F61&lt;SUMPRODUCT(MAX((($A$2:$A$157="止损计划")*($B$2:$B$157=B61)*($D$2:$D$157&lt;D61))*$F$2:$F$157)))),"阶段价格必须逐级提高","计划有效"))))))),IF(A61="每日跟踪",IF(OR(B61="",H61="",I61="",J61=""),"每日数据不完整",IF(COUNTIFS($A$2:$A$157,"每日跟踪",$B$2:$B$157,B61,$H$2:$H$157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IF(B62="","",IFERROR(LOOKUP(2,1/(单次交易!$A$2:$A$88=B62),单次交易!$B$2:$B$88),""))</f>
        <v/>
      </c>
      <c r="D62" s="12"/>
      <c r="E62" s="10"/>
      <c r="F62" s="10"/>
      <c r="G62" s="2"/>
      <c r="H62" s="15"/>
      <c r="I62" s="10"/>
      <c r="J62" s="12"/>
      <c r="K62" s="2"/>
      <c r="L62" s="2"/>
      <c r="M62" s="2"/>
      <c r="N62" s="5" t="str">
        <f>IF(B62="","",IFERROR(LOOKUP(2,1/(单次交易!$A$2:$A$88=B62),单次交易!$N$2:$N$88),""))</f>
        <v/>
      </c>
      <c r="O62" s="5" t="str">
        <f t="shared" si="9"/>
        <v/>
      </c>
      <c r="P62" s="11" t="str">
        <f t="shared" si="10"/>
        <v/>
      </c>
      <c r="Q62" s="5" t="str">
        <f t="shared" si="11"/>
        <v/>
      </c>
      <c r="R62" s="10"/>
      <c r="S62" s="5" t="str">
        <f t="shared" si="12"/>
        <v/>
      </c>
      <c r="T62" s="5" t="str">
        <f t="shared" si="13"/>
        <v/>
      </c>
      <c r="U62" s="5" t="str">
        <f t="shared" si="14"/>
        <v/>
      </c>
      <c r="V62" s="7" t="str">
        <f t="shared" si="15"/>
        <v/>
      </c>
      <c r="W62" s="8" t="str">
        <f t="shared" si="16"/>
        <v/>
      </c>
      <c r="X62" s="2"/>
      <c r="Y62" s="10"/>
      <c r="Z62" s="11" t="str">
        <f>IF(X62&lt;&gt;"执行卖出","",IFERROR(LOOKUP(2,1/(单次交易!$A$2:$A$88=B62),单次交易!$AP$2:$AP$88),""))</f>
        <v/>
      </c>
      <c r="AA62" s="10"/>
      <c r="AB62" s="8" t="str">
        <f t="shared" si="17"/>
        <v/>
      </c>
      <c r="AC62" s="8" t="str">
        <f>IF(A62="","",IF(A62="止损计划",IF(OR(B62="",D62="",E62="",F62="",G62=""),"计划不完整",IF(OR(D62&lt;1,D62&lt;&gt;INT(D62)),"阶段序号无效",IF(COUNTIFS($A$2:$A$157,"止损计划",$B$2:$B$157,B62,$D$2:$D$157,D62)&gt;1,"阶段序号重复",IF(E62&lt;=IFERROR(LOOKUP(2,1/(单次交易!$A$2:$A$88=B62),单次交易!$E$2:$E$88),0),"激活价须高于买入价",IF(F62&lt;N62,"止损价不得低于初始止损",IF(F62&gt;E62,"止损价不得高于激活价",IF(AND(COUNTIFS($A$2:$A$157,"止损计划",$B$2:$B$157,B62,$D$2:$D$157,"&lt;"&amp;D62)&gt;0,OR(E62&lt;=SUMPRODUCT(MAX((($A$2:$A$157="止损计划")*($B$2:$B$157=B62)*($D$2:$D$157&lt;D62))*$E$2:$E$157)),F62&lt;SUMPRODUCT(MAX((($A$2:$A$157="止损计划")*($B$2:$B$157=B62)*($D$2:$D$157&lt;D62))*$F$2:$F$157)))),"阶段价格必须逐级提高","计划有效"))))))),IF(A62="每日跟踪",IF(OR(B62="",H62="",I62="",J62=""),"每日数据不完整",IF(COUNTIFS($A$2:$A$157,"每日跟踪",$B$2:$B$157,B62,$H$2:$H$157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IF(B63="","",IFERROR(LOOKUP(2,1/(单次交易!$A$2:$A$88=B63),单次交易!$B$2:$B$88),""))</f>
        <v/>
      </c>
      <c r="D63" s="12"/>
      <c r="E63" s="10"/>
      <c r="F63" s="10"/>
      <c r="G63" s="2"/>
      <c r="H63" s="15"/>
      <c r="I63" s="10"/>
      <c r="J63" s="12"/>
      <c r="K63" s="2"/>
      <c r="L63" s="2"/>
      <c r="M63" s="2"/>
      <c r="N63" s="5" t="str">
        <f>IF(B63="","",IFERROR(LOOKUP(2,1/(单次交易!$A$2:$A$88=B63),单次交易!$N$2:$N$88),""))</f>
        <v/>
      </c>
      <c r="O63" s="5" t="str">
        <f t="shared" si="9"/>
        <v/>
      </c>
      <c r="P63" s="11" t="str">
        <f t="shared" si="10"/>
        <v/>
      </c>
      <c r="Q63" s="5" t="str">
        <f t="shared" si="11"/>
        <v/>
      </c>
      <c r="R63" s="10"/>
      <c r="S63" s="5" t="str">
        <f t="shared" si="12"/>
        <v/>
      </c>
      <c r="T63" s="5" t="str">
        <f t="shared" si="13"/>
        <v/>
      </c>
      <c r="U63" s="5" t="str">
        <f t="shared" si="14"/>
        <v/>
      </c>
      <c r="V63" s="7" t="str">
        <f t="shared" si="15"/>
        <v/>
      </c>
      <c r="W63" s="8" t="str">
        <f t="shared" si="16"/>
        <v/>
      </c>
      <c r="X63" s="2"/>
      <c r="Y63" s="10"/>
      <c r="Z63" s="11" t="str">
        <f>IF(X63&lt;&gt;"执行卖出","",IFERROR(LOOKUP(2,1/(单次交易!$A$2:$A$88=B63),单次交易!$AP$2:$AP$88),""))</f>
        <v/>
      </c>
      <c r="AA63" s="10"/>
      <c r="AB63" s="8" t="str">
        <f t="shared" si="17"/>
        <v/>
      </c>
      <c r="AC63" s="8" t="str">
        <f>IF(A63="","",IF(A63="止损计划",IF(OR(B63="",D63="",E63="",F63="",G63=""),"计划不完整",IF(OR(D63&lt;1,D63&lt;&gt;INT(D63)),"阶段序号无效",IF(COUNTIFS($A$2:$A$157,"止损计划",$B$2:$B$157,B63,$D$2:$D$157,D63)&gt;1,"阶段序号重复",IF(E63&lt;=IFERROR(LOOKUP(2,1/(单次交易!$A$2:$A$88=B63),单次交易!$E$2:$E$88),0),"激活价须高于买入价",IF(F63&lt;N63,"止损价不得低于初始止损",IF(F63&gt;E63,"止损价不得高于激活价",IF(AND(COUNTIFS($A$2:$A$157,"止损计划",$B$2:$B$157,B63,$D$2:$D$157,"&lt;"&amp;D63)&gt;0,OR(E63&lt;=SUMPRODUCT(MAX((($A$2:$A$157="止损计划")*($B$2:$B$157=B63)*($D$2:$D$157&lt;D63))*$E$2:$E$157)),F63&lt;SUMPRODUCT(MAX((($A$2:$A$157="止损计划")*($B$2:$B$157=B63)*($D$2:$D$157&lt;D63))*$F$2:$F$157)))),"阶段价格必须逐级提高","计划有效"))))))),IF(A63="每日跟踪",IF(OR(B63="",H63="",I63="",J63=""),"每日数据不完整",IF(COUNTIFS($A$2:$A$157,"每日跟踪",$B$2:$B$157,B63,$H$2:$H$157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IF(B64="","",IFERROR(LOOKUP(2,1/(单次交易!$A$2:$A$88=B64),单次交易!$B$2:$B$88),""))</f>
        <v/>
      </c>
      <c r="D64" s="12"/>
      <c r="E64" s="10"/>
      <c r="F64" s="10"/>
      <c r="G64" s="2"/>
      <c r="H64" s="15"/>
      <c r="I64" s="10"/>
      <c r="J64" s="12"/>
      <c r="K64" s="2"/>
      <c r="L64" s="2"/>
      <c r="M64" s="2"/>
      <c r="N64" s="5" t="str">
        <f>IF(B64="","",IFERROR(LOOKUP(2,1/(单次交易!$A$2:$A$88=B64),单次交易!$N$2:$N$88),""))</f>
        <v/>
      </c>
      <c r="O64" s="5" t="str">
        <f t="shared" si="9"/>
        <v/>
      </c>
      <c r="P64" s="11" t="str">
        <f t="shared" si="10"/>
        <v/>
      </c>
      <c r="Q64" s="5" t="str">
        <f t="shared" si="11"/>
        <v/>
      </c>
      <c r="R64" s="10"/>
      <c r="S64" s="5" t="str">
        <f t="shared" si="12"/>
        <v/>
      </c>
      <c r="T64" s="5" t="str">
        <f t="shared" si="13"/>
        <v/>
      </c>
      <c r="U64" s="5" t="str">
        <f t="shared" si="14"/>
        <v/>
      </c>
      <c r="V64" s="7" t="str">
        <f t="shared" si="15"/>
        <v/>
      </c>
      <c r="W64" s="8" t="str">
        <f t="shared" si="16"/>
        <v/>
      </c>
      <c r="X64" s="2"/>
      <c r="Y64" s="10"/>
      <c r="Z64" s="11" t="str">
        <f>IF(X64&lt;&gt;"执行卖出","",IFERROR(LOOKUP(2,1/(单次交易!$A$2:$A$88=B64),单次交易!$AP$2:$AP$88),""))</f>
        <v/>
      </c>
      <c r="AA64" s="10"/>
      <c r="AB64" s="8" t="str">
        <f t="shared" si="17"/>
        <v/>
      </c>
      <c r="AC64" s="8" t="str">
        <f>IF(A64="","",IF(A64="止损计划",IF(OR(B64="",D64="",E64="",F64="",G64=""),"计划不完整",IF(OR(D64&lt;1,D64&lt;&gt;INT(D64)),"阶段序号无效",IF(COUNTIFS($A$2:$A$157,"止损计划",$B$2:$B$157,B64,$D$2:$D$157,D64)&gt;1,"阶段序号重复",IF(E64&lt;=IFERROR(LOOKUP(2,1/(单次交易!$A$2:$A$88=B64),单次交易!$E$2:$E$88),0),"激活价须高于买入价",IF(F64&lt;N64,"止损价不得低于初始止损",IF(F64&gt;E64,"止损价不得高于激活价",IF(AND(COUNTIFS($A$2:$A$157,"止损计划",$B$2:$B$157,B64,$D$2:$D$157,"&lt;"&amp;D64)&gt;0,OR(E64&lt;=SUMPRODUCT(MAX((($A$2:$A$157="止损计划")*($B$2:$B$157=B64)*($D$2:$D$157&lt;D64))*$E$2:$E$157)),F64&lt;SUMPRODUCT(MAX((($A$2:$A$157="止损计划")*($B$2:$B$157=B64)*($D$2:$D$157&lt;D64))*$F$2:$F$157)))),"阶段价格必须逐级提高","计划有效"))))))),IF(A64="每日跟踪",IF(OR(B64="",H64="",I64="",J64=""),"每日数据不完整",IF(COUNTIFS($A$2:$A$157,"每日跟踪",$B$2:$B$157,B64,$H$2:$H$157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IF(B65="","",IFERROR(LOOKUP(2,1/(单次交易!$A$2:$A$88=B65),单次交易!$B$2:$B$88),""))</f>
        <v/>
      </c>
      <c r="D65" s="12"/>
      <c r="E65" s="10"/>
      <c r="F65" s="10"/>
      <c r="G65" s="2"/>
      <c r="H65" s="15"/>
      <c r="I65" s="10"/>
      <c r="J65" s="12"/>
      <c r="K65" s="2"/>
      <c r="L65" s="2"/>
      <c r="M65" s="2"/>
      <c r="N65" s="5" t="str">
        <f>IF(B65="","",IFERROR(LOOKUP(2,1/(单次交易!$A$2:$A$88=B65),单次交易!$N$2:$N$88),""))</f>
        <v/>
      </c>
      <c r="O65" s="5" t="str">
        <f t="shared" si="9"/>
        <v/>
      </c>
      <c r="P65" s="11" t="str">
        <f t="shared" si="10"/>
        <v/>
      </c>
      <c r="Q65" s="5" t="str">
        <f t="shared" si="11"/>
        <v/>
      </c>
      <c r="R65" s="10"/>
      <c r="S65" s="5" t="str">
        <f t="shared" si="12"/>
        <v/>
      </c>
      <c r="T65" s="5" t="str">
        <f t="shared" si="13"/>
        <v/>
      </c>
      <c r="U65" s="5" t="str">
        <f t="shared" si="14"/>
        <v/>
      </c>
      <c r="V65" s="7" t="str">
        <f t="shared" si="15"/>
        <v/>
      </c>
      <c r="W65" s="8" t="str">
        <f t="shared" si="16"/>
        <v/>
      </c>
      <c r="X65" s="2"/>
      <c r="Y65" s="10"/>
      <c r="Z65" s="11" t="str">
        <f>IF(X65&lt;&gt;"执行卖出","",IFERROR(LOOKUP(2,1/(单次交易!$A$2:$A$88=B65),单次交易!$AP$2:$AP$88),""))</f>
        <v/>
      </c>
      <c r="AA65" s="10"/>
      <c r="AB65" s="8" t="str">
        <f t="shared" si="17"/>
        <v/>
      </c>
      <c r="AC65" s="8" t="str">
        <f>IF(A65="","",IF(A65="止损计划",IF(OR(B65="",D65="",E65="",F65="",G65=""),"计划不完整",IF(OR(D65&lt;1,D65&lt;&gt;INT(D65)),"阶段序号无效",IF(COUNTIFS($A$2:$A$157,"止损计划",$B$2:$B$157,B65,$D$2:$D$157,D65)&gt;1,"阶段序号重复",IF(E65&lt;=IFERROR(LOOKUP(2,1/(单次交易!$A$2:$A$88=B65),单次交易!$E$2:$E$88),0),"激活价须高于买入价",IF(F65&lt;N65,"止损价不得低于初始止损",IF(F65&gt;E65,"止损价不得高于激活价",IF(AND(COUNTIFS($A$2:$A$157,"止损计划",$B$2:$B$157,B65,$D$2:$D$157,"&lt;"&amp;D65)&gt;0,OR(E65&lt;=SUMPRODUCT(MAX((($A$2:$A$157="止损计划")*($B$2:$B$157=B65)*($D$2:$D$157&lt;D65))*$E$2:$E$157)),F65&lt;SUMPRODUCT(MAX((($A$2:$A$157="止损计划")*($B$2:$B$157=B65)*($D$2:$D$157&lt;D65))*$F$2:$F$157)))),"阶段价格必须逐级提高","计划有效"))))))),IF(A65="每日跟踪",IF(OR(B65="",H65="",I65="",J65=""),"每日数据不完整",IF(COUNTIFS($A$2:$A$157,"每日跟踪",$B$2:$B$157,B65,$H$2:$H$157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IF(B66="","",IFERROR(LOOKUP(2,1/(单次交易!$A$2:$A$88=B66),单次交易!$B$2:$B$88),""))</f>
        <v/>
      </c>
      <c r="D66" s="12"/>
      <c r="E66" s="10"/>
      <c r="F66" s="10"/>
      <c r="G66" s="2"/>
      <c r="H66" s="15"/>
      <c r="I66" s="10"/>
      <c r="J66" s="12"/>
      <c r="K66" s="2"/>
      <c r="L66" s="2"/>
      <c r="M66" s="2"/>
      <c r="N66" s="5" t="str">
        <f>IF(B66="","",IFERROR(LOOKUP(2,1/(单次交易!$A$2:$A$88=B66),单次交易!$N$2:$N$88),""))</f>
        <v/>
      </c>
      <c r="O66" s="5" t="str">
        <f t="shared" ref="O66:O97" si="18">IF(A66&lt;&gt;"每日跟踪","",IF(OR(B66="",H66="",I66=""),"",IFERROR(SUMPRODUCT(MAX((($A$2:$A$157="每日跟踪")*($B$2:$B$157=B66)*($H$2:$H$157&lt;=H66))*$I$2:$I$157)),"")))</f>
        <v/>
      </c>
      <c r="P66" s="11" t="str">
        <f t="shared" ref="P66:P97" si="19">IF(A66&lt;&gt;"每日跟踪","",IF(O66="","",IFERROR(SUMPRODUCT(MAX((($A$2:$A$157="止损计划")*($B$2:$B$157=B66)*($E$2:$E$157&lt;=O66))*$D$2:$D$157)),0)))</f>
        <v/>
      </c>
      <c r="Q66" s="5" t="str">
        <f t="shared" ref="Q66:Q97" si="20">IF(A66&lt;&gt;"每日跟踪","",IF(N66="","",MAX(N66,IFERROR(SUMPRODUCT(MAX((($A$2:$A$157="止损计划")*($B$2:$B$157=B66)*($E$2:$E$157&lt;=O66))*$F$2:$F$157)),0))))</f>
        <v/>
      </c>
      <c r="R66" s="10"/>
      <c r="S66" s="5" t="str">
        <f t="shared" ref="S66:S97" si="21">IF(A66&lt;&gt;"每日跟踪","",IF(Q66="","",MAX(Q66,IFERROR(SUMPRODUCT(MAX((($A$2:$A$157="每日跟踪")*($B$2:$B$157=B66)*($H$2:$H$157&lt;=H66))*$R$2:$R$157)),0))))</f>
        <v/>
      </c>
      <c r="T66" s="5" t="str">
        <f t="shared" ref="T66:T97" si="22">IF(A66&lt;&gt;"每日跟踪","",IF(O66="","",IF(COUNTIFS($A$2:$A$157,"止损计划",$B$2:$B$157,B66,$E$2:$E$157,"&gt;"&amp;O66)=0,"",INDEX($E$2:$E$157,MATCH(1,INDEX(($A$2:$A$157="止损计划")*($B$2:$B$157=B66)*($E$2:$E$157&gt;O66),0),0)))))</f>
        <v/>
      </c>
      <c r="U66" s="5" t="str">
        <f t="shared" ref="U66:U97" si="23">IF(OR(A66&lt;&gt;"每日跟踪",T66=""),"",IFERROR(SUMIFS($F$2:$F$157,$A$2:$A$157,"止损计划",$B$2:$B$157,B66,$E$2:$E$157,T66),""))</f>
        <v/>
      </c>
      <c r="V66" s="7" t="str">
        <f t="shared" si="15"/>
        <v/>
      </c>
      <c r="W66" s="8" t="str">
        <f t="shared" si="16"/>
        <v/>
      </c>
      <c r="X66" s="2"/>
      <c r="Y66" s="10"/>
      <c r="Z66" s="11" t="str">
        <f>IF(X66&lt;&gt;"执行卖出","",IFERROR(LOOKUP(2,1/(单次交易!$A$2:$A$88=B66),单次交易!$AP$2:$AP$88),""))</f>
        <v/>
      </c>
      <c r="AA66" s="10"/>
      <c r="AB66" s="8" t="str">
        <f t="shared" si="17"/>
        <v/>
      </c>
      <c r="AC66" s="8" t="str">
        <f>IF(A66="","",IF(A66="止损计划",IF(OR(B66="",D66="",E66="",F66="",G66=""),"计划不完整",IF(OR(D66&lt;1,D66&lt;&gt;INT(D66)),"阶段序号无效",IF(COUNTIFS($A$2:$A$157,"止损计划",$B$2:$B$157,B66,$D$2:$D$157,D66)&gt;1,"阶段序号重复",IF(E66&lt;=IFERROR(LOOKUP(2,1/(单次交易!$A$2:$A$88=B66),单次交易!$E$2:$E$88),0),"激活价须高于买入价",IF(F66&lt;N66,"止损价不得低于初始止损",IF(F66&gt;E66,"止损价不得高于激活价",IF(AND(COUNTIFS($A$2:$A$157,"止损计划",$B$2:$B$157,B66,$D$2:$D$157,"&lt;"&amp;D66)&gt;0,OR(E66&lt;=SUMPRODUCT(MAX((($A$2:$A$157="止损计划")*($B$2:$B$157=B66)*($D$2:$D$157&lt;D66))*$E$2:$E$157)),F66&lt;SUMPRODUCT(MAX((($A$2:$A$157="止损计划")*($B$2:$B$157=B66)*($D$2:$D$157&lt;D66))*$F$2:$F$157)))),"阶段价格必须逐级提高","计划有效"))))))),IF(A66="每日跟踪",IF(OR(B66="",H66="",I66="",J66=""),"每日数据不完整",IF(COUNTIFS($A$2:$A$157,"每日跟踪",$B$2:$B$157,B66,$H$2:$H$157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IF(B67="","",IFERROR(LOOKUP(2,1/(单次交易!$A$2:$A$88=B67),单次交易!$B$2:$B$88),""))</f>
        <v/>
      </c>
      <c r="D67" s="12"/>
      <c r="E67" s="10"/>
      <c r="F67" s="10"/>
      <c r="G67" s="2"/>
      <c r="H67" s="15"/>
      <c r="I67" s="10"/>
      <c r="J67" s="12"/>
      <c r="K67" s="2"/>
      <c r="L67" s="2"/>
      <c r="M67" s="2"/>
      <c r="N67" s="5" t="str">
        <f>IF(B67="","",IFERROR(LOOKUP(2,1/(单次交易!$A$2:$A$88=B67),单次交易!$N$2:$N$88),""))</f>
        <v/>
      </c>
      <c r="O67" s="5" t="str">
        <f t="shared" si="18"/>
        <v/>
      </c>
      <c r="P67" s="11" t="str">
        <f t="shared" si="19"/>
        <v/>
      </c>
      <c r="Q67" s="5" t="str">
        <f t="shared" si="20"/>
        <v/>
      </c>
      <c r="R67" s="10"/>
      <c r="S67" s="5" t="str">
        <f t="shared" si="21"/>
        <v/>
      </c>
      <c r="T67" s="5" t="str">
        <f t="shared" si="22"/>
        <v/>
      </c>
      <c r="U67" s="5" t="str">
        <f t="shared" si="23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IF(X67&lt;&gt;"执行卖出","",IFERROR(LOOKUP(2,1/(单次交易!$A$2:$A$88=B67),单次交易!$AP$2:$AP$88),""))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$157,"止损计划",$B$2:$B$157,B67,$D$2:$D$157,D67)&gt;1,"阶段序号重复",IF(E67&lt;=IFERROR(LOOKUP(2,1/(单次交易!$A$2:$A$88=B67),单次交易!$E$2:$E$88),0),"激活价须高于买入价",IF(F67&lt;N67,"止损价不得低于初始止损",IF(F67&gt;E67,"止损价不得高于激活价",IF(AND(COUNTIFS($A$2:$A$157,"止损计划",$B$2:$B$157,B67,$D$2:$D$157,"&lt;"&amp;D67)&gt;0,OR(E67&lt;=SUMPRODUCT(MAX((($A$2:$A$157="止损计划")*($B$2:$B$157=B67)*($D$2:$D$157&lt;D67))*$E$2:$E$157)),F67&lt;SUMPRODUCT(MAX((($A$2:$A$157="止损计划")*($B$2:$B$157=B67)*($D$2:$D$157&lt;D67))*$F$2:$F$157)))),"阶段价格必须逐级提高","计划有效"))))))),IF(A67="每日跟踪",IF(OR(B67="",H67="",I67="",J67=""),"每日数据不完整",IF(COUNTIFS($A$2:$A$157,"每日跟踪",$B$2:$B$157,B67,$H$2:$H$157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IF(B68="","",IFERROR(LOOKUP(2,1/(单次交易!$A$2:$A$88=B68),单次交易!$B$2:$B$88),""))</f>
        <v/>
      </c>
      <c r="D68" s="12"/>
      <c r="E68" s="10"/>
      <c r="F68" s="10"/>
      <c r="G68" s="2"/>
      <c r="H68" s="15"/>
      <c r="I68" s="10"/>
      <c r="J68" s="12"/>
      <c r="K68" s="2"/>
      <c r="L68" s="2"/>
      <c r="M68" s="2"/>
      <c r="N68" s="5" t="str">
        <f>IF(B68="","",IFERROR(LOOKUP(2,1/(单次交易!$A$2:$A$88=B68),单次交易!$N$2:$N$88),""))</f>
        <v/>
      </c>
      <c r="O68" s="5" t="str">
        <f t="shared" si="18"/>
        <v/>
      </c>
      <c r="P68" s="11" t="str">
        <f t="shared" si="19"/>
        <v/>
      </c>
      <c r="Q68" s="5" t="str">
        <f t="shared" si="20"/>
        <v/>
      </c>
      <c r="R68" s="10"/>
      <c r="S68" s="5" t="str">
        <f t="shared" si="21"/>
        <v/>
      </c>
      <c r="T68" s="5" t="str">
        <f t="shared" si="22"/>
        <v/>
      </c>
      <c r="U68" s="5" t="str">
        <f t="shared" si="23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IF(X68&lt;&gt;"执行卖出","",IFERROR(LOOKUP(2,1/(单次交易!$A$2:$A$88=B68),单次交易!$AP$2:$AP$88),""))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$157,"止损计划",$B$2:$B$157,B68,$D$2:$D$157,D68)&gt;1,"阶段序号重复",IF(E68&lt;=IFERROR(LOOKUP(2,1/(单次交易!$A$2:$A$88=B68),单次交易!$E$2:$E$88),0),"激活价须高于买入价",IF(F68&lt;N68,"止损价不得低于初始止损",IF(F68&gt;E68,"止损价不得高于激活价",IF(AND(COUNTIFS($A$2:$A$157,"止损计划",$B$2:$B$157,B68,$D$2:$D$157,"&lt;"&amp;D68)&gt;0,OR(E68&lt;=SUMPRODUCT(MAX((($A$2:$A$157="止损计划")*($B$2:$B$157=B68)*($D$2:$D$157&lt;D68))*$E$2:$E$157)),F68&lt;SUMPRODUCT(MAX((($A$2:$A$157="止损计划")*($B$2:$B$157=B68)*($D$2:$D$157&lt;D68))*$F$2:$F$157)))),"阶段价格必须逐级提高","计划有效"))))))),IF(A68="每日跟踪",IF(OR(B68="",H68="",I68="",J68=""),"每日数据不完整",IF(COUNTIFS($A$2:$A$157,"每日跟踪",$B$2:$B$157,B68,$H$2:$H$157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IF(B69="","",IFERROR(LOOKUP(2,1/(单次交易!$A$2:$A$88=B69),单次交易!$B$2:$B$88),""))</f>
        <v/>
      </c>
      <c r="D69" s="12"/>
      <c r="E69" s="10"/>
      <c r="F69" s="10"/>
      <c r="G69" s="2"/>
      <c r="H69" s="15"/>
      <c r="I69" s="10"/>
      <c r="J69" s="12"/>
      <c r="K69" s="2"/>
      <c r="L69" s="2"/>
      <c r="M69" s="2"/>
      <c r="N69" s="5" t="str">
        <f>IF(B69="","",IFERROR(LOOKUP(2,1/(单次交易!$A$2:$A$88=B69),单次交易!$N$2:$N$88),""))</f>
        <v/>
      </c>
      <c r="O69" s="5" t="str">
        <f t="shared" si="18"/>
        <v/>
      </c>
      <c r="P69" s="11" t="str">
        <f t="shared" si="19"/>
        <v/>
      </c>
      <c r="Q69" s="5" t="str">
        <f t="shared" si="20"/>
        <v/>
      </c>
      <c r="R69" s="10"/>
      <c r="S69" s="5" t="str">
        <f t="shared" si="21"/>
        <v/>
      </c>
      <c r="T69" s="5" t="str">
        <f t="shared" si="22"/>
        <v/>
      </c>
      <c r="U69" s="5" t="str">
        <f t="shared" si="23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IF(X69&lt;&gt;"执行卖出","",IFERROR(LOOKUP(2,1/(单次交易!$A$2:$A$88=B69),单次交易!$AP$2:$AP$88),""))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$157,"止损计划",$B$2:$B$157,B69,$D$2:$D$157,D69)&gt;1,"阶段序号重复",IF(E69&lt;=IFERROR(LOOKUP(2,1/(单次交易!$A$2:$A$88=B69),单次交易!$E$2:$E$88),0),"激活价须高于买入价",IF(F69&lt;N69,"止损价不得低于初始止损",IF(F69&gt;E69,"止损价不得高于激活价",IF(AND(COUNTIFS($A$2:$A$157,"止损计划",$B$2:$B$157,B69,$D$2:$D$157,"&lt;"&amp;D69)&gt;0,OR(E69&lt;=SUMPRODUCT(MAX((($A$2:$A$157="止损计划")*($B$2:$B$157=B69)*($D$2:$D$157&lt;D69))*$E$2:$E$157)),F69&lt;SUMPRODUCT(MAX((($A$2:$A$157="止损计划")*($B$2:$B$157=B69)*($D$2:$D$157&lt;D69))*$F$2:$F$157)))),"阶段价格必须逐级提高","计划有效"))))))),IF(A69="每日跟踪",IF(OR(B69="",H69="",I69="",J69=""),"每日数据不完整",IF(COUNTIFS($A$2:$A$157,"每日跟踪",$B$2:$B$157,B69,$H$2:$H$157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IF(B70="","",IFERROR(LOOKUP(2,1/(单次交易!$A$2:$A$88=B70),单次交易!$B$2:$B$88),""))</f>
        <v/>
      </c>
      <c r="D70" s="12"/>
      <c r="E70" s="10"/>
      <c r="F70" s="10"/>
      <c r="G70" s="2"/>
      <c r="H70" s="15"/>
      <c r="I70" s="10"/>
      <c r="J70" s="12"/>
      <c r="K70" s="2"/>
      <c r="L70" s="2"/>
      <c r="M70" s="2"/>
      <c r="N70" s="5" t="str">
        <f>IF(B70="","",IFERROR(LOOKUP(2,1/(单次交易!$A$2:$A$88=B70),单次交易!$N$2:$N$88),""))</f>
        <v/>
      </c>
      <c r="O70" s="5" t="str">
        <f t="shared" si="18"/>
        <v/>
      </c>
      <c r="P70" s="11" t="str">
        <f t="shared" si="19"/>
        <v/>
      </c>
      <c r="Q70" s="5" t="str">
        <f t="shared" si="20"/>
        <v/>
      </c>
      <c r="R70" s="10"/>
      <c r="S70" s="5" t="str">
        <f t="shared" si="21"/>
        <v/>
      </c>
      <c r="T70" s="5" t="str">
        <f t="shared" si="22"/>
        <v/>
      </c>
      <c r="U70" s="5" t="str">
        <f t="shared" si="23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IF(X70&lt;&gt;"执行卖出","",IFERROR(LOOKUP(2,1/(单次交易!$A$2:$A$88=B70),单次交易!$AP$2:$AP$88),""))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$157,"止损计划",$B$2:$B$157,B70,$D$2:$D$157,D70)&gt;1,"阶段序号重复",IF(E70&lt;=IFERROR(LOOKUP(2,1/(单次交易!$A$2:$A$88=B70),单次交易!$E$2:$E$88),0),"激活价须高于买入价",IF(F70&lt;N70,"止损价不得低于初始止损",IF(F70&gt;E70,"止损价不得高于激活价",IF(AND(COUNTIFS($A$2:$A$157,"止损计划",$B$2:$B$157,B70,$D$2:$D$157,"&lt;"&amp;D70)&gt;0,OR(E70&lt;=SUMPRODUCT(MAX((($A$2:$A$157="止损计划")*($B$2:$B$157=B70)*($D$2:$D$157&lt;D70))*$E$2:$E$157)),F70&lt;SUMPRODUCT(MAX((($A$2:$A$157="止损计划")*($B$2:$B$157=B70)*($D$2:$D$157&lt;D70))*$F$2:$F$157)))),"阶段价格必须逐级提高","计划有效"))))))),IF(A70="每日跟踪",IF(OR(B70="",H70="",I70="",J70=""),"每日数据不完整",IF(COUNTIFS($A$2:$A$157,"每日跟踪",$B$2:$B$157,B70,$H$2:$H$157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IF(B71="","",IFERROR(LOOKUP(2,1/(单次交易!$A$2:$A$88=B71),单次交易!$B$2:$B$88),""))</f>
        <v/>
      </c>
      <c r="D71" s="12"/>
      <c r="E71" s="10"/>
      <c r="F71" s="10"/>
      <c r="G71" s="2"/>
      <c r="H71" s="15"/>
      <c r="I71" s="10"/>
      <c r="J71" s="12"/>
      <c r="K71" s="2"/>
      <c r="L71" s="2"/>
      <c r="M71" s="2"/>
      <c r="N71" s="5" t="str">
        <f>IF(B71="","",IFERROR(LOOKUP(2,1/(单次交易!$A$2:$A$88=B71),单次交易!$N$2:$N$88),""))</f>
        <v/>
      </c>
      <c r="O71" s="5" t="str">
        <f t="shared" si="18"/>
        <v/>
      </c>
      <c r="P71" s="11" t="str">
        <f t="shared" si="19"/>
        <v/>
      </c>
      <c r="Q71" s="5" t="str">
        <f t="shared" si="20"/>
        <v/>
      </c>
      <c r="R71" s="10"/>
      <c r="S71" s="5" t="str">
        <f t="shared" si="21"/>
        <v/>
      </c>
      <c r="T71" s="5" t="str">
        <f t="shared" si="22"/>
        <v/>
      </c>
      <c r="U71" s="5" t="str">
        <f t="shared" si="23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IF(X71&lt;&gt;"执行卖出","",IFERROR(LOOKUP(2,1/(单次交易!$A$2:$A$88=B71),单次交易!$AP$2:$AP$88),""))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$157,"止损计划",$B$2:$B$157,B71,$D$2:$D$157,D71)&gt;1,"阶段序号重复",IF(E71&lt;=IFERROR(LOOKUP(2,1/(单次交易!$A$2:$A$88=B71),单次交易!$E$2:$E$88),0),"激活价须高于买入价",IF(F71&lt;N71,"止损价不得低于初始止损",IF(F71&gt;E71,"止损价不得高于激活价",IF(AND(COUNTIFS($A$2:$A$157,"止损计划",$B$2:$B$157,B71,$D$2:$D$157,"&lt;"&amp;D71)&gt;0,OR(E71&lt;=SUMPRODUCT(MAX((($A$2:$A$157="止损计划")*($B$2:$B$157=B71)*($D$2:$D$157&lt;D71))*$E$2:$E$157)),F71&lt;SUMPRODUCT(MAX((($A$2:$A$157="止损计划")*($B$2:$B$157=B71)*($D$2:$D$157&lt;D71))*$F$2:$F$157)))),"阶段价格必须逐级提高","计划有效"))))))),IF(A71="每日跟踪",IF(OR(B71="",H71="",I71="",J71=""),"每日数据不完整",IF(COUNTIFS($A$2:$A$157,"每日跟踪",$B$2:$B$157,B71,$H$2:$H$157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IF(B72="","",IFERROR(LOOKUP(2,1/(单次交易!$A$2:$A$88=B72),单次交易!$B$2:$B$88),""))</f>
        <v/>
      </c>
      <c r="D72" s="12"/>
      <c r="E72" s="10"/>
      <c r="F72" s="10"/>
      <c r="G72" s="2"/>
      <c r="H72" s="15"/>
      <c r="I72" s="10"/>
      <c r="J72" s="12"/>
      <c r="K72" s="2"/>
      <c r="L72" s="2"/>
      <c r="M72" s="2"/>
      <c r="N72" s="5" t="str">
        <f>IF(B72="","",IFERROR(LOOKUP(2,1/(单次交易!$A$2:$A$88=B72),单次交易!$N$2:$N$88),""))</f>
        <v/>
      </c>
      <c r="O72" s="5" t="str">
        <f t="shared" si="18"/>
        <v/>
      </c>
      <c r="P72" s="11" t="str">
        <f t="shared" si="19"/>
        <v/>
      </c>
      <c r="Q72" s="5" t="str">
        <f t="shared" si="20"/>
        <v/>
      </c>
      <c r="R72" s="10"/>
      <c r="S72" s="5" t="str">
        <f t="shared" si="21"/>
        <v/>
      </c>
      <c r="T72" s="5" t="str">
        <f t="shared" si="22"/>
        <v/>
      </c>
      <c r="U72" s="5" t="str">
        <f t="shared" si="23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IF(X72&lt;&gt;"执行卖出","",IFERROR(LOOKUP(2,1/(单次交易!$A$2:$A$88=B72),单次交易!$AP$2:$AP$88),""))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$157,"止损计划",$B$2:$B$157,B72,$D$2:$D$157,D72)&gt;1,"阶段序号重复",IF(E72&lt;=IFERROR(LOOKUP(2,1/(单次交易!$A$2:$A$88=B72),单次交易!$E$2:$E$88),0),"激活价须高于买入价",IF(F72&lt;N72,"止损价不得低于初始止损",IF(F72&gt;E72,"止损价不得高于激活价",IF(AND(COUNTIFS($A$2:$A$157,"止损计划",$B$2:$B$157,B72,$D$2:$D$157,"&lt;"&amp;D72)&gt;0,OR(E72&lt;=SUMPRODUCT(MAX((($A$2:$A$157="止损计划")*($B$2:$B$157=B72)*($D$2:$D$157&lt;D72))*$E$2:$E$157)),F72&lt;SUMPRODUCT(MAX((($A$2:$A$157="止损计划")*($B$2:$B$157=B72)*($D$2:$D$157&lt;D72))*$F$2:$F$157)))),"阶段价格必须逐级提高","计划有效"))))))),IF(A72="每日跟踪",IF(OR(B72="",H72="",I72="",J72=""),"每日数据不完整",IF(COUNTIFS($A$2:$A$157,"每日跟踪",$B$2:$B$157,B72,$H$2:$H$157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IF(B73="","",IFERROR(LOOKUP(2,1/(单次交易!$A$2:$A$88=B73),单次交易!$B$2:$B$88),""))</f>
        <v/>
      </c>
      <c r="D73" s="12"/>
      <c r="E73" s="10"/>
      <c r="F73" s="10"/>
      <c r="G73" s="2"/>
      <c r="H73" s="15"/>
      <c r="I73" s="10"/>
      <c r="J73" s="12"/>
      <c r="K73" s="2"/>
      <c r="L73" s="2"/>
      <c r="M73" s="2"/>
      <c r="N73" s="5" t="str">
        <f>IF(B73="","",IFERROR(LOOKUP(2,1/(单次交易!$A$2:$A$88=B73),单次交易!$N$2:$N$88),""))</f>
        <v/>
      </c>
      <c r="O73" s="5" t="str">
        <f t="shared" si="18"/>
        <v/>
      </c>
      <c r="P73" s="11" t="str">
        <f t="shared" si="19"/>
        <v/>
      </c>
      <c r="Q73" s="5" t="str">
        <f t="shared" si="20"/>
        <v/>
      </c>
      <c r="R73" s="10"/>
      <c r="S73" s="5" t="str">
        <f t="shared" si="21"/>
        <v/>
      </c>
      <c r="T73" s="5" t="str">
        <f t="shared" si="22"/>
        <v/>
      </c>
      <c r="U73" s="5" t="str">
        <f t="shared" si="23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IF(X73&lt;&gt;"执行卖出","",IFERROR(LOOKUP(2,1/(单次交易!$A$2:$A$88=B73),单次交易!$AP$2:$AP$88),""))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$157,"止损计划",$B$2:$B$157,B73,$D$2:$D$157,D73)&gt;1,"阶段序号重复",IF(E73&lt;=IFERROR(LOOKUP(2,1/(单次交易!$A$2:$A$88=B73),单次交易!$E$2:$E$88),0),"激活价须高于买入价",IF(F73&lt;N73,"止损价不得低于初始止损",IF(F73&gt;E73,"止损价不得高于激活价",IF(AND(COUNTIFS($A$2:$A$157,"止损计划",$B$2:$B$157,B73,$D$2:$D$157,"&lt;"&amp;D73)&gt;0,OR(E73&lt;=SUMPRODUCT(MAX((($A$2:$A$157="止损计划")*($B$2:$B$157=B73)*($D$2:$D$157&lt;D73))*$E$2:$E$157)),F73&lt;SUMPRODUCT(MAX((($A$2:$A$157="止损计划")*($B$2:$B$157=B73)*($D$2:$D$157&lt;D73))*$F$2:$F$157)))),"阶段价格必须逐级提高","计划有效"))))))),IF(A73="每日跟踪",IF(OR(B73="",H73="",I73="",J73=""),"每日数据不完整",IF(COUNTIFS($A$2:$A$157,"每日跟踪",$B$2:$B$157,B73,$H$2:$H$157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IF(B74="","",IFERROR(LOOKUP(2,1/(单次交易!$A$2:$A$88=B74),单次交易!$B$2:$B$88),""))</f>
        <v/>
      </c>
      <c r="D74" s="12"/>
      <c r="E74" s="10"/>
      <c r="F74" s="10"/>
      <c r="G74" s="2"/>
      <c r="H74" s="15"/>
      <c r="I74" s="10"/>
      <c r="J74" s="12"/>
      <c r="K74" s="2"/>
      <c r="L74" s="2"/>
      <c r="M74" s="2"/>
      <c r="N74" s="5" t="str">
        <f>IF(B74="","",IFERROR(LOOKUP(2,1/(单次交易!$A$2:$A$88=B74),单次交易!$N$2:$N$88),""))</f>
        <v/>
      </c>
      <c r="O74" s="5" t="str">
        <f t="shared" si="18"/>
        <v/>
      </c>
      <c r="P74" s="11" t="str">
        <f t="shared" si="19"/>
        <v/>
      </c>
      <c r="Q74" s="5" t="str">
        <f t="shared" si="20"/>
        <v/>
      </c>
      <c r="R74" s="10"/>
      <c r="S74" s="5" t="str">
        <f t="shared" si="21"/>
        <v/>
      </c>
      <c r="T74" s="5" t="str">
        <f t="shared" si="22"/>
        <v/>
      </c>
      <c r="U74" s="5" t="str">
        <f t="shared" si="23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IF(X74&lt;&gt;"执行卖出","",IFERROR(LOOKUP(2,1/(单次交易!$A$2:$A$88=B74),单次交易!$AP$2:$AP$88),""))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$157,"止损计划",$B$2:$B$157,B74,$D$2:$D$157,D74)&gt;1,"阶段序号重复",IF(E74&lt;=IFERROR(LOOKUP(2,1/(单次交易!$A$2:$A$88=B74),单次交易!$E$2:$E$88),0),"激活价须高于买入价",IF(F74&lt;N74,"止损价不得低于初始止损",IF(F74&gt;E74,"止损价不得高于激活价",IF(AND(COUNTIFS($A$2:$A$157,"止损计划",$B$2:$B$157,B74,$D$2:$D$157,"&lt;"&amp;D74)&gt;0,OR(E74&lt;=SUMPRODUCT(MAX((($A$2:$A$157="止损计划")*($B$2:$B$157=B74)*($D$2:$D$157&lt;D74))*$E$2:$E$157)),F74&lt;SUMPRODUCT(MAX((($A$2:$A$157="止损计划")*($B$2:$B$157=B74)*($D$2:$D$157&lt;D74))*$F$2:$F$157)))),"阶段价格必须逐级提高","计划有效"))))))),IF(A74="每日跟踪",IF(OR(B74="",H74="",I74="",J74=""),"每日数据不完整",IF(COUNTIFS($A$2:$A$157,"每日跟踪",$B$2:$B$157,B74,$H$2:$H$157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IF(B75="","",IFERROR(LOOKUP(2,1/(单次交易!$A$2:$A$88=B75),单次交易!$B$2:$B$88),""))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IF(B75="","",IFERROR(LOOKUP(2,1/(单次交易!$A$2:$A$88=B75),单次交易!$N$2:$N$88),""))</f>
        <v/>
      </c>
      <c r="O75" s="5" t="str">
        <f t="shared" si="18"/>
        <v/>
      </c>
      <c r="P75" s="11" t="str">
        <f t="shared" si="19"/>
        <v/>
      </c>
      <c r="Q75" s="5" t="str">
        <f t="shared" si="20"/>
        <v/>
      </c>
      <c r="R75" s="10"/>
      <c r="S75" s="5" t="str">
        <f t="shared" si="21"/>
        <v/>
      </c>
      <c r="T75" s="5" t="str">
        <f t="shared" si="22"/>
        <v/>
      </c>
      <c r="U75" s="5" t="str">
        <f t="shared" si="23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IF(X75&lt;&gt;"执行卖出","",IFERROR(LOOKUP(2,1/(单次交易!$A$2:$A$88=B75),单次交易!$AP$2:$AP$88),""))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$157,"止损计划",$B$2:$B$157,B75,$D$2:$D$157,D75)&gt;1,"阶段序号重复",IF(E75&lt;=IFERROR(LOOKUP(2,1/(单次交易!$A$2:$A$88=B75),单次交易!$E$2:$E$88),0),"激活价须高于买入价",IF(F75&lt;N75,"止损价不得低于初始止损",IF(F75&gt;E75,"止损价不得高于激活价",IF(AND(COUNTIFS($A$2:$A$157,"止损计划",$B$2:$B$157,B75,$D$2:$D$157,"&lt;"&amp;D75)&gt;0,OR(E75&lt;=SUMPRODUCT(MAX((($A$2:$A$157="止损计划")*($B$2:$B$157=B75)*($D$2:$D$157&lt;D75))*$E$2:$E$157)),F75&lt;SUMPRODUCT(MAX((($A$2:$A$157="止损计划")*($B$2:$B$157=B75)*($D$2:$D$157&lt;D75))*$F$2:$F$157)))),"阶段价格必须逐级提高","计划有效"))))))),IF(A75="每日跟踪",IF(OR(B75="",H75="",I75="",J75=""),"每日数据不完整",IF(COUNTIFS($A$2:$A$157,"每日跟踪",$B$2:$B$157,B75,$H$2:$H$157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IF(B76="","",IFERROR(LOOKUP(2,1/(单次交易!$A$2:$A$88=B76),单次交易!$B$2:$B$88),""))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IF(B76="","",IFERROR(LOOKUP(2,1/(单次交易!$A$2:$A$88=B76),单次交易!$N$2:$N$88),""))</f>
        <v/>
      </c>
      <c r="O76" s="5" t="str">
        <f t="shared" si="18"/>
        <v/>
      </c>
      <c r="P76" s="11" t="str">
        <f t="shared" si="19"/>
        <v/>
      </c>
      <c r="Q76" s="5" t="str">
        <f t="shared" si="20"/>
        <v/>
      </c>
      <c r="R76" s="10"/>
      <c r="S76" s="5" t="str">
        <f t="shared" si="21"/>
        <v/>
      </c>
      <c r="T76" s="5" t="str">
        <f t="shared" si="22"/>
        <v/>
      </c>
      <c r="U76" s="5" t="str">
        <f t="shared" si="23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IF(X76&lt;&gt;"执行卖出","",IFERROR(LOOKUP(2,1/(单次交易!$A$2:$A$88=B76),单次交易!$AP$2:$AP$88),""))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$157,"止损计划",$B$2:$B$157,B76,$D$2:$D$157,D76)&gt;1,"阶段序号重复",IF(E76&lt;=IFERROR(LOOKUP(2,1/(单次交易!$A$2:$A$88=B76),单次交易!$E$2:$E$88),0),"激活价须高于买入价",IF(F76&lt;N76,"止损价不得低于初始止损",IF(F76&gt;E76,"止损价不得高于激活价",IF(AND(COUNTIFS($A$2:$A$157,"止损计划",$B$2:$B$157,B76,$D$2:$D$157,"&lt;"&amp;D76)&gt;0,OR(E76&lt;=SUMPRODUCT(MAX((($A$2:$A$157="止损计划")*($B$2:$B$157=B76)*($D$2:$D$157&lt;D76))*$E$2:$E$157)),F76&lt;SUMPRODUCT(MAX((($A$2:$A$157="止损计划")*($B$2:$B$157=B76)*($D$2:$D$157&lt;D76))*$F$2:$F$157)))),"阶段价格必须逐级提高","计划有效"))))))),IF(A76="每日跟踪",IF(OR(B76="",H76="",I76="",J76=""),"每日数据不完整",IF(COUNTIFS($A$2:$A$157,"每日跟踪",$B$2:$B$157,B76,$H$2:$H$157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IF(B77="","",IFERROR(LOOKUP(2,1/(单次交易!$A$2:$A$88=B77),单次交易!$B$2:$B$88),""))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IF(B77="","",IFERROR(LOOKUP(2,1/(单次交易!$A$2:$A$88=B77),单次交易!$N$2:$N$88),""))</f>
        <v/>
      </c>
      <c r="O77" s="5" t="str">
        <f t="shared" si="18"/>
        <v/>
      </c>
      <c r="P77" s="11" t="str">
        <f t="shared" si="19"/>
        <v/>
      </c>
      <c r="Q77" s="5" t="str">
        <f t="shared" si="20"/>
        <v/>
      </c>
      <c r="R77" s="10"/>
      <c r="S77" s="5" t="str">
        <f t="shared" si="21"/>
        <v/>
      </c>
      <c r="T77" s="5" t="str">
        <f t="shared" si="22"/>
        <v/>
      </c>
      <c r="U77" s="5" t="str">
        <f t="shared" si="23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IF(X77&lt;&gt;"执行卖出","",IFERROR(LOOKUP(2,1/(单次交易!$A$2:$A$88=B77),单次交易!$AP$2:$AP$88),""))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$157,"止损计划",$B$2:$B$157,B77,$D$2:$D$157,D77)&gt;1,"阶段序号重复",IF(E77&lt;=IFERROR(LOOKUP(2,1/(单次交易!$A$2:$A$88=B77),单次交易!$E$2:$E$88),0),"激活价须高于买入价",IF(F77&lt;N77,"止损价不得低于初始止损",IF(F77&gt;E77,"止损价不得高于激活价",IF(AND(COUNTIFS($A$2:$A$157,"止损计划",$B$2:$B$157,B77,$D$2:$D$157,"&lt;"&amp;D77)&gt;0,OR(E77&lt;=SUMPRODUCT(MAX((($A$2:$A$157="止损计划")*($B$2:$B$157=B77)*($D$2:$D$157&lt;D77))*$E$2:$E$157)),F77&lt;SUMPRODUCT(MAX((($A$2:$A$157="止损计划")*($B$2:$B$157=B77)*($D$2:$D$157&lt;D77))*$F$2:$F$157)))),"阶段价格必须逐级提高","计划有效"))))))),IF(A77="每日跟踪",IF(OR(B77="",H77="",I77="",J77=""),"每日数据不完整",IF(COUNTIFS($A$2:$A$157,"每日跟踪",$B$2:$B$157,B77,$H$2:$H$157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IF(B78="","",IFERROR(LOOKUP(2,1/(单次交易!$A$2:$A$88=B78),单次交易!$B$2:$B$88),""))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IF(B78="","",IFERROR(LOOKUP(2,1/(单次交易!$A$2:$A$88=B78),单次交易!$N$2:$N$88),""))</f>
        <v/>
      </c>
      <c r="O78" s="5" t="str">
        <f t="shared" si="18"/>
        <v/>
      </c>
      <c r="P78" s="11" t="str">
        <f t="shared" si="19"/>
        <v/>
      </c>
      <c r="Q78" s="5" t="str">
        <f t="shared" si="20"/>
        <v/>
      </c>
      <c r="R78" s="10"/>
      <c r="S78" s="5" t="str">
        <f t="shared" si="21"/>
        <v/>
      </c>
      <c r="T78" s="5" t="str">
        <f t="shared" si="22"/>
        <v/>
      </c>
      <c r="U78" s="5" t="str">
        <f t="shared" si="23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IF(X78&lt;&gt;"执行卖出","",IFERROR(LOOKUP(2,1/(单次交易!$A$2:$A$88=B78),单次交易!$AP$2:$AP$88),""))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$157,"止损计划",$B$2:$B$157,B78,$D$2:$D$157,D78)&gt;1,"阶段序号重复",IF(E78&lt;=IFERROR(LOOKUP(2,1/(单次交易!$A$2:$A$88=B78),单次交易!$E$2:$E$88),0),"激活价须高于买入价",IF(F78&lt;N78,"止损价不得低于初始止损",IF(F78&gt;E78,"止损价不得高于激活价",IF(AND(COUNTIFS($A$2:$A$157,"止损计划",$B$2:$B$157,B78,$D$2:$D$157,"&lt;"&amp;D78)&gt;0,OR(E78&lt;=SUMPRODUCT(MAX((($A$2:$A$157="止损计划")*($B$2:$B$157=B78)*($D$2:$D$157&lt;D78))*$E$2:$E$157)),F78&lt;SUMPRODUCT(MAX((($A$2:$A$157="止损计划")*($B$2:$B$157=B78)*($D$2:$D$157&lt;D78))*$F$2:$F$157)))),"阶段价格必须逐级提高","计划有效"))))))),IF(A78="每日跟踪",IF(OR(B78="",H78="",I78="",J78=""),"每日数据不完整",IF(COUNTIFS($A$2:$A$157,"每日跟踪",$B$2:$B$157,B78,$H$2:$H$157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IF(B79="","",IFERROR(LOOKUP(2,1/(单次交易!$A$2:$A$88=B79),单次交易!$B$2:$B$88),""))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IF(B79="","",IFERROR(LOOKUP(2,1/(单次交易!$A$2:$A$88=B79),单次交易!$N$2:$N$88),""))</f>
        <v/>
      </c>
      <c r="O79" s="5" t="str">
        <f t="shared" si="18"/>
        <v/>
      </c>
      <c r="P79" s="11" t="str">
        <f t="shared" si="19"/>
        <v/>
      </c>
      <c r="Q79" s="5" t="str">
        <f t="shared" si="20"/>
        <v/>
      </c>
      <c r="R79" s="10"/>
      <c r="S79" s="5" t="str">
        <f t="shared" si="21"/>
        <v/>
      </c>
      <c r="T79" s="5" t="str">
        <f t="shared" si="22"/>
        <v/>
      </c>
      <c r="U79" s="5" t="str">
        <f t="shared" si="23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IF(X79&lt;&gt;"执行卖出","",IFERROR(LOOKUP(2,1/(单次交易!$A$2:$A$88=B79),单次交易!$AP$2:$AP$88),""))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$157,"止损计划",$B$2:$B$157,B79,$D$2:$D$157,D79)&gt;1,"阶段序号重复",IF(E79&lt;=IFERROR(LOOKUP(2,1/(单次交易!$A$2:$A$88=B79),单次交易!$E$2:$E$88),0),"激活价须高于买入价",IF(F79&lt;N79,"止损价不得低于初始止损",IF(F79&gt;E79,"止损价不得高于激活价",IF(AND(COUNTIFS($A$2:$A$157,"止损计划",$B$2:$B$157,B79,$D$2:$D$157,"&lt;"&amp;D79)&gt;0,OR(E79&lt;=SUMPRODUCT(MAX((($A$2:$A$157="止损计划")*($B$2:$B$157=B79)*($D$2:$D$157&lt;D79))*$E$2:$E$157)),F79&lt;SUMPRODUCT(MAX((($A$2:$A$157="止损计划")*($B$2:$B$157=B79)*($D$2:$D$157&lt;D79))*$F$2:$F$157)))),"阶段价格必须逐级提高","计划有效"))))))),IF(A79="每日跟踪",IF(OR(B79="",H79="",I79="",J79=""),"每日数据不完整",IF(COUNTIFS($A$2:$A$157,"每日跟踪",$B$2:$B$157,B79,$H$2:$H$157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IF(B80="","",IFERROR(LOOKUP(2,1/(单次交易!$A$2:$A$88=B80),单次交易!$B$2:$B$88),""))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IF(B80="","",IFERROR(LOOKUP(2,1/(单次交易!$A$2:$A$88=B80),单次交易!$N$2:$N$88),""))</f>
        <v/>
      </c>
      <c r="O80" s="5" t="str">
        <f t="shared" si="18"/>
        <v/>
      </c>
      <c r="P80" s="11" t="str">
        <f t="shared" si="19"/>
        <v/>
      </c>
      <c r="Q80" s="5" t="str">
        <f t="shared" si="20"/>
        <v/>
      </c>
      <c r="R80" s="10"/>
      <c r="S80" s="5" t="str">
        <f t="shared" si="21"/>
        <v/>
      </c>
      <c r="T80" s="5" t="str">
        <f t="shared" si="22"/>
        <v/>
      </c>
      <c r="U80" s="5" t="str">
        <f t="shared" si="23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IF(X80&lt;&gt;"执行卖出","",IFERROR(LOOKUP(2,1/(单次交易!$A$2:$A$88=B80),单次交易!$AP$2:$AP$88),""))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$157,"止损计划",$B$2:$B$157,B80,$D$2:$D$157,D80)&gt;1,"阶段序号重复",IF(E80&lt;=IFERROR(LOOKUP(2,1/(单次交易!$A$2:$A$88=B80),单次交易!$E$2:$E$88),0),"激活价须高于买入价",IF(F80&lt;N80,"止损价不得低于初始止损",IF(F80&gt;E80,"止损价不得高于激活价",IF(AND(COUNTIFS($A$2:$A$157,"止损计划",$B$2:$B$157,B80,$D$2:$D$157,"&lt;"&amp;D80)&gt;0,OR(E80&lt;=SUMPRODUCT(MAX((($A$2:$A$157="止损计划")*($B$2:$B$157=B80)*($D$2:$D$157&lt;D80))*$E$2:$E$157)),F80&lt;SUMPRODUCT(MAX((($A$2:$A$157="止损计划")*($B$2:$B$157=B80)*($D$2:$D$157&lt;D80))*$F$2:$F$157)))),"阶段价格必须逐级提高","计划有效"))))))),IF(A80="每日跟踪",IF(OR(B80="",H80="",I80="",J80=""),"每日数据不完整",IF(COUNTIFS($A$2:$A$157,"每日跟踪",$B$2:$B$157,B80,$H$2:$H$157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IF(B81="","",IFERROR(LOOKUP(2,1/(单次交易!$A$2:$A$88=B81),单次交易!$B$2:$B$88),""))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IF(B81="","",IFERROR(LOOKUP(2,1/(单次交易!$A$2:$A$88=B81),单次交易!$N$2:$N$88),""))</f>
        <v/>
      </c>
      <c r="O81" s="5" t="str">
        <f t="shared" si="18"/>
        <v/>
      </c>
      <c r="P81" s="11" t="str">
        <f t="shared" si="19"/>
        <v/>
      </c>
      <c r="Q81" s="5" t="str">
        <f t="shared" si="20"/>
        <v/>
      </c>
      <c r="R81" s="10"/>
      <c r="S81" s="5" t="str">
        <f t="shared" si="21"/>
        <v/>
      </c>
      <c r="T81" s="5" t="str">
        <f t="shared" si="22"/>
        <v/>
      </c>
      <c r="U81" s="5" t="str">
        <f t="shared" si="23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IF(X81&lt;&gt;"执行卖出","",IFERROR(LOOKUP(2,1/(单次交易!$A$2:$A$88=B81),单次交易!$AP$2:$AP$88),""))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$157,"止损计划",$B$2:$B$157,B81,$D$2:$D$157,D81)&gt;1,"阶段序号重复",IF(E81&lt;=IFERROR(LOOKUP(2,1/(单次交易!$A$2:$A$88=B81),单次交易!$E$2:$E$88),0),"激活价须高于买入价",IF(F81&lt;N81,"止损价不得低于初始止损",IF(F81&gt;E81,"止损价不得高于激活价",IF(AND(COUNTIFS($A$2:$A$157,"止损计划",$B$2:$B$157,B81,$D$2:$D$157,"&lt;"&amp;D81)&gt;0,OR(E81&lt;=SUMPRODUCT(MAX((($A$2:$A$157="止损计划")*($B$2:$B$157=B81)*($D$2:$D$157&lt;D81))*$E$2:$E$157)),F81&lt;SUMPRODUCT(MAX((($A$2:$A$157="止损计划")*($B$2:$B$157=B81)*($D$2:$D$157&lt;D81))*$F$2:$F$157)))),"阶段价格必须逐级提高","计划有效"))))))),IF(A81="每日跟踪",IF(OR(B81="",H81="",I81="",J81=""),"每日数据不完整",IF(COUNTIFS($A$2:$A$157,"每日跟踪",$B$2:$B$157,B81,$H$2:$H$157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IF(B82="","",IFERROR(LOOKUP(2,1/(单次交易!$A$2:$A$88=B82),单次交易!$B$2:$B$88),""))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IF(B82="","",IFERROR(LOOKUP(2,1/(单次交易!$A$2:$A$88=B82),单次交易!$N$2:$N$88),""))</f>
        <v/>
      </c>
      <c r="O82" s="5" t="str">
        <f t="shared" si="18"/>
        <v/>
      </c>
      <c r="P82" s="11" t="str">
        <f t="shared" si="19"/>
        <v/>
      </c>
      <c r="Q82" s="5" t="str">
        <f t="shared" si="20"/>
        <v/>
      </c>
      <c r="R82" s="10"/>
      <c r="S82" s="5" t="str">
        <f t="shared" si="21"/>
        <v/>
      </c>
      <c r="T82" s="5" t="str">
        <f t="shared" si="22"/>
        <v/>
      </c>
      <c r="U82" s="5" t="str">
        <f t="shared" si="23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IF(X82&lt;&gt;"执行卖出","",IFERROR(LOOKUP(2,1/(单次交易!$A$2:$A$88=B82),单次交易!$AP$2:$AP$88),""))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$157,"止损计划",$B$2:$B$157,B82,$D$2:$D$157,D82)&gt;1,"阶段序号重复",IF(E82&lt;=IFERROR(LOOKUP(2,1/(单次交易!$A$2:$A$88=B82),单次交易!$E$2:$E$88),0),"激活价须高于买入价",IF(F82&lt;N82,"止损价不得低于初始止损",IF(F82&gt;E82,"止损价不得高于激活价",IF(AND(COUNTIFS($A$2:$A$157,"止损计划",$B$2:$B$157,B82,$D$2:$D$157,"&lt;"&amp;D82)&gt;0,OR(E82&lt;=SUMPRODUCT(MAX((($A$2:$A$157="止损计划")*($B$2:$B$157=B82)*($D$2:$D$157&lt;D82))*$E$2:$E$157)),F82&lt;SUMPRODUCT(MAX((($A$2:$A$157="止损计划")*($B$2:$B$157=B82)*($D$2:$D$157&lt;D82))*$F$2:$F$157)))),"阶段价格必须逐级提高","计划有效"))))))),IF(A82="每日跟踪",IF(OR(B82="",H82="",I82="",J82=""),"每日数据不完整",IF(COUNTIFS($A$2:$A$157,"每日跟踪",$B$2:$B$157,B82,$H$2:$H$157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IF(B83="","",IFERROR(LOOKUP(2,1/(单次交易!$A$2:$A$88=B83),单次交易!$B$2:$B$88),""))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IF(B83="","",IFERROR(LOOKUP(2,1/(单次交易!$A$2:$A$88=B83),单次交易!$N$2:$N$88),""))</f>
        <v/>
      </c>
      <c r="O83" s="5" t="str">
        <f t="shared" si="18"/>
        <v/>
      </c>
      <c r="P83" s="11" t="str">
        <f t="shared" si="19"/>
        <v/>
      </c>
      <c r="Q83" s="5" t="str">
        <f t="shared" si="20"/>
        <v/>
      </c>
      <c r="R83" s="10"/>
      <c r="S83" s="5" t="str">
        <f t="shared" si="21"/>
        <v/>
      </c>
      <c r="T83" s="5" t="str">
        <f t="shared" si="22"/>
        <v/>
      </c>
      <c r="U83" s="5" t="str">
        <f t="shared" si="23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IF(X83&lt;&gt;"执行卖出","",IFERROR(LOOKUP(2,1/(单次交易!$A$2:$A$88=B83),单次交易!$AP$2:$AP$88),""))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$157,"止损计划",$B$2:$B$157,B83,$D$2:$D$157,D83)&gt;1,"阶段序号重复",IF(E83&lt;=IFERROR(LOOKUP(2,1/(单次交易!$A$2:$A$88=B83),单次交易!$E$2:$E$88),0),"激活价须高于买入价",IF(F83&lt;N83,"止损价不得低于初始止损",IF(F83&gt;E83,"止损价不得高于激活价",IF(AND(COUNTIFS($A$2:$A$157,"止损计划",$B$2:$B$157,B83,$D$2:$D$157,"&lt;"&amp;D83)&gt;0,OR(E83&lt;=SUMPRODUCT(MAX((($A$2:$A$157="止损计划")*($B$2:$B$157=B83)*($D$2:$D$157&lt;D83))*$E$2:$E$157)),F83&lt;SUMPRODUCT(MAX((($A$2:$A$157="止损计划")*($B$2:$B$157=B83)*($D$2:$D$157&lt;D83))*$F$2:$F$157)))),"阶段价格必须逐级提高","计划有效"))))))),IF(A83="每日跟踪",IF(OR(B83="",H83="",I83="",J83=""),"每日数据不完整",IF(COUNTIFS($A$2:$A$157,"每日跟踪",$B$2:$B$157,B83,$H$2:$H$157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IF(B84="","",IFERROR(LOOKUP(2,1/(单次交易!$A$2:$A$88=B84),单次交易!$B$2:$B$88),""))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IF(B84="","",IFERROR(LOOKUP(2,1/(单次交易!$A$2:$A$88=B84),单次交易!$N$2:$N$88),""))</f>
        <v/>
      </c>
      <c r="O84" s="5" t="str">
        <f t="shared" si="18"/>
        <v/>
      </c>
      <c r="P84" s="11" t="str">
        <f t="shared" si="19"/>
        <v/>
      </c>
      <c r="Q84" s="5" t="str">
        <f t="shared" si="20"/>
        <v/>
      </c>
      <c r="R84" s="10"/>
      <c r="S84" s="5" t="str">
        <f t="shared" si="21"/>
        <v/>
      </c>
      <c r="T84" s="5" t="str">
        <f t="shared" si="22"/>
        <v/>
      </c>
      <c r="U84" s="5" t="str">
        <f t="shared" si="23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IF(X84&lt;&gt;"执行卖出","",IFERROR(LOOKUP(2,1/(单次交易!$A$2:$A$88=B84),单次交易!$AP$2:$AP$88),""))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$157,"止损计划",$B$2:$B$157,B84,$D$2:$D$157,D84)&gt;1,"阶段序号重复",IF(E84&lt;=IFERROR(LOOKUP(2,1/(单次交易!$A$2:$A$88=B84),单次交易!$E$2:$E$88),0),"激活价须高于买入价",IF(F84&lt;N84,"止损价不得低于初始止损",IF(F84&gt;E84,"止损价不得高于激活价",IF(AND(COUNTIFS($A$2:$A$157,"止损计划",$B$2:$B$157,B84,$D$2:$D$157,"&lt;"&amp;D84)&gt;0,OR(E84&lt;=SUMPRODUCT(MAX((($A$2:$A$157="止损计划")*($B$2:$B$157=B84)*($D$2:$D$157&lt;D84))*$E$2:$E$157)),F84&lt;SUMPRODUCT(MAX((($A$2:$A$157="止损计划")*($B$2:$B$157=B84)*($D$2:$D$157&lt;D84))*$F$2:$F$157)))),"阶段价格必须逐级提高","计划有效"))))))),IF(A84="每日跟踪",IF(OR(B84="",H84="",I84="",J84=""),"每日数据不完整",IF(COUNTIFS($A$2:$A$157,"每日跟踪",$B$2:$B$157,B84,$H$2:$H$157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IF(B85="","",IFERROR(LOOKUP(2,1/(单次交易!$A$2:$A$88=B85),单次交易!$B$2:$B$88),""))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IF(B85="","",IFERROR(LOOKUP(2,1/(单次交易!$A$2:$A$88=B85),单次交易!$N$2:$N$88),""))</f>
        <v/>
      </c>
      <c r="O85" s="5" t="str">
        <f t="shared" si="18"/>
        <v/>
      </c>
      <c r="P85" s="11" t="str">
        <f t="shared" si="19"/>
        <v/>
      </c>
      <c r="Q85" s="5" t="str">
        <f t="shared" si="20"/>
        <v/>
      </c>
      <c r="R85" s="10"/>
      <c r="S85" s="5" t="str">
        <f t="shared" si="21"/>
        <v/>
      </c>
      <c r="T85" s="5" t="str">
        <f t="shared" si="22"/>
        <v/>
      </c>
      <c r="U85" s="5" t="str">
        <f t="shared" si="23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IF(X85&lt;&gt;"执行卖出","",IFERROR(LOOKUP(2,1/(单次交易!$A$2:$A$88=B85),单次交易!$AP$2:$AP$88),""))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$157,"止损计划",$B$2:$B$157,B85,$D$2:$D$157,D85)&gt;1,"阶段序号重复",IF(E85&lt;=IFERROR(LOOKUP(2,1/(单次交易!$A$2:$A$88=B85),单次交易!$E$2:$E$88),0),"激活价须高于买入价",IF(F85&lt;N85,"止损价不得低于初始止损",IF(F85&gt;E85,"止损价不得高于激活价",IF(AND(COUNTIFS($A$2:$A$157,"止损计划",$B$2:$B$157,B85,$D$2:$D$157,"&lt;"&amp;D85)&gt;0,OR(E85&lt;=SUMPRODUCT(MAX((($A$2:$A$157="止损计划")*($B$2:$B$157=B85)*($D$2:$D$157&lt;D85))*$E$2:$E$157)),F85&lt;SUMPRODUCT(MAX((($A$2:$A$157="止损计划")*($B$2:$B$157=B85)*($D$2:$D$157&lt;D85))*$F$2:$F$157)))),"阶段价格必须逐级提高","计划有效"))))))),IF(A85="每日跟踪",IF(OR(B85="",H85="",I85="",J85=""),"每日数据不完整",IF(COUNTIFS($A$2:$A$157,"每日跟踪",$B$2:$B$157,B85,$H$2:$H$157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IF(B86="","",IFERROR(LOOKUP(2,1/(单次交易!$A$2:$A$88=B86),单次交易!$B$2:$B$88),""))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IF(B86="","",IFERROR(LOOKUP(2,1/(单次交易!$A$2:$A$88=B86),单次交易!$N$2:$N$88),""))</f>
        <v/>
      </c>
      <c r="O86" s="5" t="str">
        <f t="shared" si="18"/>
        <v/>
      </c>
      <c r="P86" s="11" t="str">
        <f t="shared" si="19"/>
        <v/>
      </c>
      <c r="Q86" s="5" t="str">
        <f t="shared" si="20"/>
        <v/>
      </c>
      <c r="R86" s="10"/>
      <c r="S86" s="5" t="str">
        <f t="shared" si="21"/>
        <v/>
      </c>
      <c r="T86" s="5" t="str">
        <f t="shared" si="22"/>
        <v/>
      </c>
      <c r="U86" s="5" t="str">
        <f t="shared" si="23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IF(X86&lt;&gt;"执行卖出","",IFERROR(LOOKUP(2,1/(单次交易!$A$2:$A$88=B86),单次交易!$AP$2:$AP$88),""))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$157,"止损计划",$B$2:$B$157,B86,$D$2:$D$157,D86)&gt;1,"阶段序号重复",IF(E86&lt;=IFERROR(LOOKUP(2,1/(单次交易!$A$2:$A$88=B86),单次交易!$E$2:$E$88),0),"激活价须高于买入价",IF(F86&lt;N86,"止损价不得低于初始止损",IF(F86&gt;E86,"止损价不得高于激活价",IF(AND(COUNTIFS($A$2:$A$157,"止损计划",$B$2:$B$157,B86,$D$2:$D$157,"&lt;"&amp;D86)&gt;0,OR(E86&lt;=SUMPRODUCT(MAX((($A$2:$A$157="止损计划")*($B$2:$B$157=B86)*($D$2:$D$157&lt;D86))*$E$2:$E$157)),F86&lt;SUMPRODUCT(MAX((($A$2:$A$157="止损计划")*($B$2:$B$157=B86)*($D$2:$D$157&lt;D86))*$F$2:$F$157)))),"阶段价格必须逐级提高","计划有效"))))))),IF(A86="每日跟踪",IF(OR(B86="",H86="",I86="",J86=""),"每日数据不完整",IF(COUNTIFS($A$2:$A$157,"每日跟踪",$B$2:$B$157,B86,$H$2:$H$157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IF(B87="","",IFERROR(LOOKUP(2,1/(单次交易!$A$2:$A$88=B87),单次交易!$B$2:$B$88),""))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IF(B87="","",IFERROR(LOOKUP(2,1/(单次交易!$A$2:$A$88=B87),单次交易!$N$2:$N$88),""))</f>
        <v/>
      </c>
      <c r="O87" s="5" t="str">
        <f t="shared" si="18"/>
        <v/>
      </c>
      <c r="P87" s="11" t="str">
        <f t="shared" si="19"/>
        <v/>
      </c>
      <c r="Q87" s="5" t="str">
        <f t="shared" si="20"/>
        <v/>
      </c>
      <c r="R87" s="10"/>
      <c r="S87" s="5" t="str">
        <f t="shared" si="21"/>
        <v/>
      </c>
      <c r="T87" s="5" t="str">
        <f t="shared" si="22"/>
        <v/>
      </c>
      <c r="U87" s="5" t="str">
        <f t="shared" si="23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IF(X87&lt;&gt;"执行卖出","",IFERROR(LOOKUP(2,1/(单次交易!$A$2:$A$88=B87),单次交易!$AP$2:$AP$88),""))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$157,"止损计划",$B$2:$B$157,B87,$D$2:$D$157,D87)&gt;1,"阶段序号重复",IF(E87&lt;=IFERROR(LOOKUP(2,1/(单次交易!$A$2:$A$88=B87),单次交易!$E$2:$E$88),0),"激活价须高于买入价",IF(F87&lt;N87,"止损价不得低于初始止损",IF(F87&gt;E87,"止损价不得高于激活价",IF(AND(COUNTIFS($A$2:$A$157,"止损计划",$B$2:$B$157,B87,$D$2:$D$157,"&lt;"&amp;D87)&gt;0,OR(E87&lt;=SUMPRODUCT(MAX((($A$2:$A$157="止损计划")*($B$2:$B$157=B87)*($D$2:$D$157&lt;D87))*$E$2:$E$157)),F87&lt;SUMPRODUCT(MAX((($A$2:$A$157="止损计划")*($B$2:$B$157=B87)*($D$2:$D$157&lt;D87))*$F$2:$F$157)))),"阶段价格必须逐级提高","计划有效"))))))),IF(A87="每日跟踪",IF(OR(B87="",H87="",I87="",J87=""),"每日数据不完整",IF(COUNTIFS($A$2:$A$157,"每日跟踪",$B$2:$B$157,B87,$H$2:$H$157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IF(B88="","",IFERROR(LOOKUP(2,1/(单次交易!$A$2:$A$88=B88),单次交易!$B$2:$B$88),""))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IF(B88="","",IFERROR(LOOKUP(2,1/(单次交易!$A$2:$A$88=B88),单次交易!$N$2:$N$88),""))</f>
        <v/>
      </c>
      <c r="O88" s="5" t="str">
        <f t="shared" si="18"/>
        <v/>
      </c>
      <c r="P88" s="11" t="str">
        <f t="shared" si="19"/>
        <v/>
      </c>
      <c r="Q88" s="5" t="str">
        <f t="shared" si="20"/>
        <v/>
      </c>
      <c r="R88" s="10"/>
      <c r="S88" s="5" t="str">
        <f t="shared" si="21"/>
        <v/>
      </c>
      <c r="T88" s="5" t="str">
        <f t="shared" si="22"/>
        <v/>
      </c>
      <c r="U88" s="5" t="str">
        <f t="shared" si="23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IF(X88&lt;&gt;"执行卖出","",IFERROR(LOOKUP(2,1/(单次交易!$A$2:$A$88=B88),单次交易!$AP$2:$AP$88),""))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$157,"止损计划",$B$2:$B$157,B88,$D$2:$D$157,D88)&gt;1,"阶段序号重复",IF(E88&lt;=IFERROR(LOOKUP(2,1/(单次交易!$A$2:$A$88=B88),单次交易!$E$2:$E$88),0),"激活价须高于买入价",IF(F88&lt;N88,"止损价不得低于初始止损",IF(F88&gt;E88,"止损价不得高于激活价",IF(AND(COUNTIFS($A$2:$A$157,"止损计划",$B$2:$B$157,B88,$D$2:$D$157,"&lt;"&amp;D88)&gt;0,OR(E88&lt;=SUMPRODUCT(MAX((($A$2:$A$157="止损计划")*($B$2:$B$157=B88)*($D$2:$D$157&lt;D88))*$E$2:$E$157)),F88&lt;SUMPRODUCT(MAX((($A$2:$A$157="止损计划")*($B$2:$B$157=B88)*($D$2:$D$157&lt;D88))*$F$2:$F$157)))),"阶段价格必须逐级提高","计划有效"))))))),IF(A88="每日跟踪",IF(OR(B88="",H88="",I88="",J88=""),"每日数据不完整",IF(COUNTIFS($A$2:$A$157,"每日跟踪",$B$2:$B$157,B88,$H$2:$H$157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IF(B89="","",IFERROR(LOOKUP(2,1/(单次交易!$A$2:$A$88=B89),单次交易!$B$2:$B$88),""))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IF(B89="","",IFERROR(LOOKUP(2,1/(单次交易!$A$2:$A$88=B89),单次交易!$N$2:$N$88),""))</f>
        <v/>
      </c>
      <c r="O89" s="5" t="str">
        <f t="shared" si="18"/>
        <v/>
      </c>
      <c r="P89" s="11" t="str">
        <f t="shared" si="19"/>
        <v/>
      </c>
      <c r="Q89" s="5" t="str">
        <f t="shared" si="20"/>
        <v/>
      </c>
      <c r="R89" s="10"/>
      <c r="S89" s="5" t="str">
        <f t="shared" si="21"/>
        <v/>
      </c>
      <c r="T89" s="5" t="str">
        <f t="shared" si="22"/>
        <v/>
      </c>
      <c r="U89" s="5" t="str">
        <f t="shared" si="23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IF(X89&lt;&gt;"执行卖出","",IFERROR(LOOKUP(2,1/(单次交易!$A$2:$A$88=B89),单次交易!$AP$2:$AP$88),""))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$157,"止损计划",$B$2:$B$157,B89,$D$2:$D$157,D89)&gt;1,"阶段序号重复",IF(E89&lt;=IFERROR(LOOKUP(2,1/(单次交易!$A$2:$A$88=B89),单次交易!$E$2:$E$88),0),"激活价须高于买入价",IF(F89&lt;N89,"止损价不得低于初始止损",IF(F89&gt;E89,"止损价不得高于激活价",IF(AND(COUNTIFS($A$2:$A$157,"止损计划",$B$2:$B$157,B89,$D$2:$D$157,"&lt;"&amp;D89)&gt;0,OR(E89&lt;=SUMPRODUCT(MAX((($A$2:$A$157="止损计划")*($B$2:$B$157=B89)*($D$2:$D$157&lt;D89))*$E$2:$E$157)),F89&lt;SUMPRODUCT(MAX((($A$2:$A$157="止损计划")*($B$2:$B$157=B89)*($D$2:$D$157&lt;D89))*$F$2:$F$157)))),"阶段价格必须逐级提高","计划有效"))))))),IF(A89="每日跟踪",IF(OR(B89="",H89="",I89="",J89=""),"每日数据不完整",IF(COUNTIFS($A$2:$A$157,"每日跟踪",$B$2:$B$157,B89,$H$2:$H$157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IF(B90="","",IFERROR(LOOKUP(2,1/(单次交易!$A$2:$A$88=B90),单次交易!$B$2:$B$88),""))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IF(B90="","",IFERROR(LOOKUP(2,1/(单次交易!$A$2:$A$88=B90),单次交易!$N$2:$N$88),""))</f>
        <v/>
      </c>
      <c r="O90" s="5" t="str">
        <f t="shared" si="18"/>
        <v/>
      </c>
      <c r="P90" s="11" t="str">
        <f t="shared" si="19"/>
        <v/>
      </c>
      <c r="Q90" s="5" t="str">
        <f t="shared" si="20"/>
        <v/>
      </c>
      <c r="R90" s="10"/>
      <c r="S90" s="5" t="str">
        <f t="shared" si="21"/>
        <v/>
      </c>
      <c r="T90" s="5" t="str">
        <f t="shared" si="22"/>
        <v/>
      </c>
      <c r="U90" s="5" t="str">
        <f t="shared" si="23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IF(X90&lt;&gt;"执行卖出","",IFERROR(LOOKUP(2,1/(单次交易!$A$2:$A$88=B90),单次交易!$AP$2:$AP$88),""))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$157,"止损计划",$B$2:$B$157,B90,$D$2:$D$157,D90)&gt;1,"阶段序号重复",IF(E90&lt;=IFERROR(LOOKUP(2,1/(单次交易!$A$2:$A$88=B90),单次交易!$E$2:$E$88),0),"激活价须高于买入价",IF(F90&lt;N90,"止损价不得低于初始止损",IF(F90&gt;E90,"止损价不得高于激活价",IF(AND(COUNTIFS($A$2:$A$157,"止损计划",$B$2:$B$157,B90,$D$2:$D$157,"&lt;"&amp;D90)&gt;0,OR(E90&lt;=SUMPRODUCT(MAX((($A$2:$A$157="止损计划")*($B$2:$B$157=B90)*($D$2:$D$157&lt;D90))*$E$2:$E$157)),F90&lt;SUMPRODUCT(MAX((($A$2:$A$157="止损计划")*($B$2:$B$157=B90)*($D$2:$D$157&lt;D90))*$F$2:$F$157)))),"阶段价格必须逐级提高","计划有效"))))))),IF(A90="每日跟踪",IF(OR(B90="",H90="",I90="",J90=""),"每日数据不完整",IF(COUNTIFS($A$2:$A$157,"每日跟踪",$B$2:$B$157,B90,$H$2:$H$157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IF(B91="","",IFERROR(LOOKUP(2,1/(单次交易!$A$2:$A$88=B91),单次交易!$B$2:$B$88),""))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IF(B91="","",IFERROR(LOOKUP(2,1/(单次交易!$A$2:$A$88=B91),单次交易!$N$2:$N$88),""))</f>
        <v/>
      </c>
      <c r="O91" s="5" t="str">
        <f t="shared" si="18"/>
        <v/>
      </c>
      <c r="P91" s="11" t="str">
        <f t="shared" si="19"/>
        <v/>
      </c>
      <c r="Q91" s="5" t="str">
        <f t="shared" si="20"/>
        <v/>
      </c>
      <c r="R91" s="10"/>
      <c r="S91" s="5" t="str">
        <f t="shared" si="21"/>
        <v/>
      </c>
      <c r="T91" s="5" t="str">
        <f t="shared" si="22"/>
        <v/>
      </c>
      <c r="U91" s="5" t="str">
        <f t="shared" si="23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IF(X91&lt;&gt;"执行卖出","",IFERROR(LOOKUP(2,1/(单次交易!$A$2:$A$88=B91),单次交易!$AP$2:$AP$88),""))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$157,"止损计划",$B$2:$B$157,B91,$D$2:$D$157,D91)&gt;1,"阶段序号重复",IF(E91&lt;=IFERROR(LOOKUP(2,1/(单次交易!$A$2:$A$88=B91),单次交易!$E$2:$E$88),0),"激活价须高于买入价",IF(F91&lt;N91,"止损价不得低于初始止损",IF(F91&gt;E91,"止损价不得高于激活价",IF(AND(COUNTIFS($A$2:$A$157,"止损计划",$B$2:$B$157,B91,$D$2:$D$157,"&lt;"&amp;D91)&gt;0,OR(E91&lt;=SUMPRODUCT(MAX((($A$2:$A$157="止损计划")*($B$2:$B$157=B91)*($D$2:$D$157&lt;D91))*$E$2:$E$157)),F91&lt;SUMPRODUCT(MAX((($A$2:$A$157="止损计划")*($B$2:$B$157=B91)*($D$2:$D$157&lt;D91))*$F$2:$F$157)))),"阶段价格必须逐级提高","计划有效"))))))),IF(A91="每日跟踪",IF(OR(B91="",H91="",I91="",J91=""),"每日数据不完整",IF(COUNTIFS($A$2:$A$157,"每日跟踪",$B$2:$B$157,B91,$H$2:$H$157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IF(B92="","",IFERROR(LOOKUP(2,1/(单次交易!$A$2:$A$88=B92),单次交易!$B$2:$B$88),""))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IF(B92="","",IFERROR(LOOKUP(2,1/(单次交易!$A$2:$A$88=B92),单次交易!$N$2:$N$88),""))</f>
        <v/>
      </c>
      <c r="O92" s="5" t="str">
        <f t="shared" si="18"/>
        <v/>
      </c>
      <c r="P92" s="11" t="str">
        <f t="shared" si="19"/>
        <v/>
      </c>
      <c r="Q92" s="5" t="str">
        <f t="shared" si="20"/>
        <v/>
      </c>
      <c r="R92" s="10"/>
      <c r="S92" s="5" t="str">
        <f t="shared" si="21"/>
        <v/>
      </c>
      <c r="T92" s="5" t="str">
        <f t="shared" si="22"/>
        <v/>
      </c>
      <c r="U92" s="5" t="str">
        <f t="shared" si="23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IF(X92&lt;&gt;"执行卖出","",IFERROR(LOOKUP(2,1/(单次交易!$A$2:$A$88=B92),单次交易!$AP$2:$AP$88),""))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$157,"止损计划",$B$2:$B$157,B92,$D$2:$D$157,D92)&gt;1,"阶段序号重复",IF(E92&lt;=IFERROR(LOOKUP(2,1/(单次交易!$A$2:$A$88=B92),单次交易!$E$2:$E$88),0),"激活价须高于买入价",IF(F92&lt;N92,"止损价不得低于初始止损",IF(F92&gt;E92,"止损价不得高于激活价",IF(AND(COUNTIFS($A$2:$A$157,"止损计划",$B$2:$B$157,B92,$D$2:$D$157,"&lt;"&amp;D92)&gt;0,OR(E92&lt;=SUMPRODUCT(MAX((($A$2:$A$157="止损计划")*($B$2:$B$157=B92)*($D$2:$D$157&lt;D92))*$E$2:$E$157)),F92&lt;SUMPRODUCT(MAX((($A$2:$A$157="止损计划")*($B$2:$B$157=B92)*($D$2:$D$157&lt;D92))*$F$2:$F$157)))),"阶段价格必须逐级提高","计划有效"))))))),IF(A92="每日跟踪",IF(OR(B92="",H92="",I92="",J92=""),"每日数据不完整",IF(COUNTIFS($A$2:$A$157,"每日跟踪",$B$2:$B$157,B92,$H$2:$H$157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IF(B93="","",IFERROR(LOOKUP(2,1/(单次交易!$A$2:$A$88=B93),单次交易!$B$2:$B$88),""))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IF(B93="","",IFERROR(LOOKUP(2,1/(单次交易!$A$2:$A$88=B93),单次交易!$N$2:$N$88),""))</f>
        <v/>
      </c>
      <c r="O93" s="5" t="str">
        <f t="shared" si="18"/>
        <v/>
      </c>
      <c r="P93" s="11" t="str">
        <f t="shared" si="19"/>
        <v/>
      </c>
      <c r="Q93" s="5" t="str">
        <f t="shared" si="20"/>
        <v/>
      </c>
      <c r="R93" s="10"/>
      <c r="S93" s="5" t="str">
        <f t="shared" si="21"/>
        <v/>
      </c>
      <c r="T93" s="5" t="str">
        <f t="shared" si="22"/>
        <v/>
      </c>
      <c r="U93" s="5" t="str">
        <f t="shared" si="23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IF(X93&lt;&gt;"执行卖出","",IFERROR(LOOKUP(2,1/(单次交易!$A$2:$A$88=B93),单次交易!$AP$2:$AP$88),""))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$157,"止损计划",$B$2:$B$157,B93,$D$2:$D$157,D93)&gt;1,"阶段序号重复",IF(E93&lt;=IFERROR(LOOKUP(2,1/(单次交易!$A$2:$A$88=B93),单次交易!$E$2:$E$88),0),"激活价须高于买入价",IF(F93&lt;N93,"止损价不得低于初始止损",IF(F93&gt;E93,"止损价不得高于激活价",IF(AND(COUNTIFS($A$2:$A$157,"止损计划",$B$2:$B$157,B93,$D$2:$D$157,"&lt;"&amp;D93)&gt;0,OR(E93&lt;=SUMPRODUCT(MAX((($A$2:$A$157="止损计划")*($B$2:$B$157=B93)*($D$2:$D$157&lt;D93))*$E$2:$E$157)),F93&lt;SUMPRODUCT(MAX((($A$2:$A$157="止损计划")*($B$2:$B$157=B93)*($D$2:$D$157&lt;D93))*$F$2:$F$157)))),"阶段价格必须逐级提高","计划有效"))))))),IF(A93="每日跟踪",IF(OR(B93="",H93="",I93="",J93=""),"每日数据不完整",IF(COUNTIFS($A$2:$A$157,"每日跟踪",$B$2:$B$157,B93,$H$2:$H$157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IF(B94="","",IFERROR(LOOKUP(2,1/(单次交易!$A$2:$A$88=B94),单次交易!$B$2:$B$88),""))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IF(B94="","",IFERROR(LOOKUP(2,1/(单次交易!$A$2:$A$88=B94),单次交易!$N$2:$N$88),""))</f>
        <v/>
      </c>
      <c r="O94" s="5" t="str">
        <f t="shared" si="18"/>
        <v/>
      </c>
      <c r="P94" s="11" t="str">
        <f t="shared" si="19"/>
        <v/>
      </c>
      <c r="Q94" s="5" t="str">
        <f t="shared" si="20"/>
        <v/>
      </c>
      <c r="R94" s="10"/>
      <c r="S94" s="5" t="str">
        <f t="shared" si="21"/>
        <v/>
      </c>
      <c r="T94" s="5" t="str">
        <f t="shared" si="22"/>
        <v/>
      </c>
      <c r="U94" s="5" t="str">
        <f t="shared" si="23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IF(X94&lt;&gt;"执行卖出","",IFERROR(LOOKUP(2,1/(单次交易!$A$2:$A$88=B94),单次交易!$AP$2:$AP$88),""))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$157,"止损计划",$B$2:$B$157,B94,$D$2:$D$157,D94)&gt;1,"阶段序号重复",IF(E94&lt;=IFERROR(LOOKUP(2,1/(单次交易!$A$2:$A$88=B94),单次交易!$E$2:$E$88),0),"激活价须高于买入价",IF(F94&lt;N94,"止损价不得低于初始止损",IF(F94&gt;E94,"止损价不得高于激活价",IF(AND(COUNTIFS($A$2:$A$157,"止损计划",$B$2:$B$157,B94,$D$2:$D$157,"&lt;"&amp;D94)&gt;0,OR(E94&lt;=SUMPRODUCT(MAX((($A$2:$A$157="止损计划")*($B$2:$B$157=B94)*($D$2:$D$157&lt;D94))*$E$2:$E$157)),F94&lt;SUMPRODUCT(MAX((($A$2:$A$157="止损计划")*($B$2:$B$157=B94)*($D$2:$D$157&lt;D94))*$F$2:$F$157)))),"阶段价格必须逐级提高","计划有效"))))))),IF(A94="每日跟踪",IF(OR(B94="",H94="",I94="",J94=""),"每日数据不完整",IF(COUNTIFS($A$2:$A$157,"每日跟踪",$B$2:$B$157,B94,$H$2:$H$157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IF(B95="","",IFERROR(LOOKUP(2,1/(单次交易!$A$2:$A$88=B95),单次交易!$B$2:$B$88),""))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IF(B95="","",IFERROR(LOOKUP(2,1/(单次交易!$A$2:$A$88=B95),单次交易!$N$2:$N$88),""))</f>
        <v/>
      </c>
      <c r="O95" s="5" t="str">
        <f t="shared" si="18"/>
        <v/>
      </c>
      <c r="P95" s="11" t="str">
        <f t="shared" si="19"/>
        <v/>
      </c>
      <c r="Q95" s="5" t="str">
        <f t="shared" si="20"/>
        <v/>
      </c>
      <c r="R95" s="10"/>
      <c r="S95" s="5" t="str">
        <f t="shared" si="21"/>
        <v/>
      </c>
      <c r="T95" s="5" t="str">
        <f t="shared" si="22"/>
        <v/>
      </c>
      <c r="U95" s="5" t="str">
        <f t="shared" si="23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IF(X95&lt;&gt;"执行卖出","",IFERROR(LOOKUP(2,1/(单次交易!$A$2:$A$88=B95),单次交易!$AP$2:$AP$88),""))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$157,"止损计划",$B$2:$B$157,B95,$D$2:$D$157,D95)&gt;1,"阶段序号重复",IF(E95&lt;=IFERROR(LOOKUP(2,1/(单次交易!$A$2:$A$88=B95),单次交易!$E$2:$E$88),0),"激活价须高于买入价",IF(F95&lt;N95,"止损价不得低于初始止损",IF(F95&gt;E95,"止损价不得高于激活价",IF(AND(COUNTIFS($A$2:$A$157,"止损计划",$B$2:$B$157,B95,$D$2:$D$157,"&lt;"&amp;D95)&gt;0,OR(E95&lt;=SUMPRODUCT(MAX((($A$2:$A$157="止损计划")*($B$2:$B$157=B95)*($D$2:$D$157&lt;D95))*$E$2:$E$157)),F95&lt;SUMPRODUCT(MAX((($A$2:$A$157="止损计划")*($B$2:$B$157=B95)*($D$2:$D$157&lt;D95))*$F$2:$F$157)))),"阶段价格必须逐级提高","计划有效"))))))),IF(A95="每日跟踪",IF(OR(B95="",H95="",I95="",J95=""),"每日数据不完整",IF(COUNTIFS($A$2:$A$157,"每日跟踪",$B$2:$B$157,B95,$H$2:$H$157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IF(B96="","",IFERROR(LOOKUP(2,1/(单次交易!$A$2:$A$88=B96),单次交易!$B$2:$B$88),""))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IF(B96="","",IFERROR(LOOKUP(2,1/(单次交易!$A$2:$A$88=B96),单次交易!$N$2:$N$88),""))</f>
        <v/>
      </c>
      <c r="O96" s="5" t="str">
        <f t="shared" si="18"/>
        <v/>
      </c>
      <c r="P96" s="11" t="str">
        <f t="shared" si="19"/>
        <v/>
      </c>
      <c r="Q96" s="5" t="str">
        <f t="shared" si="20"/>
        <v/>
      </c>
      <c r="R96" s="10"/>
      <c r="S96" s="5" t="str">
        <f t="shared" si="21"/>
        <v/>
      </c>
      <c r="T96" s="5" t="str">
        <f t="shared" si="22"/>
        <v/>
      </c>
      <c r="U96" s="5" t="str">
        <f t="shared" si="23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IF(X96&lt;&gt;"执行卖出","",IFERROR(LOOKUP(2,1/(单次交易!$A$2:$A$88=B96),单次交易!$AP$2:$AP$88),""))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$157,"止损计划",$B$2:$B$157,B96,$D$2:$D$157,D96)&gt;1,"阶段序号重复",IF(E96&lt;=IFERROR(LOOKUP(2,1/(单次交易!$A$2:$A$88=B96),单次交易!$E$2:$E$88),0),"激活价须高于买入价",IF(F96&lt;N96,"止损价不得低于初始止损",IF(F96&gt;E96,"止损价不得高于激活价",IF(AND(COUNTIFS($A$2:$A$157,"止损计划",$B$2:$B$157,B96,$D$2:$D$157,"&lt;"&amp;D96)&gt;0,OR(E96&lt;=SUMPRODUCT(MAX((($A$2:$A$157="止损计划")*($B$2:$B$157=B96)*($D$2:$D$157&lt;D96))*$E$2:$E$157)),F96&lt;SUMPRODUCT(MAX((($A$2:$A$157="止损计划")*($B$2:$B$157=B96)*($D$2:$D$157&lt;D96))*$F$2:$F$157)))),"阶段价格必须逐级提高","计划有效"))))))),IF(A96="每日跟踪",IF(OR(B96="",H96="",I96="",J96=""),"每日数据不完整",IF(COUNTIFS($A$2:$A$157,"每日跟踪",$B$2:$B$157,B96,$H$2:$H$157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IF(B97="","",IFERROR(LOOKUP(2,1/(单次交易!$A$2:$A$88=B97),单次交易!$B$2:$B$88),""))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IF(B97="","",IFERROR(LOOKUP(2,1/(单次交易!$A$2:$A$88=B97),单次交易!$N$2:$N$88),""))</f>
        <v/>
      </c>
      <c r="O97" s="5" t="str">
        <f t="shared" si="18"/>
        <v/>
      </c>
      <c r="P97" s="11" t="str">
        <f t="shared" si="19"/>
        <v/>
      </c>
      <c r="Q97" s="5" t="str">
        <f t="shared" si="20"/>
        <v/>
      </c>
      <c r="R97" s="10"/>
      <c r="S97" s="5" t="str">
        <f t="shared" si="21"/>
        <v/>
      </c>
      <c r="T97" s="5" t="str">
        <f t="shared" si="22"/>
        <v/>
      </c>
      <c r="U97" s="5" t="str">
        <f t="shared" si="23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IF(X97&lt;&gt;"执行卖出","",IFERROR(LOOKUP(2,1/(单次交易!$A$2:$A$88=B97),单次交易!$AP$2:$AP$88),""))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$157,"止损计划",$B$2:$B$157,B97,$D$2:$D$157,D97)&gt;1,"阶段序号重复",IF(E97&lt;=IFERROR(LOOKUP(2,1/(单次交易!$A$2:$A$88=B97),单次交易!$E$2:$E$88),0),"激活价须高于买入价",IF(F97&lt;N97,"止损价不得低于初始止损",IF(F97&gt;E97,"止损价不得高于激活价",IF(AND(COUNTIFS($A$2:$A$157,"止损计划",$B$2:$B$157,B97,$D$2:$D$157,"&lt;"&amp;D97)&gt;0,OR(E97&lt;=SUMPRODUCT(MAX((($A$2:$A$157="止损计划")*($B$2:$B$157=B97)*($D$2:$D$157&lt;D97))*$E$2:$E$157)),F97&lt;SUMPRODUCT(MAX((($A$2:$A$157="止损计划")*($B$2:$B$157=B97)*($D$2:$D$157&lt;D97))*$F$2:$F$157)))),"阶段价格必须逐级提高","计划有效"))))))),IF(A97="每日跟踪",IF(OR(B97="",H97="",I97="",J97=""),"每日数据不完整",IF(COUNTIFS($A$2:$A$157,"每日跟踪",$B$2:$B$157,B97,$H$2:$H$157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IF(B98="","",IFERROR(LOOKUP(2,1/(单次交易!$A$2:$A$88=B98),单次交易!$B$2:$B$88),""))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IF(B98="","",IFERROR(LOOKUP(2,1/(单次交易!$A$2:$A$88=B98),单次交易!$N$2:$N$88),""))</f>
        <v/>
      </c>
      <c r="O98" s="5" t="str">
        <f t="shared" ref="O98:O129" si="24">IF(A98&lt;&gt;"每日跟踪","",IF(OR(B98="",H98="",I98=""),"",IFERROR(SUMPRODUCT(MAX((($A$2:$A$157="每日跟踪")*($B$2:$B$157=B98)*($H$2:$H$157&lt;=H98))*$I$2:$I$157)),"")))</f>
        <v/>
      </c>
      <c r="P98" s="11" t="str">
        <f t="shared" ref="P98:P129" si="25">IF(A98&lt;&gt;"每日跟踪","",IF(O98="","",IFERROR(SUMPRODUCT(MAX((($A$2:$A$157="止损计划")*($B$2:$B$157=B98)*($E$2:$E$157&lt;=O98))*$D$2:$D$157)),0)))</f>
        <v/>
      </c>
      <c r="Q98" s="5" t="str">
        <f t="shared" ref="Q98:Q129" si="26">IF(A98&lt;&gt;"每日跟踪","",IF(N98="","",MAX(N98,IFERROR(SUMPRODUCT(MAX((($A$2:$A$157="止损计划")*($B$2:$B$157=B98)*($E$2:$E$157&lt;=O98))*$F$2:$F$157)),0))))</f>
        <v/>
      </c>
      <c r="R98" s="10"/>
      <c r="S98" s="5" t="str">
        <f t="shared" ref="S98:S129" si="27">IF(A98&lt;&gt;"每日跟踪","",IF(Q98="","",MAX(Q98,IFERROR(SUMPRODUCT(MAX((($A$2:$A$157="每日跟踪")*($B$2:$B$157=B98)*($H$2:$H$157&lt;=H98))*$R$2:$R$157)),0))))</f>
        <v/>
      </c>
      <c r="T98" s="5" t="str">
        <f t="shared" ref="T98:T129" si="28">IF(A98&lt;&gt;"每日跟踪","",IF(O98="","",IF(COUNTIFS($A$2:$A$157,"止损计划",$B$2:$B$157,B98,$E$2:$E$157,"&gt;"&amp;O98)=0,"",INDEX($E$2:$E$157,MATCH(1,INDEX(($A$2:$A$157="止损计划")*($B$2:$B$157=B98)*($E$2:$E$157&gt;O98),0),0)))))</f>
        <v/>
      </c>
      <c r="U98" s="5" t="str">
        <f t="shared" ref="U98:U129" si="29">IF(OR(A98&lt;&gt;"每日跟踪",T98=""),"",IFERROR(SUMIFS($F$2:$F$157,$A$2:$A$157,"止损计划",$B$2:$B$157,B98,$E$2:$E$157,T98),""))</f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IF(X98&lt;&gt;"执行卖出","",IFERROR(LOOKUP(2,1/(单次交易!$A$2:$A$88=B98),单次交易!$AP$2:$AP$88),""))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$157,"止损计划",$B$2:$B$157,B98,$D$2:$D$157,D98)&gt;1,"阶段序号重复",IF(E98&lt;=IFERROR(LOOKUP(2,1/(单次交易!$A$2:$A$88=B98),单次交易!$E$2:$E$88),0),"激活价须高于买入价",IF(F98&lt;N98,"止损价不得低于初始止损",IF(F98&gt;E98,"止损价不得高于激活价",IF(AND(COUNTIFS($A$2:$A$157,"止损计划",$B$2:$B$157,B98,$D$2:$D$157,"&lt;"&amp;D98)&gt;0,OR(E98&lt;=SUMPRODUCT(MAX((($A$2:$A$157="止损计划")*($B$2:$B$157=B98)*($D$2:$D$157&lt;D98))*$E$2:$E$157)),F98&lt;SUMPRODUCT(MAX((($A$2:$A$157="止损计划")*($B$2:$B$157=B98)*($D$2:$D$157&lt;D98))*$F$2:$F$157)))),"阶段价格必须逐级提高","计划有效"))))))),IF(A98="每日跟踪",IF(OR(B98="",H98="",I98="",J98=""),"每日数据不完整",IF(COUNTIFS($A$2:$A$157,"每日跟踪",$B$2:$B$157,B98,$H$2:$H$157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IF(B99="","",IFERROR(LOOKUP(2,1/(单次交易!$A$2:$A$88=B99),单次交易!$B$2:$B$88),""))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IF(B99="","",IFERROR(LOOKUP(2,1/(单次交易!$A$2:$A$88=B99),单次交易!$N$2:$N$88),""))</f>
        <v/>
      </c>
      <c r="O99" s="5" t="str">
        <f t="shared" si="24"/>
        <v/>
      </c>
      <c r="P99" s="11" t="str">
        <f t="shared" si="25"/>
        <v/>
      </c>
      <c r="Q99" s="5" t="str">
        <f t="shared" si="26"/>
        <v/>
      </c>
      <c r="R99" s="10"/>
      <c r="S99" s="5" t="str">
        <f t="shared" si="27"/>
        <v/>
      </c>
      <c r="T99" s="5" t="str">
        <f t="shared" si="28"/>
        <v/>
      </c>
      <c r="U99" s="5" t="str">
        <f t="shared" si="29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IF(X99&lt;&gt;"执行卖出","",IFERROR(LOOKUP(2,1/(单次交易!$A$2:$A$88=B99),单次交易!$AP$2:$AP$88),""))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$157,"止损计划",$B$2:$B$157,B99,$D$2:$D$157,D99)&gt;1,"阶段序号重复",IF(E99&lt;=IFERROR(LOOKUP(2,1/(单次交易!$A$2:$A$88=B99),单次交易!$E$2:$E$88),0),"激活价须高于买入价",IF(F99&lt;N99,"止损价不得低于初始止损",IF(F99&gt;E99,"止损价不得高于激活价",IF(AND(COUNTIFS($A$2:$A$157,"止损计划",$B$2:$B$157,B99,$D$2:$D$157,"&lt;"&amp;D99)&gt;0,OR(E99&lt;=SUMPRODUCT(MAX((($A$2:$A$157="止损计划")*($B$2:$B$157=B99)*($D$2:$D$157&lt;D99))*$E$2:$E$157)),F99&lt;SUMPRODUCT(MAX((($A$2:$A$157="止损计划")*($B$2:$B$157=B99)*($D$2:$D$157&lt;D99))*$F$2:$F$157)))),"阶段价格必须逐级提高","计划有效"))))))),IF(A99="每日跟踪",IF(OR(B99="",H99="",I99="",J99=""),"每日数据不完整",IF(COUNTIFS($A$2:$A$157,"每日跟踪",$B$2:$B$157,B99,$H$2:$H$157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IF(B100="","",IFERROR(LOOKUP(2,1/(单次交易!$A$2:$A$88=B100),单次交易!$B$2:$B$88),""))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IF(B100="","",IFERROR(LOOKUP(2,1/(单次交易!$A$2:$A$88=B100),单次交易!$N$2:$N$88),""))</f>
        <v/>
      </c>
      <c r="O100" s="5" t="str">
        <f t="shared" si="24"/>
        <v/>
      </c>
      <c r="P100" s="11" t="str">
        <f t="shared" si="25"/>
        <v/>
      </c>
      <c r="Q100" s="5" t="str">
        <f t="shared" si="26"/>
        <v/>
      </c>
      <c r="R100" s="10"/>
      <c r="S100" s="5" t="str">
        <f t="shared" si="27"/>
        <v/>
      </c>
      <c r="T100" s="5" t="str">
        <f t="shared" si="28"/>
        <v/>
      </c>
      <c r="U100" s="5" t="str">
        <f t="shared" si="29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IF(X100&lt;&gt;"执行卖出","",IFERROR(LOOKUP(2,1/(单次交易!$A$2:$A$88=B100),单次交易!$AP$2:$AP$88),""))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$157,"止损计划",$B$2:$B$157,B100,$D$2:$D$157,D100)&gt;1,"阶段序号重复",IF(E100&lt;=IFERROR(LOOKUP(2,1/(单次交易!$A$2:$A$88=B100),单次交易!$E$2:$E$88),0),"激活价须高于买入价",IF(F100&lt;N100,"止损价不得低于初始止损",IF(F100&gt;E100,"止损价不得高于激活价",IF(AND(COUNTIFS($A$2:$A$157,"止损计划",$B$2:$B$157,B100,$D$2:$D$157,"&lt;"&amp;D100)&gt;0,OR(E100&lt;=SUMPRODUCT(MAX((($A$2:$A$157="止损计划")*($B$2:$B$157=B100)*($D$2:$D$157&lt;D100))*$E$2:$E$157)),F100&lt;SUMPRODUCT(MAX((($A$2:$A$157="止损计划")*($B$2:$B$157=B100)*($D$2:$D$157&lt;D100))*$F$2:$F$157)))),"阶段价格必须逐级提高","计划有效"))))))),IF(A100="每日跟踪",IF(OR(B100="",H100="",I100="",J100=""),"每日数据不完整",IF(COUNTIFS($A$2:$A$157,"每日跟踪",$B$2:$B$157,B100,$H$2:$H$157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IF(B101="","",IFERROR(LOOKUP(2,1/(单次交易!$A$2:$A$88=B101),单次交易!$B$2:$B$88),""))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IF(B101="","",IFERROR(LOOKUP(2,1/(单次交易!$A$2:$A$88=B101),单次交易!$N$2:$N$88),""))</f>
        <v/>
      </c>
      <c r="O101" s="5" t="str">
        <f t="shared" si="24"/>
        <v/>
      </c>
      <c r="P101" s="11" t="str">
        <f t="shared" si="25"/>
        <v/>
      </c>
      <c r="Q101" s="5" t="str">
        <f t="shared" si="26"/>
        <v/>
      </c>
      <c r="R101" s="10"/>
      <c r="S101" s="5" t="str">
        <f t="shared" si="27"/>
        <v/>
      </c>
      <c r="T101" s="5" t="str">
        <f t="shared" si="28"/>
        <v/>
      </c>
      <c r="U101" s="5" t="str">
        <f t="shared" si="29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IF(X101&lt;&gt;"执行卖出","",IFERROR(LOOKUP(2,1/(单次交易!$A$2:$A$88=B101),单次交易!$AP$2:$AP$88),""))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$157,"止损计划",$B$2:$B$157,B101,$D$2:$D$157,D101)&gt;1,"阶段序号重复",IF(E101&lt;=IFERROR(LOOKUP(2,1/(单次交易!$A$2:$A$88=B101),单次交易!$E$2:$E$88),0),"激活价须高于买入价",IF(F101&lt;N101,"止损价不得低于初始止损",IF(F101&gt;E101,"止损价不得高于激活价",IF(AND(COUNTIFS($A$2:$A$157,"止损计划",$B$2:$B$157,B101,$D$2:$D$157,"&lt;"&amp;D101)&gt;0,OR(E101&lt;=SUMPRODUCT(MAX((($A$2:$A$157="止损计划")*($B$2:$B$157=B101)*($D$2:$D$157&lt;D101))*$E$2:$E$157)),F101&lt;SUMPRODUCT(MAX((($A$2:$A$157="止损计划")*($B$2:$B$157=B101)*($D$2:$D$157&lt;D101))*$F$2:$F$157)))),"阶段价格必须逐级提高","计划有效"))))))),IF(A101="每日跟踪",IF(OR(B101="",H101="",I101="",J101=""),"每日数据不完整",IF(COUNTIFS($A$2:$A$157,"每日跟踪",$B$2:$B$157,B101,$H$2:$H$157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IF(B102="","",IFERROR(LOOKUP(2,1/(单次交易!$A$2:$A$88=B102),单次交易!$B$2:$B$88),""))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IF(B102="","",IFERROR(LOOKUP(2,1/(单次交易!$A$2:$A$88=B102),单次交易!$N$2:$N$88),""))</f>
        <v/>
      </c>
      <c r="O102" s="5" t="str">
        <f t="shared" si="24"/>
        <v/>
      </c>
      <c r="P102" s="11" t="str">
        <f t="shared" si="25"/>
        <v/>
      </c>
      <c r="Q102" s="5" t="str">
        <f t="shared" si="26"/>
        <v/>
      </c>
      <c r="R102" s="10"/>
      <c r="S102" s="5" t="str">
        <f t="shared" si="27"/>
        <v/>
      </c>
      <c r="T102" s="5" t="str">
        <f t="shared" si="28"/>
        <v/>
      </c>
      <c r="U102" s="5" t="str">
        <f t="shared" si="29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IF(X102&lt;&gt;"执行卖出","",IFERROR(LOOKUP(2,1/(单次交易!$A$2:$A$88=B102),单次交易!$AP$2:$AP$88),""))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$157,"止损计划",$B$2:$B$157,B102,$D$2:$D$157,D102)&gt;1,"阶段序号重复",IF(E102&lt;=IFERROR(LOOKUP(2,1/(单次交易!$A$2:$A$88=B102),单次交易!$E$2:$E$88),0),"激活价须高于买入价",IF(F102&lt;N102,"止损价不得低于初始止损",IF(F102&gt;E102,"止损价不得高于激活价",IF(AND(COUNTIFS($A$2:$A$157,"止损计划",$B$2:$B$157,B102,$D$2:$D$157,"&lt;"&amp;D102)&gt;0,OR(E102&lt;=SUMPRODUCT(MAX((($A$2:$A$157="止损计划")*($B$2:$B$157=B102)*($D$2:$D$157&lt;D102))*$E$2:$E$157)),F102&lt;SUMPRODUCT(MAX((($A$2:$A$157="止损计划")*($B$2:$B$157=B102)*($D$2:$D$157&lt;D102))*$F$2:$F$157)))),"阶段价格必须逐级提高","计划有效"))))))),IF(A102="每日跟踪",IF(OR(B102="",H102="",I102="",J102=""),"每日数据不完整",IF(COUNTIFS($A$2:$A$157,"每日跟踪",$B$2:$B$157,B102,$H$2:$H$157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IF(B103="","",IFERROR(LOOKUP(2,1/(单次交易!$A$2:$A$88=B103),单次交易!$B$2:$B$88),""))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IF(B103="","",IFERROR(LOOKUP(2,1/(单次交易!$A$2:$A$88=B103),单次交易!$N$2:$N$88),""))</f>
        <v/>
      </c>
      <c r="O103" s="5" t="str">
        <f t="shared" si="24"/>
        <v/>
      </c>
      <c r="P103" s="11" t="str">
        <f t="shared" si="25"/>
        <v/>
      </c>
      <c r="Q103" s="5" t="str">
        <f t="shared" si="26"/>
        <v/>
      </c>
      <c r="R103" s="10"/>
      <c r="S103" s="5" t="str">
        <f t="shared" si="27"/>
        <v/>
      </c>
      <c r="T103" s="5" t="str">
        <f t="shared" si="28"/>
        <v/>
      </c>
      <c r="U103" s="5" t="str">
        <f t="shared" si="29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IF(X103&lt;&gt;"执行卖出","",IFERROR(LOOKUP(2,1/(单次交易!$A$2:$A$88=B103),单次交易!$AP$2:$AP$88),""))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$157,"止损计划",$B$2:$B$157,B103,$D$2:$D$157,D103)&gt;1,"阶段序号重复",IF(E103&lt;=IFERROR(LOOKUP(2,1/(单次交易!$A$2:$A$88=B103),单次交易!$E$2:$E$88),0),"激活价须高于买入价",IF(F103&lt;N103,"止损价不得低于初始止损",IF(F103&gt;E103,"止损价不得高于激活价",IF(AND(COUNTIFS($A$2:$A$157,"止损计划",$B$2:$B$157,B103,$D$2:$D$157,"&lt;"&amp;D103)&gt;0,OR(E103&lt;=SUMPRODUCT(MAX((($A$2:$A$157="止损计划")*($B$2:$B$157=B103)*($D$2:$D$157&lt;D103))*$E$2:$E$157)),F103&lt;SUMPRODUCT(MAX((($A$2:$A$157="止损计划")*($B$2:$B$157=B103)*($D$2:$D$157&lt;D103))*$F$2:$F$157)))),"阶段价格必须逐级提高","计划有效"))))))),IF(A103="每日跟踪",IF(OR(B103="",H103="",I103="",J103=""),"每日数据不完整",IF(COUNTIFS($A$2:$A$157,"每日跟踪",$B$2:$B$157,B103,$H$2:$H$157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IF(B104="","",IFERROR(LOOKUP(2,1/(单次交易!$A$2:$A$88=B104),单次交易!$B$2:$B$88),""))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IF(B104="","",IFERROR(LOOKUP(2,1/(单次交易!$A$2:$A$88=B104),单次交易!$N$2:$N$88),""))</f>
        <v/>
      </c>
      <c r="O104" s="5" t="str">
        <f t="shared" si="24"/>
        <v/>
      </c>
      <c r="P104" s="11" t="str">
        <f t="shared" si="25"/>
        <v/>
      </c>
      <c r="Q104" s="5" t="str">
        <f t="shared" si="26"/>
        <v/>
      </c>
      <c r="R104" s="10"/>
      <c r="S104" s="5" t="str">
        <f t="shared" si="27"/>
        <v/>
      </c>
      <c r="T104" s="5" t="str">
        <f t="shared" si="28"/>
        <v/>
      </c>
      <c r="U104" s="5" t="str">
        <f t="shared" si="29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IF(X104&lt;&gt;"执行卖出","",IFERROR(LOOKUP(2,1/(单次交易!$A$2:$A$88=B104),单次交易!$AP$2:$AP$88),""))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$157,"止损计划",$B$2:$B$157,B104,$D$2:$D$157,D104)&gt;1,"阶段序号重复",IF(E104&lt;=IFERROR(LOOKUP(2,1/(单次交易!$A$2:$A$88=B104),单次交易!$E$2:$E$88),0),"激活价须高于买入价",IF(F104&lt;N104,"止损价不得低于初始止损",IF(F104&gt;E104,"止损价不得高于激活价",IF(AND(COUNTIFS($A$2:$A$157,"止损计划",$B$2:$B$157,B104,$D$2:$D$157,"&lt;"&amp;D104)&gt;0,OR(E104&lt;=SUMPRODUCT(MAX((($A$2:$A$157="止损计划")*($B$2:$B$157=B104)*($D$2:$D$157&lt;D104))*$E$2:$E$157)),F104&lt;SUMPRODUCT(MAX((($A$2:$A$157="止损计划")*($B$2:$B$157=B104)*($D$2:$D$157&lt;D104))*$F$2:$F$157)))),"阶段价格必须逐级提高","计划有效"))))))),IF(A104="每日跟踪",IF(OR(B104="",H104="",I104="",J104=""),"每日数据不完整",IF(COUNTIFS($A$2:$A$157,"每日跟踪",$B$2:$B$157,B104,$H$2:$H$157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IF(B105="","",IFERROR(LOOKUP(2,1/(单次交易!$A$2:$A$88=B105),单次交易!$B$2:$B$88),""))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IF(B105="","",IFERROR(LOOKUP(2,1/(单次交易!$A$2:$A$88=B105),单次交易!$N$2:$N$88),""))</f>
        <v/>
      </c>
      <c r="O105" s="5" t="str">
        <f t="shared" si="24"/>
        <v/>
      </c>
      <c r="P105" s="11" t="str">
        <f t="shared" si="25"/>
        <v/>
      </c>
      <c r="Q105" s="5" t="str">
        <f t="shared" si="26"/>
        <v/>
      </c>
      <c r="R105" s="10"/>
      <c r="S105" s="5" t="str">
        <f t="shared" si="27"/>
        <v/>
      </c>
      <c r="T105" s="5" t="str">
        <f t="shared" si="28"/>
        <v/>
      </c>
      <c r="U105" s="5" t="str">
        <f t="shared" si="29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IF(X105&lt;&gt;"执行卖出","",IFERROR(LOOKUP(2,1/(单次交易!$A$2:$A$88=B105),单次交易!$AP$2:$AP$88),""))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$157,"止损计划",$B$2:$B$157,B105,$D$2:$D$157,D105)&gt;1,"阶段序号重复",IF(E105&lt;=IFERROR(LOOKUP(2,1/(单次交易!$A$2:$A$88=B105),单次交易!$E$2:$E$88),0),"激活价须高于买入价",IF(F105&lt;N105,"止损价不得低于初始止损",IF(F105&gt;E105,"止损价不得高于激活价",IF(AND(COUNTIFS($A$2:$A$157,"止损计划",$B$2:$B$157,B105,$D$2:$D$157,"&lt;"&amp;D105)&gt;0,OR(E105&lt;=SUMPRODUCT(MAX((($A$2:$A$157="止损计划")*($B$2:$B$157=B105)*($D$2:$D$157&lt;D105))*$E$2:$E$157)),F105&lt;SUMPRODUCT(MAX((($A$2:$A$157="止损计划")*($B$2:$B$157=B105)*($D$2:$D$157&lt;D105))*$F$2:$F$157)))),"阶段价格必须逐级提高","计划有效"))))))),IF(A105="每日跟踪",IF(OR(B105="",H105="",I105="",J105=""),"每日数据不完整",IF(COUNTIFS($A$2:$A$157,"每日跟踪",$B$2:$B$157,B105,$H$2:$H$157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IF(B106="","",IFERROR(LOOKUP(2,1/(单次交易!$A$2:$A$88=B106),单次交易!$B$2:$B$88),""))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IF(B106="","",IFERROR(LOOKUP(2,1/(单次交易!$A$2:$A$88=B106),单次交易!$N$2:$N$88),""))</f>
        <v/>
      </c>
      <c r="O106" s="5" t="str">
        <f t="shared" si="24"/>
        <v/>
      </c>
      <c r="P106" s="11" t="str">
        <f t="shared" si="25"/>
        <v/>
      </c>
      <c r="Q106" s="5" t="str">
        <f t="shared" si="26"/>
        <v/>
      </c>
      <c r="R106" s="10"/>
      <c r="S106" s="5" t="str">
        <f t="shared" si="27"/>
        <v/>
      </c>
      <c r="T106" s="5" t="str">
        <f t="shared" si="28"/>
        <v/>
      </c>
      <c r="U106" s="5" t="str">
        <f t="shared" si="29"/>
        <v/>
      </c>
      <c r="V106" s="7" t="str">
        <f t="shared" ref="V106:V157" si="30">IF(OR(A106&lt;&gt;"每日跟踪",T106="",I106="",I106&lt;=0),"",T106/I106-1)</f>
        <v/>
      </c>
      <c r="W106" s="8" t="str">
        <f t="shared" ref="W106:W157" si="31">IF(A106&lt;&gt;"每日跟踪","",IF(OR(I106="",S106=""),"",IF(I106&lt;=S106,"触发止损：应全部卖出","继续观察")))</f>
        <v/>
      </c>
      <c r="X106" s="2"/>
      <c r="Y106" s="10"/>
      <c r="Z106" s="11" t="str">
        <f>IF(X106&lt;&gt;"执行卖出","",IFERROR(LOOKUP(2,1/(单次交易!$A$2:$A$88=B106),单次交易!$AP$2:$AP$88),""))</f>
        <v/>
      </c>
      <c r="AA106" s="10"/>
      <c r="AB106" s="8" t="str">
        <f t="shared" ref="AB106:AB157" si="32">IF(A106&lt;&gt;"每日跟踪","",IF(OR(B106="",H106="",I106="",J106="",K106="",L106="",M106=""),"待补充每日记录",IF(W106="触发止损：应全部卖出",IF(X106&lt;&gt;"执行卖出","违规：触发止损但未执行",IF(Y106="","待补充实际卖出价","卖出记录完整")),IF(X106="","待选择卖出动作",IF(X106="执行卖出",IF(Y106="","待补充实际卖出价","卖出记录完整"),"正常")))))</f>
        <v/>
      </c>
      <c r="AC106" s="8" t="str">
        <f>IF(A106="","",IF(A106="止损计划",IF(OR(B106="",D106="",E106="",F106="",G106=""),"计划不完整",IF(OR(D106&lt;1,D106&lt;&gt;INT(D106)),"阶段序号无效",IF(COUNTIFS($A$2:$A$157,"止损计划",$B$2:$B$157,B106,$D$2:$D$157,D106)&gt;1,"阶段序号重复",IF(E106&lt;=IFERROR(LOOKUP(2,1/(单次交易!$A$2:$A$88=B106),单次交易!$E$2:$E$88),0),"激活价须高于买入价",IF(F106&lt;N106,"止损价不得低于初始止损",IF(F106&gt;E106,"止损价不得高于激活价",IF(AND(COUNTIFS($A$2:$A$157,"止损计划",$B$2:$B$157,B106,$D$2:$D$157,"&lt;"&amp;D106)&gt;0,OR(E106&lt;=SUMPRODUCT(MAX((($A$2:$A$157="止损计划")*($B$2:$B$157=B106)*($D$2:$D$157&lt;D106))*$E$2:$E$157)),F106&lt;SUMPRODUCT(MAX((($A$2:$A$157="止损计划")*($B$2:$B$157=B106)*($D$2:$D$157&lt;D106))*$F$2:$F$157)))),"阶段价格必须逐级提高","计划有效"))))))),IF(A106="每日跟踪",IF(OR(B106="",H106="",I106="",J106=""),"每日数据不完整",IF(COUNTIFS($A$2:$A$157,"每日跟踪",$B$2:$B$157,B106,$H$2:$H$157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IF(B107="","",IFERROR(LOOKUP(2,1/(单次交易!$A$2:$A$88=B107),单次交易!$B$2:$B$88),""))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IF(B107="","",IFERROR(LOOKUP(2,1/(单次交易!$A$2:$A$88=B107),单次交易!$N$2:$N$88),""))</f>
        <v/>
      </c>
      <c r="O107" s="5" t="str">
        <f t="shared" si="24"/>
        <v/>
      </c>
      <c r="P107" s="11" t="str">
        <f t="shared" si="25"/>
        <v/>
      </c>
      <c r="Q107" s="5" t="str">
        <f t="shared" si="26"/>
        <v/>
      </c>
      <c r="R107" s="10"/>
      <c r="S107" s="5" t="str">
        <f t="shared" si="27"/>
        <v/>
      </c>
      <c r="T107" s="5" t="str">
        <f t="shared" si="28"/>
        <v/>
      </c>
      <c r="U107" s="5" t="str">
        <f t="shared" si="29"/>
        <v/>
      </c>
      <c r="V107" s="7" t="str">
        <f t="shared" si="30"/>
        <v/>
      </c>
      <c r="W107" s="8" t="str">
        <f t="shared" si="31"/>
        <v/>
      </c>
      <c r="X107" s="2"/>
      <c r="Y107" s="10"/>
      <c r="Z107" s="11" t="str">
        <f>IF(X107&lt;&gt;"执行卖出","",IFERROR(LOOKUP(2,1/(单次交易!$A$2:$A$88=B107),单次交易!$AP$2:$AP$88),""))</f>
        <v/>
      </c>
      <c r="AA107" s="10"/>
      <c r="AB107" s="8" t="str">
        <f t="shared" si="32"/>
        <v/>
      </c>
      <c r="AC107" s="8" t="str">
        <f>IF(A107="","",IF(A107="止损计划",IF(OR(B107="",D107="",E107="",F107="",G107=""),"计划不完整",IF(OR(D107&lt;1,D107&lt;&gt;INT(D107)),"阶段序号无效",IF(COUNTIFS($A$2:$A$157,"止损计划",$B$2:$B$157,B107,$D$2:$D$157,D107)&gt;1,"阶段序号重复",IF(E107&lt;=IFERROR(LOOKUP(2,1/(单次交易!$A$2:$A$88=B107),单次交易!$E$2:$E$88),0),"激活价须高于买入价",IF(F107&lt;N107,"止损价不得低于初始止损",IF(F107&gt;E107,"止损价不得高于激活价",IF(AND(COUNTIFS($A$2:$A$157,"止损计划",$B$2:$B$157,B107,$D$2:$D$157,"&lt;"&amp;D107)&gt;0,OR(E107&lt;=SUMPRODUCT(MAX((($A$2:$A$157="止损计划")*($B$2:$B$157=B107)*($D$2:$D$157&lt;D107))*$E$2:$E$157)),F107&lt;SUMPRODUCT(MAX((($A$2:$A$157="止损计划")*($B$2:$B$157=B107)*($D$2:$D$157&lt;D107))*$F$2:$F$157)))),"阶段价格必须逐级提高","计划有效"))))))),IF(A107="每日跟踪",IF(OR(B107="",H107="",I107="",J107=""),"每日数据不完整",IF(COUNTIFS($A$2:$A$157,"每日跟踪",$B$2:$B$157,B107,$H$2:$H$157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IF(B108="","",IFERROR(LOOKUP(2,1/(单次交易!$A$2:$A$88=B108),单次交易!$B$2:$B$88),""))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IF(B108="","",IFERROR(LOOKUP(2,1/(单次交易!$A$2:$A$88=B108),单次交易!$N$2:$N$88),""))</f>
        <v/>
      </c>
      <c r="O108" s="5" t="str">
        <f t="shared" si="24"/>
        <v/>
      </c>
      <c r="P108" s="11" t="str">
        <f t="shared" si="25"/>
        <v/>
      </c>
      <c r="Q108" s="5" t="str">
        <f t="shared" si="26"/>
        <v/>
      </c>
      <c r="R108" s="10"/>
      <c r="S108" s="5" t="str">
        <f t="shared" si="27"/>
        <v/>
      </c>
      <c r="T108" s="5" t="str">
        <f t="shared" si="28"/>
        <v/>
      </c>
      <c r="U108" s="5" t="str">
        <f t="shared" si="29"/>
        <v/>
      </c>
      <c r="V108" s="7" t="str">
        <f t="shared" si="30"/>
        <v/>
      </c>
      <c r="W108" s="8" t="str">
        <f t="shared" si="31"/>
        <v/>
      </c>
      <c r="X108" s="2"/>
      <c r="Y108" s="10"/>
      <c r="Z108" s="11" t="str">
        <f>IF(X108&lt;&gt;"执行卖出","",IFERROR(LOOKUP(2,1/(单次交易!$A$2:$A$88=B108),单次交易!$AP$2:$AP$88),""))</f>
        <v/>
      </c>
      <c r="AA108" s="10"/>
      <c r="AB108" s="8" t="str">
        <f t="shared" si="32"/>
        <v/>
      </c>
      <c r="AC108" s="8" t="str">
        <f>IF(A108="","",IF(A108="止损计划",IF(OR(B108="",D108="",E108="",F108="",G108=""),"计划不完整",IF(OR(D108&lt;1,D108&lt;&gt;INT(D108)),"阶段序号无效",IF(COUNTIFS($A$2:$A$157,"止损计划",$B$2:$B$157,B108,$D$2:$D$157,D108)&gt;1,"阶段序号重复",IF(E108&lt;=IFERROR(LOOKUP(2,1/(单次交易!$A$2:$A$88=B108),单次交易!$E$2:$E$88),0),"激活价须高于买入价",IF(F108&lt;N108,"止损价不得低于初始止损",IF(F108&gt;E108,"止损价不得高于激活价",IF(AND(COUNTIFS($A$2:$A$157,"止损计划",$B$2:$B$157,B108,$D$2:$D$157,"&lt;"&amp;D108)&gt;0,OR(E108&lt;=SUMPRODUCT(MAX((($A$2:$A$157="止损计划")*($B$2:$B$157=B108)*($D$2:$D$157&lt;D108))*$E$2:$E$157)),F108&lt;SUMPRODUCT(MAX((($A$2:$A$157="止损计划")*($B$2:$B$157=B108)*($D$2:$D$157&lt;D108))*$F$2:$F$157)))),"阶段价格必须逐级提高","计划有效"))))))),IF(A108="每日跟踪",IF(OR(B108="",H108="",I108="",J108=""),"每日数据不完整",IF(COUNTIFS($A$2:$A$157,"每日跟踪",$B$2:$B$157,B108,$H$2:$H$157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IF(B109="","",IFERROR(LOOKUP(2,1/(单次交易!$A$2:$A$88=B109),单次交易!$B$2:$B$88),""))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IF(B109="","",IFERROR(LOOKUP(2,1/(单次交易!$A$2:$A$88=B109),单次交易!$N$2:$N$88),""))</f>
        <v/>
      </c>
      <c r="O109" s="5" t="str">
        <f t="shared" si="24"/>
        <v/>
      </c>
      <c r="P109" s="11" t="str">
        <f t="shared" si="25"/>
        <v/>
      </c>
      <c r="Q109" s="5" t="str">
        <f t="shared" si="26"/>
        <v/>
      </c>
      <c r="R109" s="10"/>
      <c r="S109" s="5" t="str">
        <f t="shared" si="27"/>
        <v/>
      </c>
      <c r="T109" s="5" t="str">
        <f t="shared" si="28"/>
        <v/>
      </c>
      <c r="U109" s="5" t="str">
        <f t="shared" si="29"/>
        <v/>
      </c>
      <c r="V109" s="7" t="str">
        <f t="shared" si="30"/>
        <v/>
      </c>
      <c r="W109" s="8" t="str">
        <f t="shared" si="31"/>
        <v/>
      </c>
      <c r="X109" s="2"/>
      <c r="Y109" s="10"/>
      <c r="Z109" s="11" t="str">
        <f>IF(X109&lt;&gt;"执行卖出","",IFERROR(LOOKUP(2,1/(单次交易!$A$2:$A$88=B109),单次交易!$AP$2:$AP$88),""))</f>
        <v/>
      </c>
      <c r="AA109" s="10"/>
      <c r="AB109" s="8" t="str">
        <f t="shared" si="32"/>
        <v/>
      </c>
      <c r="AC109" s="8" t="str">
        <f>IF(A109="","",IF(A109="止损计划",IF(OR(B109="",D109="",E109="",F109="",G109=""),"计划不完整",IF(OR(D109&lt;1,D109&lt;&gt;INT(D109)),"阶段序号无效",IF(COUNTIFS($A$2:$A$157,"止损计划",$B$2:$B$157,B109,$D$2:$D$157,D109)&gt;1,"阶段序号重复",IF(E109&lt;=IFERROR(LOOKUP(2,1/(单次交易!$A$2:$A$88=B109),单次交易!$E$2:$E$88),0),"激活价须高于买入价",IF(F109&lt;N109,"止损价不得低于初始止损",IF(F109&gt;E109,"止损价不得高于激活价",IF(AND(COUNTIFS($A$2:$A$157,"止损计划",$B$2:$B$157,B109,$D$2:$D$157,"&lt;"&amp;D109)&gt;0,OR(E109&lt;=SUMPRODUCT(MAX((($A$2:$A$157="止损计划")*($B$2:$B$157=B109)*($D$2:$D$157&lt;D109))*$E$2:$E$157)),F109&lt;SUMPRODUCT(MAX((($A$2:$A$157="止损计划")*($B$2:$B$157=B109)*($D$2:$D$157&lt;D109))*$F$2:$F$157)))),"阶段价格必须逐级提高","计划有效"))))))),IF(A109="每日跟踪",IF(OR(B109="",H109="",I109="",J109=""),"每日数据不完整",IF(COUNTIFS($A$2:$A$157,"每日跟踪",$B$2:$B$157,B109,$H$2:$H$157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IF(B110="","",IFERROR(LOOKUP(2,1/(单次交易!$A$2:$A$88=B110),单次交易!$B$2:$B$88),""))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IF(B110="","",IFERROR(LOOKUP(2,1/(单次交易!$A$2:$A$88=B110),单次交易!$N$2:$N$88),""))</f>
        <v/>
      </c>
      <c r="O110" s="5" t="str">
        <f t="shared" si="24"/>
        <v/>
      </c>
      <c r="P110" s="11" t="str">
        <f t="shared" si="25"/>
        <v/>
      </c>
      <c r="Q110" s="5" t="str">
        <f t="shared" si="26"/>
        <v/>
      </c>
      <c r="R110" s="10"/>
      <c r="S110" s="5" t="str">
        <f t="shared" si="27"/>
        <v/>
      </c>
      <c r="T110" s="5" t="str">
        <f t="shared" si="28"/>
        <v/>
      </c>
      <c r="U110" s="5" t="str">
        <f t="shared" si="29"/>
        <v/>
      </c>
      <c r="V110" s="7" t="str">
        <f t="shared" si="30"/>
        <v/>
      </c>
      <c r="W110" s="8" t="str">
        <f t="shared" si="31"/>
        <v/>
      </c>
      <c r="X110" s="2"/>
      <c r="Y110" s="10"/>
      <c r="Z110" s="11" t="str">
        <f>IF(X110&lt;&gt;"执行卖出","",IFERROR(LOOKUP(2,1/(单次交易!$A$2:$A$88=B110),单次交易!$AP$2:$AP$88),""))</f>
        <v/>
      </c>
      <c r="AA110" s="10"/>
      <c r="AB110" s="8" t="str">
        <f t="shared" si="32"/>
        <v/>
      </c>
      <c r="AC110" s="8" t="str">
        <f>IF(A110="","",IF(A110="止损计划",IF(OR(B110="",D110="",E110="",F110="",G110=""),"计划不完整",IF(OR(D110&lt;1,D110&lt;&gt;INT(D110)),"阶段序号无效",IF(COUNTIFS($A$2:$A$157,"止损计划",$B$2:$B$157,B110,$D$2:$D$157,D110)&gt;1,"阶段序号重复",IF(E110&lt;=IFERROR(LOOKUP(2,1/(单次交易!$A$2:$A$88=B110),单次交易!$E$2:$E$88),0),"激活价须高于买入价",IF(F110&lt;N110,"止损价不得低于初始止损",IF(F110&gt;E110,"止损价不得高于激活价",IF(AND(COUNTIFS($A$2:$A$157,"止损计划",$B$2:$B$157,B110,$D$2:$D$157,"&lt;"&amp;D110)&gt;0,OR(E110&lt;=SUMPRODUCT(MAX((($A$2:$A$157="止损计划")*($B$2:$B$157=B110)*($D$2:$D$157&lt;D110))*$E$2:$E$157)),F110&lt;SUMPRODUCT(MAX((($A$2:$A$157="止损计划")*($B$2:$B$157=B110)*($D$2:$D$157&lt;D110))*$F$2:$F$157)))),"阶段价格必须逐级提高","计划有效"))))))),IF(A110="每日跟踪",IF(OR(B110="",H110="",I110="",J110=""),"每日数据不完整",IF(COUNTIFS($A$2:$A$157,"每日跟踪",$B$2:$B$157,B110,$H$2:$H$157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IF(B111="","",IFERROR(LOOKUP(2,1/(单次交易!$A$2:$A$88=B111),单次交易!$B$2:$B$88),""))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IF(B111="","",IFERROR(LOOKUP(2,1/(单次交易!$A$2:$A$88=B111),单次交易!$N$2:$N$88),""))</f>
        <v/>
      </c>
      <c r="O111" s="5" t="str">
        <f t="shared" si="24"/>
        <v/>
      </c>
      <c r="P111" s="11" t="str">
        <f t="shared" si="25"/>
        <v/>
      </c>
      <c r="Q111" s="5" t="str">
        <f t="shared" si="26"/>
        <v/>
      </c>
      <c r="R111" s="10"/>
      <c r="S111" s="5" t="str">
        <f t="shared" si="27"/>
        <v/>
      </c>
      <c r="T111" s="5" t="str">
        <f t="shared" si="28"/>
        <v/>
      </c>
      <c r="U111" s="5" t="str">
        <f t="shared" si="29"/>
        <v/>
      </c>
      <c r="V111" s="7" t="str">
        <f t="shared" si="30"/>
        <v/>
      </c>
      <c r="W111" s="8" t="str">
        <f t="shared" si="31"/>
        <v/>
      </c>
      <c r="X111" s="2"/>
      <c r="Y111" s="10"/>
      <c r="Z111" s="11" t="str">
        <f>IF(X111&lt;&gt;"执行卖出","",IFERROR(LOOKUP(2,1/(单次交易!$A$2:$A$88=B111),单次交易!$AP$2:$AP$88),""))</f>
        <v/>
      </c>
      <c r="AA111" s="10"/>
      <c r="AB111" s="8" t="str">
        <f t="shared" si="32"/>
        <v/>
      </c>
      <c r="AC111" s="8" t="str">
        <f>IF(A111="","",IF(A111="止损计划",IF(OR(B111="",D111="",E111="",F111="",G111=""),"计划不完整",IF(OR(D111&lt;1,D111&lt;&gt;INT(D111)),"阶段序号无效",IF(COUNTIFS($A$2:$A$157,"止损计划",$B$2:$B$157,B111,$D$2:$D$157,D111)&gt;1,"阶段序号重复",IF(E111&lt;=IFERROR(LOOKUP(2,1/(单次交易!$A$2:$A$88=B111),单次交易!$E$2:$E$88),0),"激活价须高于买入价",IF(F111&lt;N111,"止损价不得低于初始止损",IF(F111&gt;E111,"止损价不得高于激活价",IF(AND(COUNTIFS($A$2:$A$157,"止损计划",$B$2:$B$157,B111,$D$2:$D$157,"&lt;"&amp;D111)&gt;0,OR(E111&lt;=SUMPRODUCT(MAX((($A$2:$A$157="止损计划")*($B$2:$B$157=B111)*($D$2:$D$157&lt;D111))*$E$2:$E$157)),F111&lt;SUMPRODUCT(MAX((($A$2:$A$157="止损计划")*($B$2:$B$157=B111)*($D$2:$D$157&lt;D111))*$F$2:$F$157)))),"阶段价格必须逐级提高","计划有效"))))))),IF(A111="每日跟踪",IF(OR(B111="",H111="",I111="",J111=""),"每日数据不完整",IF(COUNTIFS($A$2:$A$157,"每日跟踪",$B$2:$B$157,B111,$H$2:$H$157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IF(B112="","",IFERROR(LOOKUP(2,1/(单次交易!$A$2:$A$88=B112),单次交易!$B$2:$B$88),""))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IF(B112="","",IFERROR(LOOKUP(2,1/(单次交易!$A$2:$A$88=B112),单次交易!$N$2:$N$88),""))</f>
        <v/>
      </c>
      <c r="O112" s="5" t="str">
        <f t="shared" si="24"/>
        <v/>
      </c>
      <c r="P112" s="11" t="str">
        <f t="shared" si="25"/>
        <v/>
      </c>
      <c r="Q112" s="5" t="str">
        <f t="shared" si="26"/>
        <v/>
      </c>
      <c r="R112" s="10"/>
      <c r="S112" s="5" t="str">
        <f t="shared" si="27"/>
        <v/>
      </c>
      <c r="T112" s="5" t="str">
        <f t="shared" si="28"/>
        <v/>
      </c>
      <c r="U112" s="5" t="str">
        <f t="shared" si="29"/>
        <v/>
      </c>
      <c r="V112" s="7" t="str">
        <f t="shared" si="30"/>
        <v/>
      </c>
      <c r="W112" s="8" t="str">
        <f t="shared" si="31"/>
        <v/>
      </c>
      <c r="X112" s="2"/>
      <c r="Y112" s="10"/>
      <c r="Z112" s="11" t="str">
        <f>IF(X112&lt;&gt;"执行卖出","",IFERROR(LOOKUP(2,1/(单次交易!$A$2:$A$88=B112),单次交易!$AP$2:$AP$88),""))</f>
        <v/>
      </c>
      <c r="AA112" s="10"/>
      <c r="AB112" s="8" t="str">
        <f t="shared" si="32"/>
        <v/>
      </c>
      <c r="AC112" s="8" t="str">
        <f>IF(A112="","",IF(A112="止损计划",IF(OR(B112="",D112="",E112="",F112="",G112=""),"计划不完整",IF(OR(D112&lt;1,D112&lt;&gt;INT(D112)),"阶段序号无效",IF(COUNTIFS($A$2:$A$157,"止损计划",$B$2:$B$157,B112,$D$2:$D$157,D112)&gt;1,"阶段序号重复",IF(E112&lt;=IFERROR(LOOKUP(2,1/(单次交易!$A$2:$A$88=B112),单次交易!$E$2:$E$88),0),"激活价须高于买入价",IF(F112&lt;N112,"止损价不得低于初始止损",IF(F112&gt;E112,"止损价不得高于激活价",IF(AND(COUNTIFS($A$2:$A$157,"止损计划",$B$2:$B$157,B112,$D$2:$D$157,"&lt;"&amp;D112)&gt;0,OR(E112&lt;=SUMPRODUCT(MAX((($A$2:$A$157="止损计划")*($B$2:$B$157=B112)*($D$2:$D$157&lt;D112))*$E$2:$E$157)),F112&lt;SUMPRODUCT(MAX((($A$2:$A$157="止损计划")*($B$2:$B$157=B112)*($D$2:$D$157&lt;D112))*$F$2:$F$157)))),"阶段价格必须逐级提高","计划有效"))))))),IF(A112="每日跟踪",IF(OR(B112="",H112="",I112="",J112=""),"每日数据不完整",IF(COUNTIFS($A$2:$A$157,"每日跟踪",$B$2:$B$157,B112,$H$2:$H$157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IF(B113="","",IFERROR(LOOKUP(2,1/(单次交易!$A$2:$A$88=B113),单次交易!$B$2:$B$88),""))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IF(B113="","",IFERROR(LOOKUP(2,1/(单次交易!$A$2:$A$88=B113),单次交易!$N$2:$N$88),""))</f>
        <v/>
      </c>
      <c r="O113" s="5" t="str">
        <f t="shared" si="24"/>
        <v/>
      </c>
      <c r="P113" s="11" t="str">
        <f t="shared" si="25"/>
        <v/>
      </c>
      <c r="Q113" s="5" t="str">
        <f t="shared" si="26"/>
        <v/>
      </c>
      <c r="R113" s="10"/>
      <c r="S113" s="5" t="str">
        <f t="shared" si="27"/>
        <v/>
      </c>
      <c r="T113" s="5" t="str">
        <f t="shared" si="28"/>
        <v/>
      </c>
      <c r="U113" s="5" t="str">
        <f t="shared" si="29"/>
        <v/>
      </c>
      <c r="V113" s="7" t="str">
        <f t="shared" si="30"/>
        <v/>
      </c>
      <c r="W113" s="8" t="str">
        <f t="shared" si="31"/>
        <v/>
      </c>
      <c r="X113" s="2"/>
      <c r="Y113" s="10"/>
      <c r="Z113" s="11" t="str">
        <f>IF(X113&lt;&gt;"执行卖出","",IFERROR(LOOKUP(2,1/(单次交易!$A$2:$A$88=B113),单次交易!$AP$2:$AP$88),""))</f>
        <v/>
      </c>
      <c r="AA113" s="10"/>
      <c r="AB113" s="8" t="str">
        <f t="shared" si="32"/>
        <v/>
      </c>
      <c r="AC113" s="8" t="str">
        <f>IF(A113="","",IF(A113="止损计划",IF(OR(B113="",D113="",E113="",F113="",G113=""),"计划不完整",IF(OR(D113&lt;1,D113&lt;&gt;INT(D113)),"阶段序号无效",IF(COUNTIFS($A$2:$A$157,"止损计划",$B$2:$B$157,B113,$D$2:$D$157,D113)&gt;1,"阶段序号重复",IF(E113&lt;=IFERROR(LOOKUP(2,1/(单次交易!$A$2:$A$88=B113),单次交易!$E$2:$E$88),0),"激活价须高于买入价",IF(F113&lt;N113,"止损价不得低于初始止损",IF(F113&gt;E113,"止损价不得高于激活价",IF(AND(COUNTIFS($A$2:$A$157,"止损计划",$B$2:$B$157,B113,$D$2:$D$157,"&lt;"&amp;D113)&gt;0,OR(E113&lt;=SUMPRODUCT(MAX((($A$2:$A$157="止损计划")*($B$2:$B$157=B113)*($D$2:$D$157&lt;D113))*$E$2:$E$157)),F113&lt;SUMPRODUCT(MAX((($A$2:$A$157="止损计划")*($B$2:$B$157=B113)*($D$2:$D$157&lt;D113))*$F$2:$F$157)))),"阶段价格必须逐级提高","计划有效"))))))),IF(A113="每日跟踪",IF(OR(B113="",H113="",I113="",J113=""),"每日数据不完整",IF(COUNTIFS($A$2:$A$157,"每日跟踪",$B$2:$B$157,B113,$H$2:$H$157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IF(B114="","",IFERROR(LOOKUP(2,1/(单次交易!$A$2:$A$88=B114),单次交易!$B$2:$B$88),""))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IF(B114="","",IFERROR(LOOKUP(2,1/(单次交易!$A$2:$A$88=B114),单次交易!$N$2:$N$88),""))</f>
        <v/>
      </c>
      <c r="O114" s="5" t="str">
        <f t="shared" si="24"/>
        <v/>
      </c>
      <c r="P114" s="11" t="str">
        <f t="shared" si="25"/>
        <v/>
      </c>
      <c r="Q114" s="5" t="str">
        <f t="shared" si="26"/>
        <v/>
      </c>
      <c r="R114" s="10"/>
      <c r="S114" s="5" t="str">
        <f t="shared" si="27"/>
        <v/>
      </c>
      <c r="T114" s="5" t="str">
        <f t="shared" si="28"/>
        <v/>
      </c>
      <c r="U114" s="5" t="str">
        <f t="shared" si="29"/>
        <v/>
      </c>
      <c r="V114" s="7" t="str">
        <f t="shared" si="30"/>
        <v/>
      </c>
      <c r="W114" s="8" t="str">
        <f t="shared" si="31"/>
        <v/>
      </c>
      <c r="X114" s="2"/>
      <c r="Y114" s="10"/>
      <c r="Z114" s="11" t="str">
        <f>IF(X114&lt;&gt;"执行卖出","",IFERROR(LOOKUP(2,1/(单次交易!$A$2:$A$88=B114),单次交易!$AP$2:$AP$88),""))</f>
        <v/>
      </c>
      <c r="AA114" s="10"/>
      <c r="AB114" s="8" t="str">
        <f t="shared" si="32"/>
        <v/>
      </c>
      <c r="AC114" s="8" t="str">
        <f>IF(A114="","",IF(A114="止损计划",IF(OR(B114="",D114="",E114="",F114="",G114=""),"计划不完整",IF(OR(D114&lt;1,D114&lt;&gt;INT(D114)),"阶段序号无效",IF(COUNTIFS($A$2:$A$157,"止损计划",$B$2:$B$157,B114,$D$2:$D$157,D114)&gt;1,"阶段序号重复",IF(E114&lt;=IFERROR(LOOKUP(2,1/(单次交易!$A$2:$A$88=B114),单次交易!$E$2:$E$88),0),"激活价须高于买入价",IF(F114&lt;N114,"止损价不得低于初始止损",IF(F114&gt;E114,"止损价不得高于激活价",IF(AND(COUNTIFS($A$2:$A$157,"止损计划",$B$2:$B$157,B114,$D$2:$D$157,"&lt;"&amp;D114)&gt;0,OR(E114&lt;=SUMPRODUCT(MAX((($A$2:$A$157="止损计划")*($B$2:$B$157=B114)*($D$2:$D$157&lt;D114))*$E$2:$E$157)),F114&lt;SUMPRODUCT(MAX((($A$2:$A$157="止损计划")*($B$2:$B$157=B114)*($D$2:$D$157&lt;D114))*$F$2:$F$157)))),"阶段价格必须逐级提高","计划有效"))))))),IF(A114="每日跟踪",IF(OR(B114="",H114="",I114="",J114=""),"每日数据不完整",IF(COUNTIFS($A$2:$A$157,"每日跟踪",$B$2:$B$157,B114,$H$2:$H$157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IF(B115="","",IFERROR(LOOKUP(2,1/(单次交易!$A$2:$A$88=B115),单次交易!$B$2:$B$88),""))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IF(B115="","",IFERROR(LOOKUP(2,1/(单次交易!$A$2:$A$88=B115),单次交易!$N$2:$N$88),""))</f>
        <v/>
      </c>
      <c r="O115" s="5" t="str">
        <f t="shared" si="24"/>
        <v/>
      </c>
      <c r="P115" s="11" t="str">
        <f t="shared" si="25"/>
        <v/>
      </c>
      <c r="Q115" s="5" t="str">
        <f t="shared" si="26"/>
        <v/>
      </c>
      <c r="R115" s="10"/>
      <c r="S115" s="5" t="str">
        <f t="shared" si="27"/>
        <v/>
      </c>
      <c r="T115" s="5" t="str">
        <f t="shared" si="28"/>
        <v/>
      </c>
      <c r="U115" s="5" t="str">
        <f t="shared" si="29"/>
        <v/>
      </c>
      <c r="V115" s="7" t="str">
        <f t="shared" si="30"/>
        <v/>
      </c>
      <c r="W115" s="8" t="str">
        <f t="shared" si="31"/>
        <v/>
      </c>
      <c r="X115" s="2"/>
      <c r="Y115" s="10"/>
      <c r="Z115" s="11" t="str">
        <f>IF(X115&lt;&gt;"执行卖出","",IFERROR(LOOKUP(2,1/(单次交易!$A$2:$A$88=B115),单次交易!$AP$2:$AP$88),""))</f>
        <v/>
      </c>
      <c r="AA115" s="10"/>
      <c r="AB115" s="8" t="str">
        <f t="shared" si="32"/>
        <v/>
      </c>
      <c r="AC115" s="8" t="str">
        <f>IF(A115="","",IF(A115="止损计划",IF(OR(B115="",D115="",E115="",F115="",G115=""),"计划不完整",IF(OR(D115&lt;1,D115&lt;&gt;INT(D115)),"阶段序号无效",IF(COUNTIFS($A$2:$A$157,"止损计划",$B$2:$B$157,B115,$D$2:$D$157,D115)&gt;1,"阶段序号重复",IF(E115&lt;=IFERROR(LOOKUP(2,1/(单次交易!$A$2:$A$88=B115),单次交易!$E$2:$E$88),0),"激活价须高于买入价",IF(F115&lt;N115,"止损价不得低于初始止损",IF(F115&gt;E115,"止损价不得高于激活价",IF(AND(COUNTIFS($A$2:$A$157,"止损计划",$B$2:$B$157,B115,$D$2:$D$157,"&lt;"&amp;D115)&gt;0,OR(E115&lt;=SUMPRODUCT(MAX((($A$2:$A$157="止损计划")*($B$2:$B$157=B115)*($D$2:$D$157&lt;D115))*$E$2:$E$157)),F115&lt;SUMPRODUCT(MAX((($A$2:$A$157="止损计划")*($B$2:$B$157=B115)*($D$2:$D$157&lt;D115))*$F$2:$F$157)))),"阶段价格必须逐级提高","计划有效"))))))),IF(A115="每日跟踪",IF(OR(B115="",H115="",I115="",J115=""),"每日数据不完整",IF(COUNTIFS($A$2:$A$157,"每日跟踪",$B$2:$B$157,B115,$H$2:$H$157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IF(B116="","",IFERROR(LOOKUP(2,1/(单次交易!$A$2:$A$88=B116),单次交易!$B$2:$B$88),""))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IF(B116="","",IFERROR(LOOKUP(2,1/(单次交易!$A$2:$A$88=B116),单次交易!$N$2:$N$88),""))</f>
        <v/>
      </c>
      <c r="O116" s="5" t="str">
        <f t="shared" si="24"/>
        <v/>
      </c>
      <c r="P116" s="11" t="str">
        <f t="shared" si="25"/>
        <v/>
      </c>
      <c r="Q116" s="5" t="str">
        <f t="shared" si="26"/>
        <v/>
      </c>
      <c r="R116" s="10"/>
      <c r="S116" s="5" t="str">
        <f t="shared" si="27"/>
        <v/>
      </c>
      <c r="T116" s="5" t="str">
        <f t="shared" si="28"/>
        <v/>
      </c>
      <c r="U116" s="5" t="str">
        <f t="shared" si="29"/>
        <v/>
      </c>
      <c r="V116" s="7" t="str">
        <f t="shared" si="30"/>
        <v/>
      </c>
      <c r="W116" s="8" t="str">
        <f t="shared" si="31"/>
        <v/>
      </c>
      <c r="X116" s="2"/>
      <c r="Y116" s="10"/>
      <c r="Z116" s="11" t="str">
        <f>IF(X116&lt;&gt;"执行卖出","",IFERROR(LOOKUP(2,1/(单次交易!$A$2:$A$88=B116),单次交易!$AP$2:$AP$88),""))</f>
        <v/>
      </c>
      <c r="AA116" s="10"/>
      <c r="AB116" s="8" t="str">
        <f t="shared" si="32"/>
        <v/>
      </c>
      <c r="AC116" s="8" t="str">
        <f>IF(A116="","",IF(A116="止损计划",IF(OR(B116="",D116="",E116="",F116="",G116=""),"计划不完整",IF(OR(D116&lt;1,D116&lt;&gt;INT(D116)),"阶段序号无效",IF(COUNTIFS($A$2:$A$157,"止损计划",$B$2:$B$157,B116,$D$2:$D$157,D116)&gt;1,"阶段序号重复",IF(E116&lt;=IFERROR(LOOKUP(2,1/(单次交易!$A$2:$A$88=B116),单次交易!$E$2:$E$88),0),"激活价须高于买入价",IF(F116&lt;N116,"止损价不得低于初始止损",IF(F116&gt;E116,"止损价不得高于激活价",IF(AND(COUNTIFS($A$2:$A$157,"止损计划",$B$2:$B$157,B116,$D$2:$D$157,"&lt;"&amp;D116)&gt;0,OR(E116&lt;=SUMPRODUCT(MAX((($A$2:$A$157="止损计划")*($B$2:$B$157=B116)*($D$2:$D$157&lt;D116))*$E$2:$E$157)),F116&lt;SUMPRODUCT(MAX((($A$2:$A$157="止损计划")*($B$2:$B$157=B116)*($D$2:$D$157&lt;D116))*$F$2:$F$157)))),"阶段价格必须逐级提高","计划有效"))))))),IF(A116="每日跟踪",IF(OR(B116="",H116="",I116="",J116=""),"每日数据不完整",IF(COUNTIFS($A$2:$A$157,"每日跟踪",$B$2:$B$157,B116,$H$2:$H$157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IF(B117="","",IFERROR(LOOKUP(2,1/(单次交易!$A$2:$A$88=B117),单次交易!$B$2:$B$88),""))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IF(B117="","",IFERROR(LOOKUP(2,1/(单次交易!$A$2:$A$88=B117),单次交易!$N$2:$N$88),""))</f>
        <v/>
      </c>
      <c r="O117" s="5" t="str">
        <f t="shared" si="24"/>
        <v/>
      </c>
      <c r="P117" s="11" t="str">
        <f t="shared" si="25"/>
        <v/>
      </c>
      <c r="Q117" s="5" t="str">
        <f t="shared" si="26"/>
        <v/>
      </c>
      <c r="R117" s="10"/>
      <c r="S117" s="5" t="str">
        <f t="shared" si="27"/>
        <v/>
      </c>
      <c r="T117" s="5" t="str">
        <f t="shared" si="28"/>
        <v/>
      </c>
      <c r="U117" s="5" t="str">
        <f t="shared" si="29"/>
        <v/>
      </c>
      <c r="V117" s="7" t="str">
        <f t="shared" si="30"/>
        <v/>
      </c>
      <c r="W117" s="8" t="str">
        <f t="shared" si="31"/>
        <v/>
      </c>
      <c r="X117" s="2"/>
      <c r="Y117" s="10"/>
      <c r="Z117" s="11" t="str">
        <f>IF(X117&lt;&gt;"执行卖出","",IFERROR(LOOKUP(2,1/(单次交易!$A$2:$A$88=B117),单次交易!$AP$2:$AP$88),""))</f>
        <v/>
      </c>
      <c r="AA117" s="10"/>
      <c r="AB117" s="8" t="str">
        <f t="shared" si="32"/>
        <v/>
      </c>
      <c r="AC117" s="8" t="str">
        <f>IF(A117="","",IF(A117="止损计划",IF(OR(B117="",D117="",E117="",F117="",G117=""),"计划不完整",IF(OR(D117&lt;1,D117&lt;&gt;INT(D117)),"阶段序号无效",IF(COUNTIFS($A$2:$A$157,"止损计划",$B$2:$B$157,B117,$D$2:$D$157,D117)&gt;1,"阶段序号重复",IF(E117&lt;=IFERROR(LOOKUP(2,1/(单次交易!$A$2:$A$88=B117),单次交易!$E$2:$E$88),0),"激活价须高于买入价",IF(F117&lt;N117,"止损价不得低于初始止损",IF(F117&gt;E117,"止损价不得高于激活价",IF(AND(COUNTIFS($A$2:$A$157,"止损计划",$B$2:$B$157,B117,$D$2:$D$157,"&lt;"&amp;D117)&gt;0,OR(E117&lt;=SUMPRODUCT(MAX((($A$2:$A$157="止损计划")*($B$2:$B$157=B117)*($D$2:$D$157&lt;D117))*$E$2:$E$157)),F117&lt;SUMPRODUCT(MAX((($A$2:$A$157="止损计划")*($B$2:$B$157=B117)*($D$2:$D$157&lt;D117))*$F$2:$F$157)))),"阶段价格必须逐级提高","计划有效"))))))),IF(A117="每日跟踪",IF(OR(B117="",H117="",I117="",J117=""),"每日数据不完整",IF(COUNTIFS($A$2:$A$157,"每日跟踪",$B$2:$B$157,B117,$H$2:$H$157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IF(B118="","",IFERROR(LOOKUP(2,1/(单次交易!$A$2:$A$88=B118),单次交易!$B$2:$B$88),""))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IF(B118="","",IFERROR(LOOKUP(2,1/(单次交易!$A$2:$A$88=B118),单次交易!$N$2:$N$88),""))</f>
        <v/>
      </c>
      <c r="O118" s="5" t="str">
        <f t="shared" si="24"/>
        <v/>
      </c>
      <c r="P118" s="11" t="str">
        <f t="shared" si="25"/>
        <v/>
      </c>
      <c r="Q118" s="5" t="str">
        <f t="shared" si="26"/>
        <v/>
      </c>
      <c r="R118" s="10"/>
      <c r="S118" s="5" t="str">
        <f t="shared" si="27"/>
        <v/>
      </c>
      <c r="T118" s="5" t="str">
        <f t="shared" si="28"/>
        <v/>
      </c>
      <c r="U118" s="5" t="str">
        <f t="shared" si="29"/>
        <v/>
      </c>
      <c r="V118" s="7" t="str">
        <f t="shared" si="30"/>
        <v/>
      </c>
      <c r="W118" s="8" t="str">
        <f t="shared" si="31"/>
        <v/>
      </c>
      <c r="X118" s="2"/>
      <c r="Y118" s="10"/>
      <c r="Z118" s="11" t="str">
        <f>IF(X118&lt;&gt;"执行卖出","",IFERROR(LOOKUP(2,1/(单次交易!$A$2:$A$88=B118),单次交易!$AP$2:$AP$88),""))</f>
        <v/>
      </c>
      <c r="AA118" s="10"/>
      <c r="AB118" s="8" t="str">
        <f t="shared" si="32"/>
        <v/>
      </c>
      <c r="AC118" s="8" t="str">
        <f>IF(A118="","",IF(A118="止损计划",IF(OR(B118="",D118="",E118="",F118="",G118=""),"计划不完整",IF(OR(D118&lt;1,D118&lt;&gt;INT(D118)),"阶段序号无效",IF(COUNTIFS($A$2:$A$157,"止损计划",$B$2:$B$157,B118,$D$2:$D$157,D118)&gt;1,"阶段序号重复",IF(E118&lt;=IFERROR(LOOKUP(2,1/(单次交易!$A$2:$A$88=B118),单次交易!$E$2:$E$88),0),"激活价须高于买入价",IF(F118&lt;N118,"止损价不得低于初始止损",IF(F118&gt;E118,"止损价不得高于激活价",IF(AND(COUNTIFS($A$2:$A$157,"止损计划",$B$2:$B$157,B118,$D$2:$D$157,"&lt;"&amp;D118)&gt;0,OR(E118&lt;=SUMPRODUCT(MAX((($A$2:$A$157="止损计划")*($B$2:$B$157=B118)*($D$2:$D$157&lt;D118))*$E$2:$E$157)),F118&lt;SUMPRODUCT(MAX((($A$2:$A$157="止损计划")*($B$2:$B$157=B118)*($D$2:$D$157&lt;D118))*$F$2:$F$157)))),"阶段价格必须逐级提高","计划有效"))))))),IF(A118="每日跟踪",IF(OR(B118="",H118="",I118="",J118=""),"每日数据不完整",IF(COUNTIFS($A$2:$A$157,"每日跟踪",$B$2:$B$157,B118,$H$2:$H$157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IF(B119="","",IFERROR(LOOKUP(2,1/(单次交易!$A$2:$A$88=B119),单次交易!$B$2:$B$88),""))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IF(B119="","",IFERROR(LOOKUP(2,1/(单次交易!$A$2:$A$88=B119),单次交易!$N$2:$N$88),""))</f>
        <v/>
      </c>
      <c r="O119" s="5" t="str">
        <f t="shared" si="24"/>
        <v/>
      </c>
      <c r="P119" s="11" t="str">
        <f t="shared" si="25"/>
        <v/>
      </c>
      <c r="Q119" s="5" t="str">
        <f t="shared" si="26"/>
        <v/>
      </c>
      <c r="R119" s="10"/>
      <c r="S119" s="5" t="str">
        <f t="shared" si="27"/>
        <v/>
      </c>
      <c r="T119" s="5" t="str">
        <f t="shared" si="28"/>
        <v/>
      </c>
      <c r="U119" s="5" t="str">
        <f t="shared" si="29"/>
        <v/>
      </c>
      <c r="V119" s="7" t="str">
        <f t="shared" si="30"/>
        <v/>
      </c>
      <c r="W119" s="8" t="str">
        <f t="shared" si="31"/>
        <v/>
      </c>
      <c r="X119" s="2"/>
      <c r="Y119" s="10"/>
      <c r="Z119" s="11" t="str">
        <f>IF(X119&lt;&gt;"执行卖出","",IFERROR(LOOKUP(2,1/(单次交易!$A$2:$A$88=B119),单次交易!$AP$2:$AP$88),""))</f>
        <v/>
      </c>
      <c r="AA119" s="10"/>
      <c r="AB119" s="8" t="str">
        <f t="shared" si="32"/>
        <v/>
      </c>
      <c r="AC119" s="8" t="str">
        <f>IF(A119="","",IF(A119="止损计划",IF(OR(B119="",D119="",E119="",F119="",G119=""),"计划不完整",IF(OR(D119&lt;1,D119&lt;&gt;INT(D119)),"阶段序号无效",IF(COUNTIFS($A$2:$A$157,"止损计划",$B$2:$B$157,B119,$D$2:$D$157,D119)&gt;1,"阶段序号重复",IF(E119&lt;=IFERROR(LOOKUP(2,1/(单次交易!$A$2:$A$88=B119),单次交易!$E$2:$E$88),0),"激活价须高于买入价",IF(F119&lt;N119,"止损价不得低于初始止损",IF(F119&gt;E119,"止损价不得高于激活价",IF(AND(COUNTIFS($A$2:$A$157,"止损计划",$B$2:$B$157,B119,$D$2:$D$157,"&lt;"&amp;D119)&gt;0,OR(E119&lt;=SUMPRODUCT(MAX((($A$2:$A$157="止损计划")*($B$2:$B$157=B119)*($D$2:$D$157&lt;D119))*$E$2:$E$157)),F119&lt;SUMPRODUCT(MAX((($A$2:$A$157="止损计划")*($B$2:$B$157=B119)*($D$2:$D$157&lt;D119))*$F$2:$F$157)))),"阶段价格必须逐级提高","计划有效"))))))),IF(A119="每日跟踪",IF(OR(B119="",H119="",I119="",J119=""),"每日数据不完整",IF(COUNTIFS($A$2:$A$157,"每日跟踪",$B$2:$B$157,B119,$H$2:$H$157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IF(B120="","",IFERROR(LOOKUP(2,1/(单次交易!$A$2:$A$88=B120),单次交易!$B$2:$B$88),""))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IF(B120="","",IFERROR(LOOKUP(2,1/(单次交易!$A$2:$A$88=B120),单次交易!$N$2:$N$88),""))</f>
        <v/>
      </c>
      <c r="O120" s="5" t="str">
        <f t="shared" si="24"/>
        <v/>
      </c>
      <c r="P120" s="11" t="str">
        <f t="shared" si="25"/>
        <v/>
      </c>
      <c r="Q120" s="5" t="str">
        <f t="shared" si="26"/>
        <v/>
      </c>
      <c r="R120" s="10"/>
      <c r="S120" s="5" t="str">
        <f t="shared" si="27"/>
        <v/>
      </c>
      <c r="T120" s="5" t="str">
        <f t="shared" si="28"/>
        <v/>
      </c>
      <c r="U120" s="5" t="str">
        <f t="shared" si="29"/>
        <v/>
      </c>
      <c r="V120" s="7" t="str">
        <f t="shared" si="30"/>
        <v/>
      </c>
      <c r="W120" s="8" t="str">
        <f t="shared" si="31"/>
        <v/>
      </c>
      <c r="X120" s="2"/>
      <c r="Y120" s="10"/>
      <c r="Z120" s="11" t="str">
        <f>IF(X120&lt;&gt;"执行卖出","",IFERROR(LOOKUP(2,1/(单次交易!$A$2:$A$88=B120),单次交易!$AP$2:$AP$88),""))</f>
        <v/>
      </c>
      <c r="AA120" s="10"/>
      <c r="AB120" s="8" t="str">
        <f t="shared" si="32"/>
        <v/>
      </c>
      <c r="AC120" s="8" t="str">
        <f>IF(A120="","",IF(A120="止损计划",IF(OR(B120="",D120="",E120="",F120="",G120=""),"计划不完整",IF(OR(D120&lt;1,D120&lt;&gt;INT(D120)),"阶段序号无效",IF(COUNTIFS($A$2:$A$157,"止损计划",$B$2:$B$157,B120,$D$2:$D$157,D120)&gt;1,"阶段序号重复",IF(E120&lt;=IFERROR(LOOKUP(2,1/(单次交易!$A$2:$A$88=B120),单次交易!$E$2:$E$88),0),"激活价须高于买入价",IF(F120&lt;N120,"止损价不得低于初始止损",IF(F120&gt;E120,"止损价不得高于激活价",IF(AND(COUNTIFS($A$2:$A$157,"止损计划",$B$2:$B$157,B120,$D$2:$D$157,"&lt;"&amp;D120)&gt;0,OR(E120&lt;=SUMPRODUCT(MAX((($A$2:$A$157="止损计划")*($B$2:$B$157=B120)*($D$2:$D$157&lt;D120))*$E$2:$E$157)),F120&lt;SUMPRODUCT(MAX((($A$2:$A$157="止损计划")*($B$2:$B$157=B120)*($D$2:$D$157&lt;D120))*$F$2:$F$157)))),"阶段价格必须逐级提高","计划有效"))))))),IF(A120="每日跟踪",IF(OR(B120="",H120="",I120="",J120=""),"每日数据不完整",IF(COUNTIFS($A$2:$A$157,"每日跟踪",$B$2:$B$157,B120,$H$2:$H$157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IF(B121="","",IFERROR(LOOKUP(2,1/(单次交易!$A$2:$A$88=B121),单次交易!$B$2:$B$88),""))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IF(B121="","",IFERROR(LOOKUP(2,1/(单次交易!$A$2:$A$88=B121),单次交易!$N$2:$N$88),""))</f>
        <v/>
      </c>
      <c r="O121" s="5" t="str">
        <f t="shared" si="24"/>
        <v/>
      </c>
      <c r="P121" s="11" t="str">
        <f t="shared" si="25"/>
        <v/>
      </c>
      <c r="Q121" s="5" t="str">
        <f t="shared" si="26"/>
        <v/>
      </c>
      <c r="R121" s="10"/>
      <c r="S121" s="5" t="str">
        <f t="shared" si="27"/>
        <v/>
      </c>
      <c r="T121" s="5" t="str">
        <f t="shared" si="28"/>
        <v/>
      </c>
      <c r="U121" s="5" t="str">
        <f t="shared" si="29"/>
        <v/>
      </c>
      <c r="V121" s="7" t="str">
        <f t="shared" si="30"/>
        <v/>
      </c>
      <c r="W121" s="8" t="str">
        <f t="shared" si="31"/>
        <v/>
      </c>
      <c r="X121" s="2"/>
      <c r="Y121" s="10"/>
      <c r="Z121" s="11" t="str">
        <f>IF(X121&lt;&gt;"执行卖出","",IFERROR(LOOKUP(2,1/(单次交易!$A$2:$A$88=B121),单次交易!$AP$2:$AP$88),""))</f>
        <v/>
      </c>
      <c r="AA121" s="10"/>
      <c r="AB121" s="8" t="str">
        <f t="shared" si="32"/>
        <v/>
      </c>
      <c r="AC121" s="8" t="str">
        <f>IF(A121="","",IF(A121="止损计划",IF(OR(B121="",D121="",E121="",F121="",G121=""),"计划不完整",IF(OR(D121&lt;1,D121&lt;&gt;INT(D121)),"阶段序号无效",IF(COUNTIFS($A$2:$A$157,"止损计划",$B$2:$B$157,B121,$D$2:$D$157,D121)&gt;1,"阶段序号重复",IF(E121&lt;=IFERROR(LOOKUP(2,1/(单次交易!$A$2:$A$88=B121),单次交易!$E$2:$E$88),0),"激活价须高于买入价",IF(F121&lt;N121,"止损价不得低于初始止损",IF(F121&gt;E121,"止损价不得高于激活价",IF(AND(COUNTIFS($A$2:$A$157,"止损计划",$B$2:$B$157,B121,$D$2:$D$157,"&lt;"&amp;D121)&gt;0,OR(E121&lt;=SUMPRODUCT(MAX((($A$2:$A$157="止损计划")*($B$2:$B$157=B121)*($D$2:$D$157&lt;D121))*$E$2:$E$157)),F121&lt;SUMPRODUCT(MAX((($A$2:$A$157="止损计划")*($B$2:$B$157=B121)*($D$2:$D$157&lt;D121))*$F$2:$F$157)))),"阶段价格必须逐级提高","计划有效"))))))),IF(A121="每日跟踪",IF(OR(B121="",H121="",I121="",J121=""),"每日数据不完整",IF(COUNTIFS($A$2:$A$157,"每日跟踪",$B$2:$B$157,B121,$H$2:$H$157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IF(B122="","",IFERROR(LOOKUP(2,1/(单次交易!$A$2:$A$88=B122),单次交易!$B$2:$B$88),""))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IF(B122="","",IFERROR(LOOKUP(2,1/(单次交易!$A$2:$A$88=B122),单次交易!$N$2:$N$88),""))</f>
        <v/>
      </c>
      <c r="O122" s="5" t="str">
        <f t="shared" si="24"/>
        <v/>
      </c>
      <c r="P122" s="11" t="str">
        <f t="shared" si="25"/>
        <v/>
      </c>
      <c r="Q122" s="5" t="str">
        <f t="shared" si="26"/>
        <v/>
      </c>
      <c r="R122" s="10"/>
      <c r="S122" s="5" t="str">
        <f t="shared" si="27"/>
        <v/>
      </c>
      <c r="T122" s="5" t="str">
        <f t="shared" si="28"/>
        <v/>
      </c>
      <c r="U122" s="5" t="str">
        <f t="shared" si="29"/>
        <v/>
      </c>
      <c r="V122" s="7" t="str">
        <f t="shared" si="30"/>
        <v/>
      </c>
      <c r="W122" s="8" t="str">
        <f t="shared" si="31"/>
        <v/>
      </c>
      <c r="X122" s="2"/>
      <c r="Y122" s="10"/>
      <c r="Z122" s="11" t="str">
        <f>IF(X122&lt;&gt;"执行卖出","",IFERROR(LOOKUP(2,1/(单次交易!$A$2:$A$88=B122),单次交易!$AP$2:$AP$88),""))</f>
        <v/>
      </c>
      <c r="AA122" s="10"/>
      <c r="AB122" s="8" t="str">
        <f t="shared" si="32"/>
        <v/>
      </c>
      <c r="AC122" s="8" t="str">
        <f>IF(A122="","",IF(A122="止损计划",IF(OR(B122="",D122="",E122="",F122="",G122=""),"计划不完整",IF(OR(D122&lt;1,D122&lt;&gt;INT(D122)),"阶段序号无效",IF(COUNTIFS($A$2:$A$157,"止损计划",$B$2:$B$157,B122,$D$2:$D$157,D122)&gt;1,"阶段序号重复",IF(E122&lt;=IFERROR(LOOKUP(2,1/(单次交易!$A$2:$A$88=B122),单次交易!$E$2:$E$88),0),"激活价须高于买入价",IF(F122&lt;N122,"止损价不得低于初始止损",IF(F122&gt;E122,"止损价不得高于激活价",IF(AND(COUNTIFS($A$2:$A$157,"止损计划",$B$2:$B$157,B122,$D$2:$D$157,"&lt;"&amp;D122)&gt;0,OR(E122&lt;=SUMPRODUCT(MAX((($A$2:$A$157="止损计划")*($B$2:$B$157=B122)*($D$2:$D$157&lt;D122))*$E$2:$E$157)),F122&lt;SUMPRODUCT(MAX((($A$2:$A$157="止损计划")*($B$2:$B$157=B122)*($D$2:$D$157&lt;D122))*$F$2:$F$157)))),"阶段价格必须逐级提高","计划有效"))))))),IF(A122="每日跟踪",IF(OR(B122="",H122="",I122="",J122=""),"每日数据不完整",IF(COUNTIFS($A$2:$A$157,"每日跟踪",$B$2:$B$157,B122,$H$2:$H$157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IF(B123="","",IFERROR(LOOKUP(2,1/(单次交易!$A$2:$A$88=B123),单次交易!$B$2:$B$88),""))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IF(B123="","",IFERROR(LOOKUP(2,1/(单次交易!$A$2:$A$88=B123),单次交易!$N$2:$N$88),""))</f>
        <v/>
      </c>
      <c r="O123" s="5" t="str">
        <f t="shared" si="24"/>
        <v/>
      </c>
      <c r="P123" s="11" t="str">
        <f t="shared" si="25"/>
        <v/>
      </c>
      <c r="Q123" s="5" t="str">
        <f t="shared" si="26"/>
        <v/>
      </c>
      <c r="R123" s="10"/>
      <c r="S123" s="5" t="str">
        <f t="shared" si="27"/>
        <v/>
      </c>
      <c r="T123" s="5" t="str">
        <f t="shared" si="28"/>
        <v/>
      </c>
      <c r="U123" s="5" t="str">
        <f t="shared" si="29"/>
        <v/>
      </c>
      <c r="V123" s="7" t="str">
        <f t="shared" si="30"/>
        <v/>
      </c>
      <c r="W123" s="8" t="str">
        <f t="shared" si="31"/>
        <v/>
      </c>
      <c r="X123" s="2"/>
      <c r="Y123" s="10"/>
      <c r="Z123" s="11" t="str">
        <f>IF(X123&lt;&gt;"执行卖出","",IFERROR(LOOKUP(2,1/(单次交易!$A$2:$A$88=B123),单次交易!$AP$2:$AP$88),""))</f>
        <v/>
      </c>
      <c r="AA123" s="10"/>
      <c r="AB123" s="8" t="str">
        <f t="shared" si="32"/>
        <v/>
      </c>
      <c r="AC123" s="8" t="str">
        <f>IF(A123="","",IF(A123="止损计划",IF(OR(B123="",D123="",E123="",F123="",G123=""),"计划不完整",IF(OR(D123&lt;1,D123&lt;&gt;INT(D123)),"阶段序号无效",IF(COUNTIFS($A$2:$A$157,"止损计划",$B$2:$B$157,B123,$D$2:$D$157,D123)&gt;1,"阶段序号重复",IF(E123&lt;=IFERROR(LOOKUP(2,1/(单次交易!$A$2:$A$88=B123),单次交易!$E$2:$E$88),0),"激活价须高于买入价",IF(F123&lt;N123,"止损价不得低于初始止损",IF(F123&gt;E123,"止损价不得高于激活价",IF(AND(COUNTIFS($A$2:$A$157,"止损计划",$B$2:$B$157,B123,$D$2:$D$157,"&lt;"&amp;D123)&gt;0,OR(E123&lt;=SUMPRODUCT(MAX((($A$2:$A$157="止损计划")*($B$2:$B$157=B123)*($D$2:$D$157&lt;D123))*$E$2:$E$157)),F123&lt;SUMPRODUCT(MAX((($A$2:$A$157="止损计划")*($B$2:$B$157=B123)*($D$2:$D$157&lt;D123))*$F$2:$F$157)))),"阶段价格必须逐级提高","计划有效"))))))),IF(A123="每日跟踪",IF(OR(B123="",H123="",I123="",J123=""),"每日数据不完整",IF(COUNTIFS($A$2:$A$157,"每日跟踪",$B$2:$B$157,B123,$H$2:$H$157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IF(B124="","",IFERROR(LOOKUP(2,1/(单次交易!$A$2:$A$88=B124),单次交易!$B$2:$B$88),""))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IF(B124="","",IFERROR(LOOKUP(2,1/(单次交易!$A$2:$A$88=B124),单次交易!$N$2:$N$88),""))</f>
        <v/>
      </c>
      <c r="O124" s="5" t="str">
        <f t="shared" si="24"/>
        <v/>
      </c>
      <c r="P124" s="11" t="str">
        <f t="shared" si="25"/>
        <v/>
      </c>
      <c r="Q124" s="5" t="str">
        <f t="shared" si="26"/>
        <v/>
      </c>
      <c r="R124" s="10"/>
      <c r="S124" s="5" t="str">
        <f t="shared" si="27"/>
        <v/>
      </c>
      <c r="T124" s="5" t="str">
        <f t="shared" si="28"/>
        <v/>
      </c>
      <c r="U124" s="5" t="str">
        <f t="shared" si="29"/>
        <v/>
      </c>
      <c r="V124" s="7" t="str">
        <f t="shared" si="30"/>
        <v/>
      </c>
      <c r="W124" s="8" t="str">
        <f t="shared" si="31"/>
        <v/>
      </c>
      <c r="X124" s="2"/>
      <c r="Y124" s="10"/>
      <c r="Z124" s="11" t="str">
        <f>IF(X124&lt;&gt;"执行卖出","",IFERROR(LOOKUP(2,1/(单次交易!$A$2:$A$88=B124),单次交易!$AP$2:$AP$88),""))</f>
        <v/>
      </c>
      <c r="AA124" s="10"/>
      <c r="AB124" s="8" t="str">
        <f t="shared" si="32"/>
        <v/>
      </c>
      <c r="AC124" s="8" t="str">
        <f>IF(A124="","",IF(A124="止损计划",IF(OR(B124="",D124="",E124="",F124="",G124=""),"计划不完整",IF(OR(D124&lt;1,D124&lt;&gt;INT(D124)),"阶段序号无效",IF(COUNTIFS($A$2:$A$157,"止损计划",$B$2:$B$157,B124,$D$2:$D$157,D124)&gt;1,"阶段序号重复",IF(E124&lt;=IFERROR(LOOKUP(2,1/(单次交易!$A$2:$A$88=B124),单次交易!$E$2:$E$88),0),"激活价须高于买入价",IF(F124&lt;N124,"止损价不得低于初始止损",IF(F124&gt;E124,"止损价不得高于激活价",IF(AND(COUNTIFS($A$2:$A$157,"止损计划",$B$2:$B$157,B124,$D$2:$D$157,"&lt;"&amp;D124)&gt;0,OR(E124&lt;=SUMPRODUCT(MAX((($A$2:$A$157="止损计划")*($B$2:$B$157=B124)*($D$2:$D$157&lt;D124))*$E$2:$E$157)),F124&lt;SUMPRODUCT(MAX((($A$2:$A$157="止损计划")*($B$2:$B$157=B124)*($D$2:$D$157&lt;D124))*$F$2:$F$157)))),"阶段价格必须逐级提高","计划有效"))))))),IF(A124="每日跟踪",IF(OR(B124="",H124="",I124="",J124=""),"每日数据不完整",IF(COUNTIFS($A$2:$A$157,"每日跟踪",$B$2:$B$157,B124,$H$2:$H$157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IF(B125="","",IFERROR(LOOKUP(2,1/(单次交易!$A$2:$A$88=B125),单次交易!$B$2:$B$88),""))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IF(B125="","",IFERROR(LOOKUP(2,1/(单次交易!$A$2:$A$88=B125),单次交易!$N$2:$N$88),""))</f>
        <v/>
      </c>
      <c r="O125" s="5" t="str">
        <f t="shared" si="24"/>
        <v/>
      </c>
      <c r="P125" s="11" t="str">
        <f t="shared" si="25"/>
        <v/>
      </c>
      <c r="Q125" s="5" t="str">
        <f t="shared" si="26"/>
        <v/>
      </c>
      <c r="R125" s="10"/>
      <c r="S125" s="5" t="str">
        <f t="shared" si="27"/>
        <v/>
      </c>
      <c r="T125" s="5" t="str">
        <f t="shared" si="28"/>
        <v/>
      </c>
      <c r="U125" s="5" t="str">
        <f t="shared" si="29"/>
        <v/>
      </c>
      <c r="V125" s="7" t="str">
        <f t="shared" si="30"/>
        <v/>
      </c>
      <c r="W125" s="8" t="str">
        <f t="shared" si="31"/>
        <v/>
      </c>
      <c r="X125" s="2"/>
      <c r="Y125" s="10"/>
      <c r="Z125" s="11" t="str">
        <f>IF(X125&lt;&gt;"执行卖出","",IFERROR(LOOKUP(2,1/(单次交易!$A$2:$A$88=B125),单次交易!$AP$2:$AP$88),""))</f>
        <v/>
      </c>
      <c r="AA125" s="10"/>
      <c r="AB125" s="8" t="str">
        <f t="shared" si="32"/>
        <v/>
      </c>
      <c r="AC125" s="8" t="str">
        <f>IF(A125="","",IF(A125="止损计划",IF(OR(B125="",D125="",E125="",F125="",G125=""),"计划不完整",IF(OR(D125&lt;1,D125&lt;&gt;INT(D125)),"阶段序号无效",IF(COUNTIFS($A$2:$A$157,"止损计划",$B$2:$B$157,B125,$D$2:$D$157,D125)&gt;1,"阶段序号重复",IF(E125&lt;=IFERROR(LOOKUP(2,1/(单次交易!$A$2:$A$88=B125),单次交易!$E$2:$E$88),0),"激活价须高于买入价",IF(F125&lt;N125,"止损价不得低于初始止损",IF(F125&gt;E125,"止损价不得高于激活价",IF(AND(COUNTIFS($A$2:$A$157,"止损计划",$B$2:$B$157,B125,$D$2:$D$157,"&lt;"&amp;D125)&gt;0,OR(E125&lt;=SUMPRODUCT(MAX((($A$2:$A$157="止损计划")*($B$2:$B$157=B125)*($D$2:$D$157&lt;D125))*$E$2:$E$157)),F125&lt;SUMPRODUCT(MAX((($A$2:$A$157="止损计划")*($B$2:$B$157=B125)*($D$2:$D$157&lt;D125))*$F$2:$F$157)))),"阶段价格必须逐级提高","计划有效"))))))),IF(A125="每日跟踪",IF(OR(B125="",H125="",I125="",J125=""),"每日数据不完整",IF(COUNTIFS($A$2:$A$157,"每日跟踪",$B$2:$B$157,B125,$H$2:$H$157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IF(B126="","",IFERROR(LOOKUP(2,1/(单次交易!$A$2:$A$88=B126),单次交易!$B$2:$B$88),""))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IF(B126="","",IFERROR(LOOKUP(2,1/(单次交易!$A$2:$A$88=B126),单次交易!$N$2:$N$88),""))</f>
        <v/>
      </c>
      <c r="O126" s="5" t="str">
        <f t="shared" si="24"/>
        <v/>
      </c>
      <c r="P126" s="11" t="str">
        <f t="shared" si="25"/>
        <v/>
      </c>
      <c r="Q126" s="5" t="str">
        <f t="shared" si="26"/>
        <v/>
      </c>
      <c r="R126" s="10"/>
      <c r="S126" s="5" t="str">
        <f t="shared" si="27"/>
        <v/>
      </c>
      <c r="T126" s="5" t="str">
        <f t="shared" si="28"/>
        <v/>
      </c>
      <c r="U126" s="5" t="str">
        <f t="shared" si="29"/>
        <v/>
      </c>
      <c r="V126" s="7" t="str">
        <f t="shared" si="30"/>
        <v/>
      </c>
      <c r="W126" s="8" t="str">
        <f t="shared" si="31"/>
        <v/>
      </c>
      <c r="X126" s="2"/>
      <c r="Y126" s="10"/>
      <c r="Z126" s="11" t="str">
        <f>IF(X126&lt;&gt;"执行卖出","",IFERROR(LOOKUP(2,1/(单次交易!$A$2:$A$88=B126),单次交易!$AP$2:$AP$88),""))</f>
        <v/>
      </c>
      <c r="AA126" s="10"/>
      <c r="AB126" s="8" t="str">
        <f t="shared" si="32"/>
        <v/>
      </c>
      <c r="AC126" s="8" t="str">
        <f>IF(A126="","",IF(A126="止损计划",IF(OR(B126="",D126="",E126="",F126="",G126=""),"计划不完整",IF(OR(D126&lt;1,D126&lt;&gt;INT(D126)),"阶段序号无效",IF(COUNTIFS($A$2:$A$157,"止损计划",$B$2:$B$157,B126,$D$2:$D$157,D126)&gt;1,"阶段序号重复",IF(E126&lt;=IFERROR(LOOKUP(2,1/(单次交易!$A$2:$A$88=B126),单次交易!$E$2:$E$88),0),"激活价须高于买入价",IF(F126&lt;N126,"止损价不得低于初始止损",IF(F126&gt;E126,"止损价不得高于激活价",IF(AND(COUNTIFS($A$2:$A$157,"止损计划",$B$2:$B$157,B126,$D$2:$D$157,"&lt;"&amp;D126)&gt;0,OR(E126&lt;=SUMPRODUCT(MAX((($A$2:$A$157="止损计划")*($B$2:$B$157=B126)*($D$2:$D$157&lt;D126))*$E$2:$E$157)),F126&lt;SUMPRODUCT(MAX((($A$2:$A$157="止损计划")*($B$2:$B$157=B126)*($D$2:$D$157&lt;D126))*$F$2:$F$157)))),"阶段价格必须逐级提高","计划有效"))))))),IF(A126="每日跟踪",IF(OR(B126="",H126="",I126="",J126=""),"每日数据不完整",IF(COUNTIFS($A$2:$A$157,"每日跟踪",$B$2:$B$157,B126,$H$2:$H$157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IF(B127="","",IFERROR(LOOKUP(2,1/(单次交易!$A$2:$A$88=B127),单次交易!$B$2:$B$88),""))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IF(B127="","",IFERROR(LOOKUP(2,1/(单次交易!$A$2:$A$88=B127),单次交易!$N$2:$N$88),""))</f>
        <v/>
      </c>
      <c r="O127" s="5" t="str">
        <f t="shared" si="24"/>
        <v/>
      </c>
      <c r="P127" s="11" t="str">
        <f t="shared" si="25"/>
        <v/>
      </c>
      <c r="Q127" s="5" t="str">
        <f t="shared" si="26"/>
        <v/>
      </c>
      <c r="R127" s="10"/>
      <c r="S127" s="5" t="str">
        <f t="shared" si="27"/>
        <v/>
      </c>
      <c r="T127" s="5" t="str">
        <f t="shared" si="28"/>
        <v/>
      </c>
      <c r="U127" s="5" t="str">
        <f t="shared" si="29"/>
        <v/>
      </c>
      <c r="V127" s="7" t="str">
        <f t="shared" si="30"/>
        <v/>
      </c>
      <c r="W127" s="8" t="str">
        <f t="shared" si="31"/>
        <v/>
      </c>
      <c r="X127" s="2"/>
      <c r="Y127" s="10"/>
      <c r="Z127" s="11" t="str">
        <f>IF(X127&lt;&gt;"执行卖出","",IFERROR(LOOKUP(2,1/(单次交易!$A$2:$A$88=B127),单次交易!$AP$2:$AP$88),""))</f>
        <v/>
      </c>
      <c r="AA127" s="10"/>
      <c r="AB127" s="8" t="str">
        <f t="shared" si="32"/>
        <v/>
      </c>
      <c r="AC127" s="8" t="str">
        <f>IF(A127="","",IF(A127="止损计划",IF(OR(B127="",D127="",E127="",F127="",G127=""),"计划不完整",IF(OR(D127&lt;1,D127&lt;&gt;INT(D127)),"阶段序号无效",IF(COUNTIFS($A$2:$A$157,"止损计划",$B$2:$B$157,B127,$D$2:$D$157,D127)&gt;1,"阶段序号重复",IF(E127&lt;=IFERROR(LOOKUP(2,1/(单次交易!$A$2:$A$88=B127),单次交易!$E$2:$E$88),0),"激活价须高于买入价",IF(F127&lt;N127,"止损价不得低于初始止损",IF(F127&gt;E127,"止损价不得高于激活价",IF(AND(COUNTIFS($A$2:$A$157,"止损计划",$B$2:$B$157,B127,$D$2:$D$157,"&lt;"&amp;D127)&gt;0,OR(E127&lt;=SUMPRODUCT(MAX((($A$2:$A$157="止损计划")*($B$2:$B$157=B127)*($D$2:$D$157&lt;D127))*$E$2:$E$157)),F127&lt;SUMPRODUCT(MAX((($A$2:$A$157="止损计划")*($B$2:$B$157=B127)*($D$2:$D$157&lt;D127))*$F$2:$F$157)))),"阶段价格必须逐级提高","计划有效"))))))),IF(A127="每日跟踪",IF(OR(B127="",H127="",I127="",J127=""),"每日数据不完整",IF(COUNTIFS($A$2:$A$157,"每日跟踪",$B$2:$B$157,B127,$H$2:$H$157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IF(B128="","",IFERROR(LOOKUP(2,1/(单次交易!$A$2:$A$88=B128),单次交易!$B$2:$B$88),""))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IF(B128="","",IFERROR(LOOKUP(2,1/(单次交易!$A$2:$A$88=B128),单次交易!$N$2:$N$88),""))</f>
        <v/>
      </c>
      <c r="O128" s="5" t="str">
        <f t="shared" si="24"/>
        <v/>
      </c>
      <c r="P128" s="11" t="str">
        <f t="shared" si="25"/>
        <v/>
      </c>
      <c r="Q128" s="5" t="str">
        <f t="shared" si="26"/>
        <v/>
      </c>
      <c r="R128" s="10"/>
      <c r="S128" s="5" t="str">
        <f t="shared" si="27"/>
        <v/>
      </c>
      <c r="T128" s="5" t="str">
        <f t="shared" si="28"/>
        <v/>
      </c>
      <c r="U128" s="5" t="str">
        <f t="shared" si="29"/>
        <v/>
      </c>
      <c r="V128" s="7" t="str">
        <f t="shared" si="30"/>
        <v/>
      </c>
      <c r="W128" s="8" t="str">
        <f t="shared" si="31"/>
        <v/>
      </c>
      <c r="X128" s="2"/>
      <c r="Y128" s="10"/>
      <c r="Z128" s="11" t="str">
        <f>IF(X128&lt;&gt;"执行卖出","",IFERROR(LOOKUP(2,1/(单次交易!$A$2:$A$88=B128),单次交易!$AP$2:$AP$88),""))</f>
        <v/>
      </c>
      <c r="AA128" s="10"/>
      <c r="AB128" s="8" t="str">
        <f t="shared" si="32"/>
        <v/>
      </c>
      <c r="AC128" s="8" t="str">
        <f>IF(A128="","",IF(A128="止损计划",IF(OR(B128="",D128="",E128="",F128="",G128=""),"计划不完整",IF(OR(D128&lt;1,D128&lt;&gt;INT(D128)),"阶段序号无效",IF(COUNTIFS($A$2:$A$157,"止损计划",$B$2:$B$157,B128,$D$2:$D$157,D128)&gt;1,"阶段序号重复",IF(E128&lt;=IFERROR(LOOKUP(2,1/(单次交易!$A$2:$A$88=B128),单次交易!$E$2:$E$88),0),"激活价须高于买入价",IF(F128&lt;N128,"止损价不得低于初始止损",IF(F128&gt;E128,"止损价不得高于激活价",IF(AND(COUNTIFS($A$2:$A$157,"止损计划",$B$2:$B$157,B128,$D$2:$D$157,"&lt;"&amp;D128)&gt;0,OR(E128&lt;=SUMPRODUCT(MAX((($A$2:$A$157="止损计划")*($B$2:$B$157=B128)*($D$2:$D$157&lt;D128))*$E$2:$E$157)),F128&lt;SUMPRODUCT(MAX((($A$2:$A$157="止损计划")*($B$2:$B$157=B128)*($D$2:$D$157&lt;D128))*$F$2:$F$157)))),"阶段价格必须逐级提高","计划有效"))))))),IF(A128="每日跟踪",IF(OR(B128="",H128="",I128="",J128=""),"每日数据不完整",IF(COUNTIFS($A$2:$A$157,"每日跟踪",$B$2:$B$157,B128,$H$2:$H$157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IF(B129="","",IFERROR(LOOKUP(2,1/(单次交易!$A$2:$A$88=B129),单次交易!$B$2:$B$88),""))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IF(B129="","",IFERROR(LOOKUP(2,1/(单次交易!$A$2:$A$88=B129),单次交易!$N$2:$N$88),""))</f>
        <v/>
      </c>
      <c r="O129" s="5" t="str">
        <f t="shared" si="24"/>
        <v/>
      </c>
      <c r="P129" s="11" t="str">
        <f t="shared" si="25"/>
        <v/>
      </c>
      <c r="Q129" s="5" t="str">
        <f t="shared" si="26"/>
        <v/>
      </c>
      <c r="R129" s="10"/>
      <c r="S129" s="5" t="str">
        <f t="shared" si="27"/>
        <v/>
      </c>
      <c r="T129" s="5" t="str">
        <f t="shared" si="28"/>
        <v/>
      </c>
      <c r="U129" s="5" t="str">
        <f t="shared" si="29"/>
        <v/>
      </c>
      <c r="V129" s="7" t="str">
        <f t="shared" si="30"/>
        <v/>
      </c>
      <c r="W129" s="8" t="str">
        <f t="shared" si="31"/>
        <v/>
      </c>
      <c r="X129" s="2"/>
      <c r="Y129" s="10"/>
      <c r="Z129" s="11" t="str">
        <f>IF(X129&lt;&gt;"执行卖出","",IFERROR(LOOKUP(2,1/(单次交易!$A$2:$A$88=B129),单次交易!$AP$2:$AP$88),""))</f>
        <v/>
      </c>
      <c r="AA129" s="10"/>
      <c r="AB129" s="8" t="str">
        <f t="shared" si="32"/>
        <v/>
      </c>
      <c r="AC129" s="8" t="str">
        <f>IF(A129="","",IF(A129="止损计划",IF(OR(B129="",D129="",E129="",F129="",G129=""),"计划不完整",IF(OR(D129&lt;1,D129&lt;&gt;INT(D129)),"阶段序号无效",IF(COUNTIFS($A$2:$A$157,"止损计划",$B$2:$B$157,B129,$D$2:$D$157,D129)&gt;1,"阶段序号重复",IF(E129&lt;=IFERROR(LOOKUP(2,1/(单次交易!$A$2:$A$88=B129),单次交易!$E$2:$E$88),0),"激活价须高于买入价",IF(F129&lt;N129,"止损价不得低于初始止损",IF(F129&gt;E129,"止损价不得高于激活价",IF(AND(COUNTIFS($A$2:$A$157,"止损计划",$B$2:$B$157,B129,$D$2:$D$157,"&lt;"&amp;D129)&gt;0,OR(E129&lt;=SUMPRODUCT(MAX((($A$2:$A$157="止损计划")*($B$2:$B$157=B129)*($D$2:$D$157&lt;D129))*$E$2:$E$157)),F129&lt;SUMPRODUCT(MAX((($A$2:$A$157="止损计划")*($B$2:$B$157=B129)*($D$2:$D$157&lt;D129))*$F$2:$F$157)))),"阶段价格必须逐级提高","计划有效"))))))),IF(A129="每日跟踪",IF(OR(B129="",H129="",I129="",J129=""),"每日数据不完整",IF(COUNTIFS($A$2:$A$157,"每日跟踪",$B$2:$B$157,B129,$H$2:$H$157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IF(B130="","",IFERROR(LOOKUP(2,1/(单次交易!$A$2:$A$88=B130),单次交易!$B$2:$B$88),""))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IF(B130="","",IFERROR(LOOKUP(2,1/(单次交易!$A$2:$A$88=B130),单次交易!$N$2:$N$88),""))</f>
        <v/>
      </c>
      <c r="O130" s="5" t="str">
        <f t="shared" ref="O130:O157" si="33">IF(A130&lt;&gt;"每日跟踪","",IF(OR(B130="",H130="",I130=""),"",IFERROR(SUMPRODUCT(MAX((($A$2:$A$157="每日跟踪")*($B$2:$B$157=B130)*($H$2:$H$157&lt;=H130))*$I$2:$I$157)),"")))</f>
        <v/>
      </c>
      <c r="P130" s="11" t="str">
        <f t="shared" ref="P130:P157" si="34">IF(A130&lt;&gt;"每日跟踪","",IF(O130="","",IFERROR(SUMPRODUCT(MAX((($A$2:$A$157="止损计划")*($B$2:$B$157=B130)*($E$2:$E$157&lt;=O130))*$D$2:$D$157)),0)))</f>
        <v/>
      </c>
      <c r="Q130" s="5" t="str">
        <f t="shared" ref="Q130:Q157" si="35">IF(A130&lt;&gt;"每日跟踪","",IF(N130="","",MAX(N130,IFERROR(SUMPRODUCT(MAX((($A$2:$A$157="止损计划")*($B$2:$B$157=B130)*($E$2:$E$157&lt;=O130))*$F$2:$F$157)),0))))</f>
        <v/>
      </c>
      <c r="R130" s="10"/>
      <c r="S130" s="5" t="str">
        <f t="shared" ref="S130:S157" si="36">IF(A130&lt;&gt;"每日跟踪","",IF(Q130="","",MAX(Q130,IFERROR(SUMPRODUCT(MAX((($A$2:$A$157="每日跟踪")*($B$2:$B$157=B130)*($H$2:$H$157&lt;=H130))*$R$2:$R$157)),0))))</f>
        <v/>
      </c>
      <c r="T130" s="5" t="str">
        <f t="shared" ref="T130:T157" si="37">IF(A130&lt;&gt;"每日跟踪","",IF(O130="","",IF(COUNTIFS($A$2:$A$157,"止损计划",$B$2:$B$157,B130,$E$2:$E$157,"&gt;"&amp;O130)=0,"",INDEX($E$2:$E$157,MATCH(1,INDEX(($A$2:$A$157="止损计划")*($B$2:$B$157=B130)*($E$2:$E$157&gt;O130),0),0)))))</f>
        <v/>
      </c>
      <c r="U130" s="5" t="str">
        <f t="shared" ref="U130:U157" si="38">IF(OR(A130&lt;&gt;"每日跟踪",T130=""),"",IFERROR(SUMIFS($F$2:$F$157,$A$2:$A$157,"止损计划",$B$2:$B$157,B130,$E$2:$E$157,T130),""))</f>
        <v/>
      </c>
      <c r="V130" s="7" t="str">
        <f t="shared" si="30"/>
        <v/>
      </c>
      <c r="W130" s="8" t="str">
        <f t="shared" si="31"/>
        <v/>
      </c>
      <c r="X130" s="2"/>
      <c r="Y130" s="10"/>
      <c r="Z130" s="11" t="str">
        <f>IF(X130&lt;&gt;"执行卖出","",IFERROR(LOOKUP(2,1/(单次交易!$A$2:$A$88=B130),单次交易!$AP$2:$AP$88),""))</f>
        <v/>
      </c>
      <c r="AA130" s="10"/>
      <c r="AB130" s="8" t="str">
        <f t="shared" si="32"/>
        <v/>
      </c>
      <c r="AC130" s="8" t="str">
        <f>IF(A130="","",IF(A130="止损计划",IF(OR(B130="",D130="",E130="",F130="",G130=""),"计划不完整",IF(OR(D130&lt;1,D130&lt;&gt;INT(D130)),"阶段序号无效",IF(COUNTIFS($A$2:$A$157,"止损计划",$B$2:$B$157,B130,$D$2:$D$157,D130)&gt;1,"阶段序号重复",IF(E130&lt;=IFERROR(LOOKUP(2,1/(单次交易!$A$2:$A$88=B130),单次交易!$E$2:$E$88),0),"激活价须高于买入价",IF(F130&lt;N130,"止损价不得低于初始止损",IF(F130&gt;E130,"止损价不得高于激活价",IF(AND(COUNTIFS($A$2:$A$157,"止损计划",$B$2:$B$157,B130,$D$2:$D$157,"&lt;"&amp;D130)&gt;0,OR(E130&lt;=SUMPRODUCT(MAX((($A$2:$A$157="止损计划")*($B$2:$B$157=B130)*($D$2:$D$157&lt;D130))*$E$2:$E$157)),F130&lt;SUMPRODUCT(MAX((($A$2:$A$157="止损计划")*($B$2:$B$157=B130)*($D$2:$D$157&lt;D130))*$F$2:$F$157)))),"阶段价格必须逐级提高","计划有效"))))))),IF(A130="每日跟踪",IF(OR(B130="",H130="",I130="",J130=""),"每日数据不完整",IF(COUNTIFS($A$2:$A$157,"每日跟踪",$B$2:$B$157,B130,$H$2:$H$157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IF(B131="","",IFERROR(LOOKUP(2,1/(单次交易!$A$2:$A$88=B131),单次交易!$B$2:$B$88),""))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IF(B131="","",IFERROR(LOOKUP(2,1/(单次交易!$A$2:$A$88=B131),单次交易!$N$2:$N$88),""))</f>
        <v/>
      </c>
      <c r="O131" s="5" t="str">
        <f t="shared" si="33"/>
        <v/>
      </c>
      <c r="P131" s="11" t="str">
        <f t="shared" si="34"/>
        <v/>
      </c>
      <c r="Q131" s="5" t="str">
        <f t="shared" si="35"/>
        <v/>
      </c>
      <c r="R131" s="10"/>
      <c r="S131" s="5" t="str">
        <f t="shared" si="36"/>
        <v/>
      </c>
      <c r="T131" s="5" t="str">
        <f t="shared" si="37"/>
        <v/>
      </c>
      <c r="U131" s="5" t="str">
        <f t="shared" si="38"/>
        <v/>
      </c>
      <c r="V131" s="7" t="str">
        <f t="shared" si="30"/>
        <v/>
      </c>
      <c r="W131" s="8" t="str">
        <f t="shared" si="31"/>
        <v/>
      </c>
      <c r="X131" s="2"/>
      <c r="Y131" s="10"/>
      <c r="Z131" s="11" t="str">
        <f>IF(X131&lt;&gt;"执行卖出","",IFERROR(LOOKUP(2,1/(单次交易!$A$2:$A$88=B131),单次交易!$AP$2:$AP$88),""))</f>
        <v/>
      </c>
      <c r="AA131" s="10"/>
      <c r="AB131" s="8" t="str">
        <f t="shared" si="32"/>
        <v/>
      </c>
      <c r="AC131" s="8" t="str">
        <f>IF(A131="","",IF(A131="止损计划",IF(OR(B131="",D131="",E131="",F131="",G131=""),"计划不完整",IF(OR(D131&lt;1,D131&lt;&gt;INT(D131)),"阶段序号无效",IF(COUNTIFS($A$2:$A$157,"止损计划",$B$2:$B$157,B131,$D$2:$D$157,D131)&gt;1,"阶段序号重复",IF(E131&lt;=IFERROR(LOOKUP(2,1/(单次交易!$A$2:$A$88=B131),单次交易!$E$2:$E$88),0),"激活价须高于买入价",IF(F131&lt;N131,"止损价不得低于初始止损",IF(F131&gt;E131,"止损价不得高于激活价",IF(AND(COUNTIFS($A$2:$A$157,"止损计划",$B$2:$B$157,B131,$D$2:$D$157,"&lt;"&amp;D131)&gt;0,OR(E131&lt;=SUMPRODUCT(MAX((($A$2:$A$157="止损计划")*($B$2:$B$157=B131)*($D$2:$D$157&lt;D131))*$E$2:$E$157)),F131&lt;SUMPRODUCT(MAX((($A$2:$A$157="止损计划")*($B$2:$B$157=B131)*($D$2:$D$157&lt;D131))*$F$2:$F$157)))),"阶段价格必须逐级提高","计划有效"))))))),IF(A131="每日跟踪",IF(OR(B131="",H131="",I131="",J131=""),"每日数据不完整",IF(COUNTIFS($A$2:$A$157,"每日跟踪",$B$2:$B$157,B131,$H$2:$H$157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IF(B132="","",IFERROR(LOOKUP(2,1/(单次交易!$A$2:$A$88=B132),单次交易!$B$2:$B$88),""))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IF(B132="","",IFERROR(LOOKUP(2,1/(单次交易!$A$2:$A$88=B132),单次交易!$N$2:$N$88),""))</f>
        <v/>
      </c>
      <c r="O132" s="5" t="str">
        <f t="shared" si="33"/>
        <v/>
      </c>
      <c r="P132" s="11" t="str">
        <f t="shared" si="34"/>
        <v/>
      </c>
      <c r="Q132" s="5" t="str">
        <f t="shared" si="35"/>
        <v/>
      </c>
      <c r="R132" s="10"/>
      <c r="S132" s="5" t="str">
        <f t="shared" si="36"/>
        <v/>
      </c>
      <c r="T132" s="5" t="str">
        <f t="shared" si="37"/>
        <v/>
      </c>
      <c r="U132" s="5" t="str">
        <f t="shared" si="38"/>
        <v/>
      </c>
      <c r="V132" s="7" t="str">
        <f t="shared" si="30"/>
        <v/>
      </c>
      <c r="W132" s="8" t="str">
        <f t="shared" si="31"/>
        <v/>
      </c>
      <c r="X132" s="2"/>
      <c r="Y132" s="10"/>
      <c r="Z132" s="11" t="str">
        <f>IF(X132&lt;&gt;"执行卖出","",IFERROR(LOOKUP(2,1/(单次交易!$A$2:$A$88=B132),单次交易!$AP$2:$AP$88),""))</f>
        <v/>
      </c>
      <c r="AA132" s="10"/>
      <c r="AB132" s="8" t="str">
        <f t="shared" si="32"/>
        <v/>
      </c>
      <c r="AC132" s="8" t="str">
        <f>IF(A132="","",IF(A132="止损计划",IF(OR(B132="",D132="",E132="",F132="",G132=""),"计划不完整",IF(OR(D132&lt;1,D132&lt;&gt;INT(D132)),"阶段序号无效",IF(COUNTIFS($A$2:$A$157,"止损计划",$B$2:$B$157,B132,$D$2:$D$157,D132)&gt;1,"阶段序号重复",IF(E132&lt;=IFERROR(LOOKUP(2,1/(单次交易!$A$2:$A$88=B132),单次交易!$E$2:$E$88),0),"激活价须高于买入价",IF(F132&lt;N132,"止损价不得低于初始止损",IF(F132&gt;E132,"止损价不得高于激活价",IF(AND(COUNTIFS($A$2:$A$157,"止损计划",$B$2:$B$157,B132,$D$2:$D$157,"&lt;"&amp;D132)&gt;0,OR(E132&lt;=SUMPRODUCT(MAX((($A$2:$A$157="止损计划")*($B$2:$B$157=B132)*($D$2:$D$157&lt;D132))*$E$2:$E$157)),F132&lt;SUMPRODUCT(MAX((($A$2:$A$157="止损计划")*($B$2:$B$157=B132)*($D$2:$D$157&lt;D132))*$F$2:$F$157)))),"阶段价格必须逐级提高","计划有效"))))))),IF(A132="每日跟踪",IF(OR(B132="",H132="",I132="",J132=""),"每日数据不完整",IF(COUNTIFS($A$2:$A$157,"每日跟踪",$B$2:$B$157,B132,$H$2:$H$157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IF(B133="","",IFERROR(LOOKUP(2,1/(单次交易!$A$2:$A$88=B133),单次交易!$B$2:$B$88),""))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IF(B133="","",IFERROR(LOOKUP(2,1/(单次交易!$A$2:$A$88=B133),单次交易!$N$2:$N$88),""))</f>
        <v/>
      </c>
      <c r="O133" s="5" t="str">
        <f t="shared" si="33"/>
        <v/>
      </c>
      <c r="P133" s="11" t="str">
        <f t="shared" si="34"/>
        <v/>
      </c>
      <c r="Q133" s="5" t="str">
        <f t="shared" si="35"/>
        <v/>
      </c>
      <c r="R133" s="10"/>
      <c r="S133" s="5" t="str">
        <f t="shared" si="36"/>
        <v/>
      </c>
      <c r="T133" s="5" t="str">
        <f t="shared" si="37"/>
        <v/>
      </c>
      <c r="U133" s="5" t="str">
        <f t="shared" si="38"/>
        <v/>
      </c>
      <c r="V133" s="7" t="str">
        <f t="shared" si="30"/>
        <v/>
      </c>
      <c r="W133" s="8" t="str">
        <f t="shared" si="31"/>
        <v/>
      </c>
      <c r="X133" s="2"/>
      <c r="Y133" s="10"/>
      <c r="Z133" s="11" t="str">
        <f>IF(X133&lt;&gt;"执行卖出","",IFERROR(LOOKUP(2,1/(单次交易!$A$2:$A$88=B133),单次交易!$AP$2:$AP$88),""))</f>
        <v/>
      </c>
      <c r="AA133" s="10"/>
      <c r="AB133" s="8" t="str">
        <f t="shared" si="32"/>
        <v/>
      </c>
      <c r="AC133" s="8" t="str">
        <f>IF(A133="","",IF(A133="止损计划",IF(OR(B133="",D133="",E133="",F133="",G133=""),"计划不完整",IF(OR(D133&lt;1,D133&lt;&gt;INT(D133)),"阶段序号无效",IF(COUNTIFS($A$2:$A$157,"止损计划",$B$2:$B$157,B133,$D$2:$D$157,D133)&gt;1,"阶段序号重复",IF(E133&lt;=IFERROR(LOOKUP(2,1/(单次交易!$A$2:$A$88=B133),单次交易!$E$2:$E$88),0),"激活价须高于买入价",IF(F133&lt;N133,"止损价不得低于初始止损",IF(F133&gt;E133,"止损价不得高于激活价",IF(AND(COUNTIFS($A$2:$A$157,"止损计划",$B$2:$B$157,B133,$D$2:$D$157,"&lt;"&amp;D133)&gt;0,OR(E133&lt;=SUMPRODUCT(MAX((($A$2:$A$157="止损计划")*($B$2:$B$157=B133)*($D$2:$D$157&lt;D133))*$E$2:$E$157)),F133&lt;SUMPRODUCT(MAX((($A$2:$A$157="止损计划")*($B$2:$B$157=B133)*($D$2:$D$157&lt;D133))*$F$2:$F$157)))),"阶段价格必须逐级提高","计划有效"))))))),IF(A133="每日跟踪",IF(OR(B133="",H133="",I133="",J133=""),"每日数据不完整",IF(COUNTIFS($A$2:$A$157,"每日跟踪",$B$2:$B$157,B133,$H$2:$H$157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IF(B134="","",IFERROR(LOOKUP(2,1/(单次交易!$A$2:$A$88=B134),单次交易!$B$2:$B$88),""))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IF(B134="","",IFERROR(LOOKUP(2,1/(单次交易!$A$2:$A$88=B134),单次交易!$N$2:$N$88),""))</f>
        <v/>
      </c>
      <c r="O134" s="5" t="str">
        <f t="shared" si="33"/>
        <v/>
      </c>
      <c r="P134" s="11" t="str">
        <f t="shared" si="34"/>
        <v/>
      </c>
      <c r="Q134" s="5" t="str">
        <f t="shared" si="35"/>
        <v/>
      </c>
      <c r="R134" s="10"/>
      <c r="S134" s="5" t="str">
        <f t="shared" si="36"/>
        <v/>
      </c>
      <c r="T134" s="5" t="str">
        <f t="shared" si="37"/>
        <v/>
      </c>
      <c r="U134" s="5" t="str">
        <f t="shared" si="38"/>
        <v/>
      </c>
      <c r="V134" s="7" t="str">
        <f t="shared" si="30"/>
        <v/>
      </c>
      <c r="W134" s="8" t="str">
        <f t="shared" si="31"/>
        <v/>
      </c>
      <c r="X134" s="2"/>
      <c r="Y134" s="10"/>
      <c r="Z134" s="11" t="str">
        <f>IF(X134&lt;&gt;"执行卖出","",IFERROR(LOOKUP(2,1/(单次交易!$A$2:$A$88=B134),单次交易!$AP$2:$AP$88),""))</f>
        <v/>
      </c>
      <c r="AA134" s="10"/>
      <c r="AB134" s="8" t="str">
        <f t="shared" si="32"/>
        <v/>
      </c>
      <c r="AC134" s="8" t="str">
        <f>IF(A134="","",IF(A134="止损计划",IF(OR(B134="",D134="",E134="",F134="",G134=""),"计划不完整",IF(OR(D134&lt;1,D134&lt;&gt;INT(D134)),"阶段序号无效",IF(COUNTIFS($A$2:$A$157,"止损计划",$B$2:$B$157,B134,$D$2:$D$157,D134)&gt;1,"阶段序号重复",IF(E134&lt;=IFERROR(LOOKUP(2,1/(单次交易!$A$2:$A$88=B134),单次交易!$E$2:$E$88),0),"激活价须高于买入价",IF(F134&lt;N134,"止损价不得低于初始止损",IF(F134&gt;E134,"止损价不得高于激活价",IF(AND(COUNTIFS($A$2:$A$157,"止损计划",$B$2:$B$157,B134,$D$2:$D$157,"&lt;"&amp;D134)&gt;0,OR(E134&lt;=SUMPRODUCT(MAX((($A$2:$A$157="止损计划")*($B$2:$B$157=B134)*($D$2:$D$157&lt;D134))*$E$2:$E$157)),F134&lt;SUMPRODUCT(MAX((($A$2:$A$157="止损计划")*($B$2:$B$157=B134)*($D$2:$D$157&lt;D134))*$F$2:$F$157)))),"阶段价格必须逐级提高","计划有效"))))))),IF(A134="每日跟踪",IF(OR(B134="",H134="",I134="",J134=""),"每日数据不完整",IF(COUNTIFS($A$2:$A$157,"每日跟踪",$B$2:$B$157,B134,$H$2:$H$157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IF(B135="","",IFERROR(LOOKUP(2,1/(单次交易!$A$2:$A$88=B135),单次交易!$B$2:$B$88),""))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IF(B135="","",IFERROR(LOOKUP(2,1/(单次交易!$A$2:$A$88=B135),单次交易!$N$2:$N$88),""))</f>
        <v/>
      </c>
      <c r="O135" s="5" t="str">
        <f t="shared" si="33"/>
        <v/>
      </c>
      <c r="P135" s="11" t="str">
        <f t="shared" si="34"/>
        <v/>
      </c>
      <c r="Q135" s="5" t="str">
        <f t="shared" si="35"/>
        <v/>
      </c>
      <c r="R135" s="10"/>
      <c r="S135" s="5" t="str">
        <f t="shared" si="36"/>
        <v/>
      </c>
      <c r="T135" s="5" t="str">
        <f t="shared" si="37"/>
        <v/>
      </c>
      <c r="U135" s="5" t="str">
        <f t="shared" si="38"/>
        <v/>
      </c>
      <c r="V135" s="7" t="str">
        <f t="shared" si="30"/>
        <v/>
      </c>
      <c r="W135" s="8" t="str">
        <f t="shared" si="31"/>
        <v/>
      </c>
      <c r="X135" s="2"/>
      <c r="Y135" s="10"/>
      <c r="Z135" s="11" t="str">
        <f>IF(X135&lt;&gt;"执行卖出","",IFERROR(LOOKUP(2,1/(单次交易!$A$2:$A$88=B135),单次交易!$AP$2:$AP$88),""))</f>
        <v/>
      </c>
      <c r="AA135" s="10"/>
      <c r="AB135" s="8" t="str">
        <f t="shared" si="32"/>
        <v/>
      </c>
      <c r="AC135" s="8" t="str">
        <f>IF(A135="","",IF(A135="止损计划",IF(OR(B135="",D135="",E135="",F135="",G135=""),"计划不完整",IF(OR(D135&lt;1,D135&lt;&gt;INT(D135)),"阶段序号无效",IF(COUNTIFS($A$2:$A$157,"止损计划",$B$2:$B$157,B135,$D$2:$D$157,D135)&gt;1,"阶段序号重复",IF(E135&lt;=IFERROR(LOOKUP(2,1/(单次交易!$A$2:$A$88=B135),单次交易!$E$2:$E$88),0),"激活价须高于买入价",IF(F135&lt;N135,"止损价不得低于初始止损",IF(F135&gt;E135,"止损价不得高于激活价",IF(AND(COUNTIFS($A$2:$A$157,"止损计划",$B$2:$B$157,B135,$D$2:$D$157,"&lt;"&amp;D135)&gt;0,OR(E135&lt;=SUMPRODUCT(MAX((($A$2:$A$157="止损计划")*($B$2:$B$157=B135)*($D$2:$D$157&lt;D135))*$E$2:$E$157)),F135&lt;SUMPRODUCT(MAX((($A$2:$A$157="止损计划")*($B$2:$B$157=B135)*($D$2:$D$157&lt;D135))*$F$2:$F$157)))),"阶段价格必须逐级提高","计划有效"))))))),IF(A135="每日跟踪",IF(OR(B135="",H135="",I135="",J135=""),"每日数据不完整",IF(COUNTIFS($A$2:$A$157,"每日跟踪",$B$2:$B$157,B135,$H$2:$H$157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IF(B136="","",IFERROR(LOOKUP(2,1/(单次交易!$A$2:$A$88=B136),单次交易!$B$2:$B$88),""))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IF(B136="","",IFERROR(LOOKUP(2,1/(单次交易!$A$2:$A$88=B136),单次交易!$N$2:$N$88),""))</f>
        <v/>
      </c>
      <c r="O136" s="5" t="str">
        <f t="shared" si="33"/>
        <v/>
      </c>
      <c r="P136" s="11" t="str">
        <f t="shared" si="34"/>
        <v/>
      </c>
      <c r="Q136" s="5" t="str">
        <f t="shared" si="35"/>
        <v/>
      </c>
      <c r="R136" s="10"/>
      <c r="S136" s="5" t="str">
        <f t="shared" si="36"/>
        <v/>
      </c>
      <c r="T136" s="5" t="str">
        <f t="shared" si="37"/>
        <v/>
      </c>
      <c r="U136" s="5" t="str">
        <f t="shared" si="38"/>
        <v/>
      </c>
      <c r="V136" s="7" t="str">
        <f t="shared" si="30"/>
        <v/>
      </c>
      <c r="W136" s="8" t="str">
        <f t="shared" si="31"/>
        <v/>
      </c>
      <c r="X136" s="2"/>
      <c r="Y136" s="10"/>
      <c r="Z136" s="11" t="str">
        <f>IF(X136&lt;&gt;"执行卖出","",IFERROR(LOOKUP(2,1/(单次交易!$A$2:$A$88=B136),单次交易!$AP$2:$AP$88),""))</f>
        <v/>
      </c>
      <c r="AA136" s="10"/>
      <c r="AB136" s="8" t="str">
        <f t="shared" si="32"/>
        <v/>
      </c>
      <c r="AC136" s="8" t="str">
        <f>IF(A136="","",IF(A136="止损计划",IF(OR(B136="",D136="",E136="",F136="",G136=""),"计划不完整",IF(OR(D136&lt;1,D136&lt;&gt;INT(D136)),"阶段序号无效",IF(COUNTIFS($A$2:$A$157,"止损计划",$B$2:$B$157,B136,$D$2:$D$157,D136)&gt;1,"阶段序号重复",IF(E136&lt;=IFERROR(LOOKUP(2,1/(单次交易!$A$2:$A$88=B136),单次交易!$E$2:$E$88),0),"激活价须高于买入价",IF(F136&lt;N136,"止损价不得低于初始止损",IF(F136&gt;E136,"止损价不得高于激活价",IF(AND(COUNTIFS($A$2:$A$157,"止损计划",$B$2:$B$157,B136,$D$2:$D$157,"&lt;"&amp;D136)&gt;0,OR(E136&lt;=SUMPRODUCT(MAX((($A$2:$A$157="止损计划")*($B$2:$B$157=B136)*($D$2:$D$157&lt;D136))*$E$2:$E$157)),F136&lt;SUMPRODUCT(MAX((($A$2:$A$157="止损计划")*($B$2:$B$157=B136)*($D$2:$D$157&lt;D136))*$F$2:$F$157)))),"阶段价格必须逐级提高","计划有效"))))))),IF(A136="每日跟踪",IF(OR(B136="",H136="",I136="",J136=""),"每日数据不完整",IF(COUNTIFS($A$2:$A$157,"每日跟踪",$B$2:$B$157,B136,$H$2:$H$157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IF(B137="","",IFERROR(LOOKUP(2,1/(单次交易!$A$2:$A$88=B137),单次交易!$B$2:$B$88),""))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IF(B137="","",IFERROR(LOOKUP(2,1/(单次交易!$A$2:$A$88=B137),单次交易!$N$2:$N$88),""))</f>
        <v/>
      </c>
      <c r="O137" s="5" t="str">
        <f t="shared" si="33"/>
        <v/>
      </c>
      <c r="P137" s="11" t="str">
        <f t="shared" si="34"/>
        <v/>
      </c>
      <c r="Q137" s="5" t="str">
        <f t="shared" si="35"/>
        <v/>
      </c>
      <c r="R137" s="10"/>
      <c r="S137" s="5" t="str">
        <f t="shared" si="36"/>
        <v/>
      </c>
      <c r="T137" s="5" t="str">
        <f t="shared" si="37"/>
        <v/>
      </c>
      <c r="U137" s="5" t="str">
        <f t="shared" si="38"/>
        <v/>
      </c>
      <c r="V137" s="7" t="str">
        <f t="shared" si="30"/>
        <v/>
      </c>
      <c r="W137" s="8" t="str">
        <f t="shared" si="31"/>
        <v/>
      </c>
      <c r="X137" s="2"/>
      <c r="Y137" s="10"/>
      <c r="Z137" s="11" t="str">
        <f>IF(X137&lt;&gt;"执行卖出","",IFERROR(LOOKUP(2,1/(单次交易!$A$2:$A$88=B137),单次交易!$AP$2:$AP$88),""))</f>
        <v/>
      </c>
      <c r="AA137" s="10"/>
      <c r="AB137" s="8" t="str">
        <f t="shared" si="32"/>
        <v/>
      </c>
      <c r="AC137" s="8" t="str">
        <f>IF(A137="","",IF(A137="止损计划",IF(OR(B137="",D137="",E137="",F137="",G137=""),"计划不完整",IF(OR(D137&lt;1,D137&lt;&gt;INT(D137)),"阶段序号无效",IF(COUNTIFS($A$2:$A$157,"止损计划",$B$2:$B$157,B137,$D$2:$D$157,D137)&gt;1,"阶段序号重复",IF(E137&lt;=IFERROR(LOOKUP(2,1/(单次交易!$A$2:$A$88=B137),单次交易!$E$2:$E$88),0),"激活价须高于买入价",IF(F137&lt;N137,"止损价不得低于初始止损",IF(F137&gt;E137,"止损价不得高于激活价",IF(AND(COUNTIFS($A$2:$A$157,"止损计划",$B$2:$B$157,B137,$D$2:$D$157,"&lt;"&amp;D137)&gt;0,OR(E137&lt;=SUMPRODUCT(MAX((($A$2:$A$157="止损计划")*($B$2:$B$157=B137)*($D$2:$D$157&lt;D137))*$E$2:$E$157)),F137&lt;SUMPRODUCT(MAX((($A$2:$A$157="止损计划")*($B$2:$B$157=B137)*($D$2:$D$157&lt;D137))*$F$2:$F$157)))),"阶段价格必须逐级提高","计划有效"))))))),IF(A137="每日跟踪",IF(OR(B137="",H137="",I137="",J137=""),"每日数据不完整",IF(COUNTIFS($A$2:$A$157,"每日跟踪",$B$2:$B$157,B137,$H$2:$H$157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IF(B138="","",IFERROR(LOOKUP(2,1/(单次交易!$A$2:$A$88=B138),单次交易!$B$2:$B$88),""))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IF(B138="","",IFERROR(LOOKUP(2,1/(单次交易!$A$2:$A$88=B138),单次交易!$N$2:$N$88),""))</f>
        <v/>
      </c>
      <c r="O138" s="5" t="str">
        <f t="shared" si="33"/>
        <v/>
      </c>
      <c r="P138" s="11" t="str">
        <f t="shared" si="34"/>
        <v/>
      </c>
      <c r="Q138" s="5" t="str">
        <f t="shared" si="35"/>
        <v/>
      </c>
      <c r="R138" s="10"/>
      <c r="S138" s="5" t="str">
        <f t="shared" si="36"/>
        <v/>
      </c>
      <c r="T138" s="5" t="str">
        <f t="shared" si="37"/>
        <v/>
      </c>
      <c r="U138" s="5" t="str">
        <f t="shared" si="38"/>
        <v/>
      </c>
      <c r="V138" s="7" t="str">
        <f t="shared" si="30"/>
        <v/>
      </c>
      <c r="W138" s="8" t="str">
        <f t="shared" si="31"/>
        <v/>
      </c>
      <c r="X138" s="2"/>
      <c r="Y138" s="10"/>
      <c r="Z138" s="11" t="str">
        <f>IF(X138&lt;&gt;"执行卖出","",IFERROR(LOOKUP(2,1/(单次交易!$A$2:$A$88=B138),单次交易!$AP$2:$AP$88),""))</f>
        <v/>
      </c>
      <c r="AA138" s="10"/>
      <c r="AB138" s="8" t="str">
        <f t="shared" si="32"/>
        <v/>
      </c>
      <c r="AC138" s="8" t="str">
        <f>IF(A138="","",IF(A138="止损计划",IF(OR(B138="",D138="",E138="",F138="",G138=""),"计划不完整",IF(OR(D138&lt;1,D138&lt;&gt;INT(D138)),"阶段序号无效",IF(COUNTIFS($A$2:$A$157,"止损计划",$B$2:$B$157,B138,$D$2:$D$157,D138)&gt;1,"阶段序号重复",IF(E138&lt;=IFERROR(LOOKUP(2,1/(单次交易!$A$2:$A$88=B138),单次交易!$E$2:$E$88),0),"激活价须高于买入价",IF(F138&lt;N138,"止损价不得低于初始止损",IF(F138&gt;E138,"止损价不得高于激活价",IF(AND(COUNTIFS($A$2:$A$157,"止损计划",$B$2:$B$157,B138,$D$2:$D$157,"&lt;"&amp;D138)&gt;0,OR(E138&lt;=SUMPRODUCT(MAX((($A$2:$A$157="止损计划")*($B$2:$B$157=B138)*($D$2:$D$157&lt;D138))*$E$2:$E$157)),F138&lt;SUMPRODUCT(MAX((($A$2:$A$157="止损计划")*($B$2:$B$157=B138)*($D$2:$D$157&lt;D138))*$F$2:$F$157)))),"阶段价格必须逐级提高","计划有效"))))))),IF(A138="每日跟踪",IF(OR(B138="",H138="",I138="",J138=""),"每日数据不完整",IF(COUNTIFS($A$2:$A$157,"每日跟踪",$B$2:$B$157,B138,$H$2:$H$157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IF(B139="","",IFERROR(LOOKUP(2,1/(单次交易!$A$2:$A$88=B139),单次交易!$B$2:$B$88),""))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IF(B139="","",IFERROR(LOOKUP(2,1/(单次交易!$A$2:$A$88=B139),单次交易!$N$2:$N$88),""))</f>
        <v/>
      </c>
      <c r="O139" s="5" t="str">
        <f t="shared" si="33"/>
        <v/>
      </c>
      <c r="P139" s="11" t="str">
        <f t="shared" si="34"/>
        <v/>
      </c>
      <c r="Q139" s="5" t="str">
        <f t="shared" si="35"/>
        <v/>
      </c>
      <c r="R139" s="10"/>
      <c r="S139" s="5" t="str">
        <f t="shared" si="36"/>
        <v/>
      </c>
      <c r="T139" s="5" t="str">
        <f t="shared" si="37"/>
        <v/>
      </c>
      <c r="U139" s="5" t="str">
        <f t="shared" si="38"/>
        <v/>
      </c>
      <c r="V139" s="7" t="str">
        <f t="shared" si="30"/>
        <v/>
      </c>
      <c r="W139" s="8" t="str">
        <f t="shared" si="31"/>
        <v/>
      </c>
      <c r="X139" s="2"/>
      <c r="Y139" s="10"/>
      <c r="Z139" s="11" t="str">
        <f>IF(X139&lt;&gt;"执行卖出","",IFERROR(LOOKUP(2,1/(单次交易!$A$2:$A$88=B139),单次交易!$AP$2:$AP$88),""))</f>
        <v/>
      </c>
      <c r="AA139" s="10"/>
      <c r="AB139" s="8" t="str">
        <f t="shared" si="32"/>
        <v/>
      </c>
      <c r="AC139" s="8" t="str">
        <f>IF(A139="","",IF(A139="止损计划",IF(OR(B139="",D139="",E139="",F139="",G139=""),"计划不完整",IF(OR(D139&lt;1,D139&lt;&gt;INT(D139)),"阶段序号无效",IF(COUNTIFS($A$2:$A$157,"止损计划",$B$2:$B$157,B139,$D$2:$D$157,D139)&gt;1,"阶段序号重复",IF(E139&lt;=IFERROR(LOOKUP(2,1/(单次交易!$A$2:$A$88=B139),单次交易!$E$2:$E$88),0),"激活价须高于买入价",IF(F139&lt;N139,"止损价不得低于初始止损",IF(F139&gt;E139,"止损价不得高于激活价",IF(AND(COUNTIFS($A$2:$A$157,"止损计划",$B$2:$B$157,B139,$D$2:$D$157,"&lt;"&amp;D139)&gt;0,OR(E139&lt;=SUMPRODUCT(MAX((($A$2:$A$157="止损计划")*($B$2:$B$157=B139)*($D$2:$D$157&lt;D139))*$E$2:$E$157)),F139&lt;SUMPRODUCT(MAX((($A$2:$A$157="止损计划")*($B$2:$B$157=B139)*($D$2:$D$157&lt;D139))*$F$2:$F$157)))),"阶段价格必须逐级提高","计划有效"))))))),IF(A139="每日跟踪",IF(OR(B139="",H139="",I139="",J139=""),"每日数据不完整",IF(COUNTIFS($A$2:$A$157,"每日跟踪",$B$2:$B$157,B139,$H$2:$H$157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IF(B140="","",IFERROR(LOOKUP(2,1/(单次交易!$A$2:$A$88=B140),单次交易!$B$2:$B$88),""))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IF(B140="","",IFERROR(LOOKUP(2,1/(单次交易!$A$2:$A$88=B140),单次交易!$N$2:$N$88),""))</f>
        <v/>
      </c>
      <c r="O140" s="5" t="str">
        <f t="shared" si="33"/>
        <v/>
      </c>
      <c r="P140" s="11" t="str">
        <f t="shared" si="34"/>
        <v/>
      </c>
      <c r="Q140" s="5" t="str">
        <f t="shared" si="35"/>
        <v/>
      </c>
      <c r="R140" s="10"/>
      <c r="S140" s="5" t="str">
        <f t="shared" si="36"/>
        <v/>
      </c>
      <c r="T140" s="5" t="str">
        <f t="shared" si="37"/>
        <v/>
      </c>
      <c r="U140" s="5" t="str">
        <f t="shared" si="38"/>
        <v/>
      </c>
      <c r="V140" s="7" t="str">
        <f t="shared" si="30"/>
        <v/>
      </c>
      <c r="W140" s="8" t="str">
        <f t="shared" si="31"/>
        <v/>
      </c>
      <c r="X140" s="2"/>
      <c r="Y140" s="10"/>
      <c r="Z140" s="11" t="str">
        <f>IF(X140&lt;&gt;"执行卖出","",IFERROR(LOOKUP(2,1/(单次交易!$A$2:$A$88=B140),单次交易!$AP$2:$AP$88),""))</f>
        <v/>
      </c>
      <c r="AA140" s="10"/>
      <c r="AB140" s="8" t="str">
        <f t="shared" si="32"/>
        <v/>
      </c>
      <c r="AC140" s="8" t="str">
        <f>IF(A140="","",IF(A140="止损计划",IF(OR(B140="",D140="",E140="",F140="",G140=""),"计划不完整",IF(OR(D140&lt;1,D140&lt;&gt;INT(D140)),"阶段序号无效",IF(COUNTIFS($A$2:$A$157,"止损计划",$B$2:$B$157,B140,$D$2:$D$157,D140)&gt;1,"阶段序号重复",IF(E140&lt;=IFERROR(LOOKUP(2,1/(单次交易!$A$2:$A$88=B140),单次交易!$E$2:$E$88),0),"激活价须高于买入价",IF(F140&lt;N140,"止损价不得低于初始止损",IF(F140&gt;E140,"止损价不得高于激活价",IF(AND(COUNTIFS($A$2:$A$157,"止损计划",$B$2:$B$157,B140,$D$2:$D$157,"&lt;"&amp;D140)&gt;0,OR(E140&lt;=SUMPRODUCT(MAX((($A$2:$A$157="止损计划")*($B$2:$B$157=B140)*($D$2:$D$157&lt;D140))*$E$2:$E$157)),F140&lt;SUMPRODUCT(MAX((($A$2:$A$157="止损计划")*($B$2:$B$157=B140)*($D$2:$D$157&lt;D140))*$F$2:$F$157)))),"阶段价格必须逐级提高","计划有效"))))))),IF(A140="每日跟踪",IF(OR(B140="",H140="",I140="",J140=""),"每日数据不完整",IF(COUNTIFS($A$2:$A$157,"每日跟踪",$B$2:$B$157,B140,$H$2:$H$157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IF(B141="","",IFERROR(LOOKUP(2,1/(单次交易!$A$2:$A$88=B141),单次交易!$B$2:$B$88),""))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IF(B141="","",IFERROR(LOOKUP(2,1/(单次交易!$A$2:$A$88=B141),单次交易!$N$2:$N$88),""))</f>
        <v/>
      </c>
      <c r="O141" s="5" t="str">
        <f t="shared" si="33"/>
        <v/>
      </c>
      <c r="P141" s="11" t="str">
        <f t="shared" si="34"/>
        <v/>
      </c>
      <c r="Q141" s="5" t="str">
        <f t="shared" si="35"/>
        <v/>
      </c>
      <c r="R141" s="10"/>
      <c r="S141" s="5" t="str">
        <f t="shared" si="36"/>
        <v/>
      </c>
      <c r="T141" s="5" t="str">
        <f t="shared" si="37"/>
        <v/>
      </c>
      <c r="U141" s="5" t="str">
        <f t="shared" si="38"/>
        <v/>
      </c>
      <c r="V141" s="7" t="str">
        <f t="shared" si="30"/>
        <v/>
      </c>
      <c r="W141" s="8" t="str">
        <f t="shared" si="31"/>
        <v/>
      </c>
      <c r="X141" s="2"/>
      <c r="Y141" s="10"/>
      <c r="Z141" s="11" t="str">
        <f>IF(X141&lt;&gt;"执行卖出","",IFERROR(LOOKUP(2,1/(单次交易!$A$2:$A$88=B141),单次交易!$AP$2:$AP$88),""))</f>
        <v/>
      </c>
      <c r="AA141" s="10"/>
      <c r="AB141" s="8" t="str">
        <f t="shared" si="32"/>
        <v/>
      </c>
      <c r="AC141" s="8" t="str">
        <f>IF(A141="","",IF(A141="止损计划",IF(OR(B141="",D141="",E141="",F141="",G141=""),"计划不完整",IF(OR(D141&lt;1,D141&lt;&gt;INT(D141)),"阶段序号无效",IF(COUNTIFS($A$2:$A$157,"止损计划",$B$2:$B$157,B141,$D$2:$D$157,D141)&gt;1,"阶段序号重复",IF(E141&lt;=IFERROR(LOOKUP(2,1/(单次交易!$A$2:$A$88=B141),单次交易!$E$2:$E$88),0),"激活价须高于买入价",IF(F141&lt;N141,"止损价不得低于初始止损",IF(F141&gt;E141,"止损价不得高于激活价",IF(AND(COUNTIFS($A$2:$A$157,"止损计划",$B$2:$B$157,B141,$D$2:$D$157,"&lt;"&amp;D141)&gt;0,OR(E141&lt;=SUMPRODUCT(MAX((($A$2:$A$157="止损计划")*($B$2:$B$157=B141)*($D$2:$D$157&lt;D141))*$E$2:$E$157)),F141&lt;SUMPRODUCT(MAX((($A$2:$A$157="止损计划")*($B$2:$B$157=B141)*($D$2:$D$157&lt;D141))*$F$2:$F$157)))),"阶段价格必须逐级提高","计划有效"))))))),IF(A141="每日跟踪",IF(OR(B141="",H141="",I141="",J141=""),"每日数据不完整",IF(COUNTIFS($A$2:$A$157,"每日跟踪",$B$2:$B$157,B141,$H$2:$H$157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IF(B142="","",IFERROR(LOOKUP(2,1/(单次交易!$A$2:$A$88=B142),单次交易!$B$2:$B$88),""))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IF(B142="","",IFERROR(LOOKUP(2,1/(单次交易!$A$2:$A$88=B142),单次交易!$N$2:$N$88),""))</f>
        <v/>
      </c>
      <c r="O142" s="5" t="str">
        <f t="shared" si="33"/>
        <v/>
      </c>
      <c r="P142" s="11" t="str">
        <f t="shared" si="34"/>
        <v/>
      </c>
      <c r="Q142" s="5" t="str">
        <f t="shared" si="35"/>
        <v/>
      </c>
      <c r="R142" s="10"/>
      <c r="S142" s="5" t="str">
        <f t="shared" si="36"/>
        <v/>
      </c>
      <c r="T142" s="5" t="str">
        <f t="shared" si="37"/>
        <v/>
      </c>
      <c r="U142" s="5" t="str">
        <f t="shared" si="38"/>
        <v/>
      </c>
      <c r="V142" s="7" t="str">
        <f t="shared" si="30"/>
        <v/>
      </c>
      <c r="W142" s="8" t="str">
        <f t="shared" si="31"/>
        <v/>
      </c>
      <c r="X142" s="2"/>
      <c r="Y142" s="10"/>
      <c r="Z142" s="11" t="str">
        <f>IF(X142&lt;&gt;"执行卖出","",IFERROR(LOOKUP(2,1/(单次交易!$A$2:$A$88=B142),单次交易!$AP$2:$AP$88),""))</f>
        <v/>
      </c>
      <c r="AA142" s="10"/>
      <c r="AB142" s="8" t="str">
        <f t="shared" si="32"/>
        <v/>
      </c>
      <c r="AC142" s="8" t="str">
        <f>IF(A142="","",IF(A142="止损计划",IF(OR(B142="",D142="",E142="",F142="",G142=""),"计划不完整",IF(OR(D142&lt;1,D142&lt;&gt;INT(D142)),"阶段序号无效",IF(COUNTIFS($A$2:$A$157,"止损计划",$B$2:$B$157,B142,$D$2:$D$157,D142)&gt;1,"阶段序号重复",IF(E142&lt;=IFERROR(LOOKUP(2,1/(单次交易!$A$2:$A$88=B142),单次交易!$E$2:$E$88),0),"激活价须高于买入价",IF(F142&lt;N142,"止损价不得低于初始止损",IF(F142&gt;E142,"止损价不得高于激活价",IF(AND(COUNTIFS($A$2:$A$157,"止损计划",$B$2:$B$157,B142,$D$2:$D$157,"&lt;"&amp;D142)&gt;0,OR(E142&lt;=SUMPRODUCT(MAX((($A$2:$A$157="止损计划")*($B$2:$B$157=B142)*($D$2:$D$157&lt;D142))*$E$2:$E$157)),F142&lt;SUMPRODUCT(MAX((($A$2:$A$157="止损计划")*($B$2:$B$157=B142)*($D$2:$D$157&lt;D142))*$F$2:$F$157)))),"阶段价格必须逐级提高","计划有效"))))))),IF(A142="每日跟踪",IF(OR(B142="",H142="",I142="",J142=""),"每日数据不完整",IF(COUNTIFS($A$2:$A$157,"每日跟踪",$B$2:$B$157,B142,$H$2:$H$157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IF(B143="","",IFERROR(LOOKUP(2,1/(单次交易!$A$2:$A$88=B143),单次交易!$B$2:$B$88),""))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IF(B143="","",IFERROR(LOOKUP(2,1/(单次交易!$A$2:$A$88=B143),单次交易!$N$2:$N$88),""))</f>
        <v/>
      </c>
      <c r="O143" s="5" t="str">
        <f t="shared" si="33"/>
        <v/>
      </c>
      <c r="P143" s="11" t="str">
        <f t="shared" si="34"/>
        <v/>
      </c>
      <c r="Q143" s="5" t="str">
        <f t="shared" si="35"/>
        <v/>
      </c>
      <c r="R143" s="10"/>
      <c r="S143" s="5" t="str">
        <f t="shared" si="36"/>
        <v/>
      </c>
      <c r="T143" s="5" t="str">
        <f t="shared" si="37"/>
        <v/>
      </c>
      <c r="U143" s="5" t="str">
        <f t="shared" si="38"/>
        <v/>
      </c>
      <c r="V143" s="7" t="str">
        <f t="shared" si="30"/>
        <v/>
      </c>
      <c r="W143" s="8" t="str">
        <f t="shared" si="31"/>
        <v/>
      </c>
      <c r="X143" s="2"/>
      <c r="Y143" s="10"/>
      <c r="Z143" s="11" t="str">
        <f>IF(X143&lt;&gt;"执行卖出","",IFERROR(LOOKUP(2,1/(单次交易!$A$2:$A$88=B143),单次交易!$AP$2:$AP$88),""))</f>
        <v/>
      </c>
      <c r="AA143" s="10"/>
      <c r="AB143" s="8" t="str">
        <f t="shared" si="32"/>
        <v/>
      </c>
      <c r="AC143" s="8" t="str">
        <f>IF(A143="","",IF(A143="止损计划",IF(OR(B143="",D143="",E143="",F143="",G143=""),"计划不完整",IF(OR(D143&lt;1,D143&lt;&gt;INT(D143)),"阶段序号无效",IF(COUNTIFS($A$2:$A$157,"止损计划",$B$2:$B$157,B143,$D$2:$D$157,D143)&gt;1,"阶段序号重复",IF(E143&lt;=IFERROR(LOOKUP(2,1/(单次交易!$A$2:$A$88=B143),单次交易!$E$2:$E$88),0),"激活价须高于买入价",IF(F143&lt;N143,"止损价不得低于初始止损",IF(F143&gt;E143,"止损价不得高于激活价",IF(AND(COUNTIFS($A$2:$A$157,"止损计划",$B$2:$B$157,B143,$D$2:$D$157,"&lt;"&amp;D143)&gt;0,OR(E143&lt;=SUMPRODUCT(MAX((($A$2:$A$157="止损计划")*($B$2:$B$157=B143)*($D$2:$D$157&lt;D143))*$E$2:$E$157)),F143&lt;SUMPRODUCT(MAX((($A$2:$A$157="止损计划")*($B$2:$B$157=B143)*($D$2:$D$157&lt;D143))*$F$2:$F$157)))),"阶段价格必须逐级提高","计划有效"))))))),IF(A143="每日跟踪",IF(OR(B143="",H143="",I143="",J143=""),"每日数据不完整",IF(COUNTIFS($A$2:$A$157,"每日跟踪",$B$2:$B$157,B143,$H$2:$H$157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IF(B144="","",IFERROR(LOOKUP(2,1/(单次交易!$A$2:$A$88=B144),单次交易!$B$2:$B$88),""))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IF(B144="","",IFERROR(LOOKUP(2,1/(单次交易!$A$2:$A$88=B144),单次交易!$N$2:$N$88),""))</f>
        <v/>
      </c>
      <c r="O144" s="5" t="str">
        <f t="shared" si="33"/>
        <v/>
      </c>
      <c r="P144" s="11" t="str">
        <f t="shared" si="34"/>
        <v/>
      </c>
      <c r="Q144" s="5" t="str">
        <f t="shared" si="35"/>
        <v/>
      </c>
      <c r="R144" s="10"/>
      <c r="S144" s="5" t="str">
        <f t="shared" si="36"/>
        <v/>
      </c>
      <c r="T144" s="5" t="str">
        <f t="shared" si="37"/>
        <v/>
      </c>
      <c r="U144" s="5" t="str">
        <f t="shared" si="38"/>
        <v/>
      </c>
      <c r="V144" s="7" t="str">
        <f t="shared" si="30"/>
        <v/>
      </c>
      <c r="W144" s="8" t="str">
        <f t="shared" si="31"/>
        <v/>
      </c>
      <c r="X144" s="2"/>
      <c r="Y144" s="10"/>
      <c r="Z144" s="11" t="str">
        <f>IF(X144&lt;&gt;"执行卖出","",IFERROR(LOOKUP(2,1/(单次交易!$A$2:$A$88=B144),单次交易!$AP$2:$AP$88),""))</f>
        <v/>
      </c>
      <c r="AA144" s="10"/>
      <c r="AB144" s="8" t="str">
        <f t="shared" si="32"/>
        <v/>
      </c>
      <c r="AC144" s="8" t="str">
        <f>IF(A144="","",IF(A144="止损计划",IF(OR(B144="",D144="",E144="",F144="",G144=""),"计划不完整",IF(OR(D144&lt;1,D144&lt;&gt;INT(D144)),"阶段序号无效",IF(COUNTIFS($A$2:$A$157,"止损计划",$B$2:$B$157,B144,$D$2:$D$157,D144)&gt;1,"阶段序号重复",IF(E144&lt;=IFERROR(LOOKUP(2,1/(单次交易!$A$2:$A$88=B144),单次交易!$E$2:$E$88),0),"激活价须高于买入价",IF(F144&lt;N144,"止损价不得低于初始止损",IF(F144&gt;E144,"止损价不得高于激活价",IF(AND(COUNTIFS($A$2:$A$157,"止损计划",$B$2:$B$157,B144,$D$2:$D$157,"&lt;"&amp;D144)&gt;0,OR(E144&lt;=SUMPRODUCT(MAX((($A$2:$A$157="止损计划")*($B$2:$B$157=B144)*($D$2:$D$157&lt;D144))*$E$2:$E$157)),F144&lt;SUMPRODUCT(MAX((($A$2:$A$157="止损计划")*($B$2:$B$157=B144)*($D$2:$D$157&lt;D144))*$F$2:$F$157)))),"阶段价格必须逐级提高","计划有效"))))))),IF(A144="每日跟踪",IF(OR(B144="",H144="",I144="",J144=""),"每日数据不完整",IF(COUNTIFS($A$2:$A$157,"每日跟踪",$B$2:$B$157,B144,$H$2:$H$157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IF(B145="","",IFERROR(LOOKUP(2,1/(单次交易!$A$2:$A$88=B145),单次交易!$B$2:$B$88),""))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IF(B145="","",IFERROR(LOOKUP(2,1/(单次交易!$A$2:$A$88=B145),单次交易!$N$2:$N$88),""))</f>
        <v/>
      </c>
      <c r="O145" s="5" t="str">
        <f t="shared" si="33"/>
        <v/>
      </c>
      <c r="P145" s="11" t="str">
        <f t="shared" si="34"/>
        <v/>
      </c>
      <c r="Q145" s="5" t="str">
        <f t="shared" si="35"/>
        <v/>
      </c>
      <c r="R145" s="10"/>
      <c r="S145" s="5" t="str">
        <f t="shared" si="36"/>
        <v/>
      </c>
      <c r="T145" s="5" t="str">
        <f t="shared" si="37"/>
        <v/>
      </c>
      <c r="U145" s="5" t="str">
        <f t="shared" si="38"/>
        <v/>
      </c>
      <c r="V145" s="7" t="str">
        <f t="shared" si="30"/>
        <v/>
      </c>
      <c r="W145" s="8" t="str">
        <f t="shared" si="31"/>
        <v/>
      </c>
      <c r="X145" s="2"/>
      <c r="Y145" s="10"/>
      <c r="Z145" s="11" t="str">
        <f>IF(X145&lt;&gt;"执行卖出","",IFERROR(LOOKUP(2,1/(单次交易!$A$2:$A$88=B145),单次交易!$AP$2:$AP$88),""))</f>
        <v/>
      </c>
      <c r="AA145" s="10"/>
      <c r="AB145" s="8" t="str">
        <f t="shared" si="32"/>
        <v/>
      </c>
      <c r="AC145" s="8" t="str">
        <f>IF(A145="","",IF(A145="止损计划",IF(OR(B145="",D145="",E145="",F145="",G145=""),"计划不完整",IF(OR(D145&lt;1,D145&lt;&gt;INT(D145)),"阶段序号无效",IF(COUNTIFS($A$2:$A$157,"止损计划",$B$2:$B$157,B145,$D$2:$D$157,D145)&gt;1,"阶段序号重复",IF(E145&lt;=IFERROR(LOOKUP(2,1/(单次交易!$A$2:$A$88=B145),单次交易!$E$2:$E$88),0),"激活价须高于买入价",IF(F145&lt;N145,"止损价不得低于初始止损",IF(F145&gt;E145,"止损价不得高于激活价",IF(AND(COUNTIFS($A$2:$A$157,"止损计划",$B$2:$B$157,B145,$D$2:$D$157,"&lt;"&amp;D145)&gt;0,OR(E145&lt;=SUMPRODUCT(MAX((($A$2:$A$157="止损计划")*($B$2:$B$157=B145)*($D$2:$D$157&lt;D145))*$E$2:$E$157)),F145&lt;SUMPRODUCT(MAX((($A$2:$A$157="止损计划")*($B$2:$B$157=B145)*($D$2:$D$157&lt;D145))*$F$2:$F$157)))),"阶段价格必须逐级提高","计划有效"))))))),IF(A145="每日跟踪",IF(OR(B145="",H145="",I145="",J145=""),"每日数据不完整",IF(COUNTIFS($A$2:$A$157,"每日跟踪",$B$2:$B$157,B145,$H$2:$H$157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IF(B146="","",IFERROR(LOOKUP(2,1/(单次交易!$A$2:$A$88=B146),单次交易!$B$2:$B$88),""))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IF(B146="","",IFERROR(LOOKUP(2,1/(单次交易!$A$2:$A$88=B146),单次交易!$N$2:$N$88),""))</f>
        <v/>
      </c>
      <c r="O146" s="5" t="str">
        <f t="shared" si="33"/>
        <v/>
      </c>
      <c r="P146" s="11" t="str">
        <f t="shared" si="34"/>
        <v/>
      </c>
      <c r="Q146" s="5" t="str">
        <f t="shared" si="35"/>
        <v/>
      </c>
      <c r="R146" s="10"/>
      <c r="S146" s="5" t="str">
        <f t="shared" si="36"/>
        <v/>
      </c>
      <c r="T146" s="5" t="str">
        <f t="shared" si="37"/>
        <v/>
      </c>
      <c r="U146" s="5" t="str">
        <f t="shared" si="38"/>
        <v/>
      </c>
      <c r="V146" s="7" t="str">
        <f t="shared" si="30"/>
        <v/>
      </c>
      <c r="W146" s="8" t="str">
        <f t="shared" si="31"/>
        <v/>
      </c>
      <c r="X146" s="2"/>
      <c r="Y146" s="10"/>
      <c r="Z146" s="11" t="str">
        <f>IF(X146&lt;&gt;"执行卖出","",IFERROR(LOOKUP(2,1/(单次交易!$A$2:$A$88=B146),单次交易!$AP$2:$AP$88),""))</f>
        <v/>
      </c>
      <c r="AA146" s="10"/>
      <c r="AB146" s="8" t="str">
        <f t="shared" si="32"/>
        <v/>
      </c>
      <c r="AC146" s="8" t="str">
        <f>IF(A146="","",IF(A146="止损计划",IF(OR(B146="",D146="",E146="",F146="",G146=""),"计划不完整",IF(OR(D146&lt;1,D146&lt;&gt;INT(D146)),"阶段序号无效",IF(COUNTIFS($A$2:$A$157,"止损计划",$B$2:$B$157,B146,$D$2:$D$157,D146)&gt;1,"阶段序号重复",IF(E146&lt;=IFERROR(LOOKUP(2,1/(单次交易!$A$2:$A$88=B146),单次交易!$E$2:$E$88),0),"激活价须高于买入价",IF(F146&lt;N146,"止损价不得低于初始止损",IF(F146&gt;E146,"止损价不得高于激活价",IF(AND(COUNTIFS($A$2:$A$157,"止损计划",$B$2:$B$157,B146,$D$2:$D$157,"&lt;"&amp;D146)&gt;0,OR(E146&lt;=SUMPRODUCT(MAX((($A$2:$A$157="止损计划")*($B$2:$B$157=B146)*($D$2:$D$157&lt;D146))*$E$2:$E$157)),F146&lt;SUMPRODUCT(MAX((($A$2:$A$157="止损计划")*($B$2:$B$157=B146)*($D$2:$D$157&lt;D146))*$F$2:$F$157)))),"阶段价格必须逐级提高","计划有效"))))))),IF(A146="每日跟踪",IF(OR(B146="",H146="",I146="",J146=""),"每日数据不完整",IF(COUNTIFS($A$2:$A$157,"每日跟踪",$B$2:$B$157,B146,$H$2:$H$157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IF(B147="","",IFERROR(LOOKUP(2,1/(单次交易!$A$2:$A$88=B147),单次交易!$B$2:$B$88),""))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IF(B147="","",IFERROR(LOOKUP(2,1/(单次交易!$A$2:$A$88=B147),单次交易!$N$2:$N$88),""))</f>
        <v/>
      </c>
      <c r="O147" s="5" t="str">
        <f t="shared" si="33"/>
        <v/>
      </c>
      <c r="P147" s="11" t="str">
        <f t="shared" si="34"/>
        <v/>
      </c>
      <c r="Q147" s="5" t="str">
        <f t="shared" si="35"/>
        <v/>
      </c>
      <c r="R147" s="10"/>
      <c r="S147" s="5" t="str">
        <f t="shared" si="36"/>
        <v/>
      </c>
      <c r="T147" s="5" t="str">
        <f t="shared" si="37"/>
        <v/>
      </c>
      <c r="U147" s="5" t="str">
        <f t="shared" si="38"/>
        <v/>
      </c>
      <c r="V147" s="7" t="str">
        <f t="shared" si="30"/>
        <v/>
      </c>
      <c r="W147" s="8" t="str">
        <f t="shared" si="31"/>
        <v/>
      </c>
      <c r="X147" s="2"/>
      <c r="Y147" s="10"/>
      <c r="Z147" s="11" t="str">
        <f>IF(X147&lt;&gt;"执行卖出","",IFERROR(LOOKUP(2,1/(单次交易!$A$2:$A$88=B147),单次交易!$AP$2:$AP$88),""))</f>
        <v/>
      </c>
      <c r="AA147" s="10"/>
      <c r="AB147" s="8" t="str">
        <f t="shared" si="32"/>
        <v/>
      </c>
      <c r="AC147" s="8" t="str">
        <f>IF(A147="","",IF(A147="止损计划",IF(OR(B147="",D147="",E147="",F147="",G147=""),"计划不完整",IF(OR(D147&lt;1,D147&lt;&gt;INT(D147)),"阶段序号无效",IF(COUNTIFS($A$2:$A$157,"止损计划",$B$2:$B$157,B147,$D$2:$D$157,D147)&gt;1,"阶段序号重复",IF(E147&lt;=IFERROR(LOOKUP(2,1/(单次交易!$A$2:$A$88=B147),单次交易!$E$2:$E$88),0),"激活价须高于买入价",IF(F147&lt;N147,"止损价不得低于初始止损",IF(F147&gt;E147,"止损价不得高于激活价",IF(AND(COUNTIFS($A$2:$A$157,"止损计划",$B$2:$B$157,B147,$D$2:$D$157,"&lt;"&amp;D147)&gt;0,OR(E147&lt;=SUMPRODUCT(MAX((($A$2:$A$157="止损计划")*($B$2:$B$157=B147)*($D$2:$D$157&lt;D147))*$E$2:$E$157)),F147&lt;SUMPRODUCT(MAX((($A$2:$A$157="止损计划")*($B$2:$B$157=B147)*($D$2:$D$157&lt;D147))*$F$2:$F$157)))),"阶段价格必须逐级提高","计划有效"))))))),IF(A147="每日跟踪",IF(OR(B147="",H147="",I147="",J147=""),"每日数据不完整",IF(COUNTIFS($A$2:$A$157,"每日跟踪",$B$2:$B$157,B147,$H$2:$H$157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IF(B148="","",IFERROR(LOOKUP(2,1/(单次交易!$A$2:$A$88=B148),单次交易!$B$2:$B$88),""))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IF(B148="","",IFERROR(LOOKUP(2,1/(单次交易!$A$2:$A$88=B148),单次交易!$N$2:$N$88),""))</f>
        <v/>
      </c>
      <c r="O148" s="5" t="str">
        <f t="shared" si="33"/>
        <v/>
      </c>
      <c r="P148" s="11" t="str">
        <f t="shared" si="34"/>
        <v/>
      </c>
      <c r="Q148" s="5" t="str">
        <f t="shared" si="35"/>
        <v/>
      </c>
      <c r="R148" s="10"/>
      <c r="S148" s="5" t="str">
        <f t="shared" si="36"/>
        <v/>
      </c>
      <c r="T148" s="5" t="str">
        <f t="shared" si="37"/>
        <v/>
      </c>
      <c r="U148" s="5" t="str">
        <f t="shared" si="38"/>
        <v/>
      </c>
      <c r="V148" s="7" t="str">
        <f t="shared" si="30"/>
        <v/>
      </c>
      <c r="W148" s="8" t="str">
        <f t="shared" si="31"/>
        <v/>
      </c>
      <c r="X148" s="2"/>
      <c r="Y148" s="10"/>
      <c r="Z148" s="11" t="str">
        <f>IF(X148&lt;&gt;"执行卖出","",IFERROR(LOOKUP(2,1/(单次交易!$A$2:$A$88=B148),单次交易!$AP$2:$AP$88),""))</f>
        <v/>
      </c>
      <c r="AA148" s="10"/>
      <c r="AB148" s="8" t="str">
        <f t="shared" si="32"/>
        <v/>
      </c>
      <c r="AC148" s="8" t="str">
        <f>IF(A148="","",IF(A148="止损计划",IF(OR(B148="",D148="",E148="",F148="",G148=""),"计划不完整",IF(OR(D148&lt;1,D148&lt;&gt;INT(D148)),"阶段序号无效",IF(COUNTIFS($A$2:$A$157,"止损计划",$B$2:$B$157,B148,$D$2:$D$157,D148)&gt;1,"阶段序号重复",IF(E148&lt;=IFERROR(LOOKUP(2,1/(单次交易!$A$2:$A$88=B148),单次交易!$E$2:$E$88),0),"激活价须高于买入价",IF(F148&lt;N148,"止损价不得低于初始止损",IF(F148&gt;E148,"止损价不得高于激活价",IF(AND(COUNTIFS($A$2:$A$157,"止损计划",$B$2:$B$157,B148,$D$2:$D$157,"&lt;"&amp;D148)&gt;0,OR(E148&lt;=SUMPRODUCT(MAX((($A$2:$A$157="止损计划")*($B$2:$B$157=B148)*($D$2:$D$157&lt;D148))*$E$2:$E$157)),F148&lt;SUMPRODUCT(MAX((($A$2:$A$157="止损计划")*($B$2:$B$157=B148)*($D$2:$D$157&lt;D148))*$F$2:$F$157)))),"阶段价格必须逐级提高","计划有效"))))))),IF(A148="每日跟踪",IF(OR(B148="",H148="",I148="",J148=""),"每日数据不完整",IF(COUNTIFS($A$2:$A$157,"每日跟踪",$B$2:$B$157,B148,$H$2:$H$157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IF(B149="","",IFERROR(LOOKUP(2,1/(单次交易!$A$2:$A$88=B149),单次交易!$B$2:$B$88),""))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IF(B149="","",IFERROR(LOOKUP(2,1/(单次交易!$A$2:$A$88=B149),单次交易!$N$2:$N$88),""))</f>
        <v/>
      </c>
      <c r="O149" s="5" t="str">
        <f t="shared" si="33"/>
        <v/>
      </c>
      <c r="P149" s="11" t="str">
        <f t="shared" si="34"/>
        <v/>
      </c>
      <c r="Q149" s="5" t="str">
        <f t="shared" si="35"/>
        <v/>
      </c>
      <c r="R149" s="10"/>
      <c r="S149" s="5" t="str">
        <f t="shared" si="36"/>
        <v/>
      </c>
      <c r="T149" s="5" t="str">
        <f t="shared" si="37"/>
        <v/>
      </c>
      <c r="U149" s="5" t="str">
        <f t="shared" si="38"/>
        <v/>
      </c>
      <c r="V149" s="7" t="str">
        <f t="shared" si="30"/>
        <v/>
      </c>
      <c r="W149" s="8" t="str">
        <f t="shared" si="31"/>
        <v/>
      </c>
      <c r="X149" s="2"/>
      <c r="Y149" s="10"/>
      <c r="Z149" s="11" t="str">
        <f>IF(X149&lt;&gt;"执行卖出","",IFERROR(LOOKUP(2,1/(单次交易!$A$2:$A$88=B149),单次交易!$AP$2:$AP$88),""))</f>
        <v/>
      </c>
      <c r="AA149" s="10"/>
      <c r="AB149" s="8" t="str">
        <f t="shared" si="32"/>
        <v/>
      </c>
      <c r="AC149" s="8" t="str">
        <f>IF(A149="","",IF(A149="止损计划",IF(OR(B149="",D149="",E149="",F149="",G149=""),"计划不完整",IF(OR(D149&lt;1,D149&lt;&gt;INT(D149)),"阶段序号无效",IF(COUNTIFS($A$2:$A$157,"止损计划",$B$2:$B$157,B149,$D$2:$D$157,D149)&gt;1,"阶段序号重复",IF(E149&lt;=IFERROR(LOOKUP(2,1/(单次交易!$A$2:$A$88=B149),单次交易!$E$2:$E$88),0),"激活价须高于买入价",IF(F149&lt;N149,"止损价不得低于初始止损",IF(F149&gt;E149,"止损价不得高于激活价",IF(AND(COUNTIFS($A$2:$A$157,"止损计划",$B$2:$B$157,B149,$D$2:$D$157,"&lt;"&amp;D149)&gt;0,OR(E149&lt;=SUMPRODUCT(MAX((($A$2:$A$157="止损计划")*($B$2:$B$157=B149)*($D$2:$D$157&lt;D149))*$E$2:$E$157)),F149&lt;SUMPRODUCT(MAX((($A$2:$A$157="止损计划")*($B$2:$B$157=B149)*($D$2:$D$157&lt;D149))*$F$2:$F$157)))),"阶段价格必须逐级提高","计划有效"))))))),IF(A149="每日跟踪",IF(OR(B149="",H149="",I149="",J149=""),"每日数据不完整",IF(COUNTIFS($A$2:$A$157,"每日跟踪",$B$2:$B$157,B149,$H$2:$H$157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IF(B150="","",IFERROR(LOOKUP(2,1/(单次交易!$A$2:$A$88=B150),单次交易!$B$2:$B$88),""))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IF(B150="","",IFERROR(LOOKUP(2,1/(单次交易!$A$2:$A$88=B150),单次交易!$N$2:$N$88),""))</f>
        <v/>
      </c>
      <c r="O150" s="5" t="str">
        <f t="shared" si="33"/>
        <v/>
      </c>
      <c r="P150" s="11" t="str">
        <f t="shared" si="34"/>
        <v/>
      </c>
      <c r="Q150" s="5" t="str">
        <f t="shared" si="35"/>
        <v/>
      </c>
      <c r="R150" s="10"/>
      <c r="S150" s="5" t="str">
        <f t="shared" si="36"/>
        <v/>
      </c>
      <c r="T150" s="5" t="str">
        <f t="shared" si="37"/>
        <v/>
      </c>
      <c r="U150" s="5" t="str">
        <f t="shared" si="38"/>
        <v/>
      </c>
      <c r="V150" s="7" t="str">
        <f t="shared" si="30"/>
        <v/>
      </c>
      <c r="W150" s="8" t="str">
        <f t="shared" si="31"/>
        <v/>
      </c>
      <c r="X150" s="2"/>
      <c r="Y150" s="10"/>
      <c r="Z150" s="11" t="str">
        <f>IF(X150&lt;&gt;"执行卖出","",IFERROR(LOOKUP(2,1/(单次交易!$A$2:$A$88=B150),单次交易!$AP$2:$AP$88),""))</f>
        <v/>
      </c>
      <c r="AA150" s="10"/>
      <c r="AB150" s="8" t="str">
        <f t="shared" si="32"/>
        <v/>
      </c>
      <c r="AC150" s="8" t="str">
        <f>IF(A150="","",IF(A150="止损计划",IF(OR(B150="",D150="",E150="",F150="",G150=""),"计划不完整",IF(OR(D150&lt;1,D150&lt;&gt;INT(D150)),"阶段序号无效",IF(COUNTIFS($A$2:$A$157,"止损计划",$B$2:$B$157,B150,$D$2:$D$157,D150)&gt;1,"阶段序号重复",IF(E150&lt;=IFERROR(LOOKUP(2,1/(单次交易!$A$2:$A$88=B150),单次交易!$E$2:$E$88),0),"激活价须高于买入价",IF(F150&lt;N150,"止损价不得低于初始止损",IF(F150&gt;E150,"止损价不得高于激活价",IF(AND(COUNTIFS($A$2:$A$157,"止损计划",$B$2:$B$157,B150,$D$2:$D$157,"&lt;"&amp;D150)&gt;0,OR(E150&lt;=SUMPRODUCT(MAX((($A$2:$A$157="止损计划")*($B$2:$B$157=B150)*($D$2:$D$157&lt;D150))*$E$2:$E$157)),F150&lt;SUMPRODUCT(MAX((($A$2:$A$157="止损计划")*($B$2:$B$157=B150)*($D$2:$D$157&lt;D150))*$F$2:$F$157)))),"阶段价格必须逐级提高","计划有效"))))))),IF(A150="每日跟踪",IF(OR(B150="",H150="",I150="",J150=""),"每日数据不完整",IF(COUNTIFS($A$2:$A$157,"每日跟踪",$B$2:$B$157,B150,$H$2:$H$157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IF(B151="","",IFERROR(LOOKUP(2,1/(单次交易!$A$2:$A$88=B151),单次交易!$B$2:$B$88),""))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IF(B151="","",IFERROR(LOOKUP(2,1/(单次交易!$A$2:$A$88=B151),单次交易!$N$2:$N$88),""))</f>
        <v/>
      </c>
      <c r="O151" s="5" t="str">
        <f t="shared" si="33"/>
        <v/>
      </c>
      <c r="P151" s="11" t="str">
        <f t="shared" si="34"/>
        <v/>
      </c>
      <c r="Q151" s="5" t="str">
        <f t="shared" si="35"/>
        <v/>
      </c>
      <c r="R151" s="10"/>
      <c r="S151" s="5" t="str">
        <f t="shared" si="36"/>
        <v/>
      </c>
      <c r="T151" s="5" t="str">
        <f t="shared" si="37"/>
        <v/>
      </c>
      <c r="U151" s="5" t="str">
        <f t="shared" si="38"/>
        <v/>
      </c>
      <c r="V151" s="7" t="str">
        <f t="shared" si="30"/>
        <v/>
      </c>
      <c r="W151" s="8" t="str">
        <f t="shared" si="31"/>
        <v/>
      </c>
      <c r="X151" s="2"/>
      <c r="Y151" s="10"/>
      <c r="Z151" s="11" t="str">
        <f>IF(X151&lt;&gt;"执行卖出","",IFERROR(LOOKUP(2,1/(单次交易!$A$2:$A$88=B151),单次交易!$AP$2:$AP$88),""))</f>
        <v/>
      </c>
      <c r="AA151" s="10"/>
      <c r="AB151" s="8" t="str">
        <f t="shared" si="32"/>
        <v/>
      </c>
      <c r="AC151" s="8" t="str">
        <f>IF(A151="","",IF(A151="止损计划",IF(OR(B151="",D151="",E151="",F151="",G151=""),"计划不完整",IF(OR(D151&lt;1,D151&lt;&gt;INT(D151)),"阶段序号无效",IF(COUNTIFS($A$2:$A$157,"止损计划",$B$2:$B$157,B151,$D$2:$D$157,D151)&gt;1,"阶段序号重复",IF(E151&lt;=IFERROR(LOOKUP(2,1/(单次交易!$A$2:$A$88=B151),单次交易!$E$2:$E$88),0),"激活价须高于买入价",IF(F151&lt;N151,"止损价不得低于初始止损",IF(F151&gt;E151,"止损价不得高于激活价",IF(AND(COUNTIFS($A$2:$A$157,"止损计划",$B$2:$B$157,B151,$D$2:$D$157,"&lt;"&amp;D151)&gt;0,OR(E151&lt;=SUMPRODUCT(MAX((($A$2:$A$157="止损计划")*($B$2:$B$157=B151)*($D$2:$D$157&lt;D151))*$E$2:$E$157)),F151&lt;SUMPRODUCT(MAX((($A$2:$A$157="止损计划")*($B$2:$B$157=B151)*($D$2:$D$157&lt;D151))*$F$2:$F$157)))),"阶段价格必须逐级提高","计划有效"))))))),IF(A151="每日跟踪",IF(OR(B151="",H151="",I151="",J151=""),"每日数据不完整",IF(COUNTIFS($A$2:$A$157,"每日跟踪",$B$2:$B$157,B151,$H$2:$H$157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IF(B152="","",IFERROR(LOOKUP(2,1/(单次交易!$A$2:$A$88=B152),单次交易!$B$2:$B$88),""))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IF(B152="","",IFERROR(LOOKUP(2,1/(单次交易!$A$2:$A$88=B152),单次交易!$N$2:$N$88),""))</f>
        <v/>
      </c>
      <c r="O152" s="5" t="str">
        <f t="shared" si="33"/>
        <v/>
      </c>
      <c r="P152" s="11" t="str">
        <f t="shared" si="34"/>
        <v/>
      </c>
      <c r="Q152" s="5" t="str">
        <f t="shared" si="35"/>
        <v/>
      </c>
      <c r="R152" s="10"/>
      <c r="S152" s="5" t="str">
        <f t="shared" si="36"/>
        <v/>
      </c>
      <c r="T152" s="5" t="str">
        <f t="shared" si="37"/>
        <v/>
      </c>
      <c r="U152" s="5" t="str">
        <f t="shared" si="38"/>
        <v/>
      </c>
      <c r="V152" s="7" t="str">
        <f t="shared" si="30"/>
        <v/>
      </c>
      <c r="W152" s="8" t="str">
        <f t="shared" si="31"/>
        <v/>
      </c>
      <c r="X152" s="2"/>
      <c r="Y152" s="10"/>
      <c r="Z152" s="11" t="str">
        <f>IF(X152&lt;&gt;"执行卖出","",IFERROR(LOOKUP(2,1/(单次交易!$A$2:$A$88=B152),单次交易!$AP$2:$AP$88),""))</f>
        <v/>
      </c>
      <c r="AA152" s="10"/>
      <c r="AB152" s="8" t="str">
        <f t="shared" si="32"/>
        <v/>
      </c>
      <c r="AC152" s="8" t="str">
        <f>IF(A152="","",IF(A152="止损计划",IF(OR(B152="",D152="",E152="",F152="",G152=""),"计划不完整",IF(OR(D152&lt;1,D152&lt;&gt;INT(D152)),"阶段序号无效",IF(COUNTIFS($A$2:$A$157,"止损计划",$B$2:$B$157,B152,$D$2:$D$157,D152)&gt;1,"阶段序号重复",IF(E152&lt;=IFERROR(LOOKUP(2,1/(单次交易!$A$2:$A$88=B152),单次交易!$E$2:$E$88),0),"激活价须高于买入价",IF(F152&lt;N152,"止损价不得低于初始止损",IF(F152&gt;E152,"止损价不得高于激活价",IF(AND(COUNTIFS($A$2:$A$157,"止损计划",$B$2:$B$157,B152,$D$2:$D$157,"&lt;"&amp;D152)&gt;0,OR(E152&lt;=SUMPRODUCT(MAX((($A$2:$A$157="止损计划")*($B$2:$B$157=B152)*($D$2:$D$157&lt;D152))*$E$2:$E$157)),F152&lt;SUMPRODUCT(MAX((($A$2:$A$157="止损计划")*($B$2:$B$157=B152)*($D$2:$D$157&lt;D152))*$F$2:$F$157)))),"阶段价格必须逐级提高","计划有效"))))))),IF(A152="每日跟踪",IF(OR(B152="",H152="",I152="",J152=""),"每日数据不完整",IF(COUNTIFS($A$2:$A$157,"每日跟踪",$B$2:$B$157,B152,$H$2:$H$157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IF(B153="","",IFERROR(LOOKUP(2,1/(单次交易!$A$2:$A$88=B153),单次交易!$B$2:$B$88),""))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IF(B153="","",IFERROR(LOOKUP(2,1/(单次交易!$A$2:$A$88=B153),单次交易!$N$2:$N$88),""))</f>
        <v/>
      </c>
      <c r="O153" s="5" t="str">
        <f t="shared" si="33"/>
        <v/>
      </c>
      <c r="P153" s="11" t="str">
        <f t="shared" si="34"/>
        <v/>
      </c>
      <c r="Q153" s="5" t="str">
        <f t="shared" si="35"/>
        <v/>
      </c>
      <c r="R153" s="10"/>
      <c r="S153" s="5" t="str">
        <f t="shared" si="36"/>
        <v/>
      </c>
      <c r="T153" s="5" t="str">
        <f t="shared" si="37"/>
        <v/>
      </c>
      <c r="U153" s="5" t="str">
        <f t="shared" si="38"/>
        <v/>
      </c>
      <c r="V153" s="7" t="str">
        <f t="shared" si="30"/>
        <v/>
      </c>
      <c r="W153" s="8" t="str">
        <f t="shared" si="31"/>
        <v/>
      </c>
      <c r="X153" s="2"/>
      <c r="Y153" s="10"/>
      <c r="Z153" s="11" t="str">
        <f>IF(X153&lt;&gt;"执行卖出","",IFERROR(LOOKUP(2,1/(单次交易!$A$2:$A$88=B153),单次交易!$AP$2:$AP$88),""))</f>
        <v/>
      </c>
      <c r="AA153" s="10"/>
      <c r="AB153" s="8" t="str">
        <f t="shared" si="32"/>
        <v/>
      </c>
      <c r="AC153" s="8" t="str">
        <f>IF(A153="","",IF(A153="止损计划",IF(OR(B153="",D153="",E153="",F153="",G153=""),"计划不完整",IF(OR(D153&lt;1,D153&lt;&gt;INT(D153)),"阶段序号无效",IF(COUNTIFS($A$2:$A$157,"止损计划",$B$2:$B$157,B153,$D$2:$D$157,D153)&gt;1,"阶段序号重复",IF(E153&lt;=IFERROR(LOOKUP(2,1/(单次交易!$A$2:$A$88=B153),单次交易!$E$2:$E$88),0),"激活价须高于买入价",IF(F153&lt;N153,"止损价不得低于初始止损",IF(F153&gt;E153,"止损价不得高于激活价",IF(AND(COUNTIFS($A$2:$A$157,"止损计划",$B$2:$B$157,B153,$D$2:$D$157,"&lt;"&amp;D153)&gt;0,OR(E153&lt;=SUMPRODUCT(MAX((($A$2:$A$157="止损计划")*($B$2:$B$157=B153)*($D$2:$D$157&lt;D153))*$E$2:$E$157)),F153&lt;SUMPRODUCT(MAX((($A$2:$A$157="止损计划")*($B$2:$B$157=B153)*($D$2:$D$157&lt;D153))*$F$2:$F$157)))),"阶段价格必须逐级提高","计划有效"))))))),IF(A153="每日跟踪",IF(OR(B153="",H153="",I153="",J153=""),"每日数据不完整",IF(COUNTIFS($A$2:$A$157,"每日跟踪",$B$2:$B$157,B153,$H$2:$H$157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IF(B154="","",IFERROR(LOOKUP(2,1/(单次交易!$A$2:$A$88=B154),单次交易!$B$2:$B$88),""))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IF(B154="","",IFERROR(LOOKUP(2,1/(单次交易!$A$2:$A$88=B154),单次交易!$N$2:$N$88),""))</f>
        <v/>
      </c>
      <c r="O154" s="5" t="str">
        <f t="shared" si="33"/>
        <v/>
      </c>
      <c r="P154" s="11" t="str">
        <f t="shared" si="34"/>
        <v/>
      </c>
      <c r="Q154" s="5" t="str">
        <f t="shared" si="35"/>
        <v/>
      </c>
      <c r="R154" s="10"/>
      <c r="S154" s="5" t="str">
        <f t="shared" si="36"/>
        <v/>
      </c>
      <c r="T154" s="5" t="str">
        <f t="shared" si="37"/>
        <v/>
      </c>
      <c r="U154" s="5" t="str">
        <f t="shared" si="38"/>
        <v/>
      </c>
      <c r="V154" s="7" t="str">
        <f t="shared" si="30"/>
        <v/>
      </c>
      <c r="W154" s="8" t="str">
        <f t="shared" si="31"/>
        <v/>
      </c>
      <c r="X154" s="2"/>
      <c r="Y154" s="10"/>
      <c r="Z154" s="11" t="str">
        <f>IF(X154&lt;&gt;"执行卖出","",IFERROR(LOOKUP(2,1/(单次交易!$A$2:$A$88=B154),单次交易!$AP$2:$AP$88),""))</f>
        <v/>
      </c>
      <c r="AA154" s="10"/>
      <c r="AB154" s="8" t="str">
        <f t="shared" si="32"/>
        <v/>
      </c>
      <c r="AC154" s="8" t="str">
        <f>IF(A154="","",IF(A154="止损计划",IF(OR(B154="",D154="",E154="",F154="",G154=""),"计划不完整",IF(OR(D154&lt;1,D154&lt;&gt;INT(D154)),"阶段序号无效",IF(COUNTIFS($A$2:$A$157,"止损计划",$B$2:$B$157,B154,$D$2:$D$157,D154)&gt;1,"阶段序号重复",IF(E154&lt;=IFERROR(LOOKUP(2,1/(单次交易!$A$2:$A$88=B154),单次交易!$E$2:$E$88),0),"激活价须高于买入价",IF(F154&lt;N154,"止损价不得低于初始止损",IF(F154&gt;E154,"止损价不得高于激活价",IF(AND(COUNTIFS($A$2:$A$157,"止损计划",$B$2:$B$157,B154,$D$2:$D$157,"&lt;"&amp;D154)&gt;0,OR(E154&lt;=SUMPRODUCT(MAX((($A$2:$A$157="止损计划")*($B$2:$B$157=B154)*($D$2:$D$157&lt;D154))*$E$2:$E$157)),F154&lt;SUMPRODUCT(MAX((($A$2:$A$157="止损计划")*($B$2:$B$157=B154)*($D$2:$D$157&lt;D154))*$F$2:$F$157)))),"阶段价格必须逐级提高","计划有效"))))))),IF(A154="每日跟踪",IF(OR(B154="",H154="",I154="",J154=""),"每日数据不完整",IF(COUNTIFS($A$2:$A$157,"每日跟踪",$B$2:$B$157,B154,$H$2:$H$157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IF(B155="","",IFERROR(LOOKUP(2,1/(单次交易!$A$2:$A$88=B155),单次交易!$B$2:$B$88),""))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IF(B155="","",IFERROR(LOOKUP(2,1/(单次交易!$A$2:$A$88=B155),单次交易!$N$2:$N$88),""))</f>
        <v/>
      </c>
      <c r="O155" s="5" t="str">
        <f t="shared" si="33"/>
        <v/>
      </c>
      <c r="P155" s="11" t="str">
        <f t="shared" si="34"/>
        <v/>
      </c>
      <c r="Q155" s="5" t="str">
        <f t="shared" si="35"/>
        <v/>
      </c>
      <c r="R155" s="10"/>
      <c r="S155" s="5" t="str">
        <f t="shared" si="36"/>
        <v/>
      </c>
      <c r="T155" s="5" t="str">
        <f t="shared" si="37"/>
        <v/>
      </c>
      <c r="U155" s="5" t="str">
        <f t="shared" si="38"/>
        <v/>
      </c>
      <c r="V155" s="7" t="str">
        <f t="shared" si="30"/>
        <v/>
      </c>
      <c r="W155" s="8" t="str">
        <f t="shared" si="31"/>
        <v/>
      </c>
      <c r="X155" s="2"/>
      <c r="Y155" s="10"/>
      <c r="Z155" s="11" t="str">
        <f>IF(X155&lt;&gt;"执行卖出","",IFERROR(LOOKUP(2,1/(单次交易!$A$2:$A$88=B155),单次交易!$AP$2:$AP$88),""))</f>
        <v/>
      </c>
      <c r="AA155" s="10"/>
      <c r="AB155" s="8" t="str">
        <f t="shared" si="32"/>
        <v/>
      </c>
      <c r="AC155" s="8" t="str">
        <f>IF(A155="","",IF(A155="止损计划",IF(OR(B155="",D155="",E155="",F155="",G155=""),"计划不完整",IF(OR(D155&lt;1,D155&lt;&gt;INT(D155)),"阶段序号无效",IF(COUNTIFS($A$2:$A$157,"止损计划",$B$2:$B$157,B155,$D$2:$D$157,D155)&gt;1,"阶段序号重复",IF(E155&lt;=IFERROR(LOOKUP(2,1/(单次交易!$A$2:$A$88=B155),单次交易!$E$2:$E$88),0),"激活价须高于买入价",IF(F155&lt;N155,"止损价不得低于初始止损",IF(F155&gt;E155,"止损价不得高于激活价",IF(AND(COUNTIFS($A$2:$A$157,"止损计划",$B$2:$B$157,B155,$D$2:$D$157,"&lt;"&amp;D155)&gt;0,OR(E155&lt;=SUMPRODUCT(MAX((($A$2:$A$157="止损计划")*($B$2:$B$157=B155)*($D$2:$D$157&lt;D155))*$E$2:$E$157)),F155&lt;SUMPRODUCT(MAX((($A$2:$A$157="止损计划")*($B$2:$B$157=B155)*($D$2:$D$157&lt;D155))*$F$2:$F$157)))),"阶段价格必须逐级提高","计划有效"))))))),IF(A155="每日跟踪",IF(OR(B155="",H155="",I155="",J155=""),"每日数据不完整",IF(COUNTIFS($A$2:$A$157,"每日跟踪",$B$2:$B$157,B155,$H$2:$H$157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IF(B156="","",IFERROR(LOOKUP(2,1/(单次交易!$A$2:$A$88=B156),单次交易!$B$2:$B$88),""))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IF(B156="","",IFERROR(LOOKUP(2,1/(单次交易!$A$2:$A$88=B156),单次交易!$N$2:$N$88),""))</f>
        <v/>
      </c>
      <c r="O156" s="5" t="str">
        <f t="shared" si="33"/>
        <v/>
      </c>
      <c r="P156" s="11" t="str">
        <f t="shared" si="34"/>
        <v/>
      </c>
      <c r="Q156" s="5" t="str">
        <f t="shared" si="35"/>
        <v/>
      </c>
      <c r="R156" s="10"/>
      <c r="S156" s="5" t="str">
        <f t="shared" si="36"/>
        <v/>
      </c>
      <c r="T156" s="5" t="str">
        <f t="shared" si="37"/>
        <v/>
      </c>
      <c r="U156" s="5" t="str">
        <f t="shared" si="38"/>
        <v/>
      </c>
      <c r="V156" s="7" t="str">
        <f t="shared" si="30"/>
        <v/>
      </c>
      <c r="W156" s="8" t="str">
        <f t="shared" si="31"/>
        <v/>
      </c>
      <c r="X156" s="2"/>
      <c r="Y156" s="10"/>
      <c r="Z156" s="11" t="str">
        <f>IF(X156&lt;&gt;"执行卖出","",IFERROR(LOOKUP(2,1/(单次交易!$A$2:$A$88=B156),单次交易!$AP$2:$AP$88),""))</f>
        <v/>
      </c>
      <c r="AA156" s="10"/>
      <c r="AB156" s="8" t="str">
        <f t="shared" si="32"/>
        <v/>
      </c>
      <c r="AC156" s="8" t="str">
        <f>IF(A156="","",IF(A156="止损计划",IF(OR(B156="",D156="",E156="",F156="",G156=""),"计划不完整",IF(OR(D156&lt;1,D156&lt;&gt;INT(D156)),"阶段序号无效",IF(COUNTIFS($A$2:$A$157,"止损计划",$B$2:$B$157,B156,$D$2:$D$157,D156)&gt;1,"阶段序号重复",IF(E156&lt;=IFERROR(LOOKUP(2,1/(单次交易!$A$2:$A$88=B156),单次交易!$E$2:$E$88),0),"激活价须高于买入价",IF(F156&lt;N156,"止损价不得低于初始止损",IF(F156&gt;E156,"止损价不得高于激活价",IF(AND(COUNTIFS($A$2:$A$157,"止损计划",$B$2:$B$157,B156,$D$2:$D$157,"&lt;"&amp;D156)&gt;0,OR(E156&lt;=SUMPRODUCT(MAX((($A$2:$A$157="止损计划")*($B$2:$B$157=B156)*($D$2:$D$157&lt;D156))*$E$2:$E$157)),F156&lt;SUMPRODUCT(MAX((($A$2:$A$157="止损计划")*($B$2:$B$157=B156)*($D$2:$D$157&lt;D156))*$F$2:$F$157)))),"阶段价格必须逐级提高","计划有效"))))))),IF(A156="每日跟踪",IF(OR(B156="",H156="",I156="",J156=""),"每日数据不完整",IF(COUNTIFS($A$2:$A$157,"每日跟踪",$B$2:$B$157,B156,$H$2:$H$157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IF(B157="","",IFERROR(LOOKUP(2,1/(单次交易!$A$2:$A$88=B157),单次交易!$B$2:$B$88),""))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IF(B157="","",IFERROR(LOOKUP(2,1/(单次交易!$A$2:$A$88=B157),单次交易!$N$2:$N$88),""))</f>
        <v/>
      </c>
      <c r="O157" s="5" t="str">
        <f t="shared" si="33"/>
        <v/>
      </c>
      <c r="P157" s="11" t="str">
        <f t="shared" si="34"/>
        <v/>
      </c>
      <c r="Q157" s="5" t="str">
        <f t="shared" si="35"/>
        <v/>
      </c>
      <c r="R157" s="10"/>
      <c r="S157" s="5" t="str">
        <f t="shared" si="36"/>
        <v/>
      </c>
      <c r="T157" s="5" t="str">
        <f t="shared" si="37"/>
        <v/>
      </c>
      <c r="U157" s="5" t="str">
        <f t="shared" si="38"/>
        <v/>
      </c>
      <c r="V157" s="7" t="str">
        <f t="shared" si="30"/>
        <v/>
      </c>
      <c r="W157" s="8" t="str">
        <f t="shared" si="31"/>
        <v/>
      </c>
      <c r="X157" s="2"/>
      <c r="Y157" s="10"/>
      <c r="Z157" s="11" t="str">
        <f>IF(X157&lt;&gt;"执行卖出","",IFERROR(LOOKUP(2,1/(单次交易!$A$2:$A$88=B157),单次交易!$AP$2:$AP$88),""))</f>
        <v/>
      </c>
      <c r="AA157" s="10"/>
      <c r="AB157" s="8" t="str">
        <f t="shared" si="32"/>
        <v/>
      </c>
      <c r="AC157" s="8" t="str">
        <f>IF(A157="","",IF(A157="止损计划",IF(OR(B157="",D157="",E157="",F157="",G157=""),"计划不完整",IF(OR(D157&lt;1,D157&lt;&gt;INT(D157)),"阶段序号无效",IF(COUNTIFS($A$2:$A$157,"止损计划",$B$2:$B$157,B157,$D$2:$D$157,D157)&gt;1,"阶段序号重复",IF(E157&lt;=IFERROR(LOOKUP(2,1/(单次交易!$A$2:$A$88=B157),单次交易!$E$2:$E$88),0),"激活价须高于买入价",IF(F157&lt;N157,"止损价不得低于初始止损",IF(F157&gt;E157,"止损价不得高于激活价",IF(AND(COUNTIFS($A$2:$A$157,"止损计划",$B$2:$B$157,B157,$D$2:$D$157,"&lt;"&amp;D157)&gt;0,OR(E157&lt;=SUMPRODUCT(MAX((($A$2:$A$157="止损计划")*($B$2:$B$157=B157)*($D$2:$D$157&lt;D157))*$E$2:$E$157)),F157&lt;SUMPRODUCT(MAX((($A$2:$A$157="止损计划")*($B$2:$B$157=B157)*($D$2:$D$157&lt;D157))*$F$2:$F$157)))),"阶段价格必须逐级提高","计划有效"))))))),IF(A157="每日跟踪",IF(OR(B157="",H157="",I157="",J157=""),"每日数据不完整",IF(COUNTIFS($A$2:$A$157,"每日跟踪",$B$2:$B$157,B157,$H$2:$H$157,H157)&gt;1,"同一交易日期重复",IF(AND(R157&lt;&gt;"",R157&lt;S157),"人工止损无效：不能下调","跟踪有效"))),"记录类型无效")))</f>
        <v/>
      </c>
    </row>
  </sheetData>
  <phoneticPr fontId="5" type="noConversion"/>
  <conditionalFormatting sqref="A2:AC157">
    <cfRule type="expression" dxfId="7" priority="1">
      <formula>$A2="止损计划"</formula>
    </cfRule>
  </conditionalFormatting>
  <conditionalFormatting sqref="W2:W157">
    <cfRule type="expression" dxfId="6" priority="2">
      <formula>LEFT($W2,4)="触发止损"</formula>
    </cfRule>
  </conditionalFormatting>
  <conditionalFormatting sqref="AB2:AC157">
    <cfRule type="expression" dxfId="5" priority="3">
      <formula>OR(LEFT($AB2,2)="违规",ISNUMBER(SEARCH("无效",$AC2)))</formula>
    </cfRule>
  </conditionalFormatting>
  <dataValidations count="8">
    <dataValidation type="date" allowBlank="1" sqref="H2:H157" xr:uid="{00000000-0002-0000-0100-000000000000}">
      <formula1>DATE(2000,1,1)</formula1>
      <formula2>DATE(2100,12,31)</formula2>
    </dataValidation>
    <dataValidation type="decimal" operator="greaterThan" allowBlank="1" sqref="R2:R157 I2:J157 E2:F157 Y2:Y157" xr:uid="{00000000-0002-0000-0100-000001000000}">
      <formula1>0</formula1>
    </dataValidation>
    <dataValidation type="list" allowBlank="1" sqref="A2:A157" xr:uid="{00000000-0002-0000-0100-000002000000}">
      <formula1>"止损计划,每日跟踪"</formula1>
    </dataValidation>
    <dataValidation type="list" allowBlank="1" sqref="B2:B157" xr:uid="{00000000-0002-0000-0100-000003000000}">
      <formula1>_TradeIds</formula1>
    </dataValidation>
    <dataValidation type="whole" operator="greaterThanOrEqual" allowBlank="1" sqref="D2:D157" xr:uid="{00000000-0002-0000-0100-000004000000}">
      <formula1>1</formula1>
    </dataValidation>
    <dataValidation type="list" allowBlank="1" sqref="L2:L157" xr:uid="{00000000-0002-0000-0100-000005000000}">
      <formula1>"吸筹,启动,趋势上行,加速上涨,高位分歧,回调确认,破位,其他"</formula1>
    </dataValidation>
    <dataValidation type="list" allowBlank="1" sqref="X2:X157" xr:uid="{00000000-0002-0000-0100-000006000000}">
      <formula1>"继续持有,执行卖出"</formula1>
    </dataValidation>
    <dataValidation type="decimal" operator="greaterThanOrEqual" allowBlank="1" sqref="AA2:AA15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399"/>
  <sheetViews>
    <sheetView workbookViewId="0">
      <pane ySplit="1" topLeftCell="A17" activePane="bottomLeft" state="frozen"/>
      <selection pane="bottomLeft" activeCell="A24" sqref="A24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70</v>
      </c>
      <c r="D1" s="1" t="s">
        <v>71</v>
      </c>
      <c r="E1" s="1" t="s">
        <v>49</v>
      </c>
      <c r="F1" s="1" t="s">
        <v>72</v>
      </c>
      <c r="G1" s="1" t="s">
        <v>73</v>
      </c>
      <c r="H1" s="1" t="s">
        <v>74</v>
      </c>
      <c r="I1" s="1" t="s">
        <v>75</v>
      </c>
      <c r="J1" t="s">
        <v>31</v>
      </c>
      <c r="K1" t="s">
        <v>76</v>
      </c>
      <c r="L1" t="s">
        <v>77</v>
      </c>
    </row>
    <row r="2" spans="1:12" x14ac:dyDescent="0.15">
      <c r="A2" s="2"/>
      <c r="B2" s="2"/>
      <c r="C2" s="2"/>
      <c r="D2" s="2"/>
      <c r="E2" s="15"/>
      <c r="F2" s="2"/>
      <c r="G2" s="2"/>
      <c r="H2" s="2"/>
      <c r="I2" s="2"/>
    </row>
    <row r="3" spans="1:12" x14ac:dyDescent="0.15">
      <c r="A3" s="2"/>
      <c r="B3" s="2"/>
      <c r="C3" s="2"/>
      <c r="D3" s="2"/>
      <c r="E3" s="15"/>
      <c r="F3" s="2"/>
      <c r="G3" s="2"/>
      <c r="H3" s="2"/>
      <c r="I3" s="2"/>
    </row>
    <row r="4" spans="1:12" x14ac:dyDescent="0.15">
      <c r="A4" s="2"/>
      <c r="B4" s="2"/>
      <c r="C4" s="2"/>
      <c r="D4" s="2"/>
      <c r="E4" s="15"/>
      <c r="F4" s="2"/>
      <c r="G4" s="2"/>
      <c r="H4" s="2"/>
      <c r="I4" s="2"/>
    </row>
    <row r="5" spans="1:12" x14ac:dyDescent="0.15">
      <c r="A5" s="2"/>
      <c r="B5" s="2"/>
      <c r="C5" s="2"/>
      <c r="D5" s="2"/>
      <c r="E5" s="15"/>
      <c r="F5" s="2"/>
      <c r="G5" s="2"/>
      <c r="H5" s="2"/>
      <c r="I5" s="2"/>
    </row>
    <row r="6" spans="1:12" x14ac:dyDescent="0.15">
      <c r="A6" s="2"/>
      <c r="B6" s="2"/>
      <c r="C6" s="2"/>
      <c r="D6" s="2"/>
      <c r="E6" s="15"/>
      <c r="F6" s="2"/>
      <c r="G6" s="2"/>
      <c r="H6" s="2"/>
      <c r="I6" s="2"/>
    </row>
    <row r="7" spans="1:12" x14ac:dyDescent="0.15">
      <c r="A7" s="2"/>
      <c r="B7" s="2"/>
      <c r="C7" s="2"/>
      <c r="D7" s="2"/>
      <c r="E7" s="15"/>
      <c r="F7" s="2"/>
      <c r="G7" s="2"/>
      <c r="H7" s="2"/>
      <c r="I7" s="2"/>
    </row>
    <row r="8" spans="1:12" x14ac:dyDescent="0.15">
      <c r="A8" s="2"/>
      <c r="B8" s="2"/>
      <c r="C8" s="2"/>
      <c r="D8" s="2"/>
      <c r="E8" s="15"/>
      <c r="F8" s="2"/>
      <c r="G8" s="2"/>
      <c r="H8" s="2"/>
      <c r="I8" s="2"/>
    </row>
    <row r="9" spans="1:12" x14ac:dyDescent="0.15">
      <c r="A9" s="2"/>
      <c r="B9" s="2"/>
      <c r="C9" s="2"/>
      <c r="D9" s="2"/>
      <c r="E9" s="15"/>
      <c r="F9" s="2"/>
      <c r="G9" s="2"/>
      <c r="H9" s="2"/>
      <c r="I9" s="2"/>
    </row>
    <row r="10" spans="1:12" x14ac:dyDescent="0.15">
      <c r="A10" s="2"/>
      <c r="B10" s="2"/>
      <c r="C10" s="2"/>
      <c r="D10" s="2"/>
      <c r="E10" s="15"/>
      <c r="F10" s="2"/>
      <c r="G10" s="2"/>
      <c r="H10" s="2"/>
      <c r="I10" s="2"/>
    </row>
    <row r="11" spans="1:12" x14ac:dyDescent="0.15">
      <c r="A11" s="2"/>
      <c r="B11" s="2"/>
      <c r="C11" s="2"/>
      <c r="D11" s="2"/>
      <c r="E11" s="15"/>
      <c r="F11" s="2"/>
      <c r="G11" s="2"/>
      <c r="H11" s="2"/>
      <c r="I11" s="2"/>
    </row>
    <row r="12" spans="1:12" x14ac:dyDescent="0.15">
      <c r="A12" s="2"/>
      <c r="B12" s="2"/>
      <c r="C12" s="2"/>
      <c r="D12" s="2"/>
      <c r="E12" s="15"/>
      <c r="F12" s="2"/>
      <c r="G12" s="2"/>
      <c r="H12" s="2"/>
      <c r="I12" s="2"/>
    </row>
    <row r="13" spans="1:12" x14ac:dyDescent="0.15">
      <c r="A13" s="2"/>
      <c r="B13" s="2"/>
      <c r="C13" s="2"/>
      <c r="D13" s="2"/>
      <c r="E13" s="15"/>
      <c r="F13" s="2"/>
      <c r="G13" s="2"/>
      <c r="H13" s="2"/>
      <c r="I13" s="2"/>
    </row>
    <row r="14" spans="1:12" ht="40.5" x14ac:dyDescent="0.15">
      <c r="A14" s="2">
        <v>1</v>
      </c>
      <c r="B14" s="2"/>
      <c r="C14" s="2"/>
      <c r="D14" s="2"/>
      <c r="E14" s="15"/>
      <c r="F14" s="2"/>
      <c r="G14" s="2"/>
      <c r="H14" s="2"/>
      <c r="I14" s="13" t="s">
        <v>215</v>
      </c>
    </row>
    <row r="15" spans="1:12" ht="40.5" x14ac:dyDescent="0.15">
      <c r="A15" s="2">
        <v>2</v>
      </c>
      <c r="B15" s="2"/>
      <c r="C15" s="2"/>
      <c r="D15" s="2"/>
      <c r="E15" s="15"/>
      <c r="F15" s="2"/>
      <c r="G15" s="2"/>
      <c r="H15" s="2"/>
      <c r="I15" s="13" t="s">
        <v>217</v>
      </c>
    </row>
    <row r="16" spans="1:12" ht="54" x14ac:dyDescent="0.15">
      <c r="A16" s="2">
        <v>3</v>
      </c>
      <c r="B16" s="2"/>
      <c r="C16" s="2"/>
      <c r="D16" s="2"/>
      <c r="E16" s="15"/>
      <c r="F16" s="2"/>
      <c r="G16" s="2"/>
      <c r="H16" s="2"/>
      <c r="I16" s="13" t="s">
        <v>220</v>
      </c>
    </row>
    <row r="17" spans="1:9" ht="40.5" x14ac:dyDescent="0.15">
      <c r="A17" s="2">
        <v>4</v>
      </c>
      <c r="B17" s="2"/>
      <c r="C17" s="2"/>
      <c r="D17" s="2"/>
      <c r="E17" s="15"/>
      <c r="F17" s="2"/>
      <c r="G17" s="2"/>
      <c r="H17" s="2"/>
      <c r="I17" s="13" t="s">
        <v>222</v>
      </c>
    </row>
    <row r="18" spans="1:9" ht="54" x14ac:dyDescent="0.15">
      <c r="A18" s="2">
        <v>5</v>
      </c>
      <c r="B18" s="2"/>
      <c r="C18" s="2"/>
      <c r="D18" s="2"/>
      <c r="E18" s="15"/>
      <c r="F18" s="2"/>
      <c r="G18" s="2"/>
      <c r="H18" s="2"/>
      <c r="I18" s="13" t="s">
        <v>225</v>
      </c>
    </row>
    <row r="19" spans="1:9" ht="40.5" x14ac:dyDescent="0.15">
      <c r="A19" s="2">
        <v>6</v>
      </c>
      <c r="B19" s="2"/>
      <c r="C19" s="2"/>
      <c r="D19" s="2"/>
      <c r="E19" s="15"/>
      <c r="F19" s="2"/>
      <c r="G19" s="2"/>
      <c r="H19" s="2"/>
      <c r="I19" s="13" t="s">
        <v>226</v>
      </c>
    </row>
    <row r="20" spans="1:9" x14ac:dyDescent="0.15">
      <c r="A20" s="2">
        <v>7</v>
      </c>
      <c r="B20" s="2"/>
      <c r="C20" s="2"/>
      <c r="D20" s="2"/>
      <c r="E20" s="15"/>
      <c r="F20" s="2"/>
      <c r="G20" s="2"/>
      <c r="H20" s="2"/>
      <c r="I20" s="13" t="s">
        <v>228</v>
      </c>
    </row>
    <row r="21" spans="1:9" x14ac:dyDescent="0.15">
      <c r="A21" s="2"/>
      <c r="B21" s="2"/>
      <c r="C21" s="2"/>
      <c r="D21" s="2"/>
      <c r="E21" s="15"/>
      <c r="F21" s="2"/>
      <c r="G21" s="2"/>
      <c r="H21" s="2"/>
      <c r="I21" s="2"/>
    </row>
    <row r="22" spans="1:9" x14ac:dyDescent="0.15">
      <c r="A22" s="2"/>
      <c r="B22" s="2"/>
      <c r="C22" s="2"/>
      <c r="D22" s="2"/>
      <c r="E22" s="15"/>
      <c r="F22" s="2"/>
      <c r="G22" s="2"/>
      <c r="H22" s="2"/>
      <c r="I22" s="2"/>
    </row>
    <row r="23" spans="1:9" x14ac:dyDescent="0.15">
      <c r="A23" s="2"/>
      <c r="B23" s="2"/>
      <c r="C23" s="2"/>
      <c r="D23" s="2"/>
      <c r="E23" s="15"/>
      <c r="F23" s="2"/>
      <c r="G23" s="2"/>
      <c r="H23" s="2"/>
      <c r="I23" s="2"/>
    </row>
    <row r="24" spans="1:9" x14ac:dyDescent="0.15">
      <c r="A24" s="2"/>
      <c r="B24" s="2"/>
      <c r="C24" s="2"/>
      <c r="D24" s="2"/>
      <c r="E24" s="15"/>
      <c r="F24" s="2"/>
      <c r="G24" s="2"/>
      <c r="H24" s="2"/>
      <c r="I24" s="2"/>
    </row>
    <row r="25" spans="1:9" x14ac:dyDescent="0.15">
      <c r="A25" s="2"/>
      <c r="B25" s="2"/>
      <c r="C25" s="2"/>
      <c r="D25" s="2"/>
      <c r="E25" s="15"/>
      <c r="F25" s="2"/>
      <c r="G25" s="2"/>
      <c r="H25" s="2"/>
      <c r="I25" s="2"/>
    </row>
    <row r="26" spans="1:9" x14ac:dyDescent="0.15">
      <c r="A26" s="2"/>
      <c r="B26" s="2"/>
      <c r="C26" s="2"/>
      <c r="D26" s="2"/>
      <c r="E26" s="15"/>
      <c r="F26" s="2"/>
      <c r="G26" s="2"/>
      <c r="H26" s="2"/>
      <c r="I26" s="2"/>
    </row>
    <row r="27" spans="1:9" x14ac:dyDescent="0.15">
      <c r="A27" s="2"/>
      <c r="B27" s="2"/>
      <c r="C27" s="2"/>
      <c r="D27" s="2"/>
      <c r="E27" s="15"/>
      <c r="F27" s="2"/>
      <c r="G27" s="2"/>
      <c r="H27" s="2"/>
      <c r="I27" s="2"/>
    </row>
    <row r="28" spans="1:9" x14ac:dyDescent="0.15">
      <c r="A28" s="2"/>
      <c r="B28" s="2"/>
      <c r="C28" s="2"/>
      <c r="D28" s="2"/>
      <c r="E28" s="15"/>
      <c r="F28" s="2"/>
      <c r="G28" s="2"/>
      <c r="H28" s="2"/>
      <c r="I28" s="2"/>
    </row>
    <row r="29" spans="1:9" x14ac:dyDescent="0.15">
      <c r="A29" s="2"/>
      <c r="B29" s="2"/>
      <c r="C29" s="2"/>
      <c r="D29" s="2"/>
      <c r="E29" s="15"/>
      <c r="F29" s="2"/>
      <c r="G29" s="2"/>
      <c r="H29" s="2"/>
      <c r="I29" s="2"/>
    </row>
    <row r="30" spans="1:9" x14ac:dyDescent="0.15">
      <c r="A30" s="2"/>
      <c r="B30" s="2"/>
      <c r="C30" s="2"/>
      <c r="D30" s="2"/>
      <c r="E30" s="15"/>
      <c r="F30" s="2"/>
      <c r="G30" s="2"/>
      <c r="H30" s="2"/>
      <c r="I30" s="2"/>
    </row>
    <row r="31" spans="1:9" x14ac:dyDescent="0.15">
      <c r="A31" s="2"/>
      <c r="B31" s="2"/>
      <c r="C31" s="2"/>
      <c r="D31" s="2"/>
      <c r="E31" s="15"/>
      <c r="F31" s="2"/>
      <c r="G31" s="2"/>
      <c r="H31" s="2"/>
      <c r="I31" s="2"/>
    </row>
    <row r="32" spans="1:9" x14ac:dyDescent="0.15">
      <c r="A32" s="2"/>
      <c r="B32" s="2"/>
      <c r="C32" s="2"/>
      <c r="D32" s="2"/>
      <c r="E32" s="15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5"/>
      <c r="F33" s="2"/>
      <c r="G33" s="2"/>
      <c r="H33" s="2"/>
      <c r="I33" s="2"/>
    </row>
    <row r="34" spans="1:9" x14ac:dyDescent="0.15">
      <c r="A34" s="2"/>
      <c r="B34" s="2"/>
      <c r="C34" s="2"/>
      <c r="D34" s="2"/>
      <c r="E34" s="15"/>
      <c r="F34" s="2"/>
      <c r="G34" s="2"/>
      <c r="H34" s="2"/>
      <c r="I34" s="2"/>
    </row>
    <row r="35" spans="1:9" x14ac:dyDescent="0.15">
      <c r="A35" s="2"/>
      <c r="B35" s="2"/>
      <c r="C35" s="2"/>
      <c r="D35" s="2"/>
      <c r="E35" s="15"/>
      <c r="F35" s="2"/>
      <c r="G35" s="2"/>
      <c r="H35" s="2"/>
      <c r="I35" s="2"/>
    </row>
    <row r="36" spans="1:9" x14ac:dyDescent="0.15">
      <c r="A36" s="2"/>
      <c r="B36" s="2"/>
      <c r="C36" s="2"/>
      <c r="D36" s="2"/>
      <c r="E36" s="15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5"/>
      <c r="F37" s="2"/>
      <c r="G37" s="2"/>
      <c r="H37" s="2"/>
      <c r="I37" s="2"/>
    </row>
    <row r="38" spans="1:9" x14ac:dyDescent="0.15">
      <c r="A38" s="2"/>
      <c r="B38" s="2"/>
      <c r="C38" s="2"/>
      <c r="D38" s="2"/>
      <c r="E38" s="15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5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5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5"/>
      <c r="F41" s="2"/>
      <c r="G41" s="2"/>
      <c r="H41" s="2"/>
      <c r="I41" s="2"/>
    </row>
    <row r="42" spans="1:9" x14ac:dyDescent="0.15">
      <c r="A42" s="2"/>
      <c r="B42" s="2"/>
      <c r="C42" s="2"/>
      <c r="D42" s="2"/>
      <c r="E42" s="15"/>
      <c r="F42" s="2"/>
      <c r="G42" s="2"/>
      <c r="H42" s="2"/>
      <c r="I42" s="2"/>
    </row>
    <row r="43" spans="1:9" x14ac:dyDescent="0.15">
      <c r="A43" s="2"/>
      <c r="B43" s="2"/>
      <c r="C43" s="2"/>
      <c r="D43" s="2"/>
      <c r="E43" s="15"/>
      <c r="F43" s="2"/>
      <c r="G43" s="2"/>
      <c r="H43" s="2"/>
      <c r="I43" s="2"/>
    </row>
    <row r="44" spans="1:9" x14ac:dyDescent="0.15">
      <c r="A44" s="2"/>
      <c r="B44" s="2"/>
      <c r="C44" s="2"/>
      <c r="D44" s="2"/>
      <c r="E44" s="15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5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5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5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5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5"/>
      <c r="F49" s="2"/>
      <c r="G49" s="2"/>
      <c r="H49" s="2"/>
      <c r="I49" s="2"/>
    </row>
    <row r="50" spans="1:9" x14ac:dyDescent="0.15">
      <c r="A50" s="2"/>
      <c r="B50" s="2"/>
      <c r="C50" s="2"/>
      <c r="D50" s="2"/>
      <c r="E50" s="15"/>
      <c r="F50" s="2"/>
      <c r="G50" s="2"/>
      <c r="H50" s="2"/>
      <c r="I50" s="2"/>
    </row>
    <row r="51" spans="1:9" x14ac:dyDescent="0.15">
      <c r="A51" s="2"/>
      <c r="B51" s="2"/>
      <c r="C51" s="2"/>
      <c r="D51" s="2"/>
      <c r="E51" s="15"/>
      <c r="F51" s="2"/>
      <c r="G51" s="2"/>
      <c r="H51" s="2"/>
      <c r="I51" s="2"/>
    </row>
    <row r="52" spans="1:9" x14ac:dyDescent="0.15">
      <c r="A52" s="2"/>
      <c r="B52" s="2"/>
      <c r="C52" s="2"/>
      <c r="D52" s="2"/>
      <c r="E52" s="15"/>
      <c r="F52" s="2"/>
      <c r="G52" s="2"/>
      <c r="H52" s="2"/>
      <c r="I52" s="2"/>
    </row>
    <row r="53" spans="1:9" x14ac:dyDescent="0.15">
      <c r="A53" s="2"/>
      <c r="B53" s="2"/>
      <c r="C53" s="2"/>
      <c r="D53" s="2"/>
      <c r="E53" s="15"/>
      <c r="F53" s="2"/>
      <c r="G53" s="2"/>
      <c r="H53" s="2"/>
      <c r="I53" s="2"/>
    </row>
    <row r="54" spans="1:9" x14ac:dyDescent="0.15">
      <c r="A54" s="2"/>
      <c r="B54" s="2"/>
      <c r="C54" s="2"/>
      <c r="D54" s="2"/>
      <c r="E54" s="15"/>
      <c r="F54" s="2"/>
      <c r="G54" s="2"/>
      <c r="H54" s="2"/>
      <c r="I54" s="2"/>
    </row>
    <row r="55" spans="1:9" x14ac:dyDescent="0.15">
      <c r="A55" s="2"/>
      <c r="B55" s="2"/>
      <c r="C55" s="2"/>
      <c r="D55" s="2"/>
      <c r="E55" s="15"/>
      <c r="F55" s="2"/>
      <c r="G55" s="2"/>
      <c r="H55" s="2"/>
      <c r="I55" s="2"/>
    </row>
    <row r="56" spans="1:9" x14ac:dyDescent="0.15">
      <c r="A56" s="2"/>
      <c r="B56" s="2"/>
      <c r="C56" s="2"/>
      <c r="D56" s="2"/>
      <c r="E56" s="15"/>
      <c r="F56" s="2"/>
      <c r="G56" s="2"/>
      <c r="H56" s="2"/>
      <c r="I56" s="2"/>
    </row>
    <row r="57" spans="1:9" x14ac:dyDescent="0.15">
      <c r="A57" s="2"/>
      <c r="B57" s="2"/>
      <c r="C57" s="2"/>
      <c r="D57" s="2"/>
      <c r="E57" s="15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5"/>
      <c r="F58" s="2"/>
      <c r="G58" s="2"/>
      <c r="H58" s="2"/>
      <c r="I58" s="2"/>
    </row>
    <row r="59" spans="1:9" x14ac:dyDescent="0.15">
      <c r="A59" s="2"/>
      <c r="B59" s="2"/>
      <c r="C59" s="2"/>
      <c r="D59" s="2"/>
      <c r="E59" s="15"/>
      <c r="F59" s="2"/>
      <c r="G59" s="2"/>
      <c r="H59" s="2"/>
      <c r="I59" s="2"/>
    </row>
    <row r="60" spans="1:9" x14ac:dyDescent="0.15">
      <c r="A60" s="2"/>
      <c r="B60" s="2"/>
      <c r="C60" s="2"/>
      <c r="D60" s="2"/>
      <c r="E60" s="15"/>
      <c r="F60" s="2"/>
      <c r="G60" s="2"/>
      <c r="H60" s="2"/>
      <c r="I60" s="2"/>
    </row>
    <row r="61" spans="1:9" x14ac:dyDescent="0.15">
      <c r="A61" s="2"/>
      <c r="B61" s="2"/>
      <c r="C61" s="2"/>
      <c r="D61" s="2"/>
      <c r="E61" s="15"/>
      <c r="F61" s="2"/>
      <c r="G61" s="2"/>
      <c r="H61" s="2"/>
      <c r="I61" s="2"/>
    </row>
    <row r="62" spans="1:9" x14ac:dyDescent="0.15">
      <c r="A62" s="2"/>
      <c r="B62" s="2"/>
      <c r="C62" s="2"/>
      <c r="D62" s="2"/>
      <c r="E62" s="15"/>
      <c r="F62" s="2"/>
      <c r="G62" s="2"/>
      <c r="H62" s="2"/>
      <c r="I62" s="2"/>
    </row>
    <row r="63" spans="1:9" x14ac:dyDescent="0.15">
      <c r="A63" s="2"/>
      <c r="B63" s="2"/>
      <c r="C63" s="2"/>
      <c r="D63" s="2"/>
      <c r="E63" s="15"/>
      <c r="F63" s="2"/>
      <c r="G63" s="2"/>
      <c r="H63" s="2"/>
      <c r="I63" s="2"/>
    </row>
    <row r="64" spans="1:9" x14ac:dyDescent="0.15">
      <c r="A64" s="2"/>
      <c r="B64" s="2"/>
      <c r="C64" s="2"/>
      <c r="D64" s="2"/>
      <c r="E64" s="15"/>
      <c r="F64" s="2"/>
      <c r="G64" s="2"/>
      <c r="H64" s="2"/>
      <c r="I64" s="2"/>
    </row>
    <row r="65" spans="1:9" x14ac:dyDescent="0.15">
      <c r="A65" s="2"/>
      <c r="B65" s="2"/>
      <c r="C65" s="2"/>
      <c r="D65" s="2"/>
      <c r="E65" s="15"/>
      <c r="F65" s="2"/>
      <c r="G65" s="2"/>
      <c r="H65" s="2"/>
      <c r="I65" s="2"/>
    </row>
    <row r="66" spans="1:9" x14ac:dyDescent="0.15">
      <c r="A66" s="2"/>
      <c r="B66" s="2"/>
      <c r="C66" s="2"/>
      <c r="D66" s="2"/>
      <c r="E66" s="15"/>
      <c r="F66" s="2"/>
      <c r="G66" s="2"/>
      <c r="H66" s="2"/>
      <c r="I66" s="2"/>
    </row>
    <row r="67" spans="1:9" x14ac:dyDescent="0.15">
      <c r="A67" s="2"/>
      <c r="B67" s="2"/>
      <c r="C67" s="2"/>
      <c r="D67" s="2"/>
      <c r="E67" s="15"/>
      <c r="F67" s="2"/>
      <c r="G67" s="2"/>
      <c r="H67" s="2"/>
      <c r="I67" s="2"/>
    </row>
    <row r="68" spans="1:9" x14ac:dyDescent="0.15">
      <c r="A68" s="2"/>
      <c r="B68" s="2"/>
      <c r="C68" s="2"/>
      <c r="D68" s="2"/>
      <c r="E68" s="15"/>
      <c r="F68" s="2"/>
      <c r="G68" s="2"/>
      <c r="H68" s="2"/>
      <c r="I68" s="2"/>
    </row>
    <row r="69" spans="1:9" x14ac:dyDescent="0.15">
      <c r="A69" s="2"/>
      <c r="B69" s="2"/>
      <c r="C69" s="2"/>
      <c r="D69" s="2"/>
      <c r="E69" s="15"/>
      <c r="F69" s="2"/>
      <c r="G69" s="2"/>
      <c r="H69" s="2"/>
      <c r="I69" s="2"/>
    </row>
    <row r="70" spans="1:9" x14ac:dyDescent="0.15">
      <c r="A70" s="2"/>
      <c r="B70" s="2"/>
      <c r="C70" s="2"/>
      <c r="D70" s="2"/>
      <c r="E70" s="15"/>
      <c r="F70" s="2"/>
      <c r="G70" s="2"/>
      <c r="H70" s="2"/>
      <c r="I70" s="2"/>
    </row>
    <row r="71" spans="1:9" x14ac:dyDescent="0.15">
      <c r="A71" s="2"/>
      <c r="B71" s="2"/>
      <c r="C71" s="2"/>
      <c r="D71" s="2"/>
      <c r="E71" s="15"/>
      <c r="F71" s="2"/>
      <c r="G71" s="2"/>
      <c r="H71" s="2"/>
      <c r="I71" s="2"/>
    </row>
    <row r="72" spans="1:9" x14ac:dyDescent="0.15">
      <c r="A72" s="2"/>
      <c r="B72" s="2"/>
      <c r="C72" s="2"/>
      <c r="D72" s="2"/>
      <c r="E72" s="15"/>
      <c r="F72" s="2"/>
      <c r="G72" s="2"/>
      <c r="H72" s="2"/>
      <c r="I72" s="2"/>
    </row>
    <row r="73" spans="1:9" x14ac:dyDescent="0.15">
      <c r="A73" s="2"/>
      <c r="B73" s="2"/>
      <c r="C73" s="2"/>
      <c r="D73" s="2"/>
      <c r="E73" s="15"/>
      <c r="F73" s="2"/>
      <c r="G73" s="2"/>
      <c r="H73" s="2"/>
      <c r="I73" s="2"/>
    </row>
    <row r="74" spans="1:9" x14ac:dyDescent="0.15">
      <c r="A74" s="2"/>
      <c r="B74" s="2"/>
      <c r="C74" s="2"/>
      <c r="D74" s="2"/>
      <c r="E74" s="15"/>
      <c r="F74" s="2"/>
      <c r="G74" s="2"/>
      <c r="H74" s="2"/>
      <c r="I74" s="2"/>
    </row>
    <row r="75" spans="1:9" x14ac:dyDescent="0.15">
      <c r="A75" s="2"/>
      <c r="B75" s="2"/>
      <c r="C75" s="2"/>
      <c r="D75" s="2"/>
      <c r="E75" s="15"/>
      <c r="F75" s="2"/>
      <c r="G75" s="2"/>
      <c r="H75" s="2"/>
      <c r="I75" s="2"/>
    </row>
    <row r="76" spans="1:9" x14ac:dyDescent="0.15">
      <c r="A76" s="2"/>
      <c r="B76" s="2"/>
      <c r="C76" s="2"/>
      <c r="D76" s="2"/>
      <c r="E76" s="15"/>
      <c r="F76" s="2"/>
      <c r="G76" s="2"/>
      <c r="H76" s="2"/>
      <c r="I76" s="2"/>
    </row>
    <row r="77" spans="1:9" x14ac:dyDescent="0.15">
      <c r="A77" s="2"/>
      <c r="B77" s="2"/>
      <c r="C77" s="2"/>
      <c r="D77" s="2"/>
      <c r="E77" s="15"/>
      <c r="F77" s="2"/>
      <c r="G77" s="2"/>
      <c r="H77" s="2"/>
      <c r="I77" s="2"/>
    </row>
    <row r="78" spans="1:9" x14ac:dyDescent="0.15">
      <c r="A78" s="2"/>
      <c r="B78" s="2"/>
      <c r="C78" s="2"/>
      <c r="D78" s="2"/>
      <c r="E78" s="15"/>
      <c r="F78" s="2"/>
      <c r="G78" s="2"/>
      <c r="H78" s="2"/>
      <c r="I78" s="2"/>
    </row>
    <row r="79" spans="1:9" x14ac:dyDescent="0.15">
      <c r="A79" s="2"/>
      <c r="B79" s="2"/>
      <c r="C79" s="2"/>
      <c r="D79" s="2"/>
      <c r="E79" s="15"/>
      <c r="F79" s="2"/>
      <c r="G79" s="2"/>
      <c r="H79" s="2"/>
      <c r="I79" s="2"/>
    </row>
    <row r="80" spans="1:9" x14ac:dyDescent="0.15">
      <c r="A80" s="2"/>
      <c r="B80" s="2"/>
      <c r="C80" s="2"/>
      <c r="D80" s="2"/>
      <c r="E80" s="15"/>
      <c r="F80" s="2"/>
      <c r="G80" s="2"/>
      <c r="H80" s="2"/>
      <c r="I80" s="2"/>
    </row>
    <row r="81" spans="1:9" x14ac:dyDescent="0.15">
      <c r="A81" s="2"/>
      <c r="B81" s="2"/>
      <c r="C81" s="2"/>
      <c r="D81" s="2"/>
      <c r="E81" s="15"/>
      <c r="F81" s="2"/>
      <c r="G81" s="2"/>
      <c r="H81" s="2"/>
      <c r="I81" s="2"/>
    </row>
    <row r="82" spans="1:9" x14ac:dyDescent="0.15">
      <c r="A82" s="2"/>
      <c r="B82" s="2"/>
      <c r="C82" s="2"/>
      <c r="D82" s="2"/>
      <c r="E82" s="15"/>
      <c r="F82" s="2"/>
      <c r="G82" s="2"/>
      <c r="H82" s="2"/>
      <c r="I82" s="2"/>
    </row>
    <row r="83" spans="1:9" x14ac:dyDescent="0.15">
      <c r="A83" s="2"/>
      <c r="B83" s="2"/>
      <c r="C83" s="2"/>
      <c r="D83" s="2"/>
      <c r="E83" s="15"/>
      <c r="F83" s="2"/>
      <c r="G83" s="2"/>
      <c r="H83" s="2"/>
      <c r="I83" s="2"/>
    </row>
    <row r="84" spans="1:9" x14ac:dyDescent="0.15">
      <c r="A84" s="2"/>
      <c r="B84" s="2"/>
      <c r="C84" s="2"/>
      <c r="D84" s="2"/>
      <c r="E84" s="15"/>
      <c r="F84" s="2"/>
      <c r="G84" s="2"/>
      <c r="H84" s="2"/>
      <c r="I84" s="2"/>
    </row>
    <row r="85" spans="1:9" x14ac:dyDescent="0.15">
      <c r="A85" s="2"/>
      <c r="B85" s="2"/>
      <c r="C85" s="2"/>
      <c r="D85" s="2"/>
      <c r="E85" s="15"/>
      <c r="F85" s="2"/>
      <c r="G85" s="2"/>
      <c r="H85" s="2"/>
      <c r="I85" s="2"/>
    </row>
    <row r="86" spans="1:9" x14ac:dyDescent="0.15">
      <c r="A86" s="2"/>
      <c r="B86" s="2"/>
      <c r="C86" s="2"/>
      <c r="D86" s="2"/>
      <c r="E86" s="15"/>
      <c r="F86" s="2"/>
      <c r="G86" s="2"/>
      <c r="H86" s="2"/>
      <c r="I86" s="2"/>
    </row>
    <row r="87" spans="1:9" x14ac:dyDescent="0.15">
      <c r="A87" s="2"/>
      <c r="B87" s="2"/>
      <c r="C87" s="2"/>
      <c r="D87" s="2"/>
      <c r="E87" s="15"/>
      <c r="F87" s="2"/>
      <c r="G87" s="2"/>
      <c r="H87" s="2"/>
      <c r="I87" s="2"/>
    </row>
    <row r="88" spans="1:9" x14ac:dyDescent="0.15">
      <c r="A88" s="2"/>
      <c r="B88" s="2"/>
      <c r="C88" s="2"/>
      <c r="D88" s="2"/>
      <c r="E88" s="15"/>
      <c r="F88" s="2"/>
      <c r="G88" s="2"/>
      <c r="H88" s="2"/>
      <c r="I88" s="2"/>
    </row>
    <row r="89" spans="1:9" x14ac:dyDescent="0.15">
      <c r="A89" s="2"/>
      <c r="B89" s="2"/>
      <c r="C89" s="2"/>
      <c r="D89" s="2"/>
      <c r="E89" s="15"/>
      <c r="F89" s="2"/>
      <c r="G89" s="2"/>
      <c r="H89" s="2"/>
      <c r="I89" s="2"/>
    </row>
    <row r="90" spans="1:9" x14ac:dyDescent="0.15">
      <c r="A90" s="2"/>
      <c r="B90" s="2"/>
      <c r="C90" s="2"/>
      <c r="D90" s="2"/>
      <c r="E90" s="15"/>
      <c r="F90" s="2"/>
      <c r="G90" s="2"/>
      <c r="H90" s="2"/>
      <c r="I90" s="2"/>
    </row>
    <row r="91" spans="1:9" x14ac:dyDescent="0.15">
      <c r="A91" s="2"/>
      <c r="B91" s="2"/>
      <c r="C91" s="2"/>
      <c r="D91" s="2"/>
      <c r="E91" s="15"/>
      <c r="F91" s="2"/>
      <c r="G91" s="2"/>
      <c r="H91" s="2"/>
      <c r="I91" s="2"/>
    </row>
    <row r="92" spans="1:9" x14ac:dyDescent="0.15">
      <c r="A92" s="2"/>
      <c r="B92" s="2"/>
      <c r="C92" s="2"/>
      <c r="D92" s="2"/>
      <c r="E92" s="15"/>
      <c r="F92" s="2"/>
      <c r="G92" s="2"/>
      <c r="H92" s="2"/>
      <c r="I92" s="2"/>
    </row>
    <row r="93" spans="1:9" x14ac:dyDescent="0.15">
      <c r="A93" s="2"/>
      <c r="B93" s="2"/>
      <c r="C93" s="2"/>
      <c r="D93" s="2"/>
      <c r="E93" s="15"/>
      <c r="F93" s="2"/>
      <c r="G93" s="2"/>
      <c r="H93" s="2"/>
      <c r="I93" s="2"/>
    </row>
    <row r="94" spans="1:9" x14ac:dyDescent="0.15">
      <c r="A94" s="2"/>
      <c r="B94" s="2"/>
      <c r="C94" s="2"/>
      <c r="D94" s="2"/>
      <c r="E94" s="15"/>
      <c r="F94" s="2"/>
      <c r="G94" s="2"/>
      <c r="H94" s="2"/>
      <c r="I94" s="2"/>
    </row>
    <row r="95" spans="1:9" x14ac:dyDescent="0.15">
      <c r="A95" s="2"/>
      <c r="B95" s="2"/>
      <c r="C95" s="2"/>
      <c r="D95" s="2"/>
      <c r="E95" s="15"/>
      <c r="F95" s="2"/>
      <c r="G95" s="2"/>
      <c r="H95" s="2"/>
      <c r="I95" s="2"/>
    </row>
    <row r="96" spans="1:9" x14ac:dyDescent="0.15">
      <c r="A96" s="2"/>
      <c r="B96" s="2"/>
      <c r="C96" s="2"/>
      <c r="D96" s="2"/>
      <c r="E96" s="15"/>
      <c r="F96" s="2"/>
      <c r="G96" s="2"/>
      <c r="H96" s="2"/>
      <c r="I96" s="2"/>
    </row>
    <row r="97" spans="1:9" x14ac:dyDescent="0.15">
      <c r="A97" s="2"/>
      <c r="B97" s="2"/>
      <c r="C97" s="2"/>
      <c r="D97" s="2"/>
      <c r="E97" s="15"/>
      <c r="F97" s="2"/>
      <c r="G97" s="2"/>
      <c r="H97" s="2"/>
      <c r="I97" s="2"/>
    </row>
    <row r="98" spans="1:9" x14ac:dyDescent="0.15">
      <c r="A98" s="2"/>
      <c r="B98" s="2"/>
      <c r="C98" s="2"/>
      <c r="D98" s="2"/>
      <c r="E98" s="15"/>
      <c r="F98" s="2"/>
      <c r="G98" s="2"/>
      <c r="H98" s="2"/>
      <c r="I98" s="2"/>
    </row>
    <row r="99" spans="1:9" x14ac:dyDescent="0.15">
      <c r="A99" s="2"/>
      <c r="B99" s="2"/>
      <c r="C99" s="2"/>
      <c r="D99" s="2"/>
      <c r="E99" s="15"/>
      <c r="F99" s="2"/>
      <c r="G99" s="2"/>
      <c r="H99" s="2"/>
      <c r="I99" s="2"/>
    </row>
    <row r="100" spans="1:9" x14ac:dyDescent="0.15">
      <c r="A100" s="2"/>
      <c r="B100" s="2"/>
      <c r="C100" s="2"/>
      <c r="D100" s="2"/>
      <c r="E100" s="15"/>
      <c r="F100" s="2"/>
      <c r="G100" s="2"/>
      <c r="H100" s="2"/>
      <c r="I100" s="2"/>
    </row>
    <row r="101" spans="1:9" x14ac:dyDescent="0.15">
      <c r="A101" s="2"/>
      <c r="B101" s="2"/>
      <c r="C101" s="2"/>
      <c r="D101" s="2"/>
      <c r="E101" s="15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5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5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5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5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5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5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5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5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5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5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5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5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5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5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5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5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5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5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5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5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5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5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5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5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5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5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5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5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5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5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5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5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5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5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5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5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5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5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5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5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5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5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5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5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5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5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5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5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5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5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5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5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5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5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5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5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5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5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5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5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5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5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5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5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5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5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5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5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5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5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5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5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5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5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5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5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5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5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5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5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5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5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5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5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5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5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5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5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5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5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5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5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5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5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5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5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5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5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5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5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5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5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5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5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5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5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5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5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5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5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5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5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5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5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5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5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5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5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5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5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5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5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5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5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5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5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5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5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5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5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5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5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5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5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5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5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5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5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5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5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5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5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5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5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5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5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5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5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5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5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5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5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5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5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5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5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5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5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5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5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5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5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5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5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5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5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5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5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5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5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5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5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5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5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5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5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5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5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5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5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5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5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5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5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5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5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5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5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5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5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5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5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5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5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5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5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5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5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5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5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5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5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5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5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5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5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5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5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5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5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5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5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5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5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5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5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5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5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5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5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5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5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5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5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5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5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5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5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5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5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5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5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5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5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5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5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5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5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5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5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5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5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5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5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5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5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5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5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5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5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5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5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5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5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5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5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5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5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5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5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5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5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5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5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5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5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5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5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5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5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5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5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5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5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5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5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5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5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5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5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5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5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5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5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5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5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5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5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5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5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5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5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5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5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5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5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5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5"/>
      <c r="F399" s="2"/>
      <c r="G399" s="2"/>
      <c r="H399" s="2"/>
      <c r="I399" s="2"/>
    </row>
  </sheetData>
  <phoneticPr fontId="5" type="noConversion"/>
  <dataValidations count="3">
    <dataValidation type="list" allowBlank="1" sqref="D2:D399" xr:uid="{00000000-0002-0000-0200-000000000000}">
      <formula1>"买入,持续追踪,卖出"</formula1>
    </dataValidation>
    <dataValidation type="date" allowBlank="1" sqref="E2:E399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399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5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78</v>
      </c>
      <c r="B1" s="3" t="s">
        <v>79</v>
      </c>
      <c r="C1" s="3" t="s">
        <v>80</v>
      </c>
    </row>
    <row r="2" spans="1:3" x14ac:dyDescent="0.15">
      <c r="A2" s="4" t="s">
        <v>81</v>
      </c>
      <c r="B2" s="8">
        <f>COUNT(单次交易!M2:M88)</f>
        <v>7</v>
      </c>
      <c r="C2" s="4" t="s">
        <v>82</v>
      </c>
    </row>
    <row r="3" spans="1:3" x14ac:dyDescent="0.15">
      <c r="A3" s="4" t="s">
        <v>83</v>
      </c>
      <c r="B3" s="8">
        <f>COUNTIF(单次交易!X2:X88,"&gt;0")</f>
        <v>3</v>
      </c>
      <c r="C3" s="4" t="s">
        <v>84</v>
      </c>
    </row>
    <row r="4" spans="1:3" x14ac:dyDescent="0.15">
      <c r="A4" s="4" t="s">
        <v>85</v>
      </c>
      <c r="B4" s="8">
        <f>COUNTIF(单次交易!X2:X88,"&lt;0")</f>
        <v>4</v>
      </c>
      <c r="C4" s="4" t="s">
        <v>86</v>
      </c>
    </row>
    <row r="5" spans="1:3" x14ac:dyDescent="0.15">
      <c r="A5" s="4" t="s">
        <v>87</v>
      </c>
      <c r="B5" s="8">
        <f>COUNTIFS(单次交易!M2:M88,"&lt;&gt;",单次交易!X2:X88,"=0")</f>
        <v>0</v>
      </c>
      <c r="C5" s="4" t="s">
        <v>88</v>
      </c>
    </row>
    <row r="6" spans="1:3" x14ac:dyDescent="0.15">
      <c r="A6" s="4" t="s">
        <v>89</v>
      </c>
      <c r="B6" s="7">
        <f>IFERROR(B3/(B3+B4),"")</f>
        <v>0.42857142857142855</v>
      </c>
      <c r="C6" s="4" t="s">
        <v>90</v>
      </c>
    </row>
    <row r="7" spans="1:3" x14ac:dyDescent="0.15">
      <c r="A7" s="4" t="s">
        <v>91</v>
      </c>
      <c r="B7" s="7">
        <f>IFERROR(B4/(B3+B4),"")</f>
        <v>0.5714285714285714</v>
      </c>
      <c r="C7" s="4" t="s">
        <v>92</v>
      </c>
    </row>
    <row r="8" spans="1:3" x14ac:dyDescent="0.15">
      <c r="A8" s="4" t="s">
        <v>93</v>
      </c>
      <c r="B8" s="7">
        <f>IFERROR(AVERAGEIF(单次交易!X2:X88,"&gt;0",单次交易!AE2:AE88),"")</f>
        <v>4.565972092315207E-2</v>
      </c>
      <c r="C8" s="4" t="s">
        <v>94</v>
      </c>
    </row>
    <row r="9" spans="1:3" x14ac:dyDescent="0.15">
      <c r="A9" s="4" t="s">
        <v>95</v>
      </c>
      <c r="B9" s="7">
        <f>IFERROR(-AVERAGEIF(单次交易!X2:X88,"&lt;0",单次交易!AE2:AE88),"")</f>
        <v>1.8927423575169827E-2</v>
      </c>
      <c r="C9" s="4" t="s">
        <v>96</v>
      </c>
    </row>
    <row r="10" spans="1:3" x14ac:dyDescent="0.15">
      <c r="A10" s="4" t="s">
        <v>97</v>
      </c>
      <c r="B10" s="8">
        <f>SUMIF(单次交易!X2:X88,"&gt;0",单次交易!AA2:AA88)</f>
        <v>624</v>
      </c>
      <c r="C10" s="4" t="s">
        <v>98</v>
      </c>
    </row>
    <row r="11" spans="1:3" x14ac:dyDescent="0.15">
      <c r="A11" s="4" t="s">
        <v>99</v>
      </c>
      <c r="B11" s="8">
        <f>SUMIF(单次交易!X2:X88,"&lt;0",单次交易!AA2:AA88)</f>
        <v>63</v>
      </c>
      <c r="C11" s="4" t="s">
        <v>98</v>
      </c>
    </row>
    <row r="12" spans="1:3" x14ac:dyDescent="0.15">
      <c r="A12" s="4" t="s">
        <v>100</v>
      </c>
      <c r="B12" s="5">
        <f>IFERROR(SUMPRODUCT(单次交易!AO2:AO88,单次交易!AP2:AP88)/COUNT(单次交易!AP2:AP88),"")</f>
        <v>38190</v>
      </c>
      <c r="C12" s="4" t="s">
        <v>101</v>
      </c>
    </row>
    <row r="13" spans="1:3" x14ac:dyDescent="0.15">
      <c r="A13" s="4" t="s">
        <v>102</v>
      </c>
      <c r="B13" s="7">
        <f>IF(OR(B6="",B7="",B8="",B9=""),"",B6*B8-B7*B9)</f>
        <v>8.7527812098252711E-3</v>
      </c>
      <c r="C13" s="4" t="s">
        <v>103</v>
      </c>
    </row>
    <row r="14" spans="1:3" x14ac:dyDescent="0.15">
      <c r="A14" s="4" t="s">
        <v>104</v>
      </c>
      <c r="B14" s="7">
        <f>IF(COUNT(单次交易!AE2:AE88)=0,"",EXP(SUMPRODUCT(IFERROR(LN(1+单次交易!AE2:AE88),0)))-1)</f>
        <v>0</v>
      </c>
      <c r="C14" s="4" t="s">
        <v>105</v>
      </c>
    </row>
  </sheetData>
  <phoneticPr fontId="5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C12" sqref="C12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78</v>
      </c>
      <c r="B1" s="9" t="s">
        <v>106</v>
      </c>
      <c r="C1" s="9" t="s">
        <v>107</v>
      </c>
    </row>
    <row r="2" spans="1:3" x14ac:dyDescent="0.15">
      <c r="A2" s="4" t="s">
        <v>108</v>
      </c>
      <c r="B2" s="10">
        <v>100000</v>
      </c>
      <c r="C2" s="4" t="s">
        <v>109</v>
      </c>
    </row>
    <row r="3" spans="1:3" x14ac:dyDescent="0.15">
      <c r="A3" s="4" t="s">
        <v>110</v>
      </c>
      <c r="B3" s="5">
        <f>IF(B2="","",B2+SUM(单次交易!X2:X88))</f>
        <v>105801.00000000001</v>
      </c>
      <c r="C3" s="4" t="s">
        <v>111</v>
      </c>
    </row>
    <row r="4" spans="1:3" x14ac:dyDescent="0.15">
      <c r="A4" s="4" t="s">
        <v>112</v>
      </c>
      <c r="B4" s="6">
        <v>0.02</v>
      </c>
      <c r="C4" s="4" t="s">
        <v>113</v>
      </c>
    </row>
    <row r="5" spans="1:3" x14ac:dyDescent="0.15">
      <c r="A5" s="4" t="s">
        <v>114</v>
      </c>
      <c r="B5" s="5">
        <f>IF(B3="","",B3*B4)</f>
        <v>2116.0200000000004</v>
      </c>
      <c r="C5" s="4" t="s">
        <v>115</v>
      </c>
    </row>
    <row r="6" spans="1:3" x14ac:dyDescent="0.15">
      <c r="A6" s="4" t="s">
        <v>116</v>
      </c>
      <c r="B6" s="6">
        <v>0.06</v>
      </c>
      <c r="C6" s="4" t="s">
        <v>117</v>
      </c>
    </row>
    <row r="7" spans="1:3" x14ac:dyDescent="0.15">
      <c r="A7" s="4" t="s">
        <v>118</v>
      </c>
      <c r="B7" s="5">
        <f>IF(B3="","",B3*B6)</f>
        <v>6348.06</v>
      </c>
      <c r="C7" s="4" t="s">
        <v>119</v>
      </c>
    </row>
    <row r="8" spans="1:3" x14ac:dyDescent="0.15">
      <c r="A8" s="4" t="s">
        <v>120</v>
      </c>
      <c r="B8" s="5">
        <f ca="1">SUMIFS(单次交易!X2:X88,单次交易!X2:X88,"&lt;0",单次交易!M2:M88,"&gt;="&amp;EOMONTH(TODAY(),-1)+1,单次交易!M2:M88,"&lt;="&amp;EOMONTH(TODAY(),0))</f>
        <v>0</v>
      </c>
      <c r="C8" s="4" t="s">
        <v>121</v>
      </c>
    </row>
    <row r="9" spans="1:3" x14ac:dyDescent="0.15">
      <c r="A9" s="4" t="s">
        <v>122</v>
      </c>
      <c r="B9" s="5">
        <f>IFERROR(SUM(单次交易!AQ2:AQ88),0)</f>
        <v>0</v>
      </c>
      <c r="C9" s="4" t="s">
        <v>123</v>
      </c>
    </row>
    <row r="10" spans="1:3" x14ac:dyDescent="0.15">
      <c r="A10" s="4" t="s">
        <v>124</v>
      </c>
      <c r="B10" s="5">
        <f>IF(OR(B7="",B9=""),"",B7-B9)</f>
        <v>6348.06</v>
      </c>
      <c r="C10" s="4" t="s">
        <v>125</v>
      </c>
    </row>
    <row r="11" spans="1:3" x14ac:dyDescent="0.15">
      <c r="A11" s="4" t="s">
        <v>126</v>
      </c>
      <c r="B11" s="7">
        <f>IF(OR(B2="",B3="",B2&lt;=0),"",B3/B2-1)</f>
        <v>5.8010000000000117E-2</v>
      </c>
      <c r="C11" s="4" t="s">
        <v>127</v>
      </c>
    </row>
    <row r="12" spans="1:3" x14ac:dyDescent="0.15">
      <c r="A12" s="4"/>
      <c r="B12" s="4"/>
      <c r="C12" s="4"/>
    </row>
    <row r="13" spans="1:3" x14ac:dyDescent="0.15">
      <c r="A13" s="4" t="s">
        <v>128</v>
      </c>
      <c r="B13" s="6">
        <v>0.06</v>
      </c>
      <c r="C13" s="4" t="s">
        <v>129</v>
      </c>
    </row>
    <row r="14" spans="1:3" x14ac:dyDescent="0.15">
      <c r="A14" s="4" t="s">
        <v>130</v>
      </c>
      <c r="B14" s="11">
        <f>IFERROR(LOOKUP(2,1/((单次交易!$M$2:$M$88&lt;&gt;"")*(单次交易!$X$2:$X$88&gt;0)),ROW(单次交易!$X$2:$X$88)-1),0)</f>
        <v>7</v>
      </c>
      <c r="C14" s="4" t="s">
        <v>131</v>
      </c>
    </row>
    <row r="15" spans="1:3" x14ac:dyDescent="0.15">
      <c r="A15" s="4" t="s">
        <v>132</v>
      </c>
      <c r="B15" s="11">
        <f>IFERROR(LOOKUP(2,1/(单次交易!$M$2:$M$88&lt;&gt;""),ROW(单次交易!$M$2:$M$88)-1),0)</f>
        <v>7</v>
      </c>
      <c r="C15" s="4" t="s">
        <v>133</v>
      </c>
    </row>
    <row r="16" spans="1:3" x14ac:dyDescent="0.15">
      <c r="A16" s="4" t="s">
        <v>134</v>
      </c>
      <c r="B16" s="12"/>
      <c r="C16" s="4" t="s">
        <v>135</v>
      </c>
    </row>
    <row r="17" spans="1:3" x14ac:dyDescent="0.15">
      <c r="A17" s="4" t="s">
        <v>136</v>
      </c>
      <c r="B17" s="13" t="s">
        <v>212</v>
      </c>
      <c r="C17" s="14" t="s">
        <v>137</v>
      </c>
    </row>
    <row r="18" spans="1:3" x14ac:dyDescent="0.15">
      <c r="A18" s="4" t="s">
        <v>138</v>
      </c>
      <c r="B18" s="11">
        <f>MAX(B14,IF(AND(ISNUMBER(B16),B16&gt;=1,B16&lt;=B15,B17&lt;&gt;""),B16,0))</f>
        <v>7</v>
      </c>
      <c r="C18" s="4" t="s">
        <v>139</v>
      </c>
    </row>
    <row r="19" spans="1:3" x14ac:dyDescent="0.15">
      <c r="A19" s="4" t="s">
        <v>140</v>
      </c>
      <c r="B19" s="5" t="e">
        <f>IF(B2="","",IF(B18=0,B2,B2+SUM(单次交易!#REF!:INDEX(单次交易!$X:$X,B18+1))))</f>
        <v>#REF!</v>
      </c>
      <c r="C19" s="4" t="s">
        <v>141</v>
      </c>
    </row>
    <row r="20" spans="1:3" x14ac:dyDescent="0.15">
      <c r="A20" s="4" t="s">
        <v>142</v>
      </c>
      <c r="B20" s="5">
        <f>IF(B18&gt;=B15,0,-SUMPRODUCT((ROW(单次交易!$X$2:$X$88)-1&gt;B18)*(单次交易!$M$2:$M$88&lt;&gt;"")*(IFERROR(单次交易!$X$2:$X$88,0)&lt;0)*IFERROR(单次交易!$X$2:$X$88,0)))</f>
        <v>0</v>
      </c>
      <c r="C20" s="4" t="s">
        <v>143</v>
      </c>
    </row>
    <row r="21" spans="1:3" x14ac:dyDescent="0.15">
      <c r="A21" s="4" t="s">
        <v>144</v>
      </c>
      <c r="B21" s="7" t="e">
        <f>IF(OR(B19="",B19&lt;=0),"",B20/B19)</f>
        <v>#REF!</v>
      </c>
      <c r="C21" s="4" t="s">
        <v>145</v>
      </c>
    </row>
    <row r="22" spans="1:3" x14ac:dyDescent="0.15">
      <c r="A22" s="4" t="s">
        <v>146</v>
      </c>
      <c r="B22" s="7" t="e">
        <f>IF(OR(B13="",B13&lt;=0,B21=""),"",B21/B13)</f>
        <v>#REF!</v>
      </c>
      <c r="C22" s="4" t="s">
        <v>147</v>
      </c>
    </row>
    <row r="23" spans="1:3" x14ac:dyDescent="0.15">
      <c r="A23" s="4" t="s">
        <v>148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149</v>
      </c>
    </row>
  </sheetData>
  <phoneticPr fontId="5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78</v>
      </c>
      <c r="B1" s="3" t="s">
        <v>106</v>
      </c>
      <c r="C1" s="3" t="s">
        <v>80</v>
      </c>
    </row>
    <row r="2" spans="1:3" x14ac:dyDescent="0.15">
      <c r="A2" s="4" t="s">
        <v>150</v>
      </c>
      <c r="B2" s="5">
        <f>账户数据!B3</f>
        <v>105801.00000000001</v>
      </c>
      <c r="C2" s="4" t="s">
        <v>151</v>
      </c>
    </row>
    <row r="3" spans="1:3" x14ac:dyDescent="0.15">
      <c r="A3" s="4" t="s">
        <v>152</v>
      </c>
      <c r="B3" s="6">
        <v>0.1</v>
      </c>
      <c r="C3" s="4" t="s">
        <v>153</v>
      </c>
    </row>
    <row r="4" spans="1:3" x14ac:dyDescent="0.15">
      <c r="A4" s="4" t="s">
        <v>154</v>
      </c>
      <c r="B4" s="5">
        <f>IF(OR(B2="",B3=""),"",B2*B3)</f>
        <v>10580.100000000002</v>
      </c>
      <c r="C4" s="4" t="s">
        <v>155</v>
      </c>
    </row>
    <row r="5" spans="1:3" x14ac:dyDescent="0.15">
      <c r="A5" s="4" t="s">
        <v>100</v>
      </c>
      <c r="B5" s="5">
        <f>多次统计数据!B12</f>
        <v>38190</v>
      </c>
      <c r="C5" s="4" t="s">
        <v>156</v>
      </c>
    </row>
    <row r="6" spans="1:3" x14ac:dyDescent="0.15">
      <c r="A6" s="4" t="s">
        <v>157</v>
      </c>
      <c r="B6" s="7">
        <f>多次统计数据!B13</f>
        <v>8.7527812098252711E-3</v>
      </c>
      <c r="C6" s="4" t="s">
        <v>158</v>
      </c>
    </row>
    <row r="7" spans="1:3" x14ac:dyDescent="0.15">
      <c r="A7" s="4" t="s">
        <v>159</v>
      </c>
      <c r="B7" s="8">
        <f>IF(OR(B3="",B6="",B3&lt;=0,B6&lt;=0),"暂不可计算",ROUNDUP(LN(1+B3)/LN(1+B6),0))</f>
        <v>11</v>
      </c>
      <c r="C7" s="4" t="s">
        <v>160</v>
      </c>
    </row>
  </sheetData>
  <phoneticPr fontId="5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161</v>
      </c>
      <c r="B1" s="1" t="s">
        <v>162</v>
      </c>
      <c r="C1" s="1" t="s">
        <v>163</v>
      </c>
    </row>
    <row r="2" spans="1:3" x14ac:dyDescent="0.15">
      <c r="A2" s="2" t="s">
        <v>164</v>
      </c>
      <c r="B2" s="2" t="s">
        <v>165</v>
      </c>
      <c r="C2" s="2" t="s">
        <v>166</v>
      </c>
    </row>
    <row r="3" spans="1:3" x14ac:dyDescent="0.15">
      <c r="A3" s="2" t="s">
        <v>167</v>
      </c>
      <c r="B3" s="2" t="s">
        <v>168</v>
      </c>
      <c r="C3" s="2" t="s">
        <v>169</v>
      </c>
    </row>
    <row r="4" spans="1:3" x14ac:dyDescent="0.15">
      <c r="A4" s="2" t="s">
        <v>170</v>
      </c>
      <c r="B4" s="2" t="s">
        <v>171</v>
      </c>
      <c r="C4" s="2" t="s">
        <v>172</v>
      </c>
    </row>
    <row r="5" spans="1:3" x14ac:dyDescent="0.15">
      <c r="A5" s="2" t="s">
        <v>173</v>
      </c>
      <c r="B5" s="2" t="s">
        <v>168</v>
      </c>
      <c r="C5" s="2" t="s">
        <v>174</v>
      </c>
    </row>
    <row r="6" spans="1:3" x14ac:dyDescent="0.15">
      <c r="A6" s="2" t="s">
        <v>51</v>
      </c>
      <c r="B6" s="2" t="s">
        <v>175</v>
      </c>
      <c r="C6" s="2" t="s">
        <v>176</v>
      </c>
    </row>
    <row r="7" spans="1:3" x14ac:dyDescent="0.15">
      <c r="A7" s="2" t="s">
        <v>177</v>
      </c>
      <c r="B7" s="2" t="s">
        <v>171</v>
      </c>
      <c r="C7" s="2" t="s">
        <v>178</v>
      </c>
    </row>
    <row r="8" spans="1:3" x14ac:dyDescent="0.15">
      <c r="A8" s="2" t="s">
        <v>179</v>
      </c>
      <c r="B8" s="2" t="s">
        <v>171</v>
      </c>
      <c r="C8" s="2" t="s">
        <v>180</v>
      </c>
    </row>
    <row r="9" spans="1:3" x14ac:dyDescent="0.15">
      <c r="A9" s="2" t="s">
        <v>181</v>
      </c>
      <c r="B9" s="2" t="s">
        <v>182</v>
      </c>
      <c r="C9" s="2" t="s">
        <v>183</v>
      </c>
    </row>
    <row r="10" spans="1:3" x14ac:dyDescent="0.15">
      <c r="A10" s="2" t="s">
        <v>184</v>
      </c>
      <c r="B10" s="2" t="s">
        <v>185</v>
      </c>
      <c r="C10" s="2" t="s">
        <v>186</v>
      </c>
    </row>
    <row r="11" spans="1:3" x14ac:dyDescent="0.15">
      <c r="A11" s="2" t="s">
        <v>69</v>
      </c>
      <c r="B11" s="2" t="s">
        <v>185</v>
      </c>
      <c r="C11" s="2" t="s">
        <v>187</v>
      </c>
    </row>
    <row r="12" spans="1:3" x14ac:dyDescent="0.15">
      <c r="A12" s="2" t="s">
        <v>188</v>
      </c>
      <c r="B12" s="2" t="s">
        <v>165</v>
      </c>
      <c r="C12" s="2" t="s">
        <v>189</v>
      </c>
    </row>
    <row r="13" spans="1:3" x14ac:dyDescent="0.15">
      <c r="A13" s="2" t="s">
        <v>190</v>
      </c>
      <c r="B13" s="2" t="s">
        <v>165</v>
      </c>
      <c r="C13" s="2" t="s">
        <v>191</v>
      </c>
    </row>
    <row r="14" spans="1:3" x14ac:dyDescent="0.15">
      <c r="A14" s="2" t="s">
        <v>192</v>
      </c>
      <c r="B14" s="2" t="s">
        <v>168</v>
      </c>
      <c r="C14" s="2" t="s">
        <v>193</v>
      </c>
    </row>
    <row r="15" spans="1:3" x14ac:dyDescent="0.15">
      <c r="A15" s="2" t="s">
        <v>194</v>
      </c>
      <c r="B15" s="2" t="s">
        <v>168</v>
      </c>
      <c r="C15" s="2" t="s">
        <v>195</v>
      </c>
    </row>
    <row r="16" spans="1:3" x14ac:dyDescent="0.15">
      <c r="A16" s="2" t="s">
        <v>196</v>
      </c>
      <c r="B16" s="2" t="s">
        <v>175</v>
      </c>
      <c r="C16" s="2" t="s">
        <v>197</v>
      </c>
    </row>
    <row r="17" spans="1:3" x14ac:dyDescent="0.15">
      <c r="A17" s="2" t="s">
        <v>198</v>
      </c>
      <c r="B17" s="2" t="s">
        <v>171</v>
      </c>
      <c r="C17" s="2" t="s">
        <v>199</v>
      </c>
    </row>
    <row r="18" spans="1:3" x14ac:dyDescent="0.15">
      <c r="A18" s="2" t="s">
        <v>200</v>
      </c>
      <c r="B18" s="2" t="s">
        <v>182</v>
      </c>
      <c r="C18" s="2" t="s">
        <v>201</v>
      </c>
    </row>
    <row r="19" spans="1:3" x14ac:dyDescent="0.15">
      <c r="A19" s="2" t="s">
        <v>202</v>
      </c>
      <c r="B19" s="2" t="s">
        <v>175</v>
      </c>
      <c r="C19" s="2" t="s">
        <v>203</v>
      </c>
    </row>
    <row r="20" spans="1:3" x14ac:dyDescent="0.15">
      <c r="A20" s="2" t="s">
        <v>204</v>
      </c>
      <c r="B20" s="2" t="s">
        <v>205</v>
      </c>
      <c r="C20" s="2" t="s">
        <v>206</v>
      </c>
    </row>
    <row r="21" spans="1:3" x14ac:dyDescent="0.15">
      <c r="A21" s="2" t="s">
        <v>207</v>
      </c>
      <c r="B21" s="2" t="s">
        <v>208</v>
      </c>
      <c r="C21" s="2" t="s">
        <v>209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5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2026-07-25T16:10:00Z</dcterms:created>
  <dcterms:modified xsi:type="dcterms:W3CDTF">2026-08-26T01:49:39Z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