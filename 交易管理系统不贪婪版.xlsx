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持仓跟踪!$AC$2:$AC$157</definedName>
    <definedName name="_TrackTradeId">持仓跟踪!$B$2:$B$157</definedName>
    <definedName name="_TrackType">持仓跟踪!$A$2:$A$157</definedName>
    <definedName name="_TradeIds">单次交易!$A$2:$A$88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<sst xmlns="http://schemas.openxmlformats.org/spreadsheetml/2006/main" count="314" uniqueCount="236">
  <si>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</si>
  <si>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</si>
  <si>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</si>
  <si>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</si>
  <si>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</si>
  <si>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</si>
  <si>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</si>
  <si>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</si>
  <si>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</si>
  <si>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</si>
  <si>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</si>
  <si>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</si>
  <si>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</si>
  <si>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</si>
  <si>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</si>
  <si>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</si>
  <si>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</si>
  <si>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</si>
  <si>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</si>
  <si>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</si>
  <si>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</si>
  <si>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</si>
  <si>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</si>
  <si>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</si>
  <si>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</si>
  <si>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</si>
  <si>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</si>
  <si>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</si>
  <si>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</si>
  <si>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</si>
  <si>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</si>
  <si>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</si>
  <si>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</si>
  <si>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</si>
  <si>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</si>
  <si>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</si>
  <si>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</si>
  <si>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</si>
  <si>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</si>
  <si>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</si>
  <si>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</si>
  <si>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</si>
  <si>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</si>
  <si>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</si>
  <si>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节电风能</t>
  </si>
  <si>
    <t>4-良好</t>
  </si>
  <si>
    <t>短期博反弹</t>
  </si>
  <si>
    <t>4～10个交易日</t>
  </si>
  <si>
    <t>不一定能冲到4块，但是最近交易量上来了</t>
  </si>
  <si>
    <t>4块压力很大</t>
  </si>
  <si>
    <t>3-一般</t>
  </si>
  <si>
    <t>3.3有压力，甚至3都有压力</t>
  </si>
  <si>
    <t>3块有压力</t>
  </si>
  <si>
    <t>1-差</t>
  </si>
  <si>
    <t>贪婪</t>
  </si>
  <si>
    <t>2块有压力</t>
  </si>
  <si>
    <t>2-较差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</si>
  <si>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</si>
  <si>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</si>
  <si>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</si>
  <si>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</si>
  <si>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</si>
  <si>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</si>
  <si>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</si>
  <si>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</si>
  <si>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</si>
  <si>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</si>
  <si>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</si>
  <si>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</si>
  <si>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</si>
  <si>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</si>
  <si>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</si>
  <si>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</si>
  <si>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</si>
  <si>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</si>
  <si>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</si>
  <si>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</si>
  <si>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</si>
  <si>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</si>
  <si>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</si>
  <si>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</si>
  <si>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</si>
  <si>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每日跟踪</t>
  </si>
  <si>
    <t>执行卖出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</si>
  <si>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</si>
  <si>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</si>
  <si>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</si>
  <si>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</si>
  <si>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</si>
  <si>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</si>
  <si>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</si>
  <si>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</si>
  <si>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买入理由1，买入量上升，买入理由2，有sow，买入理由3，没有跌破支撑 买入理由4，有可能跨越小溪一下子到4块以上，不买理由</t>
  </si>
  <si>
    <t>不买理由1，没有明显的sow，可能继续下跌没 买入理由1，下降趋势已经停止，不买理由2，可能持续吸筹，买入理由2，下发支撑明显</t>
  </si>
  <si>
    <t>不买理由1，没有交易量，可能吸筹持续时间很长，买入理由2，没有供应，前方有sow 这是自然回测，可能有第二波高开，重点看跌不跌破支撑，没跌破就上冲，跌破就下跌</t>
  </si>
  <si>
    <t>1.不买理由1 话没有看到明显的拉升型号，不买理由2，上方供应多，买入理由1 成交量明显变大 买入理由2 没破支撑</t>
  </si>
  <si>
    <t>1.不买理由1 没有看到sow，交易量也不大，买入理由2，低点有支撑没有破之前的低点，前方可能是震仓，之前有明显吸筹拉高测试痕迹，不买理由2  之前可能是派发，派发下跌，然后再派发</t>
  </si>
  <si>
    <t>1.不买理由1，还是下降阶段  2 买入理由1 成交量走高，一直慢慢涨，说明在吸筹，目前还没遇到压力，压力在3块附近，</t>
  </si>
  <si>
    <t>1.下跌过程中，买入理由2 成交量不见，底部稳</t>
  </si>
  <si>
    <t>不买理由1，上方4块压力位</t>
  </si>
  <si>
    <t>买入理由，支撑没破，不买理由不强势，买入理由，趋势趋稳，不买理由可能要很长一段时间</t>
  </si>
  <si>
    <t>不买理由1 3块压力巨大，买入理由，没有跌破sow，不买理由2，但是走的时间太长了，可能是派发，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</si>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</sst>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R88">
  <autoFilter xmlns:etc="http://www.wps.cn/officeDocument/2017/etCustomData" ref="A1:AR88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IF(A2="","",IFERROR(LOOKUP(2,1/((持仓跟踪!$B$2:$B$157=A2)*(持仓跟踪!$X$2:$X$157="执行卖出")*(持仓跟踪!$Y$2:$Y$157&lt;&gt;"")),持仓跟踪!$Y$2:$Y$157),""))</calculatedColumnFormula>
    </tableColumn>
    <tableColumn id="12" name="卖出股数">
      <calculatedColumnFormula>IF(K2="","",H2)</calculatedColumnFormula>
    </tableColumn>
    <tableColumn id="13" name="卖出日期">
      <calculatedColumnFormula>IF(A2="","",IFERROR(LOOKUP(2,1/((持仓跟踪!$B$2:$B$157=A2)*(持仓跟踪!$X$2:$X$157="执行卖出")*(持仓跟踪!$H$2:$H$157&lt;&gt;"")),持仓跟踪!$H$2:$H$157),""))</calculatedColumnFormula>
    </tableColumn>
    <tableColumn id="14" name="止损价"/>
    <tableColumn id="15" name="买入总费用"/>
    <tableColumn id="16" name="卖出费用">
      <calculatedColumnFormula>IF(A2="","",IFERROR(LOOKUP(2,1/((持仓跟踪!$B$2:$B$157=A2)*(持仓跟踪!$X$2:$X$157="执行卖出")*(持仓跟踪!$AA$2:$AA$157&lt;&gt;"")),持仓跟踪!$AA$2:$AA$157),""))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IF(OR(A2="",H2="",H2&lt;=0),"",(E2*H2+IF(AND(AK2&lt;&gt;"",AL2&lt;&gt;""),AK2*AL2,0)+IF(AND(AM2&lt;&gt;"",AN2&lt;&gt;""),AM2*AN2,0))/AP2)</calculatedColumnFormula>
    </tableColumn>
    <tableColumn id="42" name="累计买入股数">
      <calculatedColumnFormula>IF(OR(A2="",H2="",H2&lt;=0),"",H2+IF(AL2="",0,AL2)+IF(AN2="",0,AN2))</calculatedColumnFormula>
    </tableColumn>
    <tableColumn id="43" name="当前持仓风险">
      <calculatedColumnFormula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calculatedColumnFormula>
    </tableColumn>
    <tableColumn id="44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157">
  <autoFilter xmlns:etc="http://www.wps.cn/officeDocument/2017/etCustomData" ref="A1:AC15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IF(B2="","",IFERROR(LOOKUP(2,1/(单次交易!$A$2:$A$88=B2),单次交易!$B$2:$B$88),""))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IF(B2="","",IFERROR(LOOKUP(2,1/(单次交易!$A$2:$A$88=B2),单次交易!$N$2:$N$88),""))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IF(X2&lt;&gt;"执行卖出","",IFERROR(LOOKUP(2,1/(单次交易!$A$2:$A$88=B2),单次交易!$AP$2:$AP$88),""))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$88=B2),单次交易!$E$2:$E$88)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399">
  <autoFilter xmlns:etc="http://www.wps.cn/officeDocument/2017/etCustomData" ref="A1:L399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8"/>
  <sheetViews>
    <sheetView tabSelected="1" zoomScale="115" zoomScaleNormal="115" workbookViewId="0">
      <pane xSplit="2" topLeftCell="V1" activePane="topRight" state="frozen"/>
      <selection/>
      <selection pane="topRight" activeCell="K11" sqref="K11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4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  <c r="AP1" s="16" t="s">
        <v>41</v>
      </c>
      <c r="AQ1" s="16" t="s">
        <v>42</v>
      </c>
      <c r="AR1" s="16" t="s">
        <v>43</v>
      </c>
    </row>
    <row r="2" ht="17" spans="1:44">
      <c r="A2" s="2">
        <v>1</v>
      </c>
      <c r="B2" s="13" t="s">
        <v>44</v>
      </c>
      <c r="C2" s="10">
        <v>100000</v>
      </c>
      <c r="D2" s="6">
        <v>0.02</v>
      </c>
      <c r="E2" s="10">
        <v>3.9</v>
      </c>
      <c r="F2" s="8">
        <f t="shared" ref="F2:F16" si="0">IF(OR(C2="",D2="",E2="",N2="",C2&lt;=0,D2&lt;=0,E2&lt;=N2),"",ROUNDDOWN((C2*D2)/(E2-N2)/100,0)*100)</f>
        <v>10000</v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$157,"止损计划",持仓跟踪!$B$2:$B$157,A2,持仓跟踪!$AC$2:$AC$157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5000</v>
      </c>
      <c r="I2" s="15">
        <v>42570</v>
      </c>
      <c r="J2" s="10">
        <v>4</v>
      </c>
      <c r="K2" s="5">
        <v>3.68</v>
      </c>
      <c r="L2" s="8">
        <v>5000</v>
      </c>
      <c r="M2" s="17">
        <f>IF(A2="","",IFERROR(LOOKUP(2,1/((持仓跟踪!$B$2:$B$157=A2)*(持仓跟踪!$X$2:$X$157="执行卖出")*(持仓跟踪!$H$2:$H$157&lt;&gt;"")),持仓跟踪!$H$2:$H$157),""))</f>
        <v>42578</v>
      </c>
      <c r="N2" s="10">
        <v>3.7</v>
      </c>
      <c r="O2" s="10"/>
      <c r="P2" s="5" t="str">
        <f>IF(A2="","",IFERROR(LOOKUP(2,1/((持仓跟踪!$B$2:$B$157=A2)*(持仓跟踪!$X$2:$X$157="执行卖出")*(持仓跟踪!$AA$2:$AA$157&lt;&gt;"")),持仓跟踪!$AA$2:$AA$157),""))</f>
        <v/>
      </c>
      <c r="Q2" s="2"/>
      <c r="R2" s="2"/>
      <c r="S2" s="2"/>
      <c r="T2" s="2"/>
      <c r="U2" s="7">
        <f t="shared" ref="U2:U16" si="1">IF(OR(AO2="",J2="",AO2&lt;=0),"",(J2-AO2)/AO2)</f>
        <v>0.0256410256410257</v>
      </c>
      <c r="V2" s="7">
        <f t="shared" ref="V2:V16" si="2">IF(OR(AO2="",N2="",AO2&lt;=0),"",(AO2-N2)/AO2)</f>
        <v>0.0512820512820512</v>
      </c>
      <c r="W2" s="18">
        <f t="shared" ref="W2:W16" si="3">IF(OR(U2="",V2="",V2&lt;=0),"",U2/V2)</f>
        <v>0.500000000000001</v>
      </c>
      <c r="X2" s="5">
        <f t="shared" ref="X2:X16" si="4">IF(OR(K2="",L2="",AP2=""),"",K2*L2-(E2*H2+IF(AND(AK2&lt;&gt;"",AL2&lt;&gt;""),AK2*AL2,0)+IF(AND(AM2&lt;&gt;"",AN2&lt;&gt;""),AM2*AN2,0))-IF(O2="",0,O2)-IF(P2="",0,P2))</f>
        <v>-1100</v>
      </c>
      <c r="Y2" s="7">
        <f t="shared" ref="Y2:Y16" si="5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-0.0564102564102564</v>
      </c>
      <c r="Z2" s="7">
        <f>IF(OR(AE2="",多次统计数据!$B$8=""),"",AE2-多次统计数据!$B$8)</f>
        <v>-0.0566597209231521</v>
      </c>
      <c r="AA2" s="11">
        <f t="shared" ref="AA2:AA16" si="6">IF(OR(I2="",M2="",M2&lt;I2),"",M2-I2)</f>
        <v>8</v>
      </c>
      <c r="AB2" s="7">
        <f>IF(OR(A2="",多次统计数据!$B$8="",多次统计数据!$B$6&lt;=0,多次统计数据!$B$6&gt;=1),"",1-POWER(1+多次统计数据!$B$8,-多次统计数据!$B$6/(1-多次统计数据!$B$6)))</f>
        <v>0.0189529470868902</v>
      </c>
      <c r="AC2" s="8" t="str">
        <f>IF(OR(AB2="",多次统计数据!$B$9=""),"",IF(多次统计数据!$B$9&lt;AB2,"低于上限","达到或超过上限"))</f>
        <v>达到或超过上限</v>
      </c>
      <c r="AD2" s="2" t="s">
        <v>45</v>
      </c>
      <c r="AE2" s="7">
        <f t="shared" ref="AE2:AE16" si="7">IF(OR(X2="",C2="",C2&lt;=0),"",X2/C2)</f>
        <v>-0.011</v>
      </c>
      <c r="AG2" s="2" t="s">
        <v>46</v>
      </c>
      <c r="AH2" s="2" t="s">
        <v>47</v>
      </c>
      <c r="AI2" s="13" t="s">
        <v>48</v>
      </c>
      <c r="AJ2" s="8" t="str">
        <f t="shared" ref="AJ2:AJ16" si="8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0"/>
      <c r="AL2" s="12"/>
      <c r="AM2" s="10"/>
      <c r="AN2" s="12"/>
      <c r="AO2" s="5">
        <f t="shared" ref="AO2:AO16" si="9">IF(OR(A2="",H2="",H2&lt;=0),"",(E2*H2+IF(AND(AK2&lt;&gt;"",AL2&lt;&gt;""),AK2*AL2,0)+IF(AND(AM2&lt;&gt;"",AN2&lt;&gt;""),AM2*AN2,0))/AP2)</f>
        <v>3.9</v>
      </c>
      <c r="AP2" s="11">
        <f t="shared" ref="AP2:AP16" si="10">IF(OR(A2="",H2="",H2&lt;=0),"",H2+IF(AL2="",0,AL2)+IF(AN2="",0,AN2))</f>
        <v>5000</v>
      </c>
      <c r="AQ2" s="5">
        <f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f>
        <v>0</v>
      </c>
      <c r="AR2" s="8" t="str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$88)&gt;账户数据!$B$7,"违规：超过账户风险上限","通过")))))))))</f>
        <v>通过</v>
      </c>
    </row>
    <row r="3" ht="17" spans="1:44">
      <c r="A3" s="2">
        <v>2</v>
      </c>
      <c r="B3" s="13" t="s">
        <v>44</v>
      </c>
      <c r="C3" s="10">
        <v>98900</v>
      </c>
      <c r="D3" s="6">
        <v>0.02</v>
      </c>
      <c r="E3" s="10">
        <v>3.7</v>
      </c>
      <c r="F3" s="8">
        <f t="shared" si="0"/>
        <v>9800</v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$157,"止损计划",持仓跟踪!$B$2:$B$157,A3,持仓跟踪!$AC$2:$AC$157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9800</v>
      </c>
      <c r="I3" s="15">
        <v>42653</v>
      </c>
      <c r="J3" s="10">
        <v>4</v>
      </c>
      <c r="K3" s="5">
        <v>4.22</v>
      </c>
      <c r="L3" s="8">
        <v>9800</v>
      </c>
      <c r="M3" s="17">
        <f>IF(A3="","",IFERROR(LOOKUP(2,1/((持仓跟踪!$B$2:$B$157=A3)*(持仓跟踪!$X$2:$X$157="执行卖出")*(持仓跟踪!$H$2:$H$157&lt;&gt;"")),持仓跟踪!$H$2:$H$157),""))</f>
        <v>42663</v>
      </c>
      <c r="N3" s="10">
        <v>3.5</v>
      </c>
      <c r="O3" s="10"/>
      <c r="P3" s="5" t="str">
        <f>IF(A3="","",IFERROR(LOOKUP(2,1/((持仓跟踪!$B$2:$B$157=A3)*(持仓跟踪!$X$2:$X$157="执行卖出")*(持仓跟踪!$AA$2:$AA$157&lt;&gt;"")),持仓跟踪!$AA$2:$AA$157),""))</f>
        <v/>
      </c>
      <c r="Q3" s="2"/>
      <c r="R3" s="2"/>
      <c r="S3" s="2"/>
      <c r="T3" s="2"/>
      <c r="U3" s="7">
        <f t="shared" si="1"/>
        <v>0.081081081081081</v>
      </c>
      <c r="V3" s="7">
        <f t="shared" si="2"/>
        <v>0.0540540540540541</v>
      </c>
      <c r="W3" s="18">
        <f t="shared" si="3"/>
        <v>1.5</v>
      </c>
      <c r="X3" s="5">
        <f t="shared" si="4"/>
        <v>5096</v>
      </c>
      <c r="Y3" s="7">
        <f t="shared" si="5"/>
        <v>0.140540540540541</v>
      </c>
      <c r="Z3" s="7">
        <f>IF(OR(AE3="",多次统计数据!$B$8=""),"",AE3-多次统计数据!$B$8)</f>
        <v>0.00586707381901173</v>
      </c>
      <c r="AA3" s="11">
        <f t="shared" si="6"/>
        <v>10</v>
      </c>
      <c r="AB3" s="7">
        <f>IF(OR(A3="",多次统计数据!$B$8="",多次统计数据!$B$6&lt;=0,多次统计数据!$B$6&gt;=1),"",1-POWER(1+多次统计数据!$B$8,-多次统计数据!$B$6/(1-多次统计数据!$B$6)))</f>
        <v>0.0189529470868902</v>
      </c>
      <c r="AC3" s="8" t="str">
        <f>IF(OR(AB3="",多次统计数据!$B$9=""),"",IF(多次统计数据!$B$9&lt;AB3,"低于上限","达到或超过上限"))</f>
        <v>达到或超过上限</v>
      </c>
      <c r="AD3" s="2" t="s">
        <v>45</v>
      </c>
      <c r="AE3" s="7">
        <f t="shared" si="7"/>
        <v>0.0515267947421638</v>
      </c>
      <c r="AG3" s="2" t="s">
        <v>46</v>
      </c>
      <c r="AH3" s="2" t="s">
        <v>47</v>
      </c>
      <c r="AI3" s="13" t="s">
        <v>49</v>
      </c>
      <c r="AJ3" s="8" t="str">
        <f t="shared" si="8"/>
        <v>匹配</v>
      </c>
      <c r="AK3" s="10"/>
      <c r="AL3" s="12"/>
      <c r="AM3" s="10"/>
      <c r="AN3" s="12"/>
      <c r="AO3" s="5">
        <f t="shared" si="9"/>
        <v>3.7</v>
      </c>
      <c r="AP3" s="11">
        <f t="shared" si="10"/>
        <v>9800</v>
      </c>
      <c r="AQ3" s="5">
        <f>IF(A3="","",IF(M3&lt;&gt;"",0,IF(OR(H3="",N3=""),"",MAX(E3-MAX(N3,IFERROR(SUMPRODUCT(MAX(((持仓跟踪!$A$2:$A$157="每日跟踪")*(持仓跟踪!$B$2:$B$157=A3))*持仓跟踪!$S$2:$S$157)),0)),0)*H3+IF(OR(AK3="",AL3=""),0,MAX(AK3-MAX(N3,IFERROR(SUMPRODUCT(MAX(((持仓跟踪!$A$2:$A$157="每日跟踪")*(持仓跟踪!$B$2:$B$157=A3))*持仓跟踪!$S$2:$S$157)),0)),0)*AL3)+IF(OR(AM3="",AN3=""),0,MAX(AM3-MAX(N3,IFERROR(SUMPRODUCT(MAX(((持仓跟踪!$A$2:$A$157="每日跟踪")*(持仓跟踪!$B$2:$B$157=A3))*持仓跟踪!$S$2:$S$157)),0)),0)*AN3))))</f>
        <v>0</v>
      </c>
      <c r="AR3" s="8" t="str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$88)&gt;账户数据!$B$7,"违规：超过账户风险上限","通过")))))))))</f>
        <v>通过</v>
      </c>
    </row>
    <row r="4" ht="17" spans="1:44">
      <c r="A4" s="2">
        <v>3</v>
      </c>
      <c r="B4" s="13" t="s">
        <v>44</v>
      </c>
      <c r="C4" s="10">
        <v>103996</v>
      </c>
      <c r="D4" s="6">
        <v>0.02</v>
      </c>
      <c r="E4" s="10">
        <v>3.93</v>
      </c>
      <c r="F4" s="8">
        <f t="shared" si="0"/>
        <v>9000</v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$157,"止损计划",持仓跟踪!$B$2:$B$157,A4,持仓跟踪!$AC$2:$AC$157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9000</v>
      </c>
      <c r="I4" s="15">
        <v>42684</v>
      </c>
      <c r="J4" s="10">
        <v>4.5</v>
      </c>
      <c r="K4" s="5">
        <f>IF(A4="","",IFERROR(LOOKUP(2,1/((持仓跟踪!$B$2:$B$157=A4)*(持仓跟踪!$X$2:$X$157="执行卖出")*(持仓跟踪!$Y$2:$Y$157&lt;&gt;"")),持仓跟踪!$Y$2:$Y$157),""))</f>
        <v>3.69</v>
      </c>
      <c r="L4" s="8">
        <f>IF(A4="","",IFERROR(LOOKUP(2,1/((持仓跟踪!$B$2:$B$157=A4)*(持仓跟踪!$X$2:$X$157="执行卖出")*(持仓跟踪!$Z$2:$Z$157&lt;&gt;"")),持仓跟踪!$Z$2:$Z$157),""))</f>
        <v>9000</v>
      </c>
      <c r="M4" s="17">
        <f>IF(A4="","",IFERROR(LOOKUP(2,1/((持仓跟踪!$B$2:$B$157=A4)*(持仓跟踪!$X$2:$X$157="执行卖出")*(持仓跟踪!$H$2:$H$157&lt;&gt;"")),持仓跟踪!$H$2:$H$157),""))</f>
        <v>42716</v>
      </c>
      <c r="N4" s="10">
        <v>3.7</v>
      </c>
      <c r="O4" s="10"/>
      <c r="P4" s="5" t="str">
        <f>IF(A4="","",IFERROR(LOOKUP(2,1/((持仓跟踪!$B$2:$B$157=A4)*(持仓跟踪!$X$2:$X$157="执行卖出")*(持仓跟踪!$AA$2:$AA$157&lt;&gt;"")),持仓跟踪!$AA$2:$AA$157),""))</f>
        <v/>
      </c>
      <c r="Q4" s="2"/>
      <c r="R4" s="2"/>
      <c r="S4" s="2"/>
      <c r="T4" s="2"/>
      <c r="U4" s="7">
        <f t="shared" si="1"/>
        <v>0.145038167938931</v>
      </c>
      <c r="V4" s="7">
        <f t="shared" si="2"/>
        <v>0.0585241730279898</v>
      </c>
      <c r="W4" s="18">
        <f t="shared" si="3"/>
        <v>2.47826086956522</v>
      </c>
      <c r="X4" s="5">
        <f t="shared" si="4"/>
        <v>-2160</v>
      </c>
      <c r="Y4" s="7">
        <f t="shared" si="5"/>
        <v>-0.0610687022900763</v>
      </c>
      <c r="Z4" s="7">
        <f>IF(OR(AE4="",多次统计数据!$B$8=""),"",AE4-多次统计数据!$B$8)</f>
        <v>-0.0664297505396758</v>
      </c>
      <c r="AA4" s="11">
        <f t="shared" si="6"/>
        <v>32</v>
      </c>
      <c r="AB4" s="7">
        <f>IF(OR(A4="",多次统计数据!$B$8="",多次统计数据!$B$6&lt;=0,多次统计数据!$B$6&gt;=1),"",1-POWER(1+多次统计数据!$B$8,-多次统计数据!$B$6/(1-多次统计数据!$B$6)))</f>
        <v>0.0189529470868902</v>
      </c>
      <c r="AC4" s="8" t="str">
        <f>IF(OR(AB4="",多次统计数据!$B$9=""),"",IF(多次统计数据!$B$9&lt;AB4,"低于上限","达到或超过上限"))</f>
        <v>达到或超过上限</v>
      </c>
      <c r="AD4" s="2" t="s">
        <v>45</v>
      </c>
      <c r="AE4" s="7">
        <f t="shared" si="7"/>
        <v>-0.0207700296165237</v>
      </c>
      <c r="AG4" s="2" t="s">
        <v>46</v>
      </c>
      <c r="AH4" s="2" t="s">
        <v>47</v>
      </c>
      <c r="AI4" s="13" t="s">
        <v>49</v>
      </c>
      <c r="AJ4" s="8" t="str">
        <f t="shared" si="8"/>
        <v>匹配</v>
      </c>
      <c r="AK4" s="10"/>
      <c r="AL4" s="12"/>
      <c r="AM4" s="10"/>
      <c r="AN4" s="12"/>
      <c r="AO4" s="5">
        <f t="shared" si="9"/>
        <v>3.93</v>
      </c>
      <c r="AP4" s="11">
        <f t="shared" si="10"/>
        <v>9000</v>
      </c>
      <c r="AQ4" s="5">
        <f>IF(A4="","",IF(M4&lt;&gt;"",0,IF(OR(H4="",N4=""),"",MAX(E4-MAX(N4,IFERROR(SUMPRODUCT(MAX(((持仓跟踪!$A$2:$A$157="每日跟踪")*(持仓跟踪!$B$2:$B$157=A4))*持仓跟踪!$S$2:$S$157)),0)),0)*H4+IF(OR(AK4="",AL4=""),0,MAX(AK4-MAX(N4,IFERROR(SUMPRODUCT(MAX(((持仓跟踪!$A$2:$A$157="每日跟踪")*(持仓跟踪!$B$2:$B$157=A4))*持仓跟踪!$S$2:$S$157)),0)),0)*AL4)+IF(OR(AM4="",AN4=""),0,MAX(AM4-MAX(N4,IFERROR(SUMPRODUCT(MAX(((持仓跟踪!$A$2:$A$157="每日跟踪")*(持仓跟踪!$B$2:$B$157=A4))*持仓跟踪!$S$2:$S$157)),0)),0)*AN4))))</f>
        <v>0</v>
      </c>
      <c r="AR4" s="8" t="str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$88)&gt;账户数据!$B$7,"违规：超过账户风险上限","通过")))))))))</f>
        <v>通过</v>
      </c>
    </row>
    <row r="5" ht="17" spans="1:44">
      <c r="A5" s="2">
        <v>4</v>
      </c>
      <c r="B5" s="13" t="s">
        <v>44</v>
      </c>
      <c r="C5" s="10">
        <v>101836</v>
      </c>
      <c r="D5" s="6">
        <v>0.02</v>
      </c>
      <c r="E5" s="10">
        <v>3.4</v>
      </c>
      <c r="F5" s="8">
        <f t="shared" si="0"/>
        <v>10100</v>
      </c>
      <c r="G5" s="8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$157,"止损计划",持仓跟踪!$B$2:$B$157,A5,持仓跟踪!$AC$2:$AC$157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10100</v>
      </c>
      <c r="I5" s="15">
        <v>42825</v>
      </c>
      <c r="J5" s="10">
        <v>3.7</v>
      </c>
      <c r="K5" s="5">
        <v>3.49</v>
      </c>
      <c r="L5" s="8">
        <f>IF(A5="","",IFERROR(LOOKUP(2,1/((持仓跟踪!$B$2:$B$157=A5)*(持仓跟踪!$X$2:$X$157="执行卖出")*(持仓跟踪!$Z$2:$Z$157&lt;&gt;"")),持仓跟踪!$Z$2:$Z$157),""))</f>
        <v>10100</v>
      </c>
      <c r="M5" s="17">
        <f>IF(A5="","",IFERROR(LOOKUP(2,1/((持仓跟踪!$B$2:$B$157=A5)*(持仓跟踪!$X$2:$X$157="执行卖出")*(持仓跟踪!$H$2:$H$157&lt;&gt;"")),持仓跟踪!$H$2:$H$157),""))</f>
        <v>42838</v>
      </c>
      <c r="N5" s="10">
        <v>3.2</v>
      </c>
      <c r="O5" s="10"/>
      <c r="P5" s="5" t="str">
        <f>IF(A5="","",IFERROR(LOOKUP(2,1/((持仓跟踪!$B$2:$B$157=A5)*(持仓跟踪!$X$2:$X$157="执行卖出")*(持仓跟踪!$AA$2:$AA$157&lt;&gt;"")),持仓跟踪!$AA$2:$AA$157),""))</f>
        <v/>
      </c>
      <c r="Q5" s="2"/>
      <c r="R5" s="2"/>
      <c r="S5" s="2"/>
      <c r="T5" s="2"/>
      <c r="U5" s="7">
        <f t="shared" si="1"/>
        <v>0.0882352941176471</v>
      </c>
      <c r="V5" s="7">
        <f t="shared" si="2"/>
        <v>0.0588235294117646</v>
      </c>
      <c r="W5" s="18">
        <f t="shared" si="3"/>
        <v>1.5</v>
      </c>
      <c r="X5" s="5">
        <f t="shared" si="4"/>
        <v>909</v>
      </c>
      <c r="Y5" s="7">
        <f t="shared" si="5"/>
        <v>0.0264705882352941</v>
      </c>
      <c r="Z5" s="7">
        <f>IF(OR(AE5="",多次统计数据!$B$8=""),"",AE5-多次统计数据!$B$8)</f>
        <v>-0.0367336044221112</v>
      </c>
      <c r="AA5" s="11">
        <f t="shared" si="6"/>
        <v>13</v>
      </c>
      <c r="AB5" s="7">
        <f>IF(OR(A5="",多次统计数据!$B$8="",多次统计数据!$B$6&lt;=0,多次统计数据!$B$6&gt;=1),"",1-POWER(1+多次统计数据!$B$8,-多次统计数据!$B$6/(1-多次统计数据!$B$6)))</f>
        <v>0.0189529470868902</v>
      </c>
      <c r="AC5" s="8" t="str">
        <f>IF(OR(AB5="",多次统计数据!$B$9=""),"",IF(多次统计数据!$B$9&lt;AB5,"低于上限","达到或超过上限"))</f>
        <v>达到或超过上限</v>
      </c>
      <c r="AD5" s="2" t="s">
        <v>50</v>
      </c>
      <c r="AE5" s="7">
        <f t="shared" si="7"/>
        <v>0.00892611650104089</v>
      </c>
      <c r="AG5" s="2" t="s">
        <v>46</v>
      </c>
      <c r="AH5" s="2" t="s">
        <v>47</v>
      </c>
      <c r="AI5" s="2" t="s">
        <v>49</v>
      </c>
      <c r="AJ5" s="8" t="str">
        <f t="shared" si="8"/>
        <v>匹配</v>
      </c>
      <c r="AK5" s="10"/>
      <c r="AL5" s="12"/>
      <c r="AM5" s="10"/>
      <c r="AN5" s="12"/>
      <c r="AO5" s="5">
        <f t="shared" si="9"/>
        <v>3.4</v>
      </c>
      <c r="AP5" s="11">
        <f t="shared" si="10"/>
        <v>10100</v>
      </c>
      <c r="AQ5" s="5">
        <f>IF(A5="","",IF(M5&lt;&gt;"",0,IF(OR(H5="",N5=""),"",MAX(E5-MAX(N5,IFERROR(SUMPRODUCT(MAX(((持仓跟踪!$A$2:$A$157="每日跟踪")*(持仓跟踪!$B$2:$B$157=A5))*持仓跟踪!$S$2:$S$157)),0)),0)*H5+IF(OR(AK5="",AL5=""),0,MAX(AK5-MAX(N5,IFERROR(SUMPRODUCT(MAX(((持仓跟踪!$A$2:$A$157="每日跟踪")*(持仓跟踪!$B$2:$B$157=A5))*持仓跟踪!$S$2:$S$157)),0)),0)*AL5)+IF(OR(AM5="",AN5=""),0,MAX(AM5-MAX(N5,IFERROR(SUMPRODUCT(MAX(((持仓跟踪!$A$2:$A$157="每日跟踪")*(持仓跟踪!$B$2:$B$157=A5))*持仓跟踪!$S$2:$S$157)),0)),0)*AN5))))</f>
        <v>0</v>
      </c>
      <c r="AR5" s="8" t="str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$88)&gt;账户数据!$B$7,"违规：超过账户风险上限","通过")))))))))</f>
        <v>通过</v>
      </c>
    </row>
    <row r="6" ht="17" spans="1:44">
      <c r="A6" s="2">
        <v>5</v>
      </c>
      <c r="B6" s="13" t="s">
        <v>44</v>
      </c>
      <c r="C6" s="10">
        <v>102745</v>
      </c>
      <c r="D6" s="6">
        <v>0.02</v>
      </c>
      <c r="E6" s="10">
        <v>2.87</v>
      </c>
      <c r="F6" s="8">
        <f t="shared" si="0"/>
        <v>17100</v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$157,"止损计划",持仓跟踪!$B$2:$B$157,A6,持仓跟踪!$AC$2:$AC$157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17100</v>
      </c>
      <c r="I6" s="15">
        <v>43060</v>
      </c>
      <c r="J6" s="10">
        <v>3.2</v>
      </c>
      <c r="K6" s="5">
        <v>2.74</v>
      </c>
      <c r="L6" s="8">
        <v>17100</v>
      </c>
      <c r="M6" s="17">
        <f>IF(A6="","",IFERROR(LOOKUP(2,1/((持仓跟踪!$B$2:$B$157=A6)*(持仓跟踪!$X$2:$X$157="执行卖出")*(持仓跟踪!$H$2:$H$157&lt;&gt;"")),持仓跟踪!$H$2:$H$157),""))</f>
        <v>43074</v>
      </c>
      <c r="N6" s="10">
        <v>2.75</v>
      </c>
      <c r="O6" s="10"/>
      <c r="P6" s="5" t="str">
        <f>IF(A6="","",IFERROR(LOOKUP(2,1/((持仓跟踪!$B$2:$B$157=A6)*(持仓跟踪!$X$2:$X$157="执行卖出")*(持仓跟踪!$AA$2:$AA$157&lt;&gt;"")),持仓跟踪!$AA$2:$AA$157),""))</f>
        <v/>
      </c>
      <c r="Q6" s="2"/>
      <c r="R6" s="2"/>
      <c r="S6" s="2"/>
      <c r="T6" s="2"/>
      <c r="U6" s="7">
        <f t="shared" si="1"/>
        <v>0.114982578397213</v>
      </c>
      <c r="V6" s="7">
        <f t="shared" si="2"/>
        <v>0.0418118466898955</v>
      </c>
      <c r="W6" s="18">
        <f t="shared" si="3"/>
        <v>2.75</v>
      </c>
      <c r="X6" s="5">
        <f t="shared" si="4"/>
        <v>-2222.99999999999</v>
      </c>
      <c r="Y6" s="7">
        <f t="shared" si="5"/>
        <v>-0.0452961672473866</v>
      </c>
      <c r="Z6" s="7">
        <f>IF(OR(AE6="",多次统计数据!$B$8=""),"",AE6-多次统计数据!$B$8)</f>
        <v>-0.0672958102705655</v>
      </c>
      <c r="AA6" s="11">
        <f t="shared" si="6"/>
        <v>14</v>
      </c>
      <c r="AB6" s="7">
        <f>IF(OR(A6="",多次统计数据!$B$8="",多次统计数据!$B$6&lt;=0,多次统计数据!$B$6&gt;=1),"",1-POWER(1+多次统计数据!$B$8,-多次统计数据!$B$6/(1-多次统计数据!$B$6)))</f>
        <v>0.0189529470868902</v>
      </c>
      <c r="AC6" s="8" t="str">
        <f>IF(OR(AB6="",多次统计数据!$B$9=""),"",IF(多次统计数据!$B$9&lt;AB6,"低于上限","达到或超过上限"))</f>
        <v>达到或超过上限</v>
      </c>
      <c r="AD6" s="2" t="s">
        <v>50</v>
      </c>
      <c r="AE6" s="7">
        <f t="shared" si="7"/>
        <v>-0.0216360893474134</v>
      </c>
      <c r="AG6" s="2" t="s">
        <v>46</v>
      </c>
      <c r="AH6" s="2" t="s">
        <v>47</v>
      </c>
      <c r="AI6" s="13" t="s">
        <v>51</v>
      </c>
      <c r="AJ6" s="8" t="str">
        <f t="shared" si="8"/>
        <v>匹配</v>
      </c>
      <c r="AK6" s="10"/>
      <c r="AL6" s="12"/>
      <c r="AM6" s="10"/>
      <c r="AN6" s="12"/>
      <c r="AO6" s="5">
        <f t="shared" si="9"/>
        <v>2.87</v>
      </c>
      <c r="AP6" s="11">
        <f t="shared" si="10"/>
        <v>17100</v>
      </c>
      <c r="AQ6" s="5">
        <f>IF(A6="","",IF(M6&lt;&gt;"",0,IF(OR(H6="",N6=""),"",MAX(E6-MAX(N6,IFERROR(SUMPRODUCT(MAX(((持仓跟踪!$A$2:$A$157="每日跟踪")*(持仓跟踪!$B$2:$B$157=A6))*持仓跟踪!$S$2:$S$157)),0)),0)*H6+IF(OR(AK6="",AL6=""),0,MAX(AK6-MAX(N6,IFERROR(SUMPRODUCT(MAX(((持仓跟踪!$A$2:$A$157="每日跟踪")*(持仓跟踪!$B$2:$B$157=A6))*持仓跟踪!$S$2:$S$157)),0)),0)*AL6)+IF(OR(AM6="",AN6=""),0,MAX(AM6-MAX(N6,IFERROR(SUMPRODUCT(MAX(((持仓跟踪!$A$2:$A$157="每日跟踪")*(持仓跟踪!$B$2:$B$157=A6))*持仓跟踪!$S$2:$S$157)),0)),0)*AN6))))</f>
        <v>0</v>
      </c>
      <c r="AR6" s="8" t="str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$88)&gt;账户数据!$B$7,"违规：超过账户风险上限","通过")))))))))</f>
        <v>通过</v>
      </c>
    </row>
    <row r="7" ht="17" spans="1:44">
      <c r="A7" s="2">
        <v>6</v>
      </c>
      <c r="B7" s="13" t="s">
        <v>44</v>
      </c>
      <c r="C7" s="10">
        <v>100522</v>
      </c>
      <c r="D7" s="6">
        <v>0.02</v>
      </c>
      <c r="E7" s="10">
        <v>2.57</v>
      </c>
      <c r="F7" s="8">
        <f t="shared" si="0"/>
        <v>11800</v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$157,"止损计划",持仓跟踪!$B$2:$B$157,A7,持仓跟踪!$AC$2:$AC$157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11800</v>
      </c>
      <c r="I7" s="15">
        <v>43173</v>
      </c>
      <c r="J7" s="10">
        <v>3</v>
      </c>
      <c r="K7" s="5">
        <f>IF(A7="","",IFERROR(LOOKUP(2,1/((持仓跟踪!$B$2:$B$157=A7)*(持仓跟踪!$X$2:$X$157="执行卖出")*(持仓跟踪!$Y$2:$Y$157&lt;&gt;"")),持仓跟踪!$Y$2:$Y$157),""))</f>
        <v>2.38</v>
      </c>
      <c r="L7" s="8">
        <f>IF(A7="","",IFERROR(LOOKUP(2,1/((持仓跟踪!$B$2:$B$157=A7)*(持仓跟踪!$X$2:$X$157="执行卖出")*(持仓跟踪!$Z$2:$Z$157&lt;&gt;"")),持仓跟踪!$Z$2:$Z$157),""))</f>
        <v>11800</v>
      </c>
      <c r="M7" s="17">
        <f>IF(A7="","",IFERROR(LOOKUP(2,1/((持仓跟踪!$B$2:$B$157=A7)*(持仓跟踪!$X$2:$X$157="执行卖出")*(持仓跟踪!$H$2:$H$157&lt;&gt;"")),持仓跟踪!$H$2:$H$157),""))</f>
        <v>43182</v>
      </c>
      <c r="N7" s="10">
        <v>2.4</v>
      </c>
      <c r="O7" s="10"/>
      <c r="P7" s="5" t="str">
        <f>IF(A7="","",IFERROR(LOOKUP(2,1/((持仓跟踪!$B$2:$B$157=A7)*(持仓跟踪!$X$2:$X$157="执行卖出")*(持仓跟踪!$AA$2:$AA$157&lt;&gt;"")),持仓跟踪!$AA$2:$AA$157),""))</f>
        <v/>
      </c>
      <c r="Q7" s="2"/>
      <c r="R7" s="2"/>
      <c r="S7" s="2"/>
      <c r="T7" s="2"/>
      <c r="U7" s="7">
        <f t="shared" si="1"/>
        <v>0.167315175097276</v>
      </c>
      <c r="V7" s="7">
        <f t="shared" si="2"/>
        <v>0.066147859922179</v>
      </c>
      <c r="W7" s="18">
        <f t="shared" si="3"/>
        <v>2.52941176470588</v>
      </c>
      <c r="X7" s="5">
        <f t="shared" si="4"/>
        <v>-2242</v>
      </c>
      <c r="Y7" s="7">
        <f t="shared" si="5"/>
        <v>-0.0739299610894941</v>
      </c>
      <c r="Z7" s="7">
        <f>IF(OR(AE7="",多次统计数据!$B$8=""),"",AE7-多次统计数据!$B$8)</f>
        <v>-0.0679632962598942</v>
      </c>
      <c r="AA7" s="11">
        <f t="shared" si="6"/>
        <v>9</v>
      </c>
      <c r="AB7" s="7">
        <f>IF(OR(A7="",多次统计数据!$B$8="",多次统计数据!$B$6&lt;=0,多次统计数据!$B$6&gt;=1),"",1-POWER(1+多次统计数据!$B$8,-多次统计数据!$B$6/(1-多次统计数据!$B$6)))</f>
        <v>0.0189529470868902</v>
      </c>
      <c r="AC7" s="8" t="str">
        <f>IF(OR(AB7="",多次统计数据!$B$9=""),"",IF(多次统计数据!$B$9&lt;AB7,"低于上限","达到或超过上限"))</f>
        <v>达到或超过上限</v>
      </c>
      <c r="AD7" s="2" t="s">
        <v>50</v>
      </c>
      <c r="AE7" s="7">
        <f t="shared" si="7"/>
        <v>-0.0223035753367422</v>
      </c>
      <c r="AG7" s="2" t="s">
        <v>46</v>
      </c>
      <c r="AH7" s="2" t="s">
        <v>47</v>
      </c>
      <c r="AI7" s="13" t="s">
        <v>52</v>
      </c>
      <c r="AJ7" s="8" t="str">
        <f t="shared" si="8"/>
        <v>匹配</v>
      </c>
      <c r="AK7" s="10"/>
      <c r="AL7" s="12"/>
      <c r="AM7" s="10"/>
      <c r="AN7" s="12"/>
      <c r="AO7" s="5">
        <f t="shared" si="9"/>
        <v>2.57</v>
      </c>
      <c r="AP7" s="11">
        <f t="shared" si="10"/>
        <v>11800</v>
      </c>
      <c r="AQ7" s="5">
        <f>IF(A7="","",IF(M7&lt;&gt;"",0,IF(OR(H7="",N7=""),"",MAX(E7-MAX(N7,IFERROR(SUMPRODUCT(MAX(((持仓跟踪!$A$2:$A$157="每日跟踪")*(持仓跟踪!$B$2:$B$157=A7))*持仓跟踪!$S$2:$S$157)),0)),0)*H7+IF(OR(AK7="",AL7=""),0,MAX(AK7-MAX(N7,IFERROR(SUMPRODUCT(MAX(((持仓跟踪!$A$2:$A$157="每日跟踪")*(持仓跟踪!$B$2:$B$157=A7))*持仓跟踪!$S$2:$S$157)),0)),0)*AL7)+IF(OR(AM7="",AN7=""),0,MAX(AM7-MAX(N7,IFERROR(SUMPRODUCT(MAX(((持仓跟踪!$A$2:$A$157="每日跟踪")*(持仓跟踪!$B$2:$B$157=A7))*持仓跟踪!$S$2:$S$157)),0)),0)*AN7))))</f>
        <v>0</v>
      </c>
      <c r="AR7" s="8" t="str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$88)&gt;账户数据!$B$7,"违规：超过账户风险上限","通过")))))))))</f>
        <v>通过</v>
      </c>
    </row>
    <row r="8" ht="17" spans="1:44">
      <c r="A8" s="2">
        <v>7</v>
      </c>
      <c r="B8" s="13" t="s">
        <v>44</v>
      </c>
      <c r="C8" s="10">
        <v>98280</v>
      </c>
      <c r="D8" s="6">
        <v>0.02</v>
      </c>
      <c r="E8" s="10">
        <v>1.91</v>
      </c>
      <c r="F8" s="8">
        <f t="shared" si="0"/>
        <v>32700</v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$157,"止损计划",持仓跟踪!$B$2:$B$157,A8,持仓跟踪!$AC$2:$AC$157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32700</v>
      </c>
      <c r="I8" s="15">
        <v>43790</v>
      </c>
      <c r="J8" s="10">
        <v>2</v>
      </c>
      <c r="K8" s="5">
        <v>2.14</v>
      </c>
      <c r="L8" s="8">
        <f>IF(A8="","",IFERROR(LOOKUP(2,1/((持仓跟踪!$B$2:$B$157=A8)*(持仓跟踪!$X$2:$X$157="执行卖出")*(持仓跟踪!$Z$2:$Z$157&lt;&gt;"")),持仓跟踪!$Z$2:$Z$157),""))</f>
        <v>32700</v>
      </c>
      <c r="M8" s="17">
        <v>44391</v>
      </c>
      <c r="N8" s="10">
        <v>1.85</v>
      </c>
      <c r="O8" s="10"/>
      <c r="P8" s="5" t="str">
        <f>IF(A8="","",IFERROR(LOOKUP(2,1/((持仓跟踪!$B$2:$B$157=A8)*(持仓跟踪!$X$2:$X$157="执行卖出")*(持仓跟踪!$AA$2:$AA$157&lt;&gt;"")),持仓跟踪!$AA$2:$AA$157),""))</f>
        <v/>
      </c>
      <c r="Q8" s="2"/>
      <c r="R8" s="2"/>
      <c r="S8" s="2"/>
      <c r="T8" s="2"/>
      <c r="U8" s="7">
        <f t="shared" si="1"/>
        <v>0.0471204188481676</v>
      </c>
      <c r="V8" s="7">
        <f t="shared" si="2"/>
        <v>0.0314136125654449</v>
      </c>
      <c r="W8" s="18">
        <f t="shared" si="3"/>
        <v>1.50000000000001</v>
      </c>
      <c r="X8" s="5">
        <f t="shared" si="4"/>
        <v>7521</v>
      </c>
      <c r="Y8" s="7">
        <f t="shared" si="5"/>
        <v>0.120418848167539</v>
      </c>
      <c r="Z8" s="7">
        <f>IF(OR(AE8="",多次统计数据!$B$8=""),"",AE8-多次统计数据!$B$8)</f>
        <v>0.0308665306030995</v>
      </c>
      <c r="AA8" s="11">
        <f t="shared" si="6"/>
        <v>601</v>
      </c>
      <c r="AB8" s="7">
        <f>IF(OR(A8="",多次统计数据!$B$8="",多次统计数据!$B$6&lt;=0,多次统计数据!$B$6&gt;=1),"",1-POWER(1+多次统计数据!$B$8,-多次统计数据!$B$6/(1-多次统计数据!$B$6)))</f>
        <v>0.0189529470868902</v>
      </c>
      <c r="AC8" s="8" t="str">
        <f>IF(OR(AB8="",多次统计数据!$B$9=""),"",IF(多次统计数据!$B$9&lt;AB8,"低于上限","达到或超过上限"))</f>
        <v>达到或超过上限</v>
      </c>
      <c r="AD8" s="2" t="s">
        <v>53</v>
      </c>
      <c r="AE8" s="7">
        <f t="shared" si="7"/>
        <v>0.0765262515262515</v>
      </c>
      <c r="AF8" s="19" t="s">
        <v>54</v>
      </c>
      <c r="AG8" s="2" t="s">
        <v>46</v>
      </c>
      <c r="AH8" s="2" t="s">
        <v>47</v>
      </c>
      <c r="AI8" s="13" t="s">
        <v>55</v>
      </c>
      <c r="AJ8" s="8" t="str">
        <f t="shared" si="8"/>
        <v>匹配</v>
      </c>
      <c r="AK8" s="10"/>
      <c r="AL8" s="12"/>
      <c r="AM8" s="10"/>
      <c r="AN8" s="12"/>
      <c r="AO8" s="5">
        <f t="shared" si="9"/>
        <v>1.91</v>
      </c>
      <c r="AP8" s="11">
        <f t="shared" si="10"/>
        <v>32700</v>
      </c>
      <c r="AQ8" s="5">
        <f>IF(A8="","",IF(M8&lt;&gt;"",0,IF(OR(H8="",N8=""),"",MAX(E8-MAX(N8,IFERROR(SUMPRODUCT(MAX(((持仓跟踪!$A$2:$A$157="每日跟踪")*(持仓跟踪!$B$2:$B$157=A8))*持仓跟踪!$S$2:$S$157)),0)),0)*H8+IF(OR(AK8="",AL8=""),0,MAX(AK8-MAX(N8,IFERROR(SUMPRODUCT(MAX(((持仓跟踪!$A$2:$A$157="每日跟踪")*(持仓跟踪!$B$2:$B$157=A8))*持仓跟踪!$S$2:$S$157)),0)),0)*AL8)+IF(OR(AM8="",AN8=""),0,MAX(AM8-MAX(N8,IFERROR(SUMPRODUCT(MAX(((持仓跟踪!$A$2:$A$157="每日跟踪")*(持仓跟踪!$B$2:$B$157=A8))*持仓跟踪!$S$2:$S$157)),0)),0)*AN8))))</f>
        <v>0</v>
      </c>
      <c r="AR8" s="8" t="str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$88)&gt;账户数据!$B$7,"违规：超过账户风险上限","通过")))))))))</f>
        <v>通过</v>
      </c>
    </row>
    <row r="9" ht="34" spans="1:44">
      <c r="A9" s="2">
        <v>8</v>
      </c>
      <c r="B9" s="13" t="s">
        <v>44</v>
      </c>
      <c r="C9" s="10">
        <v>105801</v>
      </c>
      <c r="D9" s="6">
        <v>0.02</v>
      </c>
      <c r="E9" s="10">
        <v>3.83</v>
      </c>
      <c r="F9" s="8">
        <f t="shared" si="0"/>
        <v>6400</v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$157,"止损计划",持仓跟踪!$B$2:$B$157,A9,持仓跟踪!$AC$2:$AC$157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6400</v>
      </c>
      <c r="I9" s="15">
        <v>44900</v>
      </c>
      <c r="J9" s="10">
        <v>4.5</v>
      </c>
      <c r="K9" s="5">
        <f>IF(A9="","",IFERROR(LOOKUP(2,1/((持仓跟踪!$B$2:$B$157=A9)*(持仓跟踪!$X$2:$X$157="执行卖出")*(持仓跟踪!$Y$2:$Y$157&lt;&gt;"")),持仓跟踪!$Y$2:$Y$157),""))</f>
        <v>3.47</v>
      </c>
      <c r="L9" s="8">
        <f>IF(A9="","",IFERROR(LOOKUP(2,1/((持仓跟踪!$B$2:$B$157=A9)*(持仓跟踪!$X$2:$X$157="执行卖出")*(持仓跟踪!$Z$2:$Z$157&lt;&gt;"")),持仓跟踪!$Z$2:$Z$157),""))</f>
        <v>6400</v>
      </c>
      <c r="M9" s="17">
        <f>IF(A9="","",IFERROR(LOOKUP(2,1/((持仓跟踪!$B$2:$B$157=A9)*(持仓跟踪!$X$2:$X$157="执行卖出")*(持仓跟踪!$H$2:$H$157&lt;&gt;"")),持仓跟踪!$H$2:$H$157),""))</f>
        <v>44914</v>
      </c>
      <c r="N9" s="10">
        <v>3.5</v>
      </c>
      <c r="O9" s="10"/>
      <c r="P9" s="5" t="str">
        <f>IF(A9="","",IFERROR(LOOKUP(2,1/((持仓跟踪!$B$2:$B$157=A9)*(持仓跟踪!$X$2:$X$157="执行卖出")*(持仓跟踪!$AA$2:$AA$157&lt;&gt;"")),持仓跟踪!$AA$2:$AA$157),""))</f>
        <v/>
      </c>
      <c r="Q9" s="2"/>
      <c r="R9" s="2"/>
      <c r="S9" s="2"/>
      <c r="T9" s="2"/>
      <c r="U9" s="7">
        <f t="shared" si="1"/>
        <v>0.174934725848564</v>
      </c>
      <c r="V9" s="7">
        <f t="shared" si="2"/>
        <v>0.0861618798955614</v>
      </c>
      <c r="W9" s="18">
        <f t="shared" si="3"/>
        <v>2.03030303030303</v>
      </c>
      <c r="X9" s="5">
        <f t="shared" si="4"/>
        <v>-2304</v>
      </c>
      <c r="Y9" s="7">
        <f t="shared" si="5"/>
        <v>-0.0939947780678851</v>
      </c>
      <c r="Z9" s="7">
        <f>IF(OR(AE9="",多次统计数据!$B$8=""),"",AE9-多次统计数据!$B$8)</f>
        <v>-0.0674364527120766</v>
      </c>
      <c r="AA9" s="11">
        <f t="shared" si="6"/>
        <v>14</v>
      </c>
      <c r="AB9" s="7">
        <f>IF(OR(A9="",多次统计数据!$B$8="",多次统计数据!$B$6&lt;=0,多次统计数据!$B$6&gt;=1),"",1-POWER(1+多次统计数据!$B$8,-多次统计数据!$B$6/(1-多次统计数据!$B$6)))</f>
        <v>0.0189529470868902</v>
      </c>
      <c r="AC9" s="8" t="str">
        <f>IF(OR(AB9="",多次统计数据!$B$9=""),"",IF(多次统计数据!$B$9&lt;AB9,"低于上限","达到或超过上限"))</f>
        <v>达到或超过上限</v>
      </c>
      <c r="AD9" s="2" t="s">
        <v>50</v>
      </c>
      <c r="AE9" s="7">
        <f t="shared" si="7"/>
        <v>-0.0217767317889245</v>
      </c>
      <c r="AG9" s="2" t="s">
        <v>46</v>
      </c>
      <c r="AH9" s="2" t="s">
        <v>47</v>
      </c>
      <c r="AI9" s="2" t="s">
        <v>49</v>
      </c>
      <c r="AJ9" s="8" t="str">
        <f t="shared" si="8"/>
        <v>匹配</v>
      </c>
      <c r="AK9" s="10"/>
      <c r="AL9" s="12"/>
      <c r="AM9" s="10"/>
      <c r="AN9" s="12"/>
      <c r="AO9" s="5">
        <f t="shared" si="9"/>
        <v>3.83</v>
      </c>
      <c r="AP9" s="11">
        <f t="shared" si="10"/>
        <v>6400</v>
      </c>
      <c r="AQ9" s="5">
        <f>IF(A9="","",IF(M9&lt;&gt;"",0,IF(OR(H9="",N9=""),"",MAX(E9-MAX(N9,IFERROR(SUMPRODUCT(MAX(((持仓跟踪!$A$2:$A$157="每日跟踪")*(持仓跟踪!$B$2:$B$157=A9))*持仓跟踪!$S$2:$S$157)),0)),0)*H9+IF(OR(AK9="",AL9=""),0,MAX(AK9-MAX(N9,IFERROR(SUMPRODUCT(MAX(((持仓跟踪!$A$2:$A$157="每日跟踪")*(持仓跟踪!$B$2:$B$157=A9))*持仓跟踪!$S$2:$S$157)),0)),0)*AL9)+IF(OR(AM9="",AN9=""),0,MAX(AM9-MAX(N9,IFERROR(SUMPRODUCT(MAX(((持仓跟踪!$A$2:$A$157="每日跟踪")*(持仓跟踪!$B$2:$B$157=A9))*持仓跟踪!$S$2:$S$157)),0)),0)*AN9))))</f>
        <v>0</v>
      </c>
      <c r="AR9" s="8" t="str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$88)&gt;账户数据!$B$7,"违规：超过账户风险上限","通过")))))))))</f>
        <v>通过</v>
      </c>
    </row>
    <row r="10" ht="17" spans="1:44">
      <c r="A10" s="2">
        <v>9</v>
      </c>
      <c r="B10" s="2" t="s">
        <v>44</v>
      </c>
      <c r="C10" s="10">
        <v>103497</v>
      </c>
      <c r="D10" s="6">
        <v>0.02</v>
      </c>
      <c r="E10" s="10">
        <v>3.68</v>
      </c>
      <c r="F10" s="8">
        <f t="shared" si="0"/>
        <v>11400</v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$157,"止损计划",持仓跟踪!$B$2:$B$157,A10,持仓跟踪!$AC$2:$AC$157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11400</v>
      </c>
      <c r="I10" s="15">
        <v>45000</v>
      </c>
      <c r="J10" s="10">
        <v>4</v>
      </c>
      <c r="K10" s="5">
        <f>IF(A10="","",IFERROR(LOOKUP(2,1/((持仓跟踪!$B$2:$B$157=A10)*(持仓跟踪!$X$2:$X$157="执行卖出")*(持仓跟踪!$Y$2:$Y$157&lt;&gt;"")),持仓跟踪!$Y$2:$Y$157),""))</f>
        <v>3.46</v>
      </c>
      <c r="L10" s="8">
        <f>IF(A10="","",IFERROR(LOOKUP(2,1/((持仓跟踪!$B$2:$B$157=A10)*(持仓跟踪!$X$2:$X$157="执行卖出")*(持仓跟踪!$Z$2:$Z$157&lt;&gt;"")),持仓跟踪!$Z$2:$Z$157),""))</f>
        <v>11400</v>
      </c>
      <c r="M10" s="17">
        <f>IF(A10="","",IFERROR(LOOKUP(2,1/((持仓跟踪!$B$2:$B$157=A10)*(持仓跟踪!$X$2:$X$157="执行卖出")*(持仓跟踪!$H$2:$H$157&lt;&gt;"")),持仓跟踪!$H$2:$H$157),""))</f>
        <v>45041</v>
      </c>
      <c r="N10" s="10">
        <v>3.5</v>
      </c>
      <c r="O10" s="10"/>
      <c r="P10" s="5" t="str">
        <f>IF(A10="","",IFERROR(LOOKUP(2,1/((持仓跟踪!$B$2:$B$157=A10)*(持仓跟踪!$X$2:$X$157="执行卖出")*(持仓跟踪!$AA$2:$AA$157&lt;&gt;"")),持仓跟踪!$AA$2:$AA$157),""))</f>
        <v/>
      </c>
      <c r="Q10" s="2"/>
      <c r="R10" s="2"/>
      <c r="S10" s="2"/>
      <c r="T10" s="2"/>
      <c r="U10" s="7">
        <f t="shared" si="1"/>
        <v>0.0869565217391304</v>
      </c>
      <c r="V10" s="7">
        <f t="shared" si="2"/>
        <v>0.0489130434782609</v>
      </c>
      <c r="W10" s="18">
        <f t="shared" si="3"/>
        <v>1.77777777777778</v>
      </c>
      <c r="X10" s="5">
        <f t="shared" si="4"/>
        <v>-2508</v>
      </c>
      <c r="Y10" s="7">
        <f t="shared" si="5"/>
        <v>-0.0597826086956522</v>
      </c>
      <c r="Z10" s="7">
        <f>IF(OR(AE10="",多次统计数据!$B$8=""),"",AE10-多次统计数据!$B$8)</f>
        <v>-0.0698923073749333</v>
      </c>
      <c r="AA10" s="11">
        <f t="shared" si="6"/>
        <v>41</v>
      </c>
      <c r="AB10" s="7">
        <f>IF(OR(A10="",多次统计数据!$B$8="",多次统计数据!$B$6&lt;=0,多次统计数据!$B$6&gt;=1),"",1-POWER(1+多次统计数据!$B$8,-多次统计数据!$B$6/(1-多次统计数据!$B$6)))</f>
        <v>0.0189529470868902</v>
      </c>
      <c r="AC10" s="8" t="str">
        <f>IF(OR(AB10="",多次统计数据!$B$9=""),"",IF(多次统计数据!$B$9&lt;AB10,"低于上限","达到或超过上限"))</f>
        <v>达到或超过上限</v>
      </c>
      <c r="AD10" s="2" t="s">
        <v>56</v>
      </c>
      <c r="AE10" s="7">
        <f t="shared" si="7"/>
        <v>-0.0242325864517812</v>
      </c>
      <c r="AG10" s="2" t="s">
        <v>46</v>
      </c>
      <c r="AH10" s="2" t="s">
        <v>47</v>
      </c>
      <c r="AI10" s="2"/>
      <c r="AJ10" s="8" t="str">
        <f t="shared" si="8"/>
        <v>匹配</v>
      </c>
      <c r="AK10" s="10"/>
      <c r="AL10" s="12"/>
      <c r="AM10" s="10"/>
      <c r="AN10" s="12"/>
      <c r="AO10" s="5">
        <f t="shared" si="9"/>
        <v>3.68</v>
      </c>
      <c r="AP10" s="11">
        <f t="shared" si="10"/>
        <v>11400</v>
      </c>
      <c r="AQ10" s="5">
        <f>IF(A10="","",IF(M10&lt;&gt;"",0,IF(OR(H10="",N10=""),"",MAX(E10-MAX(N10,IFERROR(SUMPRODUCT(MAX(((持仓跟踪!$A$2:$A$157="每日跟踪")*(持仓跟踪!$B$2:$B$157=A10))*持仓跟踪!$S$2:$S$157)),0)),0)*H10+IF(OR(AK10="",AL10=""),0,MAX(AK10-MAX(N10,IFERROR(SUMPRODUCT(MAX(((持仓跟踪!$A$2:$A$157="每日跟踪")*(持仓跟踪!$B$2:$B$157=A10))*持仓跟踪!$S$2:$S$157)),0)),0)*AL10)+IF(OR(AM10="",AN10=""),0,MAX(AM10-MAX(N10,IFERROR(SUMPRODUCT(MAX(((持仓跟踪!$A$2:$A$157="每日跟踪")*(持仓跟踪!$B$2:$B$157=A10))*持仓跟踪!$S$2:$S$157)),0)),0)*AN10))))</f>
        <v>0</v>
      </c>
      <c r="AR10" s="8" t="str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$88)&gt;账户数据!$B$7,"违规：超过账户风险上限","通过")))))))))</f>
        <v>通过</v>
      </c>
    </row>
    <row r="11" ht="34" spans="1:44">
      <c r="A11" s="2">
        <v>10</v>
      </c>
      <c r="B11" s="2" t="s">
        <v>44</v>
      </c>
      <c r="C11" s="10">
        <v>100989</v>
      </c>
      <c r="D11" s="6">
        <v>0.02</v>
      </c>
      <c r="E11" s="10">
        <v>2.86</v>
      </c>
      <c r="F11" s="8">
        <f t="shared" si="0"/>
        <v>18300</v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$157,"止损计划",持仓跟踪!$B$2:$B$157,A11,持仓跟踪!$AC$2:$AC$157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18300</v>
      </c>
      <c r="I11" s="15">
        <v>45357</v>
      </c>
      <c r="J11" s="10">
        <v>3</v>
      </c>
      <c r="K11" s="5">
        <f>IF(A11="","",IFERROR(LOOKUP(2,1/((持仓跟踪!$B$2:$B$157=A11)*(持仓跟踪!$X$2:$X$157="执行卖出")*(持仓跟踪!$Y$2:$Y$157&lt;&gt;"")),持仓跟踪!$Y$2:$Y$157),""))</f>
        <v>2.78</v>
      </c>
      <c r="L11" s="8">
        <f>IF(A11="","",IFERROR(LOOKUP(2,1/((持仓跟踪!$B$2:$B$157=A11)*(持仓跟踪!$X$2:$X$157="执行卖出")*(持仓跟踪!$Z$2:$Z$157&lt;&gt;"")),持仓跟踪!$Z$2:$Z$157),""))</f>
        <v>18300</v>
      </c>
      <c r="M11" s="17">
        <f>IF(A11="","",IFERROR(LOOKUP(2,1/((持仓跟踪!$B$2:$B$157=A11)*(持仓跟踪!$X$2:$X$157="执行卖出")*(持仓跟踪!$H$2:$H$157&lt;&gt;"")),持仓跟踪!$H$2:$H$157),""))</f>
        <v>45373</v>
      </c>
      <c r="N11" s="10">
        <v>2.75</v>
      </c>
      <c r="O11" s="10"/>
      <c r="P11" s="5" t="str">
        <f>IF(A11="","",IFERROR(LOOKUP(2,1/((持仓跟踪!$B$2:$B$157=A11)*(持仓跟踪!$X$2:$X$157="执行卖出")*(持仓跟踪!$AA$2:$AA$157&lt;&gt;"")),持仓跟踪!$AA$2:$AA$157),""))</f>
        <v/>
      </c>
      <c r="Q11" s="2"/>
      <c r="R11" s="2"/>
      <c r="S11" s="2"/>
      <c r="T11" s="2"/>
      <c r="U11" s="7">
        <f t="shared" si="1"/>
        <v>0.048951048951049</v>
      </c>
      <c r="V11" s="7">
        <f t="shared" si="2"/>
        <v>0.0384615384615384</v>
      </c>
      <c r="W11" s="18">
        <f t="shared" si="3"/>
        <v>1.27272727272728</v>
      </c>
      <c r="X11" s="5">
        <f t="shared" si="4"/>
        <v>-1464</v>
      </c>
      <c r="Y11" s="7">
        <f t="shared" si="5"/>
        <v>-0.027972027972028</v>
      </c>
      <c r="Z11" s="7">
        <f>IF(OR(AE11="",多次统计数据!$B$8=""),"",AE11-多次统计数据!$B$8)</f>
        <v>-0.0601563492688135</v>
      </c>
      <c r="AA11" s="11">
        <f t="shared" si="6"/>
        <v>16</v>
      </c>
      <c r="AB11" s="7">
        <f>IF(OR(A11="",多次统计数据!$B$8="",多次统计数据!$B$6&lt;=0,多次统计数据!$B$6&gt;=1),"",1-POWER(1+多次统计数据!$B$8,-多次统计数据!$B$6/(1-多次统计数据!$B$6)))</f>
        <v>0.0189529470868902</v>
      </c>
      <c r="AC11" s="8" t="str">
        <f>IF(OR(AB11="",多次统计数据!$B$9=""),"",IF(多次统计数据!$B$9&lt;AB11,"低于上限","达到或超过上限"))</f>
        <v>达到或超过上限</v>
      </c>
      <c r="AD11" s="2"/>
      <c r="AE11" s="7">
        <f t="shared" si="7"/>
        <v>-0.0144966283456614</v>
      </c>
      <c r="AG11" s="2"/>
      <c r="AH11" s="2"/>
      <c r="AI11" s="2"/>
      <c r="AJ11" s="8" t="str">
        <f t="shared" si="8"/>
        <v/>
      </c>
      <c r="AK11" s="10"/>
      <c r="AL11" s="12"/>
      <c r="AM11" s="10"/>
      <c r="AN11" s="12"/>
      <c r="AO11" s="5">
        <f t="shared" si="9"/>
        <v>2.86</v>
      </c>
      <c r="AP11" s="11">
        <f t="shared" si="10"/>
        <v>18300</v>
      </c>
      <c r="AQ11" s="5">
        <f>IF(A11="","",IF(M11&lt;&gt;"",0,IF(OR(H11="",N11=""),"",MAX(E11-MAX(N11,IFERROR(SUMPRODUCT(MAX(((持仓跟踪!$A$2:$A$157="每日跟踪")*(持仓跟踪!$B$2:$B$157=A11))*持仓跟踪!$S$2:$S$157)),0)),0)*H11+IF(OR(AK11="",AL11=""),0,MAX(AK11-MAX(N11,IFERROR(SUMPRODUCT(MAX(((持仓跟踪!$A$2:$A$157="每日跟踪")*(持仓跟踪!$B$2:$B$157=A11))*持仓跟踪!$S$2:$S$157)),0)),0)*AL11)+IF(OR(AM11="",AN11=""),0,MAX(AM11-MAX(N11,IFERROR(SUMPRODUCT(MAX(((持仓跟踪!$A$2:$A$157="每日跟踪")*(持仓跟踪!$B$2:$B$157=A11))*持仓跟踪!$S$2:$S$157)),0)),0)*AN11))))</f>
        <v>0</v>
      </c>
      <c r="AR11" s="8" t="str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$88)&gt;账户数据!$B$7,"违规：超过账户风险上限","通过")))))))))</f>
        <v>通过</v>
      </c>
    </row>
    <row r="12" ht="17" spans="1:44">
      <c r="A12" s="2"/>
      <c r="B12" s="2"/>
      <c r="C12" s="10"/>
      <c r="D12" s="6"/>
      <c r="E12" s="10"/>
      <c r="F12" s="8" t="str">
        <f t="shared" si="0"/>
        <v/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$157,"止损计划",持仓跟踪!$B$2:$B$157,A12,持仓跟踪!$AC$2:$AC$157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" s="2"/>
      <c r="I12" s="15"/>
      <c r="J12" s="10"/>
      <c r="K12" s="5" t="str">
        <f>IF(A12="","",IFERROR(LOOKUP(2,1/((持仓跟踪!$B$2:$B$157=A12)*(持仓跟踪!$X$2:$X$157="执行卖出")*(持仓跟踪!$Y$2:$Y$157&lt;&gt;"")),持仓跟踪!$Y$2:$Y$157),""))</f>
        <v/>
      </c>
      <c r="L12" s="8" t="str">
        <f>IF(A12="","",IFERROR(LOOKUP(2,1/((持仓跟踪!$B$2:$B$157=A12)*(持仓跟踪!$X$2:$X$157="执行卖出")*(持仓跟踪!$Z$2:$Z$157&lt;&gt;"")),持仓跟踪!$Z$2:$Z$157),""))</f>
        <v/>
      </c>
      <c r="M12" s="17" t="str">
        <f>IF(A12="","",IFERROR(LOOKUP(2,1/((持仓跟踪!$B$2:$B$157=A12)*(持仓跟踪!$X$2:$X$157="执行卖出")*(持仓跟踪!$H$2:$H$157&lt;&gt;"")),持仓跟踪!$H$2:$H$157),""))</f>
        <v/>
      </c>
      <c r="N12" s="10"/>
      <c r="O12" s="10"/>
      <c r="P12" s="5" t="str">
        <f>IF(A12="","",IFERROR(LOOKUP(2,1/((持仓跟踪!$B$2:$B$157=A12)*(持仓跟踪!$X$2:$X$157="执行卖出")*(持仓跟踪!$AA$2:$AA$157&lt;&gt;"")),持仓跟踪!$AA$2:$AA$157),""))</f>
        <v/>
      </c>
      <c r="Q12" s="2"/>
      <c r="R12" s="2"/>
      <c r="S12" s="2"/>
      <c r="T12" s="2"/>
      <c r="U12" s="7" t="str">
        <f t="shared" si="1"/>
        <v/>
      </c>
      <c r="V12" s="7" t="str">
        <f t="shared" si="2"/>
        <v/>
      </c>
      <c r="W12" s="18" t="str">
        <f t="shared" si="3"/>
        <v/>
      </c>
      <c r="X12" s="5" t="str">
        <f t="shared" si="4"/>
        <v/>
      </c>
      <c r="Y12" s="7" t="str">
        <f t="shared" si="5"/>
        <v/>
      </c>
      <c r="Z12" s="7" t="str">
        <f>IF(OR(AE12="",多次统计数据!$B$8=""),"",AE12-多次统计数据!$B$8)</f>
        <v/>
      </c>
      <c r="AA12" s="11" t="str">
        <f t="shared" si="6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7"/>
        <v/>
      </c>
      <c r="AG12" s="2"/>
      <c r="AH12" s="2"/>
      <c r="AI12" s="2"/>
      <c r="AJ12" s="8" t="str">
        <f t="shared" si="8"/>
        <v/>
      </c>
      <c r="AK12" s="10"/>
      <c r="AL12" s="12"/>
      <c r="AM12" s="10"/>
      <c r="AN12" s="12"/>
      <c r="AO12" s="5" t="str">
        <f t="shared" si="9"/>
        <v/>
      </c>
      <c r="AP12" s="11" t="str">
        <f t="shared" si="10"/>
        <v/>
      </c>
      <c r="AQ12" s="5" t="str">
        <f>IF(A12="","",IF(M12&lt;&gt;"",0,IF(OR(H12="",N12=""),"",MAX(E12-MAX(N12,IFERROR(SUMPRODUCT(MAX(((持仓跟踪!$A$2:$A$157="每日跟踪")*(持仓跟踪!$B$2:$B$157=A12))*持仓跟踪!$S$2:$S$157)),0)),0)*H12+IF(OR(AK12="",AL12=""),0,MAX(AK12-MAX(N12,IFERROR(SUMPRODUCT(MAX(((持仓跟踪!$A$2:$A$157="每日跟踪")*(持仓跟踪!$B$2:$B$157=A12))*持仓跟踪!$S$2:$S$157)),0)),0)*AL12)+IF(OR(AM12="",AN12=""),0,MAX(AM12-MAX(N12,IFERROR(SUMPRODUCT(MAX(((持仓跟踪!$A$2:$A$157="每日跟踪")*(持仓跟踪!$B$2:$B$157=A12))*持仓跟踪!$S$2:$S$157)),0)),0)*AN12))))</f>
        <v/>
      </c>
      <c r="AR12" s="8" t="str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$88)&gt;账户数据!$B$7,"违规：超过账户风险上限","通过")))))))))</f>
        <v/>
      </c>
    </row>
    <row r="13" ht="17" spans="1:44">
      <c r="A13" s="2"/>
      <c r="B13" s="2"/>
      <c r="C13" s="10"/>
      <c r="D13" s="6"/>
      <c r="E13" s="10"/>
      <c r="F13" s="8" t="str">
        <f t="shared" si="0"/>
        <v/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$157,"止损计划",持仓跟踪!$B$2:$B$157,A13,持仓跟踪!$AC$2:$AC$157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" s="2"/>
      <c r="I13" s="15"/>
      <c r="J13" s="10"/>
      <c r="K13" s="5" t="str">
        <f>IF(A13="","",IFERROR(LOOKUP(2,1/((持仓跟踪!$B$2:$B$157=A13)*(持仓跟踪!$X$2:$X$157="执行卖出")*(持仓跟踪!$Y$2:$Y$157&lt;&gt;"")),持仓跟踪!$Y$2:$Y$157),""))</f>
        <v/>
      </c>
      <c r="L13" s="8" t="str">
        <f>IF(A13="","",IFERROR(LOOKUP(2,1/((持仓跟踪!$B$2:$B$157=A13)*(持仓跟踪!$X$2:$X$157="执行卖出")*(持仓跟踪!$Z$2:$Z$157&lt;&gt;"")),持仓跟踪!$Z$2:$Z$157),""))</f>
        <v/>
      </c>
      <c r="M13" s="17" t="str">
        <f>IF(A13="","",IFERROR(LOOKUP(2,1/((持仓跟踪!$B$2:$B$157=A13)*(持仓跟踪!$X$2:$X$157="执行卖出")*(持仓跟踪!$H$2:$H$157&lt;&gt;"")),持仓跟踪!$H$2:$H$157),""))</f>
        <v/>
      </c>
      <c r="N13" s="10"/>
      <c r="O13" s="10"/>
      <c r="P13" s="5" t="str">
        <f>IF(A13="","",IFERROR(LOOKUP(2,1/((持仓跟踪!$B$2:$B$157=A13)*(持仓跟踪!$X$2:$X$157="执行卖出")*(持仓跟踪!$AA$2:$AA$157&lt;&gt;"")),持仓跟踪!$AA$2:$AA$157),""))</f>
        <v/>
      </c>
      <c r="Q13" s="2"/>
      <c r="R13" s="2"/>
      <c r="S13" s="2"/>
      <c r="T13" s="2"/>
      <c r="U13" s="7" t="str">
        <f t="shared" si="1"/>
        <v/>
      </c>
      <c r="V13" s="7" t="str">
        <f t="shared" si="2"/>
        <v/>
      </c>
      <c r="W13" s="18" t="str">
        <f t="shared" si="3"/>
        <v/>
      </c>
      <c r="X13" s="5" t="str">
        <f t="shared" si="4"/>
        <v/>
      </c>
      <c r="Y13" s="7" t="str">
        <f t="shared" si="5"/>
        <v/>
      </c>
      <c r="Z13" s="7" t="str">
        <f>IF(OR(AE13="",多次统计数据!$B$8=""),"",AE13-多次统计数据!$B$8)</f>
        <v/>
      </c>
      <c r="AA13" s="11" t="str">
        <f t="shared" si="6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7"/>
        <v/>
      </c>
      <c r="AG13" s="2"/>
      <c r="AH13" s="2"/>
      <c r="AI13" s="2"/>
      <c r="AJ13" s="8" t="str">
        <f t="shared" si="8"/>
        <v/>
      </c>
      <c r="AK13" s="10"/>
      <c r="AL13" s="12"/>
      <c r="AM13" s="10"/>
      <c r="AN13" s="12"/>
      <c r="AO13" s="5" t="str">
        <f t="shared" si="9"/>
        <v/>
      </c>
      <c r="AP13" s="11" t="str">
        <f t="shared" si="10"/>
        <v/>
      </c>
      <c r="AQ13" s="5" t="str">
        <f>IF(A13="","",IF(M13&lt;&gt;"",0,IF(OR(H13="",N13=""),"",MAX(E13-MAX(N13,IFERROR(SUMPRODUCT(MAX(((持仓跟踪!$A$2:$A$157="每日跟踪")*(持仓跟踪!$B$2:$B$157=A13))*持仓跟踪!$S$2:$S$157)),0)),0)*H13+IF(OR(AK13="",AL13=""),0,MAX(AK13-MAX(N13,IFERROR(SUMPRODUCT(MAX(((持仓跟踪!$A$2:$A$157="每日跟踪")*(持仓跟踪!$B$2:$B$157=A13))*持仓跟踪!$S$2:$S$157)),0)),0)*AL13)+IF(OR(AM13="",AN13=""),0,MAX(AM13-MAX(N13,IFERROR(SUMPRODUCT(MAX(((持仓跟踪!$A$2:$A$157="每日跟踪")*(持仓跟踪!$B$2:$B$157=A13))*持仓跟踪!$S$2:$S$157)),0)),0)*AN13))))</f>
        <v/>
      </c>
      <c r="AR13" s="8" t="str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$88)&gt;账户数据!$B$7,"违规：超过账户风险上限","通过")))))))))</f>
        <v/>
      </c>
    </row>
    <row r="14" ht="17" spans="1:44">
      <c r="A14" s="2"/>
      <c r="B14" s="2"/>
      <c r="C14" s="10"/>
      <c r="D14" s="6"/>
      <c r="E14" s="10"/>
      <c r="F14" s="8" t="str">
        <f t="shared" si="0"/>
        <v/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$157,"止损计划",持仓跟踪!$B$2:$B$157,A14,持仓跟踪!$AC$2:$AC$157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" s="2"/>
      <c r="I14" s="15"/>
      <c r="J14" s="10"/>
      <c r="K14" s="5" t="str">
        <f>IF(A14="","",IFERROR(LOOKUP(2,1/((持仓跟踪!$B$2:$B$157=A14)*(持仓跟踪!$X$2:$X$157="执行卖出")*(持仓跟踪!$Y$2:$Y$157&lt;&gt;"")),持仓跟踪!$Y$2:$Y$157),""))</f>
        <v/>
      </c>
      <c r="L14" s="8" t="str">
        <f>IF(A14="","",IFERROR(LOOKUP(2,1/((持仓跟踪!$B$2:$B$157=A14)*(持仓跟踪!$X$2:$X$157="执行卖出")*(持仓跟踪!$Z$2:$Z$157&lt;&gt;"")),持仓跟踪!$Z$2:$Z$157),""))</f>
        <v/>
      </c>
      <c r="M14" s="17" t="str">
        <f>IF(A14="","",IFERROR(LOOKUP(2,1/((持仓跟踪!$B$2:$B$157=A14)*(持仓跟踪!$X$2:$X$157="执行卖出")*(持仓跟踪!$H$2:$H$157&lt;&gt;"")),持仓跟踪!$H$2:$H$157),""))</f>
        <v/>
      </c>
      <c r="N14" s="10"/>
      <c r="O14" s="10"/>
      <c r="P14" s="5" t="str">
        <f>IF(A14="","",IFERROR(LOOKUP(2,1/((持仓跟踪!$B$2:$B$157=A14)*(持仓跟踪!$X$2:$X$157="执行卖出")*(持仓跟踪!$AA$2:$AA$157&lt;&gt;"")),持仓跟踪!$AA$2:$AA$157),""))</f>
        <v/>
      </c>
      <c r="Q14" s="2"/>
      <c r="R14" s="2"/>
      <c r="S14" s="2"/>
      <c r="T14" s="2"/>
      <c r="U14" s="7" t="str">
        <f t="shared" si="1"/>
        <v/>
      </c>
      <c r="V14" s="7" t="str">
        <f t="shared" si="2"/>
        <v/>
      </c>
      <c r="W14" s="18" t="str">
        <f t="shared" si="3"/>
        <v/>
      </c>
      <c r="X14" s="5" t="str">
        <f t="shared" si="4"/>
        <v/>
      </c>
      <c r="Y14" s="7" t="str">
        <f t="shared" si="5"/>
        <v/>
      </c>
      <c r="Z14" s="7" t="str">
        <f>IF(OR(AE14="",多次统计数据!$B$8=""),"",AE14-多次统计数据!$B$8)</f>
        <v/>
      </c>
      <c r="AA14" s="11" t="str">
        <f t="shared" si="6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7"/>
        <v/>
      </c>
      <c r="AG14" s="2"/>
      <c r="AH14" s="2"/>
      <c r="AI14" s="2"/>
      <c r="AJ14" s="8" t="str">
        <f t="shared" si="8"/>
        <v/>
      </c>
      <c r="AK14" s="10"/>
      <c r="AL14" s="12"/>
      <c r="AM14" s="10"/>
      <c r="AN14" s="12"/>
      <c r="AO14" s="5" t="str">
        <f t="shared" si="9"/>
        <v/>
      </c>
      <c r="AP14" s="11" t="str">
        <f t="shared" si="10"/>
        <v/>
      </c>
      <c r="AQ14" s="5" t="str">
        <f>IF(A14="","",IF(M14&lt;&gt;"",0,IF(OR(H14="",N14=""),"",MAX(E14-MAX(N14,IFERROR(SUMPRODUCT(MAX(((持仓跟踪!$A$2:$A$157="每日跟踪")*(持仓跟踪!$B$2:$B$157=A14))*持仓跟踪!$S$2:$S$157)),0)),0)*H14+IF(OR(AK14="",AL14=""),0,MAX(AK14-MAX(N14,IFERROR(SUMPRODUCT(MAX(((持仓跟踪!$A$2:$A$157="每日跟踪")*(持仓跟踪!$B$2:$B$157=A14))*持仓跟踪!$S$2:$S$157)),0)),0)*AL14)+IF(OR(AM14="",AN14=""),0,MAX(AM14-MAX(N14,IFERROR(SUMPRODUCT(MAX(((持仓跟踪!$A$2:$A$157="每日跟踪")*(持仓跟踪!$B$2:$B$157=A14))*持仓跟踪!$S$2:$S$157)),0)),0)*AN14))))</f>
        <v/>
      </c>
      <c r="AR14" s="8" t="str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$88)&gt;账户数据!$B$7,"违规：超过账户风险上限","通过")))))))))</f>
        <v/>
      </c>
    </row>
    <row r="15" ht="17" spans="1:44">
      <c r="A15" s="2"/>
      <c r="B15" s="2"/>
      <c r="C15" s="10"/>
      <c r="D15" s="6"/>
      <c r="E15" s="10"/>
      <c r="F15" s="8" t="str">
        <f t="shared" si="0"/>
        <v/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$157,"止损计划",持仓跟踪!$B$2:$B$157,A15,持仓跟踪!$AC$2:$AC$157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" s="2"/>
      <c r="I15" s="15"/>
      <c r="J15" s="10"/>
      <c r="K15" s="5" t="str">
        <f>IF(A15="","",IFERROR(LOOKUP(2,1/((持仓跟踪!$B$2:$B$157=A15)*(持仓跟踪!$X$2:$X$157="执行卖出")*(持仓跟踪!$Y$2:$Y$157&lt;&gt;"")),持仓跟踪!$Y$2:$Y$157),""))</f>
        <v/>
      </c>
      <c r="L15" s="8" t="str">
        <f>IF(A15="","",IFERROR(LOOKUP(2,1/((持仓跟踪!$B$2:$B$157=A15)*(持仓跟踪!$X$2:$X$157="执行卖出")*(持仓跟踪!$Z$2:$Z$157&lt;&gt;"")),持仓跟踪!$Z$2:$Z$157),""))</f>
        <v/>
      </c>
      <c r="M15" s="17" t="str">
        <f>IF(A15="","",IFERROR(LOOKUP(2,1/((持仓跟踪!$B$2:$B$157=A15)*(持仓跟踪!$X$2:$X$157="执行卖出")*(持仓跟踪!$H$2:$H$157&lt;&gt;"")),持仓跟踪!$H$2:$H$157),""))</f>
        <v/>
      </c>
      <c r="N15" s="10"/>
      <c r="O15" s="10"/>
      <c r="P15" s="5" t="str">
        <f>IF(A15="","",IFERROR(LOOKUP(2,1/((持仓跟踪!$B$2:$B$157=A15)*(持仓跟踪!$X$2:$X$157="执行卖出")*(持仓跟踪!$AA$2:$AA$157&lt;&gt;"")),持仓跟踪!$AA$2:$AA$157),""))</f>
        <v/>
      </c>
      <c r="Q15" s="2"/>
      <c r="R15" s="2"/>
      <c r="S15" s="2"/>
      <c r="T15" s="2"/>
      <c r="U15" s="7" t="str">
        <f t="shared" si="1"/>
        <v/>
      </c>
      <c r="V15" s="7" t="str">
        <f t="shared" si="2"/>
        <v/>
      </c>
      <c r="W15" s="18" t="str">
        <f t="shared" si="3"/>
        <v/>
      </c>
      <c r="X15" s="5" t="str">
        <f t="shared" si="4"/>
        <v/>
      </c>
      <c r="Y15" s="7" t="str">
        <f t="shared" si="5"/>
        <v/>
      </c>
      <c r="Z15" s="7" t="str">
        <f>IF(OR(AE15="",多次统计数据!$B$8=""),"",AE15-多次统计数据!$B$8)</f>
        <v/>
      </c>
      <c r="AA15" s="11" t="str">
        <f t="shared" si="6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7"/>
        <v/>
      </c>
      <c r="AG15" s="2"/>
      <c r="AH15" s="2"/>
      <c r="AI15" s="2"/>
      <c r="AJ15" s="8" t="str">
        <f t="shared" si="8"/>
        <v/>
      </c>
      <c r="AK15" s="10"/>
      <c r="AL15" s="12"/>
      <c r="AM15" s="10"/>
      <c r="AN15" s="12"/>
      <c r="AO15" s="5" t="str">
        <f t="shared" si="9"/>
        <v/>
      </c>
      <c r="AP15" s="11" t="str">
        <f t="shared" si="10"/>
        <v/>
      </c>
      <c r="AQ15" s="5" t="str">
        <f>IF(A15="","",IF(M15&lt;&gt;"",0,IF(OR(H15="",N15=""),"",MAX(E15-MAX(N15,IFERROR(SUMPRODUCT(MAX(((持仓跟踪!$A$2:$A$157="每日跟踪")*(持仓跟踪!$B$2:$B$157=A15))*持仓跟踪!$S$2:$S$157)),0)),0)*H15+IF(OR(AK15="",AL15=""),0,MAX(AK15-MAX(N15,IFERROR(SUMPRODUCT(MAX(((持仓跟踪!$A$2:$A$157="每日跟踪")*(持仓跟踪!$B$2:$B$157=A15))*持仓跟踪!$S$2:$S$157)),0)),0)*AL15)+IF(OR(AM15="",AN15=""),0,MAX(AM15-MAX(N15,IFERROR(SUMPRODUCT(MAX(((持仓跟踪!$A$2:$A$157="每日跟踪")*(持仓跟踪!$B$2:$B$157=A15))*持仓跟踪!$S$2:$S$157)),0)),0)*AN15))))</f>
        <v/>
      </c>
      <c r="AR15" s="8" t="str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$88)&gt;账户数据!$B$7,"违规：超过账户风险上限","通过")))))))))</f>
        <v/>
      </c>
    </row>
    <row r="16" ht="17" spans="1:44">
      <c r="A16" s="2"/>
      <c r="B16" s="2"/>
      <c r="C16" s="10"/>
      <c r="D16" s="6"/>
      <c r="E16" s="10"/>
      <c r="F16" s="8" t="str">
        <f t="shared" si="0"/>
        <v/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$157,"止损计划",持仓跟踪!$B$2:$B$157,A16,持仓跟踪!$AC$2:$AC$157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" s="2"/>
      <c r="I16" s="15"/>
      <c r="J16" s="10"/>
      <c r="K16" s="5" t="str">
        <f>IF(A16="","",IFERROR(LOOKUP(2,1/((持仓跟踪!$B$2:$B$157=A16)*(持仓跟踪!$X$2:$X$157="执行卖出")*(持仓跟踪!$Y$2:$Y$157&lt;&gt;"")),持仓跟踪!$Y$2:$Y$157),""))</f>
        <v/>
      </c>
      <c r="L16" s="8" t="str">
        <f>IF(A16="","",IFERROR(LOOKUP(2,1/((持仓跟踪!$B$2:$B$157=A16)*(持仓跟踪!$X$2:$X$157="执行卖出")*(持仓跟踪!$Z$2:$Z$157&lt;&gt;"")),持仓跟踪!$Z$2:$Z$157),""))</f>
        <v/>
      </c>
      <c r="M16" s="17" t="str">
        <f>IF(A16="","",IFERROR(LOOKUP(2,1/((持仓跟踪!$B$2:$B$157=A16)*(持仓跟踪!$X$2:$X$157="执行卖出")*(持仓跟踪!$H$2:$H$157&lt;&gt;"")),持仓跟踪!$H$2:$H$157),""))</f>
        <v/>
      </c>
      <c r="N16" s="10"/>
      <c r="O16" s="10"/>
      <c r="P16" s="5" t="str">
        <f>IF(A16="","",IFERROR(LOOKUP(2,1/((持仓跟踪!$B$2:$B$157=A16)*(持仓跟踪!$X$2:$X$157="执行卖出")*(持仓跟踪!$AA$2:$AA$157&lt;&gt;"")),持仓跟踪!$AA$2:$AA$157),""))</f>
        <v/>
      </c>
      <c r="Q16" s="2"/>
      <c r="R16" s="2"/>
      <c r="S16" s="2"/>
      <c r="T16" s="2"/>
      <c r="U16" s="7" t="str">
        <f t="shared" si="1"/>
        <v/>
      </c>
      <c r="V16" s="7" t="str">
        <f t="shared" si="2"/>
        <v/>
      </c>
      <c r="W16" s="18" t="str">
        <f t="shared" si="3"/>
        <v/>
      </c>
      <c r="X16" s="5" t="str">
        <f t="shared" si="4"/>
        <v/>
      </c>
      <c r="Y16" s="7" t="str">
        <f t="shared" si="5"/>
        <v/>
      </c>
      <c r="Z16" s="7" t="str">
        <f>IF(OR(AE16="",多次统计数据!$B$8=""),"",AE16-多次统计数据!$B$8)</f>
        <v/>
      </c>
      <c r="AA16" s="11" t="str">
        <f t="shared" si="6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7"/>
        <v/>
      </c>
      <c r="AG16" s="2"/>
      <c r="AH16" s="2"/>
      <c r="AI16" s="2"/>
      <c r="AJ16" s="8" t="str">
        <f t="shared" si="8"/>
        <v/>
      </c>
      <c r="AK16" s="10"/>
      <c r="AL16" s="12"/>
      <c r="AM16" s="10"/>
      <c r="AN16" s="12"/>
      <c r="AO16" s="5" t="str">
        <f t="shared" si="9"/>
        <v/>
      </c>
      <c r="AP16" s="11" t="str">
        <f t="shared" si="10"/>
        <v/>
      </c>
      <c r="AQ16" s="5" t="str">
        <f>IF(A16="","",IF(M16&lt;&gt;"",0,IF(OR(H16="",N16=""),"",MAX(E16-MAX(N16,IFERROR(SUMPRODUCT(MAX(((持仓跟踪!$A$2:$A$157="每日跟踪")*(持仓跟踪!$B$2:$B$157=A16))*持仓跟踪!$S$2:$S$157)),0)),0)*H16+IF(OR(AK16="",AL16=""),0,MAX(AK16-MAX(N16,IFERROR(SUMPRODUCT(MAX(((持仓跟踪!$A$2:$A$157="每日跟踪")*(持仓跟踪!$B$2:$B$157=A16))*持仓跟踪!$S$2:$S$157)),0)),0)*AL16)+IF(OR(AM16="",AN16=""),0,MAX(AM16-MAX(N16,IFERROR(SUMPRODUCT(MAX(((持仓跟踪!$A$2:$A$157="每日跟踪")*(持仓跟踪!$B$2:$B$157=A16))*持仓跟踪!$S$2:$S$157)),0)),0)*AN16))))</f>
        <v/>
      </c>
      <c r="AR16" s="8" t="str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$88)&gt;账户数据!$B$7,"违规：超过账户风险上限","通过")))))))))</f>
        <v/>
      </c>
    </row>
    <row r="17" ht="17" spans="1:44">
      <c r="A17" s="2"/>
      <c r="B17" s="2"/>
      <c r="C17" s="10"/>
      <c r="D17" s="6"/>
      <c r="E17" s="10"/>
      <c r="F17" s="8" t="str">
        <f t="shared" ref="F17:F48" si="11">IF(OR(C17="",D17="",E17="",N17="",C17&lt;=0,D17&lt;=0,E17&lt;=N17),"",ROUNDDOWN((C17*D17)/(E17-N17)/100,0)*100)</f>
        <v/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$157,"止损计划",持仓跟踪!$B$2:$B$157,A17,持仓跟踪!$AC$2:$AC$157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" s="2"/>
      <c r="I17" s="15"/>
      <c r="J17" s="10"/>
      <c r="K17" s="5" t="str">
        <f>IF(A17="","",IFERROR(LOOKUP(2,1/((持仓跟踪!$B$2:$B$157=A17)*(持仓跟踪!$X$2:$X$157="执行卖出")*(持仓跟踪!$Y$2:$Y$157&lt;&gt;"")),持仓跟踪!$Y$2:$Y$157),""))</f>
        <v/>
      </c>
      <c r="L17" s="8" t="str">
        <f>IF(A17="","",IFERROR(LOOKUP(2,1/((持仓跟踪!$B$2:$B$157=A17)*(持仓跟踪!$X$2:$X$157="执行卖出")*(持仓跟踪!$Z$2:$Z$157&lt;&gt;"")),持仓跟踪!$Z$2:$Z$157),""))</f>
        <v/>
      </c>
      <c r="M17" s="17" t="str">
        <f>IF(A17="","",IFERROR(LOOKUP(2,1/((持仓跟踪!$B$2:$B$157=A17)*(持仓跟踪!$X$2:$X$157="执行卖出")*(持仓跟踪!$H$2:$H$157&lt;&gt;"")),持仓跟踪!$H$2:$H$157),""))</f>
        <v/>
      </c>
      <c r="N17" s="10"/>
      <c r="O17" s="10"/>
      <c r="P17" s="5" t="str">
        <f>IF(A17="","",IFERROR(LOOKUP(2,1/((持仓跟踪!$B$2:$B$157=A17)*(持仓跟踪!$X$2:$X$157="执行卖出")*(持仓跟踪!$AA$2:$AA$157&lt;&gt;"")),持仓跟踪!$AA$2:$AA$157),""))</f>
        <v/>
      </c>
      <c r="Q17" s="2"/>
      <c r="R17" s="2"/>
      <c r="S17" s="2"/>
      <c r="T17" s="2"/>
      <c r="U17" s="7" t="str">
        <f t="shared" ref="U17:U48" si="12">IF(OR(AO17="",J17="",AO17&lt;=0),"",(J17-AO17)/AO17)</f>
        <v/>
      </c>
      <c r="V17" s="7" t="str">
        <f t="shared" ref="V17:V48" si="13">IF(OR(AO17="",N17="",AO17&lt;=0),"",(AO17-N17)/AO17)</f>
        <v/>
      </c>
      <c r="W17" s="18" t="str">
        <f t="shared" ref="W17:W48" si="14">IF(OR(U17="",V17="",V17&lt;=0),"",U17/V17)</f>
        <v/>
      </c>
      <c r="X17" s="5" t="str">
        <f t="shared" ref="X17:X48" si="15">IF(OR(K17="",L17="",AP17=""),"",K17*L17-(E17*H17+IF(AND(AK17&lt;&gt;"",AL17&lt;&gt;""),AK17*AL17,0)+IF(AND(AM17&lt;&gt;"",AN17&lt;&gt;""),AM17*AN17,0))-IF(O17="",0,O17)-IF(P17="",0,P17))</f>
        <v/>
      </c>
      <c r="Y17" s="7" t="str">
        <f t="shared" ref="Y17:Y48" si="16"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/>
      </c>
      <c r="Z17" s="7" t="str">
        <f>IF(OR(AE17="",多次统计数据!$B$8=""),"",AE17-多次统计数据!$B$8)</f>
        <v/>
      </c>
      <c r="AA17" s="11" t="str">
        <f t="shared" ref="AA17:AA48" si="17">IF(OR(I17="",M17="",M17&lt;I17),"",M17-I17)</f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ref="AE17:AE48" si="18">IF(OR(X17="",C17="",C17&lt;=0),"",X17/C17)</f>
        <v/>
      </c>
      <c r="AG17" s="2"/>
      <c r="AH17" s="2"/>
      <c r="AI17" s="2"/>
      <c r="AJ17" s="8" t="str">
        <f t="shared" ref="AJ17:AJ48" si="19"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/>
      </c>
      <c r="AK17" s="10"/>
      <c r="AL17" s="12"/>
      <c r="AM17" s="10"/>
      <c r="AN17" s="12"/>
      <c r="AO17" s="5" t="str">
        <f t="shared" ref="AO17:AO48" si="20">IF(OR(A17="",H17="",H17&lt;=0),"",(E17*H17+IF(AND(AK17&lt;&gt;"",AL17&lt;&gt;""),AK17*AL17,0)+IF(AND(AM17&lt;&gt;"",AN17&lt;&gt;""),AM17*AN17,0))/AP17)</f>
        <v/>
      </c>
      <c r="AP17" s="11" t="str">
        <f t="shared" ref="AP17:AP48" si="21">IF(OR(A17="",H17="",H17&lt;=0),"",H17+IF(AL17="",0,AL17)+IF(AN17="",0,AN17))</f>
        <v/>
      </c>
      <c r="AQ17" s="5" t="str">
        <f>IF(A17="","",IF(M17&lt;&gt;"",0,IF(OR(H17="",N17=""),"",MAX(E17-MAX(N17,IFERROR(SUMPRODUCT(MAX(((持仓跟踪!$A$2:$A$157="每日跟踪")*(持仓跟踪!$B$2:$B$157=A17))*持仓跟踪!$S$2:$S$157)),0)),0)*H17+IF(OR(AK17="",AL17=""),0,MAX(AK17-MAX(N17,IFERROR(SUMPRODUCT(MAX(((持仓跟踪!$A$2:$A$157="每日跟踪")*(持仓跟踪!$B$2:$B$157=A17))*持仓跟踪!$S$2:$S$157)),0)),0)*AL17)+IF(OR(AM17="",AN17=""),0,MAX(AM17-MAX(N17,IFERROR(SUMPRODUCT(MAX(((持仓跟踪!$A$2:$A$157="每日跟踪")*(持仓跟踪!$B$2:$B$157=A17))*持仓跟踪!$S$2:$S$157)),0)),0)*AN17))))</f>
        <v/>
      </c>
      <c r="AR17" s="8" t="str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$88)&gt;账户数据!$B$7,"违规：超过账户风险上限","通过")))))))))</f>
        <v/>
      </c>
    </row>
    <row r="18" ht="17" spans="1:44">
      <c r="A18" s="2"/>
      <c r="B18" s="2"/>
      <c r="C18" s="10"/>
      <c r="D18" s="6"/>
      <c r="E18" s="10"/>
      <c r="F18" s="8" t="str">
        <f t="shared" si="11"/>
        <v/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$157,"止损计划",持仓跟踪!$B$2:$B$157,A18,持仓跟踪!$AC$2:$AC$157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" s="2"/>
      <c r="I18" s="15"/>
      <c r="J18" s="10"/>
      <c r="K18" s="5" t="str">
        <f>IF(A18="","",IFERROR(LOOKUP(2,1/((持仓跟踪!$B$2:$B$157=A18)*(持仓跟踪!$X$2:$X$157="执行卖出")*(持仓跟踪!$Y$2:$Y$157&lt;&gt;"")),持仓跟踪!$Y$2:$Y$157),""))</f>
        <v/>
      </c>
      <c r="L18" s="8" t="str">
        <f>IF(A18="","",IFERROR(LOOKUP(2,1/((持仓跟踪!$B$2:$B$157=A18)*(持仓跟踪!$X$2:$X$157="执行卖出")*(持仓跟踪!$Z$2:$Z$157&lt;&gt;"")),持仓跟踪!$Z$2:$Z$157),""))</f>
        <v/>
      </c>
      <c r="M18" s="17" t="str">
        <f>IF(A18="","",IFERROR(LOOKUP(2,1/((持仓跟踪!$B$2:$B$157=A18)*(持仓跟踪!$X$2:$X$157="执行卖出")*(持仓跟踪!$H$2:$H$157&lt;&gt;"")),持仓跟踪!$H$2:$H$157),""))</f>
        <v/>
      </c>
      <c r="N18" s="10"/>
      <c r="O18" s="10"/>
      <c r="P18" s="5" t="str">
        <f>IF(A18="","",IFERROR(LOOKUP(2,1/((持仓跟踪!$B$2:$B$157=A18)*(持仓跟踪!$X$2:$X$157="执行卖出")*(持仓跟踪!$AA$2:$AA$157&lt;&gt;"")),持仓跟踪!$AA$2:$AA$157),""))</f>
        <v/>
      </c>
      <c r="Q18" s="2"/>
      <c r="R18" s="2"/>
      <c r="S18" s="2"/>
      <c r="T18" s="2"/>
      <c r="U18" s="7" t="str">
        <f t="shared" si="12"/>
        <v/>
      </c>
      <c r="V18" s="7" t="str">
        <f t="shared" si="13"/>
        <v/>
      </c>
      <c r="W18" s="18" t="str">
        <f t="shared" si="14"/>
        <v/>
      </c>
      <c r="X18" s="5" t="str">
        <f t="shared" si="15"/>
        <v/>
      </c>
      <c r="Y18" s="7" t="str">
        <f t="shared" si="16"/>
        <v/>
      </c>
      <c r="Z18" s="7" t="str">
        <f>IF(OR(AE18="",多次统计数据!$B$8=""),"",AE18-多次统计数据!$B$8)</f>
        <v/>
      </c>
      <c r="AA18" s="11" t="str">
        <f t="shared" si="1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18"/>
        <v/>
      </c>
      <c r="AG18" s="2"/>
      <c r="AH18" s="2"/>
      <c r="AI18" s="2"/>
      <c r="AJ18" s="8" t="str">
        <f t="shared" si="19"/>
        <v/>
      </c>
      <c r="AK18" s="10"/>
      <c r="AL18" s="12"/>
      <c r="AM18" s="10"/>
      <c r="AN18" s="12"/>
      <c r="AO18" s="5" t="str">
        <f t="shared" si="20"/>
        <v/>
      </c>
      <c r="AP18" s="11" t="str">
        <f t="shared" si="21"/>
        <v/>
      </c>
      <c r="AQ18" s="5" t="str">
        <f>IF(A18="","",IF(M18&lt;&gt;"",0,IF(OR(H18="",N18=""),"",MAX(E18-MAX(N18,IFERROR(SUMPRODUCT(MAX(((持仓跟踪!$A$2:$A$157="每日跟踪")*(持仓跟踪!$B$2:$B$157=A18))*持仓跟踪!$S$2:$S$157)),0)),0)*H18+IF(OR(AK18="",AL18=""),0,MAX(AK18-MAX(N18,IFERROR(SUMPRODUCT(MAX(((持仓跟踪!$A$2:$A$157="每日跟踪")*(持仓跟踪!$B$2:$B$157=A18))*持仓跟踪!$S$2:$S$157)),0)),0)*AL18)+IF(OR(AM18="",AN18=""),0,MAX(AM18-MAX(N18,IFERROR(SUMPRODUCT(MAX(((持仓跟踪!$A$2:$A$157="每日跟踪")*(持仓跟踪!$B$2:$B$157=A18))*持仓跟踪!$S$2:$S$157)),0)),0)*AN18))))</f>
        <v/>
      </c>
      <c r="AR18" s="8" t="str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$88)&gt;账户数据!$B$7,"违规：超过账户风险上限","通过")))))))))</f>
        <v/>
      </c>
    </row>
    <row r="19" ht="17" spans="1:44">
      <c r="A19" s="2"/>
      <c r="B19" s="2"/>
      <c r="C19" s="10"/>
      <c r="D19" s="6"/>
      <c r="E19" s="10"/>
      <c r="F19" s="8" t="str">
        <f t="shared" si="11"/>
        <v/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$157,"止损计划",持仓跟踪!$B$2:$B$157,A19,持仓跟踪!$AC$2:$AC$157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/>
      <c r="I19" s="15"/>
      <c r="J19" s="10"/>
      <c r="K19" s="5" t="str">
        <f>IF(A19="","",IFERROR(LOOKUP(2,1/((持仓跟踪!$B$2:$B$157=A19)*(持仓跟踪!$X$2:$X$157="执行卖出")*(持仓跟踪!$Y$2:$Y$157&lt;&gt;"")),持仓跟踪!$Y$2:$Y$157),""))</f>
        <v/>
      </c>
      <c r="L19" s="8" t="str">
        <f>IF(A19="","",IFERROR(LOOKUP(2,1/((持仓跟踪!$B$2:$B$157=A19)*(持仓跟踪!$X$2:$X$157="执行卖出")*(持仓跟踪!$Z$2:$Z$157&lt;&gt;"")),持仓跟踪!$Z$2:$Z$157),""))</f>
        <v/>
      </c>
      <c r="M19" s="17" t="str">
        <f>IF(A19="","",IFERROR(LOOKUP(2,1/((持仓跟踪!$B$2:$B$157=A19)*(持仓跟踪!$X$2:$X$157="执行卖出")*(持仓跟踪!$H$2:$H$157&lt;&gt;"")),持仓跟踪!$H$2:$H$157),""))</f>
        <v/>
      </c>
      <c r="N19" s="10"/>
      <c r="O19" s="10"/>
      <c r="P19" s="5" t="str">
        <f>IF(A19="","",IFERROR(LOOKUP(2,1/((持仓跟踪!$B$2:$B$157=A19)*(持仓跟踪!$X$2:$X$157="执行卖出")*(持仓跟踪!$AA$2:$AA$157&lt;&gt;"")),持仓跟踪!$AA$2:$AA$157),""))</f>
        <v/>
      </c>
      <c r="Q19" s="2"/>
      <c r="R19" s="2"/>
      <c r="S19" s="2"/>
      <c r="T19" s="2"/>
      <c r="U19" s="7" t="str">
        <f t="shared" si="12"/>
        <v/>
      </c>
      <c r="V19" s="7" t="str">
        <f t="shared" si="13"/>
        <v/>
      </c>
      <c r="W19" s="18" t="str">
        <f t="shared" si="14"/>
        <v/>
      </c>
      <c r="X19" s="5" t="str">
        <f t="shared" si="15"/>
        <v/>
      </c>
      <c r="Y19" s="7" t="str">
        <f t="shared" si="16"/>
        <v/>
      </c>
      <c r="Z19" s="7" t="str">
        <f>IF(OR(AE19="",多次统计数据!$B$8=""),"",AE19-多次统计数据!$B$8)</f>
        <v/>
      </c>
      <c r="AA19" s="11" t="str">
        <f t="shared" si="1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18"/>
        <v/>
      </c>
      <c r="AG19" s="2"/>
      <c r="AH19" s="2"/>
      <c r="AI19" s="2"/>
      <c r="AJ19" s="8" t="str">
        <f t="shared" si="19"/>
        <v/>
      </c>
      <c r="AK19" s="10"/>
      <c r="AL19" s="12"/>
      <c r="AM19" s="10"/>
      <c r="AN19" s="12"/>
      <c r="AO19" s="5" t="str">
        <f t="shared" si="20"/>
        <v/>
      </c>
      <c r="AP19" s="11" t="str">
        <f t="shared" si="21"/>
        <v/>
      </c>
      <c r="AQ19" s="5" t="str">
        <f>IF(A19="","",IF(M19&lt;&gt;"",0,IF(OR(H19="",N19=""),"",MAX(E19-MAX(N19,IFERROR(SUMPRODUCT(MAX(((持仓跟踪!$A$2:$A$157="每日跟踪")*(持仓跟踪!$B$2:$B$157=A19))*持仓跟踪!$S$2:$S$157)),0)),0)*H19+IF(OR(AK19="",AL19=""),0,MAX(AK19-MAX(N19,IFERROR(SUMPRODUCT(MAX(((持仓跟踪!$A$2:$A$157="每日跟踪")*(持仓跟踪!$B$2:$B$157=A19))*持仓跟踪!$S$2:$S$157)),0)),0)*AL19)+IF(OR(AM19="",AN19=""),0,MAX(AM19-MAX(N19,IFERROR(SUMPRODUCT(MAX(((持仓跟踪!$A$2:$A$157="每日跟踪")*(持仓跟踪!$B$2:$B$157=A19))*持仓跟踪!$S$2:$S$157)),0)),0)*AN19))))</f>
        <v/>
      </c>
      <c r="AR19" s="8" t="str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$88)&gt;账户数据!$B$7,"违规：超过账户风险上限","通过")))))))))</f>
        <v/>
      </c>
    </row>
    <row r="20" ht="17" spans="1:44">
      <c r="A20" s="2"/>
      <c r="B20" s="2"/>
      <c r="C20" s="10"/>
      <c r="D20" s="6"/>
      <c r="E20" s="10"/>
      <c r="F20" s="8" t="str">
        <f t="shared" si="11"/>
        <v/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$157,"止损计划",持仓跟踪!$B$2:$B$157,A20,持仓跟踪!$AC$2:$AC$157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/>
      <c r="I20" s="15"/>
      <c r="J20" s="10"/>
      <c r="K20" s="5" t="str">
        <f>IF(A20="","",IFERROR(LOOKUP(2,1/((持仓跟踪!$B$2:$B$157=A20)*(持仓跟踪!$X$2:$X$157="执行卖出")*(持仓跟踪!$Y$2:$Y$157&lt;&gt;"")),持仓跟踪!$Y$2:$Y$157),""))</f>
        <v/>
      </c>
      <c r="L20" s="8" t="str">
        <f>IF(A20="","",IFERROR(LOOKUP(2,1/((持仓跟踪!$B$2:$B$157=A20)*(持仓跟踪!$X$2:$X$157="执行卖出")*(持仓跟踪!$Z$2:$Z$157&lt;&gt;"")),持仓跟踪!$Z$2:$Z$157),""))</f>
        <v/>
      </c>
      <c r="M20" s="17" t="str">
        <f>IF(A20="","",IFERROR(LOOKUP(2,1/((持仓跟踪!$B$2:$B$157=A20)*(持仓跟踪!$X$2:$X$157="执行卖出")*(持仓跟踪!$H$2:$H$157&lt;&gt;"")),持仓跟踪!$H$2:$H$157),""))</f>
        <v/>
      </c>
      <c r="N20" s="10"/>
      <c r="O20" s="10"/>
      <c r="P20" s="5" t="str">
        <f>IF(A20="","",IFERROR(LOOKUP(2,1/((持仓跟踪!$B$2:$B$157=A20)*(持仓跟踪!$X$2:$X$157="执行卖出")*(持仓跟踪!$AA$2:$AA$157&lt;&gt;"")),持仓跟踪!$AA$2:$AA$157),""))</f>
        <v/>
      </c>
      <c r="Q20" s="2"/>
      <c r="R20" s="2"/>
      <c r="S20" s="2"/>
      <c r="T20" s="2"/>
      <c r="U20" s="7" t="str">
        <f t="shared" si="12"/>
        <v/>
      </c>
      <c r="V20" s="7" t="str">
        <f t="shared" si="13"/>
        <v/>
      </c>
      <c r="W20" s="18" t="str">
        <f t="shared" si="14"/>
        <v/>
      </c>
      <c r="X20" s="5" t="str">
        <f t="shared" si="15"/>
        <v/>
      </c>
      <c r="Y20" s="7" t="str">
        <f t="shared" si="16"/>
        <v/>
      </c>
      <c r="Z20" s="7" t="str">
        <f>IF(OR(AE20="",多次统计数据!$B$8=""),"",AE20-多次统计数据!$B$8)</f>
        <v/>
      </c>
      <c r="AA20" s="11" t="str">
        <f t="shared" si="1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18"/>
        <v/>
      </c>
      <c r="AG20" s="2"/>
      <c r="AH20" s="2"/>
      <c r="AI20" s="2"/>
      <c r="AJ20" s="8" t="str">
        <f t="shared" si="19"/>
        <v/>
      </c>
      <c r="AK20" s="10"/>
      <c r="AL20" s="12"/>
      <c r="AM20" s="10"/>
      <c r="AN20" s="12"/>
      <c r="AO20" s="5" t="str">
        <f t="shared" si="20"/>
        <v/>
      </c>
      <c r="AP20" s="11" t="str">
        <f t="shared" si="21"/>
        <v/>
      </c>
      <c r="AQ20" s="5" t="str">
        <f>IF(A20="","",IF(M20&lt;&gt;"",0,IF(OR(H20="",N20=""),"",MAX(E20-MAX(N20,IFERROR(SUMPRODUCT(MAX(((持仓跟踪!$A$2:$A$157="每日跟踪")*(持仓跟踪!$B$2:$B$157=A20))*持仓跟踪!$S$2:$S$157)),0)),0)*H20+IF(OR(AK20="",AL20=""),0,MAX(AK20-MAX(N20,IFERROR(SUMPRODUCT(MAX(((持仓跟踪!$A$2:$A$157="每日跟踪")*(持仓跟踪!$B$2:$B$157=A20))*持仓跟踪!$S$2:$S$157)),0)),0)*AL20)+IF(OR(AM20="",AN20=""),0,MAX(AM20-MAX(N20,IFERROR(SUMPRODUCT(MAX(((持仓跟踪!$A$2:$A$157="每日跟踪")*(持仓跟踪!$B$2:$B$157=A20))*持仓跟踪!$S$2:$S$157)),0)),0)*AN20))))</f>
        <v/>
      </c>
      <c r="AR20" s="8" t="str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$88)&gt;账户数据!$B$7,"违规：超过账户风险上限","通过")))))))))</f>
        <v/>
      </c>
    </row>
    <row r="21" ht="17" spans="1:44">
      <c r="A21" s="2"/>
      <c r="B21" s="2"/>
      <c r="C21" s="10"/>
      <c r="D21" s="6"/>
      <c r="E21" s="10"/>
      <c r="F21" s="8" t="str">
        <f t="shared" si="11"/>
        <v/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$157,"止损计划",持仓跟踪!$B$2:$B$157,A21,持仓跟踪!$AC$2:$AC$157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/>
      <c r="I21" s="15"/>
      <c r="J21" s="10"/>
      <c r="K21" s="5" t="str">
        <f>IF(A21="","",IFERROR(LOOKUP(2,1/((持仓跟踪!$B$2:$B$157=A21)*(持仓跟踪!$X$2:$X$157="执行卖出")*(持仓跟踪!$Y$2:$Y$157&lt;&gt;"")),持仓跟踪!$Y$2:$Y$157),""))</f>
        <v/>
      </c>
      <c r="L21" s="8" t="str">
        <f>IF(A21="","",IFERROR(LOOKUP(2,1/((持仓跟踪!$B$2:$B$157=A21)*(持仓跟踪!$X$2:$X$157="执行卖出")*(持仓跟踪!$Z$2:$Z$157&lt;&gt;"")),持仓跟踪!$Z$2:$Z$157),""))</f>
        <v/>
      </c>
      <c r="M21" s="17" t="str">
        <f>IF(A21="","",IFERROR(LOOKUP(2,1/((持仓跟踪!$B$2:$B$157=A21)*(持仓跟踪!$X$2:$X$157="执行卖出")*(持仓跟踪!$H$2:$H$157&lt;&gt;"")),持仓跟踪!$H$2:$H$157),""))</f>
        <v/>
      </c>
      <c r="N21" s="10"/>
      <c r="O21" s="10"/>
      <c r="P21" s="5" t="str">
        <f>IF(A21="","",IFERROR(LOOKUP(2,1/((持仓跟踪!$B$2:$B$157=A21)*(持仓跟踪!$X$2:$X$157="执行卖出")*(持仓跟踪!$AA$2:$AA$157&lt;&gt;"")),持仓跟踪!$AA$2:$AA$157),""))</f>
        <v/>
      </c>
      <c r="Q21" s="2"/>
      <c r="R21" s="2"/>
      <c r="S21" s="2"/>
      <c r="T21" s="2"/>
      <c r="U21" s="7" t="str">
        <f t="shared" si="12"/>
        <v/>
      </c>
      <c r="V21" s="7" t="str">
        <f t="shared" si="13"/>
        <v/>
      </c>
      <c r="W21" s="18" t="str">
        <f t="shared" si="14"/>
        <v/>
      </c>
      <c r="X21" s="5" t="str">
        <f t="shared" si="15"/>
        <v/>
      </c>
      <c r="Y21" s="7" t="str">
        <f t="shared" si="16"/>
        <v/>
      </c>
      <c r="Z21" s="7" t="str">
        <f>IF(OR(AE21="",多次统计数据!$B$8=""),"",AE21-多次统计数据!$B$8)</f>
        <v/>
      </c>
      <c r="AA21" s="11" t="str">
        <f t="shared" si="1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18"/>
        <v/>
      </c>
      <c r="AG21" s="2"/>
      <c r="AH21" s="2"/>
      <c r="AI21" s="2"/>
      <c r="AJ21" s="8" t="str">
        <f t="shared" si="19"/>
        <v/>
      </c>
      <c r="AK21" s="10"/>
      <c r="AL21" s="12"/>
      <c r="AM21" s="10"/>
      <c r="AN21" s="12"/>
      <c r="AO21" s="5" t="str">
        <f t="shared" si="20"/>
        <v/>
      </c>
      <c r="AP21" s="11" t="str">
        <f t="shared" si="21"/>
        <v/>
      </c>
      <c r="AQ21" s="5" t="str">
        <f>IF(A21="","",IF(M21&lt;&gt;"",0,IF(OR(H21="",N21=""),"",MAX(E21-MAX(N21,IFERROR(SUMPRODUCT(MAX(((持仓跟踪!$A$2:$A$157="每日跟踪")*(持仓跟踪!$B$2:$B$157=A21))*持仓跟踪!$S$2:$S$157)),0)),0)*H21+IF(OR(AK21="",AL21=""),0,MAX(AK21-MAX(N21,IFERROR(SUMPRODUCT(MAX(((持仓跟踪!$A$2:$A$157="每日跟踪")*(持仓跟踪!$B$2:$B$157=A21))*持仓跟踪!$S$2:$S$157)),0)),0)*AL21)+IF(OR(AM21="",AN21=""),0,MAX(AM21-MAX(N21,IFERROR(SUMPRODUCT(MAX(((持仓跟踪!$A$2:$A$157="每日跟踪")*(持仓跟踪!$B$2:$B$157=A21))*持仓跟踪!$S$2:$S$157)),0)),0)*AN21))))</f>
        <v/>
      </c>
      <c r="AR21" s="8" t="str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$88)&gt;账户数据!$B$7,"违规：超过账户风险上限","通过")))))))))</f>
        <v/>
      </c>
    </row>
    <row r="22" ht="17" spans="1:44">
      <c r="A22" s="2"/>
      <c r="B22" s="2"/>
      <c r="C22" s="10"/>
      <c r="D22" s="6"/>
      <c r="E22" s="10"/>
      <c r="F22" s="8" t="str">
        <f t="shared" si="11"/>
        <v/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$157,"止损计划",持仓跟踪!$B$2:$B$157,A22,持仓跟踪!$AC$2:$AC$157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/>
      <c r="I22" s="15"/>
      <c r="J22" s="10"/>
      <c r="K22" s="5" t="str">
        <f>IF(A22="","",IFERROR(LOOKUP(2,1/((持仓跟踪!$B$2:$B$157=A22)*(持仓跟踪!$X$2:$X$157="执行卖出")*(持仓跟踪!$Y$2:$Y$157&lt;&gt;"")),持仓跟踪!$Y$2:$Y$157),""))</f>
        <v/>
      </c>
      <c r="L22" s="8" t="str">
        <f>IF(A22="","",IFERROR(LOOKUP(2,1/((持仓跟踪!$B$2:$B$157=A22)*(持仓跟踪!$X$2:$X$157="执行卖出")*(持仓跟踪!$Z$2:$Z$157&lt;&gt;"")),持仓跟踪!$Z$2:$Z$157),""))</f>
        <v/>
      </c>
      <c r="M22" s="17" t="str">
        <f>IF(A22="","",IFERROR(LOOKUP(2,1/((持仓跟踪!$B$2:$B$157=A22)*(持仓跟踪!$X$2:$X$157="执行卖出")*(持仓跟踪!$H$2:$H$157&lt;&gt;"")),持仓跟踪!$H$2:$H$157),""))</f>
        <v/>
      </c>
      <c r="N22" s="10"/>
      <c r="O22" s="10"/>
      <c r="P22" s="5" t="str">
        <f>IF(A22="","",IFERROR(LOOKUP(2,1/((持仓跟踪!$B$2:$B$157=A22)*(持仓跟踪!$X$2:$X$157="执行卖出")*(持仓跟踪!$AA$2:$AA$157&lt;&gt;"")),持仓跟踪!$AA$2:$AA$157),""))</f>
        <v/>
      </c>
      <c r="Q22" s="2"/>
      <c r="R22" s="2"/>
      <c r="S22" s="2"/>
      <c r="T22" s="2"/>
      <c r="U22" s="7" t="str">
        <f t="shared" si="12"/>
        <v/>
      </c>
      <c r="V22" s="7" t="str">
        <f t="shared" si="13"/>
        <v/>
      </c>
      <c r="W22" s="18" t="str">
        <f t="shared" si="14"/>
        <v/>
      </c>
      <c r="X22" s="5" t="str">
        <f t="shared" si="15"/>
        <v/>
      </c>
      <c r="Y22" s="7" t="str">
        <f t="shared" si="16"/>
        <v/>
      </c>
      <c r="Z22" s="7" t="str">
        <f>IF(OR(AE22="",多次统计数据!$B$8=""),"",AE22-多次统计数据!$B$8)</f>
        <v/>
      </c>
      <c r="AA22" s="11" t="str">
        <f t="shared" si="1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18"/>
        <v/>
      </c>
      <c r="AG22" s="2"/>
      <c r="AH22" s="2"/>
      <c r="AI22" s="2"/>
      <c r="AJ22" s="8" t="str">
        <f t="shared" si="19"/>
        <v/>
      </c>
      <c r="AK22" s="10"/>
      <c r="AL22" s="12"/>
      <c r="AM22" s="10"/>
      <c r="AN22" s="12"/>
      <c r="AO22" s="5" t="str">
        <f t="shared" si="20"/>
        <v/>
      </c>
      <c r="AP22" s="11" t="str">
        <f t="shared" si="21"/>
        <v/>
      </c>
      <c r="AQ22" s="5" t="str">
        <f>IF(A22="","",IF(M22&lt;&gt;"",0,IF(OR(H22="",N22=""),"",MAX(E22-MAX(N22,IFERROR(SUMPRODUCT(MAX(((持仓跟踪!$A$2:$A$157="每日跟踪")*(持仓跟踪!$B$2:$B$157=A22))*持仓跟踪!$S$2:$S$157)),0)),0)*H22+IF(OR(AK22="",AL22=""),0,MAX(AK22-MAX(N22,IFERROR(SUMPRODUCT(MAX(((持仓跟踪!$A$2:$A$157="每日跟踪")*(持仓跟踪!$B$2:$B$157=A22))*持仓跟踪!$S$2:$S$157)),0)),0)*AL22)+IF(OR(AM22="",AN22=""),0,MAX(AM22-MAX(N22,IFERROR(SUMPRODUCT(MAX(((持仓跟踪!$A$2:$A$157="每日跟踪")*(持仓跟踪!$B$2:$B$157=A22))*持仓跟踪!$S$2:$S$157)),0)),0)*AN22))))</f>
        <v/>
      </c>
      <c r="AR22" s="8" t="str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$88)&gt;账户数据!$B$7,"违规：超过账户风险上限","通过")))))))))</f>
        <v/>
      </c>
    </row>
    <row r="23" ht="17" spans="1:44">
      <c r="A23" s="2"/>
      <c r="B23" s="2"/>
      <c r="C23" s="10"/>
      <c r="D23" s="6"/>
      <c r="E23" s="10"/>
      <c r="F23" s="8" t="str">
        <f t="shared" si="11"/>
        <v/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$157,"止损计划",持仓跟踪!$B$2:$B$157,A23,持仓跟踪!$AC$2:$AC$157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/>
      <c r="I23" s="15"/>
      <c r="J23" s="10"/>
      <c r="K23" s="5" t="str">
        <f>IF(A23="","",IFERROR(LOOKUP(2,1/((持仓跟踪!$B$2:$B$157=A23)*(持仓跟踪!$X$2:$X$157="执行卖出")*(持仓跟踪!$Y$2:$Y$157&lt;&gt;"")),持仓跟踪!$Y$2:$Y$157),""))</f>
        <v/>
      </c>
      <c r="L23" s="8" t="str">
        <f>IF(A23="","",IFERROR(LOOKUP(2,1/((持仓跟踪!$B$2:$B$157=A23)*(持仓跟踪!$X$2:$X$157="执行卖出")*(持仓跟踪!$Z$2:$Z$157&lt;&gt;"")),持仓跟踪!$Z$2:$Z$157),""))</f>
        <v/>
      </c>
      <c r="M23" s="17" t="str">
        <f>IF(A23="","",IFERROR(LOOKUP(2,1/((持仓跟踪!$B$2:$B$157=A23)*(持仓跟踪!$X$2:$X$157="执行卖出")*(持仓跟踪!$H$2:$H$157&lt;&gt;"")),持仓跟踪!$H$2:$H$157),""))</f>
        <v/>
      </c>
      <c r="N23" s="10"/>
      <c r="O23" s="10"/>
      <c r="P23" s="5" t="str">
        <f>IF(A23="","",IFERROR(LOOKUP(2,1/((持仓跟踪!$B$2:$B$157=A23)*(持仓跟踪!$X$2:$X$157="执行卖出")*(持仓跟踪!$AA$2:$AA$157&lt;&gt;"")),持仓跟踪!$AA$2:$AA$157),""))</f>
        <v/>
      </c>
      <c r="Q23" s="2"/>
      <c r="R23" s="2"/>
      <c r="S23" s="2"/>
      <c r="T23" s="2"/>
      <c r="U23" s="7" t="str">
        <f t="shared" si="12"/>
        <v/>
      </c>
      <c r="V23" s="7" t="str">
        <f t="shared" si="13"/>
        <v/>
      </c>
      <c r="W23" s="18" t="str">
        <f t="shared" si="14"/>
        <v/>
      </c>
      <c r="X23" s="5" t="str">
        <f t="shared" si="15"/>
        <v/>
      </c>
      <c r="Y23" s="7" t="str">
        <f t="shared" si="16"/>
        <v/>
      </c>
      <c r="Z23" s="7" t="str">
        <f>IF(OR(AE23="",多次统计数据!$B$8=""),"",AE23-多次统计数据!$B$8)</f>
        <v/>
      </c>
      <c r="AA23" s="11" t="str">
        <f t="shared" si="1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18"/>
        <v/>
      </c>
      <c r="AG23" s="2"/>
      <c r="AH23" s="2"/>
      <c r="AI23" s="2"/>
      <c r="AJ23" s="8" t="str">
        <f t="shared" si="19"/>
        <v/>
      </c>
      <c r="AK23" s="10"/>
      <c r="AL23" s="12"/>
      <c r="AM23" s="10"/>
      <c r="AN23" s="12"/>
      <c r="AO23" s="5" t="str">
        <f t="shared" si="20"/>
        <v/>
      </c>
      <c r="AP23" s="11" t="str">
        <f t="shared" si="21"/>
        <v/>
      </c>
      <c r="AQ23" s="5" t="str">
        <f>IF(A23="","",IF(M23&lt;&gt;"",0,IF(OR(H23="",N23=""),"",MAX(E23-MAX(N23,IFERROR(SUMPRODUCT(MAX(((持仓跟踪!$A$2:$A$157="每日跟踪")*(持仓跟踪!$B$2:$B$157=A23))*持仓跟踪!$S$2:$S$157)),0)),0)*H23+IF(OR(AK23="",AL23=""),0,MAX(AK23-MAX(N23,IFERROR(SUMPRODUCT(MAX(((持仓跟踪!$A$2:$A$157="每日跟踪")*(持仓跟踪!$B$2:$B$157=A23))*持仓跟踪!$S$2:$S$157)),0)),0)*AL23)+IF(OR(AM23="",AN23=""),0,MAX(AM23-MAX(N23,IFERROR(SUMPRODUCT(MAX(((持仓跟踪!$A$2:$A$157="每日跟踪")*(持仓跟踪!$B$2:$B$157=A23))*持仓跟踪!$S$2:$S$157)),0)),0)*AN23))))</f>
        <v/>
      </c>
      <c r="AR23" s="8" t="str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$88)&gt;账户数据!$B$7,"违规：超过账户风险上限","通过")))))))))</f>
        <v/>
      </c>
    </row>
    <row r="24" ht="17" spans="1:44">
      <c r="A24" s="2"/>
      <c r="B24" s="2"/>
      <c r="C24" s="10"/>
      <c r="D24" s="6"/>
      <c r="E24" s="10"/>
      <c r="F24" s="8" t="str">
        <f t="shared" si="11"/>
        <v/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$157,"止损计划",持仓跟踪!$B$2:$B$157,A24,持仓跟踪!$AC$2:$AC$157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/>
      <c r="I24" s="15"/>
      <c r="J24" s="10"/>
      <c r="K24" s="5" t="str">
        <f>IF(A24="","",IFERROR(LOOKUP(2,1/((持仓跟踪!$B$2:$B$157=A24)*(持仓跟踪!$X$2:$X$157="执行卖出")*(持仓跟踪!$Y$2:$Y$157&lt;&gt;"")),持仓跟踪!$Y$2:$Y$157),""))</f>
        <v/>
      </c>
      <c r="L24" s="8" t="str">
        <f>IF(A24="","",IFERROR(LOOKUP(2,1/((持仓跟踪!$B$2:$B$157=A24)*(持仓跟踪!$X$2:$X$157="执行卖出")*(持仓跟踪!$Z$2:$Z$157&lt;&gt;"")),持仓跟踪!$Z$2:$Z$157),""))</f>
        <v/>
      </c>
      <c r="M24" s="17" t="str">
        <f>IF(A24="","",IFERROR(LOOKUP(2,1/((持仓跟踪!$B$2:$B$157=A24)*(持仓跟踪!$X$2:$X$157="执行卖出")*(持仓跟踪!$H$2:$H$157&lt;&gt;"")),持仓跟踪!$H$2:$H$157),""))</f>
        <v/>
      </c>
      <c r="N24" s="10"/>
      <c r="O24" s="10"/>
      <c r="P24" s="5" t="str">
        <f>IF(A24="","",IFERROR(LOOKUP(2,1/((持仓跟踪!$B$2:$B$157=A24)*(持仓跟踪!$X$2:$X$157="执行卖出")*(持仓跟踪!$AA$2:$AA$157&lt;&gt;"")),持仓跟踪!$AA$2:$AA$157),""))</f>
        <v/>
      </c>
      <c r="Q24" s="2"/>
      <c r="R24" s="2"/>
      <c r="S24" s="2"/>
      <c r="T24" s="2"/>
      <c r="U24" s="7" t="str">
        <f t="shared" si="12"/>
        <v/>
      </c>
      <c r="V24" s="7" t="str">
        <f t="shared" si="13"/>
        <v/>
      </c>
      <c r="W24" s="18" t="str">
        <f t="shared" si="14"/>
        <v/>
      </c>
      <c r="X24" s="5" t="str">
        <f t="shared" si="15"/>
        <v/>
      </c>
      <c r="Y24" s="7" t="str">
        <f t="shared" si="16"/>
        <v/>
      </c>
      <c r="Z24" s="7" t="str">
        <f>IF(OR(AE24="",多次统计数据!$B$8=""),"",AE24-多次统计数据!$B$8)</f>
        <v/>
      </c>
      <c r="AA24" s="11" t="str">
        <f t="shared" si="1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18"/>
        <v/>
      </c>
      <c r="AG24" s="2"/>
      <c r="AH24" s="2"/>
      <c r="AI24" s="2"/>
      <c r="AJ24" s="8" t="str">
        <f t="shared" si="19"/>
        <v/>
      </c>
      <c r="AK24" s="10"/>
      <c r="AL24" s="12"/>
      <c r="AM24" s="10"/>
      <c r="AN24" s="12"/>
      <c r="AO24" s="5" t="str">
        <f t="shared" si="20"/>
        <v/>
      </c>
      <c r="AP24" s="11" t="str">
        <f t="shared" si="21"/>
        <v/>
      </c>
      <c r="AQ24" s="5" t="str">
        <f>IF(A24="","",IF(M24&lt;&gt;"",0,IF(OR(H24="",N24=""),"",MAX(E24-MAX(N24,IFERROR(SUMPRODUCT(MAX(((持仓跟踪!$A$2:$A$157="每日跟踪")*(持仓跟踪!$B$2:$B$157=A24))*持仓跟踪!$S$2:$S$157)),0)),0)*H24+IF(OR(AK24="",AL24=""),0,MAX(AK24-MAX(N24,IFERROR(SUMPRODUCT(MAX(((持仓跟踪!$A$2:$A$157="每日跟踪")*(持仓跟踪!$B$2:$B$157=A24))*持仓跟踪!$S$2:$S$157)),0)),0)*AL24)+IF(OR(AM24="",AN24=""),0,MAX(AM24-MAX(N24,IFERROR(SUMPRODUCT(MAX(((持仓跟踪!$A$2:$A$157="每日跟踪")*(持仓跟踪!$B$2:$B$157=A24))*持仓跟踪!$S$2:$S$157)),0)),0)*AN24))))</f>
        <v/>
      </c>
      <c r="AR24" s="8" t="str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$88)&gt;账户数据!$B$7,"违规：超过账户风险上限","通过")))))))))</f>
        <v/>
      </c>
    </row>
    <row r="25" ht="17" spans="1:44">
      <c r="A25" s="2"/>
      <c r="B25" s="2"/>
      <c r="C25" s="10"/>
      <c r="D25" s="6"/>
      <c r="E25" s="10"/>
      <c r="F25" s="8" t="str">
        <f t="shared" si="11"/>
        <v/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$157,"止损计划",持仓跟踪!$B$2:$B$157,A25,持仓跟踪!$AC$2:$AC$157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/>
      <c r="I25" s="15"/>
      <c r="J25" s="10"/>
      <c r="K25" s="5" t="str">
        <f>IF(A25="","",IFERROR(LOOKUP(2,1/((持仓跟踪!$B$2:$B$157=A25)*(持仓跟踪!$X$2:$X$157="执行卖出")*(持仓跟踪!$Y$2:$Y$157&lt;&gt;"")),持仓跟踪!$Y$2:$Y$157),""))</f>
        <v/>
      </c>
      <c r="L25" s="8" t="str">
        <f>IF(A25="","",IFERROR(LOOKUP(2,1/((持仓跟踪!$B$2:$B$157=A25)*(持仓跟踪!$X$2:$X$157="执行卖出")*(持仓跟踪!$Z$2:$Z$157&lt;&gt;"")),持仓跟踪!$Z$2:$Z$157),""))</f>
        <v/>
      </c>
      <c r="M25" s="17" t="str">
        <f>IF(A25="","",IFERROR(LOOKUP(2,1/((持仓跟踪!$B$2:$B$157=A25)*(持仓跟踪!$X$2:$X$157="执行卖出")*(持仓跟踪!$H$2:$H$157&lt;&gt;"")),持仓跟踪!$H$2:$H$157),""))</f>
        <v/>
      </c>
      <c r="N25" s="10"/>
      <c r="O25" s="10"/>
      <c r="P25" s="5" t="str">
        <f>IF(A25="","",IFERROR(LOOKUP(2,1/((持仓跟踪!$B$2:$B$157=A25)*(持仓跟踪!$X$2:$X$157="执行卖出")*(持仓跟踪!$AA$2:$AA$157&lt;&gt;"")),持仓跟踪!$AA$2:$AA$157),""))</f>
        <v/>
      </c>
      <c r="Q25" s="2"/>
      <c r="R25" s="2"/>
      <c r="S25" s="2"/>
      <c r="T25" s="2"/>
      <c r="U25" s="7" t="str">
        <f t="shared" si="12"/>
        <v/>
      </c>
      <c r="V25" s="7" t="str">
        <f t="shared" si="13"/>
        <v/>
      </c>
      <c r="W25" s="18" t="str">
        <f t="shared" si="14"/>
        <v/>
      </c>
      <c r="X25" s="5" t="str">
        <f t="shared" si="15"/>
        <v/>
      </c>
      <c r="Y25" s="7" t="str">
        <f t="shared" si="16"/>
        <v/>
      </c>
      <c r="Z25" s="7" t="str">
        <f>IF(OR(AE25="",多次统计数据!$B$8=""),"",AE25-多次统计数据!$B$8)</f>
        <v/>
      </c>
      <c r="AA25" s="11" t="str">
        <f t="shared" si="1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18"/>
        <v/>
      </c>
      <c r="AG25" s="2"/>
      <c r="AH25" s="2"/>
      <c r="AI25" s="2"/>
      <c r="AJ25" s="8" t="str">
        <f t="shared" si="19"/>
        <v/>
      </c>
      <c r="AK25" s="10"/>
      <c r="AL25" s="12"/>
      <c r="AM25" s="10"/>
      <c r="AN25" s="12"/>
      <c r="AO25" s="5" t="str">
        <f t="shared" si="20"/>
        <v/>
      </c>
      <c r="AP25" s="11" t="str">
        <f t="shared" si="21"/>
        <v/>
      </c>
      <c r="AQ25" s="5" t="str">
        <f>IF(A25="","",IF(M25&lt;&gt;"",0,IF(OR(H25="",N25=""),"",MAX(E25-MAX(N25,IFERROR(SUMPRODUCT(MAX(((持仓跟踪!$A$2:$A$157="每日跟踪")*(持仓跟踪!$B$2:$B$157=A25))*持仓跟踪!$S$2:$S$157)),0)),0)*H25+IF(OR(AK25="",AL25=""),0,MAX(AK25-MAX(N25,IFERROR(SUMPRODUCT(MAX(((持仓跟踪!$A$2:$A$157="每日跟踪")*(持仓跟踪!$B$2:$B$157=A25))*持仓跟踪!$S$2:$S$157)),0)),0)*AL25)+IF(OR(AM25="",AN25=""),0,MAX(AM25-MAX(N25,IFERROR(SUMPRODUCT(MAX(((持仓跟踪!$A$2:$A$157="每日跟踪")*(持仓跟踪!$B$2:$B$157=A25))*持仓跟踪!$S$2:$S$157)),0)),0)*AN25))))</f>
        <v/>
      </c>
      <c r="AR25" s="8" t="str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$88)&gt;账户数据!$B$7,"违规：超过账户风险上限","通过")))))))))</f>
        <v/>
      </c>
    </row>
    <row r="26" ht="17" spans="1:44">
      <c r="A26" s="2"/>
      <c r="B26" s="2"/>
      <c r="C26" s="10"/>
      <c r="D26" s="6"/>
      <c r="E26" s="10"/>
      <c r="F26" s="8" t="str">
        <f t="shared" si="11"/>
        <v/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$157,"止损计划",持仓跟踪!$B$2:$B$157,A26,持仓跟踪!$AC$2:$AC$157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/>
      <c r="I26" s="15"/>
      <c r="J26" s="10"/>
      <c r="K26" s="5" t="str">
        <f>IF(A26="","",IFERROR(LOOKUP(2,1/((持仓跟踪!$B$2:$B$157=A26)*(持仓跟踪!$X$2:$X$157="执行卖出")*(持仓跟踪!$Y$2:$Y$157&lt;&gt;"")),持仓跟踪!$Y$2:$Y$157),""))</f>
        <v/>
      </c>
      <c r="L26" s="8" t="str">
        <f>IF(A26="","",IFERROR(LOOKUP(2,1/((持仓跟踪!$B$2:$B$157=A26)*(持仓跟踪!$X$2:$X$157="执行卖出")*(持仓跟踪!$Z$2:$Z$157&lt;&gt;"")),持仓跟踪!$Z$2:$Z$157),""))</f>
        <v/>
      </c>
      <c r="M26" s="17" t="str">
        <f>IF(A26="","",IFERROR(LOOKUP(2,1/((持仓跟踪!$B$2:$B$157=A26)*(持仓跟踪!$X$2:$X$157="执行卖出")*(持仓跟踪!$H$2:$H$157&lt;&gt;"")),持仓跟踪!$H$2:$H$157),""))</f>
        <v/>
      </c>
      <c r="N26" s="10"/>
      <c r="O26" s="10"/>
      <c r="P26" s="5" t="str">
        <f>IF(A26="","",IFERROR(LOOKUP(2,1/((持仓跟踪!$B$2:$B$157=A26)*(持仓跟踪!$X$2:$X$157="执行卖出")*(持仓跟踪!$AA$2:$AA$157&lt;&gt;"")),持仓跟踪!$AA$2:$AA$157),""))</f>
        <v/>
      </c>
      <c r="Q26" s="2"/>
      <c r="R26" s="2"/>
      <c r="S26" s="2"/>
      <c r="T26" s="2"/>
      <c r="U26" s="7" t="str">
        <f t="shared" si="12"/>
        <v/>
      </c>
      <c r="V26" s="7" t="str">
        <f t="shared" si="13"/>
        <v/>
      </c>
      <c r="W26" s="18" t="str">
        <f t="shared" si="14"/>
        <v/>
      </c>
      <c r="X26" s="5" t="str">
        <f t="shared" si="15"/>
        <v/>
      </c>
      <c r="Y26" s="7" t="str">
        <f t="shared" si="16"/>
        <v/>
      </c>
      <c r="Z26" s="7" t="str">
        <f>IF(OR(AE26="",多次统计数据!$B$8=""),"",AE26-多次统计数据!$B$8)</f>
        <v/>
      </c>
      <c r="AA26" s="11" t="str">
        <f t="shared" si="1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18"/>
        <v/>
      </c>
      <c r="AG26" s="2"/>
      <c r="AH26" s="2"/>
      <c r="AI26" s="2"/>
      <c r="AJ26" s="8" t="str">
        <f t="shared" si="19"/>
        <v/>
      </c>
      <c r="AK26" s="10"/>
      <c r="AL26" s="12"/>
      <c r="AM26" s="10"/>
      <c r="AN26" s="12"/>
      <c r="AO26" s="5" t="str">
        <f t="shared" si="20"/>
        <v/>
      </c>
      <c r="AP26" s="11" t="str">
        <f t="shared" si="21"/>
        <v/>
      </c>
      <c r="AQ26" s="5" t="str">
        <f>IF(A26="","",IF(M26&lt;&gt;"",0,IF(OR(H26="",N26=""),"",MAX(E26-MAX(N26,IFERROR(SUMPRODUCT(MAX(((持仓跟踪!$A$2:$A$157="每日跟踪")*(持仓跟踪!$B$2:$B$157=A26))*持仓跟踪!$S$2:$S$157)),0)),0)*H26+IF(OR(AK26="",AL26=""),0,MAX(AK26-MAX(N26,IFERROR(SUMPRODUCT(MAX(((持仓跟踪!$A$2:$A$157="每日跟踪")*(持仓跟踪!$B$2:$B$157=A26))*持仓跟踪!$S$2:$S$157)),0)),0)*AL26)+IF(OR(AM26="",AN26=""),0,MAX(AM26-MAX(N26,IFERROR(SUMPRODUCT(MAX(((持仓跟踪!$A$2:$A$157="每日跟踪")*(持仓跟踪!$B$2:$B$157=A26))*持仓跟踪!$S$2:$S$157)),0)),0)*AN26))))</f>
        <v/>
      </c>
      <c r="AR26" s="8" t="str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$88)&gt;账户数据!$B$7,"违规：超过账户风险上限","通过")))))))))</f>
        <v/>
      </c>
    </row>
    <row r="27" ht="17" spans="1:44">
      <c r="A27" s="2"/>
      <c r="B27" s="2"/>
      <c r="C27" s="10"/>
      <c r="D27" s="6"/>
      <c r="E27" s="10"/>
      <c r="F27" s="8" t="str">
        <f t="shared" si="11"/>
        <v/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$157,"止损计划",持仓跟踪!$B$2:$B$157,A27,持仓跟踪!$AC$2:$AC$157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/>
      <c r="I27" s="15"/>
      <c r="J27" s="10"/>
      <c r="K27" s="5" t="str">
        <f>IF(A27="","",IFERROR(LOOKUP(2,1/((持仓跟踪!$B$2:$B$157=A27)*(持仓跟踪!$X$2:$X$157="执行卖出")*(持仓跟踪!$Y$2:$Y$157&lt;&gt;"")),持仓跟踪!$Y$2:$Y$157),""))</f>
        <v/>
      </c>
      <c r="L27" s="8" t="str">
        <f>IF(A27="","",IFERROR(LOOKUP(2,1/((持仓跟踪!$B$2:$B$157=A27)*(持仓跟踪!$X$2:$X$157="执行卖出")*(持仓跟踪!$Z$2:$Z$157&lt;&gt;"")),持仓跟踪!$Z$2:$Z$157),""))</f>
        <v/>
      </c>
      <c r="M27" s="17" t="str">
        <f>IF(A27="","",IFERROR(LOOKUP(2,1/((持仓跟踪!$B$2:$B$157=A27)*(持仓跟踪!$X$2:$X$157="执行卖出")*(持仓跟踪!$H$2:$H$157&lt;&gt;"")),持仓跟踪!$H$2:$H$157),""))</f>
        <v/>
      </c>
      <c r="N27" s="10"/>
      <c r="O27" s="10"/>
      <c r="P27" s="5" t="str">
        <f>IF(A27="","",IFERROR(LOOKUP(2,1/((持仓跟踪!$B$2:$B$157=A27)*(持仓跟踪!$X$2:$X$157="执行卖出")*(持仓跟踪!$AA$2:$AA$157&lt;&gt;"")),持仓跟踪!$AA$2:$AA$157),""))</f>
        <v/>
      </c>
      <c r="Q27" s="2"/>
      <c r="R27" s="2"/>
      <c r="S27" s="2"/>
      <c r="T27" s="2"/>
      <c r="U27" s="7" t="str">
        <f t="shared" si="12"/>
        <v/>
      </c>
      <c r="V27" s="7" t="str">
        <f t="shared" si="13"/>
        <v/>
      </c>
      <c r="W27" s="18" t="str">
        <f t="shared" si="14"/>
        <v/>
      </c>
      <c r="X27" s="5" t="str">
        <f t="shared" si="15"/>
        <v/>
      </c>
      <c r="Y27" s="7" t="str">
        <f t="shared" si="16"/>
        <v/>
      </c>
      <c r="Z27" s="7" t="str">
        <f>IF(OR(AE27="",多次统计数据!$B$8=""),"",AE27-多次统计数据!$B$8)</f>
        <v/>
      </c>
      <c r="AA27" s="11" t="str">
        <f t="shared" si="1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18"/>
        <v/>
      </c>
      <c r="AG27" s="2"/>
      <c r="AH27" s="2"/>
      <c r="AI27" s="2"/>
      <c r="AJ27" s="8" t="str">
        <f t="shared" si="19"/>
        <v/>
      </c>
      <c r="AK27" s="10"/>
      <c r="AL27" s="12"/>
      <c r="AM27" s="10"/>
      <c r="AN27" s="12"/>
      <c r="AO27" s="5" t="str">
        <f t="shared" si="20"/>
        <v/>
      </c>
      <c r="AP27" s="11" t="str">
        <f t="shared" si="21"/>
        <v/>
      </c>
      <c r="AQ27" s="5" t="str">
        <f>IF(A27="","",IF(M27&lt;&gt;"",0,IF(OR(H27="",N27=""),"",MAX(E27-MAX(N27,IFERROR(SUMPRODUCT(MAX(((持仓跟踪!$A$2:$A$157="每日跟踪")*(持仓跟踪!$B$2:$B$157=A27))*持仓跟踪!$S$2:$S$157)),0)),0)*H27+IF(OR(AK27="",AL27=""),0,MAX(AK27-MAX(N27,IFERROR(SUMPRODUCT(MAX(((持仓跟踪!$A$2:$A$157="每日跟踪")*(持仓跟踪!$B$2:$B$157=A27))*持仓跟踪!$S$2:$S$157)),0)),0)*AL27)+IF(OR(AM27="",AN27=""),0,MAX(AM27-MAX(N27,IFERROR(SUMPRODUCT(MAX(((持仓跟踪!$A$2:$A$157="每日跟踪")*(持仓跟踪!$B$2:$B$157=A27))*持仓跟踪!$S$2:$S$157)),0)),0)*AN27))))</f>
        <v/>
      </c>
      <c r="AR27" s="8" t="str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$88)&gt;账户数据!$B$7,"违规：超过账户风险上限","通过")))))))))</f>
        <v/>
      </c>
    </row>
    <row r="28" ht="17" spans="1:44">
      <c r="A28" s="2"/>
      <c r="B28" s="2"/>
      <c r="C28" s="10"/>
      <c r="D28" s="6"/>
      <c r="E28" s="10"/>
      <c r="F28" s="8" t="str">
        <f t="shared" si="11"/>
        <v/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$157,"止损计划",持仓跟踪!$B$2:$B$157,A28,持仓跟踪!$AC$2:$AC$157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/>
      <c r="I28" s="15"/>
      <c r="J28" s="10"/>
      <c r="K28" s="5" t="str">
        <f>IF(A28="","",IFERROR(LOOKUP(2,1/((持仓跟踪!$B$2:$B$157=A28)*(持仓跟踪!$X$2:$X$157="执行卖出")*(持仓跟踪!$Y$2:$Y$157&lt;&gt;"")),持仓跟踪!$Y$2:$Y$157),""))</f>
        <v/>
      </c>
      <c r="L28" s="8" t="str">
        <f>IF(A28="","",IFERROR(LOOKUP(2,1/((持仓跟踪!$B$2:$B$157=A28)*(持仓跟踪!$X$2:$X$157="执行卖出")*(持仓跟踪!$Z$2:$Z$157&lt;&gt;"")),持仓跟踪!$Z$2:$Z$157),""))</f>
        <v/>
      </c>
      <c r="M28" s="17" t="str">
        <f>IF(A28="","",IFERROR(LOOKUP(2,1/((持仓跟踪!$B$2:$B$157=A28)*(持仓跟踪!$X$2:$X$157="执行卖出")*(持仓跟踪!$H$2:$H$157&lt;&gt;"")),持仓跟踪!$H$2:$H$157),""))</f>
        <v/>
      </c>
      <c r="N28" s="10"/>
      <c r="O28" s="10"/>
      <c r="P28" s="5" t="str">
        <f>IF(A28="","",IFERROR(LOOKUP(2,1/((持仓跟踪!$B$2:$B$157=A28)*(持仓跟踪!$X$2:$X$157="执行卖出")*(持仓跟踪!$AA$2:$AA$157&lt;&gt;"")),持仓跟踪!$AA$2:$AA$157),""))</f>
        <v/>
      </c>
      <c r="Q28" s="2"/>
      <c r="R28" s="2"/>
      <c r="S28" s="2"/>
      <c r="T28" s="2"/>
      <c r="U28" s="7" t="str">
        <f t="shared" si="12"/>
        <v/>
      </c>
      <c r="V28" s="7" t="str">
        <f t="shared" si="13"/>
        <v/>
      </c>
      <c r="W28" s="18" t="str">
        <f t="shared" si="14"/>
        <v/>
      </c>
      <c r="X28" s="5" t="str">
        <f t="shared" si="15"/>
        <v/>
      </c>
      <c r="Y28" s="7" t="str">
        <f t="shared" si="16"/>
        <v/>
      </c>
      <c r="Z28" s="7" t="str">
        <f>IF(OR(AE28="",多次统计数据!$B$8=""),"",AE28-多次统计数据!$B$8)</f>
        <v/>
      </c>
      <c r="AA28" s="11" t="str">
        <f t="shared" si="1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18"/>
        <v/>
      </c>
      <c r="AG28" s="2"/>
      <c r="AH28" s="2"/>
      <c r="AI28" s="2"/>
      <c r="AJ28" s="8" t="str">
        <f t="shared" si="19"/>
        <v/>
      </c>
      <c r="AK28" s="10"/>
      <c r="AL28" s="12"/>
      <c r="AM28" s="10"/>
      <c r="AN28" s="12"/>
      <c r="AO28" s="5" t="str">
        <f t="shared" si="20"/>
        <v/>
      </c>
      <c r="AP28" s="11" t="str">
        <f t="shared" si="21"/>
        <v/>
      </c>
      <c r="AQ28" s="5" t="str">
        <f>IF(A28="","",IF(M28&lt;&gt;"",0,IF(OR(H28="",N28=""),"",MAX(E28-MAX(N28,IFERROR(SUMPRODUCT(MAX(((持仓跟踪!$A$2:$A$157="每日跟踪")*(持仓跟踪!$B$2:$B$157=A28))*持仓跟踪!$S$2:$S$157)),0)),0)*H28+IF(OR(AK28="",AL28=""),0,MAX(AK28-MAX(N28,IFERROR(SUMPRODUCT(MAX(((持仓跟踪!$A$2:$A$157="每日跟踪")*(持仓跟踪!$B$2:$B$157=A28))*持仓跟踪!$S$2:$S$157)),0)),0)*AL28)+IF(OR(AM28="",AN28=""),0,MAX(AM28-MAX(N28,IFERROR(SUMPRODUCT(MAX(((持仓跟踪!$A$2:$A$157="每日跟踪")*(持仓跟踪!$B$2:$B$157=A28))*持仓跟踪!$S$2:$S$157)),0)),0)*AN28))))</f>
        <v/>
      </c>
      <c r="AR28" s="8" t="str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$88)&gt;账户数据!$B$7,"违规：超过账户风险上限","通过")))))))))</f>
        <v/>
      </c>
    </row>
    <row r="29" ht="17" spans="1:44">
      <c r="A29" s="2"/>
      <c r="B29" s="2"/>
      <c r="C29" s="10"/>
      <c r="D29" s="6"/>
      <c r="E29" s="10"/>
      <c r="F29" s="8" t="str">
        <f t="shared" si="11"/>
        <v/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$157,"止损计划",持仓跟踪!$B$2:$B$157,A29,持仓跟踪!$AC$2:$AC$157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/>
      <c r="I29" s="15"/>
      <c r="J29" s="10"/>
      <c r="K29" s="5" t="str">
        <f>IF(A29="","",IFERROR(LOOKUP(2,1/((持仓跟踪!$B$2:$B$157=A29)*(持仓跟踪!$X$2:$X$157="执行卖出")*(持仓跟踪!$Y$2:$Y$157&lt;&gt;"")),持仓跟踪!$Y$2:$Y$157),""))</f>
        <v/>
      </c>
      <c r="L29" s="8" t="str">
        <f>IF(A29="","",IFERROR(LOOKUP(2,1/((持仓跟踪!$B$2:$B$157=A29)*(持仓跟踪!$X$2:$X$157="执行卖出")*(持仓跟踪!$Z$2:$Z$157&lt;&gt;"")),持仓跟踪!$Z$2:$Z$157),""))</f>
        <v/>
      </c>
      <c r="M29" s="17" t="str">
        <f>IF(A29="","",IFERROR(LOOKUP(2,1/((持仓跟踪!$B$2:$B$157=A29)*(持仓跟踪!$X$2:$X$157="执行卖出")*(持仓跟踪!$H$2:$H$157&lt;&gt;"")),持仓跟踪!$H$2:$H$157),""))</f>
        <v/>
      </c>
      <c r="N29" s="10"/>
      <c r="O29" s="10"/>
      <c r="P29" s="5" t="str">
        <f>IF(A29="","",IFERROR(LOOKUP(2,1/((持仓跟踪!$B$2:$B$157=A29)*(持仓跟踪!$X$2:$X$157="执行卖出")*(持仓跟踪!$AA$2:$AA$157&lt;&gt;"")),持仓跟踪!$AA$2:$AA$157),""))</f>
        <v/>
      </c>
      <c r="Q29" s="2"/>
      <c r="R29" s="2"/>
      <c r="S29" s="2"/>
      <c r="T29" s="2"/>
      <c r="U29" s="7" t="str">
        <f t="shared" si="12"/>
        <v/>
      </c>
      <c r="V29" s="7" t="str">
        <f t="shared" si="13"/>
        <v/>
      </c>
      <c r="W29" s="18" t="str">
        <f t="shared" si="14"/>
        <v/>
      </c>
      <c r="X29" s="5" t="str">
        <f t="shared" si="15"/>
        <v/>
      </c>
      <c r="Y29" s="7" t="str">
        <f t="shared" si="16"/>
        <v/>
      </c>
      <c r="Z29" s="7" t="str">
        <f>IF(OR(AE29="",多次统计数据!$B$8=""),"",AE29-多次统计数据!$B$8)</f>
        <v/>
      </c>
      <c r="AA29" s="11" t="str">
        <f t="shared" si="1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18"/>
        <v/>
      </c>
      <c r="AG29" s="2"/>
      <c r="AH29" s="2"/>
      <c r="AI29" s="2"/>
      <c r="AJ29" s="8" t="str">
        <f t="shared" si="19"/>
        <v/>
      </c>
      <c r="AK29" s="10"/>
      <c r="AL29" s="12"/>
      <c r="AM29" s="10"/>
      <c r="AN29" s="12"/>
      <c r="AO29" s="5" t="str">
        <f t="shared" si="20"/>
        <v/>
      </c>
      <c r="AP29" s="11" t="str">
        <f t="shared" si="21"/>
        <v/>
      </c>
      <c r="AQ29" s="5" t="str">
        <f>IF(A29="","",IF(M29&lt;&gt;"",0,IF(OR(H29="",N29=""),"",MAX(E29-MAX(N29,IFERROR(SUMPRODUCT(MAX(((持仓跟踪!$A$2:$A$157="每日跟踪")*(持仓跟踪!$B$2:$B$157=A29))*持仓跟踪!$S$2:$S$157)),0)),0)*H29+IF(OR(AK29="",AL29=""),0,MAX(AK29-MAX(N29,IFERROR(SUMPRODUCT(MAX(((持仓跟踪!$A$2:$A$157="每日跟踪")*(持仓跟踪!$B$2:$B$157=A29))*持仓跟踪!$S$2:$S$157)),0)),0)*AL29)+IF(OR(AM29="",AN29=""),0,MAX(AM29-MAX(N29,IFERROR(SUMPRODUCT(MAX(((持仓跟踪!$A$2:$A$157="每日跟踪")*(持仓跟踪!$B$2:$B$157=A29))*持仓跟踪!$S$2:$S$157)),0)),0)*AN29))))</f>
        <v/>
      </c>
      <c r="AR29" s="8" t="str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$88)&gt;账户数据!$B$7,"违规：超过账户风险上限","通过")))))))))</f>
        <v/>
      </c>
    </row>
    <row r="30" ht="17" spans="1:44">
      <c r="A30" s="2"/>
      <c r="B30" s="2"/>
      <c r="C30" s="10"/>
      <c r="D30" s="6"/>
      <c r="E30" s="10"/>
      <c r="F30" s="8" t="str">
        <f t="shared" si="11"/>
        <v/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$157,"止损计划",持仓跟踪!$B$2:$B$157,A30,持仓跟踪!$AC$2:$AC$157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/>
      <c r="I30" s="15"/>
      <c r="J30" s="10"/>
      <c r="K30" s="5" t="str">
        <f>IF(A30="","",IFERROR(LOOKUP(2,1/((持仓跟踪!$B$2:$B$157=A30)*(持仓跟踪!$X$2:$X$157="执行卖出")*(持仓跟踪!$Y$2:$Y$157&lt;&gt;"")),持仓跟踪!$Y$2:$Y$157),""))</f>
        <v/>
      </c>
      <c r="L30" s="8" t="str">
        <f>IF(A30="","",IFERROR(LOOKUP(2,1/((持仓跟踪!$B$2:$B$157=A30)*(持仓跟踪!$X$2:$X$157="执行卖出")*(持仓跟踪!$Z$2:$Z$157&lt;&gt;"")),持仓跟踪!$Z$2:$Z$157),""))</f>
        <v/>
      </c>
      <c r="M30" s="17" t="str">
        <f>IF(A30="","",IFERROR(LOOKUP(2,1/((持仓跟踪!$B$2:$B$157=A30)*(持仓跟踪!$X$2:$X$157="执行卖出")*(持仓跟踪!$H$2:$H$157&lt;&gt;"")),持仓跟踪!$H$2:$H$157),""))</f>
        <v/>
      </c>
      <c r="N30" s="10"/>
      <c r="O30" s="10"/>
      <c r="P30" s="5" t="str">
        <f>IF(A30="","",IFERROR(LOOKUP(2,1/((持仓跟踪!$B$2:$B$157=A30)*(持仓跟踪!$X$2:$X$157="执行卖出")*(持仓跟踪!$AA$2:$AA$157&lt;&gt;"")),持仓跟踪!$AA$2:$AA$157),""))</f>
        <v/>
      </c>
      <c r="Q30" s="2"/>
      <c r="R30" s="2"/>
      <c r="S30" s="2"/>
      <c r="T30" s="2"/>
      <c r="U30" s="7" t="str">
        <f t="shared" si="12"/>
        <v/>
      </c>
      <c r="V30" s="7" t="str">
        <f t="shared" si="13"/>
        <v/>
      </c>
      <c r="W30" s="18" t="str">
        <f t="shared" si="14"/>
        <v/>
      </c>
      <c r="X30" s="5" t="str">
        <f t="shared" si="15"/>
        <v/>
      </c>
      <c r="Y30" s="7" t="str">
        <f t="shared" si="16"/>
        <v/>
      </c>
      <c r="Z30" s="7" t="str">
        <f>IF(OR(AE30="",多次统计数据!$B$8=""),"",AE30-多次统计数据!$B$8)</f>
        <v/>
      </c>
      <c r="AA30" s="11" t="str">
        <f t="shared" si="1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18"/>
        <v/>
      </c>
      <c r="AG30" s="2"/>
      <c r="AH30" s="2"/>
      <c r="AI30" s="2"/>
      <c r="AJ30" s="8" t="str">
        <f t="shared" si="19"/>
        <v/>
      </c>
      <c r="AK30" s="10"/>
      <c r="AL30" s="12"/>
      <c r="AM30" s="10"/>
      <c r="AN30" s="12"/>
      <c r="AO30" s="5" t="str">
        <f t="shared" si="20"/>
        <v/>
      </c>
      <c r="AP30" s="11" t="str">
        <f t="shared" si="21"/>
        <v/>
      </c>
      <c r="AQ30" s="5" t="str">
        <f>IF(A30="","",IF(M30&lt;&gt;"",0,IF(OR(H30="",N30=""),"",MAX(E30-MAX(N30,IFERROR(SUMPRODUCT(MAX(((持仓跟踪!$A$2:$A$157="每日跟踪")*(持仓跟踪!$B$2:$B$157=A30))*持仓跟踪!$S$2:$S$157)),0)),0)*H30+IF(OR(AK30="",AL30=""),0,MAX(AK30-MAX(N30,IFERROR(SUMPRODUCT(MAX(((持仓跟踪!$A$2:$A$157="每日跟踪")*(持仓跟踪!$B$2:$B$157=A30))*持仓跟踪!$S$2:$S$157)),0)),0)*AL30)+IF(OR(AM30="",AN30=""),0,MAX(AM30-MAX(N30,IFERROR(SUMPRODUCT(MAX(((持仓跟踪!$A$2:$A$157="每日跟踪")*(持仓跟踪!$B$2:$B$157=A30))*持仓跟踪!$S$2:$S$157)),0)),0)*AN30))))</f>
        <v/>
      </c>
      <c r="AR30" s="8" t="str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$88)&gt;账户数据!$B$7,"违规：超过账户风险上限","通过")))))))))</f>
        <v/>
      </c>
    </row>
    <row r="31" ht="17" spans="1:44">
      <c r="A31" s="2"/>
      <c r="B31" s="2"/>
      <c r="C31" s="10"/>
      <c r="D31" s="6"/>
      <c r="E31" s="10"/>
      <c r="F31" s="8" t="str">
        <f t="shared" si="11"/>
        <v/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$157,"止损计划",持仓跟踪!$B$2:$B$157,A31,持仓跟踪!$AC$2:$AC$157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5"/>
      <c r="J31" s="10"/>
      <c r="K31" s="5" t="str">
        <f>IF(A31="","",IFERROR(LOOKUP(2,1/((持仓跟踪!$B$2:$B$157=A31)*(持仓跟踪!$X$2:$X$157="执行卖出")*(持仓跟踪!$Y$2:$Y$157&lt;&gt;"")),持仓跟踪!$Y$2:$Y$157),""))</f>
        <v/>
      </c>
      <c r="L31" s="8" t="str">
        <f>IF(A31="","",IFERROR(LOOKUP(2,1/((持仓跟踪!$B$2:$B$157=A31)*(持仓跟踪!$X$2:$X$157="执行卖出")*(持仓跟踪!$Z$2:$Z$157&lt;&gt;"")),持仓跟踪!$Z$2:$Z$157),""))</f>
        <v/>
      </c>
      <c r="M31" s="17" t="str">
        <f>IF(A31="","",IFERROR(LOOKUP(2,1/((持仓跟踪!$B$2:$B$157=A31)*(持仓跟踪!$X$2:$X$157="执行卖出")*(持仓跟踪!$H$2:$H$157&lt;&gt;"")),持仓跟踪!$H$2:$H$157),""))</f>
        <v/>
      </c>
      <c r="N31" s="10"/>
      <c r="O31" s="10"/>
      <c r="P31" s="5" t="str">
        <f>IF(A31="","",IFERROR(LOOKUP(2,1/((持仓跟踪!$B$2:$B$157=A31)*(持仓跟踪!$X$2:$X$157="执行卖出")*(持仓跟踪!$AA$2:$AA$157&lt;&gt;"")),持仓跟踪!$AA$2:$AA$157),""))</f>
        <v/>
      </c>
      <c r="Q31" s="2"/>
      <c r="R31" s="2"/>
      <c r="S31" s="2"/>
      <c r="T31" s="2"/>
      <c r="U31" s="7" t="str">
        <f t="shared" si="12"/>
        <v/>
      </c>
      <c r="V31" s="7" t="str">
        <f t="shared" si="13"/>
        <v/>
      </c>
      <c r="W31" s="18" t="str">
        <f t="shared" si="14"/>
        <v/>
      </c>
      <c r="X31" s="5" t="str">
        <f t="shared" si="15"/>
        <v/>
      </c>
      <c r="Y31" s="7" t="str">
        <f t="shared" si="16"/>
        <v/>
      </c>
      <c r="Z31" s="7" t="str">
        <f>IF(OR(AE31="",多次统计数据!$B$8=""),"",AE31-多次统计数据!$B$8)</f>
        <v/>
      </c>
      <c r="AA31" s="11" t="str">
        <f t="shared" si="1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18"/>
        <v/>
      </c>
      <c r="AG31" s="2"/>
      <c r="AH31" s="2"/>
      <c r="AI31" s="2"/>
      <c r="AJ31" s="8" t="str">
        <f t="shared" si="19"/>
        <v/>
      </c>
      <c r="AK31" s="10"/>
      <c r="AL31" s="12"/>
      <c r="AM31" s="10"/>
      <c r="AN31" s="12"/>
      <c r="AO31" s="5" t="str">
        <f t="shared" si="20"/>
        <v/>
      </c>
      <c r="AP31" s="11" t="str">
        <f t="shared" si="21"/>
        <v/>
      </c>
      <c r="AQ31" s="5" t="str">
        <f>IF(A31="","",IF(M31&lt;&gt;"",0,IF(OR(H31="",N31=""),"",MAX(E31-MAX(N31,IFERROR(SUMPRODUCT(MAX(((持仓跟踪!$A$2:$A$157="每日跟踪")*(持仓跟踪!$B$2:$B$157=A31))*持仓跟踪!$S$2:$S$157)),0)),0)*H31+IF(OR(AK31="",AL31=""),0,MAX(AK31-MAX(N31,IFERROR(SUMPRODUCT(MAX(((持仓跟踪!$A$2:$A$157="每日跟踪")*(持仓跟踪!$B$2:$B$157=A31))*持仓跟踪!$S$2:$S$157)),0)),0)*AL31)+IF(OR(AM31="",AN31=""),0,MAX(AM31-MAX(N31,IFERROR(SUMPRODUCT(MAX(((持仓跟踪!$A$2:$A$157="每日跟踪")*(持仓跟踪!$B$2:$B$157=A31))*持仓跟踪!$S$2:$S$157)),0)),0)*AN31))))</f>
        <v/>
      </c>
      <c r="AR31" s="8" t="str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$88)&gt;账户数据!$B$7,"违规：超过账户风险上限","通过")))))))))</f>
        <v/>
      </c>
    </row>
    <row r="32" ht="17" spans="1:44">
      <c r="A32" s="2"/>
      <c r="B32" s="2"/>
      <c r="C32" s="10"/>
      <c r="D32" s="6"/>
      <c r="E32" s="10"/>
      <c r="F32" s="8" t="str">
        <f t="shared" si="11"/>
        <v/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$157,"止损计划",持仓跟踪!$B$2:$B$157,A32,持仓跟踪!$AC$2:$AC$157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5"/>
      <c r="J32" s="10"/>
      <c r="K32" s="5" t="str">
        <f>IF(A32="","",IFERROR(LOOKUP(2,1/((持仓跟踪!$B$2:$B$157=A32)*(持仓跟踪!$X$2:$X$157="执行卖出")*(持仓跟踪!$Y$2:$Y$157&lt;&gt;"")),持仓跟踪!$Y$2:$Y$157),""))</f>
        <v/>
      </c>
      <c r="L32" s="8" t="str">
        <f>IF(A32="","",IFERROR(LOOKUP(2,1/((持仓跟踪!$B$2:$B$157=A32)*(持仓跟踪!$X$2:$X$157="执行卖出")*(持仓跟踪!$Z$2:$Z$157&lt;&gt;"")),持仓跟踪!$Z$2:$Z$157),""))</f>
        <v/>
      </c>
      <c r="M32" s="17" t="str">
        <f>IF(A32="","",IFERROR(LOOKUP(2,1/((持仓跟踪!$B$2:$B$157=A32)*(持仓跟踪!$X$2:$X$157="执行卖出")*(持仓跟踪!$H$2:$H$157&lt;&gt;"")),持仓跟踪!$H$2:$H$157),""))</f>
        <v/>
      </c>
      <c r="N32" s="10"/>
      <c r="O32" s="10"/>
      <c r="P32" s="5" t="str">
        <f>IF(A32="","",IFERROR(LOOKUP(2,1/((持仓跟踪!$B$2:$B$157=A32)*(持仓跟踪!$X$2:$X$157="执行卖出")*(持仓跟踪!$AA$2:$AA$157&lt;&gt;"")),持仓跟踪!$AA$2:$AA$157),""))</f>
        <v/>
      </c>
      <c r="Q32" s="2"/>
      <c r="R32" s="2"/>
      <c r="S32" s="2"/>
      <c r="T32" s="2"/>
      <c r="U32" s="7" t="str">
        <f t="shared" si="12"/>
        <v/>
      </c>
      <c r="V32" s="7" t="str">
        <f t="shared" si="13"/>
        <v/>
      </c>
      <c r="W32" s="18" t="str">
        <f t="shared" si="14"/>
        <v/>
      </c>
      <c r="X32" s="5" t="str">
        <f t="shared" si="15"/>
        <v/>
      </c>
      <c r="Y32" s="7" t="str">
        <f t="shared" si="16"/>
        <v/>
      </c>
      <c r="Z32" s="7" t="str">
        <f>IF(OR(AE32="",多次统计数据!$B$8=""),"",AE32-多次统计数据!$B$8)</f>
        <v/>
      </c>
      <c r="AA32" s="11" t="str">
        <f t="shared" si="1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18"/>
        <v/>
      </c>
      <c r="AG32" s="2"/>
      <c r="AH32" s="2"/>
      <c r="AI32" s="2"/>
      <c r="AJ32" s="8" t="str">
        <f t="shared" si="19"/>
        <v/>
      </c>
      <c r="AK32" s="10"/>
      <c r="AL32" s="12"/>
      <c r="AM32" s="10"/>
      <c r="AN32" s="12"/>
      <c r="AO32" s="5" t="str">
        <f t="shared" si="20"/>
        <v/>
      </c>
      <c r="AP32" s="11" t="str">
        <f t="shared" si="21"/>
        <v/>
      </c>
      <c r="AQ32" s="5" t="str">
        <f>IF(A32="","",IF(M32&lt;&gt;"",0,IF(OR(H32="",N32=""),"",MAX(E32-MAX(N32,IFERROR(SUMPRODUCT(MAX(((持仓跟踪!$A$2:$A$157="每日跟踪")*(持仓跟踪!$B$2:$B$157=A32))*持仓跟踪!$S$2:$S$157)),0)),0)*H32+IF(OR(AK32="",AL32=""),0,MAX(AK32-MAX(N32,IFERROR(SUMPRODUCT(MAX(((持仓跟踪!$A$2:$A$157="每日跟踪")*(持仓跟踪!$B$2:$B$157=A32))*持仓跟踪!$S$2:$S$157)),0)),0)*AL32)+IF(OR(AM32="",AN32=""),0,MAX(AM32-MAX(N32,IFERROR(SUMPRODUCT(MAX(((持仓跟踪!$A$2:$A$157="每日跟踪")*(持仓跟踪!$B$2:$B$157=A32))*持仓跟踪!$S$2:$S$157)),0)),0)*AN32))))</f>
        <v/>
      </c>
      <c r="AR32" s="8" t="str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$88)&gt;账户数据!$B$7,"违规：超过账户风险上限","通过")))))))))</f>
        <v/>
      </c>
    </row>
    <row r="33" ht="17" spans="1:44">
      <c r="A33" s="2"/>
      <c r="B33" s="2"/>
      <c r="C33" s="10"/>
      <c r="D33" s="6"/>
      <c r="E33" s="10"/>
      <c r="F33" s="8" t="str">
        <f t="shared" si="11"/>
        <v/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$157,"止损计划",持仓跟踪!$B$2:$B$157,A33,持仓跟踪!$AC$2:$AC$157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5"/>
      <c r="J33" s="10"/>
      <c r="K33" s="5" t="str">
        <f>IF(A33="","",IFERROR(LOOKUP(2,1/((持仓跟踪!$B$2:$B$157=A33)*(持仓跟踪!$X$2:$X$157="执行卖出")*(持仓跟踪!$Y$2:$Y$157&lt;&gt;"")),持仓跟踪!$Y$2:$Y$157),""))</f>
        <v/>
      </c>
      <c r="L33" s="8" t="str">
        <f>IF(A33="","",IFERROR(LOOKUP(2,1/((持仓跟踪!$B$2:$B$157=A33)*(持仓跟踪!$X$2:$X$157="执行卖出")*(持仓跟踪!$Z$2:$Z$157&lt;&gt;"")),持仓跟踪!$Z$2:$Z$157),""))</f>
        <v/>
      </c>
      <c r="M33" s="17" t="str">
        <f>IF(A33="","",IFERROR(LOOKUP(2,1/((持仓跟踪!$B$2:$B$157=A33)*(持仓跟踪!$X$2:$X$157="执行卖出")*(持仓跟踪!$H$2:$H$157&lt;&gt;"")),持仓跟踪!$H$2:$H$157),""))</f>
        <v/>
      </c>
      <c r="N33" s="10"/>
      <c r="O33" s="10"/>
      <c r="P33" s="5" t="str">
        <f>IF(A33="","",IFERROR(LOOKUP(2,1/((持仓跟踪!$B$2:$B$157=A33)*(持仓跟踪!$X$2:$X$157="执行卖出")*(持仓跟踪!$AA$2:$AA$157&lt;&gt;"")),持仓跟踪!$AA$2:$AA$157),""))</f>
        <v/>
      </c>
      <c r="Q33" s="2"/>
      <c r="R33" s="2"/>
      <c r="S33" s="2"/>
      <c r="T33" s="2"/>
      <c r="U33" s="7" t="str">
        <f t="shared" si="12"/>
        <v/>
      </c>
      <c r="V33" s="7" t="str">
        <f t="shared" si="13"/>
        <v/>
      </c>
      <c r="W33" s="18" t="str">
        <f t="shared" si="14"/>
        <v/>
      </c>
      <c r="X33" s="5" t="str">
        <f t="shared" si="15"/>
        <v/>
      </c>
      <c r="Y33" s="7" t="str">
        <f t="shared" si="16"/>
        <v/>
      </c>
      <c r="Z33" s="7" t="str">
        <f>IF(OR(AE33="",多次统计数据!$B$8=""),"",AE33-多次统计数据!$B$8)</f>
        <v/>
      </c>
      <c r="AA33" s="11" t="str">
        <f t="shared" si="1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18"/>
        <v/>
      </c>
      <c r="AG33" s="2"/>
      <c r="AH33" s="2"/>
      <c r="AI33" s="2"/>
      <c r="AJ33" s="8" t="str">
        <f t="shared" si="19"/>
        <v/>
      </c>
      <c r="AK33" s="10"/>
      <c r="AL33" s="12"/>
      <c r="AM33" s="10"/>
      <c r="AN33" s="12"/>
      <c r="AO33" s="5" t="str">
        <f t="shared" si="20"/>
        <v/>
      </c>
      <c r="AP33" s="11" t="str">
        <f t="shared" si="21"/>
        <v/>
      </c>
      <c r="AQ33" s="5" t="str">
        <f>IF(A33="","",IF(M33&lt;&gt;"",0,IF(OR(H33="",N33=""),"",MAX(E33-MAX(N33,IFERROR(SUMPRODUCT(MAX(((持仓跟踪!$A$2:$A$157="每日跟踪")*(持仓跟踪!$B$2:$B$157=A33))*持仓跟踪!$S$2:$S$157)),0)),0)*H33+IF(OR(AK33="",AL33=""),0,MAX(AK33-MAX(N33,IFERROR(SUMPRODUCT(MAX(((持仓跟踪!$A$2:$A$157="每日跟踪")*(持仓跟踪!$B$2:$B$157=A33))*持仓跟踪!$S$2:$S$157)),0)),0)*AL33)+IF(OR(AM33="",AN33=""),0,MAX(AM33-MAX(N33,IFERROR(SUMPRODUCT(MAX(((持仓跟踪!$A$2:$A$157="每日跟踪")*(持仓跟踪!$B$2:$B$157=A33))*持仓跟踪!$S$2:$S$157)),0)),0)*AN33))))</f>
        <v/>
      </c>
      <c r="AR33" s="8" t="str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$88)&gt;账户数据!$B$7,"违规：超过账户风险上限","通过")))))))))</f>
        <v/>
      </c>
    </row>
    <row r="34" ht="17" spans="1:44">
      <c r="A34" s="2"/>
      <c r="B34" s="2"/>
      <c r="C34" s="10"/>
      <c r="D34" s="6"/>
      <c r="E34" s="10"/>
      <c r="F34" s="8" t="str">
        <f t="shared" si="11"/>
        <v/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$157,"止损计划",持仓跟踪!$B$2:$B$157,A34,持仓跟踪!$AC$2:$AC$157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5"/>
      <c r="J34" s="10"/>
      <c r="K34" s="5" t="str">
        <f>IF(A34="","",IFERROR(LOOKUP(2,1/((持仓跟踪!$B$2:$B$157=A34)*(持仓跟踪!$X$2:$X$157="执行卖出")*(持仓跟踪!$Y$2:$Y$157&lt;&gt;"")),持仓跟踪!$Y$2:$Y$157),""))</f>
        <v/>
      </c>
      <c r="L34" s="8" t="str">
        <f>IF(A34="","",IFERROR(LOOKUP(2,1/((持仓跟踪!$B$2:$B$157=A34)*(持仓跟踪!$X$2:$X$157="执行卖出")*(持仓跟踪!$Z$2:$Z$157&lt;&gt;"")),持仓跟踪!$Z$2:$Z$157),""))</f>
        <v/>
      </c>
      <c r="M34" s="17" t="str">
        <f>IF(A34="","",IFERROR(LOOKUP(2,1/((持仓跟踪!$B$2:$B$157=A34)*(持仓跟踪!$X$2:$X$157="执行卖出")*(持仓跟踪!$H$2:$H$157&lt;&gt;"")),持仓跟踪!$H$2:$H$157),""))</f>
        <v/>
      </c>
      <c r="N34" s="10"/>
      <c r="O34" s="10"/>
      <c r="P34" s="5" t="str">
        <f>IF(A34="","",IFERROR(LOOKUP(2,1/((持仓跟踪!$B$2:$B$157=A34)*(持仓跟踪!$X$2:$X$157="执行卖出")*(持仓跟踪!$AA$2:$AA$157&lt;&gt;"")),持仓跟踪!$AA$2:$AA$157),""))</f>
        <v/>
      </c>
      <c r="Q34" s="2"/>
      <c r="R34" s="2"/>
      <c r="S34" s="2"/>
      <c r="T34" s="2"/>
      <c r="U34" s="7" t="str">
        <f t="shared" si="12"/>
        <v/>
      </c>
      <c r="V34" s="7" t="str">
        <f t="shared" si="13"/>
        <v/>
      </c>
      <c r="W34" s="18" t="str">
        <f t="shared" si="14"/>
        <v/>
      </c>
      <c r="X34" s="5" t="str">
        <f t="shared" si="15"/>
        <v/>
      </c>
      <c r="Y34" s="7" t="str">
        <f t="shared" si="16"/>
        <v/>
      </c>
      <c r="Z34" s="7" t="str">
        <f>IF(OR(AE34="",多次统计数据!$B$8=""),"",AE34-多次统计数据!$B$8)</f>
        <v/>
      </c>
      <c r="AA34" s="11" t="str">
        <f t="shared" si="1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18"/>
        <v/>
      </c>
      <c r="AG34" s="2"/>
      <c r="AH34" s="2"/>
      <c r="AI34" s="2"/>
      <c r="AJ34" s="8" t="str">
        <f t="shared" si="19"/>
        <v/>
      </c>
      <c r="AK34" s="10"/>
      <c r="AL34" s="12"/>
      <c r="AM34" s="10"/>
      <c r="AN34" s="12"/>
      <c r="AO34" s="5" t="str">
        <f t="shared" si="20"/>
        <v/>
      </c>
      <c r="AP34" s="11" t="str">
        <f t="shared" si="21"/>
        <v/>
      </c>
      <c r="AQ34" s="5" t="str">
        <f>IF(A34="","",IF(M34&lt;&gt;"",0,IF(OR(H34="",N34=""),"",MAX(E34-MAX(N34,IFERROR(SUMPRODUCT(MAX(((持仓跟踪!$A$2:$A$157="每日跟踪")*(持仓跟踪!$B$2:$B$157=A34))*持仓跟踪!$S$2:$S$157)),0)),0)*H34+IF(OR(AK34="",AL34=""),0,MAX(AK34-MAX(N34,IFERROR(SUMPRODUCT(MAX(((持仓跟踪!$A$2:$A$157="每日跟踪")*(持仓跟踪!$B$2:$B$157=A34))*持仓跟踪!$S$2:$S$157)),0)),0)*AL34)+IF(OR(AM34="",AN34=""),0,MAX(AM34-MAX(N34,IFERROR(SUMPRODUCT(MAX(((持仓跟踪!$A$2:$A$157="每日跟踪")*(持仓跟踪!$B$2:$B$157=A34))*持仓跟踪!$S$2:$S$157)),0)),0)*AN34))))</f>
        <v/>
      </c>
      <c r="AR34" s="8" t="str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$88)&gt;账户数据!$B$7,"违规：超过账户风险上限","通过")))))))))</f>
        <v/>
      </c>
    </row>
    <row r="35" ht="17" spans="1:44">
      <c r="A35" s="2"/>
      <c r="B35" s="2"/>
      <c r="C35" s="10"/>
      <c r="D35" s="6"/>
      <c r="E35" s="10"/>
      <c r="F35" s="8" t="str">
        <f t="shared" si="11"/>
        <v/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$157,"止损计划",持仓跟踪!$B$2:$B$157,A35,持仓跟踪!$AC$2:$AC$157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5"/>
      <c r="J35" s="10"/>
      <c r="K35" s="5" t="str">
        <f>IF(A35="","",IFERROR(LOOKUP(2,1/((持仓跟踪!$B$2:$B$157=A35)*(持仓跟踪!$X$2:$X$157="执行卖出")*(持仓跟踪!$Y$2:$Y$157&lt;&gt;"")),持仓跟踪!$Y$2:$Y$157),""))</f>
        <v/>
      </c>
      <c r="L35" s="8" t="str">
        <f>IF(A35="","",IFERROR(LOOKUP(2,1/((持仓跟踪!$B$2:$B$157=A35)*(持仓跟踪!$X$2:$X$157="执行卖出")*(持仓跟踪!$Z$2:$Z$157&lt;&gt;"")),持仓跟踪!$Z$2:$Z$157),""))</f>
        <v/>
      </c>
      <c r="M35" s="17" t="str">
        <f>IF(A35="","",IFERROR(LOOKUP(2,1/((持仓跟踪!$B$2:$B$157=A35)*(持仓跟踪!$X$2:$X$157="执行卖出")*(持仓跟踪!$H$2:$H$157&lt;&gt;"")),持仓跟踪!$H$2:$H$157),""))</f>
        <v/>
      </c>
      <c r="N35" s="10"/>
      <c r="O35" s="10"/>
      <c r="P35" s="5" t="str">
        <f>IF(A35="","",IFERROR(LOOKUP(2,1/((持仓跟踪!$B$2:$B$157=A35)*(持仓跟踪!$X$2:$X$157="执行卖出")*(持仓跟踪!$AA$2:$AA$157&lt;&gt;"")),持仓跟踪!$AA$2:$AA$157),""))</f>
        <v/>
      </c>
      <c r="Q35" s="2"/>
      <c r="R35" s="2"/>
      <c r="S35" s="2"/>
      <c r="T35" s="2"/>
      <c r="U35" s="7" t="str">
        <f t="shared" si="12"/>
        <v/>
      </c>
      <c r="V35" s="7" t="str">
        <f t="shared" si="13"/>
        <v/>
      </c>
      <c r="W35" s="18" t="str">
        <f t="shared" si="14"/>
        <v/>
      </c>
      <c r="X35" s="5" t="str">
        <f t="shared" si="15"/>
        <v/>
      </c>
      <c r="Y35" s="7" t="str">
        <f t="shared" si="16"/>
        <v/>
      </c>
      <c r="Z35" s="7" t="str">
        <f>IF(OR(AE35="",多次统计数据!$B$8=""),"",AE35-多次统计数据!$B$8)</f>
        <v/>
      </c>
      <c r="AA35" s="11" t="str">
        <f t="shared" si="1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18"/>
        <v/>
      </c>
      <c r="AG35" s="2"/>
      <c r="AH35" s="2"/>
      <c r="AI35" s="2"/>
      <c r="AJ35" s="8" t="str">
        <f t="shared" si="19"/>
        <v/>
      </c>
      <c r="AK35" s="10"/>
      <c r="AL35" s="12"/>
      <c r="AM35" s="10"/>
      <c r="AN35" s="12"/>
      <c r="AO35" s="5" t="str">
        <f t="shared" si="20"/>
        <v/>
      </c>
      <c r="AP35" s="11" t="str">
        <f t="shared" si="21"/>
        <v/>
      </c>
      <c r="AQ35" s="5" t="str">
        <f>IF(A35="","",IF(M35&lt;&gt;"",0,IF(OR(H35="",N35=""),"",MAX(E35-MAX(N35,IFERROR(SUMPRODUCT(MAX(((持仓跟踪!$A$2:$A$157="每日跟踪")*(持仓跟踪!$B$2:$B$157=A35))*持仓跟踪!$S$2:$S$157)),0)),0)*H35+IF(OR(AK35="",AL35=""),0,MAX(AK35-MAX(N35,IFERROR(SUMPRODUCT(MAX(((持仓跟踪!$A$2:$A$157="每日跟踪")*(持仓跟踪!$B$2:$B$157=A35))*持仓跟踪!$S$2:$S$157)),0)),0)*AL35)+IF(OR(AM35="",AN35=""),0,MAX(AM35-MAX(N35,IFERROR(SUMPRODUCT(MAX(((持仓跟踪!$A$2:$A$157="每日跟踪")*(持仓跟踪!$B$2:$B$157=A35))*持仓跟踪!$S$2:$S$157)),0)),0)*AN35))))</f>
        <v/>
      </c>
      <c r="AR35" s="8" t="str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$88)&gt;账户数据!$B$7,"违规：超过账户风险上限","通过")))))))))</f>
        <v/>
      </c>
    </row>
    <row r="36" ht="17" spans="1:44">
      <c r="A36" s="2"/>
      <c r="B36" s="2"/>
      <c r="C36" s="10"/>
      <c r="D36" s="6"/>
      <c r="E36" s="10"/>
      <c r="F36" s="8" t="str">
        <f t="shared" si="11"/>
        <v/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$157,"止损计划",持仓跟踪!$B$2:$B$157,A36,持仓跟踪!$AC$2:$AC$157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5"/>
      <c r="J36" s="10"/>
      <c r="K36" s="5" t="str">
        <f>IF(A36="","",IFERROR(LOOKUP(2,1/((持仓跟踪!$B$2:$B$157=A36)*(持仓跟踪!$X$2:$X$157="执行卖出")*(持仓跟踪!$Y$2:$Y$157&lt;&gt;"")),持仓跟踪!$Y$2:$Y$157),""))</f>
        <v/>
      </c>
      <c r="L36" s="8" t="str">
        <f>IF(A36="","",IFERROR(LOOKUP(2,1/((持仓跟踪!$B$2:$B$157=A36)*(持仓跟踪!$X$2:$X$157="执行卖出")*(持仓跟踪!$Z$2:$Z$157&lt;&gt;"")),持仓跟踪!$Z$2:$Z$157),""))</f>
        <v/>
      </c>
      <c r="M36" s="17" t="str">
        <f>IF(A36="","",IFERROR(LOOKUP(2,1/((持仓跟踪!$B$2:$B$157=A36)*(持仓跟踪!$X$2:$X$157="执行卖出")*(持仓跟踪!$H$2:$H$157&lt;&gt;"")),持仓跟踪!$H$2:$H$157),""))</f>
        <v/>
      </c>
      <c r="N36" s="10"/>
      <c r="O36" s="10"/>
      <c r="P36" s="5" t="str">
        <f>IF(A36="","",IFERROR(LOOKUP(2,1/((持仓跟踪!$B$2:$B$157=A36)*(持仓跟踪!$X$2:$X$157="执行卖出")*(持仓跟踪!$AA$2:$AA$157&lt;&gt;"")),持仓跟踪!$AA$2:$AA$157),""))</f>
        <v/>
      </c>
      <c r="Q36" s="2"/>
      <c r="R36" s="2"/>
      <c r="S36" s="2"/>
      <c r="T36" s="2"/>
      <c r="U36" s="7" t="str">
        <f t="shared" si="12"/>
        <v/>
      </c>
      <c r="V36" s="7" t="str">
        <f t="shared" si="13"/>
        <v/>
      </c>
      <c r="W36" s="18" t="str">
        <f t="shared" si="14"/>
        <v/>
      </c>
      <c r="X36" s="5" t="str">
        <f t="shared" si="15"/>
        <v/>
      </c>
      <c r="Y36" s="7" t="str">
        <f t="shared" si="16"/>
        <v/>
      </c>
      <c r="Z36" s="7" t="str">
        <f>IF(OR(AE36="",多次统计数据!$B$8=""),"",AE36-多次统计数据!$B$8)</f>
        <v/>
      </c>
      <c r="AA36" s="11" t="str">
        <f t="shared" si="1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18"/>
        <v/>
      </c>
      <c r="AG36" s="2"/>
      <c r="AH36" s="2"/>
      <c r="AI36" s="2"/>
      <c r="AJ36" s="8" t="str">
        <f t="shared" si="19"/>
        <v/>
      </c>
      <c r="AK36" s="10"/>
      <c r="AL36" s="12"/>
      <c r="AM36" s="10"/>
      <c r="AN36" s="12"/>
      <c r="AO36" s="5" t="str">
        <f t="shared" si="20"/>
        <v/>
      </c>
      <c r="AP36" s="11" t="str">
        <f t="shared" si="21"/>
        <v/>
      </c>
      <c r="AQ36" s="5" t="str">
        <f>IF(A36="","",IF(M36&lt;&gt;"",0,IF(OR(H36="",N36=""),"",MAX(E36-MAX(N36,IFERROR(SUMPRODUCT(MAX(((持仓跟踪!$A$2:$A$157="每日跟踪")*(持仓跟踪!$B$2:$B$157=A36))*持仓跟踪!$S$2:$S$157)),0)),0)*H36+IF(OR(AK36="",AL36=""),0,MAX(AK36-MAX(N36,IFERROR(SUMPRODUCT(MAX(((持仓跟踪!$A$2:$A$157="每日跟踪")*(持仓跟踪!$B$2:$B$157=A36))*持仓跟踪!$S$2:$S$157)),0)),0)*AL36)+IF(OR(AM36="",AN36=""),0,MAX(AM36-MAX(N36,IFERROR(SUMPRODUCT(MAX(((持仓跟踪!$A$2:$A$157="每日跟踪")*(持仓跟踪!$B$2:$B$157=A36))*持仓跟踪!$S$2:$S$157)),0)),0)*AN36))))</f>
        <v/>
      </c>
      <c r="AR36" s="8" t="str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$88)&gt;账户数据!$B$7,"违规：超过账户风险上限","通过")))))))))</f>
        <v/>
      </c>
    </row>
    <row r="37" ht="17" spans="1:44">
      <c r="A37" s="2"/>
      <c r="B37" s="2"/>
      <c r="C37" s="10"/>
      <c r="D37" s="6"/>
      <c r="E37" s="10"/>
      <c r="F37" s="8" t="str">
        <f t="shared" si="11"/>
        <v/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$157,"止损计划",持仓跟踪!$B$2:$B$157,A37,持仓跟踪!$AC$2:$AC$157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5"/>
      <c r="J37" s="10"/>
      <c r="K37" s="5" t="str">
        <f>IF(A37="","",IFERROR(LOOKUP(2,1/((持仓跟踪!$B$2:$B$157=A37)*(持仓跟踪!$X$2:$X$157="执行卖出")*(持仓跟踪!$Y$2:$Y$157&lt;&gt;"")),持仓跟踪!$Y$2:$Y$157),""))</f>
        <v/>
      </c>
      <c r="L37" s="8" t="str">
        <f>IF(A37="","",IFERROR(LOOKUP(2,1/((持仓跟踪!$B$2:$B$157=A37)*(持仓跟踪!$X$2:$X$157="执行卖出")*(持仓跟踪!$Z$2:$Z$157&lt;&gt;"")),持仓跟踪!$Z$2:$Z$157),""))</f>
        <v/>
      </c>
      <c r="M37" s="17" t="str">
        <f>IF(A37="","",IFERROR(LOOKUP(2,1/((持仓跟踪!$B$2:$B$157=A37)*(持仓跟踪!$X$2:$X$157="执行卖出")*(持仓跟踪!$H$2:$H$157&lt;&gt;"")),持仓跟踪!$H$2:$H$157),""))</f>
        <v/>
      </c>
      <c r="N37" s="10"/>
      <c r="O37" s="10"/>
      <c r="P37" s="5" t="str">
        <f>IF(A37="","",IFERROR(LOOKUP(2,1/((持仓跟踪!$B$2:$B$157=A37)*(持仓跟踪!$X$2:$X$157="执行卖出")*(持仓跟踪!$AA$2:$AA$157&lt;&gt;"")),持仓跟踪!$AA$2:$AA$157),""))</f>
        <v/>
      </c>
      <c r="Q37" s="2"/>
      <c r="R37" s="2"/>
      <c r="S37" s="2"/>
      <c r="T37" s="2"/>
      <c r="U37" s="7" t="str">
        <f t="shared" si="12"/>
        <v/>
      </c>
      <c r="V37" s="7" t="str">
        <f t="shared" si="13"/>
        <v/>
      </c>
      <c r="W37" s="18" t="str">
        <f t="shared" si="14"/>
        <v/>
      </c>
      <c r="X37" s="5" t="str">
        <f t="shared" si="15"/>
        <v/>
      </c>
      <c r="Y37" s="7" t="str">
        <f t="shared" si="16"/>
        <v/>
      </c>
      <c r="Z37" s="7" t="str">
        <f>IF(OR(AE37="",多次统计数据!$B$8=""),"",AE37-多次统计数据!$B$8)</f>
        <v/>
      </c>
      <c r="AA37" s="11" t="str">
        <f t="shared" si="1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18"/>
        <v/>
      </c>
      <c r="AG37" s="2"/>
      <c r="AH37" s="2"/>
      <c r="AI37" s="2"/>
      <c r="AJ37" s="8" t="str">
        <f t="shared" si="19"/>
        <v/>
      </c>
      <c r="AK37" s="10"/>
      <c r="AL37" s="12"/>
      <c r="AM37" s="10"/>
      <c r="AN37" s="12"/>
      <c r="AO37" s="5" t="str">
        <f t="shared" si="20"/>
        <v/>
      </c>
      <c r="AP37" s="11" t="str">
        <f t="shared" si="21"/>
        <v/>
      </c>
      <c r="AQ37" s="5" t="str">
        <f>IF(A37="","",IF(M37&lt;&gt;"",0,IF(OR(H37="",N37=""),"",MAX(E37-MAX(N37,IFERROR(SUMPRODUCT(MAX(((持仓跟踪!$A$2:$A$157="每日跟踪")*(持仓跟踪!$B$2:$B$157=A37))*持仓跟踪!$S$2:$S$157)),0)),0)*H37+IF(OR(AK37="",AL37=""),0,MAX(AK37-MAX(N37,IFERROR(SUMPRODUCT(MAX(((持仓跟踪!$A$2:$A$157="每日跟踪")*(持仓跟踪!$B$2:$B$157=A37))*持仓跟踪!$S$2:$S$157)),0)),0)*AL37)+IF(OR(AM37="",AN37=""),0,MAX(AM37-MAX(N37,IFERROR(SUMPRODUCT(MAX(((持仓跟踪!$A$2:$A$157="每日跟踪")*(持仓跟踪!$B$2:$B$157=A37))*持仓跟踪!$S$2:$S$157)),0)),0)*AN37))))</f>
        <v/>
      </c>
      <c r="AR37" s="8" t="str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$88)&gt;账户数据!$B$7,"违规：超过账户风险上限","通过")))))))))</f>
        <v/>
      </c>
    </row>
    <row r="38" ht="17" spans="1:44">
      <c r="A38" s="2"/>
      <c r="B38" s="2"/>
      <c r="C38" s="10"/>
      <c r="D38" s="6"/>
      <c r="E38" s="10"/>
      <c r="F38" s="8" t="str">
        <f t="shared" si="11"/>
        <v/>
      </c>
      <c r="G38" s="8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$157,"止损计划",持仓跟踪!$B$2:$B$157,A38,持仓跟踪!$AC$2:$AC$157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5"/>
      <c r="J38" s="10"/>
      <c r="K38" s="5" t="str">
        <f>IF(A38="","",IFERROR(LOOKUP(2,1/((持仓跟踪!$B$2:$B$157=A38)*(持仓跟踪!$X$2:$X$157="执行卖出")*(持仓跟踪!$Y$2:$Y$157&lt;&gt;"")),持仓跟踪!$Y$2:$Y$157),""))</f>
        <v/>
      </c>
      <c r="L38" s="8" t="str">
        <f>IF(A38="","",IFERROR(LOOKUP(2,1/((持仓跟踪!$B$2:$B$157=A38)*(持仓跟踪!$X$2:$X$157="执行卖出")*(持仓跟踪!$Z$2:$Z$157&lt;&gt;"")),持仓跟踪!$Z$2:$Z$157),""))</f>
        <v/>
      </c>
      <c r="M38" s="17" t="str">
        <f>IF(A38="","",IFERROR(LOOKUP(2,1/((持仓跟踪!$B$2:$B$157=A38)*(持仓跟踪!$X$2:$X$157="执行卖出")*(持仓跟踪!$H$2:$H$157&lt;&gt;"")),持仓跟踪!$H$2:$H$157),""))</f>
        <v/>
      </c>
      <c r="N38" s="10"/>
      <c r="O38" s="10"/>
      <c r="P38" s="5" t="str">
        <f>IF(A38="","",IFERROR(LOOKUP(2,1/((持仓跟踪!$B$2:$B$157=A38)*(持仓跟踪!$X$2:$X$157="执行卖出")*(持仓跟踪!$AA$2:$AA$157&lt;&gt;"")),持仓跟踪!$AA$2:$AA$157),""))</f>
        <v/>
      </c>
      <c r="Q38" s="2"/>
      <c r="R38" s="2"/>
      <c r="S38" s="2"/>
      <c r="T38" s="2"/>
      <c r="U38" s="7" t="str">
        <f t="shared" si="12"/>
        <v/>
      </c>
      <c r="V38" s="7" t="str">
        <f t="shared" si="13"/>
        <v/>
      </c>
      <c r="W38" s="18" t="str">
        <f t="shared" si="14"/>
        <v/>
      </c>
      <c r="X38" s="5" t="str">
        <f t="shared" si="15"/>
        <v/>
      </c>
      <c r="Y38" s="7" t="str">
        <f t="shared" si="16"/>
        <v/>
      </c>
      <c r="Z38" s="7" t="str">
        <f>IF(OR(AE38="",多次统计数据!$B$8=""),"",AE38-多次统计数据!$B$8)</f>
        <v/>
      </c>
      <c r="AA38" s="11" t="str">
        <f t="shared" si="1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18"/>
        <v/>
      </c>
      <c r="AG38" s="2"/>
      <c r="AH38" s="2"/>
      <c r="AI38" s="2"/>
      <c r="AJ38" s="8" t="str">
        <f t="shared" si="19"/>
        <v/>
      </c>
      <c r="AK38" s="10"/>
      <c r="AL38" s="12"/>
      <c r="AM38" s="10"/>
      <c r="AN38" s="12"/>
      <c r="AO38" s="5" t="str">
        <f t="shared" si="20"/>
        <v/>
      </c>
      <c r="AP38" s="11" t="str">
        <f t="shared" si="21"/>
        <v/>
      </c>
      <c r="AQ38" s="5" t="str">
        <f>IF(A38="","",IF(M38&lt;&gt;"",0,IF(OR(H38="",N38=""),"",MAX(E38-MAX(N38,IFERROR(SUMPRODUCT(MAX(((持仓跟踪!$A$2:$A$157="每日跟踪")*(持仓跟踪!$B$2:$B$157=A38))*持仓跟踪!$S$2:$S$157)),0)),0)*H38+IF(OR(AK38="",AL38=""),0,MAX(AK38-MAX(N38,IFERROR(SUMPRODUCT(MAX(((持仓跟踪!$A$2:$A$157="每日跟踪")*(持仓跟踪!$B$2:$B$157=A38))*持仓跟踪!$S$2:$S$157)),0)),0)*AL38)+IF(OR(AM38="",AN38=""),0,MAX(AM38-MAX(N38,IFERROR(SUMPRODUCT(MAX(((持仓跟踪!$A$2:$A$157="每日跟踪")*(持仓跟踪!$B$2:$B$157=A38))*持仓跟踪!$S$2:$S$157)),0)),0)*AN38))))</f>
        <v/>
      </c>
      <c r="AR38" s="8" t="str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$88)&gt;账户数据!$B$7,"违规：超过账户风险上限","通过")))))))))</f>
        <v/>
      </c>
    </row>
    <row r="39" ht="17" spans="1:44">
      <c r="A39" s="2"/>
      <c r="B39" s="2"/>
      <c r="C39" s="10"/>
      <c r="D39" s="6"/>
      <c r="E39" s="10"/>
      <c r="F39" s="8" t="str">
        <f t="shared" si="11"/>
        <v/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$157,"止损计划",持仓跟踪!$B$2:$B$157,A39,持仓跟踪!$AC$2:$AC$157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5"/>
      <c r="J39" s="10"/>
      <c r="K39" s="5" t="str">
        <f>IF(A39="","",IFERROR(LOOKUP(2,1/((持仓跟踪!$B$2:$B$157=A39)*(持仓跟踪!$X$2:$X$157="执行卖出")*(持仓跟踪!$Y$2:$Y$157&lt;&gt;"")),持仓跟踪!$Y$2:$Y$157),""))</f>
        <v/>
      </c>
      <c r="L39" s="8" t="str">
        <f>IF(A39="","",IFERROR(LOOKUP(2,1/((持仓跟踪!$B$2:$B$157=A39)*(持仓跟踪!$X$2:$X$157="执行卖出")*(持仓跟踪!$Z$2:$Z$157&lt;&gt;"")),持仓跟踪!$Z$2:$Z$157),""))</f>
        <v/>
      </c>
      <c r="M39" s="17" t="str">
        <f>IF(A39="","",IFERROR(LOOKUP(2,1/((持仓跟踪!$B$2:$B$157=A39)*(持仓跟踪!$X$2:$X$157="执行卖出")*(持仓跟踪!$H$2:$H$157&lt;&gt;"")),持仓跟踪!$H$2:$H$157),""))</f>
        <v/>
      </c>
      <c r="N39" s="10"/>
      <c r="O39" s="10"/>
      <c r="P39" s="5" t="str">
        <f>IF(A39="","",IFERROR(LOOKUP(2,1/((持仓跟踪!$B$2:$B$157=A39)*(持仓跟踪!$X$2:$X$157="执行卖出")*(持仓跟踪!$AA$2:$AA$157&lt;&gt;"")),持仓跟踪!$AA$2:$AA$157),""))</f>
        <v/>
      </c>
      <c r="Q39" s="2"/>
      <c r="R39" s="2"/>
      <c r="S39" s="2"/>
      <c r="T39" s="2"/>
      <c r="U39" s="7" t="str">
        <f t="shared" si="12"/>
        <v/>
      </c>
      <c r="V39" s="7" t="str">
        <f t="shared" si="13"/>
        <v/>
      </c>
      <c r="W39" s="18" t="str">
        <f t="shared" si="14"/>
        <v/>
      </c>
      <c r="X39" s="5" t="str">
        <f t="shared" si="15"/>
        <v/>
      </c>
      <c r="Y39" s="7" t="str">
        <f t="shared" si="16"/>
        <v/>
      </c>
      <c r="Z39" s="7" t="str">
        <f>IF(OR(AE39="",多次统计数据!$B$8=""),"",AE39-多次统计数据!$B$8)</f>
        <v/>
      </c>
      <c r="AA39" s="11" t="str">
        <f t="shared" si="1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18"/>
        <v/>
      </c>
      <c r="AG39" s="2"/>
      <c r="AH39" s="2"/>
      <c r="AI39" s="2"/>
      <c r="AJ39" s="8" t="str">
        <f t="shared" si="19"/>
        <v/>
      </c>
      <c r="AK39" s="10"/>
      <c r="AL39" s="12"/>
      <c r="AM39" s="10"/>
      <c r="AN39" s="12"/>
      <c r="AO39" s="5" t="str">
        <f t="shared" si="20"/>
        <v/>
      </c>
      <c r="AP39" s="11" t="str">
        <f t="shared" si="21"/>
        <v/>
      </c>
      <c r="AQ39" s="5" t="str">
        <f>IF(A39="","",IF(M39&lt;&gt;"",0,IF(OR(H39="",N39=""),"",MAX(E39-MAX(N39,IFERROR(SUMPRODUCT(MAX(((持仓跟踪!$A$2:$A$157="每日跟踪")*(持仓跟踪!$B$2:$B$157=A39))*持仓跟踪!$S$2:$S$157)),0)),0)*H39+IF(OR(AK39="",AL39=""),0,MAX(AK39-MAX(N39,IFERROR(SUMPRODUCT(MAX(((持仓跟踪!$A$2:$A$157="每日跟踪")*(持仓跟踪!$B$2:$B$157=A39))*持仓跟踪!$S$2:$S$157)),0)),0)*AL39)+IF(OR(AM39="",AN39=""),0,MAX(AM39-MAX(N39,IFERROR(SUMPRODUCT(MAX(((持仓跟踪!$A$2:$A$157="每日跟踪")*(持仓跟踪!$B$2:$B$157=A39))*持仓跟踪!$S$2:$S$157)),0)),0)*AN39))))</f>
        <v/>
      </c>
      <c r="AR39" s="8" t="str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$88)&gt;账户数据!$B$7,"违规：超过账户风险上限","通过")))))))))</f>
        <v/>
      </c>
    </row>
    <row r="40" ht="17" spans="1:44">
      <c r="A40" s="2"/>
      <c r="B40" s="2"/>
      <c r="C40" s="10"/>
      <c r="D40" s="6"/>
      <c r="E40" s="10"/>
      <c r="F40" s="8" t="str">
        <f t="shared" si="11"/>
        <v/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$157,"止损计划",持仓跟踪!$B$2:$B$157,A40,持仓跟踪!$AC$2:$AC$157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5"/>
      <c r="J40" s="10"/>
      <c r="K40" s="5" t="str">
        <f>IF(A40="","",IFERROR(LOOKUP(2,1/((持仓跟踪!$B$2:$B$157=A40)*(持仓跟踪!$X$2:$X$157="执行卖出")*(持仓跟踪!$Y$2:$Y$157&lt;&gt;"")),持仓跟踪!$Y$2:$Y$157),""))</f>
        <v/>
      </c>
      <c r="L40" s="8" t="str">
        <f>IF(A40="","",IFERROR(LOOKUP(2,1/((持仓跟踪!$B$2:$B$157=A40)*(持仓跟踪!$X$2:$X$157="执行卖出")*(持仓跟踪!$Z$2:$Z$157&lt;&gt;"")),持仓跟踪!$Z$2:$Z$157),""))</f>
        <v/>
      </c>
      <c r="M40" s="17" t="str">
        <f>IF(A40="","",IFERROR(LOOKUP(2,1/((持仓跟踪!$B$2:$B$157=A40)*(持仓跟踪!$X$2:$X$157="执行卖出")*(持仓跟踪!$H$2:$H$157&lt;&gt;"")),持仓跟踪!$H$2:$H$157),""))</f>
        <v/>
      </c>
      <c r="N40" s="10"/>
      <c r="O40" s="10"/>
      <c r="P40" s="5" t="str">
        <f>IF(A40="","",IFERROR(LOOKUP(2,1/((持仓跟踪!$B$2:$B$157=A40)*(持仓跟踪!$X$2:$X$157="执行卖出")*(持仓跟踪!$AA$2:$AA$157&lt;&gt;"")),持仓跟踪!$AA$2:$AA$157),""))</f>
        <v/>
      </c>
      <c r="Q40" s="2"/>
      <c r="R40" s="2"/>
      <c r="S40" s="2"/>
      <c r="T40" s="2"/>
      <c r="U40" s="7" t="str">
        <f t="shared" si="12"/>
        <v/>
      </c>
      <c r="V40" s="7" t="str">
        <f t="shared" si="13"/>
        <v/>
      </c>
      <c r="W40" s="18" t="str">
        <f t="shared" si="14"/>
        <v/>
      </c>
      <c r="X40" s="5" t="str">
        <f t="shared" si="15"/>
        <v/>
      </c>
      <c r="Y40" s="7" t="str">
        <f t="shared" si="16"/>
        <v/>
      </c>
      <c r="Z40" s="7" t="str">
        <f>IF(OR(AE40="",多次统计数据!$B$8=""),"",AE40-多次统计数据!$B$8)</f>
        <v/>
      </c>
      <c r="AA40" s="11" t="str">
        <f t="shared" si="1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18"/>
        <v/>
      </c>
      <c r="AG40" s="2"/>
      <c r="AH40" s="2"/>
      <c r="AI40" s="2"/>
      <c r="AJ40" s="8" t="str">
        <f t="shared" si="19"/>
        <v/>
      </c>
      <c r="AK40" s="10"/>
      <c r="AL40" s="12"/>
      <c r="AM40" s="10"/>
      <c r="AN40" s="12"/>
      <c r="AO40" s="5" t="str">
        <f t="shared" si="20"/>
        <v/>
      </c>
      <c r="AP40" s="11" t="str">
        <f t="shared" si="21"/>
        <v/>
      </c>
      <c r="AQ40" s="5" t="str">
        <f>IF(A40="","",IF(M40&lt;&gt;"",0,IF(OR(H40="",N40=""),"",MAX(E40-MAX(N40,IFERROR(SUMPRODUCT(MAX(((持仓跟踪!$A$2:$A$157="每日跟踪")*(持仓跟踪!$B$2:$B$157=A40))*持仓跟踪!$S$2:$S$157)),0)),0)*H40+IF(OR(AK40="",AL40=""),0,MAX(AK40-MAX(N40,IFERROR(SUMPRODUCT(MAX(((持仓跟踪!$A$2:$A$157="每日跟踪")*(持仓跟踪!$B$2:$B$157=A40))*持仓跟踪!$S$2:$S$157)),0)),0)*AL40)+IF(OR(AM40="",AN40=""),0,MAX(AM40-MAX(N40,IFERROR(SUMPRODUCT(MAX(((持仓跟踪!$A$2:$A$157="每日跟踪")*(持仓跟踪!$B$2:$B$157=A40))*持仓跟踪!$S$2:$S$157)),0)),0)*AN40))))</f>
        <v/>
      </c>
      <c r="AR40" s="8" t="str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$88)&gt;账户数据!$B$7,"违规：超过账户风险上限","通过")))))))))</f>
        <v/>
      </c>
    </row>
    <row r="41" ht="17" spans="1:44">
      <c r="A41" s="2"/>
      <c r="B41" s="2"/>
      <c r="C41" s="10"/>
      <c r="D41" s="6"/>
      <c r="E41" s="10"/>
      <c r="F41" s="8" t="str">
        <f t="shared" si="11"/>
        <v/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$157,"止损计划",持仓跟踪!$B$2:$B$157,A41,持仓跟踪!$AC$2:$AC$157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5"/>
      <c r="J41" s="10"/>
      <c r="K41" s="5" t="str">
        <f>IF(A41="","",IFERROR(LOOKUP(2,1/((持仓跟踪!$B$2:$B$157=A41)*(持仓跟踪!$X$2:$X$157="执行卖出")*(持仓跟踪!$Y$2:$Y$157&lt;&gt;"")),持仓跟踪!$Y$2:$Y$157),""))</f>
        <v/>
      </c>
      <c r="L41" s="8" t="str">
        <f>IF(A41="","",IFERROR(LOOKUP(2,1/((持仓跟踪!$B$2:$B$157=A41)*(持仓跟踪!$X$2:$X$157="执行卖出")*(持仓跟踪!$Z$2:$Z$157&lt;&gt;"")),持仓跟踪!$Z$2:$Z$157),""))</f>
        <v/>
      </c>
      <c r="M41" s="17" t="str">
        <f>IF(A41="","",IFERROR(LOOKUP(2,1/((持仓跟踪!$B$2:$B$157=A41)*(持仓跟踪!$X$2:$X$157="执行卖出")*(持仓跟踪!$H$2:$H$157&lt;&gt;"")),持仓跟踪!$H$2:$H$157),""))</f>
        <v/>
      </c>
      <c r="N41" s="10"/>
      <c r="O41" s="10"/>
      <c r="P41" s="5" t="str">
        <f>IF(A41="","",IFERROR(LOOKUP(2,1/((持仓跟踪!$B$2:$B$157=A41)*(持仓跟踪!$X$2:$X$157="执行卖出")*(持仓跟踪!$AA$2:$AA$157&lt;&gt;"")),持仓跟踪!$AA$2:$AA$157),""))</f>
        <v/>
      </c>
      <c r="Q41" s="2"/>
      <c r="R41" s="2"/>
      <c r="S41" s="2"/>
      <c r="T41" s="2"/>
      <c r="U41" s="7" t="str">
        <f t="shared" si="12"/>
        <v/>
      </c>
      <c r="V41" s="7" t="str">
        <f t="shared" si="13"/>
        <v/>
      </c>
      <c r="W41" s="18" t="str">
        <f t="shared" si="14"/>
        <v/>
      </c>
      <c r="X41" s="5" t="str">
        <f t="shared" si="15"/>
        <v/>
      </c>
      <c r="Y41" s="7" t="str">
        <f t="shared" si="16"/>
        <v/>
      </c>
      <c r="Z41" s="7" t="str">
        <f>IF(OR(AE41="",多次统计数据!$B$8=""),"",AE41-多次统计数据!$B$8)</f>
        <v/>
      </c>
      <c r="AA41" s="11" t="str">
        <f t="shared" si="1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18"/>
        <v/>
      </c>
      <c r="AG41" s="2"/>
      <c r="AH41" s="2"/>
      <c r="AI41" s="2"/>
      <c r="AJ41" s="8" t="str">
        <f t="shared" si="19"/>
        <v/>
      </c>
      <c r="AK41" s="10"/>
      <c r="AL41" s="12"/>
      <c r="AM41" s="10"/>
      <c r="AN41" s="12"/>
      <c r="AO41" s="5" t="str">
        <f t="shared" si="20"/>
        <v/>
      </c>
      <c r="AP41" s="11" t="str">
        <f t="shared" si="21"/>
        <v/>
      </c>
      <c r="AQ41" s="5" t="str">
        <f>IF(A41="","",IF(M41&lt;&gt;"",0,IF(OR(H41="",N41=""),"",MAX(E41-MAX(N41,IFERROR(SUMPRODUCT(MAX(((持仓跟踪!$A$2:$A$157="每日跟踪")*(持仓跟踪!$B$2:$B$157=A41))*持仓跟踪!$S$2:$S$157)),0)),0)*H41+IF(OR(AK41="",AL41=""),0,MAX(AK41-MAX(N41,IFERROR(SUMPRODUCT(MAX(((持仓跟踪!$A$2:$A$157="每日跟踪")*(持仓跟踪!$B$2:$B$157=A41))*持仓跟踪!$S$2:$S$157)),0)),0)*AL41)+IF(OR(AM41="",AN41=""),0,MAX(AM41-MAX(N41,IFERROR(SUMPRODUCT(MAX(((持仓跟踪!$A$2:$A$157="每日跟踪")*(持仓跟踪!$B$2:$B$157=A41))*持仓跟踪!$S$2:$S$157)),0)),0)*AN41))))</f>
        <v/>
      </c>
      <c r="AR41" s="8" t="str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$88)&gt;账户数据!$B$7,"违规：超过账户风险上限","通过")))))))))</f>
        <v/>
      </c>
    </row>
    <row r="42" ht="17" spans="1:44">
      <c r="A42" s="2"/>
      <c r="B42" s="2"/>
      <c r="C42" s="10"/>
      <c r="D42" s="6"/>
      <c r="E42" s="10"/>
      <c r="F42" s="8" t="str">
        <f t="shared" si="11"/>
        <v/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$157,"止损计划",持仓跟踪!$B$2:$B$157,A42,持仓跟踪!$AC$2:$AC$157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5"/>
      <c r="J42" s="10"/>
      <c r="K42" s="5" t="str">
        <f>IF(A42="","",IFERROR(LOOKUP(2,1/((持仓跟踪!$B$2:$B$157=A42)*(持仓跟踪!$X$2:$X$157="执行卖出")*(持仓跟踪!$Y$2:$Y$157&lt;&gt;"")),持仓跟踪!$Y$2:$Y$157),""))</f>
        <v/>
      </c>
      <c r="L42" s="8" t="str">
        <f>IF(A42="","",IFERROR(LOOKUP(2,1/((持仓跟踪!$B$2:$B$157=A42)*(持仓跟踪!$X$2:$X$157="执行卖出")*(持仓跟踪!$Z$2:$Z$157&lt;&gt;"")),持仓跟踪!$Z$2:$Z$157),""))</f>
        <v/>
      </c>
      <c r="M42" s="17" t="str">
        <f>IF(A42="","",IFERROR(LOOKUP(2,1/((持仓跟踪!$B$2:$B$157=A42)*(持仓跟踪!$X$2:$X$157="执行卖出")*(持仓跟踪!$H$2:$H$157&lt;&gt;"")),持仓跟踪!$H$2:$H$157),""))</f>
        <v/>
      </c>
      <c r="N42" s="10"/>
      <c r="O42" s="10"/>
      <c r="P42" s="5" t="str">
        <f>IF(A42="","",IFERROR(LOOKUP(2,1/((持仓跟踪!$B$2:$B$157=A42)*(持仓跟踪!$X$2:$X$157="执行卖出")*(持仓跟踪!$AA$2:$AA$157&lt;&gt;"")),持仓跟踪!$AA$2:$AA$157),""))</f>
        <v/>
      </c>
      <c r="Q42" s="2"/>
      <c r="R42" s="2"/>
      <c r="S42" s="2"/>
      <c r="T42" s="2"/>
      <c r="U42" s="7" t="str">
        <f t="shared" si="12"/>
        <v/>
      </c>
      <c r="V42" s="7" t="str">
        <f t="shared" si="13"/>
        <v/>
      </c>
      <c r="W42" s="18" t="str">
        <f t="shared" si="14"/>
        <v/>
      </c>
      <c r="X42" s="5" t="str">
        <f t="shared" si="15"/>
        <v/>
      </c>
      <c r="Y42" s="7" t="str">
        <f t="shared" si="16"/>
        <v/>
      </c>
      <c r="Z42" s="7" t="str">
        <f>IF(OR(AE42="",多次统计数据!$B$8=""),"",AE42-多次统计数据!$B$8)</f>
        <v/>
      </c>
      <c r="AA42" s="11" t="str">
        <f t="shared" si="1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18"/>
        <v/>
      </c>
      <c r="AG42" s="2"/>
      <c r="AH42" s="2"/>
      <c r="AI42" s="2"/>
      <c r="AJ42" s="8" t="str">
        <f t="shared" si="19"/>
        <v/>
      </c>
      <c r="AK42" s="10"/>
      <c r="AL42" s="12"/>
      <c r="AM42" s="10"/>
      <c r="AN42" s="12"/>
      <c r="AO42" s="5" t="str">
        <f t="shared" si="20"/>
        <v/>
      </c>
      <c r="AP42" s="11" t="str">
        <f t="shared" si="21"/>
        <v/>
      </c>
      <c r="AQ42" s="5" t="str">
        <f>IF(A42="","",IF(M42&lt;&gt;"",0,IF(OR(H42="",N42=""),"",MAX(E42-MAX(N42,IFERROR(SUMPRODUCT(MAX(((持仓跟踪!$A$2:$A$157="每日跟踪")*(持仓跟踪!$B$2:$B$157=A42))*持仓跟踪!$S$2:$S$157)),0)),0)*H42+IF(OR(AK42="",AL42=""),0,MAX(AK42-MAX(N42,IFERROR(SUMPRODUCT(MAX(((持仓跟踪!$A$2:$A$157="每日跟踪")*(持仓跟踪!$B$2:$B$157=A42))*持仓跟踪!$S$2:$S$157)),0)),0)*AL42)+IF(OR(AM42="",AN42=""),0,MAX(AM42-MAX(N42,IFERROR(SUMPRODUCT(MAX(((持仓跟踪!$A$2:$A$157="每日跟踪")*(持仓跟踪!$B$2:$B$157=A42))*持仓跟踪!$S$2:$S$157)),0)),0)*AN42))))</f>
        <v/>
      </c>
      <c r="AR42" s="8" t="str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$88)&gt;账户数据!$B$7,"违规：超过账户风险上限","通过")))))))))</f>
        <v/>
      </c>
    </row>
    <row r="43" ht="17" spans="1:44">
      <c r="A43" s="2"/>
      <c r="B43" s="2"/>
      <c r="C43" s="10"/>
      <c r="D43" s="6"/>
      <c r="E43" s="10"/>
      <c r="F43" s="8" t="str">
        <f t="shared" si="11"/>
        <v/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$157,"止损计划",持仓跟踪!$B$2:$B$157,A43,持仓跟踪!$AC$2:$AC$157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5"/>
      <c r="J43" s="10"/>
      <c r="K43" s="5" t="str">
        <f>IF(A43="","",IFERROR(LOOKUP(2,1/((持仓跟踪!$B$2:$B$157=A43)*(持仓跟踪!$X$2:$X$157="执行卖出")*(持仓跟踪!$Y$2:$Y$157&lt;&gt;"")),持仓跟踪!$Y$2:$Y$157),""))</f>
        <v/>
      </c>
      <c r="L43" s="8" t="str">
        <f>IF(A43="","",IFERROR(LOOKUP(2,1/((持仓跟踪!$B$2:$B$157=A43)*(持仓跟踪!$X$2:$X$157="执行卖出")*(持仓跟踪!$Z$2:$Z$157&lt;&gt;"")),持仓跟踪!$Z$2:$Z$157),""))</f>
        <v/>
      </c>
      <c r="M43" s="17" t="str">
        <f>IF(A43="","",IFERROR(LOOKUP(2,1/((持仓跟踪!$B$2:$B$157=A43)*(持仓跟踪!$X$2:$X$157="执行卖出")*(持仓跟踪!$H$2:$H$157&lt;&gt;"")),持仓跟踪!$H$2:$H$157),""))</f>
        <v/>
      </c>
      <c r="N43" s="10"/>
      <c r="O43" s="10"/>
      <c r="P43" s="5" t="str">
        <f>IF(A43="","",IFERROR(LOOKUP(2,1/((持仓跟踪!$B$2:$B$157=A43)*(持仓跟踪!$X$2:$X$157="执行卖出")*(持仓跟踪!$AA$2:$AA$157&lt;&gt;"")),持仓跟踪!$AA$2:$AA$157),""))</f>
        <v/>
      </c>
      <c r="Q43" s="2"/>
      <c r="R43" s="2"/>
      <c r="S43" s="2"/>
      <c r="T43" s="2"/>
      <c r="U43" s="7" t="str">
        <f t="shared" si="12"/>
        <v/>
      </c>
      <c r="V43" s="7" t="str">
        <f t="shared" si="13"/>
        <v/>
      </c>
      <c r="W43" s="18" t="str">
        <f t="shared" si="14"/>
        <v/>
      </c>
      <c r="X43" s="5" t="str">
        <f t="shared" si="15"/>
        <v/>
      </c>
      <c r="Y43" s="7" t="str">
        <f t="shared" si="16"/>
        <v/>
      </c>
      <c r="Z43" s="7" t="str">
        <f>IF(OR(AE43="",多次统计数据!$B$8=""),"",AE43-多次统计数据!$B$8)</f>
        <v/>
      </c>
      <c r="AA43" s="11" t="str">
        <f t="shared" si="1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18"/>
        <v/>
      </c>
      <c r="AG43" s="2"/>
      <c r="AH43" s="2"/>
      <c r="AI43" s="2"/>
      <c r="AJ43" s="8" t="str">
        <f t="shared" si="19"/>
        <v/>
      </c>
      <c r="AK43" s="10"/>
      <c r="AL43" s="12"/>
      <c r="AM43" s="10"/>
      <c r="AN43" s="12"/>
      <c r="AO43" s="5" t="str">
        <f t="shared" si="20"/>
        <v/>
      </c>
      <c r="AP43" s="11" t="str">
        <f t="shared" si="21"/>
        <v/>
      </c>
      <c r="AQ43" s="5" t="str">
        <f>IF(A43="","",IF(M43&lt;&gt;"",0,IF(OR(H43="",N43=""),"",MAX(E43-MAX(N43,IFERROR(SUMPRODUCT(MAX(((持仓跟踪!$A$2:$A$157="每日跟踪")*(持仓跟踪!$B$2:$B$157=A43))*持仓跟踪!$S$2:$S$157)),0)),0)*H43+IF(OR(AK43="",AL43=""),0,MAX(AK43-MAX(N43,IFERROR(SUMPRODUCT(MAX(((持仓跟踪!$A$2:$A$157="每日跟踪")*(持仓跟踪!$B$2:$B$157=A43))*持仓跟踪!$S$2:$S$157)),0)),0)*AL43)+IF(OR(AM43="",AN43=""),0,MAX(AM43-MAX(N43,IFERROR(SUMPRODUCT(MAX(((持仓跟踪!$A$2:$A$157="每日跟踪")*(持仓跟踪!$B$2:$B$157=A43))*持仓跟踪!$S$2:$S$157)),0)),0)*AN43))))</f>
        <v/>
      </c>
      <c r="AR43" s="8" t="str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$88)&gt;账户数据!$B$7,"违规：超过账户风险上限","通过")))))))))</f>
        <v/>
      </c>
    </row>
    <row r="44" ht="17" spans="1:44">
      <c r="A44" s="2"/>
      <c r="B44" s="2"/>
      <c r="C44" s="10"/>
      <c r="D44" s="6"/>
      <c r="E44" s="10"/>
      <c r="F44" s="8" t="str">
        <f t="shared" si="11"/>
        <v/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$157,"止损计划",持仓跟踪!$B$2:$B$157,A44,持仓跟踪!$AC$2:$AC$157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5"/>
      <c r="J44" s="10"/>
      <c r="K44" s="5" t="str">
        <f>IF(A44="","",IFERROR(LOOKUP(2,1/((持仓跟踪!$B$2:$B$157=A44)*(持仓跟踪!$X$2:$X$157="执行卖出")*(持仓跟踪!$Y$2:$Y$157&lt;&gt;"")),持仓跟踪!$Y$2:$Y$157),""))</f>
        <v/>
      </c>
      <c r="L44" s="8" t="str">
        <f>IF(A44="","",IFERROR(LOOKUP(2,1/((持仓跟踪!$B$2:$B$157=A44)*(持仓跟踪!$X$2:$X$157="执行卖出")*(持仓跟踪!$Z$2:$Z$157&lt;&gt;"")),持仓跟踪!$Z$2:$Z$157),""))</f>
        <v/>
      </c>
      <c r="M44" s="17" t="str">
        <f>IF(A44="","",IFERROR(LOOKUP(2,1/((持仓跟踪!$B$2:$B$157=A44)*(持仓跟踪!$X$2:$X$157="执行卖出")*(持仓跟踪!$H$2:$H$157&lt;&gt;"")),持仓跟踪!$H$2:$H$157),""))</f>
        <v/>
      </c>
      <c r="N44" s="10"/>
      <c r="O44" s="10"/>
      <c r="P44" s="5" t="str">
        <f>IF(A44="","",IFERROR(LOOKUP(2,1/((持仓跟踪!$B$2:$B$157=A44)*(持仓跟踪!$X$2:$X$157="执行卖出")*(持仓跟踪!$AA$2:$AA$157&lt;&gt;"")),持仓跟踪!$AA$2:$AA$157),""))</f>
        <v/>
      </c>
      <c r="Q44" s="2"/>
      <c r="R44" s="2"/>
      <c r="S44" s="2"/>
      <c r="T44" s="2"/>
      <c r="U44" s="7" t="str">
        <f t="shared" si="12"/>
        <v/>
      </c>
      <c r="V44" s="7" t="str">
        <f t="shared" si="13"/>
        <v/>
      </c>
      <c r="W44" s="18" t="str">
        <f t="shared" si="14"/>
        <v/>
      </c>
      <c r="X44" s="5" t="str">
        <f t="shared" si="15"/>
        <v/>
      </c>
      <c r="Y44" s="7" t="str">
        <f t="shared" si="16"/>
        <v/>
      </c>
      <c r="Z44" s="7" t="str">
        <f>IF(OR(AE44="",多次统计数据!$B$8=""),"",AE44-多次统计数据!$B$8)</f>
        <v/>
      </c>
      <c r="AA44" s="11" t="str">
        <f t="shared" si="1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18"/>
        <v/>
      </c>
      <c r="AG44" s="2"/>
      <c r="AH44" s="2"/>
      <c r="AI44" s="2"/>
      <c r="AJ44" s="8" t="str">
        <f t="shared" si="19"/>
        <v/>
      </c>
      <c r="AK44" s="10"/>
      <c r="AL44" s="12"/>
      <c r="AM44" s="10"/>
      <c r="AN44" s="12"/>
      <c r="AO44" s="5" t="str">
        <f t="shared" si="20"/>
        <v/>
      </c>
      <c r="AP44" s="11" t="str">
        <f t="shared" si="21"/>
        <v/>
      </c>
      <c r="AQ44" s="5" t="str">
        <f>IF(A44="","",IF(M44&lt;&gt;"",0,IF(OR(H44="",N44=""),"",MAX(E44-MAX(N44,IFERROR(SUMPRODUCT(MAX(((持仓跟踪!$A$2:$A$157="每日跟踪")*(持仓跟踪!$B$2:$B$157=A44))*持仓跟踪!$S$2:$S$157)),0)),0)*H44+IF(OR(AK44="",AL44=""),0,MAX(AK44-MAX(N44,IFERROR(SUMPRODUCT(MAX(((持仓跟踪!$A$2:$A$157="每日跟踪")*(持仓跟踪!$B$2:$B$157=A44))*持仓跟踪!$S$2:$S$157)),0)),0)*AL44)+IF(OR(AM44="",AN44=""),0,MAX(AM44-MAX(N44,IFERROR(SUMPRODUCT(MAX(((持仓跟踪!$A$2:$A$157="每日跟踪")*(持仓跟踪!$B$2:$B$157=A44))*持仓跟踪!$S$2:$S$157)),0)),0)*AN44))))</f>
        <v/>
      </c>
      <c r="AR44" s="8" t="str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$88)&gt;账户数据!$B$7,"违规：超过账户风险上限","通过")))))))))</f>
        <v/>
      </c>
    </row>
    <row r="45" ht="17" spans="1:44">
      <c r="A45" s="2"/>
      <c r="B45" s="2"/>
      <c r="C45" s="10"/>
      <c r="D45" s="6"/>
      <c r="E45" s="10"/>
      <c r="F45" s="8" t="str">
        <f t="shared" si="11"/>
        <v/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$157,"止损计划",持仓跟踪!$B$2:$B$157,A45,持仓跟踪!$AC$2:$AC$157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5"/>
      <c r="J45" s="10"/>
      <c r="K45" s="5" t="str">
        <f>IF(A45="","",IFERROR(LOOKUP(2,1/((持仓跟踪!$B$2:$B$157=A45)*(持仓跟踪!$X$2:$X$157="执行卖出")*(持仓跟踪!$Y$2:$Y$157&lt;&gt;"")),持仓跟踪!$Y$2:$Y$157),""))</f>
        <v/>
      </c>
      <c r="L45" s="8" t="str">
        <f>IF(A45="","",IFERROR(LOOKUP(2,1/((持仓跟踪!$B$2:$B$157=A45)*(持仓跟踪!$X$2:$X$157="执行卖出")*(持仓跟踪!$Z$2:$Z$157&lt;&gt;"")),持仓跟踪!$Z$2:$Z$157),""))</f>
        <v/>
      </c>
      <c r="M45" s="17" t="str">
        <f>IF(A45="","",IFERROR(LOOKUP(2,1/((持仓跟踪!$B$2:$B$157=A45)*(持仓跟踪!$X$2:$X$157="执行卖出")*(持仓跟踪!$H$2:$H$157&lt;&gt;"")),持仓跟踪!$H$2:$H$157),""))</f>
        <v/>
      </c>
      <c r="N45" s="10"/>
      <c r="O45" s="10"/>
      <c r="P45" s="5" t="str">
        <f>IF(A45="","",IFERROR(LOOKUP(2,1/((持仓跟踪!$B$2:$B$157=A45)*(持仓跟踪!$X$2:$X$157="执行卖出")*(持仓跟踪!$AA$2:$AA$157&lt;&gt;"")),持仓跟踪!$AA$2:$AA$157),""))</f>
        <v/>
      </c>
      <c r="Q45" s="2"/>
      <c r="R45" s="2"/>
      <c r="S45" s="2"/>
      <c r="T45" s="2"/>
      <c r="U45" s="7" t="str">
        <f t="shared" si="12"/>
        <v/>
      </c>
      <c r="V45" s="7" t="str">
        <f t="shared" si="13"/>
        <v/>
      </c>
      <c r="W45" s="18" t="str">
        <f t="shared" si="14"/>
        <v/>
      </c>
      <c r="X45" s="5" t="str">
        <f t="shared" si="15"/>
        <v/>
      </c>
      <c r="Y45" s="7" t="str">
        <f t="shared" si="16"/>
        <v/>
      </c>
      <c r="Z45" s="7" t="str">
        <f>IF(OR(AE45="",多次统计数据!$B$8=""),"",AE45-多次统计数据!$B$8)</f>
        <v/>
      </c>
      <c r="AA45" s="11" t="str">
        <f t="shared" si="1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18"/>
        <v/>
      </c>
      <c r="AG45" s="2"/>
      <c r="AH45" s="2"/>
      <c r="AI45" s="2"/>
      <c r="AJ45" s="8" t="str">
        <f t="shared" si="19"/>
        <v/>
      </c>
      <c r="AK45" s="10"/>
      <c r="AL45" s="12"/>
      <c r="AM45" s="10"/>
      <c r="AN45" s="12"/>
      <c r="AO45" s="5" t="str">
        <f t="shared" si="20"/>
        <v/>
      </c>
      <c r="AP45" s="11" t="str">
        <f t="shared" si="21"/>
        <v/>
      </c>
      <c r="AQ45" s="5" t="str">
        <f>IF(A45="","",IF(M45&lt;&gt;"",0,IF(OR(H45="",N45=""),"",MAX(E45-MAX(N45,IFERROR(SUMPRODUCT(MAX(((持仓跟踪!$A$2:$A$157="每日跟踪")*(持仓跟踪!$B$2:$B$157=A45))*持仓跟踪!$S$2:$S$157)),0)),0)*H45+IF(OR(AK45="",AL45=""),0,MAX(AK45-MAX(N45,IFERROR(SUMPRODUCT(MAX(((持仓跟踪!$A$2:$A$157="每日跟踪")*(持仓跟踪!$B$2:$B$157=A45))*持仓跟踪!$S$2:$S$157)),0)),0)*AL45)+IF(OR(AM45="",AN45=""),0,MAX(AM45-MAX(N45,IFERROR(SUMPRODUCT(MAX(((持仓跟踪!$A$2:$A$157="每日跟踪")*(持仓跟踪!$B$2:$B$157=A45))*持仓跟踪!$S$2:$S$157)),0)),0)*AN45))))</f>
        <v/>
      </c>
      <c r="AR45" s="8" t="str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$88)&gt;账户数据!$B$7,"违规：超过账户风险上限","通过")))))))))</f>
        <v/>
      </c>
    </row>
    <row r="46" ht="17" spans="1:44">
      <c r="A46" s="2"/>
      <c r="B46" s="2"/>
      <c r="C46" s="10"/>
      <c r="D46" s="6"/>
      <c r="E46" s="10"/>
      <c r="F46" s="8" t="str">
        <f t="shared" si="11"/>
        <v/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$157,"止损计划",持仓跟踪!$B$2:$B$157,A46,持仓跟踪!$AC$2:$AC$157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5"/>
      <c r="J46" s="10"/>
      <c r="K46" s="5" t="str">
        <f>IF(A46="","",IFERROR(LOOKUP(2,1/((持仓跟踪!$B$2:$B$157=A46)*(持仓跟踪!$X$2:$X$157="执行卖出")*(持仓跟踪!$Y$2:$Y$157&lt;&gt;"")),持仓跟踪!$Y$2:$Y$157),""))</f>
        <v/>
      </c>
      <c r="L46" s="8" t="str">
        <f>IF(A46="","",IFERROR(LOOKUP(2,1/((持仓跟踪!$B$2:$B$157=A46)*(持仓跟踪!$X$2:$X$157="执行卖出")*(持仓跟踪!$Z$2:$Z$157&lt;&gt;"")),持仓跟踪!$Z$2:$Z$157),""))</f>
        <v/>
      </c>
      <c r="M46" s="17" t="str">
        <f>IF(A46="","",IFERROR(LOOKUP(2,1/((持仓跟踪!$B$2:$B$157=A46)*(持仓跟踪!$X$2:$X$157="执行卖出")*(持仓跟踪!$H$2:$H$157&lt;&gt;"")),持仓跟踪!$H$2:$H$157),""))</f>
        <v/>
      </c>
      <c r="N46" s="10"/>
      <c r="O46" s="10"/>
      <c r="P46" s="5" t="str">
        <f>IF(A46="","",IFERROR(LOOKUP(2,1/((持仓跟踪!$B$2:$B$157=A46)*(持仓跟踪!$X$2:$X$157="执行卖出")*(持仓跟踪!$AA$2:$AA$157&lt;&gt;"")),持仓跟踪!$AA$2:$AA$157),""))</f>
        <v/>
      </c>
      <c r="Q46" s="2"/>
      <c r="R46" s="2"/>
      <c r="S46" s="2"/>
      <c r="T46" s="2"/>
      <c r="U46" s="7" t="str">
        <f t="shared" si="12"/>
        <v/>
      </c>
      <c r="V46" s="7" t="str">
        <f t="shared" si="13"/>
        <v/>
      </c>
      <c r="W46" s="18" t="str">
        <f t="shared" si="14"/>
        <v/>
      </c>
      <c r="X46" s="5" t="str">
        <f t="shared" si="15"/>
        <v/>
      </c>
      <c r="Y46" s="7" t="str">
        <f t="shared" si="16"/>
        <v/>
      </c>
      <c r="Z46" s="7" t="str">
        <f>IF(OR(AE46="",多次统计数据!$B$8=""),"",AE46-多次统计数据!$B$8)</f>
        <v/>
      </c>
      <c r="AA46" s="11" t="str">
        <f t="shared" si="1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18"/>
        <v/>
      </c>
      <c r="AG46" s="2"/>
      <c r="AH46" s="2"/>
      <c r="AI46" s="2"/>
      <c r="AJ46" s="8" t="str">
        <f t="shared" si="19"/>
        <v/>
      </c>
      <c r="AK46" s="10"/>
      <c r="AL46" s="12"/>
      <c r="AM46" s="10"/>
      <c r="AN46" s="12"/>
      <c r="AO46" s="5" t="str">
        <f t="shared" si="20"/>
        <v/>
      </c>
      <c r="AP46" s="11" t="str">
        <f t="shared" si="21"/>
        <v/>
      </c>
      <c r="AQ46" s="5" t="str">
        <f>IF(A46="","",IF(M46&lt;&gt;"",0,IF(OR(H46="",N46=""),"",MAX(E46-MAX(N46,IFERROR(SUMPRODUCT(MAX(((持仓跟踪!$A$2:$A$157="每日跟踪")*(持仓跟踪!$B$2:$B$157=A46))*持仓跟踪!$S$2:$S$157)),0)),0)*H46+IF(OR(AK46="",AL46=""),0,MAX(AK46-MAX(N46,IFERROR(SUMPRODUCT(MAX(((持仓跟踪!$A$2:$A$157="每日跟踪")*(持仓跟踪!$B$2:$B$157=A46))*持仓跟踪!$S$2:$S$157)),0)),0)*AL46)+IF(OR(AM46="",AN46=""),0,MAX(AM46-MAX(N46,IFERROR(SUMPRODUCT(MAX(((持仓跟踪!$A$2:$A$157="每日跟踪")*(持仓跟踪!$B$2:$B$157=A46))*持仓跟踪!$S$2:$S$157)),0)),0)*AN46))))</f>
        <v/>
      </c>
      <c r="AR46" s="8" t="str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$88)&gt;账户数据!$B$7,"违规：超过账户风险上限","通过")))))))))</f>
        <v/>
      </c>
    </row>
    <row r="47" ht="17" spans="1:44">
      <c r="A47" s="2"/>
      <c r="B47" s="2"/>
      <c r="C47" s="10"/>
      <c r="D47" s="6"/>
      <c r="E47" s="10"/>
      <c r="F47" s="8" t="str">
        <f t="shared" si="11"/>
        <v/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$157,"止损计划",持仓跟踪!$B$2:$B$157,A47,持仓跟踪!$AC$2:$AC$157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5"/>
      <c r="J47" s="10"/>
      <c r="K47" s="5" t="str">
        <f>IF(A47="","",IFERROR(LOOKUP(2,1/((持仓跟踪!$B$2:$B$157=A47)*(持仓跟踪!$X$2:$X$157="执行卖出")*(持仓跟踪!$Y$2:$Y$157&lt;&gt;"")),持仓跟踪!$Y$2:$Y$157),""))</f>
        <v/>
      </c>
      <c r="L47" s="8" t="str">
        <f>IF(A47="","",IFERROR(LOOKUP(2,1/((持仓跟踪!$B$2:$B$157=A47)*(持仓跟踪!$X$2:$X$157="执行卖出")*(持仓跟踪!$Z$2:$Z$157&lt;&gt;"")),持仓跟踪!$Z$2:$Z$157),""))</f>
        <v/>
      </c>
      <c r="M47" s="17" t="str">
        <f>IF(A47="","",IFERROR(LOOKUP(2,1/((持仓跟踪!$B$2:$B$157=A47)*(持仓跟踪!$X$2:$X$157="执行卖出")*(持仓跟踪!$H$2:$H$157&lt;&gt;"")),持仓跟踪!$H$2:$H$157),""))</f>
        <v/>
      </c>
      <c r="N47" s="10"/>
      <c r="O47" s="10"/>
      <c r="P47" s="5" t="str">
        <f>IF(A47="","",IFERROR(LOOKUP(2,1/((持仓跟踪!$B$2:$B$157=A47)*(持仓跟踪!$X$2:$X$157="执行卖出")*(持仓跟踪!$AA$2:$AA$157&lt;&gt;"")),持仓跟踪!$AA$2:$AA$157),""))</f>
        <v/>
      </c>
      <c r="Q47" s="2"/>
      <c r="R47" s="2"/>
      <c r="S47" s="2"/>
      <c r="T47" s="2"/>
      <c r="U47" s="7" t="str">
        <f t="shared" si="12"/>
        <v/>
      </c>
      <c r="V47" s="7" t="str">
        <f t="shared" si="13"/>
        <v/>
      </c>
      <c r="W47" s="18" t="str">
        <f t="shared" si="14"/>
        <v/>
      </c>
      <c r="X47" s="5" t="str">
        <f t="shared" si="15"/>
        <v/>
      </c>
      <c r="Y47" s="7" t="str">
        <f t="shared" si="16"/>
        <v/>
      </c>
      <c r="Z47" s="7" t="str">
        <f>IF(OR(AE47="",多次统计数据!$B$8=""),"",AE47-多次统计数据!$B$8)</f>
        <v/>
      </c>
      <c r="AA47" s="11" t="str">
        <f t="shared" si="1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18"/>
        <v/>
      </c>
      <c r="AG47" s="2"/>
      <c r="AH47" s="2"/>
      <c r="AI47" s="2"/>
      <c r="AJ47" s="8" t="str">
        <f t="shared" si="19"/>
        <v/>
      </c>
      <c r="AK47" s="10"/>
      <c r="AL47" s="12"/>
      <c r="AM47" s="10"/>
      <c r="AN47" s="12"/>
      <c r="AO47" s="5" t="str">
        <f t="shared" si="20"/>
        <v/>
      </c>
      <c r="AP47" s="11" t="str">
        <f t="shared" si="21"/>
        <v/>
      </c>
      <c r="AQ47" s="5" t="str">
        <f>IF(A47="","",IF(M47&lt;&gt;"",0,IF(OR(H47="",N47=""),"",MAX(E47-MAX(N47,IFERROR(SUMPRODUCT(MAX(((持仓跟踪!$A$2:$A$157="每日跟踪")*(持仓跟踪!$B$2:$B$157=A47))*持仓跟踪!$S$2:$S$157)),0)),0)*H47+IF(OR(AK47="",AL47=""),0,MAX(AK47-MAX(N47,IFERROR(SUMPRODUCT(MAX(((持仓跟踪!$A$2:$A$157="每日跟踪")*(持仓跟踪!$B$2:$B$157=A47))*持仓跟踪!$S$2:$S$157)),0)),0)*AL47)+IF(OR(AM47="",AN47=""),0,MAX(AM47-MAX(N47,IFERROR(SUMPRODUCT(MAX(((持仓跟踪!$A$2:$A$157="每日跟踪")*(持仓跟踪!$B$2:$B$157=A47))*持仓跟踪!$S$2:$S$157)),0)),0)*AN47))))</f>
        <v/>
      </c>
      <c r="AR47" s="8" t="str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$88)&gt;账户数据!$B$7,"违规：超过账户风险上限","通过")))))))))</f>
        <v/>
      </c>
    </row>
    <row r="48" ht="17" spans="1:44">
      <c r="A48" s="2"/>
      <c r="B48" s="2"/>
      <c r="C48" s="10"/>
      <c r="D48" s="6"/>
      <c r="E48" s="10"/>
      <c r="F48" s="8" t="str">
        <f t="shared" si="11"/>
        <v/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$157,"止损计划",持仓跟踪!$B$2:$B$157,A48,持仓跟踪!$AC$2:$AC$157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5"/>
      <c r="J48" s="10"/>
      <c r="K48" s="5" t="str">
        <f>IF(A48="","",IFERROR(LOOKUP(2,1/((持仓跟踪!$B$2:$B$157=A48)*(持仓跟踪!$X$2:$X$157="执行卖出")*(持仓跟踪!$Y$2:$Y$157&lt;&gt;"")),持仓跟踪!$Y$2:$Y$157),""))</f>
        <v/>
      </c>
      <c r="L48" s="8" t="str">
        <f>IF(A48="","",IFERROR(LOOKUP(2,1/((持仓跟踪!$B$2:$B$157=A48)*(持仓跟踪!$X$2:$X$157="执行卖出")*(持仓跟踪!$Z$2:$Z$157&lt;&gt;"")),持仓跟踪!$Z$2:$Z$157),""))</f>
        <v/>
      </c>
      <c r="M48" s="17" t="str">
        <f>IF(A48="","",IFERROR(LOOKUP(2,1/((持仓跟踪!$B$2:$B$157=A48)*(持仓跟踪!$X$2:$X$157="执行卖出")*(持仓跟踪!$H$2:$H$157&lt;&gt;"")),持仓跟踪!$H$2:$H$157),""))</f>
        <v/>
      </c>
      <c r="N48" s="10"/>
      <c r="O48" s="10"/>
      <c r="P48" s="5" t="str">
        <f>IF(A48="","",IFERROR(LOOKUP(2,1/((持仓跟踪!$B$2:$B$157=A48)*(持仓跟踪!$X$2:$X$157="执行卖出")*(持仓跟踪!$AA$2:$AA$157&lt;&gt;"")),持仓跟踪!$AA$2:$AA$157),""))</f>
        <v/>
      </c>
      <c r="Q48" s="2"/>
      <c r="R48" s="2"/>
      <c r="S48" s="2"/>
      <c r="T48" s="2"/>
      <c r="U48" s="7" t="str">
        <f t="shared" si="12"/>
        <v/>
      </c>
      <c r="V48" s="7" t="str">
        <f t="shared" si="13"/>
        <v/>
      </c>
      <c r="W48" s="18" t="str">
        <f t="shared" si="14"/>
        <v/>
      </c>
      <c r="X48" s="5" t="str">
        <f t="shared" si="15"/>
        <v/>
      </c>
      <c r="Y48" s="7" t="str">
        <f t="shared" si="16"/>
        <v/>
      </c>
      <c r="Z48" s="7" t="str">
        <f>IF(OR(AE48="",多次统计数据!$B$8=""),"",AE48-多次统计数据!$B$8)</f>
        <v/>
      </c>
      <c r="AA48" s="11" t="str">
        <f t="shared" si="1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18"/>
        <v/>
      </c>
      <c r="AG48" s="2"/>
      <c r="AH48" s="2"/>
      <c r="AI48" s="2"/>
      <c r="AJ48" s="8" t="str">
        <f t="shared" si="19"/>
        <v/>
      </c>
      <c r="AK48" s="10"/>
      <c r="AL48" s="12"/>
      <c r="AM48" s="10"/>
      <c r="AN48" s="12"/>
      <c r="AO48" s="5" t="str">
        <f t="shared" si="20"/>
        <v/>
      </c>
      <c r="AP48" s="11" t="str">
        <f t="shared" si="21"/>
        <v/>
      </c>
      <c r="AQ48" s="5" t="str">
        <f>IF(A48="","",IF(M48&lt;&gt;"",0,IF(OR(H48="",N48=""),"",MAX(E48-MAX(N48,IFERROR(SUMPRODUCT(MAX(((持仓跟踪!$A$2:$A$157="每日跟踪")*(持仓跟踪!$B$2:$B$157=A48))*持仓跟踪!$S$2:$S$157)),0)),0)*H48+IF(OR(AK48="",AL48=""),0,MAX(AK48-MAX(N48,IFERROR(SUMPRODUCT(MAX(((持仓跟踪!$A$2:$A$157="每日跟踪")*(持仓跟踪!$B$2:$B$157=A48))*持仓跟踪!$S$2:$S$157)),0)),0)*AL48)+IF(OR(AM48="",AN48=""),0,MAX(AM48-MAX(N48,IFERROR(SUMPRODUCT(MAX(((持仓跟踪!$A$2:$A$157="每日跟踪")*(持仓跟踪!$B$2:$B$157=A48))*持仓跟踪!$S$2:$S$157)),0)),0)*AN48))))</f>
        <v/>
      </c>
      <c r="AR48" s="8" t="str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$88)&gt;账户数据!$B$7,"违规：超过账户风险上限","通过")))))))))</f>
        <v/>
      </c>
    </row>
    <row r="49" ht="17" spans="1:44">
      <c r="A49" s="2"/>
      <c r="B49" s="2"/>
      <c r="C49" s="10"/>
      <c r="D49" s="6"/>
      <c r="E49" s="10"/>
      <c r="F49" s="8" t="str">
        <f t="shared" ref="F49:F80" si="22">IF(OR(C49="",D49="",E49="",N49="",C49&lt;=0,D49&lt;=0,E49&lt;=N49),"",ROUNDDOWN((C49*D49)/(E49-N49)/100,0)*100)</f>
        <v/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$157,"止损计划",持仓跟踪!$B$2:$B$157,A49,持仓跟踪!$AC$2:$AC$157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5"/>
      <c r="J49" s="10"/>
      <c r="K49" s="5" t="str">
        <f>IF(A49="","",IFERROR(LOOKUP(2,1/((持仓跟踪!$B$2:$B$157=A49)*(持仓跟踪!$X$2:$X$157="执行卖出")*(持仓跟踪!$Y$2:$Y$157&lt;&gt;"")),持仓跟踪!$Y$2:$Y$157),""))</f>
        <v/>
      </c>
      <c r="L49" s="8" t="str">
        <f>IF(A49="","",IFERROR(LOOKUP(2,1/((持仓跟踪!$B$2:$B$157=A49)*(持仓跟踪!$X$2:$X$157="执行卖出")*(持仓跟踪!$Z$2:$Z$157&lt;&gt;"")),持仓跟踪!$Z$2:$Z$157),""))</f>
        <v/>
      </c>
      <c r="M49" s="17" t="str">
        <f>IF(A49="","",IFERROR(LOOKUP(2,1/((持仓跟踪!$B$2:$B$157=A49)*(持仓跟踪!$X$2:$X$157="执行卖出")*(持仓跟踪!$H$2:$H$157&lt;&gt;"")),持仓跟踪!$H$2:$H$157),""))</f>
        <v/>
      </c>
      <c r="N49" s="10"/>
      <c r="O49" s="10"/>
      <c r="P49" s="5" t="str">
        <f>IF(A49="","",IFERROR(LOOKUP(2,1/((持仓跟踪!$B$2:$B$157=A49)*(持仓跟踪!$X$2:$X$157="执行卖出")*(持仓跟踪!$AA$2:$AA$157&lt;&gt;"")),持仓跟踪!$AA$2:$AA$157),""))</f>
        <v/>
      </c>
      <c r="Q49" s="2"/>
      <c r="R49" s="2"/>
      <c r="S49" s="2"/>
      <c r="T49" s="2"/>
      <c r="U49" s="7" t="str">
        <f t="shared" ref="U49:U80" si="23">IF(OR(AO49="",J49="",AO49&lt;=0),"",(J49-AO49)/AO49)</f>
        <v/>
      </c>
      <c r="V49" s="7" t="str">
        <f t="shared" ref="V49:V80" si="24">IF(OR(AO49="",N49="",AO49&lt;=0),"",(AO49-N49)/AO49)</f>
        <v/>
      </c>
      <c r="W49" s="18" t="str">
        <f t="shared" ref="W49:W80" si="25">IF(OR(U49="",V49="",V49&lt;=0),"",U49/V49)</f>
        <v/>
      </c>
      <c r="X49" s="5" t="str">
        <f t="shared" ref="X49:X80" si="26">IF(OR(K49="",L49="",AP49=""),"",K49*L49-(E49*H49+IF(AND(AK49&lt;&gt;"",AL49&lt;&gt;""),AK49*AL49,0)+IF(AND(AM49&lt;&gt;"",AN49&lt;&gt;""),AM49*AN49,0))-IF(O49="",0,O49)-IF(P49="",0,P49))</f>
        <v/>
      </c>
      <c r="Y49" s="7" t="str">
        <f t="shared" ref="Y49:Y80" si="27"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 t="str">
        <f>IF(OR(AE49="",多次统计数据!$B$8=""),"",AE49-多次统计数据!$B$8)</f>
        <v/>
      </c>
      <c r="AA49" s="11" t="str">
        <f t="shared" ref="AA49:AA80" si="28">IF(OR(I49="",M49="",M49&lt;I49),"",M49-I49)</f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ref="AE49:AE80" si="29">IF(OR(X49="",C49="",C49&lt;=0),"",X49/C49)</f>
        <v/>
      </c>
      <c r="AG49" s="2"/>
      <c r="AH49" s="2"/>
      <c r="AI49" s="2"/>
      <c r="AJ49" s="8" t="str">
        <f t="shared" ref="AJ49:AJ80" si="30"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10"/>
      <c r="AL49" s="12"/>
      <c r="AM49" s="10"/>
      <c r="AN49" s="12"/>
      <c r="AO49" s="5" t="str">
        <f t="shared" ref="AO49:AO80" si="31">IF(OR(A49="",H49="",H49&lt;=0),"",(E49*H49+IF(AND(AK49&lt;&gt;"",AL49&lt;&gt;""),AK49*AL49,0)+IF(AND(AM49&lt;&gt;"",AN49&lt;&gt;""),AM49*AN49,0))/AP49)</f>
        <v/>
      </c>
      <c r="AP49" s="11" t="str">
        <f t="shared" ref="AP49:AP80" si="32">IF(OR(A49="",H49="",H49&lt;=0),"",H49+IF(AL49="",0,AL49)+IF(AN49="",0,AN49))</f>
        <v/>
      </c>
      <c r="AQ49" s="5" t="str">
        <f>IF(A49="","",IF(M49&lt;&gt;"",0,IF(OR(H49="",N49=""),"",MAX(E49-MAX(N49,IFERROR(SUMPRODUCT(MAX(((持仓跟踪!$A$2:$A$157="每日跟踪")*(持仓跟踪!$B$2:$B$157=A49))*持仓跟踪!$S$2:$S$157)),0)),0)*H49+IF(OR(AK49="",AL49=""),0,MAX(AK49-MAX(N49,IFERROR(SUMPRODUCT(MAX(((持仓跟踪!$A$2:$A$157="每日跟踪")*(持仓跟踪!$B$2:$B$157=A49))*持仓跟踪!$S$2:$S$157)),0)),0)*AL49)+IF(OR(AM49="",AN49=""),0,MAX(AM49-MAX(N49,IFERROR(SUMPRODUCT(MAX(((持仓跟踪!$A$2:$A$157="每日跟踪")*(持仓跟踪!$B$2:$B$157=A49))*持仓跟踪!$S$2:$S$157)),0)),0)*AN49))))</f>
        <v/>
      </c>
      <c r="AR49" s="8" t="str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$88)&gt;账户数据!$B$7,"违规：超过账户风险上限","通过")))))))))</f>
        <v/>
      </c>
    </row>
    <row r="50" ht="17" spans="1:44">
      <c r="A50" s="2"/>
      <c r="B50" s="2"/>
      <c r="C50" s="10"/>
      <c r="D50" s="6"/>
      <c r="E50" s="10"/>
      <c r="F50" s="8" t="str">
        <f t="shared" si="22"/>
        <v/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$157,"止损计划",持仓跟踪!$B$2:$B$157,A50,持仓跟踪!$AC$2:$AC$157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5"/>
      <c r="J50" s="10"/>
      <c r="K50" s="5" t="str">
        <f>IF(A50="","",IFERROR(LOOKUP(2,1/((持仓跟踪!$B$2:$B$157=A50)*(持仓跟踪!$X$2:$X$157="执行卖出")*(持仓跟踪!$Y$2:$Y$157&lt;&gt;"")),持仓跟踪!$Y$2:$Y$157),""))</f>
        <v/>
      </c>
      <c r="L50" s="8" t="str">
        <f>IF(A50="","",IFERROR(LOOKUP(2,1/((持仓跟踪!$B$2:$B$157=A50)*(持仓跟踪!$X$2:$X$157="执行卖出")*(持仓跟踪!$Z$2:$Z$157&lt;&gt;"")),持仓跟踪!$Z$2:$Z$157),""))</f>
        <v/>
      </c>
      <c r="M50" s="17" t="str">
        <f>IF(A50="","",IFERROR(LOOKUP(2,1/((持仓跟踪!$B$2:$B$157=A50)*(持仓跟踪!$X$2:$X$157="执行卖出")*(持仓跟踪!$H$2:$H$157&lt;&gt;"")),持仓跟踪!$H$2:$H$157),""))</f>
        <v/>
      </c>
      <c r="N50" s="10"/>
      <c r="O50" s="10"/>
      <c r="P50" s="5" t="str">
        <f>IF(A50="","",IFERROR(LOOKUP(2,1/((持仓跟踪!$B$2:$B$157=A50)*(持仓跟踪!$X$2:$X$157="执行卖出")*(持仓跟踪!$AA$2:$AA$157&lt;&gt;"")),持仓跟踪!$AA$2:$AA$157),""))</f>
        <v/>
      </c>
      <c r="Q50" s="2"/>
      <c r="R50" s="2"/>
      <c r="S50" s="2"/>
      <c r="T50" s="2"/>
      <c r="U50" s="7" t="str">
        <f t="shared" si="23"/>
        <v/>
      </c>
      <c r="V50" s="7" t="str">
        <f t="shared" si="24"/>
        <v/>
      </c>
      <c r="W50" s="18" t="str">
        <f t="shared" si="25"/>
        <v/>
      </c>
      <c r="X50" s="5" t="str">
        <f t="shared" si="26"/>
        <v/>
      </c>
      <c r="Y50" s="7" t="str">
        <f t="shared" si="27"/>
        <v/>
      </c>
      <c r="Z50" s="7" t="str">
        <f>IF(OR(AE50="",多次统计数据!$B$8=""),"",AE50-多次统计数据!$B$8)</f>
        <v/>
      </c>
      <c r="AA50" s="11" t="str">
        <f t="shared" si="28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9"/>
        <v/>
      </c>
      <c r="AG50" s="2"/>
      <c r="AH50" s="2"/>
      <c r="AI50" s="2"/>
      <c r="AJ50" s="8" t="str">
        <f t="shared" si="30"/>
        <v/>
      </c>
      <c r="AK50" s="10"/>
      <c r="AL50" s="12"/>
      <c r="AM50" s="10"/>
      <c r="AN50" s="12"/>
      <c r="AO50" s="5" t="str">
        <f t="shared" si="31"/>
        <v/>
      </c>
      <c r="AP50" s="11" t="str">
        <f t="shared" si="32"/>
        <v/>
      </c>
      <c r="AQ50" s="5" t="str">
        <f>IF(A50="","",IF(M50&lt;&gt;"",0,IF(OR(H50="",N50=""),"",MAX(E50-MAX(N50,IFERROR(SUMPRODUCT(MAX(((持仓跟踪!$A$2:$A$157="每日跟踪")*(持仓跟踪!$B$2:$B$157=A50))*持仓跟踪!$S$2:$S$157)),0)),0)*H50+IF(OR(AK50="",AL50=""),0,MAX(AK50-MAX(N50,IFERROR(SUMPRODUCT(MAX(((持仓跟踪!$A$2:$A$157="每日跟踪")*(持仓跟踪!$B$2:$B$157=A50))*持仓跟踪!$S$2:$S$157)),0)),0)*AL50)+IF(OR(AM50="",AN50=""),0,MAX(AM50-MAX(N50,IFERROR(SUMPRODUCT(MAX(((持仓跟踪!$A$2:$A$157="每日跟踪")*(持仓跟踪!$B$2:$B$157=A50))*持仓跟踪!$S$2:$S$157)),0)),0)*AN50))))</f>
        <v/>
      </c>
      <c r="AR50" s="8" t="str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$88)&gt;账户数据!$B$7,"违规：超过账户风险上限","通过")))))))))</f>
        <v/>
      </c>
    </row>
    <row r="51" ht="17" spans="1:44">
      <c r="A51" s="2"/>
      <c r="B51" s="2"/>
      <c r="C51" s="10"/>
      <c r="D51" s="6"/>
      <c r="E51" s="10"/>
      <c r="F51" s="8" t="str">
        <f t="shared" si="22"/>
        <v/>
      </c>
      <c r="G51" s="8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$157,"止损计划",持仓跟踪!$B$2:$B$157,A51,持仓跟踪!$AC$2:$AC$157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5"/>
      <c r="J51" s="10"/>
      <c r="K51" s="5" t="str">
        <f>IF(A51="","",IFERROR(LOOKUP(2,1/((持仓跟踪!$B$2:$B$157=A51)*(持仓跟踪!$X$2:$X$157="执行卖出")*(持仓跟踪!$Y$2:$Y$157&lt;&gt;"")),持仓跟踪!$Y$2:$Y$157),""))</f>
        <v/>
      </c>
      <c r="L51" s="8" t="str">
        <f>IF(A51="","",IFERROR(LOOKUP(2,1/((持仓跟踪!$B$2:$B$157=A51)*(持仓跟踪!$X$2:$X$157="执行卖出")*(持仓跟踪!$Z$2:$Z$157&lt;&gt;"")),持仓跟踪!$Z$2:$Z$157),""))</f>
        <v/>
      </c>
      <c r="M51" s="17" t="str">
        <f>IF(A51="","",IFERROR(LOOKUP(2,1/((持仓跟踪!$B$2:$B$157=A51)*(持仓跟踪!$X$2:$X$157="执行卖出")*(持仓跟踪!$H$2:$H$157&lt;&gt;"")),持仓跟踪!$H$2:$H$157),""))</f>
        <v/>
      </c>
      <c r="N51" s="10"/>
      <c r="O51" s="10"/>
      <c r="P51" s="5" t="str">
        <f>IF(A51="","",IFERROR(LOOKUP(2,1/((持仓跟踪!$B$2:$B$157=A51)*(持仓跟踪!$X$2:$X$157="执行卖出")*(持仓跟踪!$AA$2:$AA$157&lt;&gt;"")),持仓跟踪!$AA$2:$AA$157),""))</f>
        <v/>
      </c>
      <c r="Q51" s="2"/>
      <c r="R51" s="2"/>
      <c r="S51" s="2"/>
      <c r="T51" s="2"/>
      <c r="U51" s="7" t="str">
        <f t="shared" si="23"/>
        <v/>
      </c>
      <c r="V51" s="7" t="str">
        <f t="shared" si="24"/>
        <v/>
      </c>
      <c r="W51" s="18" t="str">
        <f t="shared" si="25"/>
        <v/>
      </c>
      <c r="X51" s="5" t="str">
        <f t="shared" si="26"/>
        <v/>
      </c>
      <c r="Y51" s="7" t="str">
        <f t="shared" si="27"/>
        <v/>
      </c>
      <c r="Z51" s="7" t="str">
        <f>IF(OR(AE51="",多次统计数据!$B$8=""),"",AE51-多次统计数据!$B$8)</f>
        <v/>
      </c>
      <c r="AA51" s="11" t="str">
        <f t="shared" si="28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9"/>
        <v/>
      </c>
      <c r="AG51" s="2"/>
      <c r="AH51" s="2"/>
      <c r="AI51" s="2"/>
      <c r="AJ51" s="8" t="str">
        <f t="shared" si="30"/>
        <v/>
      </c>
      <c r="AK51" s="10"/>
      <c r="AL51" s="12"/>
      <c r="AM51" s="10"/>
      <c r="AN51" s="12"/>
      <c r="AO51" s="5" t="str">
        <f t="shared" si="31"/>
        <v/>
      </c>
      <c r="AP51" s="11" t="str">
        <f t="shared" si="32"/>
        <v/>
      </c>
      <c r="AQ51" s="5" t="str">
        <f>IF(A51="","",IF(M51&lt;&gt;"",0,IF(OR(H51="",N51=""),"",MAX(E51-MAX(N51,IFERROR(SUMPRODUCT(MAX(((持仓跟踪!$A$2:$A$157="每日跟踪")*(持仓跟踪!$B$2:$B$157=A51))*持仓跟踪!$S$2:$S$157)),0)),0)*H51+IF(OR(AK51="",AL51=""),0,MAX(AK51-MAX(N51,IFERROR(SUMPRODUCT(MAX(((持仓跟踪!$A$2:$A$157="每日跟踪")*(持仓跟踪!$B$2:$B$157=A51))*持仓跟踪!$S$2:$S$157)),0)),0)*AL51)+IF(OR(AM51="",AN51=""),0,MAX(AM51-MAX(N51,IFERROR(SUMPRODUCT(MAX(((持仓跟踪!$A$2:$A$157="每日跟踪")*(持仓跟踪!$B$2:$B$157=A51))*持仓跟踪!$S$2:$S$157)),0)),0)*AN51))))</f>
        <v/>
      </c>
      <c r="AR51" s="8" t="str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$88)&gt;账户数据!$B$7,"违规：超过账户风险上限","通过")))))))))</f>
        <v/>
      </c>
    </row>
    <row r="52" ht="17" spans="1:44">
      <c r="A52" s="2"/>
      <c r="B52" s="2"/>
      <c r="C52" s="10"/>
      <c r="D52" s="6"/>
      <c r="E52" s="10"/>
      <c r="F52" s="8" t="str">
        <f t="shared" si="22"/>
        <v/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$157,"止损计划",持仓跟踪!$B$2:$B$157,A52,持仓跟踪!$AC$2:$AC$157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5"/>
      <c r="J52" s="10"/>
      <c r="K52" s="5" t="str">
        <f>IF(A52="","",IFERROR(LOOKUP(2,1/((持仓跟踪!$B$2:$B$157=A52)*(持仓跟踪!$X$2:$X$157="执行卖出")*(持仓跟踪!$Y$2:$Y$157&lt;&gt;"")),持仓跟踪!$Y$2:$Y$157),""))</f>
        <v/>
      </c>
      <c r="L52" s="8" t="str">
        <f>IF(A52="","",IFERROR(LOOKUP(2,1/((持仓跟踪!$B$2:$B$157=A52)*(持仓跟踪!$X$2:$X$157="执行卖出")*(持仓跟踪!$Z$2:$Z$157&lt;&gt;"")),持仓跟踪!$Z$2:$Z$157),""))</f>
        <v/>
      </c>
      <c r="M52" s="17" t="str">
        <f>IF(A52="","",IFERROR(LOOKUP(2,1/((持仓跟踪!$B$2:$B$157=A52)*(持仓跟踪!$X$2:$X$157="执行卖出")*(持仓跟踪!$H$2:$H$157&lt;&gt;"")),持仓跟踪!$H$2:$H$157),""))</f>
        <v/>
      </c>
      <c r="N52" s="10"/>
      <c r="O52" s="10"/>
      <c r="P52" s="5" t="str">
        <f>IF(A52="","",IFERROR(LOOKUP(2,1/((持仓跟踪!$B$2:$B$157=A52)*(持仓跟踪!$X$2:$X$157="执行卖出")*(持仓跟踪!$AA$2:$AA$157&lt;&gt;"")),持仓跟踪!$AA$2:$AA$157),""))</f>
        <v/>
      </c>
      <c r="Q52" s="2"/>
      <c r="R52" s="2"/>
      <c r="S52" s="2"/>
      <c r="T52" s="2"/>
      <c r="U52" s="7" t="str">
        <f t="shared" si="23"/>
        <v/>
      </c>
      <c r="V52" s="7" t="str">
        <f t="shared" si="24"/>
        <v/>
      </c>
      <c r="W52" s="18" t="str">
        <f t="shared" si="25"/>
        <v/>
      </c>
      <c r="X52" s="5" t="str">
        <f t="shared" si="26"/>
        <v/>
      </c>
      <c r="Y52" s="7" t="str">
        <f t="shared" si="27"/>
        <v/>
      </c>
      <c r="Z52" s="7" t="str">
        <f>IF(OR(AE52="",多次统计数据!$B$8=""),"",AE52-多次统计数据!$B$8)</f>
        <v/>
      </c>
      <c r="AA52" s="11" t="str">
        <f t="shared" si="28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9"/>
        <v/>
      </c>
      <c r="AG52" s="2"/>
      <c r="AH52" s="2"/>
      <c r="AI52" s="2"/>
      <c r="AJ52" s="8" t="str">
        <f t="shared" si="30"/>
        <v/>
      </c>
      <c r="AK52" s="10"/>
      <c r="AL52" s="12"/>
      <c r="AM52" s="10"/>
      <c r="AN52" s="12"/>
      <c r="AO52" s="5" t="str">
        <f t="shared" si="31"/>
        <v/>
      </c>
      <c r="AP52" s="11" t="str">
        <f t="shared" si="32"/>
        <v/>
      </c>
      <c r="AQ52" s="5" t="str">
        <f>IF(A52="","",IF(M52&lt;&gt;"",0,IF(OR(H52="",N52=""),"",MAX(E52-MAX(N52,IFERROR(SUMPRODUCT(MAX(((持仓跟踪!$A$2:$A$157="每日跟踪")*(持仓跟踪!$B$2:$B$157=A52))*持仓跟踪!$S$2:$S$157)),0)),0)*H52+IF(OR(AK52="",AL52=""),0,MAX(AK52-MAX(N52,IFERROR(SUMPRODUCT(MAX(((持仓跟踪!$A$2:$A$157="每日跟踪")*(持仓跟踪!$B$2:$B$157=A52))*持仓跟踪!$S$2:$S$157)),0)),0)*AL52)+IF(OR(AM52="",AN52=""),0,MAX(AM52-MAX(N52,IFERROR(SUMPRODUCT(MAX(((持仓跟踪!$A$2:$A$157="每日跟踪")*(持仓跟踪!$B$2:$B$157=A52))*持仓跟踪!$S$2:$S$157)),0)),0)*AN52))))</f>
        <v/>
      </c>
      <c r="AR52" s="8" t="str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$88)&gt;账户数据!$B$7,"违规：超过账户风险上限","通过")))))))))</f>
        <v/>
      </c>
    </row>
    <row r="53" ht="17" spans="1:44">
      <c r="A53" s="2"/>
      <c r="B53" s="2"/>
      <c r="C53" s="10"/>
      <c r="D53" s="6"/>
      <c r="E53" s="10"/>
      <c r="F53" s="8" t="str">
        <f t="shared" si="22"/>
        <v/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$157,"止损计划",持仓跟踪!$B$2:$B$157,A53,持仓跟踪!$AC$2:$AC$157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5"/>
      <c r="J53" s="10"/>
      <c r="K53" s="5" t="str">
        <f>IF(A53="","",IFERROR(LOOKUP(2,1/((持仓跟踪!$B$2:$B$157=A53)*(持仓跟踪!$X$2:$X$157="执行卖出")*(持仓跟踪!$Y$2:$Y$157&lt;&gt;"")),持仓跟踪!$Y$2:$Y$157),""))</f>
        <v/>
      </c>
      <c r="L53" s="8" t="str">
        <f>IF(A53="","",IFERROR(LOOKUP(2,1/((持仓跟踪!$B$2:$B$157=A53)*(持仓跟踪!$X$2:$X$157="执行卖出")*(持仓跟踪!$Z$2:$Z$157&lt;&gt;"")),持仓跟踪!$Z$2:$Z$157),""))</f>
        <v/>
      </c>
      <c r="M53" s="17" t="str">
        <f>IF(A53="","",IFERROR(LOOKUP(2,1/((持仓跟踪!$B$2:$B$157=A53)*(持仓跟踪!$X$2:$X$157="执行卖出")*(持仓跟踪!$H$2:$H$157&lt;&gt;"")),持仓跟踪!$H$2:$H$157),""))</f>
        <v/>
      </c>
      <c r="N53" s="10"/>
      <c r="O53" s="10"/>
      <c r="P53" s="5" t="str">
        <f>IF(A53="","",IFERROR(LOOKUP(2,1/((持仓跟踪!$B$2:$B$157=A53)*(持仓跟踪!$X$2:$X$157="执行卖出")*(持仓跟踪!$AA$2:$AA$157&lt;&gt;"")),持仓跟踪!$AA$2:$AA$157),""))</f>
        <v/>
      </c>
      <c r="Q53" s="2"/>
      <c r="R53" s="2"/>
      <c r="S53" s="2"/>
      <c r="T53" s="2"/>
      <c r="U53" s="7" t="str">
        <f t="shared" si="23"/>
        <v/>
      </c>
      <c r="V53" s="7" t="str">
        <f t="shared" si="24"/>
        <v/>
      </c>
      <c r="W53" s="18" t="str">
        <f t="shared" si="25"/>
        <v/>
      </c>
      <c r="X53" s="5" t="str">
        <f t="shared" si="26"/>
        <v/>
      </c>
      <c r="Y53" s="7" t="str">
        <f t="shared" si="27"/>
        <v/>
      </c>
      <c r="Z53" s="7" t="str">
        <f>IF(OR(AE53="",多次统计数据!$B$8=""),"",AE53-多次统计数据!$B$8)</f>
        <v/>
      </c>
      <c r="AA53" s="11" t="str">
        <f t="shared" si="28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9"/>
        <v/>
      </c>
      <c r="AG53" s="2"/>
      <c r="AH53" s="2"/>
      <c r="AI53" s="2"/>
      <c r="AJ53" s="8" t="str">
        <f t="shared" si="30"/>
        <v/>
      </c>
      <c r="AK53" s="10"/>
      <c r="AL53" s="12"/>
      <c r="AM53" s="10"/>
      <c r="AN53" s="12"/>
      <c r="AO53" s="5" t="str">
        <f t="shared" si="31"/>
        <v/>
      </c>
      <c r="AP53" s="11" t="str">
        <f t="shared" si="32"/>
        <v/>
      </c>
      <c r="AQ53" s="5" t="str">
        <f>IF(A53="","",IF(M53&lt;&gt;"",0,IF(OR(H53="",N53=""),"",MAX(E53-MAX(N53,IFERROR(SUMPRODUCT(MAX(((持仓跟踪!$A$2:$A$157="每日跟踪")*(持仓跟踪!$B$2:$B$157=A53))*持仓跟踪!$S$2:$S$157)),0)),0)*H53+IF(OR(AK53="",AL53=""),0,MAX(AK53-MAX(N53,IFERROR(SUMPRODUCT(MAX(((持仓跟踪!$A$2:$A$157="每日跟踪")*(持仓跟踪!$B$2:$B$157=A53))*持仓跟踪!$S$2:$S$157)),0)),0)*AL53)+IF(OR(AM53="",AN53=""),0,MAX(AM53-MAX(N53,IFERROR(SUMPRODUCT(MAX(((持仓跟踪!$A$2:$A$157="每日跟踪")*(持仓跟踪!$B$2:$B$157=A53))*持仓跟踪!$S$2:$S$157)),0)),0)*AN53))))</f>
        <v/>
      </c>
      <c r="AR53" s="8" t="str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$88)&gt;账户数据!$B$7,"违规：超过账户风险上限","通过")))))))))</f>
        <v/>
      </c>
    </row>
    <row r="54" ht="17" spans="1:44">
      <c r="A54" s="2"/>
      <c r="B54" s="2"/>
      <c r="C54" s="10"/>
      <c r="D54" s="6"/>
      <c r="E54" s="10"/>
      <c r="F54" s="8" t="str">
        <f t="shared" si="22"/>
        <v/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$157,"止损计划",持仓跟踪!$B$2:$B$157,A54,持仓跟踪!$AC$2:$AC$157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5"/>
      <c r="J54" s="10"/>
      <c r="K54" s="5" t="str">
        <f>IF(A54="","",IFERROR(LOOKUP(2,1/((持仓跟踪!$B$2:$B$157=A54)*(持仓跟踪!$X$2:$X$157="执行卖出")*(持仓跟踪!$Y$2:$Y$157&lt;&gt;"")),持仓跟踪!$Y$2:$Y$157),""))</f>
        <v/>
      </c>
      <c r="L54" s="8" t="str">
        <f>IF(A54="","",IFERROR(LOOKUP(2,1/((持仓跟踪!$B$2:$B$157=A54)*(持仓跟踪!$X$2:$X$157="执行卖出")*(持仓跟踪!$Z$2:$Z$157&lt;&gt;"")),持仓跟踪!$Z$2:$Z$157),""))</f>
        <v/>
      </c>
      <c r="M54" s="17" t="str">
        <f>IF(A54="","",IFERROR(LOOKUP(2,1/((持仓跟踪!$B$2:$B$157=A54)*(持仓跟踪!$X$2:$X$157="执行卖出")*(持仓跟踪!$H$2:$H$157&lt;&gt;"")),持仓跟踪!$H$2:$H$157),""))</f>
        <v/>
      </c>
      <c r="N54" s="10"/>
      <c r="O54" s="10"/>
      <c r="P54" s="5" t="str">
        <f>IF(A54="","",IFERROR(LOOKUP(2,1/((持仓跟踪!$B$2:$B$157=A54)*(持仓跟踪!$X$2:$X$157="执行卖出")*(持仓跟踪!$AA$2:$AA$157&lt;&gt;"")),持仓跟踪!$AA$2:$AA$157),""))</f>
        <v/>
      </c>
      <c r="Q54" s="2"/>
      <c r="R54" s="2"/>
      <c r="S54" s="2"/>
      <c r="T54" s="2"/>
      <c r="U54" s="7" t="str">
        <f t="shared" si="23"/>
        <v/>
      </c>
      <c r="V54" s="7" t="str">
        <f t="shared" si="24"/>
        <v/>
      </c>
      <c r="W54" s="18" t="str">
        <f t="shared" si="25"/>
        <v/>
      </c>
      <c r="X54" s="5" t="str">
        <f t="shared" si="26"/>
        <v/>
      </c>
      <c r="Y54" s="7" t="str">
        <f t="shared" si="27"/>
        <v/>
      </c>
      <c r="Z54" s="7" t="str">
        <f>IF(OR(AE54="",多次统计数据!$B$8=""),"",AE54-多次统计数据!$B$8)</f>
        <v/>
      </c>
      <c r="AA54" s="11" t="str">
        <f t="shared" si="28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9"/>
        <v/>
      </c>
      <c r="AG54" s="2"/>
      <c r="AH54" s="2"/>
      <c r="AI54" s="2"/>
      <c r="AJ54" s="8" t="str">
        <f t="shared" si="30"/>
        <v/>
      </c>
      <c r="AK54" s="10"/>
      <c r="AL54" s="12"/>
      <c r="AM54" s="10"/>
      <c r="AN54" s="12"/>
      <c r="AO54" s="5" t="str">
        <f t="shared" si="31"/>
        <v/>
      </c>
      <c r="AP54" s="11" t="str">
        <f t="shared" si="32"/>
        <v/>
      </c>
      <c r="AQ54" s="5" t="str">
        <f>IF(A54="","",IF(M54&lt;&gt;"",0,IF(OR(H54="",N54=""),"",MAX(E54-MAX(N54,IFERROR(SUMPRODUCT(MAX(((持仓跟踪!$A$2:$A$157="每日跟踪")*(持仓跟踪!$B$2:$B$157=A54))*持仓跟踪!$S$2:$S$157)),0)),0)*H54+IF(OR(AK54="",AL54=""),0,MAX(AK54-MAX(N54,IFERROR(SUMPRODUCT(MAX(((持仓跟踪!$A$2:$A$157="每日跟踪")*(持仓跟踪!$B$2:$B$157=A54))*持仓跟踪!$S$2:$S$157)),0)),0)*AL54)+IF(OR(AM54="",AN54=""),0,MAX(AM54-MAX(N54,IFERROR(SUMPRODUCT(MAX(((持仓跟踪!$A$2:$A$157="每日跟踪")*(持仓跟踪!$B$2:$B$157=A54))*持仓跟踪!$S$2:$S$157)),0)),0)*AN54))))</f>
        <v/>
      </c>
      <c r="AR54" s="8" t="str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$88)&gt;账户数据!$B$7,"违规：超过账户风险上限","通过")))))))))</f>
        <v/>
      </c>
    </row>
    <row r="55" ht="17" spans="1:44">
      <c r="A55" s="2"/>
      <c r="B55" s="2"/>
      <c r="C55" s="10"/>
      <c r="D55" s="6"/>
      <c r="E55" s="10"/>
      <c r="F55" s="8" t="str">
        <f t="shared" si="22"/>
        <v/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$157,"止损计划",持仓跟踪!$B$2:$B$157,A55,持仓跟踪!$AC$2:$AC$157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5"/>
      <c r="J55" s="10"/>
      <c r="K55" s="5" t="str">
        <f>IF(A55="","",IFERROR(LOOKUP(2,1/((持仓跟踪!$B$2:$B$157=A55)*(持仓跟踪!$X$2:$X$157="执行卖出")*(持仓跟踪!$Y$2:$Y$157&lt;&gt;"")),持仓跟踪!$Y$2:$Y$157),""))</f>
        <v/>
      </c>
      <c r="L55" s="8" t="str">
        <f>IF(A55="","",IFERROR(LOOKUP(2,1/((持仓跟踪!$B$2:$B$157=A55)*(持仓跟踪!$X$2:$X$157="执行卖出")*(持仓跟踪!$Z$2:$Z$157&lt;&gt;"")),持仓跟踪!$Z$2:$Z$157),""))</f>
        <v/>
      </c>
      <c r="M55" s="17" t="str">
        <f>IF(A55="","",IFERROR(LOOKUP(2,1/((持仓跟踪!$B$2:$B$157=A55)*(持仓跟踪!$X$2:$X$157="执行卖出")*(持仓跟踪!$H$2:$H$157&lt;&gt;"")),持仓跟踪!$H$2:$H$157),""))</f>
        <v/>
      </c>
      <c r="N55" s="10"/>
      <c r="O55" s="10"/>
      <c r="P55" s="5" t="str">
        <f>IF(A55="","",IFERROR(LOOKUP(2,1/((持仓跟踪!$B$2:$B$157=A55)*(持仓跟踪!$X$2:$X$157="执行卖出")*(持仓跟踪!$AA$2:$AA$157&lt;&gt;"")),持仓跟踪!$AA$2:$AA$157),""))</f>
        <v/>
      </c>
      <c r="Q55" s="2"/>
      <c r="R55" s="2"/>
      <c r="S55" s="2"/>
      <c r="T55" s="2"/>
      <c r="U55" s="7" t="str">
        <f t="shared" si="23"/>
        <v/>
      </c>
      <c r="V55" s="7" t="str">
        <f t="shared" si="24"/>
        <v/>
      </c>
      <c r="W55" s="18" t="str">
        <f t="shared" si="25"/>
        <v/>
      </c>
      <c r="X55" s="5" t="str">
        <f t="shared" si="26"/>
        <v/>
      </c>
      <c r="Y55" s="7" t="str">
        <f t="shared" si="27"/>
        <v/>
      </c>
      <c r="Z55" s="7" t="str">
        <f>IF(OR(AE55="",多次统计数据!$B$8=""),"",AE55-多次统计数据!$B$8)</f>
        <v/>
      </c>
      <c r="AA55" s="11" t="str">
        <f t="shared" si="28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9"/>
        <v/>
      </c>
      <c r="AG55" s="2"/>
      <c r="AH55" s="2"/>
      <c r="AI55" s="2"/>
      <c r="AJ55" s="8" t="str">
        <f t="shared" si="30"/>
        <v/>
      </c>
      <c r="AK55" s="10"/>
      <c r="AL55" s="12"/>
      <c r="AM55" s="10"/>
      <c r="AN55" s="12"/>
      <c r="AO55" s="5" t="str">
        <f t="shared" si="31"/>
        <v/>
      </c>
      <c r="AP55" s="11" t="str">
        <f t="shared" si="32"/>
        <v/>
      </c>
      <c r="AQ55" s="5" t="str">
        <f>IF(A55="","",IF(M55&lt;&gt;"",0,IF(OR(H55="",N55=""),"",MAX(E55-MAX(N55,IFERROR(SUMPRODUCT(MAX(((持仓跟踪!$A$2:$A$157="每日跟踪")*(持仓跟踪!$B$2:$B$157=A55))*持仓跟踪!$S$2:$S$157)),0)),0)*H55+IF(OR(AK55="",AL55=""),0,MAX(AK55-MAX(N55,IFERROR(SUMPRODUCT(MAX(((持仓跟踪!$A$2:$A$157="每日跟踪")*(持仓跟踪!$B$2:$B$157=A55))*持仓跟踪!$S$2:$S$157)),0)),0)*AL55)+IF(OR(AM55="",AN55=""),0,MAX(AM55-MAX(N55,IFERROR(SUMPRODUCT(MAX(((持仓跟踪!$A$2:$A$157="每日跟踪")*(持仓跟踪!$B$2:$B$157=A55))*持仓跟踪!$S$2:$S$157)),0)),0)*AN55))))</f>
        <v/>
      </c>
      <c r="AR55" s="8" t="str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$88)&gt;账户数据!$B$7,"违规：超过账户风险上限","通过")))))))))</f>
        <v/>
      </c>
    </row>
    <row r="56" ht="17" spans="1:44">
      <c r="A56" s="2"/>
      <c r="B56" s="2"/>
      <c r="C56" s="10"/>
      <c r="D56" s="6"/>
      <c r="E56" s="10"/>
      <c r="F56" s="8" t="str">
        <f t="shared" si="22"/>
        <v/>
      </c>
      <c r="G56" s="8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$157,"止损计划",持仓跟踪!$B$2:$B$157,A56,持仓跟踪!$AC$2:$AC$157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5"/>
      <c r="J56" s="10"/>
      <c r="K56" s="5" t="str">
        <f>IF(A56="","",IFERROR(LOOKUP(2,1/((持仓跟踪!$B$2:$B$157=A56)*(持仓跟踪!$X$2:$X$157="执行卖出")*(持仓跟踪!$Y$2:$Y$157&lt;&gt;"")),持仓跟踪!$Y$2:$Y$157),""))</f>
        <v/>
      </c>
      <c r="L56" s="8" t="str">
        <f>IF(A56="","",IFERROR(LOOKUP(2,1/((持仓跟踪!$B$2:$B$157=A56)*(持仓跟踪!$X$2:$X$157="执行卖出")*(持仓跟踪!$Z$2:$Z$157&lt;&gt;"")),持仓跟踪!$Z$2:$Z$157),""))</f>
        <v/>
      </c>
      <c r="M56" s="17" t="str">
        <f>IF(A56="","",IFERROR(LOOKUP(2,1/((持仓跟踪!$B$2:$B$157=A56)*(持仓跟踪!$X$2:$X$157="执行卖出")*(持仓跟踪!$H$2:$H$157&lt;&gt;"")),持仓跟踪!$H$2:$H$157),""))</f>
        <v/>
      </c>
      <c r="N56" s="10"/>
      <c r="O56" s="10"/>
      <c r="P56" s="5" t="str">
        <f>IF(A56="","",IFERROR(LOOKUP(2,1/((持仓跟踪!$B$2:$B$157=A56)*(持仓跟踪!$X$2:$X$157="执行卖出")*(持仓跟踪!$AA$2:$AA$157&lt;&gt;"")),持仓跟踪!$AA$2:$AA$157),""))</f>
        <v/>
      </c>
      <c r="Q56" s="2"/>
      <c r="R56" s="2"/>
      <c r="S56" s="2"/>
      <c r="T56" s="2"/>
      <c r="U56" s="7" t="str">
        <f t="shared" si="23"/>
        <v/>
      </c>
      <c r="V56" s="7" t="str">
        <f t="shared" si="24"/>
        <v/>
      </c>
      <c r="W56" s="18" t="str">
        <f t="shared" si="25"/>
        <v/>
      </c>
      <c r="X56" s="5" t="str">
        <f t="shared" si="26"/>
        <v/>
      </c>
      <c r="Y56" s="7" t="str">
        <f t="shared" si="27"/>
        <v/>
      </c>
      <c r="Z56" s="7" t="str">
        <f>IF(OR(AE56="",多次统计数据!$B$8=""),"",AE56-多次统计数据!$B$8)</f>
        <v/>
      </c>
      <c r="AA56" s="11" t="str">
        <f t="shared" si="28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9"/>
        <v/>
      </c>
      <c r="AG56" s="2"/>
      <c r="AH56" s="2"/>
      <c r="AI56" s="2"/>
      <c r="AJ56" s="8" t="str">
        <f t="shared" si="30"/>
        <v/>
      </c>
      <c r="AK56" s="10"/>
      <c r="AL56" s="12"/>
      <c r="AM56" s="10"/>
      <c r="AN56" s="12"/>
      <c r="AO56" s="5" t="str">
        <f t="shared" si="31"/>
        <v/>
      </c>
      <c r="AP56" s="11" t="str">
        <f t="shared" si="32"/>
        <v/>
      </c>
      <c r="AQ56" s="5" t="str">
        <f>IF(A56="","",IF(M56&lt;&gt;"",0,IF(OR(H56="",N56=""),"",MAX(E56-MAX(N56,IFERROR(SUMPRODUCT(MAX(((持仓跟踪!$A$2:$A$157="每日跟踪")*(持仓跟踪!$B$2:$B$157=A56))*持仓跟踪!$S$2:$S$157)),0)),0)*H56+IF(OR(AK56="",AL56=""),0,MAX(AK56-MAX(N56,IFERROR(SUMPRODUCT(MAX(((持仓跟踪!$A$2:$A$157="每日跟踪")*(持仓跟踪!$B$2:$B$157=A56))*持仓跟踪!$S$2:$S$157)),0)),0)*AL56)+IF(OR(AM56="",AN56=""),0,MAX(AM56-MAX(N56,IFERROR(SUMPRODUCT(MAX(((持仓跟踪!$A$2:$A$157="每日跟踪")*(持仓跟踪!$B$2:$B$157=A56))*持仓跟踪!$S$2:$S$157)),0)),0)*AN56))))</f>
        <v/>
      </c>
      <c r="AR56" s="8" t="str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$88)&gt;账户数据!$B$7,"违规：超过账户风险上限","通过")))))))))</f>
        <v/>
      </c>
    </row>
    <row r="57" ht="17" spans="1:44">
      <c r="A57" s="2"/>
      <c r="B57" s="2"/>
      <c r="C57" s="10"/>
      <c r="D57" s="6"/>
      <c r="E57" s="10"/>
      <c r="F57" s="8" t="str">
        <f t="shared" si="22"/>
        <v/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$157,"止损计划",持仓跟踪!$B$2:$B$157,A57,持仓跟踪!$AC$2:$AC$157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5"/>
      <c r="J57" s="10"/>
      <c r="K57" s="5" t="str">
        <f>IF(A57="","",IFERROR(LOOKUP(2,1/((持仓跟踪!$B$2:$B$157=A57)*(持仓跟踪!$X$2:$X$157="执行卖出")*(持仓跟踪!$Y$2:$Y$157&lt;&gt;"")),持仓跟踪!$Y$2:$Y$157),""))</f>
        <v/>
      </c>
      <c r="L57" s="8" t="str">
        <f>IF(A57="","",IFERROR(LOOKUP(2,1/((持仓跟踪!$B$2:$B$157=A57)*(持仓跟踪!$X$2:$X$157="执行卖出")*(持仓跟踪!$Z$2:$Z$157&lt;&gt;"")),持仓跟踪!$Z$2:$Z$157),""))</f>
        <v/>
      </c>
      <c r="M57" s="17" t="str">
        <f>IF(A57="","",IFERROR(LOOKUP(2,1/((持仓跟踪!$B$2:$B$157=A57)*(持仓跟踪!$X$2:$X$157="执行卖出")*(持仓跟踪!$H$2:$H$157&lt;&gt;"")),持仓跟踪!$H$2:$H$157),""))</f>
        <v/>
      </c>
      <c r="N57" s="10"/>
      <c r="O57" s="10"/>
      <c r="P57" s="5" t="str">
        <f>IF(A57="","",IFERROR(LOOKUP(2,1/((持仓跟踪!$B$2:$B$157=A57)*(持仓跟踪!$X$2:$X$157="执行卖出")*(持仓跟踪!$AA$2:$AA$157&lt;&gt;"")),持仓跟踪!$AA$2:$AA$157),""))</f>
        <v/>
      </c>
      <c r="Q57" s="2"/>
      <c r="R57" s="2"/>
      <c r="S57" s="2"/>
      <c r="T57" s="2"/>
      <c r="U57" s="7" t="str">
        <f t="shared" si="23"/>
        <v/>
      </c>
      <c r="V57" s="7" t="str">
        <f t="shared" si="24"/>
        <v/>
      </c>
      <c r="W57" s="18" t="str">
        <f t="shared" si="25"/>
        <v/>
      </c>
      <c r="X57" s="5" t="str">
        <f t="shared" si="26"/>
        <v/>
      </c>
      <c r="Y57" s="7" t="str">
        <f t="shared" si="27"/>
        <v/>
      </c>
      <c r="Z57" s="7" t="str">
        <f>IF(OR(AE57="",多次统计数据!$B$8=""),"",AE57-多次统计数据!$B$8)</f>
        <v/>
      </c>
      <c r="AA57" s="11" t="str">
        <f t="shared" si="28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9"/>
        <v/>
      </c>
      <c r="AG57" s="2"/>
      <c r="AH57" s="2"/>
      <c r="AI57" s="2"/>
      <c r="AJ57" s="8" t="str">
        <f t="shared" si="30"/>
        <v/>
      </c>
      <c r="AK57" s="10"/>
      <c r="AL57" s="12"/>
      <c r="AM57" s="10"/>
      <c r="AN57" s="12"/>
      <c r="AO57" s="5" t="str">
        <f t="shared" si="31"/>
        <v/>
      </c>
      <c r="AP57" s="11" t="str">
        <f t="shared" si="32"/>
        <v/>
      </c>
      <c r="AQ57" s="5" t="str">
        <f>IF(A57="","",IF(M57&lt;&gt;"",0,IF(OR(H57="",N57=""),"",MAX(E57-MAX(N57,IFERROR(SUMPRODUCT(MAX(((持仓跟踪!$A$2:$A$157="每日跟踪")*(持仓跟踪!$B$2:$B$157=A57))*持仓跟踪!$S$2:$S$157)),0)),0)*H57+IF(OR(AK57="",AL57=""),0,MAX(AK57-MAX(N57,IFERROR(SUMPRODUCT(MAX(((持仓跟踪!$A$2:$A$157="每日跟踪")*(持仓跟踪!$B$2:$B$157=A57))*持仓跟踪!$S$2:$S$157)),0)),0)*AL57)+IF(OR(AM57="",AN57=""),0,MAX(AM57-MAX(N57,IFERROR(SUMPRODUCT(MAX(((持仓跟踪!$A$2:$A$157="每日跟踪")*(持仓跟踪!$B$2:$B$157=A57))*持仓跟踪!$S$2:$S$157)),0)),0)*AN57))))</f>
        <v/>
      </c>
      <c r="AR57" s="8" t="str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$88)&gt;账户数据!$B$7,"违规：超过账户风险上限","通过")))))))))</f>
        <v/>
      </c>
    </row>
    <row r="58" ht="17" spans="1:44">
      <c r="A58" s="2"/>
      <c r="B58" s="2"/>
      <c r="C58" s="10"/>
      <c r="D58" s="6"/>
      <c r="E58" s="10"/>
      <c r="F58" s="8" t="str">
        <f t="shared" si="22"/>
        <v/>
      </c>
      <c r="G58" s="8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$157,"止损计划",持仓跟踪!$B$2:$B$157,A58,持仓跟踪!$AC$2:$AC$157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5"/>
      <c r="J58" s="10"/>
      <c r="K58" s="5" t="str">
        <f>IF(A58="","",IFERROR(LOOKUP(2,1/((持仓跟踪!$B$2:$B$157=A58)*(持仓跟踪!$X$2:$X$157="执行卖出")*(持仓跟踪!$Y$2:$Y$157&lt;&gt;"")),持仓跟踪!$Y$2:$Y$157),""))</f>
        <v/>
      </c>
      <c r="L58" s="8" t="str">
        <f>IF(A58="","",IFERROR(LOOKUP(2,1/((持仓跟踪!$B$2:$B$157=A58)*(持仓跟踪!$X$2:$X$157="执行卖出")*(持仓跟踪!$Z$2:$Z$157&lt;&gt;"")),持仓跟踪!$Z$2:$Z$157),""))</f>
        <v/>
      </c>
      <c r="M58" s="17" t="str">
        <f>IF(A58="","",IFERROR(LOOKUP(2,1/((持仓跟踪!$B$2:$B$157=A58)*(持仓跟踪!$X$2:$X$157="执行卖出")*(持仓跟踪!$H$2:$H$157&lt;&gt;"")),持仓跟踪!$H$2:$H$157),""))</f>
        <v/>
      </c>
      <c r="N58" s="10"/>
      <c r="O58" s="10"/>
      <c r="P58" s="5" t="str">
        <f>IF(A58="","",IFERROR(LOOKUP(2,1/((持仓跟踪!$B$2:$B$157=A58)*(持仓跟踪!$X$2:$X$157="执行卖出")*(持仓跟踪!$AA$2:$AA$157&lt;&gt;"")),持仓跟踪!$AA$2:$AA$157),""))</f>
        <v/>
      </c>
      <c r="Q58" s="2"/>
      <c r="R58" s="2"/>
      <c r="S58" s="2"/>
      <c r="T58" s="2"/>
      <c r="U58" s="7" t="str">
        <f t="shared" si="23"/>
        <v/>
      </c>
      <c r="V58" s="7" t="str">
        <f t="shared" si="24"/>
        <v/>
      </c>
      <c r="W58" s="18" t="str">
        <f t="shared" si="25"/>
        <v/>
      </c>
      <c r="X58" s="5" t="str">
        <f t="shared" si="26"/>
        <v/>
      </c>
      <c r="Y58" s="7" t="str">
        <f t="shared" si="27"/>
        <v/>
      </c>
      <c r="Z58" s="7" t="str">
        <f>IF(OR(AE58="",多次统计数据!$B$8=""),"",AE58-多次统计数据!$B$8)</f>
        <v/>
      </c>
      <c r="AA58" s="11" t="str">
        <f t="shared" si="28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9"/>
        <v/>
      </c>
      <c r="AG58" s="2"/>
      <c r="AH58" s="2"/>
      <c r="AI58" s="2"/>
      <c r="AJ58" s="8" t="str">
        <f t="shared" si="30"/>
        <v/>
      </c>
      <c r="AK58" s="10"/>
      <c r="AL58" s="12"/>
      <c r="AM58" s="10"/>
      <c r="AN58" s="12"/>
      <c r="AO58" s="5" t="str">
        <f t="shared" si="31"/>
        <v/>
      </c>
      <c r="AP58" s="11" t="str">
        <f t="shared" si="32"/>
        <v/>
      </c>
      <c r="AQ58" s="5" t="str">
        <f>IF(A58="","",IF(M58&lt;&gt;"",0,IF(OR(H58="",N58=""),"",MAX(E58-MAX(N58,IFERROR(SUMPRODUCT(MAX(((持仓跟踪!$A$2:$A$157="每日跟踪")*(持仓跟踪!$B$2:$B$157=A58))*持仓跟踪!$S$2:$S$157)),0)),0)*H58+IF(OR(AK58="",AL58=""),0,MAX(AK58-MAX(N58,IFERROR(SUMPRODUCT(MAX(((持仓跟踪!$A$2:$A$157="每日跟踪")*(持仓跟踪!$B$2:$B$157=A58))*持仓跟踪!$S$2:$S$157)),0)),0)*AL58)+IF(OR(AM58="",AN58=""),0,MAX(AM58-MAX(N58,IFERROR(SUMPRODUCT(MAX(((持仓跟踪!$A$2:$A$157="每日跟踪")*(持仓跟踪!$B$2:$B$157=A58))*持仓跟踪!$S$2:$S$157)),0)),0)*AN58))))</f>
        <v/>
      </c>
      <c r="AR58" s="8" t="str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$88)&gt;账户数据!$B$7,"违规：超过账户风险上限","通过")))))))))</f>
        <v/>
      </c>
    </row>
    <row r="59" ht="17" spans="1:44">
      <c r="A59" s="2"/>
      <c r="B59" s="2"/>
      <c r="C59" s="10"/>
      <c r="D59" s="6"/>
      <c r="E59" s="10"/>
      <c r="F59" s="8" t="str">
        <f t="shared" si="22"/>
        <v/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$157,"止损计划",持仓跟踪!$B$2:$B$157,A59,持仓跟踪!$AC$2:$AC$157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5"/>
      <c r="J59" s="10"/>
      <c r="K59" s="5" t="str">
        <f>IF(A59="","",IFERROR(LOOKUP(2,1/((持仓跟踪!$B$2:$B$157=A59)*(持仓跟踪!$X$2:$X$157="执行卖出")*(持仓跟踪!$Y$2:$Y$157&lt;&gt;"")),持仓跟踪!$Y$2:$Y$157),""))</f>
        <v/>
      </c>
      <c r="L59" s="8" t="str">
        <f>IF(A59="","",IFERROR(LOOKUP(2,1/((持仓跟踪!$B$2:$B$157=A59)*(持仓跟踪!$X$2:$X$157="执行卖出")*(持仓跟踪!$Z$2:$Z$157&lt;&gt;"")),持仓跟踪!$Z$2:$Z$157),""))</f>
        <v/>
      </c>
      <c r="M59" s="17" t="str">
        <f>IF(A59="","",IFERROR(LOOKUP(2,1/((持仓跟踪!$B$2:$B$157=A59)*(持仓跟踪!$X$2:$X$157="执行卖出")*(持仓跟踪!$H$2:$H$157&lt;&gt;"")),持仓跟踪!$H$2:$H$157),""))</f>
        <v/>
      </c>
      <c r="N59" s="10"/>
      <c r="O59" s="10"/>
      <c r="P59" s="5" t="str">
        <f>IF(A59="","",IFERROR(LOOKUP(2,1/((持仓跟踪!$B$2:$B$157=A59)*(持仓跟踪!$X$2:$X$157="执行卖出")*(持仓跟踪!$AA$2:$AA$157&lt;&gt;"")),持仓跟踪!$AA$2:$AA$157),""))</f>
        <v/>
      </c>
      <c r="Q59" s="2"/>
      <c r="R59" s="2"/>
      <c r="S59" s="2"/>
      <c r="T59" s="2"/>
      <c r="U59" s="7" t="str">
        <f t="shared" si="23"/>
        <v/>
      </c>
      <c r="V59" s="7" t="str">
        <f t="shared" si="24"/>
        <v/>
      </c>
      <c r="W59" s="18" t="str">
        <f t="shared" si="25"/>
        <v/>
      </c>
      <c r="X59" s="5" t="str">
        <f t="shared" si="26"/>
        <v/>
      </c>
      <c r="Y59" s="7" t="str">
        <f t="shared" si="27"/>
        <v/>
      </c>
      <c r="Z59" s="7" t="str">
        <f>IF(OR(AE59="",多次统计数据!$B$8=""),"",AE59-多次统计数据!$B$8)</f>
        <v/>
      </c>
      <c r="AA59" s="11" t="str">
        <f t="shared" si="28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9"/>
        <v/>
      </c>
      <c r="AG59" s="2"/>
      <c r="AH59" s="2"/>
      <c r="AI59" s="2"/>
      <c r="AJ59" s="8" t="str">
        <f t="shared" si="30"/>
        <v/>
      </c>
      <c r="AK59" s="10"/>
      <c r="AL59" s="12"/>
      <c r="AM59" s="10"/>
      <c r="AN59" s="12"/>
      <c r="AO59" s="5" t="str">
        <f t="shared" si="31"/>
        <v/>
      </c>
      <c r="AP59" s="11" t="str">
        <f t="shared" si="32"/>
        <v/>
      </c>
      <c r="AQ59" s="5" t="str">
        <f>IF(A59="","",IF(M59&lt;&gt;"",0,IF(OR(H59="",N59=""),"",MAX(E59-MAX(N59,IFERROR(SUMPRODUCT(MAX(((持仓跟踪!$A$2:$A$157="每日跟踪")*(持仓跟踪!$B$2:$B$157=A59))*持仓跟踪!$S$2:$S$157)),0)),0)*H59+IF(OR(AK59="",AL59=""),0,MAX(AK59-MAX(N59,IFERROR(SUMPRODUCT(MAX(((持仓跟踪!$A$2:$A$157="每日跟踪")*(持仓跟踪!$B$2:$B$157=A59))*持仓跟踪!$S$2:$S$157)),0)),0)*AL59)+IF(OR(AM59="",AN59=""),0,MAX(AM59-MAX(N59,IFERROR(SUMPRODUCT(MAX(((持仓跟踪!$A$2:$A$157="每日跟踪")*(持仓跟踪!$B$2:$B$157=A59))*持仓跟踪!$S$2:$S$157)),0)),0)*AN59))))</f>
        <v/>
      </c>
      <c r="AR59" s="8" t="str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$88)&gt;账户数据!$B$7,"违规：超过账户风险上限","通过")))))))))</f>
        <v/>
      </c>
    </row>
    <row r="60" ht="17" spans="1:44">
      <c r="A60" s="2"/>
      <c r="B60" s="2"/>
      <c r="C60" s="10"/>
      <c r="D60" s="6"/>
      <c r="E60" s="10"/>
      <c r="F60" s="8" t="str">
        <f t="shared" si="22"/>
        <v/>
      </c>
      <c r="G60" s="8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$157,"止损计划",持仓跟踪!$B$2:$B$157,A60,持仓跟踪!$AC$2:$AC$157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5"/>
      <c r="J60" s="10"/>
      <c r="K60" s="5" t="str">
        <f>IF(A60="","",IFERROR(LOOKUP(2,1/((持仓跟踪!$B$2:$B$157=A60)*(持仓跟踪!$X$2:$X$157="执行卖出")*(持仓跟踪!$Y$2:$Y$157&lt;&gt;"")),持仓跟踪!$Y$2:$Y$157),""))</f>
        <v/>
      </c>
      <c r="L60" s="8" t="str">
        <f>IF(A60="","",IFERROR(LOOKUP(2,1/((持仓跟踪!$B$2:$B$157=A60)*(持仓跟踪!$X$2:$X$157="执行卖出")*(持仓跟踪!$Z$2:$Z$157&lt;&gt;"")),持仓跟踪!$Z$2:$Z$157),""))</f>
        <v/>
      </c>
      <c r="M60" s="17" t="str">
        <f>IF(A60="","",IFERROR(LOOKUP(2,1/((持仓跟踪!$B$2:$B$157=A60)*(持仓跟踪!$X$2:$X$157="执行卖出")*(持仓跟踪!$H$2:$H$157&lt;&gt;"")),持仓跟踪!$H$2:$H$157),""))</f>
        <v/>
      </c>
      <c r="N60" s="10"/>
      <c r="O60" s="10"/>
      <c r="P60" s="5" t="str">
        <f>IF(A60="","",IFERROR(LOOKUP(2,1/((持仓跟踪!$B$2:$B$157=A60)*(持仓跟踪!$X$2:$X$157="执行卖出")*(持仓跟踪!$AA$2:$AA$157&lt;&gt;"")),持仓跟踪!$AA$2:$AA$157),""))</f>
        <v/>
      </c>
      <c r="Q60" s="2"/>
      <c r="R60" s="2"/>
      <c r="S60" s="2"/>
      <c r="T60" s="2"/>
      <c r="U60" s="7" t="str">
        <f t="shared" si="23"/>
        <v/>
      </c>
      <c r="V60" s="7" t="str">
        <f t="shared" si="24"/>
        <v/>
      </c>
      <c r="W60" s="18" t="str">
        <f t="shared" si="25"/>
        <v/>
      </c>
      <c r="X60" s="5" t="str">
        <f t="shared" si="26"/>
        <v/>
      </c>
      <c r="Y60" s="7" t="str">
        <f t="shared" si="27"/>
        <v/>
      </c>
      <c r="Z60" s="7" t="str">
        <f>IF(OR(AE60="",多次统计数据!$B$8=""),"",AE60-多次统计数据!$B$8)</f>
        <v/>
      </c>
      <c r="AA60" s="11" t="str">
        <f t="shared" si="28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9"/>
        <v/>
      </c>
      <c r="AG60" s="2"/>
      <c r="AH60" s="2"/>
      <c r="AI60" s="2"/>
      <c r="AJ60" s="8" t="str">
        <f t="shared" si="30"/>
        <v/>
      </c>
      <c r="AK60" s="10"/>
      <c r="AL60" s="12"/>
      <c r="AM60" s="10"/>
      <c r="AN60" s="12"/>
      <c r="AO60" s="5" t="str">
        <f t="shared" si="31"/>
        <v/>
      </c>
      <c r="AP60" s="11" t="str">
        <f t="shared" si="32"/>
        <v/>
      </c>
      <c r="AQ60" s="5" t="str">
        <f>IF(A60="","",IF(M60&lt;&gt;"",0,IF(OR(H60="",N60=""),"",MAX(E60-MAX(N60,IFERROR(SUMPRODUCT(MAX(((持仓跟踪!$A$2:$A$157="每日跟踪")*(持仓跟踪!$B$2:$B$157=A60))*持仓跟踪!$S$2:$S$157)),0)),0)*H60+IF(OR(AK60="",AL60=""),0,MAX(AK60-MAX(N60,IFERROR(SUMPRODUCT(MAX(((持仓跟踪!$A$2:$A$157="每日跟踪")*(持仓跟踪!$B$2:$B$157=A60))*持仓跟踪!$S$2:$S$157)),0)),0)*AL60)+IF(OR(AM60="",AN60=""),0,MAX(AM60-MAX(N60,IFERROR(SUMPRODUCT(MAX(((持仓跟踪!$A$2:$A$157="每日跟踪")*(持仓跟踪!$B$2:$B$157=A60))*持仓跟踪!$S$2:$S$157)),0)),0)*AN60))))</f>
        <v/>
      </c>
      <c r="AR60" s="8" t="str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$88)&gt;账户数据!$B$7,"违规：超过账户风险上限","通过")))))))))</f>
        <v/>
      </c>
    </row>
    <row r="61" ht="17" spans="1:44">
      <c r="A61" s="2"/>
      <c r="B61" s="2"/>
      <c r="C61" s="10"/>
      <c r="D61" s="6"/>
      <c r="E61" s="10"/>
      <c r="F61" s="8" t="str">
        <f t="shared" si="22"/>
        <v/>
      </c>
      <c r="G61" s="8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$157,"止损计划",持仓跟踪!$B$2:$B$157,A61,持仓跟踪!$AC$2:$AC$157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5"/>
      <c r="J61" s="10"/>
      <c r="K61" s="5" t="str">
        <f>IF(A61="","",IFERROR(LOOKUP(2,1/((持仓跟踪!$B$2:$B$157=A61)*(持仓跟踪!$X$2:$X$157="执行卖出")*(持仓跟踪!$Y$2:$Y$157&lt;&gt;"")),持仓跟踪!$Y$2:$Y$157),""))</f>
        <v/>
      </c>
      <c r="L61" s="8" t="str">
        <f>IF(A61="","",IFERROR(LOOKUP(2,1/((持仓跟踪!$B$2:$B$157=A61)*(持仓跟踪!$X$2:$X$157="执行卖出")*(持仓跟踪!$Z$2:$Z$157&lt;&gt;"")),持仓跟踪!$Z$2:$Z$157),""))</f>
        <v/>
      </c>
      <c r="M61" s="17" t="str">
        <f>IF(A61="","",IFERROR(LOOKUP(2,1/((持仓跟踪!$B$2:$B$157=A61)*(持仓跟踪!$X$2:$X$157="执行卖出")*(持仓跟踪!$H$2:$H$157&lt;&gt;"")),持仓跟踪!$H$2:$H$157),""))</f>
        <v/>
      </c>
      <c r="N61" s="10"/>
      <c r="O61" s="10"/>
      <c r="P61" s="5" t="str">
        <f>IF(A61="","",IFERROR(LOOKUP(2,1/((持仓跟踪!$B$2:$B$157=A61)*(持仓跟踪!$X$2:$X$157="执行卖出")*(持仓跟踪!$AA$2:$AA$157&lt;&gt;"")),持仓跟踪!$AA$2:$AA$157),""))</f>
        <v/>
      </c>
      <c r="Q61" s="2"/>
      <c r="R61" s="2"/>
      <c r="S61" s="2"/>
      <c r="T61" s="2"/>
      <c r="U61" s="7" t="str">
        <f t="shared" si="23"/>
        <v/>
      </c>
      <c r="V61" s="7" t="str">
        <f t="shared" si="24"/>
        <v/>
      </c>
      <c r="W61" s="18" t="str">
        <f t="shared" si="25"/>
        <v/>
      </c>
      <c r="X61" s="5" t="str">
        <f t="shared" si="26"/>
        <v/>
      </c>
      <c r="Y61" s="7" t="str">
        <f t="shared" si="27"/>
        <v/>
      </c>
      <c r="Z61" s="7" t="str">
        <f>IF(OR(AE61="",多次统计数据!$B$8=""),"",AE61-多次统计数据!$B$8)</f>
        <v/>
      </c>
      <c r="AA61" s="11" t="str">
        <f t="shared" si="28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9"/>
        <v/>
      </c>
      <c r="AG61" s="2"/>
      <c r="AH61" s="2"/>
      <c r="AI61" s="2"/>
      <c r="AJ61" s="8" t="str">
        <f t="shared" si="30"/>
        <v/>
      </c>
      <c r="AK61" s="10"/>
      <c r="AL61" s="12"/>
      <c r="AM61" s="10"/>
      <c r="AN61" s="12"/>
      <c r="AO61" s="5" t="str">
        <f t="shared" si="31"/>
        <v/>
      </c>
      <c r="AP61" s="11" t="str">
        <f t="shared" si="32"/>
        <v/>
      </c>
      <c r="AQ61" s="5" t="str">
        <f>IF(A61="","",IF(M61&lt;&gt;"",0,IF(OR(H61="",N61=""),"",MAX(E61-MAX(N61,IFERROR(SUMPRODUCT(MAX(((持仓跟踪!$A$2:$A$157="每日跟踪")*(持仓跟踪!$B$2:$B$157=A61))*持仓跟踪!$S$2:$S$157)),0)),0)*H61+IF(OR(AK61="",AL61=""),0,MAX(AK61-MAX(N61,IFERROR(SUMPRODUCT(MAX(((持仓跟踪!$A$2:$A$157="每日跟踪")*(持仓跟踪!$B$2:$B$157=A61))*持仓跟踪!$S$2:$S$157)),0)),0)*AL61)+IF(OR(AM61="",AN61=""),0,MAX(AM61-MAX(N61,IFERROR(SUMPRODUCT(MAX(((持仓跟踪!$A$2:$A$157="每日跟踪")*(持仓跟踪!$B$2:$B$157=A61))*持仓跟踪!$S$2:$S$157)),0)),0)*AN61))))</f>
        <v/>
      </c>
      <c r="AR61" s="8" t="str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$88)&gt;账户数据!$B$7,"违规：超过账户风险上限","通过")))))))))</f>
        <v/>
      </c>
    </row>
    <row r="62" ht="17" spans="1:44">
      <c r="A62" s="2"/>
      <c r="B62" s="2"/>
      <c r="C62" s="10"/>
      <c r="D62" s="6"/>
      <c r="E62" s="10"/>
      <c r="F62" s="8" t="str">
        <f t="shared" si="22"/>
        <v/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$157,"止损计划",持仓跟踪!$B$2:$B$157,A62,持仓跟踪!$AC$2:$AC$157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5"/>
      <c r="J62" s="10"/>
      <c r="K62" s="5" t="str">
        <f>IF(A62="","",IFERROR(LOOKUP(2,1/((持仓跟踪!$B$2:$B$157=A62)*(持仓跟踪!$X$2:$X$157="执行卖出")*(持仓跟踪!$Y$2:$Y$157&lt;&gt;"")),持仓跟踪!$Y$2:$Y$157),""))</f>
        <v/>
      </c>
      <c r="L62" s="8" t="str">
        <f>IF(A62="","",IFERROR(LOOKUP(2,1/((持仓跟踪!$B$2:$B$157=A62)*(持仓跟踪!$X$2:$X$157="执行卖出")*(持仓跟踪!$Z$2:$Z$157&lt;&gt;"")),持仓跟踪!$Z$2:$Z$157),""))</f>
        <v/>
      </c>
      <c r="M62" s="17" t="str">
        <f>IF(A62="","",IFERROR(LOOKUP(2,1/((持仓跟踪!$B$2:$B$157=A62)*(持仓跟踪!$X$2:$X$157="执行卖出")*(持仓跟踪!$H$2:$H$157&lt;&gt;"")),持仓跟踪!$H$2:$H$157),""))</f>
        <v/>
      </c>
      <c r="N62" s="10"/>
      <c r="O62" s="10"/>
      <c r="P62" s="5" t="str">
        <f>IF(A62="","",IFERROR(LOOKUP(2,1/((持仓跟踪!$B$2:$B$157=A62)*(持仓跟踪!$X$2:$X$157="执行卖出")*(持仓跟踪!$AA$2:$AA$157&lt;&gt;"")),持仓跟踪!$AA$2:$AA$157),""))</f>
        <v/>
      </c>
      <c r="Q62" s="2"/>
      <c r="R62" s="2"/>
      <c r="S62" s="2"/>
      <c r="T62" s="2"/>
      <c r="U62" s="7" t="str">
        <f t="shared" si="23"/>
        <v/>
      </c>
      <c r="V62" s="7" t="str">
        <f t="shared" si="24"/>
        <v/>
      </c>
      <c r="W62" s="18" t="str">
        <f t="shared" si="25"/>
        <v/>
      </c>
      <c r="X62" s="5" t="str">
        <f t="shared" si="26"/>
        <v/>
      </c>
      <c r="Y62" s="7" t="str">
        <f t="shared" si="27"/>
        <v/>
      </c>
      <c r="Z62" s="7" t="str">
        <f>IF(OR(AE62="",多次统计数据!$B$8=""),"",AE62-多次统计数据!$B$8)</f>
        <v/>
      </c>
      <c r="AA62" s="11" t="str">
        <f t="shared" si="28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9"/>
        <v/>
      </c>
      <c r="AG62" s="2"/>
      <c r="AH62" s="2"/>
      <c r="AI62" s="2"/>
      <c r="AJ62" s="8" t="str">
        <f t="shared" si="30"/>
        <v/>
      </c>
      <c r="AK62" s="10"/>
      <c r="AL62" s="12"/>
      <c r="AM62" s="10"/>
      <c r="AN62" s="12"/>
      <c r="AO62" s="5" t="str">
        <f t="shared" si="31"/>
        <v/>
      </c>
      <c r="AP62" s="11" t="str">
        <f t="shared" si="32"/>
        <v/>
      </c>
      <c r="AQ62" s="5" t="str">
        <f>IF(A62="","",IF(M62&lt;&gt;"",0,IF(OR(H62="",N62=""),"",MAX(E62-MAX(N62,IFERROR(SUMPRODUCT(MAX(((持仓跟踪!$A$2:$A$157="每日跟踪")*(持仓跟踪!$B$2:$B$157=A62))*持仓跟踪!$S$2:$S$157)),0)),0)*H62+IF(OR(AK62="",AL62=""),0,MAX(AK62-MAX(N62,IFERROR(SUMPRODUCT(MAX(((持仓跟踪!$A$2:$A$157="每日跟踪")*(持仓跟踪!$B$2:$B$157=A62))*持仓跟踪!$S$2:$S$157)),0)),0)*AL62)+IF(OR(AM62="",AN62=""),0,MAX(AM62-MAX(N62,IFERROR(SUMPRODUCT(MAX(((持仓跟踪!$A$2:$A$157="每日跟踪")*(持仓跟踪!$B$2:$B$157=A62))*持仓跟踪!$S$2:$S$157)),0)),0)*AN62))))</f>
        <v/>
      </c>
      <c r="AR62" s="8" t="str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$88)&gt;账户数据!$B$7,"违规：超过账户风险上限","通过")))))))))</f>
        <v/>
      </c>
    </row>
    <row r="63" ht="17" spans="1:44">
      <c r="A63" s="2"/>
      <c r="B63" s="2"/>
      <c r="C63" s="10"/>
      <c r="D63" s="6"/>
      <c r="E63" s="10"/>
      <c r="F63" s="8" t="str">
        <f t="shared" si="22"/>
        <v/>
      </c>
      <c r="G63" s="8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$157,"止损计划",持仓跟踪!$B$2:$B$157,A63,持仓跟踪!$AC$2:$AC$157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5"/>
      <c r="J63" s="10"/>
      <c r="K63" s="5" t="str">
        <f>IF(A63="","",IFERROR(LOOKUP(2,1/((持仓跟踪!$B$2:$B$157=A63)*(持仓跟踪!$X$2:$X$157="执行卖出")*(持仓跟踪!$Y$2:$Y$157&lt;&gt;"")),持仓跟踪!$Y$2:$Y$157),""))</f>
        <v/>
      </c>
      <c r="L63" s="8" t="str">
        <f>IF(A63="","",IFERROR(LOOKUP(2,1/((持仓跟踪!$B$2:$B$157=A63)*(持仓跟踪!$X$2:$X$157="执行卖出")*(持仓跟踪!$Z$2:$Z$157&lt;&gt;"")),持仓跟踪!$Z$2:$Z$157),""))</f>
        <v/>
      </c>
      <c r="M63" s="17" t="str">
        <f>IF(A63="","",IFERROR(LOOKUP(2,1/((持仓跟踪!$B$2:$B$157=A63)*(持仓跟踪!$X$2:$X$157="执行卖出")*(持仓跟踪!$H$2:$H$157&lt;&gt;"")),持仓跟踪!$H$2:$H$157),""))</f>
        <v/>
      </c>
      <c r="N63" s="10"/>
      <c r="O63" s="10"/>
      <c r="P63" s="5" t="str">
        <f>IF(A63="","",IFERROR(LOOKUP(2,1/((持仓跟踪!$B$2:$B$157=A63)*(持仓跟踪!$X$2:$X$157="执行卖出")*(持仓跟踪!$AA$2:$AA$157&lt;&gt;"")),持仓跟踪!$AA$2:$AA$157),""))</f>
        <v/>
      </c>
      <c r="Q63" s="2"/>
      <c r="R63" s="2"/>
      <c r="S63" s="2"/>
      <c r="T63" s="2"/>
      <c r="U63" s="7" t="str">
        <f t="shared" si="23"/>
        <v/>
      </c>
      <c r="V63" s="7" t="str">
        <f t="shared" si="24"/>
        <v/>
      </c>
      <c r="W63" s="18" t="str">
        <f t="shared" si="25"/>
        <v/>
      </c>
      <c r="X63" s="5" t="str">
        <f t="shared" si="26"/>
        <v/>
      </c>
      <c r="Y63" s="7" t="str">
        <f t="shared" si="27"/>
        <v/>
      </c>
      <c r="Z63" s="7" t="str">
        <f>IF(OR(AE63="",多次统计数据!$B$8=""),"",AE63-多次统计数据!$B$8)</f>
        <v/>
      </c>
      <c r="AA63" s="11" t="str">
        <f t="shared" si="28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9"/>
        <v/>
      </c>
      <c r="AG63" s="2"/>
      <c r="AH63" s="2"/>
      <c r="AI63" s="2"/>
      <c r="AJ63" s="8" t="str">
        <f t="shared" si="30"/>
        <v/>
      </c>
      <c r="AK63" s="10"/>
      <c r="AL63" s="12"/>
      <c r="AM63" s="10"/>
      <c r="AN63" s="12"/>
      <c r="AO63" s="5" t="str">
        <f t="shared" si="31"/>
        <v/>
      </c>
      <c r="AP63" s="11" t="str">
        <f t="shared" si="32"/>
        <v/>
      </c>
      <c r="AQ63" s="5" t="str">
        <f>IF(A63="","",IF(M63&lt;&gt;"",0,IF(OR(H63="",N63=""),"",MAX(E63-MAX(N63,IFERROR(SUMPRODUCT(MAX(((持仓跟踪!$A$2:$A$157="每日跟踪")*(持仓跟踪!$B$2:$B$157=A63))*持仓跟踪!$S$2:$S$157)),0)),0)*H63+IF(OR(AK63="",AL63=""),0,MAX(AK63-MAX(N63,IFERROR(SUMPRODUCT(MAX(((持仓跟踪!$A$2:$A$157="每日跟踪")*(持仓跟踪!$B$2:$B$157=A63))*持仓跟踪!$S$2:$S$157)),0)),0)*AL63)+IF(OR(AM63="",AN63=""),0,MAX(AM63-MAX(N63,IFERROR(SUMPRODUCT(MAX(((持仓跟踪!$A$2:$A$157="每日跟踪")*(持仓跟踪!$B$2:$B$157=A63))*持仓跟踪!$S$2:$S$157)),0)),0)*AN63))))</f>
        <v/>
      </c>
      <c r="AR63" s="8" t="str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$88)&gt;账户数据!$B$7,"违规：超过账户风险上限","通过")))))))))</f>
        <v/>
      </c>
    </row>
    <row r="64" ht="17" spans="1:44">
      <c r="A64" s="2"/>
      <c r="B64" s="2"/>
      <c r="C64" s="10"/>
      <c r="D64" s="6"/>
      <c r="E64" s="10"/>
      <c r="F64" s="8" t="str">
        <f t="shared" si="22"/>
        <v/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$157,"止损计划",持仓跟踪!$B$2:$B$157,A64,持仓跟踪!$AC$2:$AC$157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5"/>
      <c r="J64" s="10"/>
      <c r="K64" s="5" t="str">
        <f>IF(A64="","",IFERROR(LOOKUP(2,1/((持仓跟踪!$B$2:$B$157=A64)*(持仓跟踪!$X$2:$X$157="执行卖出")*(持仓跟踪!$Y$2:$Y$157&lt;&gt;"")),持仓跟踪!$Y$2:$Y$157),""))</f>
        <v/>
      </c>
      <c r="L64" s="8" t="str">
        <f>IF(A64="","",IFERROR(LOOKUP(2,1/((持仓跟踪!$B$2:$B$157=A64)*(持仓跟踪!$X$2:$X$157="执行卖出")*(持仓跟踪!$Z$2:$Z$157&lt;&gt;"")),持仓跟踪!$Z$2:$Z$157),""))</f>
        <v/>
      </c>
      <c r="M64" s="17" t="str">
        <f>IF(A64="","",IFERROR(LOOKUP(2,1/((持仓跟踪!$B$2:$B$157=A64)*(持仓跟踪!$X$2:$X$157="执行卖出")*(持仓跟踪!$H$2:$H$157&lt;&gt;"")),持仓跟踪!$H$2:$H$157),""))</f>
        <v/>
      </c>
      <c r="N64" s="10"/>
      <c r="O64" s="10"/>
      <c r="P64" s="5" t="str">
        <f>IF(A64="","",IFERROR(LOOKUP(2,1/((持仓跟踪!$B$2:$B$157=A64)*(持仓跟踪!$X$2:$X$157="执行卖出")*(持仓跟踪!$AA$2:$AA$157&lt;&gt;"")),持仓跟踪!$AA$2:$AA$157),""))</f>
        <v/>
      </c>
      <c r="Q64" s="2"/>
      <c r="R64" s="2"/>
      <c r="S64" s="2"/>
      <c r="T64" s="2"/>
      <c r="U64" s="7" t="str">
        <f t="shared" si="23"/>
        <v/>
      </c>
      <c r="V64" s="7" t="str">
        <f t="shared" si="24"/>
        <v/>
      </c>
      <c r="W64" s="18" t="str">
        <f t="shared" si="25"/>
        <v/>
      </c>
      <c r="X64" s="5" t="str">
        <f t="shared" si="26"/>
        <v/>
      </c>
      <c r="Y64" s="7" t="str">
        <f t="shared" si="27"/>
        <v/>
      </c>
      <c r="Z64" s="7" t="str">
        <f>IF(OR(AE64="",多次统计数据!$B$8=""),"",AE64-多次统计数据!$B$8)</f>
        <v/>
      </c>
      <c r="AA64" s="11" t="str">
        <f t="shared" si="28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9"/>
        <v/>
      </c>
      <c r="AG64" s="2"/>
      <c r="AH64" s="2"/>
      <c r="AI64" s="2"/>
      <c r="AJ64" s="8" t="str">
        <f t="shared" si="30"/>
        <v/>
      </c>
      <c r="AK64" s="10"/>
      <c r="AL64" s="12"/>
      <c r="AM64" s="10"/>
      <c r="AN64" s="12"/>
      <c r="AO64" s="5" t="str">
        <f t="shared" si="31"/>
        <v/>
      </c>
      <c r="AP64" s="11" t="str">
        <f t="shared" si="32"/>
        <v/>
      </c>
      <c r="AQ64" s="5" t="str">
        <f>IF(A64="","",IF(M64&lt;&gt;"",0,IF(OR(H64="",N64=""),"",MAX(E64-MAX(N64,IFERROR(SUMPRODUCT(MAX(((持仓跟踪!$A$2:$A$157="每日跟踪")*(持仓跟踪!$B$2:$B$157=A64))*持仓跟踪!$S$2:$S$157)),0)),0)*H64+IF(OR(AK64="",AL64=""),0,MAX(AK64-MAX(N64,IFERROR(SUMPRODUCT(MAX(((持仓跟踪!$A$2:$A$157="每日跟踪")*(持仓跟踪!$B$2:$B$157=A64))*持仓跟踪!$S$2:$S$157)),0)),0)*AL64)+IF(OR(AM64="",AN64=""),0,MAX(AM64-MAX(N64,IFERROR(SUMPRODUCT(MAX(((持仓跟踪!$A$2:$A$157="每日跟踪")*(持仓跟踪!$B$2:$B$157=A64))*持仓跟踪!$S$2:$S$157)),0)),0)*AN64))))</f>
        <v/>
      </c>
      <c r="AR64" s="8" t="str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$88)&gt;账户数据!$B$7,"违规：超过账户风险上限","通过")))))))))</f>
        <v/>
      </c>
    </row>
    <row r="65" ht="17" spans="1:44">
      <c r="A65" s="2"/>
      <c r="B65" s="2"/>
      <c r="C65" s="10"/>
      <c r="D65" s="6"/>
      <c r="E65" s="10"/>
      <c r="F65" s="8" t="str">
        <f t="shared" si="22"/>
        <v/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$157,"止损计划",持仓跟踪!$B$2:$B$157,A65,持仓跟踪!$AC$2:$AC$157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5"/>
      <c r="J65" s="10"/>
      <c r="K65" s="5" t="str">
        <f>IF(A65="","",IFERROR(LOOKUP(2,1/((持仓跟踪!$B$2:$B$157=A65)*(持仓跟踪!$X$2:$X$157="执行卖出")*(持仓跟踪!$Y$2:$Y$157&lt;&gt;"")),持仓跟踪!$Y$2:$Y$157),""))</f>
        <v/>
      </c>
      <c r="L65" s="8" t="str">
        <f>IF(A65="","",IFERROR(LOOKUP(2,1/((持仓跟踪!$B$2:$B$157=A65)*(持仓跟踪!$X$2:$X$157="执行卖出")*(持仓跟踪!$Z$2:$Z$157&lt;&gt;"")),持仓跟踪!$Z$2:$Z$157),""))</f>
        <v/>
      </c>
      <c r="M65" s="17" t="str">
        <f>IF(A65="","",IFERROR(LOOKUP(2,1/((持仓跟踪!$B$2:$B$157=A65)*(持仓跟踪!$X$2:$X$157="执行卖出")*(持仓跟踪!$H$2:$H$157&lt;&gt;"")),持仓跟踪!$H$2:$H$157),""))</f>
        <v/>
      </c>
      <c r="N65" s="10"/>
      <c r="O65" s="10"/>
      <c r="P65" s="5" t="str">
        <f>IF(A65="","",IFERROR(LOOKUP(2,1/((持仓跟踪!$B$2:$B$157=A65)*(持仓跟踪!$X$2:$X$157="执行卖出")*(持仓跟踪!$AA$2:$AA$157&lt;&gt;"")),持仓跟踪!$AA$2:$AA$157),""))</f>
        <v/>
      </c>
      <c r="Q65" s="2"/>
      <c r="R65" s="2"/>
      <c r="S65" s="2"/>
      <c r="T65" s="2"/>
      <c r="U65" s="7" t="str">
        <f t="shared" si="23"/>
        <v/>
      </c>
      <c r="V65" s="7" t="str">
        <f t="shared" si="24"/>
        <v/>
      </c>
      <c r="W65" s="18" t="str">
        <f t="shared" si="25"/>
        <v/>
      </c>
      <c r="X65" s="5" t="str">
        <f t="shared" si="26"/>
        <v/>
      </c>
      <c r="Y65" s="7" t="str">
        <f t="shared" si="27"/>
        <v/>
      </c>
      <c r="Z65" s="7" t="str">
        <f>IF(OR(AE65="",多次统计数据!$B$8=""),"",AE65-多次统计数据!$B$8)</f>
        <v/>
      </c>
      <c r="AA65" s="11" t="str">
        <f t="shared" si="28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9"/>
        <v/>
      </c>
      <c r="AG65" s="2"/>
      <c r="AH65" s="2"/>
      <c r="AI65" s="2"/>
      <c r="AJ65" s="8" t="str">
        <f t="shared" si="30"/>
        <v/>
      </c>
      <c r="AK65" s="10"/>
      <c r="AL65" s="12"/>
      <c r="AM65" s="10"/>
      <c r="AN65" s="12"/>
      <c r="AO65" s="5" t="str">
        <f t="shared" si="31"/>
        <v/>
      </c>
      <c r="AP65" s="11" t="str">
        <f t="shared" si="32"/>
        <v/>
      </c>
      <c r="AQ65" s="5" t="str">
        <f>IF(A65="","",IF(M65&lt;&gt;"",0,IF(OR(H65="",N65=""),"",MAX(E65-MAX(N65,IFERROR(SUMPRODUCT(MAX(((持仓跟踪!$A$2:$A$157="每日跟踪")*(持仓跟踪!$B$2:$B$157=A65))*持仓跟踪!$S$2:$S$157)),0)),0)*H65+IF(OR(AK65="",AL65=""),0,MAX(AK65-MAX(N65,IFERROR(SUMPRODUCT(MAX(((持仓跟踪!$A$2:$A$157="每日跟踪")*(持仓跟踪!$B$2:$B$157=A65))*持仓跟踪!$S$2:$S$157)),0)),0)*AL65)+IF(OR(AM65="",AN65=""),0,MAX(AM65-MAX(N65,IFERROR(SUMPRODUCT(MAX(((持仓跟踪!$A$2:$A$157="每日跟踪")*(持仓跟踪!$B$2:$B$157=A65))*持仓跟踪!$S$2:$S$157)),0)),0)*AN65))))</f>
        <v/>
      </c>
      <c r="AR65" s="8" t="str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$88)&gt;账户数据!$B$7,"违规：超过账户风险上限","通过")))))))))</f>
        <v/>
      </c>
    </row>
    <row r="66" ht="17" spans="1:44">
      <c r="A66" s="2"/>
      <c r="B66" s="2"/>
      <c r="C66" s="10"/>
      <c r="D66" s="6"/>
      <c r="E66" s="10"/>
      <c r="F66" s="8" t="str">
        <f t="shared" si="22"/>
        <v/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$157,"止损计划",持仓跟踪!$B$2:$B$157,A66,持仓跟踪!$AC$2:$AC$157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5" t="str">
        <f>IF(A66="","",IFERROR(LOOKUP(2,1/((持仓跟踪!$B$2:$B$157=A66)*(持仓跟踪!$X$2:$X$157="执行卖出")*(持仓跟踪!$Y$2:$Y$157&lt;&gt;"")),持仓跟踪!$Y$2:$Y$157),""))</f>
        <v/>
      </c>
      <c r="L66" s="8" t="str">
        <f>IF(A66="","",IFERROR(LOOKUP(2,1/((持仓跟踪!$B$2:$B$157=A66)*(持仓跟踪!$X$2:$X$157="执行卖出")*(持仓跟踪!$Z$2:$Z$157&lt;&gt;"")),持仓跟踪!$Z$2:$Z$157),""))</f>
        <v/>
      </c>
      <c r="M66" s="17" t="str">
        <f>IF(A66="","",IFERROR(LOOKUP(2,1/((持仓跟踪!$B$2:$B$157=A66)*(持仓跟踪!$X$2:$X$157="执行卖出")*(持仓跟踪!$H$2:$H$157&lt;&gt;"")),持仓跟踪!$H$2:$H$157),""))</f>
        <v/>
      </c>
      <c r="N66" s="10"/>
      <c r="O66" s="10"/>
      <c r="P66" s="5" t="str">
        <f>IF(A66="","",IFERROR(LOOKUP(2,1/((持仓跟踪!$B$2:$B$157=A66)*(持仓跟踪!$X$2:$X$157="执行卖出")*(持仓跟踪!$AA$2:$AA$157&lt;&gt;"")),持仓跟踪!$AA$2:$AA$157),""))</f>
        <v/>
      </c>
      <c r="Q66" s="2"/>
      <c r="R66" s="2"/>
      <c r="S66" s="2"/>
      <c r="T66" s="2"/>
      <c r="U66" s="7" t="str">
        <f t="shared" si="23"/>
        <v/>
      </c>
      <c r="V66" s="7" t="str">
        <f t="shared" si="24"/>
        <v/>
      </c>
      <c r="W66" s="18" t="str">
        <f t="shared" si="25"/>
        <v/>
      </c>
      <c r="X66" s="5" t="str">
        <f t="shared" si="26"/>
        <v/>
      </c>
      <c r="Y66" s="7" t="str">
        <f t="shared" si="27"/>
        <v/>
      </c>
      <c r="Z66" s="7" t="str">
        <f>IF(OR(AE66="",多次统计数据!$B$8=""),"",AE66-多次统计数据!$B$8)</f>
        <v/>
      </c>
      <c r="AA66" s="11" t="str">
        <f t="shared" si="28"/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si="29"/>
        <v/>
      </c>
      <c r="AG66" s="2"/>
      <c r="AH66" s="2"/>
      <c r="AI66" s="2"/>
      <c r="AJ66" s="8" t="str">
        <f t="shared" si="30"/>
        <v/>
      </c>
      <c r="AK66" s="10"/>
      <c r="AL66" s="12"/>
      <c r="AM66" s="10"/>
      <c r="AN66" s="12"/>
      <c r="AO66" s="5" t="str">
        <f t="shared" si="31"/>
        <v/>
      </c>
      <c r="AP66" s="11" t="str">
        <f t="shared" si="32"/>
        <v/>
      </c>
      <c r="AQ66" s="5" t="str">
        <f>IF(A66="","",IF(M66&lt;&gt;"",0,IF(OR(H66="",N66=""),"",MAX(E66-MAX(N66,IFERROR(SUMPRODUCT(MAX(((持仓跟踪!$A$2:$A$157="每日跟踪")*(持仓跟踪!$B$2:$B$157=A66))*持仓跟踪!$S$2:$S$157)),0)),0)*H66+IF(OR(AK66="",AL66=""),0,MAX(AK66-MAX(N66,IFERROR(SUMPRODUCT(MAX(((持仓跟踪!$A$2:$A$157="每日跟踪")*(持仓跟踪!$B$2:$B$157=A66))*持仓跟踪!$S$2:$S$157)),0)),0)*AL66)+IF(OR(AM66="",AN66=""),0,MAX(AM66-MAX(N66,IFERROR(SUMPRODUCT(MAX(((持仓跟踪!$A$2:$A$157="每日跟踪")*(持仓跟踪!$B$2:$B$157=A66))*持仓跟踪!$S$2:$S$157)),0)),0)*AN66))))</f>
        <v/>
      </c>
      <c r="AR66" s="8" t="str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$88)&gt;账户数据!$B$7,"违规：超过账户风险上限","通过")))))))))</f>
        <v/>
      </c>
    </row>
    <row r="67" ht="17" spans="1:44">
      <c r="A67" s="2"/>
      <c r="B67" s="2"/>
      <c r="C67" s="10"/>
      <c r="D67" s="6"/>
      <c r="E67" s="10"/>
      <c r="F67" s="8" t="str">
        <f t="shared" si="22"/>
        <v/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$157,"止损计划",持仓跟踪!$B$2:$B$157,A67,持仓跟踪!$AC$2:$AC$157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5" t="str">
        <f>IF(A67="","",IFERROR(LOOKUP(2,1/((持仓跟踪!$B$2:$B$157=A67)*(持仓跟踪!$X$2:$X$157="执行卖出")*(持仓跟踪!$Y$2:$Y$157&lt;&gt;"")),持仓跟踪!$Y$2:$Y$157),""))</f>
        <v/>
      </c>
      <c r="L67" s="8" t="str">
        <f>IF(A67="","",IFERROR(LOOKUP(2,1/((持仓跟踪!$B$2:$B$157=A67)*(持仓跟踪!$X$2:$X$157="执行卖出")*(持仓跟踪!$Z$2:$Z$157&lt;&gt;"")),持仓跟踪!$Z$2:$Z$157),""))</f>
        <v/>
      </c>
      <c r="M67" s="17" t="str">
        <f>IF(A67="","",IFERROR(LOOKUP(2,1/((持仓跟踪!$B$2:$B$157=A67)*(持仓跟踪!$X$2:$X$157="执行卖出")*(持仓跟踪!$H$2:$H$157&lt;&gt;"")),持仓跟踪!$H$2:$H$157),""))</f>
        <v/>
      </c>
      <c r="N67" s="10"/>
      <c r="O67" s="10"/>
      <c r="P67" s="5" t="str">
        <f>IF(A67="","",IFERROR(LOOKUP(2,1/((持仓跟踪!$B$2:$B$157=A67)*(持仓跟踪!$X$2:$X$157="执行卖出")*(持仓跟踪!$AA$2:$AA$157&lt;&gt;"")),持仓跟踪!$AA$2:$AA$157),""))</f>
        <v/>
      </c>
      <c r="Q67" s="2"/>
      <c r="R67" s="2"/>
      <c r="S67" s="2"/>
      <c r="T67" s="2"/>
      <c r="U67" s="7" t="str">
        <f t="shared" si="23"/>
        <v/>
      </c>
      <c r="V67" s="7" t="str">
        <f t="shared" si="24"/>
        <v/>
      </c>
      <c r="W67" s="18" t="str">
        <f t="shared" si="25"/>
        <v/>
      </c>
      <c r="X67" s="5" t="str">
        <f t="shared" si="26"/>
        <v/>
      </c>
      <c r="Y67" s="7" t="str">
        <f t="shared" si="27"/>
        <v/>
      </c>
      <c r="Z67" s="7" t="str">
        <f>IF(OR(AE67="",多次统计数据!$B$8=""),"",AE67-多次统计数据!$B$8)</f>
        <v/>
      </c>
      <c r="AA67" s="11" t="str">
        <f t="shared" si="28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29"/>
        <v/>
      </c>
      <c r="AG67" s="2"/>
      <c r="AH67" s="2"/>
      <c r="AI67" s="2"/>
      <c r="AJ67" s="8" t="str">
        <f t="shared" si="30"/>
        <v/>
      </c>
      <c r="AK67" s="10"/>
      <c r="AL67" s="12"/>
      <c r="AM67" s="10"/>
      <c r="AN67" s="12"/>
      <c r="AO67" s="5" t="str">
        <f t="shared" si="31"/>
        <v/>
      </c>
      <c r="AP67" s="11" t="str">
        <f t="shared" si="32"/>
        <v/>
      </c>
      <c r="AQ67" s="5" t="str">
        <f>IF(A67="","",IF(M67&lt;&gt;"",0,IF(OR(H67="",N67=""),"",MAX(E67-MAX(N67,IFERROR(SUMPRODUCT(MAX(((持仓跟踪!$A$2:$A$157="每日跟踪")*(持仓跟踪!$B$2:$B$157=A67))*持仓跟踪!$S$2:$S$157)),0)),0)*H67+IF(OR(AK67="",AL67=""),0,MAX(AK67-MAX(N67,IFERROR(SUMPRODUCT(MAX(((持仓跟踪!$A$2:$A$157="每日跟踪")*(持仓跟踪!$B$2:$B$157=A67))*持仓跟踪!$S$2:$S$157)),0)),0)*AL67)+IF(OR(AM67="",AN67=""),0,MAX(AM67-MAX(N67,IFERROR(SUMPRODUCT(MAX(((持仓跟踪!$A$2:$A$157="每日跟踪")*(持仓跟踪!$B$2:$B$157=A67))*持仓跟踪!$S$2:$S$157)),0)),0)*AN67))))</f>
        <v/>
      </c>
      <c r="AR67" s="8" t="str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$88)&gt;账户数据!$B$7,"违规：超过账户风险上限","通过")))))))))</f>
        <v/>
      </c>
    </row>
    <row r="68" ht="17" spans="1:44">
      <c r="A68" s="2"/>
      <c r="B68" s="2"/>
      <c r="C68" s="10"/>
      <c r="D68" s="6"/>
      <c r="E68" s="10"/>
      <c r="F68" s="8" t="str">
        <f t="shared" si="22"/>
        <v/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$157,"止损计划",持仓跟踪!$B$2:$B$157,A68,持仓跟踪!$AC$2:$AC$157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5" t="str">
        <f>IF(A68="","",IFERROR(LOOKUP(2,1/((持仓跟踪!$B$2:$B$157=A68)*(持仓跟踪!$X$2:$X$157="执行卖出")*(持仓跟踪!$Y$2:$Y$157&lt;&gt;"")),持仓跟踪!$Y$2:$Y$157),""))</f>
        <v/>
      </c>
      <c r="L68" s="8" t="str">
        <f>IF(A68="","",IFERROR(LOOKUP(2,1/((持仓跟踪!$B$2:$B$157=A68)*(持仓跟踪!$X$2:$X$157="执行卖出")*(持仓跟踪!$Z$2:$Z$157&lt;&gt;"")),持仓跟踪!$Z$2:$Z$157),""))</f>
        <v/>
      </c>
      <c r="M68" s="17" t="str">
        <f>IF(A68="","",IFERROR(LOOKUP(2,1/((持仓跟踪!$B$2:$B$157=A68)*(持仓跟踪!$X$2:$X$157="执行卖出")*(持仓跟踪!$H$2:$H$157&lt;&gt;"")),持仓跟踪!$H$2:$H$157),""))</f>
        <v/>
      </c>
      <c r="N68" s="10"/>
      <c r="O68" s="10"/>
      <c r="P68" s="5" t="str">
        <f>IF(A68="","",IFERROR(LOOKUP(2,1/((持仓跟踪!$B$2:$B$157=A68)*(持仓跟踪!$X$2:$X$157="执行卖出")*(持仓跟踪!$AA$2:$AA$157&lt;&gt;"")),持仓跟踪!$AA$2:$AA$157),""))</f>
        <v/>
      </c>
      <c r="Q68" s="2"/>
      <c r="R68" s="2"/>
      <c r="S68" s="2"/>
      <c r="T68" s="2"/>
      <c r="U68" s="7" t="str">
        <f t="shared" si="23"/>
        <v/>
      </c>
      <c r="V68" s="7" t="str">
        <f t="shared" si="24"/>
        <v/>
      </c>
      <c r="W68" s="18" t="str">
        <f t="shared" si="25"/>
        <v/>
      </c>
      <c r="X68" s="5" t="str">
        <f t="shared" si="26"/>
        <v/>
      </c>
      <c r="Y68" s="7" t="str">
        <f t="shared" si="27"/>
        <v/>
      </c>
      <c r="Z68" s="7" t="str">
        <f>IF(OR(AE68="",多次统计数据!$B$8=""),"",AE68-多次统计数据!$B$8)</f>
        <v/>
      </c>
      <c r="AA68" s="11" t="str">
        <f t="shared" si="28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29"/>
        <v/>
      </c>
      <c r="AG68" s="2"/>
      <c r="AH68" s="2"/>
      <c r="AI68" s="2"/>
      <c r="AJ68" s="8" t="str">
        <f t="shared" si="30"/>
        <v/>
      </c>
      <c r="AK68" s="10"/>
      <c r="AL68" s="12"/>
      <c r="AM68" s="10"/>
      <c r="AN68" s="12"/>
      <c r="AO68" s="5" t="str">
        <f t="shared" si="31"/>
        <v/>
      </c>
      <c r="AP68" s="11" t="str">
        <f t="shared" si="32"/>
        <v/>
      </c>
      <c r="AQ68" s="5" t="str">
        <f>IF(A68="","",IF(M68&lt;&gt;"",0,IF(OR(H68="",N68=""),"",MAX(E68-MAX(N68,IFERROR(SUMPRODUCT(MAX(((持仓跟踪!$A$2:$A$157="每日跟踪")*(持仓跟踪!$B$2:$B$157=A68))*持仓跟踪!$S$2:$S$157)),0)),0)*H68+IF(OR(AK68="",AL68=""),0,MAX(AK68-MAX(N68,IFERROR(SUMPRODUCT(MAX(((持仓跟踪!$A$2:$A$157="每日跟踪")*(持仓跟踪!$B$2:$B$157=A68))*持仓跟踪!$S$2:$S$157)),0)),0)*AL68)+IF(OR(AM68="",AN68=""),0,MAX(AM68-MAX(N68,IFERROR(SUMPRODUCT(MAX(((持仓跟踪!$A$2:$A$157="每日跟踪")*(持仓跟踪!$B$2:$B$157=A68))*持仓跟踪!$S$2:$S$157)),0)),0)*AN68))))</f>
        <v/>
      </c>
      <c r="AR68" s="8" t="str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$88)&gt;账户数据!$B$7,"违规：超过账户风险上限","通过")))))))))</f>
        <v/>
      </c>
    </row>
    <row r="69" ht="17" spans="1:44">
      <c r="A69" s="2"/>
      <c r="B69" s="2"/>
      <c r="C69" s="10"/>
      <c r="D69" s="6"/>
      <c r="E69" s="10"/>
      <c r="F69" s="8" t="str">
        <f t="shared" si="22"/>
        <v/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$157,"止损计划",持仓跟踪!$B$2:$B$157,A69,持仓跟踪!$AC$2:$AC$157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5" t="str">
        <f>IF(A69="","",IFERROR(LOOKUP(2,1/((持仓跟踪!$B$2:$B$157=A69)*(持仓跟踪!$X$2:$X$157="执行卖出")*(持仓跟踪!$Y$2:$Y$157&lt;&gt;"")),持仓跟踪!$Y$2:$Y$157),""))</f>
        <v/>
      </c>
      <c r="L69" s="8" t="str">
        <f>IF(A69="","",IFERROR(LOOKUP(2,1/((持仓跟踪!$B$2:$B$157=A69)*(持仓跟踪!$X$2:$X$157="执行卖出")*(持仓跟踪!$Z$2:$Z$157&lt;&gt;"")),持仓跟踪!$Z$2:$Z$157),""))</f>
        <v/>
      </c>
      <c r="M69" s="17" t="str">
        <f>IF(A69="","",IFERROR(LOOKUP(2,1/((持仓跟踪!$B$2:$B$157=A69)*(持仓跟踪!$X$2:$X$157="执行卖出")*(持仓跟踪!$H$2:$H$157&lt;&gt;"")),持仓跟踪!$H$2:$H$157),""))</f>
        <v/>
      </c>
      <c r="N69" s="10"/>
      <c r="O69" s="10"/>
      <c r="P69" s="5" t="str">
        <f>IF(A69="","",IFERROR(LOOKUP(2,1/((持仓跟踪!$B$2:$B$157=A69)*(持仓跟踪!$X$2:$X$157="执行卖出")*(持仓跟踪!$AA$2:$AA$157&lt;&gt;"")),持仓跟踪!$AA$2:$AA$157),""))</f>
        <v/>
      </c>
      <c r="Q69" s="2"/>
      <c r="R69" s="2"/>
      <c r="S69" s="2"/>
      <c r="T69" s="2"/>
      <c r="U69" s="7" t="str">
        <f t="shared" si="23"/>
        <v/>
      </c>
      <c r="V69" s="7" t="str">
        <f t="shared" si="24"/>
        <v/>
      </c>
      <c r="W69" s="18" t="str">
        <f t="shared" si="25"/>
        <v/>
      </c>
      <c r="X69" s="5" t="str">
        <f t="shared" si="26"/>
        <v/>
      </c>
      <c r="Y69" s="7" t="str">
        <f t="shared" si="27"/>
        <v/>
      </c>
      <c r="Z69" s="7" t="str">
        <f>IF(OR(AE69="",多次统计数据!$B$8=""),"",AE69-多次统计数据!$B$8)</f>
        <v/>
      </c>
      <c r="AA69" s="11" t="str">
        <f t="shared" si="28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29"/>
        <v/>
      </c>
      <c r="AG69" s="2"/>
      <c r="AH69" s="2"/>
      <c r="AI69" s="2"/>
      <c r="AJ69" s="8" t="str">
        <f t="shared" si="30"/>
        <v/>
      </c>
      <c r="AK69" s="10"/>
      <c r="AL69" s="12"/>
      <c r="AM69" s="10"/>
      <c r="AN69" s="12"/>
      <c r="AO69" s="5" t="str">
        <f t="shared" si="31"/>
        <v/>
      </c>
      <c r="AP69" s="11" t="str">
        <f t="shared" si="32"/>
        <v/>
      </c>
      <c r="AQ69" s="5" t="str">
        <f>IF(A69="","",IF(M69&lt;&gt;"",0,IF(OR(H69="",N69=""),"",MAX(E69-MAX(N69,IFERROR(SUMPRODUCT(MAX(((持仓跟踪!$A$2:$A$157="每日跟踪")*(持仓跟踪!$B$2:$B$157=A69))*持仓跟踪!$S$2:$S$157)),0)),0)*H69+IF(OR(AK69="",AL69=""),0,MAX(AK69-MAX(N69,IFERROR(SUMPRODUCT(MAX(((持仓跟踪!$A$2:$A$157="每日跟踪")*(持仓跟踪!$B$2:$B$157=A69))*持仓跟踪!$S$2:$S$157)),0)),0)*AL69)+IF(OR(AM69="",AN69=""),0,MAX(AM69-MAX(N69,IFERROR(SUMPRODUCT(MAX(((持仓跟踪!$A$2:$A$157="每日跟踪")*(持仓跟踪!$B$2:$B$157=A69))*持仓跟踪!$S$2:$S$157)),0)),0)*AN69))))</f>
        <v/>
      </c>
      <c r="AR69" s="8" t="str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$88)&gt;账户数据!$B$7,"违规：超过账户风险上限","通过")))))))))</f>
        <v/>
      </c>
    </row>
    <row r="70" ht="17" spans="1:44">
      <c r="A70" s="2"/>
      <c r="B70" s="2"/>
      <c r="C70" s="10"/>
      <c r="D70" s="6"/>
      <c r="E70" s="10"/>
      <c r="F70" s="8" t="str">
        <f t="shared" si="22"/>
        <v/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$157,"止损计划",持仓跟踪!$B$2:$B$157,A70,持仓跟踪!$AC$2:$AC$157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5" t="str">
        <f>IF(A70="","",IFERROR(LOOKUP(2,1/((持仓跟踪!$B$2:$B$157=A70)*(持仓跟踪!$X$2:$X$157="执行卖出")*(持仓跟踪!$Y$2:$Y$157&lt;&gt;"")),持仓跟踪!$Y$2:$Y$157),""))</f>
        <v/>
      </c>
      <c r="L70" s="8" t="str">
        <f>IF(A70="","",IFERROR(LOOKUP(2,1/((持仓跟踪!$B$2:$B$157=A70)*(持仓跟踪!$X$2:$X$157="执行卖出")*(持仓跟踪!$Z$2:$Z$157&lt;&gt;"")),持仓跟踪!$Z$2:$Z$157),""))</f>
        <v/>
      </c>
      <c r="M70" s="17" t="str">
        <f>IF(A70="","",IFERROR(LOOKUP(2,1/((持仓跟踪!$B$2:$B$157=A70)*(持仓跟踪!$X$2:$X$157="执行卖出")*(持仓跟踪!$H$2:$H$157&lt;&gt;"")),持仓跟踪!$H$2:$H$157),""))</f>
        <v/>
      </c>
      <c r="N70" s="10"/>
      <c r="O70" s="10"/>
      <c r="P70" s="5" t="str">
        <f>IF(A70="","",IFERROR(LOOKUP(2,1/((持仓跟踪!$B$2:$B$157=A70)*(持仓跟踪!$X$2:$X$157="执行卖出")*(持仓跟踪!$AA$2:$AA$157&lt;&gt;"")),持仓跟踪!$AA$2:$AA$157),""))</f>
        <v/>
      </c>
      <c r="Q70" s="2"/>
      <c r="R70" s="2"/>
      <c r="S70" s="2"/>
      <c r="T70" s="2"/>
      <c r="U70" s="7" t="str">
        <f t="shared" si="23"/>
        <v/>
      </c>
      <c r="V70" s="7" t="str">
        <f t="shared" si="24"/>
        <v/>
      </c>
      <c r="W70" s="18" t="str">
        <f t="shared" si="25"/>
        <v/>
      </c>
      <c r="X70" s="5" t="str">
        <f t="shared" si="26"/>
        <v/>
      </c>
      <c r="Y70" s="7" t="str">
        <f t="shared" si="27"/>
        <v/>
      </c>
      <c r="Z70" s="7" t="str">
        <f>IF(OR(AE70="",多次统计数据!$B$8=""),"",AE70-多次统计数据!$B$8)</f>
        <v/>
      </c>
      <c r="AA70" s="11" t="str">
        <f t="shared" si="28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29"/>
        <v/>
      </c>
      <c r="AG70" s="2"/>
      <c r="AH70" s="2"/>
      <c r="AI70" s="2"/>
      <c r="AJ70" s="8" t="str">
        <f t="shared" si="30"/>
        <v/>
      </c>
      <c r="AK70" s="10"/>
      <c r="AL70" s="12"/>
      <c r="AM70" s="10"/>
      <c r="AN70" s="12"/>
      <c r="AO70" s="5" t="str">
        <f t="shared" si="31"/>
        <v/>
      </c>
      <c r="AP70" s="11" t="str">
        <f t="shared" si="32"/>
        <v/>
      </c>
      <c r="AQ70" s="5" t="str">
        <f>IF(A70="","",IF(M70&lt;&gt;"",0,IF(OR(H70="",N70=""),"",MAX(E70-MAX(N70,IFERROR(SUMPRODUCT(MAX(((持仓跟踪!$A$2:$A$157="每日跟踪")*(持仓跟踪!$B$2:$B$157=A70))*持仓跟踪!$S$2:$S$157)),0)),0)*H70+IF(OR(AK70="",AL70=""),0,MAX(AK70-MAX(N70,IFERROR(SUMPRODUCT(MAX(((持仓跟踪!$A$2:$A$157="每日跟踪")*(持仓跟踪!$B$2:$B$157=A70))*持仓跟踪!$S$2:$S$157)),0)),0)*AL70)+IF(OR(AM70="",AN70=""),0,MAX(AM70-MAX(N70,IFERROR(SUMPRODUCT(MAX(((持仓跟踪!$A$2:$A$157="每日跟踪")*(持仓跟踪!$B$2:$B$157=A70))*持仓跟踪!$S$2:$S$157)),0)),0)*AN70))))</f>
        <v/>
      </c>
      <c r="AR70" s="8" t="str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$88)&gt;账户数据!$B$7,"违规：超过账户风险上限","通过")))))))))</f>
        <v/>
      </c>
    </row>
    <row r="71" ht="17" spans="1:44">
      <c r="A71" s="2"/>
      <c r="B71" s="2"/>
      <c r="C71" s="10"/>
      <c r="D71" s="6"/>
      <c r="E71" s="10"/>
      <c r="F71" s="8" t="str">
        <f t="shared" si="22"/>
        <v/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$157,"止损计划",持仓跟踪!$B$2:$B$157,A71,持仓跟踪!$AC$2:$AC$157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5" t="str">
        <f>IF(A71="","",IFERROR(LOOKUP(2,1/((持仓跟踪!$B$2:$B$157=A71)*(持仓跟踪!$X$2:$X$157="执行卖出")*(持仓跟踪!$Y$2:$Y$157&lt;&gt;"")),持仓跟踪!$Y$2:$Y$157),""))</f>
        <v/>
      </c>
      <c r="L71" s="8" t="str">
        <f>IF(A71="","",IFERROR(LOOKUP(2,1/((持仓跟踪!$B$2:$B$157=A71)*(持仓跟踪!$X$2:$X$157="执行卖出")*(持仓跟踪!$Z$2:$Z$157&lt;&gt;"")),持仓跟踪!$Z$2:$Z$157),""))</f>
        <v/>
      </c>
      <c r="M71" s="17" t="str">
        <f>IF(A71="","",IFERROR(LOOKUP(2,1/((持仓跟踪!$B$2:$B$157=A71)*(持仓跟踪!$X$2:$X$157="执行卖出")*(持仓跟踪!$H$2:$H$157&lt;&gt;"")),持仓跟踪!$H$2:$H$157),""))</f>
        <v/>
      </c>
      <c r="N71" s="10"/>
      <c r="O71" s="10"/>
      <c r="P71" s="5" t="str">
        <f>IF(A71="","",IFERROR(LOOKUP(2,1/((持仓跟踪!$B$2:$B$157=A71)*(持仓跟踪!$X$2:$X$157="执行卖出")*(持仓跟踪!$AA$2:$AA$157&lt;&gt;"")),持仓跟踪!$AA$2:$AA$157),""))</f>
        <v/>
      </c>
      <c r="Q71" s="2"/>
      <c r="R71" s="2"/>
      <c r="S71" s="2"/>
      <c r="T71" s="2"/>
      <c r="U71" s="7" t="str">
        <f t="shared" si="23"/>
        <v/>
      </c>
      <c r="V71" s="7" t="str">
        <f t="shared" si="24"/>
        <v/>
      </c>
      <c r="W71" s="18" t="str">
        <f t="shared" si="25"/>
        <v/>
      </c>
      <c r="X71" s="5" t="str">
        <f t="shared" si="26"/>
        <v/>
      </c>
      <c r="Y71" s="7" t="str">
        <f t="shared" si="27"/>
        <v/>
      </c>
      <c r="Z71" s="7" t="str">
        <f>IF(OR(AE71="",多次统计数据!$B$8=""),"",AE71-多次统计数据!$B$8)</f>
        <v/>
      </c>
      <c r="AA71" s="11" t="str">
        <f t="shared" si="28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29"/>
        <v/>
      </c>
      <c r="AG71" s="2"/>
      <c r="AH71" s="2"/>
      <c r="AI71" s="2"/>
      <c r="AJ71" s="8" t="str">
        <f t="shared" si="30"/>
        <v/>
      </c>
      <c r="AK71" s="10"/>
      <c r="AL71" s="12"/>
      <c r="AM71" s="10"/>
      <c r="AN71" s="12"/>
      <c r="AO71" s="5" t="str">
        <f t="shared" si="31"/>
        <v/>
      </c>
      <c r="AP71" s="11" t="str">
        <f t="shared" si="32"/>
        <v/>
      </c>
      <c r="AQ71" s="5" t="str">
        <f>IF(A71="","",IF(M71&lt;&gt;"",0,IF(OR(H71="",N71=""),"",MAX(E71-MAX(N71,IFERROR(SUMPRODUCT(MAX(((持仓跟踪!$A$2:$A$157="每日跟踪")*(持仓跟踪!$B$2:$B$157=A71))*持仓跟踪!$S$2:$S$157)),0)),0)*H71+IF(OR(AK71="",AL71=""),0,MAX(AK71-MAX(N71,IFERROR(SUMPRODUCT(MAX(((持仓跟踪!$A$2:$A$157="每日跟踪")*(持仓跟踪!$B$2:$B$157=A71))*持仓跟踪!$S$2:$S$157)),0)),0)*AL71)+IF(OR(AM71="",AN71=""),0,MAX(AM71-MAX(N71,IFERROR(SUMPRODUCT(MAX(((持仓跟踪!$A$2:$A$157="每日跟踪")*(持仓跟踪!$B$2:$B$157=A71))*持仓跟踪!$S$2:$S$157)),0)),0)*AN71))))</f>
        <v/>
      </c>
      <c r="AR71" s="8" t="str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$88)&gt;账户数据!$B$7,"违规：超过账户风险上限","通过")))))))))</f>
        <v/>
      </c>
    </row>
    <row r="72" ht="17" spans="1:44">
      <c r="A72" s="2"/>
      <c r="B72" s="2"/>
      <c r="C72" s="10"/>
      <c r="D72" s="6"/>
      <c r="E72" s="10"/>
      <c r="F72" s="8" t="str">
        <f t="shared" si="22"/>
        <v/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$157,"止损计划",持仓跟踪!$B$2:$B$157,A72,持仓跟踪!$AC$2:$AC$157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5" t="str">
        <f>IF(A72="","",IFERROR(LOOKUP(2,1/((持仓跟踪!$B$2:$B$157=A72)*(持仓跟踪!$X$2:$X$157="执行卖出")*(持仓跟踪!$Y$2:$Y$157&lt;&gt;"")),持仓跟踪!$Y$2:$Y$157),""))</f>
        <v/>
      </c>
      <c r="L72" s="8" t="str">
        <f>IF(A72="","",IFERROR(LOOKUP(2,1/((持仓跟踪!$B$2:$B$157=A72)*(持仓跟踪!$X$2:$X$157="执行卖出")*(持仓跟踪!$Z$2:$Z$157&lt;&gt;"")),持仓跟踪!$Z$2:$Z$157),""))</f>
        <v/>
      </c>
      <c r="M72" s="17" t="str">
        <f>IF(A72="","",IFERROR(LOOKUP(2,1/((持仓跟踪!$B$2:$B$157=A72)*(持仓跟踪!$X$2:$X$157="执行卖出")*(持仓跟踪!$H$2:$H$157&lt;&gt;"")),持仓跟踪!$H$2:$H$157),""))</f>
        <v/>
      </c>
      <c r="N72" s="10"/>
      <c r="O72" s="10"/>
      <c r="P72" s="5" t="str">
        <f>IF(A72="","",IFERROR(LOOKUP(2,1/((持仓跟踪!$B$2:$B$157=A72)*(持仓跟踪!$X$2:$X$157="执行卖出")*(持仓跟踪!$AA$2:$AA$157&lt;&gt;"")),持仓跟踪!$AA$2:$AA$157),""))</f>
        <v/>
      </c>
      <c r="Q72" s="2"/>
      <c r="R72" s="2"/>
      <c r="S72" s="2"/>
      <c r="T72" s="2"/>
      <c r="U72" s="7" t="str">
        <f t="shared" si="23"/>
        <v/>
      </c>
      <c r="V72" s="7" t="str">
        <f t="shared" si="24"/>
        <v/>
      </c>
      <c r="W72" s="18" t="str">
        <f t="shared" si="25"/>
        <v/>
      </c>
      <c r="X72" s="5" t="str">
        <f t="shared" si="26"/>
        <v/>
      </c>
      <c r="Y72" s="7" t="str">
        <f t="shared" si="27"/>
        <v/>
      </c>
      <c r="Z72" s="7" t="str">
        <f>IF(OR(AE72="",多次统计数据!$B$8=""),"",AE72-多次统计数据!$B$8)</f>
        <v/>
      </c>
      <c r="AA72" s="11" t="str">
        <f t="shared" si="28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29"/>
        <v/>
      </c>
      <c r="AG72" s="2"/>
      <c r="AH72" s="2"/>
      <c r="AI72" s="2"/>
      <c r="AJ72" s="8" t="str">
        <f t="shared" si="30"/>
        <v/>
      </c>
      <c r="AK72" s="10"/>
      <c r="AL72" s="12"/>
      <c r="AM72" s="10"/>
      <c r="AN72" s="12"/>
      <c r="AO72" s="5" t="str">
        <f t="shared" si="31"/>
        <v/>
      </c>
      <c r="AP72" s="11" t="str">
        <f t="shared" si="32"/>
        <v/>
      </c>
      <c r="AQ72" s="5" t="str">
        <f>IF(A72="","",IF(M72&lt;&gt;"",0,IF(OR(H72="",N72=""),"",MAX(E72-MAX(N72,IFERROR(SUMPRODUCT(MAX(((持仓跟踪!$A$2:$A$157="每日跟踪")*(持仓跟踪!$B$2:$B$157=A72))*持仓跟踪!$S$2:$S$157)),0)),0)*H72+IF(OR(AK72="",AL72=""),0,MAX(AK72-MAX(N72,IFERROR(SUMPRODUCT(MAX(((持仓跟踪!$A$2:$A$157="每日跟踪")*(持仓跟踪!$B$2:$B$157=A72))*持仓跟踪!$S$2:$S$157)),0)),0)*AL72)+IF(OR(AM72="",AN72=""),0,MAX(AM72-MAX(N72,IFERROR(SUMPRODUCT(MAX(((持仓跟踪!$A$2:$A$157="每日跟踪")*(持仓跟踪!$B$2:$B$157=A72))*持仓跟踪!$S$2:$S$157)),0)),0)*AN72))))</f>
        <v/>
      </c>
      <c r="AR72" s="8" t="str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$88)&gt;账户数据!$B$7,"违规：超过账户风险上限","通过")))))))))</f>
        <v/>
      </c>
    </row>
    <row r="73" ht="17" spans="1:44">
      <c r="A73" s="2"/>
      <c r="B73" s="2"/>
      <c r="C73" s="10"/>
      <c r="D73" s="6"/>
      <c r="E73" s="10"/>
      <c r="F73" s="8" t="str">
        <f t="shared" si="22"/>
        <v/>
      </c>
      <c r="G73" s="8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$157,"止损计划",持仓跟踪!$B$2:$B$157,A73,持仓跟踪!$AC$2:$AC$157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5" t="str">
        <f>IF(A73="","",IFERROR(LOOKUP(2,1/((持仓跟踪!$B$2:$B$157=A73)*(持仓跟踪!$X$2:$X$157="执行卖出")*(持仓跟踪!$Y$2:$Y$157&lt;&gt;"")),持仓跟踪!$Y$2:$Y$157),""))</f>
        <v/>
      </c>
      <c r="L73" s="8" t="str">
        <f>IF(A73="","",IFERROR(LOOKUP(2,1/((持仓跟踪!$B$2:$B$157=A73)*(持仓跟踪!$X$2:$X$157="执行卖出")*(持仓跟踪!$Z$2:$Z$157&lt;&gt;"")),持仓跟踪!$Z$2:$Z$157),""))</f>
        <v/>
      </c>
      <c r="M73" s="17" t="str">
        <f>IF(A73="","",IFERROR(LOOKUP(2,1/((持仓跟踪!$B$2:$B$157=A73)*(持仓跟踪!$X$2:$X$157="执行卖出")*(持仓跟踪!$H$2:$H$157&lt;&gt;"")),持仓跟踪!$H$2:$H$157),""))</f>
        <v/>
      </c>
      <c r="N73" s="10"/>
      <c r="O73" s="10"/>
      <c r="P73" s="5" t="str">
        <f>IF(A73="","",IFERROR(LOOKUP(2,1/((持仓跟踪!$B$2:$B$157=A73)*(持仓跟踪!$X$2:$X$157="执行卖出")*(持仓跟踪!$AA$2:$AA$157&lt;&gt;"")),持仓跟踪!$AA$2:$AA$157),""))</f>
        <v/>
      </c>
      <c r="Q73" s="2"/>
      <c r="R73" s="2"/>
      <c r="S73" s="2"/>
      <c r="T73" s="2"/>
      <c r="U73" s="7" t="str">
        <f t="shared" si="23"/>
        <v/>
      </c>
      <c r="V73" s="7" t="str">
        <f t="shared" si="24"/>
        <v/>
      </c>
      <c r="W73" s="18" t="str">
        <f t="shared" si="25"/>
        <v/>
      </c>
      <c r="X73" s="5" t="str">
        <f t="shared" si="26"/>
        <v/>
      </c>
      <c r="Y73" s="7" t="str">
        <f t="shared" si="27"/>
        <v/>
      </c>
      <c r="Z73" s="7" t="str">
        <f>IF(OR(AE73="",多次统计数据!$B$8=""),"",AE73-多次统计数据!$B$8)</f>
        <v/>
      </c>
      <c r="AA73" s="11" t="str">
        <f t="shared" si="28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29"/>
        <v/>
      </c>
      <c r="AG73" s="2"/>
      <c r="AH73" s="2"/>
      <c r="AI73" s="2"/>
      <c r="AJ73" s="8" t="str">
        <f t="shared" si="30"/>
        <v/>
      </c>
      <c r="AK73" s="10"/>
      <c r="AL73" s="12"/>
      <c r="AM73" s="10"/>
      <c r="AN73" s="12"/>
      <c r="AO73" s="5" t="str">
        <f t="shared" si="31"/>
        <v/>
      </c>
      <c r="AP73" s="11" t="str">
        <f t="shared" si="32"/>
        <v/>
      </c>
      <c r="AQ73" s="5" t="str">
        <f>IF(A73="","",IF(M73&lt;&gt;"",0,IF(OR(H73="",N73=""),"",MAX(E73-MAX(N73,IFERROR(SUMPRODUCT(MAX(((持仓跟踪!$A$2:$A$157="每日跟踪")*(持仓跟踪!$B$2:$B$157=A73))*持仓跟踪!$S$2:$S$157)),0)),0)*H73+IF(OR(AK73="",AL73=""),0,MAX(AK73-MAX(N73,IFERROR(SUMPRODUCT(MAX(((持仓跟踪!$A$2:$A$157="每日跟踪")*(持仓跟踪!$B$2:$B$157=A73))*持仓跟踪!$S$2:$S$157)),0)),0)*AL73)+IF(OR(AM73="",AN73=""),0,MAX(AM73-MAX(N73,IFERROR(SUMPRODUCT(MAX(((持仓跟踪!$A$2:$A$157="每日跟踪")*(持仓跟踪!$B$2:$B$157=A73))*持仓跟踪!$S$2:$S$157)),0)),0)*AN73))))</f>
        <v/>
      </c>
      <c r="AR73" s="8" t="str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$88)&gt;账户数据!$B$7,"违规：超过账户风险上限","通过")))))))))</f>
        <v/>
      </c>
    </row>
    <row r="74" ht="17" spans="1:44">
      <c r="A74" s="2"/>
      <c r="B74" s="2"/>
      <c r="C74" s="10"/>
      <c r="D74" s="6"/>
      <c r="E74" s="10"/>
      <c r="F74" s="8" t="str">
        <f t="shared" si="22"/>
        <v/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$157,"止损计划",持仓跟踪!$B$2:$B$157,A74,持仓跟踪!$AC$2:$AC$157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5" t="str">
        <f>IF(A74="","",IFERROR(LOOKUP(2,1/((持仓跟踪!$B$2:$B$157=A74)*(持仓跟踪!$X$2:$X$157="执行卖出")*(持仓跟踪!$Y$2:$Y$157&lt;&gt;"")),持仓跟踪!$Y$2:$Y$157),""))</f>
        <v/>
      </c>
      <c r="L74" s="8" t="str">
        <f>IF(A74="","",IFERROR(LOOKUP(2,1/((持仓跟踪!$B$2:$B$157=A74)*(持仓跟踪!$X$2:$X$157="执行卖出")*(持仓跟踪!$Z$2:$Z$157&lt;&gt;"")),持仓跟踪!$Z$2:$Z$157),""))</f>
        <v/>
      </c>
      <c r="M74" s="17" t="str">
        <f>IF(A74="","",IFERROR(LOOKUP(2,1/((持仓跟踪!$B$2:$B$157=A74)*(持仓跟踪!$X$2:$X$157="执行卖出")*(持仓跟踪!$H$2:$H$157&lt;&gt;"")),持仓跟踪!$H$2:$H$157),""))</f>
        <v/>
      </c>
      <c r="N74" s="10"/>
      <c r="O74" s="10"/>
      <c r="P74" s="5" t="str">
        <f>IF(A74="","",IFERROR(LOOKUP(2,1/((持仓跟踪!$B$2:$B$157=A74)*(持仓跟踪!$X$2:$X$157="执行卖出")*(持仓跟踪!$AA$2:$AA$157&lt;&gt;"")),持仓跟踪!$AA$2:$AA$157),""))</f>
        <v/>
      </c>
      <c r="Q74" s="2"/>
      <c r="R74" s="2"/>
      <c r="S74" s="2"/>
      <c r="T74" s="2"/>
      <c r="U74" s="7" t="str">
        <f t="shared" si="23"/>
        <v/>
      </c>
      <c r="V74" s="7" t="str">
        <f t="shared" si="24"/>
        <v/>
      </c>
      <c r="W74" s="18" t="str">
        <f t="shared" si="25"/>
        <v/>
      </c>
      <c r="X74" s="5" t="str">
        <f t="shared" si="26"/>
        <v/>
      </c>
      <c r="Y74" s="7" t="str">
        <f t="shared" si="27"/>
        <v/>
      </c>
      <c r="Z74" s="7" t="str">
        <f>IF(OR(AE74="",多次统计数据!$B$8=""),"",AE74-多次统计数据!$B$8)</f>
        <v/>
      </c>
      <c r="AA74" s="11" t="str">
        <f t="shared" si="28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29"/>
        <v/>
      </c>
      <c r="AG74" s="2"/>
      <c r="AH74" s="2"/>
      <c r="AI74" s="2"/>
      <c r="AJ74" s="8" t="str">
        <f t="shared" si="30"/>
        <v/>
      </c>
      <c r="AK74" s="10"/>
      <c r="AL74" s="12"/>
      <c r="AM74" s="10"/>
      <c r="AN74" s="12"/>
      <c r="AO74" s="5" t="str">
        <f t="shared" si="31"/>
        <v/>
      </c>
      <c r="AP74" s="11" t="str">
        <f t="shared" si="32"/>
        <v/>
      </c>
      <c r="AQ74" s="5" t="str">
        <f>IF(A74="","",IF(M74&lt;&gt;"",0,IF(OR(H74="",N74=""),"",MAX(E74-MAX(N74,IFERROR(SUMPRODUCT(MAX(((持仓跟踪!$A$2:$A$157="每日跟踪")*(持仓跟踪!$B$2:$B$157=A74))*持仓跟踪!$S$2:$S$157)),0)),0)*H74+IF(OR(AK74="",AL74=""),0,MAX(AK74-MAX(N74,IFERROR(SUMPRODUCT(MAX(((持仓跟踪!$A$2:$A$157="每日跟踪")*(持仓跟踪!$B$2:$B$157=A74))*持仓跟踪!$S$2:$S$157)),0)),0)*AL74)+IF(OR(AM74="",AN74=""),0,MAX(AM74-MAX(N74,IFERROR(SUMPRODUCT(MAX(((持仓跟踪!$A$2:$A$157="每日跟踪")*(持仓跟踪!$B$2:$B$157=A74))*持仓跟踪!$S$2:$S$157)),0)),0)*AN74))))</f>
        <v/>
      </c>
      <c r="AR74" s="8" t="str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$88)&gt;账户数据!$B$7,"违规：超过账户风险上限","通过")))))))))</f>
        <v/>
      </c>
    </row>
    <row r="75" ht="17" spans="1:44">
      <c r="A75" s="2"/>
      <c r="B75" s="2"/>
      <c r="C75" s="10"/>
      <c r="D75" s="6"/>
      <c r="E75" s="10"/>
      <c r="F75" s="8" t="str">
        <f t="shared" si="22"/>
        <v/>
      </c>
      <c r="G75" s="8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$157,"止损计划",持仓跟踪!$B$2:$B$157,A75,持仓跟踪!$AC$2:$AC$157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5" t="str">
        <f>IF(A75="","",IFERROR(LOOKUP(2,1/((持仓跟踪!$B$2:$B$157=A75)*(持仓跟踪!$X$2:$X$157="执行卖出")*(持仓跟踪!$Y$2:$Y$157&lt;&gt;"")),持仓跟踪!$Y$2:$Y$157),""))</f>
        <v/>
      </c>
      <c r="L75" s="8" t="str">
        <f>IF(A75="","",IFERROR(LOOKUP(2,1/((持仓跟踪!$B$2:$B$157=A75)*(持仓跟踪!$X$2:$X$157="执行卖出")*(持仓跟踪!$Z$2:$Z$157&lt;&gt;"")),持仓跟踪!$Z$2:$Z$157),""))</f>
        <v/>
      </c>
      <c r="M75" s="17" t="str">
        <f>IF(A75="","",IFERROR(LOOKUP(2,1/((持仓跟踪!$B$2:$B$157=A75)*(持仓跟踪!$X$2:$X$157="执行卖出")*(持仓跟踪!$H$2:$H$157&lt;&gt;"")),持仓跟踪!$H$2:$H$157),""))</f>
        <v/>
      </c>
      <c r="N75" s="10"/>
      <c r="O75" s="10"/>
      <c r="P75" s="5" t="str">
        <f>IF(A75="","",IFERROR(LOOKUP(2,1/((持仓跟踪!$B$2:$B$157=A75)*(持仓跟踪!$X$2:$X$157="执行卖出")*(持仓跟踪!$AA$2:$AA$157&lt;&gt;"")),持仓跟踪!$AA$2:$AA$157),""))</f>
        <v/>
      </c>
      <c r="Q75" s="2"/>
      <c r="R75" s="2"/>
      <c r="S75" s="2"/>
      <c r="T75" s="2"/>
      <c r="U75" s="7" t="str">
        <f t="shared" si="23"/>
        <v/>
      </c>
      <c r="V75" s="7" t="str">
        <f t="shared" si="24"/>
        <v/>
      </c>
      <c r="W75" s="18" t="str">
        <f t="shared" si="25"/>
        <v/>
      </c>
      <c r="X75" s="5" t="str">
        <f t="shared" si="26"/>
        <v/>
      </c>
      <c r="Y75" s="7" t="str">
        <f t="shared" si="27"/>
        <v/>
      </c>
      <c r="Z75" s="7" t="str">
        <f>IF(OR(AE75="",多次统计数据!$B$8=""),"",AE75-多次统计数据!$B$8)</f>
        <v/>
      </c>
      <c r="AA75" s="11" t="str">
        <f t="shared" si="28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29"/>
        <v/>
      </c>
      <c r="AG75" s="2"/>
      <c r="AH75" s="2"/>
      <c r="AI75" s="2"/>
      <c r="AJ75" s="8" t="str">
        <f t="shared" si="30"/>
        <v/>
      </c>
      <c r="AK75" s="10"/>
      <c r="AL75" s="12"/>
      <c r="AM75" s="10"/>
      <c r="AN75" s="12"/>
      <c r="AO75" s="5" t="str">
        <f t="shared" si="31"/>
        <v/>
      </c>
      <c r="AP75" s="11" t="str">
        <f t="shared" si="32"/>
        <v/>
      </c>
      <c r="AQ75" s="5" t="str">
        <f>IF(A75="","",IF(M75&lt;&gt;"",0,IF(OR(H75="",N75=""),"",MAX(E75-MAX(N75,IFERROR(SUMPRODUCT(MAX(((持仓跟踪!$A$2:$A$157="每日跟踪")*(持仓跟踪!$B$2:$B$157=A75))*持仓跟踪!$S$2:$S$157)),0)),0)*H75+IF(OR(AK75="",AL75=""),0,MAX(AK75-MAX(N75,IFERROR(SUMPRODUCT(MAX(((持仓跟踪!$A$2:$A$157="每日跟踪")*(持仓跟踪!$B$2:$B$157=A75))*持仓跟踪!$S$2:$S$157)),0)),0)*AL75)+IF(OR(AM75="",AN75=""),0,MAX(AM75-MAX(N75,IFERROR(SUMPRODUCT(MAX(((持仓跟踪!$A$2:$A$157="每日跟踪")*(持仓跟踪!$B$2:$B$157=A75))*持仓跟踪!$S$2:$S$157)),0)),0)*AN75))))</f>
        <v/>
      </c>
      <c r="AR75" s="8" t="str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$88)&gt;账户数据!$B$7,"违规：超过账户风险上限","通过")))))))))</f>
        <v/>
      </c>
    </row>
    <row r="76" ht="17" spans="1:44">
      <c r="A76" s="2"/>
      <c r="B76" s="2"/>
      <c r="C76" s="10"/>
      <c r="D76" s="6"/>
      <c r="E76" s="10"/>
      <c r="F76" s="8" t="str">
        <f t="shared" si="22"/>
        <v/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$157,"止损计划",持仓跟踪!$B$2:$B$157,A76,持仓跟踪!$AC$2:$AC$157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5" t="str">
        <f>IF(A76="","",IFERROR(LOOKUP(2,1/((持仓跟踪!$B$2:$B$157=A76)*(持仓跟踪!$X$2:$X$157="执行卖出")*(持仓跟踪!$Y$2:$Y$157&lt;&gt;"")),持仓跟踪!$Y$2:$Y$157),""))</f>
        <v/>
      </c>
      <c r="L76" s="8" t="str">
        <f>IF(A76="","",IFERROR(LOOKUP(2,1/((持仓跟踪!$B$2:$B$157=A76)*(持仓跟踪!$X$2:$X$157="执行卖出")*(持仓跟踪!$Z$2:$Z$157&lt;&gt;"")),持仓跟踪!$Z$2:$Z$157),""))</f>
        <v/>
      </c>
      <c r="M76" s="17" t="str">
        <f>IF(A76="","",IFERROR(LOOKUP(2,1/((持仓跟踪!$B$2:$B$157=A76)*(持仓跟踪!$X$2:$X$157="执行卖出")*(持仓跟踪!$H$2:$H$157&lt;&gt;"")),持仓跟踪!$H$2:$H$157),""))</f>
        <v/>
      </c>
      <c r="N76" s="10"/>
      <c r="O76" s="10"/>
      <c r="P76" s="5" t="str">
        <f>IF(A76="","",IFERROR(LOOKUP(2,1/((持仓跟踪!$B$2:$B$157=A76)*(持仓跟踪!$X$2:$X$157="执行卖出")*(持仓跟踪!$AA$2:$AA$157&lt;&gt;"")),持仓跟踪!$AA$2:$AA$157),""))</f>
        <v/>
      </c>
      <c r="Q76" s="2"/>
      <c r="R76" s="2"/>
      <c r="S76" s="2"/>
      <c r="T76" s="2"/>
      <c r="U76" s="7" t="str">
        <f t="shared" si="23"/>
        <v/>
      </c>
      <c r="V76" s="7" t="str">
        <f t="shared" si="24"/>
        <v/>
      </c>
      <c r="W76" s="18" t="str">
        <f t="shared" si="25"/>
        <v/>
      </c>
      <c r="X76" s="5" t="str">
        <f t="shared" si="26"/>
        <v/>
      </c>
      <c r="Y76" s="7" t="str">
        <f t="shared" si="27"/>
        <v/>
      </c>
      <c r="Z76" s="7" t="str">
        <f>IF(OR(AE76="",多次统计数据!$B$8=""),"",AE76-多次统计数据!$B$8)</f>
        <v/>
      </c>
      <c r="AA76" s="11" t="str">
        <f t="shared" si="28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29"/>
        <v/>
      </c>
      <c r="AG76" s="2"/>
      <c r="AH76" s="2"/>
      <c r="AI76" s="2"/>
      <c r="AJ76" s="8" t="str">
        <f t="shared" si="30"/>
        <v/>
      </c>
      <c r="AK76" s="10"/>
      <c r="AL76" s="12"/>
      <c r="AM76" s="10"/>
      <c r="AN76" s="12"/>
      <c r="AO76" s="5" t="str">
        <f t="shared" si="31"/>
        <v/>
      </c>
      <c r="AP76" s="11" t="str">
        <f t="shared" si="32"/>
        <v/>
      </c>
      <c r="AQ76" s="5" t="str">
        <f>IF(A76="","",IF(M76&lt;&gt;"",0,IF(OR(H76="",N76=""),"",MAX(E76-MAX(N76,IFERROR(SUMPRODUCT(MAX(((持仓跟踪!$A$2:$A$157="每日跟踪")*(持仓跟踪!$B$2:$B$157=A76))*持仓跟踪!$S$2:$S$157)),0)),0)*H76+IF(OR(AK76="",AL76=""),0,MAX(AK76-MAX(N76,IFERROR(SUMPRODUCT(MAX(((持仓跟踪!$A$2:$A$157="每日跟踪")*(持仓跟踪!$B$2:$B$157=A76))*持仓跟踪!$S$2:$S$157)),0)),0)*AL76)+IF(OR(AM76="",AN76=""),0,MAX(AM76-MAX(N76,IFERROR(SUMPRODUCT(MAX(((持仓跟踪!$A$2:$A$157="每日跟踪")*(持仓跟踪!$B$2:$B$157=A76))*持仓跟踪!$S$2:$S$157)),0)),0)*AN76))))</f>
        <v/>
      </c>
      <c r="AR76" s="8" t="str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$88)&gt;账户数据!$B$7,"违规：超过账户风险上限","通过")))))))))</f>
        <v/>
      </c>
    </row>
    <row r="77" ht="17" spans="1:44">
      <c r="A77" s="2"/>
      <c r="B77" s="2"/>
      <c r="C77" s="10"/>
      <c r="D77" s="6"/>
      <c r="E77" s="10"/>
      <c r="F77" s="8" t="str">
        <f t="shared" si="22"/>
        <v/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$157,"止损计划",持仓跟踪!$B$2:$B$157,A77,持仓跟踪!$AC$2:$AC$157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5" t="str">
        <f>IF(A77="","",IFERROR(LOOKUP(2,1/((持仓跟踪!$B$2:$B$157=A77)*(持仓跟踪!$X$2:$X$157="执行卖出")*(持仓跟踪!$Y$2:$Y$157&lt;&gt;"")),持仓跟踪!$Y$2:$Y$157),""))</f>
        <v/>
      </c>
      <c r="L77" s="8" t="str">
        <f>IF(A77="","",IFERROR(LOOKUP(2,1/((持仓跟踪!$B$2:$B$157=A77)*(持仓跟踪!$X$2:$X$157="执行卖出")*(持仓跟踪!$Z$2:$Z$157&lt;&gt;"")),持仓跟踪!$Z$2:$Z$157),""))</f>
        <v/>
      </c>
      <c r="M77" s="17" t="str">
        <f>IF(A77="","",IFERROR(LOOKUP(2,1/((持仓跟踪!$B$2:$B$157=A77)*(持仓跟踪!$X$2:$X$157="执行卖出")*(持仓跟踪!$H$2:$H$157&lt;&gt;"")),持仓跟踪!$H$2:$H$157),""))</f>
        <v/>
      </c>
      <c r="N77" s="10"/>
      <c r="O77" s="10"/>
      <c r="P77" s="5" t="str">
        <f>IF(A77="","",IFERROR(LOOKUP(2,1/((持仓跟踪!$B$2:$B$157=A77)*(持仓跟踪!$X$2:$X$157="执行卖出")*(持仓跟踪!$AA$2:$AA$157&lt;&gt;"")),持仓跟踪!$AA$2:$AA$157),""))</f>
        <v/>
      </c>
      <c r="Q77" s="2"/>
      <c r="R77" s="2"/>
      <c r="S77" s="2"/>
      <c r="T77" s="2"/>
      <c r="U77" s="7" t="str">
        <f t="shared" si="23"/>
        <v/>
      </c>
      <c r="V77" s="7" t="str">
        <f t="shared" si="24"/>
        <v/>
      </c>
      <c r="W77" s="18" t="str">
        <f t="shared" si="25"/>
        <v/>
      </c>
      <c r="X77" s="5" t="str">
        <f t="shared" si="26"/>
        <v/>
      </c>
      <c r="Y77" s="7" t="str">
        <f t="shared" si="27"/>
        <v/>
      </c>
      <c r="Z77" s="7" t="str">
        <f>IF(OR(AE77="",多次统计数据!$B$8=""),"",AE77-多次统计数据!$B$8)</f>
        <v/>
      </c>
      <c r="AA77" s="11" t="str">
        <f t="shared" si="28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29"/>
        <v/>
      </c>
      <c r="AG77" s="2"/>
      <c r="AH77" s="2"/>
      <c r="AI77" s="2"/>
      <c r="AJ77" s="8" t="str">
        <f t="shared" si="30"/>
        <v/>
      </c>
      <c r="AK77" s="10"/>
      <c r="AL77" s="12"/>
      <c r="AM77" s="10"/>
      <c r="AN77" s="12"/>
      <c r="AO77" s="5" t="str">
        <f t="shared" si="31"/>
        <v/>
      </c>
      <c r="AP77" s="11" t="str">
        <f t="shared" si="32"/>
        <v/>
      </c>
      <c r="AQ77" s="5" t="str">
        <f>IF(A77="","",IF(M77&lt;&gt;"",0,IF(OR(H77="",N77=""),"",MAX(E77-MAX(N77,IFERROR(SUMPRODUCT(MAX(((持仓跟踪!$A$2:$A$157="每日跟踪")*(持仓跟踪!$B$2:$B$157=A77))*持仓跟踪!$S$2:$S$157)),0)),0)*H77+IF(OR(AK77="",AL77=""),0,MAX(AK77-MAX(N77,IFERROR(SUMPRODUCT(MAX(((持仓跟踪!$A$2:$A$157="每日跟踪")*(持仓跟踪!$B$2:$B$157=A77))*持仓跟踪!$S$2:$S$157)),0)),0)*AL77)+IF(OR(AM77="",AN77=""),0,MAX(AM77-MAX(N77,IFERROR(SUMPRODUCT(MAX(((持仓跟踪!$A$2:$A$157="每日跟踪")*(持仓跟踪!$B$2:$B$157=A77))*持仓跟踪!$S$2:$S$157)),0)),0)*AN77))))</f>
        <v/>
      </c>
      <c r="AR77" s="8" t="str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$88)&gt;账户数据!$B$7,"违规：超过账户风险上限","通过")))))))))</f>
        <v/>
      </c>
    </row>
    <row r="78" ht="17" spans="1:44">
      <c r="A78" s="2"/>
      <c r="B78" s="2"/>
      <c r="C78" s="10"/>
      <c r="D78" s="6"/>
      <c r="E78" s="10"/>
      <c r="F78" s="8" t="str">
        <f t="shared" si="22"/>
        <v/>
      </c>
      <c r="G78" s="8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$157,"止损计划",持仓跟踪!$B$2:$B$157,A78,持仓跟踪!$AC$2:$AC$157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5" t="str">
        <f>IF(A78="","",IFERROR(LOOKUP(2,1/((持仓跟踪!$B$2:$B$157=A78)*(持仓跟踪!$X$2:$X$157="执行卖出")*(持仓跟踪!$Y$2:$Y$157&lt;&gt;"")),持仓跟踪!$Y$2:$Y$157),""))</f>
        <v/>
      </c>
      <c r="L78" s="8" t="str">
        <f>IF(A78="","",IFERROR(LOOKUP(2,1/((持仓跟踪!$B$2:$B$157=A78)*(持仓跟踪!$X$2:$X$157="执行卖出")*(持仓跟踪!$Z$2:$Z$157&lt;&gt;"")),持仓跟踪!$Z$2:$Z$157),""))</f>
        <v/>
      </c>
      <c r="M78" s="17" t="str">
        <f>IF(A78="","",IFERROR(LOOKUP(2,1/((持仓跟踪!$B$2:$B$157=A78)*(持仓跟踪!$X$2:$X$157="执行卖出")*(持仓跟踪!$H$2:$H$157&lt;&gt;"")),持仓跟踪!$H$2:$H$157),""))</f>
        <v/>
      </c>
      <c r="N78" s="10"/>
      <c r="O78" s="10"/>
      <c r="P78" s="5" t="str">
        <f>IF(A78="","",IFERROR(LOOKUP(2,1/((持仓跟踪!$B$2:$B$157=A78)*(持仓跟踪!$X$2:$X$157="执行卖出")*(持仓跟踪!$AA$2:$AA$157&lt;&gt;"")),持仓跟踪!$AA$2:$AA$157),""))</f>
        <v/>
      </c>
      <c r="Q78" s="2"/>
      <c r="R78" s="2"/>
      <c r="S78" s="2"/>
      <c r="T78" s="2"/>
      <c r="U78" s="7" t="str">
        <f t="shared" si="23"/>
        <v/>
      </c>
      <c r="V78" s="7" t="str">
        <f t="shared" si="24"/>
        <v/>
      </c>
      <c r="W78" s="18" t="str">
        <f t="shared" si="25"/>
        <v/>
      </c>
      <c r="X78" s="5" t="str">
        <f t="shared" si="26"/>
        <v/>
      </c>
      <c r="Y78" s="7" t="str">
        <f t="shared" si="27"/>
        <v/>
      </c>
      <c r="Z78" s="7" t="str">
        <f>IF(OR(AE78="",多次统计数据!$B$8=""),"",AE78-多次统计数据!$B$8)</f>
        <v/>
      </c>
      <c r="AA78" s="11" t="str">
        <f t="shared" si="28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29"/>
        <v/>
      </c>
      <c r="AG78" s="2"/>
      <c r="AH78" s="2"/>
      <c r="AI78" s="2"/>
      <c r="AJ78" s="8" t="str">
        <f t="shared" si="30"/>
        <v/>
      </c>
      <c r="AK78" s="10"/>
      <c r="AL78" s="12"/>
      <c r="AM78" s="10"/>
      <c r="AN78" s="12"/>
      <c r="AO78" s="5" t="str">
        <f t="shared" si="31"/>
        <v/>
      </c>
      <c r="AP78" s="11" t="str">
        <f t="shared" si="32"/>
        <v/>
      </c>
      <c r="AQ78" s="5" t="str">
        <f>IF(A78="","",IF(M78&lt;&gt;"",0,IF(OR(H78="",N78=""),"",MAX(E78-MAX(N78,IFERROR(SUMPRODUCT(MAX(((持仓跟踪!$A$2:$A$157="每日跟踪")*(持仓跟踪!$B$2:$B$157=A78))*持仓跟踪!$S$2:$S$157)),0)),0)*H78+IF(OR(AK78="",AL78=""),0,MAX(AK78-MAX(N78,IFERROR(SUMPRODUCT(MAX(((持仓跟踪!$A$2:$A$157="每日跟踪")*(持仓跟踪!$B$2:$B$157=A78))*持仓跟踪!$S$2:$S$157)),0)),0)*AL78)+IF(OR(AM78="",AN78=""),0,MAX(AM78-MAX(N78,IFERROR(SUMPRODUCT(MAX(((持仓跟踪!$A$2:$A$157="每日跟踪")*(持仓跟踪!$B$2:$B$157=A78))*持仓跟踪!$S$2:$S$157)),0)),0)*AN78))))</f>
        <v/>
      </c>
      <c r="AR78" s="8" t="str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$88)&gt;账户数据!$B$7,"违规：超过账户风险上限","通过")))))))))</f>
        <v/>
      </c>
    </row>
    <row r="79" ht="17" spans="1:44">
      <c r="A79" s="2"/>
      <c r="B79" s="2"/>
      <c r="C79" s="10"/>
      <c r="D79" s="6"/>
      <c r="E79" s="10"/>
      <c r="F79" s="8" t="str">
        <f t="shared" si="22"/>
        <v/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$157,"止损计划",持仓跟踪!$B$2:$B$157,A79,持仓跟踪!$AC$2:$AC$157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5" t="str">
        <f>IF(A79="","",IFERROR(LOOKUP(2,1/((持仓跟踪!$B$2:$B$157=A79)*(持仓跟踪!$X$2:$X$157="执行卖出")*(持仓跟踪!$Y$2:$Y$157&lt;&gt;"")),持仓跟踪!$Y$2:$Y$157),""))</f>
        <v/>
      </c>
      <c r="L79" s="8" t="str">
        <f>IF(A79="","",IFERROR(LOOKUP(2,1/((持仓跟踪!$B$2:$B$157=A79)*(持仓跟踪!$X$2:$X$157="执行卖出")*(持仓跟踪!$Z$2:$Z$157&lt;&gt;"")),持仓跟踪!$Z$2:$Z$157),""))</f>
        <v/>
      </c>
      <c r="M79" s="17" t="str">
        <f>IF(A79="","",IFERROR(LOOKUP(2,1/((持仓跟踪!$B$2:$B$157=A79)*(持仓跟踪!$X$2:$X$157="执行卖出")*(持仓跟踪!$H$2:$H$157&lt;&gt;"")),持仓跟踪!$H$2:$H$157),""))</f>
        <v/>
      </c>
      <c r="N79" s="10"/>
      <c r="O79" s="10"/>
      <c r="P79" s="5" t="str">
        <f>IF(A79="","",IFERROR(LOOKUP(2,1/((持仓跟踪!$B$2:$B$157=A79)*(持仓跟踪!$X$2:$X$157="执行卖出")*(持仓跟踪!$AA$2:$AA$157&lt;&gt;"")),持仓跟踪!$AA$2:$AA$157),""))</f>
        <v/>
      </c>
      <c r="Q79" s="2"/>
      <c r="R79" s="2"/>
      <c r="S79" s="2"/>
      <c r="T79" s="2"/>
      <c r="U79" s="7" t="str">
        <f t="shared" si="23"/>
        <v/>
      </c>
      <c r="V79" s="7" t="str">
        <f t="shared" si="24"/>
        <v/>
      </c>
      <c r="W79" s="18" t="str">
        <f t="shared" si="25"/>
        <v/>
      </c>
      <c r="X79" s="5" t="str">
        <f t="shared" si="26"/>
        <v/>
      </c>
      <c r="Y79" s="7" t="str">
        <f t="shared" si="27"/>
        <v/>
      </c>
      <c r="Z79" s="7" t="str">
        <f>IF(OR(AE79="",多次统计数据!$B$8=""),"",AE79-多次统计数据!$B$8)</f>
        <v/>
      </c>
      <c r="AA79" s="11" t="str">
        <f t="shared" si="28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29"/>
        <v/>
      </c>
      <c r="AG79" s="2"/>
      <c r="AH79" s="2"/>
      <c r="AI79" s="2"/>
      <c r="AJ79" s="8" t="str">
        <f t="shared" si="30"/>
        <v/>
      </c>
      <c r="AK79" s="10"/>
      <c r="AL79" s="12"/>
      <c r="AM79" s="10"/>
      <c r="AN79" s="12"/>
      <c r="AO79" s="5" t="str">
        <f t="shared" si="31"/>
        <v/>
      </c>
      <c r="AP79" s="11" t="str">
        <f t="shared" si="32"/>
        <v/>
      </c>
      <c r="AQ79" s="5" t="str">
        <f>IF(A79="","",IF(M79&lt;&gt;"",0,IF(OR(H79="",N79=""),"",MAX(E79-MAX(N79,IFERROR(SUMPRODUCT(MAX(((持仓跟踪!$A$2:$A$157="每日跟踪")*(持仓跟踪!$B$2:$B$157=A79))*持仓跟踪!$S$2:$S$157)),0)),0)*H79+IF(OR(AK79="",AL79=""),0,MAX(AK79-MAX(N79,IFERROR(SUMPRODUCT(MAX(((持仓跟踪!$A$2:$A$157="每日跟踪")*(持仓跟踪!$B$2:$B$157=A79))*持仓跟踪!$S$2:$S$157)),0)),0)*AL79)+IF(OR(AM79="",AN79=""),0,MAX(AM79-MAX(N79,IFERROR(SUMPRODUCT(MAX(((持仓跟踪!$A$2:$A$157="每日跟踪")*(持仓跟踪!$B$2:$B$157=A79))*持仓跟踪!$S$2:$S$157)),0)),0)*AN79))))</f>
        <v/>
      </c>
      <c r="AR79" s="8" t="str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$88)&gt;账户数据!$B$7,"违规：超过账户风险上限","通过")))))))))</f>
        <v/>
      </c>
    </row>
    <row r="80" ht="17" spans="1:44">
      <c r="A80" s="2"/>
      <c r="B80" s="2"/>
      <c r="C80" s="10"/>
      <c r="D80" s="6"/>
      <c r="E80" s="10"/>
      <c r="F80" s="8" t="str">
        <f t="shared" si="22"/>
        <v/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$157,"止损计划",持仓跟踪!$B$2:$B$157,A80,持仓跟踪!$AC$2:$AC$157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5" t="str">
        <f>IF(A80="","",IFERROR(LOOKUP(2,1/((持仓跟踪!$B$2:$B$157=A80)*(持仓跟踪!$X$2:$X$157="执行卖出")*(持仓跟踪!$Y$2:$Y$157&lt;&gt;"")),持仓跟踪!$Y$2:$Y$157),""))</f>
        <v/>
      </c>
      <c r="L80" s="8" t="str">
        <f>IF(A80="","",IFERROR(LOOKUP(2,1/((持仓跟踪!$B$2:$B$157=A80)*(持仓跟踪!$X$2:$X$157="执行卖出")*(持仓跟踪!$Z$2:$Z$157&lt;&gt;"")),持仓跟踪!$Z$2:$Z$157),""))</f>
        <v/>
      </c>
      <c r="M80" s="17" t="str">
        <f>IF(A80="","",IFERROR(LOOKUP(2,1/((持仓跟踪!$B$2:$B$157=A80)*(持仓跟踪!$X$2:$X$157="执行卖出")*(持仓跟踪!$H$2:$H$157&lt;&gt;"")),持仓跟踪!$H$2:$H$157),""))</f>
        <v/>
      </c>
      <c r="N80" s="10"/>
      <c r="O80" s="10"/>
      <c r="P80" s="5" t="str">
        <f>IF(A80="","",IFERROR(LOOKUP(2,1/((持仓跟踪!$B$2:$B$157=A80)*(持仓跟踪!$X$2:$X$157="执行卖出")*(持仓跟踪!$AA$2:$AA$157&lt;&gt;"")),持仓跟踪!$AA$2:$AA$157),""))</f>
        <v/>
      </c>
      <c r="Q80" s="2"/>
      <c r="R80" s="2"/>
      <c r="S80" s="2"/>
      <c r="T80" s="2"/>
      <c r="U80" s="7" t="str">
        <f t="shared" si="23"/>
        <v/>
      </c>
      <c r="V80" s="7" t="str">
        <f t="shared" si="24"/>
        <v/>
      </c>
      <c r="W80" s="18" t="str">
        <f t="shared" si="25"/>
        <v/>
      </c>
      <c r="X80" s="5" t="str">
        <f t="shared" si="26"/>
        <v/>
      </c>
      <c r="Y80" s="7" t="str">
        <f t="shared" si="27"/>
        <v/>
      </c>
      <c r="Z80" s="7" t="str">
        <f>IF(OR(AE80="",多次统计数据!$B$8=""),"",AE80-多次统计数据!$B$8)</f>
        <v/>
      </c>
      <c r="AA80" s="11" t="str">
        <f t="shared" si="28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29"/>
        <v/>
      </c>
      <c r="AG80" s="2"/>
      <c r="AH80" s="2"/>
      <c r="AI80" s="2"/>
      <c r="AJ80" s="8" t="str">
        <f t="shared" si="30"/>
        <v/>
      </c>
      <c r="AK80" s="10"/>
      <c r="AL80" s="12"/>
      <c r="AM80" s="10"/>
      <c r="AN80" s="12"/>
      <c r="AO80" s="5" t="str">
        <f t="shared" si="31"/>
        <v/>
      </c>
      <c r="AP80" s="11" t="str">
        <f t="shared" si="32"/>
        <v/>
      </c>
      <c r="AQ80" s="5" t="str">
        <f>IF(A80="","",IF(M80&lt;&gt;"",0,IF(OR(H80="",N80=""),"",MAX(E80-MAX(N80,IFERROR(SUMPRODUCT(MAX(((持仓跟踪!$A$2:$A$157="每日跟踪")*(持仓跟踪!$B$2:$B$157=A80))*持仓跟踪!$S$2:$S$157)),0)),0)*H80+IF(OR(AK80="",AL80=""),0,MAX(AK80-MAX(N80,IFERROR(SUMPRODUCT(MAX(((持仓跟踪!$A$2:$A$157="每日跟踪")*(持仓跟踪!$B$2:$B$157=A80))*持仓跟踪!$S$2:$S$157)),0)),0)*AL80)+IF(OR(AM80="",AN80=""),0,MAX(AM80-MAX(N80,IFERROR(SUMPRODUCT(MAX(((持仓跟踪!$A$2:$A$157="每日跟踪")*(持仓跟踪!$B$2:$B$157=A80))*持仓跟踪!$S$2:$S$157)),0)),0)*AN80))))</f>
        <v/>
      </c>
      <c r="AR80" s="8" t="str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$88)&gt;账户数据!$B$7,"违规：超过账户风险上限","通过")))))))))</f>
        <v/>
      </c>
    </row>
    <row r="81" ht="17" spans="1:44">
      <c r="A81" s="2"/>
      <c r="B81" s="2"/>
      <c r="C81" s="10"/>
      <c r="D81" s="6"/>
      <c r="E81" s="10"/>
      <c r="F81" s="8" t="str">
        <f t="shared" ref="F81:F88" si="33">IF(OR(C81="",D81="",E81="",N81="",C81&lt;=0,D81&lt;=0,E81&lt;=N81),"",ROUNDDOWN((C81*D81)/(E81-N81)/100,0)*100)</f>
        <v/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$157,"止损计划",持仓跟踪!$B$2:$B$157,A81,持仓跟踪!$AC$2:$AC$157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5" t="str">
        <f>IF(A81="","",IFERROR(LOOKUP(2,1/((持仓跟踪!$B$2:$B$157=A81)*(持仓跟踪!$X$2:$X$157="执行卖出")*(持仓跟踪!$Y$2:$Y$157&lt;&gt;"")),持仓跟踪!$Y$2:$Y$157),""))</f>
        <v/>
      </c>
      <c r="L81" s="8" t="str">
        <f>IF(A81="","",IFERROR(LOOKUP(2,1/((持仓跟踪!$B$2:$B$157=A81)*(持仓跟踪!$X$2:$X$157="执行卖出")*(持仓跟踪!$Z$2:$Z$157&lt;&gt;"")),持仓跟踪!$Z$2:$Z$157),""))</f>
        <v/>
      </c>
      <c r="M81" s="17" t="str">
        <f>IF(A81="","",IFERROR(LOOKUP(2,1/((持仓跟踪!$B$2:$B$157=A81)*(持仓跟踪!$X$2:$X$157="执行卖出")*(持仓跟踪!$H$2:$H$157&lt;&gt;"")),持仓跟踪!$H$2:$H$157),""))</f>
        <v/>
      </c>
      <c r="N81" s="10"/>
      <c r="O81" s="10"/>
      <c r="P81" s="5" t="str">
        <f>IF(A81="","",IFERROR(LOOKUP(2,1/((持仓跟踪!$B$2:$B$157=A81)*(持仓跟踪!$X$2:$X$157="执行卖出")*(持仓跟踪!$AA$2:$AA$157&lt;&gt;"")),持仓跟踪!$AA$2:$AA$157),""))</f>
        <v/>
      </c>
      <c r="Q81" s="2"/>
      <c r="R81" s="2"/>
      <c r="S81" s="2"/>
      <c r="T81" s="2"/>
      <c r="U81" s="7" t="str">
        <f t="shared" ref="U81:U88" si="34">IF(OR(AO81="",J81="",AO81&lt;=0),"",(J81-AO81)/AO81)</f>
        <v/>
      </c>
      <c r="V81" s="7" t="str">
        <f t="shared" ref="V81:V88" si="35">IF(OR(AO81="",N81="",AO81&lt;=0),"",(AO81-N81)/AO81)</f>
        <v/>
      </c>
      <c r="W81" s="18" t="str">
        <f t="shared" ref="W81:W88" si="36">IF(OR(U81="",V81="",V81&lt;=0),"",U81/V81)</f>
        <v/>
      </c>
      <c r="X81" s="5" t="str">
        <f t="shared" ref="X81:X88" si="37">IF(OR(K81="",L81="",AP81=""),"",K81*L81-(E81*H81+IF(AND(AK81&lt;&gt;"",AL81&lt;&gt;""),AK81*AL81,0)+IF(AND(AM81&lt;&gt;"",AN81&lt;&gt;""),AM81*AN81,0))-IF(O81="",0,O81)-IF(P81="",0,P81))</f>
        <v/>
      </c>
      <c r="Y81" s="7" t="str">
        <f t="shared" ref="Y81:Y88" si="38"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 t="str">
        <f>IF(OR(AE81="",多次统计数据!$B$8=""),"",AE81-多次统计数据!$B$8)</f>
        <v/>
      </c>
      <c r="AA81" s="11" t="str">
        <f t="shared" ref="AA81:AA88" si="39">IF(OR(I81="",M81="",M81&lt;I81),"",M81-I81)</f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ref="AE81:AE88" si="40">IF(OR(X81="",C81="",C81&lt;=0),"",X81/C81)</f>
        <v/>
      </c>
      <c r="AG81" s="2"/>
      <c r="AH81" s="2"/>
      <c r="AI81" s="2"/>
      <c r="AJ81" s="8" t="str">
        <f t="shared" ref="AJ81:AJ88" si="41"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 t="str">
        <f t="shared" ref="AO81:AO88" si="42">IF(OR(A81="",H81="",H81&lt;=0),"",(E81*H81+IF(AND(AK81&lt;&gt;"",AL81&lt;&gt;""),AK81*AL81,0)+IF(AND(AM81&lt;&gt;"",AN81&lt;&gt;""),AM81*AN81,0))/AP81)</f>
        <v/>
      </c>
      <c r="AP81" s="11" t="str">
        <f t="shared" ref="AP81:AP88" si="43">IF(OR(A81="",H81="",H81&lt;=0),"",H81+IF(AL81="",0,AL81)+IF(AN81="",0,AN81))</f>
        <v/>
      </c>
      <c r="AQ81" s="5" t="str">
        <f>IF(A81="","",IF(M81&lt;&gt;"",0,IF(OR(H81="",N81=""),"",MAX(E81-MAX(N81,IFERROR(SUMPRODUCT(MAX(((持仓跟踪!$A$2:$A$157="每日跟踪")*(持仓跟踪!$B$2:$B$157=A81))*持仓跟踪!$S$2:$S$157)),0)),0)*H81+IF(OR(AK81="",AL81=""),0,MAX(AK81-MAX(N81,IFERROR(SUMPRODUCT(MAX(((持仓跟踪!$A$2:$A$157="每日跟踪")*(持仓跟踪!$B$2:$B$157=A81))*持仓跟踪!$S$2:$S$157)),0)),0)*AL81)+IF(OR(AM81="",AN81=""),0,MAX(AM81-MAX(N81,IFERROR(SUMPRODUCT(MAX(((持仓跟踪!$A$2:$A$157="每日跟踪")*(持仓跟踪!$B$2:$B$157=A81))*持仓跟踪!$S$2:$S$157)),0)),0)*AN81))))</f>
        <v/>
      </c>
      <c r="AR81" s="8" t="str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$88)&gt;账户数据!$B$7,"违规：超过账户风险上限","通过")))))))))</f>
        <v/>
      </c>
    </row>
    <row r="82" ht="17" spans="1:44">
      <c r="A82" s="2"/>
      <c r="B82" s="2"/>
      <c r="C82" s="10"/>
      <c r="D82" s="6"/>
      <c r="E82" s="10"/>
      <c r="F82" s="8" t="str">
        <f t="shared" si="33"/>
        <v/>
      </c>
      <c r="G82" s="8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$157,"止损计划",持仓跟踪!$B$2:$B$157,A82,持仓跟踪!$AC$2:$AC$157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5" t="str">
        <f>IF(A82="","",IFERROR(LOOKUP(2,1/((持仓跟踪!$B$2:$B$157=A82)*(持仓跟踪!$X$2:$X$157="执行卖出")*(持仓跟踪!$Y$2:$Y$157&lt;&gt;"")),持仓跟踪!$Y$2:$Y$157),""))</f>
        <v/>
      </c>
      <c r="L82" s="8" t="str">
        <f>IF(A82="","",IFERROR(LOOKUP(2,1/((持仓跟踪!$B$2:$B$157=A82)*(持仓跟踪!$X$2:$X$157="执行卖出")*(持仓跟踪!$Z$2:$Z$157&lt;&gt;"")),持仓跟踪!$Z$2:$Z$157),""))</f>
        <v/>
      </c>
      <c r="M82" s="17" t="str">
        <f>IF(A82="","",IFERROR(LOOKUP(2,1/((持仓跟踪!$B$2:$B$157=A82)*(持仓跟踪!$X$2:$X$157="执行卖出")*(持仓跟踪!$H$2:$H$157&lt;&gt;"")),持仓跟踪!$H$2:$H$157),""))</f>
        <v/>
      </c>
      <c r="N82" s="10"/>
      <c r="O82" s="10"/>
      <c r="P82" s="5" t="str">
        <f>IF(A82="","",IFERROR(LOOKUP(2,1/((持仓跟踪!$B$2:$B$157=A82)*(持仓跟踪!$X$2:$X$157="执行卖出")*(持仓跟踪!$AA$2:$AA$157&lt;&gt;"")),持仓跟踪!$AA$2:$AA$157),""))</f>
        <v/>
      </c>
      <c r="Q82" s="2"/>
      <c r="R82" s="2"/>
      <c r="S82" s="2"/>
      <c r="T82" s="2"/>
      <c r="U82" s="7" t="str">
        <f t="shared" si="34"/>
        <v/>
      </c>
      <c r="V82" s="7" t="str">
        <f t="shared" si="35"/>
        <v/>
      </c>
      <c r="W82" s="18" t="str">
        <f t="shared" si="36"/>
        <v/>
      </c>
      <c r="X82" s="5" t="str">
        <f t="shared" si="37"/>
        <v/>
      </c>
      <c r="Y82" s="7" t="str">
        <f t="shared" si="38"/>
        <v/>
      </c>
      <c r="Z82" s="7" t="str">
        <f>IF(OR(AE82="",多次统计数据!$B$8=""),"",AE82-多次统计数据!$B$8)</f>
        <v/>
      </c>
      <c r="AA82" s="11" t="str">
        <f t="shared" si="39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40"/>
        <v/>
      </c>
      <c r="AG82" s="2"/>
      <c r="AH82" s="2"/>
      <c r="AI82" s="2"/>
      <c r="AJ82" s="8" t="str">
        <f t="shared" si="41"/>
        <v/>
      </c>
      <c r="AK82" s="10"/>
      <c r="AL82" s="12"/>
      <c r="AM82" s="10"/>
      <c r="AN82" s="12"/>
      <c r="AO82" s="5" t="str">
        <f t="shared" si="42"/>
        <v/>
      </c>
      <c r="AP82" s="11" t="str">
        <f t="shared" si="43"/>
        <v/>
      </c>
      <c r="AQ82" s="5" t="str">
        <f>IF(A82="","",IF(M82&lt;&gt;"",0,IF(OR(H82="",N82=""),"",MAX(E82-MAX(N82,IFERROR(SUMPRODUCT(MAX(((持仓跟踪!$A$2:$A$157="每日跟踪")*(持仓跟踪!$B$2:$B$157=A82))*持仓跟踪!$S$2:$S$157)),0)),0)*H82+IF(OR(AK82="",AL82=""),0,MAX(AK82-MAX(N82,IFERROR(SUMPRODUCT(MAX(((持仓跟踪!$A$2:$A$157="每日跟踪")*(持仓跟踪!$B$2:$B$157=A82))*持仓跟踪!$S$2:$S$157)),0)),0)*AL82)+IF(OR(AM82="",AN82=""),0,MAX(AM82-MAX(N82,IFERROR(SUMPRODUCT(MAX(((持仓跟踪!$A$2:$A$157="每日跟踪")*(持仓跟踪!$B$2:$B$157=A82))*持仓跟踪!$S$2:$S$157)),0)),0)*AN82))))</f>
        <v/>
      </c>
      <c r="AR82" s="8" t="str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$88)&gt;账户数据!$B$7,"违规：超过账户风险上限","通过")))))))))</f>
        <v/>
      </c>
    </row>
    <row r="83" ht="17" spans="1:44">
      <c r="A83" s="2"/>
      <c r="B83" s="2"/>
      <c r="C83" s="10"/>
      <c r="D83" s="6"/>
      <c r="E83" s="10"/>
      <c r="F83" s="8" t="str">
        <f t="shared" si="33"/>
        <v/>
      </c>
      <c r="G83" s="8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$157,"止损计划",持仓跟踪!$B$2:$B$157,A83,持仓跟踪!$AC$2:$AC$157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5" t="str">
        <f>IF(A83="","",IFERROR(LOOKUP(2,1/((持仓跟踪!$B$2:$B$157=A83)*(持仓跟踪!$X$2:$X$157="执行卖出")*(持仓跟踪!$Y$2:$Y$157&lt;&gt;"")),持仓跟踪!$Y$2:$Y$157),""))</f>
        <v/>
      </c>
      <c r="L83" s="8" t="str">
        <f>IF(A83="","",IFERROR(LOOKUP(2,1/((持仓跟踪!$B$2:$B$157=A83)*(持仓跟踪!$X$2:$X$157="执行卖出")*(持仓跟踪!$Z$2:$Z$157&lt;&gt;"")),持仓跟踪!$Z$2:$Z$157),""))</f>
        <v/>
      </c>
      <c r="M83" s="17" t="str">
        <f>IF(A83="","",IFERROR(LOOKUP(2,1/((持仓跟踪!$B$2:$B$157=A83)*(持仓跟踪!$X$2:$X$157="执行卖出")*(持仓跟踪!$H$2:$H$157&lt;&gt;"")),持仓跟踪!$H$2:$H$157),""))</f>
        <v/>
      </c>
      <c r="N83" s="10"/>
      <c r="O83" s="10"/>
      <c r="P83" s="5" t="str">
        <f>IF(A83="","",IFERROR(LOOKUP(2,1/((持仓跟踪!$B$2:$B$157=A83)*(持仓跟踪!$X$2:$X$157="执行卖出")*(持仓跟踪!$AA$2:$AA$157&lt;&gt;"")),持仓跟踪!$AA$2:$AA$157),""))</f>
        <v/>
      </c>
      <c r="Q83" s="2"/>
      <c r="R83" s="2"/>
      <c r="S83" s="2"/>
      <c r="T83" s="2"/>
      <c r="U83" s="7" t="str">
        <f t="shared" si="34"/>
        <v/>
      </c>
      <c r="V83" s="7" t="str">
        <f t="shared" si="35"/>
        <v/>
      </c>
      <c r="W83" s="18" t="str">
        <f t="shared" si="36"/>
        <v/>
      </c>
      <c r="X83" s="5" t="str">
        <f t="shared" si="37"/>
        <v/>
      </c>
      <c r="Y83" s="7" t="str">
        <f t="shared" si="38"/>
        <v/>
      </c>
      <c r="Z83" s="7" t="str">
        <f>IF(OR(AE83="",多次统计数据!$B$8=""),"",AE83-多次统计数据!$B$8)</f>
        <v/>
      </c>
      <c r="AA83" s="11" t="str">
        <f t="shared" si="39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40"/>
        <v/>
      </c>
      <c r="AG83" s="2"/>
      <c r="AH83" s="2"/>
      <c r="AI83" s="2"/>
      <c r="AJ83" s="8" t="str">
        <f t="shared" si="41"/>
        <v/>
      </c>
      <c r="AK83" s="10"/>
      <c r="AL83" s="12"/>
      <c r="AM83" s="10"/>
      <c r="AN83" s="12"/>
      <c r="AO83" s="5" t="str">
        <f t="shared" si="42"/>
        <v/>
      </c>
      <c r="AP83" s="11" t="str">
        <f t="shared" si="43"/>
        <v/>
      </c>
      <c r="AQ83" s="5" t="str">
        <f>IF(A83="","",IF(M83&lt;&gt;"",0,IF(OR(H83="",N83=""),"",MAX(E83-MAX(N83,IFERROR(SUMPRODUCT(MAX(((持仓跟踪!$A$2:$A$157="每日跟踪")*(持仓跟踪!$B$2:$B$157=A83))*持仓跟踪!$S$2:$S$157)),0)),0)*H83+IF(OR(AK83="",AL83=""),0,MAX(AK83-MAX(N83,IFERROR(SUMPRODUCT(MAX(((持仓跟踪!$A$2:$A$157="每日跟踪")*(持仓跟踪!$B$2:$B$157=A83))*持仓跟踪!$S$2:$S$157)),0)),0)*AL83)+IF(OR(AM83="",AN83=""),0,MAX(AM83-MAX(N83,IFERROR(SUMPRODUCT(MAX(((持仓跟踪!$A$2:$A$157="每日跟踪")*(持仓跟踪!$B$2:$B$157=A83))*持仓跟踪!$S$2:$S$157)),0)),0)*AN83))))</f>
        <v/>
      </c>
      <c r="AR83" s="8" t="str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$88)&gt;账户数据!$B$7,"违规：超过账户风险上限","通过")))))))))</f>
        <v/>
      </c>
    </row>
    <row r="84" ht="17" spans="1:44">
      <c r="A84" s="2"/>
      <c r="B84" s="2"/>
      <c r="C84" s="10"/>
      <c r="D84" s="6"/>
      <c r="E84" s="10"/>
      <c r="F84" s="8" t="str">
        <f t="shared" si="33"/>
        <v/>
      </c>
      <c r="G84" s="8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$157,"止损计划",持仓跟踪!$B$2:$B$157,A84,持仓跟踪!$AC$2:$AC$157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5" t="str">
        <f>IF(A84="","",IFERROR(LOOKUP(2,1/((持仓跟踪!$B$2:$B$157=A84)*(持仓跟踪!$X$2:$X$157="执行卖出")*(持仓跟踪!$Y$2:$Y$157&lt;&gt;"")),持仓跟踪!$Y$2:$Y$157),""))</f>
        <v/>
      </c>
      <c r="L84" s="8" t="str">
        <f>IF(A84="","",IFERROR(LOOKUP(2,1/((持仓跟踪!$B$2:$B$157=A84)*(持仓跟踪!$X$2:$X$157="执行卖出")*(持仓跟踪!$Z$2:$Z$157&lt;&gt;"")),持仓跟踪!$Z$2:$Z$157),""))</f>
        <v/>
      </c>
      <c r="M84" s="17" t="str">
        <f>IF(A84="","",IFERROR(LOOKUP(2,1/((持仓跟踪!$B$2:$B$157=A84)*(持仓跟踪!$X$2:$X$157="执行卖出")*(持仓跟踪!$H$2:$H$157&lt;&gt;"")),持仓跟踪!$H$2:$H$157),""))</f>
        <v/>
      </c>
      <c r="N84" s="10"/>
      <c r="O84" s="10"/>
      <c r="P84" s="5" t="str">
        <f>IF(A84="","",IFERROR(LOOKUP(2,1/((持仓跟踪!$B$2:$B$157=A84)*(持仓跟踪!$X$2:$X$157="执行卖出")*(持仓跟踪!$AA$2:$AA$157&lt;&gt;"")),持仓跟踪!$AA$2:$AA$157),""))</f>
        <v/>
      </c>
      <c r="Q84" s="2"/>
      <c r="R84" s="2"/>
      <c r="S84" s="2"/>
      <c r="T84" s="2"/>
      <c r="U84" s="7" t="str">
        <f t="shared" si="34"/>
        <v/>
      </c>
      <c r="V84" s="7" t="str">
        <f t="shared" si="35"/>
        <v/>
      </c>
      <c r="W84" s="18" t="str">
        <f t="shared" si="36"/>
        <v/>
      </c>
      <c r="X84" s="5" t="str">
        <f t="shared" si="37"/>
        <v/>
      </c>
      <c r="Y84" s="7" t="str">
        <f t="shared" si="38"/>
        <v/>
      </c>
      <c r="Z84" s="7" t="str">
        <f>IF(OR(AE84="",多次统计数据!$B$8=""),"",AE84-多次统计数据!$B$8)</f>
        <v/>
      </c>
      <c r="AA84" s="11" t="str">
        <f t="shared" si="39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40"/>
        <v/>
      </c>
      <c r="AG84" s="2"/>
      <c r="AH84" s="2"/>
      <c r="AI84" s="2"/>
      <c r="AJ84" s="8" t="str">
        <f t="shared" si="41"/>
        <v/>
      </c>
      <c r="AK84" s="10"/>
      <c r="AL84" s="12"/>
      <c r="AM84" s="10"/>
      <c r="AN84" s="12"/>
      <c r="AO84" s="5" t="str">
        <f t="shared" si="42"/>
        <v/>
      </c>
      <c r="AP84" s="11" t="str">
        <f t="shared" si="43"/>
        <v/>
      </c>
      <c r="AQ84" s="5" t="str">
        <f>IF(A84="","",IF(M84&lt;&gt;"",0,IF(OR(H84="",N84=""),"",MAX(E84-MAX(N84,IFERROR(SUMPRODUCT(MAX(((持仓跟踪!$A$2:$A$157="每日跟踪")*(持仓跟踪!$B$2:$B$157=A84))*持仓跟踪!$S$2:$S$157)),0)),0)*H84+IF(OR(AK84="",AL84=""),0,MAX(AK84-MAX(N84,IFERROR(SUMPRODUCT(MAX(((持仓跟踪!$A$2:$A$157="每日跟踪")*(持仓跟踪!$B$2:$B$157=A84))*持仓跟踪!$S$2:$S$157)),0)),0)*AL84)+IF(OR(AM84="",AN84=""),0,MAX(AM84-MAX(N84,IFERROR(SUMPRODUCT(MAX(((持仓跟踪!$A$2:$A$157="每日跟踪")*(持仓跟踪!$B$2:$B$157=A84))*持仓跟踪!$S$2:$S$157)),0)),0)*AN84))))</f>
        <v/>
      </c>
      <c r="AR84" s="8" t="str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$88)&gt;账户数据!$B$7,"违规：超过账户风险上限","通过")))))))))</f>
        <v/>
      </c>
    </row>
    <row r="85" ht="17" spans="1:44">
      <c r="A85" s="2"/>
      <c r="B85" s="2"/>
      <c r="C85" s="10"/>
      <c r="D85" s="6"/>
      <c r="E85" s="10"/>
      <c r="F85" s="8" t="str">
        <f t="shared" si="33"/>
        <v/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$157,"止损计划",持仓跟踪!$B$2:$B$157,A85,持仓跟踪!$AC$2:$AC$157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5" t="str">
        <f>IF(A85="","",IFERROR(LOOKUP(2,1/((持仓跟踪!$B$2:$B$157=A85)*(持仓跟踪!$X$2:$X$157="执行卖出")*(持仓跟踪!$Y$2:$Y$157&lt;&gt;"")),持仓跟踪!$Y$2:$Y$157),""))</f>
        <v/>
      </c>
      <c r="L85" s="8" t="str">
        <f>IF(A85="","",IFERROR(LOOKUP(2,1/((持仓跟踪!$B$2:$B$157=A85)*(持仓跟踪!$X$2:$X$157="执行卖出")*(持仓跟踪!$Z$2:$Z$157&lt;&gt;"")),持仓跟踪!$Z$2:$Z$157),""))</f>
        <v/>
      </c>
      <c r="M85" s="17" t="str">
        <f>IF(A85="","",IFERROR(LOOKUP(2,1/((持仓跟踪!$B$2:$B$157=A85)*(持仓跟踪!$X$2:$X$157="执行卖出")*(持仓跟踪!$H$2:$H$157&lt;&gt;"")),持仓跟踪!$H$2:$H$157),""))</f>
        <v/>
      </c>
      <c r="N85" s="10"/>
      <c r="O85" s="10"/>
      <c r="P85" s="5" t="str">
        <f>IF(A85="","",IFERROR(LOOKUP(2,1/((持仓跟踪!$B$2:$B$157=A85)*(持仓跟踪!$X$2:$X$157="执行卖出")*(持仓跟踪!$AA$2:$AA$157&lt;&gt;"")),持仓跟踪!$AA$2:$AA$157),""))</f>
        <v/>
      </c>
      <c r="Q85" s="2"/>
      <c r="R85" s="2"/>
      <c r="S85" s="2"/>
      <c r="T85" s="2"/>
      <c r="U85" s="7" t="str">
        <f t="shared" si="34"/>
        <v/>
      </c>
      <c r="V85" s="7" t="str">
        <f t="shared" si="35"/>
        <v/>
      </c>
      <c r="W85" s="18" t="str">
        <f t="shared" si="36"/>
        <v/>
      </c>
      <c r="X85" s="5" t="str">
        <f t="shared" si="37"/>
        <v/>
      </c>
      <c r="Y85" s="7" t="str">
        <f t="shared" si="38"/>
        <v/>
      </c>
      <c r="Z85" s="7" t="str">
        <f>IF(OR(AE85="",多次统计数据!$B$8=""),"",AE85-多次统计数据!$B$8)</f>
        <v/>
      </c>
      <c r="AA85" s="11" t="str">
        <f t="shared" si="39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40"/>
        <v/>
      </c>
      <c r="AG85" s="2"/>
      <c r="AH85" s="2"/>
      <c r="AI85" s="2"/>
      <c r="AJ85" s="8" t="str">
        <f t="shared" si="41"/>
        <v/>
      </c>
      <c r="AK85" s="10"/>
      <c r="AL85" s="12"/>
      <c r="AM85" s="10"/>
      <c r="AN85" s="12"/>
      <c r="AO85" s="5" t="str">
        <f t="shared" si="42"/>
        <v/>
      </c>
      <c r="AP85" s="11" t="str">
        <f t="shared" si="43"/>
        <v/>
      </c>
      <c r="AQ85" s="5" t="str">
        <f>IF(A85="","",IF(M85&lt;&gt;"",0,IF(OR(H85="",N85=""),"",MAX(E85-MAX(N85,IFERROR(SUMPRODUCT(MAX(((持仓跟踪!$A$2:$A$157="每日跟踪")*(持仓跟踪!$B$2:$B$157=A85))*持仓跟踪!$S$2:$S$157)),0)),0)*H85+IF(OR(AK85="",AL85=""),0,MAX(AK85-MAX(N85,IFERROR(SUMPRODUCT(MAX(((持仓跟踪!$A$2:$A$157="每日跟踪")*(持仓跟踪!$B$2:$B$157=A85))*持仓跟踪!$S$2:$S$157)),0)),0)*AL85)+IF(OR(AM85="",AN85=""),0,MAX(AM85-MAX(N85,IFERROR(SUMPRODUCT(MAX(((持仓跟踪!$A$2:$A$157="每日跟踪")*(持仓跟踪!$B$2:$B$157=A85))*持仓跟踪!$S$2:$S$157)),0)),0)*AN85))))</f>
        <v/>
      </c>
      <c r="AR85" s="8" t="str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$88)&gt;账户数据!$B$7,"违规：超过账户风险上限","通过")))))))))</f>
        <v/>
      </c>
    </row>
    <row r="86" ht="17" spans="1:44">
      <c r="A86" s="2"/>
      <c r="B86" s="2"/>
      <c r="C86" s="10"/>
      <c r="D86" s="6"/>
      <c r="E86" s="10"/>
      <c r="F86" s="8" t="str">
        <f t="shared" si="33"/>
        <v/>
      </c>
      <c r="G86" s="8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$157,"止损计划",持仓跟踪!$B$2:$B$157,A86,持仓跟踪!$AC$2:$AC$157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5" t="str">
        <f>IF(A86="","",IFERROR(LOOKUP(2,1/((持仓跟踪!$B$2:$B$157=A86)*(持仓跟踪!$X$2:$X$157="执行卖出")*(持仓跟踪!$Y$2:$Y$157&lt;&gt;"")),持仓跟踪!$Y$2:$Y$157),""))</f>
        <v/>
      </c>
      <c r="L86" s="8" t="str">
        <f>IF(A86="","",IFERROR(LOOKUP(2,1/((持仓跟踪!$B$2:$B$157=A86)*(持仓跟踪!$X$2:$X$157="执行卖出")*(持仓跟踪!$Z$2:$Z$157&lt;&gt;"")),持仓跟踪!$Z$2:$Z$157),""))</f>
        <v/>
      </c>
      <c r="M86" s="17" t="str">
        <f>IF(A86="","",IFERROR(LOOKUP(2,1/((持仓跟踪!$B$2:$B$157=A86)*(持仓跟踪!$X$2:$X$157="执行卖出")*(持仓跟踪!$H$2:$H$157&lt;&gt;"")),持仓跟踪!$H$2:$H$157),""))</f>
        <v/>
      </c>
      <c r="N86" s="10"/>
      <c r="O86" s="10"/>
      <c r="P86" s="5" t="str">
        <f>IF(A86="","",IFERROR(LOOKUP(2,1/((持仓跟踪!$B$2:$B$157=A86)*(持仓跟踪!$X$2:$X$157="执行卖出")*(持仓跟踪!$AA$2:$AA$157&lt;&gt;"")),持仓跟踪!$AA$2:$AA$157),""))</f>
        <v/>
      </c>
      <c r="Q86" s="2"/>
      <c r="R86" s="2"/>
      <c r="S86" s="2"/>
      <c r="T86" s="2"/>
      <c r="U86" s="7" t="str">
        <f t="shared" si="34"/>
        <v/>
      </c>
      <c r="V86" s="7" t="str">
        <f t="shared" si="35"/>
        <v/>
      </c>
      <c r="W86" s="18" t="str">
        <f t="shared" si="36"/>
        <v/>
      </c>
      <c r="X86" s="5" t="str">
        <f t="shared" si="37"/>
        <v/>
      </c>
      <c r="Y86" s="7" t="str">
        <f t="shared" si="38"/>
        <v/>
      </c>
      <c r="Z86" s="7" t="str">
        <f>IF(OR(AE86="",多次统计数据!$B$8=""),"",AE86-多次统计数据!$B$8)</f>
        <v/>
      </c>
      <c r="AA86" s="11" t="str">
        <f t="shared" si="39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40"/>
        <v/>
      </c>
      <c r="AG86" s="2"/>
      <c r="AH86" s="2"/>
      <c r="AI86" s="2"/>
      <c r="AJ86" s="8" t="str">
        <f t="shared" si="41"/>
        <v/>
      </c>
      <c r="AK86" s="10"/>
      <c r="AL86" s="12"/>
      <c r="AM86" s="10"/>
      <c r="AN86" s="12"/>
      <c r="AO86" s="5" t="str">
        <f t="shared" si="42"/>
        <v/>
      </c>
      <c r="AP86" s="11" t="str">
        <f t="shared" si="43"/>
        <v/>
      </c>
      <c r="AQ86" s="5" t="str">
        <f>IF(A86="","",IF(M86&lt;&gt;"",0,IF(OR(H86="",N86=""),"",MAX(E86-MAX(N86,IFERROR(SUMPRODUCT(MAX(((持仓跟踪!$A$2:$A$157="每日跟踪")*(持仓跟踪!$B$2:$B$157=A86))*持仓跟踪!$S$2:$S$157)),0)),0)*H86+IF(OR(AK86="",AL86=""),0,MAX(AK86-MAX(N86,IFERROR(SUMPRODUCT(MAX(((持仓跟踪!$A$2:$A$157="每日跟踪")*(持仓跟踪!$B$2:$B$157=A86))*持仓跟踪!$S$2:$S$157)),0)),0)*AL86)+IF(OR(AM86="",AN86=""),0,MAX(AM86-MAX(N86,IFERROR(SUMPRODUCT(MAX(((持仓跟踪!$A$2:$A$157="每日跟踪")*(持仓跟踪!$B$2:$B$157=A86))*持仓跟踪!$S$2:$S$157)),0)),0)*AN86))))</f>
        <v/>
      </c>
      <c r="AR86" s="8" t="str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$88)&gt;账户数据!$B$7,"违规：超过账户风险上限","通过")))))))))</f>
        <v/>
      </c>
    </row>
    <row r="87" ht="17" spans="1:44">
      <c r="A87" s="2"/>
      <c r="B87" s="2"/>
      <c r="C87" s="10"/>
      <c r="D87" s="6"/>
      <c r="E87" s="10"/>
      <c r="F87" s="8" t="str">
        <f t="shared" si="33"/>
        <v/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$157,"止损计划",持仓跟踪!$B$2:$B$157,A87,持仓跟踪!$AC$2:$AC$157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5" t="str">
        <f>IF(A87="","",IFERROR(LOOKUP(2,1/((持仓跟踪!$B$2:$B$157=A87)*(持仓跟踪!$X$2:$X$157="执行卖出")*(持仓跟踪!$Y$2:$Y$157&lt;&gt;"")),持仓跟踪!$Y$2:$Y$157),""))</f>
        <v/>
      </c>
      <c r="L87" s="8" t="str">
        <f>IF(A87="","",IFERROR(LOOKUP(2,1/((持仓跟踪!$B$2:$B$157=A87)*(持仓跟踪!$X$2:$X$157="执行卖出")*(持仓跟踪!$Z$2:$Z$157&lt;&gt;"")),持仓跟踪!$Z$2:$Z$157),""))</f>
        <v/>
      </c>
      <c r="M87" s="17" t="str">
        <f>IF(A87="","",IFERROR(LOOKUP(2,1/((持仓跟踪!$B$2:$B$157=A87)*(持仓跟踪!$X$2:$X$157="执行卖出")*(持仓跟踪!$H$2:$H$157&lt;&gt;"")),持仓跟踪!$H$2:$H$157),""))</f>
        <v/>
      </c>
      <c r="N87" s="10"/>
      <c r="O87" s="10"/>
      <c r="P87" s="5" t="str">
        <f>IF(A87="","",IFERROR(LOOKUP(2,1/((持仓跟踪!$B$2:$B$157=A87)*(持仓跟踪!$X$2:$X$157="执行卖出")*(持仓跟踪!$AA$2:$AA$157&lt;&gt;"")),持仓跟踪!$AA$2:$AA$157),""))</f>
        <v/>
      </c>
      <c r="Q87" s="2"/>
      <c r="R87" s="2"/>
      <c r="S87" s="2"/>
      <c r="T87" s="2"/>
      <c r="U87" s="7" t="str">
        <f t="shared" si="34"/>
        <v/>
      </c>
      <c r="V87" s="7" t="str">
        <f t="shared" si="35"/>
        <v/>
      </c>
      <c r="W87" s="18" t="str">
        <f t="shared" si="36"/>
        <v/>
      </c>
      <c r="X87" s="5" t="str">
        <f t="shared" si="37"/>
        <v/>
      </c>
      <c r="Y87" s="7" t="str">
        <f t="shared" si="38"/>
        <v/>
      </c>
      <c r="Z87" s="7" t="str">
        <f>IF(OR(AE87="",多次统计数据!$B$8=""),"",AE87-多次统计数据!$B$8)</f>
        <v/>
      </c>
      <c r="AA87" s="11" t="str">
        <f t="shared" si="39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40"/>
        <v/>
      </c>
      <c r="AG87" s="2"/>
      <c r="AH87" s="2"/>
      <c r="AI87" s="2"/>
      <c r="AJ87" s="8" t="str">
        <f t="shared" si="41"/>
        <v/>
      </c>
      <c r="AK87" s="10"/>
      <c r="AL87" s="12"/>
      <c r="AM87" s="10"/>
      <c r="AN87" s="12"/>
      <c r="AO87" s="5" t="str">
        <f t="shared" si="42"/>
        <v/>
      </c>
      <c r="AP87" s="11" t="str">
        <f t="shared" si="43"/>
        <v/>
      </c>
      <c r="AQ87" s="5" t="str">
        <f>IF(A87="","",IF(M87&lt;&gt;"",0,IF(OR(H87="",N87=""),"",MAX(E87-MAX(N87,IFERROR(SUMPRODUCT(MAX(((持仓跟踪!$A$2:$A$157="每日跟踪")*(持仓跟踪!$B$2:$B$157=A87))*持仓跟踪!$S$2:$S$157)),0)),0)*H87+IF(OR(AK87="",AL87=""),0,MAX(AK87-MAX(N87,IFERROR(SUMPRODUCT(MAX(((持仓跟踪!$A$2:$A$157="每日跟踪")*(持仓跟踪!$B$2:$B$157=A87))*持仓跟踪!$S$2:$S$157)),0)),0)*AL87)+IF(OR(AM87="",AN87=""),0,MAX(AM87-MAX(N87,IFERROR(SUMPRODUCT(MAX(((持仓跟踪!$A$2:$A$157="每日跟踪")*(持仓跟踪!$B$2:$B$157=A87))*持仓跟踪!$S$2:$S$157)),0)),0)*AN87))))</f>
        <v/>
      </c>
      <c r="AR87" s="8" t="str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$88)&gt;账户数据!$B$7,"违规：超过账户风险上限","通过")))))))))</f>
        <v/>
      </c>
    </row>
    <row r="88" ht="17" spans="1:44">
      <c r="A88" s="2"/>
      <c r="B88" s="2"/>
      <c r="C88" s="10"/>
      <c r="D88" s="6"/>
      <c r="E88" s="10"/>
      <c r="F88" s="8" t="str">
        <f t="shared" si="33"/>
        <v/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$157,"止损计划",持仓跟踪!$B$2:$B$157,A88,持仓跟踪!$AC$2:$AC$157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5" t="str">
        <f>IF(A88="","",IFERROR(LOOKUP(2,1/((持仓跟踪!$B$2:$B$157=A88)*(持仓跟踪!$X$2:$X$157="执行卖出")*(持仓跟踪!$Y$2:$Y$157&lt;&gt;"")),持仓跟踪!$Y$2:$Y$157),""))</f>
        <v/>
      </c>
      <c r="L88" s="8" t="str">
        <f>IF(A88="","",IFERROR(LOOKUP(2,1/((持仓跟踪!$B$2:$B$157=A88)*(持仓跟踪!$X$2:$X$157="执行卖出")*(持仓跟踪!$Z$2:$Z$157&lt;&gt;"")),持仓跟踪!$Z$2:$Z$157),""))</f>
        <v/>
      </c>
      <c r="M88" s="17" t="str">
        <f>IF(A88="","",IFERROR(LOOKUP(2,1/((持仓跟踪!$B$2:$B$157=A88)*(持仓跟踪!$X$2:$X$157="执行卖出")*(持仓跟踪!$H$2:$H$157&lt;&gt;"")),持仓跟踪!$H$2:$H$157),""))</f>
        <v/>
      </c>
      <c r="N88" s="10"/>
      <c r="O88" s="10"/>
      <c r="P88" s="5" t="str">
        <f>IF(A88="","",IFERROR(LOOKUP(2,1/((持仓跟踪!$B$2:$B$157=A88)*(持仓跟踪!$X$2:$X$157="执行卖出")*(持仓跟踪!$AA$2:$AA$157&lt;&gt;"")),持仓跟踪!$AA$2:$AA$157),""))</f>
        <v/>
      </c>
      <c r="Q88" s="2"/>
      <c r="R88" s="2"/>
      <c r="S88" s="2"/>
      <c r="T88" s="2"/>
      <c r="U88" s="7" t="str">
        <f t="shared" si="34"/>
        <v/>
      </c>
      <c r="V88" s="7" t="str">
        <f t="shared" si="35"/>
        <v/>
      </c>
      <c r="W88" s="18" t="str">
        <f t="shared" si="36"/>
        <v/>
      </c>
      <c r="X88" s="5" t="str">
        <f t="shared" si="37"/>
        <v/>
      </c>
      <c r="Y88" s="7" t="str">
        <f t="shared" si="38"/>
        <v/>
      </c>
      <c r="Z88" s="7" t="str">
        <f>IF(OR(AE88="",多次统计数据!$B$8=""),"",AE88-多次统计数据!$B$8)</f>
        <v/>
      </c>
      <c r="AA88" s="11" t="str">
        <f t="shared" si="39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40"/>
        <v/>
      </c>
      <c r="AG88" s="2"/>
      <c r="AH88" s="2"/>
      <c r="AI88" s="2"/>
      <c r="AJ88" s="8" t="str">
        <f t="shared" si="41"/>
        <v/>
      </c>
      <c r="AK88" s="10"/>
      <c r="AL88" s="12"/>
      <c r="AM88" s="10"/>
      <c r="AN88" s="12"/>
      <c r="AO88" s="5" t="str">
        <f t="shared" si="42"/>
        <v/>
      </c>
      <c r="AP88" s="11" t="str">
        <f t="shared" si="43"/>
        <v/>
      </c>
      <c r="AQ88" s="5" t="str">
        <f>IF(A88="","",IF(M88&lt;&gt;"",0,IF(OR(H88="",N88=""),"",MAX(E88-MAX(N88,IFERROR(SUMPRODUCT(MAX(((持仓跟踪!$A$2:$A$157="每日跟踪")*(持仓跟踪!$B$2:$B$157=A88))*持仓跟踪!$S$2:$S$157)),0)),0)*H88+IF(OR(AK88="",AL88=""),0,MAX(AK88-MAX(N88,IFERROR(SUMPRODUCT(MAX(((持仓跟踪!$A$2:$A$157="每日跟踪")*(持仓跟踪!$B$2:$B$157=A88))*持仓跟踪!$S$2:$S$157)),0)),0)*AL88)+IF(OR(AM88="",AN88=""),0,MAX(AM88-MAX(N88,IFERROR(SUMPRODUCT(MAX(((持仓跟踪!$A$2:$A$157="每日跟踪")*(持仓跟踪!$B$2:$B$157=A88))*持仓跟踪!$S$2:$S$157)),0)),0)*AN88))))</f>
        <v/>
      </c>
      <c r="AR88" s="8" t="str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$88)&gt;账户数据!$B$7,"违规：超过账户风险上限","通过")))))))))</f>
        <v/>
      </c>
    </row>
  </sheetData>
  <conditionalFormatting sqref="G2:G88">
    <cfRule type="expression" dxfId="0" priority="10">
      <formula>$G2="禁止开仓"</formula>
    </cfRule>
    <cfRule type="expression" dxfId="1" priority="11">
      <formula>$G2="允许开仓"</formula>
    </cfRule>
    <cfRule type="expression" dxfId="0" priority="12">
      <formula>LEFT($G2,4)="禁止开仓"</formula>
    </cfRule>
    <cfRule type="expression" dxfId="2" priority="13">
      <formula>$G2="允许开仓（接近锁仓）"</formula>
    </cfRule>
    <cfRule type="expression" dxfId="1" priority="14">
      <formula>$G2="允许开仓"</formula>
    </cfRule>
  </conditionalFormatting>
  <conditionalFormatting sqref="W2:W88">
    <cfRule type="cellIs" dxfId="2" priority="3" operator="lessThan">
      <formula>2</formula>
    </cfRule>
  </conditionalFormatting>
  <conditionalFormatting sqref="AC2:AC88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J2:AJ88">
    <cfRule type="expression" dxfId="2" priority="15">
      <formula>$AJ2="周期与交易预期不匹配，请重新确认"</formula>
    </cfRule>
    <cfRule type="expression" dxfId="1" priority="16">
      <formula>$AJ2="匹配"</formula>
    </cfRule>
  </conditionalFormatting>
  <conditionalFormatting sqref="AR2:AR88">
    <cfRule type="expression" dxfId="0" priority="17">
      <formula>LEFT($AR2,2)="违规"</formula>
    </cfRule>
    <cfRule type="expression" dxfId="1" priority="18">
      <formula>$AR2="通过"</formula>
    </cfRule>
  </conditionalFormatting>
  <conditionalFormatting sqref="X2:Y88 AE2:AE88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14">
    <dataValidation type="decimal" operator="greaterThan" allowBlank="1" sqref="C2:C88 E2:E88 N2:N88 J2:K88">
      <formula1>0</formula1>
    </dataValidation>
    <dataValidation type="decimal" operator="between" allowBlank="1" sqref="D2:D88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88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$88)&lt;=_AccountRiskLimit))</formula1>
    </dataValidation>
    <dataValidation type="date" operator="between" allowBlank="1" sqref="I2:I88">
      <formula1>DATE(2000,1,1)</formula1>
      <formula2>DATE(2100,12,31)</formula2>
    </dataValidation>
    <dataValidation type="custom" allowBlank="1" sqref="L2:L88">
      <formula1>OR(L2="",L2=H2)</formula1>
    </dataValidation>
    <dataValidation type="custom" allowBlank="1" sqref="M2:M88">
      <formula1>OR(M2="",AND(ISNUMBER(M2),M2&gt;=I2))</formula1>
    </dataValidation>
    <dataValidation type="list" allowBlank="1" sqref="AD2:AD88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88">
      <formula1>"短期博反弹,突破冲新高,趋势波段"</formula1>
    </dataValidation>
    <dataValidation type="list" allowBlank="1" showErrorMessage="1" errorTitle="预期持有周期无效" error="请从预设的交易日范围中选择" sqref="AH2:AH88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88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88">
      <formula1>OR(AL2="",AND(AK2&lt;&gt;"",ISNUMBER(AL2),AL2&gt;0,AL2=INT(AL2),MOD(AL2,100)=0,_LockStatus&lt;&gt;"已锁仓",_LockStatus&lt;&gt;"解锁信息不完整",AQ2&lt;=C2*D2,SUM($AQ$2:$AQ$88)&lt;=_AccountRiskLimit))</formula1>
    </dataValidation>
    <dataValidation type="custom" allowBlank="1" showErrorMessage="1" errorTitle="第三批买入价无效" error="请先完整填写第二批，再填写大于0的第三批价格" sqref="AM2:AM88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88">
      <formula1>OR(AN2="",AND(AK2&lt;&gt;"",AL2&lt;&gt;"",AM2&lt;&gt;"",ISNUMBER(AN2),AN2&gt;0,AN2=INT(AN2),MOD(AN2,100)=0,_LockStatus&lt;&gt;"已锁仓",_LockStatus&lt;&gt;"解锁信息不完整",AQ2&lt;=C2*D2,SUM($AQ$2:$AQ$88)&lt;=_AccountRiskLimit))</formula1>
    </dataValidation>
    <dataValidation type="decimal" operator="greaterThanOrEqual" allowBlank="1" sqref="O2:P88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7"/>
  <sheetViews>
    <sheetView showGridLines="0" workbookViewId="0">
      <pane xSplit="3" ySplit="1" topLeftCell="T2" activePane="bottomRight" state="frozen"/>
      <selection/>
      <selection pane="topRight"/>
      <selection pane="bottomLeft"/>
      <selection pane="bottomRight" activeCell="Z19" sqref="Z19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6" t="s">
        <v>57</v>
      </c>
      <c r="B1" s="16" t="s">
        <v>0</v>
      </c>
      <c r="C1" s="16" t="s">
        <v>1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10</v>
      </c>
      <c r="Z1" s="16" t="s">
        <v>79</v>
      </c>
      <c r="AA1" s="16" t="s">
        <v>15</v>
      </c>
      <c r="AB1" s="16" t="s">
        <v>80</v>
      </c>
      <c r="AC1" s="16" t="s">
        <v>81</v>
      </c>
    </row>
    <row r="2" ht="17" spans="1:29">
      <c r="A2" s="2" t="s">
        <v>82</v>
      </c>
      <c r="B2" s="2">
        <v>1</v>
      </c>
      <c r="C2" s="8" t="str">
        <f>IF(B2="","",IFERROR(LOOKUP(2,1/(单次交易!$A$2:$A$88=B2),单次交易!$B$2:$B$88),""))</f>
        <v>节电风能</v>
      </c>
      <c r="D2" s="12"/>
      <c r="E2" s="10"/>
      <c r="F2" s="10"/>
      <c r="G2" s="2"/>
      <c r="H2" s="15">
        <v>42578</v>
      </c>
      <c r="I2" s="10">
        <v>3.68</v>
      </c>
      <c r="J2" s="12"/>
      <c r="K2" s="2"/>
      <c r="L2" s="2"/>
      <c r="M2" s="2"/>
      <c r="N2" s="5">
        <f>IF(B2="","",IFERROR(LOOKUP(2,1/(单次交易!$A$2:$A$88=B2),单次交易!$N$2:$N$88),""))</f>
        <v>3.7</v>
      </c>
      <c r="O2" s="5">
        <f t="shared" ref="O2:O33" si="0">IF(A2&lt;&gt;"每日跟踪","",IF(OR(B2="",H2="",I2=""),"",IFERROR(SUMPRODUCT(MAX((($A$2:$A$157="每日跟踪")*($B$2:$B$157=B2)*($H$2:$H$157&lt;=H2))*$I$2:$I$157)),"")))</f>
        <v>3.68</v>
      </c>
      <c r="P2" s="11">
        <f t="shared" ref="P2:P33" si="1">IF(A2&lt;&gt;"每日跟踪","",IF(O2="","",IFERROR(SUMPRODUCT(MAX((($A$2:$A$157="止损计划")*($B$2:$B$157=B2)*($E$2:$E$157&lt;=O2))*$D$2:$D$157)),0)))</f>
        <v>0</v>
      </c>
      <c r="Q2" s="5">
        <f t="shared" ref="Q2:Q33" si="2">IF(A2&lt;&gt;"每日跟踪","",IF(N2="","",MAX(N2,IFERROR(SUMPRODUCT(MAX((($A$2:$A$157="止损计划")*($B$2:$B$157=B2)*($E$2:$E$157&lt;=O2))*$F$2:$F$157)),0))))</f>
        <v>3.7</v>
      </c>
      <c r="R2" s="10"/>
      <c r="S2" s="5">
        <f t="shared" ref="S2:S33" si="3">IF(A2&lt;&gt;"每日跟踪","",IF(Q2="","",MAX(Q2,IFERROR(SUMPRODUCT(MAX((($A$2:$A$157="每日跟踪")*($B$2:$B$157=B2)*($H$2:$H$157&lt;=H2))*$R$2:$R$157)),0))))</f>
        <v>3.7</v>
      </c>
      <c r="T2" s="5" t="str">
        <f t="shared" ref="T2:T33" si="4">IF(A2&lt;&gt;"每日跟踪","",IF(O2="","",IF(COUNTIFS($A$2:$A$157,"止损计划",$B$2:$B$157,B2,$E$2:$E$157,"&gt;"&amp;O2)=0,"",INDEX($E$2:$E$157,MATCH(1,INDEX(($A$2:$A$157="止损计划")*($B$2:$B$157=B2)*($E$2:$E$157&gt;O2),0),0)))))</f>
        <v/>
      </c>
      <c r="U2" s="5" t="str">
        <f t="shared" ref="U2:U33" si="5">IF(OR(A2&lt;&gt;"每日跟踪",T2=""),"",IFERROR(SUMIFS($F$2:$F$157,$A$2:$A$157,"止损计划",$B$2:$B$157,B2,$E$2:$E$157,T2),""))</f>
        <v/>
      </c>
      <c r="V2" s="7" t="str">
        <f t="shared" ref="V2:V41" si="6">IF(OR(A2&lt;&gt;"每日跟踪",T2="",I2="",I2&lt;=0),"",T2/I2-1)</f>
        <v/>
      </c>
      <c r="W2" s="8" t="str">
        <f t="shared" ref="W2:W41" si="7">IF(A2&lt;&gt;"每日跟踪","",IF(OR(I2="",S2=""),"",IF(I2&lt;=S2,"触发止损：应全部卖出","继续观察")))</f>
        <v>触发止损：应全部卖出</v>
      </c>
      <c r="X2" s="2" t="s">
        <v>83</v>
      </c>
      <c r="Y2" s="10">
        <v>3.7</v>
      </c>
      <c r="Z2" s="11">
        <f>IF(X2&lt;&gt;"执行卖出","",IFERROR(LOOKUP(2,1/(单次交易!$A$2:$A$88=B2),单次交易!$AP$2:$AP$88),""))</f>
        <v>5000</v>
      </c>
      <c r="AA2" s="10"/>
      <c r="AB2" s="8" t="str">
        <f t="shared" ref="AB2:AB41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>待补充每日记录</v>
      </c>
      <c r="AC2" s="8" t="str">
        <f>IF(A2="","",IF(A2="止损计划",IF(OR(B2="",D2="",E2="",F2="",G2=""),"计划不完整",IF(OR(D2&lt;1,D2&lt;&gt;INT(D2)),"阶段序号无效",IF(COUNTIFS($A$2:$A$157,"止损计划",$B$2:$B$157,B2,$D$2:$D$157,D2)&gt;1,"阶段序号重复",IF(E2&lt;=IFERROR(LOOKUP(2,1/(单次交易!$A$2:$A$88=B2),单次交易!$E$2:$E$88),0),"激活价须高于买入价",IF(F2&lt;N2,"止损价不得低于初始止损",IF(F2&gt;E2,"止损价不得高于激活价",IF(AND(COUNTIFS($A$2:$A$157,"止损计划",$B$2:$B$157,B2,$D$2:$D$157,"&lt;"&amp;D2)&gt;0,OR(E2&lt;=SUMPRODUCT(MAX((($A$2:$A$157="止损计划")*($B$2:$B$157=B2)*($D$2:$D$157&lt;D2))*$E$2:$E$157)),F2&lt;SUMPRODUCT(MAX((($A$2:$A$157="止损计划")*($B$2:$B$157=B2)*($D$2:$D$157&lt;D2))*$F$2:$F$157)))),"阶段价格必须逐级提高","计划有效"))))))),IF(A2="每日跟踪",IF(OR(B2="",H2="",I2="",J2=""),"每日数据不完整",IF(COUNTIFS($A$2:$A$157,"每日跟踪",$B$2:$B$157,B2,$H$2:$H$157,H2)&gt;1,"同一交易日期重复",IF(AND(R2&lt;&gt;"",R2&lt;S2),"人工止损无效：不能下调","跟踪有效"))),"记录类型无效")))</f>
        <v>每日数据不完整</v>
      </c>
    </row>
    <row r="3" ht="17" spans="1:29">
      <c r="A3" s="2" t="s">
        <v>82</v>
      </c>
      <c r="B3" s="2">
        <v>2</v>
      </c>
      <c r="C3" s="8" t="str">
        <f>IF(B3="","",IFERROR(LOOKUP(2,1/(单次交易!$A$2:$A$88=B3),单次交易!$B$2:$B$88),""))</f>
        <v>节电风能</v>
      </c>
      <c r="D3" s="12"/>
      <c r="E3" s="10"/>
      <c r="F3" s="10"/>
      <c r="G3" s="2"/>
      <c r="H3" s="15">
        <v>42663</v>
      </c>
      <c r="I3" s="10">
        <v>4.22</v>
      </c>
      <c r="J3" s="12"/>
      <c r="K3" s="2"/>
      <c r="L3" s="2"/>
      <c r="M3" s="2"/>
      <c r="N3" s="5">
        <f>IF(B3="","",IFERROR(LOOKUP(2,1/(单次交易!$A$2:$A$88=B3),单次交易!$N$2:$N$88),""))</f>
        <v>3.5</v>
      </c>
      <c r="O3" s="5">
        <f t="shared" si="0"/>
        <v>4.22</v>
      </c>
      <c r="P3" s="11">
        <f t="shared" si="1"/>
        <v>0</v>
      </c>
      <c r="Q3" s="5">
        <f t="shared" si="2"/>
        <v>3.5</v>
      </c>
      <c r="R3" s="10"/>
      <c r="S3" s="5">
        <f t="shared" si="3"/>
        <v>3.5</v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>继续观察</v>
      </c>
      <c r="X3" s="2" t="s">
        <v>83</v>
      </c>
      <c r="Y3" s="10">
        <v>4.22</v>
      </c>
      <c r="Z3" s="11">
        <f>IF(X3&lt;&gt;"执行卖出","",IFERROR(LOOKUP(2,1/(单次交易!$A$2:$A$88=B3),单次交易!$AP$2:$AP$88),""))</f>
        <v>9800</v>
      </c>
      <c r="AA3" s="10"/>
      <c r="AB3" s="8" t="str">
        <f t="shared" si="8"/>
        <v>待补充每日记录</v>
      </c>
      <c r="AC3" s="8" t="str">
        <f>IF(A3="","",IF(A3="止损计划",IF(OR(B3="",D3="",E3="",F3="",G3=""),"计划不完整",IF(OR(D3&lt;1,D3&lt;&gt;INT(D3)),"阶段序号无效",IF(COUNTIFS($A$2:$A$157,"止损计划",$B$2:$B$157,B3,$D$2:$D$157,D3)&gt;1,"阶段序号重复",IF(E3&lt;=IFERROR(LOOKUP(2,1/(单次交易!$A$2:$A$88=B3),单次交易!$E$2:$E$88),0),"激活价须高于买入价",IF(F3&lt;N3,"止损价不得低于初始止损",IF(F3&gt;E3,"止损价不得高于激活价",IF(AND(COUNTIFS($A$2:$A$157,"止损计划",$B$2:$B$157,B3,$D$2:$D$157,"&lt;"&amp;D3)&gt;0,OR(E3&lt;=SUMPRODUCT(MAX((($A$2:$A$157="止损计划")*($B$2:$B$157=B3)*($D$2:$D$157&lt;D3))*$E$2:$E$157)),F3&lt;SUMPRODUCT(MAX((($A$2:$A$157="止损计划")*($B$2:$B$157=B3)*($D$2:$D$157&lt;D3))*$F$2:$F$157)))),"阶段价格必须逐级提高","计划有效"))))))),IF(A3="每日跟踪",IF(OR(B3="",H3="",I3="",J3=""),"每日数据不完整",IF(COUNTIFS($A$2:$A$157,"每日跟踪",$B$2:$B$157,B3,$H$2:$H$157,H3)&gt;1,"同一交易日期重复",IF(AND(R3&lt;&gt;"",R3&lt;S3),"人工止损无效：不能下调","跟踪有效"))),"记录类型无效")))</f>
        <v>每日数据不完整</v>
      </c>
    </row>
    <row r="4" ht="17" spans="1:29">
      <c r="A4" s="2" t="s">
        <v>82</v>
      </c>
      <c r="B4" s="2">
        <v>3</v>
      </c>
      <c r="C4" s="8" t="str">
        <f>IF(B4="","",IFERROR(LOOKUP(2,1/(单次交易!$A$2:$A$88=B4),单次交易!$B$2:$B$88),""))</f>
        <v>节电风能</v>
      </c>
      <c r="D4" s="12"/>
      <c r="E4" s="10"/>
      <c r="F4" s="10"/>
      <c r="G4" s="2"/>
      <c r="H4" s="15">
        <v>42716</v>
      </c>
      <c r="I4" s="10">
        <v>3.69</v>
      </c>
      <c r="J4" s="12"/>
      <c r="K4" s="2"/>
      <c r="L4" s="2"/>
      <c r="M4" s="2"/>
      <c r="N4" s="5">
        <f>IF(B4="","",IFERROR(LOOKUP(2,1/(单次交易!$A$2:$A$88=B4),单次交易!$N$2:$N$88),""))</f>
        <v>3.7</v>
      </c>
      <c r="O4" s="5">
        <f t="shared" si="0"/>
        <v>3.69</v>
      </c>
      <c r="P4" s="11">
        <f t="shared" si="1"/>
        <v>0</v>
      </c>
      <c r="Q4" s="5">
        <f t="shared" si="2"/>
        <v>3.7</v>
      </c>
      <c r="R4" s="10"/>
      <c r="S4" s="5">
        <f t="shared" si="3"/>
        <v>3.7</v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>触发止损：应全部卖出</v>
      </c>
      <c r="X4" s="2" t="s">
        <v>83</v>
      </c>
      <c r="Y4" s="10">
        <v>3.69</v>
      </c>
      <c r="Z4" s="11">
        <f>IF(X4&lt;&gt;"执行卖出","",IFERROR(LOOKUP(2,1/(单次交易!$A$2:$A$88=B4),单次交易!$AP$2:$AP$88),""))</f>
        <v>9000</v>
      </c>
      <c r="AA4" s="10"/>
      <c r="AB4" s="8" t="str">
        <f t="shared" si="8"/>
        <v>待补充每日记录</v>
      </c>
      <c r="AC4" s="8" t="str">
        <f>IF(A4="","",IF(A4="止损计划",IF(OR(B4="",D4="",E4="",F4="",G4=""),"计划不完整",IF(OR(D4&lt;1,D4&lt;&gt;INT(D4)),"阶段序号无效",IF(COUNTIFS($A$2:$A$157,"止损计划",$B$2:$B$157,B4,$D$2:$D$157,D4)&gt;1,"阶段序号重复",IF(E4&lt;=IFERROR(LOOKUP(2,1/(单次交易!$A$2:$A$88=B4),单次交易!$E$2:$E$88),0),"激活价须高于买入价",IF(F4&lt;N4,"止损价不得低于初始止损",IF(F4&gt;E4,"止损价不得高于激活价",IF(AND(COUNTIFS($A$2:$A$157,"止损计划",$B$2:$B$157,B4,$D$2:$D$157,"&lt;"&amp;D4)&gt;0,OR(E4&lt;=SUMPRODUCT(MAX((($A$2:$A$157="止损计划")*($B$2:$B$157=B4)*($D$2:$D$157&lt;D4))*$E$2:$E$157)),F4&lt;SUMPRODUCT(MAX((($A$2:$A$157="止损计划")*($B$2:$B$157=B4)*($D$2:$D$157&lt;D4))*$F$2:$F$157)))),"阶段价格必须逐级提高","计划有效"))))))),IF(A4="每日跟踪",IF(OR(B4="",H4="",I4="",J4=""),"每日数据不完整",IF(COUNTIFS($A$2:$A$157,"每日跟踪",$B$2:$B$157,B4,$H$2:$H$157,H4)&gt;1,"同一交易日期重复",IF(AND(R4&lt;&gt;"",R4&lt;S4),"人工止损无效：不能下调","跟踪有效"))),"记录类型无效")))</f>
        <v>每日数据不完整</v>
      </c>
    </row>
    <row r="5" ht="17" spans="1:29">
      <c r="A5" s="2" t="s">
        <v>82</v>
      </c>
      <c r="B5" s="2">
        <v>4</v>
      </c>
      <c r="C5" s="8" t="str">
        <f>IF(B5="","",IFERROR(LOOKUP(2,1/(单次交易!$A$2:$A$88=B5),单次交易!$B$2:$B$88),""))</f>
        <v>节电风能</v>
      </c>
      <c r="D5" s="12"/>
      <c r="E5" s="10"/>
      <c r="F5" s="10"/>
      <c r="G5" s="2"/>
      <c r="H5" s="15">
        <v>42838</v>
      </c>
      <c r="I5" s="10">
        <v>3.49</v>
      </c>
      <c r="J5" s="12"/>
      <c r="K5" s="2"/>
      <c r="L5" s="2"/>
      <c r="M5" s="2"/>
      <c r="N5" s="5">
        <f>IF(B5="","",IFERROR(LOOKUP(2,1/(单次交易!$A$2:$A$88=B5),单次交易!$N$2:$N$88),""))</f>
        <v>3.2</v>
      </c>
      <c r="O5" s="5">
        <f t="shared" si="0"/>
        <v>3.49</v>
      </c>
      <c r="P5" s="11">
        <f t="shared" si="1"/>
        <v>0</v>
      </c>
      <c r="Q5" s="5">
        <f t="shared" si="2"/>
        <v>3.2</v>
      </c>
      <c r="R5" s="10"/>
      <c r="S5" s="5">
        <f t="shared" si="3"/>
        <v>3.2</v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>继续观察</v>
      </c>
      <c r="X5" s="2" t="s">
        <v>83</v>
      </c>
      <c r="Y5" s="10">
        <v>3.49</v>
      </c>
      <c r="Z5" s="11">
        <f>IF(X5&lt;&gt;"执行卖出","",IFERROR(LOOKUP(2,1/(单次交易!$A$2:$A$88=B5),单次交易!$AP$2:$AP$88),""))</f>
        <v>10100</v>
      </c>
      <c r="AA5" s="10"/>
      <c r="AB5" s="8" t="str">
        <f t="shared" si="8"/>
        <v>待补充每日记录</v>
      </c>
      <c r="AC5" s="8" t="str">
        <f>IF(A5="","",IF(A5="止损计划",IF(OR(B5="",D5="",E5="",F5="",G5=""),"计划不完整",IF(OR(D5&lt;1,D5&lt;&gt;INT(D5)),"阶段序号无效",IF(COUNTIFS($A$2:$A$157,"止损计划",$B$2:$B$157,B5,$D$2:$D$157,D5)&gt;1,"阶段序号重复",IF(E5&lt;=IFERROR(LOOKUP(2,1/(单次交易!$A$2:$A$88=B5),单次交易!$E$2:$E$88),0),"激活价须高于买入价",IF(F5&lt;N5,"止损价不得低于初始止损",IF(F5&gt;E5,"止损价不得高于激活价",IF(AND(COUNTIFS($A$2:$A$157,"止损计划",$B$2:$B$157,B5,$D$2:$D$157,"&lt;"&amp;D5)&gt;0,OR(E5&lt;=SUMPRODUCT(MAX((($A$2:$A$157="止损计划")*($B$2:$B$157=B5)*($D$2:$D$157&lt;D5))*$E$2:$E$157)),F5&lt;SUMPRODUCT(MAX((($A$2:$A$157="止损计划")*($B$2:$B$157=B5)*($D$2:$D$157&lt;D5))*$F$2:$F$157)))),"阶段价格必须逐级提高","计划有效"))))))),IF(A5="每日跟踪",IF(OR(B5="",H5="",I5="",J5=""),"每日数据不完整",IF(COUNTIFS($A$2:$A$157,"每日跟踪",$B$2:$B$157,B5,$H$2:$H$157,H5)&gt;1,"同一交易日期重复",IF(AND(R5&lt;&gt;"",R5&lt;S5),"人工止损无效：不能下调","跟踪有效"))),"记录类型无效")))</f>
        <v>每日数据不完整</v>
      </c>
    </row>
    <row r="6" ht="17" spans="1:29">
      <c r="A6" s="2" t="s">
        <v>82</v>
      </c>
      <c r="B6" s="2">
        <v>5</v>
      </c>
      <c r="C6" s="8" t="str">
        <f>IF(B6="","",IFERROR(LOOKUP(2,1/(单次交易!$A$2:$A$88=B6),单次交易!$B$2:$B$88),""))</f>
        <v>节电风能</v>
      </c>
      <c r="D6" s="12"/>
      <c r="E6" s="10"/>
      <c r="F6" s="10"/>
      <c r="G6" s="2"/>
      <c r="H6" s="15">
        <v>43074</v>
      </c>
      <c r="I6" s="10">
        <v>2.74</v>
      </c>
      <c r="J6" s="12"/>
      <c r="K6" s="2"/>
      <c r="L6" s="2"/>
      <c r="M6" s="2"/>
      <c r="N6" s="5">
        <f>IF(B6="","",IFERROR(LOOKUP(2,1/(单次交易!$A$2:$A$88=B6),单次交易!$N$2:$N$88),""))</f>
        <v>2.75</v>
      </c>
      <c r="O6" s="5">
        <f t="shared" si="0"/>
        <v>2.74</v>
      </c>
      <c r="P6" s="11">
        <f t="shared" si="1"/>
        <v>0</v>
      </c>
      <c r="Q6" s="5">
        <f t="shared" si="2"/>
        <v>2.75</v>
      </c>
      <c r="R6" s="10"/>
      <c r="S6" s="5">
        <f t="shared" si="3"/>
        <v>2.75</v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>触发止损：应全部卖出</v>
      </c>
      <c r="X6" s="2" t="s">
        <v>83</v>
      </c>
      <c r="Y6" s="10">
        <v>2.74</v>
      </c>
      <c r="Z6" s="11">
        <f>IF(X6&lt;&gt;"执行卖出","",IFERROR(LOOKUP(2,1/(单次交易!$A$2:$A$88=B6),单次交易!$AP$2:$AP$88),""))</f>
        <v>17100</v>
      </c>
      <c r="AA6" s="10"/>
      <c r="AB6" s="8" t="str">
        <f t="shared" si="8"/>
        <v>待补充每日记录</v>
      </c>
      <c r="AC6" s="8" t="str">
        <f>IF(A6="","",IF(A6="止损计划",IF(OR(B6="",D6="",E6="",F6="",G6=""),"计划不完整",IF(OR(D6&lt;1,D6&lt;&gt;INT(D6)),"阶段序号无效",IF(COUNTIFS($A$2:$A$157,"止损计划",$B$2:$B$157,B6,$D$2:$D$157,D6)&gt;1,"阶段序号重复",IF(E6&lt;=IFERROR(LOOKUP(2,1/(单次交易!$A$2:$A$88=B6),单次交易!$E$2:$E$88),0),"激活价须高于买入价",IF(F6&lt;N6,"止损价不得低于初始止损",IF(F6&gt;E6,"止损价不得高于激活价",IF(AND(COUNTIFS($A$2:$A$157,"止损计划",$B$2:$B$157,B6,$D$2:$D$157,"&lt;"&amp;D6)&gt;0,OR(E6&lt;=SUMPRODUCT(MAX((($A$2:$A$157="止损计划")*($B$2:$B$157=B6)*($D$2:$D$157&lt;D6))*$E$2:$E$157)),F6&lt;SUMPRODUCT(MAX((($A$2:$A$157="止损计划")*($B$2:$B$157=B6)*($D$2:$D$157&lt;D6))*$F$2:$F$157)))),"阶段价格必须逐级提高","计划有效"))))))),IF(A6="每日跟踪",IF(OR(B6="",H6="",I6="",J6=""),"每日数据不完整",IF(COUNTIFS($A$2:$A$157,"每日跟踪",$B$2:$B$157,B6,$H$2:$H$157,H6)&gt;1,"同一交易日期重复",IF(AND(R6&lt;&gt;"",R6&lt;S6),"人工止损无效：不能下调","跟踪有效"))),"记录类型无效")))</f>
        <v>每日数据不完整</v>
      </c>
    </row>
    <row r="7" ht="17" spans="1:29">
      <c r="A7" s="2" t="s">
        <v>82</v>
      </c>
      <c r="B7" s="2">
        <v>6</v>
      </c>
      <c r="C7" s="8" t="str">
        <f>IF(B7="","",IFERROR(LOOKUP(2,1/(单次交易!$A$2:$A$88=B7),单次交易!$B$2:$B$88),""))</f>
        <v>节电风能</v>
      </c>
      <c r="D7" s="12"/>
      <c r="E7" s="10"/>
      <c r="F7" s="10"/>
      <c r="G7" s="2"/>
      <c r="H7" s="15">
        <v>43182</v>
      </c>
      <c r="I7" s="10">
        <v>2.38</v>
      </c>
      <c r="J7" s="12"/>
      <c r="K7" s="2"/>
      <c r="L7" s="2"/>
      <c r="M7" s="2"/>
      <c r="N7" s="5">
        <f>IF(B7="","",IFERROR(LOOKUP(2,1/(单次交易!$A$2:$A$88=B7),单次交易!$N$2:$N$88),""))</f>
        <v>2.4</v>
      </c>
      <c r="O7" s="5">
        <f t="shared" si="0"/>
        <v>2.38</v>
      </c>
      <c r="P7" s="11">
        <f t="shared" si="1"/>
        <v>0</v>
      </c>
      <c r="Q7" s="5">
        <f t="shared" si="2"/>
        <v>2.4</v>
      </c>
      <c r="R7" s="10"/>
      <c r="S7" s="5">
        <f t="shared" si="3"/>
        <v>2.4</v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>触发止损：应全部卖出</v>
      </c>
      <c r="X7" s="2" t="s">
        <v>83</v>
      </c>
      <c r="Y7" s="10">
        <v>2.38</v>
      </c>
      <c r="Z7" s="11">
        <f>IF(X7&lt;&gt;"执行卖出","",IFERROR(LOOKUP(2,1/(单次交易!$A$2:$A$88=B7),单次交易!$AP$2:$AP$88),""))</f>
        <v>11800</v>
      </c>
      <c r="AA7" s="10"/>
      <c r="AB7" s="8" t="str">
        <f t="shared" si="8"/>
        <v>待补充每日记录</v>
      </c>
      <c r="AC7" s="8" t="str">
        <f>IF(A7="","",IF(A7="止损计划",IF(OR(B7="",D7="",E7="",F7="",G7=""),"计划不完整",IF(OR(D7&lt;1,D7&lt;&gt;INT(D7)),"阶段序号无效",IF(COUNTIFS($A$2:$A$157,"止损计划",$B$2:$B$157,B7,$D$2:$D$157,D7)&gt;1,"阶段序号重复",IF(E7&lt;=IFERROR(LOOKUP(2,1/(单次交易!$A$2:$A$88=B7),单次交易!$E$2:$E$88),0),"激活价须高于买入价",IF(F7&lt;N7,"止损价不得低于初始止损",IF(F7&gt;E7,"止损价不得高于激活价",IF(AND(COUNTIFS($A$2:$A$157,"止损计划",$B$2:$B$157,B7,$D$2:$D$157,"&lt;"&amp;D7)&gt;0,OR(E7&lt;=SUMPRODUCT(MAX((($A$2:$A$157="止损计划")*($B$2:$B$157=B7)*($D$2:$D$157&lt;D7))*$E$2:$E$157)),F7&lt;SUMPRODUCT(MAX((($A$2:$A$157="止损计划")*($B$2:$B$157=B7)*($D$2:$D$157&lt;D7))*$F$2:$F$157)))),"阶段价格必须逐级提高","计划有效"))))))),IF(A7="每日跟踪",IF(OR(B7="",H7="",I7="",J7=""),"每日数据不完整",IF(COUNTIFS($A$2:$A$157,"每日跟踪",$B$2:$B$157,B7,$H$2:$H$157,H7)&gt;1,"同一交易日期重复",IF(AND(R7&lt;&gt;"",R7&lt;S7),"人工止损无效：不能下调","跟踪有效"))),"记录类型无效")))</f>
        <v>每日数据不完整</v>
      </c>
    </row>
    <row r="8" ht="17" spans="1:29">
      <c r="A8" s="2" t="s">
        <v>82</v>
      </c>
      <c r="B8" s="2">
        <v>7</v>
      </c>
      <c r="C8" s="8" t="str">
        <f>IF(B8="","",IFERROR(LOOKUP(2,1/(单次交易!$A$2:$A$88=B8),单次交易!$B$2:$B$88),""))</f>
        <v>节电风能</v>
      </c>
      <c r="D8" s="12"/>
      <c r="E8" s="10"/>
      <c r="F8" s="10"/>
      <c r="G8" s="2"/>
      <c r="H8" s="15">
        <v>44026</v>
      </c>
      <c r="I8" s="10">
        <v>2.14</v>
      </c>
      <c r="J8" s="12"/>
      <c r="K8" s="2"/>
      <c r="L8" s="2"/>
      <c r="M8" s="2"/>
      <c r="N8" s="5">
        <f>IF(B8="","",IFERROR(LOOKUP(2,1/(单次交易!$A$2:$A$88=B8),单次交易!$N$2:$N$88),""))</f>
        <v>1.85</v>
      </c>
      <c r="O8" s="5">
        <f t="shared" si="0"/>
        <v>2.14</v>
      </c>
      <c r="P8" s="11">
        <f t="shared" si="1"/>
        <v>0</v>
      </c>
      <c r="Q8" s="5">
        <f t="shared" si="2"/>
        <v>1.85</v>
      </c>
      <c r="R8" s="10"/>
      <c r="S8" s="5">
        <f t="shared" si="3"/>
        <v>1.85</v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>继续观察</v>
      </c>
      <c r="X8" s="2" t="s">
        <v>83</v>
      </c>
      <c r="Y8" s="10">
        <v>2.14</v>
      </c>
      <c r="Z8" s="11">
        <f>IF(X8&lt;&gt;"执行卖出","",IFERROR(LOOKUP(2,1/(单次交易!$A$2:$A$88=B8),单次交易!$AP$2:$AP$88),""))</f>
        <v>32700</v>
      </c>
      <c r="AA8" s="10"/>
      <c r="AB8" s="8" t="str">
        <f t="shared" si="8"/>
        <v>待补充每日记录</v>
      </c>
      <c r="AC8" s="8" t="str">
        <f>IF(A8="","",IF(A8="止损计划",IF(OR(B8="",D8="",E8="",F8="",G8=""),"计划不完整",IF(OR(D8&lt;1,D8&lt;&gt;INT(D8)),"阶段序号无效",IF(COUNTIFS($A$2:$A$157,"止损计划",$B$2:$B$157,B8,$D$2:$D$157,D8)&gt;1,"阶段序号重复",IF(E8&lt;=IFERROR(LOOKUP(2,1/(单次交易!$A$2:$A$88=B8),单次交易!$E$2:$E$88),0),"激活价须高于买入价",IF(F8&lt;N8,"止损价不得低于初始止损",IF(F8&gt;E8,"止损价不得高于激活价",IF(AND(COUNTIFS($A$2:$A$157,"止损计划",$B$2:$B$157,B8,$D$2:$D$157,"&lt;"&amp;D8)&gt;0,OR(E8&lt;=SUMPRODUCT(MAX((($A$2:$A$157="止损计划")*($B$2:$B$157=B8)*($D$2:$D$157&lt;D8))*$E$2:$E$157)),F8&lt;SUMPRODUCT(MAX((($A$2:$A$157="止损计划")*($B$2:$B$157=B8)*($D$2:$D$157&lt;D8))*$F$2:$F$157)))),"阶段价格必须逐级提高","计划有效"))))))),IF(A8="每日跟踪",IF(OR(B8="",H8="",I8="",J8=""),"每日数据不完整",IF(COUNTIFS($A$2:$A$157,"每日跟踪",$B$2:$B$157,B8,$H$2:$H$157,H8)&gt;1,"同一交易日期重复",IF(AND(R8&lt;&gt;"",R8&lt;S8),"人工止损无效：不能下调","跟踪有效"))),"记录类型无效")))</f>
        <v>每日数据不完整</v>
      </c>
    </row>
    <row r="9" ht="17" spans="1:29">
      <c r="A9" s="2" t="s">
        <v>82</v>
      </c>
      <c r="B9" s="2">
        <v>8</v>
      </c>
      <c r="C9" s="8" t="str">
        <f>IF(B9="","",IFERROR(LOOKUP(2,1/(单次交易!$A$2:$A$88=B9),单次交易!$B$2:$B$88),""))</f>
        <v>节电风能</v>
      </c>
      <c r="D9" s="12"/>
      <c r="E9" s="10"/>
      <c r="F9" s="10"/>
      <c r="G9" s="2"/>
      <c r="H9" s="15">
        <v>44914</v>
      </c>
      <c r="I9" s="10">
        <v>3.47</v>
      </c>
      <c r="J9" s="12"/>
      <c r="K9" s="2"/>
      <c r="L9" s="2"/>
      <c r="M9" s="2"/>
      <c r="N9" s="5">
        <f>IF(B9="","",IFERROR(LOOKUP(2,1/(单次交易!$A$2:$A$88=B9),单次交易!$N$2:$N$88),""))</f>
        <v>3.5</v>
      </c>
      <c r="O9" s="5">
        <f t="shared" si="0"/>
        <v>3.47</v>
      </c>
      <c r="P9" s="11">
        <f t="shared" si="1"/>
        <v>0</v>
      </c>
      <c r="Q9" s="5">
        <f t="shared" si="2"/>
        <v>3.5</v>
      </c>
      <c r="R9" s="10"/>
      <c r="S9" s="5">
        <f t="shared" si="3"/>
        <v>3.5</v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>触发止损：应全部卖出</v>
      </c>
      <c r="X9" s="2" t="s">
        <v>83</v>
      </c>
      <c r="Y9" s="10">
        <v>3.47</v>
      </c>
      <c r="Z9" s="11">
        <f>IF(X9&lt;&gt;"执行卖出","",IFERROR(LOOKUP(2,1/(单次交易!$A$2:$A$88=B9),单次交易!$AP$2:$AP$88),""))</f>
        <v>6400</v>
      </c>
      <c r="AA9" s="10"/>
      <c r="AB9" s="8" t="str">
        <f t="shared" si="8"/>
        <v>待补充每日记录</v>
      </c>
      <c r="AC9" s="8" t="str">
        <f>IF(A9="","",IF(A9="止损计划",IF(OR(B9="",D9="",E9="",F9="",G9=""),"计划不完整",IF(OR(D9&lt;1,D9&lt;&gt;INT(D9)),"阶段序号无效",IF(COUNTIFS($A$2:$A$157,"止损计划",$B$2:$B$157,B9,$D$2:$D$157,D9)&gt;1,"阶段序号重复",IF(E9&lt;=IFERROR(LOOKUP(2,1/(单次交易!$A$2:$A$88=B9),单次交易!$E$2:$E$88),0),"激活价须高于买入价",IF(F9&lt;N9,"止损价不得低于初始止损",IF(F9&gt;E9,"止损价不得高于激活价",IF(AND(COUNTIFS($A$2:$A$157,"止损计划",$B$2:$B$157,B9,$D$2:$D$157,"&lt;"&amp;D9)&gt;0,OR(E9&lt;=SUMPRODUCT(MAX((($A$2:$A$157="止损计划")*($B$2:$B$157=B9)*($D$2:$D$157&lt;D9))*$E$2:$E$157)),F9&lt;SUMPRODUCT(MAX((($A$2:$A$157="止损计划")*($B$2:$B$157=B9)*($D$2:$D$157&lt;D9))*$F$2:$F$157)))),"阶段价格必须逐级提高","计划有效"))))))),IF(A9="每日跟踪",IF(OR(B9="",H9="",I9="",J9=""),"每日数据不完整",IF(COUNTIFS($A$2:$A$157,"每日跟踪",$B$2:$B$157,B9,$H$2:$H$157,H9)&gt;1,"同一交易日期重复",IF(AND(R9&lt;&gt;"",R9&lt;S9),"人工止损无效：不能下调","跟踪有效"))),"记录类型无效")))</f>
        <v>每日数据不完整</v>
      </c>
    </row>
    <row r="10" ht="17" spans="1:29">
      <c r="A10" s="2" t="s">
        <v>82</v>
      </c>
      <c r="B10" s="2">
        <v>9</v>
      </c>
      <c r="C10" s="8" t="str">
        <f>IF(B10="","",IFERROR(LOOKUP(2,1/(单次交易!$A$2:$A$88=B10),单次交易!$B$2:$B$88),""))</f>
        <v>节电风能</v>
      </c>
      <c r="D10" s="12"/>
      <c r="E10" s="10"/>
      <c r="F10" s="10"/>
      <c r="G10" s="2"/>
      <c r="H10" s="15">
        <v>45041</v>
      </c>
      <c r="I10" s="10">
        <v>3.46</v>
      </c>
      <c r="J10" s="12"/>
      <c r="K10" s="2"/>
      <c r="L10" s="2"/>
      <c r="M10" s="2"/>
      <c r="N10" s="5">
        <f>IF(B10="","",IFERROR(LOOKUP(2,1/(单次交易!$A$2:$A$88=B10),单次交易!$N$2:$N$88),""))</f>
        <v>3.5</v>
      </c>
      <c r="O10" s="5">
        <f t="shared" si="0"/>
        <v>3.46</v>
      </c>
      <c r="P10" s="11">
        <f t="shared" si="1"/>
        <v>0</v>
      </c>
      <c r="Q10" s="5">
        <f t="shared" si="2"/>
        <v>3.5</v>
      </c>
      <c r="R10" s="10"/>
      <c r="S10" s="5">
        <f t="shared" si="3"/>
        <v>3.5</v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>触发止损：应全部卖出</v>
      </c>
      <c r="X10" s="2" t="s">
        <v>83</v>
      </c>
      <c r="Y10" s="10">
        <v>3.46</v>
      </c>
      <c r="Z10" s="11">
        <f>IF(X10&lt;&gt;"执行卖出","",IFERROR(LOOKUP(2,1/(单次交易!$A$2:$A$88=B10),单次交易!$AP$2:$AP$88),""))</f>
        <v>11400</v>
      </c>
      <c r="AA10" s="10"/>
      <c r="AB10" s="8" t="str">
        <f t="shared" si="8"/>
        <v>待补充每日记录</v>
      </c>
      <c r="AC10" s="8" t="str">
        <f>IF(A10="","",IF(A10="止损计划",IF(OR(B10="",D10="",E10="",F10="",G10=""),"计划不完整",IF(OR(D10&lt;1,D10&lt;&gt;INT(D10)),"阶段序号无效",IF(COUNTIFS($A$2:$A$157,"止损计划",$B$2:$B$157,B10,$D$2:$D$157,D10)&gt;1,"阶段序号重复",IF(E10&lt;=IFERROR(LOOKUP(2,1/(单次交易!$A$2:$A$88=B10),单次交易!$E$2:$E$88),0),"激活价须高于买入价",IF(F10&lt;N10,"止损价不得低于初始止损",IF(F10&gt;E10,"止损价不得高于激活价",IF(AND(COUNTIFS($A$2:$A$157,"止损计划",$B$2:$B$157,B10,$D$2:$D$157,"&lt;"&amp;D10)&gt;0,OR(E10&lt;=SUMPRODUCT(MAX((($A$2:$A$157="止损计划")*($B$2:$B$157=B10)*($D$2:$D$157&lt;D10))*$E$2:$E$157)),F10&lt;SUMPRODUCT(MAX((($A$2:$A$157="止损计划")*($B$2:$B$157=B10)*($D$2:$D$157&lt;D10))*$F$2:$F$157)))),"阶段价格必须逐级提高","计划有效"))))))),IF(A10="每日跟踪",IF(OR(B10="",H10="",I10="",J10=""),"每日数据不完整",IF(COUNTIFS($A$2:$A$157,"每日跟踪",$B$2:$B$157,B10,$H$2:$H$157,H10)&gt;1,"同一交易日期重复",IF(AND(R10&lt;&gt;"",R10&lt;S10),"人工止损无效：不能下调","跟踪有效"))),"记录类型无效")))</f>
        <v>每日数据不完整</v>
      </c>
    </row>
    <row r="11" ht="17" spans="1:29">
      <c r="A11" s="2" t="s">
        <v>82</v>
      </c>
      <c r="B11" s="2">
        <v>10</v>
      </c>
      <c r="C11" s="8" t="str">
        <f>IF(B11="","",IFERROR(LOOKUP(2,1/(单次交易!$A$2:$A$88=B11),单次交易!$B$2:$B$88),""))</f>
        <v>节电风能</v>
      </c>
      <c r="D11" s="12"/>
      <c r="E11" s="10"/>
      <c r="F11" s="10"/>
      <c r="G11" s="2"/>
      <c r="H11" s="15">
        <v>45373</v>
      </c>
      <c r="I11" s="10">
        <v>2.78</v>
      </c>
      <c r="J11" s="12"/>
      <c r="K11" s="2"/>
      <c r="L11" s="2"/>
      <c r="M11" s="2"/>
      <c r="N11" s="5">
        <f>IF(B11="","",IFERROR(LOOKUP(2,1/(单次交易!$A$2:$A$88=B11),单次交易!$N$2:$N$88),""))</f>
        <v>2.75</v>
      </c>
      <c r="O11" s="5">
        <f t="shared" si="0"/>
        <v>2.78</v>
      </c>
      <c r="P11" s="11">
        <f t="shared" si="1"/>
        <v>0</v>
      </c>
      <c r="Q11" s="5">
        <f t="shared" si="2"/>
        <v>2.75</v>
      </c>
      <c r="R11" s="10"/>
      <c r="S11" s="5">
        <f t="shared" si="3"/>
        <v>2.75</v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>继续观察</v>
      </c>
      <c r="X11" s="2" t="s">
        <v>83</v>
      </c>
      <c r="Y11" s="10">
        <v>2.78</v>
      </c>
      <c r="Z11" s="11">
        <f>IF(X11&lt;&gt;"执行卖出","",IFERROR(LOOKUP(2,1/(单次交易!$A$2:$A$88=B11),单次交易!$AP$2:$AP$88),""))</f>
        <v>18300</v>
      </c>
      <c r="AA11" s="10"/>
      <c r="AB11" s="8" t="str">
        <f t="shared" si="8"/>
        <v>待补充每日记录</v>
      </c>
      <c r="AC11" s="8" t="str">
        <f>IF(A11="","",IF(A11="止损计划",IF(OR(B11="",D11="",E11="",F11="",G11=""),"计划不完整",IF(OR(D11&lt;1,D11&lt;&gt;INT(D11)),"阶段序号无效",IF(COUNTIFS($A$2:$A$157,"止损计划",$B$2:$B$157,B11,$D$2:$D$157,D11)&gt;1,"阶段序号重复",IF(E11&lt;=IFERROR(LOOKUP(2,1/(单次交易!$A$2:$A$88=B11),单次交易!$E$2:$E$88),0),"激活价须高于买入价",IF(F11&lt;N11,"止损价不得低于初始止损",IF(F11&gt;E11,"止损价不得高于激活价",IF(AND(COUNTIFS($A$2:$A$157,"止损计划",$B$2:$B$157,B11,$D$2:$D$157,"&lt;"&amp;D11)&gt;0,OR(E11&lt;=SUMPRODUCT(MAX((($A$2:$A$157="止损计划")*($B$2:$B$157=B11)*($D$2:$D$157&lt;D11))*$E$2:$E$157)),F11&lt;SUMPRODUCT(MAX((($A$2:$A$157="止损计划")*($B$2:$B$157=B11)*($D$2:$D$157&lt;D11))*$F$2:$F$157)))),"阶段价格必须逐级提高","计划有效"))))))),IF(A11="每日跟踪",IF(OR(B11="",H11="",I11="",J11=""),"每日数据不完整",IF(COUNTIFS($A$2:$A$157,"每日跟踪",$B$2:$B$157,B11,$H$2:$H$157,H11)&gt;1,"同一交易日期重复",IF(AND(R11&lt;&gt;"",R11&lt;S11),"人工止损无效：不能下调","跟踪有效"))),"记录类型无效")))</f>
        <v>每日数据不完整</v>
      </c>
    </row>
    <row r="12" ht="17" spans="1:29">
      <c r="A12" s="2"/>
      <c r="B12" s="2"/>
      <c r="C12" s="8" t="str">
        <f>IF(B12="","",IFERROR(LOOKUP(2,1/(单次交易!$A$2:$A$88=B12),单次交易!$B$2:$B$88),""))</f>
        <v/>
      </c>
      <c r="D12" s="12"/>
      <c r="E12" s="10"/>
      <c r="F12" s="10"/>
      <c r="G12" s="2"/>
      <c r="H12" s="15"/>
      <c r="I12" s="10"/>
      <c r="J12" s="12"/>
      <c r="K12" s="2"/>
      <c r="L12" s="2"/>
      <c r="M12" s="2"/>
      <c r="N12" s="5" t="str">
        <f>IF(B12="","",IFERROR(LOOKUP(2,1/(单次交易!$A$2:$A$88=B12),单次交易!$N$2:$N$88),""))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IF(X12&lt;&gt;"执行卖出","",IFERROR(LOOKUP(2,1/(单次交易!$A$2:$A$88=B12),单次交易!$AP$2:$AP$88),""))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$157,"止损计划",$B$2:$B$157,B12,$D$2:$D$157,D12)&gt;1,"阶段序号重复",IF(E12&lt;=IFERROR(LOOKUP(2,1/(单次交易!$A$2:$A$88=B12),单次交易!$E$2:$E$88),0),"激活价须高于买入价",IF(F12&lt;N12,"止损价不得低于初始止损",IF(F12&gt;E12,"止损价不得高于激活价",IF(AND(COUNTIFS($A$2:$A$157,"止损计划",$B$2:$B$157,B12,$D$2:$D$157,"&lt;"&amp;D12)&gt;0,OR(E12&lt;=SUMPRODUCT(MAX((($A$2:$A$157="止损计划")*($B$2:$B$157=B12)*($D$2:$D$157&lt;D12))*$E$2:$E$157)),F12&lt;SUMPRODUCT(MAX((($A$2:$A$157="止损计划")*($B$2:$B$157=B12)*($D$2:$D$157&lt;D12))*$F$2:$F$157)))),"阶段价格必须逐级提高","计划有效"))))))),IF(A12="每日跟踪",IF(OR(B12="",H12="",I12="",J12=""),"每日数据不完整",IF(COUNTIFS($A$2:$A$157,"每日跟踪",$B$2:$B$157,B12,$H$2:$H$157,H12)&gt;1,"同一交易日期重复",IF(AND(R12&lt;&gt;"",R12&lt;S12),"人工止损无效：不能下调","跟踪有效"))),"记录类型无效")))</f>
        <v/>
      </c>
    </row>
    <row r="13" ht="17" spans="1:29">
      <c r="A13" s="2"/>
      <c r="B13" s="2"/>
      <c r="C13" s="8" t="str">
        <f>IF(B13="","",IFERROR(LOOKUP(2,1/(单次交易!$A$2:$A$88=B13),单次交易!$B$2:$B$88),""))</f>
        <v/>
      </c>
      <c r="D13" s="12"/>
      <c r="E13" s="10"/>
      <c r="F13" s="10"/>
      <c r="G13" s="2"/>
      <c r="H13" s="15"/>
      <c r="I13" s="10"/>
      <c r="J13" s="12"/>
      <c r="K13" s="2"/>
      <c r="L13" s="2"/>
      <c r="M13" s="2"/>
      <c r="N13" s="5" t="str">
        <f>IF(B13="","",IFERROR(LOOKUP(2,1/(单次交易!$A$2:$A$88=B13),单次交易!$N$2:$N$88),""))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IF(X13&lt;&gt;"执行卖出","",IFERROR(LOOKUP(2,1/(单次交易!$A$2:$A$88=B13),单次交易!$AP$2:$AP$88),""))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$157,"止损计划",$B$2:$B$157,B13,$D$2:$D$157,D13)&gt;1,"阶段序号重复",IF(E13&lt;=IFERROR(LOOKUP(2,1/(单次交易!$A$2:$A$88=B13),单次交易!$E$2:$E$88),0),"激活价须高于买入价",IF(F13&lt;N13,"止损价不得低于初始止损",IF(F13&gt;E13,"止损价不得高于激活价",IF(AND(COUNTIFS($A$2:$A$157,"止损计划",$B$2:$B$157,B13,$D$2:$D$157,"&lt;"&amp;D13)&gt;0,OR(E13&lt;=SUMPRODUCT(MAX((($A$2:$A$157="止损计划")*($B$2:$B$157=B13)*($D$2:$D$157&lt;D13))*$E$2:$E$157)),F13&lt;SUMPRODUCT(MAX((($A$2:$A$157="止损计划")*($B$2:$B$157=B13)*($D$2:$D$157&lt;D13))*$F$2:$F$157)))),"阶段价格必须逐级提高","计划有效"))))))),IF(A13="每日跟踪",IF(OR(B13="",H13="",I13="",J13=""),"每日数据不完整",IF(COUNTIFS($A$2:$A$157,"每日跟踪",$B$2:$B$157,B13,$H$2:$H$157,H13)&gt;1,"同一交易日期重复",IF(AND(R13&lt;&gt;"",R13&lt;S13),"人工止损无效：不能下调","跟踪有效"))),"记录类型无效")))</f>
        <v/>
      </c>
    </row>
    <row r="14" ht="17" spans="1:29">
      <c r="A14" s="2"/>
      <c r="B14" s="2"/>
      <c r="C14" s="8" t="str">
        <f>IF(B14="","",IFERROR(LOOKUP(2,1/(单次交易!$A$2:$A$88=B14),单次交易!$B$2:$B$88),""))</f>
        <v/>
      </c>
      <c r="D14" s="12"/>
      <c r="E14" s="10"/>
      <c r="F14" s="10"/>
      <c r="G14" s="2"/>
      <c r="H14" s="15"/>
      <c r="I14" s="10"/>
      <c r="J14" s="12"/>
      <c r="K14" s="2"/>
      <c r="L14" s="2"/>
      <c r="M14" s="2"/>
      <c r="N14" s="5" t="str">
        <f>IF(B14="","",IFERROR(LOOKUP(2,1/(单次交易!$A$2:$A$88=B14),单次交易!$N$2:$N$88),""))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IF(X14&lt;&gt;"执行卖出","",IFERROR(LOOKUP(2,1/(单次交易!$A$2:$A$88=B14),单次交易!$AP$2:$AP$88),""))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$157,"止损计划",$B$2:$B$157,B14,$D$2:$D$157,D14)&gt;1,"阶段序号重复",IF(E14&lt;=IFERROR(LOOKUP(2,1/(单次交易!$A$2:$A$88=B14),单次交易!$E$2:$E$88),0),"激活价须高于买入价",IF(F14&lt;N14,"止损价不得低于初始止损",IF(F14&gt;E14,"止损价不得高于激活价",IF(AND(COUNTIFS($A$2:$A$157,"止损计划",$B$2:$B$157,B14,$D$2:$D$157,"&lt;"&amp;D14)&gt;0,OR(E14&lt;=SUMPRODUCT(MAX((($A$2:$A$157="止损计划")*($B$2:$B$157=B14)*($D$2:$D$157&lt;D14))*$E$2:$E$157)),F14&lt;SUMPRODUCT(MAX((($A$2:$A$157="止损计划")*($B$2:$B$157=B14)*($D$2:$D$157&lt;D14))*$F$2:$F$157)))),"阶段价格必须逐级提高","计划有效"))))))),IF(A14="每日跟踪",IF(OR(B14="",H14="",I14="",J14=""),"每日数据不完整",IF(COUNTIFS($A$2:$A$157,"每日跟踪",$B$2:$B$157,B14,$H$2:$H$157,H14)&gt;1,"同一交易日期重复",IF(AND(R14&lt;&gt;"",R14&lt;S14),"人工止损无效：不能下调","跟踪有效"))),"记录类型无效")))</f>
        <v/>
      </c>
    </row>
    <row r="15" ht="17" spans="1:29">
      <c r="A15" s="2"/>
      <c r="B15" s="2"/>
      <c r="C15" s="8" t="str">
        <f>IF(B15="","",IFERROR(LOOKUP(2,1/(单次交易!$A$2:$A$88=B15),单次交易!$B$2:$B$88),""))</f>
        <v/>
      </c>
      <c r="D15" s="12"/>
      <c r="E15" s="10"/>
      <c r="F15" s="10"/>
      <c r="G15" s="2"/>
      <c r="H15" s="15"/>
      <c r="I15" s="10"/>
      <c r="J15" s="12"/>
      <c r="K15" s="2"/>
      <c r="L15" s="2"/>
      <c r="M15" s="2"/>
      <c r="N15" s="5" t="str">
        <f>IF(B15="","",IFERROR(LOOKUP(2,1/(单次交易!$A$2:$A$88=B15),单次交易!$N$2:$N$88),""))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IF(X15&lt;&gt;"执行卖出","",IFERROR(LOOKUP(2,1/(单次交易!$A$2:$A$88=B15),单次交易!$AP$2:$AP$88),""))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$157,"止损计划",$B$2:$B$157,B15,$D$2:$D$157,D15)&gt;1,"阶段序号重复",IF(E15&lt;=IFERROR(LOOKUP(2,1/(单次交易!$A$2:$A$88=B15),单次交易!$E$2:$E$88),0),"激活价须高于买入价",IF(F15&lt;N15,"止损价不得低于初始止损",IF(F15&gt;E15,"止损价不得高于激活价",IF(AND(COUNTIFS($A$2:$A$157,"止损计划",$B$2:$B$157,B15,$D$2:$D$157,"&lt;"&amp;D15)&gt;0,OR(E15&lt;=SUMPRODUCT(MAX((($A$2:$A$157="止损计划")*($B$2:$B$157=B15)*($D$2:$D$157&lt;D15))*$E$2:$E$157)),F15&lt;SUMPRODUCT(MAX((($A$2:$A$157="止损计划")*($B$2:$B$157=B15)*($D$2:$D$157&lt;D15))*$F$2:$F$157)))),"阶段价格必须逐级提高","计划有效"))))))),IF(A15="每日跟踪",IF(OR(B15="",H15="",I15="",J15=""),"每日数据不完整",IF(COUNTIFS($A$2:$A$157,"每日跟踪",$B$2:$B$157,B15,$H$2:$H$157,H15)&gt;1,"同一交易日期重复",IF(AND(R15&lt;&gt;"",R15&lt;S15),"人工止损无效：不能下调","跟踪有效"))),"记录类型无效")))</f>
        <v/>
      </c>
    </row>
    <row r="16" ht="17" spans="1:29">
      <c r="A16" s="2"/>
      <c r="B16" s="2"/>
      <c r="C16" s="8" t="str">
        <f>IF(B16="","",IFERROR(LOOKUP(2,1/(单次交易!$A$2:$A$88=B16),单次交易!$B$2:$B$88),""))</f>
        <v/>
      </c>
      <c r="D16" s="12"/>
      <c r="E16" s="10"/>
      <c r="F16" s="10"/>
      <c r="G16" s="2"/>
      <c r="H16" s="15"/>
      <c r="I16" s="10"/>
      <c r="J16" s="12"/>
      <c r="K16" s="2"/>
      <c r="L16" s="2"/>
      <c r="M16" s="2"/>
      <c r="N16" s="5" t="str">
        <f>IF(B16="","",IFERROR(LOOKUP(2,1/(单次交易!$A$2:$A$88=B16),单次交易!$N$2:$N$88),""))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IF(X16&lt;&gt;"执行卖出","",IFERROR(LOOKUP(2,1/(单次交易!$A$2:$A$88=B16),单次交易!$AP$2:$AP$88),""))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$157,"止损计划",$B$2:$B$157,B16,$D$2:$D$157,D16)&gt;1,"阶段序号重复",IF(E16&lt;=IFERROR(LOOKUP(2,1/(单次交易!$A$2:$A$88=B16),单次交易!$E$2:$E$88),0),"激活价须高于买入价",IF(F16&lt;N16,"止损价不得低于初始止损",IF(F16&gt;E16,"止损价不得高于激活价",IF(AND(COUNTIFS($A$2:$A$157,"止损计划",$B$2:$B$157,B16,$D$2:$D$157,"&lt;"&amp;D16)&gt;0,OR(E16&lt;=SUMPRODUCT(MAX((($A$2:$A$157="止损计划")*($B$2:$B$157=B16)*($D$2:$D$157&lt;D16))*$E$2:$E$157)),F16&lt;SUMPRODUCT(MAX((($A$2:$A$157="止损计划")*($B$2:$B$157=B16)*($D$2:$D$157&lt;D16))*$F$2:$F$157)))),"阶段价格必须逐级提高","计划有效"))))))),IF(A16="每日跟踪",IF(OR(B16="",H16="",I16="",J16=""),"每日数据不完整",IF(COUNTIFS($A$2:$A$157,"每日跟踪",$B$2:$B$157,B16,$H$2:$H$157,H16)&gt;1,"同一交易日期重复",IF(AND(R16&lt;&gt;"",R16&lt;S16),"人工止损无效：不能下调","跟踪有效"))),"记录类型无效")))</f>
        <v/>
      </c>
    </row>
    <row r="17" ht="17" spans="1:29">
      <c r="A17" s="2"/>
      <c r="B17" s="2"/>
      <c r="C17" s="8" t="str">
        <f>IF(B17="","",IFERROR(LOOKUP(2,1/(单次交易!$A$2:$A$88=B17),单次交易!$B$2:$B$88),""))</f>
        <v/>
      </c>
      <c r="D17" s="12"/>
      <c r="E17" s="10"/>
      <c r="F17" s="10"/>
      <c r="G17" s="2"/>
      <c r="H17" s="15"/>
      <c r="I17" s="10"/>
      <c r="J17" s="12"/>
      <c r="K17" s="2"/>
      <c r="L17" s="2"/>
      <c r="M17" s="2"/>
      <c r="N17" s="5" t="str">
        <f>IF(B17="","",IFERROR(LOOKUP(2,1/(单次交易!$A$2:$A$88=B17),单次交易!$N$2:$N$88),""))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IF(X17&lt;&gt;"执行卖出","",IFERROR(LOOKUP(2,1/(单次交易!$A$2:$A$88=B17),单次交易!$AP$2:$AP$88),""))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$157,"止损计划",$B$2:$B$157,B17,$D$2:$D$157,D17)&gt;1,"阶段序号重复",IF(E17&lt;=IFERROR(LOOKUP(2,1/(单次交易!$A$2:$A$88=B17),单次交易!$E$2:$E$88),0),"激活价须高于买入价",IF(F17&lt;N17,"止损价不得低于初始止损",IF(F17&gt;E17,"止损价不得高于激活价",IF(AND(COUNTIFS($A$2:$A$157,"止损计划",$B$2:$B$157,B17,$D$2:$D$157,"&lt;"&amp;D17)&gt;0,OR(E17&lt;=SUMPRODUCT(MAX((($A$2:$A$157="止损计划")*($B$2:$B$157=B17)*($D$2:$D$157&lt;D17))*$E$2:$E$157)),F17&lt;SUMPRODUCT(MAX((($A$2:$A$157="止损计划")*($B$2:$B$157=B17)*($D$2:$D$157&lt;D17))*$F$2:$F$157)))),"阶段价格必须逐级提高","计划有效"))))))),IF(A17="每日跟踪",IF(OR(B17="",H17="",I17="",J17=""),"每日数据不完整",IF(COUNTIFS($A$2:$A$157,"每日跟踪",$B$2:$B$157,B17,$H$2:$H$157,H17)&gt;1,"同一交易日期重复",IF(AND(R17&lt;&gt;"",R17&lt;S17),"人工止损无效：不能下调","跟踪有效"))),"记录类型无效")))</f>
        <v/>
      </c>
    </row>
    <row r="18" ht="17" spans="1:29">
      <c r="A18" s="2"/>
      <c r="B18" s="2"/>
      <c r="C18" s="8" t="str">
        <f>IF(B18="","",IFERROR(LOOKUP(2,1/(单次交易!$A$2:$A$88=B18),单次交易!$B$2:$B$88),""))</f>
        <v/>
      </c>
      <c r="D18" s="12"/>
      <c r="E18" s="10"/>
      <c r="F18" s="10"/>
      <c r="G18" s="2"/>
      <c r="H18" s="15"/>
      <c r="I18" s="10"/>
      <c r="J18" s="12"/>
      <c r="K18" s="2"/>
      <c r="L18" s="2"/>
      <c r="M18" s="2"/>
      <c r="N18" s="5" t="str">
        <f>IF(B18="","",IFERROR(LOOKUP(2,1/(单次交易!$A$2:$A$88=B18),单次交易!$N$2:$N$88),""))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IF(X18&lt;&gt;"执行卖出","",IFERROR(LOOKUP(2,1/(单次交易!$A$2:$A$88=B18),单次交易!$AP$2:$AP$88),""))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$157,"止损计划",$B$2:$B$157,B18,$D$2:$D$157,D18)&gt;1,"阶段序号重复",IF(E18&lt;=IFERROR(LOOKUP(2,1/(单次交易!$A$2:$A$88=B18),单次交易!$E$2:$E$88),0),"激活价须高于买入价",IF(F18&lt;N18,"止损价不得低于初始止损",IF(F18&gt;E18,"止损价不得高于激活价",IF(AND(COUNTIFS($A$2:$A$157,"止损计划",$B$2:$B$157,B18,$D$2:$D$157,"&lt;"&amp;D18)&gt;0,OR(E18&lt;=SUMPRODUCT(MAX((($A$2:$A$157="止损计划")*($B$2:$B$157=B18)*($D$2:$D$157&lt;D18))*$E$2:$E$157)),F18&lt;SUMPRODUCT(MAX((($A$2:$A$157="止损计划")*($B$2:$B$157=B18)*($D$2:$D$157&lt;D18))*$F$2:$F$157)))),"阶段价格必须逐级提高","计划有效"))))))),IF(A18="每日跟踪",IF(OR(B18="",H18="",I18="",J18=""),"每日数据不完整",IF(COUNTIFS($A$2:$A$157,"每日跟踪",$B$2:$B$157,B18,$H$2:$H$157,H18)&gt;1,"同一交易日期重复",IF(AND(R18&lt;&gt;"",R18&lt;S18),"人工止损无效：不能下调","跟踪有效"))),"记录类型无效")))</f>
        <v/>
      </c>
    </row>
    <row r="19" ht="17" spans="1:29">
      <c r="A19" s="2"/>
      <c r="B19" s="2"/>
      <c r="C19" s="8" t="str">
        <f>IF(B19="","",IFERROR(LOOKUP(2,1/(单次交易!$A$2:$A$88=B19),单次交易!$B$2:$B$88),""))</f>
        <v/>
      </c>
      <c r="D19" s="12"/>
      <c r="E19" s="10"/>
      <c r="F19" s="10"/>
      <c r="G19" s="2"/>
      <c r="H19" s="15"/>
      <c r="I19" s="10"/>
      <c r="J19" s="12"/>
      <c r="K19" s="2"/>
      <c r="L19" s="2"/>
      <c r="M19" s="2"/>
      <c r="N19" s="5" t="str">
        <f>IF(B19="","",IFERROR(LOOKUP(2,1/(单次交易!$A$2:$A$88=B19),单次交易!$N$2:$N$88),""))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IF(X19&lt;&gt;"执行卖出","",IFERROR(LOOKUP(2,1/(单次交易!$A$2:$A$88=B19),单次交易!$AP$2:$AP$88),""))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$157,"止损计划",$B$2:$B$157,B19,$D$2:$D$157,D19)&gt;1,"阶段序号重复",IF(E19&lt;=IFERROR(LOOKUP(2,1/(单次交易!$A$2:$A$88=B19),单次交易!$E$2:$E$88),0),"激活价须高于买入价",IF(F19&lt;N19,"止损价不得低于初始止损",IF(F19&gt;E19,"止损价不得高于激活价",IF(AND(COUNTIFS($A$2:$A$157,"止损计划",$B$2:$B$157,B19,$D$2:$D$157,"&lt;"&amp;D19)&gt;0,OR(E19&lt;=SUMPRODUCT(MAX((($A$2:$A$157="止损计划")*($B$2:$B$157=B19)*($D$2:$D$157&lt;D19))*$E$2:$E$157)),F19&lt;SUMPRODUCT(MAX((($A$2:$A$157="止损计划")*($B$2:$B$157=B19)*($D$2:$D$157&lt;D19))*$F$2:$F$157)))),"阶段价格必须逐级提高","计划有效"))))))),IF(A19="每日跟踪",IF(OR(B19="",H19="",I19="",J19=""),"每日数据不完整",IF(COUNTIFS($A$2:$A$157,"每日跟踪",$B$2:$B$157,B19,$H$2:$H$157,H19)&gt;1,"同一交易日期重复",IF(AND(R19&lt;&gt;"",R19&lt;S19),"人工止损无效：不能下调","跟踪有效"))),"记录类型无效")))</f>
        <v/>
      </c>
    </row>
    <row r="20" ht="17" spans="1:29">
      <c r="A20" s="2"/>
      <c r="B20" s="2"/>
      <c r="C20" s="8" t="str">
        <f>IF(B20="","",IFERROR(LOOKUP(2,1/(单次交易!$A$2:$A$88=B20),单次交易!$B$2:$B$88),""))</f>
        <v/>
      </c>
      <c r="D20" s="12"/>
      <c r="E20" s="10"/>
      <c r="F20" s="10"/>
      <c r="G20" s="2"/>
      <c r="H20" s="15"/>
      <c r="I20" s="10"/>
      <c r="J20" s="12"/>
      <c r="K20" s="2"/>
      <c r="L20" s="2"/>
      <c r="M20" s="2"/>
      <c r="N20" s="5" t="str">
        <f>IF(B20="","",IFERROR(LOOKUP(2,1/(单次交易!$A$2:$A$88=B20),单次交易!$N$2:$N$88),""))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IF(X20&lt;&gt;"执行卖出","",IFERROR(LOOKUP(2,1/(单次交易!$A$2:$A$88=B20),单次交易!$AP$2:$AP$88),""))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$157,"止损计划",$B$2:$B$157,B20,$D$2:$D$157,D20)&gt;1,"阶段序号重复",IF(E20&lt;=IFERROR(LOOKUP(2,1/(单次交易!$A$2:$A$88=B20),单次交易!$E$2:$E$88),0),"激活价须高于买入价",IF(F20&lt;N20,"止损价不得低于初始止损",IF(F20&gt;E20,"止损价不得高于激活价",IF(AND(COUNTIFS($A$2:$A$157,"止损计划",$B$2:$B$157,B20,$D$2:$D$157,"&lt;"&amp;D20)&gt;0,OR(E20&lt;=SUMPRODUCT(MAX((($A$2:$A$157="止损计划")*($B$2:$B$157=B20)*($D$2:$D$157&lt;D20))*$E$2:$E$157)),F20&lt;SUMPRODUCT(MAX((($A$2:$A$157="止损计划")*($B$2:$B$157=B20)*($D$2:$D$157&lt;D20))*$F$2:$F$157)))),"阶段价格必须逐级提高","计划有效"))))))),IF(A20="每日跟踪",IF(OR(B20="",H20="",I20="",J20=""),"每日数据不完整",IF(COUNTIFS($A$2:$A$157,"每日跟踪",$B$2:$B$157,B20,$H$2:$H$157,H20)&gt;1,"同一交易日期重复",IF(AND(R20&lt;&gt;"",R20&lt;S20),"人工止损无效：不能下调","跟踪有效"))),"记录类型无效")))</f>
        <v/>
      </c>
    </row>
    <row r="21" ht="17" spans="1:29">
      <c r="A21" s="2"/>
      <c r="B21" s="2"/>
      <c r="C21" s="8" t="str">
        <f>IF(B21="","",IFERROR(LOOKUP(2,1/(单次交易!$A$2:$A$88=B21),单次交易!$B$2:$B$88),""))</f>
        <v/>
      </c>
      <c r="D21" s="12"/>
      <c r="E21" s="10"/>
      <c r="F21" s="10"/>
      <c r="G21" s="2"/>
      <c r="H21" s="15"/>
      <c r="I21" s="10"/>
      <c r="J21" s="12"/>
      <c r="K21" s="2"/>
      <c r="L21" s="2"/>
      <c r="M21" s="2"/>
      <c r="N21" s="5" t="str">
        <f>IF(B21="","",IFERROR(LOOKUP(2,1/(单次交易!$A$2:$A$88=B21),单次交易!$N$2:$N$88),""))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IF(X21&lt;&gt;"执行卖出","",IFERROR(LOOKUP(2,1/(单次交易!$A$2:$A$88=B21),单次交易!$AP$2:$AP$88),""))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$157,"止损计划",$B$2:$B$157,B21,$D$2:$D$157,D21)&gt;1,"阶段序号重复",IF(E21&lt;=IFERROR(LOOKUP(2,1/(单次交易!$A$2:$A$88=B21),单次交易!$E$2:$E$88),0),"激活价须高于买入价",IF(F21&lt;N21,"止损价不得低于初始止损",IF(F21&gt;E21,"止损价不得高于激活价",IF(AND(COUNTIFS($A$2:$A$157,"止损计划",$B$2:$B$157,B21,$D$2:$D$157,"&lt;"&amp;D21)&gt;0,OR(E21&lt;=SUMPRODUCT(MAX((($A$2:$A$157="止损计划")*($B$2:$B$157=B21)*($D$2:$D$157&lt;D21))*$E$2:$E$157)),F21&lt;SUMPRODUCT(MAX((($A$2:$A$157="止损计划")*($B$2:$B$157=B21)*($D$2:$D$157&lt;D21))*$F$2:$F$157)))),"阶段价格必须逐级提高","计划有效"))))))),IF(A21="每日跟踪",IF(OR(B21="",H21="",I21="",J21=""),"每日数据不完整",IF(COUNTIFS($A$2:$A$157,"每日跟踪",$B$2:$B$157,B21,$H$2:$H$157,H21)&gt;1,"同一交易日期重复",IF(AND(R21&lt;&gt;"",R21&lt;S21),"人工止损无效：不能下调","跟踪有效"))),"记录类型无效")))</f>
        <v/>
      </c>
    </row>
    <row r="22" ht="17" spans="1:29">
      <c r="A22" s="2"/>
      <c r="B22" s="2"/>
      <c r="C22" s="8" t="str">
        <f>IF(B22="","",IFERROR(LOOKUP(2,1/(单次交易!$A$2:$A$88=B22),单次交易!$B$2:$B$88),""))</f>
        <v/>
      </c>
      <c r="D22" s="12"/>
      <c r="E22" s="10"/>
      <c r="F22" s="10"/>
      <c r="G22" s="2"/>
      <c r="H22" s="15"/>
      <c r="I22" s="10"/>
      <c r="J22" s="12"/>
      <c r="K22" s="2"/>
      <c r="L22" s="2"/>
      <c r="M22" s="2"/>
      <c r="N22" s="5" t="str">
        <f>IF(B22="","",IFERROR(LOOKUP(2,1/(单次交易!$A$2:$A$88=B22),单次交易!$N$2:$N$88),""))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IF(X22&lt;&gt;"执行卖出","",IFERROR(LOOKUP(2,1/(单次交易!$A$2:$A$88=B22),单次交易!$AP$2:$AP$88),""))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$157,"止损计划",$B$2:$B$157,B22,$D$2:$D$157,D22)&gt;1,"阶段序号重复",IF(E22&lt;=IFERROR(LOOKUP(2,1/(单次交易!$A$2:$A$88=B22),单次交易!$E$2:$E$88),0),"激活价须高于买入价",IF(F22&lt;N22,"止损价不得低于初始止损",IF(F22&gt;E22,"止损价不得高于激活价",IF(AND(COUNTIFS($A$2:$A$157,"止损计划",$B$2:$B$157,B22,$D$2:$D$157,"&lt;"&amp;D22)&gt;0,OR(E22&lt;=SUMPRODUCT(MAX((($A$2:$A$157="止损计划")*($B$2:$B$157=B22)*($D$2:$D$157&lt;D22))*$E$2:$E$157)),F22&lt;SUMPRODUCT(MAX((($A$2:$A$157="止损计划")*($B$2:$B$157=B22)*($D$2:$D$157&lt;D22))*$F$2:$F$157)))),"阶段价格必须逐级提高","计划有效"))))))),IF(A22="每日跟踪",IF(OR(B22="",H22="",I22="",J22=""),"每日数据不完整",IF(COUNTIFS($A$2:$A$157,"每日跟踪",$B$2:$B$157,B22,$H$2:$H$157,H22)&gt;1,"同一交易日期重复",IF(AND(R22&lt;&gt;"",R22&lt;S22),"人工止损无效：不能下调","跟踪有效"))),"记录类型无效")))</f>
        <v/>
      </c>
    </row>
    <row r="23" ht="17" spans="1:29">
      <c r="A23" s="2"/>
      <c r="B23" s="2"/>
      <c r="C23" s="8" t="str">
        <f>IF(B23="","",IFERROR(LOOKUP(2,1/(单次交易!$A$2:$A$88=B23),单次交易!$B$2:$B$88),""))</f>
        <v/>
      </c>
      <c r="D23" s="12"/>
      <c r="E23" s="10"/>
      <c r="F23" s="10"/>
      <c r="G23" s="2"/>
      <c r="H23" s="15"/>
      <c r="I23" s="10"/>
      <c r="J23" s="12"/>
      <c r="K23" s="2"/>
      <c r="L23" s="2"/>
      <c r="M23" s="2"/>
      <c r="N23" s="5" t="str">
        <f>IF(B23="","",IFERROR(LOOKUP(2,1/(单次交易!$A$2:$A$88=B23),单次交易!$N$2:$N$88),""))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IF(X23&lt;&gt;"执行卖出","",IFERROR(LOOKUP(2,1/(单次交易!$A$2:$A$88=B23),单次交易!$AP$2:$AP$88),""))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$157,"止损计划",$B$2:$B$157,B23,$D$2:$D$157,D23)&gt;1,"阶段序号重复",IF(E23&lt;=IFERROR(LOOKUP(2,1/(单次交易!$A$2:$A$88=B23),单次交易!$E$2:$E$88),0),"激活价须高于买入价",IF(F23&lt;N23,"止损价不得低于初始止损",IF(F23&gt;E23,"止损价不得高于激活价",IF(AND(COUNTIFS($A$2:$A$157,"止损计划",$B$2:$B$157,B23,$D$2:$D$157,"&lt;"&amp;D23)&gt;0,OR(E23&lt;=SUMPRODUCT(MAX((($A$2:$A$157="止损计划")*($B$2:$B$157=B23)*($D$2:$D$157&lt;D23))*$E$2:$E$157)),F23&lt;SUMPRODUCT(MAX((($A$2:$A$157="止损计划")*($B$2:$B$157=B23)*($D$2:$D$157&lt;D23))*$F$2:$F$157)))),"阶段价格必须逐级提高","计划有效"))))))),IF(A23="每日跟踪",IF(OR(B23="",H23="",I23="",J23=""),"每日数据不完整",IF(COUNTIFS($A$2:$A$157,"每日跟踪",$B$2:$B$157,B23,$H$2:$H$157,H23)&gt;1,"同一交易日期重复",IF(AND(R23&lt;&gt;"",R23&lt;S23),"人工止损无效：不能下调","跟踪有效"))),"记录类型无效")))</f>
        <v/>
      </c>
    </row>
    <row r="24" ht="17" spans="1:29">
      <c r="A24" s="2"/>
      <c r="B24" s="2"/>
      <c r="C24" s="8" t="str">
        <f>IF(B24="","",IFERROR(LOOKUP(2,1/(单次交易!$A$2:$A$88=B24),单次交易!$B$2:$B$88),""))</f>
        <v/>
      </c>
      <c r="D24" s="12"/>
      <c r="E24" s="10"/>
      <c r="F24" s="10"/>
      <c r="G24" s="2"/>
      <c r="H24" s="15"/>
      <c r="I24" s="10"/>
      <c r="J24" s="12"/>
      <c r="K24" s="2"/>
      <c r="L24" s="2"/>
      <c r="M24" s="2"/>
      <c r="N24" s="5" t="str">
        <f>IF(B24="","",IFERROR(LOOKUP(2,1/(单次交易!$A$2:$A$88=B24),单次交易!$N$2:$N$88),""))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IF(X24&lt;&gt;"执行卖出","",IFERROR(LOOKUP(2,1/(单次交易!$A$2:$A$88=B24),单次交易!$AP$2:$AP$88),""))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$157,"止损计划",$B$2:$B$157,B24,$D$2:$D$157,D24)&gt;1,"阶段序号重复",IF(E24&lt;=IFERROR(LOOKUP(2,1/(单次交易!$A$2:$A$88=B24),单次交易!$E$2:$E$88),0),"激活价须高于买入价",IF(F24&lt;N24,"止损价不得低于初始止损",IF(F24&gt;E24,"止损价不得高于激活价",IF(AND(COUNTIFS($A$2:$A$157,"止损计划",$B$2:$B$157,B24,$D$2:$D$157,"&lt;"&amp;D24)&gt;0,OR(E24&lt;=SUMPRODUCT(MAX((($A$2:$A$157="止损计划")*($B$2:$B$157=B24)*($D$2:$D$157&lt;D24))*$E$2:$E$157)),F24&lt;SUMPRODUCT(MAX((($A$2:$A$157="止损计划")*($B$2:$B$157=B24)*($D$2:$D$157&lt;D24))*$F$2:$F$157)))),"阶段价格必须逐级提高","计划有效"))))))),IF(A24="每日跟踪",IF(OR(B24="",H24="",I24="",J24=""),"每日数据不完整",IF(COUNTIFS($A$2:$A$157,"每日跟踪",$B$2:$B$157,B24,$H$2:$H$157,H24)&gt;1,"同一交易日期重复",IF(AND(R24&lt;&gt;"",R24&lt;S24),"人工止损无效：不能下调","跟踪有效"))),"记录类型无效")))</f>
        <v/>
      </c>
    </row>
    <row r="25" ht="17" spans="1:29">
      <c r="A25" s="2"/>
      <c r="B25" s="2"/>
      <c r="C25" s="8" t="str">
        <f>IF(B25="","",IFERROR(LOOKUP(2,1/(单次交易!$A$2:$A$88=B25),单次交易!$B$2:$B$88),""))</f>
        <v/>
      </c>
      <c r="D25" s="12"/>
      <c r="E25" s="10"/>
      <c r="F25" s="10"/>
      <c r="G25" s="2"/>
      <c r="H25" s="15"/>
      <c r="I25" s="10"/>
      <c r="J25" s="12"/>
      <c r="K25" s="2"/>
      <c r="L25" s="2"/>
      <c r="M25" s="2"/>
      <c r="N25" s="5" t="str">
        <f>IF(B25="","",IFERROR(LOOKUP(2,1/(单次交易!$A$2:$A$88=B25),单次交易!$N$2:$N$88),""))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IF(X25&lt;&gt;"执行卖出","",IFERROR(LOOKUP(2,1/(单次交易!$A$2:$A$88=B25),单次交易!$AP$2:$AP$88),""))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$157,"止损计划",$B$2:$B$157,B25,$D$2:$D$157,D25)&gt;1,"阶段序号重复",IF(E25&lt;=IFERROR(LOOKUP(2,1/(单次交易!$A$2:$A$88=B25),单次交易!$E$2:$E$88),0),"激活价须高于买入价",IF(F25&lt;N25,"止损价不得低于初始止损",IF(F25&gt;E25,"止损价不得高于激活价",IF(AND(COUNTIFS($A$2:$A$157,"止损计划",$B$2:$B$157,B25,$D$2:$D$157,"&lt;"&amp;D25)&gt;0,OR(E25&lt;=SUMPRODUCT(MAX((($A$2:$A$157="止损计划")*($B$2:$B$157=B25)*($D$2:$D$157&lt;D25))*$E$2:$E$157)),F25&lt;SUMPRODUCT(MAX((($A$2:$A$157="止损计划")*($B$2:$B$157=B25)*($D$2:$D$157&lt;D25))*$F$2:$F$157)))),"阶段价格必须逐级提高","计划有效"))))))),IF(A25="每日跟踪",IF(OR(B25="",H25="",I25="",J25=""),"每日数据不完整",IF(COUNTIFS($A$2:$A$157,"每日跟踪",$B$2:$B$157,B25,$H$2:$H$157,H25)&gt;1,"同一交易日期重复",IF(AND(R25&lt;&gt;"",R25&lt;S25),"人工止损无效：不能下调","跟踪有效"))),"记录类型无效")))</f>
        <v/>
      </c>
    </row>
    <row r="26" ht="17" spans="1:29">
      <c r="A26" s="2"/>
      <c r="B26" s="2"/>
      <c r="C26" s="8" t="str">
        <f>IF(B26="","",IFERROR(LOOKUP(2,1/(单次交易!$A$2:$A$88=B26),单次交易!$B$2:$B$88),""))</f>
        <v/>
      </c>
      <c r="D26" s="12"/>
      <c r="E26" s="10"/>
      <c r="F26" s="10"/>
      <c r="G26" s="2"/>
      <c r="H26" s="15"/>
      <c r="I26" s="10"/>
      <c r="J26" s="12"/>
      <c r="K26" s="2"/>
      <c r="L26" s="2"/>
      <c r="M26" s="2"/>
      <c r="N26" s="5" t="str">
        <f>IF(B26="","",IFERROR(LOOKUP(2,1/(单次交易!$A$2:$A$88=B26),单次交易!$N$2:$N$88),""))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IF(X26&lt;&gt;"执行卖出","",IFERROR(LOOKUP(2,1/(单次交易!$A$2:$A$88=B26),单次交易!$AP$2:$AP$88),""))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$157,"止损计划",$B$2:$B$157,B26,$D$2:$D$157,D26)&gt;1,"阶段序号重复",IF(E26&lt;=IFERROR(LOOKUP(2,1/(单次交易!$A$2:$A$88=B26),单次交易!$E$2:$E$88),0),"激活价须高于买入价",IF(F26&lt;N26,"止损价不得低于初始止损",IF(F26&gt;E26,"止损价不得高于激活价",IF(AND(COUNTIFS($A$2:$A$157,"止损计划",$B$2:$B$157,B26,$D$2:$D$157,"&lt;"&amp;D26)&gt;0,OR(E26&lt;=SUMPRODUCT(MAX((($A$2:$A$157="止损计划")*($B$2:$B$157=B26)*($D$2:$D$157&lt;D26))*$E$2:$E$157)),F26&lt;SUMPRODUCT(MAX((($A$2:$A$157="止损计划")*($B$2:$B$157=B26)*($D$2:$D$157&lt;D26))*$F$2:$F$157)))),"阶段价格必须逐级提高","计划有效"))))))),IF(A26="每日跟踪",IF(OR(B26="",H26="",I26="",J26=""),"每日数据不完整",IF(COUNTIFS($A$2:$A$157,"每日跟踪",$B$2:$B$157,B26,$H$2:$H$157,H26)&gt;1,"同一交易日期重复",IF(AND(R26&lt;&gt;"",R26&lt;S26),"人工止损无效：不能下调","跟踪有效"))),"记录类型无效")))</f>
        <v/>
      </c>
    </row>
    <row r="27" ht="17" spans="1:29">
      <c r="A27" s="2"/>
      <c r="B27" s="2"/>
      <c r="C27" s="8" t="str">
        <f>IF(B27="","",IFERROR(LOOKUP(2,1/(单次交易!$A$2:$A$88=B27),单次交易!$B$2:$B$88),""))</f>
        <v/>
      </c>
      <c r="D27" s="12"/>
      <c r="E27" s="10"/>
      <c r="F27" s="10"/>
      <c r="G27" s="2"/>
      <c r="H27" s="15"/>
      <c r="I27" s="10"/>
      <c r="J27" s="12"/>
      <c r="K27" s="2"/>
      <c r="L27" s="2"/>
      <c r="M27" s="2"/>
      <c r="N27" s="5" t="str">
        <f>IF(B27="","",IFERROR(LOOKUP(2,1/(单次交易!$A$2:$A$88=B27),单次交易!$N$2:$N$88),""))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IF(X27&lt;&gt;"执行卖出","",IFERROR(LOOKUP(2,1/(单次交易!$A$2:$A$88=B27),单次交易!$AP$2:$AP$88),""))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$157,"止损计划",$B$2:$B$157,B27,$D$2:$D$157,D27)&gt;1,"阶段序号重复",IF(E27&lt;=IFERROR(LOOKUP(2,1/(单次交易!$A$2:$A$88=B27),单次交易!$E$2:$E$88),0),"激活价须高于买入价",IF(F27&lt;N27,"止损价不得低于初始止损",IF(F27&gt;E27,"止损价不得高于激活价",IF(AND(COUNTIFS($A$2:$A$157,"止损计划",$B$2:$B$157,B27,$D$2:$D$157,"&lt;"&amp;D27)&gt;0,OR(E27&lt;=SUMPRODUCT(MAX((($A$2:$A$157="止损计划")*($B$2:$B$157=B27)*($D$2:$D$157&lt;D27))*$E$2:$E$157)),F27&lt;SUMPRODUCT(MAX((($A$2:$A$157="止损计划")*($B$2:$B$157=B27)*($D$2:$D$157&lt;D27))*$F$2:$F$157)))),"阶段价格必须逐级提高","计划有效"))))))),IF(A27="每日跟踪",IF(OR(B27="",H27="",I27="",J27=""),"每日数据不完整",IF(COUNTIFS($A$2:$A$157,"每日跟踪",$B$2:$B$157,B27,$H$2:$H$157,H27)&gt;1,"同一交易日期重复",IF(AND(R27&lt;&gt;"",R27&lt;S27),"人工止损无效：不能下调","跟踪有效"))),"记录类型无效")))</f>
        <v/>
      </c>
    </row>
    <row r="28" ht="17" spans="1:29">
      <c r="A28" s="2"/>
      <c r="B28" s="2"/>
      <c r="C28" s="8" t="str">
        <f>IF(B28="","",IFERROR(LOOKUP(2,1/(单次交易!$A$2:$A$88=B28),单次交易!$B$2:$B$88),""))</f>
        <v/>
      </c>
      <c r="D28" s="12"/>
      <c r="E28" s="10"/>
      <c r="F28" s="10"/>
      <c r="G28" s="2"/>
      <c r="H28" s="15"/>
      <c r="I28" s="10"/>
      <c r="J28" s="12"/>
      <c r="K28" s="2"/>
      <c r="L28" s="2"/>
      <c r="M28" s="2"/>
      <c r="N28" s="5" t="str">
        <f>IF(B28="","",IFERROR(LOOKUP(2,1/(单次交易!$A$2:$A$88=B28),单次交易!$N$2:$N$88),""))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IF(X28&lt;&gt;"执行卖出","",IFERROR(LOOKUP(2,1/(单次交易!$A$2:$A$88=B28),单次交易!$AP$2:$AP$88),""))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$157,"止损计划",$B$2:$B$157,B28,$D$2:$D$157,D28)&gt;1,"阶段序号重复",IF(E28&lt;=IFERROR(LOOKUP(2,1/(单次交易!$A$2:$A$88=B28),单次交易!$E$2:$E$88),0),"激活价须高于买入价",IF(F28&lt;N28,"止损价不得低于初始止损",IF(F28&gt;E28,"止损价不得高于激活价",IF(AND(COUNTIFS($A$2:$A$157,"止损计划",$B$2:$B$157,B28,$D$2:$D$157,"&lt;"&amp;D28)&gt;0,OR(E28&lt;=SUMPRODUCT(MAX((($A$2:$A$157="止损计划")*($B$2:$B$157=B28)*($D$2:$D$157&lt;D28))*$E$2:$E$157)),F28&lt;SUMPRODUCT(MAX((($A$2:$A$157="止损计划")*($B$2:$B$157=B28)*($D$2:$D$157&lt;D28))*$F$2:$F$157)))),"阶段价格必须逐级提高","计划有效"))))))),IF(A28="每日跟踪",IF(OR(B28="",H28="",I28="",J28=""),"每日数据不完整",IF(COUNTIFS($A$2:$A$157,"每日跟踪",$B$2:$B$157,B28,$H$2:$H$157,H28)&gt;1,"同一交易日期重复",IF(AND(R28&lt;&gt;"",R28&lt;S28),"人工止损无效：不能下调","跟踪有效"))),"记录类型无效")))</f>
        <v/>
      </c>
    </row>
    <row r="29" ht="17" spans="1:29">
      <c r="A29" s="2"/>
      <c r="B29" s="2"/>
      <c r="C29" s="8" t="str">
        <f>IF(B29="","",IFERROR(LOOKUP(2,1/(单次交易!$A$2:$A$88=B29),单次交易!$B$2:$B$88),""))</f>
        <v/>
      </c>
      <c r="D29" s="12"/>
      <c r="E29" s="10"/>
      <c r="F29" s="10"/>
      <c r="G29" s="2"/>
      <c r="H29" s="15"/>
      <c r="I29" s="10"/>
      <c r="J29" s="12"/>
      <c r="K29" s="2"/>
      <c r="L29" s="2"/>
      <c r="M29" s="2"/>
      <c r="N29" s="5" t="str">
        <f>IF(B29="","",IFERROR(LOOKUP(2,1/(单次交易!$A$2:$A$88=B29),单次交易!$N$2:$N$88),""))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IF(X29&lt;&gt;"执行卖出","",IFERROR(LOOKUP(2,1/(单次交易!$A$2:$A$88=B29),单次交易!$AP$2:$AP$88),""))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$157,"止损计划",$B$2:$B$157,B29,$D$2:$D$157,D29)&gt;1,"阶段序号重复",IF(E29&lt;=IFERROR(LOOKUP(2,1/(单次交易!$A$2:$A$88=B29),单次交易!$E$2:$E$88),0),"激活价须高于买入价",IF(F29&lt;N29,"止损价不得低于初始止损",IF(F29&gt;E29,"止损价不得高于激活价",IF(AND(COUNTIFS($A$2:$A$157,"止损计划",$B$2:$B$157,B29,$D$2:$D$157,"&lt;"&amp;D29)&gt;0,OR(E29&lt;=SUMPRODUCT(MAX((($A$2:$A$157="止损计划")*($B$2:$B$157=B29)*($D$2:$D$157&lt;D29))*$E$2:$E$157)),F29&lt;SUMPRODUCT(MAX((($A$2:$A$157="止损计划")*($B$2:$B$157=B29)*($D$2:$D$157&lt;D29))*$F$2:$F$157)))),"阶段价格必须逐级提高","计划有效"))))))),IF(A29="每日跟踪",IF(OR(B29="",H29="",I29="",J29=""),"每日数据不完整",IF(COUNTIFS($A$2:$A$157,"每日跟踪",$B$2:$B$157,B29,$H$2:$H$157,H29)&gt;1,"同一交易日期重复",IF(AND(R29&lt;&gt;"",R29&lt;S29),"人工止损无效：不能下调","跟踪有效"))),"记录类型无效")))</f>
        <v/>
      </c>
    </row>
    <row r="30" ht="17" spans="1:29">
      <c r="A30" s="2"/>
      <c r="B30" s="2"/>
      <c r="C30" s="8" t="str">
        <f>IF(B30="","",IFERROR(LOOKUP(2,1/(单次交易!$A$2:$A$88=B30),单次交易!$B$2:$B$88),""))</f>
        <v/>
      </c>
      <c r="D30" s="12"/>
      <c r="E30" s="10"/>
      <c r="F30" s="10"/>
      <c r="G30" s="2"/>
      <c r="H30" s="15"/>
      <c r="I30" s="10"/>
      <c r="J30" s="12"/>
      <c r="K30" s="2"/>
      <c r="L30" s="2"/>
      <c r="M30" s="2"/>
      <c r="N30" s="5" t="str">
        <f>IF(B30="","",IFERROR(LOOKUP(2,1/(单次交易!$A$2:$A$88=B30),单次交易!$N$2:$N$88),""))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IF(X30&lt;&gt;"执行卖出","",IFERROR(LOOKUP(2,1/(单次交易!$A$2:$A$88=B30),单次交易!$AP$2:$AP$88),""))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$157,"止损计划",$B$2:$B$157,B30,$D$2:$D$157,D30)&gt;1,"阶段序号重复",IF(E30&lt;=IFERROR(LOOKUP(2,1/(单次交易!$A$2:$A$88=B30),单次交易!$E$2:$E$88),0),"激活价须高于买入价",IF(F30&lt;N30,"止损价不得低于初始止损",IF(F30&gt;E30,"止损价不得高于激活价",IF(AND(COUNTIFS($A$2:$A$157,"止损计划",$B$2:$B$157,B30,$D$2:$D$157,"&lt;"&amp;D30)&gt;0,OR(E30&lt;=SUMPRODUCT(MAX((($A$2:$A$157="止损计划")*($B$2:$B$157=B30)*($D$2:$D$157&lt;D30))*$E$2:$E$157)),F30&lt;SUMPRODUCT(MAX((($A$2:$A$157="止损计划")*($B$2:$B$157=B30)*($D$2:$D$157&lt;D30))*$F$2:$F$157)))),"阶段价格必须逐级提高","计划有效"))))))),IF(A30="每日跟踪",IF(OR(B30="",H30="",I30="",J30=""),"每日数据不完整",IF(COUNTIFS($A$2:$A$157,"每日跟踪",$B$2:$B$157,B30,$H$2:$H$157,H30)&gt;1,"同一交易日期重复",IF(AND(R30&lt;&gt;"",R30&lt;S30),"人工止损无效：不能下调","跟踪有效"))),"记录类型无效")))</f>
        <v/>
      </c>
    </row>
    <row r="31" ht="17" spans="1:29">
      <c r="A31" s="2"/>
      <c r="B31" s="2"/>
      <c r="C31" s="8" t="str">
        <f>IF(B31="","",IFERROR(LOOKUP(2,1/(单次交易!$A$2:$A$88=B31),单次交易!$B$2:$B$88),""))</f>
        <v/>
      </c>
      <c r="D31" s="12"/>
      <c r="E31" s="10"/>
      <c r="F31" s="10"/>
      <c r="G31" s="2"/>
      <c r="H31" s="15"/>
      <c r="I31" s="10"/>
      <c r="J31" s="12"/>
      <c r="K31" s="2"/>
      <c r="L31" s="2"/>
      <c r="M31" s="2"/>
      <c r="N31" s="5" t="str">
        <f>IF(B31="","",IFERROR(LOOKUP(2,1/(单次交易!$A$2:$A$88=B31),单次交易!$N$2:$N$88),""))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IF(X31&lt;&gt;"执行卖出","",IFERROR(LOOKUP(2,1/(单次交易!$A$2:$A$88=B31),单次交易!$AP$2:$AP$88),""))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$157,"止损计划",$B$2:$B$157,B31,$D$2:$D$157,D31)&gt;1,"阶段序号重复",IF(E31&lt;=IFERROR(LOOKUP(2,1/(单次交易!$A$2:$A$88=B31),单次交易!$E$2:$E$88),0),"激活价须高于买入价",IF(F31&lt;N31,"止损价不得低于初始止损",IF(F31&gt;E31,"止损价不得高于激活价",IF(AND(COUNTIFS($A$2:$A$157,"止损计划",$B$2:$B$157,B31,$D$2:$D$157,"&lt;"&amp;D31)&gt;0,OR(E31&lt;=SUMPRODUCT(MAX((($A$2:$A$157="止损计划")*($B$2:$B$157=B31)*($D$2:$D$157&lt;D31))*$E$2:$E$157)),F31&lt;SUMPRODUCT(MAX((($A$2:$A$157="止损计划")*($B$2:$B$157=B31)*($D$2:$D$157&lt;D31))*$F$2:$F$157)))),"阶段价格必须逐级提高","计划有效"))))))),IF(A31="每日跟踪",IF(OR(B31="",H31="",I31="",J31=""),"每日数据不完整",IF(COUNTIFS($A$2:$A$157,"每日跟踪",$B$2:$B$157,B31,$H$2:$H$157,H31)&gt;1,"同一交易日期重复",IF(AND(R31&lt;&gt;"",R31&lt;S31),"人工止损无效：不能下调","跟踪有效"))),"记录类型无效")))</f>
        <v/>
      </c>
    </row>
    <row r="32" ht="17" spans="1:29">
      <c r="A32" s="2"/>
      <c r="B32" s="2"/>
      <c r="C32" s="8" t="str">
        <f>IF(B32="","",IFERROR(LOOKUP(2,1/(单次交易!$A$2:$A$88=B32),单次交易!$B$2:$B$88),""))</f>
        <v/>
      </c>
      <c r="D32" s="12"/>
      <c r="E32" s="10"/>
      <c r="F32" s="10"/>
      <c r="G32" s="2"/>
      <c r="H32" s="15"/>
      <c r="I32" s="10"/>
      <c r="J32" s="12"/>
      <c r="K32" s="2"/>
      <c r="L32" s="2"/>
      <c r="M32" s="2"/>
      <c r="N32" s="5" t="str">
        <f>IF(B32="","",IFERROR(LOOKUP(2,1/(单次交易!$A$2:$A$88=B32),单次交易!$N$2:$N$88),""))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IF(X32&lt;&gt;"执行卖出","",IFERROR(LOOKUP(2,1/(单次交易!$A$2:$A$88=B32),单次交易!$AP$2:$AP$88),""))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$157,"止损计划",$B$2:$B$157,B32,$D$2:$D$157,D32)&gt;1,"阶段序号重复",IF(E32&lt;=IFERROR(LOOKUP(2,1/(单次交易!$A$2:$A$88=B32),单次交易!$E$2:$E$88),0),"激活价须高于买入价",IF(F32&lt;N32,"止损价不得低于初始止损",IF(F32&gt;E32,"止损价不得高于激活价",IF(AND(COUNTIFS($A$2:$A$157,"止损计划",$B$2:$B$157,B32,$D$2:$D$157,"&lt;"&amp;D32)&gt;0,OR(E32&lt;=SUMPRODUCT(MAX((($A$2:$A$157="止损计划")*($B$2:$B$157=B32)*($D$2:$D$157&lt;D32))*$E$2:$E$157)),F32&lt;SUMPRODUCT(MAX((($A$2:$A$157="止损计划")*($B$2:$B$157=B32)*($D$2:$D$157&lt;D32))*$F$2:$F$157)))),"阶段价格必须逐级提高","计划有效"))))))),IF(A32="每日跟踪",IF(OR(B32="",H32="",I32="",J32=""),"每日数据不完整",IF(COUNTIFS($A$2:$A$157,"每日跟踪",$B$2:$B$157,B32,$H$2:$H$157,H32)&gt;1,"同一交易日期重复",IF(AND(R32&lt;&gt;"",R32&lt;S32),"人工止损无效：不能下调","跟踪有效"))),"记录类型无效")))</f>
        <v/>
      </c>
    </row>
    <row r="33" ht="17" spans="1:29">
      <c r="A33" s="2"/>
      <c r="B33" s="2"/>
      <c r="C33" s="8" t="str">
        <f>IF(B33="","",IFERROR(LOOKUP(2,1/(单次交易!$A$2:$A$88=B33),单次交易!$B$2:$B$88),""))</f>
        <v/>
      </c>
      <c r="D33" s="12"/>
      <c r="E33" s="10"/>
      <c r="F33" s="10"/>
      <c r="G33" s="2"/>
      <c r="H33" s="15"/>
      <c r="I33" s="10"/>
      <c r="J33" s="12"/>
      <c r="K33" s="2"/>
      <c r="L33" s="2"/>
      <c r="M33" s="2"/>
      <c r="N33" s="5" t="str">
        <f>IF(B33="","",IFERROR(LOOKUP(2,1/(单次交易!$A$2:$A$88=B33),单次交易!$N$2:$N$88),""))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IF(X33&lt;&gt;"执行卖出","",IFERROR(LOOKUP(2,1/(单次交易!$A$2:$A$88=B33),单次交易!$AP$2:$AP$88),""))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$157,"止损计划",$B$2:$B$157,B33,$D$2:$D$157,D33)&gt;1,"阶段序号重复",IF(E33&lt;=IFERROR(LOOKUP(2,1/(单次交易!$A$2:$A$88=B33),单次交易!$E$2:$E$88),0),"激活价须高于买入价",IF(F33&lt;N33,"止损价不得低于初始止损",IF(F33&gt;E33,"止损价不得高于激活价",IF(AND(COUNTIFS($A$2:$A$157,"止损计划",$B$2:$B$157,B33,$D$2:$D$157,"&lt;"&amp;D33)&gt;0,OR(E33&lt;=SUMPRODUCT(MAX((($A$2:$A$157="止损计划")*($B$2:$B$157=B33)*($D$2:$D$157&lt;D33))*$E$2:$E$157)),F33&lt;SUMPRODUCT(MAX((($A$2:$A$157="止损计划")*($B$2:$B$157=B33)*($D$2:$D$157&lt;D33))*$F$2:$F$157)))),"阶段价格必须逐级提高","计划有效"))))))),IF(A33="每日跟踪",IF(OR(B33="",H33="",I33="",J33=""),"每日数据不完整",IF(COUNTIFS($A$2:$A$157,"每日跟踪",$B$2:$B$157,B33,$H$2:$H$157,H33)&gt;1,"同一交易日期重复",IF(AND(R33&lt;&gt;"",R33&lt;S33),"人工止损无效：不能下调","跟踪有效"))),"记录类型无效")))</f>
        <v/>
      </c>
    </row>
    <row r="34" ht="17" spans="1:29">
      <c r="A34" s="2"/>
      <c r="B34" s="2"/>
      <c r="C34" s="8" t="str">
        <f>IF(B34="","",IFERROR(LOOKUP(2,1/(单次交易!$A$2:$A$88=B34),单次交易!$B$2:$B$88),""))</f>
        <v/>
      </c>
      <c r="D34" s="12"/>
      <c r="E34" s="10"/>
      <c r="F34" s="10"/>
      <c r="G34" s="2"/>
      <c r="H34" s="15"/>
      <c r="I34" s="10"/>
      <c r="J34" s="12"/>
      <c r="K34" s="2"/>
      <c r="L34" s="2"/>
      <c r="M34" s="2"/>
      <c r="N34" s="5" t="str">
        <f>IF(B34="","",IFERROR(LOOKUP(2,1/(单次交易!$A$2:$A$88=B34),单次交易!$N$2:$N$88),""))</f>
        <v/>
      </c>
      <c r="O34" s="5" t="str">
        <f t="shared" ref="O34:O65" si="9">IF(A34&lt;&gt;"每日跟踪","",IF(OR(B34="",H34="",I34=""),"",IFERROR(SUMPRODUCT(MAX((($A$2:$A$157="每日跟踪")*($B$2:$B$157=B34)*($H$2:$H$157&lt;=H34))*$I$2:$I$157)),"")))</f>
        <v/>
      </c>
      <c r="P34" s="11" t="str">
        <f t="shared" ref="P34:P65" si="10">IF(A34&lt;&gt;"每日跟踪","",IF(O34="","",IFERROR(SUMPRODUCT(MAX((($A$2:$A$157="止损计划")*($B$2:$B$157=B34)*($E$2:$E$157&lt;=O34))*$D$2:$D$157)),0)))</f>
        <v/>
      </c>
      <c r="Q34" s="5" t="str">
        <f t="shared" ref="Q34:Q65" si="11">IF(A34&lt;&gt;"每日跟踪","",IF(N34="","",MAX(N34,IFERROR(SUMPRODUCT(MAX((($A$2:$A$157="止损计划")*($B$2:$B$157=B34)*($E$2:$E$157&lt;=O34))*$F$2:$F$157)),0))))</f>
        <v/>
      </c>
      <c r="R34" s="10"/>
      <c r="S34" s="5" t="str">
        <f t="shared" ref="S34:S65" si="12">IF(A34&lt;&gt;"每日跟踪","",IF(Q34="","",MAX(Q34,IFERROR(SUMPRODUCT(MAX((($A$2:$A$157="每日跟踪")*($B$2:$B$157=B34)*($H$2:$H$157&lt;=H34))*$R$2:$R$157)),0))))</f>
        <v/>
      </c>
      <c r="T34" s="5" t="str">
        <f t="shared" ref="T34:T65" si="13">IF(A34&lt;&gt;"每日跟踪","",IF(O34="","",IF(COUNTIFS($A$2:$A$157,"止损计划",$B$2:$B$157,B34,$E$2:$E$157,"&gt;"&amp;O34)=0,"",INDEX($E$2:$E$157,MATCH(1,INDEX(($A$2:$A$157="止损计划")*($B$2:$B$157=B34)*($E$2:$E$157&gt;O34),0),0)))))</f>
        <v/>
      </c>
      <c r="U34" s="5" t="str">
        <f t="shared" ref="U34:U65" si="14">IF(OR(A34&lt;&gt;"每日跟踪",T34=""),"",IFERROR(SUMIFS($F$2:$F$157,$A$2:$A$157,"止损计划",$B$2:$B$157,B34,$E$2:$E$157,T34),""))</f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IF(X34&lt;&gt;"执行卖出","",IFERROR(LOOKUP(2,1/(单次交易!$A$2:$A$88=B34),单次交易!$AP$2:$AP$88),""))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$157,"止损计划",$B$2:$B$157,B34,$D$2:$D$157,D34)&gt;1,"阶段序号重复",IF(E34&lt;=IFERROR(LOOKUP(2,1/(单次交易!$A$2:$A$88=B34),单次交易!$E$2:$E$88),0),"激活价须高于买入价",IF(F34&lt;N34,"止损价不得低于初始止损",IF(F34&gt;E34,"止损价不得高于激活价",IF(AND(COUNTIFS($A$2:$A$157,"止损计划",$B$2:$B$157,B34,$D$2:$D$157,"&lt;"&amp;D34)&gt;0,OR(E34&lt;=SUMPRODUCT(MAX((($A$2:$A$157="止损计划")*($B$2:$B$157=B34)*($D$2:$D$157&lt;D34))*$E$2:$E$157)),F34&lt;SUMPRODUCT(MAX((($A$2:$A$157="止损计划")*($B$2:$B$157=B34)*($D$2:$D$157&lt;D34))*$F$2:$F$157)))),"阶段价格必须逐级提高","计划有效"))))))),IF(A34="每日跟踪",IF(OR(B34="",H34="",I34="",J34=""),"每日数据不完整",IF(COUNTIFS($A$2:$A$157,"每日跟踪",$B$2:$B$157,B34,$H$2:$H$157,H34)&gt;1,"同一交易日期重复",IF(AND(R34&lt;&gt;"",R34&lt;S34),"人工止损无效：不能下调","跟踪有效"))),"记录类型无效")))</f>
        <v/>
      </c>
    </row>
    <row r="35" ht="17" spans="1:29">
      <c r="A35" s="2"/>
      <c r="B35" s="2"/>
      <c r="C35" s="8" t="str">
        <f>IF(B35="","",IFERROR(LOOKUP(2,1/(单次交易!$A$2:$A$88=B35),单次交易!$B$2:$B$88),""))</f>
        <v/>
      </c>
      <c r="D35" s="12"/>
      <c r="E35" s="10"/>
      <c r="F35" s="10"/>
      <c r="G35" s="2"/>
      <c r="H35" s="15"/>
      <c r="I35" s="10"/>
      <c r="J35" s="12"/>
      <c r="K35" s="2"/>
      <c r="L35" s="2"/>
      <c r="M35" s="2"/>
      <c r="N35" s="5" t="str">
        <f>IF(B35="","",IFERROR(LOOKUP(2,1/(单次交易!$A$2:$A$88=B35),单次交易!$N$2:$N$88),""))</f>
        <v/>
      </c>
      <c r="O35" s="5" t="str">
        <f t="shared" si="9"/>
        <v/>
      </c>
      <c r="P35" s="11" t="str">
        <f t="shared" si="10"/>
        <v/>
      </c>
      <c r="Q35" s="5" t="str">
        <f t="shared" si="11"/>
        <v/>
      </c>
      <c r="R35" s="10"/>
      <c r="S35" s="5" t="str">
        <f t="shared" si="12"/>
        <v/>
      </c>
      <c r="T35" s="5" t="str">
        <f t="shared" si="13"/>
        <v/>
      </c>
      <c r="U35" s="5" t="str">
        <f t="shared" si="14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IF(X35&lt;&gt;"执行卖出","",IFERROR(LOOKUP(2,1/(单次交易!$A$2:$A$88=B35),单次交易!$AP$2:$AP$88),""))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$157,"止损计划",$B$2:$B$157,B35,$D$2:$D$157,D35)&gt;1,"阶段序号重复",IF(E35&lt;=IFERROR(LOOKUP(2,1/(单次交易!$A$2:$A$88=B35),单次交易!$E$2:$E$88),0),"激活价须高于买入价",IF(F35&lt;N35,"止损价不得低于初始止损",IF(F35&gt;E35,"止损价不得高于激活价",IF(AND(COUNTIFS($A$2:$A$157,"止损计划",$B$2:$B$157,B35,$D$2:$D$157,"&lt;"&amp;D35)&gt;0,OR(E35&lt;=SUMPRODUCT(MAX((($A$2:$A$157="止损计划")*($B$2:$B$157=B35)*($D$2:$D$157&lt;D35))*$E$2:$E$157)),F35&lt;SUMPRODUCT(MAX((($A$2:$A$157="止损计划")*($B$2:$B$157=B35)*($D$2:$D$157&lt;D35))*$F$2:$F$157)))),"阶段价格必须逐级提高","计划有效"))))))),IF(A35="每日跟踪",IF(OR(B35="",H35="",I35="",J35=""),"每日数据不完整",IF(COUNTIFS($A$2:$A$157,"每日跟踪",$B$2:$B$157,B35,$H$2:$H$157,H35)&gt;1,"同一交易日期重复",IF(AND(R35&lt;&gt;"",R35&lt;S35),"人工止损无效：不能下调","跟踪有效"))),"记录类型无效")))</f>
        <v/>
      </c>
    </row>
    <row r="36" ht="17" spans="1:29">
      <c r="A36" s="2"/>
      <c r="B36" s="2"/>
      <c r="C36" s="8" t="str">
        <f>IF(B36="","",IFERROR(LOOKUP(2,1/(单次交易!$A$2:$A$88=B36),单次交易!$B$2:$B$88),""))</f>
        <v/>
      </c>
      <c r="D36" s="12"/>
      <c r="E36" s="10"/>
      <c r="F36" s="10"/>
      <c r="G36" s="2"/>
      <c r="H36" s="15"/>
      <c r="I36" s="10"/>
      <c r="J36" s="12"/>
      <c r="K36" s="2"/>
      <c r="L36" s="2"/>
      <c r="M36" s="2"/>
      <c r="N36" s="5" t="str">
        <f>IF(B36="","",IFERROR(LOOKUP(2,1/(单次交易!$A$2:$A$88=B36),单次交易!$N$2:$N$88),""))</f>
        <v/>
      </c>
      <c r="O36" s="5" t="str">
        <f t="shared" si="9"/>
        <v/>
      </c>
      <c r="P36" s="11" t="str">
        <f t="shared" si="10"/>
        <v/>
      </c>
      <c r="Q36" s="5" t="str">
        <f t="shared" si="11"/>
        <v/>
      </c>
      <c r="R36" s="10"/>
      <c r="S36" s="5" t="str">
        <f t="shared" si="12"/>
        <v/>
      </c>
      <c r="T36" s="5" t="str">
        <f t="shared" si="13"/>
        <v/>
      </c>
      <c r="U36" s="5" t="str">
        <f t="shared" si="14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IF(X36&lt;&gt;"执行卖出","",IFERROR(LOOKUP(2,1/(单次交易!$A$2:$A$88=B36),单次交易!$AP$2:$AP$88),""))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$157,"止损计划",$B$2:$B$157,B36,$D$2:$D$157,D36)&gt;1,"阶段序号重复",IF(E36&lt;=IFERROR(LOOKUP(2,1/(单次交易!$A$2:$A$88=B36),单次交易!$E$2:$E$88),0),"激活价须高于买入价",IF(F36&lt;N36,"止损价不得低于初始止损",IF(F36&gt;E36,"止损价不得高于激活价",IF(AND(COUNTIFS($A$2:$A$157,"止损计划",$B$2:$B$157,B36,$D$2:$D$157,"&lt;"&amp;D36)&gt;0,OR(E36&lt;=SUMPRODUCT(MAX((($A$2:$A$157="止损计划")*($B$2:$B$157=B36)*($D$2:$D$157&lt;D36))*$E$2:$E$157)),F36&lt;SUMPRODUCT(MAX((($A$2:$A$157="止损计划")*($B$2:$B$157=B36)*($D$2:$D$157&lt;D36))*$F$2:$F$157)))),"阶段价格必须逐级提高","计划有效"))))))),IF(A36="每日跟踪",IF(OR(B36="",H36="",I36="",J36=""),"每日数据不完整",IF(COUNTIFS($A$2:$A$157,"每日跟踪",$B$2:$B$157,B36,$H$2:$H$157,H36)&gt;1,"同一交易日期重复",IF(AND(R36&lt;&gt;"",R36&lt;S36),"人工止损无效：不能下调","跟踪有效"))),"记录类型无效")))</f>
        <v/>
      </c>
    </row>
    <row r="37" ht="17" spans="1:29">
      <c r="A37" s="2"/>
      <c r="B37" s="2"/>
      <c r="C37" s="8" t="str">
        <f>IF(B37="","",IFERROR(LOOKUP(2,1/(单次交易!$A$2:$A$88=B37),单次交易!$B$2:$B$88),""))</f>
        <v/>
      </c>
      <c r="D37" s="12"/>
      <c r="E37" s="10"/>
      <c r="F37" s="10"/>
      <c r="G37" s="2"/>
      <c r="H37" s="15"/>
      <c r="I37" s="10"/>
      <c r="J37" s="12"/>
      <c r="K37" s="2"/>
      <c r="L37" s="2"/>
      <c r="M37" s="2"/>
      <c r="N37" s="5" t="str">
        <f>IF(B37="","",IFERROR(LOOKUP(2,1/(单次交易!$A$2:$A$88=B37),单次交易!$N$2:$N$88),""))</f>
        <v/>
      </c>
      <c r="O37" s="5" t="str">
        <f t="shared" si="9"/>
        <v/>
      </c>
      <c r="P37" s="11" t="str">
        <f t="shared" si="10"/>
        <v/>
      </c>
      <c r="Q37" s="5" t="str">
        <f t="shared" si="11"/>
        <v/>
      </c>
      <c r="R37" s="10"/>
      <c r="S37" s="5" t="str">
        <f t="shared" si="12"/>
        <v/>
      </c>
      <c r="T37" s="5" t="str">
        <f t="shared" si="13"/>
        <v/>
      </c>
      <c r="U37" s="5" t="str">
        <f t="shared" si="14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IF(X37&lt;&gt;"执行卖出","",IFERROR(LOOKUP(2,1/(单次交易!$A$2:$A$88=B37),单次交易!$AP$2:$AP$88),""))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$157,"止损计划",$B$2:$B$157,B37,$D$2:$D$157,D37)&gt;1,"阶段序号重复",IF(E37&lt;=IFERROR(LOOKUP(2,1/(单次交易!$A$2:$A$88=B37),单次交易!$E$2:$E$88),0),"激活价须高于买入价",IF(F37&lt;N37,"止损价不得低于初始止损",IF(F37&gt;E37,"止损价不得高于激活价",IF(AND(COUNTIFS($A$2:$A$157,"止损计划",$B$2:$B$157,B37,$D$2:$D$157,"&lt;"&amp;D37)&gt;0,OR(E37&lt;=SUMPRODUCT(MAX((($A$2:$A$157="止损计划")*($B$2:$B$157=B37)*($D$2:$D$157&lt;D37))*$E$2:$E$157)),F37&lt;SUMPRODUCT(MAX((($A$2:$A$157="止损计划")*($B$2:$B$157=B37)*($D$2:$D$157&lt;D37))*$F$2:$F$157)))),"阶段价格必须逐级提高","计划有效"))))))),IF(A37="每日跟踪",IF(OR(B37="",H37="",I37="",J37=""),"每日数据不完整",IF(COUNTIFS($A$2:$A$157,"每日跟踪",$B$2:$B$157,B37,$H$2:$H$157,H37)&gt;1,"同一交易日期重复",IF(AND(R37&lt;&gt;"",R37&lt;S37),"人工止损无效：不能下调","跟踪有效"))),"记录类型无效")))</f>
        <v/>
      </c>
    </row>
    <row r="38" ht="17" spans="1:29">
      <c r="A38" s="2"/>
      <c r="B38" s="2"/>
      <c r="C38" s="8" t="str">
        <f>IF(B38="","",IFERROR(LOOKUP(2,1/(单次交易!$A$2:$A$88=B38),单次交易!$B$2:$B$88),""))</f>
        <v/>
      </c>
      <c r="D38" s="12"/>
      <c r="E38" s="10"/>
      <c r="F38" s="10"/>
      <c r="G38" s="2"/>
      <c r="H38" s="15"/>
      <c r="I38" s="10"/>
      <c r="J38" s="12"/>
      <c r="K38" s="2"/>
      <c r="L38" s="2"/>
      <c r="M38" s="2"/>
      <c r="N38" s="5" t="str">
        <f>IF(B38="","",IFERROR(LOOKUP(2,1/(单次交易!$A$2:$A$88=B38),单次交易!$N$2:$N$88),""))</f>
        <v/>
      </c>
      <c r="O38" s="5" t="str">
        <f t="shared" si="9"/>
        <v/>
      </c>
      <c r="P38" s="11" t="str">
        <f t="shared" si="10"/>
        <v/>
      </c>
      <c r="Q38" s="5" t="str">
        <f t="shared" si="11"/>
        <v/>
      </c>
      <c r="R38" s="10"/>
      <c r="S38" s="5" t="str">
        <f t="shared" si="12"/>
        <v/>
      </c>
      <c r="T38" s="5" t="str">
        <f t="shared" si="13"/>
        <v/>
      </c>
      <c r="U38" s="5" t="str">
        <f t="shared" si="14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IF(X38&lt;&gt;"执行卖出","",IFERROR(LOOKUP(2,1/(单次交易!$A$2:$A$88=B38),单次交易!$AP$2:$AP$88),""))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$157,"止损计划",$B$2:$B$157,B38,$D$2:$D$157,D38)&gt;1,"阶段序号重复",IF(E38&lt;=IFERROR(LOOKUP(2,1/(单次交易!$A$2:$A$88=B38),单次交易!$E$2:$E$88),0),"激活价须高于买入价",IF(F38&lt;N38,"止损价不得低于初始止损",IF(F38&gt;E38,"止损价不得高于激活价",IF(AND(COUNTIFS($A$2:$A$157,"止损计划",$B$2:$B$157,B38,$D$2:$D$157,"&lt;"&amp;D38)&gt;0,OR(E38&lt;=SUMPRODUCT(MAX((($A$2:$A$157="止损计划")*($B$2:$B$157=B38)*($D$2:$D$157&lt;D38))*$E$2:$E$157)),F38&lt;SUMPRODUCT(MAX((($A$2:$A$157="止损计划")*($B$2:$B$157=B38)*($D$2:$D$157&lt;D38))*$F$2:$F$157)))),"阶段价格必须逐级提高","计划有效"))))))),IF(A38="每日跟踪",IF(OR(B38="",H38="",I38="",J38=""),"每日数据不完整",IF(COUNTIFS($A$2:$A$157,"每日跟踪",$B$2:$B$157,B38,$H$2:$H$157,H38)&gt;1,"同一交易日期重复",IF(AND(R38&lt;&gt;"",R38&lt;S38),"人工止损无效：不能下调","跟踪有效"))),"记录类型无效")))</f>
        <v/>
      </c>
    </row>
    <row r="39" ht="17" spans="1:29">
      <c r="A39" s="2"/>
      <c r="B39" s="2"/>
      <c r="C39" s="8" t="str">
        <f>IF(B39="","",IFERROR(LOOKUP(2,1/(单次交易!$A$2:$A$88=B39),单次交易!$B$2:$B$88),""))</f>
        <v/>
      </c>
      <c r="D39" s="12"/>
      <c r="E39" s="10"/>
      <c r="F39" s="10"/>
      <c r="G39" s="2"/>
      <c r="H39" s="15"/>
      <c r="I39" s="10"/>
      <c r="J39" s="12"/>
      <c r="K39" s="2"/>
      <c r="L39" s="2"/>
      <c r="M39" s="2"/>
      <c r="N39" s="5" t="str">
        <f>IF(B39="","",IFERROR(LOOKUP(2,1/(单次交易!$A$2:$A$88=B39),单次交易!$N$2:$N$88),""))</f>
        <v/>
      </c>
      <c r="O39" s="5" t="str">
        <f t="shared" si="9"/>
        <v/>
      </c>
      <c r="P39" s="11" t="str">
        <f t="shared" si="10"/>
        <v/>
      </c>
      <c r="Q39" s="5" t="str">
        <f t="shared" si="11"/>
        <v/>
      </c>
      <c r="R39" s="10"/>
      <c r="S39" s="5" t="str">
        <f t="shared" si="12"/>
        <v/>
      </c>
      <c r="T39" s="5" t="str">
        <f t="shared" si="13"/>
        <v/>
      </c>
      <c r="U39" s="5" t="str">
        <f t="shared" si="14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IF(X39&lt;&gt;"执行卖出","",IFERROR(LOOKUP(2,1/(单次交易!$A$2:$A$88=B39),单次交易!$AP$2:$AP$88),""))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$157,"止损计划",$B$2:$B$157,B39,$D$2:$D$157,D39)&gt;1,"阶段序号重复",IF(E39&lt;=IFERROR(LOOKUP(2,1/(单次交易!$A$2:$A$88=B39),单次交易!$E$2:$E$88),0),"激活价须高于买入价",IF(F39&lt;N39,"止损价不得低于初始止损",IF(F39&gt;E39,"止损价不得高于激活价",IF(AND(COUNTIFS($A$2:$A$157,"止损计划",$B$2:$B$157,B39,$D$2:$D$157,"&lt;"&amp;D39)&gt;0,OR(E39&lt;=SUMPRODUCT(MAX((($A$2:$A$157="止损计划")*($B$2:$B$157=B39)*($D$2:$D$157&lt;D39))*$E$2:$E$157)),F39&lt;SUMPRODUCT(MAX((($A$2:$A$157="止损计划")*($B$2:$B$157=B39)*($D$2:$D$157&lt;D39))*$F$2:$F$157)))),"阶段价格必须逐级提高","计划有效"))))))),IF(A39="每日跟踪",IF(OR(B39="",H39="",I39="",J39=""),"每日数据不完整",IF(COUNTIFS($A$2:$A$157,"每日跟踪",$B$2:$B$157,B39,$H$2:$H$157,H39)&gt;1,"同一交易日期重复",IF(AND(R39&lt;&gt;"",R39&lt;S39),"人工止损无效：不能下调","跟踪有效"))),"记录类型无效")))</f>
        <v/>
      </c>
    </row>
    <row r="40" ht="17" spans="1:29">
      <c r="A40" s="2"/>
      <c r="B40" s="2"/>
      <c r="C40" s="8" t="str">
        <f>IF(B40="","",IFERROR(LOOKUP(2,1/(单次交易!$A$2:$A$88=B40),单次交易!$B$2:$B$88),""))</f>
        <v/>
      </c>
      <c r="D40" s="12"/>
      <c r="E40" s="10"/>
      <c r="F40" s="10"/>
      <c r="G40" s="2"/>
      <c r="H40" s="15"/>
      <c r="I40" s="10"/>
      <c r="J40" s="12"/>
      <c r="K40" s="2"/>
      <c r="L40" s="2"/>
      <c r="M40" s="2"/>
      <c r="N40" s="5" t="str">
        <f>IF(B40="","",IFERROR(LOOKUP(2,1/(单次交易!$A$2:$A$88=B40),单次交易!$N$2:$N$88),""))</f>
        <v/>
      </c>
      <c r="O40" s="5" t="str">
        <f t="shared" si="9"/>
        <v/>
      </c>
      <c r="P40" s="11" t="str">
        <f t="shared" si="10"/>
        <v/>
      </c>
      <c r="Q40" s="5" t="str">
        <f t="shared" si="11"/>
        <v/>
      </c>
      <c r="R40" s="10"/>
      <c r="S40" s="5" t="str">
        <f t="shared" si="12"/>
        <v/>
      </c>
      <c r="T40" s="5" t="str">
        <f t="shared" si="13"/>
        <v/>
      </c>
      <c r="U40" s="5" t="str">
        <f t="shared" si="14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IF(X40&lt;&gt;"执行卖出","",IFERROR(LOOKUP(2,1/(单次交易!$A$2:$A$88=B40),单次交易!$AP$2:$AP$88),""))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$157,"止损计划",$B$2:$B$157,B40,$D$2:$D$157,D40)&gt;1,"阶段序号重复",IF(E40&lt;=IFERROR(LOOKUP(2,1/(单次交易!$A$2:$A$88=B40),单次交易!$E$2:$E$88),0),"激活价须高于买入价",IF(F40&lt;N40,"止损价不得低于初始止损",IF(F40&gt;E40,"止损价不得高于激活价",IF(AND(COUNTIFS($A$2:$A$157,"止损计划",$B$2:$B$157,B40,$D$2:$D$157,"&lt;"&amp;D40)&gt;0,OR(E40&lt;=SUMPRODUCT(MAX((($A$2:$A$157="止损计划")*($B$2:$B$157=B40)*($D$2:$D$157&lt;D40))*$E$2:$E$157)),F40&lt;SUMPRODUCT(MAX((($A$2:$A$157="止损计划")*($B$2:$B$157=B40)*($D$2:$D$157&lt;D40))*$F$2:$F$157)))),"阶段价格必须逐级提高","计划有效"))))))),IF(A40="每日跟踪",IF(OR(B40="",H40="",I40="",J40=""),"每日数据不完整",IF(COUNTIFS($A$2:$A$157,"每日跟踪",$B$2:$B$157,B40,$H$2:$H$157,H40)&gt;1,"同一交易日期重复",IF(AND(R40&lt;&gt;"",R40&lt;S40),"人工止损无效：不能下调","跟踪有效"))),"记录类型无效")))</f>
        <v/>
      </c>
    </row>
    <row r="41" ht="17" spans="1:29">
      <c r="A41" s="2"/>
      <c r="B41" s="2"/>
      <c r="C41" s="8" t="str">
        <f>IF(B41="","",IFERROR(LOOKUP(2,1/(单次交易!$A$2:$A$88=B41),单次交易!$B$2:$B$88),""))</f>
        <v/>
      </c>
      <c r="D41" s="12"/>
      <c r="E41" s="10"/>
      <c r="F41" s="10"/>
      <c r="G41" s="2"/>
      <c r="H41" s="15"/>
      <c r="I41" s="10"/>
      <c r="J41" s="12"/>
      <c r="K41" s="2"/>
      <c r="L41" s="2"/>
      <c r="M41" s="2"/>
      <c r="N41" s="5" t="str">
        <f>IF(B41="","",IFERROR(LOOKUP(2,1/(单次交易!$A$2:$A$88=B41),单次交易!$N$2:$N$88),""))</f>
        <v/>
      </c>
      <c r="O41" s="5" t="str">
        <f t="shared" si="9"/>
        <v/>
      </c>
      <c r="P41" s="11" t="str">
        <f t="shared" si="10"/>
        <v/>
      </c>
      <c r="Q41" s="5" t="str">
        <f t="shared" si="11"/>
        <v/>
      </c>
      <c r="R41" s="10"/>
      <c r="S41" s="5" t="str">
        <f t="shared" si="12"/>
        <v/>
      </c>
      <c r="T41" s="5" t="str">
        <f t="shared" si="13"/>
        <v/>
      </c>
      <c r="U41" s="5" t="str">
        <f t="shared" si="14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IF(X41&lt;&gt;"执行卖出","",IFERROR(LOOKUP(2,1/(单次交易!$A$2:$A$88=B41),单次交易!$AP$2:$AP$88),""))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$157,"止损计划",$B$2:$B$157,B41,$D$2:$D$157,D41)&gt;1,"阶段序号重复",IF(E41&lt;=IFERROR(LOOKUP(2,1/(单次交易!$A$2:$A$88=B41),单次交易!$E$2:$E$88),0),"激活价须高于买入价",IF(F41&lt;N41,"止损价不得低于初始止损",IF(F41&gt;E41,"止损价不得高于激活价",IF(AND(COUNTIFS($A$2:$A$157,"止损计划",$B$2:$B$157,B41,$D$2:$D$157,"&lt;"&amp;D41)&gt;0,OR(E41&lt;=SUMPRODUCT(MAX((($A$2:$A$157="止损计划")*($B$2:$B$157=B41)*($D$2:$D$157&lt;D41))*$E$2:$E$157)),F41&lt;SUMPRODUCT(MAX((($A$2:$A$157="止损计划")*($B$2:$B$157=B41)*($D$2:$D$157&lt;D41))*$F$2:$F$157)))),"阶段价格必须逐级提高","计划有效"))))))),IF(A41="每日跟踪",IF(OR(B41="",H41="",I41="",J41=""),"每日数据不完整",IF(COUNTIFS($A$2:$A$157,"每日跟踪",$B$2:$B$157,B41,$H$2:$H$157,H41)&gt;1,"同一交易日期重复",IF(AND(R41&lt;&gt;"",R41&lt;S41),"人工止损无效：不能下调","跟踪有效"))),"记录类型无效")))</f>
        <v/>
      </c>
    </row>
    <row r="42" ht="17" spans="1:29">
      <c r="A42" s="2"/>
      <c r="B42" s="2"/>
      <c r="C42" s="8" t="str">
        <f>IF(B42="","",IFERROR(LOOKUP(2,1/(单次交易!$A$2:$A$88=B42),单次交易!$B$2:$B$88),""))</f>
        <v/>
      </c>
      <c r="D42" s="12"/>
      <c r="E42" s="10"/>
      <c r="F42" s="10"/>
      <c r="G42" s="2"/>
      <c r="H42" s="15"/>
      <c r="I42" s="10"/>
      <c r="J42" s="12"/>
      <c r="K42" s="2"/>
      <c r="L42" s="2"/>
      <c r="M42" s="2"/>
      <c r="N42" s="5" t="str">
        <f>IF(B42="","",IFERROR(LOOKUP(2,1/(单次交易!$A$2:$A$88=B42),单次交易!$N$2:$N$88),""))</f>
        <v/>
      </c>
      <c r="O42" s="5" t="str">
        <f t="shared" si="9"/>
        <v/>
      </c>
      <c r="P42" s="11" t="str">
        <f t="shared" si="10"/>
        <v/>
      </c>
      <c r="Q42" s="5" t="str">
        <f t="shared" si="11"/>
        <v/>
      </c>
      <c r="R42" s="10"/>
      <c r="S42" s="5" t="str">
        <f t="shared" si="12"/>
        <v/>
      </c>
      <c r="T42" s="5" t="str">
        <f t="shared" si="13"/>
        <v/>
      </c>
      <c r="U42" s="5" t="str">
        <f t="shared" si="14"/>
        <v/>
      </c>
      <c r="V42" s="7" t="str">
        <f t="shared" ref="V42:V105" si="15">IF(OR(A42&lt;&gt;"每日跟踪",T42="",I42="",I42&lt;=0),"",T42/I42-1)</f>
        <v/>
      </c>
      <c r="W42" s="8" t="str">
        <f t="shared" ref="W42:W105" si="16">IF(A42&lt;&gt;"每日跟踪","",IF(OR(I42="",S42=""),"",IF(I42&lt;=S42,"触发止损：应全部卖出","继续观察")))</f>
        <v/>
      </c>
      <c r="X42" s="2"/>
      <c r="Y42" s="10"/>
      <c r="Z42" s="11" t="str">
        <f>IF(X42&lt;&gt;"执行卖出","",IFERROR(LOOKUP(2,1/(单次交易!$A$2:$A$88=B42),单次交易!$AP$2:$AP$88),""))</f>
        <v/>
      </c>
      <c r="AA42" s="10"/>
      <c r="AB42" s="8" t="str">
        <f t="shared" ref="AB42:AB105" si="17"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8" t="str">
        <f>IF(A42="","",IF(A42="止损计划",IF(OR(B42="",D42="",E42="",F42="",G42=""),"计划不完整",IF(OR(D42&lt;1,D42&lt;&gt;INT(D42)),"阶段序号无效",IF(COUNTIFS($A$2:$A$157,"止损计划",$B$2:$B$157,B42,$D$2:$D$157,D42)&gt;1,"阶段序号重复",IF(E42&lt;=IFERROR(LOOKUP(2,1/(单次交易!$A$2:$A$88=B42),单次交易!$E$2:$E$88),0),"激活价须高于买入价",IF(F42&lt;N42,"止损价不得低于初始止损",IF(F42&gt;E42,"止损价不得高于激活价",IF(AND(COUNTIFS($A$2:$A$157,"止损计划",$B$2:$B$157,B42,$D$2:$D$157,"&lt;"&amp;D42)&gt;0,OR(E42&lt;=SUMPRODUCT(MAX((($A$2:$A$157="止损计划")*($B$2:$B$157=B42)*($D$2:$D$157&lt;D42))*$E$2:$E$157)),F42&lt;SUMPRODUCT(MAX((($A$2:$A$157="止损计划")*($B$2:$B$157=B42)*($D$2:$D$157&lt;D42))*$F$2:$F$157)))),"阶段价格必须逐级提高","计划有效"))))))),IF(A42="每日跟踪",IF(OR(B42="",H42="",I42="",J42=""),"每日数据不完整",IF(COUNTIFS($A$2:$A$157,"每日跟踪",$B$2:$B$157,B42,$H$2:$H$157,H42)&gt;1,"同一交易日期重复",IF(AND(R42&lt;&gt;"",R42&lt;S42),"人工止损无效：不能下调","跟踪有效"))),"记录类型无效")))</f>
        <v/>
      </c>
    </row>
    <row r="43" ht="17" spans="1:29">
      <c r="A43" s="2"/>
      <c r="B43" s="2"/>
      <c r="C43" s="8" t="str">
        <f>IF(B43="","",IFERROR(LOOKUP(2,1/(单次交易!$A$2:$A$88=B43),单次交易!$B$2:$B$88),""))</f>
        <v/>
      </c>
      <c r="D43" s="12"/>
      <c r="E43" s="10"/>
      <c r="F43" s="10"/>
      <c r="G43" s="2"/>
      <c r="H43" s="15"/>
      <c r="I43" s="10"/>
      <c r="J43" s="12"/>
      <c r="K43" s="2"/>
      <c r="L43" s="2"/>
      <c r="M43" s="2"/>
      <c r="N43" s="5" t="str">
        <f>IF(B43="","",IFERROR(LOOKUP(2,1/(单次交易!$A$2:$A$88=B43),单次交易!$N$2:$N$88),""))</f>
        <v/>
      </c>
      <c r="O43" s="5" t="str">
        <f t="shared" si="9"/>
        <v/>
      </c>
      <c r="P43" s="11" t="str">
        <f t="shared" si="10"/>
        <v/>
      </c>
      <c r="Q43" s="5" t="str">
        <f t="shared" si="11"/>
        <v/>
      </c>
      <c r="R43" s="10"/>
      <c r="S43" s="5" t="str">
        <f t="shared" si="12"/>
        <v/>
      </c>
      <c r="T43" s="5" t="str">
        <f t="shared" si="13"/>
        <v/>
      </c>
      <c r="U43" s="5" t="str">
        <f t="shared" si="14"/>
        <v/>
      </c>
      <c r="V43" s="7" t="str">
        <f t="shared" si="15"/>
        <v/>
      </c>
      <c r="W43" s="8" t="str">
        <f t="shared" si="16"/>
        <v/>
      </c>
      <c r="X43" s="2"/>
      <c r="Y43" s="10"/>
      <c r="Z43" s="11" t="str">
        <f>IF(X43&lt;&gt;"执行卖出","",IFERROR(LOOKUP(2,1/(单次交易!$A$2:$A$88=B43),单次交易!$AP$2:$AP$88),""))</f>
        <v/>
      </c>
      <c r="AA43" s="10"/>
      <c r="AB43" s="8" t="str">
        <f t="shared" si="17"/>
        <v/>
      </c>
      <c r="AC43" s="8" t="str">
        <f>IF(A43="","",IF(A43="止损计划",IF(OR(B43="",D43="",E43="",F43="",G43=""),"计划不完整",IF(OR(D43&lt;1,D43&lt;&gt;INT(D43)),"阶段序号无效",IF(COUNTIFS($A$2:$A$157,"止损计划",$B$2:$B$157,B43,$D$2:$D$157,D43)&gt;1,"阶段序号重复",IF(E43&lt;=IFERROR(LOOKUP(2,1/(单次交易!$A$2:$A$88=B43),单次交易!$E$2:$E$88),0),"激活价须高于买入价",IF(F43&lt;N43,"止损价不得低于初始止损",IF(F43&gt;E43,"止损价不得高于激活价",IF(AND(COUNTIFS($A$2:$A$157,"止损计划",$B$2:$B$157,B43,$D$2:$D$157,"&lt;"&amp;D43)&gt;0,OR(E43&lt;=SUMPRODUCT(MAX((($A$2:$A$157="止损计划")*($B$2:$B$157=B43)*($D$2:$D$157&lt;D43))*$E$2:$E$157)),F43&lt;SUMPRODUCT(MAX((($A$2:$A$157="止损计划")*($B$2:$B$157=B43)*($D$2:$D$157&lt;D43))*$F$2:$F$157)))),"阶段价格必须逐级提高","计划有效"))))))),IF(A43="每日跟踪",IF(OR(B43="",H43="",I43="",J43=""),"每日数据不完整",IF(COUNTIFS($A$2:$A$157,"每日跟踪",$B$2:$B$157,B43,$H$2:$H$157,H43)&gt;1,"同一交易日期重复",IF(AND(R43&lt;&gt;"",R43&lt;S43),"人工止损无效：不能下调","跟踪有效"))),"记录类型无效")))</f>
        <v/>
      </c>
    </row>
    <row r="44" ht="17" spans="1:29">
      <c r="A44" s="2"/>
      <c r="B44" s="2"/>
      <c r="C44" s="8" t="str">
        <f>IF(B44="","",IFERROR(LOOKUP(2,1/(单次交易!$A$2:$A$88=B44),单次交易!$B$2:$B$88),""))</f>
        <v/>
      </c>
      <c r="D44" s="12"/>
      <c r="E44" s="10"/>
      <c r="F44" s="10"/>
      <c r="G44" s="2"/>
      <c r="H44" s="15"/>
      <c r="I44" s="10"/>
      <c r="J44" s="12"/>
      <c r="K44" s="2"/>
      <c r="L44" s="2"/>
      <c r="M44" s="2"/>
      <c r="N44" s="5" t="str">
        <f>IF(B44="","",IFERROR(LOOKUP(2,1/(单次交易!$A$2:$A$88=B44),单次交易!$N$2:$N$88),""))</f>
        <v/>
      </c>
      <c r="O44" s="5" t="str">
        <f t="shared" si="9"/>
        <v/>
      </c>
      <c r="P44" s="11" t="str">
        <f t="shared" si="10"/>
        <v/>
      </c>
      <c r="Q44" s="5" t="str">
        <f t="shared" si="11"/>
        <v/>
      </c>
      <c r="R44" s="10"/>
      <c r="S44" s="5" t="str">
        <f t="shared" si="12"/>
        <v/>
      </c>
      <c r="T44" s="5" t="str">
        <f t="shared" si="13"/>
        <v/>
      </c>
      <c r="U44" s="5" t="str">
        <f t="shared" si="14"/>
        <v/>
      </c>
      <c r="V44" s="7" t="str">
        <f t="shared" si="15"/>
        <v/>
      </c>
      <c r="W44" s="8" t="str">
        <f t="shared" si="16"/>
        <v/>
      </c>
      <c r="X44" s="2"/>
      <c r="Y44" s="10"/>
      <c r="Z44" s="11" t="str">
        <f>IF(X44&lt;&gt;"执行卖出","",IFERROR(LOOKUP(2,1/(单次交易!$A$2:$A$88=B44),单次交易!$AP$2:$AP$88),""))</f>
        <v/>
      </c>
      <c r="AA44" s="10"/>
      <c r="AB44" s="8" t="str">
        <f t="shared" si="17"/>
        <v/>
      </c>
      <c r="AC44" s="8" t="str">
        <f>IF(A44="","",IF(A44="止损计划",IF(OR(B44="",D44="",E44="",F44="",G44=""),"计划不完整",IF(OR(D44&lt;1,D44&lt;&gt;INT(D44)),"阶段序号无效",IF(COUNTIFS($A$2:$A$157,"止损计划",$B$2:$B$157,B44,$D$2:$D$157,D44)&gt;1,"阶段序号重复",IF(E44&lt;=IFERROR(LOOKUP(2,1/(单次交易!$A$2:$A$88=B44),单次交易!$E$2:$E$88),0),"激活价须高于买入价",IF(F44&lt;N44,"止损价不得低于初始止损",IF(F44&gt;E44,"止损价不得高于激活价",IF(AND(COUNTIFS($A$2:$A$157,"止损计划",$B$2:$B$157,B44,$D$2:$D$157,"&lt;"&amp;D44)&gt;0,OR(E44&lt;=SUMPRODUCT(MAX((($A$2:$A$157="止损计划")*($B$2:$B$157=B44)*($D$2:$D$157&lt;D44))*$E$2:$E$157)),F44&lt;SUMPRODUCT(MAX((($A$2:$A$157="止损计划")*($B$2:$B$157=B44)*($D$2:$D$157&lt;D44))*$F$2:$F$157)))),"阶段价格必须逐级提高","计划有效"))))))),IF(A44="每日跟踪",IF(OR(B44="",H44="",I44="",J44=""),"每日数据不完整",IF(COUNTIFS($A$2:$A$157,"每日跟踪",$B$2:$B$157,B44,$H$2:$H$157,H44)&gt;1,"同一交易日期重复",IF(AND(R44&lt;&gt;"",R44&lt;S44),"人工止损无效：不能下调","跟踪有效"))),"记录类型无效")))</f>
        <v/>
      </c>
    </row>
    <row r="45" ht="17" spans="1:29">
      <c r="A45" s="2"/>
      <c r="B45" s="2"/>
      <c r="C45" s="8" t="str">
        <f>IF(B45="","",IFERROR(LOOKUP(2,1/(单次交易!$A$2:$A$88=B45),单次交易!$B$2:$B$88),""))</f>
        <v/>
      </c>
      <c r="D45" s="12"/>
      <c r="E45" s="10"/>
      <c r="F45" s="10"/>
      <c r="G45" s="2"/>
      <c r="H45" s="15"/>
      <c r="I45" s="10"/>
      <c r="J45" s="12"/>
      <c r="K45" s="2"/>
      <c r="L45" s="2"/>
      <c r="M45" s="2"/>
      <c r="N45" s="5" t="str">
        <f>IF(B45="","",IFERROR(LOOKUP(2,1/(单次交易!$A$2:$A$88=B45),单次交易!$N$2:$N$88),""))</f>
        <v/>
      </c>
      <c r="O45" s="5" t="str">
        <f t="shared" si="9"/>
        <v/>
      </c>
      <c r="P45" s="11" t="str">
        <f t="shared" si="10"/>
        <v/>
      </c>
      <c r="Q45" s="5" t="str">
        <f t="shared" si="11"/>
        <v/>
      </c>
      <c r="R45" s="10"/>
      <c r="S45" s="5" t="str">
        <f t="shared" si="12"/>
        <v/>
      </c>
      <c r="T45" s="5" t="str">
        <f t="shared" si="13"/>
        <v/>
      </c>
      <c r="U45" s="5" t="str">
        <f t="shared" si="14"/>
        <v/>
      </c>
      <c r="V45" s="7" t="str">
        <f t="shared" si="15"/>
        <v/>
      </c>
      <c r="W45" s="8" t="str">
        <f t="shared" si="16"/>
        <v/>
      </c>
      <c r="X45" s="2"/>
      <c r="Y45" s="10"/>
      <c r="Z45" s="11" t="str">
        <f>IF(X45&lt;&gt;"执行卖出","",IFERROR(LOOKUP(2,1/(单次交易!$A$2:$A$88=B45),单次交易!$AP$2:$AP$88),""))</f>
        <v/>
      </c>
      <c r="AA45" s="10"/>
      <c r="AB45" s="8" t="str">
        <f t="shared" si="17"/>
        <v/>
      </c>
      <c r="AC45" s="8" t="str">
        <f>IF(A45="","",IF(A45="止损计划",IF(OR(B45="",D45="",E45="",F45="",G45=""),"计划不完整",IF(OR(D45&lt;1,D45&lt;&gt;INT(D45)),"阶段序号无效",IF(COUNTIFS($A$2:$A$157,"止损计划",$B$2:$B$157,B45,$D$2:$D$157,D45)&gt;1,"阶段序号重复",IF(E45&lt;=IFERROR(LOOKUP(2,1/(单次交易!$A$2:$A$88=B45),单次交易!$E$2:$E$88),0),"激活价须高于买入价",IF(F45&lt;N45,"止损价不得低于初始止损",IF(F45&gt;E45,"止损价不得高于激活价",IF(AND(COUNTIFS($A$2:$A$157,"止损计划",$B$2:$B$157,B45,$D$2:$D$157,"&lt;"&amp;D45)&gt;0,OR(E45&lt;=SUMPRODUCT(MAX((($A$2:$A$157="止损计划")*($B$2:$B$157=B45)*($D$2:$D$157&lt;D45))*$E$2:$E$157)),F45&lt;SUMPRODUCT(MAX((($A$2:$A$157="止损计划")*($B$2:$B$157=B45)*($D$2:$D$157&lt;D45))*$F$2:$F$157)))),"阶段价格必须逐级提高","计划有效"))))))),IF(A45="每日跟踪",IF(OR(B45="",H45="",I45="",J45=""),"每日数据不完整",IF(COUNTIFS($A$2:$A$157,"每日跟踪",$B$2:$B$157,B45,$H$2:$H$157,H45)&gt;1,"同一交易日期重复",IF(AND(R45&lt;&gt;"",R45&lt;S45),"人工止损无效：不能下调","跟踪有效"))),"记录类型无效")))</f>
        <v/>
      </c>
    </row>
    <row r="46" ht="17" spans="1:29">
      <c r="A46" s="2"/>
      <c r="B46" s="2"/>
      <c r="C46" s="8" t="str">
        <f>IF(B46="","",IFERROR(LOOKUP(2,1/(单次交易!$A$2:$A$88=B46),单次交易!$B$2:$B$88),""))</f>
        <v/>
      </c>
      <c r="D46" s="12"/>
      <c r="E46" s="10"/>
      <c r="F46" s="10"/>
      <c r="G46" s="2"/>
      <c r="H46" s="15"/>
      <c r="I46" s="10"/>
      <c r="J46" s="12"/>
      <c r="K46" s="2"/>
      <c r="L46" s="2"/>
      <c r="M46" s="2"/>
      <c r="N46" s="5" t="str">
        <f>IF(B46="","",IFERROR(LOOKUP(2,1/(单次交易!$A$2:$A$88=B46),单次交易!$N$2:$N$88),""))</f>
        <v/>
      </c>
      <c r="O46" s="5" t="str">
        <f t="shared" si="9"/>
        <v/>
      </c>
      <c r="P46" s="11" t="str">
        <f t="shared" si="10"/>
        <v/>
      </c>
      <c r="Q46" s="5" t="str">
        <f t="shared" si="11"/>
        <v/>
      </c>
      <c r="R46" s="10"/>
      <c r="S46" s="5" t="str">
        <f t="shared" si="12"/>
        <v/>
      </c>
      <c r="T46" s="5" t="str">
        <f t="shared" si="13"/>
        <v/>
      </c>
      <c r="U46" s="5" t="str">
        <f t="shared" si="14"/>
        <v/>
      </c>
      <c r="V46" s="7" t="str">
        <f t="shared" si="15"/>
        <v/>
      </c>
      <c r="W46" s="8" t="str">
        <f t="shared" si="16"/>
        <v/>
      </c>
      <c r="X46" s="2"/>
      <c r="Y46" s="10"/>
      <c r="Z46" s="11" t="str">
        <f>IF(X46&lt;&gt;"执行卖出","",IFERROR(LOOKUP(2,1/(单次交易!$A$2:$A$88=B46),单次交易!$AP$2:$AP$88),""))</f>
        <v/>
      </c>
      <c r="AA46" s="10"/>
      <c r="AB46" s="8" t="str">
        <f t="shared" si="17"/>
        <v/>
      </c>
      <c r="AC46" s="8" t="str">
        <f>IF(A46="","",IF(A46="止损计划",IF(OR(B46="",D46="",E46="",F46="",G46=""),"计划不完整",IF(OR(D46&lt;1,D46&lt;&gt;INT(D46)),"阶段序号无效",IF(COUNTIFS($A$2:$A$157,"止损计划",$B$2:$B$157,B46,$D$2:$D$157,D46)&gt;1,"阶段序号重复",IF(E46&lt;=IFERROR(LOOKUP(2,1/(单次交易!$A$2:$A$88=B46),单次交易!$E$2:$E$88),0),"激活价须高于买入价",IF(F46&lt;N46,"止损价不得低于初始止损",IF(F46&gt;E46,"止损价不得高于激活价",IF(AND(COUNTIFS($A$2:$A$157,"止损计划",$B$2:$B$157,B46,$D$2:$D$157,"&lt;"&amp;D46)&gt;0,OR(E46&lt;=SUMPRODUCT(MAX((($A$2:$A$157="止损计划")*($B$2:$B$157=B46)*($D$2:$D$157&lt;D46))*$E$2:$E$157)),F46&lt;SUMPRODUCT(MAX((($A$2:$A$157="止损计划")*($B$2:$B$157=B46)*($D$2:$D$157&lt;D46))*$F$2:$F$157)))),"阶段价格必须逐级提高","计划有效"))))))),IF(A46="每日跟踪",IF(OR(B46="",H46="",I46="",J46=""),"每日数据不完整",IF(COUNTIFS($A$2:$A$157,"每日跟踪",$B$2:$B$157,B46,$H$2:$H$157,H46)&gt;1,"同一交易日期重复",IF(AND(R46&lt;&gt;"",R46&lt;S46),"人工止损无效：不能下调","跟踪有效"))),"记录类型无效")))</f>
        <v/>
      </c>
    </row>
    <row r="47" ht="17" spans="1:29">
      <c r="A47" s="2"/>
      <c r="B47" s="2"/>
      <c r="C47" s="8" t="str">
        <f>IF(B47="","",IFERROR(LOOKUP(2,1/(单次交易!$A$2:$A$88=B47),单次交易!$B$2:$B$88),""))</f>
        <v/>
      </c>
      <c r="D47" s="12"/>
      <c r="E47" s="10"/>
      <c r="F47" s="10"/>
      <c r="G47" s="2"/>
      <c r="H47" s="15"/>
      <c r="I47" s="10"/>
      <c r="J47" s="12"/>
      <c r="K47" s="2"/>
      <c r="L47" s="2"/>
      <c r="M47" s="2"/>
      <c r="N47" s="5" t="str">
        <f>IF(B47="","",IFERROR(LOOKUP(2,1/(单次交易!$A$2:$A$88=B47),单次交易!$N$2:$N$88),""))</f>
        <v/>
      </c>
      <c r="O47" s="5" t="str">
        <f t="shared" si="9"/>
        <v/>
      </c>
      <c r="P47" s="11" t="str">
        <f t="shared" si="10"/>
        <v/>
      </c>
      <c r="Q47" s="5" t="str">
        <f t="shared" si="11"/>
        <v/>
      </c>
      <c r="R47" s="10"/>
      <c r="S47" s="5" t="str">
        <f t="shared" si="12"/>
        <v/>
      </c>
      <c r="T47" s="5" t="str">
        <f t="shared" si="13"/>
        <v/>
      </c>
      <c r="U47" s="5" t="str">
        <f t="shared" si="14"/>
        <v/>
      </c>
      <c r="V47" s="7" t="str">
        <f t="shared" si="15"/>
        <v/>
      </c>
      <c r="W47" s="8" t="str">
        <f t="shared" si="16"/>
        <v/>
      </c>
      <c r="X47" s="2"/>
      <c r="Y47" s="10"/>
      <c r="Z47" s="11" t="str">
        <f>IF(X47&lt;&gt;"执行卖出","",IFERROR(LOOKUP(2,1/(单次交易!$A$2:$A$88=B47),单次交易!$AP$2:$AP$88),""))</f>
        <v/>
      </c>
      <c r="AA47" s="10"/>
      <c r="AB47" s="8" t="str">
        <f t="shared" si="17"/>
        <v/>
      </c>
      <c r="AC47" s="8" t="str">
        <f>IF(A47="","",IF(A47="止损计划",IF(OR(B47="",D47="",E47="",F47="",G47=""),"计划不完整",IF(OR(D47&lt;1,D47&lt;&gt;INT(D47)),"阶段序号无效",IF(COUNTIFS($A$2:$A$157,"止损计划",$B$2:$B$157,B47,$D$2:$D$157,D47)&gt;1,"阶段序号重复",IF(E47&lt;=IFERROR(LOOKUP(2,1/(单次交易!$A$2:$A$88=B47),单次交易!$E$2:$E$88),0),"激活价须高于买入价",IF(F47&lt;N47,"止损价不得低于初始止损",IF(F47&gt;E47,"止损价不得高于激活价",IF(AND(COUNTIFS($A$2:$A$157,"止损计划",$B$2:$B$157,B47,$D$2:$D$157,"&lt;"&amp;D47)&gt;0,OR(E47&lt;=SUMPRODUCT(MAX((($A$2:$A$157="止损计划")*($B$2:$B$157=B47)*($D$2:$D$157&lt;D47))*$E$2:$E$157)),F47&lt;SUMPRODUCT(MAX((($A$2:$A$157="止损计划")*($B$2:$B$157=B47)*($D$2:$D$157&lt;D47))*$F$2:$F$157)))),"阶段价格必须逐级提高","计划有效"))))))),IF(A47="每日跟踪",IF(OR(B47="",H47="",I47="",J47=""),"每日数据不完整",IF(COUNTIFS($A$2:$A$157,"每日跟踪",$B$2:$B$157,B47,$H$2:$H$157,H47)&gt;1,"同一交易日期重复",IF(AND(R47&lt;&gt;"",R47&lt;S47),"人工止损无效：不能下调","跟踪有效"))),"记录类型无效")))</f>
        <v/>
      </c>
    </row>
    <row r="48" ht="17" spans="1:29">
      <c r="A48" s="2"/>
      <c r="B48" s="2"/>
      <c r="C48" s="8" t="str">
        <f>IF(B48="","",IFERROR(LOOKUP(2,1/(单次交易!$A$2:$A$88=B48),单次交易!$B$2:$B$88),""))</f>
        <v/>
      </c>
      <c r="D48" s="12"/>
      <c r="E48" s="10"/>
      <c r="F48" s="10"/>
      <c r="G48" s="2"/>
      <c r="H48" s="15"/>
      <c r="I48" s="10"/>
      <c r="J48" s="12"/>
      <c r="K48" s="2"/>
      <c r="L48" s="2"/>
      <c r="M48" s="2"/>
      <c r="N48" s="5" t="str">
        <f>IF(B48="","",IFERROR(LOOKUP(2,1/(单次交易!$A$2:$A$88=B48),单次交易!$N$2:$N$88),""))</f>
        <v/>
      </c>
      <c r="O48" s="5" t="str">
        <f t="shared" si="9"/>
        <v/>
      </c>
      <c r="P48" s="11" t="str">
        <f t="shared" si="10"/>
        <v/>
      </c>
      <c r="Q48" s="5" t="str">
        <f t="shared" si="11"/>
        <v/>
      </c>
      <c r="R48" s="10"/>
      <c r="S48" s="5" t="str">
        <f t="shared" si="12"/>
        <v/>
      </c>
      <c r="T48" s="5" t="str">
        <f t="shared" si="13"/>
        <v/>
      </c>
      <c r="U48" s="5" t="str">
        <f t="shared" si="14"/>
        <v/>
      </c>
      <c r="V48" s="7" t="str">
        <f t="shared" si="15"/>
        <v/>
      </c>
      <c r="W48" s="8" t="str">
        <f t="shared" si="16"/>
        <v/>
      </c>
      <c r="X48" s="2"/>
      <c r="Y48" s="10"/>
      <c r="Z48" s="11" t="str">
        <f>IF(X48&lt;&gt;"执行卖出","",IFERROR(LOOKUP(2,1/(单次交易!$A$2:$A$88=B48),单次交易!$AP$2:$AP$88),""))</f>
        <v/>
      </c>
      <c r="AA48" s="10"/>
      <c r="AB48" s="8" t="str">
        <f t="shared" si="17"/>
        <v/>
      </c>
      <c r="AC48" s="8" t="str">
        <f>IF(A48="","",IF(A48="止损计划",IF(OR(B48="",D48="",E48="",F48="",G48=""),"计划不完整",IF(OR(D48&lt;1,D48&lt;&gt;INT(D48)),"阶段序号无效",IF(COUNTIFS($A$2:$A$157,"止损计划",$B$2:$B$157,B48,$D$2:$D$157,D48)&gt;1,"阶段序号重复",IF(E48&lt;=IFERROR(LOOKUP(2,1/(单次交易!$A$2:$A$88=B48),单次交易!$E$2:$E$88),0),"激活价须高于买入价",IF(F48&lt;N48,"止损价不得低于初始止损",IF(F48&gt;E48,"止损价不得高于激活价",IF(AND(COUNTIFS($A$2:$A$157,"止损计划",$B$2:$B$157,B48,$D$2:$D$157,"&lt;"&amp;D48)&gt;0,OR(E48&lt;=SUMPRODUCT(MAX((($A$2:$A$157="止损计划")*($B$2:$B$157=B48)*($D$2:$D$157&lt;D48))*$E$2:$E$157)),F48&lt;SUMPRODUCT(MAX((($A$2:$A$157="止损计划")*($B$2:$B$157=B48)*($D$2:$D$157&lt;D48))*$F$2:$F$157)))),"阶段价格必须逐级提高","计划有效"))))))),IF(A48="每日跟踪",IF(OR(B48="",H48="",I48="",J48=""),"每日数据不完整",IF(COUNTIFS($A$2:$A$157,"每日跟踪",$B$2:$B$157,B48,$H$2:$H$157,H48)&gt;1,"同一交易日期重复",IF(AND(R48&lt;&gt;"",R48&lt;S48),"人工止损无效：不能下调","跟踪有效"))),"记录类型无效")))</f>
        <v/>
      </c>
    </row>
    <row r="49" ht="17" spans="1:29">
      <c r="A49" s="2"/>
      <c r="B49" s="2"/>
      <c r="C49" s="8" t="str">
        <f>IF(B49="","",IFERROR(LOOKUP(2,1/(单次交易!$A$2:$A$88=B49),单次交易!$B$2:$B$88),""))</f>
        <v/>
      </c>
      <c r="D49" s="12"/>
      <c r="E49" s="10"/>
      <c r="F49" s="10"/>
      <c r="G49" s="2"/>
      <c r="H49" s="15"/>
      <c r="I49" s="10"/>
      <c r="J49" s="12"/>
      <c r="K49" s="2"/>
      <c r="L49" s="2"/>
      <c r="M49" s="2"/>
      <c r="N49" s="5" t="str">
        <f>IF(B49="","",IFERROR(LOOKUP(2,1/(单次交易!$A$2:$A$88=B49),单次交易!$N$2:$N$88),""))</f>
        <v/>
      </c>
      <c r="O49" s="5" t="str">
        <f t="shared" si="9"/>
        <v/>
      </c>
      <c r="P49" s="11" t="str">
        <f t="shared" si="10"/>
        <v/>
      </c>
      <c r="Q49" s="5" t="str">
        <f t="shared" si="11"/>
        <v/>
      </c>
      <c r="R49" s="10"/>
      <c r="S49" s="5" t="str">
        <f t="shared" si="12"/>
        <v/>
      </c>
      <c r="T49" s="5" t="str">
        <f t="shared" si="13"/>
        <v/>
      </c>
      <c r="U49" s="5" t="str">
        <f t="shared" si="14"/>
        <v/>
      </c>
      <c r="V49" s="7" t="str">
        <f t="shared" si="15"/>
        <v/>
      </c>
      <c r="W49" s="8" t="str">
        <f t="shared" si="16"/>
        <v/>
      </c>
      <c r="X49" s="2"/>
      <c r="Y49" s="10"/>
      <c r="Z49" s="11" t="str">
        <f>IF(X49&lt;&gt;"执行卖出","",IFERROR(LOOKUP(2,1/(单次交易!$A$2:$A$88=B49),单次交易!$AP$2:$AP$88),""))</f>
        <v/>
      </c>
      <c r="AA49" s="10"/>
      <c r="AB49" s="8" t="str">
        <f t="shared" si="17"/>
        <v/>
      </c>
      <c r="AC49" s="8" t="str">
        <f>IF(A49="","",IF(A49="止损计划",IF(OR(B49="",D49="",E49="",F49="",G49=""),"计划不完整",IF(OR(D49&lt;1,D49&lt;&gt;INT(D49)),"阶段序号无效",IF(COUNTIFS($A$2:$A$157,"止损计划",$B$2:$B$157,B49,$D$2:$D$157,D49)&gt;1,"阶段序号重复",IF(E49&lt;=IFERROR(LOOKUP(2,1/(单次交易!$A$2:$A$88=B49),单次交易!$E$2:$E$88),0),"激活价须高于买入价",IF(F49&lt;N49,"止损价不得低于初始止损",IF(F49&gt;E49,"止损价不得高于激活价",IF(AND(COUNTIFS($A$2:$A$157,"止损计划",$B$2:$B$157,B49,$D$2:$D$157,"&lt;"&amp;D49)&gt;0,OR(E49&lt;=SUMPRODUCT(MAX((($A$2:$A$157="止损计划")*($B$2:$B$157=B49)*($D$2:$D$157&lt;D49))*$E$2:$E$157)),F49&lt;SUMPRODUCT(MAX((($A$2:$A$157="止损计划")*($B$2:$B$157=B49)*($D$2:$D$157&lt;D49))*$F$2:$F$157)))),"阶段价格必须逐级提高","计划有效"))))))),IF(A49="每日跟踪",IF(OR(B49="",H49="",I49="",J49=""),"每日数据不完整",IF(COUNTIFS($A$2:$A$157,"每日跟踪",$B$2:$B$157,B49,$H$2:$H$157,H49)&gt;1,"同一交易日期重复",IF(AND(R49&lt;&gt;"",R49&lt;S49),"人工止损无效：不能下调","跟踪有效"))),"记录类型无效")))</f>
        <v/>
      </c>
    </row>
    <row r="50" ht="17" spans="1:29">
      <c r="A50" s="2"/>
      <c r="B50" s="2"/>
      <c r="C50" s="8" t="str">
        <f>IF(B50="","",IFERROR(LOOKUP(2,1/(单次交易!$A$2:$A$88=B50),单次交易!$B$2:$B$88),""))</f>
        <v/>
      </c>
      <c r="D50" s="12"/>
      <c r="E50" s="10"/>
      <c r="F50" s="10"/>
      <c r="G50" s="2"/>
      <c r="H50" s="15"/>
      <c r="I50" s="10"/>
      <c r="J50" s="12"/>
      <c r="K50" s="2"/>
      <c r="L50" s="2"/>
      <c r="M50" s="2"/>
      <c r="N50" s="5" t="str">
        <f>IF(B50="","",IFERROR(LOOKUP(2,1/(单次交易!$A$2:$A$88=B50),单次交易!$N$2:$N$88),""))</f>
        <v/>
      </c>
      <c r="O50" s="5" t="str">
        <f t="shared" si="9"/>
        <v/>
      </c>
      <c r="P50" s="11" t="str">
        <f t="shared" si="10"/>
        <v/>
      </c>
      <c r="Q50" s="5" t="str">
        <f t="shared" si="11"/>
        <v/>
      </c>
      <c r="R50" s="10"/>
      <c r="S50" s="5" t="str">
        <f t="shared" si="12"/>
        <v/>
      </c>
      <c r="T50" s="5" t="str">
        <f t="shared" si="13"/>
        <v/>
      </c>
      <c r="U50" s="5" t="str">
        <f t="shared" si="14"/>
        <v/>
      </c>
      <c r="V50" s="7" t="str">
        <f t="shared" si="15"/>
        <v/>
      </c>
      <c r="W50" s="8" t="str">
        <f t="shared" si="16"/>
        <v/>
      </c>
      <c r="X50" s="2"/>
      <c r="Y50" s="10"/>
      <c r="Z50" s="11" t="str">
        <f>IF(X50&lt;&gt;"执行卖出","",IFERROR(LOOKUP(2,1/(单次交易!$A$2:$A$88=B50),单次交易!$AP$2:$AP$88),""))</f>
        <v/>
      </c>
      <c r="AA50" s="10"/>
      <c r="AB50" s="8" t="str">
        <f t="shared" si="17"/>
        <v/>
      </c>
      <c r="AC50" s="8" t="str">
        <f>IF(A50="","",IF(A50="止损计划",IF(OR(B50="",D50="",E50="",F50="",G50=""),"计划不完整",IF(OR(D50&lt;1,D50&lt;&gt;INT(D50)),"阶段序号无效",IF(COUNTIFS($A$2:$A$157,"止损计划",$B$2:$B$157,B50,$D$2:$D$157,D50)&gt;1,"阶段序号重复",IF(E50&lt;=IFERROR(LOOKUP(2,1/(单次交易!$A$2:$A$88=B50),单次交易!$E$2:$E$88),0),"激活价须高于买入价",IF(F50&lt;N50,"止损价不得低于初始止损",IF(F50&gt;E50,"止损价不得高于激活价",IF(AND(COUNTIFS($A$2:$A$157,"止损计划",$B$2:$B$157,B50,$D$2:$D$157,"&lt;"&amp;D50)&gt;0,OR(E50&lt;=SUMPRODUCT(MAX((($A$2:$A$157="止损计划")*($B$2:$B$157=B50)*($D$2:$D$157&lt;D50))*$E$2:$E$157)),F50&lt;SUMPRODUCT(MAX((($A$2:$A$157="止损计划")*($B$2:$B$157=B50)*($D$2:$D$157&lt;D50))*$F$2:$F$157)))),"阶段价格必须逐级提高","计划有效"))))))),IF(A50="每日跟踪",IF(OR(B50="",H50="",I50="",J50=""),"每日数据不完整",IF(COUNTIFS($A$2:$A$157,"每日跟踪",$B$2:$B$157,B50,$H$2:$H$157,H50)&gt;1,"同一交易日期重复",IF(AND(R50&lt;&gt;"",R50&lt;S50),"人工止损无效：不能下调","跟踪有效"))),"记录类型无效")))</f>
        <v/>
      </c>
    </row>
    <row r="51" ht="17" spans="1:29">
      <c r="A51" s="2"/>
      <c r="B51" s="2"/>
      <c r="C51" s="8" t="str">
        <f>IF(B51="","",IFERROR(LOOKUP(2,1/(单次交易!$A$2:$A$88=B51),单次交易!$B$2:$B$88),""))</f>
        <v/>
      </c>
      <c r="D51" s="12"/>
      <c r="E51" s="10"/>
      <c r="F51" s="10"/>
      <c r="G51" s="2"/>
      <c r="H51" s="15"/>
      <c r="I51" s="10"/>
      <c r="J51" s="12"/>
      <c r="K51" s="2"/>
      <c r="L51" s="2"/>
      <c r="M51" s="2"/>
      <c r="N51" s="5" t="str">
        <f>IF(B51="","",IFERROR(LOOKUP(2,1/(单次交易!$A$2:$A$88=B51),单次交易!$N$2:$N$88),""))</f>
        <v/>
      </c>
      <c r="O51" s="5" t="str">
        <f t="shared" si="9"/>
        <v/>
      </c>
      <c r="P51" s="11" t="str">
        <f t="shared" si="10"/>
        <v/>
      </c>
      <c r="Q51" s="5" t="str">
        <f t="shared" si="11"/>
        <v/>
      </c>
      <c r="R51" s="10"/>
      <c r="S51" s="5" t="str">
        <f t="shared" si="12"/>
        <v/>
      </c>
      <c r="T51" s="5" t="str">
        <f t="shared" si="13"/>
        <v/>
      </c>
      <c r="U51" s="5" t="str">
        <f t="shared" si="14"/>
        <v/>
      </c>
      <c r="V51" s="7" t="str">
        <f t="shared" si="15"/>
        <v/>
      </c>
      <c r="W51" s="8" t="str">
        <f t="shared" si="16"/>
        <v/>
      </c>
      <c r="X51" s="2"/>
      <c r="Y51" s="10"/>
      <c r="Z51" s="11" t="str">
        <f>IF(X51&lt;&gt;"执行卖出","",IFERROR(LOOKUP(2,1/(单次交易!$A$2:$A$88=B51),单次交易!$AP$2:$AP$88),""))</f>
        <v/>
      </c>
      <c r="AA51" s="10"/>
      <c r="AB51" s="8" t="str">
        <f t="shared" si="17"/>
        <v/>
      </c>
      <c r="AC51" s="8" t="str">
        <f>IF(A51="","",IF(A51="止损计划",IF(OR(B51="",D51="",E51="",F51="",G51=""),"计划不完整",IF(OR(D51&lt;1,D51&lt;&gt;INT(D51)),"阶段序号无效",IF(COUNTIFS($A$2:$A$157,"止损计划",$B$2:$B$157,B51,$D$2:$D$157,D51)&gt;1,"阶段序号重复",IF(E51&lt;=IFERROR(LOOKUP(2,1/(单次交易!$A$2:$A$88=B51),单次交易!$E$2:$E$88),0),"激活价须高于买入价",IF(F51&lt;N51,"止损价不得低于初始止损",IF(F51&gt;E51,"止损价不得高于激活价",IF(AND(COUNTIFS($A$2:$A$157,"止损计划",$B$2:$B$157,B51,$D$2:$D$157,"&lt;"&amp;D51)&gt;0,OR(E51&lt;=SUMPRODUCT(MAX((($A$2:$A$157="止损计划")*($B$2:$B$157=B51)*($D$2:$D$157&lt;D51))*$E$2:$E$157)),F51&lt;SUMPRODUCT(MAX((($A$2:$A$157="止损计划")*($B$2:$B$157=B51)*($D$2:$D$157&lt;D51))*$F$2:$F$157)))),"阶段价格必须逐级提高","计划有效"))))))),IF(A51="每日跟踪",IF(OR(B51="",H51="",I51="",J51=""),"每日数据不完整",IF(COUNTIFS($A$2:$A$157,"每日跟踪",$B$2:$B$157,B51,$H$2:$H$157,H51)&gt;1,"同一交易日期重复",IF(AND(R51&lt;&gt;"",R51&lt;S51),"人工止损无效：不能下调","跟踪有效"))),"记录类型无效")))</f>
        <v/>
      </c>
    </row>
    <row r="52" ht="17" spans="1:29">
      <c r="A52" s="2"/>
      <c r="B52" s="2"/>
      <c r="C52" s="8" t="str">
        <f>IF(B52="","",IFERROR(LOOKUP(2,1/(单次交易!$A$2:$A$88=B52),单次交易!$B$2:$B$88),""))</f>
        <v/>
      </c>
      <c r="D52" s="12"/>
      <c r="E52" s="10"/>
      <c r="F52" s="10"/>
      <c r="G52" s="2"/>
      <c r="H52" s="15"/>
      <c r="I52" s="10"/>
      <c r="J52" s="12"/>
      <c r="K52" s="2"/>
      <c r="L52" s="2"/>
      <c r="M52" s="2"/>
      <c r="N52" s="5" t="str">
        <f>IF(B52="","",IFERROR(LOOKUP(2,1/(单次交易!$A$2:$A$88=B52),单次交易!$N$2:$N$88),""))</f>
        <v/>
      </c>
      <c r="O52" s="5" t="str">
        <f t="shared" si="9"/>
        <v/>
      </c>
      <c r="P52" s="11" t="str">
        <f t="shared" si="10"/>
        <v/>
      </c>
      <c r="Q52" s="5" t="str">
        <f t="shared" si="11"/>
        <v/>
      </c>
      <c r="R52" s="10"/>
      <c r="S52" s="5" t="str">
        <f t="shared" si="12"/>
        <v/>
      </c>
      <c r="T52" s="5" t="str">
        <f t="shared" si="13"/>
        <v/>
      </c>
      <c r="U52" s="5" t="str">
        <f t="shared" si="14"/>
        <v/>
      </c>
      <c r="V52" s="7" t="str">
        <f t="shared" si="15"/>
        <v/>
      </c>
      <c r="W52" s="8" t="str">
        <f t="shared" si="16"/>
        <v/>
      </c>
      <c r="X52" s="2"/>
      <c r="Y52" s="10"/>
      <c r="Z52" s="11" t="str">
        <f>IF(X52&lt;&gt;"执行卖出","",IFERROR(LOOKUP(2,1/(单次交易!$A$2:$A$88=B52),单次交易!$AP$2:$AP$88),""))</f>
        <v/>
      </c>
      <c r="AA52" s="10"/>
      <c r="AB52" s="8" t="str">
        <f t="shared" si="17"/>
        <v/>
      </c>
      <c r="AC52" s="8" t="str">
        <f>IF(A52="","",IF(A52="止损计划",IF(OR(B52="",D52="",E52="",F52="",G52=""),"计划不完整",IF(OR(D52&lt;1,D52&lt;&gt;INT(D52)),"阶段序号无效",IF(COUNTIFS($A$2:$A$157,"止损计划",$B$2:$B$157,B52,$D$2:$D$157,D52)&gt;1,"阶段序号重复",IF(E52&lt;=IFERROR(LOOKUP(2,1/(单次交易!$A$2:$A$88=B52),单次交易!$E$2:$E$88),0),"激活价须高于买入价",IF(F52&lt;N52,"止损价不得低于初始止损",IF(F52&gt;E52,"止损价不得高于激活价",IF(AND(COUNTIFS($A$2:$A$157,"止损计划",$B$2:$B$157,B52,$D$2:$D$157,"&lt;"&amp;D52)&gt;0,OR(E52&lt;=SUMPRODUCT(MAX((($A$2:$A$157="止损计划")*($B$2:$B$157=B52)*($D$2:$D$157&lt;D52))*$E$2:$E$157)),F52&lt;SUMPRODUCT(MAX((($A$2:$A$157="止损计划")*($B$2:$B$157=B52)*($D$2:$D$157&lt;D52))*$F$2:$F$157)))),"阶段价格必须逐级提高","计划有效"))))))),IF(A52="每日跟踪",IF(OR(B52="",H52="",I52="",J52=""),"每日数据不完整",IF(COUNTIFS($A$2:$A$157,"每日跟踪",$B$2:$B$157,B52,$H$2:$H$157,H52)&gt;1,"同一交易日期重复",IF(AND(R52&lt;&gt;"",R52&lt;S52),"人工止损无效：不能下调","跟踪有效"))),"记录类型无效")))</f>
        <v/>
      </c>
    </row>
    <row r="53" ht="17" spans="1:29">
      <c r="A53" s="2"/>
      <c r="B53" s="2"/>
      <c r="C53" s="8" t="str">
        <f>IF(B53="","",IFERROR(LOOKUP(2,1/(单次交易!$A$2:$A$88=B53),单次交易!$B$2:$B$88),""))</f>
        <v/>
      </c>
      <c r="D53" s="12"/>
      <c r="E53" s="10"/>
      <c r="F53" s="10"/>
      <c r="G53" s="2"/>
      <c r="H53" s="15"/>
      <c r="I53" s="10"/>
      <c r="J53" s="12"/>
      <c r="K53" s="2"/>
      <c r="L53" s="2"/>
      <c r="M53" s="2"/>
      <c r="N53" s="5" t="str">
        <f>IF(B53="","",IFERROR(LOOKUP(2,1/(单次交易!$A$2:$A$88=B53),单次交易!$N$2:$N$88),""))</f>
        <v/>
      </c>
      <c r="O53" s="5" t="str">
        <f t="shared" si="9"/>
        <v/>
      </c>
      <c r="P53" s="11" t="str">
        <f t="shared" si="10"/>
        <v/>
      </c>
      <c r="Q53" s="5" t="str">
        <f t="shared" si="11"/>
        <v/>
      </c>
      <c r="R53" s="10"/>
      <c r="S53" s="5" t="str">
        <f t="shared" si="12"/>
        <v/>
      </c>
      <c r="T53" s="5" t="str">
        <f t="shared" si="13"/>
        <v/>
      </c>
      <c r="U53" s="5" t="str">
        <f t="shared" si="14"/>
        <v/>
      </c>
      <c r="V53" s="7" t="str">
        <f t="shared" si="15"/>
        <v/>
      </c>
      <c r="W53" s="8" t="str">
        <f t="shared" si="16"/>
        <v/>
      </c>
      <c r="X53" s="2"/>
      <c r="Y53" s="10"/>
      <c r="Z53" s="11" t="str">
        <f>IF(X53&lt;&gt;"执行卖出","",IFERROR(LOOKUP(2,1/(单次交易!$A$2:$A$88=B53),单次交易!$AP$2:$AP$88),""))</f>
        <v/>
      </c>
      <c r="AA53" s="10"/>
      <c r="AB53" s="8" t="str">
        <f t="shared" si="17"/>
        <v/>
      </c>
      <c r="AC53" s="8" t="str">
        <f>IF(A53="","",IF(A53="止损计划",IF(OR(B53="",D53="",E53="",F53="",G53=""),"计划不完整",IF(OR(D53&lt;1,D53&lt;&gt;INT(D53)),"阶段序号无效",IF(COUNTIFS($A$2:$A$157,"止损计划",$B$2:$B$157,B53,$D$2:$D$157,D53)&gt;1,"阶段序号重复",IF(E53&lt;=IFERROR(LOOKUP(2,1/(单次交易!$A$2:$A$88=B53),单次交易!$E$2:$E$88),0),"激活价须高于买入价",IF(F53&lt;N53,"止损价不得低于初始止损",IF(F53&gt;E53,"止损价不得高于激活价",IF(AND(COUNTIFS($A$2:$A$157,"止损计划",$B$2:$B$157,B53,$D$2:$D$157,"&lt;"&amp;D53)&gt;0,OR(E53&lt;=SUMPRODUCT(MAX((($A$2:$A$157="止损计划")*($B$2:$B$157=B53)*($D$2:$D$157&lt;D53))*$E$2:$E$157)),F53&lt;SUMPRODUCT(MAX((($A$2:$A$157="止损计划")*($B$2:$B$157=B53)*($D$2:$D$157&lt;D53))*$F$2:$F$157)))),"阶段价格必须逐级提高","计划有效"))))))),IF(A53="每日跟踪",IF(OR(B53="",H53="",I53="",J53=""),"每日数据不完整",IF(COUNTIFS($A$2:$A$157,"每日跟踪",$B$2:$B$157,B53,$H$2:$H$157,H53)&gt;1,"同一交易日期重复",IF(AND(R53&lt;&gt;"",R53&lt;S53),"人工止损无效：不能下调","跟踪有效"))),"记录类型无效")))</f>
        <v/>
      </c>
    </row>
    <row r="54" ht="17" spans="1:29">
      <c r="A54" s="2"/>
      <c r="B54" s="2"/>
      <c r="C54" s="8" t="str">
        <f>IF(B54="","",IFERROR(LOOKUP(2,1/(单次交易!$A$2:$A$88=B54),单次交易!$B$2:$B$88),""))</f>
        <v/>
      </c>
      <c r="D54" s="12"/>
      <c r="E54" s="10"/>
      <c r="F54" s="10"/>
      <c r="G54" s="2"/>
      <c r="H54" s="15"/>
      <c r="I54" s="10"/>
      <c r="J54" s="12"/>
      <c r="K54" s="2"/>
      <c r="L54" s="2"/>
      <c r="M54" s="2"/>
      <c r="N54" s="5" t="str">
        <f>IF(B54="","",IFERROR(LOOKUP(2,1/(单次交易!$A$2:$A$88=B54),单次交易!$N$2:$N$88),""))</f>
        <v/>
      </c>
      <c r="O54" s="5" t="str">
        <f t="shared" si="9"/>
        <v/>
      </c>
      <c r="P54" s="11" t="str">
        <f t="shared" si="10"/>
        <v/>
      </c>
      <c r="Q54" s="5" t="str">
        <f t="shared" si="11"/>
        <v/>
      </c>
      <c r="R54" s="10"/>
      <c r="S54" s="5" t="str">
        <f t="shared" si="12"/>
        <v/>
      </c>
      <c r="T54" s="5" t="str">
        <f t="shared" si="13"/>
        <v/>
      </c>
      <c r="U54" s="5" t="str">
        <f t="shared" si="14"/>
        <v/>
      </c>
      <c r="V54" s="7" t="str">
        <f t="shared" si="15"/>
        <v/>
      </c>
      <c r="W54" s="8" t="str">
        <f t="shared" si="16"/>
        <v/>
      </c>
      <c r="X54" s="2"/>
      <c r="Y54" s="10"/>
      <c r="Z54" s="11" t="str">
        <f>IF(X54&lt;&gt;"执行卖出","",IFERROR(LOOKUP(2,1/(单次交易!$A$2:$A$88=B54),单次交易!$AP$2:$AP$88),""))</f>
        <v/>
      </c>
      <c r="AA54" s="10"/>
      <c r="AB54" s="8" t="str">
        <f t="shared" si="17"/>
        <v/>
      </c>
      <c r="AC54" s="8" t="str">
        <f>IF(A54="","",IF(A54="止损计划",IF(OR(B54="",D54="",E54="",F54="",G54=""),"计划不完整",IF(OR(D54&lt;1,D54&lt;&gt;INT(D54)),"阶段序号无效",IF(COUNTIFS($A$2:$A$157,"止损计划",$B$2:$B$157,B54,$D$2:$D$157,D54)&gt;1,"阶段序号重复",IF(E54&lt;=IFERROR(LOOKUP(2,1/(单次交易!$A$2:$A$88=B54),单次交易!$E$2:$E$88),0),"激活价须高于买入价",IF(F54&lt;N54,"止损价不得低于初始止损",IF(F54&gt;E54,"止损价不得高于激活价",IF(AND(COUNTIFS($A$2:$A$157,"止损计划",$B$2:$B$157,B54,$D$2:$D$157,"&lt;"&amp;D54)&gt;0,OR(E54&lt;=SUMPRODUCT(MAX((($A$2:$A$157="止损计划")*($B$2:$B$157=B54)*($D$2:$D$157&lt;D54))*$E$2:$E$157)),F54&lt;SUMPRODUCT(MAX((($A$2:$A$157="止损计划")*($B$2:$B$157=B54)*($D$2:$D$157&lt;D54))*$F$2:$F$157)))),"阶段价格必须逐级提高","计划有效"))))))),IF(A54="每日跟踪",IF(OR(B54="",H54="",I54="",J54=""),"每日数据不完整",IF(COUNTIFS($A$2:$A$157,"每日跟踪",$B$2:$B$157,B54,$H$2:$H$157,H54)&gt;1,"同一交易日期重复",IF(AND(R54&lt;&gt;"",R54&lt;S54),"人工止损无效：不能下调","跟踪有效"))),"记录类型无效")))</f>
        <v/>
      </c>
    </row>
    <row r="55" ht="17" spans="1:29">
      <c r="A55" s="2"/>
      <c r="B55" s="2"/>
      <c r="C55" s="8" t="str">
        <f>IF(B55="","",IFERROR(LOOKUP(2,1/(单次交易!$A$2:$A$88=B55),单次交易!$B$2:$B$88),""))</f>
        <v/>
      </c>
      <c r="D55" s="12"/>
      <c r="E55" s="10"/>
      <c r="F55" s="10"/>
      <c r="G55" s="2"/>
      <c r="H55" s="15"/>
      <c r="I55" s="10"/>
      <c r="J55" s="12"/>
      <c r="K55" s="2"/>
      <c r="L55" s="2"/>
      <c r="M55" s="2"/>
      <c r="N55" s="5" t="str">
        <f>IF(B55="","",IFERROR(LOOKUP(2,1/(单次交易!$A$2:$A$88=B55),单次交易!$N$2:$N$88),""))</f>
        <v/>
      </c>
      <c r="O55" s="5" t="str">
        <f t="shared" si="9"/>
        <v/>
      </c>
      <c r="P55" s="11" t="str">
        <f t="shared" si="10"/>
        <v/>
      </c>
      <c r="Q55" s="5" t="str">
        <f t="shared" si="11"/>
        <v/>
      </c>
      <c r="R55" s="10"/>
      <c r="S55" s="5" t="str">
        <f t="shared" si="12"/>
        <v/>
      </c>
      <c r="T55" s="5" t="str">
        <f t="shared" si="13"/>
        <v/>
      </c>
      <c r="U55" s="5" t="str">
        <f t="shared" si="14"/>
        <v/>
      </c>
      <c r="V55" s="7" t="str">
        <f t="shared" si="15"/>
        <v/>
      </c>
      <c r="W55" s="8" t="str">
        <f t="shared" si="16"/>
        <v/>
      </c>
      <c r="X55" s="2"/>
      <c r="Y55" s="10"/>
      <c r="Z55" s="11" t="str">
        <f>IF(X55&lt;&gt;"执行卖出","",IFERROR(LOOKUP(2,1/(单次交易!$A$2:$A$88=B55),单次交易!$AP$2:$AP$88),""))</f>
        <v/>
      </c>
      <c r="AA55" s="10"/>
      <c r="AB55" s="8" t="str">
        <f t="shared" si="17"/>
        <v/>
      </c>
      <c r="AC55" s="8" t="str">
        <f>IF(A55="","",IF(A55="止损计划",IF(OR(B55="",D55="",E55="",F55="",G55=""),"计划不完整",IF(OR(D55&lt;1,D55&lt;&gt;INT(D55)),"阶段序号无效",IF(COUNTIFS($A$2:$A$157,"止损计划",$B$2:$B$157,B55,$D$2:$D$157,D55)&gt;1,"阶段序号重复",IF(E55&lt;=IFERROR(LOOKUP(2,1/(单次交易!$A$2:$A$88=B55),单次交易!$E$2:$E$88),0),"激活价须高于买入价",IF(F55&lt;N55,"止损价不得低于初始止损",IF(F55&gt;E55,"止损价不得高于激活价",IF(AND(COUNTIFS($A$2:$A$157,"止损计划",$B$2:$B$157,B55,$D$2:$D$157,"&lt;"&amp;D55)&gt;0,OR(E55&lt;=SUMPRODUCT(MAX((($A$2:$A$157="止损计划")*($B$2:$B$157=B55)*($D$2:$D$157&lt;D55))*$E$2:$E$157)),F55&lt;SUMPRODUCT(MAX((($A$2:$A$157="止损计划")*($B$2:$B$157=B55)*($D$2:$D$157&lt;D55))*$F$2:$F$157)))),"阶段价格必须逐级提高","计划有效"))))))),IF(A55="每日跟踪",IF(OR(B55="",H55="",I55="",J55=""),"每日数据不完整",IF(COUNTIFS($A$2:$A$157,"每日跟踪",$B$2:$B$157,B55,$H$2:$H$157,H55)&gt;1,"同一交易日期重复",IF(AND(R55&lt;&gt;"",R55&lt;S55),"人工止损无效：不能下调","跟踪有效"))),"记录类型无效")))</f>
        <v/>
      </c>
    </row>
    <row r="56" ht="17" spans="1:29">
      <c r="A56" s="2"/>
      <c r="B56" s="2"/>
      <c r="C56" s="8" t="str">
        <f>IF(B56="","",IFERROR(LOOKUP(2,1/(单次交易!$A$2:$A$88=B56),单次交易!$B$2:$B$88),""))</f>
        <v/>
      </c>
      <c r="D56" s="12"/>
      <c r="E56" s="10"/>
      <c r="F56" s="10"/>
      <c r="G56" s="2"/>
      <c r="H56" s="15"/>
      <c r="I56" s="10"/>
      <c r="J56" s="12"/>
      <c r="K56" s="2"/>
      <c r="L56" s="2"/>
      <c r="M56" s="2"/>
      <c r="N56" s="5" t="str">
        <f>IF(B56="","",IFERROR(LOOKUP(2,1/(单次交易!$A$2:$A$88=B56),单次交易!$N$2:$N$88),""))</f>
        <v/>
      </c>
      <c r="O56" s="5" t="str">
        <f t="shared" si="9"/>
        <v/>
      </c>
      <c r="P56" s="11" t="str">
        <f t="shared" si="10"/>
        <v/>
      </c>
      <c r="Q56" s="5" t="str">
        <f t="shared" si="11"/>
        <v/>
      </c>
      <c r="R56" s="10"/>
      <c r="S56" s="5" t="str">
        <f t="shared" si="12"/>
        <v/>
      </c>
      <c r="T56" s="5" t="str">
        <f t="shared" si="13"/>
        <v/>
      </c>
      <c r="U56" s="5" t="str">
        <f t="shared" si="14"/>
        <v/>
      </c>
      <c r="V56" s="7" t="str">
        <f t="shared" si="15"/>
        <v/>
      </c>
      <c r="W56" s="8" t="str">
        <f t="shared" si="16"/>
        <v/>
      </c>
      <c r="X56" s="2"/>
      <c r="Y56" s="10"/>
      <c r="Z56" s="11" t="str">
        <f>IF(X56&lt;&gt;"执行卖出","",IFERROR(LOOKUP(2,1/(单次交易!$A$2:$A$88=B56),单次交易!$AP$2:$AP$88),""))</f>
        <v/>
      </c>
      <c r="AA56" s="10"/>
      <c r="AB56" s="8" t="str">
        <f t="shared" si="17"/>
        <v/>
      </c>
      <c r="AC56" s="8" t="str">
        <f>IF(A56="","",IF(A56="止损计划",IF(OR(B56="",D56="",E56="",F56="",G56=""),"计划不完整",IF(OR(D56&lt;1,D56&lt;&gt;INT(D56)),"阶段序号无效",IF(COUNTIFS($A$2:$A$157,"止损计划",$B$2:$B$157,B56,$D$2:$D$157,D56)&gt;1,"阶段序号重复",IF(E56&lt;=IFERROR(LOOKUP(2,1/(单次交易!$A$2:$A$88=B56),单次交易!$E$2:$E$88),0),"激活价须高于买入价",IF(F56&lt;N56,"止损价不得低于初始止损",IF(F56&gt;E56,"止损价不得高于激活价",IF(AND(COUNTIFS($A$2:$A$157,"止损计划",$B$2:$B$157,B56,$D$2:$D$157,"&lt;"&amp;D56)&gt;0,OR(E56&lt;=SUMPRODUCT(MAX((($A$2:$A$157="止损计划")*($B$2:$B$157=B56)*($D$2:$D$157&lt;D56))*$E$2:$E$157)),F56&lt;SUMPRODUCT(MAX((($A$2:$A$157="止损计划")*($B$2:$B$157=B56)*($D$2:$D$157&lt;D56))*$F$2:$F$157)))),"阶段价格必须逐级提高","计划有效"))))))),IF(A56="每日跟踪",IF(OR(B56="",H56="",I56="",J56=""),"每日数据不完整",IF(COUNTIFS($A$2:$A$157,"每日跟踪",$B$2:$B$157,B56,$H$2:$H$157,H56)&gt;1,"同一交易日期重复",IF(AND(R56&lt;&gt;"",R56&lt;S56),"人工止损无效：不能下调","跟踪有效"))),"记录类型无效")))</f>
        <v/>
      </c>
    </row>
    <row r="57" ht="17" spans="1:29">
      <c r="A57" s="2"/>
      <c r="B57" s="2"/>
      <c r="C57" s="8" t="str">
        <f>IF(B57="","",IFERROR(LOOKUP(2,1/(单次交易!$A$2:$A$88=B57),单次交易!$B$2:$B$88),""))</f>
        <v/>
      </c>
      <c r="D57" s="12"/>
      <c r="E57" s="10"/>
      <c r="F57" s="10"/>
      <c r="G57" s="2"/>
      <c r="H57" s="15"/>
      <c r="I57" s="10"/>
      <c r="J57" s="12"/>
      <c r="K57" s="2"/>
      <c r="L57" s="2"/>
      <c r="M57" s="2"/>
      <c r="N57" s="5" t="str">
        <f>IF(B57="","",IFERROR(LOOKUP(2,1/(单次交易!$A$2:$A$88=B57),单次交易!$N$2:$N$88),""))</f>
        <v/>
      </c>
      <c r="O57" s="5" t="str">
        <f t="shared" si="9"/>
        <v/>
      </c>
      <c r="P57" s="11" t="str">
        <f t="shared" si="10"/>
        <v/>
      </c>
      <c r="Q57" s="5" t="str">
        <f t="shared" si="11"/>
        <v/>
      </c>
      <c r="R57" s="10"/>
      <c r="S57" s="5" t="str">
        <f t="shared" si="12"/>
        <v/>
      </c>
      <c r="T57" s="5" t="str">
        <f t="shared" si="13"/>
        <v/>
      </c>
      <c r="U57" s="5" t="str">
        <f t="shared" si="14"/>
        <v/>
      </c>
      <c r="V57" s="7" t="str">
        <f t="shared" si="15"/>
        <v/>
      </c>
      <c r="W57" s="8" t="str">
        <f t="shared" si="16"/>
        <v/>
      </c>
      <c r="X57" s="2"/>
      <c r="Y57" s="10"/>
      <c r="Z57" s="11" t="str">
        <f>IF(X57&lt;&gt;"执行卖出","",IFERROR(LOOKUP(2,1/(单次交易!$A$2:$A$88=B57),单次交易!$AP$2:$AP$88),""))</f>
        <v/>
      </c>
      <c r="AA57" s="10"/>
      <c r="AB57" s="8" t="str">
        <f t="shared" si="17"/>
        <v/>
      </c>
      <c r="AC57" s="8" t="str">
        <f>IF(A57="","",IF(A57="止损计划",IF(OR(B57="",D57="",E57="",F57="",G57=""),"计划不完整",IF(OR(D57&lt;1,D57&lt;&gt;INT(D57)),"阶段序号无效",IF(COUNTIFS($A$2:$A$157,"止损计划",$B$2:$B$157,B57,$D$2:$D$157,D57)&gt;1,"阶段序号重复",IF(E57&lt;=IFERROR(LOOKUP(2,1/(单次交易!$A$2:$A$88=B57),单次交易!$E$2:$E$88),0),"激活价须高于买入价",IF(F57&lt;N57,"止损价不得低于初始止损",IF(F57&gt;E57,"止损价不得高于激活价",IF(AND(COUNTIFS($A$2:$A$157,"止损计划",$B$2:$B$157,B57,$D$2:$D$157,"&lt;"&amp;D57)&gt;0,OR(E57&lt;=SUMPRODUCT(MAX((($A$2:$A$157="止损计划")*($B$2:$B$157=B57)*($D$2:$D$157&lt;D57))*$E$2:$E$157)),F57&lt;SUMPRODUCT(MAX((($A$2:$A$157="止损计划")*($B$2:$B$157=B57)*($D$2:$D$157&lt;D57))*$F$2:$F$157)))),"阶段价格必须逐级提高","计划有效"))))))),IF(A57="每日跟踪",IF(OR(B57="",H57="",I57="",J57=""),"每日数据不完整",IF(COUNTIFS($A$2:$A$157,"每日跟踪",$B$2:$B$157,B57,$H$2:$H$157,H57)&gt;1,"同一交易日期重复",IF(AND(R57&lt;&gt;"",R57&lt;S57),"人工止损无效：不能下调","跟踪有效"))),"记录类型无效")))</f>
        <v/>
      </c>
    </row>
    <row r="58" ht="17" spans="1:29">
      <c r="A58" s="2"/>
      <c r="B58" s="2"/>
      <c r="C58" s="8" t="str">
        <f>IF(B58="","",IFERROR(LOOKUP(2,1/(单次交易!$A$2:$A$88=B58),单次交易!$B$2:$B$88),""))</f>
        <v/>
      </c>
      <c r="D58" s="12"/>
      <c r="E58" s="10"/>
      <c r="F58" s="10"/>
      <c r="G58" s="2"/>
      <c r="H58" s="15"/>
      <c r="I58" s="10"/>
      <c r="J58" s="12"/>
      <c r="K58" s="2"/>
      <c r="L58" s="2"/>
      <c r="M58" s="2"/>
      <c r="N58" s="5" t="str">
        <f>IF(B58="","",IFERROR(LOOKUP(2,1/(单次交易!$A$2:$A$88=B58),单次交易!$N$2:$N$88),""))</f>
        <v/>
      </c>
      <c r="O58" s="5" t="str">
        <f t="shared" si="9"/>
        <v/>
      </c>
      <c r="P58" s="11" t="str">
        <f t="shared" si="10"/>
        <v/>
      </c>
      <c r="Q58" s="5" t="str">
        <f t="shared" si="11"/>
        <v/>
      </c>
      <c r="R58" s="10"/>
      <c r="S58" s="5" t="str">
        <f t="shared" si="12"/>
        <v/>
      </c>
      <c r="T58" s="5" t="str">
        <f t="shared" si="13"/>
        <v/>
      </c>
      <c r="U58" s="5" t="str">
        <f t="shared" si="14"/>
        <v/>
      </c>
      <c r="V58" s="7" t="str">
        <f t="shared" si="15"/>
        <v/>
      </c>
      <c r="W58" s="8" t="str">
        <f t="shared" si="16"/>
        <v/>
      </c>
      <c r="X58" s="2"/>
      <c r="Y58" s="10"/>
      <c r="Z58" s="11" t="str">
        <f>IF(X58&lt;&gt;"执行卖出","",IFERROR(LOOKUP(2,1/(单次交易!$A$2:$A$88=B58),单次交易!$AP$2:$AP$88),""))</f>
        <v/>
      </c>
      <c r="AA58" s="10"/>
      <c r="AB58" s="8" t="str">
        <f t="shared" si="17"/>
        <v/>
      </c>
      <c r="AC58" s="8" t="str">
        <f>IF(A58="","",IF(A58="止损计划",IF(OR(B58="",D58="",E58="",F58="",G58=""),"计划不完整",IF(OR(D58&lt;1,D58&lt;&gt;INT(D58)),"阶段序号无效",IF(COUNTIFS($A$2:$A$157,"止损计划",$B$2:$B$157,B58,$D$2:$D$157,D58)&gt;1,"阶段序号重复",IF(E58&lt;=IFERROR(LOOKUP(2,1/(单次交易!$A$2:$A$88=B58),单次交易!$E$2:$E$88),0),"激活价须高于买入价",IF(F58&lt;N58,"止损价不得低于初始止损",IF(F58&gt;E58,"止损价不得高于激活价",IF(AND(COUNTIFS($A$2:$A$157,"止损计划",$B$2:$B$157,B58,$D$2:$D$157,"&lt;"&amp;D58)&gt;0,OR(E58&lt;=SUMPRODUCT(MAX((($A$2:$A$157="止损计划")*($B$2:$B$157=B58)*($D$2:$D$157&lt;D58))*$E$2:$E$157)),F58&lt;SUMPRODUCT(MAX((($A$2:$A$157="止损计划")*($B$2:$B$157=B58)*($D$2:$D$157&lt;D58))*$F$2:$F$157)))),"阶段价格必须逐级提高","计划有效"))))))),IF(A58="每日跟踪",IF(OR(B58="",H58="",I58="",J58=""),"每日数据不完整",IF(COUNTIFS($A$2:$A$157,"每日跟踪",$B$2:$B$157,B58,$H$2:$H$157,H58)&gt;1,"同一交易日期重复",IF(AND(R58&lt;&gt;"",R58&lt;S58),"人工止损无效：不能下调","跟踪有效"))),"记录类型无效")))</f>
        <v/>
      </c>
    </row>
    <row r="59" ht="17" spans="1:29">
      <c r="A59" s="2"/>
      <c r="B59" s="2"/>
      <c r="C59" s="8" t="str">
        <f>IF(B59="","",IFERROR(LOOKUP(2,1/(单次交易!$A$2:$A$88=B59),单次交易!$B$2:$B$88),""))</f>
        <v/>
      </c>
      <c r="D59" s="12"/>
      <c r="E59" s="10"/>
      <c r="F59" s="10"/>
      <c r="G59" s="2"/>
      <c r="H59" s="15"/>
      <c r="I59" s="10"/>
      <c r="J59" s="12"/>
      <c r="K59" s="2"/>
      <c r="L59" s="2"/>
      <c r="M59" s="2"/>
      <c r="N59" s="5" t="str">
        <f>IF(B59="","",IFERROR(LOOKUP(2,1/(单次交易!$A$2:$A$88=B59),单次交易!$N$2:$N$88),""))</f>
        <v/>
      </c>
      <c r="O59" s="5" t="str">
        <f t="shared" si="9"/>
        <v/>
      </c>
      <c r="P59" s="11" t="str">
        <f t="shared" si="10"/>
        <v/>
      </c>
      <c r="Q59" s="5" t="str">
        <f t="shared" si="11"/>
        <v/>
      </c>
      <c r="R59" s="10"/>
      <c r="S59" s="5" t="str">
        <f t="shared" si="12"/>
        <v/>
      </c>
      <c r="T59" s="5" t="str">
        <f t="shared" si="13"/>
        <v/>
      </c>
      <c r="U59" s="5" t="str">
        <f t="shared" si="14"/>
        <v/>
      </c>
      <c r="V59" s="7" t="str">
        <f t="shared" si="15"/>
        <v/>
      </c>
      <c r="W59" s="8" t="str">
        <f t="shared" si="16"/>
        <v/>
      </c>
      <c r="X59" s="2"/>
      <c r="Y59" s="10"/>
      <c r="Z59" s="11" t="str">
        <f>IF(X59&lt;&gt;"执行卖出","",IFERROR(LOOKUP(2,1/(单次交易!$A$2:$A$88=B59),单次交易!$AP$2:$AP$88),""))</f>
        <v/>
      </c>
      <c r="AA59" s="10"/>
      <c r="AB59" s="8" t="str">
        <f t="shared" si="17"/>
        <v/>
      </c>
      <c r="AC59" s="8" t="str">
        <f>IF(A59="","",IF(A59="止损计划",IF(OR(B59="",D59="",E59="",F59="",G59=""),"计划不完整",IF(OR(D59&lt;1,D59&lt;&gt;INT(D59)),"阶段序号无效",IF(COUNTIFS($A$2:$A$157,"止损计划",$B$2:$B$157,B59,$D$2:$D$157,D59)&gt;1,"阶段序号重复",IF(E59&lt;=IFERROR(LOOKUP(2,1/(单次交易!$A$2:$A$88=B59),单次交易!$E$2:$E$88),0),"激活价须高于买入价",IF(F59&lt;N59,"止损价不得低于初始止损",IF(F59&gt;E59,"止损价不得高于激活价",IF(AND(COUNTIFS($A$2:$A$157,"止损计划",$B$2:$B$157,B59,$D$2:$D$157,"&lt;"&amp;D59)&gt;0,OR(E59&lt;=SUMPRODUCT(MAX((($A$2:$A$157="止损计划")*($B$2:$B$157=B59)*($D$2:$D$157&lt;D59))*$E$2:$E$157)),F59&lt;SUMPRODUCT(MAX((($A$2:$A$157="止损计划")*($B$2:$B$157=B59)*($D$2:$D$157&lt;D59))*$F$2:$F$157)))),"阶段价格必须逐级提高","计划有效"))))))),IF(A59="每日跟踪",IF(OR(B59="",H59="",I59="",J59=""),"每日数据不完整",IF(COUNTIFS($A$2:$A$157,"每日跟踪",$B$2:$B$157,B59,$H$2:$H$157,H59)&gt;1,"同一交易日期重复",IF(AND(R59&lt;&gt;"",R59&lt;S59),"人工止损无效：不能下调","跟踪有效"))),"记录类型无效")))</f>
        <v/>
      </c>
    </row>
    <row r="60" ht="17" spans="1:29">
      <c r="A60" s="2"/>
      <c r="B60" s="2"/>
      <c r="C60" s="8" t="str">
        <f>IF(B60="","",IFERROR(LOOKUP(2,1/(单次交易!$A$2:$A$88=B60),单次交易!$B$2:$B$88),""))</f>
        <v/>
      </c>
      <c r="D60" s="12"/>
      <c r="E60" s="10"/>
      <c r="F60" s="10"/>
      <c r="G60" s="2"/>
      <c r="H60" s="15"/>
      <c r="I60" s="10"/>
      <c r="J60" s="12"/>
      <c r="K60" s="2"/>
      <c r="L60" s="2"/>
      <c r="M60" s="2"/>
      <c r="N60" s="5" t="str">
        <f>IF(B60="","",IFERROR(LOOKUP(2,1/(单次交易!$A$2:$A$88=B60),单次交易!$N$2:$N$88),""))</f>
        <v/>
      </c>
      <c r="O60" s="5" t="str">
        <f t="shared" si="9"/>
        <v/>
      </c>
      <c r="P60" s="11" t="str">
        <f t="shared" si="10"/>
        <v/>
      </c>
      <c r="Q60" s="5" t="str">
        <f t="shared" si="11"/>
        <v/>
      </c>
      <c r="R60" s="10"/>
      <c r="S60" s="5" t="str">
        <f t="shared" si="12"/>
        <v/>
      </c>
      <c r="T60" s="5" t="str">
        <f t="shared" si="13"/>
        <v/>
      </c>
      <c r="U60" s="5" t="str">
        <f t="shared" si="14"/>
        <v/>
      </c>
      <c r="V60" s="7" t="str">
        <f t="shared" si="15"/>
        <v/>
      </c>
      <c r="W60" s="8" t="str">
        <f t="shared" si="16"/>
        <v/>
      </c>
      <c r="X60" s="2"/>
      <c r="Y60" s="10"/>
      <c r="Z60" s="11" t="str">
        <f>IF(X60&lt;&gt;"执行卖出","",IFERROR(LOOKUP(2,1/(单次交易!$A$2:$A$88=B60),单次交易!$AP$2:$AP$88),""))</f>
        <v/>
      </c>
      <c r="AA60" s="10"/>
      <c r="AB60" s="8" t="str">
        <f t="shared" si="17"/>
        <v/>
      </c>
      <c r="AC60" s="8" t="str">
        <f>IF(A60="","",IF(A60="止损计划",IF(OR(B60="",D60="",E60="",F60="",G60=""),"计划不完整",IF(OR(D60&lt;1,D60&lt;&gt;INT(D60)),"阶段序号无效",IF(COUNTIFS($A$2:$A$157,"止损计划",$B$2:$B$157,B60,$D$2:$D$157,D60)&gt;1,"阶段序号重复",IF(E60&lt;=IFERROR(LOOKUP(2,1/(单次交易!$A$2:$A$88=B60),单次交易!$E$2:$E$88),0),"激活价须高于买入价",IF(F60&lt;N60,"止损价不得低于初始止损",IF(F60&gt;E60,"止损价不得高于激活价",IF(AND(COUNTIFS($A$2:$A$157,"止损计划",$B$2:$B$157,B60,$D$2:$D$157,"&lt;"&amp;D60)&gt;0,OR(E60&lt;=SUMPRODUCT(MAX((($A$2:$A$157="止损计划")*($B$2:$B$157=B60)*($D$2:$D$157&lt;D60))*$E$2:$E$157)),F60&lt;SUMPRODUCT(MAX((($A$2:$A$157="止损计划")*($B$2:$B$157=B60)*($D$2:$D$157&lt;D60))*$F$2:$F$157)))),"阶段价格必须逐级提高","计划有效"))))))),IF(A60="每日跟踪",IF(OR(B60="",H60="",I60="",J60=""),"每日数据不完整",IF(COUNTIFS($A$2:$A$157,"每日跟踪",$B$2:$B$157,B60,$H$2:$H$157,H60)&gt;1,"同一交易日期重复",IF(AND(R60&lt;&gt;"",R60&lt;S60),"人工止损无效：不能下调","跟踪有效"))),"记录类型无效")))</f>
        <v/>
      </c>
    </row>
    <row r="61" ht="17" spans="1:29">
      <c r="A61" s="2"/>
      <c r="B61" s="2"/>
      <c r="C61" s="8" t="str">
        <f>IF(B61="","",IFERROR(LOOKUP(2,1/(单次交易!$A$2:$A$88=B61),单次交易!$B$2:$B$88),""))</f>
        <v/>
      </c>
      <c r="D61" s="12"/>
      <c r="E61" s="10"/>
      <c r="F61" s="10"/>
      <c r="G61" s="2"/>
      <c r="H61" s="15"/>
      <c r="I61" s="10"/>
      <c r="J61" s="12"/>
      <c r="K61" s="2"/>
      <c r="L61" s="2"/>
      <c r="M61" s="2"/>
      <c r="N61" s="5" t="str">
        <f>IF(B61="","",IFERROR(LOOKUP(2,1/(单次交易!$A$2:$A$88=B61),单次交易!$N$2:$N$88),""))</f>
        <v/>
      </c>
      <c r="O61" s="5" t="str">
        <f t="shared" si="9"/>
        <v/>
      </c>
      <c r="P61" s="11" t="str">
        <f t="shared" si="10"/>
        <v/>
      </c>
      <c r="Q61" s="5" t="str">
        <f t="shared" si="11"/>
        <v/>
      </c>
      <c r="R61" s="10"/>
      <c r="S61" s="5" t="str">
        <f t="shared" si="12"/>
        <v/>
      </c>
      <c r="T61" s="5" t="str">
        <f t="shared" si="13"/>
        <v/>
      </c>
      <c r="U61" s="5" t="str">
        <f t="shared" si="14"/>
        <v/>
      </c>
      <c r="V61" s="7" t="str">
        <f t="shared" si="15"/>
        <v/>
      </c>
      <c r="W61" s="8" t="str">
        <f t="shared" si="16"/>
        <v/>
      </c>
      <c r="X61" s="2"/>
      <c r="Y61" s="10"/>
      <c r="Z61" s="11" t="str">
        <f>IF(X61&lt;&gt;"执行卖出","",IFERROR(LOOKUP(2,1/(单次交易!$A$2:$A$88=B61),单次交易!$AP$2:$AP$88),""))</f>
        <v/>
      </c>
      <c r="AA61" s="10"/>
      <c r="AB61" s="8" t="str">
        <f t="shared" si="17"/>
        <v/>
      </c>
      <c r="AC61" s="8" t="str">
        <f>IF(A61="","",IF(A61="止损计划",IF(OR(B61="",D61="",E61="",F61="",G61=""),"计划不完整",IF(OR(D61&lt;1,D61&lt;&gt;INT(D61)),"阶段序号无效",IF(COUNTIFS($A$2:$A$157,"止损计划",$B$2:$B$157,B61,$D$2:$D$157,D61)&gt;1,"阶段序号重复",IF(E61&lt;=IFERROR(LOOKUP(2,1/(单次交易!$A$2:$A$88=B61),单次交易!$E$2:$E$88),0),"激活价须高于买入价",IF(F61&lt;N61,"止损价不得低于初始止损",IF(F61&gt;E61,"止损价不得高于激活价",IF(AND(COUNTIFS($A$2:$A$157,"止损计划",$B$2:$B$157,B61,$D$2:$D$157,"&lt;"&amp;D61)&gt;0,OR(E61&lt;=SUMPRODUCT(MAX((($A$2:$A$157="止损计划")*($B$2:$B$157=B61)*($D$2:$D$157&lt;D61))*$E$2:$E$157)),F61&lt;SUMPRODUCT(MAX((($A$2:$A$157="止损计划")*($B$2:$B$157=B61)*($D$2:$D$157&lt;D61))*$F$2:$F$157)))),"阶段价格必须逐级提高","计划有效"))))))),IF(A61="每日跟踪",IF(OR(B61="",H61="",I61="",J61=""),"每日数据不完整",IF(COUNTIFS($A$2:$A$157,"每日跟踪",$B$2:$B$157,B61,$H$2:$H$157,H61)&gt;1,"同一交易日期重复",IF(AND(R61&lt;&gt;"",R61&lt;S61),"人工止损无效：不能下调","跟踪有效"))),"记录类型无效")))</f>
        <v/>
      </c>
    </row>
    <row r="62" ht="17" spans="1:29">
      <c r="A62" s="2"/>
      <c r="B62" s="2"/>
      <c r="C62" s="8" t="str">
        <f>IF(B62="","",IFERROR(LOOKUP(2,1/(单次交易!$A$2:$A$88=B62),单次交易!$B$2:$B$88),""))</f>
        <v/>
      </c>
      <c r="D62" s="12"/>
      <c r="E62" s="10"/>
      <c r="F62" s="10"/>
      <c r="G62" s="2"/>
      <c r="H62" s="15"/>
      <c r="I62" s="10"/>
      <c r="J62" s="12"/>
      <c r="K62" s="2"/>
      <c r="L62" s="2"/>
      <c r="M62" s="2"/>
      <c r="N62" s="5" t="str">
        <f>IF(B62="","",IFERROR(LOOKUP(2,1/(单次交易!$A$2:$A$88=B62),单次交易!$N$2:$N$88),""))</f>
        <v/>
      </c>
      <c r="O62" s="5" t="str">
        <f t="shared" si="9"/>
        <v/>
      </c>
      <c r="P62" s="11" t="str">
        <f t="shared" si="10"/>
        <v/>
      </c>
      <c r="Q62" s="5" t="str">
        <f t="shared" si="11"/>
        <v/>
      </c>
      <c r="R62" s="10"/>
      <c r="S62" s="5" t="str">
        <f t="shared" si="12"/>
        <v/>
      </c>
      <c r="T62" s="5" t="str">
        <f t="shared" si="13"/>
        <v/>
      </c>
      <c r="U62" s="5" t="str">
        <f t="shared" si="14"/>
        <v/>
      </c>
      <c r="V62" s="7" t="str">
        <f t="shared" si="15"/>
        <v/>
      </c>
      <c r="W62" s="8" t="str">
        <f t="shared" si="16"/>
        <v/>
      </c>
      <c r="X62" s="2"/>
      <c r="Y62" s="10"/>
      <c r="Z62" s="11" t="str">
        <f>IF(X62&lt;&gt;"执行卖出","",IFERROR(LOOKUP(2,1/(单次交易!$A$2:$A$88=B62),单次交易!$AP$2:$AP$88),""))</f>
        <v/>
      </c>
      <c r="AA62" s="10"/>
      <c r="AB62" s="8" t="str">
        <f t="shared" si="17"/>
        <v/>
      </c>
      <c r="AC62" s="8" t="str">
        <f>IF(A62="","",IF(A62="止损计划",IF(OR(B62="",D62="",E62="",F62="",G62=""),"计划不完整",IF(OR(D62&lt;1,D62&lt;&gt;INT(D62)),"阶段序号无效",IF(COUNTIFS($A$2:$A$157,"止损计划",$B$2:$B$157,B62,$D$2:$D$157,D62)&gt;1,"阶段序号重复",IF(E62&lt;=IFERROR(LOOKUP(2,1/(单次交易!$A$2:$A$88=B62),单次交易!$E$2:$E$88),0),"激活价须高于买入价",IF(F62&lt;N62,"止损价不得低于初始止损",IF(F62&gt;E62,"止损价不得高于激活价",IF(AND(COUNTIFS($A$2:$A$157,"止损计划",$B$2:$B$157,B62,$D$2:$D$157,"&lt;"&amp;D62)&gt;0,OR(E62&lt;=SUMPRODUCT(MAX((($A$2:$A$157="止损计划")*($B$2:$B$157=B62)*($D$2:$D$157&lt;D62))*$E$2:$E$157)),F62&lt;SUMPRODUCT(MAX((($A$2:$A$157="止损计划")*($B$2:$B$157=B62)*($D$2:$D$157&lt;D62))*$F$2:$F$157)))),"阶段价格必须逐级提高","计划有效"))))))),IF(A62="每日跟踪",IF(OR(B62="",H62="",I62="",J62=""),"每日数据不完整",IF(COUNTIFS($A$2:$A$157,"每日跟踪",$B$2:$B$157,B62,$H$2:$H$157,H62)&gt;1,"同一交易日期重复",IF(AND(R62&lt;&gt;"",R62&lt;S62),"人工止损无效：不能下调","跟踪有效"))),"记录类型无效")))</f>
        <v/>
      </c>
    </row>
    <row r="63" ht="17" spans="1:29">
      <c r="A63" s="2"/>
      <c r="B63" s="2"/>
      <c r="C63" s="8" t="str">
        <f>IF(B63="","",IFERROR(LOOKUP(2,1/(单次交易!$A$2:$A$88=B63),单次交易!$B$2:$B$88),""))</f>
        <v/>
      </c>
      <c r="D63" s="12"/>
      <c r="E63" s="10"/>
      <c r="F63" s="10"/>
      <c r="G63" s="2"/>
      <c r="H63" s="15"/>
      <c r="I63" s="10"/>
      <c r="J63" s="12"/>
      <c r="K63" s="2"/>
      <c r="L63" s="2"/>
      <c r="M63" s="2"/>
      <c r="N63" s="5" t="str">
        <f>IF(B63="","",IFERROR(LOOKUP(2,1/(单次交易!$A$2:$A$88=B63),单次交易!$N$2:$N$88),""))</f>
        <v/>
      </c>
      <c r="O63" s="5" t="str">
        <f t="shared" si="9"/>
        <v/>
      </c>
      <c r="P63" s="11" t="str">
        <f t="shared" si="10"/>
        <v/>
      </c>
      <c r="Q63" s="5" t="str">
        <f t="shared" si="11"/>
        <v/>
      </c>
      <c r="R63" s="10"/>
      <c r="S63" s="5" t="str">
        <f t="shared" si="12"/>
        <v/>
      </c>
      <c r="T63" s="5" t="str">
        <f t="shared" si="13"/>
        <v/>
      </c>
      <c r="U63" s="5" t="str">
        <f t="shared" si="14"/>
        <v/>
      </c>
      <c r="V63" s="7" t="str">
        <f t="shared" si="15"/>
        <v/>
      </c>
      <c r="W63" s="8" t="str">
        <f t="shared" si="16"/>
        <v/>
      </c>
      <c r="X63" s="2"/>
      <c r="Y63" s="10"/>
      <c r="Z63" s="11" t="str">
        <f>IF(X63&lt;&gt;"执行卖出","",IFERROR(LOOKUP(2,1/(单次交易!$A$2:$A$88=B63),单次交易!$AP$2:$AP$88),""))</f>
        <v/>
      </c>
      <c r="AA63" s="10"/>
      <c r="AB63" s="8" t="str">
        <f t="shared" si="17"/>
        <v/>
      </c>
      <c r="AC63" s="8" t="str">
        <f>IF(A63="","",IF(A63="止损计划",IF(OR(B63="",D63="",E63="",F63="",G63=""),"计划不完整",IF(OR(D63&lt;1,D63&lt;&gt;INT(D63)),"阶段序号无效",IF(COUNTIFS($A$2:$A$157,"止损计划",$B$2:$B$157,B63,$D$2:$D$157,D63)&gt;1,"阶段序号重复",IF(E63&lt;=IFERROR(LOOKUP(2,1/(单次交易!$A$2:$A$88=B63),单次交易!$E$2:$E$88),0),"激活价须高于买入价",IF(F63&lt;N63,"止损价不得低于初始止损",IF(F63&gt;E63,"止损价不得高于激活价",IF(AND(COUNTIFS($A$2:$A$157,"止损计划",$B$2:$B$157,B63,$D$2:$D$157,"&lt;"&amp;D63)&gt;0,OR(E63&lt;=SUMPRODUCT(MAX((($A$2:$A$157="止损计划")*($B$2:$B$157=B63)*($D$2:$D$157&lt;D63))*$E$2:$E$157)),F63&lt;SUMPRODUCT(MAX((($A$2:$A$157="止损计划")*($B$2:$B$157=B63)*($D$2:$D$157&lt;D63))*$F$2:$F$157)))),"阶段价格必须逐级提高","计划有效"))))))),IF(A63="每日跟踪",IF(OR(B63="",H63="",I63="",J63=""),"每日数据不完整",IF(COUNTIFS($A$2:$A$157,"每日跟踪",$B$2:$B$157,B63,$H$2:$H$157,H63)&gt;1,"同一交易日期重复",IF(AND(R63&lt;&gt;"",R63&lt;S63),"人工止损无效：不能下调","跟踪有效"))),"记录类型无效")))</f>
        <v/>
      </c>
    </row>
    <row r="64" ht="17" spans="1:29">
      <c r="A64" s="2"/>
      <c r="B64" s="2"/>
      <c r="C64" s="8" t="str">
        <f>IF(B64="","",IFERROR(LOOKUP(2,1/(单次交易!$A$2:$A$88=B64),单次交易!$B$2:$B$88),""))</f>
        <v/>
      </c>
      <c r="D64" s="12"/>
      <c r="E64" s="10"/>
      <c r="F64" s="10"/>
      <c r="G64" s="2"/>
      <c r="H64" s="15"/>
      <c r="I64" s="10"/>
      <c r="J64" s="12"/>
      <c r="K64" s="2"/>
      <c r="L64" s="2"/>
      <c r="M64" s="2"/>
      <c r="N64" s="5" t="str">
        <f>IF(B64="","",IFERROR(LOOKUP(2,1/(单次交易!$A$2:$A$88=B64),单次交易!$N$2:$N$88),""))</f>
        <v/>
      </c>
      <c r="O64" s="5" t="str">
        <f t="shared" si="9"/>
        <v/>
      </c>
      <c r="P64" s="11" t="str">
        <f t="shared" si="10"/>
        <v/>
      </c>
      <c r="Q64" s="5" t="str">
        <f t="shared" si="11"/>
        <v/>
      </c>
      <c r="R64" s="10"/>
      <c r="S64" s="5" t="str">
        <f t="shared" si="12"/>
        <v/>
      </c>
      <c r="T64" s="5" t="str">
        <f t="shared" si="13"/>
        <v/>
      </c>
      <c r="U64" s="5" t="str">
        <f t="shared" si="14"/>
        <v/>
      </c>
      <c r="V64" s="7" t="str">
        <f t="shared" si="15"/>
        <v/>
      </c>
      <c r="W64" s="8" t="str">
        <f t="shared" si="16"/>
        <v/>
      </c>
      <c r="X64" s="2"/>
      <c r="Y64" s="10"/>
      <c r="Z64" s="11" t="str">
        <f>IF(X64&lt;&gt;"执行卖出","",IFERROR(LOOKUP(2,1/(单次交易!$A$2:$A$88=B64),单次交易!$AP$2:$AP$88),""))</f>
        <v/>
      </c>
      <c r="AA64" s="10"/>
      <c r="AB64" s="8" t="str">
        <f t="shared" si="17"/>
        <v/>
      </c>
      <c r="AC64" s="8" t="str">
        <f>IF(A64="","",IF(A64="止损计划",IF(OR(B64="",D64="",E64="",F64="",G64=""),"计划不完整",IF(OR(D64&lt;1,D64&lt;&gt;INT(D64)),"阶段序号无效",IF(COUNTIFS($A$2:$A$157,"止损计划",$B$2:$B$157,B64,$D$2:$D$157,D64)&gt;1,"阶段序号重复",IF(E64&lt;=IFERROR(LOOKUP(2,1/(单次交易!$A$2:$A$88=B64),单次交易!$E$2:$E$88),0),"激活价须高于买入价",IF(F64&lt;N64,"止损价不得低于初始止损",IF(F64&gt;E64,"止损价不得高于激活价",IF(AND(COUNTIFS($A$2:$A$157,"止损计划",$B$2:$B$157,B64,$D$2:$D$157,"&lt;"&amp;D64)&gt;0,OR(E64&lt;=SUMPRODUCT(MAX((($A$2:$A$157="止损计划")*($B$2:$B$157=B64)*($D$2:$D$157&lt;D64))*$E$2:$E$157)),F64&lt;SUMPRODUCT(MAX((($A$2:$A$157="止损计划")*($B$2:$B$157=B64)*($D$2:$D$157&lt;D64))*$F$2:$F$157)))),"阶段价格必须逐级提高","计划有效"))))))),IF(A64="每日跟踪",IF(OR(B64="",H64="",I64="",J64=""),"每日数据不完整",IF(COUNTIFS($A$2:$A$157,"每日跟踪",$B$2:$B$157,B64,$H$2:$H$157,H64)&gt;1,"同一交易日期重复",IF(AND(R64&lt;&gt;"",R64&lt;S64),"人工止损无效：不能下调","跟踪有效"))),"记录类型无效")))</f>
        <v/>
      </c>
    </row>
    <row r="65" ht="17" spans="1:29">
      <c r="A65" s="2"/>
      <c r="B65" s="2"/>
      <c r="C65" s="8" t="str">
        <f>IF(B65="","",IFERROR(LOOKUP(2,1/(单次交易!$A$2:$A$88=B65),单次交易!$B$2:$B$88),""))</f>
        <v/>
      </c>
      <c r="D65" s="12"/>
      <c r="E65" s="10"/>
      <c r="F65" s="10"/>
      <c r="G65" s="2"/>
      <c r="H65" s="15"/>
      <c r="I65" s="10"/>
      <c r="J65" s="12"/>
      <c r="K65" s="2"/>
      <c r="L65" s="2"/>
      <c r="M65" s="2"/>
      <c r="N65" s="5" t="str">
        <f>IF(B65="","",IFERROR(LOOKUP(2,1/(单次交易!$A$2:$A$88=B65),单次交易!$N$2:$N$88),""))</f>
        <v/>
      </c>
      <c r="O65" s="5" t="str">
        <f t="shared" si="9"/>
        <v/>
      </c>
      <c r="P65" s="11" t="str">
        <f t="shared" si="10"/>
        <v/>
      </c>
      <c r="Q65" s="5" t="str">
        <f t="shared" si="11"/>
        <v/>
      </c>
      <c r="R65" s="10"/>
      <c r="S65" s="5" t="str">
        <f t="shared" si="12"/>
        <v/>
      </c>
      <c r="T65" s="5" t="str">
        <f t="shared" si="13"/>
        <v/>
      </c>
      <c r="U65" s="5" t="str">
        <f t="shared" si="14"/>
        <v/>
      </c>
      <c r="V65" s="7" t="str">
        <f t="shared" si="15"/>
        <v/>
      </c>
      <c r="W65" s="8" t="str">
        <f t="shared" si="16"/>
        <v/>
      </c>
      <c r="X65" s="2"/>
      <c r="Y65" s="10"/>
      <c r="Z65" s="11" t="str">
        <f>IF(X65&lt;&gt;"执行卖出","",IFERROR(LOOKUP(2,1/(单次交易!$A$2:$A$88=B65),单次交易!$AP$2:$AP$88),""))</f>
        <v/>
      </c>
      <c r="AA65" s="10"/>
      <c r="AB65" s="8" t="str">
        <f t="shared" si="17"/>
        <v/>
      </c>
      <c r="AC65" s="8" t="str">
        <f>IF(A65="","",IF(A65="止损计划",IF(OR(B65="",D65="",E65="",F65="",G65=""),"计划不完整",IF(OR(D65&lt;1,D65&lt;&gt;INT(D65)),"阶段序号无效",IF(COUNTIFS($A$2:$A$157,"止损计划",$B$2:$B$157,B65,$D$2:$D$157,D65)&gt;1,"阶段序号重复",IF(E65&lt;=IFERROR(LOOKUP(2,1/(单次交易!$A$2:$A$88=B65),单次交易!$E$2:$E$88),0),"激活价须高于买入价",IF(F65&lt;N65,"止损价不得低于初始止损",IF(F65&gt;E65,"止损价不得高于激活价",IF(AND(COUNTIFS($A$2:$A$157,"止损计划",$B$2:$B$157,B65,$D$2:$D$157,"&lt;"&amp;D65)&gt;0,OR(E65&lt;=SUMPRODUCT(MAX((($A$2:$A$157="止损计划")*($B$2:$B$157=B65)*($D$2:$D$157&lt;D65))*$E$2:$E$157)),F65&lt;SUMPRODUCT(MAX((($A$2:$A$157="止损计划")*($B$2:$B$157=B65)*($D$2:$D$157&lt;D65))*$F$2:$F$157)))),"阶段价格必须逐级提高","计划有效"))))))),IF(A65="每日跟踪",IF(OR(B65="",H65="",I65="",J65=""),"每日数据不完整",IF(COUNTIFS($A$2:$A$157,"每日跟踪",$B$2:$B$157,B65,$H$2:$H$157,H65)&gt;1,"同一交易日期重复",IF(AND(R65&lt;&gt;"",R65&lt;S65),"人工止损无效：不能下调","跟踪有效"))),"记录类型无效")))</f>
        <v/>
      </c>
    </row>
    <row r="66" ht="17" spans="1:29">
      <c r="A66" s="2"/>
      <c r="B66" s="2"/>
      <c r="C66" s="8" t="str">
        <f>IF(B66="","",IFERROR(LOOKUP(2,1/(单次交易!$A$2:$A$88=B66),单次交易!$B$2:$B$88),""))</f>
        <v/>
      </c>
      <c r="D66" s="12"/>
      <c r="E66" s="10"/>
      <c r="F66" s="10"/>
      <c r="G66" s="2"/>
      <c r="H66" s="15"/>
      <c r="I66" s="10"/>
      <c r="J66" s="12"/>
      <c r="K66" s="2"/>
      <c r="L66" s="2"/>
      <c r="M66" s="2"/>
      <c r="N66" s="5" t="str">
        <f>IF(B66="","",IFERROR(LOOKUP(2,1/(单次交易!$A$2:$A$88=B66),单次交易!$N$2:$N$88),""))</f>
        <v/>
      </c>
      <c r="O66" s="5" t="str">
        <f t="shared" ref="O66:O97" si="18">IF(A66&lt;&gt;"每日跟踪","",IF(OR(B66="",H66="",I66=""),"",IFERROR(SUMPRODUCT(MAX((($A$2:$A$157="每日跟踪")*($B$2:$B$157=B66)*($H$2:$H$157&lt;=H66))*$I$2:$I$157)),"")))</f>
        <v/>
      </c>
      <c r="P66" s="11" t="str">
        <f t="shared" ref="P66:P97" si="19">IF(A66&lt;&gt;"每日跟踪","",IF(O66="","",IFERROR(SUMPRODUCT(MAX((($A$2:$A$157="止损计划")*($B$2:$B$157=B66)*($E$2:$E$157&lt;=O66))*$D$2:$D$157)),0)))</f>
        <v/>
      </c>
      <c r="Q66" s="5" t="str">
        <f t="shared" ref="Q66:Q97" si="20">IF(A66&lt;&gt;"每日跟踪","",IF(N66="","",MAX(N66,IFERROR(SUMPRODUCT(MAX((($A$2:$A$157="止损计划")*($B$2:$B$157=B66)*($E$2:$E$157&lt;=O66))*$F$2:$F$157)),0))))</f>
        <v/>
      </c>
      <c r="R66" s="10"/>
      <c r="S66" s="5" t="str">
        <f t="shared" ref="S66:S97" si="21">IF(A66&lt;&gt;"每日跟踪","",IF(Q66="","",MAX(Q66,IFERROR(SUMPRODUCT(MAX((($A$2:$A$157="每日跟踪")*($B$2:$B$157=B66)*($H$2:$H$157&lt;=H66))*$R$2:$R$157)),0))))</f>
        <v/>
      </c>
      <c r="T66" s="5" t="str">
        <f t="shared" ref="T66:T97" si="22">IF(A66&lt;&gt;"每日跟踪","",IF(O66="","",IF(COUNTIFS($A$2:$A$157,"止损计划",$B$2:$B$157,B66,$E$2:$E$157,"&gt;"&amp;O66)=0,"",INDEX($E$2:$E$157,MATCH(1,INDEX(($A$2:$A$157="止损计划")*($B$2:$B$157=B66)*($E$2:$E$157&gt;O66),0),0)))))</f>
        <v/>
      </c>
      <c r="U66" s="5" t="str">
        <f t="shared" ref="U66:U97" si="23">IF(OR(A66&lt;&gt;"每日跟踪",T66=""),"",IFERROR(SUMIFS($F$2:$F$157,$A$2:$A$157,"止损计划",$B$2:$B$157,B66,$E$2:$E$157,T66),""))</f>
        <v/>
      </c>
      <c r="V66" s="7" t="str">
        <f t="shared" si="15"/>
        <v/>
      </c>
      <c r="W66" s="8" t="str">
        <f t="shared" si="16"/>
        <v/>
      </c>
      <c r="X66" s="2"/>
      <c r="Y66" s="10"/>
      <c r="Z66" s="11" t="str">
        <f>IF(X66&lt;&gt;"执行卖出","",IFERROR(LOOKUP(2,1/(单次交易!$A$2:$A$88=B66),单次交易!$AP$2:$AP$88),""))</f>
        <v/>
      </c>
      <c r="AA66" s="10"/>
      <c r="AB66" s="8" t="str">
        <f t="shared" si="17"/>
        <v/>
      </c>
      <c r="AC66" s="8" t="str">
        <f>IF(A66="","",IF(A66="止损计划",IF(OR(B66="",D66="",E66="",F66="",G66=""),"计划不完整",IF(OR(D66&lt;1,D66&lt;&gt;INT(D66)),"阶段序号无效",IF(COUNTIFS($A$2:$A$157,"止损计划",$B$2:$B$157,B66,$D$2:$D$157,D66)&gt;1,"阶段序号重复",IF(E66&lt;=IFERROR(LOOKUP(2,1/(单次交易!$A$2:$A$88=B66),单次交易!$E$2:$E$88),0),"激活价须高于买入价",IF(F66&lt;N66,"止损价不得低于初始止损",IF(F66&gt;E66,"止损价不得高于激活价",IF(AND(COUNTIFS($A$2:$A$157,"止损计划",$B$2:$B$157,B66,$D$2:$D$157,"&lt;"&amp;D66)&gt;0,OR(E66&lt;=SUMPRODUCT(MAX((($A$2:$A$157="止损计划")*($B$2:$B$157=B66)*($D$2:$D$157&lt;D66))*$E$2:$E$157)),F66&lt;SUMPRODUCT(MAX((($A$2:$A$157="止损计划")*($B$2:$B$157=B66)*($D$2:$D$157&lt;D66))*$F$2:$F$157)))),"阶段价格必须逐级提高","计划有效"))))))),IF(A66="每日跟踪",IF(OR(B66="",H66="",I66="",J66=""),"每日数据不完整",IF(COUNTIFS($A$2:$A$157,"每日跟踪",$B$2:$B$157,B66,$H$2:$H$157,H66)&gt;1,"同一交易日期重复",IF(AND(R66&lt;&gt;"",R66&lt;S66),"人工止损无效：不能下调","跟踪有效"))),"记录类型无效")))</f>
        <v/>
      </c>
    </row>
    <row r="67" ht="17" spans="1:29">
      <c r="A67" s="2"/>
      <c r="B67" s="2"/>
      <c r="C67" s="8" t="str">
        <f>IF(B67="","",IFERROR(LOOKUP(2,1/(单次交易!$A$2:$A$88=B67),单次交易!$B$2:$B$88),""))</f>
        <v/>
      </c>
      <c r="D67" s="12"/>
      <c r="E67" s="10"/>
      <c r="F67" s="10"/>
      <c r="G67" s="2"/>
      <c r="H67" s="15"/>
      <c r="I67" s="10"/>
      <c r="J67" s="12"/>
      <c r="K67" s="2"/>
      <c r="L67" s="2"/>
      <c r="M67" s="2"/>
      <c r="N67" s="5" t="str">
        <f>IF(B67="","",IFERROR(LOOKUP(2,1/(单次交易!$A$2:$A$88=B67),单次交易!$N$2:$N$88),""))</f>
        <v/>
      </c>
      <c r="O67" s="5" t="str">
        <f t="shared" si="18"/>
        <v/>
      </c>
      <c r="P67" s="11" t="str">
        <f t="shared" si="19"/>
        <v/>
      </c>
      <c r="Q67" s="5" t="str">
        <f t="shared" si="20"/>
        <v/>
      </c>
      <c r="R67" s="10"/>
      <c r="S67" s="5" t="str">
        <f t="shared" si="21"/>
        <v/>
      </c>
      <c r="T67" s="5" t="str">
        <f t="shared" si="22"/>
        <v/>
      </c>
      <c r="U67" s="5" t="str">
        <f t="shared" si="23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IF(X67&lt;&gt;"执行卖出","",IFERROR(LOOKUP(2,1/(单次交易!$A$2:$A$88=B67),单次交易!$AP$2:$AP$88),""))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$157,"止损计划",$B$2:$B$157,B67,$D$2:$D$157,D67)&gt;1,"阶段序号重复",IF(E67&lt;=IFERROR(LOOKUP(2,1/(单次交易!$A$2:$A$88=B67),单次交易!$E$2:$E$88),0),"激活价须高于买入价",IF(F67&lt;N67,"止损价不得低于初始止损",IF(F67&gt;E67,"止损价不得高于激活价",IF(AND(COUNTIFS($A$2:$A$157,"止损计划",$B$2:$B$157,B67,$D$2:$D$157,"&lt;"&amp;D67)&gt;0,OR(E67&lt;=SUMPRODUCT(MAX((($A$2:$A$157="止损计划")*($B$2:$B$157=B67)*($D$2:$D$157&lt;D67))*$E$2:$E$157)),F67&lt;SUMPRODUCT(MAX((($A$2:$A$157="止损计划")*($B$2:$B$157=B67)*($D$2:$D$157&lt;D67))*$F$2:$F$157)))),"阶段价格必须逐级提高","计划有效"))))))),IF(A67="每日跟踪",IF(OR(B67="",H67="",I67="",J67=""),"每日数据不完整",IF(COUNTIFS($A$2:$A$157,"每日跟踪",$B$2:$B$157,B67,$H$2:$H$157,H67)&gt;1,"同一交易日期重复",IF(AND(R67&lt;&gt;"",R67&lt;S67),"人工止损无效：不能下调","跟踪有效"))),"记录类型无效")))</f>
        <v/>
      </c>
    </row>
    <row r="68" ht="17" spans="1:29">
      <c r="A68" s="2"/>
      <c r="B68" s="2"/>
      <c r="C68" s="8" t="str">
        <f>IF(B68="","",IFERROR(LOOKUP(2,1/(单次交易!$A$2:$A$88=B68),单次交易!$B$2:$B$88),""))</f>
        <v/>
      </c>
      <c r="D68" s="12"/>
      <c r="E68" s="10"/>
      <c r="F68" s="10"/>
      <c r="G68" s="2"/>
      <c r="H68" s="15"/>
      <c r="I68" s="10"/>
      <c r="J68" s="12"/>
      <c r="K68" s="2"/>
      <c r="L68" s="2"/>
      <c r="M68" s="2"/>
      <c r="N68" s="5" t="str">
        <f>IF(B68="","",IFERROR(LOOKUP(2,1/(单次交易!$A$2:$A$88=B68),单次交易!$N$2:$N$88),""))</f>
        <v/>
      </c>
      <c r="O68" s="5" t="str">
        <f t="shared" si="18"/>
        <v/>
      </c>
      <c r="P68" s="11" t="str">
        <f t="shared" si="19"/>
        <v/>
      </c>
      <c r="Q68" s="5" t="str">
        <f t="shared" si="20"/>
        <v/>
      </c>
      <c r="R68" s="10"/>
      <c r="S68" s="5" t="str">
        <f t="shared" si="21"/>
        <v/>
      </c>
      <c r="T68" s="5" t="str">
        <f t="shared" si="22"/>
        <v/>
      </c>
      <c r="U68" s="5" t="str">
        <f t="shared" si="23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IF(X68&lt;&gt;"执行卖出","",IFERROR(LOOKUP(2,1/(单次交易!$A$2:$A$88=B68),单次交易!$AP$2:$AP$88),""))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$157,"止损计划",$B$2:$B$157,B68,$D$2:$D$157,D68)&gt;1,"阶段序号重复",IF(E68&lt;=IFERROR(LOOKUP(2,1/(单次交易!$A$2:$A$88=B68),单次交易!$E$2:$E$88),0),"激活价须高于买入价",IF(F68&lt;N68,"止损价不得低于初始止损",IF(F68&gt;E68,"止损价不得高于激活价",IF(AND(COUNTIFS($A$2:$A$157,"止损计划",$B$2:$B$157,B68,$D$2:$D$157,"&lt;"&amp;D68)&gt;0,OR(E68&lt;=SUMPRODUCT(MAX((($A$2:$A$157="止损计划")*($B$2:$B$157=B68)*($D$2:$D$157&lt;D68))*$E$2:$E$157)),F68&lt;SUMPRODUCT(MAX((($A$2:$A$157="止损计划")*($B$2:$B$157=B68)*($D$2:$D$157&lt;D68))*$F$2:$F$157)))),"阶段价格必须逐级提高","计划有效"))))))),IF(A68="每日跟踪",IF(OR(B68="",H68="",I68="",J68=""),"每日数据不完整",IF(COUNTIFS($A$2:$A$157,"每日跟踪",$B$2:$B$157,B68,$H$2:$H$157,H68)&gt;1,"同一交易日期重复",IF(AND(R68&lt;&gt;"",R68&lt;S68),"人工止损无效：不能下调","跟踪有效"))),"记录类型无效")))</f>
        <v/>
      </c>
    </row>
    <row r="69" ht="17" spans="1:29">
      <c r="A69" s="2"/>
      <c r="B69" s="2"/>
      <c r="C69" s="8" t="str">
        <f>IF(B69="","",IFERROR(LOOKUP(2,1/(单次交易!$A$2:$A$88=B69),单次交易!$B$2:$B$88),""))</f>
        <v/>
      </c>
      <c r="D69" s="12"/>
      <c r="E69" s="10"/>
      <c r="F69" s="10"/>
      <c r="G69" s="2"/>
      <c r="H69" s="15"/>
      <c r="I69" s="10"/>
      <c r="J69" s="12"/>
      <c r="K69" s="2"/>
      <c r="L69" s="2"/>
      <c r="M69" s="2"/>
      <c r="N69" s="5" t="str">
        <f>IF(B69="","",IFERROR(LOOKUP(2,1/(单次交易!$A$2:$A$88=B69),单次交易!$N$2:$N$88),""))</f>
        <v/>
      </c>
      <c r="O69" s="5" t="str">
        <f t="shared" si="18"/>
        <v/>
      </c>
      <c r="P69" s="11" t="str">
        <f t="shared" si="19"/>
        <v/>
      </c>
      <c r="Q69" s="5" t="str">
        <f t="shared" si="20"/>
        <v/>
      </c>
      <c r="R69" s="10"/>
      <c r="S69" s="5" t="str">
        <f t="shared" si="21"/>
        <v/>
      </c>
      <c r="T69" s="5" t="str">
        <f t="shared" si="22"/>
        <v/>
      </c>
      <c r="U69" s="5" t="str">
        <f t="shared" si="23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IF(X69&lt;&gt;"执行卖出","",IFERROR(LOOKUP(2,1/(单次交易!$A$2:$A$88=B69),单次交易!$AP$2:$AP$88),""))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$157,"止损计划",$B$2:$B$157,B69,$D$2:$D$157,D69)&gt;1,"阶段序号重复",IF(E69&lt;=IFERROR(LOOKUP(2,1/(单次交易!$A$2:$A$88=B69),单次交易!$E$2:$E$88),0),"激活价须高于买入价",IF(F69&lt;N69,"止损价不得低于初始止损",IF(F69&gt;E69,"止损价不得高于激活价",IF(AND(COUNTIFS($A$2:$A$157,"止损计划",$B$2:$B$157,B69,$D$2:$D$157,"&lt;"&amp;D69)&gt;0,OR(E69&lt;=SUMPRODUCT(MAX((($A$2:$A$157="止损计划")*($B$2:$B$157=B69)*($D$2:$D$157&lt;D69))*$E$2:$E$157)),F69&lt;SUMPRODUCT(MAX((($A$2:$A$157="止损计划")*($B$2:$B$157=B69)*($D$2:$D$157&lt;D69))*$F$2:$F$157)))),"阶段价格必须逐级提高","计划有效"))))))),IF(A69="每日跟踪",IF(OR(B69="",H69="",I69="",J69=""),"每日数据不完整",IF(COUNTIFS($A$2:$A$157,"每日跟踪",$B$2:$B$157,B69,$H$2:$H$157,H69)&gt;1,"同一交易日期重复",IF(AND(R69&lt;&gt;"",R69&lt;S69),"人工止损无效：不能下调","跟踪有效"))),"记录类型无效")))</f>
        <v/>
      </c>
    </row>
    <row r="70" ht="17" spans="1:29">
      <c r="A70" s="2"/>
      <c r="B70" s="2"/>
      <c r="C70" s="8" t="str">
        <f>IF(B70="","",IFERROR(LOOKUP(2,1/(单次交易!$A$2:$A$88=B70),单次交易!$B$2:$B$88),""))</f>
        <v/>
      </c>
      <c r="D70" s="12"/>
      <c r="E70" s="10"/>
      <c r="F70" s="10"/>
      <c r="G70" s="2"/>
      <c r="H70" s="15"/>
      <c r="I70" s="10"/>
      <c r="J70" s="12"/>
      <c r="K70" s="2"/>
      <c r="L70" s="2"/>
      <c r="M70" s="2"/>
      <c r="N70" s="5" t="str">
        <f>IF(B70="","",IFERROR(LOOKUP(2,1/(单次交易!$A$2:$A$88=B70),单次交易!$N$2:$N$88),""))</f>
        <v/>
      </c>
      <c r="O70" s="5" t="str">
        <f t="shared" si="18"/>
        <v/>
      </c>
      <c r="P70" s="11" t="str">
        <f t="shared" si="19"/>
        <v/>
      </c>
      <c r="Q70" s="5" t="str">
        <f t="shared" si="20"/>
        <v/>
      </c>
      <c r="R70" s="10"/>
      <c r="S70" s="5" t="str">
        <f t="shared" si="21"/>
        <v/>
      </c>
      <c r="T70" s="5" t="str">
        <f t="shared" si="22"/>
        <v/>
      </c>
      <c r="U70" s="5" t="str">
        <f t="shared" si="23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IF(X70&lt;&gt;"执行卖出","",IFERROR(LOOKUP(2,1/(单次交易!$A$2:$A$88=B70),单次交易!$AP$2:$AP$88),""))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$157,"止损计划",$B$2:$B$157,B70,$D$2:$D$157,D70)&gt;1,"阶段序号重复",IF(E70&lt;=IFERROR(LOOKUP(2,1/(单次交易!$A$2:$A$88=B70),单次交易!$E$2:$E$88),0),"激活价须高于买入价",IF(F70&lt;N70,"止损价不得低于初始止损",IF(F70&gt;E70,"止损价不得高于激活价",IF(AND(COUNTIFS($A$2:$A$157,"止损计划",$B$2:$B$157,B70,$D$2:$D$157,"&lt;"&amp;D70)&gt;0,OR(E70&lt;=SUMPRODUCT(MAX((($A$2:$A$157="止损计划")*($B$2:$B$157=B70)*($D$2:$D$157&lt;D70))*$E$2:$E$157)),F70&lt;SUMPRODUCT(MAX((($A$2:$A$157="止损计划")*($B$2:$B$157=B70)*($D$2:$D$157&lt;D70))*$F$2:$F$157)))),"阶段价格必须逐级提高","计划有效"))))))),IF(A70="每日跟踪",IF(OR(B70="",H70="",I70="",J70=""),"每日数据不完整",IF(COUNTIFS($A$2:$A$157,"每日跟踪",$B$2:$B$157,B70,$H$2:$H$157,H70)&gt;1,"同一交易日期重复",IF(AND(R70&lt;&gt;"",R70&lt;S70),"人工止损无效：不能下调","跟踪有效"))),"记录类型无效")))</f>
        <v/>
      </c>
    </row>
    <row r="71" ht="17" spans="1:29">
      <c r="A71" s="2"/>
      <c r="B71" s="2"/>
      <c r="C71" s="8" t="str">
        <f>IF(B71="","",IFERROR(LOOKUP(2,1/(单次交易!$A$2:$A$88=B71),单次交易!$B$2:$B$88),""))</f>
        <v/>
      </c>
      <c r="D71" s="12"/>
      <c r="E71" s="10"/>
      <c r="F71" s="10"/>
      <c r="G71" s="2"/>
      <c r="H71" s="15"/>
      <c r="I71" s="10"/>
      <c r="J71" s="12"/>
      <c r="K71" s="2"/>
      <c r="L71" s="2"/>
      <c r="M71" s="2"/>
      <c r="N71" s="5" t="str">
        <f>IF(B71="","",IFERROR(LOOKUP(2,1/(单次交易!$A$2:$A$88=B71),单次交易!$N$2:$N$88),""))</f>
        <v/>
      </c>
      <c r="O71" s="5" t="str">
        <f t="shared" si="18"/>
        <v/>
      </c>
      <c r="P71" s="11" t="str">
        <f t="shared" si="19"/>
        <v/>
      </c>
      <c r="Q71" s="5" t="str">
        <f t="shared" si="20"/>
        <v/>
      </c>
      <c r="R71" s="10"/>
      <c r="S71" s="5" t="str">
        <f t="shared" si="21"/>
        <v/>
      </c>
      <c r="T71" s="5" t="str">
        <f t="shared" si="22"/>
        <v/>
      </c>
      <c r="U71" s="5" t="str">
        <f t="shared" si="23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IF(X71&lt;&gt;"执行卖出","",IFERROR(LOOKUP(2,1/(单次交易!$A$2:$A$88=B71),单次交易!$AP$2:$AP$88),""))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$157,"止损计划",$B$2:$B$157,B71,$D$2:$D$157,D71)&gt;1,"阶段序号重复",IF(E71&lt;=IFERROR(LOOKUP(2,1/(单次交易!$A$2:$A$88=B71),单次交易!$E$2:$E$88),0),"激活价须高于买入价",IF(F71&lt;N71,"止损价不得低于初始止损",IF(F71&gt;E71,"止损价不得高于激活价",IF(AND(COUNTIFS($A$2:$A$157,"止损计划",$B$2:$B$157,B71,$D$2:$D$157,"&lt;"&amp;D71)&gt;0,OR(E71&lt;=SUMPRODUCT(MAX((($A$2:$A$157="止损计划")*($B$2:$B$157=B71)*($D$2:$D$157&lt;D71))*$E$2:$E$157)),F71&lt;SUMPRODUCT(MAX((($A$2:$A$157="止损计划")*($B$2:$B$157=B71)*($D$2:$D$157&lt;D71))*$F$2:$F$157)))),"阶段价格必须逐级提高","计划有效"))))))),IF(A71="每日跟踪",IF(OR(B71="",H71="",I71="",J71=""),"每日数据不完整",IF(COUNTIFS($A$2:$A$157,"每日跟踪",$B$2:$B$157,B71,$H$2:$H$157,H71)&gt;1,"同一交易日期重复",IF(AND(R71&lt;&gt;"",R71&lt;S71),"人工止损无效：不能下调","跟踪有效"))),"记录类型无效")))</f>
        <v/>
      </c>
    </row>
    <row r="72" ht="17" spans="1:29">
      <c r="A72" s="2"/>
      <c r="B72" s="2"/>
      <c r="C72" s="8" t="str">
        <f>IF(B72="","",IFERROR(LOOKUP(2,1/(单次交易!$A$2:$A$88=B72),单次交易!$B$2:$B$88),""))</f>
        <v/>
      </c>
      <c r="D72" s="12"/>
      <c r="E72" s="10"/>
      <c r="F72" s="10"/>
      <c r="G72" s="2"/>
      <c r="H72" s="15"/>
      <c r="I72" s="10"/>
      <c r="J72" s="12"/>
      <c r="K72" s="2"/>
      <c r="L72" s="2"/>
      <c r="M72" s="2"/>
      <c r="N72" s="5" t="str">
        <f>IF(B72="","",IFERROR(LOOKUP(2,1/(单次交易!$A$2:$A$88=B72),单次交易!$N$2:$N$88),""))</f>
        <v/>
      </c>
      <c r="O72" s="5" t="str">
        <f t="shared" si="18"/>
        <v/>
      </c>
      <c r="P72" s="11" t="str">
        <f t="shared" si="19"/>
        <v/>
      </c>
      <c r="Q72" s="5" t="str">
        <f t="shared" si="20"/>
        <v/>
      </c>
      <c r="R72" s="10"/>
      <c r="S72" s="5" t="str">
        <f t="shared" si="21"/>
        <v/>
      </c>
      <c r="T72" s="5" t="str">
        <f t="shared" si="22"/>
        <v/>
      </c>
      <c r="U72" s="5" t="str">
        <f t="shared" si="23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IF(X72&lt;&gt;"执行卖出","",IFERROR(LOOKUP(2,1/(单次交易!$A$2:$A$88=B72),单次交易!$AP$2:$AP$88),""))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$157,"止损计划",$B$2:$B$157,B72,$D$2:$D$157,D72)&gt;1,"阶段序号重复",IF(E72&lt;=IFERROR(LOOKUP(2,1/(单次交易!$A$2:$A$88=B72),单次交易!$E$2:$E$88),0),"激活价须高于买入价",IF(F72&lt;N72,"止损价不得低于初始止损",IF(F72&gt;E72,"止损价不得高于激活价",IF(AND(COUNTIFS($A$2:$A$157,"止损计划",$B$2:$B$157,B72,$D$2:$D$157,"&lt;"&amp;D72)&gt;0,OR(E72&lt;=SUMPRODUCT(MAX((($A$2:$A$157="止损计划")*($B$2:$B$157=B72)*($D$2:$D$157&lt;D72))*$E$2:$E$157)),F72&lt;SUMPRODUCT(MAX((($A$2:$A$157="止损计划")*($B$2:$B$157=B72)*($D$2:$D$157&lt;D72))*$F$2:$F$157)))),"阶段价格必须逐级提高","计划有效"))))))),IF(A72="每日跟踪",IF(OR(B72="",H72="",I72="",J72=""),"每日数据不完整",IF(COUNTIFS($A$2:$A$157,"每日跟踪",$B$2:$B$157,B72,$H$2:$H$157,H72)&gt;1,"同一交易日期重复",IF(AND(R72&lt;&gt;"",R72&lt;S72),"人工止损无效：不能下调","跟踪有效"))),"记录类型无效")))</f>
        <v/>
      </c>
    </row>
    <row r="73" ht="17" spans="1:29">
      <c r="A73" s="2"/>
      <c r="B73" s="2"/>
      <c r="C73" s="8" t="str">
        <f>IF(B73="","",IFERROR(LOOKUP(2,1/(单次交易!$A$2:$A$88=B73),单次交易!$B$2:$B$88),""))</f>
        <v/>
      </c>
      <c r="D73" s="12"/>
      <c r="E73" s="10"/>
      <c r="F73" s="10"/>
      <c r="G73" s="2"/>
      <c r="H73" s="15"/>
      <c r="I73" s="10"/>
      <c r="J73" s="12"/>
      <c r="K73" s="2"/>
      <c r="L73" s="2"/>
      <c r="M73" s="2"/>
      <c r="N73" s="5" t="str">
        <f>IF(B73="","",IFERROR(LOOKUP(2,1/(单次交易!$A$2:$A$88=B73),单次交易!$N$2:$N$88),""))</f>
        <v/>
      </c>
      <c r="O73" s="5" t="str">
        <f t="shared" si="18"/>
        <v/>
      </c>
      <c r="P73" s="11" t="str">
        <f t="shared" si="19"/>
        <v/>
      </c>
      <c r="Q73" s="5" t="str">
        <f t="shared" si="20"/>
        <v/>
      </c>
      <c r="R73" s="10"/>
      <c r="S73" s="5" t="str">
        <f t="shared" si="21"/>
        <v/>
      </c>
      <c r="T73" s="5" t="str">
        <f t="shared" si="22"/>
        <v/>
      </c>
      <c r="U73" s="5" t="str">
        <f t="shared" si="23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IF(X73&lt;&gt;"执行卖出","",IFERROR(LOOKUP(2,1/(单次交易!$A$2:$A$88=B73),单次交易!$AP$2:$AP$88),""))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$157,"止损计划",$B$2:$B$157,B73,$D$2:$D$157,D73)&gt;1,"阶段序号重复",IF(E73&lt;=IFERROR(LOOKUP(2,1/(单次交易!$A$2:$A$88=B73),单次交易!$E$2:$E$88),0),"激活价须高于买入价",IF(F73&lt;N73,"止损价不得低于初始止损",IF(F73&gt;E73,"止损价不得高于激活价",IF(AND(COUNTIFS($A$2:$A$157,"止损计划",$B$2:$B$157,B73,$D$2:$D$157,"&lt;"&amp;D73)&gt;0,OR(E73&lt;=SUMPRODUCT(MAX((($A$2:$A$157="止损计划")*($B$2:$B$157=B73)*($D$2:$D$157&lt;D73))*$E$2:$E$157)),F73&lt;SUMPRODUCT(MAX((($A$2:$A$157="止损计划")*($B$2:$B$157=B73)*($D$2:$D$157&lt;D73))*$F$2:$F$157)))),"阶段价格必须逐级提高","计划有效"))))))),IF(A73="每日跟踪",IF(OR(B73="",H73="",I73="",J73=""),"每日数据不完整",IF(COUNTIFS($A$2:$A$157,"每日跟踪",$B$2:$B$157,B73,$H$2:$H$157,H73)&gt;1,"同一交易日期重复",IF(AND(R73&lt;&gt;"",R73&lt;S73),"人工止损无效：不能下调","跟踪有效"))),"记录类型无效")))</f>
        <v/>
      </c>
    </row>
    <row r="74" ht="17" spans="1:29">
      <c r="A74" s="2"/>
      <c r="B74" s="2"/>
      <c r="C74" s="8" t="str">
        <f>IF(B74="","",IFERROR(LOOKUP(2,1/(单次交易!$A$2:$A$88=B74),单次交易!$B$2:$B$88),""))</f>
        <v/>
      </c>
      <c r="D74" s="12"/>
      <c r="E74" s="10"/>
      <c r="F74" s="10"/>
      <c r="G74" s="2"/>
      <c r="H74" s="15"/>
      <c r="I74" s="10"/>
      <c r="J74" s="12"/>
      <c r="K74" s="2"/>
      <c r="L74" s="2"/>
      <c r="M74" s="2"/>
      <c r="N74" s="5" t="str">
        <f>IF(B74="","",IFERROR(LOOKUP(2,1/(单次交易!$A$2:$A$88=B74),单次交易!$N$2:$N$88),""))</f>
        <v/>
      </c>
      <c r="O74" s="5" t="str">
        <f t="shared" si="18"/>
        <v/>
      </c>
      <c r="P74" s="11" t="str">
        <f t="shared" si="19"/>
        <v/>
      </c>
      <c r="Q74" s="5" t="str">
        <f t="shared" si="20"/>
        <v/>
      </c>
      <c r="R74" s="10"/>
      <c r="S74" s="5" t="str">
        <f t="shared" si="21"/>
        <v/>
      </c>
      <c r="T74" s="5" t="str">
        <f t="shared" si="22"/>
        <v/>
      </c>
      <c r="U74" s="5" t="str">
        <f t="shared" si="23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IF(X74&lt;&gt;"执行卖出","",IFERROR(LOOKUP(2,1/(单次交易!$A$2:$A$88=B74),单次交易!$AP$2:$AP$88),""))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$157,"止损计划",$B$2:$B$157,B74,$D$2:$D$157,D74)&gt;1,"阶段序号重复",IF(E74&lt;=IFERROR(LOOKUP(2,1/(单次交易!$A$2:$A$88=B74),单次交易!$E$2:$E$88),0),"激活价须高于买入价",IF(F74&lt;N74,"止损价不得低于初始止损",IF(F74&gt;E74,"止损价不得高于激活价",IF(AND(COUNTIFS($A$2:$A$157,"止损计划",$B$2:$B$157,B74,$D$2:$D$157,"&lt;"&amp;D74)&gt;0,OR(E74&lt;=SUMPRODUCT(MAX((($A$2:$A$157="止损计划")*($B$2:$B$157=B74)*($D$2:$D$157&lt;D74))*$E$2:$E$157)),F74&lt;SUMPRODUCT(MAX((($A$2:$A$157="止损计划")*($B$2:$B$157=B74)*($D$2:$D$157&lt;D74))*$F$2:$F$157)))),"阶段价格必须逐级提高","计划有效"))))))),IF(A74="每日跟踪",IF(OR(B74="",H74="",I74="",J74=""),"每日数据不完整",IF(COUNTIFS($A$2:$A$157,"每日跟踪",$B$2:$B$157,B74,$H$2:$H$157,H74)&gt;1,"同一交易日期重复",IF(AND(R74&lt;&gt;"",R74&lt;S74),"人工止损无效：不能下调","跟踪有效"))),"记录类型无效")))</f>
        <v/>
      </c>
    </row>
    <row r="75" ht="17" spans="1:29">
      <c r="A75" s="2"/>
      <c r="B75" s="2"/>
      <c r="C75" s="8" t="str">
        <f>IF(B75="","",IFERROR(LOOKUP(2,1/(单次交易!$A$2:$A$88=B75),单次交易!$B$2:$B$88),""))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IF(B75="","",IFERROR(LOOKUP(2,1/(单次交易!$A$2:$A$88=B75),单次交易!$N$2:$N$88),""))</f>
        <v/>
      </c>
      <c r="O75" s="5" t="str">
        <f t="shared" si="18"/>
        <v/>
      </c>
      <c r="P75" s="11" t="str">
        <f t="shared" si="19"/>
        <v/>
      </c>
      <c r="Q75" s="5" t="str">
        <f t="shared" si="20"/>
        <v/>
      </c>
      <c r="R75" s="10"/>
      <c r="S75" s="5" t="str">
        <f t="shared" si="21"/>
        <v/>
      </c>
      <c r="T75" s="5" t="str">
        <f t="shared" si="22"/>
        <v/>
      </c>
      <c r="U75" s="5" t="str">
        <f t="shared" si="23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IF(X75&lt;&gt;"执行卖出","",IFERROR(LOOKUP(2,1/(单次交易!$A$2:$A$88=B75),单次交易!$AP$2:$AP$88),""))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$157,"止损计划",$B$2:$B$157,B75,$D$2:$D$157,D75)&gt;1,"阶段序号重复",IF(E75&lt;=IFERROR(LOOKUP(2,1/(单次交易!$A$2:$A$88=B75),单次交易!$E$2:$E$88),0),"激活价须高于买入价",IF(F75&lt;N75,"止损价不得低于初始止损",IF(F75&gt;E75,"止损价不得高于激活价",IF(AND(COUNTIFS($A$2:$A$157,"止损计划",$B$2:$B$157,B75,$D$2:$D$157,"&lt;"&amp;D75)&gt;0,OR(E75&lt;=SUMPRODUCT(MAX((($A$2:$A$157="止损计划")*($B$2:$B$157=B75)*($D$2:$D$157&lt;D75))*$E$2:$E$157)),F75&lt;SUMPRODUCT(MAX((($A$2:$A$157="止损计划")*($B$2:$B$157=B75)*($D$2:$D$157&lt;D75))*$F$2:$F$157)))),"阶段价格必须逐级提高","计划有效"))))))),IF(A75="每日跟踪",IF(OR(B75="",H75="",I75="",J75=""),"每日数据不完整",IF(COUNTIFS($A$2:$A$157,"每日跟踪",$B$2:$B$157,B75,$H$2:$H$157,H75)&gt;1,"同一交易日期重复",IF(AND(R75&lt;&gt;"",R75&lt;S75),"人工止损无效：不能下调","跟踪有效"))),"记录类型无效")))</f>
        <v/>
      </c>
    </row>
    <row r="76" ht="17" spans="1:29">
      <c r="A76" s="2"/>
      <c r="B76" s="2"/>
      <c r="C76" s="8" t="str">
        <f>IF(B76="","",IFERROR(LOOKUP(2,1/(单次交易!$A$2:$A$88=B76),单次交易!$B$2:$B$88),""))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IF(B76="","",IFERROR(LOOKUP(2,1/(单次交易!$A$2:$A$88=B76),单次交易!$N$2:$N$88),""))</f>
        <v/>
      </c>
      <c r="O76" s="5" t="str">
        <f t="shared" si="18"/>
        <v/>
      </c>
      <c r="P76" s="11" t="str">
        <f t="shared" si="19"/>
        <v/>
      </c>
      <c r="Q76" s="5" t="str">
        <f t="shared" si="20"/>
        <v/>
      </c>
      <c r="R76" s="10"/>
      <c r="S76" s="5" t="str">
        <f t="shared" si="21"/>
        <v/>
      </c>
      <c r="T76" s="5" t="str">
        <f t="shared" si="22"/>
        <v/>
      </c>
      <c r="U76" s="5" t="str">
        <f t="shared" si="23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IF(X76&lt;&gt;"执行卖出","",IFERROR(LOOKUP(2,1/(单次交易!$A$2:$A$88=B76),单次交易!$AP$2:$AP$88),""))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$157,"止损计划",$B$2:$B$157,B76,$D$2:$D$157,D76)&gt;1,"阶段序号重复",IF(E76&lt;=IFERROR(LOOKUP(2,1/(单次交易!$A$2:$A$88=B76),单次交易!$E$2:$E$88),0),"激活价须高于买入价",IF(F76&lt;N76,"止损价不得低于初始止损",IF(F76&gt;E76,"止损价不得高于激活价",IF(AND(COUNTIFS($A$2:$A$157,"止损计划",$B$2:$B$157,B76,$D$2:$D$157,"&lt;"&amp;D76)&gt;0,OR(E76&lt;=SUMPRODUCT(MAX((($A$2:$A$157="止损计划")*($B$2:$B$157=B76)*($D$2:$D$157&lt;D76))*$E$2:$E$157)),F76&lt;SUMPRODUCT(MAX((($A$2:$A$157="止损计划")*($B$2:$B$157=B76)*($D$2:$D$157&lt;D76))*$F$2:$F$157)))),"阶段价格必须逐级提高","计划有效"))))))),IF(A76="每日跟踪",IF(OR(B76="",H76="",I76="",J76=""),"每日数据不完整",IF(COUNTIFS($A$2:$A$157,"每日跟踪",$B$2:$B$157,B76,$H$2:$H$157,H76)&gt;1,"同一交易日期重复",IF(AND(R76&lt;&gt;"",R76&lt;S76),"人工止损无效：不能下调","跟踪有效"))),"记录类型无效")))</f>
        <v/>
      </c>
    </row>
    <row r="77" ht="17" spans="1:29">
      <c r="A77" s="2"/>
      <c r="B77" s="2"/>
      <c r="C77" s="8" t="str">
        <f>IF(B77="","",IFERROR(LOOKUP(2,1/(单次交易!$A$2:$A$88=B77),单次交易!$B$2:$B$88),""))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IF(B77="","",IFERROR(LOOKUP(2,1/(单次交易!$A$2:$A$88=B77),单次交易!$N$2:$N$88),""))</f>
        <v/>
      </c>
      <c r="O77" s="5" t="str">
        <f t="shared" si="18"/>
        <v/>
      </c>
      <c r="P77" s="11" t="str">
        <f t="shared" si="19"/>
        <v/>
      </c>
      <c r="Q77" s="5" t="str">
        <f t="shared" si="20"/>
        <v/>
      </c>
      <c r="R77" s="10"/>
      <c r="S77" s="5" t="str">
        <f t="shared" si="21"/>
        <v/>
      </c>
      <c r="T77" s="5" t="str">
        <f t="shared" si="22"/>
        <v/>
      </c>
      <c r="U77" s="5" t="str">
        <f t="shared" si="23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IF(X77&lt;&gt;"执行卖出","",IFERROR(LOOKUP(2,1/(单次交易!$A$2:$A$88=B77),单次交易!$AP$2:$AP$88),""))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$157,"止损计划",$B$2:$B$157,B77,$D$2:$D$157,D77)&gt;1,"阶段序号重复",IF(E77&lt;=IFERROR(LOOKUP(2,1/(单次交易!$A$2:$A$88=B77),单次交易!$E$2:$E$88),0),"激活价须高于买入价",IF(F77&lt;N77,"止损价不得低于初始止损",IF(F77&gt;E77,"止损价不得高于激活价",IF(AND(COUNTIFS($A$2:$A$157,"止损计划",$B$2:$B$157,B77,$D$2:$D$157,"&lt;"&amp;D77)&gt;0,OR(E77&lt;=SUMPRODUCT(MAX((($A$2:$A$157="止损计划")*($B$2:$B$157=B77)*($D$2:$D$157&lt;D77))*$E$2:$E$157)),F77&lt;SUMPRODUCT(MAX((($A$2:$A$157="止损计划")*($B$2:$B$157=B77)*($D$2:$D$157&lt;D77))*$F$2:$F$157)))),"阶段价格必须逐级提高","计划有效"))))))),IF(A77="每日跟踪",IF(OR(B77="",H77="",I77="",J77=""),"每日数据不完整",IF(COUNTIFS($A$2:$A$157,"每日跟踪",$B$2:$B$157,B77,$H$2:$H$157,H77)&gt;1,"同一交易日期重复",IF(AND(R77&lt;&gt;"",R77&lt;S77),"人工止损无效：不能下调","跟踪有效"))),"记录类型无效")))</f>
        <v/>
      </c>
    </row>
    <row r="78" ht="17" spans="1:29">
      <c r="A78" s="2"/>
      <c r="B78" s="2"/>
      <c r="C78" s="8" t="str">
        <f>IF(B78="","",IFERROR(LOOKUP(2,1/(单次交易!$A$2:$A$88=B78),单次交易!$B$2:$B$88),""))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IF(B78="","",IFERROR(LOOKUP(2,1/(单次交易!$A$2:$A$88=B78),单次交易!$N$2:$N$88),""))</f>
        <v/>
      </c>
      <c r="O78" s="5" t="str">
        <f t="shared" si="18"/>
        <v/>
      </c>
      <c r="P78" s="11" t="str">
        <f t="shared" si="19"/>
        <v/>
      </c>
      <c r="Q78" s="5" t="str">
        <f t="shared" si="20"/>
        <v/>
      </c>
      <c r="R78" s="10"/>
      <c r="S78" s="5" t="str">
        <f t="shared" si="21"/>
        <v/>
      </c>
      <c r="T78" s="5" t="str">
        <f t="shared" si="22"/>
        <v/>
      </c>
      <c r="U78" s="5" t="str">
        <f t="shared" si="23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IF(X78&lt;&gt;"执行卖出","",IFERROR(LOOKUP(2,1/(单次交易!$A$2:$A$88=B78),单次交易!$AP$2:$AP$88),""))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$157,"止损计划",$B$2:$B$157,B78,$D$2:$D$157,D78)&gt;1,"阶段序号重复",IF(E78&lt;=IFERROR(LOOKUP(2,1/(单次交易!$A$2:$A$88=B78),单次交易!$E$2:$E$88),0),"激活价须高于买入价",IF(F78&lt;N78,"止损价不得低于初始止损",IF(F78&gt;E78,"止损价不得高于激活价",IF(AND(COUNTIFS($A$2:$A$157,"止损计划",$B$2:$B$157,B78,$D$2:$D$157,"&lt;"&amp;D78)&gt;0,OR(E78&lt;=SUMPRODUCT(MAX((($A$2:$A$157="止损计划")*($B$2:$B$157=B78)*($D$2:$D$157&lt;D78))*$E$2:$E$157)),F78&lt;SUMPRODUCT(MAX((($A$2:$A$157="止损计划")*($B$2:$B$157=B78)*($D$2:$D$157&lt;D78))*$F$2:$F$157)))),"阶段价格必须逐级提高","计划有效"))))))),IF(A78="每日跟踪",IF(OR(B78="",H78="",I78="",J78=""),"每日数据不完整",IF(COUNTIFS($A$2:$A$157,"每日跟踪",$B$2:$B$157,B78,$H$2:$H$157,H78)&gt;1,"同一交易日期重复",IF(AND(R78&lt;&gt;"",R78&lt;S78),"人工止损无效：不能下调","跟踪有效"))),"记录类型无效")))</f>
        <v/>
      </c>
    </row>
    <row r="79" ht="17" spans="1:29">
      <c r="A79" s="2"/>
      <c r="B79" s="2"/>
      <c r="C79" s="8" t="str">
        <f>IF(B79="","",IFERROR(LOOKUP(2,1/(单次交易!$A$2:$A$88=B79),单次交易!$B$2:$B$88),""))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IF(B79="","",IFERROR(LOOKUP(2,1/(单次交易!$A$2:$A$88=B79),单次交易!$N$2:$N$88),""))</f>
        <v/>
      </c>
      <c r="O79" s="5" t="str">
        <f t="shared" si="18"/>
        <v/>
      </c>
      <c r="P79" s="11" t="str">
        <f t="shared" si="19"/>
        <v/>
      </c>
      <c r="Q79" s="5" t="str">
        <f t="shared" si="20"/>
        <v/>
      </c>
      <c r="R79" s="10"/>
      <c r="S79" s="5" t="str">
        <f t="shared" si="21"/>
        <v/>
      </c>
      <c r="T79" s="5" t="str">
        <f t="shared" si="22"/>
        <v/>
      </c>
      <c r="U79" s="5" t="str">
        <f t="shared" si="23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IF(X79&lt;&gt;"执行卖出","",IFERROR(LOOKUP(2,1/(单次交易!$A$2:$A$88=B79),单次交易!$AP$2:$AP$88),""))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$157,"止损计划",$B$2:$B$157,B79,$D$2:$D$157,D79)&gt;1,"阶段序号重复",IF(E79&lt;=IFERROR(LOOKUP(2,1/(单次交易!$A$2:$A$88=B79),单次交易!$E$2:$E$88),0),"激活价须高于买入价",IF(F79&lt;N79,"止损价不得低于初始止损",IF(F79&gt;E79,"止损价不得高于激活价",IF(AND(COUNTIFS($A$2:$A$157,"止损计划",$B$2:$B$157,B79,$D$2:$D$157,"&lt;"&amp;D79)&gt;0,OR(E79&lt;=SUMPRODUCT(MAX((($A$2:$A$157="止损计划")*($B$2:$B$157=B79)*($D$2:$D$157&lt;D79))*$E$2:$E$157)),F79&lt;SUMPRODUCT(MAX((($A$2:$A$157="止损计划")*($B$2:$B$157=B79)*($D$2:$D$157&lt;D79))*$F$2:$F$157)))),"阶段价格必须逐级提高","计划有效"))))))),IF(A79="每日跟踪",IF(OR(B79="",H79="",I79="",J79=""),"每日数据不完整",IF(COUNTIFS($A$2:$A$157,"每日跟踪",$B$2:$B$157,B79,$H$2:$H$157,H79)&gt;1,"同一交易日期重复",IF(AND(R79&lt;&gt;"",R79&lt;S79),"人工止损无效：不能下调","跟踪有效"))),"记录类型无效")))</f>
        <v/>
      </c>
    </row>
    <row r="80" ht="17" spans="1:29">
      <c r="A80" s="2"/>
      <c r="B80" s="2"/>
      <c r="C80" s="8" t="str">
        <f>IF(B80="","",IFERROR(LOOKUP(2,1/(单次交易!$A$2:$A$88=B80),单次交易!$B$2:$B$88),""))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IF(B80="","",IFERROR(LOOKUP(2,1/(单次交易!$A$2:$A$88=B80),单次交易!$N$2:$N$88),""))</f>
        <v/>
      </c>
      <c r="O80" s="5" t="str">
        <f t="shared" si="18"/>
        <v/>
      </c>
      <c r="P80" s="11" t="str">
        <f t="shared" si="19"/>
        <v/>
      </c>
      <c r="Q80" s="5" t="str">
        <f t="shared" si="20"/>
        <v/>
      </c>
      <c r="R80" s="10"/>
      <c r="S80" s="5" t="str">
        <f t="shared" si="21"/>
        <v/>
      </c>
      <c r="T80" s="5" t="str">
        <f t="shared" si="22"/>
        <v/>
      </c>
      <c r="U80" s="5" t="str">
        <f t="shared" si="23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IF(X80&lt;&gt;"执行卖出","",IFERROR(LOOKUP(2,1/(单次交易!$A$2:$A$88=B80),单次交易!$AP$2:$AP$88),""))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$157,"止损计划",$B$2:$B$157,B80,$D$2:$D$157,D80)&gt;1,"阶段序号重复",IF(E80&lt;=IFERROR(LOOKUP(2,1/(单次交易!$A$2:$A$88=B80),单次交易!$E$2:$E$88),0),"激活价须高于买入价",IF(F80&lt;N80,"止损价不得低于初始止损",IF(F80&gt;E80,"止损价不得高于激活价",IF(AND(COUNTIFS($A$2:$A$157,"止损计划",$B$2:$B$157,B80,$D$2:$D$157,"&lt;"&amp;D80)&gt;0,OR(E80&lt;=SUMPRODUCT(MAX((($A$2:$A$157="止损计划")*($B$2:$B$157=B80)*($D$2:$D$157&lt;D80))*$E$2:$E$157)),F80&lt;SUMPRODUCT(MAX((($A$2:$A$157="止损计划")*($B$2:$B$157=B80)*($D$2:$D$157&lt;D80))*$F$2:$F$157)))),"阶段价格必须逐级提高","计划有效"))))))),IF(A80="每日跟踪",IF(OR(B80="",H80="",I80="",J80=""),"每日数据不完整",IF(COUNTIFS($A$2:$A$157,"每日跟踪",$B$2:$B$157,B80,$H$2:$H$157,H80)&gt;1,"同一交易日期重复",IF(AND(R80&lt;&gt;"",R80&lt;S80),"人工止损无效：不能下调","跟踪有效"))),"记录类型无效")))</f>
        <v/>
      </c>
    </row>
    <row r="81" ht="17" spans="1:29">
      <c r="A81" s="2"/>
      <c r="B81" s="2"/>
      <c r="C81" s="8" t="str">
        <f>IF(B81="","",IFERROR(LOOKUP(2,1/(单次交易!$A$2:$A$88=B81),单次交易!$B$2:$B$88),""))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IF(B81="","",IFERROR(LOOKUP(2,1/(单次交易!$A$2:$A$88=B81),单次交易!$N$2:$N$88),""))</f>
        <v/>
      </c>
      <c r="O81" s="5" t="str">
        <f t="shared" si="18"/>
        <v/>
      </c>
      <c r="P81" s="11" t="str">
        <f t="shared" si="19"/>
        <v/>
      </c>
      <c r="Q81" s="5" t="str">
        <f t="shared" si="20"/>
        <v/>
      </c>
      <c r="R81" s="10"/>
      <c r="S81" s="5" t="str">
        <f t="shared" si="21"/>
        <v/>
      </c>
      <c r="T81" s="5" t="str">
        <f t="shared" si="22"/>
        <v/>
      </c>
      <c r="U81" s="5" t="str">
        <f t="shared" si="23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IF(X81&lt;&gt;"执行卖出","",IFERROR(LOOKUP(2,1/(单次交易!$A$2:$A$88=B81),单次交易!$AP$2:$AP$88),""))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$157,"止损计划",$B$2:$B$157,B81,$D$2:$D$157,D81)&gt;1,"阶段序号重复",IF(E81&lt;=IFERROR(LOOKUP(2,1/(单次交易!$A$2:$A$88=B81),单次交易!$E$2:$E$88),0),"激活价须高于买入价",IF(F81&lt;N81,"止损价不得低于初始止损",IF(F81&gt;E81,"止损价不得高于激活价",IF(AND(COUNTIFS($A$2:$A$157,"止损计划",$B$2:$B$157,B81,$D$2:$D$157,"&lt;"&amp;D81)&gt;0,OR(E81&lt;=SUMPRODUCT(MAX((($A$2:$A$157="止损计划")*($B$2:$B$157=B81)*($D$2:$D$157&lt;D81))*$E$2:$E$157)),F81&lt;SUMPRODUCT(MAX((($A$2:$A$157="止损计划")*($B$2:$B$157=B81)*($D$2:$D$157&lt;D81))*$F$2:$F$157)))),"阶段价格必须逐级提高","计划有效"))))))),IF(A81="每日跟踪",IF(OR(B81="",H81="",I81="",J81=""),"每日数据不完整",IF(COUNTIFS($A$2:$A$157,"每日跟踪",$B$2:$B$157,B81,$H$2:$H$157,H81)&gt;1,"同一交易日期重复",IF(AND(R81&lt;&gt;"",R81&lt;S81),"人工止损无效：不能下调","跟踪有效"))),"记录类型无效")))</f>
        <v/>
      </c>
    </row>
    <row r="82" ht="17" spans="1:29">
      <c r="A82" s="2"/>
      <c r="B82" s="2"/>
      <c r="C82" s="8" t="str">
        <f>IF(B82="","",IFERROR(LOOKUP(2,1/(单次交易!$A$2:$A$88=B82),单次交易!$B$2:$B$88),""))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IF(B82="","",IFERROR(LOOKUP(2,1/(单次交易!$A$2:$A$88=B82),单次交易!$N$2:$N$88),""))</f>
        <v/>
      </c>
      <c r="O82" s="5" t="str">
        <f t="shared" si="18"/>
        <v/>
      </c>
      <c r="P82" s="11" t="str">
        <f t="shared" si="19"/>
        <v/>
      </c>
      <c r="Q82" s="5" t="str">
        <f t="shared" si="20"/>
        <v/>
      </c>
      <c r="R82" s="10"/>
      <c r="S82" s="5" t="str">
        <f t="shared" si="21"/>
        <v/>
      </c>
      <c r="T82" s="5" t="str">
        <f t="shared" si="22"/>
        <v/>
      </c>
      <c r="U82" s="5" t="str">
        <f t="shared" si="23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IF(X82&lt;&gt;"执行卖出","",IFERROR(LOOKUP(2,1/(单次交易!$A$2:$A$88=B82),单次交易!$AP$2:$AP$88),""))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$157,"止损计划",$B$2:$B$157,B82,$D$2:$D$157,D82)&gt;1,"阶段序号重复",IF(E82&lt;=IFERROR(LOOKUP(2,1/(单次交易!$A$2:$A$88=B82),单次交易!$E$2:$E$88),0),"激活价须高于买入价",IF(F82&lt;N82,"止损价不得低于初始止损",IF(F82&gt;E82,"止损价不得高于激活价",IF(AND(COUNTIFS($A$2:$A$157,"止损计划",$B$2:$B$157,B82,$D$2:$D$157,"&lt;"&amp;D82)&gt;0,OR(E82&lt;=SUMPRODUCT(MAX((($A$2:$A$157="止损计划")*($B$2:$B$157=B82)*($D$2:$D$157&lt;D82))*$E$2:$E$157)),F82&lt;SUMPRODUCT(MAX((($A$2:$A$157="止损计划")*($B$2:$B$157=B82)*($D$2:$D$157&lt;D82))*$F$2:$F$157)))),"阶段价格必须逐级提高","计划有效"))))))),IF(A82="每日跟踪",IF(OR(B82="",H82="",I82="",J82=""),"每日数据不完整",IF(COUNTIFS($A$2:$A$157,"每日跟踪",$B$2:$B$157,B82,$H$2:$H$157,H82)&gt;1,"同一交易日期重复",IF(AND(R82&lt;&gt;"",R82&lt;S82),"人工止损无效：不能下调","跟踪有效"))),"记录类型无效")))</f>
        <v/>
      </c>
    </row>
    <row r="83" ht="17" spans="1:29">
      <c r="A83" s="2"/>
      <c r="B83" s="2"/>
      <c r="C83" s="8" t="str">
        <f>IF(B83="","",IFERROR(LOOKUP(2,1/(单次交易!$A$2:$A$88=B83),单次交易!$B$2:$B$88),""))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IF(B83="","",IFERROR(LOOKUP(2,1/(单次交易!$A$2:$A$88=B83),单次交易!$N$2:$N$88),""))</f>
        <v/>
      </c>
      <c r="O83" s="5" t="str">
        <f t="shared" si="18"/>
        <v/>
      </c>
      <c r="P83" s="11" t="str">
        <f t="shared" si="19"/>
        <v/>
      </c>
      <c r="Q83" s="5" t="str">
        <f t="shared" si="20"/>
        <v/>
      </c>
      <c r="R83" s="10"/>
      <c r="S83" s="5" t="str">
        <f t="shared" si="21"/>
        <v/>
      </c>
      <c r="T83" s="5" t="str">
        <f t="shared" si="22"/>
        <v/>
      </c>
      <c r="U83" s="5" t="str">
        <f t="shared" si="23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IF(X83&lt;&gt;"执行卖出","",IFERROR(LOOKUP(2,1/(单次交易!$A$2:$A$88=B83),单次交易!$AP$2:$AP$88),""))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$157,"止损计划",$B$2:$B$157,B83,$D$2:$D$157,D83)&gt;1,"阶段序号重复",IF(E83&lt;=IFERROR(LOOKUP(2,1/(单次交易!$A$2:$A$88=B83),单次交易!$E$2:$E$88),0),"激活价须高于买入价",IF(F83&lt;N83,"止损价不得低于初始止损",IF(F83&gt;E83,"止损价不得高于激活价",IF(AND(COUNTIFS($A$2:$A$157,"止损计划",$B$2:$B$157,B83,$D$2:$D$157,"&lt;"&amp;D83)&gt;0,OR(E83&lt;=SUMPRODUCT(MAX((($A$2:$A$157="止损计划")*($B$2:$B$157=B83)*($D$2:$D$157&lt;D83))*$E$2:$E$157)),F83&lt;SUMPRODUCT(MAX((($A$2:$A$157="止损计划")*($B$2:$B$157=B83)*($D$2:$D$157&lt;D83))*$F$2:$F$157)))),"阶段价格必须逐级提高","计划有效"))))))),IF(A83="每日跟踪",IF(OR(B83="",H83="",I83="",J83=""),"每日数据不完整",IF(COUNTIFS($A$2:$A$157,"每日跟踪",$B$2:$B$157,B83,$H$2:$H$157,H83)&gt;1,"同一交易日期重复",IF(AND(R83&lt;&gt;"",R83&lt;S83),"人工止损无效：不能下调","跟踪有效"))),"记录类型无效")))</f>
        <v/>
      </c>
    </row>
    <row r="84" ht="17" spans="1:29">
      <c r="A84" s="2"/>
      <c r="B84" s="2"/>
      <c r="C84" s="8" t="str">
        <f>IF(B84="","",IFERROR(LOOKUP(2,1/(单次交易!$A$2:$A$88=B84),单次交易!$B$2:$B$88),""))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IF(B84="","",IFERROR(LOOKUP(2,1/(单次交易!$A$2:$A$88=B84),单次交易!$N$2:$N$88),""))</f>
        <v/>
      </c>
      <c r="O84" s="5" t="str">
        <f t="shared" si="18"/>
        <v/>
      </c>
      <c r="P84" s="11" t="str">
        <f t="shared" si="19"/>
        <v/>
      </c>
      <c r="Q84" s="5" t="str">
        <f t="shared" si="20"/>
        <v/>
      </c>
      <c r="R84" s="10"/>
      <c r="S84" s="5" t="str">
        <f t="shared" si="21"/>
        <v/>
      </c>
      <c r="T84" s="5" t="str">
        <f t="shared" si="22"/>
        <v/>
      </c>
      <c r="U84" s="5" t="str">
        <f t="shared" si="23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IF(X84&lt;&gt;"执行卖出","",IFERROR(LOOKUP(2,1/(单次交易!$A$2:$A$88=B84),单次交易!$AP$2:$AP$88),""))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$157,"止损计划",$B$2:$B$157,B84,$D$2:$D$157,D84)&gt;1,"阶段序号重复",IF(E84&lt;=IFERROR(LOOKUP(2,1/(单次交易!$A$2:$A$88=B84),单次交易!$E$2:$E$88),0),"激活价须高于买入价",IF(F84&lt;N84,"止损价不得低于初始止损",IF(F84&gt;E84,"止损价不得高于激活价",IF(AND(COUNTIFS($A$2:$A$157,"止损计划",$B$2:$B$157,B84,$D$2:$D$157,"&lt;"&amp;D84)&gt;0,OR(E84&lt;=SUMPRODUCT(MAX((($A$2:$A$157="止损计划")*($B$2:$B$157=B84)*($D$2:$D$157&lt;D84))*$E$2:$E$157)),F84&lt;SUMPRODUCT(MAX((($A$2:$A$157="止损计划")*($B$2:$B$157=B84)*($D$2:$D$157&lt;D84))*$F$2:$F$157)))),"阶段价格必须逐级提高","计划有效"))))))),IF(A84="每日跟踪",IF(OR(B84="",H84="",I84="",J84=""),"每日数据不完整",IF(COUNTIFS($A$2:$A$157,"每日跟踪",$B$2:$B$157,B84,$H$2:$H$157,H84)&gt;1,"同一交易日期重复",IF(AND(R84&lt;&gt;"",R84&lt;S84),"人工止损无效：不能下调","跟踪有效"))),"记录类型无效")))</f>
        <v/>
      </c>
    </row>
    <row r="85" ht="17" spans="1:29">
      <c r="A85" s="2"/>
      <c r="B85" s="2"/>
      <c r="C85" s="8" t="str">
        <f>IF(B85="","",IFERROR(LOOKUP(2,1/(单次交易!$A$2:$A$88=B85),单次交易!$B$2:$B$88),""))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IF(B85="","",IFERROR(LOOKUP(2,1/(单次交易!$A$2:$A$88=B85),单次交易!$N$2:$N$88),""))</f>
        <v/>
      </c>
      <c r="O85" s="5" t="str">
        <f t="shared" si="18"/>
        <v/>
      </c>
      <c r="P85" s="11" t="str">
        <f t="shared" si="19"/>
        <v/>
      </c>
      <c r="Q85" s="5" t="str">
        <f t="shared" si="20"/>
        <v/>
      </c>
      <c r="R85" s="10"/>
      <c r="S85" s="5" t="str">
        <f t="shared" si="21"/>
        <v/>
      </c>
      <c r="T85" s="5" t="str">
        <f t="shared" si="22"/>
        <v/>
      </c>
      <c r="U85" s="5" t="str">
        <f t="shared" si="23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IF(X85&lt;&gt;"执行卖出","",IFERROR(LOOKUP(2,1/(单次交易!$A$2:$A$88=B85),单次交易!$AP$2:$AP$88),""))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$157,"止损计划",$B$2:$B$157,B85,$D$2:$D$157,D85)&gt;1,"阶段序号重复",IF(E85&lt;=IFERROR(LOOKUP(2,1/(单次交易!$A$2:$A$88=B85),单次交易!$E$2:$E$88),0),"激活价须高于买入价",IF(F85&lt;N85,"止损价不得低于初始止损",IF(F85&gt;E85,"止损价不得高于激活价",IF(AND(COUNTIFS($A$2:$A$157,"止损计划",$B$2:$B$157,B85,$D$2:$D$157,"&lt;"&amp;D85)&gt;0,OR(E85&lt;=SUMPRODUCT(MAX((($A$2:$A$157="止损计划")*($B$2:$B$157=B85)*($D$2:$D$157&lt;D85))*$E$2:$E$157)),F85&lt;SUMPRODUCT(MAX((($A$2:$A$157="止损计划")*($B$2:$B$157=B85)*($D$2:$D$157&lt;D85))*$F$2:$F$157)))),"阶段价格必须逐级提高","计划有效"))))))),IF(A85="每日跟踪",IF(OR(B85="",H85="",I85="",J85=""),"每日数据不完整",IF(COUNTIFS($A$2:$A$157,"每日跟踪",$B$2:$B$157,B85,$H$2:$H$157,H85)&gt;1,"同一交易日期重复",IF(AND(R85&lt;&gt;"",R85&lt;S85),"人工止损无效：不能下调","跟踪有效"))),"记录类型无效")))</f>
        <v/>
      </c>
    </row>
    <row r="86" ht="17" spans="1:29">
      <c r="A86" s="2"/>
      <c r="B86" s="2"/>
      <c r="C86" s="8" t="str">
        <f>IF(B86="","",IFERROR(LOOKUP(2,1/(单次交易!$A$2:$A$88=B86),单次交易!$B$2:$B$88),""))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IF(B86="","",IFERROR(LOOKUP(2,1/(单次交易!$A$2:$A$88=B86),单次交易!$N$2:$N$88),""))</f>
        <v/>
      </c>
      <c r="O86" s="5" t="str">
        <f t="shared" si="18"/>
        <v/>
      </c>
      <c r="P86" s="11" t="str">
        <f t="shared" si="19"/>
        <v/>
      </c>
      <c r="Q86" s="5" t="str">
        <f t="shared" si="20"/>
        <v/>
      </c>
      <c r="R86" s="10"/>
      <c r="S86" s="5" t="str">
        <f t="shared" si="21"/>
        <v/>
      </c>
      <c r="T86" s="5" t="str">
        <f t="shared" si="22"/>
        <v/>
      </c>
      <c r="U86" s="5" t="str">
        <f t="shared" si="23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IF(X86&lt;&gt;"执行卖出","",IFERROR(LOOKUP(2,1/(单次交易!$A$2:$A$88=B86),单次交易!$AP$2:$AP$88),""))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$157,"止损计划",$B$2:$B$157,B86,$D$2:$D$157,D86)&gt;1,"阶段序号重复",IF(E86&lt;=IFERROR(LOOKUP(2,1/(单次交易!$A$2:$A$88=B86),单次交易!$E$2:$E$88),0),"激活价须高于买入价",IF(F86&lt;N86,"止损价不得低于初始止损",IF(F86&gt;E86,"止损价不得高于激活价",IF(AND(COUNTIFS($A$2:$A$157,"止损计划",$B$2:$B$157,B86,$D$2:$D$157,"&lt;"&amp;D86)&gt;0,OR(E86&lt;=SUMPRODUCT(MAX((($A$2:$A$157="止损计划")*($B$2:$B$157=B86)*($D$2:$D$157&lt;D86))*$E$2:$E$157)),F86&lt;SUMPRODUCT(MAX((($A$2:$A$157="止损计划")*($B$2:$B$157=B86)*($D$2:$D$157&lt;D86))*$F$2:$F$157)))),"阶段价格必须逐级提高","计划有效"))))))),IF(A86="每日跟踪",IF(OR(B86="",H86="",I86="",J86=""),"每日数据不完整",IF(COUNTIFS($A$2:$A$157,"每日跟踪",$B$2:$B$157,B86,$H$2:$H$157,H86)&gt;1,"同一交易日期重复",IF(AND(R86&lt;&gt;"",R86&lt;S86),"人工止损无效：不能下调","跟踪有效"))),"记录类型无效")))</f>
        <v/>
      </c>
    </row>
    <row r="87" ht="17" spans="1:29">
      <c r="A87" s="2"/>
      <c r="B87" s="2"/>
      <c r="C87" s="8" t="str">
        <f>IF(B87="","",IFERROR(LOOKUP(2,1/(单次交易!$A$2:$A$88=B87),单次交易!$B$2:$B$88),""))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IF(B87="","",IFERROR(LOOKUP(2,1/(单次交易!$A$2:$A$88=B87),单次交易!$N$2:$N$88),""))</f>
        <v/>
      </c>
      <c r="O87" s="5" t="str">
        <f t="shared" si="18"/>
        <v/>
      </c>
      <c r="P87" s="11" t="str">
        <f t="shared" si="19"/>
        <v/>
      </c>
      <c r="Q87" s="5" t="str">
        <f t="shared" si="20"/>
        <v/>
      </c>
      <c r="R87" s="10"/>
      <c r="S87" s="5" t="str">
        <f t="shared" si="21"/>
        <v/>
      </c>
      <c r="T87" s="5" t="str">
        <f t="shared" si="22"/>
        <v/>
      </c>
      <c r="U87" s="5" t="str">
        <f t="shared" si="23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IF(X87&lt;&gt;"执行卖出","",IFERROR(LOOKUP(2,1/(单次交易!$A$2:$A$88=B87),单次交易!$AP$2:$AP$88),""))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$157,"止损计划",$B$2:$B$157,B87,$D$2:$D$157,D87)&gt;1,"阶段序号重复",IF(E87&lt;=IFERROR(LOOKUP(2,1/(单次交易!$A$2:$A$88=B87),单次交易!$E$2:$E$88),0),"激活价须高于买入价",IF(F87&lt;N87,"止损价不得低于初始止损",IF(F87&gt;E87,"止损价不得高于激活价",IF(AND(COUNTIFS($A$2:$A$157,"止损计划",$B$2:$B$157,B87,$D$2:$D$157,"&lt;"&amp;D87)&gt;0,OR(E87&lt;=SUMPRODUCT(MAX((($A$2:$A$157="止损计划")*($B$2:$B$157=B87)*($D$2:$D$157&lt;D87))*$E$2:$E$157)),F87&lt;SUMPRODUCT(MAX((($A$2:$A$157="止损计划")*($B$2:$B$157=B87)*($D$2:$D$157&lt;D87))*$F$2:$F$157)))),"阶段价格必须逐级提高","计划有效"))))))),IF(A87="每日跟踪",IF(OR(B87="",H87="",I87="",J87=""),"每日数据不完整",IF(COUNTIFS($A$2:$A$157,"每日跟踪",$B$2:$B$157,B87,$H$2:$H$157,H87)&gt;1,"同一交易日期重复",IF(AND(R87&lt;&gt;"",R87&lt;S87),"人工止损无效：不能下调","跟踪有效"))),"记录类型无效")))</f>
        <v/>
      </c>
    </row>
    <row r="88" ht="17" spans="1:29">
      <c r="A88" s="2"/>
      <c r="B88" s="2"/>
      <c r="C88" s="8" t="str">
        <f>IF(B88="","",IFERROR(LOOKUP(2,1/(单次交易!$A$2:$A$88=B88),单次交易!$B$2:$B$88),""))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IF(B88="","",IFERROR(LOOKUP(2,1/(单次交易!$A$2:$A$88=B88),单次交易!$N$2:$N$88),""))</f>
        <v/>
      </c>
      <c r="O88" s="5" t="str">
        <f t="shared" si="18"/>
        <v/>
      </c>
      <c r="P88" s="11" t="str">
        <f t="shared" si="19"/>
        <v/>
      </c>
      <c r="Q88" s="5" t="str">
        <f t="shared" si="20"/>
        <v/>
      </c>
      <c r="R88" s="10"/>
      <c r="S88" s="5" t="str">
        <f t="shared" si="21"/>
        <v/>
      </c>
      <c r="T88" s="5" t="str">
        <f t="shared" si="22"/>
        <v/>
      </c>
      <c r="U88" s="5" t="str">
        <f t="shared" si="23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IF(X88&lt;&gt;"执行卖出","",IFERROR(LOOKUP(2,1/(单次交易!$A$2:$A$88=B88),单次交易!$AP$2:$AP$88),""))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$157,"止损计划",$B$2:$B$157,B88,$D$2:$D$157,D88)&gt;1,"阶段序号重复",IF(E88&lt;=IFERROR(LOOKUP(2,1/(单次交易!$A$2:$A$88=B88),单次交易!$E$2:$E$88),0),"激活价须高于买入价",IF(F88&lt;N88,"止损价不得低于初始止损",IF(F88&gt;E88,"止损价不得高于激活价",IF(AND(COUNTIFS($A$2:$A$157,"止损计划",$B$2:$B$157,B88,$D$2:$D$157,"&lt;"&amp;D88)&gt;0,OR(E88&lt;=SUMPRODUCT(MAX((($A$2:$A$157="止损计划")*($B$2:$B$157=B88)*($D$2:$D$157&lt;D88))*$E$2:$E$157)),F88&lt;SUMPRODUCT(MAX((($A$2:$A$157="止损计划")*($B$2:$B$157=B88)*($D$2:$D$157&lt;D88))*$F$2:$F$157)))),"阶段价格必须逐级提高","计划有效"))))))),IF(A88="每日跟踪",IF(OR(B88="",H88="",I88="",J88=""),"每日数据不完整",IF(COUNTIFS($A$2:$A$157,"每日跟踪",$B$2:$B$157,B88,$H$2:$H$157,H88)&gt;1,"同一交易日期重复",IF(AND(R88&lt;&gt;"",R88&lt;S88),"人工止损无效：不能下调","跟踪有效"))),"记录类型无效")))</f>
        <v/>
      </c>
    </row>
    <row r="89" ht="17" spans="1:29">
      <c r="A89" s="2"/>
      <c r="B89" s="2"/>
      <c r="C89" s="8" t="str">
        <f>IF(B89="","",IFERROR(LOOKUP(2,1/(单次交易!$A$2:$A$88=B89),单次交易!$B$2:$B$88),""))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IF(B89="","",IFERROR(LOOKUP(2,1/(单次交易!$A$2:$A$88=B89),单次交易!$N$2:$N$88),""))</f>
        <v/>
      </c>
      <c r="O89" s="5" t="str">
        <f t="shared" si="18"/>
        <v/>
      </c>
      <c r="P89" s="11" t="str">
        <f t="shared" si="19"/>
        <v/>
      </c>
      <c r="Q89" s="5" t="str">
        <f t="shared" si="20"/>
        <v/>
      </c>
      <c r="R89" s="10"/>
      <c r="S89" s="5" t="str">
        <f t="shared" si="21"/>
        <v/>
      </c>
      <c r="T89" s="5" t="str">
        <f t="shared" si="22"/>
        <v/>
      </c>
      <c r="U89" s="5" t="str">
        <f t="shared" si="23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IF(X89&lt;&gt;"执行卖出","",IFERROR(LOOKUP(2,1/(单次交易!$A$2:$A$88=B89),单次交易!$AP$2:$AP$88),""))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$157,"止损计划",$B$2:$B$157,B89,$D$2:$D$157,D89)&gt;1,"阶段序号重复",IF(E89&lt;=IFERROR(LOOKUP(2,1/(单次交易!$A$2:$A$88=B89),单次交易!$E$2:$E$88),0),"激活价须高于买入价",IF(F89&lt;N89,"止损价不得低于初始止损",IF(F89&gt;E89,"止损价不得高于激活价",IF(AND(COUNTIFS($A$2:$A$157,"止损计划",$B$2:$B$157,B89,$D$2:$D$157,"&lt;"&amp;D89)&gt;0,OR(E89&lt;=SUMPRODUCT(MAX((($A$2:$A$157="止损计划")*($B$2:$B$157=B89)*($D$2:$D$157&lt;D89))*$E$2:$E$157)),F89&lt;SUMPRODUCT(MAX((($A$2:$A$157="止损计划")*($B$2:$B$157=B89)*($D$2:$D$157&lt;D89))*$F$2:$F$157)))),"阶段价格必须逐级提高","计划有效"))))))),IF(A89="每日跟踪",IF(OR(B89="",H89="",I89="",J89=""),"每日数据不完整",IF(COUNTIFS($A$2:$A$157,"每日跟踪",$B$2:$B$157,B89,$H$2:$H$157,H89)&gt;1,"同一交易日期重复",IF(AND(R89&lt;&gt;"",R89&lt;S89),"人工止损无效：不能下调","跟踪有效"))),"记录类型无效")))</f>
        <v/>
      </c>
    </row>
    <row r="90" ht="17" spans="1:29">
      <c r="A90" s="2"/>
      <c r="B90" s="2"/>
      <c r="C90" s="8" t="str">
        <f>IF(B90="","",IFERROR(LOOKUP(2,1/(单次交易!$A$2:$A$88=B90),单次交易!$B$2:$B$88),""))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IF(B90="","",IFERROR(LOOKUP(2,1/(单次交易!$A$2:$A$88=B90),单次交易!$N$2:$N$88),""))</f>
        <v/>
      </c>
      <c r="O90" s="5" t="str">
        <f t="shared" si="18"/>
        <v/>
      </c>
      <c r="P90" s="11" t="str">
        <f t="shared" si="19"/>
        <v/>
      </c>
      <c r="Q90" s="5" t="str">
        <f t="shared" si="20"/>
        <v/>
      </c>
      <c r="R90" s="10"/>
      <c r="S90" s="5" t="str">
        <f t="shared" si="21"/>
        <v/>
      </c>
      <c r="T90" s="5" t="str">
        <f t="shared" si="22"/>
        <v/>
      </c>
      <c r="U90" s="5" t="str">
        <f t="shared" si="23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IF(X90&lt;&gt;"执行卖出","",IFERROR(LOOKUP(2,1/(单次交易!$A$2:$A$88=B90),单次交易!$AP$2:$AP$88),""))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$157,"止损计划",$B$2:$B$157,B90,$D$2:$D$157,D90)&gt;1,"阶段序号重复",IF(E90&lt;=IFERROR(LOOKUP(2,1/(单次交易!$A$2:$A$88=B90),单次交易!$E$2:$E$88),0),"激活价须高于买入价",IF(F90&lt;N90,"止损价不得低于初始止损",IF(F90&gt;E90,"止损价不得高于激活价",IF(AND(COUNTIFS($A$2:$A$157,"止损计划",$B$2:$B$157,B90,$D$2:$D$157,"&lt;"&amp;D90)&gt;0,OR(E90&lt;=SUMPRODUCT(MAX((($A$2:$A$157="止损计划")*($B$2:$B$157=B90)*($D$2:$D$157&lt;D90))*$E$2:$E$157)),F90&lt;SUMPRODUCT(MAX((($A$2:$A$157="止损计划")*($B$2:$B$157=B90)*($D$2:$D$157&lt;D90))*$F$2:$F$157)))),"阶段价格必须逐级提高","计划有效"))))))),IF(A90="每日跟踪",IF(OR(B90="",H90="",I90="",J90=""),"每日数据不完整",IF(COUNTIFS($A$2:$A$157,"每日跟踪",$B$2:$B$157,B90,$H$2:$H$157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IF(B91="","",IFERROR(LOOKUP(2,1/(单次交易!$A$2:$A$88=B91),单次交易!$B$2:$B$88),""))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IF(B91="","",IFERROR(LOOKUP(2,1/(单次交易!$A$2:$A$88=B91),单次交易!$N$2:$N$88),""))</f>
        <v/>
      </c>
      <c r="O91" s="5" t="str">
        <f t="shared" si="18"/>
        <v/>
      </c>
      <c r="P91" s="11" t="str">
        <f t="shared" si="19"/>
        <v/>
      </c>
      <c r="Q91" s="5" t="str">
        <f t="shared" si="20"/>
        <v/>
      </c>
      <c r="R91" s="10"/>
      <c r="S91" s="5" t="str">
        <f t="shared" si="21"/>
        <v/>
      </c>
      <c r="T91" s="5" t="str">
        <f t="shared" si="22"/>
        <v/>
      </c>
      <c r="U91" s="5" t="str">
        <f t="shared" si="23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IF(X91&lt;&gt;"执行卖出","",IFERROR(LOOKUP(2,1/(单次交易!$A$2:$A$88=B91),单次交易!$AP$2:$AP$88),""))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$157,"止损计划",$B$2:$B$157,B91,$D$2:$D$157,D91)&gt;1,"阶段序号重复",IF(E91&lt;=IFERROR(LOOKUP(2,1/(单次交易!$A$2:$A$88=B91),单次交易!$E$2:$E$88),0),"激活价须高于买入价",IF(F91&lt;N91,"止损价不得低于初始止损",IF(F91&gt;E91,"止损价不得高于激活价",IF(AND(COUNTIFS($A$2:$A$157,"止损计划",$B$2:$B$157,B91,$D$2:$D$157,"&lt;"&amp;D91)&gt;0,OR(E91&lt;=SUMPRODUCT(MAX((($A$2:$A$157="止损计划")*($B$2:$B$157=B91)*($D$2:$D$157&lt;D91))*$E$2:$E$157)),F91&lt;SUMPRODUCT(MAX((($A$2:$A$157="止损计划")*($B$2:$B$157=B91)*($D$2:$D$157&lt;D91))*$F$2:$F$157)))),"阶段价格必须逐级提高","计划有效"))))))),IF(A91="每日跟踪",IF(OR(B91="",H91="",I91="",J91=""),"每日数据不完整",IF(COUNTIFS($A$2:$A$157,"每日跟踪",$B$2:$B$157,B91,$H$2:$H$157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IF(B92="","",IFERROR(LOOKUP(2,1/(单次交易!$A$2:$A$88=B92),单次交易!$B$2:$B$88),""))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IF(B92="","",IFERROR(LOOKUP(2,1/(单次交易!$A$2:$A$88=B92),单次交易!$N$2:$N$88),""))</f>
        <v/>
      </c>
      <c r="O92" s="5" t="str">
        <f t="shared" si="18"/>
        <v/>
      </c>
      <c r="P92" s="11" t="str">
        <f t="shared" si="19"/>
        <v/>
      </c>
      <c r="Q92" s="5" t="str">
        <f t="shared" si="20"/>
        <v/>
      </c>
      <c r="R92" s="10"/>
      <c r="S92" s="5" t="str">
        <f t="shared" si="21"/>
        <v/>
      </c>
      <c r="T92" s="5" t="str">
        <f t="shared" si="22"/>
        <v/>
      </c>
      <c r="U92" s="5" t="str">
        <f t="shared" si="23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IF(X92&lt;&gt;"执行卖出","",IFERROR(LOOKUP(2,1/(单次交易!$A$2:$A$88=B92),单次交易!$AP$2:$AP$88),""))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$157,"止损计划",$B$2:$B$157,B92,$D$2:$D$157,D92)&gt;1,"阶段序号重复",IF(E92&lt;=IFERROR(LOOKUP(2,1/(单次交易!$A$2:$A$88=B92),单次交易!$E$2:$E$88),0),"激活价须高于买入价",IF(F92&lt;N92,"止损价不得低于初始止损",IF(F92&gt;E92,"止损价不得高于激活价",IF(AND(COUNTIFS($A$2:$A$157,"止损计划",$B$2:$B$157,B92,$D$2:$D$157,"&lt;"&amp;D92)&gt;0,OR(E92&lt;=SUMPRODUCT(MAX((($A$2:$A$157="止损计划")*($B$2:$B$157=B92)*($D$2:$D$157&lt;D92))*$E$2:$E$157)),F92&lt;SUMPRODUCT(MAX((($A$2:$A$157="止损计划")*($B$2:$B$157=B92)*($D$2:$D$157&lt;D92))*$F$2:$F$157)))),"阶段价格必须逐级提高","计划有效"))))))),IF(A92="每日跟踪",IF(OR(B92="",H92="",I92="",J92=""),"每日数据不完整",IF(COUNTIFS($A$2:$A$157,"每日跟踪",$B$2:$B$157,B92,$H$2:$H$157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IF(B93="","",IFERROR(LOOKUP(2,1/(单次交易!$A$2:$A$88=B93),单次交易!$B$2:$B$88),""))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IF(B93="","",IFERROR(LOOKUP(2,1/(单次交易!$A$2:$A$88=B93),单次交易!$N$2:$N$88),""))</f>
        <v/>
      </c>
      <c r="O93" s="5" t="str">
        <f t="shared" si="18"/>
        <v/>
      </c>
      <c r="P93" s="11" t="str">
        <f t="shared" si="19"/>
        <v/>
      </c>
      <c r="Q93" s="5" t="str">
        <f t="shared" si="20"/>
        <v/>
      </c>
      <c r="R93" s="10"/>
      <c r="S93" s="5" t="str">
        <f t="shared" si="21"/>
        <v/>
      </c>
      <c r="T93" s="5" t="str">
        <f t="shared" si="22"/>
        <v/>
      </c>
      <c r="U93" s="5" t="str">
        <f t="shared" si="23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IF(X93&lt;&gt;"执行卖出","",IFERROR(LOOKUP(2,1/(单次交易!$A$2:$A$88=B93),单次交易!$AP$2:$AP$88),""))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$157,"止损计划",$B$2:$B$157,B93,$D$2:$D$157,D93)&gt;1,"阶段序号重复",IF(E93&lt;=IFERROR(LOOKUP(2,1/(单次交易!$A$2:$A$88=B93),单次交易!$E$2:$E$88),0),"激活价须高于买入价",IF(F93&lt;N93,"止损价不得低于初始止损",IF(F93&gt;E93,"止损价不得高于激活价",IF(AND(COUNTIFS($A$2:$A$157,"止损计划",$B$2:$B$157,B93,$D$2:$D$157,"&lt;"&amp;D93)&gt;0,OR(E93&lt;=SUMPRODUCT(MAX((($A$2:$A$157="止损计划")*($B$2:$B$157=B93)*($D$2:$D$157&lt;D93))*$E$2:$E$157)),F93&lt;SUMPRODUCT(MAX((($A$2:$A$157="止损计划")*($B$2:$B$157=B93)*($D$2:$D$157&lt;D93))*$F$2:$F$157)))),"阶段价格必须逐级提高","计划有效"))))))),IF(A93="每日跟踪",IF(OR(B93="",H93="",I93="",J93=""),"每日数据不完整",IF(COUNTIFS($A$2:$A$157,"每日跟踪",$B$2:$B$157,B93,$H$2:$H$157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IF(B94="","",IFERROR(LOOKUP(2,1/(单次交易!$A$2:$A$88=B94),单次交易!$B$2:$B$88),""))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IF(B94="","",IFERROR(LOOKUP(2,1/(单次交易!$A$2:$A$88=B94),单次交易!$N$2:$N$88),""))</f>
        <v/>
      </c>
      <c r="O94" s="5" t="str">
        <f t="shared" si="18"/>
        <v/>
      </c>
      <c r="P94" s="11" t="str">
        <f t="shared" si="19"/>
        <v/>
      </c>
      <c r="Q94" s="5" t="str">
        <f t="shared" si="20"/>
        <v/>
      </c>
      <c r="R94" s="10"/>
      <c r="S94" s="5" t="str">
        <f t="shared" si="21"/>
        <v/>
      </c>
      <c r="T94" s="5" t="str">
        <f t="shared" si="22"/>
        <v/>
      </c>
      <c r="U94" s="5" t="str">
        <f t="shared" si="23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IF(X94&lt;&gt;"执行卖出","",IFERROR(LOOKUP(2,1/(单次交易!$A$2:$A$88=B94),单次交易!$AP$2:$AP$88),""))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$157,"止损计划",$B$2:$B$157,B94,$D$2:$D$157,D94)&gt;1,"阶段序号重复",IF(E94&lt;=IFERROR(LOOKUP(2,1/(单次交易!$A$2:$A$88=B94),单次交易!$E$2:$E$88),0),"激活价须高于买入价",IF(F94&lt;N94,"止损价不得低于初始止损",IF(F94&gt;E94,"止损价不得高于激活价",IF(AND(COUNTIFS($A$2:$A$157,"止损计划",$B$2:$B$157,B94,$D$2:$D$157,"&lt;"&amp;D94)&gt;0,OR(E94&lt;=SUMPRODUCT(MAX((($A$2:$A$157="止损计划")*($B$2:$B$157=B94)*($D$2:$D$157&lt;D94))*$E$2:$E$157)),F94&lt;SUMPRODUCT(MAX((($A$2:$A$157="止损计划")*($B$2:$B$157=B94)*($D$2:$D$157&lt;D94))*$F$2:$F$157)))),"阶段价格必须逐级提高","计划有效"))))))),IF(A94="每日跟踪",IF(OR(B94="",H94="",I94="",J94=""),"每日数据不完整",IF(COUNTIFS($A$2:$A$157,"每日跟踪",$B$2:$B$157,B94,$H$2:$H$157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IF(B95="","",IFERROR(LOOKUP(2,1/(单次交易!$A$2:$A$88=B95),单次交易!$B$2:$B$88),""))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IF(B95="","",IFERROR(LOOKUP(2,1/(单次交易!$A$2:$A$88=B95),单次交易!$N$2:$N$88),""))</f>
        <v/>
      </c>
      <c r="O95" s="5" t="str">
        <f t="shared" si="18"/>
        <v/>
      </c>
      <c r="P95" s="11" t="str">
        <f t="shared" si="19"/>
        <v/>
      </c>
      <c r="Q95" s="5" t="str">
        <f t="shared" si="20"/>
        <v/>
      </c>
      <c r="R95" s="10"/>
      <c r="S95" s="5" t="str">
        <f t="shared" si="21"/>
        <v/>
      </c>
      <c r="T95" s="5" t="str">
        <f t="shared" si="22"/>
        <v/>
      </c>
      <c r="U95" s="5" t="str">
        <f t="shared" si="23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IF(X95&lt;&gt;"执行卖出","",IFERROR(LOOKUP(2,1/(单次交易!$A$2:$A$88=B95),单次交易!$AP$2:$AP$88),""))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$157,"止损计划",$B$2:$B$157,B95,$D$2:$D$157,D95)&gt;1,"阶段序号重复",IF(E95&lt;=IFERROR(LOOKUP(2,1/(单次交易!$A$2:$A$88=B95),单次交易!$E$2:$E$88),0),"激活价须高于买入价",IF(F95&lt;N95,"止损价不得低于初始止损",IF(F95&gt;E95,"止损价不得高于激活价",IF(AND(COUNTIFS($A$2:$A$157,"止损计划",$B$2:$B$157,B95,$D$2:$D$157,"&lt;"&amp;D95)&gt;0,OR(E95&lt;=SUMPRODUCT(MAX((($A$2:$A$157="止损计划")*($B$2:$B$157=B95)*($D$2:$D$157&lt;D95))*$E$2:$E$157)),F95&lt;SUMPRODUCT(MAX((($A$2:$A$157="止损计划")*($B$2:$B$157=B95)*($D$2:$D$157&lt;D95))*$F$2:$F$157)))),"阶段价格必须逐级提高","计划有效"))))))),IF(A95="每日跟踪",IF(OR(B95="",H95="",I95="",J95=""),"每日数据不完整",IF(COUNTIFS($A$2:$A$157,"每日跟踪",$B$2:$B$157,B95,$H$2:$H$157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IF(B96="","",IFERROR(LOOKUP(2,1/(单次交易!$A$2:$A$88=B96),单次交易!$B$2:$B$88),""))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IF(B96="","",IFERROR(LOOKUP(2,1/(单次交易!$A$2:$A$88=B96),单次交易!$N$2:$N$88),""))</f>
        <v/>
      </c>
      <c r="O96" s="5" t="str">
        <f t="shared" si="18"/>
        <v/>
      </c>
      <c r="P96" s="11" t="str">
        <f t="shared" si="19"/>
        <v/>
      </c>
      <c r="Q96" s="5" t="str">
        <f t="shared" si="20"/>
        <v/>
      </c>
      <c r="R96" s="10"/>
      <c r="S96" s="5" t="str">
        <f t="shared" si="21"/>
        <v/>
      </c>
      <c r="T96" s="5" t="str">
        <f t="shared" si="22"/>
        <v/>
      </c>
      <c r="U96" s="5" t="str">
        <f t="shared" si="23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IF(X96&lt;&gt;"执行卖出","",IFERROR(LOOKUP(2,1/(单次交易!$A$2:$A$88=B96),单次交易!$AP$2:$AP$88),""))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$157,"止损计划",$B$2:$B$157,B96,$D$2:$D$157,D96)&gt;1,"阶段序号重复",IF(E96&lt;=IFERROR(LOOKUP(2,1/(单次交易!$A$2:$A$88=B96),单次交易!$E$2:$E$88),0),"激活价须高于买入价",IF(F96&lt;N96,"止损价不得低于初始止损",IF(F96&gt;E96,"止损价不得高于激活价",IF(AND(COUNTIFS($A$2:$A$157,"止损计划",$B$2:$B$157,B96,$D$2:$D$157,"&lt;"&amp;D96)&gt;0,OR(E96&lt;=SUMPRODUCT(MAX((($A$2:$A$157="止损计划")*($B$2:$B$157=B96)*($D$2:$D$157&lt;D96))*$E$2:$E$157)),F96&lt;SUMPRODUCT(MAX((($A$2:$A$157="止损计划")*($B$2:$B$157=B96)*($D$2:$D$157&lt;D96))*$F$2:$F$157)))),"阶段价格必须逐级提高","计划有效"))))))),IF(A96="每日跟踪",IF(OR(B96="",H96="",I96="",J96=""),"每日数据不完整",IF(COUNTIFS($A$2:$A$157,"每日跟踪",$B$2:$B$157,B96,$H$2:$H$157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IF(B97="","",IFERROR(LOOKUP(2,1/(单次交易!$A$2:$A$88=B97),单次交易!$B$2:$B$88),""))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IF(B97="","",IFERROR(LOOKUP(2,1/(单次交易!$A$2:$A$88=B97),单次交易!$N$2:$N$88),""))</f>
        <v/>
      </c>
      <c r="O97" s="5" t="str">
        <f t="shared" si="18"/>
        <v/>
      </c>
      <c r="P97" s="11" t="str">
        <f t="shared" si="19"/>
        <v/>
      </c>
      <c r="Q97" s="5" t="str">
        <f t="shared" si="20"/>
        <v/>
      </c>
      <c r="R97" s="10"/>
      <c r="S97" s="5" t="str">
        <f t="shared" si="21"/>
        <v/>
      </c>
      <c r="T97" s="5" t="str">
        <f t="shared" si="22"/>
        <v/>
      </c>
      <c r="U97" s="5" t="str">
        <f t="shared" si="23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IF(X97&lt;&gt;"执行卖出","",IFERROR(LOOKUP(2,1/(单次交易!$A$2:$A$88=B97),单次交易!$AP$2:$AP$88),""))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$157,"止损计划",$B$2:$B$157,B97,$D$2:$D$157,D97)&gt;1,"阶段序号重复",IF(E97&lt;=IFERROR(LOOKUP(2,1/(单次交易!$A$2:$A$88=B97),单次交易!$E$2:$E$88),0),"激活价须高于买入价",IF(F97&lt;N97,"止损价不得低于初始止损",IF(F97&gt;E97,"止损价不得高于激活价",IF(AND(COUNTIFS($A$2:$A$157,"止损计划",$B$2:$B$157,B97,$D$2:$D$157,"&lt;"&amp;D97)&gt;0,OR(E97&lt;=SUMPRODUCT(MAX((($A$2:$A$157="止损计划")*($B$2:$B$157=B97)*($D$2:$D$157&lt;D97))*$E$2:$E$157)),F97&lt;SUMPRODUCT(MAX((($A$2:$A$157="止损计划")*($B$2:$B$157=B97)*($D$2:$D$157&lt;D97))*$F$2:$F$157)))),"阶段价格必须逐级提高","计划有效"))))))),IF(A97="每日跟踪",IF(OR(B97="",H97="",I97="",J97=""),"每日数据不完整",IF(COUNTIFS($A$2:$A$157,"每日跟踪",$B$2:$B$157,B97,$H$2:$H$157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IF(B98="","",IFERROR(LOOKUP(2,1/(单次交易!$A$2:$A$88=B98),单次交易!$B$2:$B$88),""))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IF(B98="","",IFERROR(LOOKUP(2,1/(单次交易!$A$2:$A$88=B98),单次交易!$N$2:$N$88),""))</f>
        <v/>
      </c>
      <c r="O98" s="5" t="str">
        <f t="shared" ref="O98:O129" si="24">IF(A98&lt;&gt;"每日跟踪","",IF(OR(B98="",H98="",I98=""),"",IFERROR(SUMPRODUCT(MAX((($A$2:$A$157="每日跟踪")*($B$2:$B$157=B98)*($H$2:$H$157&lt;=H98))*$I$2:$I$157)),"")))</f>
        <v/>
      </c>
      <c r="P98" s="11" t="str">
        <f t="shared" ref="P98:P129" si="25">IF(A98&lt;&gt;"每日跟踪","",IF(O98="","",IFERROR(SUMPRODUCT(MAX((($A$2:$A$157="止损计划")*($B$2:$B$157=B98)*($E$2:$E$157&lt;=O98))*$D$2:$D$157)),0)))</f>
        <v/>
      </c>
      <c r="Q98" s="5" t="str">
        <f t="shared" ref="Q98:Q129" si="26">IF(A98&lt;&gt;"每日跟踪","",IF(N98="","",MAX(N98,IFERROR(SUMPRODUCT(MAX((($A$2:$A$157="止损计划")*($B$2:$B$157=B98)*($E$2:$E$157&lt;=O98))*$F$2:$F$157)),0))))</f>
        <v/>
      </c>
      <c r="R98" s="10"/>
      <c r="S98" s="5" t="str">
        <f t="shared" ref="S98:S129" si="27">IF(A98&lt;&gt;"每日跟踪","",IF(Q98="","",MAX(Q98,IFERROR(SUMPRODUCT(MAX((($A$2:$A$157="每日跟踪")*($B$2:$B$157=B98)*($H$2:$H$157&lt;=H98))*$R$2:$R$157)),0))))</f>
        <v/>
      </c>
      <c r="T98" s="5" t="str">
        <f t="shared" ref="T98:T129" si="28">IF(A98&lt;&gt;"每日跟踪","",IF(O98="","",IF(COUNTIFS($A$2:$A$157,"止损计划",$B$2:$B$157,B98,$E$2:$E$157,"&gt;"&amp;O98)=0,"",INDEX($E$2:$E$157,MATCH(1,INDEX(($A$2:$A$157="止损计划")*($B$2:$B$157=B98)*($E$2:$E$157&gt;O98),0),0)))))</f>
        <v/>
      </c>
      <c r="U98" s="5" t="str">
        <f t="shared" ref="U98:U129" si="29">IF(OR(A98&lt;&gt;"每日跟踪",T98=""),"",IFERROR(SUMIFS($F$2:$F$157,$A$2:$A$157,"止损计划",$B$2:$B$157,B98,$E$2:$E$157,T98),""))</f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IF(X98&lt;&gt;"执行卖出","",IFERROR(LOOKUP(2,1/(单次交易!$A$2:$A$88=B98),单次交易!$AP$2:$AP$88),""))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$157,"止损计划",$B$2:$B$157,B98,$D$2:$D$157,D98)&gt;1,"阶段序号重复",IF(E98&lt;=IFERROR(LOOKUP(2,1/(单次交易!$A$2:$A$88=B98),单次交易!$E$2:$E$88),0),"激活价须高于买入价",IF(F98&lt;N98,"止损价不得低于初始止损",IF(F98&gt;E98,"止损价不得高于激活价",IF(AND(COUNTIFS($A$2:$A$157,"止损计划",$B$2:$B$157,B98,$D$2:$D$157,"&lt;"&amp;D98)&gt;0,OR(E98&lt;=SUMPRODUCT(MAX((($A$2:$A$157="止损计划")*($B$2:$B$157=B98)*($D$2:$D$157&lt;D98))*$E$2:$E$157)),F98&lt;SUMPRODUCT(MAX((($A$2:$A$157="止损计划")*($B$2:$B$157=B98)*($D$2:$D$157&lt;D98))*$F$2:$F$157)))),"阶段价格必须逐级提高","计划有效"))))))),IF(A98="每日跟踪",IF(OR(B98="",H98="",I98="",J98=""),"每日数据不完整",IF(COUNTIFS($A$2:$A$157,"每日跟踪",$B$2:$B$157,B98,$H$2:$H$157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IF(B99="","",IFERROR(LOOKUP(2,1/(单次交易!$A$2:$A$88=B99),单次交易!$B$2:$B$88),""))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IF(B99="","",IFERROR(LOOKUP(2,1/(单次交易!$A$2:$A$88=B99),单次交易!$N$2:$N$88),""))</f>
        <v/>
      </c>
      <c r="O99" s="5" t="str">
        <f t="shared" si="24"/>
        <v/>
      </c>
      <c r="P99" s="11" t="str">
        <f t="shared" si="25"/>
        <v/>
      </c>
      <c r="Q99" s="5" t="str">
        <f t="shared" si="26"/>
        <v/>
      </c>
      <c r="R99" s="10"/>
      <c r="S99" s="5" t="str">
        <f t="shared" si="27"/>
        <v/>
      </c>
      <c r="T99" s="5" t="str">
        <f t="shared" si="28"/>
        <v/>
      </c>
      <c r="U99" s="5" t="str">
        <f t="shared" si="29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IF(X99&lt;&gt;"执行卖出","",IFERROR(LOOKUP(2,1/(单次交易!$A$2:$A$88=B99),单次交易!$AP$2:$AP$88),""))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$157,"止损计划",$B$2:$B$157,B99,$D$2:$D$157,D99)&gt;1,"阶段序号重复",IF(E99&lt;=IFERROR(LOOKUP(2,1/(单次交易!$A$2:$A$88=B99),单次交易!$E$2:$E$88),0),"激活价须高于买入价",IF(F99&lt;N99,"止损价不得低于初始止损",IF(F99&gt;E99,"止损价不得高于激活价",IF(AND(COUNTIFS($A$2:$A$157,"止损计划",$B$2:$B$157,B99,$D$2:$D$157,"&lt;"&amp;D99)&gt;0,OR(E99&lt;=SUMPRODUCT(MAX((($A$2:$A$157="止损计划")*($B$2:$B$157=B99)*($D$2:$D$157&lt;D99))*$E$2:$E$157)),F99&lt;SUMPRODUCT(MAX((($A$2:$A$157="止损计划")*($B$2:$B$157=B99)*($D$2:$D$157&lt;D99))*$F$2:$F$157)))),"阶段价格必须逐级提高","计划有效"))))))),IF(A99="每日跟踪",IF(OR(B99="",H99="",I99="",J99=""),"每日数据不完整",IF(COUNTIFS($A$2:$A$157,"每日跟踪",$B$2:$B$157,B99,$H$2:$H$157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IF(B100="","",IFERROR(LOOKUP(2,1/(单次交易!$A$2:$A$88=B100),单次交易!$B$2:$B$88),""))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IF(B100="","",IFERROR(LOOKUP(2,1/(单次交易!$A$2:$A$88=B100),单次交易!$N$2:$N$88),""))</f>
        <v/>
      </c>
      <c r="O100" s="5" t="str">
        <f t="shared" si="24"/>
        <v/>
      </c>
      <c r="P100" s="11" t="str">
        <f t="shared" si="25"/>
        <v/>
      </c>
      <c r="Q100" s="5" t="str">
        <f t="shared" si="26"/>
        <v/>
      </c>
      <c r="R100" s="10"/>
      <c r="S100" s="5" t="str">
        <f t="shared" si="27"/>
        <v/>
      </c>
      <c r="T100" s="5" t="str">
        <f t="shared" si="28"/>
        <v/>
      </c>
      <c r="U100" s="5" t="str">
        <f t="shared" si="29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IF(X100&lt;&gt;"执行卖出","",IFERROR(LOOKUP(2,1/(单次交易!$A$2:$A$88=B100),单次交易!$AP$2:$AP$88),""))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$157,"止损计划",$B$2:$B$157,B100,$D$2:$D$157,D100)&gt;1,"阶段序号重复",IF(E100&lt;=IFERROR(LOOKUP(2,1/(单次交易!$A$2:$A$88=B100),单次交易!$E$2:$E$88),0),"激活价须高于买入价",IF(F100&lt;N100,"止损价不得低于初始止损",IF(F100&gt;E100,"止损价不得高于激活价",IF(AND(COUNTIFS($A$2:$A$157,"止损计划",$B$2:$B$157,B100,$D$2:$D$157,"&lt;"&amp;D100)&gt;0,OR(E100&lt;=SUMPRODUCT(MAX((($A$2:$A$157="止损计划")*($B$2:$B$157=B100)*($D$2:$D$157&lt;D100))*$E$2:$E$157)),F100&lt;SUMPRODUCT(MAX((($A$2:$A$157="止损计划")*($B$2:$B$157=B100)*($D$2:$D$157&lt;D100))*$F$2:$F$157)))),"阶段价格必须逐级提高","计划有效"))))))),IF(A100="每日跟踪",IF(OR(B100="",H100="",I100="",J100=""),"每日数据不完整",IF(COUNTIFS($A$2:$A$157,"每日跟踪",$B$2:$B$157,B100,$H$2:$H$157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IF(B101="","",IFERROR(LOOKUP(2,1/(单次交易!$A$2:$A$88=B101),单次交易!$B$2:$B$88),""))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IF(B101="","",IFERROR(LOOKUP(2,1/(单次交易!$A$2:$A$88=B101),单次交易!$N$2:$N$88),""))</f>
        <v/>
      </c>
      <c r="O101" s="5" t="str">
        <f t="shared" si="24"/>
        <v/>
      </c>
      <c r="P101" s="11" t="str">
        <f t="shared" si="25"/>
        <v/>
      </c>
      <c r="Q101" s="5" t="str">
        <f t="shared" si="26"/>
        <v/>
      </c>
      <c r="R101" s="10"/>
      <c r="S101" s="5" t="str">
        <f t="shared" si="27"/>
        <v/>
      </c>
      <c r="T101" s="5" t="str">
        <f t="shared" si="28"/>
        <v/>
      </c>
      <c r="U101" s="5" t="str">
        <f t="shared" si="29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IF(X101&lt;&gt;"执行卖出","",IFERROR(LOOKUP(2,1/(单次交易!$A$2:$A$88=B101),单次交易!$AP$2:$AP$88),""))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$157,"止损计划",$B$2:$B$157,B101,$D$2:$D$157,D101)&gt;1,"阶段序号重复",IF(E101&lt;=IFERROR(LOOKUP(2,1/(单次交易!$A$2:$A$88=B101),单次交易!$E$2:$E$88),0),"激活价须高于买入价",IF(F101&lt;N101,"止损价不得低于初始止损",IF(F101&gt;E101,"止损价不得高于激活价",IF(AND(COUNTIFS($A$2:$A$157,"止损计划",$B$2:$B$157,B101,$D$2:$D$157,"&lt;"&amp;D101)&gt;0,OR(E101&lt;=SUMPRODUCT(MAX((($A$2:$A$157="止损计划")*($B$2:$B$157=B101)*($D$2:$D$157&lt;D101))*$E$2:$E$157)),F101&lt;SUMPRODUCT(MAX((($A$2:$A$157="止损计划")*($B$2:$B$157=B101)*($D$2:$D$157&lt;D101))*$F$2:$F$157)))),"阶段价格必须逐级提高","计划有效"))))))),IF(A101="每日跟踪",IF(OR(B101="",H101="",I101="",J101=""),"每日数据不完整",IF(COUNTIFS($A$2:$A$157,"每日跟踪",$B$2:$B$157,B101,$H$2:$H$157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IF(B102="","",IFERROR(LOOKUP(2,1/(单次交易!$A$2:$A$88=B102),单次交易!$B$2:$B$88),""))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IF(B102="","",IFERROR(LOOKUP(2,1/(单次交易!$A$2:$A$88=B102),单次交易!$N$2:$N$88),""))</f>
        <v/>
      </c>
      <c r="O102" s="5" t="str">
        <f t="shared" si="24"/>
        <v/>
      </c>
      <c r="P102" s="11" t="str">
        <f t="shared" si="25"/>
        <v/>
      </c>
      <c r="Q102" s="5" t="str">
        <f t="shared" si="26"/>
        <v/>
      </c>
      <c r="R102" s="10"/>
      <c r="S102" s="5" t="str">
        <f t="shared" si="27"/>
        <v/>
      </c>
      <c r="T102" s="5" t="str">
        <f t="shared" si="28"/>
        <v/>
      </c>
      <c r="U102" s="5" t="str">
        <f t="shared" si="29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IF(X102&lt;&gt;"执行卖出","",IFERROR(LOOKUP(2,1/(单次交易!$A$2:$A$88=B102),单次交易!$AP$2:$AP$88),""))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$157,"止损计划",$B$2:$B$157,B102,$D$2:$D$157,D102)&gt;1,"阶段序号重复",IF(E102&lt;=IFERROR(LOOKUP(2,1/(单次交易!$A$2:$A$88=B102),单次交易!$E$2:$E$88),0),"激活价须高于买入价",IF(F102&lt;N102,"止损价不得低于初始止损",IF(F102&gt;E102,"止损价不得高于激活价",IF(AND(COUNTIFS($A$2:$A$157,"止损计划",$B$2:$B$157,B102,$D$2:$D$157,"&lt;"&amp;D102)&gt;0,OR(E102&lt;=SUMPRODUCT(MAX((($A$2:$A$157="止损计划")*($B$2:$B$157=B102)*($D$2:$D$157&lt;D102))*$E$2:$E$157)),F102&lt;SUMPRODUCT(MAX((($A$2:$A$157="止损计划")*($B$2:$B$157=B102)*($D$2:$D$157&lt;D102))*$F$2:$F$157)))),"阶段价格必须逐级提高","计划有效"))))))),IF(A102="每日跟踪",IF(OR(B102="",H102="",I102="",J102=""),"每日数据不完整",IF(COUNTIFS($A$2:$A$157,"每日跟踪",$B$2:$B$157,B102,$H$2:$H$157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IF(B103="","",IFERROR(LOOKUP(2,1/(单次交易!$A$2:$A$88=B103),单次交易!$B$2:$B$88),""))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IF(B103="","",IFERROR(LOOKUP(2,1/(单次交易!$A$2:$A$88=B103),单次交易!$N$2:$N$88),""))</f>
        <v/>
      </c>
      <c r="O103" s="5" t="str">
        <f t="shared" si="24"/>
        <v/>
      </c>
      <c r="P103" s="11" t="str">
        <f t="shared" si="25"/>
        <v/>
      </c>
      <c r="Q103" s="5" t="str">
        <f t="shared" si="26"/>
        <v/>
      </c>
      <c r="R103" s="10"/>
      <c r="S103" s="5" t="str">
        <f t="shared" si="27"/>
        <v/>
      </c>
      <c r="T103" s="5" t="str">
        <f t="shared" si="28"/>
        <v/>
      </c>
      <c r="U103" s="5" t="str">
        <f t="shared" si="29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IF(X103&lt;&gt;"执行卖出","",IFERROR(LOOKUP(2,1/(单次交易!$A$2:$A$88=B103),单次交易!$AP$2:$AP$88),""))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$157,"止损计划",$B$2:$B$157,B103,$D$2:$D$157,D103)&gt;1,"阶段序号重复",IF(E103&lt;=IFERROR(LOOKUP(2,1/(单次交易!$A$2:$A$88=B103),单次交易!$E$2:$E$88),0),"激活价须高于买入价",IF(F103&lt;N103,"止损价不得低于初始止损",IF(F103&gt;E103,"止损价不得高于激活价",IF(AND(COUNTIFS($A$2:$A$157,"止损计划",$B$2:$B$157,B103,$D$2:$D$157,"&lt;"&amp;D103)&gt;0,OR(E103&lt;=SUMPRODUCT(MAX((($A$2:$A$157="止损计划")*($B$2:$B$157=B103)*($D$2:$D$157&lt;D103))*$E$2:$E$157)),F103&lt;SUMPRODUCT(MAX((($A$2:$A$157="止损计划")*($B$2:$B$157=B103)*($D$2:$D$157&lt;D103))*$F$2:$F$157)))),"阶段价格必须逐级提高","计划有效"))))))),IF(A103="每日跟踪",IF(OR(B103="",H103="",I103="",J103=""),"每日数据不完整",IF(COUNTIFS($A$2:$A$157,"每日跟踪",$B$2:$B$157,B103,$H$2:$H$157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IF(B104="","",IFERROR(LOOKUP(2,1/(单次交易!$A$2:$A$88=B104),单次交易!$B$2:$B$88),""))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IF(B104="","",IFERROR(LOOKUP(2,1/(单次交易!$A$2:$A$88=B104),单次交易!$N$2:$N$88),""))</f>
        <v/>
      </c>
      <c r="O104" s="5" t="str">
        <f t="shared" si="24"/>
        <v/>
      </c>
      <c r="P104" s="11" t="str">
        <f t="shared" si="25"/>
        <v/>
      </c>
      <c r="Q104" s="5" t="str">
        <f t="shared" si="26"/>
        <v/>
      </c>
      <c r="R104" s="10"/>
      <c r="S104" s="5" t="str">
        <f t="shared" si="27"/>
        <v/>
      </c>
      <c r="T104" s="5" t="str">
        <f t="shared" si="28"/>
        <v/>
      </c>
      <c r="U104" s="5" t="str">
        <f t="shared" si="29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IF(X104&lt;&gt;"执行卖出","",IFERROR(LOOKUP(2,1/(单次交易!$A$2:$A$88=B104),单次交易!$AP$2:$AP$88),""))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$157,"止损计划",$B$2:$B$157,B104,$D$2:$D$157,D104)&gt;1,"阶段序号重复",IF(E104&lt;=IFERROR(LOOKUP(2,1/(单次交易!$A$2:$A$88=B104),单次交易!$E$2:$E$88),0),"激活价须高于买入价",IF(F104&lt;N104,"止损价不得低于初始止损",IF(F104&gt;E104,"止损价不得高于激活价",IF(AND(COUNTIFS($A$2:$A$157,"止损计划",$B$2:$B$157,B104,$D$2:$D$157,"&lt;"&amp;D104)&gt;0,OR(E104&lt;=SUMPRODUCT(MAX((($A$2:$A$157="止损计划")*($B$2:$B$157=B104)*($D$2:$D$157&lt;D104))*$E$2:$E$157)),F104&lt;SUMPRODUCT(MAX((($A$2:$A$157="止损计划")*($B$2:$B$157=B104)*($D$2:$D$157&lt;D104))*$F$2:$F$157)))),"阶段价格必须逐级提高","计划有效"))))))),IF(A104="每日跟踪",IF(OR(B104="",H104="",I104="",J104=""),"每日数据不完整",IF(COUNTIFS($A$2:$A$157,"每日跟踪",$B$2:$B$157,B104,$H$2:$H$157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IF(B105="","",IFERROR(LOOKUP(2,1/(单次交易!$A$2:$A$88=B105),单次交易!$B$2:$B$88),""))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IF(B105="","",IFERROR(LOOKUP(2,1/(单次交易!$A$2:$A$88=B105),单次交易!$N$2:$N$88),""))</f>
        <v/>
      </c>
      <c r="O105" s="5" t="str">
        <f t="shared" si="24"/>
        <v/>
      </c>
      <c r="P105" s="11" t="str">
        <f t="shared" si="25"/>
        <v/>
      </c>
      <c r="Q105" s="5" t="str">
        <f t="shared" si="26"/>
        <v/>
      </c>
      <c r="R105" s="10"/>
      <c r="S105" s="5" t="str">
        <f t="shared" si="27"/>
        <v/>
      </c>
      <c r="T105" s="5" t="str">
        <f t="shared" si="28"/>
        <v/>
      </c>
      <c r="U105" s="5" t="str">
        <f t="shared" si="29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IF(X105&lt;&gt;"执行卖出","",IFERROR(LOOKUP(2,1/(单次交易!$A$2:$A$88=B105),单次交易!$AP$2:$AP$88),""))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$157,"止损计划",$B$2:$B$157,B105,$D$2:$D$157,D105)&gt;1,"阶段序号重复",IF(E105&lt;=IFERROR(LOOKUP(2,1/(单次交易!$A$2:$A$88=B105),单次交易!$E$2:$E$88),0),"激活价须高于买入价",IF(F105&lt;N105,"止损价不得低于初始止损",IF(F105&gt;E105,"止损价不得高于激活价",IF(AND(COUNTIFS($A$2:$A$157,"止损计划",$B$2:$B$157,B105,$D$2:$D$157,"&lt;"&amp;D105)&gt;0,OR(E105&lt;=SUMPRODUCT(MAX((($A$2:$A$157="止损计划")*($B$2:$B$157=B105)*($D$2:$D$157&lt;D105))*$E$2:$E$157)),F105&lt;SUMPRODUCT(MAX((($A$2:$A$157="止损计划")*($B$2:$B$157=B105)*($D$2:$D$157&lt;D105))*$F$2:$F$157)))),"阶段价格必须逐级提高","计划有效"))))))),IF(A105="每日跟踪",IF(OR(B105="",H105="",I105="",J105=""),"每日数据不完整",IF(COUNTIFS($A$2:$A$157,"每日跟踪",$B$2:$B$157,B105,$H$2:$H$157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IF(B106="","",IFERROR(LOOKUP(2,1/(单次交易!$A$2:$A$88=B106),单次交易!$B$2:$B$88),""))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IF(B106="","",IFERROR(LOOKUP(2,1/(单次交易!$A$2:$A$88=B106),单次交易!$N$2:$N$88),""))</f>
        <v/>
      </c>
      <c r="O106" s="5" t="str">
        <f t="shared" si="24"/>
        <v/>
      </c>
      <c r="P106" s="11" t="str">
        <f t="shared" si="25"/>
        <v/>
      </c>
      <c r="Q106" s="5" t="str">
        <f t="shared" si="26"/>
        <v/>
      </c>
      <c r="R106" s="10"/>
      <c r="S106" s="5" t="str">
        <f t="shared" si="27"/>
        <v/>
      </c>
      <c r="T106" s="5" t="str">
        <f t="shared" si="28"/>
        <v/>
      </c>
      <c r="U106" s="5" t="str">
        <f t="shared" si="29"/>
        <v/>
      </c>
      <c r="V106" s="7" t="str">
        <f t="shared" ref="V106:V157" si="30">IF(OR(A106&lt;&gt;"每日跟踪",T106="",I106="",I106&lt;=0),"",T106/I106-1)</f>
        <v/>
      </c>
      <c r="W106" s="8" t="str">
        <f t="shared" ref="W106:W157" si="31">IF(A106&lt;&gt;"每日跟踪","",IF(OR(I106="",S106=""),"",IF(I106&lt;=S106,"触发止损：应全部卖出","继续观察")))</f>
        <v/>
      </c>
      <c r="X106" s="2"/>
      <c r="Y106" s="10"/>
      <c r="Z106" s="11" t="str">
        <f>IF(X106&lt;&gt;"执行卖出","",IFERROR(LOOKUP(2,1/(单次交易!$A$2:$A$88=B106),单次交易!$AP$2:$AP$88),""))</f>
        <v/>
      </c>
      <c r="AA106" s="10"/>
      <c r="AB106" s="8" t="str">
        <f t="shared" ref="AB106:AB157" si="32"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 t="str">
        <f>IF(A106="","",IF(A106="止损计划",IF(OR(B106="",D106="",E106="",F106="",G106=""),"计划不完整",IF(OR(D106&lt;1,D106&lt;&gt;INT(D106)),"阶段序号无效",IF(COUNTIFS($A$2:$A$157,"止损计划",$B$2:$B$157,B106,$D$2:$D$157,D106)&gt;1,"阶段序号重复",IF(E106&lt;=IFERROR(LOOKUP(2,1/(单次交易!$A$2:$A$88=B106),单次交易!$E$2:$E$88),0),"激活价须高于买入价",IF(F106&lt;N106,"止损价不得低于初始止损",IF(F106&gt;E106,"止损价不得高于激活价",IF(AND(COUNTIFS($A$2:$A$157,"止损计划",$B$2:$B$157,B106,$D$2:$D$157,"&lt;"&amp;D106)&gt;0,OR(E106&lt;=SUMPRODUCT(MAX((($A$2:$A$157="止损计划")*($B$2:$B$157=B106)*($D$2:$D$157&lt;D106))*$E$2:$E$157)),F106&lt;SUMPRODUCT(MAX((($A$2:$A$157="止损计划")*($B$2:$B$157=B106)*($D$2:$D$157&lt;D106))*$F$2:$F$157)))),"阶段价格必须逐级提高","计划有效"))))))),IF(A106="每日跟踪",IF(OR(B106="",H106="",I106="",J106=""),"每日数据不完整",IF(COUNTIFS($A$2:$A$157,"每日跟踪",$B$2:$B$157,B106,$H$2:$H$157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IF(B107="","",IFERROR(LOOKUP(2,1/(单次交易!$A$2:$A$88=B107),单次交易!$B$2:$B$88),""))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IF(B107="","",IFERROR(LOOKUP(2,1/(单次交易!$A$2:$A$88=B107),单次交易!$N$2:$N$88),""))</f>
        <v/>
      </c>
      <c r="O107" s="5" t="str">
        <f t="shared" si="24"/>
        <v/>
      </c>
      <c r="P107" s="11" t="str">
        <f t="shared" si="25"/>
        <v/>
      </c>
      <c r="Q107" s="5" t="str">
        <f t="shared" si="26"/>
        <v/>
      </c>
      <c r="R107" s="10"/>
      <c r="S107" s="5" t="str">
        <f t="shared" si="27"/>
        <v/>
      </c>
      <c r="T107" s="5" t="str">
        <f t="shared" si="28"/>
        <v/>
      </c>
      <c r="U107" s="5" t="str">
        <f t="shared" si="29"/>
        <v/>
      </c>
      <c r="V107" s="7" t="str">
        <f t="shared" si="30"/>
        <v/>
      </c>
      <c r="W107" s="8" t="str">
        <f t="shared" si="31"/>
        <v/>
      </c>
      <c r="X107" s="2"/>
      <c r="Y107" s="10"/>
      <c r="Z107" s="11" t="str">
        <f>IF(X107&lt;&gt;"执行卖出","",IFERROR(LOOKUP(2,1/(单次交易!$A$2:$A$88=B107),单次交易!$AP$2:$AP$88),""))</f>
        <v/>
      </c>
      <c r="AA107" s="10"/>
      <c r="AB107" s="8" t="str">
        <f t="shared" si="32"/>
        <v/>
      </c>
      <c r="AC107" s="8" t="str">
        <f>IF(A107="","",IF(A107="止损计划",IF(OR(B107="",D107="",E107="",F107="",G107=""),"计划不完整",IF(OR(D107&lt;1,D107&lt;&gt;INT(D107)),"阶段序号无效",IF(COUNTIFS($A$2:$A$157,"止损计划",$B$2:$B$157,B107,$D$2:$D$157,D107)&gt;1,"阶段序号重复",IF(E107&lt;=IFERROR(LOOKUP(2,1/(单次交易!$A$2:$A$88=B107),单次交易!$E$2:$E$88),0),"激活价须高于买入价",IF(F107&lt;N107,"止损价不得低于初始止损",IF(F107&gt;E107,"止损价不得高于激活价",IF(AND(COUNTIFS($A$2:$A$157,"止损计划",$B$2:$B$157,B107,$D$2:$D$157,"&lt;"&amp;D107)&gt;0,OR(E107&lt;=SUMPRODUCT(MAX((($A$2:$A$157="止损计划")*($B$2:$B$157=B107)*($D$2:$D$157&lt;D107))*$E$2:$E$157)),F107&lt;SUMPRODUCT(MAX((($A$2:$A$157="止损计划")*($B$2:$B$157=B107)*($D$2:$D$157&lt;D107))*$F$2:$F$157)))),"阶段价格必须逐级提高","计划有效"))))))),IF(A107="每日跟踪",IF(OR(B107="",H107="",I107="",J107=""),"每日数据不完整",IF(COUNTIFS($A$2:$A$157,"每日跟踪",$B$2:$B$157,B107,$H$2:$H$157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IF(B108="","",IFERROR(LOOKUP(2,1/(单次交易!$A$2:$A$88=B108),单次交易!$B$2:$B$88),""))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IF(B108="","",IFERROR(LOOKUP(2,1/(单次交易!$A$2:$A$88=B108),单次交易!$N$2:$N$88),""))</f>
        <v/>
      </c>
      <c r="O108" s="5" t="str">
        <f t="shared" si="24"/>
        <v/>
      </c>
      <c r="P108" s="11" t="str">
        <f t="shared" si="25"/>
        <v/>
      </c>
      <c r="Q108" s="5" t="str">
        <f t="shared" si="26"/>
        <v/>
      </c>
      <c r="R108" s="10"/>
      <c r="S108" s="5" t="str">
        <f t="shared" si="27"/>
        <v/>
      </c>
      <c r="T108" s="5" t="str">
        <f t="shared" si="28"/>
        <v/>
      </c>
      <c r="U108" s="5" t="str">
        <f t="shared" si="29"/>
        <v/>
      </c>
      <c r="V108" s="7" t="str">
        <f t="shared" si="30"/>
        <v/>
      </c>
      <c r="W108" s="8" t="str">
        <f t="shared" si="31"/>
        <v/>
      </c>
      <c r="X108" s="2"/>
      <c r="Y108" s="10"/>
      <c r="Z108" s="11" t="str">
        <f>IF(X108&lt;&gt;"执行卖出","",IFERROR(LOOKUP(2,1/(单次交易!$A$2:$A$88=B108),单次交易!$AP$2:$AP$88),""))</f>
        <v/>
      </c>
      <c r="AA108" s="10"/>
      <c r="AB108" s="8" t="str">
        <f t="shared" si="32"/>
        <v/>
      </c>
      <c r="AC108" s="8" t="str">
        <f>IF(A108="","",IF(A108="止损计划",IF(OR(B108="",D108="",E108="",F108="",G108=""),"计划不完整",IF(OR(D108&lt;1,D108&lt;&gt;INT(D108)),"阶段序号无效",IF(COUNTIFS($A$2:$A$157,"止损计划",$B$2:$B$157,B108,$D$2:$D$157,D108)&gt;1,"阶段序号重复",IF(E108&lt;=IFERROR(LOOKUP(2,1/(单次交易!$A$2:$A$88=B108),单次交易!$E$2:$E$88),0),"激活价须高于买入价",IF(F108&lt;N108,"止损价不得低于初始止损",IF(F108&gt;E108,"止损价不得高于激活价",IF(AND(COUNTIFS($A$2:$A$157,"止损计划",$B$2:$B$157,B108,$D$2:$D$157,"&lt;"&amp;D108)&gt;0,OR(E108&lt;=SUMPRODUCT(MAX((($A$2:$A$157="止损计划")*($B$2:$B$157=B108)*($D$2:$D$157&lt;D108))*$E$2:$E$157)),F108&lt;SUMPRODUCT(MAX((($A$2:$A$157="止损计划")*($B$2:$B$157=B108)*($D$2:$D$157&lt;D108))*$F$2:$F$157)))),"阶段价格必须逐级提高","计划有效"))))))),IF(A108="每日跟踪",IF(OR(B108="",H108="",I108="",J108=""),"每日数据不完整",IF(COUNTIFS($A$2:$A$157,"每日跟踪",$B$2:$B$157,B108,$H$2:$H$157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IF(B109="","",IFERROR(LOOKUP(2,1/(单次交易!$A$2:$A$88=B109),单次交易!$B$2:$B$88),""))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IF(B109="","",IFERROR(LOOKUP(2,1/(单次交易!$A$2:$A$88=B109),单次交易!$N$2:$N$88),""))</f>
        <v/>
      </c>
      <c r="O109" s="5" t="str">
        <f t="shared" si="24"/>
        <v/>
      </c>
      <c r="P109" s="11" t="str">
        <f t="shared" si="25"/>
        <v/>
      </c>
      <c r="Q109" s="5" t="str">
        <f t="shared" si="26"/>
        <v/>
      </c>
      <c r="R109" s="10"/>
      <c r="S109" s="5" t="str">
        <f t="shared" si="27"/>
        <v/>
      </c>
      <c r="T109" s="5" t="str">
        <f t="shared" si="28"/>
        <v/>
      </c>
      <c r="U109" s="5" t="str">
        <f t="shared" si="29"/>
        <v/>
      </c>
      <c r="V109" s="7" t="str">
        <f t="shared" si="30"/>
        <v/>
      </c>
      <c r="W109" s="8" t="str">
        <f t="shared" si="31"/>
        <v/>
      </c>
      <c r="X109" s="2"/>
      <c r="Y109" s="10"/>
      <c r="Z109" s="11" t="str">
        <f>IF(X109&lt;&gt;"执行卖出","",IFERROR(LOOKUP(2,1/(单次交易!$A$2:$A$88=B109),单次交易!$AP$2:$AP$88),""))</f>
        <v/>
      </c>
      <c r="AA109" s="10"/>
      <c r="AB109" s="8" t="str">
        <f t="shared" si="32"/>
        <v/>
      </c>
      <c r="AC109" s="8" t="str">
        <f>IF(A109="","",IF(A109="止损计划",IF(OR(B109="",D109="",E109="",F109="",G109=""),"计划不完整",IF(OR(D109&lt;1,D109&lt;&gt;INT(D109)),"阶段序号无效",IF(COUNTIFS($A$2:$A$157,"止损计划",$B$2:$B$157,B109,$D$2:$D$157,D109)&gt;1,"阶段序号重复",IF(E109&lt;=IFERROR(LOOKUP(2,1/(单次交易!$A$2:$A$88=B109),单次交易!$E$2:$E$88),0),"激活价须高于买入价",IF(F109&lt;N109,"止损价不得低于初始止损",IF(F109&gt;E109,"止损价不得高于激活价",IF(AND(COUNTIFS($A$2:$A$157,"止损计划",$B$2:$B$157,B109,$D$2:$D$157,"&lt;"&amp;D109)&gt;0,OR(E109&lt;=SUMPRODUCT(MAX((($A$2:$A$157="止损计划")*($B$2:$B$157=B109)*($D$2:$D$157&lt;D109))*$E$2:$E$157)),F109&lt;SUMPRODUCT(MAX((($A$2:$A$157="止损计划")*($B$2:$B$157=B109)*($D$2:$D$157&lt;D109))*$F$2:$F$157)))),"阶段价格必须逐级提高","计划有效"))))))),IF(A109="每日跟踪",IF(OR(B109="",H109="",I109="",J109=""),"每日数据不完整",IF(COUNTIFS($A$2:$A$157,"每日跟踪",$B$2:$B$157,B109,$H$2:$H$157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IF(B110="","",IFERROR(LOOKUP(2,1/(单次交易!$A$2:$A$88=B110),单次交易!$B$2:$B$88),""))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IF(B110="","",IFERROR(LOOKUP(2,1/(单次交易!$A$2:$A$88=B110),单次交易!$N$2:$N$88),""))</f>
        <v/>
      </c>
      <c r="O110" s="5" t="str">
        <f t="shared" si="24"/>
        <v/>
      </c>
      <c r="P110" s="11" t="str">
        <f t="shared" si="25"/>
        <v/>
      </c>
      <c r="Q110" s="5" t="str">
        <f t="shared" si="26"/>
        <v/>
      </c>
      <c r="R110" s="10"/>
      <c r="S110" s="5" t="str">
        <f t="shared" si="27"/>
        <v/>
      </c>
      <c r="T110" s="5" t="str">
        <f t="shared" si="28"/>
        <v/>
      </c>
      <c r="U110" s="5" t="str">
        <f t="shared" si="29"/>
        <v/>
      </c>
      <c r="V110" s="7" t="str">
        <f t="shared" si="30"/>
        <v/>
      </c>
      <c r="W110" s="8" t="str">
        <f t="shared" si="31"/>
        <v/>
      </c>
      <c r="X110" s="2"/>
      <c r="Y110" s="10"/>
      <c r="Z110" s="11" t="str">
        <f>IF(X110&lt;&gt;"执行卖出","",IFERROR(LOOKUP(2,1/(单次交易!$A$2:$A$88=B110),单次交易!$AP$2:$AP$88),""))</f>
        <v/>
      </c>
      <c r="AA110" s="10"/>
      <c r="AB110" s="8" t="str">
        <f t="shared" si="32"/>
        <v/>
      </c>
      <c r="AC110" s="8" t="str">
        <f>IF(A110="","",IF(A110="止损计划",IF(OR(B110="",D110="",E110="",F110="",G110=""),"计划不完整",IF(OR(D110&lt;1,D110&lt;&gt;INT(D110)),"阶段序号无效",IF(COUNTIFS($A$2:$A$157,"止损计划",$B$2:$B$157,B110,$D$2:$D$157,D110)&gt;1,"阶段序号重复",IF(E110&lt;=IFERROR(LOOKUP(2,1/(单次交易!$A$2:$A$88=B110),单次交易!$E$2:$E$88),0),"激活价须高于买入价",IF(F110&lt;N110,"止损价不得低于初始止损",IF(F110&gt;E110,"止损价不得高于激活价",IF(AND(COUNTIFS($A$2:$A$157,"止损计划",$B$2:$B$157,B110,$D$2:$D$157,"&lt;"&amp;D110)&gt;0,OR(E110&lt;=SUMPRODUCT(MAX((($A$2:$A$157="止损计划")*($B$2:$B$157=B110)*($D$2:$D$157&lt;D110))*$E$2:$E$157)),F110&lt;SUMPRODUCT(MAX((($A$2:$A$157="止损计划")*($B$2:$B$157=B110)*($D$2:$D$157&lt;D110))*$F$2:$F$157)))),"阶段价格必须逐级提高","计划有效"))))))),IF(A110="每日跟踪",IF(OR(B110="",H110="",I110="",J110=""),"每日数据不完整",IF(COUNTIFS($A$2:$A$157,"每日跟踪",$B$2:$B$157,B110,$H$2:$H$157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IF(B111="","",IFERROR(LOOKUP(2,1/(单次交易!$A$2:$A$88=B111),单次交易!$B$2:$B$88),""))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IF(B111="","",IFERROR(LOOKUP(2,1/(单次交易!$A$2:$A$88=B111),单次交易!$N$2:$N$88),""))</f>
        <v/>
      </c>
      <c r="O111" s="5" t="str">
        <f t="shared" si="24"/>
        <v/>
      </c>
      <c r="P111" s="11" t="str">
        <f t="shared" si="25"/>
        <v/>
      </c>
      <c r="Q111" s="5" t="str">
        <f t="shared" si="26"/>
        <v/>
      </c>
      <c r="R111" s="10"/>
      <c r="S111" s="5" t="str">
        <f t="shared" si="27"/>
        <v/>
      </c>
      <c r="T111" s="5" t="str">
        <f t="shared" si="28"/>
        <v/>
      </c>
      <c r="U111" s="5" t="str">
        <f t="shared" si="29"/>
        <v/>
      </c>
      <c r="V111" s="7" t="str">
        <f t="shared" si="30"/>
        <v/>
      </c>
      <c r="W111" s="8" t="str">
        <f t="shared" si="31"/>
        <v/>
      </c>
      <c r="X111" s="2"/>
      <c r="Y111" s="10"/>
      <c r="Z111" s="11" t="str">
        <f>IF(X111&lt;&gt;"执行卖出","",IFERROR(LOOKUP(2,1/(单次交易!$A$2:$A$88=B111),单次交易!$AP$2:$AP$88),""))</f>
        <v/>
      </c>
      <c r="AA111" s="10"/>
      <c r="AB111" s="8" t="str">
        <f t="shared" si="32"/>
        <v/>
      </c>
      <c r="AC111" s="8" t="str">
        <f>IF(A111="","",IF(A111="止损计划",IF(OR(B111="",D111="",E111="",F111="",G111=""),"计划不完整",IF(OR(D111&lt;1,D111&lt;&gt;INT(D111)),"阶段序号无效",IF(COUNTIFS($A$2:$A$157,"止损计划",$B$2:$B$157,B111,$D$2:$D$157,D111)&gt;1,"阶段序号重复",IF(E111&lt;=IFERROR(LOOKUP(2,1/(单次交易!$A$2:$A$88=B111),单次交易!$E$2:$E$88),0),"激活价须高于买入价",IF(F111&lt;N111,"止损价不得低于初始止损",IF(F111&gt;E111,"止损价不得高于激活价",IF(AND(COUNTIFS($A$2:$A$157,"止损计划",$B$2:$B$157,B111,$D$2:$D$157,"&lt;"&amp;D111)&gt;0,OR(E111&lt;=SUMPRODUCT(MAX((($A$2:$A$157="止损计划")*($B$2:$B$157=B111)*($D$2:$D$157&lt;D111))*$E$2:$E$157)),F111&lt;SUMPRODUCT(MAX((($A$2:$A$157="止损计划")*($B$2:$B$157=B111)*($D$2:$D$157&lt;D111))*$F$2:$F$157)))),"阶段价格必须逐级提高","计划有效"))))))),IF(A111="每日跟踪",IF(OR(B111="",H111="",I111="",J111=""),"每日数据不完整",IF(COUNTIFS($A$2:$A$157,"每日跟踪",$B$2:$B$157,B111,$H$2:$H$157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IF(B112="","",IFERROR(LOOKUP(2,1/(单次交易!$A$2:$A$88=B112),单次交易!$B$2:$B$88),""))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IF(B112="","",IFERROR(LOOKUP(2,1/(单次交易!$A$2:$A$88=B112),单次交易!$N$2:$N$88),""))</f>
        <v/>
      </c>
      <c r="O112" s="5" t="str">
        <f t="shared" si="24"/>
        <v/>
      </c>
      <c r="P112" s="11" t="str">
        <f t="shared" si="25"/>
        <v/>
      </c>
      <c r="Q112" s="5" t="str">
        <f t="shared" si="26"/>
        <v/>
      </c>
      <c r="R112" s="10"/>
      <c r="S112" s="5" t="str">
        <f t="shared" si="27"/>
        <v/>
      </c>
      <c r="T112" s="5" t="str">
        <f t="shared" si="28"/>
        <v/>
      </c>
      <c r="U112" s="5" t="str">
        <f t="shared" si="29"/>
        <v/>
      </c>
      <c r="V112" s="7" t="str">
        <f t="shared" si="30"/>
        <v/>
      </c>
      <c r="W112" s="8" t="str">
        <f t="shared" si="31"/>
        <v/>
      </c>
      <c r="X112" s="2"/>
      <c r="Y112" s="10"/>
      <c r="Z112" s="11" t="str">
        <f>IF(X112&lt;&gt;"执行卖出","",IFERROR(LOOKUP(2,1/(单次交易!$A$2:$A$88=B112),单次交易!$AP$2:$AP$88),""))</f>
        <v/>
      </c>
      <c r="AA112" s="10"/>
      <c r="AB112" s="8" t="str">
        <f t="shared" si="32"/>
        <v/>
      </c>
      <c r="AC112" s="8" t="str">
        <f>IF(A112="","",IF(A112="止损计划",IF(OR(B112="",D112="",E112="",F112="",G112=""),"计划不完整",IF(OR(D112&lt;1,D112&lt;&gt;INT(D112)),"阶段序号无效",IF(COUNTIFS($A$2:$A$157,"止损计划",$B$2:$B$157,B112,$D$2:$D$157,D112)&gt;1,"阶段序号重复",IF(E112&lt;=IFERROR(LOOKUP(2,1/(单次交易!$A$2:$A$88=B112),单次交易!$E$2:$E$88),0),"激活价须高于买入价",IF(F112&lt;N112,"止损价不得低于初始止损",IF(F112&gt;E112,"止损价不得高于激活价",IF(AND(COUNTIFS($A$2:$A$157,"止损计划",$B$2:$B$157,B112,$D$2:$D$157,"&lt;"&amp;D112)&gt;0,OR(E112&lt;=SUMPRODUCT(MAX((($A$2:$A$157="止损计划")*($B$2:$B$157=B112)*($D$2:$D$157&lt;D112))*$E$2:$E$157)),F112&lt;SUMPRODUCT(MAX((($A$2:$A$157="止损计划")*($B$2:$B$157=B112)*($D$2:$D$157&lt;D112))*$F$2:$F$157)))),"阶段价格必须逐级提高","计划有效"))))))),IF(A112="每日跟踪",IF(OR(B112="",H112="",I112="",J112=""),"每日数据不完整",IF(COUNTIFS($A$2:$A$157,"每日跟踪",$B$2:$B$157,B112,$H$2:$H$157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IF(B113="","",IFERROR(LOOKUP(2,1/(单次交易!$A$2:$A$88=B113),单次交易!$B$2:$B$88),""))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IF(B113="","",IFERROR(LOOKUP(2,1/(单次交易!$A$2:$A$88=B113),单次交易!$N$2:$N$88),""))</f>
        <v/>
      </c>
      <c r="O113" s="5" t="str">
        <f t="shared" si="24"/>
        <v/>
      </c>
      <c r="P113" s="11" t="str">
        <f t="shared" si="25"/>
        <v/>
      </c>
      <c r="Q113" s="5" t="str">
        <f t="shared" si="26"/>
        <v/>
      </c>
      <c r="R113" s="10"/>
      <c r="S113" s="5" t="str">
        <f t="shared" si="27"/>
        <v/>
      </c>
      <c r="T113" s="5" t="str">
        <f t="shared" si="28"/>
        <v/>
      </c>
      <c r="U113" s="5" t="str">
        <f t="shared" si="29"/>
        <v/>
      </c>
      <c r="V113" s="7" t="str">
        <f t="shared" si="30"/>
        <v/>
      </c>
      <c r="W113" s="8" t="str">
        <f t="shared" si="31"/>
        <v/>
      </c>
      <c r="X113" s="2"/>
      <c r="Y113" s="10"/>
      <c r="Z113" s="11" t="str">
        <f>IF(X113&lt;&gt;"执行卖出","",IFERROR(LOOKUP(2,1/(单次交易!$A$2:$A$88=B113),单次交易!$AP$2:$AP$88),""))</f>
        <v/>
      </c>
      <c r="AA113" s="10"/>
      <c r="AB113" s="8" t="str">
        <f t="shared" si="32"/>
        <v/>
      </c>
      <c r="AC113" s="8" t="str">
        <f>IF(A113="","",IF(A113="止损计划",IF(OR(B113="",D113="",E113="",F113="",G113=""),"计划不完整",IF(OR(D113&lt;1,D113&lt;&gt;INT(D113)),"阶段序号无效",IF(COUNTIFS($A$2:$A$157,"止损计划",$B$2:$B$157,B113,$D$2:$D$157,D113)&gt;1,"阶段序号重复",IF(E113&lt;=IFERROR(LOOKUP(2,1/(单次交易!$A$2:$A$88=B113),单次交易!$E$2:$E$88),0),"激活价须高于买入价",IF(F113&lt;N113,"止损价不得低于初始止损",IF(F113&gt;E113,"止损价不得高于激活价",IF(AND(COUNTIFS($A$2:$A$157,"止损计划",$B$2:$B$157,B113,$D$2:$D$157,"&lt;"&amp;D113)&gt;0,OR(E113&lt;=SUMPRODUCT(MAX((($A$2:$A$157="止损计划")*($B$2:$B$157=B113)*($D$2:$D$157&lt;D113))*$E$2:$E$157)),F113&lt;SUMPRODUCT(MAX((($A$2:$A$157="止损计划")*($B$2:$B$157=B113)*($D$2:$D$157&lt;D113))*$F$2:$F$157)))),"阶段价格必须逐级提高","计划有效"))))))),IF(A113="每日跟踪",IF(OR(B113="",H113="",I113="",J113=""),"每日数据不完整",IF(COUNTIFS($A$2:$A$157,"每日跟踪",$B$2:$B$157,B113,$H$2:$H$157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IF(B114="","",IFERROR(LOOKUP(2,1/(单次交易!$A$2:$A$88=B114),单次交易!$B$2:$B$88),""))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IF(B114="","",IFERROR(LOOKUP(2,1/(单次交易!$A$2:$A$88=B114),单次交易!$N$2:$N$88),""))</f>
        <v/>
      </c>
      <c r="O114" s="5" t="str">
        <f t="shared" si="24"/>
        <v/>
      </c>
      <c r="P114" s="11" t="str">
        <f t="shared" si="25"/>
        <v/>
      </c>
      <c r="Q114" s="5" t="str">
        <f t="shared" si="26"/>
        <v/>
      </c>
      <c r="R114" s="10"/>
      <c r="S114" s="5" t="str">
        <f t="shared" si="27"/>
        <v/>
      </c>
      <c r="T114" s="5" t="str">
        <f t="shared" si="28"/>
        <v/>
      </c>
      <c r="U114" s="5" t="str">
        <f t="shared" si="29"/>
        <v/>
      </c>
      <c r="V114" s="7" t="str">
        <f t="shared" si="30"/>
        <v/>
      </c>
      <c r="W114" s="8" t="str">
        <f t="shared" si="31"/>
        <v/>
      </c>
      <c r="X114" s="2"/>
      <c r="Y114" s="10"/>
      <c r="Z114" s="11" t="str">
        <f>IF(X114&lt;&gt;"执行卖出","",IFERROR(LOOKUP(2,1/(单次交易!$A$2:$A$88=B114),单次交易!$AP$2:$AP$88),""))</f>
        <v/>
      </c>
      <c r="AA114" s="10"/>
      <c r="AB114" s="8" t="str">
        <f t="shared" si="32"/>
        <v/>
      </c>
      <c r="AC114" s="8" t="str">
        <f>IF(A114="","",IF(A114="止损计划",IF(OR(B114="",D114="",E114="",F114="",G114=""),"计划不完整",IF(OR(D114&lt;1,D114&lt;&gt;INT(D114)),"阶段序号无效",IF(COUNTIFS($A$2:$A$157,"止损计划",$B$2:$B$157,B114,$D$2:$D$157,D114)&gt;1,"阶段序号重复",IF(E114&lt;=IFERROR(LOOKUP(2,1/(单次交易!$A$2:$A$88=B114),单次交易!$E$2:$E$88),0),"激活价须高于买入价",IF(F114&lt;N114,"止损价不得低于初始止损",IF(F114&gt;E114,"止损价不得高于激活价",IF(AND(COUNTIFS($A$2:$A$157,"止损计划",$B$2:$B$157,B114,$D$2:$D$157,"&lt;"&amp;D114)&gt;0,OR(E114&lt;=SUMPRODUCT(MAX((($A$2:$A$157="止损计划")*($B$2:$B$157=B114)*($D$2:$D$157&lt;D114))*$E$2:$E$157)),F114&lt;SUMPRODUCT(MAX((($A$2:$A$157="止损计划")*($B$2:$B$157=B114)*($D$2:$D$157&lt;D114))*$F$2:$F$157)))),"阶段价格必须逐级提高","计划有效"))))))),IF(A114="每日跟踪",IF(OR(B114="",H114="",I114="",J114=""),"每日数据不完整",IF(COUNTIFS($A$2:$A$157,"每日跟踪",$B$2:$B$157,B114,$H$2:$H$157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IF(B115="","",IFERROR(LOOKUP(2,1/(单次交易!$A$2:$A$88=B115),单次交易!$B$2:$B$88),""))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IF(B115="","",IFERROR(LOOKUP(2,1/(单次交易!$A$2:$A$88=B115),单次交易!$N$2:$N$88),""))</f>
        <v/>
      </c>
      <c r="O115" s="5" t="str">
        <f t="shared" si="24"/>
        <v/>
      </c>
      <c r="P115" s="11" t="str">
        <f t="shared" si="25"/>
        <v/>
      </c>
      <c r="Q115" s="5" t="str">
        <f t="shared" si="26"/>
        <v/>
      </c>
      <c r="R115" s="10"/>
      <c r="S115" s="5" t="str">
        <f t="shared" si="27"/>
        <v/>
      </c>
      <c r="T115" s="5" t="str">
        <f t="shared" si="28"/>
        <v/>
      </c>
      <c r="U115" s="5" t="str">
        <f t="shared" si="29"/>
        <v/>
      </c>
      <c r="V115" s="7" t="str">
        <f t="shared" si="30"/>
        <v/>
      </c>
      <c r="W115" s="8" t="str">
        <f t="shared" si="31"/>
        <v/>
      </c>
      <c r="X115" s="2"/>
      <c r="Y115" s="10"/>
      <c r="Z115" s="11" t="str">
        <f>IF(X115&lt;&gt;"执行卖出","",IFERROR(LOOKUP(2,1/(单次交易!$A$2:$A$88=B115),单次交易!$AP$2:$AP$88),""))</f>
        <v/>
      </c>
      <c r="AA115" s="10"/>
      <c r="AB115" s="8" t="str">
        <f t="shared" si="32"/>
        <v/>
      </c>
      <c r="AC115" s="8" t="str">
        <f>IF(A115="","",IF(A115="止损计划",IF(OR(B115="",D115="",E115="",F115="",G115=""),"计划不完整",IF(OR(D115&lt;1,D115&lt;&gt;INT(D115)),"阶段序号无效",IF(COUNTIFS($A$2:$A$157,"止损计划",$B$2:$B$157,B115,$D$2:$D$157,D115)&gt;1,"阶段序号重复",IF(E115&lt;=IFERROR(LOOKUP(2,1/(单次交易!$A$2:$A$88=B115),单次交易!$E$2:$E$88),0),"激活价须高于买入价",IF(F115&lt;N115,"止损价不得低于初始止损",IF(F115&gt;E115,"止损价不得高于激活价",IF(AND(COUNTIFS($A$2:$A$157,"止损计划",$B$2:$B$157,B115,$D$2:$D$157,"&lt;"&amp;D115)&gt;0,OR(E115&lt;=SUMPRODUCT(MAX((($A$2:$A$157="止损计划")*($B$2:$B$157=B115)*($D$2:$D$157&lt;D115))*$E$2:$E$157)),F115&lt;SUMPRODUCT(MAX((($A$2:$A$157="止损计划")*($B$2:$B$157=B115)*($D$2:$D$157&lt;D115))*$F$2:$F$157)))),"阶段价格必须逐级提高","计划有效"))))))),IF(A115="每日跟踪",IF(OR(B115="",H115="",I115="",J115=""),"每日数据不完整",IF(COUNTIFS($A$2:$A$157,"每日跟踪",$B$2:$B$157,B115,$H$2:$H$157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IF(B116="","",IFERROR(LOOKUP(2,1/(单次交易!$A$2:$A$88=B116),单次交易!$B$2:$B$88),""))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IF(B116="","",IFERROR(LOOKUP(2,1/(单次交易!$A$2:$A$88=B116),单次交易!$N$2:$N$88),""))</f>
        <v/>
      </c>
      <c r="O116" s="5" t="str">
        <f t="shared" si="24"/>
        <v/>
      </c>
      <c r="P116" s="11" t="str">
        <f t="shared" si="25"/>
        <v/>
      </c>
      <c r="Q116" s="5" t="str">
        <f t="shared" si="26"/>
        <v/>
      </c>
      <c r="R116" s="10"/>
      <c r="S116" s="5" t="str">
        <f t="shared" si="27"/>
        <v/>
      </c>
      <c r="T116" s="5" t="str">
        <f t="shared" si="28"/>
        <v/>
      </c>
      <c r="U116" s="5" t="str">
        <f t="shared" si="29"/>
        <v/>
      </c>
      <c r="V116" s="7" t="str">
        <f t="shared" si="30"/>
        <v/>
      </c>
      <c r="W116" s="8" t="str">
        <f t="shared" si="31"/>
        <v/>
      </c>
      <c r="X116" s="2"/>
      <c r="Y116" s="10"/>
      <c r="Z116" s="11" t="str">
        <f>IF(X116&lt;&gt;"执行卖出","",IFERROR(LOOKUP(2,1/(单次交易!$A$2:$A$88=B116),单次交易!$AP$2:$AP$88),""))</f>
        <v/>
      </c>
      <c r="AA116" s="10"/>
      <c r="AB116" s="8" t="str">
        <f t="shared" si="32"/>
        <v/>
      </c>
      <c r="AC116" s="8" t="str">
        <f>IF(A116="","",IF(A116="止损计划",IF(OR(B116="",D116="",E116="",F116="",G116=""),"计划不完整",IF(OR(D116&lt;1,D116&lt;&gt;INT(D116)),"阶段序号无效",IF(COUNTIFS($A$2:$A$157,"止损计划",$B$2:$B$157,B116,$D$2:$D$157,D116)&gt;1,"阶段序号重复",IF(E116&lt;=IFERROR(LOOKUP(2,1/(单次交易!$A$2:$A$88=B116),单次交易!$E$2:$E$88),0),"激活价须高于买入价",IF(F116&lt;N116,"止损价不得低于初始止损",IF(F116&gt;E116,"止损价不得高于激活价",IF(AND(COUNTIFS($A$2:$A$157,"止损计划",$B$2:$B$157,B116,$D$2:$D$157,"&lt;"&amp;D116)&gt;0,OR(E116&lt;=SUMPRODUCT(MAX((($A$2:$A$157="止损计划")*($B$2:$B$157=B116)*($D$2:$D$157&lt;D116))*$E$2:$E$157)),F116&lt;SUMPRODUCT(MAX((($A$2:$A$157="止损计划")*($B$2:$B$157=B116)*($D$2:$D$157&lt;D116))*$F$2:$F$157)))),"阶段价格必须逐级提高","计划有效"))))))),IF(A116="每日跟踪",IF(OR(B116="",H116="",I116="",J116=""),"每日数据不完整",IF(COUNTIFS($A$2:$A$157,"每日跟踪",$B$2:$B$157,B116,$H$2:$H$157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IF(B117="","",IFERROR(LOOKUP(2,1/(单次交易!$A$2:$A$88=B117),单次交易!$B$2:$B$88),""))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IF(B117="","",IFERROR(LOOKUP(2,1/(单次交易!$A$2:$A$88=B117),单次交易!$N$2:$N$88),""))</f>
        <v/>
      </c>
      <c r="O117" s="5" t="str">
        <f t="shared" si="24"/>
        <v/>
      </c>
      <c r="P117" s="11" t="str">
        <f t="shared" si="25"/>
        <v/>
      </c>
      <c r="Q117" s="5" t="str">
        <f t="shared" si="26"/>
        <v/>
      </c>
      <c r="R117" s="10"/>
      <c r="S117" s="5" t="str">
        <f t="shared" si="27"/>
        <v/>
      </c>
      <c r="T117" s="5" t="str">
        <f t="shared" si="28"/>
        <v/>
      </c>
      <c r="U117" s="5" t="str">
        <f t="shared" si="29"/>
        <v/>
      </c>
      <c r="V117" s="7" t="str">
        <f t="shared" si="30"/>
        <v/>
      </c>
      <c r="W117" s="8" t="str">
        <f t="shared" si="31"/>
        <v/>
      </c>
      <c r="X117" s="2"/>
      <c r="Y117" s="10"/>
      <c r="Z117" s="11" t="str">
        <f>IF(X117&lt;&gt;"执行卖出","",IFERROR(LOOKUP(2,1/(单次交易!$A$2:$A$88=B117),单次交易!$AP$2:$AP$88),""))</f>
        <v/>
      </c>
      <c r="AA117" s="10"/>
      <c r="AB117" s="8" t="str">
        <f t="shared" si="32"/>
        <v/>
      </c>
      <c r="AC117" s="8" t="str">
        <f>IF(A117="","",IF(A117="止损计划",IF(OR(B117="",D117="",E117="",F117="",G117=""),"计划不完整",IF(OR(D117&lt;1,D117&lt;&gt;INT(D117)),"阶段序号无效",IF(COUNTIFS($A$2:$A$157,"止损计划",$B$2:$B$157,B117,$D$2:$D$157,D117)&gt;1,"阶段序号重复",IF(E117&lt;=IFERROR(LOOKUP(2,1/(单次交易!$A$2:$A$88=B117),单次交易!$E$2:$E$88),0),"激活价须高于买入价",IF(F117&lt;N117,"止损价不得低于初始止损",IF(F117&gt;E117,"止损价不得高于激活价",IF(AND(COUNTIFS($A$2:$A$157,"止损计划",$B$2:$B$157,B117,$D$2:$D$157,"&lt;"&amp;D117)&gt;0,OR(E117&lt;=SUMPRODUCT(MAX((($A$2:$A$157="止损计划")*($B$2:$B$157=B117)*($D$2:$D$157&lt;D117))*$E$2:$E$157)),F117&lt;SUMPRODUCT(MAX((($A$2:$A$157="止损计划")*($B$2:$B$157=B117)*($D$2:$D$157&lt;D117))*$F$2:$F$157)))),"阶段价格必须逐级提高","计划有效"))))))),IF(A117="每日跟踪",IF(OR(B117="",H117="",I117="",J117=""),"每日数据不完整",IF(COUNTIFS($A$2:$A$157,"每日跟踪",$B$2:$B$157,B117,$H$2:$H$157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IF(B118="","",IFERROR(LOOKUP(2,1/(单次交易!$A$2:$A$88=B118),单次交易!$B$2:$B$88),""))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IF(B118="","",IFERROR(LOOKUP(2,1/(单次交易!$A$2:$A$88=B118),单次交易!$N$2:$N$88),""))</f>
        <v/>
      </c>
      <c r="O118" s="5" t="str">
        <f t="shared" si="24"/>
        <v/>
      </c>
      <c r="P118" s="11" t="str">
        <f t="shared" si="25"/>
        <v/>
      </c>
      <c r="Q118" s="5" t="str">
        <f t="shared" si="26"/>
        <v/>
      </c>
      <c r="R118" s="10"/>
      <c r="S118" s="5" t="str">
        <f t="shared" si="27"/>
        <v/>
      </c>
      <c r="T118" s="5" t="str">
        <f t="shared" si="28"/>
        <v/>
      </c>
      <c r="U118" s="5" t="str">
        <f t="shared" si="29"/>
        <v/>
      </c>
      <c r="V118" s="7" t="str">
        <f t="shared" si="30"/>
        <v/>
      </c>
      <c r="W118" s="8" t="str">
        <f t="shared" si="31"/>
        <v/>
      </c>
      <c r="X118" s="2"/>
      <c r="Y118" s="10"/>
      <c r="Z118" s="11" t="str">
        <f>IF(X118&lt;&gt;"执行卖出","",IFERROR(LOOKUP(2,1/(单次交易!$A$2:$A$88=B118),单次交易!$AP$2:$AP$88),""))</f>
        <v/>
      </c>
      <c r="AA118" s="10"/>
      <c r="AB118" s="8" t="str">
        <f t="shared" si="32"/>
        <v/>
      </c>
      <c r="AC118" s="8" t="str">
        <f>IF(A118="","",IF(A118="止损计划",IF(OR(B118="",D118="",E118="",F118="",G118=""),"计划不完整",IF(OR(D118&lt;1,D118&lt;&gt;INT(D118)),"阶段序号无效",IF(COUNTIFS($A$2:$A$157,"止损计划",$B$2:$B$157,B118,$D$2:$D$157,D118)&gt;1,"阶段序号重复",IF(E118&lt;=IFERROR(LOOKUP(2,1/(单次交易!$A$2:$A$88=B118),单次交易!$E$2:$E$88),0),"激活价须高于买入价",IF(F118&lt;N118,"止损价不得低于初始止损",IF(F118&gt;E118,"止损价不得高于激活价",IF(AND(COUNTIFS($A$2:$A$157,"止损计划",$B$2:$B$157,B118,$D$2:$D$157,"&lt;"&amp;D118)&gt;0,OR(E118&lt;=SUMPRODUCT(MAX((($A$2:$A$157="止损计划")*($B$2:$B$157=B118)*($D$2:$D$157&lt;D118))*$E$2:$E$157)),F118&lt;SUMPRODUCT(MAX((($A$2:$A$157="止损计划")*($B$2:$B$157=B118)*($D$2:$D$157&lt;D118))*$F$2:$F$157)))),"阶段价格必须逐级提高","计划有效"))))))),IF(A118="每日跟踪",IF(OR(B118="",H118="",I118="",J118=""),"每日数据不完整",IF(COUNTIFS($A$2:$A$157,"每日跟踪",$B$2:$B$157,B118,$H$2:$H$157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IF(B119="","",IFERROR(LOOKUP(2,1/(单次交易!$A$2:$A$88=B119),单次交易!$B$2:$B$88),""))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IF(B119="","",IFERROR(LOOKUP(2,1/(单次交易!$A$2:$A$88=B119),单次交易!$N$2:$N$88),""))</f>
        <v/>
      </c>
      <c r="O119" s="5" t="str">
        <f t="shared" si="24"/>
        <v/>
      </c>
      <c r="P119" s="11" t="str">
        <f t="shared" si="25"/>
        <v/>
      </c>
      <c r="Q119" s="5" t="str">
        <f t="shared" si="26"/>
        <v/>
      </c>
      <c r="R119" s="10"/>
      <c r="S119" s="5" t="str">
        <f t="shared" si="27"/>
        <v/>
      </c>
      <c r="T119" s="5" t="str">
        <f t="shared" si="28"/>
        <v/>
      </c>
      <c r="U119" s="5" t="str">
        <f t="shared" si="29"/>
        <v/>
      </c>
      <c r="V119" s="7" t="str">
        <f t="shared" si="30"/>
        <v/>
      </c>
      <c r="W119" s="8" t="str">
        <f t="shared" si="31"/>
        <v/>
      </c>
      <c r="X119" s="2"/>
      <c r="Y119" s="10"/>
      <c r="Z119" s="11" t="str">
        <f>IF(X119&lt;&gt;"执行卖出","",IFERROR(LOOKUP(2,1/(单次交易!$A$2:$A$88=B119),单次交易!$AP$2:$AP$88),""))</f>
        <v/>
      </c>
      <c r="AA119" s="10"/>
      <c r="AB119" s="8" t="str">
        <f t="shared" si="32"/>
        <v/>
      </c>
      <c r="AC119" s="8" t="str">
        <f>IF(A119="","",IF(A119="止损计划",IF(OR(B119="",D119="",E119="",F119="",G119=""),"计划不完整",IF(OR(D119&lt;1,D119&lt;&gt;INT(D119)),"阶段序号无效",IF(COUNTIFS($A$2:$A$157,"止损计划",$B$2:$B$157,B119,$D$2:$D$157,D119)&gt;1,"阶段序号重复",IF(E119&lt;=IFERROR(LOOKUP(2,1/(单次交易!$A$2:$A$88=B119),单次交易!$E$2:$E$88),0),"激活价须高于买入价",IF(F119&lt;N119,"止损价不得低于初始止损",IF(F119&gt;E119,"止损价不得高于激活价",IF(AND(COUNTIFS($A$2:$A$157,"止损计划",$B$2:$B$157,B119,$D$2:$D$157,"&lt;"&amp;D119)&gt;0,OR(E119&lt;=SUMPRODUCT(MAX((($A$2:$A$157="止损计划")*($B$2:$B$157=B119)*($D$2:$D$157&lt;D119))*$E$2:$E$157)),F119&lt;SUMPRODUCT(MAX((($A$2:$A$157="止损计划")*($B$2:$B$157=B119)*($D$2:$D$157&lt;D119))*$F$2:$F$157)))),"阶段价格必须逐级提高","计划有效"))))))),IF(A119="每日跟踪",IF(OR(B119="",H119="",I119="",J119=""),"每日数据不完整",IF(COUNTIFS($A$2:$A$157,"每日跟踪",$B$2:$B$157,B119,$H$2:$H$157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IF(B120="","",IFERROR(LOOKUP(2,1/(单次交易!$A$2:$A$88=B120),单次交易!$B$2:$B$88),""))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IF(B120="","",IFERROR(LOOKUP(2,1/(单次交易!$A$2:$A$88=B120),单次交易!$N$2:$N$88),""))</f>
        <v/>
      </c>
      <c r="O120" s="5" t="str">
        <f t="shared" si="24"/>
        <v/>
      </c>
      <c r="P120" s="11" t="str">
        <f t="shared" si="25"/>
        <v/>
      </c>
      <c r="Q120" s="5" t="str">
        <f t="shared" si="26"/>
        <v/>
      </c>
      <c r="R120" s="10"/>
      <c r="S120" s="5" t="str">
        <f t="shared" si="27"/>
        <v/>
      </c>
      <c r="T120" s="5" t="str">
        <f t="shared" si="28"/>
        <v/>
      </c>
      <c r="U120" s="5" t="str">
        <f t="shared" si="29"/>
        <v/>
      </c>
      <c r="V120" s="7" t="str">
        <f t="shared" si="30"/>
        <v/>
      </c>
      <c r="W120" s="8" t="str">
        <f t="shared" si="31"/>
        <v/>
      </c>
      <c r="X120" s="2"/>
      <c r="Y120" s="10"/>
      <c r="Z120" s="11" t="str">
        <f>IF(X120&lt;&gt;"执行卖出","",IFERROR(LOOKUP(2,1/(单次交易!$A$2:$A$88=B120),单次交易!$AP$2:$AP$88),""))</f>
        <v/>
      </c>
      <c r="AA120" s="10"/>
      <c r="AB120" s="8" t="str">
        <f t="shared" si="32"/>
        <v/>
      </c>
      <c r="AC120" s="8" t="str">
        <f>IF(A120="","",IF(A120="止损计划",IF(OR(B120="",D120="",E120="",F120="",G120=""),"计划不完整",IF(OR(D120&lt;1,D120&lt;&gt;INT(D120)),"阶段序号无效",IF(COUNTIFS($A$2:$A$157,"止损计划",$B$2:$B$157,B120,$D$2:$D$157,D120)&gt;1,"阶段序号重复",IF(E120&lt;=IFERROR(LOOKUP(2,1/(单次交易!$A$2:$A$88=B120),单次交易!$E$2:$E$88),0),"激活价须高于买入价",IF(F120&lt;N120,"止损价不得低于初始止损",IF(F120&gt;E120,"止损价不得高于激活价",IF(AND(COUNTIFS($A$2:$A$157,"止损计划",$B$2:$B$157,B120,$D$2:$D$157,"&lt;"&amp;D120)&gt;0,OR(E120&lt;=SUMPRODUCT(MAX((($A$2:$A$157="止损计划")*($B$2:$B$157=B120)*($D$2:$D$157&lt;D120))*$E$2:$E$157)),F120&lt;SUMPRODUCT(MAX((($A$2:$A$157="止损计划")*($B$2:$B$157=B120)*($D$2:$D$157&lt;D120))*$F$2:$F$157)))),"阶段价格必须逐级提高","计划有效"))))))),IF(A120="每日跟踪",IF(OR(B120="",H120="",I120="",J120=""),"每日数据不完整",IF(COUNTIFS($A$2:$A$157,"每日跟踪",$B$2:$B$157,B120,$H$2:$H$157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IF(B121="","",IFERROR(LOOKUP(2,1/(单次交易!$A$2:$A$88=B121),单次交易!$B$2:$B$88),""))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IF(B121="","",IFERROR(LOOKUP(2,1/(单次交易!$A$2:$A$88=B121),单次交易!$N$2:$N$88),""))</f>
        <v/>
      </c>
      <c r="O121" s="5" t="str">
        <f t="shared" si="24"/>
        <v/>
      </c>
      <c r="P121" s="11" t="str">
        <f t="shared" si="25"/>
        <v/>
      </c>
      <c r="Q121" s="5" t="str">
        <f t="shared" si="26"/>
        <v/>
      </c>
      <c r="R121" s="10"/>
      <c r="S121" s="5" t="str">
        <f t="shared" si="27"/>
        <v/>
      </c>
      <c r="T121" s="5" t="str">
        <f t="shared" si="28"/>
        <v/>
      </c>
      <c r="U121" s="5" t="str">
        <f t="shared" si="29"/>
        <v/>
      </c>
      <c r="V121" s="7" t="str">
        <f t="shared" si="30"/>
        <v/>
      </c>
      <c r="W121" s="8" t="str">
        <f t="shared" si="31"/>
        <v/>
      </c>
      <c r="X121" s="2"/>
      <c r="Y121" s="10"/>
      <c r="Z121" s="11" t="str">
        <f>IF(X121&lt;&gt;"执行卖出","",IFERROR(LOOKUP(2,1/(单次交易!$A$2:$A$88=B121),单次交易!$AP$2:$AP$88),""))</f>
        <v/>
      </c>
      <c r="AA121" s="10"/>
      <c r="AB121" s="8" t="str">
        <f t="shared" si="32"/>
        <v/>
      </c>
      <c r="AC121" s="8" t="str">
        <f>IF(A121="","",IF(A121="止损计划",IF(OR(B121="",D121="",E121="",F121="",G121=""),"计划不完整",IF(OR(D121&lt;1,D121&lt;&gt;INT(D121)),"阶段序号无效",IF(COUNTIFS($A$2:$A$157,"止损计划",$B$2:$B$157,B121,$D$2:$D$157,D121)&gt;1,"阶段序号重复",IF(E121&lt;=IFERROR(LOOKUP(2,1/(单次交易!$A$2:$A$88=B121),单次交易!$E$2:$E$88),0),"激活价须高于买入价",IF(F121&lt;N121,"止损价不得低于初始止损",IF(F121&gt;E121,"止损价不得高于激活价",IF(AND(COUNTIFS($A$2:$A$157,"止损计划",$B$2:$B$157,B121,$D$2:$D$157,"&lt;"&amp;D121)&gt;0,OR(E121&lt;=SUMPRODUCT(MAX((($A$2:$A$157="止损计划")*($B$2:$B$157=B121)*($D$2:$D$157&lt;D121))*$E$2:$E$157)),F121&lt;SUMPRODUCT(MAX((($A$2:$A$157="止损计划")*($B$2:$B$157=B121)*($D$2:$D$157&lt;D121))*$F$2:$F$157)))),"阶段价格必须逐级提高","计划有效"))))))),IF(A121="每日跟踪",IF(OR(B121="",H121="",I121="",J121=""),"每日数据不完整",IF(COUNTIFS($A$2:$A$157,"每日跟踪",$B$2:$B$157,B121,$H$2:$H$157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IF(B122="","",IFERROR(LOOKUP(2,1/(单次交易!$A$2:$A$88=B122),单次交易!$B$2:$B$88),""))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IF(B122="","",IFERROR(LOOKUP(2,1/(单次交易!$A$2:$A$88=B122),单次交易!$N$2:$N$88),""))</f>
        <v/>
      </c>
      <c r="O122" s="5" t="str">
        <f t="shared" si="24"/>
        <v/>
      </c>
      <c r="P122" s="11" t="str">
        <f t="shared" si="25"/>
        <v/>
      </c>
      <c r="Q122" s="5" t="str">
        <f t="shared" si="26"/>
        <v/>
      </c>
      <c r="R122" s="10"/>
      <c r="S122" s="5" t="str">
        <f t="shared" si="27"/>
        <v/>
      </c>
      <c r="T122" s="5" t="str">
        <f t="shared" si="28"/>
        <v/>
      </c>
      <c r="U122" s="5" t="str">
        <f t="shared" si="29"/>
        <v/>
      </c>
      <c r="V122" s="7" t="str">
        <f t="shared" si="30"/>
        <v/>
      </c>
      <c r="W122" s="8" t="str">
        <f t="shared" si="31"/>
        <v/>
      </c>
      <c r="X122" s="2"/>
      <c r="Y122" s="10"/>
      <c r="Z122" s="11" t="str">
        <f>IF(X122&lt;&gt;"执行卖出","",IFERROR(LOOKUP(2,1/(单次交易!$A$2:$A$88=B122),单次交易!$AP$2:$AP$88),""))</f>
        <v/>
      </c>
      <c r="AA122" s="10"/>
      <c r="AB122" s="8" t="str">
        <f t="shared" si="32"/>
        <v/>
      </c>
      <c r="AC122" s="8" t="str">
        <f>IF(A122="","",IF(A122="止损计划",IF(OR(B122="",D122="",E122="",F122="",G122=""),"计划不完整",IF(OR(D122&lt;1,D122&lt;&gt;INT(D122)),"阶段序号无效",IF(COUNTIFS($A$2:$A$157,"止损计划",$B$2:$B$157,B122,$D$2:$D$157,D122)&gt;1,"阶段序号重复",IF(E122&lt;=IFERROR(LOOKUP(2,1/(单次交易!$A$2:$A$88=B122),单次交易!$E$2:$E$88),0),"激活价须高于买入价",IF(F122&lt;N122,"止损价不得低于初始止损",IF(F122&gt;E122,"止损价不得高于激活价",IF(AND(COUNTIFS($A$2:$A$157,"止损计划",$B$2:$B$157,B122,$D$2:$D$157,"&lt;"&amp;D122)&gt;0,OR(E122&lt;=SUMPRODUCT(MAX((($A$2:$A$157="止损计划")*($B$2:$B$157=B122)*($D$2:$D$157&lt;D122))*$E$2:$E$157)),F122&lt;SUMPRODUCT(MAX((($A$2:$A$157="止损计划")*($B$2:$B$157=B122)*($D$2:$D$157&lt;D122))*$F$2:$F$157)))),"阶段价格必须逐级提高","计划有效"))))))),IF(A122="每日跟踪",IF(OR(B122="",H122="",I122="",J122=""),"每日数据不完整",IF(COUNTIFS($A$2:$A$157,"每日跟踪",$B$2:$B$157,B122,$H$2:$H$157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IF(B123="","",IFERROR(LOOKUP(2,1/(单次交易!$A$2:$A$88=B123),单次交易!$B$2:$B$88),""))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IF(B123="","",IFERROR(LOOKUP(2,1/(单次交易!$A$2:$A$88=B123),单次交易!$N$2:$N$88),""))</f>
        <v/>
      </c>
      <c r="O123" s="5" t="str">
        <f t="shared" si="24"/>
        <v/>
      </c>
      <c r="P123" s="11" t="str">
        <f t="shared" si="25"/>
        <v/>
      </c>
      <c r="Q123" s="5" t="str">
        <f t="shared" si="26"/>
        <v/>
      </c>
      <c r="R123" s="10"/>
      <c r="S123" s="5" t="str">
        <f t="shared" si="27"/>
        <v/>
      </c>
      <c r="T123" s="5" t="str">
        <f t="shared" si="28"/>
        <v/>
      </c>
      <c r="U123" s="5" t="str">
        <f t="shared" si="29"/>
        <v/>
      </c>
      <c r="V123" s="7" t="str">
        <f t="shared" si="30"/>
        <v/>
      </c>
      <c r="W123" s="8" t="str">
        <f t="shared" si="31"/>
        <v/>
      </c>
      <c r="X123" s="2"/>
      <c r="Y123" s="10"/>
      <c r="Z123" s="11" t="str">
        <f>IF(X123&lt;&gt;"执行卖出","",IFERROR(LOOKUP(2,1/(单次交易!$A$2:$A$88=B123),单次交易!$AP$2:$AP$88),""))</f>
        <v/>
      </c>
      <c r="AA123" s="10"/>
      <c r="AB123" s="8" t="str">
        <f t="shared" si="32"/>
        <v/>
      </c>
      <c r="AC123" s="8" t="str">
        <f>IF(A123="","",IF(A123="止损计划",IF(OR(B123="",D123="",E123="",F123="",G123=""),"计划不完整",IF(OR(D123&lt;1,D123&lt;&gt;INT(D123)),"阶段序号无效",IF(COUNTIFS($A$2:$A$157,"止损计划",$B$2:$B$157,B123,$D$2:$D$157,D123)&gt;1,"阶段序号重复",IF(E123&lt;=IFERROR(LOOKUP(2,1/(单次交易!$A$2:$A$88=B123),单次交易!$E$2:$E$88),0),"激活价须高于买入价",IF(F123&lt;N123,"止损价不得低于初始止损",IF(F123&gt;E123,"止损价不得高于激活价",IF(AND(COUNTIFS($A$2:$A$157,"止损计划",$B$2:$B$157,B123,$D$2:$D$157,"&lt;"&amp;D123)&gt;0,OR(E123&lt;=SUMPRODUCT(MAX((($A$2:$A$157="止损计划")*($B$2:$B$157=B123)*($D$2:$D$157&lt;D123))*$E$2:$E$157)),F123&lt;SUMPRODUCT(MAX((($A$2:$A$157="止损计划")*($B$2:$B$157=B123)*($D$2:$D$157&lt;D123))*$F$2:$F$157)))),"阶段价格必须逐级提高","计划有效"))))))),IF(A123="每日跟踪",IF(OR(B123="",H123="",I123="",J123=""),"每日数据不完整",IF(COUNTIFS($A$2:$A$157,"每日跟踪",$B$2:$B$157,B123,$H$2:$H$157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IF(B124="","",IFERROR(LOOKUP(2,1/(单次交易!$A$2:$A$88=B124),单次交易!$B$2:$B$88),""))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IF(B124="","",IFERROR(LOOKUP(2,1/(单次交易!$A$2:$A$88=B124),单次交易!$N$2:$N$88),""))</f>
        <v/>
      </c>
      <c r="O124" s="5" t="str">
        <f t="shared" si="24"/>
        <v/>
      </c>
      <c r="P124" s="11" t="str">
        <f t="shared" si="25"/>
        <v/>
      </c>
      <c r="Q124" s="5" t="str">
        <f t="shared" si="26"/>
        <v/>
      </c>
      <c r="R124" s="10"/>
      <c r="S124" s="5" t="str">
        <f t="shared" si="27"/>
        <v/>
      </c>
      <c r="T124" s="5" t="str">
        <f t="shared" si="28"/>
        <v/>
      </c>
      <c r="U124" s="5" t="str">
        <f t="shared" si="29"/>
        <v/>
      </c>
      <c r="V124" s="7" t="str">
        <f t="shared" si="30"/>
        <v/>
      </c>
      <c r="W124" s="8" t="str">
        <f t="shared" si="31"/>
        <v/>
      </c>
      <c r="X124" s="2"/>
      <c r="Y124" s="10"/>
      <c r="Z124" s="11" t="str">
        <f>IF(X124&lt;&gt;"执行卖出","",IFERROR(LOOKUP(2,1/(单次交易!$A$2:$A$88=B124),单次交易!$AP$2:$AP$88),""))</f>
        <v/>
      </c>
      <c r="AA124" s="10"/>
      <c r="AB124" s="8" t="str">
        <f t="shared" si="32"/>
        <v/>
      </c>
      <c r="AC124" s="8" t="str">
        <f>IF(A124="","",IF(A124="止损计划",IF(OR(B124="",D124="",E124="",F124="",G124=""),"计划不完整",IF(OR(D124&lt;1,D124&lt;&gt;INT(D124)),"阶段序号无效",IF(COUNTIFS($A$2:$A$157,"止损计划",$B$2:$B$157,B124,$D$2:$D$157,D124)&gt;1,"阶段序号重复",IF(E124&lt;=IFERROR(LOOKUP(2,1/(单次交易!$A$2:$A$88=B124),单次交易!$E$2:$E$88),0),"激活价须高于买入价",IF(F124&lt;N124,"止损价不得低于初始止损",IF(F124&gt;E124,"止损价不得高于激活价",IF(AND(COUNTIFS($A$2:$A$157,"止损计划",$B$2:$B$157,B124,$D$2:$D$157,"&lt;"&amp;D124)&gt;0,OR(E124&lt;=SUMPRODUCT(MAX((($A$2:$A$157="止损计划")*($B$2:$B$157=B124)*($D$2:$D$157&lt;D124))*$E$2:$E$157)),F124&lt;SUMPRODUCT(MAX((($A$2:$A$157="止损计划")*($B$2:$B$157=B124)*($D$2:$D$157&lt;D124))*$F$2:$F$157)))),"阶段价格必须逐级提高","计划有效"))))))),IF(A124="每日跟踪",IF(OR(B124="",H124="",I124="",J124=""),"每日数据不完整",IF(COUNTIFS($A$2:$A$157,"每日跟踪",$B$2:$B$157,B124,$H$2:$H$157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IF(B125="","",IFERROR(LOOKUP(2,1/(单次交易!$A$2:$A$88=B125),单次交易!$B$2:$B$88),""))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IF(B125="","",IFERROR(LOOKUP(2,1/(单次交易!$A$2:$A$88=B125),单次交易!$N$2:$N$88),""))</f>
        <v/>
      </c>
      <c r="O125" s="5" t="str">
        <f t="shared" si="24"/>
        <v/>
      </c>
      <c r="P125" s="11" t="str">
        <f t="shared" si="25"/>
        <v/>
      </c>
      <c r="Q125" s="5" t="str">
        <f t="shared" si="26"/>
        <v/>
      </c>
      <c r="R125" s="10"/>
      <c r="S125" s="5" t="str">
        <f t="shared" si="27"/>
        <v/>
      </c>
      <c r="T125" s="5" t="str">
        <f t="shared" si="28"/>
        <v/>
      </c>
      <c r="U125" s="5" t="str">
        <f t="shared" si="29"/>
        <v/>
      </c>
      <c r="V125" s="7" t="str">
        <f t="shared" si="30"/>
        <v/>
      </c>
      <c r="W125" s="8" t="str">
        <f t="shared" si="31"/>
        <v/>
      </c>
      <c r="X125" s="2"/>
      <c r="Y125" s="10"/>
      <c r="Z125" s="11" t="str">
        <f>IF(X125&lt;&gt;"执行卖出","",IFERROR(LOOKUP(2,1/(单次交易!$A$2:$A$88=B125),单次交易!$AP$2:$AP$88),""))</f>
        <v/>
      </c>
      <c r="AA125" s="10"/>
      <c r="AB125" s="8" t="str">
        <f t="shared" si="32"/>
        <v/>
      </c>
      <c r="AC125" s="8" t="str">
        <f>IF(A125="","",IF(A125="止损计划",IF(OR(B125="",D125="",E125="",F125="",G125=""),"计划不完整",IF(OR(D125&lt;1,D125&lt;&gt;INT(D125)),"阶段序号无效",IF(COUNTIFS($A$2:$A$157,"止损计划",$B$2:$B$157,B125,$D$2:$D$157,D125)&gt;1,"阶段序号重复",IF(E125&lt;=IFERROR(LOOKUP(2,1/(单次交易!$A$2:$A$88=B125),单次交易!$E$2:$E$88),0),"激活价须高于买入价",IF(F125&lt;N125,"止损价不得低于初始止损",IF(F125&gt;E125,"止损价不得高于激活价",IF(AND(COUNTIFS($A$2:$A$157,"止损计划",$B$2:$B$157,B125,$D$2:$D$157,"&lt;"&amp;D125)&gt;0,OR(E125&lt;=SUMPRODUCT(MAX((($A$2:$A$157="止损计划")*($B$2:$B$157=B125)*($D$2:$D$157&lt;D125))*$E$2:$E$157)),F125&lt;SUMPRODUCT(MAX((($A$2:$A$157="止损计划")*($B$2:$B$157=B125)*($D$2:$D$157&lt;D125))*$F$2:$F$157)))),"阶段价格必须逐级提高","计划有效"))))))),IF(A125="每日跟踪",IF(OR(B125="",H125="",I125="",J125=""),"每日数据不完整",IF(COUNTIFS($A$2:$A$157,"每日跟踪",$B$2:$B$157,B125,$H$2:$H$157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IF(B126="","",IFERROR(LOOKUP(2,1/(单次交易!$A$2:$A$88=B126),单次交易!$B$2:$B$88),""))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IF(B126="","",IFERROR(LOOKUP(2,1/(单次交易!$A$2:$A$88=B126),单次交易!$N$2:$N$88),""))</f>
        <v/>
      </c>
      <c r="O126" s="5" t="str">
        <f t="shared" si="24"/>
        <v/>
      </c>
      <c r="P126" s="11" t="str">
        <f t="shared" si="25"/>
        <v/>
      </c>
      <c r="Q126" s="5" t="str">
        <f t="shared" si="26"/>
        <v/>
      </c>
      <c r="R126" s="10"/>
      <c r="S126" s="5" t="str">
        <f t="shared" si="27"/>
        <v/>
      </c>
      <c r="T126" s="5" t="str">
        <f t="shared" si="28"/>
        <v/>
      </c>
      <c r="U126" s="5" t="str">
        <f t="shared" si="29"/>
        <v/>
      </c>
      <c r="V126" s="7" t="str">
        <f t="shared" si="30"/>
        <v/>
      </c>
      <c r="W126" s="8" t="str">
        <f t="shared" si="31"/>
        <v/>
      </c>
      <c r="X126" s="2"/>
      <c r="Y126" s="10"/>
      <c r="Z126" s="11" t="str">
        <f>IF(X126&lt;&gt;"执行卖出","",IFERROR(LOOKUP(2,1/(单次交易!$A$2:$A$88=B126),单次交易!$AP$2:$AP$88),""))</f>
        <v/>
      </c>
      <c r="AA126" s="10"/>
      <c r="AB126" s="8" t="str">
        <f t="shared" si="32"/>
        <v/>
      </c>
      <c r="AC126" s="8" t="str">
        <f>IF(A126="","",IF(A126="止损计划",IF(OR(B126="",D126="",E126="",F126="",G126=""),"计划不完整",IF(OR(D126&lt;1,D126&lt;&gt;INT(D126)),"阶段序号无效",IF(COUNTIFS($A$2:$A$157,"止损计划",$B$2:$B$157,B126,$D$2:$D$157,D126)&gt;1,"阶段序号重复",IF(E126&lt;=IFERROR(LOOKUP(2,1/(单次交易!$A$2:$A$88=B126),单次交易!$E$2:$E$88),0),"激活价须高于买入价",IF(F126&lt;N126,"止损价不得低于初始止损",IF(F126&gt;E126,"止损价不得高于激活价",IF(AND(COUNTIFS($A$2:$A$157,"止损计划",$B$2:$B$157,B126,$D$2:$D$157,"&lt;"&amp;D126)&gt;0,OR(E126&lt;=SUMPRODUCT(MAX((($A$2:$A$157="止损计划")*($B$2:$B$157=B126)*($D$2:$D$157&lt;D126))*$E$2:$E$157)),F126&lt;SUMPRODUCT(MAX((($A$2:$A$157="止损计划")*($B$2:$B$157=B126)*($D$2:$D$157&lt;D126))*$F$2:$F$157)))),"阶段价格必须逐级提高","计划有效"))))))),IF(A126="每日跟踪",IF(OR(B126="",H126="",I126="",J126=""),"每日数据不完整",IF(COUNTIFS($A$2:$A$157,"每日跟踪",$B$2:$B$157,B126,$H$2:$H$157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IF(B127="","",IFERROR(LOOKUP(2,1/(单次交易!$A$2:$A$88=B127),单次交易!$B$2:$B$88),""))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IF(B127="","",IFERROR(LOOKUP(2,1/(单次交易!$A$2:$A$88=B127),单次交易!$N$2:$N$88),""))</f>
        <v/>
      </c>
      <c r="O127" s="5" t="str">
        <f t="shared" si="24"/>
        <v/>
      </c>
      <c r="P127" s="11" t="str">
        <f t="shared" si="25"/>
        <v/>
      </c>
      <c r="Q127" s="5" t="str">
        <f t="shared" si="26"/>
        <v/>
      </c>
      <c r="R127" s="10"/>
      <c r="S127" s="5" t="str">
        <f t="shared" si="27"/>
        <v/>
      </c>
      <c r="T127" s="5" t="str">
        <f t="shared" si="28"/>
        <v/>
      </c>
      <c r="U127" s="5" t="str">
        <f t="shared" si="29"/>
        <v/>
      </c>
      <c r="V127" s="7" t="str">
        <f t="shared" si="30"/>
        <v/>
      </c>
      <c r="W127" s="8" t="str">
        <f t="shared" si="31"/>
        <v/>
      </c>
      <c r="X127" s="2"/>
      <c r="Y127" s="10"/>
      <c r="Z127" s="11" t="str">
        <f>IF(X127&lt;&gt;"执行卖出","",IFERROR(LOOKUP(2,1/(单次交易!$A$2:$A$88=B127),单次交易!$AP$2:$AP$88),""))</f>
        <v/>
      </c>
      <c r="AA127" s="10"/>
      <c r="AB127" s="8" t="str">
        <f t="shared" si="32"/>
        <v/>
      </c>
      <c r="AC127" s="8" t="str">
        <f>IF(A127="","",IF(A127="止损计划",IF(OR(B127="",D127="",E127="",F127="",G127=""),"计划不完整",IF(OR(D127&lt;1,D127&lt;&gt;INT(D127)),"阶段序号无效",IF(COUNTIFS($A$2:$A$157,"止损计划",$B$2:$B$157,B127,$D$2:$D$157,D127)&gt;1,"阶段序号重复",IF(E127&lt;=IFERROR(LOOKUP(2,1/(单次交易!$A$2:$A$88=B127),单次交易!$E$2:$E$88),0),"激活价须高于买入价",IF(F127&lt;N127,"止损价不得低于初始止损",IF(F127&gt;E127,"止损价不得高于激活价",IF(AND(COUNTIFS($A$2:$A$157,"止损计划",$B$2:$B$157,B127,$D$2:$D$157,"&lt;"&amp;D127)&gt;0,OR(E127&lt;=SUMPRODUCT(MAX((($A$2:$A$157="止损计划")*($B$2:$B$157=B127)*($D$2:$D$157&lt;D127))*$E$2:$E$157)),F127&lt;SUMPRODUCT(MAX((($A$2:$A$157="止损计划")*($B$2:$B$157=B127)*($D$2:$D$157&lt;D127))*$F$2:$F$157)))),"阶段价格必须逐级提高","计划有效"))))))),IF(A127="每日跟踪",IF(OR(B127="",H127="",I127="",J127=""),"每日数据不完整",IF(COUNTIFS($A$2:$A$157,"每日跟踪",$B$2:$B$157,B127,$H$2:$H$157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IF(B128="","",IFERROR(LOOKUP(2,1/(单次交易!$A$2:$A$88=B128),单次交易!$B$2:$B$88),""))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IF(B128="","",IFERROR(LOOKUP(2,1/(单次交易!$A$2:$A$88=B128),单次交易!$N$2:$N$88),""))</f>
        <v/>
      </c>
      <c r="O128" s="5" t="str">
        <f t="shared" si="24"/>
        <v/>
      </c>
      <c r="P128" s="11" t="str">
        <f t="shared" si="25"/>
        <v/>
      </c>
      <c r="Q128" s="5" t="str">
        <f t="shared" si="26"/>
        <v/>
      </c>
      <c r="R128" s="10"/>
      <c r="S128" s="5" t="str">
        <f t="shared" si="27"/>
        <v/>
      </c>
      <c r="T128" s="5" t="str">
        <f t="shared" si="28"/>
        <v/>
      </c>
      <c r="U128" s="5" t="str">
        <f t="shared" si="29"/>
        <v/>
      </c>
      <c r="V128" s="7" t="str">
        <f t="shared" si="30"/>
        <v/>
      </c>
      <c r="W128" s="8" t="str">
        <f t="shared" si="31"/>
        <v/>
      </c>
      <c r="X128" s="2"/>
      <c r="Y128" s="10"/>
      <c r="Z128" s="11" t="str">
        <f>IF(X128&lt;&gt;"执行卖出","",IFERROR(LOOKUP(2,1/(单次交易!$A$2:$A$88=B128),单次交易!$AP$2:$AP$88),""))</f>
        <v/>
      </c>
      <c r="AA128" s="10"/>
      <c r="AB128" s="8" t="str">
        <f t="shared" si="32"/>
        <v/>
      </c>
      <c r="AC128" s="8" t="str">
        <f>IF(A128="","",IF(A128="止损计划",IF(OR(B128="",D128="",E128="",F128="",G128=""),"计划不完整",IF(OR(D128&lt;1,D128&lt;&gt;INT(D128)),"阶段序号无效",IF(COUNTIFS($A$2:$A$157,"止损计划",$B$2:$B$157,B128,$D$2:$D$157,D128)&gt;1,"阶段序号重复",IF(E128&lt;=IFERROR(LOOKUP(2,1/(单次交易!$A$2:$A$88=B128),单次交易!$E$2:$E$88),0),"激活价须高于买入价",IF(F128&lt;N128,"止损价不得低于初始止损",IF(F128&gt;E128,"止损价不得高于激活价",IF(AND(COUNTIFS($A$2:$A$157,"止损计划",$B$2:$B$157,B128,$D$2:$D$157,"&lt;"&amp;D128)&gt;0,OR(E128&lt;=SUMPRODUCT(MAX((($A$2:$A$157="止损计划")*($B$2:$B$157=B128)*($D$2:$D$157&lt;D128))*$E$2:$E$157)),F128&lt;SUMPRODUCT(MAX((($A$2:$A$157="止损计划")*($B$2:$B$157=B128)*($D$2:$D$157&lt;D128))*$F$2:$F$157)))),"阶段价格必须逐级提高","计划有效"))))))),IF(A128="每日跟踪",IF(OR(B128="",H128="",I128="",J128=""),"每日数据不完整",IF(COUNTIFS($A$2:$A$157,"每日跟踪",$B$2:$B$157,B128,$H$2:$H$157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IF(B129="","",IFERROR(LOOKUP(2,1/(单次交易!$A$2:$A$88=B129),单次交易!$B$2:$B$88),""))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IF(B129="","",IFERROR(LOOKUP(2,1/(单次交易!$A$2:$A$88=B129),单次交易!$N$2:$N$88),""))</f>
        <v/>
      </c>
      <c r="O129" s="5" t="str">
        <f t="shared" si="24"/>
        <v/>
      </c>
      <c r="P129" s="11" t="str">
        <f t="shared" si="25"/>
        <v/>
      </c>
      <c r="Q129" s="5" t="str">
        <f t="shared" si="26"/>
        <v/>
      </c>
      <c r="R129" s="10"/>
      <c r="S129" s="5" t="str">
        <f t="shared" si="27"/>
        <v/>
      </c>
      <c r="T129" s="5" t="str">
        <f t="shared" si="28"/>
        <v/>
      </c>
      <c r="U129" s="5" t="str">
        <f t="shared" si="29"/>
        <v/>
      </c>
      <c r="V129" s="7" t="str">
        <f t="shared" si="30"/>
        <v/>
      </c>
      <c r="W129" s="8" t="str">
        <f t="shared" si="31"/>
        <v/>
      </c>
      <c r="X129" s="2"/>
      <c r="Y129" s="10"/>
      <c r="Z129" s="11" t="str">
        <f>IF(X129&lt;&gt;"执行卖出","",IFERROR(LOOKUP(2,1/(单次交易!$A$2:$A$88=B129),单次交易!$AP$2:$AP$88),""))</f>
        <v/>
      </c>
      <c r="AA129" s="10"/>
      <c r="AB129" s="8" t="str">
        <f t="shared" si="32"/>
        <v/>
      </c>
      <c r="AC129" s="8" t="str">
        <f>IF(A129="","",IF(A129="止损计划",IF(OR(B129="",D129="",E129="",F129="",G129=""),"计划不完整",IF(OR(D129&lt;1,D129&lt;&gt;INT(D129)),"阶段序号无效",IF(COUNTIFS($A$2:$A$157,"止损计划",$B$2:$B$157,B129,$D$2:$D$157,D129)&gt;1,"阶段序号重复",IF(E129&lt;=IFERROR(LOOKUP(2,1/(单次交易!$A$2:$A$88=B129),单次交易!$E$2:$E$88),0),"激活价须高于买入价",IF(F129&lt;N129,"止损价不得低于初始止损",IF(F129&gt;E129,"止损价不得高于激活价",IF(AND(COUNTIFS($A$2:$A$157,"止损计划",$B$2:$B$157,B129,$D$2:$D$157,"&lt;"&amp;D129)&gt;0,OR(E129&lt;=SUMPRODUCT(MAX((($A$2:$A$157="止损计划")*($B$2:$B$157=B129)*($D$2:$D$157&lt;D129))*$E$2:$E$157)),F129&lt;SUMPRODUCT(MAX((($A$2:$A$157="止损计划")*($B$2:$B$157=B129)*($D$2:$D$157&lt;D129))*$F$2:$F$157)))),"阶段价格必须逐级提高","计划有效"))))))),IF(A129="每日跟踪",IF(OR(B129="",H129="",I129="",J129=""),"每日数据不完整",IF(COUNTIFS($A$2:$A$157,"每日跟踪",$B$2:$B$157,B129,$H$2:$H$157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IF(B130="","",IFERROR(LOOKUP(2,1/(单次交易!$A$2:$A$88=B130),单次交易!$B$2:$B$88),""))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IF(B130="","",IFERROR(LOOKUP(2,1/(单次交易!$A$2:$A$88=B130),单次交易!$N$2:$N$88),""))</f>
        <v/>
      </c>
      <c r="O130" s="5" t="str">
        <f t="shared" ref="O130:O157" si="33">IF(A130&lt;&gt;"每日跟踪","",IF(OR(B130="",H130="",I130=""),"",IFERROR(SUMPRODUCT(MAX((($A$2:$A$157="每日跟踪")*($B$2:$B$157=B130)*($H$2:$H$157&lt;=H130))*$I$2:$I$157)),"")))</f>
        <v/>
      </c>
      <c r="P130" s="11" t="str">
        <f t="shared" ref="P130:P157" si="34">IF(A130&lt;&gt;"每日跟踪","",IF(O130="","",IFERROR(SUMPRODUCT(MAX((($A$2:$A$157="止损计划")*($B$2:$B$157=B130)*($E$2:$E$157&lt;=O130))*$D$2:$D$157)),0)))</f>
        <v/>
      </c>
      <c r="Q130" s="5" t="str">
        <f t="shared" ref="Q130:Q157" si="35">IF(A130&lt;&gt;"每日跟踪","",IF(N130="","",MAX(N130,IFERROR(SUMPRODUCT(MAX((($A$2:$A$157="止损计划")*($B$2:$B$157=B130)*($E$2:$E$157&lt;=O130))*$F$2:$F$157)),0))))</f>
        <v/>
      </c>
      <c r="R130" s="10"/>
      <c r="S130" s="5" t="str">
        <f t="shared" ref="S130:S157" si="36">IF(A130&lt;&gt;"每日跟踪","",IF(Q130="","",MAX(Q130,IFERROR(SUMPRODUCT(MAX((($A$2:$A$157="每日跟踪")*($B$2:$B$157=B130)*($H$2:$H$157&lt;=H130))*$R$2:$R$157)),0))))</f>
        <v/>
      </c>
      <c r="T130" s="5" t="str">
        <f t="shared" ref="T130:T157" si="37">IF(A130&lt;&gt;"每日跟踪","",IF(O130="","",IF(COUNTIFS($A$2:$A$157,"止损计划",$B$2:$B$157,B130,$E$2:$E$157,"&gt;"&amp;O130)=0,"",INDEX($E$2:$E$157,MATCH(1,INDEX(($A$2:$A$157="止损计划")*($B$2:$B$157=B130)*($E$2:$E$157&gt;O130),0),0)))))</f>
        <v/>
      </c>
      <c r="U130" s="5" t="str">
        <f t="shared" ref="U130:U157" si="38">IF(OR(A130&lt;&gt;"每日跟踪",T130=""),"",IFERROR(SUMIFS($F$2:$F$157,$A$2:$A$157,"止损计划",$B$2:$B$157,B130,$E$2:$E$157,T130),""))</f>
        <v/>
      </c>
      <c r="V130" s="7" t="str">
        <f t="shared" si="30"/>
        <v/>
      </c>
      <c r="W130" s="8" t="str">
        <f t="shared" si="31"/>
        <v/>
      </c>
      <c r="X130" s="2"/>
      <c r="Y130" s="10"/>
      <c r="Z130" s="11" t="str">
        <f>IF(X130&lt;&gt;"执行卖出","",IFERROR(LOOKUP(2,1/(单次交易!$A$2:$A$88=B130),单次交易!$AP$2:$AP$88),""))</f>
        <v/>
      </c>
      <c r="AA130" s="10"/>
      <c r="AB130" s="8" t="str">
        <f t="shared" si="32"/>
        <v/>
      </c>
      <c r="AC130" s="8" t="str">
        <f>IF(A130="","",IF(A130="止损计划",IF(OR(B130="",D130="",E130="",F130="",G130=""),"计划不完整",IF(OR(D130&lt;1,D130&lt;&gt;INT(D130)),"阶段序号无效",IF(COUNTIFS($A$2:$A$157,"止损计划",$B$2:$B$157,B130,$D$2:$D$157,D130)&gt;1,"阶段序号重复",IF(E130&lt;=IFERROR(LOOKUP(2,1/(单次交易!$A$2:$A$88=B130),单次交易!$E$2:$E$88),0),"激活价须高于买入价",IF(F130&lt;N130,"止损价不得低于初始止损",IF(F130&gt;E130,"止损价不得高于激活价",IF(AND(COUNTIFS($A$2:$A$157,"止损计划",$B$2:$B$157,B130,$D$2:$D$157,"&lt;"&amp;D130)&gt;0,OR(E130&lt;=SUMPRODUCT(MAX((($A$2:$A$157="止损计划")*($B$2:$B$157=B130)*($D$2:$D$157&lt;D130))*$E$2:$E$157)),F130&lt;SUMPRODUCT(MAX((($A$2:$A$157="止损计划")*($B$2:$B$157=B130)*($D$2:$D$157&lt;D130))*$F$2:$F$157)))),"阶段价格必须逐级提高","计划有效"))))))),IF(A130="每日跟踪",IF(OR(B130="",H130="",I130="",J130=""),"每日数据不完整",IF(COUNTIFS($A$2:$A$157,"每日跟踪",$B$2:$B$157,B130,$H$2:$H$157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IF(B131="","",IFERROR(LOOKUP(2,1/(单次交易!$A$2:$A$88=B131),单次交易!$B$2:$B$88),""))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IF(B131="","",IFERROR(LOOKUP(2,1/(单次交易!$A$2:$A$88=B131),单次交易!$N$2:$N$88),""))</f>
        <v/>
      </c>
      <c r="O131" s="5" t="str">
        <f t="shared" si="33"/>
        <v/>
      </c>
      <c r="P131" s="11" t="str">
        <f t="shared" si="34"/>
        <v/>
      </c>
      <c r="Q131" s="5" t="str">
        <f t="shared" si="35"/>
        <v/>
      </c>
      <c r="R131" s="10"/>
      <c r="S131" s="5" t="str">
        <f t="shared" si="36"/>
        <v/>
      </c>
      <c r="T131" s="5" t="str">
        <f t="shared" si="37"/>
        <v/>
      </c>
      <c r="U131" s="5" t="str">
        <f t="shared" si="38"/>
        <v/>
      </c>
      <c r="V131" s="7" t="str">
        <f t="shared" si="30"/>
        <v/>
      </c>
      <c r="W131" s="8" t="str">
        <f t="shared" si="31"/>
        <v/>
      </c>
      <c r="X131" s="2"/>
      <c r="Y131" s="10"/>
      <c r="Z131" s="11" t="str">
        <f>IF(X131&lt;&gt;"执行卖出","",IFERROR(LOOKUP(2,1/(单次交易!$A$2:$A$88=B131),单次交易!$AP$2:$AP$88),""))</f>
        <v/>
      </c>
      <c r="AA131" s="10"/>
      <c r="AB131" s="8" t="str">
        <f t="shared" si="32"/>
        <v/>
      </c>
      <c r="AC131" s="8" t="str">
        <f>IF(A131="","",IF(A131="止损计划",IF(OR(B131="",D131="",E131="",F131="",G131=""),"计划不完整",IF(OR(D131&lt;1,D131&lt;&gt;INT(D131)),"阶段序号无效",IF(COUNTIFS($A$2:$A$157,"止损计划",$B$2:$B$157,B131,$D$2:$D$157,D131)&gt;1,"阶段序号重复",IF(E131&lt;=IFERROR(LOOKUP(2,1/(单次交易!$A$2:$A$88=B131),单次交易!$E$2:$E$88),0),"激活价须高于买入价",IF(F131&lt;N131,"止损价不得低于初始止损",IF(F131&gt;E131,"止损价不得高于激活价",IF(AND(COUNTIFS($A$2:$A$157,"止损计划",$B$2:$B$157,B131,$D$2:$D$157,"&lt;"&amp;D131)&gt;0,OR(E131&lt;=SUMPRODUCT(MAX((($A$2:$A$157="止损计划")*($B$2:$B$157=B131)*($D$2:$D$157&lt;D131))*$E$2:$E$157)),F131&lt;SUMPRODUCT(MAX((($A$2:$A$157="止损计划")*($B$2:$B$157=B131)*($D$2:$D$157&lt;D131))*$F$2:$F$157)))),"阶段价格必须逐级提高","计划有效"))))))),IF(A131="每日跟踪",IF(OR(B131="",H131="",I131="",J131=""),"每日数据不完整",IF(COUNTIFS($A$2:$A$157,"每日跟踪",$B$2:$B$157,B131,$H$2:$H$157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IF(B132="","",IFERROR(LOOKUP(2,1/(单次交易!$A$2:$A$88=B132),单次交易!$B$2:$B$88),""))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IF(B132="","",IFERROR(LOOKUP(2,1/(单次交易!$A$2:$A$88=B132),单次交易!$N$2:$N$88),""))</f>
        <v/>
      </c>
      <c r="O132" s="5" t="str">
        <f t="shared" si="33"/>
        <v/>
      </c>
      <c r="P132" s="11" t="str">
        <f t="shared" si="34"/>
        <v/>
      </c>
      <c r="Q132" s="5" t="str">
        <f t="shared" si="35"/>
        <v/>
      </c>
      <c r="R132" s="10"/>
      <c r="S132" s="5" t="str">
        <f t="shared" si="36"/>
        <v/>
      </c>
      <c r="T132" s="5" t="str">
        <f t="shared" si="37"/>
        <v/>
      </c>
      <c r="U132" s="5" t="str">
        <f t="shared" si="38"/>
        <v/>
      </c>
      <c r="V132" s="7" t="str">
        <f t="shared" si="30"/>
        <v/>
      </c>
      <c r="W132" s="8" t="str">
        <f t="shared" si="31"/>
        <v/>
      </c>
      <c r="X132" s="2"/>
      <c r="Y132" s="10"/>
      <c r="Z132" s="11" t="str">
        <f>IF(X132&lt;&gt;"执行卖出","",IFERROR(LOOKUP(2,1/(单次交易!$A$2:$A$88=B132),单次交易!$AP$2:$AP$88),""))</f>
        <v/>
      </c>
      <c r="AA132" s="10"/>
      <c r="AB132" s="8" t="str">
        <f t="shared" si="32"/>
        <v/>
      </c>
      <c r="AC132" s="8" t="str">
        <f>IF(A132="","",IF(A132="止损计划",IF(OR(B132="",D132="",E132="",F132="",G132=""),"计划不完整",IF(OR(D132&lt;1,D132&lt;&gt;INT(D132)),"阶段序号无效",IF(COUNTIFS($A$2:$A$157,"止损计划",$B$2:$B$157,B132,$D$2:$D$157,D132)&gt;1,"阶段序号重复",IF(E132&lt;=IFERROR(LOOKUP(2,1/(单次交易!$A$2:$A$88=B132),单次交易!$E$2:$E$88),0),"激活价须高于买入价",IF(F132&lt;N132,"止损价不得低于初始止损",IF(F132&gt;E132,"止损价不得高于激活价",IF(AND(COUNTIFS($A$2:$A$157,"止损计划",$B$2:$B$157,B132,$D$2:$D$157,"&lt;"&amp;D132)&gt;0,OR(E132&lt;=SUMPRODUCT(MAX((($A$2:$A$157="止损计划")*($B$2:$B$157=B132)*($D$2:$D$157&lt;D132))*$E$2:$E$157)),F132&lt;SUMPRODUCT(MAX((($A$2:$A$157="止损计划")*($B$2:$B$157=B132)*($D$2:$D$157&lt;D132))*$F$2:$F$157)))),"阶段价格必须逐级提高","计划有效"))))))),IF(A132="每日跟踪",IF(OR(B132="",H132="",I132="",J132=""),"每日数据不完整",IF(COUNTIFS($A$2:$A$157,"每日跟踪",$B$2:$B$157,B132,$H$2:$H$157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IF(B133="","",IFERROR(LOOKUP(2,1/(单次交易!$A$2:$A$88=B133),单次交易!$B$2:$B$88),""))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IF(B133="","",IFERROR(LOOKUP(2,1/(单次交易!$A$2:$A$88=B133),单次交易!$N$2:$N$88),""))</f>
        <v/>
      </c>
      <c r="O133" s="5" t="str">
        <f t="shared" si="33"/>
        <v/>
      </c>
      <c r="P133" s="11" t="str">
        <f t="shared" si="34"/>
        <v/>
      </c>
      <c r="Q133" s="5" t="str">
        <f t="shared" si="35"/>
        <v/>
      </c>
      <c r="R133" s="10"/>
      <c r="S133" s="5" t="str">
        <f t="shared" si="36"/>
        <v/>
      </c>
      <c r="T133" s="5" t="str">
        <f t="shared" si="37"/>
        <v/>
      </c>
      <c r="U133" s="5" t="str">
        <f t="shared" si="38"/>
        <v/>
      </c>
      <c r="V133" s="7" t="str">
        <f t="shared" si="30"/>
        <v/>
      </c>
      <c r="W133" s="8" t="str">
        <f t="shared" si="31"/>
        <v/>
      </c>
      <c r="X133" s="2"/>
      <c r="Y133" s="10"/>
      <c r="Z133" s="11" t="str">
        <f>IF(X133&lt;&gt;"执行卖出","",IFERROR(LOOKUP(2,1/(单次交易!$A$2:$A$88=B133),单次交易!$AP$2:$AP$88),""))</f>
        <v/>
      </c>
      <c r="AA133" s="10"/>
      <c r="AB133" s="8" t="str">
        <f t="shared" si="32"/>
        <v/>
      </c>
      <c r="AC133" s="8" t="str">
        <f>IF(A133="","",IF(A133="止损计划",IF(OR(B133="",D133="",E133="",F133="",G133=""),"计划不完整",IF(OR(D133&lt;1,D133&lt;&gt;INT(D133)),"阶段序号无效",IF(COUNTIFS($A$2:$A$157,"止损计划",$B$2:$B$157,B133,$D$2:$D$157,D133)&gt;1,"阶段序号重复",IF(E133&lt;=IFERROR(LOOKUP(2,1/(单次交易!$A$2:$A$88=B133),单次交易!$E$2:$E$88),0),"激活价须高于买入价",IF(F133&lt;N133,"止损价不得低于初始止损",IF(F133&gt;E133,"止损价不得高于激活价",IF(AND(COUNTIFS($A$2:$A$157,"止损计划",$B$2:$B$157,B133,$D$2:$D$157,"&lt;"&amp;D133)&gt;0,OR(E133&lt;=SUMPRODUCT(MAX((($A$2:$A$157="止损计划")*($B$2:$B$157=B133)*($D$2:$D$157&lt;D133))*$E$2:$E$157)),F133&lt;SUMPRODUCT(MAX((($A$2:$A$157="止损计划")*($B$2:$B$157=B133)*($D$2:$D$157&lt;D133))*$F$2:$F$157)))),"阶段价格必须逐级提高","计划有效"))))))),IF(A133="每日跟踪",IF(OR(B133="",H133="",I133="",J133=""),"每日数据不完整",IF(COUNTIFS($A$2:$A$157,"每日跟踪",$B$2:$B$157,B133,$H$2:$H$157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IF(B134="","",IFERROR(LOOKUP(2,1/(单次交易!$A$2:$A$88=B134),单次交易!$B$2:$B$88),""))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IF(B134="","",IFERROR(LOOKUP(2,1/(单次交易!$A$2:$A$88=B134),单次交易!$N$2:$N$88),""))</f>
        <v/>
      </c>
      <c r="O134" s="5" t="str">
        <f t="shared" si="33"/>
        <v/>
      </c>
      <c r="P134" s="11" t="str">
        <f t="shared" si="34"/>
        <v/>
      </c>
      <c r="Q134" s="5" t="str">
        <f t="shared" si="35"/>
        <v/>
      </c>
      <c r="R134" s="10"/>
      <c r="S134" s="5" t="str">
        <f t="shared" si="36"/>
        <v/>
      </c>
      <c r="T134" s="5" t="str">
        <f t="shared" si="37"/>
        <v/>
      </c>
      <c r="U134" s="5" t="str">
        <f t="shared" si="38"/>
        <v/>
      </c>
      <c r="V134" s="7" t="str">
        <f t="shared" si="30"/>
        <v/>
      </c>
      <c r="W134" s="8" t="str">
        <f t="shared" si="31"/>
        <v/>
      </c>
      <c r="X134" s="2"/>
      <c r="Y134" s="10"/>
      <c r="Z134" s="11" t="str">
        <f>IF(X134&lt;&gt;"执行卖出","",IFERROR(LOOKUP(2,1/(单次交易!$A$2:$A$88=B134),单次交易!$AP$2:$AP$88),""))</f>
        <v/>
      </c>
      <c r="AA134" s="10"/>
      <c r="AB134" s="8" t="str">
        <f t="shared" si="32"/>
        <v/>
      </c>
      <c r="AC134" s="8" t="str">
        <f>IF(A134="","",IF(A134="止损计划",IF(OR(B134="",D134="",E134="",F134="",G134=""),"计划不完整",IF(OR(D134&lt;1,D134&lt;&gt;INT(D134)),"阶段序号无效",IF(COUNTIFS($A$2:$A$157,"止损计划",$B$2:$B$157,B134,$D$2:$D$157,D134)&gt;1,"阶段序号重复",IF(E134&lt;=IFERROR(LOOKUP(2,1/(单次交易!$A$2:$A$88=B134),单次交易!$E$2:$E$88),0),"激活价须高于买入价",IF(F134&lt;N134,"止损价不得低于初始止损",IF(F134&gt;E134,"止损价不得高于激活价",IF(AND(COUNTIFS($A$2:$A$157,"止损计划",$B$2:$B$157,B134,$D$2:$D$157,"&lt;"&amp;D134)&gt;0,OR(E134&lt;=SUMPRODUCT(MAX((($A$2:$A$157="止损计划")*($B$2:$B$157=B134)*($D$2:$D$157&lt;D134))*$E$2:$E$157)),F134&lt;SUMPRODUCT(MAX((($A$2:$A$157="止损计划")*($B$2:$B$157=B134)*($D$2:$D$157&lt;D134))*$F$2:$F$157)))),"阶段价格必须逐级提高","计划有效"))))))),IF(A134="每日跟踪",IF(OR(B134="",H134="",I134="",J134=""),"每日数据不完整",IF(COUNTIFS($A$2:$A$157,"每日跟踪",$B$2:$B$157,B134,$H$2:$H$157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IF(B135="","",IFERROR(LOOKUP(2,1/(单次交易!$A$2:$A$88=B135),单次交易!$B$2:$B$88),""))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IF(B135="","",IFERROR(LOOKUP(2,1/(单次交易!$A$2:$A$88=B135),单次交易!$N$2:$N$88),""))</f>
        <v/>
      </c>
      <c r="O135" s="5" t="str">
        <f t="shared" si="33"/>
        <v/>
      </c>
      <c r="P135" s="11" t="str">
        <f t="shared" si="34"/>
        <v/>
      </c>
      <c r="Q135" s="5" t="str">
        <f t="shared" si="35"/>
        <v/>
      </c>
      <c r="R135" s="10"/>
      <c r="S135" s="5" t="str">
        <f t="shared" si="36"/>
        <v/>
      </c>
      <c r="T135" s="5" t="str">
        <f t="shared" si="37"/>
        <v/>
      </c>
      <c r="U135" s="5" t="str">
        <f t="shared" si="38"/>
        <v/>
      </c>
      <c r="V135" s="7" t="str">
        <f t="shared" si="30"/>
        <v/>
      </c>
      <c r="W135" s="8" t="str">
        <f t="shared" si="31"/>
        <v/>
      </c>
      <c r="X135" s="2"/>
      <c r="Y135" s="10"/>
      <c r="Z135" s="11" t="str">
        <f>IF(X135&lt;&gt;"执行卖出","",IFERROR(LOOKUP(2,1/(单次交易!$A$2:$A$88=B135),单次交易!$AP$2:$AP$88),""))</f>
        <v/>
      </c>
      <c r="AA135" s="10"/>
      <c r="AB135" s="8" t="str">
        <f t="shared" si="32"/>
        <v/>
      </c>
      <c r="AC135" s="8" t="str">
        <f>IF(A135="","",IF(A135="止损计划",IF(OR(B135="",D135="",E135="",F135="",G135=""),"计划不完整",IF(OR(D135&lt;1,D135&lt;&gt;INT(D135)),"阶段序号无效",IF(COUNTIFS($A$2:$A$157,"止损计划",$B$2:$B$157,B135,$D$2:$D$157,D135)&gt;1,"阶段序号重复",IF(E135&lt;=IFERROR(LOOKUP(2,1/(单次交易!$A$2:$A$88=B135),单次交易!$E$2:$E$88),0),"激活价须高于买入价",IF(F135&lt;N135,"止损价不得低于初始止损",IF(F135&gt;E135,"止损价不得高于激活价",IF(AND(COUNTIFS($A$2:$A$157,"止损计划",$B$2:$B$157,B135,$D$2:$D$157,"&lt;"&amp;D135)&gt;0,OR(E135&lt;=SUMPRODUCT(MAX((($A$2:$A$157="止损计划")*($B$2:$B$157=B135)*($D$2:$D$157&lt;D135))*$E$2:$E$157)),F135&lt;SUMPRODUCT(MAX((($A$2:$A$157="止损计划")*($B$2:$B$157=B135)*($D$2:$D$157&lt;D135))*$F$2:$F$157)))),"阶段价格必须逐级提高","计划有效"))))))),IF(A135="每日跟踪",IF(OR(B135="",H135="",I135="",J135=""),"每日数据不完整",IF(COUNTIFS($A$2:$A$157,"每日跟踪",$B$2:$B$157,B135,$H$2:$H$157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IF(B136="","",IFERROR(LOOKUP(2,1/(单次交易!$A$2:$A$88=B136),单次交易!$B$2:$B$88),""))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IF(B136="","",IFERROR(LOOKUP(2,1/(单次交易!$A$2:$A$88=B136),单次交易!$N$2:$N$88),""))</f>
        <v/>
      </c>
      <c r="O136" s="5" t="str">
        <f t="shared" si="33"/>
        <v/>
      </c>
      <c r="P136" s="11" t="str">
        <f t="shared" si="34"/>
        <v/>
      </c>
      <c r="Q136" s="5" t="str">
        <f t="shared" si="35"/>
        <v/>
      </c>
      <c r="R136" s="10"/>
      <c r="S136" s="5" t="str">
        <f t="shared" si="36"/>
        <v/>
      </c>
      <c r="T136" s="5" t="str">
        <f t="shared" si="37"/>
        <v/>
      </c>
      <c r="U136" s="5" t="str">
        <f t="shared" si="38"/>
        <v/>
      </c>
      <c r="V136" s="7" t="str">
        <f t="shared" si="30"/>
        <v/>
      </c>
      <c r="W136" s="8" t="str">
        <f t="shared" si="31"/>
        <v/>
      </c>
      <c r="X136" s="2"/>
      <c r="Y136" s="10"/>
      <c r="Z136" s="11" t="str">
        <f>IF(X136&lt;&gt;"执行卖出","",IFERROR(LOOKUP(2,1/(单次交易!$A$2:$A$88=B136),单次交易!$AP$2:$AP$88),""))</f>
        <v/>
      </c>
      <c r="AA136" s="10"/>
      <c r="AB136" s="8" t="str">
        <f t="shared" si="32"/>
        <v/>
      </c>
      <c r="AC136" s="8" t="str">
        <f>IF(A136="","",IF(A136="止损计划",IF(OR(B136="",D136="",E136="",F136="",G136=""),"计划不完整",IF(OR(D136&lt;1,D136&lt;&gt;INT(D136)),"阶段序号无效",IF(COUNTIFS($A$2:$A$157,"止损计划",$B$2:$B$157,B136,$D$2:$D$157,D136)&gt;1,"阶段序号重复",IF(E136&lt;=IFERROR(LOOKUP(2,1/(单次交易!$A$2:$A$88=B136),单次交易!$E$2:$E$88),0),"激活价须高于买入价",IF(F136&lt;N136,"止损价不得低于初始止损",IF(F136&gt;E136,"止损价不得高于激活价",IF(AND(COUNTIFS($A$2:$A$157,"止损计划",$B$2:$B$157,B136,$D$2:$D$157,"&lt;"&amp;D136)&gt;0,OR(E136&lt;=SUMPRODUCT(MAX((($A$2:$A$157="止损计划")*($B$2:$B$157=B136)*($D$2:$D$157&lt;D136))*$E$2:$E$157)),F136&lt;SUMPRODUCT(MAX((($A$2:$A$157="止损计划")*($B$2:$B$157=B136)*($D$2:$D$157&lt;D136))*$F$2:$F$157)))),"阶段价格必须逐级提高","计划有效"))))))),IF(A136="每日跟踪",IF(OR(B136="",H136="",I136="",J136=""),"每日数据不完整",IF(COUNTIFS($A$2:$A$157,"每日跟踪",$B$2:$B$157,B136,$H$2:$H$157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IF(B137="","",IFERROR(LOOKUP(2,1/(单次交易!$A$2:$A$88=B137),单次交易!$B$2:$B$88),""))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IF(B137="","",IFERROR(LOOKUP(2,1/(单次交易!$A$2:$A$88=B137),单次交易!$N$2:$N$88),""))</f>
        <v/>
      </c>
      <c r="O137" s="5" t="str">
        <f t="shared" si="33"/>
        <v/>
      </c>
      <c r="P137" s="11" t="str">
        <f t="shared" si="34"/>
        <v/>
      </c>
      <c r="Q137" s="5" t="str">
        <f t="shared" si="35"/>
        <v/>
      </c>
      <c r="R137" s="10"/>
      <c r="S137" s="5" t="str">
        <f t="shared" si="36"/>
        <v/>
      </c>
      <c r="T137" s="5" t="str">
        <f t="shared" si="37"/>
        <v/>
      </c>
      <c r="U137" s="5" t="str">
        <f t="shared" si="38"/>
        <v/>
      </c>
      <c r="V137" s="7" t="str">
        <f t="shared" si="30"/>
        <v/>
      </c>
      <c r="W137" s="8" t="str">
        <f t="shared" si="31"/>
        <v/>
      </c>
      <c r="X137" s="2"/>
      <c r="Y137" s="10"/>
      <c r="Z137" s="11" t="str">
        <f>IF(X137&lt;&gt;"执行卖出","",IFERROR(LOOKUP(2,1/(单次交易!$A$2:$A$88=B137),单次交易!$AP$2:$AP$88),""))</f>
        <v/>
      </c>
      <c r="AA137" s="10"/>
      <c r="AB137" s="8" t="str">
        <f t="shared" si="32"/>
        <v/>
      </c>
      <c r="AC137" s="8" t="str">
        <f>IF(A137="","",IF(A137="止损计划",IF(OR(B137="",D137="",E137="",F137="",G137=""),"计划不完整",IF(OR(D137&lt;1,D137&lt;&gt;INT(D137)),"阶段序号无效",IF(COUNTIFS($A$2:$A$157,"止损计划",$B$2:$B$157,B137,$D$2:$D$157,D137)&gt;1,"阶段序号重复",IF(E137&lt;=IFERROR(LOOKUP(2,1/(单次交易!$A$2:$A$88=B137),单次交易!$E$2:$E$88),0),"激活价须高于买入价",IF(F137&lt;N137,"止损价不得低于初始止损",IF(F137&gt;E137,"止损价不得高于激活价",IF(AND(COUNTIFS($A$2:$A$157,"止损计划",$B$2:$B$157,B137,$D$2:$D$157,"&lt;"&amp;D137)&gt;0,OR(E137&lt;=SUMPRODUCT(MAX((($A$2:$A$157="止损计划")*($B$2:$B$157=B137)*($D$2:$D$157&lt;D137))*$E$2:$E$157)),F137&lt;SUMPRODUCT(MAX((($A$2:$A$157="止损计划")*($B$2:$B$157=B137)*($D$2:$D$157&lt;D137))*$F$2:$F$157)))),"阶段价格必须逐级提高","计划有效"))))))),IF(A137="每日跟踪",IF(OR(B137="",H137="",I137="",J137=""),"每日数据不完整",IF(COUNTIFS($A$2:$A$157,"每日跟踪",$B$2:$B$157,B137,$H$2:$H$157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IF(B138="","",IFERROR(LOOKUP(2,1/(单次交易!$A$2:$A$88=B138),单次交易!$B$2:$B$88),""))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IF(B138="","",IFERROR(LOOKUP(2,1/(单次交易!$A$2:$A$88=B138),单次交易!$N$2:$N$88),""))</f>
        <v/>
      </c>
      <c r="O138" s="5" t="str">
        <f t="shared" si="33"/>
        <v/>
      </c>
      <c r="P138" s="11" t="str">
        <f t="shared" si="34"/>
        <v/>
      </c>
      <c r="Q138" s="5" t="str">
        <f t="shared" si="35"/>
        <v/>
      </c>
      <c r="R138" s="10"/>
      <c r="S138" s="5" t="str">
        <f t="shared" si="36"/>
        <v/>
      </c>
      <c r="T138" s="5" t="str">
        <f t="shared" si="37"/>
        <v/>
      </c>
      <c r="U138" s="5" t="str">
        <f t="shared" si="38"/>
        <v/>
      </c>
      <c r="V138" s="7" t="str">
        <f t="shared" si="30"/>
        <v/>
      </c>
      <c r="W138" s="8" t="str">
        <f t="shared" si="31"/>
        <v/>
      </c>
      <c r="X138" s="2"/>
      <c r="Y138" s="10"/>
      <c r="Z138" s="11" t="str">
        <f>IF(X138&lt;&gt;"执行卖出","",IFERROR(LOOKUP(2,1/(单次交易!$A$2:$A$88=B138),单次交易!$AP$2:$AP$88),""))</f>
        <v/>
      </c>
      <c r="AA138" s="10"/>
      <c r="AB138" s="8" t="str">
        <f t="shared" si="32"/>
        <v/>
      </c>
      <c r="AC138" s="8" t="str">
        <f>IF(A138="","",IF(A138="止损计划",IF(OR(B138="",D138="",E138="",F138="",G138=""),"计划不完整",IF(OR(D138&lt;1,D138&lt;&gt;INT(D138)),"阶段序号无效",IF(COUNTIFS($A$2:$A$157,"止损计划",$B$2:$B$157,B138,$D$2:$D$157,D138)&gt;1,"阶段序号重复",IF(E138&lt;=IFERROR(LOOKUP(2,1/(单次交易!$A$2:$A$88=B138),单次交易!$E$2:$E$88),0),"激活价须高于买入价",IF(F138&lt;N138,"止损价不得低于初始止损",IF(F138&gt;E138,"止损价不得高于激活价",IF(AND(COUNTIFS($A$2:$A$157,"止损计划",$B$2:$B$157,B138,$D$2:$D$157,"&lt;"&amp;D138)&gt;0,OR(E138&lt;=SUMPRODUCT(MAX((($A$2:$A$157="止损计划")*($B$2:$B$157=B138)*($D$2:$D$157&lt;D138))*$E$2:$E$157)),F138&lt;SUMPRODUCT(MAX((($A$2:$A$157="止损计划")*($B$2:$B$157=B138)*($D$2:$D$157&lt;D138))*$F$2:$F$157)))),"阶段价格必须逐级提高","计划有效"))))))),IF(A138="每日跟踪",IF(OR(B138="",H138="",I138="",J138=""),"每日数据不完整",IF(COUNTIFS($A$2:$A$157,"每日跟踪",$B$2:$B$157,B138,$H$2:$H$157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IF(B139="","",IFERROR(LOOKUP(2,1/(单次交易!$A$2:$A$88=B139),单次交易!$B$2:$B$88),""))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IF(B139="","",IFERROR(LOOKUP(2,1/(单次交易!$A$2:$A$88=B139),单次交易!$N$2:$N$88),""))</f>
        <v/>
      </c>
      <c r="O139" s="5" t="str">
        <f t="shared" si="33"/>
        <v/>
      </c>
      <c r="P139" s="11" t="str">
        <f t="shared" si="34"/>
        <v/>
      </c>
      <c r="Q139" s="5" t="str">
        <f t="shared" si="35"/>
        <v/>
      </c>
      <c r="R139" s="10"/>
      <c r="S139" s="5" t="str">
        <f t="shared" si="36"/>
        <v/>
      </c>
      <c r="T139" s="5" t="str">
        <f t="shared" si="37"/>
        <v/>
      </c>
      <c r="U139" s="5" t="str">
        <f t="shared" si="38"/>
        <v/>
      </c>
      <c r="V139" s="7" t="str">
        <f t="shared" si="30"/>
        <v/>
      </c>
      <c r="W139" s="8" t="str">
        <f t="shared" si="31"/>
        <v/>
      </c>
      <c r="X139" s="2"/>
      <c r="Y139" s="10"/>
      <c r="Z139" s="11" t="str">
        <f>IF(X139&lt;&gt;"执行卖出","",IFERROR(LOOKUP(2,1/(单次交易!$A$2:$A$88=B139),单次交易!$AP$2:$AP$88),""))</f>
        <v/>
      </c>
      <c r="AA139" s="10"/>
      <c r="AB139" s="8" t="str">
        <f t="shared" si="32"/>
        <v/>
      </c>
      <c r="AC139" s="8" t="str">
        <f>IF(A139="","",IF(A139="止损计划",IF(OR(B139="",D139="",E139="",F139="",G139=""),"计划不完整",IF(OR(D139&lt;1,D139&lt;&gt;INT(D139)),"阶段序号无效",IF(COUNTIFS($A$2:$A$157,"止损计划",$B$2:$B$157,B139,$D$2:$D$157,D139)&gt;1,"阶段序号重复",IF(E139&lt;=IFERROR(LOOKUP(2,1/(单次交易!$A$2:$A$88=B139),单次交易!$E$2:$E$88),0),"激活价须高于买入价",IF(F139&lt;N139,"止损价不得低于初始止损",IF(F139&gt;E139,"止损价不得高于激活价",IF(AND(COUNTIFS($A$2:$A$157,"止损计划",$B$2:$B$157,B139,$D$2:$D$157,"&lt;"&amp;D139)&gt;0,OR(E139&lt;=SUMPRODUCT(MAX((($A$2:$A$157="止损计划")*($B$2:$B$157=B139)*($D$2:$D$157&lt;D139))*$E$2:$E$157)),F139&lt;SUMPRODUCT(MAX((($A$2:$A$157="止损计划")*($B$2:$B$157=B139)*($D$2:$D$157&lt;D139))*$F$2:$F$157)))),"阶段价格必须逐级提高","计划有效"))))))),IF(A139="每日跟踪",IF(OR(B139="",H139="",I139="",J139=""),"每日数据不完整",IF(COUNTIFS($A$2:$A$157,"每日跟踪",$B$2:$B$157,B139,$H$2:$H$157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IF(B140="","",IFERROR(LOOKUP(2,1/(单次交易!$A$2:$A$88=B140),单次交易!$B$2:$B$88),""))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IF(B140="","",IFERROR(LOOKUP(2,1/(单次交易!$A$2:$A$88=B140),单次交易!$N$2:$N$88),""))</f>
        <v/>
      </c>
      <c r="O140" s="5" t="str">
        <f t="shared" si="33"/>
        <v/>
      </c>
      <c r="P140" s="11" t="str">
        <f t="shared" si="34"/>
        <v/>
      </c>
      <c r="Q140" s="5" t="str">
        <f t="shared" si="35"/>
        <v/>
      </c>
      <c r="R140" s="10"/>
      <c r="S140" s="5" t="str">
        <f t="shared" si="36"/>
        <v/>
      </c>
      <c r="T140" s="5" t="str">
        <f t="shared" si="37"/>
        <v/>
      </c>
      <c r="U140" s="5" t="str">
        <f t="shared" si="38"/>
        <v/>
      </c>
      <c r="V140" s="7" t="str">
        <f t="shared" si="30"/>
        <v/>
      </c>
      <c r="W140" s="8" t="str">
        <f t="shared" si="31"/>
        <v/>
      </c>
      <c r="X140" s="2"/>
      <c r="Y140" s="10"/>
      <c r="Z140" s="11" t="str">
        <f>IF(X140&lt;&gt;"执行卖出","",IFERROR(LOOKUP(2,1/(单次交易!$A$2:$A$88=B140),单次交易!$AP$2:$AP$88),""))</f>
        <v/>
      </c>
      <c r="AA140" s="10"/>
      <c r="AB140" s="8" t="str">
        <f t="shared" si="32"/>
        <v/>
      </c>
      <c r="AC140" s="8" t="str">
        <f>IF(A140="","",IF(A140="止损计划",IF(OR(B140="",D140="",E140="",F140="",G140=""),"计划不完整",IF(OR(D140&lt;1,D140&lt;&gt;INT(D140)),"阶段序号无效",IF(COUNTIFS($A$2:$A$157,"止损计划",$B$2:$B$157,B140,$D$2:$D$157,D140)&gt;1,"阶段序号重复",IF(E140&lt;=IFERROR(LOOKUP(2,1/(单次交易!$A$2:$A$88=B140),单次交易!$E$2:$E$88),0),"激活价须高于买入价",IF(F140&lt;N140,"止损价不得低于初始止损",IF(F140&gt;E140,"止损价不得高于激活价",IF(AND(COUNTIFS($A$2:$A$157,"止损计划",$B$2:$B$157,B140,$D$2:$D$157,"&lt;"&amp;D140)&gt;0,OR(E140&lt;=SUMPRODUCT(MAX((($A$2:$A$157="止损计划")*($B$2:$B$157=B140)*($D$2:$D$157&lt;D140))*$E$2:$E$157)),F140&lt;SUMPRODUCT(MAX((($A$2:$A$157="止损计划")*($B$2:$B$157=B140)*($D$2:$D$157&lt;D140))*$F$2:$F$157)))),"阶段价格必须逐级提高","计划有效"))))))),IF(A140="每日跟踪",IF(OR(B140="",H140="",I140="",J140=""),"每日数据不完整",IF(COUNTIFS($A$2:$A$157,"每日跟踪",$B$2:$B$157,B140,$H$2:$H$157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IF(B141="","",IFERROR(LOOKUP(2,1/(单次交易!$A$2:$A$88=B141),单次交易!$B$2:$B$88),""))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IF(B141="","",IFERROR(LOOKUP(2,1/(单次交易!$A$2:$A$88=B141),单次交易!$N$2:$N$88),""))</f>
        <v/>
      </c>
      <c r="O141" s="5" t="str">
        <f t="shared" si="33"/>
        <v/>
      </c>
      <c r="P141" s="11" t="str">
        <f t="shared" si="34"/>
        <v/>
      </c>
      <c r="Q141" s="5" t="str">
        <f t="shared" si="35"/>
        <v/>
      </c>
      <c r="R141" s="10"/>
      <c r="S141" s="5" t="str">
        <f t="shared" si="36"/>
        <v/>
      </c>
      <c r="T141" s="5" t="str">
        <f t="shared" si="37"/>
        <v/>
      </c>
      <c r="U141" s="5" t="str">
        <f t="shared" si="38"/>
        <v/>
      </c>
      <c r="V141" s="7" t="str">
        <f t="shared" si="30"/>
        <v/>
      </c>
      <c r="W141" s="8" t="str">
        <f t="shared" si="31"/>
        <v/>
      </c>
      <c r="X141" s="2"/>
      <c r="Y141" s="10"/>
      <c r="Z141" s="11" t="str">
        <f>IF(X141&lt;&gt;"执行卖出","",IFERROR(LOOKUP(2,1/(单次交易!$A$2:$A$88=B141),单次交易!$AP$2:$AP$88),""))</f>
        <v/>
      </c>
      <c r="AA141" s="10"/>
      <c r="AB141" s="8" t="str">
        <f t="shared" si="32"/>
        <v/>
      </c>
      <c r="AC141" s="8" t="str">
        <f>IF(A141="","",IF(A141="止损计划",IF(OR(B141="",D141="",E141="",F141="",G141=""),"计划不完整",IF(OR(D141&lt;1,D141&lt;&gt;INT(D141)),"阶段序号无效",IF(COUNTIFS($A$2:$A$157,"止损计划",$B$2:$B$157,B141,$D$2:$D$157,D141)&gt;1,"阶段序号重复",IF(E141&lt;=IFERROR(LOOKUP(2,1/(单次交易!$A$2:$A$88=B141),单次交易!$E$2:$E$88),0),"激活价须高于买入价",IF(F141&lt;N141,"止损价不得低于初始止损",IF(F141&gt;E141,"止损价不得高于激活价",IF(AND(COUNTIFS($A$2:$A$157,"止损计划",$B$2:$B$157,B141,$D$2:$D$157,"&lt;"&amp;D141)&gt;0,OR(E141&lt;=SUMPRODUCT(MAX((($A$2:$A$157="止损计划")*($B$2:$B$157=B141)*($D$2:$D$157&lt;D141))*$E$2:$E$157)),F141&lt;SUMPRODUCT(MAX((($A$2:$A$157="止损计划")*($B$2:$B$157=B141)*($D$2:$D$157&lt;D141))*$F$2:$F$157)))),"阶段价格必须逐级提高","计划有效"))))))),IF(A141="每日跟踪",IF(OR(B141="",H141="",I141="",J141=""),"每日数据不完整",IF(COUNTIFS($A$2:$A$157,"每日跟踪",$B$2:$B$157,B141,$H$2:$H$157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IF(B142="","",IFERROR(LOOKUP(2,1/(单次交易!$A$2:$A$88=B142),单次交易!$B$2:$B$88),""))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IF(B142="","",IFERROR(LOOKUP(2,1/(单次交易!$A$2:$A$88=B142),单次交易!$N$2:$N$88),""))</f>
        <v/>
      </c>
      <c r="O142" s="5" t="str">
        <f t="shared" si="33"/>
        <v/>
      </c>
      <c r="P142" s="11" t="str">
        <f t="shared" si="34"/>
        <v/>
      </c>
      <c r="Q142" s="5" t="str">
        <f t="shared" si="35"/>
        <v/>
      </c>
      <c r="R142" s="10"/>
      <c r="S142" s="5" t="str">
        <f t="shared" si="36"/>
        <v/>
      </c>
      <c r="T142" s="5" t="str">
        <f t="shared" si="37"/>
        <v/>
      </c>
      <c r="U142" s="5" t="str">
        <f t="shared" si="38"/>
        <v/>
      </c>
      <c r="V142" s="7" t="str">
        <f t="shared" si="30"/>
        <v/>
      </c>
      <c r="W142" s="8" t="str">
        <f t="shared" si="31"/>
        <v/>
      </c>
      <c r="X142" s="2"/>
      <c r="Y142" s="10"/>
      <c r="Z142" s="11" t="str">
        <f>IF(X142&lt;&gt;"执行卖出","",IFERROR(LOOKUP(2,1/(单次交易!$A$2:$A$88=B142),单次交易!$AP$2:$AP$88),""))</f>
        <v/>
      </c>
      <c r="AA142" s="10"/>
      <c r="AB142" s="8" t="str">
        <f t="shared" si="32"/>
        <v/>
      </c>
      <c r="AC142" s="8" t="str">
        <f>IF(A142="","",IF(A142="止损计划",IF(OR(B142="",D142="",E142="",F142="",G142=""),"计划不完整",IF(OR(D142&lt;1,D142&lt;&gt;INT(D142)),"阶段序号无效",IF(COUNTIFS($A$2:$A$157,"止损计划",$B$2:$B$157,B142,$D$2:$D$157,D142)&gt;1,"阶段序号重复",IF(E142&lt;=IFERROR(LOOKUP(2,1/(单次交易!$A$2:$A$88=B142),单次交易!$E$2:$E$88),0),"激活价须高于买入价",IF(F142&lt;N142,"止损价不得低于初始止损",IF(F142&gt;E142,"止损价不得高于激活价",IF(AND(COUNTIFS($A$2:$A$157,"止损计划",$B$2:$B$157,B142,$D$2:$D$157,"&lt;"&amp;D142)&gt;0,OR(E142&lt;=SUMPRODUCT(MAX((($A$2:$A$157="止损计划")*($B$2:$B$157=B142)*($D$2:$D$157&lt;D142))*$E$2:$E$157)),F142&lt;SUMPRODUCT(MAX((($A$2:$A$157="止损计划")*($B$2:$B$157=B142)*($D$2:$D$157&lt;D142))*$F$2:$F$157)))),"阶段价格必须逐级提高","计划有效"))))))),IF(A142="每日跟踪",IF(OR(B142="",H142="",I142="",J142=""),"每日数据不完整",IF(COUNTIFS($A$2:$A$157,"每日跟踪",$B$2:$B$157,B142,$H$2:$H$157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IF(B143="","",IFERROR(LOOKUP(2,1/(单次交易!$A$2:$A$88=B143),单次交易!$B$2:$B$88),""))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IF(B143="","",IFERROR(LOOKUP(2,1/(单次交易!$A$2:$A$88=B143),单次交易!$N$2:$N$88),""))</f>
        <v/>
      </c>
      <c r="O143" s="5" t="str">
        <f t="shared" si="33"/>
        <v/>
      </c>
      <c r="P143" s="11" t="str">
        <f t="shared" si="34"/>
        <v/>
      </c>
      <c r="Q143" s="5" t="str">
        <f t="shared" si="35"/>
        <v/>
      </c>
      <c r="R143" s="10"/>
      <c r="S143" s="5" t="str">
        <f t="shared" si="36"/>
        <v/>
      </c>
      <c r="T143" s="5" t="str">
        <f t="shared" si="37"/>
        <v/>
      </c>
      <c r="U143" s="5" t="str">
        <f t="shared" si="38"/>
        <v/>
      </c>
      <c r="V143" s="7" t="str">
        <f t="shared" si="30"/>
        <v/>
      </c>
      <c r="W143" s="8" t="str">
        <f t="shared" si="31"/>
        <v/>
      </c>
      <c r="X143" s="2"/>
      <c r="Y143" s="10"/>
      <c r="Z143" s="11" t="str">
        <f>IF(X143&lt;&gt;"执行卖出","",IFERROR(LOOKUP(2,1/(单次交易!$A$2:$A$88=B143),单次交易!$AP$2:$AP$88),""))</f>
        <v/>
      </c>
      <c r="AA143" s="10"/>
      <c r="AB143" s="8" t="str">
        <f t="shared" si="32"/>
        <v/>
      </c>
      <c r="AC143" s="8" t="str">
        <f>IF(A143="","",IF(A143="止损计划",IF(OR(B143="",D143="",E143="",F143="",G143=""),"计划不完整",IF(OR(D143&lt;1,D143&lt;&gt;INT(D143)),"阶段序号无效",IF(COUNTIFS($A$2:$A$157,"止损计划",$B$2:$B$157,B143,$D$2:$D$157,D143)&gt;1,"阶段序号重复",IF(E143&lt;=IFERROR(LOOKUP(2,1/(单次交易!$A$2:$A$88=B143),单次交易!$E$2:$E$88),0),"激活价须高于买入价",IF(F143&lt;N143,"止损价不得低于初始止损",IF(F143&gt;E143,"止损价不得高于激活价",IF(AND(COUNTIFS($A$2:$A$157,"止损计划",$B$2:$B$157,B143,$D$2:$D$157,"&lt;"&amp;D143)&gt;0,OR(E143&lt;=SUMPRODUCT(MAX((($A$2:$A$157="止损计划")*($B$2:$B$157=B143)*($D$2:$D$157&lt;D143))*$E$2:$E$157)),F143&lt;SUMPRODUCT(MAX((($A$2:$A$157="止损计划")*($B$2:$B$157=B143)*($D$2:$D$157&lt;D143))*$F$2:$F$157)))),"阶段价格必须逐级提高","计划有效"))))))),IF(A143="每日跟踪",IF(OR(B143="",H143="",I143="",J143=""),"每日数据不完整",IF(COUNTIFS($A$2:$A$157,"每日跟踪",$B$2:$B$157,B143,$H$2:$H$157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IF(B144="","",IFERROR(LOOKUP(2,1/(单次交易!$A$2:$A$88=B144),单次交易!$B$2:$B$88),""))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IF(B144="","",IFERROR(LOOKUP(2,1/(单次交易!$A$2:$A$88=B144),单次交易!$N$2:$N$88),""))</f>
        <v/>
      </c>
      <c r="O144" s="5" t="str">
        <f t="shared" si="33"/>
        <v/>
      </c>
      <c r="P144" s="11" t="str">
        <f t="shared" si="34"/>
        <v/>
      </c>
      <c r="Q144" s="5" t="str">
        <f t="shared" si="35"/>
        <v/>
      </c>
      <c r="R144" s="10"/>
      <c r="S144" s="5" t="str">
        <f t="shared" si="36"/>
        <v/>
      </c>
      <c r="T144" s="5" t="str">
        <f t="shared" si="37"/>
        <v/>
      </c>
      <c r="U144" s="5" t="str">
        <f t="shared" si="38"/>
        <v/>
      </c>
      <c r="V144" s="7" t="str">
        <f t="shared" si="30"/>
        <v/>
      </c>
      <c r="W144" s="8" t="str">
        <f t="shared" si="31"/>
        <v/>
      </c>
      <c r="X144" s="2"/>
      <c r="Y144" s="10"/>
      <c r="Z144" s="11" t="str">
        <f>IF(X144&lt;&gt;"执行卖出","",IFERROR(LOOKUP(2,1/(单次交易!$A$2:$A$88=B144),单次交易!$AP$2:$AP$88),""))</f>
        <v/>
      </c>
      <c r="AA144" s="10"/>
      <c r="AB144" s="8" t="str">
        <f t="shared" si="32"/>
        <v/>
      </c>
      <c r="AC144" s="8" t="str">
        <f>IF(A144="","",IF(A144="止损计划",IF(OR(B144="",D144="",E144="",F144="",G144=""),"计划不完整",IF(OR(D144&lt;1,D144&lt;&gt;INT(D144)),"阶段序号无效",IF(COUNTIFS($A$2:$A$157,"止损计划",$B$2:$B$157,B144,$D$2:$D$157,D144)&gt;1,"阶段序号重复",IF(E144&lt;=IFERROR(LOOKUP(2,1/(单次交易!$A$2:$A$88=B144),单次交易!$E$2:$E$88),0),"激活价须高于买入价",IF(F144&lt;N144,"止损价不得低于初始止损",IF(F144&gt;E144,"止损价不得高于激活价",IF(AND(COUNTIFS($A$2:$A$157,"止损计划",$B$2:$B$157,B144,$D$2:$D$157,"&lt;"&amp;D144)&gt;0,OR(E144&lt;=SUMPRODUCT(MAX((($A$2:$A$157="止损计划")*($B$2:$B$157=B144)*($D$2:$D$157&lt;D144))*$E$2:$E$157)),F144&lt;SUMPRODUCT(MAX((($A$2:$A$157="止损计划")*($B$2:$B$157=B144)*($D$2:$D$157&lt;D144))*$F$2:$F$157)))),"阶段价格必须逐级提高","计划有效"))))))),IF(A144="每日跟踪",IF(OR(B144="",H144="",I144="",J144=""),"每日数据不完整",IF(COUNTIFS($A$2:$A$157,"每日跟踪",$B$2:$B$157,B144,$H$2:$H$157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IF(B145="","",IFERROR(LOOKUP(2,1/(单次交易!$A$2:$A$88=B145),单次交易!$B$2:$B$88),""))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IF(B145="","",IFERROR(LOOKUP(2,1/(单次交易!$A$2:$A$88=B145),单次交易!$N$2:$N$88),""))</f>
        <v/>
      </c>
      <c r="O145" s="5" t="str">
        <f t="shared" si="33"/>
        <v/>
      </c>
      <c r="P145" s="11" t="str">
        <f t="shared" si="34"/>
        <v/>
      </c>
      <c r="Q145" s="5" t="str">
        <f t="shared" si="35"/>
        <v/>
      </c>
      <c r="R145" s="10"/>
      <c r="S145" s="5" t="str">
        <f t="shared" si="36"/>
        <v/>
      </c>
      <c r="T145" s="5" t="str">
        <f t="shared" si="37"/>
        <v/>
      </c>
      <c r="U145" s="5" t="str">
        <f t="shared" si="38"/>
        <v/>
      </c>
      <c r="V145" s="7" t="str">
        <f t="shared" si="30"/>
        <v/>
      </c>
      <c r="W145" s="8" t="str">
        <f t="shared" si="31"/>
        <v/>
      </c>
      <c r="X145" s="2"/>
      <c r="Y145" s="10"/>
      <c r="Z145" s="11" t="str">
        <f>IF(X145&lt;&gt;"执行卖出","",IFERROR(LOOKUP(2,1/(单次交易!$A$2:$A$88=B145),单次交易!$AP$2:$AP$88),""))</f>
        <v/>
      </c>
      <c r="AA145" s="10"/>
      <c r="AB145" s="8" t="str">
        <f t="shared" si="32"/>
        <v/>
      </c>
      <c r="AC145" s="8" t="str">
        <f>IF(A145="","",IF(A145="止损计划",IF(OR(B145="",D145="",E145="",F145="",G145=""),"计划不完整",IF(OR(D145&lt;1,D145&lt;&gt;INT(D145)),"阶段序号无效",IF(COUNTIFS($A$2:$A$157,"止损计划",$B$2:$B$157,B145,$D$2:$D$157,D145)&gt;1,"阶段序号重复",IF(E145&lt;=IFERROR(LOOKUP(2,1/(单次交易!$A$2:$A$88=B145),单次交易!$E$2:$E$88),0),"激活价须高于买入价",IF(F145&lt;N145,"止损价不得低于初始止损",IF(F145&gt;E145,"止损价不得高于激活价",IF(AND(COUNTIFS($A$2:$A$157,"止损计划",$B$2:$B$157,B145,$D$2:$D$157,"&lt;"&amp;D145)&gt;0,OR(E145&lt;=SUMPRODUCT(MAX((($A$2:$A$157="止损计划")*($B$2:$B$157=B145)*($D$2:$D$157&lt;D145))*$E$2:$E$157)),F145&lt;SUMPRODUCT(MAX((($A$2:$A$157="止损计划")*($B$2:$B$157=B145)*($D$2:$D$157&lt;D145))*$F$2:$F$157)))),"阶段价格必须逐级提高","计划有效"))))))),IF(A145="每日跟踪",IF(OR(B145="",H145="",I145="",J145=""),"每日数据不完整",IF(COUNTIFS($A$2:$A$157,"每日跟踪",$B$2:$B$157,B145,$H$2:$H$157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IF(B146="","",IFERROR(LOOKUP(2,1/(单次交易!$A$2:$A$88=B146),单次交易!$B$2:$B$88),""))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IF(B146="","",IFERROR(LOOKUP(2,1/(单次交易!$A$2:$A$88=B146),单次交易!$N$2:$N$88),""))</f>
        <v/>
      </c>
      <c r="O146" s="5" t="str">
        <f t="shared" si="33"/>
        <v/>
      </c>
      <c r="P146" s="11" t="str">
        <f t="shared" si="34"/>
        <v/>
      </c>
      <c r="Q146" s="5" t="str">
        <f t="shared" si="35"/>
        <v/>
      </c>
      <c r="R146" s="10"/>
      <c r="S146" s="5" t="str">
        <f t="shared" si="36"/>
        <v/>
      </c>
      <c r="T146" s="5" t="str">
        <f t="shared" si="37"/>
        <v/>
      </c>
      <c r="U146" s="5" t="str">
        <f t="shared" si="38"/>
        <v/>
      </c>
      <c r="V146" s="7" t="str">
        <f t="shared" si="30"/>
        <v/>
      </c>
      <c r="W146" s="8" t="str">
        <f t="shared" si="31"/>
        <v/>
      </c>
      <c r="X146" s="2"/>
      <c r="Y146" s="10"/>
      <c r="Z146" s="11" t="str">
        <f>IF(X146&lt;&gt;"执行卖出","",IFERROR(LOOKUP(2,1/(单次交易!$A$2:$A$88=B146),单次交易!$AP$2:$AP$88),""))</f>
        <v/>
      </c>
      <c r="AA146" s="10"/>
      <c r="AB146" s="8" t="str">
        <f t="shared" si="32"/>
        <v/>
      </c>
      <c r="AC146" s="8" t="str">
        <f>IF(A146="","",IF(A146="止损计划",IF(OR(B146="",D146="",E146="",F146="",G146=""),"计划不完整",IF(OR(D146&lt;1,D146&lt;&gt;INT(D146)),"阶段序号无效",IF(COUNTIFS($A$2:$A$157,"止损计划",$B$2:$B$157,B146,$D$2:$D$157,D146)&gt;1,"阶段序号重复",IF(E146&lt;=IFERROR(LOOKUP(2,1/(单次交易!$A$2:$A$88=B146),单次交易!$E$2:$E$88),0),"激活价须高于买入价",IF(F146&lt;N146,"止损价不得低于初始止损",IF(F146&gt;E146,"止损价不得高于激活价",IF(AND(COUNTIFS($A$2:$A$157,"止损计划",$B$2:$B$157,B146,$D$2:$D$157,"&lt;"&amp;D146)&gt;0,OR(E146&lt;=SUMPRODUCT(MAX((($A$2:$A$157="止损计划")*($B$2:$B$157=B146)*($D$2:$D$157&lt;D146))*$E$2:$E$157)),F146&lt;SUMPRODUCT(MAX((($A$2:$A$157="止损计划")*($B$2:$B$157=B146)*($D$2:$D$157&lt;D146))*$F$2:$F$157)))),"阶段价格必须逐级提高","计划有效"))))))),IF(A146="每日跟踪",IF(OR(B146="",H146="",I146="",J146=""),"每日数据不完整",IF(COUNTIFS($A$2:$A$157,"每日跟踪",$B$2:$B$157,B146,$H$2:$H$157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IF(B147="","",IFERROR(LOOKUP(2,1/(单次交易!$A$2:$A$88=B147),单次交易!$B$2:$B$88),""))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IF(B147="","",IFERROR(LOOKUP(2,1/(单次交易!$A$2:$A$88=B147),单次交易!$N$2:$N$88),""))</f>
        <v/>
      </c>
      <c r="O147" s="5" t="str">
        <f t="shared" si="33"/>
        <v/>
      </c>
      <c r="P147" s="11" t="str">
        <f t="shared" si="34"/>
        <v/>
      </c>
      <c r="Q147" s="5" t="str">
        <f t="shared" si="35"/>
        <v/>
      </c>
      <c r="R147" s="10"/>
      <c r="S147" s="5" t="str">
        <f t="shared" si="36"/>
        <v/>
      </c>
      <c r="T147" s="5" t="str">
        <f t="shared" si="37"/>
        <v/>
      </c>
      <c r="U147" s="5" t="str">
        <f t="shared" si="38"/>
        <v/>
      </c>
      <c r="V147" s="7" t="str">
        <f t="shared" si="30"/>
        <v/>
      </c>
      <c r="W147" s="8" t="str">
        <f t="shared" si="31"/>
        <v/>
      </c>
      <c r="X147" s="2"/>
      <c r="Y147" s="10"/>
      <c r="Z147" s="11" t="str">
        <f>IF(X147&lt;&gt;"执行卖出","",IFERROR(LOOKUP(2,1/(单次交易!$A$2:$A$88=B147),单次交易!$AP$2:$AP$88),""))</f>
        <v/>
      </c>
      <c r="AA147" s="10"/>
      <c r="AB147" s="8" t="str">
        <f t="shared" si="32"/>
        <v/>
      </c>
      <c r="AC147" s="8" t="str">
        <f>IF(A147="","",IF(A147="止损计划",IF(OR(B147="",D147="",E147="",F147="",G147=""),"计划不完整",IF(OR(D147&lt;1,D147&lt;&gt;INT(D147)),"阶段序号无效",IF(COUNTIFS($A$2:$A$157,"止损计划",$B$2:$B$157,B147,$D$2:$D$157,D147)&gt;1,"阶段序号重复",IF(E147&lt;=IFERROR(LOOKUP(2,1/(单次交易!$A$2:$A$88=B147),单次交易!$E$2:$E$88),0),"激活价须高于买入价",IF(F147&lt;N147,"止损价不得低于初始止损",IF(F147&gt;E147,"止损价不得高于激活价",IF(AND(COUNTIFS($A$2:$A$157,"止损计划",$B$2:$B$157,B147,$D$2:$D$157,"&lt;"&amp;D147)&gt;0,OR(E147&lt;=SUMPRODUCT(MAX((($A$2:$A$157="止损计划")*($B$2:$B$157=B147)*($D$2:$D$157&lt;D147))*$E$2:$E$157)),F147&lt;SUMPRODUCT(MAX((($A$2:$A$157="止损计划")*($B$2:$B$157=B147)*($D$2:$D$157&lt;D147))*$F$2:$F$157)))),"阶段价格必须逐级提高","计划有效"))))))),IF(A147="每日跟踪",IF(OR(B147="",H147="",I147="",J147=""),"每日数据不完整",IF(COUNTIFS($A$2:$A$157,"每日跟踪",$B$2:$B$157,B147,$H$2:$H$157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IF(B148="","",IFERROR(LOOKUP(2,1/(单次交易!$A$2:$A$88=B148),单次交易!$B$2:$B$88),""))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IF(B148="","",IFERROR(LOOKUP(2,1/(单次交易!$A$2:$A$88=B148),单次交易!$N$2:$N$88),""))</f>
        <v/>
      </c>
      <c r="O148" s="5" t="str">
        <f t="shared" si="33"/>
        <v/>
      </c>
      <c r="P148" s="11" t="str">
        <f t="shared" si="34"/>
        <v/>
      </c>
      <c r="Q148" s="5" t="str">
        <f t="shared" si="35"/>
        <v/>
      </c>
      <c r="R148" s="10"/>
      <c r="S148" s="5" t="str">
        <f t="shared" si="36"/>
        <v/>
      </c>
      <c r="T148" s="5" t="str">
        <f t="shared" si="37"/>
        <v/>
      </c>
      <c r="U148" s="5" t="str">
        <f t="shared" si="38"/>
        <v/>
      </c>
      <c r="V148" s="7" t="str">
        <f t="shared" si="30"/>
        <v/>
      </c>
      <c r="W148" s="8" t="str">
        <f t="shared" si="31"/>
        <v/>
      </c>
      <c r="X148" s="2"/>
      <c r="Y148" s="10"/>
      <c r="Z148" s="11" t="str">
        <f>IF(X148&lt;&gt;"执行卖出","",IFERROR(LOOKUP(2,1/(单次交易!$A$2:$A$88=B148),单次交易!$AP$2:$AP$88),""))</f>
        <v/>
      </c>
      <c r="AA148" s="10"/>
      <c r="AB148" s="8" t="str">
        <f t="shared" si="32"/>
        <v/>
      </c>
      <c r="AC148" s="8" t="str">
        <f>IF(A148="","",IF(A148="止损计划",IF(OR(B148="",D148="",E148="",F148="",G148=""),"计划不完整",IF(OR(D148&lt;1,D148&lt;&gt;INT(D148)),"阶段序号无效",IF(COUNTIFS($A$2:$A$157,"止损计划",$B$2:$B$157,B148,$D$2:$D$157,D148)&gt;1,"阶段序号重复",IF(E148&lt;=IFERROR(LOOKUP(2,1/(单次交易!$A$2:$A$88=B148),单次交易!$E$2:$E$88),0),"激活价须高于买入价",IF(F148&lt;N148,"止损价不得低于初始止损",IF(F148&gt;E148,"止损价不得高于激活价",IF(AND(COUNTIFS($A$2:$A$157,"止损计划",$B$2:$B$157,B148,$D$2:$D$157,"&lt;"&amp;D148)&gt;0,OR(E148&lt;=SUMPRODUCT(MAX((($A$2:$A$157="止损计划")*($B$2:$B$157=B148)*($D$2:$D$157&lt;D148))*$E$2:$E$157)),F148&lt;SUMPRODUCT(MAX((($A$2:$A$157="止损计划")*($B$2:$B$157=B148)*($D$2:$D$157&lt;D148))*$F$2:$F$157)))),"阶段价格必须逐级提高","计划有效"))))))),IF(A148="每日跟踪",IF(OR(B148="",H148="",I148="",J148=""),"每日数据不完整",IF(COUNTIFS($A$2:$A$157,"每日跟踪",$B$2:$B$157,B148,$H$2:$H$157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IF(B149="","",IFERROR(LOOKUP(2,1/(单次交易!$A$2:$A$88=B149),单次交易!$B$2:$B$88),""))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IF(B149="","",IFERROR(LOOKUP(2,1/(单次交易!$A$2:$A$88=B149),单次交易!$N$2:$N$88),""))</f>
        <v/>
      </c>
      <c r="O149" s="5" t="str">
        <f t="shared" si="33"/>
        <v/>
      </c>
      <c r="P149" s="11" t="str">
        <f t="shared" si="34"/>
        <v/>
      </c>
      <c r="Q149" s="5" t="str">
        <f t="shared" si="35"/>
        <v/>
      </c>
      <c r="R149" s="10"/>
      <c r="S149" s="5" t="str">
        <f t="shared" si="36"/>
        <v/>
      </c>
      <c r="T149" s="5" t="str">
        <f t="shared" si="37"/>
        <v/>
      </c>
      <c r="U149" s="5" t="str">
        <f t="shared" si="38"/>
        <v/>
      </c>
      <c r="V149" s="7" t="str">
        <f t="shared" si="30"/>
        <v/>
      </c>
      <c r="W149" s="8" t="str">
        <f t="shared" si="31"/>
        <v/>
      </c>
      <c r="X149" s="2"/>
      <c r="Y149" s="10"/>
      <c r="Z149" s="11" t="str">
        <f>IF(X149&lt;&gt;"执行卖出","",IFERROR(LOOKUP(2,1/(单次交易!$A$2:$A$88=B149),单次交易!$AP$2:$AP$88),""))</f>
        <v/>
      </c>
      <c r="AA149" s="10"/>
      <c r="AB149" s="8" t="str">
        <f t="shared" si="32"/>
        <v/>
      </c>
      <c r="AC149" s="8" t="str">
        <f>IF(A149="","",IF(A149="止损计划",IF(OR(B149="",D149="",E149="",F149="",G149=""),"计划不完整",IF(OR(D149&lt;1,D149&lt;&gt;INT(D149)),"阶段序号无效",IF(COUNTIFS($A$2:$A$157,"止损计划",$B$2:$B$157,B149,$D$2:$D$157,D149)&gt;1,"阶段序号重复",IF(E149&lt;=IFERROR(LOOKUP(2,1/(单次交易!$A$2:$A$88=B149),单次交易!$E$2:$E$88),0),"激活价须高于买入价",IF(F149&lt;N149,"止损价不得低于初始止损",IF(F149&gt;E149,"止损价不得高于激活价",IF(AND(COUNTIFS($A$2:$A$157,"止损计划",$B$2:$B$157,B149,$D$2:$D$157,"&lt;"&amp;D149)&gt;0,OR(E149&lt;=SUMPRODUCT(MAX((($A$2:$A$157="止损计划")*($B$2:$B$157=B149)*($D$2:$D$157&lt;D149))*$E$2:$E$157)),F149&lt;SUMPRODUCT(MAX((($A$2:$A$157="止损计划")*($B$2:$B$157=B149)*($D$2:$D$157&lt;D149))*$F$2:$F$157)))),"阶段价格必须逐级提高","计划有效"))))))),IF(A149="每日跟踪",IF(OR(B149="",H149="",I149="",J149=""),"每日数据不完整",IF(COUNTIFS($A$2:$A$157,"每日跟踪",$B$2:$B$157,B149,$H$2:$H$157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IF(B150="","",IFERROR(LOOKUP(2,1/(单次交易!$A$2:$A$88=B150),单次交易!$B$2:$B$88),""))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IF(B150="","",IFERROR(LOOKUP(2,1/(单次交易!$A$2:$A$88=B150),单次交易!$N$2:$N$88),""))</f>
        <v/>
      </c>
      <c r="O150" s="5" t="str">
        <f t="shared" si="33"/>
        <v/>
      </c>
      <c r="P150" s="11" t="str">
        <f t="shared" si="34"/>
        <v/>
      </c>
      <c r="Q150" s="5" t="str">
        <f t="shared" si="35"/>
        <v/>
      </c>
      <c r="R150" s="10"/>
      <c r="S150" s="5" t="str">
        <f t="shared" si="36"/>
        <v/>
      </c>
      <c r="T150" s="5" t="str">
        <f t="shared" si="37"/>
        <v/>
      </c>
      <c r="U150" s="5" t="str">
        <f t="shared" si="38"/>
        <v/>
      </c>
      <c r="V150" s="7" t="str">
        <f t="shared" si="30"/>
        <v/>
      </c>
      <c r="W150" s="8" t="str">
        <f t="shared" si="31"/>
        <v/>
      </c>
      <c r="X150" s="2"/>
      <c r="Y150" s="10"/>
      <c r="Z150" s="11" t="str">
        <f>IF(X150&lt;&gt;"执行卖出","",IFERROR(LOOKUP(2,1/(单次交易!$A$2:$A$88=B150),单次交易!$AP$2:$AP$88),""))</f>
        <v/>
      </c>
      <c r="AA150" s="10"/>
      <c r="AB150" s="8" t="str">
        <f t="shared" si="32"/>
        <v/>
      </c>
      <c r="AC150" s="8" t="str">
        <f>IF(A150="","",IF(A150="止损计划",IF(OR(B150="",D150="",E150="",F150="",G150=""),"计划不完整",IF(OR(D150&lt;1,D150&lt;&gt;INT(D150)),"阶段序号无效",IF(COUNTIFS($A$2:$A$157,"止损计划",$B$2:$B$157,B150,$D$2:$D$157,D150)&gt;1,"阶段序号重复",IF(E150&lt;=IFERROR(LOOKUP(2,1/(单次交易!$A$2:$A$88=B150),单次交易!$E$2:$E$88),0),"激活价须高于买入价",IF(F150&lt;N150,"止损价不得低于初始止损",IF(F150&gt;E150,"止损价不得高于激活价",IF(AND(COUNTIFS($A$2:$A$157,"止损计划",$B$2:$B$157,B150,$D$2:$D$157,"&lt;"&amp;D150)&gt;0,OR(E150&lt;=SUMPRODUCT(MAX((($A$2:$A$157="止损计划")*($B$2:$B$157=B150)*($D$2:$D$157&lt;D150))*$E$2:$E$157)),F150&lt;SUMPRODUCT(MAX((($A$2:$A$157="止损计划")*($B$2:$B$157=B150)*($D$2:$D$157&lt;D150))*$F$2:$F$157)))),"阶段价格必须逐级提高","计划有效"))))))),IF(A150="每日跟踪",IF(OR(B150="",H150="",I150="",J150=""),"每日数据不完整",IF(COUNTIFS($A$2:$A$157,"每日跟踪",$B$2:$B$157,B150,$H$2:$H$157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IF(B151="","",IFERROR(LOOKUP(2,1/(单次交易!$A$2:$A$88=B151),单次交易!$B$2:$B$88),""))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IF(B151="","",IFERROR(LOOKUP(2,1/(单次交易!$A$2:$A$88=B151),单次交易!$N$2:$N$88),""))</f>
        <v/>
      </c>
      <c r="O151" s="5" t="str">
        <f t="shared" si="33"/>
        <v/>
      </c>
      <c r="P151" s="11" t="str">
        <f t="shared" si="34"/>
        <v/>
      </c>
      <c r="Q151" s="5" t="str">
        <f t="shared" si="35"/>
        <v/>
      </c>
      <c r="R151" s="10"/>
      <c r="S151" s="5" t="str">
        <f t="shared" si="36"/>
        <v/>
      </c>
      <c r="T151" s="5" t="str">
        <f t="shared" si="37"/>
        <v/>
      </c>
      <c r="U151" s="5" t="str">
        <f t="shared" si="38"/>
        <v/>
      </c>
      <c r="V151" s="7" t="str">
        <f t="shared" si="30"/>
        <v/>
      </c>
      <c r="W151" s="8" t="str">
        <f t="shared" si="31"/>
        <v/>
      </c>
      <c r="X151" s="2"/>
      <c r="Y151" s="10"/>
      <c r="Z151" s="11" t="str">
        <f>IF(X151&lt;&gt;"执行卖出","",IFERROR(LOOKUP(2,1/(单次交易!$A$2:$A$88=B151),单次交易!$AP$2:$AP$88),""))</f>
        <v/>
      </c>
      <c r="AA151" s="10"/>
      <c r="AB151" s="8" t="str">
        <f t="shared" si="32"/>
        <v/>
      </c>
      <c r="AC151" s="8" t="str">
        <f>IF(A151="","",IF(A151="止损计划",IF(OR(B151="",D151="",E151="",F151="",G151=""),"计划不完整",IF(OR(D151&lt;1,D151&lt;&gt;INT(D151)),"阶段序号无效",IF(COUNTIFS($A$2:$A$157,"止损计划",$B$2:$B$157,B151,$D$2:$D$157,D151)&gt;1,"阶段序号重复",IF(E151&lt;=IFERROR(LOOKUP(2,1/(单次交易!$A$2:$A$88=B151),单次交易!$E$2:$E$88),0),"激活价须高于买入价",IF(F151&lt;N151,"止损价不得低于初始止损",IF(F151&gt;E151,"止损价不得高于激活价",IF(AND(COUNTIFS($A$2:$A$157,"止损计划",$B$2:$B$157,B151,$D$2:$D$157,"&lt;"&amp;D151)&gt;0,OR(E151&lt;=SUMPRODUCT(MAX((($A$2:$A$157="止损计划")*($B$2:$B$157=B151)*($D$2:$D$157&lt;D151))*$E$2:$E$157)),F151&lt;SUMPRODUCT(MAX((($A$2:$A$157="止损计划")*($B$2:$B$157=B151)*($D$2:$D$157&lt;D151))*$F$2:$F$157)))),"阶段价格必须逐级提高","计划有效"))))))),IF(A151="每日跟踪",IF(OR(B151="",H151="",I151="",J151=""),"每日数据不完整",IF(COUNTIFS($A$2:$A$157,"每日跟踪",$B$2:$B$157,B151,$H$2:$H$157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IF(B152="","",IFERROR(LOOKUP(2,1/(单次交易!$A$2:$A$88=B152),单次交易!$B$2:$B$88),""))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IF(B152="","",IFERROR(LOOKUP(2,1/(单次交易!$A$2:$A$88=B152),单次交易!$N$2:$N$88),""))</f>
        <v/>
      </c>
      <c r="O152" s="5" t="str">
        <f t="shared" si="33"/>
        <v/>
      </c>
      <c r="P152" s="11" t="str">
        <f t="shared" si="34"/>
        <v/>
      </c>
      <c r="Q152" s="5" t="str">
        <f t="shared" si="35"/>
        <v/>
      </c>
      <c r="R152" s="10"/>
      <c r="S152" s="5" t="str">
        <f t="shared" si="36"/>
        <v/>
      </c>
      <c r="T152" s="5" t="str">
        <f t="shared" si="37"/>
        <v/>
      </c>
      <c r="U152" s="5" t="str">
        <f t="shared" si="38"/>
        <v/>
      </c>
      <c r="V152" s="7" t="str">
        <f t="shared" si="30"/>
        <v/>
      </c>
      <c r="W152" s="8" t="str">
        <f t="shared" si="31"/>
        <v/>
      </c>
      <c r="X152" s="2"/>
      <c r="Y152" s="10"/>
      <c r="Z152" s="11" t="str">
        <f>IF(X152&lt;&gt;"执行卖出","",IFERROR(LOOKUP(2,1/(单次交易!$A$2:$A$88=B152),单次交易!$AP$2:$AP$88),""))</f>
        <v/>
      </c>
      <c r="AA152" s="10"/>
      <c r="AB152" s="8" t="str">
        <f t="shared" si="32"/>
        <v/>
      </c>
      <c r="AC152" s="8" t="str">
        <f>IF(A152="","",IF(A152="止损计划",IF(OR(B152="",D152="",E152="",F152="",G152=""),"计划不完整",IF(OR(D152&lt;1,D152&lt;&gt;INT(D152)),"阶段序号无效",IF(COUNTIFS($A$2:$A$157,"止损计划",$B$2:$B$157,B152,$D$2:$D$157,D152)&gt;1,"阶段序号重复",IF(E152&lt;=IFERROR(LOOKUP(2,1/(单次交易!$A$2:$A$88=B152),单次交易!$E$2:$E$88),0),"激活价须高于买入价",IF(F152&lt;N152,"止损价不得低于初始止损",IF(F152&gt;E152,"止损价不得高于激活价",IF(AND(COUNTIFS($A$2:$A$157,"止损计划",$B$2:$B$157,B152,$D$2:$D$157,"&lt;"&amp;D152)&gt;0,OR(E152&lt;=SUMPRODUCT(MAX((($A$2:$A$157="止损计划")*($B$2:$B$157=B152)*($D$2:$D$157&lt;D152))*$E$2:$E$157)),F152&lt;SUMPRODUCT(MAX((($A$2:$A$157="止损计划")*($B$2:$B$157=B152)*($D$2:$D$157&lt;D152))*$F$2:$F$157)))),"阶段价格必须逐级提高","计划有效"))))))),IF(A152="每日跟踪",IF(OR(B152="",H152="",I152="",J152=""),"每日数据不完整",IF(COUNTIFS($A$2:$A$157,"每日跟踪",$B$2:$B$157,B152,$H$2:$H$157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IF(B153="","",IFERROR(LOOKUP(2,1/(单次交易!$A$2:$A$88=B153),单次交易!$B$2:$B$88),""))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IF(B153="","",IFERROR(LOOKUP(2,1/(单次交易!$A$2:$A$88=B153),单次交易!$N$2:$N$88),""))</f>
        <v/>
      </c>
      <c r="O153" s="5" t="str">
        <f t="shared" si="33"/>
        <v/>
      </c>
      <c r="P153" s="11" t="str">
        <f t="shared" si="34"/>
        <v/>
      </c>
      <c r="Q153" s="5" t="str">
        <f t="shared" si="35"/>
        <v/>
      </c>
      <c r="R153" s="10"/>
      <c r="S153" s="5" t="str">
        <f t="shared" si="36"/>
        <v/>
      </c>
      <c r="T153" s="5" t="str">
        <f t="shared" si="37"/>
        <v/>
      </c>
      <c r="U153" s="5" t="str">
        <f t="shared" si="38"/>
        <v/>
      </c>
      <c r="V153" s="7" t="str">
        <f t="shared" si="30"/>
        <v/>
      </c>
      <c r="W153" s="8" t="str">
        <f t="shared" si="31"/>
        <v/>
      </c>
      <c r="X153" s="2"/>
      <c r="Y153" s="10"/>
      <c r="Z153" s="11" t="str">
        <f>IF(X153&lt;&gt;"执行卖出","",IFERROR(LOOKUP(2,1/(单次交易!$A$2:$A$88=B153),单次交易!$AP$2:$AP$88),""))</f>
        <v/>
      </c>
      <c r="AA153" s="10"/>
      <c r="AB153" s="8" t="str">
        <f t="shared" si="32"/>
        <v/>
      </c>
      <c r="AC153" s="8" t="str">
        <f>IF(A153="","",IF(A153="止损计划",IF(OR(B153="",D153="",E153="",F153="",G153=""),"计划不完整",IF(OR(D153&lt;1,D153&lt;&gt;INT(D153)),"阶段序号无效",IF(COUNTIFS($A$2:$A$157,"止损计划",$B$2:$B$157,B153,$D$2:$D$157,D153)&gt;1,"阶段序号重复",IF(E153&lt;=IFERROR(LOOKUP(2,1/(单次交易!$A$2:$A$88=B153),单次交易!$E$2:$E$88),0),"激活价须高于买入价",IF(F153&lt;N153,"止损价不得低于初始止损",IF(F153&gt;E153,"止损价不得高于激活价",IF(AND(COUNTIFS($A$2:$A$157,"止损计划",$B$2:$B$157,B153,$D$2:$D$157,"&lt;"&amp;D153)&gt;0,OR(E153&lt;=SUMPRODUCT(MAX((($A$2:$A$157="止损计划")*($B$2:$B$157=B153)*($D$2:$D$157&lt;D153))*$E$2:$E$157)),F153&lt;SUMPRODUCT(MAX((($A$2:$A$157="止损计划")*($B$2:$B$157=B153)*($D$2:$D$157&lt;D153))*$F$2:$F$157)))),"阶段价格必须逐级提高","计划有效"))))))),IF(A153="每日跟踪",IF(OR(B153="",H153="",I153="",J153=""),"每日数据不完整",IF(COUNTIFS($A$2:$A$157,"每日跟踪",$B$2:$B$157,B153,$H$2:$H$157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IF(B154="","",IFERROR(LOOKUP(2,1/(单次交易!$A$2:$A$88=B154),单次交易!$B$2:$B$88),""))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IF(B154="","",IFERROR(LOOKUP(2,1/(单次交易!$A$2:$A$88=B154),单次交易!$N$2:$N$88),""))</f>
        <v/>
      </c>
      <c r="O154" s="5" t="str">
        <f t="shared" si="33"/>
        <v/>
      </c>
      <c r="P154" s="11" t="str">
        <f t="shared" si="34"/>
        <v/>
      </c>
      <c r="Q154" s="5" t="str">
        <f t="shared" si="35"/>
        <v/>
      </c>
      <c r="R154" s="10"/>
      <c r="S154" s="5" t="str">
        <f t="shared" si="36"/>
        <v/>
      </c>
      <c r="T154" s="5" t="str">
        <f t="shared" si="37"/>
        <v/>
      </c>
      <c r="U154" s="5" t="str">
        <f t="shared" si="38"/>
        <v/>
      </c>
      <c r="V154" s="7" t="str">
        <f t="shared" si="30"/>
        <v/>
      </c>
      <c r="W154" s="8" t="str">
        <f t="shared" si="31"/>
        <v/>
      </c>
      <c r="X154" s="2"/>
      <c r="Y154" s="10"/>
      <c r="Z154" s="11" t="str">
        <f>IF(X154&lt;&gt;"执行卖出","",IFERROR(LOOKUP(2,1/(单次交易!$A$2:$A$88=B154),单次交易!$AP$2:$AP$88),""))</f>
        <v/>
      </c>
      <c r="AA154" s="10"/>
      <c r="AB154" s="8" t="str">
        <f t="shared" si="32"/>
        <v/>
      </c>
      <c r="AC154" s="8" t="str">
        <f>IF(A154="","",IF(A154="止损计划",IF(OR(B154="",D154="",E154="",F154="",G154=""),"计划不完整",IF(OR(D154&lt;1,D154&lt;&gt;INT(D154)),"阶段序号无效",IF(COUNTIFS($A$2:$A$157,"止损计划",$B$2:$B$157,B154,$D$2:$D$157,D154)&gt;1,"阶段序号重复",IF(E154&lt;=IFERROR(LOOKUP(2,1/(单次交易!$A$2:$A$88=B154),单次交易!$E$2:$E$88),0),"激活价须高于买入价",IF(F154&lt;N154,"止损价不得低于初始止损",IF(F154&gt;E154,"止损价不得高于激活价",IF(AND(COUNTIFS($A$2:$A$157,"止损计划",$B$2:$B$157,B154,$D$2:$D$157,"&lt;"&amp;D154)&gt;0,OR(E154&lt;=SUMPRODUCT(MAX((($A$2:$A$157="止损计划")*($B$2:$B$157=B154)*($D$2:$D$157&lt;D154))*$E$2:$E$157)),F154&lt;SUMPRODUCT(MAX((($A$2:$A$157="止损计划")*($B$2:$B$157=B154)*($D$2:$D$157&lt;D154))*$F$2:$F$157)))),"阶段价格必须逐级提高","计划有效"))))))),IF(A154="每日跟踪",IF(OR(B154="",H154="",I154="",J154=""),"每日数据不完整",IF(COUNTIFS($A$2:$A$157,"每日跟踪",$B$2:$B$157,B154,$H$2:$H$157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IF(B155="","",IFERROR(LOOKUP(2,1/(单次交易!$A$2:$A$88=B155),单次交易!$B$2:$B$88),""))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IF(B155="","",IFERROR(LOOKUP(2,1/(单次交易!$A$2:$A$88=B155),单次交易!$N$2:$N$88),""))</f>
        <v/>
      </c>
      <c r="O155" s="5" t="str">
        <f t="shared" si="33"/>
        <v/>
      </c>
      <c r="P155" s="11" t="str">
        <f t="shared" si="34"/>
        <v/>
      </c>
      <c r="Q155" s="5" t="str">
        <f t="shared" si="35"/>
        <v/>
      </c>
      <c r="R155" s="10"/>
      <c r="S155" s="5" t="str">
        <f t="shared" si="36"/>
        <v/>
      </c>
      <c r="T155" s="5" t="str">
        <f t="shared" si="37"/>
        <v/>
      </c>
      <c r="U155" s="5" t="str">
        <f t="shared" si="38"/>
        <v/>
      </c>
      <c r="V155" s="7" t="str">
        <f t="shared" si="30"/>
        <v/>
      </c>
      <c r="W155" s="8" t="str">
        <f t="shared" si="31"/>
        <v/>
      </c>
      <c r="X155" s="2"/>
      <c r="Y155" s="10"/>
      <c r="Z155" s="11" t="str">
        <f>IF(X155&lt;&gt;"执行卖出","",IFERROR(LOOKUP(2,1/(单次交易!$A$2:$A$88=B155),单次交易!$AP$2:$AP$88),""))</f>
        <v/>
      </c>
      <c r="AA155" s="10"/>
      <c r="AB155" s="8" t="str">
        <f t="shared" si="32"/>
        <v/>
      </c>
      <c r="AC155" s="8" t="str">
        <f>IF(A155="","",IF(A155="止损计划",IF(OR(B155="",D155="",E155="",F155="",G155=""),"计划不完整",IF(OR(D155&lt;1,D155&lt;&gt;INT(D155)),"阶段序号无效",IF(COUNTIFS($A$2:$A$157,"止损计划",$B$2:$B$157,B155,$D$2:$D$157,D155)&gt;1,"阶段序号重复",IF(E155&lt;=IFERROR(LOOKUP(2,1/(单次交易!$A$2:$A$88=B155),单次交易!$E$2:$E$88),0),"激活价须高于买入价",IF(F155&lt;N155,"止损价不得低于初始止损",IF(F155&gt;E155,"止损价不得高于激活价",IF(AND(COUNTIFS($A$2:$A$157,"止损计划",$B$2:$B$157,B155,$D$2:$D$157,"&lt;"&amp;D155)&gt;0,OR(E155&lt;=SUMPRODUCT(MAX((($A$2:$A$157="止损计划")*($B$2:$B$157=B155)*($D$2:$D$157&lt;D155))*$E$2:$E$157)),F155&lt;SUMPRODUCT(MAX((($A$2:$A$157="止损计划")*($B$2:$B$157=B155)*($D$2:$D$157&lt;D155))*$F$2:$F$157)))),"阶段价格必须逐级提高","计划有效"))))))),IF(A155="每日跟踪",IF(OR(B155="",H155="",I155="",J155=""),"每日数据不完整",IF(COUNTIFS($A$2:$A$157,"每日跟踪",$B$2:$B$157,B155,$H$2:$H$157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IF(B156="","",IFERROR(LOOKUP(2,1/(单次交易!$A$2:$A$88=B156),单次交易!$B$2:$B$88),""))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IF(B156="","",IFERROR(LOOKUP(2,1/(单次交易!$A$2:$A$88=B156),单次交易!$N$2:$N$88),""))</f>
        <v/>
      </c>
      <c r="O156" s="5" t="str">
        <f t="shared" si="33"/>
        <v/>
      </c>
      <c r="P156" s="11" t="str">
        <f t="shared" si="34"/>
        <v/>
      </c>
      <c r="Q156" s="5" t="str">
        <f t="shared" si="35"/>
        <v/>
      </c>
      <c r="R156" s="10"/>
      <c r="S156" s="5" t="str">
        <f t="shared" si="36"/>
        <v/>
      </c>
      <c r="T156" s="5" t="str">
        <f t="shared" si="37"/>
        <v/>
      </c>
      <c r="U156" s="5" t="str">
        <f t="shared" si="38"/>
        <v/>
      </c>
      <c r="V156" s="7" t="str">
        <f t="shared" si="30"/>
        <v/>
      </c>
      <c r="W156" s="8" t="str">
        <f t="shared" si="31"/>
        <v/>
      </c>
      <c r="X156" s="2"/>
      <c r="Y156" s="10"/>
      <c r="Z156" s="11" t="str">
        <f>IF(X156&lt;&gt;"执行卖出","",IFERROR(LOOKUP(2,1/(单次交易!$A$2:$A$88=B156),单次交易!$AP$2:$AP$88),""))</f>
        <v/>
      </c>
      <c r="AA156" s="10"/>
      <c r="AB156" s="8" t="str">
        <f t="shared" si="32"/>
        <v/>
      </c>
      <c r="AC156" s="8" t="str">
        <f>IF(A156="","",IF(A156="止损计划",IF(OR(B156="",D156="",E156="",F156="",G156=""),"计划不完整",IF(OR(D156&lt;1,D156&lt;&gt;INT(D156)),"阶段序号无效",IF(COUNTIFS($A$2:$A$157,"止损计划",$B$2:$B$157,B156,$D$2:$D$157,D156)&gt;1,"阶段序号重复",IF(E156&lt;=IFERROR(LOOKUP(2,1/(单次交易!$A$2:$A$88=B156),单次交易!$E$2:$E$88),0),"激活价须高于买入价",IF(F156&lt;N156,"止损价不得低于初始止损",IF(F156&gt;E156,"止损价不得高于激活价",IF(AND(COUNTIFS($A$2:$A$157,"止损计划",$B$2:$B$157,B156,$D$2:$D$157,"&lt;"&amp;D156)&gt;0,OR(E156&lt;=SUMPRODUCT(MAX((($A$2:$A$157="止损计划")*($B$2:$B$157=B156)*($D$2:$D$157&lt;D156))*$E$2:$E$157)),F156&lt;SUMPRODUCT(MAX((($A$2:$A$157="止损计划")*($B$2:$B$157=B156)*($D$2:$D$157&lt;D156))*$F$2:$F$157)))),"阶段价格必须逐级提高","计划有效"))))))),IF(A156="每日跟踪",IF(OR(B156="",H156="",I156="",J156=""),"每日数据不完整",IF(COUNTIFS($A$2:$A$157,"每日跟踪",$B$2:$B$157,B156,$H$2:$H$157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IF(B157="","",IFERROR(LOOKUP(2,1/(单次交易!$A$2:$A$88=B157),单次交易!$B$2:$B$88),""))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IF(B157="","",IFERROR(LOOKUP(2,1/(单次交易!$A$2:$A$88=B157),单次交易!$N$2:$N$88),""))</f>
        <v/>
      </c>
      <c r="O157" s="5" t="str">
        <f t="shared" si="33"/>
        <v/>
      </c>
      <c r="P157" s="11" t="str">
        <f t="shared" si="34"/>
        <v/>
      </c>
      <c r="Q157" s="5" t="str">
        <f t="shared" si="35"/>
        <v/>
      </c>
      <c r="R157" s="10"/>
      <c r="S157" s="5" t="str">
        <f t="shared" si="36"/>
        <v/>
      </c>
      <c r="T157" s="5" t="str">
        <f t="shared" si="37"/>
        <v/>
      </c>
      <c r="U157" s="5" t="str">
        <f t="shared" si="38"/>
        <v/>
      </c>
      <c r="V157" s="7" t="str">
        <f t="shared" si="30"/>
        <v/>
      </c>
      <c r="W157" s="8" t="str">
        <f t="shared" si="31"/>
        <v/>
      </c>
      <c r="X157" s="2"/>
      <c r="Y157" s="10"/>
      <c r="Z157" s="11" t="str">
        <f>IF(X157&lt;&gt;"执行卖出","",IFERROR(LOOKUP(2,1/(单次交易!$A$2:$A$88=B157),单次交易!$AP$2:$AP$88),""))</f>
        <v/>
      </c>
      <c r="AA157" s="10"/>
      <c r="AB157" s="8" t="str">
        <f t="shared" si="32"/>
        <v/>
      </c>
      <c r="AC157" s="8" t="str">
        <f>IF(A157="","",IF(A157="止损计划",IF(OR(B157="",D157="",E157="",F157="",G157=""),"计划不完整",IF(OR(D157&lt;1,D157&lt;&gt;INT(D157)),"阶段序号无效",IF(COUNTIFS($A$2:$A$157,"止损计划",$B$2:$B$157,B157,$D$2:$D$157,D157)&gt;1,"阶段序号重复",IF(E157&lt;=IFERROR(LOOKUP(2,1/(单次交易!$A$2:$A$88=B157),单次交易!$E$2:$E$88),0),"激活价须高于买入价",IF(F157&lt;N157,"止损价不得低于初始止损",IF(F157&gt;E157,"止损价不得高于激活价",IF(AND(COUNTIFS($A$2:$A$157,"止损计划",$B$2:$B$157,B157,$D$2:$D$157,"&lt;"&amp;D157)&gt;0,OR(E157&lt;=SUMPRODUCT(MAX((($A$2:$A$157="止损计划")*($B$2:$B$157=B157)*($D$2:$D$157&lt;D157))*$E$2:$E$157)),F157&lt;SUMPRODUCT(MAX((($A$2:$A$157="止损计划")*($B$2:$B$157=B157)*($D$2:$D$157&lt;D157))*$F$2:$F$157)))),"阶段价格必须逐级提高","计划有效"))))))),IF(A157="每日跟踪",IF(OR(B157="",H157="",I157="",J157=""),"每日数据不完整",IF(COUNTIFS($A$2:$A$157,"每日跟踪",$B$2:$B$157,B157,$H$2:$H$157,H157)&gt;1,"同一交易日期重复",IF(AND(R157&lt;&gt;"",R157&lt;S157),"人工止损无效：不能下调","跟踪有效"))),"记录类型无效")))</f>
        <v/>
      </c>
    </row>
  </sheetData>
  <conditionalFormatting sqref="W2:W157">
    <cfRule type="expression" dxfId="0" priority="2">
      <formula>LEFT($W2,4)="触发止损"</formula>
    </cfRule>
  </conditionalFormatting>
  <conditionalFormatting sqref="A2:AC157">
    <cfRule type="expression" dxfId="2" priority="1">
      <formula>$A2="止损计划"</formula>
    </cfRule>
  </conditionalFormatting>
  <conditionalFormatting sqref="AB2:AC157">
    <cfRule type="expression" dxfId="0" priority="3">
      <formula>OR(LEFT($AB2,2)="违规",ISNUMBER(SEARCH("无效",$AC2)))</formula>
    </cfRule>
  </conditionalFormatting>
  <dataValidations count="8">
    <dataValidation type="list" allowBlank="1" sqref="A2:A157">
      <formula1>"止损计划,每日跟踪"</formula1>
    </dataValidation>
    <dataValidation type="list" allowBlank="1" sqref="B2:B157">
      <formula1>_TradeIds</formula1>
    </dataValidation>
    <dataValidation type="whole" operator="greaterThanOrEqual" allowBlank="1" sqref="D2:D157">
      <formula1>1</formula1>
    </dataValidation>
    <dataValidation type="date" operator="between" allowBlank="1" sqref="H2:H157">
      <formula1>DATE(2000,1,1)</formula1>
      <formula2>DATE(2100,12,31)</formula2>
    </dataValidation>
    <dataValidation type="list" allowBlank="1" sqref="L2:L157">
      <formula1>"吸筹,启动,趋势上行,加速上涨,高位分歧,回调确认,破位,其他"</formula1>
    </dataValidation>
    <dataValidation type="decimal" operator="greaterThan" allowBlank="1" sqref="R2:R157 Y2:Y157 E2:F157 I2:J157">
      <formula1>0</formula1>
    </dataValidation>
    <dataValidation type="list" allowBlank="1" sqref="X2:X157">
      <formula1>"继续持有,执行卖出"</formula1>
    </dataValidation>
    <dataValidation type="decimal" operator="greaterThanOrEqual" allowBlank="1" sqref="AA2:AA15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9"/>
  <sheetViews>
    <sheetView workbookViewId="0">
      <pane ySplit="1" topLeftCell="A17" activePane="bottomLeft" state="frozen"/>
      <selection/>
      <selection pane="bottomLeft" activeCell="I23" sqref="I23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84</v>
      </c>
      <c r="D1" s="1" t="s">
        <v>85</v>
      </c>
      <c r="E1" s="1" t="s">
        <v>62</v>
      </c>
      <c r="F1" s="1" t="s">
        <v>86</v>
      </c>
      <c r="G1" s="1" t="s">
        <v>87</v>
      </c>
      <c r="H1" s="1" t="s">
        <v>88</v>
      </c>
      <c r="I1" s="1" t="s">
        <v>89</v>
      </c>
      <c r="J1" t="s">
        <v>31</v>
      </c>
      <c r="K1" t="s">
        <v>90</v>
      </c>
      <c r="L1" t="s">
        <v>91</v>
      </c>
    </row>
    <row r="2" spans="1:12">
      <c r="A2" s="2"/>
      <c r="B2" s="2"/>
      <c r="C2" s="2"/>
      <c r="D2" s="2"/>
      <c r="E2" s="15"/>
      <c r="F2" s="2"/>
      <c r="G2" s="2"/>
      <c r="H2" s="2"/>
      <c r="I2" s="2"/>
    </row>
    <row r="3" spans="1:12">
      <c r="A3" s="2"/>
      <c r="B3" s="2"/>
      <c r="C3" s="2"/>
      <c r="D3" s="2"/>
      <c r="E3" s="15"/>
      <c r="F3" s="2"/>
      <c r="G3" s="2"/>
      <c r="H3" s="2"/>
      <c r="I3" s="2"/>
    </row>
    <row r="4" spans="1:12">
      <c r="A4" s="2"/>
      <c r="B4" s="2"/>
      <c r="C4" s="2"/>
      <c r="D4" s="2"/>
      <c r="E4" s="15"/>
      <c r="F4" s="2"/>
      <c r="G4" s="2"/>
      <c r="H4" s="2"/>
      <c r="I4" s="2"/>
    </row>
    <row r="5" spans="1:12">
      <c r="A5" s="2"/>
      <c r="B5" s="2"/>
      <c r="C5" s="2"/>
      <c r="D5" s="2"/>
      <c r="E5" s="15"/>
      <c r="F5" s="2"/>
      <c r="G5" s="2"/>
      <c r="H5" s="2"/>
      <c r="I5" s="2"/>
    </row>
    <row r="6" spans="1:12">
      <c r="A6" s="2"/>
      <c r="B6" s="2"/>
      <c r="C6" s="2"/>
      <c r="D6" s="2"/>
      <c r="E6" s="15"/>
      <c r="F6" s="2"/>
      <c r="G6" s="2"/>
      <c r="H6" s="2"/>
      <c r="I6" s="2"/>
    </row>
    <row r="7" spans="1:12">
      <c r="A7" s="2"/>
      <c r="B7" s="2"/>
      <c r="C7" s="2"/>
      <c r="D7" s="2"/>
      <c r="E7" s="15"/>
      <c r="F7" s="2"/>
      <c r="G7" s="2"/>
      <c r="H7" s="2"/>
      <c r="I7" s="2"/>
    </row>
    <row r="8" spans="1:12">
      <c r="A8" s="2"/>
      <c r="B8" s="2"/>
      <c r="C8" s="2"/>
      <c r="D8" s="2"/>
      <c r="E8" s="15"/>
      <c r="F8" s="2"/>
      <c r="G8" s="2"/>
      <c r="H8" s="2"/>
      <c r="I8" s="2"/>
    </row>
    <row r="9" spans="1:12">
      <c r="A9" s="2"/>
      <c r="B9" s="2"/>
      <c r="C9" s="2"/>
      <c r="D9" s="2"/>
      <c r="E9" s="15"/>
      <c r="F9" s="2"/>
      <c r="G9" s="2"/>
      <c r="H9" s="2"/>
      <c r="I9" s="2"/>
    </row>
    <row r="10" spans="1:12">
      <c r="A10" s="2"/>
      <c r="B10" s="2"/>
      <c r="C10" s="2"/>
      <c r="D10" s="2"/>
      <c r="E10" s="15"/>
      <c r="F10" s="2"/>
      <c r="G10" s="2"/>
      <c r="H10" s="2"/>
      <c r="I10" s="2"/>
    </row>
    <row r="11" spans="1:12">
      <c r="A11" s="2"/>
      <c r="B11" s="2"/>
      <c r="C11" s="2"/>
      <c r="D11" s="2"/>
      <c r="E11" s="15"/>
      <c r="F11" s="2"/>
      <c r="G11" s="2"/>
      <c r="H11" s="2"/>
      <c r="I11" s="2"/>
    </row>
    <row r="12" spans="1:12">
      <c r="A12" s="2"/>
      <c r="B12" s="2"/>
      <c r="C12" s="2"/>
      <c r="D12" s="2"/>
      <c r="E12" s="15"/>
      <c r="F12" s="2"/>
      <c r="G12" s="2"/>
      <c r="H12" s="2"/>
      <c r="I12" s="2"/>
    </row>
    <row r="13" spans="1:12">
      <c r="A13" s="2"/>
      <c r="B13" s="2"/>
      <c r="C13" s="2"/>
      <c r="D13" s="2"/>
      <c r="E13" s="15"/>
      <c r="F13" s="2"/>
      <c r="G13" s="2"/>
      <c r="H13" s="2"/>
      <c r="I13" s="2"/>
    </row>
    <row r="14" ht="51" spans="1:12">
      <c r="A14" s="2">
        <v>1</v>
      </c>
      <c r="B14" s="2"/>
      <c r="C14" s="2"/>
      <c r="D14" s="2"/>
      <c r="E14" s="15"/>
      <c r="F14" s="2"/>
      <c r="G14" s="2"/>
      <c r="H14" s="2"/>
      <c r="I14" s="13" t="s">
        <v>92</v>
      </c>
    </row>
    <row r="15" ht="51" spans="1:12">
      <c r="A15" s="2">
        <v>2</v>
      </c>
      <c r="B15" s="2"/>
      <c r="C15" s="2"/>
      <c r="D15" s="2"/>
      <c r="E15" s="15"/>
      <c r="F15" s="2"/>
      <c r="G15" s="2"/>
      <c r="H15" s="2"/>
      <c r="I15" s="13" t="s">
        <v>93</v>
      </c>
    </row>
    <row r="16" ht="68" spans="1:12">
      <c r="A16" s="2">
        <v>3</v>
      </c>
      <c r="B16" s="2"/>
      <c r="C16" s="2"/>
      <c r="D16" s="2"/>
      <c r="E16" s="15"/>
      <c r="F16" s="2"/>
      <c r="G16" s="2"/>
      <c r="H16" s="2"/>
      <c r="I16" s="13" t="s">
        <v>94</v>
      </c>
    </row>
    <row r="17" ht="51" spans="1:9">
      <c r="A17" s="2">
        <v>4</v>
      </c>
      <c r="B17" s="2"/>
      <c r="C17" s="2"/>
      <c r="D17" s="2"/>
      <c r="E17" s="15"/>
      <c r="F17" s="2"/>
      <c r="G17" s="2"/>
      <c r="H17" s="2"/>
      <c r="I17" s="13" t="s">
        <v>95</v>
      </c>
    </row>
    <row r="18" ht="68" spans="1:9">
      <c r="A18" s="2">
        <v>5</v>
      </c>
      <c r="B18" s="2"/>
      <c r="C18" s="2"/>
      <c r="D18" s="2"/>
      <c r="E18" s="15"/>
      <c r="F18" s="2"/>
      <c r="G18" s="2"/>
      <c r="H18" s="2"/>
      <c r="I18" s="13" t="s">
        <v>96</v>
      </c>
    </row>
    <row r="19" ht="51" spans="1:9">
      <c r="A19" s="2">
        <v>6</v>
      </c>
      <c r="B19" s="2"/>
      <c r="C19" s="2"/>
      <c r="D19" s="2"/>
      <c r="E19" s="15"/>
      <c r="F19" s="2"/>
      <c r="G19" s="2"/>
      <c r="H19" s="2"/>
      <c r="I19" s="13" t="s">
        <v>97</v>
      </c>
    </row>
    <row r="20" ht="17" spans="1:9">
      <c r="A20" s="2">
        <v>7</v>
      </c>
      <c r="B20" s="2"/>
      <c r="C20" s="2"/>
      <c r="D20" s="2"/>
      <c r="E20" s="15"/>
      <c r="F20" s="2"/>
      <c r="G20" s="2"/>
      <c r="H20" s="2"/>
      <c r="I20" s="13" t="s">
        <v>98</v>
      </c>
    </row>
    <row r="21" ht="17" spans="1:9">
      <c r="A21" s="2">
        <v>8</v>
      </c>
      <c r="B21" s="2"/>
      <c r="C21" s="2"/>
      <c r="D21" s="2"/>
      <c r="E21" s="15"/>
      <c r="F21" s="2"/>
      <c r="G21" s="2"/>
      <c r="H21" s="2"/>
      <c r="I21" s="2" t="s">
        <v>99</v>
      </c>
    </row>
    <row r="22" ht="34" spans="1:9">
      <c r="A22" s="2">
        <v>9</v>
      </c>
      <c r="B22" s="2"/>
      <c r="C22" s="2"/>
      <c r="D22" s="2"/>
      <c r="E22" s="15"/>
      <c r="F22" s="2"/>
      <c r="G22" s="2"/>
      <c r="H22" s="2"/>
      <c r="I22" s="2" t="s">
        <v>100</v>
      </c>
    </row>
    <row r="23" ht="51" spans="1:9">
      <c r="A23" s="2">
        <v>10</v>
      </c>
      <c r="B23" s="2"/>
      <c r="C23" s="2"/>
      <c r="D23" s="2"/>
      <c r="E23" s="15"/>
      <c r="F23" s="2"/>
      <c r="G23" s="2"/>
      <c r="H23" s="2"/>
      <c r="I23" s="2" t="s">
        <v>101</v>
      </c>
    </row>
    <row r="24" spans="1:9">
      <c r="A24" s="2"/>
      <c r="B24" s="2"/>
      <c r="C24" s="2"/>
      <c r="D24" s="2"/>
      <c r="E24" s="15"/>
      <c r="F24" s="2"/>
      <c r="G24" s="2"/>
      <c r="H24" s="2"/>
      <c r="I24" s="2"/>
    </row>
    <row r="25" spans="1:9">
      <c r="A25" s="2"/>
      <c r="B25" s="2"/>
      <c r="C25" s="2"/>
      <c r="D25" s="2"/>
      <c r="E25" s="15"/>
      <c r="F25" s="2"/>
      <c r="G25" s="2"/>
      <c r="H25" s="2"/>
      <c r="I25" s="2"/>
    </row>
    <row r="26" spans="1:9">
      <c r="A26" s="2"/>
      <c r="B26" s="2"/>
      <c r="C26" s="2"/>
      <c r="D26" s="2"/>
      <c r="E26" s="15"/>
      <c r="F26" s="2"/>
      <c r="G26" s="2"/>
      <c r="H26" s="2"/>
      <c r="I26" s="2"/>
    </row>
    <row r="27" spans="1:9">
      <c r="A27" s="2"/>
      <c r="B27" s="2"/>
      <c r="C27" s="2"/>
      <c r="D27" s="2"/>
      <c r="E27" s="15"/>
      <c r="F27" s="2"/>
      <c r="G27" s="2"/>
      <c r="H27" s="2"/>
      <c r="I27" s="2"/>
    </row>
    <row r="28" spans="1:9">
      <c r="A28" s="2"/>
      <c r="B28" s="2"/>
      <c r="C28" s="2"/>
      <c r="D28" s="2"/>
      <c r="E28" s="15"/>
      <c r="F28" s="2"/>
      <c r="G28" s="2"/>
      <c r="H28" s="2"/>
      <c r="I28" s="2"/>
    </row>
    <row r="29" spans="1:9">
      <c r="A29" s="2"/>
      <c r="B29" s="2"/>
      <c r="C29" s="2"/>
      <c r="D29" s="2"/>
      <c r="E29" s="15"/>
      <c r="F29" s="2"/>
      <c r="G29" s="2"/>
      <c r="H29" s="2"/>
      <c r="I29" s="2"/>
    </row>
    <row r="30" spans="1:9">
      <c r="A30" s="2"/>
      <c r="B30" s="2"/>
      <c r="C30" s="2"/>
      <c r="D30" s="2"/>
      <c r="E30" s="15"/>
      <c r="F30" s="2"/>
      <c r="G30" s="2"/>
      <c r="H30" s="2"/>
      <c r="I30" s="2"/>
    </row>
    <row r="31" spans="1:9">
      <c r="A31" s="2"/>
      <c r="B31" s="2"/>
      <c r="C31" s="2"/>
      <c r="D31" s="2"/>
      <c r="E31" s="15"/>
      <c r="F31" s="2"/>
      <c r="G31" s="2"/>
      <c r="H31" s="2"/>
      <c r="I31" s="2"/>
    </row>
    <row r="32" spans="1:9">
      <c r="A32" s="2"/>
      <c r="B32" s="2"/>
      <c r="C32" s="2"/>
      <c r="D32" s="2"/>
      <c r="E32" s="15"/>
      <c r="F32" s="2"/>
      <c r="G32" s="2"/>
      <c r="H32" s="2"/>
      <c r="I32" s="2"/>
    </row>
    <row r="33" spans="1:9">
      <c r="A33" s="2"/>
      <c r="B33" s="2"/>
      <c r="C33" s="2"/>
      <c r="D33" s="2"/>
      <c r="E33" s="15"/>
      <c r="F33" s="2"/>
      <c r="G33" s="2"/>
      <c r="H33" s="2"/>
      <c r="I33" s="2"/>
    </row>
    <row r="34" spans="1:9">
      <c r="A34" s="2"/>
      <c r="B34" s="2"/>
      <c r="C34" s="2"/>
      <c r="D34" s="2"/>
      <c r="E34" s="15"/>
      <c r="F34" s="2"/>
      <c r="G34" s="2"/>
      <c r="H34" s="2"/>
      <c r="I34" s="2"/>
    </row>
    <row r="35" spans="1:9">
      <c r="A35" s="2"/>
      <c r="B35" s="2"/>
      <c r="C35" s="2"/>
      <c r="D35" s="2"/>
      <c r="E35" s="15"/>
      <c r="F35" s="2"/>
      <c r="G35" s="2"/>
      <c r="H35" s="2"/>
      <c r="I35" s="2"/>
    </row>
    <row r="36" spans="1:9">
      <c r="A36" s="2"/>
      <c r="B36" s="2"/>
      <c r="C36" s="2"/>
      <c r="D36" s="2"/>
      <c r="E36" s="15"/>
      <c r="F36" s="2"/>
      <c r="G36" s="2"/>
      <c r="H36" s="2"/>
      <c r="I36" s="2"/>
    </row>
    <row r="37" spans="1:9">
      <c r="A37" s="2"/>
      <c r="B37" s="2"/>
      <c r="C37" s="2"/>
      <c r="D37" s="2"/>
      <c r="E37" s="15"/>
      <c r="F37" s="2"/>
      <c r="G37" s="2"/>
      <c r="H37" s="2"/>
      <c r="I37" s="2"/>
    </row>
    <row r="38" spans="1:9">
      <c r="A38" s="2"/>
      <c r="B38" s="2"/>
      <c r="C38" s="2"/>
      <c r="D38" s="2"/>
      <c r="E38" s="15"/>
      <c r="F38" s="2"/>
      <c r="G38" s="2"/>
      <c r="H38" s="2"/>
      <c r="I38" s="2"/>
    </row>
    <row r="39" spans="1:9">
      <c r="A39" s="2"/>
      <c r="B39" s="2"/>
      <c r="C39" s="2"/>
      <c r="D39" s="2"/>
      <c r="E39" s="15"/>
      <c r="F39" s="2"/>
      <c r="G39" s="2"/>
      <c r="H39" s="2"/>
      <c r="I39" s="2"/>
    </row>
    <row r="40" spans="1:9">
      <c r="A40" s="2"/>
      <c r="B40" s="2"/>
      <c r="C40" s="2"/>
      <c r="D40" s="2"/>
      <c r="E40" s="15"/>
      <c r="F40" s="2"/>
      <c r="G40" s="2"/>
      <c r="H40" s="2"/>
      <c r="I40" s="2"/>
    </row>
    <row r="41" spans="1:9">
      <c r="A41" s="2"/>
      <c r="B41" s="2"/>
      <c r="C41" s="2"/>
      <c r="D41" s="2"/>
      <c r="E41" s="15"/>
      <c r="F41" s="2"/>
      <c r="G41" s="2"/>
      <c r="H41" s="2"/>
      <c r="I41" s="2"/>
    </row>
    <row r="42" spans="1:9">
      <c r="A42" s="2"/>
      <c r="B42" s="2"/>
      <c r="C42" s="2"/>
      <c r="D42" s="2"/>
      <c r="E42" s="15"/>
      <c r="F42" s="2"/>
      <c r="G42" s="2"/>
      <c r="H42" s="2"/>
      <c r="I42" s="2"/>
    </row>
    <row r="43" spans="1:9">
      <c r="A43" s="2"/>
      <c r="B43" s="2"/>
      <c r="C43" s="2"/>
      <c r="D43" s="2"/>
      <c r="E43" s="15"/>
      <c r="F43" s="2"/>
      <c r="G43" s="2"/>
      <c r="H43" s="2"/>
      <c r="I43" s="2"/>
    </row>
    <row r="44" spans="1:9">
      <c r="A44" s="2"/>
      <c r="B44" s="2"/>
      <c r="C44" s="2"/>
      <c r="D44" s="2"/>
      <c r="E44" s="15"/>
      <c r="F44" s="2"/>
      <c r="G44" s="2"/>
      <c r="H44" s="2"/>
      <c r="I44" s="2"/>
    </row>
    <row r="45" spans="1:9">
      <c r="A45" s="2"/>
      <c r="B45" s="2"/>
      <c r="C45" s="2"/>
      <c r="D45" s="2"/>
      <c r="E45" s="15"/>
      <c r="F45" s="2"/>
      <c r="G45" s="2"/>
      <c r="H45" s="2"/>
      <c r="I45" s="2"/>
    </row>
    <row r="46" spans="1:9">
      <c r="A46" s="2"/>
      <c r="B46" s="2"/>
      <c r="C46" s="2"/>
      <c r="D46" s="2"/>
      <c r="E46" s="15"/>
      <c r="F46" s="2"/>
      <c r="G46" s="2"/>
      <c r="H46" s="2"/>
      <c r="I46" s="2"/>
    </row>
    <row r="47" spans="1:9">
      <c r="A47" s="2"/>
      <c r="B47" s="2"/>
      <c r="C47" s="2"/>
      <c r="D47" s="2"/>
      <c r="E47" s="15"/>
      <c r="F47" s="2"/>
      <c r="G47" s="2"/>
      <c r="H47" s="2"/>
      <c r="I47" s="2"/>
    </row>
    <row r="48" spans="1:9">
      <c r="A48" s="2"/>
      <c r="B48" s="2"/>
      <c r="C48" s="2"/>
      <c r="D48" s="2"/>
      <c r="E48" s="15"/>
      <c r="F48" s="2"/>
      <c r="G48" s="2"/>
      <c r="H48" s="2"/>
      <c r="I48" s="2"/>
    </row>
    <row r="49" spans="1:9">
      <c r="A49" s="2"/>
      <c r="B49" s="2"/>
      <c r="C49" s="2"/>
      <c r="D49" s="2"/>
      <c r="E49" s="15"/>
      <c r="F49" s="2"/>
      <c r="G49" s="2"/>
      <c r="H49" s="2"/>
      <c r="I49" s="2"/>
    </row>
    <row r="50" spans="1:9">
      <c r="A50" s="2"/>
      <c r="B50" s="2"/>
      <c r="C50" s="2"/>
      <c r="D50" s="2"/>
      <c r="E50" s="15"/>
      <c r="F50" s="2"/>
      <c r="G50" s="2"/>
      <c r="H50" s="2"/>
      <c r="I50" s="2"/>
    </row>
    <row r="51" spans="1:9">
      <c r="A51" s="2"/>
      <c r="B51" s="2"/>
      <c r="C51" s="2"/>
      <c r="D51" s="2"/>
      <c r="E51" s="15"/>
      <c r="F51" s="2"/>
      <c r="G51" s="2"/>
      <c r="H51" s="2"/>
      <c r="I51" s="2"/>
    </row>
    <row r="52" spans="1:9">
      <c r="A52" s="2"/>
      <c r="B52" s="2"/>
      <c r="C52" s="2"/>
      <c r="D52" s="2"/>
      <c r="E52" s="15"/>
      <c r="F52" s="2"/>
      <c r="G52" s="2"/>
      <c r="H52" s="2"/>
      <c r="I52" s="2"/>
    </row>
    <row r="53" spans="1:9">
      <c r="A53" s="2"/>
      <c r="B53" s="2"/>
      <c r="C53" s="2"/>
      <c r="D53" s="2"/>
      <c r="E53" s="15"/>
      <c r="F53" s="2"/>
      <c r="G53" s="2"/>
      <c r="H53" s="2"/>
      <c r="I53" s="2"/>
    </row>
    <row r="54" spans="1:9">
      <c r="A54" s="2"/>
      <c r="B54" s="2"/>
      <c r="C54" s="2"/>
      <c r="D54" s="2"/>
      <c r="E54" s="15"/>
      <c r="F54" s="2"/>
      <c r="G54" s="2"/>
      <c r="H54" s="2"/>
      <c r="I54" s="2"/>
    </row>
    <row r="55" spans="1:9">
      <c r="A55" s="2"/>
      <c r="B55" s="2"/>
      <c r="C55" s="2"/>
      <c r="D55" s="2"/>
      <c r="E55" s="15"/>
      <c r="F55" s="2"/>
      <c r="G55" s="2"/>
      <c r="H55" s="2"/>
      <c r="I55" s="2"/>
    </row>
    <row r="56" spans="1:9">
      <c r="A56" s="2"/>
      <c r="B56" s="2"/>
      <c r="C56" s="2"/>
      <c r="D56" s="2"/>
      <c r="E56" s="15"/>
      <c r="F56" s="2"/>
      <c r="G56" s="2"/>
      <c r="H56" s="2"/>
      <c r="I56" s="2"/>
    </row>
    <row r="57" spans="1:9">
      <c r="A57" s="2"/>
      <c r="B57" s="2"/>
      <c r="C57" s="2"/>
      <c r="D57" s="2"/>
      <c r="E57" s="15"/>
      <c r="F57" s="2"/>
      <c r="G57" s="2"/>
      <c r="H57" s="2"/>
      <c r="I57" s="2"/>
    </row>
    <row r="58" spans="1:9">
      <c r="A58" s="2"/>
      <c r="B58" s="2"/>
      <c r="C58" s="2"/>
      <c r="D58" s="2"/>
      <c r="E58" s="15"/>
      <c r="F58" s="2"/>
      <c r="G58" s="2"/>
      <c r="H58" s="2"/>
      <c r="I58" s="2"/>
    </row>
    <row r="59" spans="1:9">
      <c r="A59" s="2"/>
      <c r="B59" s="2"/>
      <c r="C59" s="2"/>
      <c r="D59" s="2"/>
      <c r="E59" s="15"/>
      <c r="F59" s="2"/>
      <c r="G59" s="2"/>
      <c r="H59" s="2"/>
      <c r="I59" s="2"/>
    </row>
    <row r="60" spans="1:9">
      <c r="A60" s="2"/>
      <c r="B60" s="2"/>
      <c r="C60" s="2"/>
      <c r="D60" s="2"/>
      <c r="E60" s="15"/>
      <c r="F60" s="2"/>
      <c r="G60" s="2"/>
      <c r="H60" s="2"/>
      <c r="I60" s="2"/>
    </row>
    <row r="61" spans="1:9">
      <c r="A61" s="2"/>
      <c r="B61" s="2"/>
      <c r="C61" s="2"/>
      <c r="D61" s="2"/>
      <c r="E61" s="15"/>
      <c r="F61" s="2"/>
      <c r="G61" s="2"/>
      <c r="H61" s="2"/>
      <c r="I61" s="2"/>
    </row>
    <row r="62" spans="1:9">
      <c r="A62" s="2"/>
      <c r="B62" s="2"/>
      <c r="C62" s="2"/>
      <c r="D62" s="2"/>
      <c r="E62" s="15"/>
      <c r="F62" s="2"/>
      <c r="G62" s="2"/>
      <c r="H62" s="2"/>
      <c r="I62" s="2"/>
    </row>
    <row r="63" spans="1:9">
      <c r="A63" s="2"/>
      <c r="B63" s="2"/>
      <c r="C63" s="2"/>
      <c r="D63" s="2"/>
      <c r="E63" s="15"/>
      <c r="F63" s="2"/>
      <c r="G63" s="2"/>
      <c r="H63" s="2"/>
      <c r="I63" s="2"/>
    </row>
    <row r="64" spans="1:9">
      <c r="A64" s="2"/>
      <c r="B64" s="2"/>
      <c r="C64" s="2"/>
      <c r="D64" s="2"/>
      <c r="E64" s="15"/>
      <c r="F64" s="2"/>
      <c r="G64" s="2"/>
      <c r="H64" s="2"/>
      <c r="I64" s="2"/>
    </row>
    <row r="65" spans="1:9">
      <c r="A65" s="2"/>
      <c r="B65" s="2"/>
      <c r="C65" s="2"/>
      <c r="D65" s="2"/>
      <c r="E65" s="15"/>
      <c r="F65" s="2"/>
      <c r="G65" s="2"/>
      <c r="H65" s="2"/>
      <c r="I65" s="2"/>
    </row>
    <row r="66" spans="1:9">
      <c r="A66" s="2"/>
      <c r="B66" s="2"/>
      <c r="C66" s="2"/>
      <c r="D66" s="2"/>
      <c r="E66" s="15"/>
      <c r="F66" s="2"/>
      <c r="G66" s="2"/>
      <c r="H66" s="2"/>
      <c r="I66" s="2"/>
    </row>
    <row r="67" spans="1:9">
      <c r="A67" s="2"/>
      <c r="B67" s="2"/>
      <c r="C67" s="2"/>
      <c r="D67" s="2"/>
      <c r="E67" s="15"/>
      <c r="F67" s="2"/>
      <c r="G67" s="2"/>
      <c r="H67" s="2"/>
      <c r="I67" s="2"/>
    </row>
    <row r="68" spans="1:9">
      <c r="A68" s="2"/>
      <c r="B68" s="2"/>
      <c r="C68" s="2"/>
      <c r="D68" s="2"/>
      <c r="E68" s="15"/>
      <c r="F68" s="2"/>
      <c r="G68" s="2"/>
      <c r="H68" s="2"/>
      <c r="I68" s="2"/>
    </row>
    <row r="69" spans="1:9">
      <c r="A69" s="2"/>
      <c r="B69" s="2"/>
      <c r="C69" s="2"/>
      <c r="D69" s="2"/>
      <c r="E69" s="15"/>
      <c r="F69" s="2"/>
      <c r="G69" s="2"/>
      <c r="H69" s="2"/>
      <c r="I69" s="2"/>
    </row>
    <row r="70" spans="1:9">
      <c r="A70" s="2"/>
      <c r="B70" s="2"/>
      <c r="C70" s="2"/>
      <c r="D70" s="2"/>
      <c r="E70" s="15"/>
      <c r="F70" s="2"/>
      <c r="G70" s="2"/>
      <c r="H70" s="2"/>
      <c r="I70" s="2"/>
    </row>
    <row r="71" spans="1:9">
      <c r="A71" s="2"/>
      <c r="B71" s="2"/>
      <c r="C71" s="2"/>
      <c r="D71" s="2"/>
      <c r="E71" s="15"/>
      <c r="F71" s="2"/>
      <c r="G71" s="2"/>
      <c r="H71" s="2"/>
      <c r="I71" s="2"/>
    </row>
    <row r="72" spans="1:9">
      <c r="A72" s="2"/>
      <c r="B72" s="2"/>
      <c r="C72" s="2"/>
      <c r="D72" s="2"/>
      <c r="E72" s="15"/>
      <c r="F72" s="2"/>
      <c r="G72" s="2"/>
      <c r="H72" s="2"/>
      <c r="I72" s="2"/>
    </row>
    <row r="73" spans="1:9">
      <c r="A73" s="2"/>
      <c r="B73" s="2"/>
      <c r="C73" s="2"/>
      <c r="D73" s="2"/>
      <c r="E73" s="15"/>
      <c r="F73" s="2"/>
      <c r="G73" s="2"/>
      <c r="H73" s="2"/>
      <c r="I73" s="2"/>
    </row>
    <row r="74" spans="1:9">
      <c r="A74" s="2"/>
      <c r="B74" s="2"/>
      <c r="C74" s="2"/>
      <c r="D74" s="2"/>
      <c r="E74" s="15"/>
      <c r="F74" s="2"/>
      <c r="G74" s="2"/>
      <c r="H74" s="2"/>
      <c r="I74" s="2"/>
    </row>
    <row r="75" spans="1:9">
      <c r="A75" s="2"/>
      <c r="B75" s="2"/>
      <c r="C75" s="2"/>
      <c r="D75" s="2"/>
      <c r="E75" s="15"/>
      <c r="F75" s="2"/>
      <c r="G75" s="2"/>
      <c r="H75" s="2"/>
      <c r="I75" s="2"/>
    </row>
    <row r="76" spans="1:9">
      <c r="A76" s="2"/>
      <c r="B76" s="2"/>
      <c r="C76" s="2"/>
      <c r="D76" s="2"/>
      <c r="E76" s="15"/>
      <c r="F76" s="2"/>
      <c r="G76" s="2"/>
      <c r="H76" s="2"/>
      <c r="I76" s="2"/>
    </row>
    <row r="77" spans="1:9">
      <c r="A77" s="2"/>
      <c r="B77" s="2"/>
      <c r="C77" s="2"/>
      <c r="D77" s="2"/>
      <c r="E77" s="15"/>
      <c r="F77" s="2"/>
      <c r="G77" s="2"/>
      <c r="H77" s="2"/>
      <c r="I77" s="2"/>
    </row>
    <row r="78" spans="1:9">
      <c r="A78" s="2"/>
      <c r="B78" s="2"/>
      <c r="C78" s="2"/>
      <c r="D78" s="2"/>
      <c r="E78" s="15"/>
      <c r="F78" s="2"/>
      <c r="G78" s="2"/>
      <c r="H78" s="2"/>
      <c r="I78" s="2"/>
    </row>
    <row r="79" spans="1:9">
      <c r="A79" s="2"/>
      <c r="B79" s="2"/>
      <c r="C79" s="2"/>
      <c r="D79" s="2"/>
      <c r="E79" s="15"/>
      <c r="F79" s="2"/>
      <c r="G79" s="2"/>
      <c r="H79" s="2"/>
      <c r="I79" s="2"/>
    </row>
    <row r="80" spans="1:9">
      <c r="A80" s="2"/>
      <c r="B80" s="2"/>
      <c r="C80" s="2"/>
      <c r="D80" s="2"/>
      <c r="E80" s="15"/>
      <c r="F80" s="2"/>
      <c r="G80" s="2"/>
      <c r="H80" s="2"/>
      <c r="I80" s="2"/>
    </row>
    <row r="81" spans="1:9">
      <c r="A81" s="2"/>
      <c r="B81" s="2"/>
      <c r="C81" s="2"/>
      <c r="D81" s="2"/>
      <c r="E81" s="15"/>
      <c r="F81" s="2"/>
      <c r="G81" s="2"/>
      <c r="H81" s="2"/>
      <c r="I81" s="2"/>
    </row>
    <row r="82" spans="1:9">
      <c r="A82" s="2"/>
      <c r="B82" s="2"/>
      <c r="C82" s="2"/>
      <c r="D82" s="2"/>
      <c r="E82" s="15"/>
      <c r="F82" s="2"/>
      <c r="G82" s="2"/>
      <c r="H82" s="2"/>
      <c r="I82" s="2"/>
    </row>
    <row r="83" spans="1:9">
      <c r="A83" s="2"/>
      <c r="B83" s="2"/>
      <c r="C83" s="2"/>
      <c r="D83" s="2"/>
      <c r="E83" s="15"/>
      <c r="F83" s="2"/>
      <c r="G83" s="2"/>
      <c r="H83" s="2"/>
      <c r="I83" s="2"/>
    </row>
    <row r="84" spans="1:9">
      <c r="A84" s="2"/>
      <c r="B84" s="2"/>
      <c r="C84" s="2"/>
      <c r="D84" s="2"/>
      <c r="E84" s="15"/>
      <c r="F84" s="2"/>
      <c r="G84" s="2"/>
      <c r="H84" s="2"/>
      <c r="I84" s="2"/>
    </row>
    <row r="85" spans="1:9">
      <c r="A85" s="2"/>
      <c r="B85" s="2"/>
      <c r="C85" s="2"/>
      <c r="D85" s="2"/>
      <c r="E85" s="15"/>
      <c r="F85" s="2"/>
      <c r="G85" s="2"/>
      <c r="H85" s="2"/>
      <c r="I85" s="2"/>
    </row>
    <row r="86" spans="1:9">
      <c r="A86" s="2"/>
      <c r="B86" s="2"/>
      <c r="C86" s="2"/>
      <c r="D86" s="2"/>
      <c r="E86" s="15"/>
      <c r="F86" s="2"/>
      <c r="G86" s="2"/>
      <c r="H86" s="2"/>
      <c r="I86" s="2"/>
    </row>
    <row r="87" spans="1:9">
      <c r="A87" s="2"/>
      <c r="B87" s="2"/>
      <c r="C87" s="2"/>
      <c r="D87" s="2"/>
      <c r="E87" s="15"/>
      <c r="F87" s="2"/>
      <c r="G87" s="2"/>
      <c r="H87" s="2"/>
      <c r="I87" s="2"/>
    </row>
    <row r="88" spans="1:9">
      <c r="A88" s="2"/>
      <c r="B88" s="2"/>
      <c r="C88" s="2"/>
      <c r="D88" s="2"/>
      <c r="E88" s="15"/>
      <c r="F88" s="2"/>
      <c r="G88" s="2"/>
      <c r="H88" s="2"/>
      <c r="I88" s="2"/>
    </row>
    <row r="89" spans="1:9">
      <c r="A89" s="2"/>
      <c r="B89" s="2"/>
      <c r="C89" s="2"/>
      <c r="D89" s="2"/>
      <c r="E89" s="15"/>
      <c r="F89" s="2"/>
      <c r="G89" s="2"/>
      <c r="H89" s="2"/>
      <c r="I89" s="2"/>
    </row>
    <row r="90" spans="1:9">
      <c r="A90" s="2"/>
      <c r="B90" s="2"/>
      <c r="C90" s="2"/>
      <c r="D90" s="2"/>
      <c r="E90" s="15"/>
      <c r="F90" s="2"/>
      <c r="G90" s="2"/>
      <c r="H90" s="2"/>
      <c r="I90" s="2"/>
    </row>
    <row r="91" spans="1:9">
      <c r="A91" s="2"/>
      <c r="B91" s="2"/>
      <c r="C91" s="2"/>
      <c r="D91" s="2"/>
      <c r="E91" s="15"/>
      <c r="F91" s="2"/>
      <c r="G91" s="2"/>
      <c r="H91" s="2"/>
      <c r="I91" s="2"/>
    </row>
    <row r="92" spans="1:9">
      <c r="A92" s="2"/>
      <c r="B92" s="2"/>
      <c r="C92" s="2"/>
      <c r="D92" s="2"/>
      <c r="E92" s="15"/>
      <c r="F92" s="2"/>
      <c r="G92" s="2"/>
      <c r="H92" s="2"/>
      <c r="I92" s="2"/>
    </row>
    <row r="93" spans="1:9">
      <c r="A93" s="2"/>
      <c r="B93" s="2"/>
      <c r="C93" s="2"/>
      <c r="D93" s="2"/>
      <c r="E93" s="15"/>
      <c r="F93" s="2"/>
      <c r="G93" s="2"/>
      <c r="H93" s="2"/>
      <c r="I93" s="2"/>
    </row>
    <row r="94" spans="1:9">
      <c r="A94" s="2"/>
      <c r="B94" s="2"/>
      <c r="C94" s="2"/>
      <c r="D94" s="2"/>
      <c r="E94" s="15"/>
      <c r="F94" s="2"/>
      <c r="G94" s="2"/>
      <c r="H94" s="2"/>
      <c r="I94" s="2"/>
    </row>
    <row r="95" spans="1:9">
      <c r="A95" s="2"/>
      <c r="B95" s="2"/>
      <c r="C95" s="2"/>
      <c r="D95" s="2"/>
      <c r="E95" s="15"/>
      <c r="F95" s="2"/>
      <c r="G95" s="2"/>
      <c r="H95" s="2"/>
      <c r="I95" s="2"/>
    </row>
    <row r="96" spans="1:9">
      <c r="A96" s="2"/>
      <c r="B96" s="2"/>
      <c r="C96" s="2"/>
      <c r="D96" s="2"/>
      <c r="E96" s="15"/>
      <c r="F96" s="2"/>
      <c r="G96" s="2"/>
      <c r="H96" s="2"/>
      <c r="I96" s="2"/>
    </row>
    <row r="97" spans="1:9">
      <c r="A97" s="2"/>
      <c r="B97" s="2"/>
      <c r="C97" s="2"/>
      <c r="D97" s="2"/>
      <c r="E97" s="15"/>
      <c r="F97" s="2"/>
      <c r="G97" s="2"/>
      <c r="H97" s="2"/>
      <c r="I97" s="2"/>
    </row>
    <row r="98" spans="1:9">
      <c r="A98" s="2"/>
      <c r="B98" s="2"/>
      <c r="C98" s="2"/>
      <c r="D98" s="2"/>
      <c r="E98" s="15"/>
      <c r="F98" s="2"/>
      <c r="G98" s="2"/>
      <c r="H98" s="2"/>
      <c r="I98" s="2"/>
    </row>
    <row r="99" spans="1:9">
      <c r="A99" s="2"/>
      <c r="B99" s="2"/>
      <c r="C99" s="2"/>
      <c r="D99" s="2"/>
      <c r="E99" s="15"/>
      <c r="F99" s="2"/>
      <c r="G99" s="2"/>
      <c r="H99" s="2"/>
      <c r="I99" s="2"/>
    </row>
    <row r="100" spans="1:9">
      <c r="A100" s="2"/>
      <c r="B100" s="2"/>
      <c r="C100" s="2"/>
      <c r="D100" s="2"/>
      <c r="E100" s="15"/>
      <c r="F100" s="2"/>
      <c r="G100" s="2"/>
      <c r="H100" s="2"/>
      <c r="I100" s="2"/>
    </row>
    <row r="101" spans="1:9">
      <c r="A101" s="2"/>
      <c r="B101" s="2"/>
      <c r="C101" s="2"/>
      <c r="D101" s="2"/>
      <c r="E101" s="15"/>
      <c r="F101" s="2"/>
      <c r="G101" s="2"/>
      <c r="H101" s="2"/>
      <c r="I101" s="2"/>
    </row>
    <row r="102" spans="1:9">
      <c r="A102" s="2"/>
      <c r="B102" s="2"/>
      <c r="C102" s="2"/>
      <c r="D102" s="2"/>
      <c r="E102" s="15"/>
      <c r="F102" s="2"/>
      <c r="G102" s="2"/>
      <c r="H102" s="2"/>
      <c r="I102" s="2"/>
    </row>
    <row r="103" spans="1:9">
      <c r="A103" s="2"/>
      <c r="B103" s="2"/>
      <c r="C103" s="2"/>
      <c r="D103" s="2"/>
      <c r="E103" s="15"/>
      <c r="F103" s="2"/>
      <c r="G103" s="2"/>
      <c r="H103" s="2"/>
      <c r="I103" s="2"/>
    </row>
    <row r="104" spans="1:9">
      <c r="A104" s="2"/>
      <c r="B104" s="2"/>
      <c r="C104" s="2"/>
      <c r="D104" s="2"/>
      <c r="E104" s="15"/>
      <c r="F104" s="2"/>
      <c r="G104" s="2"/>
      <c r="H104" s="2"/>
      <c r="I104" s="2"/>
    </row>
    <row r="105" spans="1:9">
      <c r="A105" s="2"/>
      <c r="B105" s="2"/>
      <c r="C105" s="2"/>
      <c r="D105" s="2"/>
      <c r="E105" s="15"/>
      <c r="F105" s="2"/>
      <c r="G105" s="2"/>
      <c r="H105" s="2"/>
      <c r="I105" s="2"/>
    </row>
    <row r="106" spans="1:9">
      <c r="A106" s="2"/>
      <c r="B106" s="2"/>
      <c r="C106" s="2"/>
      <c r="D106" s="2"/>
      <c r="E106" s="15"/>
      <c r="F106" s="2"/>
      <c r="G106" s="2"/>
      <c r="H106" s="2"/>
      <c r="I106" s="2"/>
    </row>
    <row r="107" spans="1:9">
      <c r="A107" s="2"/>
      <c r="B107" s="2"/>
      <c r="C107" s="2"/>
      <c r="D107" s="2"/>
      <c r="E107" s="15"/>
      <c r="F107" s="2"/>
      <c r="G107" s="2"/>
      <c r="H107" s="2"/>
      <c r="I107" s="2"/>
    </row>
    <row r="108" spans="1:9">
      <c r="A108" s="2"/>
      <c r="B108" s="2"/>
      <c r="C108" s="2"/>
      <c r="D108" s="2"/>
      <c r="E108" s="15"/>
      <c r="F108" s="2"/>
      <c r="G108" s="2"/>
      <c r="H108" s="2"/>
      <c r="I108" s="2"/>
    </row>
    <row r="109" spans="1:9">
      <c r="A109" s="2"/>
      <c r="B109" s="2"/>
      <c r="C109" s="2"/>
      <c r="D109" s="2"/>
      <c r="E109" s="15"/>
      <c r="F109" s="2"/>
      <c r="G109" s="2"/>
      <c r="H109" s="2"/>
      <c r="I109" s="2"/>
    </row>
    <row r="110" spans="1:9">
      <c r="A110" s="2"/>
      <c r="B110" s="2"/>
      <c r="C110" s="2"/>
      <c r="D110" s="2"/>
      <c r="E110" s="15"/>
      <c r="F110" s="2"/>
      <c r="G110" s="2"/>
      <c r="H110" s="2"/>
      <c r="I110" s="2"/>
    </row>
    <row r="111" spans="1:9">
      <c r="A111" s="2"/>
      <c r="B111" s="2"/>
      <c r="C111" s="2"/>
      <c r="D111" s="2"/>
      <c r="E111" s="15"/>
      <c r="F111" s="2"/>
      <c r="G111" s="2"/>
      <c r="H111" s="2"/>
      <c r="I111" s="2"/>
    </row>
    <row r="112" spans="1:9">
      <c r="A112" s="2"/>
      <c r="B112" s="2"/>
      <c r="C112" s="2"/>
      <c r="D112" s="2"/>
      <c r="E112" s="15"/>
      <c r="F112" s="2"/>
      <c r="G112" s="2"/>
      <c r="H112" s="2"/>
      <c r="I112" s="2"/>
    </row>
    <row r="113" spans="1:9">
      <c r="A113" s="2"/>
      <c r="B113" s="2"/>
      <c r="C113" s="2"/>
      <c r="D113" s="2"/>
      <c r="E113" s="15"/>
      <c r="F113" s="2"/>
      <c r="G113" s="2"/>
      <c r="H113" s="2"/>
      <c r="I113" s="2"/>
    </row>
    <row r="114" spans="1:9">
      <c r="A114" s="2"/>
      <c r="B114" s="2"/>
      <c r="C114" s="2"/>
      <c r="D114" s="2"/>
      <c r="E114" s="15"/>
      <c r="F114" s="2"/>
      <c r="G114" s="2"/>
      <c r="H114" s="2"/>
      <c r="I114" s="2"/>
    </row>
    <row r="115" spans="1:9">
      <c r="A115" s="2"/>
      <c r="B115" s="2"/>
      <c r="C115" s="2"/>
      <c r="D115" s="2"/>
      <c r="E115" s="15"/>
      <c r="F115" s="2"/>
      <c r="G115" s="2"/>
      <c r="H115" s="2"/>
      <c r="I115" s="2"/>
    </row>
    <row r="116" spans="1:9">
      <c r="A116" s="2"/>
      <c r="B116" s="2"/>
      <c r="C116" s="2"/>
      <c r="D116" s="2"/>
      <c r="E116" s="15"/>
      <c r="F116" s="2"/>
      <c r="G116" s="2"/>
      <c r="H116" s="2"/>
      <c r="I116" s="2"/>
    </row>
    <row r="117" spans="1:9">
      <c r="A117" s="2"/>
      <c r="B117" s="2"/>
      <c r="C117" s="2"/>
      <c r="D117" s="2"/>
      <c r="E117" s="15"/>
      <c r="F117" s="2"/>
      <c r="G117" s="2"/>
      <c r="H117" s="2"/>
      <c r="I117" s="2"/>
    </row>
    <row r="118" spans="1:9">
      <c r="A118" s="2"/>
      <c r="B118" s="2"/>
      <c r="C118" s="2"/>
      <c r="D118" s="2"/>
      <c r="E118" s="15"/>
      <c r="F118" s="2"/>
      <c r="G118" s="2"/>
      <c r="H118" s="2"/>
      <c r="I118" s="2"/>
    </row>
    <row r="119" spans="1:9">
      <c r="A119" s="2"/>
      <c r="B119" s="2"/>
      <c r="C119" s="2"/>
      <c r="D119" s="2"/>
      <c r="E119" s="15"/>
      <c r="F119" s="2"/>
      <c r="G119" s="2"/>
      <c r="H119" s="2"/>
      <c r="I119" s="2"/>
    </row>
    <row r="120" spans="1:9">
      <c r="A120" s="2"/>
      <c r="B120" s="2"/>
      <c r="C120" s="2"/>
      <c r="D120" s="2"/>
      <c r="E120" s="15"/>
      <c r="F120" s="2"/>
      <c r="G120" s="2"/>
      <c r="H120" s="2"/>
      <c r="I120" s="2"/>
    </row>
    <row r="121" spans="1:9">
      <c r="A121" s="2"/>
      <c r="B121" s="2"/>
      <c r="C121" s="2"/>
      <c r="D121" s="2"/>
      <c r="E121" s="15"/>
      <c r="F121" s="2"/>
      <c r="G121" s="2"/>
      <c r="H121" s="2"/>
      <c r="I121" s="2"/>
    </row>
    <row r="122" spans="1:9">
      <c r="A122" s="2"/>
      <c r="B122" s="2"/>
      <c r="C122" s="2"/>
      <c r="D122" s="2"/>
      <c r="E122" s="15"/>
      <c r="F122" s="2"/>
      <c r="G122" s="2"/>
      <c r="H122" s="2"/>
      <c r="I122" s="2"/>
    </row>
    <row r="123" spans="1:9">
      <c r="A123" s="2"/>
      <c r="B123" s="2"/>
      <c r="C123" s="2"/>
      <c r="D123" s="2"/>
      <c r="E123" s="15"/>
      <c r="F123" s="2"/>
      <c r="G123" s="2"/>
      <c r="H123" s="2"/>
      <c r="I123" s="2"/>
    </row>
    <row r="124" spans="1:9">
      <c r="A124" s="2"/>
      <c r="B124" s="2"/>
      <c r="C124" s="2"/>
      <c r="D124" s="2"/>
      <c r="E124" s="15"/>
      <c r="F124" s="2"/>
      <c r="G124" s="2"/>
      <c r="H124" s="2"/>
      <c r="I124" s="2"/>
    </row>
    <row r="125" spans="1:9">
      <c r="A125" s="2"/>
      <c r="B125" s="2"/>
      <c r="C125" s="2"/>
      <c r="D125" s="2"/>
      <c r="E125" s="15"/>
      <c r="F125" s="2"/>
      <c r="G125" s="2"/>
      <c r="H125" s="2"/>
      <c r="I125" s="2"/>
    </row>
    <row r="126" spans="1:9">
      <c r="A126" s="2"/>
      <c r="B126" s="2"/>
      <c r="C126" s="2"/>
      <c r="D126" s="2"/>
      <c r="E126" s="15"/>
      <c r="F126" s="2"/>
      <c r="G126" s="2"/>
      <c r="H126" s="2"/>
      <c r="I126" s="2"/>
    </row>
    <row r="127" spans="1:9">
      <c r="A127" s="2"/>
      <c r="B127" s="2"/>
      <c r="C127" s="2"/>
      <c r="D127" s="2"/>
      <c r="E127" s="15"/>
      <c r="F127" s="2"/>
      <c r="G127" s="2"/>
      <c r="H127" s="2"/>
      <c r="I127" s="2"/>
    </row>
    <row r="128" spans="1:9">
      <c r="A128" s="2"/>
      <c r="B128" s="2"/>
      <c r="C128" s="2"/>
      <c r="D128" s="2"/>
      <c r="E128" s="15"/>
      <c r="F128" s="2"/>
      <c r="G128" s="2"/>
      <c r="H128" s="2"/>
      <c r="I128" s="2"/>
    </row>
    <row r="129" spans="1:9">
      <c r="A129" s="2"/>
      <c r="B129" s="2"/>
      <c r="C129" s="2"/>
      <c r="D129" s="2"/>
      <c r="E129" s="15"/>
      <c r="F129" s="2"/>
      <c r="G129" s="2"/>
      <c r="H129" s="2"/>
      <c r="I129" s="2"/>
    </row>
    <row r="130" spans="1:9">
      <c r="A130" s="2"/>
      <c r="B130" s="2"/>
      <c r="C130" s="2"/>
      <c r="D130" s="2"/>
      <c r="E130" s="15"/>
      <c r="F130" s="2"/>
      <c r="G130" s="2"/>
      <c r="H130" s="2"/>
      <c r="I130" s="2"/>
    </row>
    <row r="131" spans="1:9">
      <c r="A131" s="2"/>
      <c r="B131" s="2"/>
      <c r="C131" s="2"/>
      <c r="D131" s="2"/>
      <c r="E131" s="15"/>
      <c r="F131" s="2"/>
      <c r="G131" s="2"/>
      <c r="H131" s="2"/>
      <c r="I131" s="2"/>
    </row>
    <row r="132" spans="1:9">
      <c r="A132" s="2"/>
      <c r="B132" s="2"/>
      <c r="C132" s="2"/>
      <c r="D132" s="2"/>
      <c r="E132" s="15"/>
      <c r="F132" s="2"/>
      <c r="G132" s="2"/>
      <c r="H132" s="2"/>
      <c r="I132" s="2"/>
    </row>
    <row r="133" spans="1:9">
      <c r="A133" s="2"/>
      <c r="B133" s="2"/>
      <c r="C133" s="2"/>
      <c r="D133" s="2"/>
      <c r="E133" s="15"/>
      <c r="F133" s="2"/>
      <c r="G133" s="2"/>
      <c r="H133" s="2"/>
      <c r="I133" s="2"/>
    </row>
    <row r="134" spans="1:9">
      <c r="A134" s="2"/>
      <c r="B134" s="2"/>
      <c r="C134" s="2"/>
      <c r="D134" s="2"/>
      <c r="E134" s="15"/>
      <c r="F134" s="2"/>
      <c r="G134" s="2"/>
      <c r="H134" s="2"/>
      <c r="I134" s="2"/>
    </row>
    <row r="135" spans="1:9">
      <c r="A135" s="2"/>
      <c r="B135" s="2"/>
      <c r="C135" s="2"/>
      <c r="D135" s="2"/>
      <c r="E135" s="15"/>
      <c r="F135" s="2"/>
      <c r="G135" s="2"/>
      <c r="H135" s="2"/>
      <c r="I135" s="2"/>
    </row>
    <row r="136" spans="1:9">
      <c r="A136" s="2"/>
      <c r="B136" s="2"/>
      <c r="C136" s="2"/>
      <c r="D136" s="2"/>
      <c r="E136" s="15"/>
      <c r="F136" s="2"/>
      <c r="G136" s="2"/>
      <c r="H136" s="2"/>
      <c r="I136" s="2"/>
    </row>
    <row r="137" spans="1:9">
      <c r="A137" s="2"/>
      <c r="B137" s="2"/>
      <c r="C137" s="2"/>
      <c r="D137" s="2"/>
      <c r="E137" s="15"/>
      <c r="F137" s="2"/>
      <c r="G137" s="2"/>
      <c r="H137" s="2"/>
      <c r="I137" s="2"/>
    </row>
    <row r="138" spans="1:9">
      <c r="A138" s="2"/>
      <c r="B138" s="2"/>
      <c r="C138" s="2"/>
      <c r="D138" s="2"/>
      <c r="E138" s="15"/>
      <c r="F138" s="2"/>
      <c r="G138" s="2"/>
      <c r="H138" s="2"/>
      <c r="I138" s="2"/>
    </row>
    <row r="139" spans="1:9">
      <c r="A139" s="2"/>
      <c r="B139" s="2"/>
      <c r="C139" s="2"/>
      <c r="D139" s="2"/>
      <c r="E139" s="15"/>
      <c r="F139" s="2"/>
      <c r="G139" s="2"/>
      <c r="H139" s="2"/>
      <c r="I139" s="2"/>
    </row>
    <row r="140" spans="1:9">
      <c r="A140" s="2"/>
      <c r="B140" s="2"/>
      <c r="C140" s="2"/>
      <c r="D140" s="2"/>
      <c r="E140" s="15"/>
      <c r="F140" s="2"/>
      <c r="G140" s="2"/>
      <c r="H140" s="2"/>
      <c r="I140" s="2"/>
    </row>
    <row r="141" spans="1:9">
      <c r="A141" s="2"/>
      <c r="B141" s="2"/>
      <c r="C141" s="2"/>
      <c r="D141" s="2"/>
      <c r="E141" s="15"/>
      <c r="F141" s="2"/>
      <c r="G141" s="2"/>
      <c r="H141" s="2"/>
      <c r="I141" s="2"/>
    </row>
    <row r="142" spans="1:9">
      <c r="A142" s="2"/>
      <c r="B142" s="2"/>
      <c r="C142" s="2"/>
      <c r="D142" s="2"/>
      <c r="E142" s="15"/>
      <c r="F142" s="2"/>
      <c r="G142" s="2"/>
      <c r="H142" s="2"/>
      <c r="I142" s="2"/>
    </row>
    <row r="143" spans="1:9">
      <c r="A143" s="2"/>
      <c r="B143" s="2"/>
      <c r="C143" s="2"/>
      <c r="D143" s="2"/>
      <c r="E143" s="15"/>
      <c r="F143" s="2"/>
      <c r="G143" s="2"/>
      <c r="H143" s="2"/>
      <c r="I143" s="2"/>
    </row>
    <row r="144" spans="1:9">
      <c r="A144" s="2"/>
      <c r="B144" s="2"/>
      <c r="C144" s="2"/>
      <c r="D144" s="2"/>
      <c r="E144" s="15"/>
      <c r="F144" s="2"/>
      <c r="G144" s="2"/>
      <c r="H144" s="2"/>
      <c r="I144" s="2"/>
    </row>
    <row r="145" spans="1:9">
      <c r="A145" s="2"/>
      <c r="B145" s="2"/>
      <c r="C145" s="2"/>
      <c r="D145" s="2"/>
      <c r="E145" s="15"/>
      <c r="F145" s="2"/>
      <c r="G145" s="2"/>
      <c r="H145" s="2"/>
      <c r="I145" s="2"/>
    </row>
    <row r="146" spans="1:9">
      <c r="A146" s="2"/>
      <c r="B146" s="2"/>
      <c r="C146" s="2"/>
      <c r="D146" s="2"/>
      <c r="E146" s="15"/>
      <c r="F146" s="2"/>
      <c r="G146" s="2"/>
      <c r="H146" s="2"/>
      <c r="I146" s="2"/>
    </row>
    <row r="147" spans="1:9">
      <c r="A147" s="2"/>
      <c r="B147" s="2"/>
      <c r="C147" s="2"/>
      <c r="D147" s="2"/>
      <c r="E147" s="15"/>
      <c r="F147" s="2"/>
      <c r="G147" s="2"/>
      <c r="H147" s="2"/>
      <c r="I147" s="2"/>
    </row>
    <row r="148" spans="1:9">
      <c r="A148" s="2"/>
      <c r="B148" s="2"/>
      <c r="C148" s="2"/>
      <c r="D148" s="2"/>
      <c r="E148" s="15"/>
      <c r="F148" s="2"/>
      <c r="G148" s="2"/>
      <c r="H148" s="2"/>
      <c r="I148" s="2"/>
    </row>
    <row r="149" spans="1:9">
      <c r="A149" s="2"/>
      <c r="B149" s="2"/>
      <c r="C149" s="2"/>
      <c r="D149" s="2"/>
      <c r="E149" s="15"/>
      <c r="F149" s="2"/>
      <c r="G149" s="2"/>
      <c r="H149" s="2"/>
      <c r="I149" s="2"/>
    </row>
    <row r="150" spans="1:9">
      <c r="A150" s="2"/>
      <c r="B150" s="2"/>
      <c r="C150" s="2"/>
      <c r="D150" s="2"/>
      <c r="E150" s="15"/>
      <c r="F150" s="2"/>
      <c r="G150" s="2"/>
      <c r="H150" s="2"/>
      <c r="I150" s="2"/>
    </row>
    <row r="151" spans="1:9">
      <c r="A151" s="2"/>
      <c r="B151" s="2"/>
      <c r="C151" s="2"/>
      <c r="D151" s="2"/>
      <c r="E151" s="15"/>
      <c r="F151" s="2"/>
      <c r="G151" s="2"/>
      <c r="H151" s="2"/>
      <c r="I151" s="2"/>
    </row>
    <row r="152" spans="1:9">
      <c r="A152" s="2"/>
      <c r="B152" s="2"/>
      <c r="C152" s="2"/>
      <c r="D152" s="2"/>
      <c r="E152" s="15"/>
      <c r="F152" s="2"/>
      <c r="G152" s="2"/>
      <c r="H152" s="2"/>
      <c r="I152" s="2"/>
    </row>
    <row r="153" spans="1:9">
      <c r="A153" s="2"/>
      <c r="B153" s="2"/>
      <c r="C153" s="2"/>
      <c r="D153" s="2"/>
      <c r="E153" s="15"/>
      <c r="F153" s="2"/>
      <c r="G153" s="2"/>
      <c r="H153" s="2"/>
      <c r="I153" s="2"/>
    </row>
    <row r="154" spans="1:9">
      <c r="A154" s="2"/>
      <c r="B154" s="2"/>
      <c r="C154" s="2"/>
      <c r="D154" s="2"/>
      <c r="E154" s="15"/>
      <c r="F154" s="2"/>
      <c r="G154" s="2"/>
      <c r="H154" s="2"/>
      <c r="I154" s="2"/>
    </row>
    <row r="155" spans="1:9">
      <c r="A155" s="2"/>
      <c r="B155" s="2"/>
      <c r="C155" s="2"/>
      <c r="D155" s="2"/>
      <c r="E155" s="15"/>
      <c r="F155" s="2"/>
      <c r="G155" s="2"/>
      <c r="H155" s="2"/>
      <c r="I155" s="2"/>
    </row>
    <row r="156" spans="1:9">
      <c r="A156" s="2"/>
      <c r="B156" s="2"/>
      <c r="C156" s="2"/>
      <c r="D156" s="2"/>
      <c r="E156" s="15"/>
      <c r="F156" s="2"/>
      <c r="G156" s="2"/>
      <c r="H156" s="2"/>
      <c r="I156" s="2"/>
    </row>
    <row r="157" spans="1:9">
      <c r="A157" s="2"/>
      <c r="B157" s="2"/>
      <c r="C157" s="2"/>
      <c r="D157" s="2"/>
      <c r="E157" s="15"/>
      <c r="F157" s="2"/>
      <c r="G157" s="2"/>
      <c r="H157" s="2"/>
      <c r="I157" s="2"/>
    </row>
    <row r="158" spans="1:9">
      <c r="A158" s="2"/>
      <c r="B158" s="2"/>
      <c r="C158" s="2"/>
      <c r="D158" s="2"/>
      <c r="E158" s="15"/>
      <c r="F158" s="2"/>
      <c r="G158" s="2"/>
      <c r="H158" s="2"/>
      <c r="I158" s="2"/>
    </row>
    <row r="159" spans="1:9">
      <c r="A159" s="2"/>
      <c r="B159" s="2"/>
      <c r="C159" s="2"/>
      <c r="D159" s="2"/>
      <c r="E159" s="15"/>
      <c r="F159" s="2"/>
      <c r="G159" s="2"/>
      <c r="H159" s="2"/>
      <c r="I159" s="2"/>
    </row>
    <row r="160" spans="1:9">
      <c r="A160" s="2"/>
      <c r="B160" s="2"/>
      <c r="C160" s="2"/>
      <c r="D160" s="2"/>
      <c r="E160" s="15"/>
      <c r="F160" s="2"/>
      <c r="G160" s="2"/>
      <c r="H160" s="2"/>
      <c r="I160" s="2"/>
    </row>
    <row r="161" spans="1:9">
      <c r="A161" s="2"/>
      <c r="B161" s="2"/>
      <c r="C161" s="2"/>
      <c r="D161" s="2"/>
      <c r="E161" s="15"/>
      <c r="F161" s="2"/>
      <c r="G161" s="2"/>
      <c r="H161" s="2"/>
      <c r="I161" s="2"/>
    </row>
    <row r="162" spans="1:9">
      <c r="A162" s="2"/>
      <c r="B162" s="2"/>
      <c r="C162" s="2"/>
      <c r="D162" s="2"/>
      <c r="E162" s="15"/>
      <c r="F162" s="2"/>
      <c r="G162" s="2"/>
      <c r="H162" s="2"/>
      <c r="I162" s="2"/>
    </row>
    <row r="163" spans="1:9">
      <c r="A163" s="2"/>
      <c r="B163" s="2"/>
      <c r="C163" s="2"/>
      <c r="D163" s="2"/>
      <c r="E163" s="15"/>
      <c r="F163" s="2"/>
      <c r="G163" s="2"/>
      <c r="H163" s="2"/>
      <c r="I163" s="2"/>
    </row>
    <row r="164" spans="1:9">
      <c r="A164" s="2"/>
      <c r="B164" s="2"/>
      <c r="C164" s="2"/>
      <c r="D164" s="2"/>
      <c r="E164" s="15"/>
      <c r="F164" s="2"/>
      <c r="G164" s="2"/>
      <c r="H164" s="2"/>
      <c r="I164" s="2"/>
    </row>
    <row r="165" spans="1:9">
      <c r="A165" s="2"/>
      <c r="B165" s="2"/>
      <c r="C165" s="2"/>
      <c r="D165" s="2"/>
      <c r="E165" s="15"/>
      <c r="F165" s="2"/>
      <c r="G165" s="2"/>
      <c r="H165" s="2"/>
      <c r="I165" s="2"/>
    </row>
    <row r="166" spans="1:9">
      <c r="A166" s="2"/>
      <c r="B166" s="2"/>
      <c r="C166" s="2"/>
      <c r="D166" s="2"/>
      <c r="E166" s="15"/>
      <c r="F166" s="2"/>
      <c r="G166" s="2"/>
      <c r="H166" s="2"/>
      <c r="I166" s="2"/>
    </row>
    <row r="167" spans="1:9">
      <c r="A167" s="2"/>
      <c r="B167" s="2"/>
      <c r="C167" s="2"/>
      <c r="D167" s="2"/>
      <c r="E167" s="15"/>
      <c r="F167" s="2"/>
      <c r="G167" s="2"/>
      <c r="H167" s="2"/>
      <c r="I167" s="2"/>
    </row>
    <row r="168" spans="1:9">
      <c r="A168" s="2"/>
      <c r="B168" s="2"/>
      <c r="C168" s="2"/>
      <c r="D168" s="2"/>
      <c r="E168" s="15"/>
      <c r="F168" s="2"/>
      <c r="G168" s="2"/>
      <c r="H168" s="2"/>
      <c r="I168" s="2"/>
    </row>
    <row r="169" spans="1:9">
      <c r="A169" s="2"/>
      <c r="B169" s="2"/>
      <c r="C169" s="2"/>
      <c r="D169" s="2"/>
      <c r="E169" s="15"/>
      <c r="F169" s="2"/>
      <c r="G169" s="2"/>
      <c r="H169" s="2"/>
      <c r="I169" s="2"/>
    </row>
    <row r="170" spans="1:9">
      <c r="A170" s="2"/>
      <c r="B170" s="2"/>
      <c r="C170" s="2"/>
      <c r="D170" s="2"/>
      <c r="E170" s="15"/>
      <c r="F170" s="2"/>
      <c r="G170" s="2"/>
      <c r="H170" s="2"/>
      <c r="I170" s="2"/>
    </row>
    <row r="171" spans="1:9">
      <c r="A171" s="2"/>
      <c r="B171" s="2"/>
      <c r="C171" s="2"/>
      <c r="D171" s="2"/>
      <c r="E171" s="15"/>
      <c r="F171" s="2"/>
      <c r="G171" s="2"/>
      <c r="H171" s="2"/>
      <c r="I171" s="2"/>
    </row>
    <row r="172" spans="1:9">
      <c r="A172" s="2"/>
      <c r="B172" s="2"/>
      <c r="C172" s="2"/>
      <c r="D172" s="2"/>
      <c r="E172" s="15"/>
      <c r="F172" s="2"/>
      <c r="G172" s="2"/>
      <c r="H172" s="2"/>
      <c r="I172" s="2"/>
    </row>
    <row r="173" spans="1:9">
      <c r="A173" s="2"/>
      <c r="B173" s="2"/>
      <c r="C173" s="2"/>
      <c r="D173" s="2"/>
      <c r="E173" s="15"/>
      <c r="F173" s="2"/>
      <c r="G173" s="2"/>
      <c r="H173" s="2"/>
      <c r="I173" s="2"/>
    </row>
    <row r="174" spans="1:9">
      <c r="A174" s="2"/>
      <c r="B174" s="2"/>
      <c r="C174" s="2"/>
      <c r="D174" s="2"/>
      <c r="E174" s="15"/>
      <c r="F174" s="2"/>
      <c r="G174" s="2"/>
      <c r="H174" s="2"/>
      <c r="I174" s="2"/>
    </row>
    <row r="175" spans="1:9">
      <c r="A175" s="2"/>
      <c r="B175" s="2"/>
      <c r="C175" s="2"/>
      <c r="D175" s="2"/>
      <c r="E175" s="15"/>
      <c r="F175" s="2"/>
      <c r="G175" s="2"/>
      <c r="H175" s="2"/>
      <c r="I175" s="2"/>
    </row>
    <row r="176" spans="1:9">
      <c r="A176" s="2"/>
      <c r="B176" s="2"/>
      <c r="C176" s="2"/>
      <c r="D176" s="2"/>
      <c r="E176" s="15"/>
      <c r="F176" s="2"/>
      <c r="G176" s="2"/>
      <c r="H176" s="2"/>
      <c r="I176" s="2"/>
    </row>
    <row r="177" spans="1:9">
      <c r="A177" s="2"/>
      <c r="B177" s="2"/>
      <c r="C177" s="2"/>
      <c r="D177" s="2"/>
      <c r="E177" s="15"/>
      <c r="F177" s="2"/>
      <c r="G177" s="2"/>
      <c r="H177" s="2"/>
      <c r="I177" s="2"/>
    </row>
    <row r="178" spans="1:9">
      <c r="A178" s="2"/>
      <c r="B178" s="2"/>
      <c r="C178" s="2"/>
      <c r="D178" s="2"/>
      <c r="E178" s="15"/>
      <c r="F178" s="2"/>
      <c r="G178" s="2"/>
      <c r="H178" s="2"/>
      <c r="I178" s="2"/>
    </row>
    <row r="179" spans="1:9">
      <c r="A179" s="2"/>
      <c r="B179" s="2"/>
      <c r="C179" s="2"/>
      <c r="D179" s="2"/>
      <c r="E179" s="15"/>
      <c r="F179" s="2"/>
      <c r="G179" s="2"/>
      <c r="H179" s="2"/>
      <c r="I179" s="2"/>
    </row>
    <row r="180" spans="1:9">
      <c r="A180" s="2"/>
      <c r="B180" s="2"/>
      <c r="C180" s="2"/>
      <c r="D180" s="2"/>
      <c r="E180" s="15"/>
      <c r="F180" s="2"/>
      <c r="G180" s="2"/>
      <c r="H180" s="2"/>
      <c r="I180" s="2"/>
    </row>
    <row r="181" spans="1:9">
      <c r="A181" s="2"/>
      <c r="B181" s="2"/>
      <c r="C181" s="2"/>
      <c r="D181" s="2"/>
      <c r="E181" s="15"/>
      <c r="F181" s="2"/>
      <c r="G181" s="2"/>
      <c r="H181" s="2"/>
      <c r="I181" s="2"/>
    </row>
    <row r="182" spans="1:9">
      <c r="A182" s="2"/>
      <c r="B182" s="2"/>
      <c r="C182" s="2"/>
      <c r="D182" s="2"/>
      <c r="E182" s="15"/>
      <c r="F182" s="2"/>
      <c r="G182" s="2"/>
      <c r="H182" s="2"/>
      <c r="I182" s="2"/>
    </row>
    <row r="183" spans="1:9">
      <c r="A183" s="2"/>
      <c r="B183" s="2"/>
      <c r="C183" s="2"/>
      <c r="D183" s="2"/>
      <c r="E183" s="15"/>
      <c r="F183" s="2"/>
      <c r="G183" s="2"/>
      <c r="H183" s="2"/>
      <c r="I183" s="2"/>
    </row>
    <row r="184" spans="1:9">
      <c r="A184" s="2"/>
      <c r="B184" s="2"/>
      <c r="C184" s="2"/>
      <c r="D184" s="2"/>
      <c r="E184" s="15"/>
      <c r="F184" s="2"/>
      <c r="G184" s="2"/>
      <c r="H184" s="2"/>
      <c r="I184" s="2"/>
    </row>
    <row r="185" spans="1:9">
      <c r="A185" s="2"/>
      <c r="B185" s="2"/>
      <c r="C185" s="2"/>
      <c r="D185" s="2"/>
      <c r="E185" s="15"/>
      <c r="F185" s="2"/>
      <c r="G185" s="2"/>
      <c r="H185" s="2"/>
      <c r="I185" s="2"/>
    </row>
    <row r="186" spans="1:9">
      <c r="A186" s="2"/>
      <c r="B186" s="2"/>
      <c r="C186" s="2"/>
      <c r="D186" s="2"/>
      <c r="E186" s="15"/>
      <c r="F186" s="2"/>
      <c r="G186" s="2"/>
      <c r="H186" s="2"/>
      <c r="I186" s="2"/>
    </row>
    <row r="187" spans="1:9">
      <c r="A187" s="2"/>
      <c r="B187" s="2"/>
      <c r="C187" s="2"/>
      <c r="D187" s="2"/>
      <c r="E187" s="15"/>
      <c r="F187" s="2"/>
      <c r="G187" s="2"/>
      <c r="H187" s="2"/>
      <c r="I187" s="2"/>
    </row>
    <row r="188" spans="1:9">
      <c r="A188" s="2"/>
      <c r="B188" s="2"/>
      <c r="C188" s="2"/>
      <c r="D188" s="2"/>
      <c r="E188" s="15"/>
      <c r="F188" s="2"/>
      <c r="G188" s="2"/>
      <c r="H188" s="2"/>
      <c r="I188" s="2"/>
    </row>
    <row r="189" spans="1:9">
      <c r="A189" s="2"/>
      <c r="B189" s="2"/>
      <c r="C189" s="2"/>
      <c r="D189" s="2"/>
      <c r="E189" s="15"/>
      <c r="F189" s="2"/>
      <c r="G189" s="2"/>
      <c r="H189" s="2"/>
      <c r="I189" s="2"/>
    </row>
    <row r="190" spans="1:9">
      <c r="A190" s="2"/>
      <c r="B190" s="2"/>
      <c r="C190" s="2"/>
      <c r="D190" s="2"/>
      <c r="E190" s="15"/>
      <c r="F190" s="2"/>
      <c r="G190" s="2"/>
      <c r="H190" s="2"/>
      <c r="I190" s="2"/>
    </row>
    <row r="191" spans="1:9">
      <c r="A191" s="2"/>
      <c r="B191" s="2"/>
      <c r="C191" s="2"/>
      <c r="D191" s="2"/>
      <c r="E191" s="15"/>
      <c r="F191" s="2"/>
      <c r="G191" s="2"/>
      <c r="H191" s="2"/>
      <c r="I191" s="2"/>
    </row>
    <row r="192" spans="1:9">
      <c r="A192" s="2"/>
      <c r="B192" s="2"/>
      <c r="C192" s="2"/>
      <c r="D192" s="2"/>
      <c r="E192" s="15"/>
      <c r="F192" s="2"/>
      <c r="G192" s="2"/>
      <c r="H192" s="2"/>
      <c r="I192" s="2"/>
    </row>
    <row r="193" spans="1:9">
      <c r="A193" s="2"/>
      <c r="B193" s="2"/>
      <c r="C193" s="2"/>
      <c r="D193" s="2"/>
      <c r="E193" s="15"/>
      <c r="F193" s="2"/>
      <c r="G193" s="2"/>
      <c r="H193" s="2"/>
      <c r="I193" s="2"/>
    </row>
    <row r="194" spans="1:9">
      <c r="A194" s="2"/>
      <c r="B194" s="2"/>
      <c r="C194" s="2"/>
      <c r="D194" s="2"/>
      <c r="E194" s="15"/>
      <c r="F194" s="2"/>
      <c r="G194" s="2"/>
      <c r="H194" s="2"/>
      <c r="I194" s="2"/>
    </row>
    <row r="195" spans="1:9">
      <c r="A195" s="2"/>
      <c r="B195" s="2"/>
      <c r="C195" s="2"/>
      <c r="D195" s="2"/>
      <c r="E195" s="15"/>
      <c r="F195" s="2"/>
      <c r="G195" s="2"/>
      <c r="H195" s="2"/>
      <c r="I195" s="2"/>
    </row>
    <row r="196" spans="1:9">
      <c r="A196" s="2"/>
      <c r="B196" s="2"/>
      <c r="C196" s="2"/>
      <c r="D196" s="2"/>
      <c r="E196" s="15"/>
      <c r="F196" s="2"/>
      <c r="G196" s="2"/>
      <c r="H196" s="2"/>
      <c r="I196" s="2"/>
    </row>
    <row r="197" spans="1:9">
      <c r="A197" s="2"/>
      <c r="B197" s="2"/>
      <c r="C197" s="2"/>
      <c r="D197" s="2"/>
      <c r="E197" s="15"/>
      <c r="F197" s="2"/>
      <c r="G197" s="2"/>
      <c r="H197" s="2"/>
      <c r="I197" s="2"/>
    </row>
    <row r="198" spans="1:9">
      <c r="A198" s="2"/>
      <c r="B198" s="2"/>
      <c r="C198" s="2"/>
      <c r="D198" s="2"/>
      <c r="E198" s="15"/>
      <c r="F198" s="2"/>
      <c r="G198" s="2"/>
      <c r="H198" s="2"/>
      <c r="I198" s="2"/>
    </row>
    <row r="199" spans="1:9">
      <c r="A199" s="2"/>
      <c r="B199" s="2"/>
      <c r="C199" s="2"/>
      <c r="D199" s="2"/>
      <c r="E199" s="15"/>
      <c r="F199" s="2"/>
      <c r="G199" s="2"/>
      <c r="H199" s="2"/>
      <c r="I199" s="2"/>
    </row>
    <row r="200" spans="1:9">
      <c r="A200" s="2"/>
      <c r="B200" s="2"/>
      <c r="C200" s="2"/>
      <c r="D200" s="2"/>
      <c r="E200" s="15"/>
      <c r="F200" s="2"/>
      <c r="G200" s="2"/>
      <c r="H200" s="2"/>
      <c r="I200" s="2"/>
    </row>
    <row r="201" spans="1:9">
      <c r="A201" s="2"/>
      <c r="B201" s="2"/>
      <c r="C201" s="2"/>
      <c r="D201" s="2"/>
      <c r="E201" s="15"/>
      <c r="F201" s="2"/>
      <c r="G201" s="2"/>
      <c r="H201" s="2"/>
      <c r="I201" s="2"/>
    </row>
    <row r="202" spans="1:9">
      <c r="A202" s="2"/>
      <c r="B202" s="2"/>
      <c r="C202" s="2"/>
      <c r="D202" s="2"/>
      <c r="E202" s="15"/>
      <c r="F202" s="2"/>
      <c r="G202" s="2"/>
      <c r="H202" s="2"/>
      <c r="I202" s="2"/>
    </row>
    <row r="203" spans="1:9">
      <c r="A203" s="2"/>
      <c r="B203" s="2"/>
      <c r="C203" s="2"/>
      <c r="D203" s="2"/>
      <c r="E203" s="15"/>
      <c r="F203" s="2"/>
      <c r="G203" s="2"/>
      <c r="H203" s="2"/>
      <c r="I203" s="2"/>
    </row>
    <row r="204" spans="1:9">
      <c r="A204" s="2"/>
      <c r="B204" s="2"/>
      <c r="C204" s="2"/>
      <c r="D204" s="2"/>
      <c r="E204" s="15"/>
      <c r="F204" s="2"/>
      <c r="G204" s="2"/>
      <c r="H204" s="2"/>
      <c r="I204" s="2"/>
    </row>
    <row r="205" spans="1:9">
      <c r="A205" s="2"/>
      <c r="B205" s="2"/>
      <c r="C205" s="2"/>
      <c r="D205" s="2"/>
      <c r="E205" s="15"/>
      <c r="F205" s="2"/>
      <c r="G205" s="2"/>
      <c r="H205" s="2"/>
      <c r="I205" s="2"/>
    </row>
    <row r="206" spans="1:9">
      <c r="A206" s="2"/>
      <c r="B206" s="2"/>
      <c r="C206" s="2"/>
      <c r="D206" s="2"/>
      <c r="E206" s="15"/>
      <c r="F206" s="2"/>
      <c r="G206" s="2"/>
      <c r="H206" s="2"/>
      <c r="I206" s="2"/>
    </row>
    <row r="207" spans="1:9">
      <c r="A207" s="2"/>
      <c r="B207" s="2"/>
      <c r="C207" s="2"/>
      <c r="D207" s="2"/>
      <c r="E207" s="15"/>
      <c r="F207" s="2"/>
      <c r="G207" s="2"/>
      <c r="H207" s="2"/>
      <c r="I207" s="2"/>
    </row>
    <row r="208" spans="1:9">
      <c r="A208" s="2"/>
      <c r="B208" s="2"/>
      <c r="C208" s="2"/>
      <c r="D208" s="2"/>
      <c r="E208" s="15"/>
      <c r="F208" s="2"/>
      <c r="G208" s="2"/>
      <c r="H208" s="2"/>
      <c r="I208" s="2"/>
    </row>
    <row r="209" spans="1:9">
      <c r="A209" s="2"/>
      <c r="B209" s="2"/>
      <c r="C209" s="2"/>
      <c r="D209" s="2"/>
      <c r="E209" s="15"/>
      <c r="F209" s="2"/>
      <c r="G209" s="2"/>
      <c r="H209" s="2"/>
      <c r="I209" s="2"/>
    </row>
    <row r="210" spans="1:9">
      <c r="A210" s="2"/>
      <c r="B210" s="2"/>
      <c r="C210" s="2"/>
      <c r="D210" s="2"/>
      <c r="E210" s="15"/>
      <c r="F210" s="2"/>
      <c r="G210" s="2"/>
      <c r="H210" s="2"/>
      <c r="I210" s="2"/>
    </row>
    <row r="211" spans="1:9">
      <c r="A211" s="2"/>
      <c r="B211" s="2"/>
      <c r="C211" s="2"/>
      <c r="D211" s="2"/>
      <c r="E211" s="15"/>
      <c r="F211" s="2"/>
      <c r="G211" s="2"/>
      <c r="H211" s="2"/>
      <c r="I211" s="2"/>
    </row>
    <row r="212" spans="1:9">
      <c r="A212" s="2"/>
      <c r="B212" s="2"/>
      <c r="C212" s="2"/>
      <c r="D212" s="2"/>
      <c r="E212" s="15"/>
      <c r="F212" s="2"/>
      <c r="G212" s="2"/>
      <c r="H212" s="2"/>
      <c r="I212" s="2"/>
    </row>
    <row r="213" spans="1:9">
      <c r="A213" s="2"/>
      <c r="B213" s="2"/>
      <c r="C213" s="2"/>
      <c r="D213" s="2"/>
      <c r="E213" s="15"/>
      <c r="F213" s="2"/>
      <c r="G213" s="2"/>
      <c r="H213" s="2"/>
      <c r="I213" s="2"/>
    </row>
    <row r="214" spans="1:9">
      <c r="A214" s="2"/>
      <c r="B214" s="2"/>
      <c r="C214" s="2"/>
      <c r="D214" s="2"/>
      <c r="E214" s="15"/>
      <c r="F214" s="2"/>
      <c r="G214" s="2"/>
      <c r="H214" s="2"/>
      <c r="I214" s="2"/>
    </row>
    <row r="215" spans="1:9">
      <c r="A215" s="2"/>
      <c r="B215" s="2"/>
      <c r="C215" s="2"/>
      <c r="D215" s="2"/>
      <c r="E215" s="15"/>
      <c r="F215" s="2"/>
      <c r="G215" s="2"/>
      <c r="H215" s="2"/>
      <c r="I215" s="2"/>
    </row>
    <row r="216" spans="1:9">
      <c r="A216" s="2"/>
      <c r="B216" s="2"/>
      <c r="C216" s="2"/>
      <c r="D216" s="2"/>
      <c r="E216" s="15"/>
      <c r="F216" s="2"/>
      <c r="G216" s="2"/>
      <c r="H216" s="2"/>
      <c r="I216" s="2"/>
    </row>
    <row r="217" spans="1:9">
      <c r="A217" s="2"/>
      <c r="B217" s="2"/>
      <c r="C217" s="2"/>
      <c r="D217" s="2"/>
      <c r="E217" s="15"/>
      <c r="F217" s="2"/>
      <c r="G217" s="2"/>
      <c r="H217" s="2"/>
      <c r="I217" s="2"/>
    </row>
    <row r="218" spans="1:9">
      <c r="A218" s="2"/>
      <c r="B218" s="2"/>
      <c r="C218" s="2"/>
      <c r="D218" s="2"/>
      <c r="E218" s="15"/>
      <c r="F218" s="2"/>
      <c r="G218" s="2"/>
      <c r="H218" s="2"/>
      <c r="I218" s="2"/>
    </row>
    <row r="219" spans="1:9">
      <c r="A219" s="2"/>
      <c r="B219" s="2"/>
      <c r="C219" s="2"/>
      <c r="D219" s="2"/>
      <c r="E219" s="15"/>
      <c r="F219" s="2"/>
      <c r="G219" s="2"/>
      <c r="H219" s="2"/>
      <c r="I219" s="2"/>
    </row>
    <row r="220" spans="1:9">
      <c r="A220" s="2"/>
      <c r="B220" s="2"/>
      <c r="C220" s="2"/>
      <c r="D220" s="2"/>
      <c r="E220" s="15"/>
      <c r="F220" s="2"/>
      <c r="G220" s="2"/>
      <c r="H220" s="2"/>
      <c r="I220" s="2"/>
    </row>
    <row r="221" spans="1:9">
      <c r="A221" s="2"/>
      <c r="B221" s="2"/>
      <c r="C221" s="2"/>
      <c r="D221" s="2"/>
      <c r="E221" s="15"/>
      <c r="F221" s="2"/>
      <c r="G221" s="2"/>
      <c r="H221" s="2"/>
      <c r="I221" s="2"/>
    </row>
    <row r="222" spans="1:9">
      <c r="A222" s="2"/>
      <c r="B222" s="2"/>
      <c r="C222" s="2"/>
      <c r="D222" s="2"/>
      <c r="E222" s="15"/>
      <c r="F222" s="2"/>
      <c r="G222" s="2"/>
      <c r="H222" s="2"/>
      <c r="I222" s="2"/>
    </row>
    <row r="223" spans="1:9">
      <c r="A223" s="2"/>
      <c r="B223" s="2"/>
      <c r="C223" s="2"/>
      <c r="D223" s="2"/>
      <c r="E223" s="15"/>
      <c r="F223" s="2"/>
      <c r="G223" s="2"/>
      <c r="H223" s="2"/>
      <c r="I223" s="2"/>
    </row>
    <row r="224" spans="1:9">
      <c r="A224" s="2"/>
      <c r="B224" s="2"/>
      <c r="C224" s="2"/>
      <c r="D224" s="2"/>
      <c r="E224" s="15"/>
      <c r="F224" s="2"/>
      <c r="G224" s="2"/>
      <c r="H224" s="2"/>
      <c r="I224" s="2"/>
    </row>
    <row r="225" spans="1:9">
      <c r="A225" s="2"/>
      <c r="B225" s="2"/>
      <c r="C225" s="2"/>
      <c r="D225" s="2"/>
      <c r="E225" s="15"/>
      <c r="F225" s="2"/>
      <c r="G225" s="2"/>
      <c r="H225" s="2"/>
      <c r="I225" s="2"/>
    </row>
    <row r="226" spans="1:9">
      <c r="A226" s="2"/>
      <c r="B226" s="2"/>
      <c r="C226" s="2"/>
      <c r="D226" s="2"/>
      <c r="E226" s="15"/>
      <c r="F226" s="2"/>
      <c r="G226" s="2"/>
      <c r="H226" s="2"/>
      <c r="I226" s="2"/>
    </row>
    <row r="227" spans="1:9">
      <c r="A227" s="2"/>
      <c r="B227" s="2"/>
      <c r="C227" s="2"/>
      <c r="D227" s="2"/>
      <c r="E227" s="15"/>
      <c r="F227" s="2"/>
      <c r="G227" s="2"/>
      <c r="H227" s="2"/>
      <c r="I227" s="2"/>
    </row>
    <row r="228" spans="1:9">
      <c r="A228" s="2"/>
      <c r="B228" s="2"/>
      <c r="C228" s="2"/>
      <c r="D228" s="2"/>
      <c r="E228" s="15"/>
      <c r="F228" s="2"/>
      <c r="G228" s="2"/>
      <c r="H228" s="2"/>
      <c r="I228" s="2"/>
    </row>
    <row r="229" spans="1:9">
      <c r="A229" s="2"/>
      <c r="B229" s="2"/>
      <c r="C229" s="2"/>
      <c r="D229" s="2"/>
      <c r="E229" s="15"/>
      <c r="F229" s="2"/>
      <c r="G229" s="2"/>
      <c r="H229" s="2"/>
      <c r="I229" s="2"/>
    </row>
    <row r="230" spans="1:9">
      <c r="A230" s="2"/>
      <c r="B230" s="2"/>
      <c r="C230" s="2"/>
      <c r="D230" s="2"/>
      <c r="E230" s="15"/>
      <c r="F230" s="2"/>
      <c r="G230" s="2"/>
      <c r="H230" s="2"/>
      <c r="I230" s="2"/>
    </row>
    <row r="231" spans="1:9">
      <c r="A231" s="2"/>
      <c r="B231" s="2"/>
      <c r="C231" s="2"/>
      <c r="D231" s="2"/>
      <c r="E231" s="15"/>
      <c r="F231" s="2"/>
      <c r="G231" s="2"/>
      <c r="H231" s="2"/>
      <c r="I231" s="2"/>
    </row>
    <row r="232" spans="1:9">
      <c r="A232" s="2"/>
      <c r="B232" s="2"/>
      <c r="C232" s="2"/>
      <c r="D232" s="2"/>
      <c r="E232" s="15"/>
      <c r="F232" s="2"/>
      <c r="G232" s="2"/>
      <c r="H232" s="2"/>
      <c r="I232" s="2"/>
    </row>
    <row r="233" spans="1:9">
      <c r="A233" s="2"/>
      <c r="B233" s="2"/>
      <c r="C233" s="2"/>
      <c r="D233" s="2"/>
      <c r="E233" s="15"/>
      <c r="F233" s="2"/>
      <c r="G233" s="2"/>
      <c r="H233" s="2"/>
      <c r="I233" s="2"/>
    </row>
    <row r="234" spans="1:9">
      <c r="A234" s="2"/>
      <c r="B234" s="2"/>
      <c r="C234" s="2"/>
      <c r="D234" s="2"/>
      <c r="E234" s="15"/>
      <c r="F234" s="2"/>
      <c r="G234" s="2"/>
      <c r="H234" s="2"/>
      <c r="I234" s="2"/>
    </row>
    <row r="235" spans="1:9">
      <c r="A235" s="2"/>
      <c r="B235" s="2"/>
      <c r="C235" s="2"/>
      <c r="D235" s="2"/>
      <c r="E235" s="15"/>
      <c r="F235" s="2"/>
      <c r="G235" s="2"/>
      <c r="H235" s="2"/>
      <c r="I235" s="2"/>
    </row>
    <row r="236" spans="1:9">
      <c r="A236" s="2"/>
      <c r="B236" s="2"/>
      <c r="C236" s="2"/>
      <c r="D236" s="2"/>
      <c r="E236" s="15"/>
      <c r="F236" s="2"/>
      <c r="G236" s="2"/>
      <c r="H236" s="2"/>
      <c r="I236" s="2"/>
    </row>
    <row r="237" spans="1:9">
      <c r="A237" s="2"/>
      <c r="B237" s="2"/>
      <c r="C237" s="2"/>
      <c r="D237" s="2"/>
      <c r="E237" s="15"/>
      <c r="F237" s="2"/>
      <c r="G237" s="2"/>
      <c r="H237" s="2"/>
      <c r="I237" s="2"/>
    </row>
    <row r="238" spans="1:9">
      <c r="A238" s="2"/>
      <c r="B238" s="2"/>
      <c r="C238" s="2"/>
      <c r="D238" s="2"/>
      <c r="E238" s="15"/>
      <c r="F238" s="2"/>
      <c r="G238" s="2"/>
      <c r="H238" s="2"/>
      <c r="I238" s="2"/>
    </row>
    <row r="239" spans="1:9">
      <c r="A239" s="2"/>
      <c r="B239" s="2"/>
      <c r="C239" s="2"/>
      <c r="D239" s="2"/>
      <c r="E239" s="15"/>
      <c r="F239" s="2"/>
      <c r="G239" s="2"/>
      <c r="H239" s="2"/>
      <c r="I239" s="2"/>
    </row>
    <row r="240" spans="1:9">
      <c r="A240" s="2"/>
      <c r="B240" s="2"/>
      <c r="C240" s="2"/>
      <c r="D240" s="2"/>
      <c r="E240" s="15"/>
      <c r="F240" s="2"/>
      <c r="G240" s="2"/>
      <c r="H240" s="2"/>
      <c r="I240" s="2"/>
    </row>
    <row r="241" spans="1:9">
      <c r="A241" s="2"/>
      <c r="B241" s="2"/>
      <c r="C241" s="2"/>
      <c r="D241" s="2"/>
      <c r="E241" s="15"/>
      <c r="F241" s="2"/>
      <c r="G241" s="2"/>
      <c r="H241" s="2"/>
      <c r="I241" s="2"/>
    </row>
    <row r="242" spans="1:9">
      <c r="A242" s="2"/>
      <c r="B242" s="2"/>
      <c r="C242" s="2"/>
      <c r="D242" s="2"/>
      <c r="E242" s="15"/>
      <c r="F242" s="2"/>
      <c r="G242" s="2"/>
      <c r="H242" s="2"/>
      <c r="I242" s="2"/>
    </row>
    <row r="243" spans="1:9">
      <c r="A243" s="2"/>
      <c r="B243" s="2"/>
      <c r="C243" s="2"/>
      <c r="D243" s="2"/>
      <c r="E243" s="15"/>
      <c r="F243" s="2"/>
      <c r="G243" s="2"/>
      <c r="H243" s="2"/>
      <c r="I243" s="2"/>
    </row>
    <row r="244" spans="1:9">
      <c r="A244" s="2"/>
      <c r="B244" s="2"/>
      <c r="C244" s="2"/>
      <c r="D244" s="2"/>
      <c r="E244" s="15"/>
      <c r="F244" s="2"/>
      <c r="G244" s="2"/>
      <c r="H244" s="2"/>
      <c r="I244" s="2"/>
    </row>
    <row r="245" spans="1:9">
      <c r="A245" s="2"/>
      <c r="B245" s="2"/>
      <c r="C245" s="2"/>
      <c r="D245" s="2"/>
      <c r="E245" s="15"/>
      <c r="F245" s="2"/>
      <c r="G245" s="2"/>
      <c r="H245" s="2"/>
      <c r="I245" s="2"/>
    </row>
    <row r="246" spans="1:9">
      <c r="A246" s="2"/>
      <c r="B246" s="2"/>
      <c r="C246" s="2"/>
      <c r="D246" s="2"/>
      <c r="E246" s="15"/>
      <c r="F246" s="2"/>
      <c r="G246" s="2"/>
      <c r="H246" s="2"/>
      <c r="I246" s="2"/>
    </row>
    <row r="247" spans="1:9">
      <c r="A247" s="2"/>
      <c r="B247" s="2"/>
      <c r="C247" s="2"/>
      <c r="D247" s="2"/>
      <c r="E247" s="15"/>
      <c r="F247" s="2"/>
      <c r="G247" s="2"/>
      <c r="H247" s="2"/>
      <c r="I247" s="2"/>
    </row>
    <row r="248" spans="1:9">
      <c r="A248" s="2"/>
      <c r="B248" s="2"/>
      <c r="C248" s="2"/>
      <c r="D248" s="2"/>
      <c r="E248" s="15"/>
      <c r="F248" s="2"/>
      <c r="G248" s="2"/>
      <c r="H248" s="2"/>
      <c r="I248" s="2"/>
    </row>
    <row r="249" spans="1:9">
      <c r="A249" s="2"/>
      <c r="B249" s="2"/>
      <c r="C249" s="2"/>
      <c r="D249" s="2"/>
      <c r="E249" s="15"/>
      <c r="F249" s="2"/>
      <c r="G249" s="2"/>
      <c r="H249" s="2"/>
      <c r="I249" s="2"/>
    </row>
    <row r="250" spans="1:9">
      <c r="A250" s="2"/>
      <c r="B250" s="2"/>
      <c r="C250" s="2"/>
      <c r="D250" s="2"/>
      <c r="E250" s="15"/>
      <c r="F250" s="2"/>
      <c r="G250" s="2"/>
      <c r="H250" s="2"/>
      <c r="I250" s="2"/>
    </row>
    <row r="251" spans="1:9">
      <c r="A251" s="2"/>
      <c r="B251" s="2"/>
      <c r="C251" s="2"/>
      <c r="D251" s="2"/>
      <c r="E251" s="15"/>
      <c r="F251" s="2"/>
      <c r="G251" s="2"/>
      <c r="H251" s="2"/>
      <c r="I251" s="2"/>
    </row>
    <row r="252" spans="1:9">
      <c r="A252" s="2"/>
      <c r="B252" s="2"/>
      <c r="C252" s="2"/>
      <c r="D252" s="2"/>
      <c r="E252" s="15"/>
      <c r="F252" s="2"/>
      <c r="G252" s="2"/>
      <c r="H252" s="2"/>
      <c r="I252" s="2"/>
    </row>
    <row r="253" spans="1:9">
      <c r="A253" s="2"/>
      <c r="B253" s="2"/>
      <c r="C253" s="2"/>
      <c r="D253" s="2"/>
      <c r="E253" s="15"/>
      <c r="F253" s="2"/>
      <c r="G253" s="2"/>
      <c r="H253" s="2"/>
      <c r="I253" s="2"/>
    </row>
    <row r="254" spans="1:9">
      <c r="A254" s="2"/>
      <c r="B254" s="2"/>
      <c r="C254" s="2"/>
      <c r="D254" s="2"/>
      <c r="E254" s="15"/>
      <c r="F254" s="2"/>
      <c r="G254" s="2"/>
      <c r="H254" s="2"/>
      <c r="I254" s="2"/>
    </row>
    <row r="255" spans="1:9">
      <c r="A255" s="2"/>
      <c r="B255" s="2"/>
      <c r="C255" s="2"/>
      <c r="D255" s="2"/>
      <c r="E255" s="15"/>
      <c r="F255" s="2"/>
      <c r="G255" s="2"/>
      <c r="H255" s="2"/>
      <c r="I255" s="2"/>
    </row>
    <row r="256" spans="1:9">
      <c r="A256" s="2"/>
      <c r="B256" s="2"/>
      <c r="C256" s="2"/>
      <c r="D256" s="2"/>
      <c r="E256" s="15"/>
      <c r="F256" s="2"/>
      <c r="G256" s="2"/>
      <c r="H256" s="2"/>
      <c r="I256" s="2"/>
    </row>
    <row r="257" spans="1:9">
      <c r="A257" s="2"/>
      <c r="B257" s="2"/>
      <c r="C257" s="2"/>
      <c r="D257" s="2"/>
      <c r="E257" s="15"/>
      <c r="F257" s="2"/>
      <c r="G257" s="2"/>
      <c r="H257" s="2"/>
      <c r="I257" s="2"/>
    </row>
    <row r="258" spans="1:9">
      <c r="A258" s="2"/>
      <c r="B258" s="2"/>
      <c r="C258" s="2"/>
      <c r="D258" s="2"/>
      <c r="E258" s="15"/>
      <c r="F258" s="2"/>
      <c r="G258" s="2"/>
      <c r="H258" s="2"/>
      <c r="I258" s="2"/>
    </row>
    <row r="259" spans="1:9">
      <c r="A259" s="2"/>
      <c r="B259" s="2"/>
      <c r="C259" s="2"/>
      <c r="D259" s="2"/>
      <c r="E259" s="15"/>
      <c r="F259" s="2"/>
      <c r="G259" s="2"/>
      <c r="H259" s="2"/>
      <c r="I259" s="2"/>
    </row>
    <row r="260" spans="1:9">
      <c r="A260" s="2"/>
      <c r="B260" s="2"/>
      <c r="C260" s="2"/>
      <c r="D260" s="2"/>
      <c r="E260" s="15"/>
      <c r="F260" s="2"/>
      <c r="G260" s="2"/>
      <c r="H260" s="2"/>
      <c r="I260" s="2"/>
    </row>
    <row r="261" spans="1:9">
      <c r="A261" s="2"/>
      <c r="B261" s="2"/>
      <c r="C261" s="2"/>
      <c r="D261" s="2"/>
      <c r="E261" s="15"/>
      <c r="F261" s="2"/>
      <c r="G261" s="2"/>
      <c r="H261" s="2"/>
      <c r="I261" s="2"/>
    </row>
    <row r="262" spans="1:9">
      <c r="A262" s="2"/>
      <c r="B262" s="2"/>
      <c r="C262" s="2"/>
      <c r="D262" s="2"/>
      <c r="E262" s="15"/>
      <c r="F262" s="2"/>
      <c r="G262" s="2"/>
      <c r="H262" s="2"/>
      <c r="I262" s="2"/>
    </row>
    <row r="263" spans="1:9">
      <c r="A263" s="2"/>
      <c r="B263" s="2"/>
      <c r="C263" s="2"/>
      <c r="D263" s="2"/>
      <c r="E263" s="15"/>
      <c r="F263" s="2"/>
      <c r="G263" s="2"/>
      <c r="H263" s="2"/>
      <c r="I263" s="2"/>
    </row>
    <row r="264" spans="1:9">
      <c r="A264" s="2"/>
      <c r="B264" s="2"/>
      <c r="C264" s="2"/>
      <c r="D264" s="2"/>
      <c r="E264" s="15"/>
      <c r="F264" s="2"/>
      <c r="G264" s="2"/>
      <c r="H264" s="2"/>
      <c r="I264" s="2"/>
    </row>
    <row r="265" spans="1:9">
      <c r="A265" s="2"/>
      <c r="B265" s="2"/>
      <c r="C265" s="2"/>
      <c r="D265" s="2"/>
      <c r="E265" s="15"/>
      <c r="F265" s="2"/>
      <c r="G265" s="2"/>
      <c r="H265" s="2"/>
      <c r="I265" s="2"/>
    </row>
    <row r="266" spans="1:9">
      <c r="A266" s="2"/>
      <c r="B266" s="2"/>
      <c r="C266" s="2"/>
      <c r="D266" s="2"/>
      <c r="E266" s="15"/>
      <c r="F266" s="2"/>
      <c r="G266" s="2"/>
      <c r="H266" s="2"/>
      <c r="I266" s="2"/>
    </row>
    <row r="267" spans="1:9">
      <c r="A267" s="2"/>
      <c r="B267" s="2"/>
      <c r="C267" s="2"/>
      <c r="D267" s="2"/>
      <c r="E267" s="15"/>
      <c r="F267" s="2"/>
      <c r="G267" s="2"/>
      <c r="H267" s="2"/>
      <c r="I267" s="2"/>
    </row>
    <row r="268" spans="1:9">
      <c r="A268" s="2"/>
      <c r="B268" s="2"/>
      <c r="C268" s="2"/>
      <c r="D268" s="2"/>
      <c r="E268" s="15"/>
      <c r="F268" s="2"/>
      <c r="G268" s="2"/>
      <c r="H268" s="2"/>
      <c r="I268" s="2"/>
    </row>
    <row r="269" spans="1:9">
      <c r="A269" s="2"/>
      <c r="B269" s="2"/>
      <c r="C269" s="2"/>
      <c r="D269" s="2"/>
      <c r="E269" s="15"/>
      <c r="F269" s="2"/>
      <c r="G269" s="2"/>
      <c r="H269" s="2"/>
      <c r="I269" s="2"/>
    </row>
    <row r="270" spans="1:9">
      <c r="A270" s="2"/>
      <c r="B270" s="2"/>
      <c r="C270" s="2"/>
      <c r="D270" s="2"/>
      <c r="E270" s="15"/>
      <c r="F270" s="2"/>
      <c r="G270" s="2"/>
      <c r="H270" s="2"/>
      <c r="I270" s="2"/>
    </row>
    <row r="271" spans="1:9">
      <c r="A271" s="2"/>
      <c r="B271" s="2"/>
      <c r="C271" s="2"/>
      <c r="D271" s="2"/>
      <c r="E271" s="15"/>
      <c r="F271" s="2"/>
      <c r="G271" s="2"/>
      <c r="H271" s="2"/>
      <c r="I271" s="2"/>
    </row>
    <row r="272" spans="1:9">
      <c r="A272" s="2"/>
      <c r="B272" s="2"/>
      <c r="C272" s="2"/>
      <c r="D272" s="2"/>
      <c r="E272" s="15"/>
      <c r="F272" s="2"/>
      <c r="G272" s="2"/>
      <c r="H272" s="2"/>
      <c r="I272" s="2"/>
    </row>
    <row r="273" spans="1:9">
      <c r="A273" s="2"/>
      <c r="B273" s="2"/>
      <c r="C273" s="2"/>
      <c r="D273" s="2"/>
      <c r="E273" s="15"/>
      <c r="F273" s="2"/>
      <c r="G273" s="2"/>
      <c r="H273" s="2"/>
      <c r="I273" s="2"/>
    </row>
    <row r="274" spans="1:9">
      <c r="A274" s="2"/>
      <c r="B274" s="2"/>
      <c r="C274" s="2"/>
      <c r="D274" s="2"/>
      <c r="E274" s="15"/>
      <c r="F274" s="2"/>
      <c r="G274" s="2"/>
      <c r="H274" s="2"/>
      <c r="I274" s="2"/>
    </row>
    <row r="275" spans="1:9">
      <c r="A275" s="2"/>
      <c r="B275" s="2"/>
      <c r="C275" s="2"/>
      <c r="D275" s="2"/>
      <c r="E275" s="15"/>
      <c r="F275" s="2"/>
      <c r="G275" s="2"/>
      <c r="H275" s="2"/>
      <c r="I275" s="2"/>
    </row>
    <row r="276" spans="1:9">
      <c r="A276" s="2"/>
      <c r="B276" s="2"/>
      <c r="C276" s="2"/>
      <c r="D276" s="2"/>
      <c r="E276" s="15"/>
      <c r="F276" s="2"/>
      <c r="G276" s="2"/>
      <c r="H276" s="2"/>
      <c r="I276" s="2"/>
    </row>
    <row r="277" spans="1:9">
      <c r="A277" s="2"/>
      <c r="B277" s="2"/>
      <c r="C277" s="2"/>
      <c r="D277" s="2"/>
      <c r="E277" s="15"/>
      <c r="F277" s="2"/>
      <c r="G277" s="2"/>
      <c r="H277" s="2"/>
      <c r="I277" s="2"/>
    </row>
    <row r="278" spans="1:9">
      <c r="A278" s="2"/>
      <c r="B278" s="2"/>
      <c r="C278" s="2"/>
      <c r="D278" s="2"/>
      <c r="E278" s="15"/>
      <c r="F278" s="2"/>
      <c r="G278" s="2"/>
      <c r="H278" s="2"/>
      <c r="I278" s="2"/>
    </row>
    <row r="279" spans="1:9">
      <c r="A279" s="2"/>
      <c r="B279" s="2"/>
      <c r="C279" s="2"/>
      <c r="D279" s="2"/>
      <c r="E279" s="15"/>
      <c r="F279" s="2"/>
      <c r="G279" s="2"/>
      <c r="H279" s="2"/>
      <c r="I279" s="2"/>
    </row>
    <row r="280" spans="1:9">
      <c r="A280" s="2"/>
      <c r="B280" s="2"/>
      <c r="C280" s="2"/>
      <c r="D280" s="2"/>
      <c r="E280" s="15"/>
      <c r="F280" s="2"/>
      <c r="G280" s="2"/>
      <c r="H280" s="2"/>
      <c r="I280" s="2"/>
    </row>
    <row r="281" spans="1:9">
      <c r="A281" s="2"/>
      <c r="B281" s="2"/>
      <c r="C281" s="2"/>
      <c r="D281" s="2"/>
      <c r="E281" s="15"/>
      <c r="F281" s="2"/>
      <c r="G281" s="2"/>
      <c r="H281" s="2"/>
      <c r="I281" s="2"/>
    </row>
    <row r="282" spans="1:9">
      <c r="A282" s="2"/>
      <c r="B282" s="2"/>
      <c r="C282" s="2"/>
      <c r="D282" s="2"/>
      <c r="E282" s="15"/>
      <c r="F282" s="2"/>
      <c r="G282" s="2"/>
      <c r="H282" s="2"/>
      <c r="I282" s="2"/>
    </row>
    <row r="283" spans="1:9">
      <c r="A283" s="2"/>
      <c r="B283" s="2"/>
      <c r="C283" s="2"/>
      <c r="D283" s="2"/>
      <c r="E283" s="15"/>
      <c r="F283" s="2"/>
      <c r="G283" s="2"/>
      <c r="H283" s="2"/>
      <c r="I283" s="2"/>
    </row>
    <row r="284" spans="1:9">
      <c r="A284" s="2"/>
      <c r="B284" s="2"/>
      <c r="C284" s="2"/>
      <c r="D284" s="2"/>
      <c r="E284" s="15"/>
      <c r="F284" s="2"/>
      <c r="G284" s="2"/>
      <c r="H284" s="2"/>
      <c r="I284" s="2"/>
    </row>
    <row r="285" spans="1:9">
      <c r="A285" s="2"/>
      <c r="B285" s="2"/>
      <c r="C285" s="2"/>
      <c r="D285" s="2"/>
      <c r="E285" s="15"/>
      <c r="F285" s="2"/>
      <c r="G285" s="2"/>
      <c r="H285" s="2"/>
      <c r="I285" s="2"/>
    </row>
    <row r="286" spans="1:9">
      <c r="A286" s="2"/>
      <c r="B286" s="2"/>
      <c r="C286" s="2"/>
      <c r="D286" s="2"/>
      <c r="E286" s="15"/>
      <c r="F286" s="2"/>
      <c r="G286" s="2"/>
      <c r="H286" s="2"/>
      <c r="I286" s="2"/>
    </row>
    <row r="287" spans="1:9">
      <c r="A287" s="2"/>
      <c r="B287" s="2"/>
      <c r="C287" s="2"/>
      <c r="D287" s="2"/>
      <c r="E287" s="15"/>
      <c r="F287" s="2"/>
      <c r="G287" s="2"/>
      <c r="H287" s="2"/>
      <c r="I287" s="2"/>
    </row>
    <row r="288" spans="1:9">
      <c r="A288" s="2"/>
      <c r="B288" s="2"/>
      <c r="C288" s="2"/>
      <c r="D288" s="2"/>
      <c r="E288" s="15"/>
      <c r="F288" s="2"/>
      <c r="G288" s="2"/>
      <c r="H288" s="2"/>
      <c r="I288" s="2"/>
    </row>
    <row r="289" spans="1:9">
      <c r="A289" s="2"/>
      <c r="B289" s="2"/>
      <c r="C289" s="2"/>
      <c r="D289" s="2"/>
      <c r="E289" s="15"/>
      <c r="F289" s="2"/>
      <c r="G289" s="2"/>
      <c r="H289" s="2"/>
      <c r="I289" s="2"/>
    </row>
    <row r="290" spans="1:9">
      <c r="A290" s="2"/>
      <c r="B290" s="2"/>
      <c r="C290" s="2"/>
      <c r="D290" s="2"/>
      <c r="E290" s="15"/>
      <c r="F290" s="2"/>
      <c r="G290" s="2"/>
      <c r="H290" s="2"/>
      <c r="I290" s="2"/>
    </row>
    <row r="291" spans="1:9">
      <c r="A291" s="2"/>
      <c r="B291" s="2"/>
      <c r="C291" s="2"/>
      <c r="D291" s="2"/>
      <c r="E291" s="15"/>
      <c r="F291" s="2"/>
      <c r="G291" s="2"/>
      <c r="H291" s="2"/>
      <c r="I291" s="2"/>
    </row>
    <row r="292" spans="1:9">
      <c r="A292" s="2"/>
      <c r="B292" s="2"/>
      <c r="C292" s="2"/>
      <c r="D292" s="2"/>
      <c r="E292" s="15"/>
      <c r="F292" s="2"/>
      <c r="G292" s="2"/>
      <c r="H292" s="2"/>
      <c r="I292" s="2"/>
    </row>
    <row r="293" spans="1:9">
      <c r="A293" s="2"/>
      <c r="B293" s="2"/>
      <c r="C293" s="2"/>
      <c r="D293" s="2"/>
      <c r="E293" s="15"/>
      <c r="F293" s="2"/>
      <c r="G293" s="2"/>
      <c r="H293" s="2"/>
      <c r="I293" s="2"/>
    </row>
    <row r="294" spans="1:9">
      <c r="A294" s="2"/>
      <c r="B294" s="2"/>
      <c r="C294" s="2"/>
      <c r="D294" s="2"/>
      <c r="E294" s="15"/>
      <c r="F294" s="2"/>
      <c r="G294" s="2"/>
      <c r="H294" s="2"/>
      <c r="I294" s="2"/>
    </row>
    <row r="295" spans="1:9">
      <c r="A295" s="2"/>
      <c r="B295" s="2"/>
      <c r="C295" s="2"/>
      <c r="D295" s="2"/>
      <c r="E295" s="15"/>
      <c r="F295" s="2"/>
      <c r="G295" s="2"/>
      <c r="H295" s="2"/>
      <c r="I295" s="2"/>
    </row>
    <row r="296" spans="1:9">
      <c r="A296" s="2"/>
      <c r="B296" s="2"/>
      <c r="C296" s="2"/>
      <c r="D296" s="2"/>
      <c r="E296" s="15"/>
      <c r="F296" s="2"/>
      <c r="G296" s="2"/>
      <c r="H296" s="2"/>
      <c r="I296" s="2"/>
    </row>
    <row r="297" spans="1:9">
      <c r="A297" s="2"/>
      <c r="B297" s="2"/>
      <c r="C297" s="2"/>
      <c r="D297" s="2"/>
      <c r="E297" s="15"/>
      <c r="F297" s="2"/>
      <c r="G297" s="2"/>
      <c r="H297" s="2"/>
      <c r="I297" s="2"/>
    </row>
    <row r="298" spans="1:9">
      <c r="A298" s="2"/>
      <c r="B298" s="2"/>
      <c r="C298" s="2"/>
      <c r="D298" s="2"/>
      <c r="E298" s="15"/>
      <c r="F298" s="2"/>
      <c r="G298" s="2"/>
      <c r="H298" s="2"/>
      <c r="I298" s="2"/>
    </row>
    <row r="299" spans="1:9">
      <c r="A299" s="2"/>
      <c r="B299" s="2"/>
      <c r="C299" s="2"/>
      <c r="D299" s="2"/>
      <c r="E299" s="15"/>
      <c r="F299" s="2"/>
      <c r="G299" s="2"/>
      <c r="H299" s="2"/>
      <c r="I299" s="2"/>
    </row>
    <row r="300" spans="1:9">
      <c r="A300" s="2"/>
      <c r="B300" s="2"/>
      <c r="C300" s="2"/>
      <c r="D300" s="2"/>
      <c r="E300" s="15"/>
      <c r="F300" s="2"/>
      <c r="G300" s="2"/>
      <c r="H300" s="2"/>
      <c r="I300" s="2"/>
    </row>
    <row r="301" spans="1:9">
      <c r="A301" s="2"/>
      <c r="B301" s="2"/>
      <c r="C301" s="2"/>
      <c r="D301" s="2"/>
      <c r="E301" s="15"/>
      <c r="F301" s="2"/>
      <c r="G301" s="2"/>
      <c r="H301" s="2"/>
      <c r="I301" s="2"/>
    </row>
    <row r="302" spans="1:9">
      <c r="A302" s="2"/>
      <c r="B302" s="2"/>
      <c r="C302" s="2"/>
      <c r="D302" s="2"/>
      <c r="E302" s="15"/>
      <c r="F302" s="2"/>
      <c r="G302" s="2"/>
      <c r="H302" s="2"/>
      <c r="I302" s="2"/>
    </row>
    <row r="303" spans="1:9">
      <c r="A303" s="2"/>
      <c r="B303" s="2"/>
      <c r="C303" s="2"/>
      <c r="D303" s="2"/>
      <c r="E303" s="15"/>
      <c r="F303" s="2"/>
      <c r="G303" s="2"/>
      <c r="H303" s="2"/>
      <c r="I303" s="2"/>
    </row>
    <row r="304" spans="1:9">
      <c r="A304" s="2"/>
      <c r="B304" s="2"/>
      <c r="C304" s="2"/>
      <c r="D304" s="2"/>
      <c r="E304" s="15"/>
      <c r="F304" s="2"/>
      <c r="G304" s="2"/>
      <c r="H304" s="2"/>
      <c r="I304" s="2"/>
    </row>
    <row r="305" spans="1:9">
      <c r="A305" s="2"/>
      <c r="B305" s="2"/>
      <c r="C305" s="2"/>
      <c r="D305" s="2"/>
      <c r="E305" s="15"/>
      <c r="F305" s="2"/>
      <c r="G305" s="2"/>
      <c r="H305" s="2"/>
      <c r="I305" s="2"/>
    </row>
    <row r="306" spans="1:9">
      <c r="A306" s="2"/>
      <c r="B306" s="2"/>
      <c r="C306" s="2"/>
      <c r="D306" s="2"/>
      <c r="E306" s="15"/>
      <c r="F306" s="2"/>
      <c r="G306" s="2"/>
      <c r="H306" s="2"/>
      <c r="I306" s="2"/>
    </row>
    <row r="307" spans="1:9">
      <c r="A307" s="2"/>
      <c r="B307" s="2"/>
      <c r="C307" s="2"/>
      <c r="D307" s="2"/>
      <c r="E307" s="15"/>
      <c r="F307" s="2"/>
      <c r="G307" s="2"/>
      <c r="H307" s="2"/>
      <c r="I307" s="2"/>
    </row>
    <row r="308" spans="1:9">
      <c r="A308" s="2"/>
      <c r="B308" s="2"/>
      <c r="C308" s="2"/>
      <c r="D308" s="2"/>
      <c r="E308" s="15"/>
      <c r="F308" s="2"/>
      <c r="G308" s="2"/>
      <c r="H308" s="2"/>
      <c r="I308" s="2"/>
    </row>
    <row r="309" spans="1:9">
      <c r="A309" s="2"/>
      <c r="B309" s="2"/>
      <c r="C309" s="2"/>
      <c r="D309" s="2"/>
      <c r="E309" s="15"/>
      <c r="F309" s="2"/>
      <c r="G309" s="2"/>
      <c r="H309" s="2"/>
      <c r="I309" s="2"/>
    </row>
    <row r="310" spans="1:9">
      <c r="A310" s="2"/>
      <c r="B310" s="2"/>
      <c r="C310" s="2"/>
      <c r="D310" s="2"/>
      <c r="E310" s="15"/>
      <c r="F310" s="2"/>
      <c r="G310" s="2"/>
      <c r="H310" s="2"/>
      <c r="I310" s="2"/>
    </row>
    <row r="311" spans="1:9">
      <c r="A311" s="2"/>
      <c r="B311" s="2"/>
      <c r="C311" s="2"/>
      <c r="D311" s="2"/>
      <c r="E311" s="15"/>
      <c r="F311" s="2"/>
      <c r="G311" s="2"/>
      <c r="H311" s="2"/>
      <c r="I311" s="2"/>
    </row>
    <row r="312" spans="1:9">
      <c r="A312" s="2"/>
      <c r="B312" s="2"/>
      <c r="C312" s="2"/>
      <c r="D312" s="2"/>
      <c r="E312" s="15"/>
      <c r="F312" s="2"/>
      <c r="G312" s="2"/>
      <c r="H312" s="2"/>
      <c r="I312" s="2"/>
    </row>
    <row r="313" spans="1:9">
      <c r="A313" s="2"/>
      <c r="B313" s="2"/>
      <c r="C313" s="2"/>
      <c r="D313" s="2"/>
      <c r="E313" s="15"/>
      <c r="F313" s="2"/>
      <c r="G313" s="2"/>
      <c r="H313" s="2"/>
      <c r="I313" s="2"/>
    </row>
    <row r="314" spans="1:9">
      <c r="A314" s="2"/>
      <c r="B314" s="2"/>
      <c r="C314" s="2"/>
      <c r="D314" s="2"/>
      <c r="E314" s="15"/>
      <c r="F314" s="2"/>
      <c r="G314" s="2"/>
      <c r="H314" s="2"/>
      <c r="I314" s="2"/>
    </row>
    <row r="315" spans="1:9">
      <c r="A315" s="2"/>
      <c r="B315" s="2"/>
      <c r="C315" s="2"/>
      <c r="D315" s="2"/>
      <c r="E315" s="15"/>
      <c r="F315" s="2"/>
      <c r="G315" s="2"/>
      <c r="H315" s="2"/>
      <c r="I315" s="2"/>
    </row>
    <row r="316" spans="1:9">
      <c r="A316" s="2"/>
      <c r="B316" s="2"/>
      <c r="C316" s="2"/>
      <c r="D316" s="2"/>
      <c r="E316" s="15"/>
      <c r="F316" s="2"/>
      <c r="G316" s="2"/>
      <c r="H316" s="2"/>
      <c r="I316" s="2"/>
    </row>
    <row r="317" spans="1:9">
      <c r="A317" s="2"/>
      <c r="B317" s="2"/>
      <c r="C317" s="2"/>
      <c r="D317" s="2"/>
      <c r="E317" s="15"/>
      <c r="F317" s="2"/>
      <c r="G317" s="2"/>
      <c r="H317" s="2"/>
      <c r="I317" s="2"/>
    </row>
    <row r="318" spans="1:9">
      <c r="A318" s="2"/>
      <c r="B318" s="2"/>
      <c r="C318" s="2"/>
      <c r="D318" s="2"/>
      <c r="E318" s="15"/>
      <c r="F318" s="2"/>
      <c r="G318" s="2"/>
      <c r="H318" s="2"/>
      <c r="I318" s="2"/>
    </row>
    <row r="319" spans="1:9">
      <c r="A319" s="2"/>
      <c r="B319" s="2"/>
      <c r="C319" s="2"/>
      <c r="D319" s="2"/>
      <c r="E319" s="15"/>
      <c r="F319" s="2"/>
      <c r="G319" s="2"/>
      <c r="H319" s="2"/>
      <c r="I319" s="2"/>
    </row>
    <row r="320" spans="1:9">
      <c r="A320" s="2"/>
      <c r="B320" s="2"/>
      <c r="C320" s="2"/>
      <c r="D320" s="2"/>
      <c r="E320" s="15"/>
      <c r="F320" s="2"/>
      <c r="G320" s="2"/>
      <c r="H320" s="2"/>
      <c r="I320" s="2"/>
    </row>
    <row r="321" spans="1:9">
      <c r="A321" s="2"/>
      <c r="B321" s="2"/>
      <c r="C321" s="2"/>
      <c r="D321" s="2"/>
      <c r="E321" s="15"/>
      <c r="F321" s="2"/>
      <c r="G321" s="2"/>
      <c r="H321" s="2"/>
      <c r="I321" s="2"/>
    </row>
    <row r="322" spans="1:9">
      <c r="A322" s="2"/>
      <c r="B322" s="2"/>
      <c r="C322" s="2"/>
      <c r="D322" s="2"/>
      <c r="E322" s="15"/>
      <c r="F322" s="2"/>
      <c r="G322" s="2"/>
      <c r="H322" s="2"/>
      <c r="I322" s="2"/>
    </row>
    <row r="323" spans="1:9">
      <c r="A323" s="2"/>
      <c r="B323" s="2"/>
      <c r="C323" s="2"/>
      <c r="D323" s="2"/>
      <c r="E323" s="15"/>
      <c r="F323" s="2"/>
      <c r="G323" s="2"/>
      <c r="H323" s="2"/>
      <c r="I323" s="2"/>
    </row>
    <row r="324" spans="1:9">
      <c r="A324" s="2"/>
      <c r="B324" s="2"/>
      <c r="C324" s="2"/>
      <c r="D324" s="2"/>
      <c r="E324" s="15"/>
      <c r="F324" s="2"/>
      <c r="G324" s="2"/>
      <c r="H324" s="2"/>
      <c r="I324" s="2"/>
    </row>
    <row r="325" spans="1:9">
      <c r="A325" s="2"/>
      <c r="B325" s="2"/>
      <c r="C325" s="2"/>
      <c r="D325" s="2"/>
      <c r="E325" s="15"/>
      <c r="F325" s="2"/>
      <c r="G325" s="2"/>
      <c r="H325" s="2"/>
      <c r="I325" s="2"/>
    </row>
    <row r="326" spans="1:9">
      <c r="A326" s="2"/>
      <c r="B326" s="2"/>
      <c r="C326" s="2"/>
      <c r="D326" s="2"/>
      <c r="E326" s="15"/>
      <c r="F326" s="2"/>
      <c r="G326" s="2"/>
      <c r="H326" s="2"/>
      <c r="I326" s="2"/>
    </row>
    <row r="327" spans="1:9">
      <c r="A327" s="2"/>
      <c r="B327" s="2"/>
      <c r="C327" s="2"/>
      <c r="D327" s="2"/>
      <c r="E327" s="15"/>
      <c r="F327" s="2"/>
      <c r="G327" s="2"/>
      <c r="H327" s="2"/>
      <c r="I327" s="2"/>
    </row>
    <row r="328" spans="1:9">
      <c r="A328" s="2"/>
      <c r="B328" s="2"/>
      <c r="C328" s="2"/>
      <c r="D328" s="2"/>
      <c r="E328" s="15"/>
      <c r="F328" s="2"/>
      <c r="G328" s="2"/>
      <c r="H328" s="2"/>
      <c r="I328" s="2"/>
    </row>
    <row r="329" spans="1:9">
      <c r="A329" s="2"/>
      <c r="B329" s="2"/>
      <c r="C329" s="2"/>
      <c r="D329" s="2"/>
      <c r="E329" s="15"/>
      <c r="F329" s="2"/>
      <c r="G329" s="2"/>
      <c r="H329" s="2"/>
      <c r="I329" s="2"/>
    </row>
    <row r="330" spans="1:9">
      <c r="A330" s="2"/>
      <c r="B330" s="2"/>
      <c r="C330" s="2"/>
      <c r="D330" s="2"/>
      <c r="E330" s="15"/>
      <c r="F330" s="2"/>
      <c r="G330" s="2"/>
      <c r="H330" s="2"/>
      <c r="I330" s="2"/>
    </row>
    <row r="331" spans="1:9">
      <c r="A331" s="2"/>
      <c r="B331" s="2"/>
      <c r="C331" s="2"/>
      <c r="D331" s="2"/>
      <c r="E331" s="15"/>
      <c r="F331" s="2"/>
      <c r="G331" s="2"/>
      <c r="H331" s="2"/>
      <c r="I331" s="2"/>
    </row>
    <row r="332" spans="1:9">
      <c r="A332" s="2"/>
      <c r="B332" s="2"/>
      <c r="C332" s="2"/>
      <c r="D332" s="2"/>
      <c r="E332" s="15"/>
      <c r="F332" s="2"/>
      <c r="G332" s="2"/>
      <c r="H332" s="2"/>
      <c r="I332" s="2"/>
    </row>
    <row r="333" spans="1:9">
      <c r="A333" s="2"/>
      <c r="B333" s="2"/>
      <c r="C333" s="2"/>
      <c r="D333" s="2"/>
      <c r="E333" s="15"/>
      <c r="F333" s="2"/>
      <c r="G333" s="2"/>
      <c r="H333" s="2"/>
      <c r="I333" s="2"/>
    </row>
    <row r="334" spans="1:9">
      <c r="A334" s="2"/>
      <c r="B334" s="2"/>
      <c r="C334" s="2"/>
      <c r="D334" s="2"/>
      <c r="E334" s="15"/>
      <c r="F334" s="2"/>
      <c r="G334" s="2"/>
      <c r="H334" s="2"/>
      <c r="I334" s="2"/>
    </row>
    <row r="335" spans="1:9">
      <c r="A335" s="2"/>
      <c r="B335" s="2"/>
      <c r="C335" s="2"/>
      <c r="D335" s="2"/>
      <c r="E335" s="15"/>
      <c r="F335" s="2"/>
      <c r="G335" s="2"/>
      <c r="H335" s="2"/>
      <c r="I335" s="2"/>
    </row>
    <row r="336" spans="1:9">
      <c r="A336" s="2"/>
      <c r="B336" s="2"/>
      <c r="C336" s="2"/>
      <c r="D336" s="2"/>
      <c r="E336" s="15"/>
      <c r="F336" s="2"/>
      <c r="G336" s="2"/>
      <c r="H336" s="2"/>
      <c r="I336" s="2"/>
    </row>
    <row r="337" spans="1:9">
      <c r="A337" s="2"/>
      <c r="B337" s="2"/>
      <c r="C337" s="2"/>
      <c r="D337" s="2"/>
      <c r="E337" s="15"/>
      <c r="F337" s="2"/>
      <c r="G337" s="2"/>
      <c r="H337" s="2"/>
      <c r="I337" s="2"/>
    </row>
    <row r="338" spans="1:9">
      <c r="A338" s="2"/>
      <c r="B338" s="2"/>
      <c r="C338" s="2"/>
      <c r="D338" s="2"/>
      <c r="E338" s="15"/>
      <c r="F338" s="2"/>
      <c r="G338" s="2"/>
      <c r="H338" s="2"/>
      <c r="I338" s="2"/>
    </row>
    <row r="339" spans="1:9">
      <c r="A339" s="2"/>
      <c r="B339" s="2"/>
      <c r="C339" s="2"/>
      <c r="D339" s="2"/>
      <c r="E339" s="15"/>
      <c r="F339" s="2"/>
      <c r="G339" s="2"/>
      <c r="H339" s="2"/>
      <c r="I339" s="2"/>
    </row>
    <row r="340" spans="1:9">
      <c r="A340" s="2"/>
      <c r="B340" s="2"/>
      <c r="C340" s="2"/>
      <c r="D340" s="2"/>
      <c r="E340" s="15"/>
      <c r="F340" s="2"/>
      <c r="G340" s="2"/>
      <c r="H340" s="2"/>
      <c r="I340" s="2"/>
    </row>
    <row r="341" spans="1:9">
      <c r="A341" s="2"/>
      <c r="B341" s="2"/>
      <c r="C341" s="2"/>
      <c r="D341" s="2"/>
      <c r="E341" s="15"/>
      <c r="F341" s="2"/>
      <c r="G341" s="2"/>
      <c r="H341" s="2"/>
      <c r="I341" s="2"/>
    </row>
    <row r="342" spans="1:9">
      <c r="A342" s="2"/>
      <c r="B342" s="2"/>
      <c r="C342" s="2"/>
      <c r="D342" s="2"/>
      <c r="E342" s="15"/>
      <c r="F342" s="2"/>
      <c r="G342" s="2"/>
      <c r="H342" s="2"/>
      <c r="I342" s="2"/>
    </row>
    <row r="343" spans="1:9">
      <c r="A343" s="2"/>
      <c r="B343" s="2"/>
      <c r="C343" s="2"/>
      <c r="D343" s="2"/>
      <c r="E343" s="15"/>
      <c r="F343" s="2"/>
      <c r="G343" s="2"/>
      <c r="H343" s="2"/>
      <c r="I343" s="2"/>
    </row>
    <row r="344" spans="1:9">
      <c r="A344" s="2"/>
      <c r="B344" s="2"/>
      <c r="C344" s="2"/>
      <c r="D344" s="2"/>
      <c r="E344" s="15"/>
      <c r="F344" s="2"/>
      <c r="G344" s="2"/>
      <c r="H344" s="2"/>
      <c r="I344" s="2"/>
    </row>
    <row r="345" spans="1:9">
      <c r="A345" s="2"/>
      <c r="B345" s="2"/>
      <c r="C345" s="2"/>
      <c r="D345" s="2"/>
      <c r="E345" s="15"/>
      <c r="F345" s="2"/>
      <c r="G345" s="2"/>
      <c r="H345" s="2"/>
      <c r="I345" s="2"/>
    </row>
    <row r="346" spans="1:9">
      <c r="A346" s="2"/>
      <c r="B346" s="2"/>
      <c r="C346" s="2"/>
      <c r="D346" s="2"/>
      <c r="E346" s="15"/>
      <c r="F346" s="2"/>
      <c r="G346" s="2"/>
      <c r="H346" s="2"/>
      <c r="I346" s="2"/>
    </row>
    <row r="347" spans="1:9">
      <c r="A347" s="2"/>
      <c r="B347" s="2"/>
      <c r="C347" s="2"/>
      <c r="D347" s="2"/>
      <c r="E347" s="15"/>
      <c r="F347" s="2"/>
      <c r="G347" s="2"/>
      <c r="H347" s="2"/>
      <c r="I347" s="2"/>
    </row>
    <row r="348" spans="1:9">
      <c r="A348" s="2"/>
      <c r="B348" s="2"/>
      <c r="C348" s="2"/>
      <c r="D348" s="2"/>
      <c r="E348" s="15"/>
      <c r="F348" s="2"/>
      <c r="G348" s="2"/>
      <c r="H348" s="2"/>
      <c r="I348" s="2"/>
    </row>
    <row r="349" spans="1:9">
      <c r="A349" s="2"/>
      <c r="B349" s="2"/>
      <c r="C349" s="2"/>
      <c r="D349" s="2"/>
      <c r="E349" s="15"/>
      <c r="F349" s="2"/>
      <c r="G349" s="2"/>
      <c r="H349" s="2"/>
      <c r="I349" s="2"/>
    </row>
    <row r="350" spans="1:9">
      <c r="A350" s="2"/>
      <c r="B350" s="2"/>
      <c r="C350" s="2"/>
      <c r="D350" s="2"/>
      <c r="E350" s="15"/>
      <c r="F350" s="2"/>
      <c r="G350" s="2"/>
      <c r="H350" s="2"/>
      <c r="I350" s="2"/>
    </row>
    <row r="351" spans="1:9">
      <c r="A351" s="2"/>
      <c r="B351" s="2"/>
      <c r="C351" s="2"/>
      <c r="D351" s="2"/>
      <c r="E351" s="15"/>
      <c r="F351" s="2"/>
      <c r="G351" s="2"/>
      <c r="H351" s="2"/>
      <c r="I351" s="2"/>
    </row>
    <row r="352" spans="1:9">
      <c r="A352" s="2"/>
      <c r="B352" s="2"/>
      <c r="C352" s="2"/>
      <c r="D352" s="2"/>
      <c r="E352" s="15"/>
      <c r="F352" s="2"/>
      <c r="G352" s="2"/>
      <c r="H352" s="2"/>
      <c r="I352" s="2"/>
    </row>
    <row r="353" spans="1:9">
      <c r="A353" s="2"/>
      <c r="B353" s="2"/>
      <c r="C353" s="2"/>
      <c r="D353" s="2"/>
      <c r="E353" s="15"/>
      <c r="F353" s="2"/>
      <c r="G353" s="2"/>
      <c r="H353" s="2"/>
      <c r="I353" s="2"/>
    </row>
    <row r="354" spans="1:9">
      <c r="A354" s="2"/>
      <c r="B354" s="2"/>
      <c r="C354" s="2"/>
      <c r="D354" s="2"/>
      <c r="E354" s="15"/>
      <c r="F354" s="2"/>
      <c r="G354" s="2"/>
      <c r="H354" s="2"/>
      <c r="I354" s="2"/>
    </row>
    <row r="355" spans="1:9">
      <c r="A355" s="2"/>
      <c r="B355" s="2"/>
      <c r="C355" s="2"/>
      <c r="D355" s="2"/>
      <c r="E355" s="15"/>
      <c r="F355" s="2"/>
      <c r="G355" s="2"/>
      <c r="H355" s="2"/>
      <c r="I355" s="2"/>
    </row>
    <row r="356" spans="1:9">
      <c r="A356" s="2"/>
      <c r="B356" s="2"/>
      <c r="C356" s="2"/>
      <c r="D356" s="2"/>
      <c r="E356" s="15"/>
      <c r="F356" s="2"/>
      <c r="G356" s="2"/>
      <c r="H356" s="2"/>
      <c r="I356" s="2"/>
    </row>
    <row r="357" spans="1:9">
      <c r="A357" s="2"/>
      <c r="B357" s="2"/>
      <c r="C357" s="2"/>
      <c r="D357" s="2"/>
      <c r="E357" s="15"/>
      <c r="F357" s="2"/>
      <c r="G357" s="2"/>
      <c r="H357" s="2"/>
      <c r="I357" s="2"/>
    </row>
    <row r="358" spans="1:9">
      <c r="A358" s="2"/>
      <c r="B358" s="2"/>
      <c r="C358" s="2"/>
      <c r="D358" s="2"/>
      <c r="E358" s="15"/>
      <c r="F358" s="2"/>
      <c r="G358" s="2"/>
      <c r="H358" s="2"/>
      <c r="I358" s="2"/>
    </row>
    <row r="359" spans="1:9">
      <c r="A359" s="2"/>
      <c r="B359" s="2"/>
      <c r="C359" s="2"/>
      <c r="D359" s="2"/>
      <c r="E359" s="15"/>
      <c r="F359" s="2"/>
      <c r="G359" s="2"/>
      <c r="H359" s="2"/>
      <c r="I359" s="2"/>
    </row>
    <row r="360" spans="1:9">
      <c r="A360" s="2"/>
      <c r="B360" s="2"/>
      <c r="C360" s="2"/>
      <c r="D360" s="2"/>
      <c r="E360" s="15"/>
      <c r="F360" s="2"/>
      <c r="G360" s="2"/>
      <c r="H360" s="2"/>
      <c r="I360" s="2"/>
    </row>
    <row r="361" spans="1:9">
      <c r="A361" s="2"/>
      <c r="B361" s="2"/>
      <c r="C361" s="2"/>
      <c r="D361" s="2"/>
      <c r="E361" s="15"/>
      <c r="F361" s="2"/>
      <c r="G361" s="2"/>
      <c r="H361" s="2"/>
      <c r="I361" s="2"/>
    </row>
    <row r="362" spans="1:9">
      <c r="A362" s="2"/>
      <c r="B362" s="2"/>
      <c r="C362" s="2"/>
      <c r="D362" s="2"/>
      <c r="E362" s="15"/>
      <c r="F362" s="2"/>
      <c r="G362" s="2"/>
      <c r="H362" s="2"/>
      <c r="I362" s="2"/>
    </row>
    <row r="363" spans="1:9">
      <c r="A363" s="2"/>
      <c r="B363" s="2"/>
      <c r="C363" s="2"/>
      <c r="D363" s="2"/>
      <c r="E363" s="15"/>
      <c r="F363" s="2"/>
      <c r="G363" s="2"/>
      <c r="H363" s="2"/>
      <c r="I363" s="2"/>
    </row>
    <row r="364" spans="1:9">
      <c r="A364" s="2"/>
      <c r="B364" s="2"/>
      <c r="C364" s="2"/>
      <c r="D364" s="2"/>
      <c r="E364" s="15"/>
      <c r="F364" s="2"/>
      <c r="G364" s="2"/>
      <c r="H364" s="2"/>
      <c r="I364" s="2"/>
    </row>
    <row r="365" spans="1:9">
      <c r="A365" s="2"/>
      <c r="B365" s="2"/>
      <c r="C365" s="2"/>
      <c r="D365" s="2"/>
      <c r="E365" s="15"/>
      <c r="F365" s="2"/>
      <c r="G365" s="2"/>
      <c r="H365" s="2"/>
      <c r="I365" s="2"/>
    </row>
    <row r="366" spans="1:9">
      <c r="A366" s="2"/>
      <c r="B366" s="2"/>
      <c r="C366" s="2"/>
      <c r="D366" s="2"/>
      <c r="E366" s="15"/>
      <c r="F366" s="2"/>
      <c r="G366" s="2"/>
      <c r="H366" s="2"/>
      <c r="I366" s="2"/>
    </row>
    <row r="367" spans="1:9">
      <c r="A367" s="2"/>
      <c r="B367" s="2"/>
      <c r="C367" s="2"/>
      <c r="D367" s="2"/>
      <c r="E367" s="15"/>
      <c r="F367" s="2"/>
      <c r="G367" s="2"/>
      <c r="H367" s="2"/>
      <c r="I367" s="2"/>
    </row>
    <row r="368" spans="1:9">
      <c r="A368" s="2"/>
      <c r="B368" s="2"/>
      <c r="C368" s="2"/>
      <c r="D368" s="2"/>
      <c r="E368" s="15"/>
      <c r="F368" s="2"/>
      <c r="G368" s="2"/>
      <c r="H368" s="2"/>
      <c r="I368" s="2"/>
    </row>
    <row r="369" spans="1:9">
      <c r="A369" s="2"/>
      <c r="B369" s="2"/>
      <c r="C369" s="2"/>
      <c r="D369" s="2"/>
      <c r="E369" s="15"/>
      <c r="F369" s="2"/>
      <c r="G369" s="2"/>
      <c r="H369" s="2"/>
      <c r="I369" s="2"/>
    </row>
    <row r="370" spans="1:9">
      <c r="A370" s="2"/>
      <c r="B370" s="2"/>
      <c r="C370" s="2"/>
      <c r="D370" s="2"/>
      <c r="E370" s="15"/>
      <c r="F370" s="2"/>
      <c r="G370" s="2"/>
      <c r="H370" s="2"/>
      <c r="I370" s="2"/>
    </row>
    <row r="371" spans="1:9">
      <c r="A371" s="2"/>
      <c r="B371" s="2"/>
      <c r="C371" s="2"/>
      <c r="D371" s="2"/>
      <c r="E371" s="15"/>
      <c r="F371" s="2"/>
      <c r="G371" s="2"/>
      <c r="H371" s="2"/>
      <c r="I371" s="2"/>
    </row>
    <row r="372" spans="1:9">
      <c r="A372" s="2"/>
      <c r="B372" s="2"/>
      <c r="C372" s="2"/>
      <c r="D372" s="2"/>
      <c r="E372" s="15"/>
      <c r="F372" s="2"/>
      <c r="G372" s="2"/>
      <c r="H372" s="2"/>
      <c r="I372" s="2"/>
    </row>
    <row r="373" spans="1:9">
      <c r="A373" s="2"/>
      <c r="B373" s="2"/>
      <c r="C373" s="2"/>
      <c r="D373" s="2"/>
      <c r="E373" s="15"/>
      <c r="F373" s="2"/>
      <c r="G373" s="2"/>
      <c r="H373" s="2"/>
      <c r="I373" s="2"/>
    </row>
    <row r="374" spans="1:9">
      <c r="A374" s="2"/>
      <c r="B374" s="2"/>
      <c r="C374" s="2"/>
      <c r="D374" s="2"/>
      <c r="E374" s="15"/>
      <c r="F374" s="2"/>
      <c r="G374" s="2"/>
      <c r="H374" s="2"/>
      <c r="I374" s="2"/>
    </row>
    <row r="375" spans="1:9">
      <c r="A375" s="2"/>
      <c r="B375" s="2"/>
      <c r="C375" s="2"/>
      <c r="D375" s="2"/>
      <c r="E375" s="15"/>
      <c r="F375" s="2"/>
      <c r="G375" s="2"/>
      <c r="H375" s="2"/>
      <c r="I375" s="2"/>
    </row>
    <row r="376" spans="1:9">
      <c r="A376" s="2"/>
      <c r="B376" s="2"/>
      <c r="C376" s="2"/>
      <c r="D376" s="2"/>
      <c r="E376" s="15"/>
      <c r="F376" s="2"/>
      <c r="G376" s="2"/>
      <c r="H376" s="2"/>
      <c r="I376" s="2"/>
    </row>
    <row r="377" spans="1:9">
      <c r="A377" s="2"/>
      <c r="B377" s="2"/>
      <c r="C377" s="2"/>
      <c r="D377" s="2"/>
      <c r="E377" s="15"/>
      <c r="F377" s="2"/>
      <c r="G377" s="2"/>
      <c r="H377" s="2"/>
      <c r="I377" s="2"/>
    </row>
    <row r="378" spans="1:9">
      <c r="A378" s="2"/>
      <c r="B378" s="2"/>
      <c r="C378" s="2"/>
      <c r="D378" s="2"/>
      <c r="E378" s="15"/>
      <c r="F378" s="2"/>
      <c r="G378" s="2"/>
      <c r="H378" s="2"/>
      <c r="I378" s="2"/>
    </row>
    <row r="379" spans="1:9">
      <c r="A379" s="2"/>
      <c r="B379" s="2"/>
      <c r="C379" s="2"/>
      <c r="D379" s="2"/>
      <c r="E379" s="15"/>
      <c r="F379" s="2"/>
      <c r="G379" s="2"/>
      <c r="H379" s="2"/>
      <c r="I379" s="2"/>
    </row>
    <row r="380" spans="1:9">
      <c r="A380" s="2"/>
      <c r="B380" s="2"/>
      <c r="C380" s="2"/>
      <c r="D380" s="2"/>
      <c r="E380" s="15"/>
      <c r="F380" s="2"/>
      <c r="G380" s="2"/>
      <c r="H380" s="2"/>
      <c r="I380" s="2"/>
    </row>
    <row r="381" spans="1:9">
      <c r="A381" s="2"/>
      <c r="B381" s="2"/>
      <c r="C381" s="2"/>
      <c r="D381" s="2"/>
      <c r="E381" s="15"/>
      <c r="F381" s="2"/>
      <c r="G381" s="2"/>
      <c r="H381" s="2"/>
      <c r="I381" s="2"/>
    </row>
    <row r="382" spans="1:9">
      <c r="A382" s="2"/>
      <c r="B382" s="2"/>
      <c r="C382" s="2"/>
      <c r="D382" s="2"/>
      <c r="E382" s="15"/>
      <c r="F382" s="2"/>
      <c r="G382" s="2"/>
      <c r="H382" s="2"/>
      <c r="I382" s="2"/>
    </row>
    <row r="383" spans="1:9">
      <c r="A383" s="2"/>
      <c r="B383" s="2"/>
      <c r="C383" s="2"/>
      <c r="D383" s="2"/>
      <c r="E383" s="15"/>
      <c r="F383" s="2"/>
      <c r="G383" s="2"/>
      <c r="H383" s="2"/>
      <c r="I383" s="2"/>
    </row>
    <row r="384" spans="1:9">
      <c r="A384" s="2"/>
      <c r="B384" s="2"/>
      <c r="C384" s="2"/>
      <c r="D384" s="2"/>
      <c r="E384" s="15"/>
      <c r="F384" s="2"/>
      <c r="G384" s="2"/>
      <c r="H384" s="2"/>
      <c r="I384" s="2"/>
    </row>
    <row r="385" spans="1:9">
      <c r="A385" s="2"/>
      <c r="B385" s="2"/>
      <c r="C385" s="2"/>
      <c r="D385" s="2"/>
      <c r="E385" s="15"/>
      <c r="F385" s="2"/>
      <c r="G385" s="2"/>
      <c r="H385" s="2"/>
      <c r="I385" s="2"/>
    </row>
    <row r="386" spans="1:9">
      <c r="A386" s="2"/>
      <c r="B386" s="2"/>
      <c r="C386" s="2"/>
      <c r="D386" s="2"/>
      <c r="E386" s="15"/>
      <c r="F386" s="2"/>
      <c r="G386" s="2"/>
      <c r="H386" s="2"/>
      <c r="I386" s="2"/>
    </row>
    <row r="387" spans="1:9">
      <c r="A387" s="2"/>
      <c r="B387" s="2"/>
      <c r="C387" s="2"/>
      <c r="D387" s="2"/>
      <c r="E387" s="15"/>
      <c r="F387" s="2"/>
      <c r="G387" s="2"/>
      <c r="H387" s="2"/>
      <c r="I387" s="2"/>
    </row>
    <row r="388" spans="1:9">
      <c r="A388" s="2"/>
      <c r="B388" s="2"/>
      <c r="C388" s="2"/>
      <c r="D388" s="2"/>
      <c r="E388" s="15"/>
      <c r="F388" s="2"/>
      <c r="G388" s="2"/>
      <c r="H388" s="2"/>
      <c r="I388" s="2"/>
    </row>
    <row r="389" spans="1:9">
      <c r="A389" s="2"/>
      <c r="B389" s="2"/>
      <c r="C389" s="2"/>
      <c r="D389" s="2"/>
      <c r="E389" s="15"/>
      <c r="F389" s="2"/>
      <c r="G389" s="2"/>
      <c r="H389" s="2"/>
      <c r="I389" s="2"/>
    </row>
    <row r="390" spans="1:9">
      <c r="A390" s="2"/>
      <c r="B390" s="2"/>
      <c r="C390" s="2"/>
      <c r="D390" s="2"/>
      <c r="E390" s="15"/>
      <c r="F390" s="2"/>
      <c r="G390" s="2"/>
      <c r="H390" s="2"/>
      <c r="I390" s="2"/>
    </row>
    <row r="391" spans="1:9">
      <c r="A391" s="2"/>
      <c r="B391" s="2"/>
      <c r="C391" s="2"/>
      <c r="D391" s="2"/>
      <c r="E391" s="15"/>
      <c r="F391" s="2"/>
      <c r="G391" s="2"/>
      <c r="H391" s="2"/>
      <c r="I391" s="2"/>
    </row>
    <row r="392" spans="1:9">
      <c r="A392" s="2"/>
      <c r="B392" s="2"/>
      <c r="C392" s="2"/>
      <c r="D392" s="2"/>
      <c r="E392" s="15"/>
      <c r="F392" s="2"/>
      <c r="G392" s="2"/>
      <c r="H392" s="2"/>
      <c r="I392" s="2"/>
    </row>
    <row r="393" spans="1:9">
      <c r="A393" s="2"/>
      <c r="B393" s="2"/>
      <c r="C393" s="2"/>
      <c r="D393" s="2"/>
      <c r="E393" s="15"/>
      <c r="F393" s="2"/>
      <c r="G393" s="2"/>
      <c r="H393" s="2"/>
      <c r="I393" s="2"/>
    </row>
    <row r="394" spans="1:9">
      <c r="A394" s="2"/>
      <c r="B394" s="2"/>
      <c r="C394" s="2"/>
      <c r="D394" s="2"/>
      <c r="E394" s="15"/>
      <c r="F394" s="2"/>
      <c r="G394" s="2"/>
      <c r="H394" s="2"/>
      <c r="I394" s="2"/>
    </row>
    <row r="395" spans="1:9">
      <c r="A395" s="2"/>
      <c r="B395" s="2"/>
      <c r="C395" s="2"/>
      <c r="D395" s="2"/>
      <c r="E395" s="15"/>
      <c r="F395" s="2"/>
      <c r="G395" s="2"/>
      <c r="H395" s="2"/>
      <c r="I395" s="2"/>
    </row>
    <row r="396" spans="1:9">
      <c r="A396" s="2"/>
      <c r="B396" s="2"/>
      <c r="C396" s="2"/>
      <c r="D396" s="2"/>
      <c r="E396" s="15"/>
      <c r="F396" s="2"/>
      <c r="G396" s="2"/>
      <c r="H396" s="2"/>
      <c r="I396" s="2"/>
    </row>
    <row r="397" spans="1:9">
      <c r="A397" s="2"/>
      <c r="B397" s="2"/>
      <c r="C397" s="2"/>
      <c r="D397" s="2"/>
      <c r="E397" s="15"/>
      <c r="F397" s="2"/>
      <c r="G397" s="2"/>
      <c r="H397" s="2"/>
      <c r="I397" s="2"/>
    </row>
    <row r="398" spans="1:9">
      <c r="A398" s="2"/>
      <c r="B398" s="2"/>
      <c r="C398" s="2"/>
      <c r="D398" s="2"/>
      <c r="E398" s="15"/>
      <c r="F398" s="2"/>
      <c r="G398" s="2"/>
      <c r="H398" s="2"/>
      <c r="I398" s="2"/>
    </row>
    <row r="399" spans="1:9">
      <c r="A399" s="2"/>
      <c r="B399" s="2"/>
      <c r="C399" s="2"/>
      <c r="D399" s="2"/>
      <c r="E399" s="15"/>
      <c r="F399" s="2"/>
      <c r="G399" s="2"/>
      <c r="H399" s="2"/>
      <c r="I399" s="2"/>
    </row>
  </sheetData>
  <dataValidations count="3">
    <dataValidation type="list" allowBlank="1" sqref="D2:D399">
      <formula1>"买入,持续追踪,卖出"</formula1>
    </dataValidation>
    <dataValidation type="date" operator="between" allowBlank="1" sqref="E2:E399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399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5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102</v>
      </c>
      <c r="B1" s="3" t="s">
        <v>103</v>
      </c>
      <c r="C1" s="3" t="s">
        <v>104</v>
      </c>
    </row>
    <row r="2" ht="17" spans="1:3">
      <c r="A2" s="4" t="s">
        <v>105</v>
      </c>
      <c r="B2" s="8">
        <f>COUNT(单次交易!M2:M88)</f>
        <v>10</v>
      </c>
      <c r="C2" s="4" t="s">
        <v>106</v>
      </c>
    </row>
    <row r="3" ht="17" spans="1:3">
      <c r="A3" s="4" t="s">
        <v>107</v>
      </c>
      <c r="B3" s="8">
        <f>COUNTIF(单次交易!X2:X88,"&gt;0")</f>
        <v>3</v>
      </c>
      <c r="C3" s="4" t="s">
        <v>108</v>
      </c>
    </row>
    <row r="4" ht="17" spans="1:3">
      <c r="A4" s="4" t="s">
        <v>109</v>
      </c>
      <c r="B4" s="8">
        <f>COUNTIF(单次交易!X2:X88,"&lt;0")</f>
        <v>7</v>
      </c>
      <c r="C4" s="4" t="s">
        <v>110</v>
      </c>
    </row>
    <row r="5" ht="17" spans="1:3">
      <c r="A5" s="4" t="s">
        <v>111</v>
      </c>
      <c r="B5" s="8">
        <f>COUNTIFS(单次交易!M2:M88,"&lt;&gt;",单次交易!X2:X88,"=0")</f>
        <v>0</v>
      </c>
      <c r="C5" s="4" t="s">
        <v>112</v>
      </c>
    </row>
    <row r="6" ht="17" spans="1:3">
      <c r="A6" s="4" t="s">
        <v>113</v>
      </c>
      <c r="B6" s="7">
        <f>IFERROR(B3/(B3+B4),"")</f>
        <v>0.3</v>
      </c>
      <c r="C6" s="4" t="s">
        <v>114</v>
      </c>
    </row>
    <row r="7" ht="17" spans="1:3">
      <c r="A7" s="4" t="s">
        <v>115</v>
      </c>
      <c r="B7" s="7">
        <f>IFERROR(B4/(B3+B4),"")</f>
        <v>0.7</v>
      </c>
      <c r="C7" s="4" t="s">
        <v>116</v>
      </c>
    </row>
    <row r="8" ht="17" spans="1:3">
      <c r="A8" s="4" t="s">
        <v>117</v>
      </c>
      <c r="B8" s="7">
        <f>IFERROR(AVERAGEIF(单次交易!X2:X88,"&gt;0",单次交易!AE2:AE88),"")</f>
        <v>0.0456597209231521</v>
      </c>
      <c r="C8" s="4" t="s">
        <v>118</v>
      </c>
    </row>
    <row r="9" ht="17" spans="1:3">
      <c r="A9" s="4" t="s">
        <v>119</v>
      </c>
      <c r="B9" s="7">
        <f>IFERROR(-AVERAGEIF(单次交易!X2:X88,"&lt;0",单次交易!AE2:AE88),"")</f>
        <v>0.0194593772695781</v>
      </c>
      <c r="C9" s="4" t="s">
        <v>120</v>
      </c>
    </row>
    <row r="10" ht="17" spans="1:3">
      <c r="A10" s="4" t="s">
        <v>121</v>
      </c>
      <c r="B10" s="8">
        <f>SUMIF(单次交易!X2:X88,"&gt;0",单次交易!AA2:AA88)</f>
        <v>624</v>
      </c>
      <c r="C10" s="4" t="s">
        <v>122</v>
      </c>
    </row>
    <row r="11" ht="17" spans="1:3">
      <c r="A11" s="4" t="s">
        <v>123</v>
      </c>
      <c r="B11" s="8">
        <f>SUMIF(单次交易!X2:X88,"&lt;0",单次交易!AA2:AA88)</f>
        <v>134</v>
      </c>
      <c r="C11" s="4" t="s">
        <v>122</v>
      </c>
    </row>
    <row r="12" ht="17" spans="1:3">
      <c r="A12" s="4" t="s">
        <v>124</v>
      </c>
      <c r="B12" s="5">
        <f>IFERROR(SUMPRODUCT(单次交易!AO2:AO88,单次交易!AP2:AP88)/COUNT(单次交易!AP2:AP88),"")</f>
        <v>38613.2</v>
      </c>
      <c r="C12" s="4" t="s">
        <v>125</v>
      </c>
    </row>
    <row r="13" ht="17" spans="1:3">
      <c r="A13" s="4" t="s">
        <v>126</v>
      </c>
      <c r="B13" s="7">
        <f>IF(OR(B6="",B7="",B8="",B9=""),"",B6*B8-B7*B9)</f>
        <v>7.63521882409801e-5</v>
      </c>
      <c r="C13" s="4" t="s">
        <v>127</v>
      </c>
    </row>
    <row r="14" ht="17" spans="1:3">
      <c r="A14" s="4" t="s">
        <v>128</v>
      </c>
      <c r="B14" s="7">
        <f>IF(COUNT(单次交易!AE2:AE88)=0,"",EXP(SUMPRODUCT(IFERROR(LN(1+单次交易!AE2:AE88),0)))-1)</f>
        <v>-0.00475000000000014</v>
      </c>
      <c r="C14" s="4" t="s">
        <v>129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C12" sqref="C12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102</v>
      </c>
      <c r="B1" s="9" t="s">
        <v>130</v>
      </c>
      <c r="C1" s="9" t="s">
        <v>131</v>
      </c>
    </row>
    <row r="2" ht="17" spans="1:3">
      <c r="A2" s="4" t="s">
        <v>132</v>
      </c>
      <c r="B2" s="10">
        <v>100000</v>
      </c>
      <c r="C2" s="4" t="s">
        <v>133</v>
      </c>
    </row>
    <row r="3" ht="17" spans="1:3">
      <c r="A3" s="4" t="s">
        <v>134</v>
      </c>
      <c r="B3" s="5">
        <f>IF(B2="","",B2+SUM(单次交易!X2:X88))</f>
        <v>99525</v>
      </c>
      <c r="C3" s="4" t="s">
        <v>135</v>
      </c>
    </row>
    <row r="4" ht="17" spans="1:3">
      <c r="A4" s="4" t="s">
        <v>136</v>
      </c>
      <c r="B4" s="6">
        <v>0.02</v>
      </c>
      <c r="C4" s="4" t="s">
        <v>137</v>
      </c>
    </row>
    <row r="5" ht="17" spans="1:3">
      <c r="A5" s="4" t="s">
        <v>138</v>
      </c>
      <c r="B5" s="5">
        <f>IF(B3="","",B3*B4)</f>
        <v>1990.5</v>
      </c>
      <c r="C5" s="4" t="s">
        <v>139</v>
      </c>
    </row>
    <row r="6" ht="17" spans="1:3">
      <c r="A6" s="4" t="s">
        <v>140</v>
      </c>
      <c r="B6" s="6">
        <v>0.06</v>
      </c>
      <c r="C6" s="4" t="s">
        <v>141</v>
      </c>
    </row>
    <row r="7" ht="17" spans="1:3">
      <c r="A7" s="4" t="s">
        <v>142</v>
      </c>
      <c r="B7" s="5">
        <f>IF(B3="","",B3*B6)</f>
        <v>5971.5</v>
      </c>
      <c r="C7" s="4" t="s">
        <v>143</v>
      </c>
    </row>
    <row r="8" ht="17" spans="1:3">
      <c r="A8" s="4" t="s">
        <v>144</v>
      </c>
      <c r="B8" s="5">
        <f ca="1">SUMIFS(单次交易!X2:X88,单次交易!X2:X88,"&lt;0",单次交易!M2:M88,"&gt;="&amp;EOMONTH(TODAY(),-1)+1,单次交易!M2:M88,"&lt;="&amp;EOMONTH(TODAY(),0))</f>
        <v>0</v>
      </c>
      <c r="C8" s="4" t="s">
        <v>145</v>
      </c>
    </row>
    <row r="9" ht="17" spans="1:3">
      <c r="A9" s="4" t="s">
        <v>146</v>
      </c>
      <c r="B9" s="5">
        <f>IFERROR(SUM(单次交易!AQ2:AQ88),0)</f>
        <v>0</v>
      </c>
      <c r="C9" s="4" t="s">
        <v>147</v>
      </c>
    </row>
    <row r="10" ht="17" spans="1:3">
      <c r="A10" s="4" t="s">
        <v>148</v>
      </c>
      <c r="B10" s="5">
        <f>IF(OR(B7="",B9=""),"",B7-B9)</f>
        <v>5971.5</v>
      </c>
      <c r="C10" s="4" t="s">
        <v>149</v>
      </c>
    </row>
    <row r="11" ht="17" spans="1:3">
      <c r="A11" s="4" t="s">
        <v>150</v>
      </c>
      <c r="B11" s="7">
        <f>IF(OR(B2="",B3="",B2&lt;=0),"",B3/B2-1)</f>
        <v>-0.00474999999999981</v>
      </c>
      <c r="C11" s="4" t="s">
        <v>151</v>
      </c>
    </row>
    <row r="12" spans="1:3">
      <c r="A12" s="4"/>
      <c r="B12" s="4"/>
      <c r="C12" s="4"/>
    </row>
    <row r="13" ht="17" spans="1:3">
      <c r="A13" s="4" t="s">
        <v>152</v>
      </c>
      <c r="B13" s="6">
        <v>0.06</v>
      </c>
      <c r="C13" s="4" t="s">
        <v>153</v>
      </c>
    </row>
    <row r="14" ht="17" spans="1:3">
      <c r="A14" s="4" t="s">
        <v>154</v>
      </c>
      <c r="B14" s="11">
        <f>IFERROR(LOOKUP(2,1/((单次交易!$M$2:$M$88&lt;&gt;"")*(单次交易!$X$2:$X$88&gt;0)),ROW(单次交易!$X$2:$X$88)-1),0)</f>
        <v>7</v>
      </c>
      <c r="C14" s="4" t="s">
        <v>155</v>
      </c>
    </row>
    <row r="15" ht="17" spans="1:3">
      <c r="A15" s="4" t="s">
        <v>156</v>
      </c>
      <c r="B15" s="11">
        <f>IFERROR(LOOKUP(2,1/(单次交易!$M$2:$M$88&lt;&gt;""),ROW(单次交易!$M$2:$M$88)-1),0)</f>
        <v>10</v>
      </c>
      <c r="C15" s="4" t="s">
        <v>157</v>
      </c>
    </row>
    <row r="16" ht="17" spans="1:3">
      <c r="A16" s="4" t="s">
        <v>158</v>
      </c>
      <c r="B16" s="12"/>
      <c r="C16" s="4" t="s">
        <v>159</v>
      </c>
    </row>
    <row r="17" ht="17" spans="1:3">
      <c r="A17" s="4" t="s">
        <v>160</v>
      </c>
      <c r="B17" s="13" t="s">
        <v>161</v>
      </c>
      <c r="C17" s="14" t="s">
        <v>162</v>
      </c>
    </row>
    <row r="18" ht="17" spans="1:3">
      <c r="A18" s="4" t="s">
        <v>163</v>
      </c>
      <c r="B18" s="11">
        <f>MAX(B14,IF(AND(ISNUMBER(B16),B16&gt;=1,B16&lt;=B15,B17&lt;&gt;""),B16,0))</f>
        <v>7</v>
      </c>
      <c r="C18" s="4" t="s">
        <v>164</v>
      </c>
    </row>
    <row r="19" ht="17" spans="1:3">
      <c r="A19" s="4" t="s">
        <v>165</v>
      </c>
      <c r="B19" s="5" t="e">
        <f ca="1">IF(B2="","",IF(B18=0,B2,B2+SUM(单次交易!#REF!:INDEX(单次交易!$X:$X,B18+1))))</f>
        <v>#REF!</v>
      </c>
      <c r="C19" s="4" t="s">
        <v>166</v>
      </c>
    </row>
    <row r="20" ht="17" spans="1:3">
      <c r="A20" s="4" t="s">
        <v>167</v>
      </c>
      <c r="B20" s="5" t="e">
        <f>IF(B18&gt;=B15,0,-SUMPRODUCT((ROW(单次交易!$X$2:$X$88)-1&gt;B18)*(单次交易!$M$2:$M$88&lt;&gt;"")*(IFERROR(单次交易!$X$2:$X$88,0)&lt;0)*IFERROR(单次交易!$X$2:$X$88,0)))</f>
        <v>#VALUE!</v>
      </c>
      <c r="C20" s="4" t="s">
        <v>168</v>
      </c>
    </row>
    <row r="21" ht="17" spans="1:3">
      <c r="A21" s="4" t="s">
        <v>169</v>
      </c>
      <c r="B21" s="7" t="e">
        <f ca="1">IF(OR(B19="",B19&lt;=0),"",B20/B19)</f>
        <v>#REF!</v>
      </c>
      <c r="C21" s="4" t="s">
        <v>170</v>
      </c>
    </row>
    <row r="22" ht="17" spans="1:3">
      <c r="A22" s="4" t="s">
        <v>171</v>
      </c>
      <c r="B22" s="7" t="e">
        <f ca="1">IF(OR(B13="",B13&lt;=0,B21=""),"",B21/B13)</f>
        <v>#REF!</v>
      </c>
      <c r="C22" s="4" t="s">
        <v>172</v>
      </c>
    </row>
    <row r="23" ht="17" spans="1:3">
      <c r="A23" s="4" t="s">
        <v>173</v>
      </c>
      <c r="B23" s="8" t="str">
        <f ca="1"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174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102</v>
      </c>
      <c r="B1" s="3" t="s">
        <v>130</v>
      </c>
      <c r="C1" s="3" t="s">
        <v>104</v>
      </c>
    </row>
    <row r="2" ht="17" spans="1:3">
      <c r="A2" s="4" t="s">
        <v>175</v>
      </c>
      <c r="B2" s="5">
        <f>账户数据!B3</f>
        <v>99525</v>
      </c>
      <c r="C2" s="4" t="s">
        <v>176</v>
      </c>
    </row>
    <row r="3" ht="17" spans="1:3">
      <c r="A3" s="4" t="s">
        <v>177</v>
      </c>
      <c r="B3" s="6">
        <v>0.1</v>
      </c>
      <c r="C3" s="4" t="s">
        <v>178</v>
      </c>
    </row>
    <row r="4" ht="17" spans="1:3">
      <c r="A4" s="4" t="s">
        <v>179</v>
      </c>
      <c r="B4" s="5">
        <f>IF(OR(B2="",B3=""),"",B2*B3)</f>
        <v>9952.5</v>
      </c>
      <c r="C4" s="4" t="s">
        <v>180</v>
      </c>
    </row>
    <row r="5" ht="17" spans="1:3">
      <c r="A5" s="4" t="s">
        <v>124</v>
      </c>
      <c r="B5" s="5">
        <f>多次统计数据!B12</f>
        <v>38613.2</v>
      </c>
      <c r="C5" s="4" t="s">
        <v>181</v>
      </c>
    </row>
    <row r="6" ht="17" spans="1:3">
      <c r="A6" s="4" t="s">
        <v>182</v>
      </c>
      <c r="B6" s="7">
        <f>多次统计数据!B13</f>
        <v>7.63521882409801e-5</v>
      </c>
      <c r="C6" s="4" t="s">
        <v>183</v>
      </c>
    </row>
    <row r="7" ht="17" spans="1:3">
      <c r="A7" s="4" t="s">
        <v>184</v>
      </c>
      <c r="B7" s="8">
        <f>IF(OR(B3="",B6="",B3&lt;=0,B6&lt;=0),"暂不可计算",ROUNDUP(LN(1+B3)/LN(1+B6),0))</f>
        <v>1249</v>
      </c>
      <c r="C7" s="4" t="s">
        <v>185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186</v>
      </c>
      <c r="B1" s="1" t="s">
        <v>187</v>
      </c>
      <c r="C1" s="1" t="s">
        <v>188</v>
      </c>
    </row>
    <row r="2" ht="17" spans="1:3">
      <c r="A2" s="2" t="s">
        <v>189</v>
      </c>
      <c r="B2" s="2" t="s">
        <v>190</v>
      </c>
      <c r="C2" s="2" t="s">
        <v>191</v>
      </c>
    </row>
    <row r="3" ht="17" spans="1:3">
      <c r="A3" s="2" t="s">
        <v>192</v>
      </c>
      <c r="B3" s="2" t="s">
        <v>193</v>
      </c>
      <c r="C3" s="2" t="s">
        <v>194</v>
      </c>
    </row>
    <row r="4" ht="17" spans="1:3">
      <c r="A4" s="2" t="s">
        <v>195</v>
      </c>
      <c r="B4" s="2" t="s">
        <v>196</v>
      </c>
      <c r="C4" s="2" t="s">
        <v>197</v>
      </c>
    </row>
    <row r="5" ht="17" spans="1:3">
      <c r="A5" s="2" t="s">
        <v>198</v>
      </c>
      <c r="B5" s="2" t="s">
        <v>193</v>
      </c>
      <c r="C5" s="2" t="s">
        <v>199</v>
      </c>
    </row>
    <row r="6" ht="17" spans="1:3">
      <c r="A6" s="2" t="s">
        <v>64</v>
      </c>
      <c r="B6" s="2" t="s">
        <v>200</v>
      </c>
      <c r="C6" s="2" t="s">
        <v>201</v>
      </c>
    </row>
    <row r="7" ht="17" spans="1:3">
      <c r="A7" s="2" t="s">
        <v>202</v>
      </c>
      <c r="B7" s="2" t="s">
        <v>196</v>
      </c>
      <c r="C7" s="2" t="s">
        <v>203</v>
      </c>
    </row>
    <row r="8" ht="17" spans="1:3">
      <c r="A8" s="2" t="s">
        <v>204</v>
      </c>
      <c r="B8" s="2" t="s">
        <v>196</v>
      </c>
      <c r="C8" s="2" t="s">
        <v>205</v>
      </c>
    </row>
    <row r="9" ht="17" spans="1:3">
      <c r="A9" s="2" t="s">
        <v>206</v>
      </c>
      <c r="B9" s="2" t="s">
        <v>207</v>
      </c>
      <c r="C9" s="2" t="s">
        <v>208</v>
      </c>
    </row>
    <row r="10" ht="17" spans="1:3">
      <c r="A10" s="2" t="s">
        <v>209</v>
      </c>
      <c r="B10" s="2" t="s">
        <v>210</v>
      </c>
      <c r="C10" s="2" t="s">
        <v>211</v>
      </c>
    </row>
    <row r="11" ht="17" spans="1:3">
      <c r="A11" s="2" t="s">
        <v>212</v>
      </c>
      <c r="B11" s="2" t="s">
        <v>210</v>
      </c>
      <c r="C11" s="2" t="s">
        <v>213</v>
      </c>
    </row>
    <row r="12" ht="17" spans="1:3">
      <c r="A12" s="2" t="s">
        <v>214</v>
      </c>
      <c r="B12" s="2" t="s">
        <v>190</v>
      </c>
      <c r="C12" s="2" t="s">
        <v>215</v>
      </c>
    </row>
    <row r="13" ht="17" spans="1:3">
      <c r="A13" s="2" t="s">
        <v>216</v>
      </c>
      <c r="B13" s="2" t="s">
        <v>190</v>
      </c>
      <c r="C13" s="2" t="s">
        <v>217</v>
      </c>
    </row>
    <row r="14" ht="17" spans="1:3">
      <c r="A14" s="2" t="s">
        <v>218</v>
      </c>
      <c r="B14" s="2" t="s">
        <v>193</v>
      </c>
      <c r="C14" s="2" t="s">
        <v>219</v>
      </c>
    </row>
    <row r="15" ht="17" spans="1:3">
      <c r="A15" s="2" t="s">
        <v>220</v>
      </c>
      <c r="B15" s="2" t="s">
        <v>193</v>
      </c>
      <c r="C15" s="2" t="s">
        <v>221</v>
      </c>
    </row>
    <row r="16" ht="17" spans="1:3">
      <c r="A16" s="2" t="s">
        <v>222</v>
      </c>
      <c r="B16" s="2" t="s">
        <v>200</v>
      </c>
      <c r="C16" s="2" t="s">
        <v>223</v>
      </c>
    </row>
    <row r="17" ht="17" spans="1:3">
      <c r="A17" s="2" t="s">
        <v>224</v>
      </c>
      <c r="B17" s="2" t="s">
        <v>196</v>
      </c>
      <c r="C17" s="2" t="s">
        <v>225</v>
      </c>
    </row>
    <row r="18" ht="17" spans="1:3">
      <c r="A18" s="2" t="s">
        <v>226</v>
      </c>
      <c r="B18" s="2" t="s">
        <v>207</v>
      </c>
      <c r="C18" s="2" t="s">
        <v>227</v>
      </c>
    </row>
    <row r="19" ht="17" spans="1:3">
      <c r="A19" s="2" t="s">
        <v>228</v>
      </c>
      <c r="B19" s="2" t="s">
        <v>200</v>
      </c>
      <c r="C19" s="2" t="s">
        <v>229</v>
      </c>
    </row>
    <row r="20" ht="17" spans="1:3">
      <c r="A20" s="2" t="s">
        <v>230</v>
      </c>
      <c r="B20" s="2" t="s">
        <v>231</v>
      </c>
      <c r="C20" s="2" t="s">
        <v>232</v>
      </c>
    </row>
    <row r="21" ht="17" spans="1:3">
      <c r="A21" s="2" t="s">
        <v>233</v>
      </c>
      <c r="B21" s="2" t="s">
        <v>234</v>
      </c>
      <c r="C21" s="2" t="s">
        <v>235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2026-07-26T00:10:00Z</dcterms:created>
  <dcterms:modified xsi:type="dcterms:W3CDTF">2026-08-26T21:33:47Z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