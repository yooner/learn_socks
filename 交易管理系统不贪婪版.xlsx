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单次交易!$A$2:$A$88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<sst xmlns="http://schemas.openxmlformats.org/spreadsheetml/2006/main" count="387" uniqueCount="254">
  <si>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</si>
  <si>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</si>
  <si>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</si>
  <si>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</si>
  <si>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</si>
  <si>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</si>
  <si>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</si>
  <si>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</si>
  <si>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</si>
  <si>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</si>
  <si>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</si>
  <si>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</si>
  <si>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</si>
  <si>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</si>
  <si>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</si>
  <si>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</si>
  <si>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</si>
  <si>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</si>
  <si>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</si>
  <si>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</si>
  <si>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</si>
  <si>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</si>
  <si>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</si>
  <si>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</si>
  <si>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</si>
  <si>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</si>
  <si>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</si>
  <si>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</si>
  <si>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</si>
  <si>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</si>
  <si>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</si>
  <si>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</si>
  <si>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</si>
  <si>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</si>
  <si>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</si>
  <si>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</si>
  <si>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</si>
  <si>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</si>
  <si>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</si>
  <si>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</si>
  <si>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</si>
  <si>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</si>
  <si>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</si>
  <si>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</si>
  <si>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节电风能</t>
  </si>
  <si>
    <t>4-良好</t>
  </si>
  <si>
    <t>短期博反弹</t>
  </si>
  <si>
    <t>4～10个交易日</t>
  </si>
  <si>
    <t>不一定能冲到4块，但是最近交易量上来了</t>
  </si>
  <si>
    <t>4块压力很大</t>
  </si>
  <si>
    <t>3-一般</t>
  </si>
  <si>
    <t>3.3有压力，甚至3都有压力</t>
  </si>
  <si>
    <t>3块有压力</t>
  </si>
  <si>
    <t>1-差</t>
  </si>
  <si>
    <t>贪婪</t>
  </si>
  <si>
    <t>2块有压力</t>
  </si>
  <si>
    <t>2-较差</t>
  </si>
  <si>
    <t>趋势波段</t>
  </si>
  <si>
    <t>21～60个交易日</t>
  </si>
  <si>
    <t>恒瑞医药</t>
  </si>
  <si>
    <t>突破冲新高</t>
  </si>
  <si>
    <t>11～20个交易日</t>
  </si>
  <si>
    <t>上方有卖压，但是消耗了，获利的已经走了</t>
  </si>
  <si>
    <t>5-优秀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</si>
  <si>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</si>
  <si>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</si>
  <si>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</si>
  <si>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</si>
  <si>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</si>
  <si>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</si>
  <si>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</si>
  <si>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</si>
  <si>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</si>
  <si>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</si>
  <si>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</si>
  <si>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</si>
  <si>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</si>
  <si>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</si>
  <si>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</si>
  <si>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</si>
  <si>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</si>
  <si>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</si>
  <si>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</si>
  <si>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</si>
  <si>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</si>
  <si>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</si>
  <si>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</si>
  <si>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</si>
  <si>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</si>
  <si>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每日跟踪</t>
  </si>
  <si>
    <t>执行卖出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</si>
  <si>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</si>
  <si>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</si>
  <si>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</si>
  <si>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</si>
  <si>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</si>
  <si>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</si>
  <si>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</si>
  <si>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</si>
  <si>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买入理由1，买入量上升，买入理由2，有sow，买入理由3，没有跌破支撑 买入理由4，有可能跨越小溪一下子到4块以上，不买理由</t>
  </si>
  <si>
    <t>不买理由1，没有明显的sow，可能继续下跌没 买入理由1，下降趋势已经停止，不买理由2，可能持续吸筹，买入理由2，下发支撑明显</t>
  </si>
  <si>
    <t>不买理由1，没有交易量，可能吸筹持续时间很长，买入理由2，没有供应，前方有sow 这是自然回测，可能有第二波高开，重点看跌不跌破支撑，没跌破就上冲，跌破就下跌</t>
  </si>
  <si>
    <t>1.不买理由1 话没有看到明显的拉升型号，不买理由2，上方供应多，买入理由1 成交量明显变大 买入理由2 没破支撑</t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</si>
  <si>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</si>
  <si>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</si>
  <si>
    <t>1.下跌过程中，买入理由2 成交量不见，底部稳</t>
  </si>
  <si>
    <t>不买理由1，上方4块压力位</t>
  </si>
  <si>
    <t>买入理由，支撑没破，不买理由不强势，买入理由，趋势趋稳，不买理由可能要很长一段时间</t>
  </si>
  <si>
    <t>不买理由1 3块压力巨大，买入理由，没有跌破sow，不买理由2，但是走的时间太长了，可能是派发，</t>
  </si>
  <si>
    <t>不买理由，已经高位 买入理由，温和上涨，不买理由可能回调比较大，甩开，买入理由，成交量不叫稳定，一直有人买</t>
  </si>
  <si>
    <t>买入理由，又出现了买入量，且站上了30，不买理由没有之前强势，供应变多了，要小心，跌破就跑</t>
  </si>
  <si>
    <t>找不到什么不好的理由，本身就很危险</t>
  </si>
  <si>
    <t>买入理由 挺好的，交易量有，没有跌破，不买理由，没找到</t>
  </si>
  <si>
    <t>震仓，冲击50，就看能不能冲成功，短期</t>
  </si>
  <si>
    <t>买入更多，感觉跌不下去，然后震仓</t>
  </si>
  <si>
    <t>突破箱体了，形态不错</t>
  </si>
  <si>
    <t>不买理由，最近供应更大，买入理由突破了箱体，</t>
  </si>
  <si>
    <t>不买理由拉伸的太快，后面交易量没更上，买入理由100诱惑很大，</t>
  </si>
  <si>
    <t>不买理由，后续主力不买没有需求，买入理由sow很明显，不买理由还没有震仓</t>
  </si>
  <si>
    <t>局势很好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</si>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</sst>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0" fillId="0" borderId="0" xfId="0" applyFont="1"/>
    <xf numFmtId="177" fontId="3" fillId="4" borderId="1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R88">
  <autoFilter xmlns:etc="http://www.wps.cn/officeDocument/2017/etCustomData" ref="A1:AR88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name="止损价"/>
    <tableColumn id="15" name="买入总费用"/>
    <tableColumn id="16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157">
  <autoFilter xmlns:etc="http://www.wps.cn/officeDocument/2017/etCustomData" ref="A1:AC15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IF(B2="","",IFERROR(LOOKUP(2,1/(单次交易!$A$2:$A$88=B2),单次交易!$B$2:$B$88),""))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IF(B2="","",IFERROR(LOOKUP(2,1/(单次交易!$A$2:$A$88=B2),单次交易!$N$2:$N$88),""))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IF(X2&lt;&gt;"执行卖出","",IFERROR(LOOKUP(2,1/(单次交易!$A$2:$A$88=B2),单次交易!$AP$2:$AP$88),""))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$88=B2),单次交易!$E$2:$E$88)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399">
  <autoFilter xmlns:etc="http://www.wps.cn/officeDocument/2017/etCustomData" ref="A1:L399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8"/>
  <sheetViews>
    <sheetView tabSelected="1" zoomScale="115" zoomScaleNormal="115" workbookViewId="0">
      <pane xSplit="2" topLeftCell="S1" activePane="topRight" state="frozen"/>
      <selection/>
      <selection pane="topRight" activeCell="Y24" sqref="Y24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4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</row>
    <row r="2" ht="17" spans="1:44">
      <c r="A2" s="2">
        <v>1</v>
      </c>
      <c r="B2" s="13" t="s">
        <v>44</v>
      </c>
      <c r="C2" s="10">
        <v>100000</v>
      </c>
      <c r="D2" s="6">
        <v>0.02</v>
      </c>
      <c r="E2" s="10">
        <v>3.9</v>
      </c>
      <c r="F2" s="8">
        <f t="shared" ref="F2:F16" si="0">IF(OR(C2="",D2="",E2="",N2="",C2&lt;=0,D2&lt;=0,E2&lt;=N2),"",ROUNDDOWN((C2*D2)/(E2-N2)/100,0)*100)</f>
        <v>10000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5">
        <v>42570</v>
      </c>
      <c r="J2" s="10">
        <v>4</v>
      </c>
      <c r="K2" s="5">
        <v>3.68</v>
      </c>
      <c r="L2" s="8">
        <v>5000</v>
      </c>
      <c r="M2" s="18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 t="shared" ref="U2:U16" si="1">IF(OR(AO2="",J2="",AO2&lt;=0),"",(J2-AO2)/AO2)</f>
        <v>0.0256410256410257</v>
      </c>
      <c r="V2" s="7">
        <f t="shared" ref="V2:V16" si="2">IF(OR(AO2="",N2="",AO2&lt;=0),"",(AO2-N2)/AO2)</f>
        <v>0.0512820512820512</v>
      </c>
      <c r="W2" s="19">
        <f t="shared" ref="W2:W16" si="3">IF(OR(U2="",V2="",V2&lt;=0),"",U2/V2)</f>
        <v>0.500000000000001</v>
      </c>
      <c r="X2" s="5">
        <f t="shared" ref="X2:X16" si="4">IF(OR(K2="",L2="",AP2=""),"",K2*L2-(E2*H2+IF(AND(AK2&lt;&gt;"",AL2&lt;&gt;""),AK2*AL2,0)+IF(AND(AM2&lt;&gt;"",AN2&lt;&gt;""),AM2*AN2,0))-IF(O2="",0,O2)-IF(P2="",0,P2))</f>
        <v>-1100</v>
      </c>
      <c r="Y2" s="7">
        <f t="shared" ref="Y2:Y16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-0.0564102564102564</v>
      </c>
      <c r="Z2" s="7">
        <f>IF(OR(AE2="",多次统计数据!$B$8=""),"",AE2-多次统计数据!$B$8)</f>
        <v>-0.0824879167431971</v>
      </c>
      <c r="AA2" s="11">
        <f t="shared" ref="AA2:AA16" si="6"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0.0339349712190076</v>
      </c>
      <c r="AC2" s="8" t="str">
        <f>IF(OR(AB2="",多次统计数据!$B$9=""),"",IF(多次统计数据!$B$9&lt;AB2,"低于上限","达到或超过上限"))</f>
        <v>低于上限</v>
      </c>
      <c r="AD2" s="2" t="s">
        <v>45</v>
      </c>
      <c r="AE2" s="7">
        <f t="shared" ref="AE2:AE16" si="7">IF(OR(X2="",C2="",C2&lt;=0),"",X2/C2)</f>
        <v>-0.011</v>
      </c>
      <c r="AG2" s="2" t="s">
        <v>46</v>
      </c>
      <c r="AH2" s="2" t="s">
        <v>47</v>
      </c>
      <c r="AI2" s="13" t="s">
        <v>48</v>
      </c>
      <c r="AJ2" s="8" t="str">
        <f t="shared" ref="AJ2:AJ16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 t="shared" ref="AO2:AO16" si="9">IF(OR(A2="",H2="",H2&lt;=0),"",(E2*H2+IF(AND(AK2&lt;&gt;"",AL2&lt;&gt;""),AK2*AL2,0)+IF(AND(AM2&lt;&gt;"",AN2&lt;&gt;""),AM2*AN2,0))/AP2)</f>
        <v>3.9</v>
      </c>
      <c r="AP2" s="11">
        <f t="shared" ref="AP2:AP16" si="10"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$88)&gt;账户数据!$B$7,"违规：超过账户风险上限","通过")))))))))</f>
        <v>通过</v>
      </c>
    </row>
    <row r="3" ht="17" spans="1:44">
      <c r="A3" s="2">
        <v>2</v>
      </c>
      <c r="B3" s="13" t="s">
        <v>44</v>
      </c>
      <c r="C3" s="10">
        <v>98900</v>
      </c>
      <c r="D3" s="6">
        <v>0.02</v>
      </c>
      <c r="E3" s="10">
        <v>3.7</v>
      </c>
      <c r="F3" s="8">
        <f t="shared" si="0"/>
        <v>9800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5">
        <v>42653</v>
      </c>
      <c r="J3" s="10">
        <v>4</v>
      </c>
      <c r="K3" s="5">
        <v>4.22</v>
      </c>
      <c r="L3" s="8">
        <v>9800</v>
      </c>
      <c r="M3" s="18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 t="shared" si="1"/>
        <v>0.081081081081081</v>
      </c>
      <c r="V3" s="7">
        <f t="shared" si="2"/>
        <v>0.0540540540540541</v>
      </c>
      <c r="W3" s="19">
        <f t="shared" si="3"/>
        <v>1.5</v>
      </c>
      <c r="X3" s="5">
        <f t="shared" si="4"/>
        <v>5096</v>
      </c>
      <c r="Y3" s="7">
        <f t="shared" si="5"/>
        <v>0.140540540540541</v>
      </c>
      <c r="Z3" s="7">
        <f>IF(OR(AE3="",多次统计数据!$B$8=""),"",AE3-多次统计数据!$B$8)</f>
        <v>-0.0199611220010333</v>
      </c>
      <c r="AA3" s="11">
        <f t="shared" si="6"/>
        <v>10</v>
      </c>
      <c r="AB3" s="7">
        <f>IF(OR(A3="",多次统计数据!$B$8="",多次统计数据!$B$6&lt;=0,多次统计数据!$B$6&gt;=1),"",1-POWER(1+多次统计数据!$B$8,-多次统计数据!$B$6/(1-多次统计数据!$B$6)))</f>
        <v>0.0339349712190076</v>
      </c>
      <c r="AC3" s="8" t="str">
        <f>IF(OR(AB3="",多次统计数据!$B$9=""),"",IF(多次统计数据!$B$9&lt;AB3,"低于上限","达到或超过上限"))</f>
        <v>低于上限</v>
      </c>
      <c r="AD3" s="2" t="s">
        <v>45</v>
      </c>
      <c r="AE3" s="7">
        <f t="shared" si="7"/>
        <v>0.0515267947421638</v>
      </c>
      <c r="AG3" s="2" t="s">
        <v>46</v>
      </c>
      <c r="AH3" s="2" t="s">
        <v>47</v>
      </c>
      <c r="AI3" s="13" t="s">
        <v>49</v>
      </c>
      <c r="AJ3" s="8" t="str">
        <f t="shared" si="8"/>
        <v>匹配</v>
      </c>
      <c r="AK3" s="10"/>
      <c r="AL3" s="12"/>
      <c r="AM3" s="10"/>
      <c r="AN3" s="12"/>
      <c r="AO3" s="5">
        <f t="shared" si="9"/>
        <v>3.7</v>
      </c>
      <c r="AP3" s="11">
        <f t="shared" si="10"/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$88)&gt;账户数据!$B$7,"违规：超过账户风险上限","通过")))))))))</f>
        <v>通过</v>
      </c>
    </row>
    <row r="4" ht="17" spans="1:44">
      <c r="A4" s="2">
        <v>3</v>
      </c>
      <c r="B4" s="13" t="s">
        <v>44</v>
      </c>
      <c r="C4" s="10">
        <v>103996</v>
      </c>
      <c r="D4" s="6">
        <v>0.02</v>
      </c>
      <c r="E4" s="10">
        <v>3.93</v>
      </c>
      <c r="F4" s="8">
        <f t="shared" si="0"/>
        <v>9000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5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8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 t="shared" si="1"/>
        <v>0.145038167938931</v>
      </c>
      <c r="V4" s="7">
        <f t="shared" si="2"/>
        <v>0.0585241730279898</v>
      </c>
      <c r="W4" s="19">
        <f t="shared" si="3"/>
        <v>2.47826086956522</v>
      </c>
      <c r="X4" s="5">
        <f t="shared" si="4"/>
        <v>-2160</v>
      </c>
      <c r="Y4" s="7">
        <f t="shared" si="5"/>
        <v>-0.0610687022900763</v>
      </c>
      <c r="Z4" s="7">
        <f>IF(OR(AE4="",多次统计数据!$B$8=""),"",AE4-多次统计数据!$B$8)</f>
        <v>-0.0922579463597209</v>
      </c>
      <c r="AA4" s="11">
        <f t="shared" si="6"/>
        <v>32</v>
      </c>
      <c r="AB4" s="7">
        <f>IF(OR(A4="",多次统计数据!$B$8="",多次统计数据!$B$6&lt;=0,多次统计数据!$B$6&gt;=1),"",1-POWER(1+多次统计数据!$B$8,-多次统计数据!$B$6/(1-多次统计数据!$B$6)))</f>
        <v>0.0339349712190076</v>
      </c>
      <c r="AC4" s="8" t="str">
        <f>IF(OR(AB4="",多次统计数据!$B$9=""),"",IF(多次统计数据!$B$9&lt;AB4,"低于上限","达到或超过上限"))</f>
        <v>低于上限</v>
      </c>
      <c r="AD4" s="2" t="s">
        <v>45</v>
      </c>
      <c r="AE4" s="7">
        <f t="shared" si="7"/>
        <v>-0.0207700296165237</v>
      </c>
      <c r="AG4" s="2" t="s">
        <v>46</v>
      </c>
      <c r="AH4" s="2" t="s">
        <v>47</v>
      </c>
      <c r="AI4" s="13" t="s">
        <v>49</v>
      </c>
      <c r="AJ4" s="8" t="str">
        <f t="shared" si="8"/>
        <v>匹配</v>
      </c>
      <c r="AK4" s="10"/>
      <c r="AL4" s="12"/>
      <c r="AM4" s="10"/>
      <c r="AN4" s="12"/>
      <c r="AO4" s="5">
        <f t="shared" si="9"/>
        <v>3.93</v>
      </c>
      <c r="AP4" s="11">
        <f t="shared" si="10"/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$88)&gt;账户数据!$B$7,"违规：超过账户风险上限","通过")))))))))</f>
        <v>通过</v>
      </c>
    </row>
    <row r="5" ht="17" spans="1:44">
      <c r="A5" s="2">
        <v>4</v>
      </c>
      <c r="B5" s="13" t="s">
        <v>44</v>
      </c>
      <c r="C5" s="10">
        <v>101836</v>
      </c>
      <c r="D5" s="6">
        <v>0.02</v>
      </c>
      <c r="E5" s="10">
        <v>3.4</v>
      </c>
      <c r="F5" s="8">
        <f t="shared" si="0"/>
        <v>10100</v>
      </c>
      <c r="G5" s="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5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8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 t="shared" si="1"/>
        <v>0.0882352941176471</v>
      </c>
      <c r="V5" s="7">
        <f t="shared" si="2"/>
        <v>0.0588235294117646</v>
      </c>
      <c r="W5" s="19">
        <f t="shared" si="3"/>
        <v>1.5</v>
      </c>
      <c r="X5" s="5">
        <f t="shared" si="4"/>
        <v>909</v>
      </c>
      <c r="Y5" s="7">
        <f t="shared" si="5"/>
        <v>0.0264705882352941</v>
      </c>
      <c r="Z5" s="7">
        <f>IF(OR(AE5="",多次统计数据!$B$8=""),"",AE5-多次统计数据!$B$8)</f>
        <v>-0.0625618002421563</v>
      </c>
      <c r="AA5" s="11">
        <f t="shared" si="6"/>
        <v>13</v>
      </c>
      <c r="AB5" s="7">
        <f>IF(OR(A5="",多次统计数据!$B$8="",多次统计数据!$B$6&lt;=0,多次统计数据!$B$6&gt;=1),"",1-POWER(1+多次统计数据!$B$8,-多次统计数据!$B$6/(1-多次统计数据!$B$6)))</f>
        <v>0.0339349712190076</v>
      </c>
      <c r="AC5" s="8" t="str">
        <f>IF(OR(AB5="",多次统计数据!$B$9=""),"",IF(多次统计数据!$B$9&lt;AB5,"低于上限","达到或超过上限"))</f>
        <v>低于上限</v>
      </c>
      <c r="AD5" s="2" t="s">
        <v>50</v>
      </c>
      <c r="AE5" s="7">
        <f t="shared" si="7"/>
        <v>0.00892611650104089</v>
      </c>
      <c r="AG5" s="2" t="s">
        <v>46</v>
      </c>
      <c r="AH5" s="2" t="s">
        <v>47</v>
      </c>
      <c r="AI5" s="2" t="s">
        <v>49</v>
      </c>
      <c r="AJ5" s="8" t="str">
        <f t="shared" si="8"/>
        <v>匹配</v>
      </c>
      <c r="AK5" s="10"/>
      <c r="AL5" s="12"/>
      <c r="AM5" s="10"/>
      <c r="AN5" s="12"/>
      <c r="AO5" s="5">
        <f t="shared" si="9"/>
        <v>3.4</v>
      </c>
      <c r="AP5" s="11">
        <f t="shared" si="10"/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$88)&gt;账户数据!$B$7,"违规：超过账户风险上限","通过")))))))))</f>
        <v>通过</v>
      </c>
    </row>
    <row r="6" ht="17" spans="1:44">
      <c r="A6" s="2">
        <v>5</v>
      </c>
      <c r="B6" s="13" t="s">
        <v>44</v>
      </c>
      <c r="C6" s="10">
        <v>102745</v>
      </c>
      <c r="D6" s="6">
        <v>0.02</v>
      </c>
      <c r="E6" s="10">
        <v>2.87</v>
      </c>
      <c r="F6" s="8">
        <f t="shared" si="0"/>
        <v>17100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5">
        <v>43060</v>
      </c>
      <c r="J6" s="10">
        <v>3.2</v>
      </c>
      <c r="K6" s="5">
        <v>2.74</v>
      </c>
      <c r="L6" s="8">
        <v>17100</v>
      </c>
      <c r="M6" s="18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 t="shared" si="1"/>
        <v>0.114982578397213</v>
      </c>
      <c r="V6" s="7">
        <f t="shared" si="2"/>
        <v>0.0418118466898955</v>
      </c>
      <c r="W6" s="19">
        <f t="shared" si="3"/>
        <v>2.75</v>
      </c>
      <c r="X6" s="5">
        <f t="shared" si="4"/>
        <v>-2222.99999999999</v>
      </c>
      <c r="Y6" s="7">
        <f t="shared" si="5"/>
        <v>-0.0452961672473866</v>
      </c>
      <c r="Z6" s="7">
        <f>IF(OR(AE6="",多次统计数据!$B$8=""),"",AE6-多次统计数据!$B$8)</f>
        <v>-0.0931240060906106</v>
      </c>
      <c r="AA6" s="11">
        <f t="shared" si="6"/>
        <v>14</v>
      </c>
      <c r="AB6" s="7">
        <f>IF(OR(A6="",多次统计数据!$B$8="",多次统计数据!$B$6&lt;=0,多次统计数据!$B$6&gt;=1),"",1-POWER(1+多次统计数据!$B$8,-多次统计数据!$B$6/(1-多次统计数据!$B$6)))</f>
        <v>0.0339349712190076</v>
      </c>
      <c r="AC6" s="8" t="str">
        <f>IF(OR(AB6="",多次统计数据!$B$9=""),"",IF(多次统计数据!$B$9&lt;AB6,"低于上限","达到或超过上限"))</f>
        <v>低于上限</v>
      </c>
      <c r="AD6" s="2" t="s">
        <v>50</v>
      </c>
      <c r="AE6" s="7">
        <f t="shared" si="7"/>
        <v>-0.0216360893474134</v>
      </c>
      <c r="AG6" s="2" t="s">
        <v>46</v>
      </c>
      <c r="AH6" s="2" t="s">
        <v>47</v>
      </c>
      <c r="AI6" s="13" t="s">
        <v>51</v>
      </c>
      <c r="AJ6" s="8" t="str">
        <f t="shared" si="8"/>
        <v>匹配</v>
      </c>
      <c r="AK6" s="10"/>
      <c r="AL6" s="12"/>
      <c r="AM6" s="10"/>
      <c r="AN6" s="12"/>
      <c r="AO6" s="5">
        <f t="shared" si="9"/>
        <v>2.87</v>
      </c>
      <c r="AP6" s="11">
        <f t="shared" si="10"/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$88)&gt;账户数据!$B$7,"违规：超过账户风险上限","通过")))))))))</f>
        <v>通过</v>
      </c>
    </row>
    <row r="7" ht="17" spans="1:44">
      <c r="A7" s="2">
        <v>6</v>
      </c>
      <c r="B7" s="13" t="s">
        <v>44</v>
      </c>
      <c r="C7" s="10">
        <v>100522</v>
      </c>
      <c r="D7" s="6">
        <v>0.02</v>
      </c>
      <c r="E7" s="10">
        <v>2.57</v>
      </c>
      <c r="F7" s="8">
        <f t="shared" si="0"/>
        <v>11800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5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8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 t="shared" si="1"/>
        <v>0.167315175097276</v>
      </c>
      <c r="V7" s="7">
        <f t="shared" si="2"/>
        <v>0.066147859922179</v>
      </c>
      <c r="W7" s="19">
        <f t="shared" si="3"/>
        <v>2.52941176470588</v>
      </c>
      <c r="X7" s="5">
        <f t="shared" si="4"/>
        <v>-2242</v>
      </c>
      <c r="Y7" s="7">
        <f t="shared" si="5"/>
        <v>-0.0739299610894941</v>
      </c>
      <c r="Z7" s="7">
        <f>IF(OR(AE7="",多次统计数据!$B$8=""),"",AE7-多次统计数据!$B$8)</f>
        <v>-0.0937914920799393</v>
      </c>
      <c r="AA7" s="11">
        <f t="shared" si="6"/>
        <v>9</v>
      </c>
      <c r="AB7" s="7">
        <f>IF(OR(A7="",多次统计数据!$B$8="",多次统计数据!$B$6&lt;=0,多次统计数据!$B$6&gt;=1),"",1-POWER(1+多次统计数据!$B$8,-多次统计数据!$B$6/(1-多次统计数据!$B$6)))</f>
        <v>0.0339349712190076</v>
      </c>
      <c r="AC7" s="8" t="str">
        <f>IF(OR(AB7="",多次统计数据!$B$9=""),"",IF(多次统计数据!$B$9&lt;AB7,"低于上限","达到或超过上限"))</f>
        <v>低于上限</v>
      </c>
      <c r="AD7" s="2" t="s">
        <v>50</v>
      </c>
      <c r="AE7" s="7">
        <f t="shared" si="7"/>
        <v>-0.0223035753367422</v>
      </c>
      <c r="AG7" s="2" t="s">
        <v>46</v>
      </c>
      <c r="AH7" s="2" t="s">
        <v>47</v>
      </c>
      <c r="AI7" s="13" t="s">
        <v>52</v>
      </c>
      <c r="AJ7" s="8" t="str">
        <f t="shared" si="8"/>
        <v>匹配</v>
      </c>
      <c r="AK7" s="10"/>
      <c r="AL7" s="12"/>
      <c r="AM7" s="10"/>
      <c r="AN7" s="12"/>
      <c r="AO7" s="5">
        <f t="shared" si="9"/>
        <v>2.57</v>
      </c>
      <c r="AP7" s="11">
        <f t="shared" si="10"/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$88)&gt;账户数据!$B$7,"违规：超过账户风险上限","通过")))))))))</f>
        <v>通过</v>
      </c>
    </row>
    <row r="8" ht="17" spans="1:44">
      <c r="A8" s="2">
        <v>7</v>
      </c>
      <c r="B8" s="13" t="s">
        <v>44</v>
      </c>
      <c r="C8" s="10">
        <v>98280</v>
      </c>
      <c r="D8" s="6">
        <v>0.02</v>
      </c>
      <c r="E8" s="10">
        <v>1.91</v>
      </c>
      <c r="F8" s="8">
        <f t="shared" si="0"/>
        <v>32700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5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8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 t="shared" si="1"/>
        <v>0.0471204188481676</v>
      </c>
      <c r="V8" s="7">
        <f t="shared" si="2"/>
        <v>0.0314136125654449</v>
      </c>
      <c r="W8" s="19">
        <f t="shared" si="3"/>
        <v>1.50000000000001</v>
      </c>
      <c r="X8" s="5">
        <f t="shared" si="4"/>
        <v>7521</v>
      </c>
      <c r="Y8" s="7">
        <f t="shared" si="5"/>
        <v>0.120418848167539</v>
      </c>
      <c r="Z8" s="7">
        <f>IF(OR(AE8="",多次统计数据!$B$8=""),"",AE8-多次统计数据!$B$8)</f>
        <v>0.00503833478305439</v>
      </c>
      <c r="AA8" s="11">
        <f t="shared" si="6"/>
        <v>601</v>
      </c>
      <c r="AB8" s="7">
        <f>IF(OR(A8="",多次统计数据!$B$8="",多次统计数据!$B$6&lt;=0,多次统计数据!$B$6&gt;=1),"",1-POWER(1+多次统计数据!$B$8,-多次统计数据!$B$6/(1-多次统计数据!$B$6)))</f>
        <v>0.0339349712190076</v>
      </c>
      <c r="AC8" s="8" t="str">
        <f>IF(OR(AB8="",多次统计数据!$B$9=""),"",IF(多次统计数据!$B$9&lt;AB8,"低于上限","达到或超过上限"))</f>
        <v>低于上限</v>
      </c>
      <c r="AD8" s="2" t="s">
        <v>53</v>
      </c>
      <c r="AE8" s="7">
        <f t="shared" si="7"/>
        <v>0.0765262515262515</v>
      </c>
      <c r="AF8" s="20" t="s">
        <v>54</v>
      </c>
      <c r="AG8" s="2" t="s">
        <v>46</v>
      </c>
      <c r="AH8" s="2" t="s">
        <v>47</v>
      </c>
      <c r="AI8" s="13" t="s">
        <v>55</v>
      </c>
      <c r="AJ8" s="8" t="str">
        <f t="shared" si="8"/>
        <v>匹配</v>
      </c>
      <c r="AK8" s="10"/>
      <c r="AL8" s="12"/>
      <c r="AM8" s="10"/>
      <c r="AN8" s="12"/>
      <c r="AO8" s="5">
        <f t="shared" si="9"/>
        <v>1.91</v>
      </c>
      <c r="AP8" s="11">
        <f t="shared" si="10"/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$88)&gt;账户数据!$B$7,"违规：超过账户风险上限","通过")))))))))</f>
        <v>通过</v>
      </c>
    </row>
    <row r="9" ht="17" spans="1:44">
      <c r="A9" s="2">
        <v>8</v>
      </c>
      <c r="B9" s="13" t="s">
        <v>44</v>
      </c>
      <c r="C9" s="10">
        <v>105801</v>
      </c>
      <c r="D9" s="6">
        <v>0.02</v>
      </c>
      <c r="E9" s="10">
        <v>3.83</v>
      </c>
      <c r="F9" s="8">
        <f t="shared" si="0"/>
        <v>6400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6400</v>
      </c>
      <c r="I9" s="15">
        <v>44900</v>
      </c>
      <c r="J9" s="10">
        <v>4.5</v>
      </c>
      <c r="K9" s="5">
        <f>IF(A9="","",IFERROR(LOOKUP(2,1/((持仓跟踪!$B$2:$B$157=A9)*(持仓跟踪!$X$2:$X$157="执行卖出")*(持仓跟踪!$Y$2:$Y$157&lt;&gt;"")),持仓跟踪!$Y$2:$Y$157),""))</f>
        <v>3.47</v>
      </c>
      <c r="L9" s="8">
        <f>IF(A9="","",IFERROR(LOOKUP(2,1/((持仓跟踪!$B$2:$B$157=A9)*(持仓跟踪!$X$2:$X$157="执行卖出")*(持仓跟踪!$Z$2:$Z$157&lt;&gt;"")),持仓跟踪!$Z$2:$Z$157),""))</f>
        <v>6400</v>
      </c>
      <c r="M9" s="18">
        <f>IF(A9="","",IFERROR(LOOKUP(2,1/((持仓跟踪!$B$2:$B$157=A9)*(持仓跟踪!$X$2:$X$157="执行卖出")*(持仓跟踪!$H$2:$H$157&lt;&gt;"")),持仓跟踪!$H$2:$H$157),""))</f>
        <v>44914</v>
      </c>
      <c r="N9" s="10">
        <v>3.5</v>
      </c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>
        <f t="shared" si="1"/>
        <v>0.174934725848564</v>
      </c>
      <c r="V9" s="7">
        <f t="shared" si="2"/>
        <v>0.0861618798955614</v>
      </c>
      <c r="W9" s="19">
        <f t="shared" si="3"/>
        <v>2.03030303030303</v>
      </c>
      <c r="X9" s="5">
        <f t="shared" si="4"/>
        <v>-2304</v>
      </c>
      <c r="Y9" s="7">
        <f t="shared" si="5"/>
        <v>-0.0939947780678851</v>
      </c>
      <c r="Z9" s="7">
        <f>IF(OR(AE9="",多次统计数据!$B$8=""),"",AE9-多次统计数据!$B$8)</f>
        <v>-0.0932646485321216</v>
      </c>
      <c r="AA9" s="11">
        <f t="shared" si="6"/>
        <v>14</v>
      </c>
      <c r="AB9" s="7">
        <f>IF(OR(A9="",多次统计数据!$B$8="",多次统计数据!$B$6&lt;=0,多次统计数据!$B$6&gt;=1),"",1-POWER(1+多次统计数据!$B$8,-多次统计数据!$B$6/(1-多次统计数据!$B$6)))</f>
        <v>0.0339349712190076</v>
      </c>
      <c r="AC9" s="8" t="str">
        <f>IF(OR(AB9="",多次统计数据!$B$9=""),"",IF(多次统计数据!$B$9&lt;AB9,"低于上限","达到或超过上限"))</f>
        <v>低于上限</v>
      </c>
      <c r="AD9" s="2" t="s">
        <v>50</v>
      </c>
      <c r="AE9" s="7">
        <f t="shared" si="7"/>
        <v>-0.0217767317889245</v>
      </c>
      <c r="AG9" s="2" t="s">
        <v>46</v>
      </c>
      <c r="AH9" s="2" t="s">
        <v>47</v>
      </c>
      <c r="AI9" s="2" t="s">
        <v>49</v>
      </c>
      <c r="AJ9" s="8" t="str">
        <f t="shared" si="8"/>
        <v>匹配</v>
      </c>
      <c r="AK9" s="10"/>
      <c r="AL9" s="12"/>
      <c r="AM9" s="10"/>
      <c r="AN9" s="12"/>
      <c r="AO9" s="5">
        <f t="shared" si="9"/>
        <v>3.83</v>
      </c>
      <c r="AP9" s="11">
        <f t="shared" si="10"/>
        <v>6400</v>
      </c>
      <c r="AQ9" s="5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$88)&gt;账户数据!$B$7,"违规：超过账户风险上限","通过")))))))))</f>
        <v>通过</v>
      </c>
    </row>
    <row r="10" ht="17" spans="1:44">
      <c r="A10" s="2">
        <v>9</v>
      </c>
      <c r="B10" s="2" t="s">
        <v>44</v>
      </c>
      <c r="C10" s="10">
        <v>103497</v>
      </c>
      <c r="D10" s="6">
        <v>0.02</v>
      </c>
      <c r="E10" s="10">
        <v>3.68</v>
      </c>
      <c r="F10" s="8">
        <f t="shared" si="0"/>
        <v>11400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11400</v>
      </c>
      <c r="I10" s="15">
        <v>45000</v>
      </c>
      <c r="J10" s="10">
        <v>4</v>
      </c>
      <c r="K10" s="5">
        <f>IF(A10="","",IFERROR(LOOKUP(2,1/((持仓跟踪!$B$2:$B$157=A10)*(持仓跟踪!$X$2:$X$157="执行卖出")*(持仓跟踪!$Y$2:$Y$157&lt;&gt;"")),持仓跟踪!$Y$2:$Y$157),""))</f>
        <v>3.46</v>
      </c>
      <c r="L10" s="8">
        <f>IF(A10="","",IFERROR(LOOKUP(2,1/((持仓跟踪!$B$2:$B$157=A10)*(持仓跟踪!$X$2:$X$157="执行卖出")*(持仓跟踪!$Z$2:$Z$157&lt;&gt;"")),持仓跟踪!$Z$2:$Z$157),""))</f>
        <v>11400</v>
      </c>
      <c r="M10" s="18">
        <f>IF(A10="","",IFERROR(LOOKUP(2,1/((持仓跟踪!$B$2:$B$157=A10)*(持仓跟踪!$X$2:$X$157="执行卖出")*(持仓跟踪!$H$2:$H$157&lt;&gt;"")),持仓跟踪!$H$2:$H$157),""))</f>
        <v>45041</v>
      </c>
      <c r="N10" s="10">
        <v>3.5</v>
      </c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>
        <f t="shared" si="1"/>
        <v>0.0869565217391304</v>
      </c>
      <c r="V10" s="7">
        <f t="shared" si="2"/>
        <v>0.0489130434782609</v>
      </c>
      <c r="W10" s="19">
        <f t="shared" si="3"/>
        <v>1.77777777777778</v>
      </c>
      <c r="X10" s="5">
        <f t="shared" si="4"/>
        <v>-2508</v>
      </c>
      <c r="Y10" s="7">
        <f t="shared" si="5"/>
        <v>-0.0597826086956522</v>
      </c>
      <c r="Z10" s="7">
        <f>IF(OR(AE10="",多次统计数据!$B$8=""),"",AE10-多次统计数据!$B$8)</f>
        <v>-0.0957205031949784</v>
      </c>
      <c r="AA10" s="11">
        <f t="shared" si="6"/>
        <v>41</v>
      </c>
      <c r="AB10" s="7">
        <f>IF(OR(A10="",多次统计数据!$B$8="",多次统计数据!$B$6&lt;=0,多次统计数据!$B$6&gt;=1),"",1-POWER(1+多次统计数据!$B$8,-多次统计数据!$B$6/(1-多次统计数据!$B$6)))</f>
        <v>0.0339349712190076</v>
      </c>
      <c r="AC10" s="8" t="str">
        <f>IF(OR(AB10="",多次统计数据!$B$9=""),"",IF(多次统计数据!$B$9&lt;AB10,"低于上限","达到或超过上限"))</f>
        <v>低于上限</v>
      </c>
      <c r="AD10" s="2" t="s">
        <v>56</v>
      </c>
      <c r="AE10" s="7">
        <f t="shared" si="7"/>
        <v>-0.0242325864517812</v>
      </c>
      <c r="AG10" s="2" t="s">
        <v>46</v>
      </c>
      <c r="AH10" s="2" t="s">
        <v>47</v>
      </c>
      <c r="AI10" s="2"/>
      <c r="AJ10" s="8" t="str">
        <f t="shared" si="8"/>
        <v>匹配</v>
      </c>
      <c r="AK10" s="10"/>
      <c r="AL10" s="12"/>
      <c r="AM10" s="10"/>
      <c r="AN10" s="12"/>
      <c r="AO10" s="5">
        <f t="shared" si="9"/>
        <v>3.68</v>
      </c>
      <c r="AP10" s="11">
        <f t="shared" si="10"/>
        <v>11400</v>
      </c>
      <c r="AQ10" s="5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$88)&gt;账户数据!$B$7,"违规：超过账户风险上限","通过")))))))))</f>
        <v>通过</v>
      </c>
    </row>
    <row r="11" ht="17" spans="1:44">
      <c r="A11" s="2">
        <v>10</v>
      </c>
      <c r="B11" s="2" t="s">
        <v>44</v>
      </c>
      <c r="C11" s="10">
        <v>100989</v>
      </c>
      <c r="D11" s="6">
        <v>0.02</v>
      </c>
      <c r="E11" s="10">
        <v>2.86</v>
      </c>
      <c r="F11" s="8">
        <f t="shared" si="0"/>
        <v>18300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18300</v>
      </c>
      <c r="I11" s="15">
        <v>45357</v>
      </c>
      <c r="J11" s="10">
        <v>3</v>
      </c>
      <c r="K11" s="5">
        <f>IF(A11="","",IFERROR(LOOKUP(2,1/((持仓跟踪!$B$2:$B$157=A11)*(持仓跟踪!$X$2:$X$157="执行卖出")*(持仓跟踪!$Y$2:$Y$157&lt;&gt;"")),持仓跟踪!$Y$2:$Y$157),""))</f>
        <v>2.78</v>
      </c>
      <c r="L11" s="8">
        <f>IF(A11="","",IFERROR(LOOKUP(2,1/((持仓跟踪!$B$2:$B$157=A11)*(持仓跟踪!$X$2:$X$157="执行卖出")*(持仓跟踪!$Z$2:$Z$157&lt;&gt;"")),持仓跟踪!$Z$2:$Z$157),""))</f>
        <v>18300</v>
      </c>
      <c r="M11" s="18">
        <f>IF(A11="","",IFERROR(LOOKUP(2,1/((持仓跟踪!$B$2:$B$157=A11)*(持仓跟踪!$X$2:$X$157="执行卖出")*(持仓跟踪!$H$2:$H$157&lt;&gt;"")),持仓跟踪!$H$2:$H$157),""))</f>
        <v>45373</v>
      </c>
      <c r="N11" s="10">
        <v>2.75</v>
      </c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>
        <f t="shared" si="1"/>
        <v>0.048951048951049</v>
      </c>
      <c r="V11" s="7">
        <f t="shared" si="2"/>
        <v>0.0384615384615384</v>
      </c>
      <c r="W11" s="19">
        <f t="shared" si="3"/>
        <v>1.27272727272728</v>
      </c>
      <c r="X11" s="5">
        <f t="shared" si="4"/>
        <v>-1464</v>
      </c>
      <c r="Y11" s="7">
        <f t="shared" si="5"/>
        <v>-0.027972027972028</v>
      </c>
      <c r="Z11" s="7">
        <f>IF(OR(AE11="",多次统计数据!$B$8=""),"",AE11-多次统计数据!$B$8)</f>
        <v>-0.0859845450888586</v>
      </c>
      <c r="AA11" s="11">
        <f t="shared" si="6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0.0339349712190076</v>
      </c>
      <c r="AC11" s="8" t="str">
        <f>IF(OR(AB11="",多次统计数据!$B$9=""),"",IF(多次统计数据!$B$9&lt;AB11,"低于上限","达到或超过上限"))</f>
        <v>低于上限</v>
      </c>
      <c r="AD11" s="2" t="s">
        <v>50</v>
      </c>
      <c r="AE11" s="7">
        <f t="shared" si="7"/>
        <v>-0.0144966283456614</v>
      </c>
      <c r="AG11" s="2" t="s">
        <v>57</v>
      </c>
      <c r="AH11" s="2" t="s">
        <v>58</v>
      </c>
      <c r="AI11" s="2"/>
      <c r="AJ11" s="8" t="str">
        <f t="shared" si="8"/>
        <v>匹配</v>
      </c>
      <c r="AK11" s="10"/>
      <c r="AL11" s="12"/>
      <c r="AM11" s="10"/>
      <c r="AN11" s="12"/>
      <c r="AO11" s="5">
        <f t="shared" si="9"/>
        <v>2.86</v>
      </c>
      <c r="AP11" s="11">
        <f t="shared" si="10"/>
        <v>18300</v>
      </c>
      <c r="AQ11" s="5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$88)&gt;账户数据!$B$7,"违规：超过账户风险上限","通过")))))))))</f>
        <v>通过</v>
      </c>
    </row>
    <row r="12" ht="17" spans="1:44">
      <c r="A12" s="2">
        <v>11</v>
      </c>
      <c r="B12" s="2" t="s">
        <v>59</v>
      </c>
      <c r="C12" s="10">
        <v>99525</v>
      </c>
      <c r="D12" s="6">
        <v>0.02</v>
      </c>
      <c r="E12" s="10">
        <v>20.5</v>
      </c>
      <c r="F12" s="8">
        <f t="shared" si="0"/>
        <v>1900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1900</v>
      </c>
      <c r="I12" s="15">
        <v>42815</v>
      </c>
      <c r="J12" s="10">
        <v>23</v>
      </c>
      <c r="K12" s="5">
        <f>IF(A12="","",IFERROR(LOOKUP(2,1/((持仓跟踪!$B$2:$B$157=A12)*(持仓跟踪!$X$2:$X$157="执行卖出")*(持仓跟踪!$Y$2:$Y$157&lt;&gt;"")),持仓跟踪!$Y$2:$Y$157),""))</f>
        <v>29.25</v>
      </c>
      <c r="L12" s="8">
        <f>IF(A12="","",IFERROR(LOOKUP(2,1/((持仓跟踪!$B$2:$B$157=A12)*(持仓跟踪!$X$2:$X$157="执行卖出")*(持仓跟踪!$Z$2:$Z$157&lt;&gt;"")),持仓跟踪!$Z$2:$Z$157),""))</f>
        <v>1900</v>
      </c>
      <c r="M12" s="18">
        <f>IF(A12="","",IFERROR(LOOKUP(2,1/((持仓跟踪!$B$2:$B$157=A12)*(持仓跟踪!$X$2:$X$157="执行卖出")*(持仓跟踪!$H$2:$H$157&lt;&gt;"")),持仓跟踪!$H$2:$H$157),""))</f>
        <v>43059</v>
      </c>
      <c r="N12" s="10">
        <v>19.5</v>
      </c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>
        <f t="shared" si="1"/>
        <v>0.121951219512195</v>
      </c>
      <c r="V12" s="7">
        <f t="shared" si="2"/>
        <v>0.0487804878048781</v>
      </c>
      <c r="W12" s="19">
        <f t="shared" si="3"/>
        <v>2.5</v>
      </c>
      <c r="X12" s="5">
        <f t="shared" si="4"/>
        <v>16625</v>
      </c>
      <c r="Y12" s="7">
        <f t="shared" si="5"/>
        <v>0.426829268292683</v>
      </c>
      <c r="Z12" s="7">
        <f>IF(OR(AE12="",多次统计数据!$B$8=""),"",AE12-多次统计数据!$B$8)</f>
        <v>0.0955555396747883</v>
      </c>
      <c r="AA12" s="11">
        <f t="shared" si="6"/>
        <v>244</v>
      </c>
      <c r="AB12" s="7">
        <f>IF(OR(A12="",多次统计数据!$B$8="",多次统计数据!$B$6&lt;=0,多次统计数据!$B$6&gt;=1),"",1-POWER(1+多次统计数据!$B$8,-多次统计数据!$B$6/(1-多次统计数据!$B$6)))</f>
        <v>0.0339349712190076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7"/>
        <v>0.167043456417985</v>
      </c>
      <c r="AG12" s="2" t="s">
        <v>60</v>
      </c>
      <c r="AH12" s="2" t="s">
        <v>61</v>
      </c>
      <c r="AI12" s="16" t="s">
        <v>62</v>
      </c>
      <c r="AJ12" s="8" t="str">
        <f t="shared" si="8"/>
        <v>匹配</v>
      </c>
      <c r="AK12" s="10"/>
      <c r="AL12" s="12"/>
      <c r="AM12" s="10"/>
      <c r="AN12" s="12"/>
      <c r="AO12" s="5">
        <f t="shared" si="9"/>
        <v>20.5</v>
      </c>
      <c r="AP12" s="11">
        <f t="shared" si="10"/>
        <v>1900</v>
      </c>
      <c r="AQ12" s="5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>0</v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$88)&gt;账户数据!$B$7,"违规：超过账户风险上限","通过")))))))))</f>
        <v>通过</v>
      </c>
    </row>
    <row r="13" ht="17" spans="1:44">
      <c r="A13" s="2">
        <v>12</v>
      </c>
      <c r="B13" s="2" t="s">
        <v>59</v>
      </c>
      <c r="C13" s="10">
        <v>116150</v>
      </c>
      <c r="D13" s="6">
        <v>0.02</v>
      </c>
      <c r="E13" s="10">
        <v>31.91</v>
      </c>
      <c r="F13" s="8">
        <f t="shared" si="0"/>
        <v>1200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1200</v>
      </c>
      <c r="I13" s="15">
        <v>43110</v>
      </c>
      <c r="J13" s="10">
        <v>35</v>
      </c>
      <c r="K13" s="5">
        <v>29.29</v>
      </c>
      <c r="L13" s="8">
        <f>IF(A13="","",IFERROR(LOOKUP(2,1/((持仓跟踪!$B$2:$B$157=A13)*(持仓跟踪!$X$2:$X$157="执行卖出")*(持仓跟踪!$Z$2:$Z$157&lt;&gt;"")),持仓跟踪!$Z$2:$Z$157),""))</f>
        <v>1200</v>
      </c>
      <c r="M13" s="18">
        <f>IF(A13="","",IFERROR(LOOKUP(2,1/((持仓跟踪!$B$2:$B$157=A13)*(持仓跟踪!$X$2:$X$157="执行卖出")*(持仓跟踪!$H$2:$H$157&lt;&gt;"")),持仓跟踪!$H$2:$H$157),""))</f>
        <v>43311</v>
      </c>
      <c r="N13" s="10">
        <v>30</v>
      </c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>
        <f t="shared" si="1"/>
        <v>0.0968348480100282</v>
      </c>
      <c r="V13" s="7">
        <f t="shared" si="2"/>
        <v>0.059855844562833</v>
      </c>
      <c r="W13" s="19">
        <f t="shared" si="3"/>
        <v>1.61780104712042</v>
      </c>
      <c r="X13" s="5">
        <f t="shared" si="4"/>
        <v>-3144</v>
      </c>
      <c r="Y13" s="7">
        <f t="shared" si="5"/>
        <v>-0.0821059229081793</v>
      </c>
      <c r="Z13" s="7">
        <f>IF(OR(AE13="",多次统计数据!$B$8=""),"",AE13-多次统计数据!$B$8)</f>
        <v>-0.0985563627182294</v>
      </c>
      <c r="AA13" s="11">
        <f t="shared" si="6"/>
        <v>201</v>
      </c>
      <c r="AB13" s="7">
        <f>IF(OR(A13="",多次统计数据!$B$8="",多次统计数据!$B$6&lt;=0,多次统计数据!$B$6&gt;=1),"",1-POWER(1+多次统计数据!$B$8,-多次统计数据!$B$6/(1-多次统计数据!$B$6)))</f>
        <v>0.0339349712190076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7"/>
        <v>-0.0270684459750323</v>
      </c>
      <c r="AG13" s="2" t="s">
        <v>60</v>
      </c>
      <c r="AH13" s="2" t="s">
        <v>61</v>
      </c>
      <c r="AI13" s="2"/>
      <c r="AJ13" s="8" t="str">
        <f t="shared" si="8"/>
        <v>匹配</v>
      </c>
      <c r="AK13" s="10"/>
      <c r="AL13" s="12"/>
      <c r="AM13" s="10"/>
      <c r="AN13" s="12"/>
      <c r="AO13" s="5">
        <f t="shared" si="9"/>
        <v>31.91</v>
      </c>
      <c r="AP13" s="11">
        <f t="shared" si="10"/>
        <v>1200</v>
      </c>
      <c r="AQ13" s="5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>0</v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$88)&gt;账户数据!$B$7,"违规：超过账户风险上限","通过")))))))))</f>
        <v>通过</v>
      </c>
    </row>
    <row r="14" ht="17" spans="1:44">
      <c r="A14" s="2">
        <v>13</v>
      </c>
      <c r="B14" s="2" t="s">
        <v>59</v>
      </c>
      <c r="C14" s="10">
        <v>113006</v>
      </c>
      <c r="D14" s="6">
        <v>0.02</v>
      </c>
      <c r="E14" s="10">
        <v>41.91</v>
      </c>
      <c r="F14" s="8">
        <f t="shared" si="0"/>
        <v>700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700</v>
      </c>
      <c r="I14" s="15">
        <v>43245</v>
      </c>
      <c r="J14" s="10">
        <v>50</v>
      </c>
      <c r="K14" s="5">
        <v>38.49</v>
      </c>
      <c r="L14" s="8">
        <v>700</v>
      </c>
      <c r="M14" s="21">
        <v>43311</v>
      </c>
      <c r="N14" s="10">
        <v>39</v>
      </c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>
        <f t="shared" si="1"/>
        <v>0.193032689095681</v>
      </c>
      <c r="V14" s="7">
        <f t="shared" si="2"/>
        <v>0.0694345025053686</v>
      </c>
      <c r="W14" s="19">
        <f t="shared" si="3"/>
        <v>2.78006872852234</v>
      </c>
      <c r="X14" s="5">
        <f t="shared" si="4"/>
        <v>-2394</v>
      </c>
      <c r="Y14" s="7">
        <f t="shared" si="5"/>
        <v>-0.0816034359341445</v>
      </c>
      <c r="Z14" s="7">
        <f>IF(OR(AE14="",多次统计数据!$B$8=""),"",AE14-多次统计数据!$B$8)</f>
        <v>-0.0926726325989924</v>
      </c>
      <c r="AA14" s="11">
        <f t="shared" si="6"/>
        <v>66</v>
      </c>
      <c r="AB14" s="7">
        <f>IF(OR(A14="",多次统计数据!$B$8="",多次统计数据!$B$6&lt;=0,多次统计数据!$B$6&gt;=1),"",1-POWER(1+多次统计数据!$B$8,-多次统计数据!$B$6/(1-多次统计数据!$B$6)))</f>
        <v>0.0339349712190076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7"/>
        <v>-0.0211847158557952</v>
      </c>
      <c r="AG14" s="2" t="s">
        <v>60</v>
      </c>
      <c r="AH14" s="2" t="s">
        <v>61</v>
      </c>
      <c r="AI14" s="2"/>
      <c r="AJ14" s="8" t="str">
        <f t="shared" si="8"/>
        <v>匹配</v>
      </c>
      <c r="AK14" s="10"/>
      <c r="AL14" s="12"/>
      <c r="AM14" s="10"/>
      <c r="AN14" s="12"/>
      <c r="AO14" s="5">
        <f t="shared" si="9"/>
        <v>41.91</v>
      </c>
      <c r="AP14" s="11">
        <f t="shared" si="10"/>
        <v>700</v>
      </c>
      <c r="AQ14" s="5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>0</v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$88)&gt;账户数据!$B$7,"违规：超过账户风险上限","通过")))))))))</f>
        <v>通过</v>
      </c>
    </row>
    <row r="15" ht="17" spans="1:44">
      <c r="A15" s="2">
        <v>14</v>
      </c>
      <c r="B15" s="2" t="s">
        <v>59</v>
      </c>
      <c r="C15" s="10">
        <v>110612</v>
      </c>
      <c r="D15" s="6">
        <v>0.02</v>
      </c>
      <c r="E15" s="10">
        <v>42.06</v>
      </c>
      <c r="F15" s="8">
        <f t="shared" si="0"/>
        <v>700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700</v>
      </c>
      <c r="I15" s="15">
        <v>43542</v>
      </c>
      <c r="J15" s="10">
        <v>48</v>
      </c>
      <c r="K15" s="5">
        <v>41.91</v>
      </c>
      <c r="L15" s="8">
        <f>IF(A15="","",IFERROR(LOOKUP(2,1/((持仓跟踪!$B$2:$B$157=A15)*(持仓跟踪!$X$2:$X$157="执行卖出")*(持仓跟踪!$Z$2:$Z$157&lt;&gt;"")),持仓跟踪!$Z$2:$Z$157),""))</f>
        <v>700</v>
      </c>
      <c r="M15" s="18">
        <f>IF(A15="","",IFERROR(LOOKUP(2,1/((持仓跟踪!$B$2:$B$157=A15)*(持仓跟踪!$X$2:$X$157="执行卖出")*(持仓跟踪!$H$2:$H$157&lt;&gt;"")),持仓跟踪!$H$2:$H$157),""))</f>
        <v>43577</v>
      </c>
      <c r="N15" s="10">
        <v>39</v>
      </c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>
        <f t="shared" si="1"/>
        <v>0.141226818830242</v>
      </c>
      <c r="V15" s="7">
        <f t="shared" si="2"/>
        <v>0.072753209700428</v>
      </c>
      <c r="W15" s="19">
        <f t="shared" si="3"/>
        <v>1.94117647058823</v>
      </c>
      <c r="X15" s="5">
        <f t="shared" si="4"/>
        <v>-105.000000000004</v>
      </c>
      <c r="Y15" s="7">
        <f t="shared" si="5"/>
        <v>-0.00356633380884463</v>
      </c>
      <c r="Z15" s="7">
        <f>IF(OR(AE15="",多次统计数据!$B$8=""),"",AE15-多次统计数据!$B$8)</f>
        <v>-0.0724371808375088</v>
      </c>
      <c r="AA15" s="11">
        <f t="shared" si="6"/>
        <v>35</v>
      </c>
      <c r="AB15" s="7">
        <f>IF(OR(A15="",多次统计数据!$B$8="",多次统计数据!$B$6&lt;=0,多次统计数据!$B$6&gt;=1),"",1-POWER(1+多次统计数据!$B$8,-多次统计数据!$B$6/(1-多次统计数据!$B$6)))</f>
        <v>0.0339349712190076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7"/>
        <v>-0.000949264094311681</v>
      </c>
      <c r="AG15" s="2" t="s">
        <v>60</v>
      </c>
      <c r="AH15" s="2" t="s">
        <v>61</v>
      </c>
      <c r="AI15" s="2"/>
      <c r="AJ15" s="8" t="str">
        <f t="shared" si="8"/>
        <v>匹配</v>
      </c>
      <c r="AK15" s="10"/>
      <c r="AL15" s="12"/>
      <c r="AM15" s="10"/>
      <c r="AN15" s="12"/>
      <c r="AO15" s="5">
        <f t="shared" si="9"/>
        <v>42.06</v>
      </c>
      <c r="AP15" s="11">
        <f t="shared" si="10"/>
        <v>700</v>
      </c>
      <c r="AQ15" s="5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>0</v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$88)&gt;账户数据!$B$7,"违规：超过账户风险上限","通过")))))))))</f>
        <v>通过</v>
      </c>
    </row>
    <row r="16" ht="17" spans="1:44">
      <c r="A16" s="2">
        <v>15</v>
      </c>
      <c r="B16" s="2" t="s">
        <v>59</v>
      </c>
      <c r="C16" s="10">
        <v>110507</v>
      </c>
      <c r="D16" s="6">
        <v>0.02</v>
      </c>
      <c r="E16" s="10">
        <v>48.86</v>
      </c>
      <c r="F16" s="8">
        <f t="shared" si="0"/>
        <v>1600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1600</v>
      </c>
      <c r="I16" s="15">
        <v>43696</v>
      </c>
      <c r="J16" s="10">
        <v>50</v>
      </c>
      <c r="K16" s="5">
        <f>IF(A16="","",IFERROR(LOOKUP(2,1/((持仓跟踪!$B$2:$B$157=A16)*(持仓跟踪!$X$2:$X$157="执行卖出")*(持仓跟踪!$Y$2:$Y$157&lt;&gt;"")),持仓跟踪!$Y$2:$Y$157),""))</f>
        <v>58.41</v>
      </c>
      <c r="L16" s="8">
        <f>IF(A16="","",IFERROR(LOOKUP(2,1/((持仓跟踪!$B$2:$B$157=A16)*(持仓跟踪!$X$2:$X$157="执行卖出")*(持仓跟踪!$Z$2:$Z$157&lt;&gt;"")),持仓跟踪!$Z$2:$Z$157),""))</f>
        <v>1600</v>
      </c>
      <c r="M16" s="18">
        <f>IF(A16="","",IFERROR(LOOKUP(2,1/((持仓跟踪!$B$2:$B$157=A16)*(持仓跟踪!$X$2:$X$157="执行卖出")*(持仓跟踪!$H$2:$H$157&lt;&gt;"")),持仓跟踪!$H$2:$H$157),""))</f>
        <v>43798</v>
      </c>
      <c r="N16" s="10">
        <v>47.5</v>
      </c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>
        <f t="shared" si="1"/>
        <v>0.0233319688907082</v>
      </c>
      <c r="V16" s="7">
        <f t="shared" si="2"/>
        <v>0.0278346295538273</v>
      </c>
      <c r="W16" s="19">
        <f t="shared" si="3"/>
        <v>0.838235294117648</v>
      </c>
      <c r="X16" s="5">
        <f t="shared" si="4"/>
        <v>15280</v>
      </c>
      <c r="Y16" s="7">
        <f t="shared" si="5"/>
        <v>0.195456406058125</v>
      </c>
      <c r="Z16" s="7">
        <f>IF(OR(AE16="",多次统计数据!$B$8=""),"",AE16-多次统计数据!$B$8)</f>
        <v>0.066783866944714</v>
      </c>
      <c r="AA16" s="11">
        <f t="shared" si="6"/>
        <v>102</v>
      </c>
      <c r="AB16" s="7">
        <f>IF(OR(A16="",多次统计数据!$B$8="",多次统计数据!$B$6&lt;=0,多次统计数据!$B$6&gt;=1),"",1-POWER(1+多次统计数据!$B$8,-多次统计数据!$B$6/(1-多次统计数据!$B$6)))</f>
        <v>0.0339349712190076</v>
      </c>
      <c r="AC16" s="8" t="str">
        <f>IF(OR(AB16="",多次统计数据!$B$9=""),"",IF(多次统计数据!$B$9&lt;AB16,"低于上限","达到或超过上限"))</f>
        <v>低于上限</v>
      </c>
      <c r="AD16" s="2" t="s">
        <v>45</v>
      </c>
      <c r="AE16" s="7">
        <f t="shared" si="7"/>
        <v>0.138271783687911</v>
      </c>
      <c r="AG16" s="2" t="s">
        <v>60</v>
      </c>
      <c r="AH16" s="2" t="s">
        <v>47</v>
      </c>
      <c r="AI16" s="2"/>
      <c r="AJ16" s="8" t="str">
        <f t="shared" si="8"/>
        <v>匹配</v>
      </c>
      <c r="AK16" s="10"/>
      <c r="AL16" s="12"/>
      <c r="AM16" s="10"/>
      <c r="AN16" s="12"/>
      <c r="AO16" s="5">
        <f t="shared" si="9"/>
        <v>48.86</v>
      </c>
      <c r="AP16" s="11">
        <f t="shared" si="10"/>
        <v>1600</v>
      </c>
      <c r="AQ16" s="5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>0</v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$88)&gt;账户数据!$B$7,"违规：超过账户风险上限","通过")))))))))</f>
        <v>通过</v>
      </c>
    </row>
    <row r="17" ht="17" spans="1:44">
      <c r="A17" s="2">
        <v>16</v>
      </c>
      <c r="B17" s="2" t="s">
        <v>59</v>
      </c>
      <c r="C17" s="10">
        <v>125787</v>
      </c>
      <c r="D17" s="6">
        <v>0.02</v>
      </c>
      <c r="E17" s="10">
        <v>62.26</v>
      </c>
      <c r="F17" s="8">
        <f t="shared" ref="F17:F48" si="11">IF(OR(C17="",D17="",E17="",N17="",C17&lt;=0,D17&lt;=0,E17&lt;=N17),"",ROUNDDOWN((C17*D17)/(E17-N17)/100,0)*100)</f>
        <v>1100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1100</v>
      </c>
      <c r="I17" s="15">
        <v>43874</v>
      </c>
      <c r="J17" s="10">
        <v>70</v>
      </c>
      <c r="K17" s="5">
        <f>IF(A17="","",IFERROR(LOOKUP(2,1/((持仓跟踪!$B$2:$B$157=A17)*(持仓跟踪!$X$2:$X$157="执行卖出")*(持仓跟踪!$Y$2:$Y$157&lt;&gt;"")),持仓跟踪!$Y$2:$Y$157),""))</f>
        <v>58.95</v>
      </c>
      <c r="L17" s="8">
        <f>IF(A17="","",IFERROR(LOOKUP(2,1/((持仓跟踪!$B$2:$B$157=A17)*(持仓跟踪!$X$2:$X$157="执行卖出")*(持仓跟踪!$Z$2:$Z$157&lt;&gt;"")),持仓跟踪!$Z$2:$Z$157),""))</f>
        <v>1100</v>
      </c>
      <c r="M17" s="18">
        <f>IF(A17="","",IFERROR(LOOKUP(2,1/((持仓跟踪!$B$2:$B$157=A17)*(持仓跟踪!$X$2:$X$157="执行卖出")*(持仓跟踪!$H$2:$H$157&lt;&gt;"")),持仓跟踪!$H$2:$H$157),""))</f>
        <v>43887</v>
      </c>
      <c r="N17" s="10">
        <v>60</v>
      </c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>
        <f t="shared" ref="U17:U48" si="12">IF(OR(AO17="",J17="",AO17&lt;=0),"",(J17-AO17)/AO17)</f>
        <v>0.12431737873434</v>
      </c>
      <c r="V17" s="7">
        <f t="shared" ref="V17:V48" si="13">IF(OR(AO17="",N17="",AO17&lt;=0),"",(AO17-N17)/AO17)</f>
        <v>0.0362993896562801</v>
      </c>
      <c r="W17" s="19">
        <f t="shared" ref="W17:W48" si="14">IF(OR(U17="",V17="",V17&lt;=0),"",U17/V17)</f>
        <v>3.42477876106195</v>
      </c>
      <c r="X17" s="5">
        <f t="shared" ref="X17:X48" si="15">IF(OR(K17="",L17="",AP17=""),"",K17*L17-(E17*H17+IF(AND(AK17&lt;&gt;"",AL17&lt;&gt;""),AK17*AL17,0)+IF(AND(AM17&lt;&gt;"",AN17&lt;&gt;""),AM17*AN17,0))-IF(O17="",0,O17)-IF(P17="",0,P17))</f>
        <v>-3641</v>
      </c>
      <c r="Y17" s="7">
        <f t="shared" ref="Y17:Y48" si="16"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-0.0531641503372952</v>
      </c>
      <c r="Z17" s="7">
        <f>IF(OR(AE17="",多次统计数据!$B$8=""),"",AE17-多次统计数据!$B$8)</f>
        <v>-0.10043367425391</v>
      </c>
      <c r="AA17" s="11">
        <f t="shared" ref="AA17:AA48" si="17">IF(OR(I17="",M17="",M17&lt;I17),"",M17-I17)</f>
        <v>13</v>
      </c>
      <c r="AB17" s="7">
        <f>IF(OR(A17="",多次统计数据!$B$8="",多次统计数据!$B$6&lt;=0,多次统计数据!$B$6&gt;=1),"",1-POWER(1+多次统计数据!$B$8,-多次统计数据!$B$6/(1-多次统计数据!$B$6)))</f>
        <v>0.0339349712190076</v>
      </c>
      <c r="AC17" s="8" t="str">
        <f>IF(OR(AB17="",多次统计数据!$B$9=""),"",IF(多次统计数据!$B$9&lt;AB17,"低于上限","达到或超过上限"))</f>
        <v>低于上限</v>
      </c>
      <c r="AD17" s="2" t="s">
        <v>50</v>
      </c>
      <c r="AE17" s="7">
        <f t="shared" ref="AE17:AE48" si="18">IF(OR(X17="",C17="",C17&lt;=0),"",X17/C17)</f>
        <v>-0.0289457575107126</v>
      </c>
      <c r="AG17" s="2" t="s">
        <v>60</v>
      </c>
      <c r="AH17" s="2" t="s">
        <v>47</v>
      </c>
      <c r="AI17" s="2"/>
      <c r="AJ17" s="8" t="str">
        <f t="shared" ref="AJ17:AJ48" si="19"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>匹配</v>
      </c>
      <c r="AK17" s="10"/>
      <c r="AL17" s="12"/>
      <c r="AM17" s="10"/>
      <c r="AN17" s="12"/>
      <c r="AO17" s="5">
        <f t="shared" ref="AO17:AO48" si="20">IF(OR(A17="",H17="",H17&lt;=0),"",(E17*H17+IF(AND(AK17&lt;&gt;"",AL17&lt;&gt;""),AK17*AL17,0)+IF(AND(AM17&lt;&gt;"",AN17&lt;&gt;""),AM17*AN17,0))/AP17)</f>
        <v>62.26</v>
      </c>
      <c r="AP17" s="11">
        <f t="shared" ref="AP17:AP48" si="21">IF(OR(A17="",H17="",H17&lt;=0),"",H17+IF(AL17="",0,AL17)+IF(AN17="",0,AN17))</f>
        <v>1100</v>
      </c>
      <c r="AQ17" s="5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>0</v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$88)&gt;账户数据!$B$7,"违规：超过账户风险上限","通过")))))))))</f>
        <v>通过</v>
      </c>
    </row>
    <row r="18" ht="17" spans="1:44">
      <c r="A18" s="2">
        <v>17</v>
      </c>
      <c r="B18" s="2" t="s">
        <v>59</v>
      </c>
      <c r="C18" s="10">
        <v>122416</v>
      </c>
      <c r="D18" s="6">
        <v>0.02</v>
      </c>
      <c r="E18" s="10">
        <v>65.41</v>
      </c>
      <c r="F18" s="8">
        <f t="shared" si="11"/>
        <v>1200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1200</v>
      </c>
      <c r="I18" s="15">
        <v>43928</v>
      </c>
      <c r="J18" s="10">
        <v>70</v>
      </c>
      <c r="K18" s="5">
        <f>IF(A18="","",IFERROR(LOOKUP(2,1/((持仓跟踪!$B$2:$B$157=A18)*(持仓跟踪!$X$2:$X$157="执行卖出")*(持仓跟踪!$Y$2:$Y$157&lt;&gt;"")),持仓跟踪!$Y$2:$Y$157),""))</f>
        <v>63.61</v>
      </c>
      <c r="L18" s="8">
        <f>IF(A18="","",IFERROR(LOOKUP(2,1/((持仓跟踪!$B$2:$B$157=A18)*(持仓跟踪!$X$2:$X$157="执行卖出")*(持仓跟踪!$Z$2:$Z$157&lt;&gt;"")),持仓跟踪!$Z$2:$Z$157),""))</f>
        <v>1200</v>
      </c>
      <c r="M18" s="18">
        <f>IF(A18="","",IFERROR(LOOKUP(2,1/((持仓跟踪!$B$2:$B$157=A18)*(持仓跟踪!$X$2:$X$157="执行卖出")*(持仓跟踪!$H$2:$H$157&lt;&gt;"")),持仓跟踪!$H$2:$H$157),""))</f>
        <v>43950</v>
      </c>
      <c r="N18" s="10">
        <v>63.5</v>
      </c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>
        <f t="shared" si="12"/>
        <v>0.0701727564592571</v>
      </c>
      <c r="V18" s="7">
        <f t="shared" si="13"/>
        <v>0.0292004280691025</v>
      </c>
      <c r="W18" s="19">
        <f t="shared" si="14"/>
        <v>2.40314136125655</v>
      </c>
      <c r="X18" s="5">
        <f t="shared" si="15"/>
        <v>-2160</v>
      </c>
      <c r="Y18" s="7">
        <f t="shared" si="16"/>
        <v>-0.027518728023238</v>
      </c>
      <c r="Z18" s="7">
        <f>IF(OR(AE18="",多次统计数据!$B$8=""),"",AE18-多次统计数据!$B$8)</f>
        <v>-0.0891326690631553</v>
      </c>
      <c r="AA18" s="11">
        <f t="shared" si="17"/>
        <v>22</v>
      </c>
      <c r="AB18" s="7">
        <f>IF(OR(A18="",多次统计数据!$B$8="",多次统计数据!$B$6&lt;=0,多次统计数据!$B$6&gt;=1),"",1-POWER(1+多次统计数据!$B$8,-多次统计数据!$B$6/(1-多次统计数据!$B$6)))</f>
        <v>0.0339349712190076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18"/>
        <v>-0.0176447523199582</v>
      </c>
      <c r="AG18" s="2" t="s">
        <v>60</v>
      </c>
      <c r="AH18" s="2" t="s">
        <v>47</v>
      </c>
      <c r="AI18" s="2"/>
      <c r="AJ18" s="8" t="str">
        <f t="shared" si="19"/>
        <v>匹配</v>
      </c>
      <c r="AK18" s="10"/>
      <c r="AL18" s="12"/>
      <c r="AM18" s="10"/>
      <c r="AN18" s="12"/>
      <c r="AO18" s="5">
        <f t="shared" si="20"/>
        <v>65.41</v>
      </c>
      <c r="AP18" s="11">
        <f t="shared" si="21"/>
        <v>1200</v>
      </c>
      <c r="AQ18" s="5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>0</v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$88)&gt;账户数据!$B$7,"违规：超过账户风险上限","通过")))))))))</f>
        <v>通过</v>
      </c>
    </row>
    <row r="19" ht="17" spans="1:44">
      <c r="A19" s="2">
        <v>18</v>
      </c>
      <c r="B19" s="2" t="s">
        <v>59</v>
      </c>
      <c r="C19" s="10">
        <v>119986</v>
      </c>
      <c r="D19" s="6">
        <v>0.02</v>
      </c>
      <c r="E19" s="10">
        <v>69.36</v>
      </c>
      <c r="F19" s="8">
        <f t="shared" si="11"/>
        <v>1700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500</v>
      </c>
      <c r="I19" s="15">
        <v>43992</v>
      </c>
      <c r="J19" s="10">
        <v>80</v>
      </c>
      <c r="K19" s="5">
        <f>IF(A19="","",IFERROR(LOOKUP(2,1/((持仓跟踪!$B$2:$B$157=A19)*(持仓跟踪!$X$2:$X$157="执行卖出")*(持仓跟踪!$Y$2:$Y$157&lt;&gt;"")),持仓跟踪!$Y$2:$Y$157),""))</f>
        <v>79.21</v>
      </c>
      <c r="L19" s="8">
        <f>IF(A19="","",IFERROR(LOOKUP(2,1/((持仓跟踪!$B$2:$B$157=A19)*(持仓跟踪!$X$2:$X$157="执行卖出")*(持仓跟踪!$Z$2:$Z$157&lt;&gt;"")),持仓跟踪!$Z$2:$Z$157),""))</f>
        <v>500</v>
      </c>
      <c r="M19" s="18">
        <f>IF(A19="","",IFERROR(LOOKUP(2,1/((持仓跟踪!$B$2:$B$157=A19)*(持仓跟踪!$X$2:$X$157="执行卖出")*(持仓跟踪!$H$2:$H$157&lt;&gt;"")),持仓跟踪!$H$2:$H$157),""))</f>
        <v>44028</v>
      </c>
      <c r="N19" s="10">
        <v>68</v>
      </c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>
        <f t="shared" si="12"/>
        <v>0.153402537485582</v>
      </c>
      <c r="V19" s="7">
        <f t="shared" si="13"/>
        <v>0.0196078431372549</v>
      </c>
      <c r="W19" s="19">
        <f t="shared" si="14"/>
        <v>7.82352941176471</v>
      </c>
      <c r="X19" s="5">
        <f t="shared" si="15"/>
        <v>4925</v>
      </c>
      <c r="Y19" s="7">
        <f t="shared" si="16"/>
        <v>0.142012687427912</v>
      </c>
      <c r="Z19" s="7">
        <f>IF(OR(AE19="",多次统计数据!$B$8=""),"",AE19-多次统计数据!$B$8)</f>
        <v>-0.0304414613233982</v>
      </c>
      <c r="AA19" s="11">
        <f t="shared" si="17"/>
        <v>36</v>
      </c>
      <c r="AB19" s="7">
        <f>IF(OR(A19="",多次统计数据!$B$8="",多次统计数据!$B$6&lt;=0,多次统计数据!$B$6&gt;=1),"",1-POWER(1+多次统计数据!$B$8,-多次统计数据!$B$6/(1-多次统计数据!$B$6)))</f>
        <v>0.0339349712190076</v>
      </c>
      <c r="AC19" s="8" t="str">
        <f>IF(OR(AB19="",多次统计数据!$B$9=""),"",IF(多次统计数据!$B$9&lt;AB19,"低于上限","达到或超过上限"))</f>
        <v>低于上限</v>
      </c>
      <c r="AD19" s="2" t="s">
        <v>63</v>
      </c>
      <c r="AE19" s="7">
        <f t="shared" si="18"/>
        <v>0.041046455419799</v>
      </c>
      <c r="AG19" s="2" t="s">
        <v>60</v>
      </c>
      <c r="AH19" s="2" t="s">
        <v>61</v>
      </c>
      <c r="AI19" s="2"/>
      <c r="AJ19" s="8" t="str">
        <f t="shared" si="19"/>
        <v>匹配</v>
      </c>
      <c r="AK19" s="10"/>
      <c r="AL19" s="12"/>
      <c r="AM19" s="10"/>
      <c r="AN19" s="12"/>
      <c r="AO19" s="5">
        <f t="shared" si="20"/>
        <v>69.36</v>
      </c>
      <c r="AP19" s="11">
        <f t="shared" si="21"/>
        <v>500</v>
      </c>
      <c r="AQ19" s="5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>0</v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$88)&gt;账户数据!$B$7,"违规：超过账户风险上限","通过")))))))))</f>
        <v>通过</v>
      </c>
    </row>
    <row r="20" ht="17" spans="1:44">
      <c r="A20" s="2">
        <v>19</v>
      </c>
      <c r="B20" s="2" t="s">
        <v>59</v>
      </c>
      <c r="C20" s="10">
        <v>124911</v>
      </c>
      <c r="D20" s="6">
        <v>0.02</v>
      </c>
      <c r="E20" s="10">
        <v>92.83</v>
      </c>
      <c r="F20" s="8">
        <f t="shared" si="11"/>
        <v>300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300</v>
      </c>
      <c r="I20" s="15">
        <v>44195</v>
      </c>
      <c r="J20" s="10">
        <v>100</v>
      </c>
      <c r="K20" s="5">
        <f>IF(A20="","",IFERROR(LOOKUP(2,1/((持仓跟踪!$B$2:$B$157=A20)*(持仓跟踪!$X$2:$X$157="执行卖出")*(持仓跟踪!$Y$2:$Y$157&lt;&gt;"")),持仓跟踪!$Y$2:$Y$157),""))</f>
        <v>85.38</v>
      </c>
      <c r="L20" s="8">
        <f>IF(A20="","",IFERROR(LOOKUP(2,1/((持仓跟踪!$B$2:$B$157=A20)*(持仓跟踪!$X$2:$X$157="执行卖出")*(持仓跟踪!$Z$2:$Z$157&lt;&gt;"")),持仓跟踪!$Z$2:$Z$157),""))</f>
        <v>300</v>
      </c>
      <c r="M20" s="18">
        <f>IF(A20="","",IFERROR(LOOKUP(2,1/((持仓跟踪!$B$2:$B$157=A20)*(持仓跟踪!$X$2:$X$157="执行卖出")*(持仓跟踪!$H$2:$H$157&lt;&gt;"")),持仓跟踪!$H$2:$H$157),""))</f>
        <v>44225</v>
      </c>
      <c r="N20" s="10">
        <v>86</v>
      </c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>
        <f t="shared" si="12"/>
        <v>0.0772379618657762</v>
      </c>
      <c r="V20" s="7">
        <f t="shared" si="13"/>
        <v>0.0735753527954325</v>
      </c>
      <c r="W20" s="19">
        <f t="shared" si="14"/>
        <v>1.0497803806735</v>
      </c>
      <c r="X20" s="5">
        <f t="shared" si="15"/>
        <v>-2235</v>
      </c>
      <c r="Y20" s="7">
        <f t="shared" si="16"/>
        <v>-0.0802542281590003</v>
      </c>
      <c r="Z20" s="7">
        <f>IF(OR(AE20="",多次统计数据!$B$8=""),"",AE20-多次统计数据!$B$8)</f>
        <v>-0.0893806563738141</v>
      </c>
      <c r="AA20" s="11">
        <f t="shared" si="17"/>
        <v>30</v>
      </c>
      <c r="AB20" s="7">
        <f>IF(OR(A20="",多次统计数据!$B$8="",多次统计数据!$B$6&lt;=0,多次统计数据!$B$6&gt;=1),"",1-POWER(1+多次统计数据!$B$8,-多次统计数据!$B$6/(1-多次统计数据!$B$6)))</f>
        <v>0.0339349712190076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18"/>
        <v>-0.017892739630617</v>
      </c>
      <c r="AG20" s="2" t="s">
        <v>60</v>
      </c>
      <c r="AH20" s="2" t="s">
        <v>47</v>
      </c>
      <c r="AI20" s="2"/>
      <c r="AJ20" s="8" t="str">
        <f t="shared" si="19"/>
        <v>匹配</v>
      </c>
      <c r="AK20" s="10"/>
      <c r="AL20" s="12"/>
      <c r="AM20" s="10"/>
      <c r="AN20" s="12"/>
      <c r="AO20" s="5">
        <f t="shared" si="20"/>
        <v>92.83</v>
      </c>
      <c r="AP20" s="11">
        <f t="shared" si="21"/>
        <v>300</v>
      </c>
      <c r="AQ20" s="5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>0</v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$88)&gt;账户数据!$B$7,"违规：超过账户风险上限","通过")))))))))</f>
        <v>通过</v>
      </c>
    </row>
    <row r="21" ht="17" spans="1:44">
      <c r="A21" s="2">
        <v>20</v>
      </c>
      <c r="B21" s="2" t="s">
        <v>59</v>
      </c>
      <c r="C21" s="10">
        <v>122676</v>
      </c>
      <c r="D21" s="6">
        <v>0.02</v>
      </c>
      <c r="E21" s="10">
        <v>52.45</v>
      </c>
      <c r="F21" s="8">
        <f t="shared" si="11"/>
        <v>1000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1000</v>
      </c>
      <c r="I21" s="15">
        <v>44501</v>
      </c>
      <c r="J21" s="10">
        <v>58</v>
      </c>
      <c r="K21" s="5">
        <f>IF(A21="","",IFERROR(LOOKUP(2,1/((持仓跟踪!$B$2:$B$157=A21)*(持仓跟踪!$X$2:$X$157="执行卖出")*(持仓跟踪!$Y$2:$Y$157&lt;&gt;"")),持仓跟踪!$Y$2:$Y$157),""))</f>
        <v>49.25</v>
      </c>
      <c r="L21" s="8">
        <f>IF(A21="","",IFERROR(LOOKUP(2,1/((持仓跟踪!$B$2:$B$157=A21)*(持仓跟踪!$X$2:$X$157="执行卖出")*(持仓跟踪!$Z$2:$Z$157&lt;&gt;"")),持仓跟踪!$Z$2:$Z$157),""))</f>
        <v>1000</v>
      </c>
      <c r="M21" s="18">
        <f>IF(A21="","",IFERROR(LOOKUP(2,1/((持仓跟踪!$B$2:$B$157=A21)*(持仓跟踪!$X$2:$X$157="执行卖出")*(持仓跟踪!$H$2:$H$157&lt;&gt;"")),持仓跟踪!$H$2:$H$157),""))</f>
        <v>44530</v>
      </c>
      <c r="N21" s="10">
        <v>50</v>
      </c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>
        <f t="shared" si="12"/>
        <v>0.105815061963775</v>
      </c>
      <c r="V21" s="7">
        <f t="shared" si="13"/>
        <v>0.0467111534795043</v>
      </c>
      <c r="W21" s="19">
        <f t="shared" si="14"/>
        <v>2.26530612244898</v>
      </c>
      <c r="X21" s="5">
        <f t="shared" si="15"/>
        <v>-3200</v>
      </c>
      <c r="Y21" s="7">
        <f t="shared" si="16"/>
        <v>-0.0610104861773117</v>
      </c>
      <c r="Z21" s="7">
        <f>IF(OR(AE21="",多次统计数据!$B$8=""),"",AE21-多次统计数据!$B$8)</f>
        <v>-0.0975728885388214</v>
      </c>
      <c r="AA21" s="11">
        <f t="shared" si="17"/>
        <v>29</v>
      </c>
      <c r="AB21" s="7">
        <f>IF(OR(A21="",多次统计数据!$B$8="",多次统计数据!$B$6&lt;=0,多次统计数据!$B$6&gt;=1),"",1-POWER(1+多次统计数据!$B$8,-多次统计数据!$B$6/(1-多次统计数据!$B$6)))</f>
        <v>0.0339349712190076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18"/>
        <v>-0.0260849717956242</v>
      </c>
      <c r="AG21" s="2" t="s">
        <v>46</v>
      </c>
      <c r="AH21" s="2" t="s">
        <v>47</v>
      </c>
      <c r="AI21" s="2"/>
      <c r="AJ21" s="8" t="str">
        <f t="shared" si="19"/>
        <v>匹配</v>
      </c>
      <c r="AK21" s="10"/>
      <c r="AL21" s="12"/>
      <c r="AM21" s="10"/>
      <c r="AN21" s="12"/>
      <c r="AO21" s="5">
        <f t="shared" si="20"/>
        <v>52.45</v>
      </c>
      <c r="AP21" s="11">
        <f t="shared" si="21"/>
        <v>1000</v>
      </c>
      <c r="AQ21" s="5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>0</v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$88)&gt;账户数据!$B$7,"违规：超过账户风险上限","通过")))))))))</f>
        <v>通过</v>
      </c>
    </row>
    <row r="22" ht="34" spans="1:44">
      <c r="A22" s="2">
        <v>21</v>
      </c>
      <c r="B22" s="2" t="s">
        <v>59</v>
      </c>
      <c r="C22" s="10">
        <v>119476</v>
      </c>
      <c r="D22" s="6">
        <v>0.02</v>
      </c>
      <c r="E22" s="10">
        <v>36.17</v>
      </c>
      <c r="F22" s="8">
        <f t="shared" si="11"/>
        <v>2000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2000</v>
      </c>
      <c r="I22" s="15">
        <v>44743</v>
      </c>
      <c r="J22" s="10">
        <v>40</v>
      </c>
      <c r="K22" s="5">
        <f>IF(A22="","",IFERROR(LOOKUP(2,1/((持仓跟踪!$B$2:$B$157=A22)*(持仓跟踪!$X$2:$X$157="执行卖出")*(持仓跟踪!$Y$2:$Y$157&lt;&gt;"")),持仓跟踪!$Y$2:$Y$157),""))</f>
        <v>37.19</v>
      </c>
      <c r="L22" s="8">
        <f>IF(A22="","",IFERROR(LOOKUP(2,1/((持仓跟踪!$B$2:$B$157=A22)*(持仓跟踪!$X$2:$X$157="执行卖出")*(持仓跟踪!$Z$2:$Z$157&lt;&gt;"")),持仓跟踪!$Z$2:$Z$157),""))</f>
        <v>2000</v>
      </c>
      <c r="M22" s="18">
        <f>IF(A22="","",IFERROR(LOOKUP(2,1/((持仓跟踪!$B$2:$B$157=A22)*(持仓跟踪!$X$2:$X$157="执行卖出")*(持仓跟踪!$H$2:$H$157&lt;&gt;"")),持仓跟踪!$H$2:$H$157),""))</f>
        <v>44760</v>
      </c>
      <c r="N22" s="10">
        <v>35</v>
      </c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>
        <f t="shared" si="12"/>
        <v>0.105888858169754</v>
      </c>
      <c r="V22" s="7">
        <f t="shared" si="13"/>
        <v>0.0323472491014654</v>
      </c>
      <c r="W22" s="19">
        <f t="shared" si="14"/>
        <v>3.27350427350427</v>
      </c>
      <c r="X22" s="5">
        <f t="shared" si="15"/>
        <v>2040</v>
      </c>
      <c r="Y22" s="7">
        <f t="shared" si="16"/>
        <v>0.0282001658833287</v>
      </c>
      <c r="Z22" s="7">
        <f>IF(OR(AE22="",多次统计数据!$B$8=""),"",AE22-多次统计数据!$B$8)</f>
        <v>-0.0544133578359689</v>
      </c>
      <c r="AA22" s="11">
        <f t="shared" si="17"/>
        <v>17</v>
      </c>
      <c r="AB22" s="7">
        <f>IF(OR(A22="",多次统计数据!$B$8="",多次统计数据!$B$6&lt;=0,多次统计数据!$B$6&gt;=1),"",1-POWER(1+多次统计数据!$B$8,-多次统计数据!$B$6/(1-多次统计数据!$B$6)))</f>
        <v>0.0339349712190076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18"/>
        <v>0.0170745589072282</v>
      </c>
      <c r="AG22" s="2" t="s">
        <v>46</v>
      </c>
      <c r="AH22" s="2" t="s">
        <v>47</v>
      </c>
      <c r="AI22" s="2"/>
      <c r="AJ22" s="8" t="str">
        <f t="shared" si="19"/>
        <v>匹配</v>
      </c>
      <c r="AK22" s="10"/>
      <c r="AL22" s="12"/>
      <c r="AM22" s="10"/>
      <c r="AN22" s="12"/>
      <c r="AO22" s="5">
        <f t="shared" si="20"/>
        <v>36.17</v>
      </c>
      <c r="AP22" s="11">
        <f t="shared" si="21"/>
        <v>2000</v>
      </c>
      <c r="AQ22" s="5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>0</v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$88)&gt;账户数据!$B$7,"违规：超过账户风险上限","通过")))))))))</f>
        <v>通过</v>
      </c>
    </row>
    <row r="23" ht="17" spans="1:44">
      <c r="A23" s="2"/>
      <c r="B23" s="2"/>
      <c r="C23" s="10"/>
      <c r="D23" s="6"/>
      <c r="E23" s="10"/>
      <c r="F23" s="8" t="str">
        <f t="shared" si="11"/>
        <v/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5" t="str">
        <f>IF(A23="","",IFERROR(LOOKUP(2,1/((持仓跟踪!$B$2:$B$157=A23)*(持仓跟踪!$X$2:$X$157="执行卖出")*(持仓跟踪!$Y$2:$Y$157&lt;&gt;"")),持仓跟踪!$Y$2:$Y$157),""))</f>
        <v/>
      </c>
      <c r="L23" s="8" t="str">
        <f>IF(A23="","",IFERROR(LOOKUP(2,1/((持仓跟踪!$B$2:$B$157=A23)*(持仓跟踪!$X$2:$X$157="执行卖出")*(持仓跟踪!$Z$2:$Z$157&lt;&gt;"")),持仓跟踪!$Z$2:$Z$157),""))</f>
        <v/>
      </c>
      <c r="M23" s="18" t="str">
        <f>IF(A23="","",IFERROR(LOOKUP(2,1/((持仓跟踪!$B$2:$B$157=A23)*(持仓跟踪!$X$2:$X$157="执行卖出")*(持仓跟踪!$H$2:$H$157&lt;&gt;"")),持仓跟踪!$H$2:$H$157),""))</f>
        <v/>
      </c>
      <c r="N23" s="10"/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 t="str">
        <f t="shared" si="12"/>
        <v/>
      </c>
      <c r="V23" s="7" t="str">
        <f t="shared" si="13"/>
        <v/>
      </c>
      <c r="W23" s="19" t="str">
        <f t="shared" si="14"/>
        <v/>
      </c>
      <c r="X23" s="5" t="str">
        <f t="shared" si="15"/>
        <v/>
      </c>
      <c r="Y23" s="7" t="str">
        <f t="shared" si="16"/>
        <v/>
      </c>
      <c r="Z23" s="7" t="str">
        <f>IF(OR(AE23="",多次统计数据!$B$8=""),"",AE23-多次统计数据!$B$8)</f>
        <v/>
      </c>
      <c r="AA23" s="11" t="str">
        <f t="shared" si="1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18"/>
        <v/>
      </c>
      <c r="AG23" s="2"/>
      <c r="AH23" s="2"/>
      <c r="AI23" s="2"/>
      <c r="AJ23" s="8" t="str">
        <f t="shared" si="19"/>
        <v/>
      </c>
      <c r="AK23" s="10"/>
      <c r="AL23" s="12"/>
      <c r="AM23" s="10"/>
      <c r="AN23" s="12"/>
      <c r="AO23" s="5" t="str">
        <f t="shared" si="20"/>
        <v/>
      </c>
      <c r="AP23" s="11" t="str">
        <f t="shared" si="21"/>
        <v/>
      </c>
      <c r="AQ23" s="5" t="str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/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$88)&gt;账户数据!$B$7,"违规：超过账户风险上限","通过")))))))))</f>
        <v/>
      </c>
    </row>
    <row r="24" ht="17" spans="1:44">
      <c r="A24" s="2"/>
      <c r="B24" s="2"/>
      <c r="C24" s="10"/>
      <c r="D24" s="6"/>
      <c r="E24" s="10"/>
      <c r="F24" s="8" t="str">
        <f t="shared" si="11"/>
        <v/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5" t="str">
        <f>IF(A24="","",IFERROR(LOOKUP(2,1/((持仓跟踪!$B$2:$B$157=A24)*(持仓跟踪!$X$2:$X$157="执行卖出")*(持仓跟踪!$Y$2:$Y$157&lt;&gt;"")),持仓跟踪!$Y$2:$Y$157),""))</f>
        <v/>
      </c>
      <c r="L24" s="8" t="str">
        <f>IF(A24="","",IFERROR(LOOKUP(2,1/((持仓跟踪!$B$2:$B$157=A24)*(持仓跟踪!$X$2:$X$157="执行卖出")*(持仓跟踪!$Z$2:$Z$157&lt;&gt;"")),持仓跟踪!$Z$2:$Z$157),""))</f>
        <v/>
      </c>
      <c r="M24" s="18" t="str">
        <f>IF(A24="","",IFERROR(LOOKUP(2,1/((持仓跟踪!$B$2:$B$157=A24)*(持仓跟踪!$X$2:$X$157="执行卖出")*(持仓跟踪!$H$2:$H$157&lt;&gt;"")),持仓跟踪!$H$2:$H$157),""))</f>
        <v/>
      </c>
      <c r="N24" s="10"/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 t="str">
        <f t="shared" si="12"/>
        <v/>
      </c>
      <c r="V24" s="7" t="str">
        <f t="shared" si="13"/>
        <v/>
      </c>
      <c r="W24" s="19" t="str">
        <f t="shared" si="14"/>
        <v/>
      </c>
      <c r="X24" s="5" t="str">
        <f t="shared" si="15"/>
        <v/>
      </c>
      <c r="Y24" s="7" t="str">
        <f t="shared" si="16"/>
        <v/>
      </c>
      <c r="Z24" s="7" t="str">
        <f>IF(OR(AE24="",多次统计数据!$B$8=""),"",AE24-多次统计数据!$B$8)</f>
        <v/>
      </c>
      <c r="AA24" s="11" t="str">
        <f t="shared" si="1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18"/>
        <v/>
      </c>
      <c r="AG24" s="2"/>
      <c r="AH24" s="2"/>
      <c r="AI24" s="2"/>
      <c r="AJ24" s="8" t="str">
        <f t="shared" si="19"/>
        <v/>
      </c>
      <c r="AK24" s="10"/>
      <c r="AL24" s="12"/>
      <c r="AM24" s="10"/>
      <c r="AN24" s="12"/>
      <c r="AO24" s="5" t="str">
        <f t="shared" si="20"/>
        <v/>
      </c>
      <c r="AP24" s="11" t="str">
        <f t="shared" si="21"/>
        <v/>
      </c>
      <c r="AQ24" s="5" t="str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/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$88)&gt;账户数据!$B$7,"违规：超过账户风险上限","通过")))))))))</f>
        <v/>
      </c>
    </row>
    <row r="25" ht="17" spans="1:44">
      <c r="A25" s="2"/>
      <c r="B25" s="2"/>
      <c r="C25" s="10"/>
      <c r="D25" s="6"/>
      <c r="E25" s="10"/>
      <c r="F25" s="8" t="str">
        <f t="shared" si="11"/>
        <v/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5" t="str">
        <f>IF(A25="","",IFERROR(LOOKUP(2,1/((持仓跟踪!$B$2:$B$157=A25)*(持仓跟踪!$X$2:$X$157="执行卖出")*(持仓跟踪!$Y$2:$Y$157&lt;&gt;"")),持仓跟踪!$Y$2:$Y$157),""))</f>
        <v/>
      </c>
      <c r="L25" s="8" t="str">
        <f>IF(A25="","",IFERROR(LOOKUP(2,1/((持仓跟踪!$B$2:$B$157=A25)*(持仓跟踪!$X$2:$X$157="执行卖出")*(持仓跟踪!$Z$2:$Z$157&lt;&gt;"")),持仓跟踪!$Z$2:$Z$157),""))</f>
        <v/>
      </c>
      <c r="M25" s="18" t="str">
        <f>IF(A25="","",IFERROR(LOOKUP(2,1/((持仓跟踪!$B$2:$B$157=A25)*(持仓跟踪!$X$2:$X$157="执行卖出")*(持仓跟踪!$H$2:$H$157&lt;&gt;"")),持仓跟踪!$H$2:$H$157),""))</f>
        <v/>
      </c>
      <c r="N25" s="10"/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 t="str">
        <f t="shared" si="12"/>
        <v/>
      </c>
      <c r="V25" s="7" t="str">
        <f t="shared" si="13"/>
        <v/>
      </c>
      <c r="W25" s="19" t="str">
        <f t="shared" si="14"/>
        <v/>
      </c>
      <c r="X25" s="5" t="str">
        <f t="shared" si="15"/>
        <v/>
      </c>
      <c r="Y25" s="7" t="str">
        <f t="shared" si="16"/>
        <v/>
      </c>
      <c r="Z25" s="7" t="str">
        <f>IF(OR(AE25="",多次统计数据!$B$8=""),"",AE25-多次统计数据!$B$8)</f>
        <v/>
      </c>
      <c r="AA25" s="11" t="str">
        <f t="shared" si="1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18"/>
        <v/>
      </c>
      <c r="AG25" s="2"/>
      <c r="AH25" s="2"/>
      <c r="AI25" s="2"/>
      <c r="AJ25" s="8" t="str">
        <f t="shared" si="19"/>
        <v/>
      </c>
      <c r="AK25" s="10"/>
      <c r="AL25" s="12"/>
      <c r="AM25" s="10"/>
      <c r="AN25" s="12"/>
      <c r="AO25" s="5" t="str">
        <f t="shared" si="20"/>
        <v/>
      </c>
      <c r="AP25" s="11" t="str">
        <f t="shared" si="21"/>
        <v/>
      </c>
      <c r="AQ25" s="5" t="str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/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$88)&gt;账户数据!$B$7,"违规：超过账户风险上限","通过")))))))))</f>
        <v/>
      </c>
    </row>
    <row r="26" ht="17" spans="1:44">
      <c r="A26" s="2"/>
      <c r="B26" s="2"/>
      <c r="C26" s="10"/>
      <c r="D26" s="6"/>
      <c r="E26" s="10"/>
      <c r="F26" s="8" t="str">
        <f t="shared" si="11"/>
        <v/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5" t="str">
        <f>IF(A26="","",IFERROR(LOOKUP(2,1/((持仓跟踪!$B$2:$B$157=A26)*(持仓跟踪!$X$2:$X$157="执行卖出")*(持仓跟踪!$Y$2:$Y$157&lt;&gt;"")),持仓跟踪!$Y$2:$Y$157),""))</f>
        <v/>
      </c>
      <c r="L26" s="8" t="str">
        <f>IF(A26="","",IFERROR(LOOKUP(2,1/((持仓跟踪!$B$2:$B$157=A26)*(持仓跟踪!$X$2:$X$157="执行卖出")*(持仓跟踪!$Z$2:$Z$157&lt;&gt;"")),持仓跟踪!$Z$2:$Z$157),""))</f>
        <v/>
      </c>
      <c r="M26" s="18" t="str">
        <f>IF(A26="","",IFERROR(LOOKUP(2,1/((持仓跟踪!$B$2:$B$157=A26)*(持仓跟踪!$X$2:$X$157="执行卖出")*(持仓跟踪!$H$2:$H$157&lt;&gt;"")),持仓跟踪!$H$2:$H$157),""))</f>
        <v/>
      </c>
      <c r="N26" s="10"/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 t="str">
        <f t="shared" si="12"/>
        <v/>
      </c>
      <c r="V26" s="7" t="str">
        <f t="shared" si="13"/>
        <v/>
      </c>
      <c r="W26" s="19" t="str">
        <f t="shared" si="14"/>
        <v/>
      </c>
      <c r="X26" s="5" t="str">
        <f t="shared" si="15"/>
        <v/>
      </c>
      <c r="Y26" s="7" t="str">
        <f t="shared" si="16"/>
        <v/>
      </c>
      <c r="Z26" s="7" t="str">
        <f>IF(OR(AE26="",多次统计数据!$B$8=""),"",AE26-多次统计数据!$B$8)</f>
        <v/>
      </c>
      <c r="AA26" s="11" t="str">
        <f t="shared" si="1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18"/>
        <v/>
      </c>
      <c r="AG26" s="2"/>
      <c r="AH26" s="2"/>
      <c r="AI26" s="2"/>
      <c r="AJ26" s="8" t="str">
        <f t="shared" si="19"/>
        <v/>
      </c>
      <c r="AK26" s="10"/>
      <c r="AL26" s="12"/>
      <c r="AM26" s="10"/>
      <c r="AN26" s="12"/>
      <c r="AO26" s="5" t="str">
        <f t="shared" si="20"/>
        <v/>
      </c>
      <c r="AP26" s="11" t="str">
        <f t="shared" si="21"/>
        <v/>
      </c>
      <c r="AQ26" s="5" t="str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/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$88)&gt;账户数据!$B$7,"违规：超过账户风险上限","通过")))))))))</f>
        <v/>
      </c>
    </row>
    <row r="27" ht="17" spans="1:44">
      <c r="A27" s="2"/>
      <c r="B27" s="2"/>
      <c r="C27" s="10"/>
      <c r="D27" s="6"/>
      <c r="E27" s="10"/>
      <c r="F27" s="8" t="str">
        <f t="shared" si="11"/>
        <v/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5" t="str">
        <f>IF(A27="","",IFERROR(LOOKUP(2,1/((持仓跟踪!$B$2:$B$157=A27)*(持仓跟踪!$X$2:$X$157="执行卖出")*(持仓跟踪!$Y$2:$Y$157&lt;&gt;"")),持仓跟踪!$Y$2:$Y$157),""))</f>
        <v/>
      </c>
      <c r="L27" s="8" t="str">
        <f>IF(A27="","",IFERROR(LOOKUP(2,1/((持仓跟踪!$B$2:$B$157=A27)*(持仓跟踪!$X$2:$X$157="执行卖出")*(持仓跟踪!$Z$2:$Z$157&lt;&gt;"")),持仓跟踪!$Z$2:$Z$157),""))</f>
        <v/>
      </c>
      <c r="M27" s="18" t="str">
        <f>IF(A27="","",IFERROR(LOOKUP(2,1/((持仓跟踪!$B$2:$B$157=A27)*(持仓跟踪!$X$2:$X$157="执行卖出")*(持仓跟踪!$H$2:$H$157&lt;&gt;"")),持仓跟踪!$H$2:$H$157),""))</f>
        <v/>
      </c>
      <c r="N27" s="10"/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 t="str">
        <f t="shared" si="12"/>
        <v/>
      </c>
      <c r="V27" s="7" t="str">
        <f t="shared" si="13"/>
        <v/>
      </c>
      <c r="W27" s="19" t="str">
        <f t="shared" si="14"/>
        <v/>
      </c>
      <c r="X27" s="5" t="str">
        <f t="shared" si="15"/>
        <v/>
      </c>
      <c r="Y27" s="7" t="str">
        <f t="shared" si="16"/>
        <v/>
      </c>
      <c r="Z27" s="7" t="str">
        <f>IF(OR(AE27="",多次统计数据!$B$8=""),"",AE27-多次统计数据!$B$8)</f>
        <v/>
      </c>
      <c r="AA27" s="11" t="str">
        <f t="shared" si="1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18"/>
        <v/>
      </c>
      <c r="AG27" s="2"/>
      <c r="AH27" s="2"/>
      <c r="AI27" s="2"/>
      <c r="AJ27" s="8" t="str">
        <f t="shared" si="19"/>
        <v/>
      </c>
      <c r="AK27" s="10"/>
      <c r="AL27" s="12"/>
      <c r="AM27" s="10"/>
      <c r="AN27" s="12"/>
      <c r="AO27" s="5" t="str">
        <f t="shared" si="20"/>
        <v/>
      </c>
      <c r="AP27" s="11" t="str">
        <f t="shared" si="21"/>
        <v/>
      </c>
      <c r="AQ27" s="5" t="str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/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$88)&gt;账户数据!$B$7,"违规：超过账户风险上限","通过")))))))))</f>
        <v/>
      </c>
    </row>
    <row r="28" ht="17" spans="1:44">
      <c r="A28" s="2"/>
      <c r="B28" s="2"/>
      <c r="C28" s="10"/>
      <c r="D28" s="6"/>
      <c r="E28" s="10"/>
      <c r="F28" s="8" t="str">
        <f t="shared" si="11"/>
        <v/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5" t="str">
        <f>IF(A28="","",IFERROR(LOOKUP(2,1/((持仓跟踪!$B$2:$B$157=A28)*(持仓跟踪!$X$2:$X$157="执行卖出")*(持仓跟踪!$Y$2:$Y$157&lt;&gt;"")),持仓跟踪!$Y$2:$Y$157),""))</f>
        <v/>
      </c>
      <c r="L28" s="8" t="str">
        <f>IF(A28="","",IFERROR(LOOKUP(2,1/((持仓跟踪!$B$2:$B$157=A28)*(持仓跟踪!$X$2:$X$157="执行卖出")*(持仓跟踪!$Z$2:$Z$157&lt;&gt;"")),持仓跟踪!$Z$2:$Z$157),""))</f>
        <v/>
      </c>
      <c r="M28" s="18" t="str">
        <f>IF(A28="","",IFERROR(LOOKUP(2,1/((持仓跟踪!$B$2:$B$157=A28)*(持仓跟踪!$X$2:$X$157="执行卖出")*(持仓跟踪!$H$2:$H$157&lt;&gt;"")),持仓跟踪!$H$2:$H$157),""))</f>
        <v/>
      </c>
      <c r="N28" s="10"/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 t="str">
        <f t="shared" si="12"/>
        <v/>
      </c>
      <c r="V28" s="7" t="str">
        <f t="shared" si="13"/>
        <v/>
      </c>
      <c r="W28" s="19" t="str">
        <f t="shared" si="14"/>
        <v/>
      </c>
      <c r="X28" s="5" t="str">
        <f t="shared" si="15"/>
        <v/>
      </c>
      <c r="Y28" s="7" t="str">
        <f t="shared" si="16"/>
        <v/>
      </c>
      <c r="Z28" s="7" t="str">
        <f>IF(OR(AE28="",多次统计数据!$B$8=""),"",AE28-多次统计数据!$B$8)</f>
        <v/>
      </c>
      <c r="AA28" s="11" t="str">
        <f t="shared" si="1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18"/>
        <v/>
      </c>
      <c r="AG28" s="2"/>
      <c r="AH28" s="2"/>
      <c r="AI28" s="2"/>
      <c r="AJ28" s="8" t="str">
        <f t="shared" si="19"/>
        <v/>
      </c>
      <c r="AK28" s="10"/>
      <c r="AL28" s="12"/>
      <c r="AM28" s="10"/>
      <c r="AN28" s="12"/>
      <c r="AO28" s="5" t="str">
        <f t="shared" si="20"/>
        <v/>
      </c>
      <c r="AP28" s="11" t="str">
        <f t="shared" si="21"/>
        <v/>
      </c>
      <c r="AQ28" s="5" t="str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/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$88)&gt;账户数据!$B$7,"违规：超过账户风险上限","通过")))))))))</f>
        <v/>
      </c>
    </row>
    <row r="29" ht="17" spans="1:44">
      <c r="A29" s="2"/>
      <c r="B29" s="2"/>
      <c r="C29" s="10"/>
      <c r="D29" s="6"/>
      <c r="E29" s="10"/>
      <c r="F29" s="8" t="str">
        <f t="shared" si="11"/>
        <v/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5" t="str">
        <f>IF(A29="","",IFERROR(LOOKUP(2,1/((持仓跟踪!$B$2:$B$157=A29)*(持仓跟踪!$X$2:$X$157="执行卖出")*(持仓跟踪!$Y$2:$Y$157&lt;&gt;"")),持仓跟踪!$Y$2:$Y$157),""))</f>
        <v/>
      </c>
      <c r="L29" s="8" t="str">
        <f>IF(A29="","",IFERROR(LOOKUP(2,1/((持仓跟踪!$B$2:$B$157=A29)*(持仓跟踪!$X$2:$X$157="执行卖出")*(持仓跟踪!$Z$2:$Z$157&lt;&gt;"")),持仓跟踪!$Z$2:$Z$157),""))</f>
        <v/>
      </c>
      <c r="M29" s="18" t="str">
        <f>IF(A29="","",IFERROR(LOOKUP(2,1/((持仓跟踪!$B$2:$B$157=A29)*(持仓跟踪!$X$2:$X$157="执行卖出")*(持仓跟踪!$H$2:$H$157&lt;&gt;"")),持仓跟踪!$H$2:$H$157),""))</f>
        <v/>
      </c>
      <c r="N29" s="10"/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 t="str">
        <f t="shared" si="12"/>
        <v/>
      </c>
      <c r="V29" s="7" t="str">
        <f t="shared" si="13"/>
        <v/>
      </c>
      <c r="W29" s="19" t="str">
        <f t="shared" si="14"/>
        <v/>
      </c>
      <c r="X29" s="5" t="str">
        <f t="shared" si="15"/>
        <v/>
      </c>
      <c r="Y29" s="7" t="str">
        <f t="shared" si="16"/>
        <v/>
      </c>
      <c r="Z29" s="7" t="str">
        <f>IF(OR(AE29="",多次统计数据!$B$8=""),"",AE29-多次统计数据!$B$8)</f>
        <v/>
      </c>
      <c r="AA29" s="11" t="str">
        <f t="shared" si="1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18"/>
        <v/>
      </c>
      <c r="AG29" s="2"/>
      <c r="AH29" s="2"/>
      <c r="AI29" s="2"/>
      <c r="AJ29" s="8" t="str">
        <f t="shared" si="19"/>
        <v/>
      </c>
      <c r="AK29" s="10"/>
      <c r="AL29" s="12"/>
      <c r="AM29" s="10"/>
      <c r="AN29" s="12"/>
      <c r="AO29" s="5" t="str">
        <f t="shared" si="20"/>
        <v/>
      </c>
      <c r="AP29" s="11" t="str">
        <f t="shared" si="21"/>
        <v/>
      </c>
      <c r="AQ29" s="5" t="str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/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$88)&gt;账户数据!$B$7,"违规：超过账户风险上限","通过")))))))))</f>
        <v/>
      </c>
    </row>
    <row r="30" ht="17" spans="1:44">
      <c r="A30" s="2"/>
      <c r="B30" s="2"/>
      <c r="C30" s="10"/>
      <c r="D30" s="6"/>
      <c r="E30" s="10"/>
      <c r="F30" s="8" t="str">
        <f t="shared" si="11"/>
        <v/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5" t="str">
        <f>IF(A30="","",IFERROR(LOOKUP(2,1/((持仓跟踪!$B$2:$B$157=A30)*(持仓跟踪!$X$2:$X$157="执行卖出")*(持仓跟踪!$Y$2:$Y$157&lt;&gt;"")),持仓跟踪!$Y$2:$Y$157),""))</f>
        <v/>
      </c>
      <c r="L30" s="8" t="str">
        <f>IF(A30="","",IFERROR(LOOKUP(2,1/((持仓跟踪!$B$2:$B$157=A30)*(持仓跟踪!$X$2:$X$157="执行卖出")*(持仓跟踪!$Z$2:$Z$157&lt;&gt;"")),持仓跟踪!$Z$2:$Z$157),""))</f>
        <v/>
      </c>
      <c r="M30" s="18" t="str">
        <f>IF(A30="","",IFERROR(LOOKUP(2,1/((持仓跟踪!$B$2:$B$157=A30)*(持仓跟踪!$X$2:$X$157="执行卖出")*(持仓跟踪!$H$2:$H$157&lt;&gt;"")),持仓跟踪!$H$2:$H$157),""))</f>
        <v/>
      </c>
      <c r="N30" s="10"/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 t="str">
        <f t="shared" si="12"/>
        <v/>
      </c>
      <c r="V30" s="7" t="str">
        <f t="shared" si="13"/>
        <v/>
      </c>
      <c r="W30" s="19" t="str">
        <f t="shared" si="14"/>
        <v/>
      </c>
      <c r="X30" s="5" t="str">
        <f t="shared" si="15"/>
        <v/>
      </c>
      <c r="Y30" s="7" t="str">
        <f t="shared" si="16"/>
        <v/>
      </c>
      <c r="Z30" s="7" t="str">
        <f>IF(OR(AE30="",多次统计数据!$B$8=""),"",AE30-多次统计数据!$B$8)</f>
        <v/>
      </c>
      <c r="AA30" s="11" t="str">
        <f t="shared" si="1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18"/>
        <v/>
      </c>
      <c r="AG30" s="2"/>
      <c r="AH30" s="2"/>
      <c r="AI30" s="2"/>
      <c r="AJ30" s="8" t="str">
        <f t="shared" si="19"/>
        <v/>
      </c>
      <c r="AK30" s="10"/>
      <c r="AL30" s="12"/>
      <c r="AM30" s="10"/>
      <c r="AN30" s="12"/>
      <c r="AO30" s="5" t="str">
        <f t="shared" si="20"/>
        <v/>
      </c>
      <c r="AP30" s="11" t="str">
        <f t="shared" si="21"/>
        <v/>
      </c>
      <c r="AQ30" s="5" t="str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/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$88)&gt;账户数据!$B$7,"违规：超过账户风险上限","通过")))))))))</f>
        <v/>
      </c>
    </row>
    <row r="31" ht="17" spans="1:44">
      <c r="A31" s="2"/>
      <c r="B31" s="2"/>
      <c r="C31" s="10"/>
      <c r="D31" s="6"/>
      <c r="E31" s="10"/>
      <c r="F31" s="8" t="str">
        <f t="shared" si="11"/>
        <v/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5" t="str">
        <f>IF(A31="","",IFERROR(LOOKUP(2,1/((持仓跟踪!$B$2:$B$157=A31)*(持仓跟踪!$X$2:$X$157="执行卖出")*(持仓跟踪!$Y$2:$Y$157&lt;&gt;"")),持仓跟踪!$Y$2:$Y$157),""))</f>
        <v/>
      </c>
      <c r="L31" s="8" t="str">
        <f>IF(A31="","",IFERROR(LOOKUP(2,1/((持仓跟踪!$B$2:$B$157=A31)*(持仓跟踪!$X$2:$X$157="执行卖出")*(持仓跟踪!$Z$2:$Z$157&lt;&gt;"")),持仓跟踪!$Z$2:$Z$157),""))</f>
        <v/>
      </c>
      <c r="M31" s="18" t="str">
        <f>IF(A31="","",IFERROR(LOOKUP(2,1/((持仓跟踪!$B$2:$B$157=A31)*(持仓跟踪!$X$2:$X$157="执行卖出")*(持仓跟踪!$H$2:$H$157&lt;&gt;"")),持仓跟踪!$H$2:$H$157),""))</f>
        <v/>
      </c>
      <c r="N31" s="10"/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 t="str">
        <f t="shared" si="12"/>
        <v/>
      </c>
      <c r="V31" s="7" t="str">
        <f t="shared" si="13"/>
        <v/>
      </c>
      <c r="W31" s="19" t="str">
        <f t="shared" si="14"/>
        <v/>
      </c>
      <c r="X31" s="5" t="str">
        <f t="shared" si="15"/>
        <v/>
      </c>
      <c r="Y31" s="7" t="str">
        <f t="shared" si="16"/>
        <v/>
      </c>
      <c r="Z31" s="7" t="str">
        <f>IF(OR(AE31="",多次统计数据!$B$8=""),"",AE31-多次统计数据!$B$8)</f>
        <v/>
      </c>
      <c r="AA31" s="11" t="str">
        <f t="shared" si="1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18"/>
        <v/>
      </c>
      <c r="AG31" s="2"/>
      <c r="AH31" s="2"/>
      <c r="AI31" s="2"/>
      <c r="AJ31" s="8" t="str">
        <f t="shared" si="19"/>
        <v/>
      </c>
      <c r="AK31" s="10"/>
      <c r="AL31" s="12"/>
      <c r="AM31" s="10"/>
      <c r="AN31" s="12"/>
      <c r="AO31" s="5" t="str">
        <f t="shared" si="20"/>
        <v/>
      </c>
      <c r="AP31" s="11" t="str">
        <f t="shared" si="21"/>
        <v/>
      </c>
      <c r="AQ31" s="5" t="str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/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$88)&gt;账户数据!$B$7,"违规：超过账户风险上限","通过")))))))))</f>
        <v/>
      </c>
    </row>
    <row r="32" ht="17" spans="1:44">
      <c r="A32" s="2"/>
      <c r="B32" s="2"/>
      <c r="C32" s="10"/>
      <c r="D32" s="6"/>
      <c r="E32" s="10"/>
      <c r="F32" s="8" t="str">
        <f t="shared" si="11"/>
        <v/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5" t="str">
        <f>IF(A32="","",IFERROR(LOOKUP(2,1/((持仓跟踪!$B$2:$B$157=A32)*(持仓跟踪!$X$2:$X$157="执行卖出")*(持仓跟踪!$Y$2:$Y$157&lt;&gt;"")),持仓跟踪!$Y$2:$Y$157),""))</f>
        <v/>
      </c>
      <c r="L32" s="8" t="str">
        <f>IF(A32="","",IFERROR(LOOKUP(2,1/((持仓跟踪!$B$2:$B$157=A32)*(持仓跟踪!$X$2:$X$157="执行卖出")*(持仓跟踪!$Z$2:$Z$157&lt;&gt;"")),持仓跟踪!$Z$2:$Z$157),""))</f>
        <v/>
      </c>
      <c r="M32" s="18" t="str">
        <f>IF(A32="","",IFERROR(LOOKUP(2,1/((持仓跟踪!$B$2:$B$157=A32)*(持仓跟踪!$X$2:$X$157="执行卖出")*(持仓跟踪!$H$2:$H$157&lt;&gt;"")),持仓跟踪!$H$2:$H$157),""))</f>
        <v/>
      </c>
      <c r="N32" s="10"/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 t="str">
        <f t="shared" si="12"/>
        <v/>
      </c>
      <c r="V32" s="7" t="str">
        <f t="shared" si="13"/>
        <v/>
      </c>
      <c r="W32" s="19" t="str">
        <f t="shared" si="14"/>
        <v/>
      </c>
      <c r="X32" s="5" t="str">
        <f t="shared" si="15"/>
        <v/>
      </c>
      <c r="Y32" s="7" t="str">
        <f t="shared" si="16"/>
        <v/>
      </c>
      <c r="Z32" s="7" t="str">
        <f>IF(OR(AE32="",多次统计数据!$B$8=""),"",AE32-多次统计数据!$B$8)</f>
        <v/>
      </c>
      <c r="AA32" s="11" t="str">
        <f t="shared" si="1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18"/>
        <v/>
      </c>
      <c r="AG32" s="2"/>
      <c r="AH32" s="2"/>
      <c r="AI32" s="2"/>
      <c r="AJ32" s="8" t="str">
        <f t="shared" si="19"/>
        <v/>
      </c>
      <c r="AK32" s="10"/>
      <c r="AL32" s="12"/>
      <c r="AM32" s="10"/>
      <c r="AN32" s="12"/>
      <c r="AO32" s="5" t="str">
        <f t="shared" si="20"/>
        <v/>
      </c>
      <c r="AP32" s="11" t="str">
        <f t="shared" si="21"/>
        <v/>
      </c>
      <c r="AQ32" s="5" t="str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/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$88)&gt;账户数据!$B$7,"违规：超过账户风险上限","通过")))))))))</f>
        <v/>
      </c>
    </row>
    <row r="33" ht="17" spans="1:44">
      <c r="A33" s="2"/>
      <c r="B33" s="2"/>
      <c r="C33" s="10"/>
      <c r="D33" s="6"/>
      <c r="E33" s="10"/>
      <c r="F33" s="8" t="str">
        <f t="shared" si="11"/>
        <v/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5" t="str">
        <f>IF(A33="","",IFERROR(LOOKUP(2,1/((持仓跟踪!$B$2:$B$157=A33)*(持仓跟踪!$X$2:$X$157="执行卖出")*(持仓跟踪!$Y$2:$Y$157&lt;&gt;"")),持仓跟踪!$Y$2:$Y$157),""))</f>
        <v/>
      </c>
      <c r="L33" s="8" t="str">
        <f>IF(A33="","",IFERROR(LOOKUP(2,1/((持仓跟踪!$B$2:$B$157=A33)*(持仓跟踪!$X$2:$X$157="执行卖出")*(持仓跟踪!$Z$2:$Z$157&lt;&gt;"")),持仓跟踪!$Z$2:$Z$157),""))</f>
        <v/>
      </c>
      <c r="M33" s="18" t="str">
        <f>IF(A33="","",IFERROR(LOOKUP(2,1/((持仓跟踪!$B$2:$B$157=A33)*(持仓跟踪!$X$2:$X$157="执行卖出")*(持仓跟踪!$H$2:$H$157&lt;&gt;"")),持仓跟踪!$H$2:$H$157),""))</f>
        <v/>
      </c>
      <c r="N33" s="10"/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 t="str">
        <f t="shared" si="12"/>
        <v/>
      </c>
      <c r="V33" s="7" t="str">
        <f t="shared" si="13"/>
        <v/>
      </c>
      <c r="W33" s="19" t="str">
        <f t="shared" si="14"/>
        <v/>
      </c>
      <c r="X33" s="5" t="str">
        <f t="shared" si="15"/>
        <v/>
      </c>
      <c r="Y33" s="7" t="str">
        <f t="shared" si="16"/>
        <v/>
      </c>
      <c r="Z33" s="7" t="str">
        <f>IF(OR(AE33="",多次统计数据!$B$8=""),"",AE33-多次统计数据!$B$8)</f>
        <v/>
      </c>
      <c r="AA33" s="11" t="str">
        <f t="shared" si="1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18"/>
        <v/>
      </c>
      <c r="AG33" s="2"/>
      <c r="AH33" s="2"/>
      <c r="AI33" s="2"/>
      <c r="AJ33" s="8" t="str">
        <f t="shared" si="19"/>
        <v/>
      </c>
      <c r="AK33" s="10"/>
      <c r="AL33" s="12"/>
      <c r="AM33" s="10"/>
      <c r="AN33" s="12"/>
      <c r="AO33" s="5" t="str">
        <f t="shared" si="20"/>
        <v/>
      </c>
      <c r="AP33" s="11" t="str">
        <f t="shared" si="21"/>
        <v/>
      </c>
      <c r="AQ33" s="5" t="str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/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$88)&gt;账户数据!$B$7,"违规：超过账户风险上限","通过")))))))))</f>
        <v/>
      </c>
    </row>
    <row r="34" ht="17" spans="1:44">
      <c r="A34" s="2"/>
      <c r="B34" s="2"/>
      <c r="C34" s="10"/>
      <c r="D34" s="6"/>
      <c r="E34" s="10"/>
      <c r="F34" s="8" t="str">
        <f t="shared" si="11"/>
        <v/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5" t="str">
        <f>IF(A34="","",IFERROR(LOOKUP(2,1/((持仓跟踪!$B$2:$B$157=A34)*(持仓跟踪!$X$2:$X$157="执行卖出")*(持仓跟踪!$Y$2:$Y$157&lt;&gt;"")),持仓跟踪!$Y$2:$Y$157),""))</f>
        <v/>
      </c>
      <c r="L34" s="8" t="str">
        <f>IF(A34="","",IFERROR(LOOKUP(2,1/((持仓跟踪!$B$2:$B$157=A34)*(持仓跟踪!$X$2:$X$157="执行卖出")*(持仓跟踪!$Z$2:$Z$157&lt;&gt;"")),持仓跟踪!$Z$2:$Z$157),""))</f>
        <v/>
      </c>
      <c r="M34" s="18" t="str">
        <f>IF(A34="","",IFERROR(LOOKUP(2,1/((持仓跟踪!$B$2:$B$157=A34)*(持仓跟踪!$X$2:$X$157="执行卖出")*(持仓跟踪!$H$2:$H$157&lt;&gt;"")),持仓跟踪!$H$2:$H$157),""))</f>
        <v/>
      </c>
      <c r="N34" s="10"/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 t="str">
        <f t="shared" si="12"/>
        <v/>
      </c>
      <c r="V34" s="7" t="str">
        <f t="shared" si="13"/>
        <v/>
      </c>
      <c r="W34" s="19" t="str">
        <f t="shared" si="14"/>
        <v/>
      </c>
      <c r="X34" s="5" t="str">
        <f t="shared" si="15"/>
        <v/>
      </c>
      <c r="Y34" s="7" t="str">
        <f t="shared" si="16"/>
        <v/>
      </c>
      <c r="Z34" s="7" t="str">
        <f>IF(OR(AE34="",多次统计数据!$B$8=""),"",AE34-多次统计数据!$B$8)</f>
        <v/>
      </c>
      <c r="AA34" s="11" t="str">
        <f t="shared" si="1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18"/>
        <v/>
      </c>
      <c r="AG34" s="2"/>
      <c r="AH34" s="2"/>
      <c r="AI34" s="2"/>
      <c r="AJ34" s="8" t="str">
        <f t="shared" si="19"/>
        <v/>
      </c>
      <c r="AK34" s="10"/>
      <c r="AL34" s="12"/>
      <c r="AM34" s="10"/>
      <c r="AN34" s="12"/>
      <c r="AO34" s="5" t="str">
        <f t="shared" si="20"/>
        <v/>
      </c>
      <c r="AP34" s="11" t="str">
        <f t="shared" si="21"/>
        <v/>
      </c>
      <c r="AQ34" s="5" t="str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/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$88)&gt;账户数据!$B$7,"违规：超过账户风险上限","通过")))))))))</f>
        <v/>
      </c>
    </row>
    <row r="35" ht="17" spans="1:44">
      <c r="A35" s="2"/>
      <c r="B35" s="2"/>
      <c r="C35" s="10"/>
      <c r="D35" s="6"/>
      <c r="E35" s="10"/>
      <c r="F35" s="8" t="str">
        <f t="shared" si="11"/>
        <v/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5" t="str">
        <f>IF(A35="","",IFERROR(LOOKUP(2,1/((持仓跟踪!$B$2:$B$157=A35)*(持仓跟踪!$X$2:$X$157="执行卖出")*(持仓跟踪!$Y$2:$Y$157&lt;&gt;"")),持仓跟踪!$Y$2:$Y$157),""))</f>
        <v/>
      </c>
      <c r="L35" s="8" t="str">
        <f>IF(A35="","",IFERROR(LOOKUP(2,1/((持仓跟踪!$B$2:$B$157=A35)*(持仓跟踪!$X$2:$X$157="执行卖出")*(持仓跟踪!$Z$2:$Z$157&lt;&gt;"")),持仓跟踪!$Z$2:$Z$157),""))</f>
        <v/>
      </c>
      <c r="M35" s="18" t="str">
        <f>IF(A35="","",IFERROR(LOOKUP(2,1/((持仓跟踪!$B$2:$B$157=A35)*(持仓跟踪!$X$2:$X$157="执行卖出")*(持仓跟踪!$H$2:$H$157&lt;&gt;"")),持仓跟踪!$H$2:$H$157),""))</f>
        <v/>
      </c>
      <c r="N35" s="10"/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 t="str">
        <f t="shared" si="12"/>
        <v/>
      </c>
      <c r="V35" s="7" t="str">
        <f t="shared" si="13"/>
        <v/>
      </c>
      <c r="W35" s="19" t="str">
        <f t="shared" si="14"/>
        <v/>
      </c>
      <c r="X35" s="5" t="str">
        <f t="shared" si="15"/>
        <v/>
      </c>
      <c r="Y35" s="7" t="str">
        <f t="shared" si="16"/>
        <v/>
      </c>
      <c r="Z35" s="7" t="str">
        <f>IF(OR(AE35="",多次统计数据!$B$8=""),"",AE35-多次统计数据!$B$8)</f>
        <v/>
      </c>
      <c r="AA35" s="11" t="str">
        <f t="shared" si="1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18"/>
        <v/>
      </c>
      <c r="AG35" s="2"/>
      <c r="AH35" s="2"/>
      <c r="AI35" s="2"/>
      <c r="AJ35" s="8" t="str">
        <f t="shared" si="19"/>
        <v/>
      </c>
      <c r="AK35" s="10"/>
      <c r="AL35" s="12"/>
      <c r="AM35" s="10"/>
      <c r="AN35" s="12"/>
      <c r="AO35" s="5" t="str">
        <f t="shared" si="20"/>
        <v/>
      </c>
      <c r="AP35" s="11" t="str">
        <f t="shared" si="21"/>
        <v/>
      </c>
      <c r="AQ35" s="5" t="str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/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$88)&gt;账户数据!$B$7,"违规：超过账户风险上限","通过")))))))))</f>
        <v/>
      </c>
    </row>
    <row r="36" ht="17" spans="1:44">
      <c r="A36" s="2"/>
      <c r="B36" s="2"/>
      <c r="C36" s="10"/>
      <c r="D36" s="6"/>
      <c r="E36" s="10"/>
      <c r="F36" s="8" t="str">
        <f t="shared" si="11"/>
        <v/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5" t="str">
        <f>IF(A36="","",IFERROR(LOOKUP(2,1/((持仓跟踪!$B$2:$B$157=A36)*(持仓跟踪!$X$2:$X$157="执行卖出")*(持仓跟踪!$Y$2:$Y$157&lt;&gt;"")),持仓跟踪!$Y$2:$Y$157),""))</f>
        <v/>
      </c>
      <c r="L36" s="8" t="str">
        <f>IF(A36="","",IFERROR(LOOKUP(2,1/((持仓跟踪!$B$2:$B$157=A36)*(持仓跟踪!$X$2:$X$157="执行卖出")*(持仓跟踪!$Z$2:$Z$157&lt;&gt;"")),持仓跟踪!$Z$2:$Z$157),""))</f>
        <v/>
      </c>
      <c r="M36" s="18" t="str">
        <f>IF(A36="","",IFERROR(LOOKUP(2,1/((持仓跟踪!$B$2:$B$157=A36)*(持仓跟踪!$X$2:$X$157="执行卖出")*(持仓跟踪!$H$2:$H$157&lt;&gt;"")),持仓跟踪!$H$2:$H$157),""))</f>
        <v/>
      </c>
      <c r="N36" s="10"/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 t="str">
        <f t="shared" si="12"/>
        <v/>
      </c>
      <c r="V36" s="7" t="str">
        <f t="shared" si="13"/>
        <v/>
      </c>
      <c r="W36" s="19" t="str">
        <f t="shared" si="14"/>
        <v/>
      </c>
      <c r="X36" s="5" t="str">
        <f t="shared" si="15"/>
        <v/>
      </c>
      <c r="Y36" s="7" t="str">
        <f t="shared" si="16"/>
        <v/>
      </c>
      <c r="Z36" s="7" t="str">
        <f>IF(OR(AE36="",多次统计数据!$B$8=""),"",AE36-多次统计数据!$B$8)</f>
        <v/>
      </c>
      <c r="AA36" s="11" t="str">
        <f t="shared" si="1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18"/>
        <v/>
      </c>
      <c r="AG36" s="2"/>
      <c r="AH36" s="2"/>
      <c r="AI36" s="2"/>
      <c r="AJ36" s="8" t="str">
        <f t="shared" si="19"/>
        <v/>
      </c>
      <c r="AK36" s="10"/>
      <c r="AL36" s="12"/>
      <c r="AM36" s="10"/>
      <c r="AN36" s="12"/>
      <c r="AO36" s="5" t="str">
        <f t="shared" si="20"/>
        <v/>
      </c>
      <c r="AP36" s="11" t="str">
        <f t="shared" si="21"/>
        <v/>
      </c>
      <c r="AQ36" s="5" t="str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/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$88)&gt;账户数据!$B$7,"违规：超过账户风险上限","通过")))))))))</f>
        <v/>
      </c>
    </row>
    <row r="37" ht="17" spans="1:44">
      <c r="A37" s="2"/>
      <c r="B37" s="2"/>
      <c r="C37" s="10"/>
      <c r="D37" s="6"/>
      <c r="E37" s="10"/>
      <c r="F37" s="8" t="str">
        <f t="shared" si="11"/>
        <v/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5" t="str">
        <f>IF(A37="","",IFERROR(LOOKUP(2,1/((持仓跟踪!$B$2:$B$157=A37)*(持仓跟踪!$X$2:$X$157="执行卖出")*(持仓跟踪!$Y$2:$Y$157&lt;&gt;"")),持仓跟踪!$Y$2:$Y$157),""))</f>
        <v/>
      </c>
      <c r="L37" s="8" t="str">
        <f>IF(A37="","",IFERROR(LOOKUP(2,1/((持仓跟踪!$B$2:$B$157=A37)*(持仓跟踪!$X$2:$X$157="执行卖出")*(持仓跟踪!$Z$2:$Z$157&lt;&gt;"")),持仓跟踪!$Z$2:$Z$157),""))</f>
        <v/>
      </c>
      <c r="M37" s="18" t="str">
        <f>IF(A37="","",IFERROR(LOOKUP(2,1/((持仓跟踪!$B$2:$B$157=A37)*(持仓跟踪!$X$2:$X$157="执行卖出")*(持仓跟踪!$H$2:$H$157&lt;&gt;"")),持仓跟踪!$H$2:$H$157),""))</f>
        <v/>
      </c>
      <c r="N37" s="10"/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 t="str">
        <f t="shared" si="12"/>
        <v/>
      </c>
      <c r="V37" s="7" t="str">
        <f t="shared" si="13"/>
        <v/>
      </c>
      <c r="W37" s="19" t="str">
        <f t="shared" si="14"/>
        <v/>
      </c>
      <c r="X37" s="5" t="str">
        <f t="shared" si="15"/>
        <v/>
      </c>
      <c r="Y37" s="7" t="str">
        <f t="shared" si="16"/>
        <v/>
      </c>
      <c r="Z37" s="7" t="str">
        <f>IF(OR(AE37="",多次统计数据!$B$8=""),"",AE37-多次统计数据!$B$8)</f>
        <v/>
      </c>
      <c r="AA37" s="11" t="str">
        <f t="shared" si="1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18"/>
        <v/>
      </c>
      <c r="AG37" s="2"/>
      <c r="AH37" s="2"/>
      <c r="AI37" s="2"/>
      <c r="AJ37" s="8" t="str">
        <f t="shared" si="19"/>
        <v/>
      </c>
      <c r="AK37" s="10"/>
      <c r="AL37" s="12"/>
      <c r="AM37" s="10"/>
      <c r="AN37" s="12"/>
      <c r="AO37" s="5" t="str">
        <f t="shared" si="20"/>
        <v/>
      </c>
      <c r="AP37" s="11" t="str">
        <f t="shared" si="21"/>
        <v/>
      </c>
      <c r="AQ37" s="5" t="str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/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$88)&gt;账户数据!$B$7,"违规：超过账户风险上限","通过")))))))))</f>
        <v/>
      </c>
    </row>
    <row r="38" ht="17" spans="1:44">
      <c r="A38" s="2"/>
      <c r="B38" s="2"/>
      <c r="C38" s="10"/>
      <c r="D38" s="6"/>
      <c r="E38" s="10"/>
      <c r="F38" s="8" t="str">
        <f t="shared" si="11"/>
        <v/>
      </c>
      <c r="G38" s="8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5" t="str">
        <f>IF(A38="","",IFERROR(LOOKUP(2,1/((持仓跟踪!$B$2:$B$157=A38)*(持仓跟踪!$X$2:$X$157="执行卖出")*(持仓跟踪!$Y$2:$Y$157&lt;&gt;"")),持仓跟踪!$Y$2:$Y$157),""))</f>
        <v/>
      </c>
      <c r="L38" s="8" t="str">
        <f>IF(A38="","",IFERROR(LOOKUP(2,1/((持仓跟踪!$B$2:$B$157=A38)*(持仓跟踪!$X$2:$X$157="执行卖出")*(持仓跟踪!$Z$2:$Z$157&lt;&gt;"")),持仓跟踪!$Z$2:$Z$157),""))</f>
        <v/>
      </c>
      <c r="M38" s="18" t="str">
        <f>IF(A38="","",IFERROR(LOOKUP(2,1/((持仓跟踪!$B$2:$B$157=A38)*(持仓跟踪!$X$2:$X$157="执行卖出")*(持仓跟踪!$H$2:$H$157&lt;&gt;"")),持仓跟踪!$H$2:$H$157),""))</f>
        <v/>
      </c>
      <c r="N38" s="10"/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 t="str">
        <f t="shared" si="12"/>
        <v/>
      </c>
      <c r="V38" s="7" t="str">
        <f t="shared" si="13"/>
        <v/>
      </c>
      <c r="W38" s="19" t="str">
        <f t="shared" si="14"/>
        <v/>
      </c>
      <c r="X38" s="5" t="str">
        <f t="shared" si="15"/>
        <v/>
      </c>
      <c r="Y38" s="7" t="str">
        <f t="shared" si="16"/>
        <v/>
      </c>
      <c r="Z38" s="7" t="str">
        <f>IF(OR(AE38="",多次统计数据!$B$8=""),"",AE38-多次统计数据!$B$8)</f>
        <v/>
      </c>
      <c r="AA38" s="11" t="str">
        <f t="shared" si="1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18"/>
        <v/>
      </c>
      <c r="AG38" s="2"/>
      <c r="AH38" s="2"/>
      <c r="AI38" s="2"/>
      <c r="AJ38" s="8" t="str">
        <f t="shared" si="19"/>
        <v/>
      </c>
      <c r="AK38" s="10"/>
      <c r="AL38" s="12"/>
      <c r="AM38" s="10"/>
      <c r="AN38" s="12"/>
      <c r="AO38" s="5" t="str">
        <f t="shared" si="20"/>
        <v/>
      </c>
      <c r="AP38" s="11" t="str">
        <f t="shared" si="21"/>
        <v/>
      </c>
      <c r="AQ38" s="5" t="str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/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$88)&gt;账户数据!$B$7,"违规：超过账户风险上限","通过")))))))))</f>
        <v/>
      </c>
    </row>
    <row r="39" ht="17" spans="1:44">
      <c r="A39" s="2"/>
      <c r="B39" s="2"/>
      <c r="C39" s="10"/>
      <c r="D39" s="6"/>
      <c r="E39" s="10"/>
      <c r="F39" s="8" t="str">
        <f t="shared" si="11"/>
        <v/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5" t="str">
        <f>IF(A39="","",IFERROR(LOOKUP(2,1/((持仓跟踪!$B$2:$B$157=A39)*(持仓跟踪!$X$2:$X$157="执行卖出")*(持仓跟踪!$Y$2:$Y$157&lt;&gt;"")),持仓跟踪!$Y$2:$Y$157),""))</f>
        <v/>
      </c>
      <c r="L39" s="8" t="str">
        <f>IF(A39="","",IFERROR(LOOKUP(2,1/((持仓跟踪!$B$2:$B$157=A39)*(持仓跟踪!$X$2:$X$157="执行卖出")*(持仓跟踪!$Z$2:$Z$157&lt;&gt;"")),持仓跟踪!$Z$2:$Z$157),""))</f>
        <v/>
      </c>
      <c r="M39" s="18" t="str">
        <f>IF(A39="","",IFERROR(LOOKUP(2,1/((持仓跟踪!$B$2:$B$157=A39)*(持仓跟踪!$X$2:$X$157="执行卖出")*(持仓跟踪!$H$2:$H$157&lt;&gt;"")),持仓跟踪!$H$2:$H$157),""))</f>
        <v/>
      </c>
      <c r="N39" s="10"/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 t="str">
        <f t="shared" si="12"/>
        <v/>
      </c>
      <c r="V39" s="7" t="str">
        <f t="shared" si="13"/>
        <v/>
      </c>
      <c r="W39" s="19" t="str">
        <f t="shared" si="14"/>
        <v/>
      </c>
      <c r="X39" s="5" t="str">
        <f t="shared" si="15"/>
        <v/>
      </c>
      <c r="Y39" s="7" t="str">
        <f t="shared" si="16"/>
        <v/>
      </c>
      <c r="Z39" s="7" t="str">
        <f>IF(OR(AE39="",多次统计数据!$B$8=""),"",AE39-多次统计数据!$B$8)</f>
        <v/>
      </c>
      <c r="AA39" s="11" t="str">
        <f t="shared" si="1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18"/>
        <v/>
      </c>
      <c r="AG39" s="2"/>
      <c r="AH39" s="2"/>
      <c r="AI39" s="2"/>
      <c r="AJ39" s="8" t="str">
        <f t="shared" si="19"/>
        <v/>
      </c>
      <c r="AK39" s="10"/>
      <c r="AL39" s="12"/>
      <c r="AM39" s="10"/>
      <c r="AN39" s="12"/>
      <c r="AO39" s="5" t="str">
        <f t="shared" si="20"/>
        <v/>
      </c>
      <c r="AP39" s="11" t="str">
        <f t="shared" si="21"/>
        <v/>
      </c>
      <c r="AQ39" s="5" t="str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/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$88)&gt;账户数据!$B$7,"违规：超过账户风险上限","通过")))))))))</f>
        <v/>
      </c>
    </row>
    <row r="40" ht="17" spans="1:44">
      <c r="A40" s="2"/>
      <c r="B40" s="2"/>
      <c r="C40" s="10"/>
      <c r="D40" s="6"/>
      <c r="E40" s="10"/>
      <c r="F40" s="8" t="str">
        <f t="shared" si="11"/>
        <v/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5" t="str">
        <f>IF(A40="","",IFERROR(LOOKUP(2,1/((持仓跟踪!$B$2:$B$157=A40)*(持仓跟踪!$X$2:$X$157="执行卖出")*(持仓跟踪!$Y$2:$Y$157&lt;&gt;"")),持仓跟踪!$Y$2:$Y$157),""))</f>
        <v/>
      </c>
      <c r="L40" s="8" t="str">
        <f>IF(A40="","",IFERROR(LOOKUP(2,1/((持仓跟踪!$B$2:$B$157=A40)*(持仓跟踪!$X$2:$X$157="执行卖出")*(持仓跟踪!$Z$2:$Z$157&lt;&gt;"")),持仓跟踪!$Z$2:$Z$157),""))</f>
        <v/>
      </c>
      <c r="M40" s="18" t="str">
        <f>IF(A40="","",IFERROR(LOOKUP(2,1/((持仓跟踪!$B$2:$B$157=A40)*(持仓跟踪!$X$2:$X$157="执行卖出")*(持仓跟踪!$H$2:$H$157&lt;&gt;"")),持仓跟踪!$H$2:$H$157),""))</f>
        <v/>
      </c>
      <c r="N40" s="10"/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 t="str">
        <f t="shared" si="12"/>
        <v/>
      </c>
      <c r="V40" s="7" t="str">
        <f t="shared" si="13"/>
        <v/>
      </c>
      <c r="W40" s="19" t="str">
        <f t="shared" si="14"/>
        <v/>
      </c>
      <c r="X40" s="5" t="str">
        <f t="shared" si="15"/>
        <v/>
      </c>
      <c r="Y40" s="7" t="str">
        <f t="shared" si="16"/>
        <v/>
      </c>
      <c r="Z40" s="7" t="str">
        <f>IF(OR(AE40="",多次统计数据!$B$8=""),"",AE40-多次统计数据!$B$8)</f>
        <v/>
      </c>
      <c r="AA40" s="11" t="str">
        <f t="shared" si="1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18"/>
        <v/>
      </c>
      <c r="AG40" s="2"/>
      <c r="AH40" s="2"/>
      <c r="AI40" s="2"/>
      <c r="AJ40" s="8" t="str">
        <f t="shared" si="19"/>
        <v/>
      </c>
      <c r="AK40" s="10"/>
      <c r="AL40" s="12"/>
      <c r="AM40" s="10"/>
      <c r="AN40" s="12"/>
      <c r="AO40" s="5" t="str">
        <f t="shared" si="20"/>
        <v/>
      </c>
      <c r="AP40" s="11" t="str">
        <f t="shared" si="21"/>
        <v/>
      </c>
      <c r="AQ40" s="5" t="str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/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$88)&gt;账户数据!$B$7,"违规：超过账户风险上限","通过")))))))))</f>
        <v/>
      </c>
    </row>
    <row r="41" ht="17" spans="1:44">
      <c r="A41" s="2"/>
      <c r="B41" s="2"/>
      <c r="C41" s="10"/>
      <c r="D41" s="6"/>
      <c r="E41" s="10"/>
      <c r="F41" s="8" t="str">
        <f t="shared" si="11"/>
        <v/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5" t="str">
        <f>IF(A41="","",IFERROR(LOOKUP(2,1/((持仓跟踪!$B$2:$B$157=A41)*(持仓跟踪!$X$2:$X$157="执行卖出")*(持仓跟踪!$Y$2:$Y$157&lt;&gt;"")),持仓跟踪!$Y$2:$Y$157),""))</f>
        <v/>
      </c>
      <c r="L41" s="8" t="str">
        <f>IF(A41="","",IFERROR(LOOKUP(2,1/((持仓跟踪!$B$2:$B$157=A41)*(持仓跟踪!$X$2:$X$157="执行卖出")*(持仓跟踪!$Z$2:$Z$157&lt;&gt;"")),持仓跟踪!$Z$2:$Z$157),""))</f>
        <v/>
      </c>
      <c r="M41" s="18" t="str">
        <f>IF(A41="","",IFERROR(LOOKUP(2,1/((持仓跟踪!$B$2:$B$157=A41)*(持仓跟踪!$X$2:$X$157="执行卖出")*(持仓跟踪!$H$2:$H$157&lt;&gt;"")),持仓跟踪!$H$2:$H$157),""))</f>
        <v/>
      </c>
      <c r="N41" s="10"/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 t="str">
        <f t="shared" si="12"/>
        <v/>
      </c>
      <c r="V41" s="7" t="str">
        <f t="shared" si="13"/>
        <v/>
      </c>
      <c r="W41" s="19" t="str">
        <f t="shared" si="14"/>
        <v/>
      </c>
      <c r="X41" s="5" t="str">
        <f t="shared" si="15"/>
        <v/>
      </c>
      <c r="Y41" s="7" t="str">
        <f t="shared" si="16"/>
        <v/>
      </c>
      <c r="Z41" s="7" t="str">
        <f>IF(OR(AE41="",多次统计数据!$B$8=""),"",AE41-多次统计数据!$B$8)</f>
        <v/>
      </c>
      <c r="AA41" s="11" t="str">
        <f t="shared" si="1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18"/>
        <v/>
      </c>
      <c r="AG41" s="2"/>
      <c r="AH41" s="2"/>
      <c r="AI41" s="2"/>
      <c r="AJ41" s="8" t="str">
        <f t="shared" si="19"/>
        <v/>
      </c>
      <c r="AK41" s="10"/>
      <c r="AL41" s="12"/>
      <c r="AM41" s="10"/>
      <c r="AN41" s="12"/>
      <c r="AO41" s="5" t="str">
        <f t="shared" si="20"/>
        <v/>
      </c>
      <c r="AP41" s="11" t="str">
        <f t="shared" si="21"/>
        <v/>
      </c>
      <c r="AQ41" s="5" t="str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/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$88)&gt;账户数据!$B$7,"违规：超过账户风险上限","通过")))))))))</f>
        <v/>
      </c>
    </row>
    <row r="42" ht="17" spans="1:44">
      <c r="A42" s="2"/>
      <c r="B42" s="2"/>
      <c r="C42" s="10"/>
      <c r="D42" s="6"/>
      <c r="E42" s="10"/>
      <c r="F42" s="8" t="str">
        <f t="shared" si="11"/>
        <v/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5" t="str">
        <f>IF(A42="","",IFERROR(LOOKUP(2,1/((持仓跟踪!$B$2:$B$157=A42)*(持仓跟踪!$X$2:$X$157="执行卖出")*(持仓跟踪!$Y$2:$Y$157&lt;&gt;"")),持仓跟踪!$Y$2:$Y$157),""))</f>
        <v/>
      </c>
      <c r="L42" s="8" t="str">
        <f>IF(A42="","",IFERROR(LOOKUP(2,1/((持仓跟踪!$B$2:$B$157=A42)*(持仓跟踪!$X$2:$X$157="执行卖出")*(持仓跟踪!$Z$2:$Z$157&lt;&gt;"")),持仓跟踪!$Z$2:$Z$157),""))</f>
        <v/>
      </c>
      <c r="M42" s="18" t="str">
        <f>IF(A42="","",IFERROR(LOOKUP(2,1/((持仓跟踪!$B$2:$B$157=A42)*(持仓跟踪!$X$2:$X$157="执行卖出")*(持仓跟踪!$H$2:$H$157&lt;&gt;"")),持仓跟踪!$H$2:$H$157),""))</f>
        <v/>
      </c>
      <c r="N42" s="10"/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 t="str">
        <f t="shared" si="12"/>
        <v/>
      </c>
      <c r="V42" s="7" t="str">
        <f t="shared" si="13"/>
        <v/>
      </c>
      <c r="W42" s="19" t="str">
        <f t="shared" si="14"/>
        <v/>
      </c>
      <c r="X42" s="5" t="str">
        <f t="shared" si="15"/>
        <v/>
      </c>
      <c r="Y42" s="7" t="str">
        <f t="shared" si="16"/>
        <v/>
      </c>
      <c r="Z42" s="7" t="str">
        <f>IF(OR(AE42="",多次统计数据!$B$8=""),"",AE42-多次统计数据!$B$8)</f>
        <v/>
      </c>
      <c r="AA42" s="11" t="str">
        <f t="shared" si="1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18"/>
        <v/>
      </c>
      <c r="AG42" s="2"/>
      <c r="AH42" s="2"/>
      <c r="AI42" s="2"/>
      <c r="AJ42" s="8" t="str">
        <f t="shared" si="19"/>
        <v/>
      </c>
      <c r="AK42" s="10"/>
      <c r="AL42" s="12"/>
      <c r="AM42" s="10"/>
      <c r="AN42" s="12"/>
      <c r="AO42" s="5" t="str">
        <f t="shared" si="20"/>
        <v/>
      </c>
      <c r="AP42" s="11" t="str">
        <f t="shared" si="21"/>
        <v/>
      </c>
      <c r="AQ42" s="5" t="str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/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$88)&gt;账户数据!$B$7,"违规：超过账户风险上限","通过")))))))))</f>
        <v/>
      </c>
    </row>
    <row r="43" ht="17" spans="1:44">
      <c r="A43" s="2"/>
      <c r="B43" s="2"/>
      <c r="C43" s="10"/>
      <c r="D43" s="6"/>
      <c r="E43" s="10"/>
      <c r="F43" s="8" t="str">
        <f t="shared" si="11"/>
        <v/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5" t="str">
        <f>IF(A43="","",IFERROR(LOOKUP(2,1/((持仓跟踪!$B$2:$B$157=A43)*(持仓跟踪!$X$2:$X$157="执行卖出")*(持仓跟踪!$Y$2:$Y$157&lt;&gt;"")),持仓跟踪!$Y$2:$Y$157),""))</f>
        <v/>
      </c>
      <c r="L43" s="8" t="str">
        <f>IF(A43="","",IFERROR(LOOKUP(2,1/((持仓跟踪!$B$2:$B$157=A43)*(持仓跟踪!$X$2:$X$157="执行卖出")*(持仓跟踪!$Z$2:$Z$157&lt;&gt;"")),持仓跟踪!$Z$2:$Z$157),""))</f>
        <v/>
      </c>
      <c r="M43" s="18" t="str">
        <f>IF(A43="","",IFERROR(LOOKUP(2,1/((持仓跟踪!$B$2:$B$157=A43)*(持仓跟踪!$X$2:$X$157="执行卖出")*(持仓跟踪!$H$2:$H$157&lt;&gt;"")),持仓跟踪!$H$2:$H$157),""))</f>
        <v/>
      </c>
      <c r="N43" s="10"/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 t="str">
        <f t="shared" si="12"/>
        <v/>
      </c>
      <c r="V43" s="7" t="str">
        <f t="shared" si="13"/>
        <v/>
      </c>
      <c r="W43" s="19" t="str">
        <f t="shared" si="14"/>
        <v/>
      </c>
      <c r="X43" s="5" t="str">
        <f t="shared" si="15"/>
        <v/>
      </c>
      <c r="Y43" s="7" t="str">
        <f t="shared" si="16"/>
        <v/>
      </c>
      <c r="Z43" s="7" t="str">
        <f>IF(OR(AE43="",多次统计数据!$B$8=""),"",AE43-多次统计数据!$B$8)</f>
        <v/>
      </c>
      <c r="AA43" s="11" t="str">
        <f t="shared" si="1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18"/>
        <v/>
      </c>
      <c r="AG43" s="2"/>
      <c r="AH43" s="2"/>
      <c r="AI43" s="2"/>
      <c r="AJ43" s="8" t="str">
        <f t="shared" si="19"/>
        <v/>
      </c>
      <c r="AK43" s="10"/>
      <c r="AL43" s="12"/>
      <c r="AM43" s="10"/>
      <c r="AN43" s="12"/>
      <c r="AO43" s="5" t="str">
        <f t="shared" si="20"/>
        <v/>
      </c>
      <c r="AP43" s="11" t="str">
        <f t="shared" si="21"/>
        <v/>
      </c>
      <c r="AQ43" s="5" t="str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/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$88)&gt;账户数据!$B$7,"违规：超过账户风险上限","通过")))))))))</f>
        <v/>
      </c>
    </row>
    <row r="44" ht="17" spans="1:44">
      <c r="A44" s="2"/>
      <c r="B44" s="2"/>
      <c r="C44" s="10"/>
      <c r="D44" s="6"/>
      <c r="E44" s="10"/>
      <c r="F44" s="8" t="str">
        <f t="shared" si="11"/>
        <v/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5" t="str">
        <f>IF(A44="","",IFERROR(LOOKUP(2,1/((持仓跟踪!$B$2:$B$157=A44)*(持仓跟踪!$X$2:$X$157="执行卖出")*(持仓跟踪!$Y$2:$Y$157&lt;&gt;"")),持仓跟踪!$Y$2:$Y$157),""))</f>
        <v/>
      </c>
      <c r="L44" s="8" t="str">
        <f>IF(A44="","",IFERROR(LOOKUP(2,1/((持仓跟踪!$B$2:$B$157=A44)*(持仓跟踪!$X$2:$X$157="执行卖出")*(持仓跟踪!$Z$2:$Z$157&lt;&gt;"")),持仓跟踪!$Z$2:$Z$157),""))</f>
        <v/>
      </c>
      <c r="M44" s="18" t="str">
        <f>IF(A44="","",IFERROR(LOOKUP(2,1/((持仓跟踪!$B$2:$B$157=A44)*(持仓跟踪!$X$2:$X$157="执行卖出")*(持仓跟踪!$H$2:$H$157&lt;&gt;"")),持仓跟踪!$H$2:$H$157),""))</f>
        <v/>
      </c>
      <c r="N44" s="10"/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 t="str">
        <f t="shared" si="12"/>
        <v/>
      </c>
      <c r="V44" s="7" t="str">
        <f t="shared" si="13"/>
        <v/>
      </c>
      <c r="W44" s="19" t="str">
        <f t="shared" si="14"/>
        <v/>
      </c>
      <c r="X44" s="5" t="str">
        <f t="shared" si="15"/>
        <v/>
      </c>
      <c r="Y44" s="7" t="str">
        <f t="shared" si="16"/>
        <v/>
      </c>
      <c r="Z44" s="7" t="str">
        <f>IF(OR(AE44="",多次统计数据!$B$8=""),"",AE44-多次统计数据!$B$8)</f>
        <v/>
      </c>
      <c r="AA44" s="11" t="str">
        <f t="shared" si="1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18"/>
        <v/>
      </c>
      <c r="AG44" s="2"/>
      <c r="AH44" s="2"/>
      <c r="AI44" s="2"/>
      <c r="AJ44" s="8" t="str">
        <f t="shared" si="19"/>
        <v/>
      </c>
      <c r="AK44" s="10"/>
      <c r="AL44" s="12"/>
      <c r="AM44" s="10"/>
      <c r="AN44" s="12"/>
      <c r="AO44" s="5" t="str">
        <f t="shared" si="20"/>
        <v/>
      </c>
      <c r="AP44" s="11" t="str">
        <f t="shared" si="21"/>
        <v/>
      </c>
      <c r="AQ44" s="5" t="str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/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$88)&gt;账户数据!$B$7,"违规：超过账户风险上限","通过")))))))))</f>
        <v/>
      </c>
    </row>
    <row r="45" ht="17" spans="1:44">
      <c r="A45" s="2"/>
      <c r="B45" s="2"/>
      <c r="C45" s="10"/>
      <c r="D45" s="6"/>
      <c r="E45" s="10"/>
      <c r="F45" s="8" t="str">
        <f t="shared" si="11"/>
        <v/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5" t="str">
        <f>IF(A45="","",IFERROR(LOOKUP(2,1/((持仓跟踪!$B$2:$B$157=A45)*(持仓跟踪!$X$2:$X$157="执行卖出")*(持仓跟踪!$Y$2:$Y$157&lt;&gt;"")),持仓跟踪!$Y$2:$Y$157),""))</f>
        <v/>
      </c>
      <c r="L45" s="8" t="str">
        <f>IF(A45="","",IFERROR(LOOKUP(2,1/((持仓跟踪!$B$2:$B$157=A45)*(持仓跟踪!$X$2:$X$157="执行卖出")*(持仓跟踪!$Z$2:$Z$157&lt;&gt;"")),持仓跟踪!$Z$2:$Z$157),""))</f>
        <v/>
      </c>
      <c r="M45" s="18" t="str">
        <f>IF(A45="","",IFERROR(LOOKUP(2,1/((持仓跟踪!$B$2:$B$157=A45)*(持仓跟踪!$X$2:$X$157="执行卖出")*(持仓跟踪!$H$2:$H$157&lt;&gt;"")),持仓跟踪!$H$2:$H$157),""))</f>
        <v/>
      </c>
      <c r="N45" s="10"/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 t="str">
        <f t="shared" si="12"/>
        <v/>
      </c>
      <c r="V45" s="7" t="str">
        <f t="shared" si="13"/>
        <v/>
      </c>
      <c r="W45" s="19" t="str">
        <f t="shared" si="14"/>
        <v/>
      </c>
      <c r="X45" s="5" t="str">
        <f t="shared" si="15"/>
        <v/>
      </c>
      <c r="Y45" s="7" t="str">
        <f t="shared" si="16"/>
        <v/>
      </c>
      <c r="Z45" s="7" t="str">
        <f>IF(OR(AE45="",多次统计数据!$B$8=""),"",AE45-多次统计数据!$B$8)</f>
        <v/>
      </c>
      <c r="AA45" s="11" t="str">
        <f t="shared" si="1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18"/>
        <v/>
      </c>
      <c r="AG45" s="2"/>
      <c r="AH45" s="2"/>
      <c r="AI45" s="2"/>
      <c r="AJ45" s="8" t="str">
        <f t="shared" si="19"/>
        <v/>
      </c>
      <c r="AK45" s="10"/>
      <c r="AL45" s="12"/>
      <c r="AM45" s="10"/>
      <c r="AN45" s="12"/>
      <c r="AO45" s="5" t="str">
        <f t="shared" si="20"/>
        <v/>
      </c>
      <c r="AP45" s="11" t="str">
        <f t="shared" si="21"/>
        <v/>
      </c>
      <c r="AQ45" s="5" t="str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/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$88)&gt;账户数据!$B$7,"违规：超过账户风险上限","通过")))))))))</f>
        <v/>
      </c>
    </row>
    <row r="46" ht="17" spans="1:44">
      <c r="A46" s="2"/>
      <c r="B46" s="2"/>
      <c r="C46" s="10"/>
      <c r="D46" s="6"/>
      <c r="E46" s="10"/>
      <c r="F46" s="8" t="str">
        <f t="shared" si="11"/>
        <v/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5" t="str">
        <f>IF(A46="","",IFERROR(LOOKUP(2,1/((持仓跟踪!$B$2:$B$157=A46)*(持仓跟踪!$X$2:$X$157="执行卖出")*(持仓跟踪!$Y$2:$Y$157&lt;&gt;"")),持仓跟踪!$Y$2:$Y$157),""))</f>
        <v/>
      </c>
      <c r="L46" s="8" t="str">
        <f>IF(A46="","",IFERROR(LOOKUP(2,1/((持仓跟踪!$B$2:$B$157=A46)*(持仓跟踪!$X$2:$X$157="执行卖出")*(持仓跟踪!$Z$2:$Z$157&lt;&gt;"")),持仓跟踪!$Z$2:$Z$157),""))</f>
        <v/>
      </c>
      <c r="M46" s="18" t="str">
        <f>IF(A46="","",IFERROR(LOOKUP(2,1/((持仓跟踪!$B$2:$B$157=A46)*(持仓跟踪!$X$2:$X$157="执行卖出")*(持仓跟踪!$H$2:$H$157&lt;&gt;"")),持仓跟踪!$H$2:$H$157),""))</f>
        <v/>
      </c>
      <c r="N46" s="10"/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 t="str">
        <f t="shared" si="12"/>
        <v/>
      </c>
      <c r="V46" s="7" t="str">
        <f t="shared" si="13"/>
        <v/>
      </c>
      <c r="W46" s="19" t="str">
        <f t="shared" si="14"/>
        <v/>
      </c>
      <c r="X46" s="5" t="str">
        <f t="shared" si="15"/>
        <v/>
      </c>
      <c r="Y46" s="7" t="str">
        <f t="shared" si="16"/>
        <v/>
      </c>
      <c r="Z46" s="7" t="str">
        <f>IF(OR(AE46="",多次统计数据!$B$8=""),"",AE46-多次统计数据!$B$8)</f>
        <v/>
      </c>
      <c r="AA46" s="11" t="str">
        <f t="shared" si="1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18"/>
        <v/>
      </c>
      <c r="AG46" s="2"/>
      <c r="AH46" s="2"/>
      <c r="AI46" s="2"/>
      <c r="AJ46" s="8" t="str">
        <f t="shared" si="19"/>
        <v/>
      </c>
      <c r="AK46" s="10"/>
      <c r="AL46" s="12"/>
      <c r="AM46" s="10"/>
      <c r="AN46" s="12"/>
      <c r="AO46" s="5" t="str">
        <f t="shared" si="20"/>
        <v/>
      </c>
      <c r="AP46" s="11" t="str">
        <f t="shared" si="21"/>
        <v/>
      </c>
      <c r="AQ46" s="5" t="str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/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$88)&gt;账户数据!$B$7,"违规：超过账户风险上限","通过")))))))))</f>
        <v/>
      </c>
    </row>
    <row r="47" ht="17" spans="1:44">
      <c r="A47" s="2"/>
      <c r="B47" s="2"/>
      <c r="C47" s="10"/>
      <c r="D47" s="6"/>
      <c r="E47" s="10"/>
      <c r="F47" s="8" t="str">
        <f t="shared" si="11"/>
        <v/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5" t="str">
        <f>IF(A47="","",IFERROR(LOOKUP(2,1/((持仓跟踪!$B$2:$B$157=A47)*(持仓跟踪!$X$2:$X$157="执行卖出")*(持仓跟踪!$Y$2:$Y$157&lt;&gt;"")),持仓跟踪!$Y$2:$Y$157),""))</f>
        <v/>
      </c>
      <c r="L47" s="8" t="str">
        <f>IF(A47="","",IFERROR(LOOKUP(2,1/((持仓跟踪!$B$2:$B$157=A47)*(持仓跟踪!$X$2:$X$157="执行卖出")*(持仓跟踪!$Z$2:$Z$157&lt;&gt;"")),持仓跟踪!$Z$2:$Z$157),""))</f>
        <v/>
      </c>
      <c r="M47" s="18" t="str">
        <f>IF(A47="","",IFERROR(LOOKUP(2,1/((持仓跟踪!$B$2:$B$157=A47)*(持仓跟踪!$X$2:$X$157="执行卖出")*(持仓跟踪!$H$2:$H$157&lt;&gt;"")),持仓跟踪!$H$2:$H$157),""))</f>
        <v/>
      </c>
      <c r="N47" s="10"/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 t="str">
        <f t="shared" si="12"/>
        <v/>
      </c>
      <c r="V47" s="7" t="str">
        <f t="shared" si="13"/>
        <v/>
      </c>
      <c r="W47" s="19" t="str">
        <f t="shared" si="14"/>
        <v/>
      </c>
      <c r="X47" s="5" t="str">
        <f t="shared" si="15"/>
        <v/>
      </c>
      <c r="Y47" s="7" t="str">
        <f t="shared" si="16"/>
        <v/>
      </c>
      <c r="Z47" s="7" t="str">
        <f>IF(OR(AE47="",多次统计数据!$B$8=""),"",AE47-多次统计数据!$B$8)</f>
        <v/>
      </c>
      <c r="AA47" s="11" t="str">
        <f t="shared" si="1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18"/>
        <v/>
      </c>
      <c r="AG47" s="2"/>
      <c r="AH47" s="2"/>
      <c r="AI47" s="2"/>
      <c r="AJ47" s="8" t="str">
        <f t="shared" si="19"/>
        <v/>
      </c>
      <c r="AK47" s="10"/>
      <c r="AL47" s="12"/>
      <c r="AM47" s="10"/>
      <c r="AN47" s="12"/>
      <c r="AO47" s="5" t="str">
        <f t="shared" si="20"/>
        <v/>
      </c>
      <c r="AP47" s="11" t="str">
        <f t="shared" si="21"/>
        <v/>
      </c>
      <c r="AQ47" s="5" t="str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/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$88)&gt;账户数据!$B$7,"违规：超过账户风险上限","通过")))))))))</f>
        <v/>
      </c>
    </row>
    <row r="48" ht="17" spans="1:44">
      <c r="A48" s="2"/>
      <c r="B48" s="2"/>
      <c r="C48" s="10"/>
      <c r="D48" s="6"/>
      <c r="E48" s="10"/>
      <c r="F48" s="8" t="str">
        <f t="shared" si="11"/>
        <v/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5" t="str">
        <f>IF(A48="","",IFERROR(LOOKUP(2,1/((持仓跟踪!$B$2:$B$157=A48)*(持仓跟踪!$X$2:$X$157="执行卖出")*(持仓跟踪!$Y$2:$Y$157&lt;&gt;"")),持仓跟踪!$Y$2:$Y$157),""))</f>
        <v/>
      </c>
      <c r="L48" s="8" t="str">
        <f>IF(A48="","",IFERROR(LOOKUP(2,1/((持仓跟踪!$B$2:$B$157=A48)*(持仓跟踪!$X$2:$X$157="执行卖出")*(持仓跟踪!$Z$2:$Z$157&lt;&gt;"")),持仓跟踪!$Z$2:$Z$157),""))</f>
        <v/>
      </c>
      <c r="M48" s="18" t="str">
        <f>IF(A48="","",IFERROR(LOOKUP(2,1/((持仓跟踪!$B$2:$B$157=A48)*(持仓跟踪!$X$2:$X$157="执行卖出")*(持仓跟踪!$H$2:$H$157&lt;&gt;"")),持仓跟踪!$H$2:$H$157),""))</f>
        <v/>
      </c>
      <c r="N48" s="10"/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 t="str">
        <f t="shared" si="12"/>
        <v/>
      </c>
      <c r="V48" s="7" t="str">
        <f t="shared" si="13"/>
        <v/>
      </c>
      <c r="W48" s="19" t="str">
        <f t="shared" si="14"/>
        <v/>
      </c>
      <c r="X48" s="5" t="str">
        <f t="shared" si="15"/>
        <v/>
      </c>
      <c r="Y48" s="7" t="str">
        <f t="shared" si="16"/>
        <v/>
      </c>
      <c r="Z48" s="7" t="str">
        <f>IF(OR(AE48="",多次统计数据!$B$8=""),"",AE48-多次统计数据!$B$8)</f>
        <v/>
      </c>
      <c r="AA48" s="11" t="str">
        <f t="shared" si="1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18"/>
        <v/>
      </c>
      <c r="AG48" s="2"/>
      <c r="AH48" s="2"/>
      <c r="AI48" s="2"/>
      <c r="AJ48" s="8" t="str">
        <f t="shared" si="19"/>
        <v/>
      </c>
      <c r="AK48" s="10"/>
      <c r="AL48" s="12"/>
      <c r="AM48" s="10"/>
      <c r="AN48" s="12"/>
      <c r="AO48" s="5" t="str">
        <f t="shared" si="20"/>
        <v/>
      </c>
      <c r="AP48" s="11" t="str">
        <f t="shared" si="21"/>
        <v/>
      </c>
      <c r="AQ48" s="5" t="str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/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$88)&gt;账户数据!$B$7,"违规：超过账户风险上限","通过")))))))))</f>
        <v/>
      </c>
    </row>
    <row r="49" ht="17" spans="1:44">
      <c r="A49" s="2"/>
      <c r="B49" s="2"/>
      <c r="C49" s="10"/>
      <c r="D49" s="6"/>
      <c r="E49" s="10"/>
      <c r="F49" s="8" t="str">
        <f t="shared" ref="F49:F80" si="22">IF(OR(C49="",D49="",E49="",N49="",C49&lt;=0,D49&lt;=0,E49&lt;=N49),"",ROUNDDOWN((C49*D49)/(E49-N49)/100,0)*100)</f>
        <v/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5" t="str">
        <f>IF(A49="","",IFERROR(LOOKUP(2,1/((持仓跟踪!$B$2:$B$157=A49)*(持仓跟踪!$X$2:$X$157="执行卖出")*(持仓跟踪!$Y$2:$Y$157&lt;&gt;"")),持仓跟踪!$Y$2:$Y$157),""))</f>
        <v/>
      </c>
      <c r="L49" s="8" t="str">
        <f>IF(A49="","",IFERROR(LOOKUP(2,1/((持仓跟踪!$B$2:$B$157=A49)*(持仓跟踪!$X$2:$X$157="执行卖出")*(持仓跟踪!$Z$2:$Z$157&lt;&gt;"")),持仓跟踪!$Z$2:$Z$157),""))</f>
        <v/>
      </c>
      <c r="M49" s="18" t="str">
        <f>IF(A49="","",IFERROR(LOOKUP(2,1/((持仓跟踪!$B$2:$B$157=A49)*(持仓跟踪!$X$2:$X$157="执行卖出")*(持仓跟踪!$H$2:$H$157&lt;&gt;"")),持仓跟踪!$H$2:$H$157),""))</f>
        <v/>
      </c>
      <c r="N49" s="10"/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 t="str">
        <f t="shared" ref="U49:U80" si="23">IF(OR(AO49="",J49="",AO49&lt;=0),"",(J49-AO49)/AO49)</f>
        <v/>
      </c>
      <c r="V49" s="7" t="str">
        <f t="shared" ref="V49:V80" si="24">IF(OR(AO49="",N49="",AO49&lt;=0),"",(AO49-N49)/AO49)</f>
        <v/>
      </c>
      <c r="W49" s="19" t="str">
        <f t="shared" ref="W49:W80" si="25">IF(OR(U49="",V49="",V49&lt;=0),"",U49/V49)</f>
        <v/>
      </c>
      <c r="X49" s="5" t="str">
        <f t="shared" ref="X49:X80" si="26">IF(OR(K49="",L49="",AP49=""),"",K49*L49-(E49*H49+IF(AND(AK49&lt;&gt;"",AL49&lt;&gt;""),AK49*AL49,0)+IF(AND(AM49&lt;&gt;"",AN49&lt;&gt;""),AM49*AN49,0))-IF(O49="",0,O49)-IF(P49="",0,P49))</f>
        <v/>
      </c>
      <c r="Y49" s="7" t="str">
        <f t="shared" ref="Y49:Y80" si="27"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 t="str">
        <f>IF(OR(AE49="",多次统计数据!$B$8=""),"",AE49-多次统计数据!$B$8)</f>
        <v/>
      </c>
      <c r="AA49" s="11" t="str">
        <f t="shared" ref="AA49:AA80" si="28">IF(OR(I49="",M49="",M49&lt;I49),"",M49-I49)</f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ref="AE49:AE80" si="29">IF(OR(X49="",C49="",C49&lt;=0),"",X49/C49)</f>
        <v/>
      </c>
      <c r="AG49" s="2"/>
      <c r="AH49" s="2"/>
      <c r="AI49" s="2"/>
      <c r="AJ49" s="8" t="str">
        <f t="shared" ref="AJ49:AJ80" si="30"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 t="str">
        <f t="shared" ref="AO49:AO80" si="31">IF(OR(A49="",H49="",H49&lt;=0),"",(E49*H49+IF(AND(AK49&lt;&gt;"",AL49&lt;&gt;""),AK49*AL49,0)+IF(AND(AM49&lt;&gt;"",AN49&lt;&gt;""),AM49*AN49,0))/AP49)</f>
        <v/>
      </c>
      <c r="AP49" s="11" t="str">
        <f t="shared" ref="AP49:AP80" si="32">IF(OR(A49="",H49="",H49&lt;=0),"",H49+IF(AL49="",0,AL49)+IF(AN49="",0,AN49))</f>
        <v/>
      </c>
      <c r="AQ49" s="5" t="str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/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$88)&gt;账户数据!$B$7,"违规：超过账户风险上限","通过")))))))))</f>
        <v/>
      </c>
    </row>
    <row r="50" ht="17" spans="1:44">
      <c r="A50" s="2"/>
      <c r="B50" s="2"/>
      <c r="C50" s="10"/>
      <c r="D50" s="6"/>
      <c r="E50" s="10"/>
      <c r="F50" s="8" t="str">
        <f t="shared" si="22"/>
        <v/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5" t="str">
        <f>IF(A50="","",IFERROR(LOOKUP(2,1/((持仓跟踪!$B$2:$B$157=A50)*(持仓跟踪!$X$2:$X$157="执行卖出")*(持仓跟踪!$Y$2:$Y$157&lt;&gt;"")),持仓跟踪!$Y$2:$Y$157),""))</f>
        <v/>
      </c>
      <c r="L50" s="8" t="str">
        <f>IF(A50="","",IFERROR(LOOKUP(2,1/((持仓跟踪!$B$2:$B$157=A50)*(持仓跟踪!$X$2:$X$157="执行卖出")*(持仓跟踪!$Z$2:$Z$157&lt;&gt;"")),持仓跟踪!$Z$2:$Z$157),""))</f>
        <v/>
      </c>
      <c r="M50" s="18" t="str">
        <f>IF(A50="","",IFERROR(LOOKUP(2,1/((持仓跟踪!$B$2:$B$157=A50)*(持仓跟踪!$X$2:$X$157="执行卖出")*(持仓跟踪!$H$2:$H$157&lt;&gt;"")),持仓跟踪!$H$2:$H$157),""))</f>
        <v/>
      </c>
      <c r="N50" s="10"/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 t="str">
        <f t="shared" si="23"/>
        <v/>
      </c>
      <c r="V50" s="7" t="str">
        <f t="shared" si="24"/>
        <v/>
      </c>
      <c r="W50" s="19" t="str">
        <f t="shared" si="25"/>
        <v/>
      </c>
      <c r="X50" s="5" t="str">
        <f t="shared" si="26"/>
        <v/>
      </c>
      <c r="Y50" s="7" t="str">
        <f t="shared" si="27"/>
        <v/>
      </c>
      <c r="Z50" s="7" t="str">
        <f>IF(OR(AE50="",多次统计数据!$B$8=""),"",AE50-多次统计数据!$B$8)</f>
        <v/>
      </c>
      <c r="AA50" s="11" t="str">
        <f t="shared" si="28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9"/>
        <v/>
      </c>
      <c r="AG50" s="2"/>
      <c r="AH50" s="2"/>
      <c r="AI50" s="2"/>
      <c r="AJ50" s="8" t="str">
        <f t="shared" si="30"/>
        <v/>
      </c>
      <c r="AK50" s="10"/>
      <c r="AL50" s="12"/>
      <c r="AM50" s="10"/>
      <c r="AN50" s="12"/>
      <c r="AO50" s="5" t="str">
        <f t="shared" si="31"/>
        <v/>
      </c>
      <c r="AP50" s="11" t="str">
        <f t="shared" si="32"/>
        <v/>
      </c>
      <c r="AQ50" s="5" t="str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/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$88)&gt;账户数据!$B$7,"违规：超过账户风险上限","通过")))))))))</f>
        <v/>
      </c>
    </row>
    <row r="51" ht="17" spans="1:44">
      <c r="A51" s="2"/>
      <c r="B51" s="2"/>
      <c r="C51" s="10"/>
      <c r="D51" s="6"/>
      <c r="E51" s="10"/>
      <c r="F51" s="8" t="str">
        <f t="shared" si="22"/>
        <v/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5" t="str">
        <f>IF(A51="","",IFERROR(LOOKUP(2,1/((持仓跟踪!$B$2:$B$157=A51)*(持仓跟踪!$X$2:$X$157="执行卖出")*(持仓跟踪!$Y$2:$Y$157&lt;&gt;"")),持仓跟踪!$Y$2:$Y$157),""))</f>
        <v/>
      </c>
      <c r="L51" s="8" t="str">
        <f>IF(A51="","",IFERROR(LOOKUP(2,1/((持仓跟踪!$B$2:$B$157=A51)*(持仓跟踪!$X$2:$X$157="执行卖出")*(持仓跟踪!$Z$2:$Z$157&lt;&gt;"")),持仓跟踪!$Z$2:$Z$157),""))</f>
        <v/>
      </c>
      <c r="M51" s="18" t="str">
        <f>IF(A51="","",IFERROR(LOOKUP(2,1/((持仓跟踪!$B$2:$B$157=A51)*(持仓跟踪!$X$2:$X$157="执行卖出")*(持仓跟踪!$H$2:$H$157&lt;&gt;"")),持仓跟踪!$H$2:$H$157),""))</f>
        <v/>
      </c>
      <c r="N51" s="10"/>
      <c r="O51" s="10"/>
      <c r="P51" s="5" t="str">
        <f>IF(A51="","",IFERROR(LOOKUP(2,1/((持仓跟踪!$B$2:$B$157=A51)*(持仓跟踪!$X$2:$X$157="执行卖出")*(持仓跟踪!$AA$2:$AA$157&lt;&gt;"")),持仓跟踪!$AA$2:$AA$157),""))</f>
        <v/>
      </c>
      <c r="Q51" s="2"/>
      <c r="R51" s="2"/>
      <c r="S51" s="2"/>
      <c r="T51" s="2"/>
      <c r="U51" s="7" t="str">
        <f t="shared" si="23"/>
        <v/>
      </c>
      <c r="V51" s="7" t="str">
        <f t="shared" si="24"/>
        <v/>
      </c>
      <c r="W51" s="19" t="str">
        <f t="shared" si="25"/>
        <v/>
      </c>
      <c r="X51" s="5" t="str">
        <f t="shared" si="26"/>
        <v/>
      </c>
      <c r="Y51" s="7" t="str">
        <f t="shared" si="27"/>
        <v/>
      </c>
      <c r="Z51" s="7" t="str">
        <f>IF(OR(AE51="",多次统计数据!$B$8=""),"",AE51-多次统计数据!$B$8)</f>
        <v/>
      </c>
      <c r="AA51" s="11" t="str">
        <f t="shared" si="28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9"/>
        <v/>
      </c>
      <c r="AG51" s="2"/>
      <c r="AH51" s="2"/>
      <c r="AI51" s="2"/>
      <c r="AJ51" s="8" t="str">
        <f t="shared" si="30"/>
        <v/>
      </c>
      <c r="AK51" s="10"/>
      <c r="AL51" s="12"/>
      <c r="AM51" s="10"/>
      <c r="AN51" s="12"/>
      <c r="AO51" s="5" t="str">
        <f t="shared" si="31"/>
        <v/>
      </c>
      <c r="AP51" s="11" t="str">
        <f t="shared" si="32"/>
        <v/>
      </c>
      <c r="AQ51" s="5" t="str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/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$88)&gt;账户数据!$B$7,"违规：超过账户风险上限","通过")))))))))</f>
        <v/>
      </c>
    </row>
    <row r="52" ht="17" spans="1:44">
      <c r="A52" s="2"/>
      <c r="B52" s="2"/>
      <c r="C52" s="10"/>
      <c r="D52" s="6"/>
      <c r="E52" s="10"/>
      <c r="F52" s="8" t="str">
        <f t="shared" si="22"/>
        <v/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5" t="str">
        <f>IF(A52="","",IFERROR(LOOKUP(2,1/((持仓跟踪!$B$2:$B$157=A52)*(持仓跟踪!$X$2:$X$157="执行卖出")*(持仓跟踪!$Y$2:$Y$157&lt;&gt;"")),持仓跟踪!$Y$2:$Y$157),""))</f>
        <v/>
      </c>
      <c r="L52" s="8" t="str">
        <f>IF(A52="","",IFERROR(LOOKUP(2,1/((持仓跟踪!$B$2:$B$157=A52)*(持仓跟踪!$X$2:$X$157="执行卖出")*(持仓跟踪!$Z$2:$Z$157&lt;&gt;"")),持仓跟踪!$Z$2:$Z$157),""))</f>
        <v/>
      </c>
      <c r="M52" s="18" t="str">
        <f>IF(A52="","",IFERROR(LOOKUP(2,1/((持仓跟踪!$B$2:$B$157=A52)*(持仓跟踪!$X$2:$X$157="执行卖出")*(持仓跟踪!$H$2:$H$157&lt;&gt;"")),持仓跟踪!$H$2:$H$157),""))</f>
        <v/>
      </c>
      <c r="N52" s="10"/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 t="str">
        <f t="shared" si="23"/>
        <v/>
      </c>
      <c r="V52" s="7" t="str">
        <f t="shared" si="24"/>
        <v/>
      </c>
      <c r="W52" s="19" t="str">
        <f t="shared" si="25"/>
        <v/>
      </c>
      <c r="X52" s="5" t="str">
        <f t="shared" si="26"/>
        <v/>
      </c>
      <c r="Y52" s="7" t="str">
        <f t="shared" si="27"/>
        <v/>
      </c>
      <c r="Z52" s="7" t="str">
        <f>IF(OR(AE52="",多次统计数据!$B$8=""),"",AE52-多次统计数据!$B$8)</f>
        <v/>
      </c>
      <c r="AA52" s="11" t="str">
        <f t="shared" si="28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9"/>
        <v/>
      </c>
      <c r="AG52" s="2"/>
      <c r="AH52" s="2"/>
      <c r="AI52" s="2"/>
      <c r="AJ52" s="8" t="str">
        <f t="shared" si="30"/>
        <v/>
      </c>
      <c r="AK52" s="10"/>
      <c r="AL52" s="12"/>
      <c r="AM52" s="10"/>
      <c r="AN52" s="12"/>
      <c r="AO52" s="5" t="str">
        <f t="shared" si="31"/>
        <v/>
      </c>
      <c r="AP52" s="11" t="str">
        <f t="shared" si="32"/>
        <v/>
      </c>
      <c r="AQ52" s="5" t="str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/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$88)&gt;账户数据!$B$7,"违规：超过账户风险上限","通过")))))))))</f>
        <v/>
      </c>
    </row>
    <row r="53" ht="17" spans="1:44">
      <c r="A53" s="2"/>
      <c r="B53" s="2"/>
      <c r="C53" s="10"/>
      <c r="D53" s="6"/>
      <c r="E53" s="10"/>
      <c r="F53" s="8" t="str">
        <f t="shared" si="22"/>
        <v/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5" t="str">
        <f>IF(A53="","",IFERROR(LOOKUP(2,1/((持仓跟踪!$B$2:$B$157=A53)*(持仓跟踪!$X$2:$X$157="执行卖出")*(持仓跟踪!$Y$2:$Y$157&lt;&gt;"")),持仓跟踪!$Y$2:$Y$157),""))</f>
        <v/>
      </c>
      <c r="L53" s="8" t="str">
        <f>IF(A53="","",IFERROR(LOOKUP(2,1/((持仓跟踪!$B$2:$B$157=A53)*(持仓跟踪!$X$2:$X$157="执行卖出")*(持仓跟踪!$Z$2:$Z$157&lt;&gt;"")),持仓跟踪!$Z$2:$Z$157),""))</f>
        <v/>
      </c>
      <c r="M53" s="18" t="str">
        <f>IF(A53="","",IFERROR(LOOKUP(2,1/((持仓跟踪!$B$2:$B$157=A53)*(持仓跟踪!$X$2:$X$157="执行卖出")*(持仓跟踪!$H$2:$H$157&lt;&gt;"")),持仓跟踪!$H$2:$H$157),""))</f>
        <v/>
      </c>
      <c r="N53" s="10"/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 t="str">
        <f t="shared" si="23"/>
        <v/>
      </c>
      <c r="V53" s="7" t="str">
        <f t="shared" si="24"/>
        <v/>
      </c>
      <c r="W53" s="19" t="str">
        <f t="shared" si="25"/>
        <v/>
      </c>
      <c r="X53" s="5" t="str">
        <f t="shared" si="26"/>
        <v/>
      </c>
      <c r="Y53" s="7" t="str">
        <f t="shared" si="27"/>
        <v/>
      </c>
      <c r="Z53" s="7" t="str">
        <f>IF(OR(AE53="",多次统计数据!$B$8=""),"",AE53-多次统计数据!$B$8)</f>
        <v/>
      </c>
      <c r="AA53" s="11" t="str">
        <f t="shared" si="28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9"/>
        <v/>
      </c>
      <c r="AG53" s="2"/>
      <c r="AH53" s="2"/>
      <c r="AI53" s="2"/>
      <c r="AJ53" s="8" t="str">
        <f t="shared" si="30"/>
        <v/>
      </c>
      <c r="AK53" s="10"/>
      <c r="AL53" s="12"/>
      <c r="AM53" s="10"/>
      <c r="AN53" s="12"/>
      <c r="AO53" s="5" t="str">
        <f t="shared" si="31"/>
        <v/>
      </c>
      <c r="AP53" s="11" t="str">
        <f t="shared" si="32"/>
        <v/>
      </c>
      <c r="AQ53" s="5" t="str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/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$88)&gt;账户数据!$B$7,"违规：超过账户风险上限","通过")))))))))</f>
        <v/>
      </c>
    </row>
    <row r="54" ht="17" spans="1:44">
      <c r="A54" s="2"/>
      <c r="B54" s="2"/>
      <c r="C54" s="10"/>
      <c r="D54" s="6"/>
      <c r="E54" s="10"/>
      <c r="F54" s="8" t="str">
        <f t="shared" si="22"/>
        <v/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5" t="str">
        <f>IF(A54="","",IFERROR(LOOKUP(2,1/((持仓跟踪!$B$2:$B$157=A54)*(持仓跟踪!$X$2:$X$157="执行卖出")*(持仓跟踪!$Y$2:$Y$157&lt;&gt;"")),持仓跟踪!$Y$2:$Y$157),""))</f>
        <v/>
      </c>
      <c r="L54" s="8" t="str">
        <f>IF(A54="","",IFERROR(LOOKUP(2,1/((持仓跟踪!$B$2:$B$157=A54)*(持仓跟踪!$X$2:$X$157="执行卖出")*(持仓跟踪!$Z$2:$Z$157&lt;&gt;"")),持仓跟踪!$Z$2:$Z$157),""))</f>
        <v/>
      </c>
      <c r="M54" s="18" t="str">
        <f>IF(A54="","",IFERROR(LOOKUP(2,1/((持仓跟踪!$B$2:$B$157=A54)*(持仓跟踪!$X$2:$X$157="执行卖出")*(持仓跟踪!$H$2:$H$157&lt;&gt;"")),持仓跟踪!$H$2:$H$157),""))</f>
        <v/>
      </c>
      <c r="N54" s="10"/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 t="str">
        <f t="shared" si="23"/>
        <v/>
      </c>
      <c r="V54" s="7" t="str">
        <f t="shared" si="24"/>
        <v/>
      </c>
      <c r="W54" s="19" t="str">
        <f t="shared" si="25"/>
        <v/>
      </c>
      <c r="X54" s="5" t="str">
        <f t="shared" si="26"/>
        <v/>
      </c>
      <c r="Y54" s="7" t="str">
        <f t="shared" si="27"/>
        <v/>
      </c>
      <c r="Z54" s="7" t="str">
        <f>IF(OR(AE54="",多次统计数据!$B$8=""),"",AE54-多次统计数据!$B$8)</f>
        <v/>
      </c>
      <c r="AA54" s="11" t="str">
        <f t="shared" si="28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9"/>
        <v/>
      </c>
      <c r="AG54" s="2"/>
      <c r="AH54" s="2"/>
      <c r="AI54" s="2"/>
      <c r="AJ54" s="8" t="str">
        <f t="shared" si="30"/>
        <v/>
      </c>
      <c r="AK54" s="10"/>
      <c r="AL54" s="12"/>
      <c r="AM54" s="10"/>
      <c r="AN54" s="12"/>
      <c r="AO54" s="5" t="str">
        <f t="shared" si="31"/>
        <v/>
      </c>
      <c r="AP54" s="11" t="str">
        <f t="shared" si="32"/>
        <v/>
      </c>
      <c r="AQ54" s="5" t="str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/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$88)&gt;账户数据!$B$7,"违规：超过账户风险上限","通过")))))))))</f>
        <v/>
      </c>
    </row>
    <row r="55" ht="17" spans="1:44">
      <c r="A55" s="2"/>
      <c r="B55" s="2"/>
      <c r="C55" s="10"/>
      <c r="D55" s="6"/>
      <c r="E55" s="10"/>
      <c r="F55" s="8" t="str">
        <f t="shared" si="22"/>
        <v/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5" t="str">
        <f>IF(A55="","",IFERROR(LOOKUP(2,1/((持仓跟踪!$B$2:$B$157=A55)*(持仓跟踪!$X$2:$X$157="执行卖出")*(持仓跟踪!$Y$2:$Y$157&lt;&gt;"")),持仓跟踪!$Y$2:$Y$157),""))</f>
        <v/>
      </c>
      <c r="L55" s="8" t="str">
        <f>IF(A55="","",IFERROR(LOOKUP(2,1/((持仓跟踪!$B$2:$B$157=A55)*(持仓跟踪!$X$2:$X$157="执行卖出")*(持仓跟踪!$Z$2:$Z$157&lt;&gt;"")),持仓跟踪!$Z$2:$Z$157),""))</f>
        <v/>
      </c>
      <c r="M55" s="18" t="str">
        <f>IF(A55="","",IFERROR(LOOKUP(2,1/((持仓跟踪!$B$2:$B$157=A55)*(持仓跟踪!$X$2:$X$157="执行卖出")*(持仓跟踪!$H$2:$H$157&lt;&gt;"")),持仓跟踪!$H$2:$H$157),""))</f>
        <v/>
      </c>
      <c r="N55" s="10"/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 t="str">
        <f t="shared" si="23"/>
        <v/>
      </c>
      <c r="V55" s="7" t="str">
        <f t="shared" si="24"/>
        <v/>
      </c>
      <c r="W55" s="19" t="str">
        <f t="shared" si="25"/>
        <v/>
      </c>
      <c r="X55" s="5" t="str">
        <f t="shared" si="26"/>
        <v/>
      </c>
      <c r="Y55" s="7" t="str">
        <f t="shared" si="27"/>
        <v/>
      </c>
      <c r="Z55" s="7" t="str">
        <f>IF(OR(AE55="",多次统计数据!$B$8=""),"",AE55-多次统计数据!$B$8)</f>
        <v/>
      </c>
      <c r="AA55" s="11" t="str">
        <f t="shared" si="28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9"/>
        <v/>
      </c>
      <c r="AG55" s="2"/>
      <c r="AH55" s="2"/>
      <c r="AI55" s="2"/>
      <c r="AJ55" s="8" t="str">
        <f t="shared" si="30"/>
        <v/>
      </c>
      <c r="AK55" s="10"/>
      <c r="AL55" s="12"/>
      <c r="AM55" s="10"/>
      <c r="AN55" s="12"/>
      <c r="AO55" s="5" t="str">
        <f t="shared" si="31"/>
        <v/>
      </c>
      <c r="AP55" s="11" t="str">
        <f t="shared" si="32"/>
        <v/>
      </c>
      <c r="AQ55" s="5" t="str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/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$88)&gt;账户数据!$B$7,"违规：超过账户风险上限","通过")))))))))</f>
        <v/>
      </c>
    </row>
    <row r="56" ht="17" spans="1:44">
      <c r="A56" s="2"/>
      <c r="B56" s="2"/>
      <c r="C56" s="10"/>
      <c r="D56" s="6"/>
      <c r="E56" s="10"/>
      <c r="F56" s="8" t="str">
        <f t="shared" si="22"/>
        <v/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5" t="str">
        <f>IF(A56="","",IFERROR(LOOKUP(2,1/((持仓跟踪!$B$2:$B$157=A56)*(持仓跟踪!$X$2:$X$157="执行卖出")*(持仓跟踪!$Y$2:$Y$157&lt;&gt;"")),持仓跟踪!$Y$2:$Y$157),""))</f>
        <v/>
      </c>
      <c r="L56" s="8" t="str">
        <f>IF(A56="","",IFERROR(LOOKUP(2,1/((持仓跟踪!$B$2:$B$157=A56)*(持仓跟踪!$X$2:$X$157="执行卖出")*(持仓跟踪!$Z$2:$Z$157&lt;&gt;"")),持仓跟踪!$Z$2:$Z$157),""))</f>
        <v/>
      </c>
      <c r="M56" s="18" t="str">
        <f>IF(A56="","",IFERROR(LOOKUP(2,1/((持仓跟踪!$B$2:$B$157=A56)*(持仓跟踪!$X$2:$X$157="执行卖出")*(持仓跟踪!$H$2:$H$157&lt;&gt;"")),持仓跟踪!$H$2:$H$157),""))</f>
        <v/>
      </c>
      <c r="N56" s="10"/>
      <c r="O56" s="10"/>
      <c r="P56" s="5" t="str">
        <f>IF(A56="","",IFERROR(LOOKUP(2,1/((持仓跟踪!$B$2:$B$157=A56)*(持仓跟踪!$X$2:$X$157="执行卖出")*(持仓跟踪!$AA$2:$AA$157&lt;&gt;"")),持仓跟踪!$AA$2:$AA$157),""))</f>
        <v/>
      </c>
      <c r="Q56" s="2"/>
      <c r="R56" s="2"/>
      <c r="S56" s="2"/>
      <c r="T56" s="2"/>
      <c r="U56" s="7" t="str">
        <f t="shared" si="23"/>
        <v/>
      </c>
      <c r="V56" s="7" t="str">
        <f t="shared" si="24"/>
        <v/>
      </c>
      <c r="W56" s="19" t="str">
        <f t="shared" si="25"/>
        <v/>
      </c>
      <c r="X56" s="5" t="str">
        <f t="shared" si="26"/>
        <v/>
      </c>
      <c r="Y56" s="7" t="str">
        <f t="shared" si="27"/>
        <v/>
      </c>
      <c r="Z56" s="7" t="str">
        <f>IF(OR(AE56="",多次统计数据!$B$8=""),"",AE56-多次统计数据!$B$8)</f>
        <v/>
      </c>
      <c r="AA56" s="11" t="str">
        <f t="shared" si="28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9"/>
        <v/>
      </c>
      <c r="AG56" s="2"/>
      <c r="AH56" s="2"/>
      <c r="AI56" s="2"/>
      <c r="AJ56" s="8" t="str">
        <f t="shared" si="30"/>
        <v/>
      </c>
      <c r="AK56" s="10"/>
      <c r="AL56" s="12"/>
      <c r="AM56" s="10"/>
      <c r="AN56" s="12"/>
      <c r="AO56" s="5" t="str">
        <f t="shared" si="31"/>
        <v/>
      </c>
      <c r="AP56" s="11" t="str">
        <f t="shared" si="32"/>
        <v/>
      </c>
      <c r="AQ56" s="5" t="str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/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$88)&gt;账户数据!$B$7,"违规：超过账户风险上限","通过")))))))))</f>
        <v/>
      </c>
    </row>
    <row r="57" ht="17" spans="1:44">
      <c r="A57" s="2"/>
      <c r="B57" s="2"/>
      <c r="C57" s="10"/>
      <c r="D57" s="6"/>
      <c r="E57" s="10"/>
      <c r="F57" s="8" t="str">
        <f t="shared" si="22"/>
        <v/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5" t="str">
        <f>IF(A57="","",IFERROR(LOOKUP(2,1/((持仓跟踪!$B$2:$B$157=A57)*(持仓跟踪!$X$2:$X$157="执行卖出")*(持仓跟踪!$Y$2:$Y$157&lt;&gt;"")),持仓跟踪!$Y$2:$Y$157),""))</f>
        <v/>
      </c>
      <c r="L57" s="8" t="str">
        <f>IF(A57="","",IFERROR(LOOKUP(2,1/((持仓跟踪!$B$2:$B$157=A57)*(持仓跟踪!$X$2:$X$157="执行卖出")*(持仓跟踪!$Z$2:$Z$157&lt;&gt;"")),持仓跟踪!$Z$2:$Z$157),""))</f>
        <v/>
      </c>
      <c r="M57" s="18" t="str">
        <f>IF(A57="","",IFERROR(LOOKUP(2,1/((持仓跟踪!$B$2:$B$157=A57)*(持仓跟踪!$X$2:$X$157="执行卖出")*(持仓跟踪!$H$2:$H$157&lt;&gt;"")),持仓跟踪!$H$2:$H$157),""))</f>
        <v/>
      </c>
      <c r="N57" s="10"/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 t="str">
        <f t="shared" si="23"/>
        <v/>
      </c>
      <c r="V57" s="7" t="str">
        <f t="shared" si="24"/>
        <v/>
      </c>
      <c r="W57" s="19" t="str">
        <f t="shared" si="25"/>
        <v/>
      </c>
      <c r="X57" s="5" t="str">
        <f t="shared" si="26"/>
        <v/>
      </c>
      <c r="Y57" s="7" t="str">
        <f t="shared" si="27"/>
        <v/>
      </c>
      <c r="Z57" s="7" t="str">
        <f>IF(OR(AE57="",多次统计数据!$B$8=""),"",AE57-多次统计数据!$B$8)</f>
        <v/>
      </c>
      <c r="AA57" s="11" t="str">
        <f t="shared" si="28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9"/>
        <v/>
      </c>
      <c r="AG57" s="2"/>
      <c r="AH57" s="2"/>
      <c r="AI57" s="2"/>
      <c r="AJ57" s="8" t="str">
        <f t="shared" si="30"/>
        <v/>
      </c>
      <c r="AK57" s="10"/>
      <c r="AL57" s="12"/>
      <c r="AM57" s="10"/>
      <c r="AN57" s="12"/>
      <c r="AO57" s="5" t="str">
        <f t="shared" si="31"/>
        <v/>
      </c>
      <c r="AP57" s="11" t="str">
        <f t="shared" si="32"/>
        <v/>
      </c>
      <c r="AQ57" s="5" t="str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/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$88)&gt;账户数据!$B$7,"违规：超过账户风险上限","通过")))))))))</f>
        <v/>
      </c>
    </row>
    <row r="58" ht="17" spans="1:44">
      <c r="A58" s="2"/>
      <c r="B58" s="2"/>
      <c r="C58" s="10"/>
      <c r="D58" s="6"/>
      <c r="E58" s="10"/>
      <c r="F58" s="8" t="str">
        <f t="shared" si="22"/>
        <v/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5" t="str">
        <f>IF(A58="","",IFERROR(LOOKUP(2,1/((持仓跟踪!$B$2:$B$157=A58)*(持仓跟踪!$X$2:$X$157="执行卖出")*(持仓跟踪!$Y$2:$Y$157&lt;&gt;"")),持仓跟踪!$Y$2:$Y$157),""))</f>
        <v/>
      </c>
      <c r="L58" s="8" t="str">
        <f>IF(A58="","",IFERROR(LOOKUP(2,1/((持仓跟踪!$B$2:$B$157=A58)*(持仓跟踪!$X$2:$X$157="执行卖出")*(持仓跟踪!$Z$2:$Z$157&lt;&gt;"")),持仓跟踪!$Z$2:$Z$157),""))</f>
        <v/>
      </c>
      <c r="M58" s="18" t="str">
        <f>IF(A58="","",IFERROR(LOOKUP(2,1/((持仓跟踪!$B$2:$B$157=A58)*(持仓跟踪!$X$2:$X$157="执行卖出")*(持仓跟踪!$H$2:$H$157&lt;&gt;"")),持仓跟踪!$H$2:$H$157),""))</f>
        <v/>
      </c>
      <c r="N58" s="10"/>
      <c r="O58" s="10"/>
      <c r="P58" s="5" t="str">
        <f>IF(A58="","",IFERROR(LOOKUP(2,1/((持仓跟踪!$B$2:$B$157=A58)*(持仓跟踪!$X$2:$X$157="执行卖出")*(持仓跟踪!$AA$2:$AA$157&lt;&gt;"")),持仓跟踪!$AA$2:$AA$157),""))</f>
        <v/>
      </c>
      <c r="Q58" s="2"/>
      <c r="R58" s="2"/>
      <c r="S58" s="2"/>
      <c r="T58" s="2"/>
      <c r="U58" s="7" t="str">
        <f t="shared" si="23"/>
        <v/>
      </c>
      <c r="V58" s="7" t="str">
        <f t="shared" si="24"/>
        <v/>
      </c>
      <c r="W58" s="19" t="str">
        <f t="shared" si="25"/>
        <v/>
      </c>
      <c r="X58" s="5" t="str">
        <f t="shared" si="26"/>
        <v/>
      </c>
      <c r="Y58" s="7" t="str">
        <f t="shared" si="27"/>
        <v/>
      </c>
      <c r="Z58" s="7" t="str">
        <f>IF(OR(AE58="",多次统计数据!$B$8=""),"",AE58-多次统计数据!$B$8)</f>
        <v/>
      </c>
      <c r="AA58" s="11" t="str">
        <f t="shared" si="28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9"/>
        <v/>
      </c>
      <c r="AG58" s="2"/>
      <c r="AH58" s="2"/>
      <c r="AI58" s="2"/>
      <c r="AJ58" s="8" t="str">
        <f t="shared" si="30"/>
        <v/>
      </c>
      <c r="AK58" s="10"/>
      <c r="AL58" s="12"/>
      <c r="AM58" s="10"/>
      <c r="AN58" s="12"/>
      <c r="AO58" s="5" t="str">
        <f t="shared" si="31"/>
        <v/>
      </c>
      <c r="AP58" s="11" t="str">
        <f t="shared" si="32"/>
        <v/>
      </c>
      <c r="AQ58" s="5" t="str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/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$88)&gt;账户数据!$B$7,"违规：超过账户风险上限","通过")))))))))</f>
        <v/>
      </c>
    </row>
    <row r="59" ht="17" spans="1:44">
      <c r="A59" s="2"/>
      <c r="B59" s="2"/>
      <c r="C59" s="10"/>
      <c r="D59" s="6"/>
      <c r="E59" s="10"/>
      <c r="F59" s="8" t="str">
        <f t="shared" si="22"/>
        <v/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5" t="str">
        <f>IF(A59="","",IFERROR(LOOKUP(2,1/((持仓跟踪!$B$2:$B$157=A59)*(持仓跟踪!$X$2:$X$157="执行卖出")*(持仓跟踪!$Y$2:$Y$157&lt;&gt;"")),持仓跟踪!$Y$2:$Y$157),""))</f>
        <v/>
      </c>
      <c r="L59" s="8" t="str">
        <f>IF(A59="","",IFERROR(LOOKUP(2,1/((持仓跟踪!$B$2:$B$157=A59)*(持仓跟踪!$X$2:$X$157="执行卖出")*(持仓跟踪!$Z$2:$Z$157&lt;&gt;"")),持仓跟踪!$Z$2:$Z$157),""))</f>
        <v/>
      </c>
      <c r="M59" s="18" t="str">
        <f>IF(A59="","",IFERROR(LOOKUP(2,1/((持仓跟踪!$B$2:$B$157=A59)*(持仓跟踪!$X$2:$X$157="执行卖出")*(持仓跟踪!$H$2:$H$157&lt;&gt;"")),持仓跟踪!$H$2:$H$157),""))</f>
        <v/>
      </c>
      <c r="N59" s="10"/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 t="str">
        <f t="shared" si="23"/>
        <v/>
      </c>
      <c r="V59" s="7" t="str">
        <f t="shared" si="24"/>
        <v/>
      </c>
      <c r="W59" s="19" t="str">
        <f t="shared" si="25"/>
        <v/>
      </c>
      <c r="X59" s="5" t="str">
        <f t="shared" si="26"/>
        <v/>
      </c>
      <c r="Y59" s="7" t="str">
        <f t="shared" si="27"/>
        <v/>
      </c>
      <c r="Z59" s="7" t="str">
        <f>IF(OR(AE59="",多次统计数据!$B$8=""),"",AE59-多次统计数据!$B$8)</f>
        <v/>
      </c>
      <c r="AA59" s="11" t="str">
        <f t="shared" si="28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9"/>
        <v/>
      </c>
      <c r="AG59" s="2"/>
      <c r="AH59" s="2"/>
      <c r="AI59" s="2"/>
      <c r="AJ59" s="8" t="str">
        <f t="shared" si="30"/>
        <v/>
      </c>
      <c r="AK59" s="10"/>
      <c r="AL59" s="12"/>
      <c r="AM59" s="10"/>
      <c r="AN59" s="12"/>
      <c r="AO59" s="5" t="str">
        <f t="shared" si="31"/>
        <v/>
      </c>
      <c r="AP59" s="11" t="str">
        <f t="shared" si="32"/>
        <v/>
      </c>
      <c r="AQ59" s="5" t="str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/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$88)&gt;账户数据!$B$7,"违规：超过账户风险上限","通过")))))))))</f>
        <v/>
      </c>
    </row>
    <row r="60" ht="17" spans="1:44">
      <c r="A60" s="2"/>
      <c r="B60" s="2"/>
      <c r="C60" s="10"/>
      <c r="D60" s="6"/>
      <c r="E60" s="10"/>
      <c r="F60" s="8" t="str">
        <f t="shared" si="22"/>
        <v/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5" t="str">
        <f>IF(A60="","",IFERROR(LOOKUP(2,1/((持仓跟踪!$B$2:$B$157=A60)*(持仓跟踪!$X$2:$X$157="执行卖出")*(持仓跟踪!$Y$2:$Y$157&lt;&gt;"")),持仓跟踪!$Y$2:$Y$157),""))</f>
        <v/>
      </c>
      <c r="L60" s="8" t="str">
        <f>IF(A60="","",IFERROR(LOOKUP(2,1/((持仓跟踪!$B$2:$B$157=A60)*(持仓跟踪!$X$2:$X$157="执行卖出")*(持仓跟踪!$Z$2:$Z$157&lt;&gt;"")),持仓跟踪!$Z$2:$Z$157),""))</f>
        <v/>
      </c>
      <c r="M60" s="18" t="str">
        <f>IF(A60="","",IFERROR(LOOKUP(2,1/((持仓跟踪!$B$2:$B$157=A60)*(持仓跟踪!$X$2:$X$157="执行卖出")*(持仓跟踪!$H$2:$H$157&lt;&gt;"")),持仓跟踪!$H$2:$H$157),""))</f>
        <v/>
      </c>
      <c r="N60" s="10"/>
      <c r="O60" s="10"/>
      <c r="P60" s="5" t="str">
        <f>IF(A60="","",IFERROR(LOOKUP(2,1/((持仓跟踪!$B$2:$B$157=A60)*(持仓跟踪!$X$2:$X$157="执行卖出")*(持仓跟踪!$AA$2:$AA$157&lt;&gt;"")),持仓跟踪!$AA$2:$AA$157),""))</f>
        <v/>
      </c>
      <c r="Q60" s="2"/>
      <c r="R60" s="2"/>
      <c r="S60" s="2"/>
      <c r="T60" s="2"/>
      <c r="U60" s="7" t="str">
        <f t="shared" si="23"/>
        <v/>
      </c>
      <c r="V60" s="7" t="str">
        <f t="shared" si="24"/>
        <v/>
      </c>
      <c r="W60" s="19" t="str">
        <f t="shared" si="25"/>
        <v/>
      </c>
      <c r="X60" s="5" t="str">
        <f t="shared" si="26"/>
        <v/>
      </c>
      <c r="Y60" s="7" t="str">
        <f t="shared" si="27"/>
        <v/>
      </c>
      <c r="Z60" s="7" t="str">
        <f>IF(OR(AE60="",多次统计数据!$B$8=""),"",AE60-多次统计数据!$B$8)</f>
        <v/>
      </c>
      <c r="AA60" s="11" t="str">
        <f t="shared" si="28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9"/>
        <v/>
      </c>
      <c r="AG60" s="2"/>
      <c r="AH60" s="2"/>
      <c r="AI60" s="2"/>
      <c r="AJ60" s="8" t="str">
        <f t="shared" si="30"/>
        <v/>
      </c>
      <c r="AK60" s="10"/>
      <c r="AL60" s="12"/>
      <c r="AM60" s="10"/>
      <c r="AN60" s="12"/>
      <c r="AO60" s="5" t="str">
        <f t="shared" si="31"/>
        <v/>
      </c>
      <c r="AP60" s="11" t="str">
        <f t="shared" si="32"/>
        <v/>
      </c>
      <c r="AQ60" s="5" t="str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/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$88)&gt;账户数据!$B$7,"违规：超过账户风险上限","通过")))))))))</f>
        <v/>
      </c>
    </row>
    <row r="61" ht="17" spans="1:44">
      <c r="A61" s="2"/>
      <c r="B61" s="2"/>
      <c r="C61" s="10"/>
      <c r="D61" s="6"/>
      <c r="E61" s="10"/>
      <c r="F61" s="8" t="str">
        <f t="shared" si="22"/>
        <v/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5" t="str">
        <f>IF(A61="","",IFERROR(LOOKUP(2,1/((持仓跟踪!$B$2:$B$157=A61)*(持仓跟踪!$X$2:$X$157="执行卖出")*(持仓跟踪!$Y$2:$Y$157&lt;&gt;"")),持仓跟踪!$Y$2:$Y$157),""))</f>
        <v/>
      </c>
      <c r="L61" s="8" t="str">
        <f>IF(A61="","",IFERROR(LOOKUP(2,1/((持仓跟踪!$B$2:$B$157=A61)*(持仓跟踪!$X$2:$X$157="执行卖出")*(持仓跟踪!$Z$2:$Z$157&lt;&gt;"")),持仓跟踪!$Z$2:$Z$157),""))</f>
        <v/>
      </c>
      <c r="M61" s="18" t="str">
        <f>IF(A61="","",IFERROR(LOOKUP(2,1/((持仓跟踪!$B$2:$B$157=A61)*(持仓跟踪!$X$2:$X$157="执行卖出")*(持仓跟踪!$H$2:$H$157&lt;&gt;"")),持仓跟踪!$H$2:$H$157),""))</f>
        <v/>
      </c>
      <c r="N61" s="10"/>
      <c r="O61" s="10"/>
      <c r="P61" s="5" t="str">
        <f>IF(A61="","",IFERROR(LOOKUP(2,1/((持仓跟踪!$B$2:$B$157=A61)*(持仓跟踪!$X$2:$X$157="执行卖出")*(持仓跟踪!$AA$2:$AA$157&lt;&gt;"")),持仓跟踪!$AA$2:$AA$157),""))</f>
        <v/>
      </c>
      <c r="Q61" s="2"/>
      <c r="R61" s="2"/>
      <c r="S61" s="2"/>
      <c r="T61" s="2"/>
      <c r="U61" s="7" t="str">
        <f t="shared" si="23"/>
        <v/>
      </c>
      <c r="V61" s="7" t="str">
        <f t="shared" si="24"/>
        <v/>
      </c>
      <c r="W61" s="19" t="str">
        <f t="shared" si="25"/>
        <v/>
      </c>
      <c r="X61" s="5" t="str">
        <f t="shared" si="26"/>
        <v/>
      </c>
      <c r="Y61" s="7" t="str">
        <f t="shared" si="27"/>
        <v/>
      </c>
      <c r="Z61" s="7" t="str">
        <f>IF(OR(AE61="",多次统计数据!$B$8=""),"",AE61-多次统计数据!$B$8)</f>
        <v/>
      </c>
      <c r="AA61" s="11" t="str">
        <f t="shared" si="28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9"/>
        <v/>
      </c>
      <c r="AG61" s="2"/>
      <c r="AH61" s="2"/>
      <c r="AI61" s="2"/>
      <c r="AJ61" s="8" t="str">
        <f t="shared" si="30"/>
        <v/>
      </c>
      <c r="AK61" s="10"/>
      <c r="AL61" s="12"/>
      <c r="AM61" s="10"/>
      <c r="AN61" s="12"/>
      <c r="AO61" s="5" t="str">
        <f t="shared" si="31"/>
        <v/>
      </c>
      <c r="AP61" s="11" t="str">
        <f t="shared" si="32"/>
        <v/>
      </c>
      <c r="AQ61" s="5" t="str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/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$88)&gt;账户数据!$B$7,"违规：超过账户风险上限","通过")))))))))</f>
        <v/>
      </c>
    </row>
    <row r="62" ht="17" spans="1:44">
      <c r="A62" s="2"/>
      <c r="B62" s="2"/>
      <c r="C62" s="10"/>
      <c r="D62" s="6"/>
      <c r="E62" s="10"/>
      <c r="F62" s="8" t="str">
        <f t="shared" si="22"/>
        <v/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5" t="str">
        <f>IF(A62="","",IFERROR(LOOKUP(2,1/((持仓跟踪!$B$2:$B$157=A62)*(持仓跟踪!$X$2:$X$157="执行卖出")*(持仓跟踪!$Y$2:$Y$157&lt;&gt;"")),持仓跟踪!$Y$2:$Y$157),""))</f>
        <v/>
      </c>
      <c r="L62" s="8" t="str">
        <f>IF(A62="","",IFERROR(LOOKUP(2,1/((持仓跟踪!$B$2:$B$157=A62)*(持仓跟踪!$X$2:$X$157="执行卖出")*(持仓跟踪!$Z$2:$Z$157&lt;&gt;"")),持仓跟踪!$Z$2:$Z$157),""))</f>
        <v/>
      </c>
      <c r="M62" s="18" t="str">
        <f>IF(A62="","",IFERROR(LOOKUP(2,1/((持仓跟踪!$B$2:$B$157=A62)*(持仓跟踪!$X$2:$X$157="执行卖出")*(持仓跟踪!$H$2:$H$157&lt;&gt;"")),持仓跟踪!$H$2:$H$157),""))</f>
        <v/>
      </c>
      <c r="N62" s="10"/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 t="str">
        <f t="shared" si="23"/>
        <v/>
      </c>
      <c r="V62" s="7" t="str">
        <f t="shared" si="24"/>
        <v/>
      </c>
      <c r="W62" s="19" t="str">
        <f t="shared" si="25"/>
        <v/>
      </c>
      <c r="X62" s="5" t="str">
        <f t="shared" si="26"/>
        <v/>
      </c>
      <c r="Y62" s="7" t="str">
        <f t="shared" si="27"/>
        <v/>
      </c>
      <c r="Z62" s="7" t="str">
        <f>IF(OR(AE62="",多次统计数据!$B$8=""),"",AE62-多次统计数据!$B$8)</f>
        <v/>
      </c>
      <c r="AA62" s="11" t="str">
        <f t="shared" si="28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9"/>
        <v/>
      </c>
      <c r="AG62" s="2"/>
      <c r="AH62" s="2"/>
      <c r="AI62" s="2"/>
      <c r="AJ62" s="8" t="str">
        <f t="shared" si="30"/>
        <v/>
      </c>
      <c r="AK62" s="10"/>
      <c r="AL62" s="12"/>
      <c r="AM62" s="10"/>
      <c r="AN62" s="12"/>
      <c r="AO62" s="5" t="str">
        <f t="shared" si="31"/>
        <v/>
      </c>
      <c r="AP62" s="11" t="str">
        <f t="shared" si="32"/>
        <v/>
      </c>
      <c r="AQ62" s="5" t="str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/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$88)&gt;账户数据!$B$7,"违规：超过账户风险上限","通过")))))))))</f>
        <v/>
      </c>
    </row>
    <row r="63" ht="17" spans="1:44">
      <c r="A63" s="2"/>
      <c r="B63" s="2"/>
      <c r="C63" s="10"/>
      <c r="D63" s="6"/>
      <c r="E63" s="10"/>
      <c r="F63" s="8" t="str">
        <f t="shared" si="22"/>
        <v/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5" t="str">
        <f>IF(A63="","",IFERROR(LOOKUP(2,1/((持仓跟踪!$B$2:$B$157=A63)*(持仓跟踪!$X$2:$X$157="执行卖出")*(持仓跟踪!$Y$2:$Y$157&lt;&gt;"")),持仓跟踪!$Y$2:$Y$157),""))</f>
        <v/>
      </c>
      <c r="L63" s="8" t="str">
        <f>IF(A63="","",IFERROR(LOOKUP(2,1/((持仓跟踪!$B$2:$B$157=A63)*(持仓跟踪!$X$2:$X$157="执行卖出")*(持仓跟踪!$Z$2:$Z$157&lt;&gt;"")),持仓跟踪!$Z$2:$Z$157),""))</f>
        <v/>
      </c>
      <c r="M63" s="18" t="str">
        <f>IF(A63="","",IFERROR(LOOKUP(2,1/((持仓跟踪!$B$2:$B$157=A63)*(持仓跟踪!$X$2:$X$157="执行卖出")*(持仓跟踪!$H$2:$H$157&lt;&gt;"")),持仓跟踪!$H$2:$H$157),""))</f>
        <v/>
      </c>
      <c r="N63" s="10"/>
      <c r="O63" s="10"/>
      <c r="P63" s="5" t="str">
        <f>IF(A63="","",IFERROR(LOOKUP(2,1/((持仓跟踪!$B$2:$B$157=A63)*(持仓跟踪!$X$2:$X$157="执行卖出")*(持仓跟踪!$AA$2:$AA$157&lt;&gt;"")),持仓跟踪!$AA$2:$AA$157),""))</f>
        <v/>
      </c>
      <c r="Q63" s="2"/>
      <c r="R63" s="2"/>
      <c r="S63" s="2"/>
      <c r="T63" s="2"/>
      <c r="U63" s="7" t="str">
        <f t="shared" si="23"/>
        <v/>
      </c>
      <c r="V63" s="7" t="str">
        <f t="shared" si="24"/>
        <v/>
      </c>
      <c r="W63" s="19" t="str">
        <f t="shared" si="25"/>
        <v/>
      </c>
      <c r="X63" s="5" t="str">
        <f t="shared" si="26"/>
        <v/>
      </c>
      <c r="Y63" s="7" t="str">
        <f t="shared" si="27"/>
        <v/>
      </c>
      <c r="Z63" s="7" t="str">
        <f>IF(OR(AE63="",多次统计数据!$B$8=""),"",AE63-多次统计数据!$B$8)</f>
        <v/>
      </c>
      <c r="AA63" s="11" t="str">
        <f t="shared" si="28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9"/>
        <v/>
      </c>
      <c r="AG63" s="2"/>
      <c r="AH63" s="2"/>
      <c r="AI63" s="2"/>
      <c r="AJ63" s="8" t="str">
        <f t="shared" si="30"/>
        <v/>
      </c>
      <c r="AK63" s="10"/>
      <c r="AL63" s="12"/>
      <c r="AM63" s="10"/>
      <c r="AN63" s="12"/>
      <c r="AO63" s="5" t="str">
        <f t="shared" si="31"/>
        <v/>
      </c>
      <c r="AP63" s="11" t="str">
        <f t="shared" si="32"/>
        <v/>
      </c>
      <c r="AQ63" s="5" t="str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/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$88)&gt;账户数据!$B$7,"违规：超过账户风险上限","通过")))))))))</f>
        <v/>
      </c>
    </row>
    <row r="64" ht="17" spans="1:44">
      <c r="A64" s="2"/>
      <c r="B64" s="2"/>
      <c r="C64" s="10"/>
      <c r="D64" s="6"/>
      <c r="E64" s="10"/>
      <c r="F64" s="8" t="str">
        <f t="shared" si="22"/>
        <v/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5" t="str">
        <f>IF(A64="","",IFERROR(LOOKUP(2,1/((持仓跟踪!$B$2:$B$157=A64)*(持仓跟踪!$X$2:$X$157="执行卖出")*(持仓跟踪!$Y$2:$Y$157&lt;&gt;"")),持仓跟踪!$Y$2:$Y$157),""))</f>
        <v/>
      </c>
      <c r="L64" s="8" t="str">
        <f>IF(A64="","",IFERROR(LOOKUP(2,1/((持仓跟踪!$B$2:$B$157=A64)*(持仓跟踪!$X$2:$X$157="执行卖出")*(持仓跟踪!$Z$2:$Z$157&lt;&gt;"")),持仓跟踪!$Z$2:$Z$157),""))</f>
        <v/>
      </c>
      <c r="M64" s="18" t="str">
        <f>IF(A64="","",IFERROR(LOOKUP(2,1/((持仓跟踪!$B$2:$B$157=A64)*(持仓跟踪!$X$2:$X$157="执行卖出")*(持仓跟踪!$H$2:$H$157&lt;&gt;"")),持仓跟踪!$H$2:$H$157),""))</f>
        <v/>
      </c>
      <c r="N64" s="10"/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 t="str">
        <f t="shared" si="23"/>
        <v/>
      </c>
      <c r="V64" s="7" t="str">
        <f t="shared" si="24"/>
        <v/>
      </c>
      <c r="W64" s="19" t="str">
        <f t="shared" si="25"/>
        <v/>
      </c>
      <c r="X64" s="5" t="str">
        <f t="shared" si="26"/>
        <v/>
      </c>
      <c r="Y64" s="7" t="str">
        <f t="shared" si="27"/>
        <v/>
      </c>
      <c r="Z64" s="7" t="str">
        <f>IF(OR(AE64="",多次统计数据!$B$8=""),"",AE64-多次统计数据!$B$8)</f>
        <v/>
      </c>
      <c r="AA64" s="11" t="str">
        <f t="shared" si="28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9"/>
        <v/>
      </c>
      <c r="AG64" s="2"/>
      <c r="AH64" s="2"/>
      <c r="AI64" s="2"/>
      <c r="AJ64" s="8" t="str">
        <f t="shared" si="30"/>
        <v/>
      </c>
      <c r="AK64" s="10"/>
      <c r="AL64" s="12"/>
      <c r="AM64" s="10"/>
      <c r="AN64" s="12"/>
      <c r="AO64" s="5" t="str">
        <f t="shared" si="31"/>
        <v/>
      </c>
      <c r="AP64" s="11" t="str">
        <f t="shared" si="32"/>
        <v/>
      </c>
      <c r="AQ64" s="5" t="str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/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$88)&gt;账户数据!$B$7,"违规：超过账户风险上限","通过")))))))))</f>
        <v/>
      </c>
    </row>
    <row r="65" ht="17" spans="1:44">
      <c r="A65" s="2"/>
      <c r="B65" s="2"/>
      <c r="C65" s="10"/>
      <c r="D65" s="6"/>
      <c r="E65" s="10"/>
      <c r="F65" s="8" t="str">
        <f t="shared" si="22"/>
        <v/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5" t="str">
        <f>IF(A65="","",IFERROR(LOOKUP(2,1/((持仓跟踪!$B$2:$B$157=A65)*(持仓跟踪!$X$2:$X$157="执行卖出")*(持仓跟踪!$Y$2:$Y$157&lt;&gt;"")),持仓跟踪!$Y$2:$Y$157),""))</f>
        <v/>
      </c>
      <c r="L65" s="8" t="str">
        <f>IF(A65="","",IFERROR(LOOKUP(2,1/((持仓跟踪!$B$2:$B$157=A65)*(持仓跟踪!$X$2:$X$157="执行卖出")*(持仓跟踪!$Z$2:$Z$157&lt;&gt;"")),持仓跟踪!$Z$2:$Z$157),""))</f>
        <v/>
      </c>
      <c r="M65" s="18" t="str">
        <f>IF(A65="","",IFERROR(LOOKUP(2,1/((持仓跟踪!$B$2:$B$157=A65)*(持仓跟踪!$X$2:$X$157="执行卖出")*(持仓跟踪!$H$2:$H$157&lt;&gt;"")),持仓跟踪!$H$2:$H$157),""))</f>
        <v/>
      </c>
      <c r="N65" s="10"/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 t="str">
        <f t="shared" si="23"/>
        <v/>
      </c>
      <c r="V65" s="7" t="str">
        <f t="shared" si="24"/>
        <v/>
      </c>
      <c r="W65" s="19" t="str">
        <f t="shared" si="25"/>
        <v/>
      </c>
      <c r="X65" s="5" t="str">
        <f t="shared" si="26"/>
        <v/>
      </c>
      <c r="Y65" s="7" t="str">
        <f t="shared" si="27"/>
        <v/>
      </c>
      <c r="Z65" s="7" t="str">
        <f>IF(OR(AE65="",多次统计数据!$B$8=""),"",AE65-多次统计数据!$B$8)</f>
        <v/>
      </c>
      <c r="AA65" s="11" t="str">
        <f t="shared" si="28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9"/>
        <v/>
      </c>
      <c r="AG65" s="2"/>
      <c r="AH65" s="2"/>
      <c r="AI65" s="2"/>
      <c r="AJ65" s="8" t="str">
        <f t="shared" si="30"/>
        <v/>
      </c>
      <c r="AK65" s="10"/>
      <c r="AL65" s="12"/>
      <c r="AM65" s="10"/>
      <c r="AN65" s="12"/>
      <c r="AO65" s="5" t="str">
        <f t="shared" si="31"/>
        <v/>
      </c>
      <c r="AP65" s="11" t="str">
        <f t="shared" si="32"/>
        <v/>
      </c>
      <c r="AQ65" s="5" t="str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/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$88)&gt;账户数据!$B$7,"违规：超过账户风险上限","通过")))))))))</f>
        <v/>
      </c>
    </row>
    <row r="66" ht="17" spans="1:44">
      <c r="A66" s="2"/>
      <c r="B66" s="2"/>
      <c r="C66" s="10"/>
      <c r="D66" s="6"/>
      <c r="E66" s="10"/>
      <c r="F66" s="8" t="str">
        <f t="shared" si="22"/>
        <v/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5" t="str">
        <f>IF(A66="","",IFERROR(LOOKUP(2,1/((持仓跟踪!$B$2:$B$157=A66)*(持仓跟踪!$X$2:$X$157="执行卖出")*(持仓跟踪!$Y$2:$Y$157&lt;&gt;"")),持仓跟踪!$Y$2:$Y$157),""))</f>
        <v/>
      </c>
      <c r="L66" s="8" t="str">
        <f>IF(A66="","",IFERROR(LOOKUP(2,1/((持仓跟踪!$B$2:$B$157=A66)*(持仓跟踪!$X$2:$X$157="执行卖出")*(持仓跟踪!$Z$2:$Z$157&lt;&gt;"")),持仓跟踪!$Z$2:$Z$157),""))</f>
        <v/>
      </c>
      <c r="M66" s="18" t="str">
        <f>IF(A66="","",IFERROR(LOOKUP(2,1/((持仓跟踪!$B$2:$B$157=A66)*(持仓跟踪!$X$2:$X$157="执行卖出")*(持仓跟踪!$H$2:$H$157&lt;&gt;"")),持仓跟踪!$H$2:$H$157),""))</f>
        <v/>
      </c>
      <c r="N66" s="10"/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 t="str">
        <f t="shared" si="23"/>
        <v/>
      </c>
      <c r="V66" s="7" t="str">
        <f t="shared" si="24"/>
        <v/>
      </c>
      <c r="W66" s="19" t="str">
        <f t="shared" si="25"/>
        <v/>
      </c>
      <c r="X66" s="5" t="str">
        <f t="shared" si="26"/>
        <v/>
      </c>
      <c r="Y66" s="7" t="str">
        <f t="shared" si="27"/>
        <v/>
      </c>
      <c r="Z66" s="7" t="str">
        <f>IF(OR(AE66="",多次统计数据!$B$8=""),"",AE66-多次统计数据!$B$8)</f>
        <v/>
      </c>
      <c r="AA66" s="11" t="str">
        <f t="shared" si="28"/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si="29"/>
        <v/>
      </c>
      <c r="AG66" s="2"/>
      <c r="AH66" s="2"/>
      <c r="AI66" s="2"/>
      <c r="AJ66" s="8" t="str">
        <f t="shared" si="30"/>
        <v/>
      </c>
      <c r="AK66" s="10"/>
      <c r="AL66" s="12"/>
      <c r="AM66" s="10"/>
      <c r="AN66" s="12"/>
      <c r="AO66" s="5" t="str">
        <f t="shared" si="31"/>
        <v/>
      </c>
      <c r="AP66" s="11" t="str">
        <f t="shared" si="32"/>
        <v/>
      </c>
      <c r="AQ66" s="5" t="str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/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$88)&gt;账户数据!$B$7,"违规：超过账户风险上限","通过")))))))))</f>
        <v/>
      </c>
    </row>
    <row r="67" ht="17" spans="1:44">
      <c r="A67" s="2"/>
      <c r="B67" s="2"/>
      <c r="C67" s="10"/>
      <c r="D67" s="6"/>
      <c r="E67" s="10"/>
      <c r="F67" s="8" t="str">
        <f t="shared" si="22"/>
        <v/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5" t="str">
        <f>IF(A67="","",IFERROR(LOOKUP(2,1/((持仓跟踪!$B$2:$B$157=A67)*(持仓跟踪!$X$2:$X$157="执行卖出")*(持仓跟踪!$Y$2:$Y$157&lt;&gt;"")),持仓跟踪!$Y$2:$Y$157),""))</f>
        <v/>
      </c>
      <c r="L67" s="8" t="str">
        <f>IF(A67="","",IFERROR(LOOKUP(2,1/((持仓跟踪!$B$2:$B$157=A67)*(持仓跟踪!$X$2:$X$157="执行卖出")*(持仓跟踪!$Z$2:$Z$157&lt;&gt;"")),持仓跟踪!$Z$2:$Z$157),""))</f>
        <v/>
      </c>
      <c r="M67" s="18" t="str">
        <f>IF(A67="","",IFERROR(LOOKUP(2,1/((持仓跟踪!$B$2:$B$157=A67)*(持仓跟踪!$X$2:$X$157="执行卖出")*(持仓跟踪!$H$2:$H$157&lt;&gt;"")),持仓跟踪!$H$2:$H$157),""))</f>
        <v/>
      </c>
      <c r="N67" s="10"/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 t="str">
        <f t="shared" si="23"/>
        <v/>
      </c>
      <c r="V67" s="7" t="str">
        <f t="shared" si="24"/>
        <v/>
      </c>
      <c r="W67" s="19" t="str">
        <f t="shared" si="25"/>
        <v/>
      </c>
      <c r="X67" s="5" t="str">
        <f t="shared" si="26"/>
        <v/>
      </c>
      <c r="Y67" s="7" t="str">
        <f t="shared" si="27"/>
        <v/>
      </c>
      <c r="Z67" s="7" t="str">
        <f>IF(OR(AE67="",多次统计数据!$B$8=""),"",AE67-多次统计数据!$B$8)</f>
        <v/>
      </c>
      <c r="AA67" s="11" t="str">
        <f t="shared" si="28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29"/>
        <v/>
      </c>
      <c r="AG67" s="2"/>
      <c r="AH67" s="2"/>
      <c r="AI67" s="2"/>
      <c r="AJ67" s="8" t="str">
        <f t="shared" si="30"/>
        <v/>
      </c>
      <c r="AK67" s="10"/>
      <c r="AL67" s="12"/>
      <c r="AM67" s="10"/>
      <c r="AN67" s="12"/>
      <c r="AO67" s="5" t="str">
        <f t="shared" si="31"/>
        <v/>
      </c>
      <c r="AP67" s="11" t="str">
        <f t="shared" si="32"/>
        <v/>
      </c>
      <c r="AQ67" s="5" t="str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/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$88)&gt;账户数据!$B$7,"违规：超过账户风险上限","通过")))))))))</f>
        <v/>
      </c>
    </row>
    <row r="68" ht="17" spans="1:44">
      <c r="A68" s="2"/>
      <c r="B68" s="2"/>
      <c r="C68" s="10"/>
      <c r="D68" s="6"/>
      <c r="E68" s="10"/>
      <c r="F68" s="8" t="str">
        <f t="shared" si="22"/>
        <v/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5" t="str">
        <f>IF(A68="","",IFERROR(LOOKUP(2,1/((持仓跟踪!$B$2:$B$157=A68)*(持仓跟踪!$X$2:$X$157="执行卖出")*(持仓跟踪!$Y$2:$Y$157&lt;&gt;"")),持仓跟踪!$Y$2:$Y$157),""))</f>
        <v/>
      </c>
      <c r="L68" s="8" t="str">
        <f>IF(A68="","",IFERROR(LOOKUP(2,1/((持仓跟踪!$B$2:$B$157=A68)*(持仓跟踪!$X$2:$X$157="执行卖出")*(持仓跟踪!$Z$2:$Z$157&lt;&gt;"")),持仓跟踪!$Z$2:$Z$157),""))</f>
        <v/>
      </c>
      <c r="M68" s="18" t="str">
        <f>IF(A68="","",IFERROR(LOOKUP(2,1/((持仓跟踪!$B$2:$B$157=A68)*(持仓跟踪!$X$2:$X$157="执行卖出")*(持仓跟踪!$H$2:$H$157&lt;&gt;"")),持仓跟踪!$H$2:$H$157),""))</f>
        <v/>
      </c>
      <c r="N68" s="10"/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 t="str">
        <f t="shared" si="23"/>
        <v/>
      </c>
      <c r="V68" s="7" t="str">
        <f t="shared" si="24"/>
        <v/>
      </c>
      <c r="W68" s="19" t="str">
        <f t="shared" si="25"/>
        <v/>
      </c>
      <c r="X68" s="5" t="str">
        <f t="shared" si="26"/>
        <v/>
      </c>
      <c r="Y68" s="7" t="str">
        <f t="shared" si="27"/>
        <v/>
      </c>
      <c r="Z68" s="7" t="str">
        <f>IF(OR(AE68="",多次统计数据!$B$8=""),"",AE68-多次统计数据!$B$8)</f>
        <v/>
      </c>
      <c r="AA68" s="11" t="str">
        <f t="shared" si="28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29"/>
        <v/>
      </c>
      <c r="AG68" s="2"/>
      <c r="AH68" s="2"/>
      <c r="AI68" s="2"/>
      <c r="AJ68" s="8" t="str">
        <f t="shared" si="30"/>
        <v/>
      </c>
      <c r="AK68" s="10"/>
      <c r="AL68" s="12"/>
      <c r="AM68" s="10"/>
      <c r="AN68" s="12"/>
      <c r="AO68" s="5" t="str">
        <f t="shared" si="31"/>
        <v/>
      </c>
      <c r="AP68" s="11" t="str">
        <f t="shared" si="32"/>
        <v/>
      </c>
      <c r="AQ68" s="5" t="str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/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$88)&gt;账户数据!$B$7,"违规：超过账户风险上限","通过")))))))))</f>
        <v/>
      </c>
    </row>
    <row r="69" ht="17" spans="1:44">
      <c r="A69" s="2"/>
      <c r="B69" s="2"/>
      <c r="C69" s="10"/>
      <c r="D69" s="6"/>
      <c r="E69" s="10"/>
      <c r="F69" s="8" t="str">
        <f t="shared" si="22"/>
        <v/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5" t="str">
        <f>IF(A69="","",IFERROR(LOOKUP(2,1/((持仓跟踪!$B$2:$B$157=A69)*(持仓跟踪!$X$2:$X$157="执行卖出")*(持仓跟踪!$Y$2:$Y$157&lt;&gt;"")),持仓跟踪!$Y$2:$Y$157),""))</f>
        <v/>
      </c>
      <c r="L69" s="8" t="str">
        <f>IF(A69="","",IFERROR(LOOKUP(2,1/((持仓跟踪!$B$2:$B$157=A69)*(持仓跟踪!$X$2:$X$157="执行卖出")*(持仓跟踪!$Z$2:$Z$157&lt;&gt;"")),持仓跟踪!$Z$2:$Z$157),""))</f>
        <v/>
      </c>
      <c r="M69" s="18" t="str">
        <f>IF(A69="","",IFERROR(LOOKUP(2,1/((持仓跟踪!$B$2:$B$157=A69)*(持仓跟踪!$X$2:$X$157="执行卖出")*(持仓跟踪!$H$2:$H$157&lt;&gt;"")),持仓跟踪!$H$2:$H$157),""))</f>
        <v/>
      </c>
      <c r="N69" s="10"/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 t="str">
        <f t="shared" si="23"/>
        <v/>
      </c>
      <c r="V69" s="7" t="str">
        <f t="shared" si="24"/>
        <v/>
      </c>
      <c r="W69" s="19" t="str">
        <f t="shared" si="25"/>
        <v/>
      </c>
      <c r="X69" s="5" t="str">
        <f t="shared" si="26"/>
        <v/>
      </c>
      <c r="Y69" s="7" t="str">
        <f t="shared" si="27"/>
        <v/>
      </c>
      <c r="Z69" s="7" t="str">
        <f>IF(OR(AE69="",多次统计数据!$B$8=""),"",AE69-多次统计数据!$B$8)</f>
        <v/>
      </c>
      <c r="AA69" s="11" t="str">
        <f t="shared" si="28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29"/>
        <v/>
      </c>
      <c r="AG69" s="2"/>
      <c r="AH69" s="2"/>
      <c r="AI69" s="2"/>
      <c r="AJ69" s="8" t="str">
        <f t="shared" si="30"/>
        <v/>
      </c>
      <c r="AK69" s="10"/>
      <c r="AL69" s="12"/>
      <c r="AM69" s="10"/>
      <c r="AN69" s="12"/>
      <c r="AO69" s="5" t="str">
        <f t="shared" si="31"/>
        <v/>
      </c>
      <c r="AP69" s="11" t="str">
        <f t="shared" si="32"/>
        <v/>
      </c>
      <c r="AQ69" s="5" t="str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/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$88)&gt;账户数据!$B$7,"违规：超过账户风险上限","通过")))))))))</f>
        <v/>
      </c>
    </row>
    <row r="70" ht="17" spans="1:44">
      <c r="A70" s="2"/>
      <c r="B70" s="2"/>
      <c r="C70" s="10"/>
      <c r="D70" s="6"/>
      <c r="E70" s="10"/>
      <c r="F70" s="8" t="str">
        <f t="shared" si="22"/>
        <v/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5" t="str">
        <f>IF(A70="","",IFERROR(LOOKUP(2,1/((持仓跟踪!$B$2:$B$157=A70)*(持仓跟踪!$X$2:$X$157="执行卖出")*(持仓跟踪!$Y$2:$Y$157&lt;&gt;"")),持仓跟踪!$Y$2:$Y$157),""))</f>
        <v/>
      </c>
      <c r="L70" s="8" t="str">
        <f>IF(A70="","",IFERROR(LOOKUP(2,1/((持仓跟踪!$B$2:$B$157=A70)*(持仓跟踪!$X$2:$X$157="执行卖出")*(持仓跟踪!$Z$2:$Z$157&lt;&gt;"")),持仓跟踪!$Z$2:$Z$157),""))</f>
        <v/>
      </c>
      <c r="M70" s="18" t="str">
        <f>IF(A70="","",IFERROR(LOOKUP(2,1/((持仓跟踪!$B$2:$B$157=A70)*(持仓跟踪!$X$2:$X$157="执行卖出")*(持仓跟踪!$H$2:$H$157&lt;&gt;"")),持仓跟踪!$H$2:$H$157),""))</f>
        <v/>
      </c>
      <c r="N70" s="10"/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 t="str">
        <f t="shared" si="23"/>
        <v/>
      </c>
      <c r="V70" s="7" t="str">
        <f t="shared" si="24"/>
        <v/>
      </c>
      <c r="W70" s="19" t="str">
        <f t="shared" si="25"/>
        <v/>
      </c>
      <c r="X70" s="5" t="str">
        <f t="shared" si="26"/>
        <v/>
      </c>
      <c r="Y70" s="7" t="str">
        <f t="shared" si="27"/>
        <v/>
      </c>
      <c r="Z70" s="7" t="str">
        <f>IF(OR(AE70="",多次统计数据!$B$8=""),"",AE70-多次统计数据!$B$8)</f>
        <v/>
      </c>
      <c r="AA70" s="11" t="str">
        <f t="shared" si="28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29"/>
        <v/>
      </c>
      <c r="AG70" s="2"/>
      <c r="AH70" s="2"/>
      <c r="AI70" s="2"/>
      <c r="AJ70" s="8" t="str">
        <f t="shared" si="30"/>
        <v/>
      </c>
      <c r="AK70" s="10"/>
      <c r="AL70" s="12"/>
      <c r="AM70" s="10"/>
      <c r="AN70" s="12"/>
      <c r="AO70" s="5" t="str">
        <f t="shared" si="31"/>
        <v/>
      </c>
      <c r="AP70" s="11" t="str">
        <f t="shared" si="32"/>
        <v/>
      </c>
      <c r="AQ70" s="5" t="str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/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$88)&gt;账户数据!$B$7,"违规：超过账户风险上限","通过")))))))))</f>
        <v/>
      </c>
    </row>
    <row r="71" ht="17" spans="1:44">
      <c r="A71" s="2"/>
      <c r="B71" s="2"/>
      <c r="C71" s="10"/>
      <c r="D71" s="6"/>
      <c r="E71" s="10"/>
      <c r="F71" s="8" t="str">
        <f t="shared" si="22"/>
        <v/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5" t="str">
        <f>IF(A71="","",IFERROR(LOOKUP(2,1/((持仓跟踪!$B$2:$B$157=A71)*(持仓跟踪!$X$2:$X$157="执行卖出")*(持仓跟踪!$Y$2:$Y$157&lt;&gt;"")),持仓跟踪!$Y$2:$Y$157),""))</f>
        <v/>
      </c>
      <c r="L71" s="8" t="str">
        <f>IF(A71="","",IFERROR(LOOKUP(2,1/((持仓跟踪!$B$2:$B$157=A71)*(持仓跟踪!$X$2:$X$157="执行卖出")*(持仓跟踪!$Z$2:$Z$157&lt;&gt;"")),持仓跟踪!$Z$2:$Z$157),""))</f>
        <v/>
      </c>
      <c r="M71" s="18" t="str">
        <f>IF(A71="","",IFERROR(LOOKUP(2,1/((持仓跟踪!$B$2:$B$157=A71)*(持仓跟踪!$X$2:$X$157="执行卖出")*(持仓跟踪!$H$2:$H$157&lt;&gt;"")),持仓跟踪!$H$2:$H$157),""))</f>
        <v/>
      </c>
      <c r="N71" s="10"/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 t="str">
        <f t="shared" si="23"/>
        <v/>
      </c>
      <c r="V71" s="7" t="str">
        <f t="shared" si="24"/>
        <v/>
      </c>
      <c r="W71" s="19" t="str">
        <f t="shared" si="25"/>
        <v/>
      </c>
      <c r="X71" s="5" t="str">
        <f t="shared" si="26"/>
        <v/>
      </c>
      <c r="Y71" s="7" t="str">
        <f t="shared" si="27"/>
        <v/>
      </c>
      <c r="Z71" s="7" t="str">
        <f>IF(OR(AE71="",多次统计数据!$B$8=""),"",AE71-多次统计数据!$B$8)</f>
        <v/>
      </c>
      <c r="AA71" s="11" t="str">
        <f t="shared" si="28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29"/>
        <v/>
      </c>
      <c r="AG71" s="2"/>
      <c r="AH71" s="2"/>
      <c r="AI71" s="2"/>
      <c r="AJ71" s="8" t="str">
        <f t="shared" si="30"/>
        <v/>
      </c>
      <c r="AK71" s="10"/>
      <c r="AL71" s="12"/>
      <c r="AM71" s="10"/>
      <c r="AN71" s="12"/>
      <c r="AO71" s="5" t="str">
        <f t="shared" si="31"/>
        <v/>
      </c>
      <c r="AP71" s="11" t="str">
        <f t="shared" si="32"/>
        <v/>
      </c>
      <c r="AQ71" s="5" t="str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/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$88)&gt;账户数据!$B$7,"违规：超过账户风险上限","通过")))))))))</f>
        <v/>
      </c>
    </row>
    <row r="72" ht="17" spans="1:44">
      <c r="A72" s="2"/>
      <c r="B72" s="2"/>
      <c r="C72" s="10"/>
      <c r="D72" s="6"/>
      <c r="E72" s="10"/>
      <c r="F72" s="8" t="str">
        <f t="shared" si="22"/>
        <v/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5" t="str">
        <f>IF(A72="","",IFERROR(LOOKUP(2,1/((持仓跟踪!$B$2:$B$157=A72)*(持仓跟踪!$X$2:$X$157="执行卖出")*(持仓跟踪!$Y$2:$Y$157&lt;&gt;"")),持仓跟踪!$Y$2:$Y$157),""))</f>
        <v/>
      </c>
      <c r="L72" s="8" t="str">
        <f>IF(A72="","",IFERROR(LOOKUP(2,1/((持仓跟踪!$B$2:$B$157=A72)*(持仓跟踪!$X$2:$X$157="执行卖出")*(持仓跟踪!$Z$2:$Z$157&lt;&gt;"")),持仓跟踪!$Z$2:$Z$157),""))</f>
        <v/>
      </c>
      <c r="M72" s="18" t="str">
        <f>IF(A72="","",IFERROR(LOOKUP(2,1/((持仓跟踪!$B$2:$B$157=A72)*(持仓跟踪!$X$2:$X$157="执行卖出")*(持仓跟踪!$H$2:$H$157&lt;&gt;"")),持仓跟踪!$H$2:$H$157),""))</f>
        <v/>
      </c>
      <c r="N72" s="10"/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 t="str">
        <f t="shared" si="23"/>
        <v/>
      </c>
      <c r="V72" s="7" t="str">
        <f t="shared" si="24"/>
        <v/>
      </c>
      <c r="W72" s="19" t="str">
        <f t="shared" si="25"/>
        <v/>
      </c>
      <c r="X72" s="5" t="str">
        <f t="shared" si="26"/>
        <v/>
      </c>
      <c r="Y72" s="7" t="str">
        <f t="shared" si="27"/>
        <v/>
      </c>
      <c r="Z72" s="7" t="str">
        <f>IF(OR(AE72="",多次统计数据!$B$8=""),"",AE72-多次统计数据!$B$8)</f>
        <v/>
      </c>
      <c r="AA72" s="11" t="str">
        <f t="shared" si="28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29"/>
        <v/>
      </c>
      <c r="AG72" s="2"/>
      <c r="AH72" s="2"/>
      <c r="AI72" s="2"/>
      <c r="AJ72" s="8" t="str">
        <f t="shared" si="30"/>
        <v/>
      </c>
      <c r="AK72" s="10"/>
      <c r="AL72" s="12"/>
      <c r="AM72" s="10"/>
      <c r="AN72" s="12"/>
      <c r="AO72" s="5" t="str">
        <f t="shared" si="31"/>
        <v/>
      </c>
      <c r="AP72" s="11" t="str">
        <f t="shared" si="32"/>
        <v/>
      </c>
      <c r="AQ72" s="5" t="str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/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$88)&gt;账户数据!$B$7,"违规：超过账户风险上限","通过")))))))))</f>
        <v/>
      </c>
    </row>
    <row r="73" ht="17" spans="1:44">
      <c r="A73" s="2"/>
      <c r="B73" s="2"/>
      <c r="C73" s="10"/>
      <c r="D73" s="6"/>
      <c r="E73" s="10"/>
      <c r="F73" s="8" t="str">
        <f t="shared" si="22"/>
        <v/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5" t="str">
        <f>IF(A73="","",IFERROR(LOOKUP(2,1/((持仓跟踪!$B$2:$B$157=A73)*(持仓跟踪!$X$2:$X$157="执行卖出")*(持仓跟踪!$Y$2:$Y$157&lt;&gt;"")),持仓跟踪!$Y$2:$Y$157),""))</f>
        <v/>
      </c>
      <c r="L73" s="8" t="str">
        <f>IF(A73="","",IFERROR(LOOKUP(2,1/((持仓跟踪!$B$2:$B$157=A73)*(持仓跟踪!$X$2:$X$157="执行卖出")*(持仓跟踪!$Z$2:$Z$157&lt;&gt;"")),持仓跟踪!$Z$2:$Z$157),""))</f>
        <v/>
      </c>
      <c r="M73" s="18" t="str">
        <f>IF(A73="","",IFERROR(LOOKUP(2,1/((持仓跟踪!$B$2:$B$157=A73)*(持仓跟踪!$X$2:$X$157="执行卖出")*(持仓跟踪!$H$2:$H$157&lt;&gt;"")),持仓跟踪!$H$2:$H$157),""))</f>
        <v/>
      </c>
      <c r="N73" s="10"/>
      <c r="O73" s="10"/>
      <c r="P73" s="5" t="str">
        <f>IF(A73="","",IFERROR(LOOKUP(2,1/((持仓跟踪!$B$2:$B$157=A73)*(持仓跟踪!$X$2:$X$157="执行卖出")*(持仓跟踪!$AA$2:$AA$157&lt;&gt;"")),持仓跟踪!$AA$2:$AA$157),""))</f>
        <v/>
      </c>
      <c r="Q73" s="2"/>
      <c r="R73" s="2"/>
      <c r="S73" s="2"/>
      <c r="T73" s="2"/>
      <c r="U73" s="7" t="str">
        <f t="shared" si="23"/>
        <v/>
      </c>
      <c r="V73" s="7" t="str">
        <f t="shared" si="24"/>
        <v/>
      </c>
      <c r="W73" s="19" t="str">
        <f t="shared" si="25"/>
        <v/>
      </c>
      <c r="X73" s="5" t="str">
        <f t="shared" si="26"/>
        <v/>
      </c>
      <c r="Y73" s="7" t="str">
        <f t="shared" si="27"/>
        <v/>
      </c>
      <c r="Z73" s="7" t="str">
        <f>IF(OR(AE73="",多次统计数据!$B$8=""),"",AE73-多次统计数据!$B$8)</f>
        <v/>
      </c>
      <c r="AA73" s="11" t="str">
        <f t="shared" si="28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29"/>
        <v/>
      </c>
      <c r="AG73" s="2"/>
      <c r="AH73" s="2"/>
      <c r="AI73" s="2"/>
      <c r="AJ73" s="8" t="str">
        <f t="shared" si="30"/>
        <v/>
      </c>
      <c r="AK73" s="10"/>
      <c r="AL73" s="12"/>
      <c r="AM73" s="10"/>
      <c r="AN73" s="12"/>
      <c r="AO73" s="5" t="str">
        <f t="shared" si="31"/>
        <v/>
      </c>
      <c r="AP73" s="11" t="str">
        <f t="shared" si="32"/>
        <v/>
      </c>
      <c r="AQ73" s="5" t="str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/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$88)&gt;账户数据!$B$7,"违规：超过账户风险上限","通过")))))))))</f>
        <v/>
      </c>
    </row>
    <row r="74" ht="17" spans="1:44">
      <c r="A74" s="2"/>
      <c r="B74" s="2"/>
      <c r="C74" s="10"/>
      <c r="D74" s="6"/>
      <c r="E74" s="10"/>
      <c r="F74" s="8" t="str">
        <f t="shared" si="22"/>
        <v/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5" t="str">
        <f>IF(A74="","",IFERROR(LOOKUP(2,1/((持仓跟踪!$B$2:$B$157=A74)*(持仓跟踪!$X$2:$X$157="执行卖出")*(持仓跟踪!$Y$2:$Y$157&lt;&gt;"")),持仓跟踪!$Y$2:$Y$157),""))</f>
        <v/>
      </c>
      <c r="L74" s="8" t="str">
        <f>IF(A74="","",IFERROR(LOOKUP(2,1/((持仓跟踪!$B$2:$B$157=A74)*(持仓跟踪!$X$2:$X$157="执行卖出")*(持仓跟踪!$Z$2:$Z$157&lt;&gt;"")),持仓跟踪!$Z$2:$Z$157),""))</f>
        <v/>
      </c>
      <c r="M74" s="18" t="str">
        <f>IF(A74="","",IFERROR(LOOKUP(2,1/((持仓跟踪!$B$2:$B$157=A74)*(持仓跟踪!$X$2:$X$157="执行卖出")*(持仓跟踪!$H$2:$H$157&lt;&gt;"")),持仓跟踪!$H$2:$H$157),""))</f>
        <v/>
      </c>
      <c r="N74" s="10"/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 t="str">
        <f t="shared" si="23"/>
        <v/>
      </c>
      <c r="V74" s="7" t="str">
        <f t="shared" si="24"/>
        <v/>
      </c>
      <c r="W74" s="19" t="str">
        <f t="shared" si="25"/>
        <v/>
      </c>
      <c r="X74" s="5" t="str">
        <f t="shared" si="26"/>
        <v/>
      </c>
      <c r="Y74" s="7" t="str">
        <f t="shared" si="27"/>
        <v/>
      </c>
      <c r="Z74" s="7" t="str">
        <f>IF(OR(AE74="",多次统计数据!$B$8=""),"",AE74-多次统计数据!$B$8)</f>
        <v/>
      </c>
      <c r="AA74" s="11" t="str">
        <f t="shared" si="28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29"/>
        <v/>
      </c>
      <c r="AG74" s="2"/>
      <c r="AH74" s="2"/>
      <c r="AI74" s="2"/>
      <c r="AJ74" s="8" t="str">
        <f t="shared" si="30"/>
        <v/>
      </c>
      <c r="AK74" s="10"/>
      <c r="AL74" s="12"/>
      <c r="AM74" s="10"/>
      <c r="AN74" s="12"/>
      <c r="AO74" s="5" t="str">
        <f t="shared" si="31"/>
        <v/>
      </c>
      <c r="AP74" s="11" t="str">
        <f t="shared" si="32"/>
        <v/>
      </c>
      <c r="AQ74" s="5" t="str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/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$88)&gt;账户数据!$B$7,"违规：超过账户风险上限","通过")))))))))</f>
        <v/>
      </c>
    </row>
    <row r="75" ht="17" spans="1:44">
      <c r="A75" s="2"/>
      <c r="B75" s="2"/>
      <c r="C75" s="10"/>
      <c r="D75" s="6"/>
      <c r="E75" s="10"/>
      <c r="F75" s="8" t="str">
        <f t="shared" si="22"/>
        <v/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5" t="str">
        <f>IF(A75="","",IFERROR(LOOKUP(2,1/((持仓跟踪!$B$2:$B$157=A75)*(持仓跟踪!$X$2:$X$157="执行卖出")*(持仓跟踪!$Y$2:$Y$157&lt;&gt;"")),持仓跟踪!$Y$2:$Y$157),""))</f>
        <v/>
      </c>
      <c r="L75" s="8" t="str">
        <f>IF(A75="","",IFERROR(LOOKUP(2,1/((持仓跟踪!$B$2:$B$157=A75)*(持仓跟踪!$X$2:$X$157="执行卖出")*(持仓跟踪!$Z$2:$Z$157&lt;&gt;"")),持仓跟踪!$Z$2:$Z$157),""))</f>
        <v/>
      </c>
      <c r="M75" s="18" t="str">
        <f>IF(A75="","",IFERROR(LOOKUP(2,1/((持仓跟踪!$B$2:$B$157=A75)*(持仓跟踪!$X$2:$X$157="执行卖出")*(持仓跟踪!$H$2:$H$157&lt;&gt;"")),持仓跟踪!$H$2:$H$157),""))</f>
        <v/>
      </c>
      <c r="N75" s="10"/>
      <c r="O75" s="10"/>
      <c r="P75" s="5" t="str">
        <f>IF(A75="","",IFERROR(LOOKUP(2,1/((持仓跟踪!$B$2:$B$157=A75)*(持仓跟踪!$X$2:$X$157="执行卖出")*(持仓跟踪!$AA$2:$AA$157&lt;&gt;"")),持仓跟踪!$AA$2:$AA$157),""))</f>
        <v/>
      </c>
      <c r="Q75" s="2"/>
      <c r="R75" s="2"/>
      <c r="S75" s="2"/>
      <c r="T75" s="2"/>
      <c r="U75" s="7" t="str">
        <f t="shared" si="23"/>
        <v/>
      </c>
      <c r="V75" s="7" t="str">
        <f t="shared" si="24"/>
        <v/>
      </c>
      <c r="W75" s="19" t="str">
        <f t="shared" si="25"/>
        <v/>
      </c>
      <c r="X75" s="5" t="str">
        <f t="shared" si="26"/>
        <v/>
      </c>
      <c r="Y75" s="7" t="str">
        <f t="shared" si="27"/>
        <v/>
      </c>
      <c r="Z75" s="7" t="str">
        <f>IF(OR(AE75="",多次统计数据!$B$8=""),"",AE75-多次统计数据!$B$8)</f>
        <v/>
      </c>
      <c r="AA75" s="11" t="str">
        <f t="shared" si="28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29"/>
        <v/>
      </c>
      <c r="AG75" s="2"/>
      <c r="AH75" s="2"/>
      <c r="AI75" s="2"/>
      <c r="AJ75" s="8" t="str">
        <f t="shared" si="30"/>
        <v/>
      </c>
      <c r="AK75" s="10"/>
      <c r="AL75" s="12"/>
      <c r="AM75" s="10"/>
      <c r="AN75" s="12"/>
      <c r="AO75" s="5" t="str">
        <f t="shared" si="31"/>
        <v/>
      </c>
      <c r="AP75" s="11" t="str">
        <f t="shared" si="32"/>
        <v/>
      </c>
      <c r="AQ75" s="5" t="str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/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$88)&gt;账户数据!$B$7,"违规：超过账户风险上限","通过")))))))))</f>
        <v/>
      </c>
    </row>
    <row r="76" ht="17" spans="1:44">
      <c r="A76" s="2"/>
      <c r="B76" s="2"/>
      <c r="C76" s="10"/>
      <c r="D76" s="6"/>
      <c r="E76" s="10"/>
      <c r="F76" s="8" t="str">
        <f t="shared" si="22"/>
        <v/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5" t="str">
        <f>IF(A76="","",IFERROR(LOOKUP(2,1/((持仓跟踪!$B$2:$B$157=A76)*(持仓跟踪!$X$2:$X$157="执行卖出")*(持仓跟踪!$Y$2:$Y$157&lt;&gt;"")),持仓跟踪!$Y$2:$Y$157),""))</f>
        <v/>
      </c>
      <c r="L76" s="8" t="str">
        <f>IF(A76="","",IFERROR(LOOKUP(2,1/((持仓跟踪!$B$2:$B$157=A76)*(持仓跟踪!$X$2:$X$157="执行卖出")*(持仓跟踪!$Z$2:$Z$157&lt;&gt;"")),持仓跟踪!$Z$2:$Z$157),""))</f>
        <v/>
      </c>
      <c r="M76" s="18" t="str">
        <f>IF(A76="","",IFERROR(LOOKUP(2,1/((持仓跟踪!$B$2:$B$157=A76)*(持仓跟踪!$X$2:$X$157="执行卖出")*(持仓跟踪!$H$2:$H$157&lt;&gt;"")),持仓跟踪!$H$2:$H$157),""))</f>
        <v/>
      </c>
      <c r="N76" s="10"/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 t="str">
        <f t="shared" si="23"/>
        <v/>
      </c>
      <c r="V76" s="7" t="str">
        <f t="shared" si="24"/>
        <v/>
      </c>
      <c r="W76" s="19" t="str">
        <f t="shared" si="25"/>
        <v/>
      </c>
      <c r="X76" s="5" t="str">
        <f t="shared" si="26"/>
        <v/>
      </c>
      <c r="Y76" s="7" t="str">
        <f t="shared" si="27"/>
        <v/>
      </c>
      <c r="Z76" s="7" t="str">
        <f>IF(OR(AE76="",多次统计数据!$B$8=""),"",AE76-多次统计数据!$B$8)</f>
        <v/>
      </c>
      <c r="AA76" s="11" t="str">
        <f t="shared" si="28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29"/>
        <v/>
      </c>
      <c r="AG76" s="2"/>
      <c r="AH76" s="2"/>
      <c r="AI76" s="2"/>
      <c r="AJ76" s="8" t="str">
        <f t="shared" si="30"/>
        <v/>
      </c>
      <c r="AK76" s="10"/>
      <c r="AL76" s="12"/>
      <c r="AM76" s="10"/>
      <c r="AN76" s="12"/>
      <c r="AO76" s="5" t="str">
        <f t="shared" si="31"/>
        <v/>
      </c>
      <c r="AP76" s="11" t="str">
        <f t="shared" si="32"/>
        <v/>
      </c>
      <c r="AQ76" s="5" t="str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/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$88)&gt;账户数据!$B$7,"违规：超过账户风险上限","通过")))))))))</f>
        <v/>
      </c>
    </row>
    <row r="77" ht="17" spans="1:44">
      <c r="A77" s="2"/>
      <c r="B77" s="2"/>
      <c r="C77" s="10"/>
      <c r="D77" s="6"/>
      <c r="E77" s="10"/>
      <c r="F77" s="8" t="str">
        <f t="shared" si="22"/>
        <v/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5" t="str">
        <f>IF(A77="","",IFERROR(LOOKUP(2,1/((持仓跟踪!$B$2:$B$157=A77)*(持仓跟踪!$X$2:$X$157="执行卖出")*(持仓跟踪!$Y$2:$Y$157&lt;&gt;"")),持仓跟踪!$Y$2:$Y$157),""))</f>
        <v/>
      </c>
      <c r="L77" s="8" t="str">
        <f>IF(A77="","",IFERROR(LOOKUP(2,1/((持仓跟踪!$B$2:$B$157=A77)*(持仓跟踪!$X$2:$X$157="执行卖出")*(持仓跟踪!$Z$2:$Z$157&lt;&gt;"")),持仓跟踪!$Z$2:$Z$157),""))</f>
        <v/>
      </c>
      <c r="M77" s="18" t="str">
        <f>IF(A77="","",IFERROR(LOOKUP(2,1/((持仓跟踪!$B$2:$B$157=A77)*(持仓跟踪!$X$2:$X$157="执行卖出")*(持仓跟踪!$H$2:$H$157&lt;&gt;"")),持仓跟踪!$H$2:$H$157),""))</f>
        <v/>
      </c>
      <c r="N77" s="10"/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 t="str">
        <f t="shared" si="23"/>
        <v/>
      </c>
      <c r="V77" s="7" t="str">
        <f t="shared" si="24"/>
        <v/>
      </c>
      <c r="W77" s="19" t="str">
        <f t="shared" si="25"/>
        <v/>
      </c>
      <c r="X77" s="5" t="str">
        <f t="shared" si="26"/>
        <v/>
      </c>
      <c r="Y77" s="7" t="str">
        <f t="shared" si="27"/>
        <v/>
      </c>
      <c r="Z77" s="7" t="str">
        <f>IF(OR(AE77="",多次统计数据!$B$8=""),"",AE77-多次统计数据!$B$8)</f>
        <v/>
      </c>
      <c r="AA77" s="11" t="str">
        <f t="shared" si="28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29"/>
        <v/>
      </c>
      <c r="AG77" s="2"/>
      <c r="AH77" s="2"/>
      <c r="AI77" s="2"/>
      <c r="AJ77" s="8" t="str">
        <f t="shared" si="30"/>
        <v/>
      </c>
      <c r="AK77" s="10"/>
      <c r="AL77" s="12"/>
      <c r="AM77" s="10"/>
      <c r="AN77" s="12"/>
      <c r="AO77" s="5" t="str">
        <f t="shared" si="31"/>
        <v/>
      </c>
      <c r="AP77" s="11" t="str">
        <f t="shared" si="32"/>
        <v/>
      </c>
      <c r="AQ77" s="5" t="str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/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$88)&gt;账户数据!$B$7,"违规：超过账户风险上限","通过")))))))))</f>
        <v/>
      </c>
    </row>
    <row r="78" ht="17" spans="1:44">
      <c r="A78" s="2"/>
      <c r="B78" s="2"/>
      <c r="C78" s="10"/>
      <c r="D78" s="6"/>
      <c r="E78" s="10"/>
      <c r="F78" s="8" t="str">
        <f t="shared" si="22"/>
        <v/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5" t="str">
        <f>IF(A78="","",IFERROR(LOOKUP(2,1/((持仓跟踪!$B$2:$B$157=A78)*(持仓跟踪!$X$2:$X$157="执行卖出")*(持仓跟踪!$Y$2:$Y$157&lt;&gt;"")),持仓跟踪!$Y$2:$Y$157),""))</f>
        <v/>
      </c>
      <c r="L78" s="8" t="str">
        <f>IF(A78="","",IFERROR(LOOKUP(2,1/((持仓跟踪!$B$2:$B$157=A78)*(持仓跟踪!$X$2:$X$157="执行卖出")*(持仓跟踪!$Z$2:$Z$157&lt;&gt;"")),持仓跟踪!$Z$2:$Z$157),""))</f>
        <v/>
      </c>
      <c r="M78" s="18" t="str">
        <f>IF(A78="","",IFERROR(LOOKUP(2,1/((持仓跟踪!$B$2:$B$157=A78)*(持仓跟踪!$X$2:$X$157="执行卖出")*(持仓跟踪!$H$2:$H$157&lt;&gt;"")),持仓跟踪!$H$2:$H$157),""))</f>
        <v/>
      </c>
      <c r="N78" s="10"/>
      <c r="O78" s="10"/>
      <c r="P78" s="5" t="str">
        <f>IF(A78="","",IFERROR(LOOKUP(2,1/((持仓跟踪!$B$2:$B$157=A78)*(持仓跟踪!$X$2:$X$157="执行卖出")*(持仓跟踪!$AA$2:$AA$157&lt;&gt;"")),持仓跟踪!$AA$2:$AA$157),""))</f>
        <v/>
      </c>
      <c r="Q78" s="2"/>
      <c r="R78" s="2"/>
      <c r="S78" s="2"/>
      <c r="T78" s="2"/>
      <c r="U78" s="7" t="str">
        <f t="shared" si="23"/>
        <v/>
      </c>
      <c r="V78" s="7" t="str">
        <f t="shared" si="24"/>
        <v/>
      </c>
      <c r="W78" s="19" t="str">
        <f t="shared" si="25"/>
        <v/>
      </c>
      <c r="X78" s="5" t="str">
        <f t="shared" si="26"/>
        <v/>
      </c>
      <c r="Y78" s="7" t="str">
        <f t="shared" si="27"/>
        <v/>
      </c>
      <c r="Z78" s="7" t="str">
        <f>IF(OR(AE78="",多次统计数据!$B$8=""),"",AE78-多次统计数据!$B$8)</f>
        <v/>
      </c>
      <c r="AA78" s="11" t="str">
        <f t="shared" si="28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29"/>
        <v/>
      </c>
      <c r="AG78" s="2"/>
      <c r="AH78" s="2"/>
      <c r="AI78" s="2"/>
      <c r="AJ78" s="8" t="str">
        <f t="shared" si="30"/>
        <v/>
      </c>
      <c r="AK78" s="10"/>
      <c r="AL78" s="12"/>
      <c r="AM78" s="10"/>
      <c r="AN78" s="12"/>
      <c r="AO78" s="5" t="str">
        <f t="shared" si="31"/>
        <v/>
      </c>
      <c r="AP78" s="11" t="str">
        <f t="shared" si="32"/>
        <v/>
      </c>
      <c r="AQ78" s="5" t="str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/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$88)&gt;账户数据!$B$7,"违规：超过账户风险上限","通过")))))))))</f>
        <v/>
      </c>
    </row>
    <row r="79" ht="17" spans="1:44">
      <c r="A79" s="2"/>
      <c r="B79" s="2"/>
      <c r="C79" s="10"/>
      <c r="D79" s="6"/>
      <c r="E79" s="10"/>
      <c r="F79" s="8" t="str">
        <f t="shared" si="22"/>
        <v/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5" t="str">
        <f>IF(A79="","",IFERROR(LOOKUP(2,1/((持仓跟踪!$B$2:$B$157=A79)*(持仓跟踪!$X$2:$X$157="执行卖出")*(持仓跟踪!$Y$2:$Y$157&lt;&gt;"")),持仓跟踪!$Y$2:$Y$157),""))</f>
        <v/>
      </c>
      <c r="L79" s="8" t="str">
        <f>IF(A79="","",IFERROR(LOOKUP(2,1/((持仓跟踪!$B$2:$B$157=A79)*(持仓跟踪!$X$2:$X$157="执行卖出")*(持仓跟踪!$Z$2:$Z$157&lt;&gt;"")),持仓跟踪!$Z$2:$Z$157),""))</f>
        <v/>
      </c>
      <c r="M79" s="18" t="str">
        <f>IF(A79="","",IFERROR(LOOKUP(2,1/((持仓跟踪!$B$2:$B$157=A79)*(持仓跟踪!$X$2:$X$157="执行卖出")*(持仓跟踪!$H$2:$H$157&lt;&gt;"")),持仓跟踪!$H$2:$H$157),""))</f>
        <v/>
      </c>
      <c r="N79" s="10"/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 t="str">
        <f t="shared" si="23"/>
        <v/>
      </c>
      <c r="V79" s="7" t="str">
        <f t="shared" si="24"/>
        <v/>
      </c>
      <c r="W79" s="19" t="str">
        <f t="shared" si="25"/>
        <v/>
      </c>
      <c r="X79" s="5" t="str">
        <f t="shared" si="26"/>
        <v/>
      </c>
      <c r="Y79" s="7" t="str">
        <f t="shared" si="27"/>
        <v/>
      </c>
      <c r="Z79" s="7" t="str">
        <f>IF(OR(AE79="",多次统计数据!$B$8=""),"",AE79-多次统计数据!$B$8)</f>
        <v/>
      </c>
      <c r="AA79" s="11" t="str">
        <f t="shared" si="28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29"/>
        <v/>
      </c>
      <c r="AG79" s="2"/>
      <c r="AH79" s="2"/>
      <c r="AI79" s="2"/>
      <c r="AJ79" s="8" t="str">
        <f t="shared" si="30"/>
        <v/>
      </c>
      <c r="AK79" s="10"/>
      <c r="AL79" s="12"/>
      <c r="AM79" s="10"/>
      <c r="AN79" s="12"/>
      <c r="AO79" s="5" t="str">
        <f t="shared" si="31"/>
        <v/>
      </c>
      <c r="AP79" s="11" t="str">
        <f t="shared" si="32"/>
        <v/>
      </c>
      <c r="AQ79" s="5" t="str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/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$88)&gt;账户数据!$B$7,"违规：超过账户风险上限","通过")))))))))</f>
        <v/>
      </c>
    </row>
    <row r="80" ht="17" spans="1:44">
      <c r="A80" s="2"/>
      <c r="B80" s="2"/>
      <c r="C80" s="10"/>
      <c r="D80" s="6"/>
      <c r="E80" s="10"/>
      <c r="F80" s="8" t="str">
        <f t="shared" si="22"/>
        <v/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5" t="str">
        <f>IF(A80="","",IFERROR(LOOKUP(2,1/((持仓跟踪!$B$2:$B$157=A80)*(持仓跟踪!$X$2:$X$157="执行卖出")*(持仓跟踪!$Y$2:$Y$157&lt;&gt;"")),持仓跟踪!$Y$2:$Y$157),""))</f>
        <v/>
      </c>
      <c r="L80" s="8" t="str">
        <f>IF(A80="","",IFERROR(LOOKUP(2,1/((持仓跟踪!$B$2:$B$157=A80)*(持仓跟踪!$X$2:$X$157="执行卖出")*(持仓跟踪!$Z$2:$Z$157&lt;&gt;"")),持仓跟踪!$Z$2:$Z$157),""))</f>
        <v/>
      </c>
      <c r="M80" s="18" t="str">
        <f>IF(A80="","",IFERROR(LOOKUP(2,1/((持仓跟踪!$B$2:$B$157=A80)*(持仓跟踪!$X$2:$X$157="执行卖出")*(持仓跟踪!$H$2:$H$157&lt;&gt;"")),持仓跟踪!$H$2:$H$157),""))</f>
        <v/>
      </c>
      <c r="N80" s="10"/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 t="str">
        <f t="shared" si="23"/>
        <v/>
      </c>
      <c r="V80" s="7" t="str">
        <f t="shared" si="24"/>
        <v/>
      </c>
      <c r="W80" s="19" t="str">
        <f t="shared" si="25"/>
        <v/>
      </c>
      <c r="X80" s="5" t="str">
        <f t="shared" si="26"/>
        <v/>
      </c>
      <c r="Y80" s="7" t="str">
        <f t="shared" si="27"/>
        <v/>
      </c>
      <c r="Z80" s="7" t="str">
        <f>IF(OR(AE80="",多次统计数据!$B$8=""),"",AE80-多次统计数据!$B$8)</f>
        <v/>
      </c>
      <c r="AA80" s="11" t="str">
        <f t="shared" si="28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29"/>
        <v/>
      </c>
      <c r="AG80" s="2"/>
      <c r="AH80" s="2"/>
      <c r="AI80" s="2"/>
      <c r="AJ80" s="8" t="str">
        <f t="shared" si="30"/>
        <v/>
      </c>
      <c r="AK80" s="10"/>
      <c r="AL80" s="12"/>
      <c r="AM80" s="10"/>
      <c r="AN80" s="12"/>
      <c r="AO80" s="5" t="str">
        <f t="shared" si="31"/>
        <v/>
      </c>
      <c r="AP80" s="11" t="str">
        <f t="shared" si="32"/>
        <v/>
      </c>
      <c r="AQ80" s="5" t="str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/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$88)&gt;账户数据!$B$7,"违规：超过账户风险上限","通过")))))))))</f>
        <v/>
      </c>
    </row>
    <row r="81" ht="17" spans="1:44">
      <c r="A81" s="2"/>
      <c r="B81" s="2"/>
      <c r="C81" s="10"/>
      <c r="D81" s="6"/>
      <c r="E81" s="10"/>
      <c r="F81" s="8" t="str">
        <f t="shared" ref="F81:F88" si="33">IF(OR(C81="",D81="",E81="",N81="",C81&lt;=0,D81&lt;=0,E81&lt;=N81),"",ROUNDDOWN((C81*D81)/(E81-N81)/100,0)*100)</f>
        <v/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5" t="str">
        <f>IF(A81="","",IFERROR(LOOKUP(2,1/((持仓跟踪!$B$2:$B$157=A81)*(持仓跟踪!$X$2:$X$157="执行卖出")*(持仓跟踪!$Y$2:$Y$157&lt;&gt;"")),持仓跟踪!$Y$2:$Y$157),""))</f>
        <v/>
      </c>
      <c r="L81" s="8" t="str">
        <f>IF(A81="","",IFERROR(LOOKUP(2,1/((持仓跟踪!$B$2:$B$157=A81)*(持仓跟踪!$X$2:$X$157="执行卖出")*(持仓跟踪!$Z$2:$Z$157&lt;&gt;"")),持仓跟踪!$Z$2:$Z$157),""))</f>
        <v/>
      </c>
      <c r="M81" s="18" t="str">
        <f>IF(A81="","",IFERROR(LOOKUP(2,1/((持仓跟踪!$B$2:$B$157=A81)*(持仓跟踪!$X$2:$X$157="执行卖出")*(持仓跟踪!$H$2:$H$157&lt;&gt;"")),持仓跟踪!$H$2:$H$157),""))</f>
        <v/>
      </c>
      <c r="N81" s="10"/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 t="str">
        <f t="shared" ref="U81:U88" si="34">IF(OR(AO81="",J81="",AO81&lt;=0),"",(J81-AO81)/AO81)</f>
        <v/>
      </c>
      <c r="V81" s="7" t="str">
        <f t="shared" ref="V81:V88" si="35">IF(OR(AO81="",N81="",AO81&lt;=0),"",(AO81-N81)/AO81)</f>
        <v/>
      </c>
      <c r="W81" s="19" t="str">
        <f t="shared" ref="W81:W88" si="36">IF(OR(U81="",V81="",V81&lt;=0),"",U81/V81)</f>
        <v/>
      </c>
      <c r="X81" s="5" t="str">
        <f t="shared" ref="X81:X88" si="37">IF(OR(K81="",L81="",AP81=""),"",K81*L81-(E81*H81+IF(AND(AK81&lt;&gt;"",AL81&lt;&gt;""),AK81*AL81,0)+IF(AND(AM81&lt;&gt;"",AN81&lt;&gt;""),AM81*AN81,0))-IF(O81="",0,O81)-IF(P81="",0,P81))</f>
        <v/>
      </c>
      <c r="Y81" s="7" t="str">
        <f t="shared" ref="Y81:Y88" si="38"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 t="shared" ref="AA81:AA88" si="39"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ref="AE81:AE88" si="40">IF(OR(X81="",C81="",C81&lt;=0),"",X81/C81)</f>
        <v/>
      </c>
      <c r="AG81" s="2"/>
      <c r="AH81" s="2"/>
      <c r="AI81" s="2"/>
      <c r="AJ81" s="8" t="str">
        <f t="shared" ref="AJ81:AJ88" si="41"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 t="shared" ref="AO81:AO88" si="42">IF(OR(A81="",H81="",H81&lt;=0),"",(E81*H81+IF(AND(AK81&lt;&gt;"",AL81&lt;&gt;""),AK81*AL81,0)+IF(AND(AM81&lt;&gt;"",AN81&lt;&gt;""),AM81*AN81,0))/AP81)</f>
        <v/>
      </c>
      <c r="AP81" s="11" t="str">
        <f t="shared" ref="AP81:AP88" si="43">IF(OR(A81="",H81="",H81&lt;=0),"",H81+IF(AL81="",0,AL81)+IF(AN81="",0,AN81))</f>
        <v/>
      </c>
      <c r="AQ81" s="5" t="str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/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$88)&gt;账户数据!$B$7,"违规：超过账户风险上限","通过")))))))))</f>
        <v/>
      </c>
    </row>
    <row r="82" ht="17" spans="1:44">
      <c r="A82" s="2"/>
      <c r="B82" s="2"/>
      <c r="C82" s="10"/>
      <c r="D82" s="6"/>
      <c r="E82" s="10"/>
      <c r="F82" s="8" t="str">
        <f t="shared" si="33"/>
        <v/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5" t="str">
        <f>IF(A82="","",IFERROR(LOOKUP(2,1/((持仓跟踪!$B$2:$B$157=A82)*(持仓跟踪!$X$2:$X$157="执行卖出")*(持仓跟踪!$Y$2:$Y$157&lt;&gt;"")),持仓跟踪!$Y$2:$Y$157),""))</f>
        <v/>
      </c>
      <c r="L82" s="8" t="str">
        <f>IF(A82="","",IFERROR(LOOKUP(2,1/((持仓跟踪!$B$2:$B$157=A82)*(持仓跟踪!$X$2:$X$157="执行卖出")*(持仓跟踪!$Z$2:$Z$157&lt;&gt;"")),持仓跟踪!$Z$2:$Z$157),""))</f>
        <v/>
      </c>
      <c r="M82" s="18" t="str">
        <f>IF(A82="","",IFERROR(LOOKUP(2,1/((持仓跟踪!$B$2:$B$157=A82)*(持仓跟踪!$X$2:$X$157="执行卖出")*(持仓跟踪!$H$2:$H$157&lt;&gt;"")),持仓跟踪!$H$2:$H$157),""))</f>
        <v/>
      </c>
      <c r="N82" s="10"/>
      <c r="O82" s="10"/>
      <c r="P82" s="5" t="str">
        <f>IF(A82="","",IFERROR(LOOKUP(2,1/((持仓跟踪!$B$2:$B$157=A82)*(持仓跟踪!$X$2:$X$157="执行卖出")*(持仓跟踪!$AA$2:$AA$157&lt;&gt;"")),持仓跟踪!$AA$2:$AA$157),""))</f>
        <v/>
      </c>
      <c r="Q82" s="2"/>
      <c r="R82" s="2"/>
      <c r="S82" s="2"/>
      <c r="T82" s="2"/>
      <c r="U82" s="7" t="str">
        <f t="shared" si="34"/>
        <v/>
      </c>
      <c r="V82" s="7" t="str">
        <f t="shared" si="35"/>
        <v/>
      </c>
      <c r="W82" s="19" t="str">
        <f t="shared" si="36"/>
        <v/>
      </c>
      <c r="X82" s="5" t="str">
        <f t="shared" si="37"/>
        <v/>
      </c>
      <c r="Y82" s="7" t="str">
        <f t="shared" si="38"/>
        <v/>
      </c>
      <c r="Z82" s="7" t="str">
        <f>IF(OR(AE82="",多次统计数据!$B$8=""),"",AE82-多次统计数据!$B$8)</f>
        <v/>
      </c>
      <c r="AA82" s="11" t="str">
        <f t="shared" si="39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40"/>
        <v/>
      </c>
      <c r="AG82" s="2"/>
      <c r="AH82" s="2"/>
      <c r="AI82" s="2"/>
      <c r="AJ82" s="8" t="str">
        <f t="shared" si="41"/>
        <v/>
      </c>
      <c r="AK82" s="10"/>
      <c r="AL82" s="12"/>
      <c r="AM82" s="10"/>
      <c r="AN82" s="12"/>
      <c r="AO82" s="5" t="str">
        <f t="shared" si="42"/>
        <v/>
      </c>
      <c r="AP82" s="11" t="str">
        <f t="shared" si="43"/>
        <v/>
      </c>
      <c r="AQ82" s="5" t="str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/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$88)&gt;账户数据!$B$7,"违规：超过账户风险上限","通过")))))))))</f>
        <v/>
      </c>
    </row>
    <row r="83" ht="17" spans="1:44">
      <c r="A83" s="2"/>
      <c r="B83" s="2"/>
      <c r="C83" s="10"/>
      <c r="D83" s="6"/>
      <c r="E83" s="10"/>
      <c r="F83" s="8" t="str">
        <f t="shared" si="33"/>
        <v/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5" t="str">
        <f>IF(A83="","",IFERROR(LOOKUP(2,1/((持仓跟踪!$B$2:$B$157=A83)*(持仓跟踪!$X$2:$X$157="执行卖出")*(持仓跟踪!$Y$2:$Y$157&lt;&gt;"")),持仓跟踪!$Y$2:$Y$157),""))</f>
        <v/>
      </c>
      <c r="L83" s="8" t="str">
        <f>IF(A83="","",IFERROR(LOOKUP(2,1/((持仓跟踪!$B$2:$B$157=A83)*(持仓跟踪!$X$2:$X$157="执行卖出")*(持仓跟踪!$Z$2:$Z$157&lt;&gt;"")),持仓跟踪!$Z$2:$Z$157),""))</f>
        <v/>
      </c>
      <c r="M83" s="18" t="str">
        <f>IF(A83="","",IFERROR(LOOKUP(2,1/((持仓跟踪!$B$2:$B$157=A83)*(持仓跟踪!$X$2:$X$157="执行卖出")*(持仓跟踪!$H$2:$H$157&lt;&gt;"")),持仓跟踪!$H$2:$H$157),""))</f>
        <v/>
      </c>
      <c r="N83" s="10"/>
      <c r="O83" s="10"/>
      <c r="P83" s="5" t="str">
        <f>IF(A83="","",IFERROR(LOOKUP(2,1/((持仓跟踪!$B$2:$B$157=A83)*(持仓跟踪!$X$2:$X$157="执行卖出")*(持仓跟踪!$AA$2:$AA$157&lt;&gt;"")),持仓跟踪!$AA$2:$AA$157),""))</f>
        <v/>
      </c>
      <c r="Q83" s="2"/>
      <c r="R83" s="2"/>
      <c r="S83" s="2"/>
      <c r="T83" s="2"/>
      <c r="U83" s="7" t="str">
        <f t="shared" si="34"/>
        <v/>
      </c>
      <c r="V83" s="7" t="str">
        <f t="shared" si="35"/>
        <v/>
      </c>
      <c r="W83" s="19" t="str">
        <f t="shared" si="36"/>
        <v/>
      </c>
      <c r="X83" s="5" t="str">
        <f t="shared" si="37"/>
        <v/>
      </c>
      <c r="Y83" s="7" t="str">
        <f t="shared" si="38"/>
        <v/>
      </c>
      <c r="Z83" s="7" t="str">
        <f>IF(OR(AE83="",多次统计数据!$B$8=""),"",AE83-多次统计数据!$B$8)</f>
        <v/>
      </c>
      <c r="AA83" s="11" t="str">
        <f t="shared" si="39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40"/>
        <v/>
      </c>
      <c r="AG83" s="2"/>
      <c r="AH83" s="2"/>
      <c r="AI83" s="2"/>
      <c r="AJ83" s="8" t="str">
        <f t="shared" si="41"/>
        <v/>
      </c>
      <c r="AK83" s="10"/>
      <c r="AL83" s="12"/>
      <c r="AM83" s="10"/>
      <c r="AN83" s="12"/>
      <c r="AO83" s="5" t="str">
        <f t="shared" si="42"/>
        <v/>
      </c>
      <c r="AP83" s="11" t="str">
        <f t="shared" si="43"/>
        <v/>
      </c>
      <c r="AQ83" s="5" t="str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/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$88)&gt;账户数据!$B$7,"违规：超过账户风险上限","通过")))))))))</f>
        <v/>
      </c>
    </row>
    <row r="84" ht="17" spans="1:44">
      <c r="A84" s="2"/>
      <c r="B84" s="2"/>
      <c r="C84" s="10"/>
      <c r="D84" s="6"/>
      <c r="E84" s="10"/>
      <c r="F84" s="8" t="str">
        <f t="shared" si="33"/>
        <v/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5" t="str">
        <f>IF(A84="","",IFERROR(LOOKUP(2,1/((持仓跟踪!$B$2:$B$157=A84)*(持仓跟踪!$X$2:$X$157="执行卖出")*(持仓跟踪!$Y$2:$Y$157&lt;&gt;"")),持仓跟踪!$Y$2:$Y$157),""))</f>
        <v/>
      </c>
      <c r="L84" s="8" t="str">
        <f>IF(A84="","",IFERROR(LOOKUP(2,1/((持仓跟踪!$B$2:$B$157=A84)*(持仓跟踪!$X$2:$X$157="执行卖出")*(持仓跟踪!$Z$2:$Z$157&lt;&gt;"")),持仓跟踪!$Z$2:$Z$157),""))</f>
        <v/>
      </c>
      <c r="M84" s="18" t="str">
        <f>IF(A84="","",IFERROR(LOOKUP(2,1/((持仓跟踪!$B$2:$B$157=A84)*(持仓跟踪!$X$2:$X$157="执行卖出")*(持仓跟踪!$H$2:$H$157&lt;&gt;"")),持仓跟踪!$H$2:$H$157),""))</f>
        <v/>
      </c>
      <c r="N84" s="10"/>
      <c r="O84" s="10"/>
      <c r="P84" s="5" t="str">
        <f>IF(A84="","",IFERROR(LOOKUP(2,1/((持仓跟踪!$B$2:$B$157=A84)*(持仓跟踪!$X$2:$X$157="执行卖出")*(持仓跟踪!$AA$2:$AA$157&lt;&gt;"")),持仓跟踪!$AA$2:$AA$157),""))</f>
        <v/>
      </c>
      <c r="Q84" s="2"/>
      <c r="R84" s="2"/>
      <c r="S84" s="2"/>
      <c r="T84" s="2"/>
      <c r="U84" s="7" t="str">
        <f t="shared" si="34"/>
        <v/>
      </c>
      <c r="V84" s="7" t="str">
        <f t="shared" si="35"/>
        <v/>
      </c>
      <c r="W84" s="19" t="str">
        <f t="shared" si="36"/>
        <v/>
      </c>
      <c r="X84" s="5" t="str">
        <f t="shared" si="37"/>
        <v/>
      </c>
      <c r="Y84" s="7" t="str">
        <f t="shared" si="38"/>
        <v/>
      </c>
      <c r="Z84" s="7" t="str">
        <f>IF(OR(AE84="",多次统计数据!$B$8=""),"",AE84-多次统计数据!$B$8)</f>
        <v/>
      </c>
      <c r="AA84" s="11" t="str">
        <f t="shared" si="39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40"/>
        <v/>
      </c>
      <c r="AG84" s="2"/>
      <c r="AH84" s="2"/>
      <c r="AI84" s="2"/>
      <c r="AJ84" s="8" t="str">
        <f t="shared" si="41"/>
        <v/>
      </c>
      <c r="AK84" s="10"/>
      <c r="AL84" s="12"/>
      <c r="AM84" s="10"/>
      <c r="AN84" s="12"/>
      <c r="AO84" s="5" t="str">
        <f t="shared" si="42"/>
        <v/>
      </c>
      <c r="AP84" s="11" t="str">
        <f t="shared" si="43"/>
        <v/>
      </c>
      <c r="AQ84" s="5" t="str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/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$88)&gt;账户数据!$B$7,"违规：超过账户风险上限","通过")))))))))</f>
        <v/>
      </c>
    </row>
    <row r="85" ht="17" spans="1:44">
      <c r="A85" s="2"/>
      <c r="B85" s="2"/>
      <c r="C85" s="10"/>
      <c r="D85" s="6"/>
      <c r="E85" s="10"/>
      <c r="F85" s="8" t="str">
        <f t="shared" si="33"/>
        <v/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5" t="str">
        <f>IF(A85="","",IFERROR(LOOKUP(2,1/((持仓跟踪!$B$2:$B$157=A85)*(持仓跟踪!$X$2:$X$157="执行卖出")*(持仓跟踪!$Y$2:$Y$157&lt;&gt;"")),持仓跟踪!$Y$2:$Y$157),""))</f>
        <v/>
      </c>
      <c r="L85" s="8" t="str">
        <f>IF(A85="","",IFERROR(LOOKUP(2,1/((持仓跟踪!$B$2:$B$157=A85)*(持仓跟踪!$X$2:$X$157="执行卖出")*(持仓跟踪!$Z$2:$Z$157&lt;&gt;"")),持仓跟踪!$Z$2:$Z$157),""))</f>
        <v/>
      </c>
      <c r="M85" s="18" t="str">
        <f>IF(A85="","",IFERROR(LOOKUP(2,1/((持仓跟踪!$B$2:$B$157=A85)*(持仓跟踪!$X$2:$X$157="执行卖出")*(持仓跟踪!$H$2:$H$157&lt;&gt;"")),持仓跟踪!$H$2:$H$157),""))</f>
        <v/>
      </c>
      <c r="N85" s="10"/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 t="str">
        <f t="shared" si="34"/>
        <v/>
      </c>
      <c r="V85" s="7" t="str">
        <f t="shared" si="35"/>
        <v/>
      </c>
      <c r="W85" s="19" t="str">
        <f t="shared" si="36"/>
        <v/>
      </c>
      <c r="X85" s="5" t="str">
        <f t="shared" si="37"/>
        <v/>
      </c>
      <c r="Y85" s="7" t="str">
        <f t="shared" si="38"/>
        <v/>
      </c>
      <c r="Z85" s="7" t="str">
        <f>IF(OR(AE85="",多次统计数据!$B$8=""),"",AE85-多次统计数据!$B$8)</f>
        <v/>
      </c>
      <c r="AA85" s="11" t="str">
        <f t="shared" si="39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40"/>
        <v/>
      </c>
      <c r="AG85" s="2"/>
      <c r="AH85" s="2"/>
      <c r="AI85" s="2"/>
      <c r="AJ85" s="8" t="str">
        <f t="shared" si="41"/>
        <v/>
      </c>
      <c r="AK85" s="10"/>
      <c r="AL85" s="12"/>
      <c r="AM85" s="10"/>
      <c r="AN85" s="12"/>
      <c r="AO85" s="5" t="str">
        <f t="shared" si="42"/>
        <v/>
      </c>
      <c r="AP85" s="11" t="str">
        <f t="shared" si="43"/>
        <v/>
      </c>
      <c r="AQ85" s="5" t="str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/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$88)&gt;账户数据!$B$7,"违规：超过账户风险上限","通过")))))))))</f>
        <v/>
      </c>
    </row>
    <row r="86" ht="17" spans="1:44">
      <c r="A86" s="2"/>
      <c r="B86" s="2"/>
      <c r="C86" s="10"/>
      <c r="D86" s="6"/>
      <c r="E86" s="10"/>
      <c r="F86" s="8" t="str">
        <f t="shared" si="33"/>
        <v/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5" t="str">
        <f>IF(A86="","",IFERROR(LOOKUP(2,1/((持仓跟踪!$B$2:$B$157=A86)*(持仓跟踪!$X$2:$X$157="执行卖出")*(持仓跟踪!$Y$2:$Y$157&lt;&gt;"")),持仓跟踪!$Y$2:$Y$157),""))</f>
        <v/>
      </c>
      <c r="L86" s="8" t="str">
        <f>IF(A86="","",IFERROR(LOOKUP(2,1/((持仓跟踪!$B$2:$B$157=A86)*(持仓跟踪!$X$2:$X$157="执行卖出")*(持仓跟踪!$Z$2:$Z$157&lt;&gt;"")),持仓跟踪!$Z$2:$Z$157),""))</f>
        <v/>
      </c>
      <c r="M86" s="18" t="str">
        <f>IF(A86="","",IFERROR(LOOKUP(2,1/((持仓跟踪!$B$2:$B$157=A86)*(持仓跟踪!$X$2:$X$157="执行卖出")*(持仓跟踪!$H$2:$H$157&lt;&gt;"")),持仓跟踪!$H$2:$H$157),""))</f>
        <v/>
      </c>
      <c r="N86" s="10"/>
      <c r="O86" s="10"/>
      <c r="P86" s="5" t="str">
        <f>IF(A86="","",IFERROR(LOOKUP(2,1/((持仓跟踪!$B$2:$B$157=A86)*(持仓跟踪!$X$2:$X$157="执行卖出")*(持仓跟踪!$AA$2:$AA$157&lt;&gt;"")),持仓跟踪!$AA$2:$AA$157),""))</f>
        <v/>
      </c>
      <c r="Q86" s="2"/>
      <c r="R86" s="2"/>
      <c r="S86" s="2"/>
      <c r="T86" s="2"/>
      <c r="U86" s="7" t="str">
        <f t="shared" si="34"/>
        <v/>
      </c>
      <c r="V86" s="7" t="str">
        <f t="shared" si="35"/>
        <v/>
      </c>
      <c r="W86" s="19" t="str">
        <f t="shared" si="36"/>
        <v/>
      </c>
      <c r="X86" s="5" t="str">
        <f t="shared" si="37"/>
        <v/>
      </c>
      <c r="Y86" s="7" t="str">
        <f t="shared" si="38"/>
        <v/>
      </c>
      <c r="Z86" s="7" t="str">
        <f>IF(OR(AE86="",多次统计数据!$B$8=""),"",AE86-多次统计数据!$B$8)</f>
        <v/>
      </c>
      <c r="AA86" s="11" t="str">
        <f t="shared" si="39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40"/>
        <v/>
      </c>
      <c r="AG86" s="2"/>
      <c r="AH86" s="2"/>
      <c r="AI86" s="2"/>
      <c r="AJ86" s="8" t="str">
        <f t="shared" si="41"/>
        <v/>
      </c>
      <c r="AK86" s="10"/>
      <c r="AL86" s="12"/>
      <c r="AM86" s="10"/>
      <c r="AN86" s="12"/>
      <c r="AO86" s="5" t="str">
        <f t="shared" si="42"/>
        <v/>
      </c>
      <c r="AP86" s="11" t="str">
        <f t="shared" si="43"/>
        <v/>
      </c>
      <c r="AQ86" s="5" t="str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/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$88)&gt;账户数据!$B$7,"违规：超过账户风险上限","通过")))))))))</f>
        <v/>
      </c>
    </row>
    <row r="87" ht="17" spans="1:44">
      <c r="A87" s="2"/>
      <c r="B87" s="2"/>
      <c r="C87" s="10"/>
      <c r="D87" s="6"/>
      <c r="E87" s="10"/>
      <c r="F87" s="8" t="str">
        <f t="shared" si="33"/>
        <v/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5" t="str">
        <f>IF(A87="","",IFERROR(LOOKUP(2,1/((持仓跟踪!$B$2:$B$157=A87)*(持仓跟踪!$X$2:$X$157="执行卖出")*(持仓跟踪!$Y$2:$Y$157&lt;&gt;"")),持仓跟踪!$Y$2:$Y$157),""))</f>
        <v/>
      </c>
      <c r="L87" s="8" t="str">
        <f>IF(A87="","",IFERROR(LOOKUP(2,1/((持仓跟踪!$B$2:$B$157=A87)*(持仓跟踪!$X$2:$X$157="执行卖出")*(持仓跟踪!$Z$2:$Z$157&lt;&gt;"")),持仓跟踪!$Z$2:$Z$157),""))</f>
        <v/>
      </c>
      <c r="M87" s="18" t="str">
        <f>IF(A87="","",IFERROR(LOOKUP(2,1/((持仓跟踪!$B$2:$B$157=A87)*(持仓跟踪!$X$2:$X$157="执行卖出")*(持仓跟踪!$H$2:$H$157&lt;&gt;"")),持仓跟踪!$H$2:$H$157),""))</f>
        <v/>
      </c>
      <c r="N87" s="10"/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 t="str">
        <f t="shared" si="34"/>
        <v/>
      </c>
      <c r="V87" s="7" t="str">
        <f t="shared" si="35"/>
        <v/>
      </c>
      <c r="W87" s="19" t="str">
        <f t="shared" si="36"/>
        <v/>
      </c>
      <c r="X87" s="5" t="str">
        <f t="shared" si="37"/>
        <v/>
      </c>
      <c r="Y87" s="7" t="str">
        <f t="shared" si="38"/>
        <v/>
      </c>
      <c r="Z87" s="7" t="str">
        <f>IF(OR(AE87="",多次统计数据!$B$8=""),"",AE87-多次统计数据!$B$8)</f>
        <v/>
      </c>
      <c r="AA87" s="11" t="str">
        <f t="shared" si="39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40"/>
        <v/>
      </c>
      <c r="AG87" s="2"/>
      <c r="AH87" s="2"/>
      <c r="AI87" s="2"/>
      <c r="AJ87" s="8" t="str">
        <f t="shared" si="41"/>
        <v/>
      </c>
      <c r="AK87" s="10"/>
      <c r="AL87" s="12"/>
      <c r="AM87" s="10"/>
      <c r="AN87" s="12"/>
      <c r="AO87" s="5" t="str">
        <f t="shared" si="42"/>
        <v/>
      </c>
      <c r="AP87" s="11" t="str">
        <f t="shared" si="43"/>
        <v/>
      </c>
      <c r="AQ87" s="5" t="str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/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$88)&gt;账户数据!$B$7,"违规：超过账户风险上限","通过")))))))))</f>
        <v/>
      </c>
    </row>
    <row r="88" ht="17" spans="1:44">
      <c r="A88" s="2"/>
      <c r="B88" s="2"/>
      <c r="C88" s="10"/>
      <c r="D88" s="6"/>
      <c r="E88" s="10"/>
      <c r="F88" s="8" t="str">
        <f t="shared" si="33"/>
        <v/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5" t="str">
        <f>IF(A88="","",IFERROR(LOOKUP(2,1/((持仓跟踪!$B$2:$B$157=A88)*(持仓跟踪!$X$2:$X$157="执行卖出")*(持仓跟踪!$Y$2:$Y$157&lt;&gt;"")),持仓跟踪!$Y$2:$Y$157),""))</f>
        <v/>
      </c>
      <c r="L88" s="8" t="str">
        <f>IF(A88="","",IFERROR(LOOKUP(2,1/((持仓跟踪!$B$2:$B$157=A88)*(持仓跟踪!$X$2:$X$157="执行卖出")*(持仓跟踪!$Z$2:$Z$157&lt;&gt;"")),持仓跟踪!$Z$2:$Z$157),""))</f>
        <v/>
      </c>
      <c r="M88" s="18" t="str">
        <f>IF(A88="","",IFERROR(LOOKUP(2,1/((持仓跟踪!$B$2:$B$157=A88)*(持仓跟踪!$X$2:$X$157="执行卖出")*(持仓跟踪!$H$2:$H$157&lt;&gt;"")),持仓跟踪!$H$2:$H$157),""))</f>
        <v/>
      </c>
      <c r="N88" s="10"/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 t="str">
        <f t="shared" si="34"/>
        <v/>
      </c>
      <c r="V88" s="7" t="str">
        <f t="shared" si="35"/>
        <v/>
      </c>
      <c r="W88" s="19" t="str">
        <f t="shared" si="36"/>
        <v/>
      </c>
      <c r="X88" s="5" t="str">
        <f t="shared" si="37"/>
        <v/>
      </c>
      <c r="Y88" s="7" t="str">
        <f t="shared" si="38"/>
        <v/>
      </c>
      <c r="Z88" s="7" t="str">
        <f>IF(OR(AE88="",多次统计数据!$B$8=""),"",AE88-多次统计数据!$B$8)</f>
        <v/>
      </c>
      <c r="AA88" s="11" t="str">
        <f t="shared" si="39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40"/>
        <v/>
      </c>
      <c r="AG88" s="2"/>
      <c r="AH88" s="2"/>
      <c r="AI88" s="2"/>
      <c r="AJ88" s="8" t="str">
        <f t="shared" si="41"/>
        <v/>
      </c>
      <c r="AK88" s="10"/>
      <c r="AL88" s="12"/>
      <c r="AM88" s="10"/>
      <c r="AN88" s="12"/>
      <c r="AO88" s="5" t="str">
        <f t="shared" si="42"/>
        <v/>
      </c>
      <c r="AP88" s="11" t="str">
        <f t="shared" si="43"/>
        <v/>
      </c>
      <c r="AQ88" s="5" t="str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/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$88)&gt;账户数据!$B$7,"违规：超过账户风险上限","通过")))))))))</f>
        <v/>
      </c>
    </row>
  </sheetData>
  <conditionalFormatting sqref="G2:G88">
    <cfRule type="expression" dxfId="0" priority="10">
      <formula>$G2="禁止开仓"</formula>
    </cfRule>
    <cfRule type="expression" dxfId="1" priority="11">
      <formula>$G2="允许开仓"</formula>
    </cfRule>
    <cfRule type="expression" dxfId="0" priority="12">
      <formula>LEFT($G2,4)="禁止开仓"</formula>
    </cfRule>
    <cfRule type="expression" dxfId="2" priority="13">
      <formula>$G2="允许开仓（接近锁仓）"</formula>
    </cfRule>
    <cfRule type="expression" dxfId="1" priority="14">
      <formula>$G2="允许开仓"</formula>
    </cfRule>
  </conditionalFormatting>
  <conditionalFormatting sqref="W2:W88">
    <cfRule type="cellIs" dxfId="2" priority="3" operator="lessThan">
      <formula>2</formula>
    </cfRule>
  </conditionalFormatting>
  <conditionalFormatting sqref="AC2:AC88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J2:AJ88">
    <cfRule type="expression" dxfId="2" priority="15">
      <formula>$AJ2="周期与交易预期不匹配，请重新确认"</formula>
    </cfRule>
    <cfRule type="expression" dxfId="1" priority="16">
      <formula>$AJ2="匹配"</formula>
    </cfRule>
  </conditionalFormatting>
  <conditionalFormatting sqref="AR2:AR88">
    <cfRule type="expression" dxfId="0" priority="17">
      <formula>LEFT($AR2,2)="违规"</formula>
    </cfRule>
    <cfRule type="expression" dxfId="1" priority="18">
      <formula>$AR2="通过"</formula>
    </cfRule>
  </conditionalFormatting>
  <conditionalFormatting sqref="X2:Y88 AE2:AE88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4">
    <dataValidation type="decimal" operator="greaterThan" allowBlank="1" sqref="C2:C88 E2:E88 N2:N88 J2:K88">
      <formula1>0</formula1>
    </dataValidation>
    <dataValidation type="decimal" operator="between" allowBlank="1" sqref="D2:D88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88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$88)&lt;=_AccountRiskLimit))</formula1>
    </dataValidation>
    <dataValidation type="date" operator="between" allowBlank="1" sqref="I2:I88">
      <formula1>DATE(2000,1,1)</formula1>
      <formula2>DATE(2100,12,31)</formula2>
    </dataValidation>
    <dataValidation type="custom" allowBlank="1" sqref="L2:L88">
      <formula1>OR(L2="",L2=H2)</formula1>
    </dataValidation>
    <dataValidation type="custom" allowBlank="1" sqref="M2:M88">
      <formula1>OR(M2="",AND(ISNUMBER(M2),M2&gt;=I2))</formula1>
    </dataValidation>
    <dataValidation type="list" allowBlank="1" sqref="AD2:AD88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88">
      <formula1>"短期博反弹,突破冲新高,趋势波段"</formula1>
    </dataValidation>
    <dataValidation type="list" allowBlank="1" showErrorMessage="1" errorTitle="预期持有周期无效" error="请从预设的交易日范围中选择" sqref="AH2:AH88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88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88">
      <formula1>OR(AL2="",AND(AK2&lt;&gt;"",ISNUMBER(AL2),AL2&gt;0,AL2=INT(AL2),MOD(AL2,100)=0,_LockStatus&lt;&gt;"已锁仓",_LockStatus&lt;&gt;"解锁信息不完整",AQ2&lt;=C2*D2,SUM($AQ$2:$AQ$88)&lt;=_AccountRiskLimit))</formula1>
    </dataValidation>
    <dataValidation type="custom" allowBlank="1" showErrorMessage="1" errorTitle="第三批买入价无效" error="请先完整填写第二批，再填写大于0的第三批价格" sqref="AM2:AM88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88">
      <formula1>OR(AN2="",AND(AK2&lt;&gt;"",AL2&lt;&gt;"",AM2&lt;&gt;"",ISNUMBER(AN2),AN2&gt;0,AN2=INT(AN2),MOD(AN2,100)=0,_LockStatus&lt;&gt;"已锁仓",_LockStatus&lt;&gt;"解锁信息不完整",AQ2&lt;=C2*D2,SUM($AQ$2:$AQ$88)&lt;=_AccountRiskLimit))</formula1>
    </dataValidation>
    <dataValidation type="decimal" operator="greaterThanOrEqual" allowBlank="1" sqref="O2:P88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7"/>
  <sheetViews>
    <sheetView showGridLines="0" workbookViewId="0">
      <pane xSplit="3" ySplit="1" topLeftCell="R5" activePane="bottomRight" state="frozen"/>
      <selection/>
      <selection pane="topRight"/>
      <selection pane="bottomLeft"/>
      <selection pane="bottomRight" activeCell="Y27" sqref="Y27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7" t="s">
        <v>64</v>
      </c>
      <c r="B1" s="17" t="s">
        <v>0</v>
      </c>
      <c r="C1" s="17" t="s">
        <v>1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7" t="s">
        <v>72</v>
      </c>
      <c r="L1" s="17" t="s">
        <v>73</v>
      </c>
      <c r="M1" s="17" t="s">
        <v>74</v>
      </c>
      <c r="N1" s="17" t="s">
        <v>75</v>
      </c>
      <c r="O1" s="17" t="s">
        <v>76</v>
      </c>
      <c r="P1" s="17" t="s">
        <v>77</v>
      </c>
      <c r="Q1" s="17" t="s">
        <v>78</v>
      </c>
      <c r="R1" s="17" t="s">
        <v>79</v>
      </c>
      <c r="S1" s="17" t="s">
        <v>80</v>
      </c>
      <c r="T1" s="17" t="s">
        <v>81</v>
      </c>
      <c r="U1" s="17" t="s">
        <v>82</v>
      </c>
      <c r="V1" s="17" t="s">
        <v>83</v>
      </c>
      <c r="W1" s="17" t="s">
        <v>84</v>
      </c>
      <c r="X1" s="17" t="s">
        <v>85</v>
      </c>
      <c r="Y1" s="17" t="s">
        <v>10</v>
      </c>
      <c r="Z1" s="17" t="s">
        <v>86</v>
      </c>
      <c r="AA1" s="17" t="s">
        <v>15</v>
      </c>
      <c r="AB1" s="17" t="s">
        <v>87</v>
      </c>
      <c r="AC1" s="17" t="s">
        <v>88</v>
      </c>
    </row>
    <row r="2" ht="17" spans="1:29">
      <c r="A2" s="2" t="s">
        <v>89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5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90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ht="17" spans="1:29">
      <c r="A3" s="2" t="s">
        <v>89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5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90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ht="17" spans="1:29">
      <c r="A4" s="2" t="s">
        <v>89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5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90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ht="17" spans="1:29">
      <c r="A5" s="2" t="s">
        <v>89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5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90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ht="17" spans="1:29">
      <c r="A6" s="2" t="s">
        <v>89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5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90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ht="17" spans="1:29">
      <c r="A7" s="2" t="s">
        <v>89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5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90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ht="17" spans="1:29">
      <c r="A8" s="2" t="s">
        <v>89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5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90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ht="17" spans="1:29">
      <c r="A9" s="2" t="s">
        <v>89</v>
      </c>
      <c r="B9" s="2">
        <v>8</v>
      </c>
      <c r="C9" s="8" t="str">
        <f>IF(B9="","",IFERROR(LOOKUP(2,1/(单次交易!$A$2:$A$88=B9),单次交易!$B$2:$B$88),""))</f>
        <v>节电风能</v>
      </c>
      <c r="D9" s="12"/>
      <c r="E9" s="10"/>
      <c r="F9" s="10"/>
      <c r="G9" s="2"/>
      <c r="H9" s="15">
        <v>44914</v>
      </c>
      <c r="I9" s="10">
        <v>3.47</v>
      </c>
      <c r="J9" s="12"/>
      <c r="K9" s="2"/>
      <c r="L9" s="2"/>
      <c r="M9" s="2"/>
      <c r="N9" s="5">
        <f>IF(B9="","",IFERROR(LOOKUP(2,1/(单次交易!$A$2:$A$88=B9),单次交易!$N$2:$N$88),""))</f>
        <v>3.5</v>
      </c>
      <c r="O9" s="5">
        <f t="shared" si="0"/>
        <v>3.47</v>
      </c>
      <c r="P9" s="11">
        <f t="shared" si="1"/>
        <v>0</v>
      </c>
      <c r="Q9" s="5">
        <f t="shared" si="2"/>
        <v>3.5</v>
      </c>
      <c r="R9" s="10"/>
      <c r="S9" s="5">
        <f t="shared" si="3"/>
        <v>3.5</v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>触发止损：应全部卖出</v>
      </c>
      <c r="X9" s="2" t="s">
        <v>90</v>
      </c>
      <c r="Y9" s="10">
        <v>3.47</v>
      </c>
      <c r="Z9" s="11">
        <f>IF(X9&lt;&gt;"执行卖出","",IFERROR(LOOKUP(2,1/(单次交易!$A$2:$A$88=B9),单次交易!$AP$2:$AP$88),""))</f>
        <v>6400</v>
      </c>
      <c r="AA9" s="10"/>
      <c r="AB9" s="8" t="str">
        <f t="shared" si="8"/>
        <v>待补充每日记录</v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>每日数据不完整</v>
      </c>
    </row>
    <row r="10" ht="17" spans="1:29">
      <c r="A10" s="2" t="s">
        <v>89</v>
      </c>
      <c r="B10" s="2">
        <v>9</v>
      </c>
      <c r="C10" s="8" t="str">
        <f>IF(B10="","",IFERROR(LOOKUP(2,1/(单次交易!$A$2:$A$88=B10),单次交易!$B$2:$B$88),""))</f>
        <v>节电风能</v>
      </c>
      <c r="D10" s="12"/>
      <c r="E10" s="10"/>
      <c r="F10" s="10"/>
      <c r="G10" s="2"/>
      <c r="H10" s="15">
        <v>45041</v>
      </c>
      <c r="I10" s="10">
        <v>3.46</v>
      </c>
      <c r="J10" s="12"/>
      <c r="K10" s="2"/>
      <c r="L10" s="2"/>
      <c r="M10" s="2"/>
      <c r="N10" s="5">
        <f>IF(B10="","",IFERROR(LOOKUP(2,1/(单次交易!$A$2:$A$88=B10),单次交易!$N$2:$N$88),""))</f>
        <v>3.5</v>
      </c>
      <c r="O10" s="5">
        <f t="shared" si="0"/>
        <v>3.46</v>
      </c>
      <c r="P10" s="11">
        <f t="shared" si="1"/>
        <v>0</v>
      </c>
      <c r="Q10" s="5">
        <f t="shared" si="2"/>
        <v>3.5</v>
      </c>
      <c r="R10" s="10"/>
      <c r="S10" s="5">
        <f t="shared" si="3"/>
        <v>3.5</v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>触发止损：应全部卖出</v>
      </c>
      <c r="X10" s="2" t="s">
        <v>90</v>
      </c>
      <c r="Y10" s="10">
        <v>3.46</v>
      </c>
      <c r="Z10" s="11">
        <f>IF(X10&lt;&gt;"执行卖出","",IFERROR(LOOKUP(2,1/(单次交易!$A$2:$A$88=B10),单次交易!$AP$2:$AP$88),""))</f>
        <v>11400</v>
      </c>
      <c r="AA10" s="10"/>
      <c r="AB10" s="8" t="str">
        <f t="shared" si="8"/>
        <v>待补充每日记录</v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>每日数据不完整</v>
      </c>
    </row>
    <row r="11" ht="17" spans="1:29">
      <c r="A11" s="2" t="s">
        <v>89</v>
      </c>
      <c r="B11" s="2">
        <v>10</v>
      </c>
      <c r="C11" s="8" t="str">
        <f>IF(B11="","",IFERROR(LOOKUP(2,1/(单次交易!$A$2:$A$88=B11),单次交易!$B$2:$B$88),""))</f>
        <v>节电风能</v>
      </c>
      <c r="D11" s="12"/>
      <c r="E11" s="10"/>
      <c r="F11" s="10"/>
      <c r="G11" s="2"/>
      <c r="H11" s="15">
        <v>45373</v>
      </c>
      <c r="I11" s="10">
        <v>2.78</v>
      </c>
      <c r="J11" s="12"/>
      <c r="K11" s="2"/>
      <c r="L11" s="2"/>
      <c r="M11" s="2"/>
      <c r="N11" s="5">
        <f>IF(B11="","",IFERROR(LOOKUP(2,1/(单次交易!$A$2:$A$88=B11),单次交易!$N$2:$N$88),""))</f>
        <v>2.75</v>
      </c>
      <c r="O11" s="5">
        <f t="shared" si="0"/>
        <v>2.78</v>
      </c>
      <c r="P11" s="11">
        <f t="shared" si="1"/>
        <v>0</v>
      </c>
      <c r="Q11" s="5">
        <f t="shared" si="2"/>
        <v>2.75</v>
      </c>
      <c r="R11" s="10"/>
      <c r="S11" s="5">
        <f t="shared" si="3"/>
        <v>2.75</v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>继续观察</v>
      </c>
      <c r="X11" s="2" t="s">
        <v>90</v>
      </c>
      <c r="Y11" s="10">
        <v>2.78</v>
      </c>
      <c r="Z11" s="11">
        <f>IF(X11&lt;&gt;"执行卖出","",IFERROR(LOOKUP(2,1/(单次交易!$A$2:$A$88=B11),单次交易!$AP$2:$AP$88),""))</f>
        <v>18300</v>
      </c>
      <c r="AA11" s="10"/>
      <c r="AB11" s="8" t="str">
        <f t="shared" si="8"/>
        <v>待补充每日记录</v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>每日数据不完整</v>
      </c>
    </row>
    <row r="12" ht="17" spans="1:29">
      <c r="A12" s="2" t="s">
        <v>89</v>
      </c>
      <c r="B12" s="2">
        <v>11</v>
      </c>
      <c r="C12" s="8" t="str">
        <f>IF(B12="","",IFERROR(LOOKUP(2,1/(单次交易!$A$2:$A$88=B12),单次交易!$B$2:$B$88),""))</f>
        <v>恒瑞医药</v>
      </c>
      <c r="D12" s="12"/>
      <c r="E12" s="10"/>
      <c r="F12" s="10"/>
      <c r="G12" s="2"/>
      <c r="H12" s="15">
        <v>43059</v>
      </c>
      <c r="I12" s="10">
        <v>29.25</v>
      </c>
      <c r="J12" s="12"/>
      <c r="K12" s="2"/>
      <c r="L12" s="2"/>
      <c r="M12" s="2"/>
      <c r="N12" s="5">
        <f>IF(B12="","",IFERROR(LOOKUP(2,1/(单次交易!$A$2:$A$88=B12),单次交易!$N$2:$N$88),""))</f>
        <v>19.5</v>
      </c>
      <c r="O12" s="5">
        <f t="shared" si="0"/>
        <v>29.25</v>
      </c>
      <c r="P12" s="11">
        <f t="shared" si="1"/>
        <v>0</v>
      </c>
      <c r="Q12" s="5">
        <f t="shared" si="2"/>
        <v>19.5</v>
      </c>
      <c r="R12" s="10"/>
      <c r="S12" s="5">
        <f t="shared" si="3"/>
        <v>19.5</v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>继续观察</v>
      </c>
      <c r="X12" s="2" t="s">
        <v>90</v>
      </c>
      <c r="Y12" s="10">
        <v>29.25</v>
      </c>
      <c r="Z12" s="11">
        <f>IF(X12&lt;&gt;"执行卖出","",IFERROR(LOOKUP(2,1/(单次交易!$A$2:$A$88=B12),单次交易!$AP$2:$AP$88),""))</f>
        <v>1900</v>
      </c>
      <c r="AA12" s="10"/>
      <c r="AB12" s="8" t="str">
        <f t="shared" si="8"/>
        <v>待补充每日记录</v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>每日数据不完整</v>
      </c>
    </row>
    <row r="13" ht="17" spans="1:29">
      <c r="A13" s="2" t="s">
        <v>89</v>
      </c>
      <c r="B13" s="2">
        <v>12</v>
      </c>
      <c r="C13" s="8" t="str">
        <f>IF(B13="","",IFERROR(LOOKUP(2,1/(单次交易!$A$2:$A$88=B13),单次交易!$B$2:$B$88),""))</f>
        <v>恒瑞医药</v>
      </c>
      <c r="D13" s="12"/>
      <c r="E13" s="10"/>
      <c r="F13" s="10"/>
      <c r="G13" s="2"/>
      <c r="H13" s="15">
        <v>43137</v>
      </c>
      <c r="I13" s="10">
        <v>29.29</v>
      </c>
      <c r="J13" s="12"/>
      <c r="K13" s="2"/>
      <c r="L13" s="2"/>
      <c r="M13" s="2"/>
      <c r="N13" s="5">
        <f>IF(B13="","",IFERROR(LOOKUP(2,1/(单次交易!$A$2:$A$88=B13),单次交易!$N$2:$N$88),""))</f>
        <v>30</v>
      </c>
      <c r="O13" s="5">
        <f t="shared" si="0"/>
        <v>29.29</v>
      </c>
      <c r="P13" s="11">
        <f t="shared" si="1"/>
        <v>0</v>
      </c>
      <c r="Q13" s="5">
        <f t="shared" si="2"/>
        <v>30</v>
      </c>
      <c r="R13" s="10"/>
      <c r="S13" s="5">
        <f t="shared" si="3"/>
        <v>30</v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>触发止损：应全部卖出</v>
      </c>
      <c r="X13" s="2" t="s">
        <v>90</v>
      </c>
      <c r="Y13" s="10">
        <v>29.29</v>
      </c>
      <c r="Z13" s="11">
        <f>IF(X13&lt;&gt;"执行卖出","",IFERROR(LOOKUP(2,1/(单次交易!$A$2:$A$88=B13),单次交易!$AP$2:$AP$88),""))</f>
        <v>1200</v>
      </c>
      <c r="AA13" s="10"/>
      <c r="AB13" s="8" t="str">
        <f t="shared" si="8"/>
        <v>待补充每日记录</v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>每日数据不完整</v>
      </c>
    </row>
    <row r="14" ht="17" spans="1:29">
      <c r="A14" s="2" t="s">
        <v>89</v>
      </c>
      <c r="B14" s="2">
        <v>12</v>
      </c>
      <c r="C14" s="8" t="str">
        <f>IF(B14="","",IFERROR(LOOKUP(2,1/(单次交易!$A$2:$A$88=B14),单次交易!$B$2:$B$88),""))</f>
        <v>恒瑞医药</v>
      </c>
      <c r="D14" s="12"/>
      <c r="E14" s="10"/>
      <c r="F14" s="10"/>
      <c r="G14" s="2"/>
      <c r="H14" s="15">
        <v>43311</v>
      </c>
      <c r="I14" s="10">
        <v>38.49</v>
      </c>
      <c r="J14" s="12"/>
      <c r="K14" s="2"/>
      <c r="L14" s="2"/>
      <c r="M14" s="2"/>
      <c r="N14" s="5">
        <f>IF(B14="","",IFERROR(LOOKUP(2,1/(单次交易!$A$2:$A$88=B14),单次交易!$N$2:$N$88),""))</f>
        <v>30</v>
      </c>
      <c r="O14" s="5">
        <f t="shared" si="0"/>
        <v>38.49</v>
      </c>
      <c r="P14" s="11">
        <f t="shared" si="1"/>
        <v>0</v>
      </c>
      <c r="Q14" s="5">
        <f t="shared" si="2"/>
        <v>30</v>
      </c>
      <c r="R14" s="10"/>
      <c r="S14" s="5">
        <f t="shared" si="3"/>
        <v>30</v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>继续观察</v>
      </c>
      <c r="X14" s="2" t="s">
        <v>90</v>
      </c>
      <c r="Y14" s="10">
        <v>38.49</v>
      </c>
      <c r="Z14" s="11">
        <f>IF(X14&lt;&gt;"执行卖出","",IFERROR(LOOKUP(2,1/(单次交易!$A$2:$A$88=B14),单次交易!$AP$2:$AP$88),""))</f>
        <v>1200</v>
      </c>
      <c r="AA14" s="10"/>
      <c r="AB14" s="8" t="str">
        <f t="shared" si="8"/>
        <v>待补充每日记录</v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>每日数据不完整</v>
      </c>
    </row>
    <row r="15" ht="17" spans="1:29">
      <c r="A15" s="2" t="s">
        <v>89</v>
      </c>
      <c r="B15" s="2">
        <v>14</v>
      </c>
      <c r="C15" s="8" t="str">
        <f>IF(B15="","",IFERROR(LOOKUP(2,1/(单次交易!$A$2:$A$88=B15),单次交易!$B$2:$B$88),""))</f>
        <v>恒瑞医药</v>
      </c>
      <c r="D15" s="12"/>
      <c r="E15" s="10"/>
      <c r="F15" s="10"/>
      <c r="G15" s="2"/>
      <c r="H15" s="15">
        <v>43577</v>
      </c>
      <c r="I15" s="10">
        <v>41.91</v>
      </c>
      <c r="J15" s="12"/>
      <c r="K15" s="2"/>
      <c r="L15" s="2"/>
      <c r="M15" s="2"/>
      <c r="N15" s="5">
        <f>IF(B15="","",IFERROR(LOOKUP(2,1/(单次交易!$A$2:$A$88=B15),单次交易!$N$2:$N$88),""))</f>
        <v>39</v>
      </c>
      <c r="O15" s="5">
        <f t="shared" si="0"/>
        <v>41.91</v>
      </c>
      <c r="P15" s="11">
        <f t="shared" si="1"/>
        <v>0</v>
      </c>
      <c r="Q15" s="5">
        <f t="shared" si="2"/>
        <v>39</v>
      </c>
      <c r="R15" s="10"/>
      <c r="S15" s="5">
        <f t="shared" si="3"/>
        <v>39</v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>继续观察</v>
      </c>
      <c r="X15" s="2" t="s">
        <v>90</v>
      </c>
      <c r="Y15" s="10">
        <v>41.91</v>
      </c>
      <c r="Z15" s="11">
        <f>IF(X15&lt;&gt;"执行卖出","",IFERROR(LOOKUP(2,1/(单次交易!$A$2:$A$88=B15),单次交易!$AP$2:$AP$88),""))</f>
        <v>700</v>
      </c>
      <c r="AA15" s="10"/>
      <c r="AB15" s="8" t="str">
        <f t="shared" si="8"/>
        <v>待补充每日记录</v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>每日数据不完整</v>
      </c>
    </row>
    <row r="16" ht="17" spans="1:29">
      <c r="A16" s="2" t="s">
        <v>89</v>
      </c>
      <c r="B16" s="2">
        <v>15</v>
      </c>
      <c r="C16" s="8" t="str">
        <f>IF(B16="","",IFERROR(LOOKUP(2,1/(单次交易!$A$2:$A$88=B16),单次交易!$B$2:$B$88),""))</f>
        <v>恒瑞医药</v>
      </c>
      <c r="D16" s="12"/>
      <c r="E16" s="10"/>
      <c r="F16" s="10"/>
      <c r="G16" s="2"/>
      <c r="H16" s="15">
        <v>43798</v>
      </c>
      <c r="I16" s="10">
        <v>58.41</v>
      </c>
      <c r="J16" s="12"/>
      <c r="K16" s="2"/>
      <c r="L16" s="2"/>
      <c r="M16" s="2"/>
      <c r="N16" s="5">
        <f>IF(B16="","",IFERROR(LOOKUP(2,1/(单次交易!$A$2:$A$88=B16),单次交易!$N$2:$N$88),""))</f>
        <v>47.5</v>
      </c>
      <c r="O16" s="5">
        <f t="shared" si="0"/>
        <v>58.41</v>
      </c>
      <c r="P16" s="11">
        <f t="shared" si="1"/>
        <v>0</v>
      </c>
      <c r="Q16" s="5">
        <f t="shared" si="2"/>
        <v>47.5</v>
      </c>
      <c r="R16" s="10"/>
      <c r="S16" s="5">
        <f t="shared" si="3"/>
        <v>47.5</v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>继续观察</v>
      </c>
      <c r="X16" s="2" t="s">
        <v>90</v>
      </c>
      <c r="Y16" s="10">
        <v>58.41</v>
      </c>
      <c r="Z16" s="11">
        <f>IF(X16&lt;&gt;"执行卖出","",IFERROR(LOOKUP(2,1/(单次交易!$A$2:$A$88=B16),单次交易!$AP$2:$AP$88),""))</f>
        <v>1600</v>
      </c>
      <c r="AA16" s="10"/>
      <c r="AB16" s="8" t="str">
        <f t="shared" si="8"/>
        <v>待补充每日记录</v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>每日数据不完整</v>
      </c>
    </row>
    <row r="17" ht="17" spans="1:29">
      <c r="A17" s="2" t="s">
        <v>89</v>
      </c>
      <c r="B17" s="2">
        <v>16</v>
      </c>
      <c r="C17" s="8" t="str">
        <f>IF(B17="","",IFERROR(LOOKUP(2,1/(单次交易!$A$2:$A$88=B17),单次交易!$B$2:$B$88),""))</f>
        <v>恒瑞医药</v>
      </c>
      <c r="D17" s="12"/>
      <c r="E17" s="10"/>
      <c r="F17" s="10"/>
      <c r="G17" s="2"/>
      <c r="H17" s="15">
        <v>43887</v>
      </c>
      <c r="I17" s="10">
        <v>58.95</v>
      </c>
      <c r="J17" s="12"/>
      <c r="K17" s="2"/>
      <c r="L17" s="2"/>
      <c r="M17" s="2"/>
      <c r="N17" s="5">
        <f>IF(B17="","",IFERROR(LOOKUP(2,1/(单次交易!$A$2:$A$88=B17),单次交易!$N$2:$N$88),""))</f>
        <v>60</v>
      </c>
      <c r="O17" s="5">
        <f t="shared" si="0"/>
        <v>58.95</v>
      </c>
      <c r="P17" s="11">
        <f t="shared" si="1"/>
        <v>0</v>
      </c>
      <c r="Q17" s="5">
        <f t="shared" si="2"/>
        <v>60</v>
      </c>
      <c r="R17" s="10"/>
      <c r="S17" s="5">
        <f t="shared" si="3"/>
        <v>60</v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>触发止损：应全部卖出</v>
      </c>
      <c r="X17" s="2" t="s">
        <v>90</v>
      </c>
      <c r="Y17" s="10">
        <v>58.95</v>
      </c>
      <c r="Z17" s="11">
        <f>IF(X17&lt;&gt;"执行卖出","",IFERROR(LOOKUP(2,1/(单次交易!$A$2:$A$88=B17),单次交易!$AP$2:$AP$88),""))</f>
        <v>1100</v>
      </c>
      <c r="AA17" s="10"/>
      <c r="AB17" s="8" t="str">
        <f t="shared" si="8"/>
        <v>待补充每日记录</v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>每日数据不完整</v>
      </c>
    </row>
    <row r="18" ht="17" spans="1:29">
      <c r="A18" s="2" t="s">
        <v>89</v>
      </c>
      <c r="B18" s="2">
        <v>17</v>
      </c>
      <c r="C18" s="8" t="str">
        <f>IF(B18="","",IFERROR(LOOKUP(2,1/(单次交易!$A$2:$A$88=B18),单次交易!$B$2:$B$88),""))</f>
        <v>恒瑞医药</v>
      </c>
      <c r="D18" s="12"/>
      <c r="E18" s="10"/>
      <c r="F18" s="10"/>
      <c r="G18" s="2"/>
      <c r="H18" s="15">
        <v>43950</v>
      </c>
      <c r="I18" s="10">
        <v>63.61</v>
      </c>
      <c r="J18" s="12"/>
      <c r="K18" s="2"/>
      <c r="L18" s="2"/>
      <c r="M18" s="2"/>
      <c r="N18" s="5">
        <f>IF(B18="","",IFERROR(LOOKUP(2,1/(单次交易!$A$2:$A$88=B18),单次交易!$N$2:$N$88),""))</f>
        <v>63.5</v>
      </c>
      <c r="O18" s="5">
        <f t="shared" si="0"/>
        <v>63.61</v>
      </c>
      <c r="P18" s="11">
        <f t="shared" si="1"/>
        <v>0</v>
      </c>
      <c r="Q18" s="5">
        <f t="shared" si="2"/>
        <v>63.5</v>
      </c>
      <c r="R18" s="10"/>
      <c r="S18" s="5">
        <f t="shared" si="3"/>
        <v>63.5</v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>继续观察</v>
      </c>
      <c r="X18" s="2" t="s">
        <v>90</v>
      </c>
      <c r="Y18" s="10">
        <v>63.61</v>
      </c>
      <c r="Z18" s="11">
        <f>IF(X18&lt;&gt;"执行卖出","",IFERROR(LOOKUP(2,1/(单次交易!$A$2:$A$88=B18),单次交易!$AP$2:$AP$88),""))</f>
        <v>1200</v>
      </c>
      <c r="AA18" s="10"/>
      <c r="AB18" s="8" t="str">
        <f t="shared" si="8"/>
        <v>待补充每日记录</v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>每日数据不完整</v>
      </c>
    </row>
    <row r="19" ht="17" spans="1:29">
      <c r="A19" s="2" t="s">
        <v>89</v>
      </c>
      <c r="B19" s="2">
        <v>18</v>
      </c>
      <c r="C19" s="8" t="str">
        <f>IF(B19="","",IFERROR(LOOKUP(2,1/(单次交易!$A$2:$A$88=B19),单次交易!$B$2:$B$88),""))</f>
        <v>恒瑞医药</v>
      </c>
      <c r="D19" s="12"/>
      <c r="E19" s="10"/>
      <c r="F19" s="10"/>
      <c r="G19" s="2"/>
      <c r="H19" s="15">
        <v>44028</v>
      </c>
      <c r="I19" s="10">
        <v>79.21</v>
      </c>
      <c r="J19" s="12"/>
      <c r="K19" s="2"/>
      <c r="L19" s="2"/>
      <c r="M19" s="2"/>
      <c r="N19" s="5">
        <f>IF(B19="","",IFERROR(LOOKUP(2,1/(单次交易!$A$2:$A$88=B19),单次交易!$N$2:$N$88),""))</f>
        <v>68</v>
      </c>
      <c r="O19" s="5">
        <f t="shared" si="0"/>
        <v>79.21</v>
      </c>
      <c r="P19" s="11">
        <f t="shared" si="1"/>
        <v>0</v>
      </c>
      <c r="Q19" s="5">
        <f t="shared" si="2"/>
        <v>68</v>
      </c>
      <c r="R19" s="10"/>
      <c r="S19" s="5">
        <f t="shared" si="3"/>
        <v>68</v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>继续观察</v>
      </c>
      <c r="X19" s="2" t="s">
        <v>90</v>
      </c>
      <c r="Y19" s="10">
        <v>79.21</v>
      </c>
      <c r="Z19" s="11">
        <f>IF(X19&lt;&gt;"执行卖出","",IFERROR(LOOKUP(2,1/(单次交易!$A$2:$A$88=B19),单次交易!$AP$2:$AP$88),""))</f>
        <v>500</v>
      </c>
      <c r="AA19" s="10"/>
      <c r="AB19" s="8" t="str">
        <f t="shared" si="8"/>
        <v>待补充每日记录</v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>每日数据不完整</v>
      </c>
    </row>
    <row r="20" ht="17" spans="1:29">
      <c r="A20" s="2" t="s">
        <v>89</v>
      </c>
      <c r="B20" s="2">
        <v>19</v>
      </c>
      <c r="C20" s="8" t="str">
        <f>IF(B20="","",IFERROR(LOOKUP(2,1/(单次交易!$A$2:$A$88=B20),单次交易!$B$2:$B$88),""))</f>
        <v>恒瑞医药</v>
      </c>
      <c r="D20" s="12"/>
      <c r="E20" s="10"/>
      <c r="F20" s="10"/>
      <c r="G20" s="2"/>
      <c r="H20" s="15">
        <v>44225</v>
      </c>
      <c r="I20" s="10">
        <v>85.38</v>
      </c>
      <c r="J20" s="12"/>
      <c r="K20" s="2"/>
      <c r="L20" s="2"/>
      <c r="M20" s="2"/>
      <c r="N20" s="5">
        <f>IF(B20="","",IFERROR(LOOKUP(2,1/(单次交易!$A$2:$A$88=B20),单次交易!$N$2:$N$88),""))</f>
        <v>86</v>
      </c>
      <c r="O20" s="5">
        <f t="shared" si="0"/>
        <v>85.38</v>
      </c>
      <c r="P20" s="11">
        <f t="shared" si="1"/>
        <v>0</v>
      </c>
      <c r="Q20" s="5">
        <f t="shared" si="2"/>
        <v>86</v>
      </c>
      <c r="R20" s="10"/>
      <c r="S20" s="5">
        <f t="shared" si="3"/>
        <v>86</v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>触发止损：应全部卖出</v>
      </c>
      <c r="X20" s="2" t="s">
        <v>90</v>
      </c>
      <c r="Y20" s="10">
        <v>85.38</v>
      </c>
      <c r="Z20" s="11">
        <f>IF(X20&lt;&gt;"执行卖出","",IFERROR(LOOKUP(2,1/(单次交易!$A$2:$A$88=B20),单次交易!$AP$2:$AP$88),""))</f>
        <v>300</v>
      </c>
      <c r="AA20" s="10"/>
      <c r="AB20" s="8" t="str">
        <f t="shared" si="8"/>
        <v>待补充每日记录</v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>每日数据不完整</v>
      </c>
    </row>
    <row r="21" ht="17" spans="1:29">
      <c r="A21" s="2" t="s">
        <v>89</v>
      </c>
      <c r="B21" s="2">
        <v>20</v>
      </c>
      <c r="C21" s="8" t="str">
        <f>IF(B21="","",IFERROR(LOOKUP(2,1/(单次交易!$A$2:$A$88=B21),单次交易!$B$2:$B$88),""))</f>
        <v>恒瑞医药</v>
      </c>
      <c r="D21" s="12"/>
      <c r="E21" s="10"/>
      <c r="F21" s="10"/>
      <c r="G21" s="2"/>
      <c r="H21" s="15">
        <v>44530</v>
      </c>
      <c r="I21" s="10">
        <v>49.25</v>
      </c>
      <c r="J21" s="12"/>
      <c r="K21" s="2"/>
      <c r="L21" s="2"/>
      <c r="M21" s="2"/>
      <c r="N21" s="5">
        <f>IF(B21="","",IFERROR(LOOKUP(2,1/(单次交易!$A$2:$A$88=B21),单次交易!$N$2:$N$88),""))</f>
        <v>50</v>
      </c>
      <c r="O21" s="5">
        <f t="shared" si="0"/>
        <v>49.25</v>
      </c>
      <c r="P21" s="11">
        <f t="shared" si="1"/>
        <v>0</v>
      </c>
      <c r="Q21" s="5">
        <f t="shared" si="2"/>
        <v>50</v>
      </c>
      <c r="R21" s="10"/>
      <c r="S21" s="5">
        <f t="shared" si="3"/>
        <v>50</v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>触发止损：应全部卖出</v>
      </c>
      <c r="X21" s="2" t="s">
        <v>90</v>
      </c>
      <c r="Y21" s="10">
        <v>49.25</v>
      </c>
      <c r="Z21" s="11">
        <f>IF(X21&lt;&gt;"执行卖出","",IFERROR(LOOKUP(2,1/(单次交易!$A$2:$A$88=B21),单次交易!$AP$2:$AP$88),""))</f>
        <v>1000</v>
      </c>
      <c r="AA21" s="10"/>
      <c r="AB21" s="8" t="str">
        <f t="shared" si="8"/>
        <v>待补充每日记录</v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>每日数据不完整</v>
      </c>
    </row>
    <row r="22" ht="17" spans="1:29">
      <c r="A22" s="2" t="s">
        <v>89</v>
      </c>
      <c r="B22" s="2">
        <v>21</v>
      </c>
      <c r="C22" s="8" t="str">
        <f>IF(B22="","",IFERROR(LOOKUP(2,1/(单次交易!$A$2:$A$88=B22),单次交易!$B$2:$B$88),""))</f>
        <v>恒瑞医药</v>
      </c>
      <c r="D22" s="12"/>
      <c r="E22" s="10"/>
      <c r="F22" s="10"/>
      <c r="G22" s="2"/>
      <c r="H22" s="15">
        <v>44760</v>
      </c>
      <c r="I22" s="10">
        <v>37.17</v>
      </c>
      <c r="J22" s="12"/>
      <c r="K22" s="2"/>
      <c r="L22" s="2"/>
      <c r="M22" s="2"/>
      <c r="N22" s="5">
        <f>IF(B22="","",IFERROR(LOOKUP(2,1/(单次交易!$A$2:$A$88=B22),单次交易!$N$2:$N$88),""))</f>
        <v>35</v>
      </c>
      <c r="O22" s="5">
        <f t="shared" si="0"/>
        <v>37.17</v>
      </c>
      <c r="P22" s="11">
        <f t="shared" si="1"/>
        <v>0</v>
      </c>
      <c r="Q22" s="5">
        <f t="shared" si="2"/>
        <v>35</v>
      </c>
      <c r="R22" s="10"/>
      <c r="S22" s="5">
        <f t="shared" si="3"/>
        <v>35</v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>继续观察</v>
      </c>
      <c r="X22" s="2" t="s">
        <v>90</v>
      </c>
      <c r="Y22" s="10">
        <v>37.19</v>
      </c>
      <c r="Z22" s="11">
        <f>IF(X22&lt;&gt;"执行卖出","",IFERROR(LOOKUP(2,1/(单次交易!$A$2:$A$88=B22),单次交易!$AP$2:$AP$88),""))</f>
        <v>2000</v>
      </c>
      <c r="AA22" s="10"/>
      <c r="AB22" s="8" t="str">
        <f t="shared" si="8"/>
        <v>待补充每日记录</v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>每日数据不完整</v>
      </c>
    </row>
    <row r="23" ht="17" spans="1:29">
      <c r="A23" s="2"/>
      <c r="B23" s="2"/>
      <c r="C23" s="8" t="str">
        <f>IF(B23="","",IFERROR(LOOKUP(2,1/(单次交易!$A$2:$A$88=B23),单次交易!$B$2:$B$88),""))</f>
        <v/>
      </c>
      <c r="D23" s="12"/>
      <c r="E23" s="10"/>
      <c r="F23" s="10"/>
      <c r="G23" s="2"/>
      <c r="H23" s="15"/>
      <c r="I23" s="10"/>
      <c r="J23" s="12"/>
      <c r="K23" s="2"/>
      <c r="L23" s="2"/>
      <c r="M23" s="2"/>
      <c r="N23" s="5" t="str">
        <f>IF(B23="","",IFERROR(LOOKUP(2,1/(单次交易!$A$2:$A$88=B23),单次交易!$N$2:$N$88),""))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IF(X23&lt;&gt;"执行卖出","",IFERROR(LOOKUP(2,1/(单次交易!$A$2:$A$88=B23),单次交易!$AP$2:$AP$88),""))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IF(B24="","",IFERROR(LOOKUP(2,1/(单次交易!$A$2:$A$88=B24),单次交易!$B$2:$B$88),""))</f>
        <v/>
      </c>
      <c r="D24" s="12"/>
      <c r="E24" s="10"/>
      <c r="F24" s="10"/>
      <c r="G24" s="2"/>
      <c r="H24" s="15"/>
      <c r="I24" s="10"/>
      <c r="J24" s="12"/>
      <c r="K24" s="2"/>
      <c r="L24" s="2"/>
      <c r="M24" s="2"/>
      <c r="N24" s="5" t="str">
        <f>IF(B24="","",IFERROR(LOOKUP(2,1/(单次交易!$A$2:$A$88=B24),单次交易!$N$2:$N$88),""))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IF(X24&lt;&gt;"执行卖出","",IFERROR(LOOKUP(2,1/(单次交易!$A$2:$A$88=B24),单次交易!$AP$2:$AP$88),""))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IF(B25="","",IFERROR(LOOKUP(2,1/(单次交易!$A$2:$A$88=B25),单次交易!$B$2:$B$88),""))</f>
        <v/>
      </c>
      <c r="D25" s="12"/>
      <c r="E25" s="10"/>
      <c r="F25" s="10"/>
      <c r="G25" s="2"/>
      <c r="H25" s="15"/>
      <c r="I25" s="10"/>
      <c r="J25" s="12"/>
      <c r="K25" s="2"/>
      <c r="L25" s="2"/>
      <c r="M25" s="2"/>
      <c r="N25" s="5" t="str">
        <f>IF(B25="","",IFERROR(LOOKUP(2,1/(单次交易!$A$2:$A$88=B25),单次交易!$N$2:$N$88),""))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IF(X25&lt;&gt;"执行卖出","",IFERROR(LOOKUP(2,1/(单次交易!$A$2:$A$88=B25),单次交易!$AP$2:$AP$88),""))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IF(B26="","",IFERROR(LOOKUP(2,1/(单次交易!$A$2:$A$88=B26),单次交易!$B$2:$B$88),""))</f>
        <v/>
      </c>
      <c r="D26" s="12"/>
      <c r="E26" s="10"/>
      <c r="F26" s="10"/>
      <c r="G26" s="2"/>
      <c r="H26" s="15"/>
      <c r="I26" s="10"/>
      <c r="J26" s="12"/>
      <c r="K26" s="2"/>
      <c r="L26" s="2"/>
      <c r="M26" s="2"/>
      <c r="N26" s="5" t="str">
        <f>IF(B26="","",IFERROR(LOOKUP(2,1/(单次交易!$A$2:$A$88=B26),单次交易!$N$2:$N$88),""))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IF(X26&lt;&gt;"执行卖出","",IFERROR(LOOKUP(2,1/(单次交易!$A$2:$A$88=B26),单次交易!$AP$2:$AP$88),""))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IF(B27="","",IFERROR(LOOKUP(2,1/(单次交易!$A$2:$A$88=B27),单次交易!$B$2:$B$88),""))</f>
        <v/>
      </c>
      <c r="D27" s="12"/>
      <c r="E27" s="10"/>
      <c r="F27" s="10"/>
      <c r="G27" s="2"/>
      <c r="H27" s="15"/>
      <c r="I27" s="10"/>
      <c r="J27" s="12"/>
      <c r="K27" s="2"/>
      <c r="L27" s="2"/>
      <c r="M27" s="2"/>
      <c r="N27" s="5" t="str">
        <f>IF(B27="","",IFERROR(LOOKUP(2,1/(单次交易!$A$2:$A$88=B27),单次交易!$N$2:$N$88),""))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IF(X27&lt;&gt;"执行卖出","",IFERROR(LOOKUP(2,1/(单次交易!$A$2:$A$88=B27),单次交易!$AP$2:$AP$88),""))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IF(B28="","",IFERROR(LOOKUP(2,1/(单次交易!$A$2:$A$88=B28),单次交易!$B$2:$B$88),""))</f>
        <v/>
      </c>
      <c r="D28" s="12"/>
      <c r="E28" s="10"/>
      <c r="F28" s="10"/>
      <c r="G28" s="2"/>
      <c r="H28" s="15"/>
      <c r="I28" s="10"/>
      <c r="J28" s="12"/>
      <c r="K28" s="2"/>
      <c r="L28" s="2"/>
      <c r="M28" s="2"/>
      <c r="N28" s="5" t="str">
        <f>IF(B28="","",IFERROR(LOOKUP(2,1/(单次交易!$A$2:$A$88=B28),单次交易!$N$2:$N$88),""))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IF(X28&lt;&gt;"执行卖出","",IFERROR(LOOKUP(2,1/(单次交易!$A$2:$A$88=B28),单次交易!$AP$2:$AP$88),""))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IF(B29="","",IFERROR(LOOKUP(2,1/(单次交易!$A$2:$A$88=B29),单次交易!$B$2:$B$88),""))</f>
        <v/>
      </c>
      <c r="D29" s="12"/>
      <c r="E29" s="10"/>
      <c r="F29" s="10"/>
      <c r="G29" s="2"/>
      <c r="H29" s="15"/>
      <c r="I29" s="10"/>
      <c r="J29" s="12"/>
      <c r="K29" s="2"/>
      <c r="L29" s="2"/>
      <c r="M29" s="2"/>
      <c r="N29" s="5" t="str">
        <f>IF(B29="","",IFERROR(LOOKUP(2,1/(单次交易!$A$2:$A$88=B29),单次交易!$N$2:$N$88),""))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IF(X29&lt;&gt;"执行卖出","",IFERROR(LOOKUP(2,1/(单次交易!$A$2:$A$88=B29),单次交易!$AP$2:$AP$88),""))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IF(B30="","",IFERROR(LOOKUP(2,1/(单次交易!$A$2:$A$88=B30),单次交易!$B$2:$B$88),""))</f>
        <v/>
      </c>
      <c r="D30" s="12"/>
      <c r="E30" s="10"/>
      <c r="F30" s="10"/>
      <c r="G30" s="2"/>
      <c r="H30" s="15"/>
      <c r="I30" s="10"/>
      <c r="J30" s="12"/>
      <c r="K30" s="2"/>
      <c r="L30" s="2"/>
      <c r="M30" s="2"/>
      <c r="N30" s="5" t="str">
        <f>IF(B30="","",IFERROR(LOOKUP(2,1/(单次交易!$A$2:$A$88=B30),单次交易!$N$2:$N$88),""))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IF(X30&lt;&gt;"执行卖出","",IFERROR(LOOKUP(2,1/(单次交易!$A$2:$A$88=B30),单次交易!$AP$2:$AP$88),""))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IF(B31="","",IFERROR(LOOKUP(2,1/(单次交易!$A$2:$A$88=B31),单次交易!$B$2:$B$88),""))</f>
        <v/>
      </c>
      <c r="D31" s="12"/>
      <c r="E31" s="10"/>
      <c r="F31" s="10"/>
      <c r="G31" s="2"/>
      <c r="H31" s="15"/>
      <c r="I31" s="10"/>
      <c r="J31" s="12"/>
      <c r="K31" s="2"/>
      <c r="L31" s="2"/>
      <c r="M31" s="2"/>
      <c r="N31" s="5" t="str">
        <f>IF(B31="","",IFERROR(LOOKUP(2,1/(单次交易!$A$2:$A$88=B31),单次交易!$N$2:$N$88),""))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IF(X31&lt;&gt;"执行卖出","",IFERROR(LOOKUP(2,1/(单次交易!$A$2:$A$88=B31),单次交易!$AP$2:$AP$88),""))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IF(B32="","",IFERROR(LOOKUP(2,1/(单次交易!$A$2:$A$88=B32),单次交易!$B$2:$B$88),""))</f>
        <v/>
      </c>
      <c r="D32" s="12"/>
      <c r="E32" s="10"/>
      <c r="F32" s="10"/>
      <c r="G32" s="2"/>
      <c r="H32" s="15"/>
      <c r="I32" s="10"/>
      <c r="J32" s="12"/>
      <c r="K32" s="2"/>
      <c r="L32" s="2"/>
      <c r="M32" s="2"/>
      <c r="N32" s="5" t="str">
        <f>IF(B32="","",IFERROR(LOOKUP(2,1/(单次交易!$A$2:$A$88=B32),单次交易!$N$2:$N$88),""))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IF(X32&lt;&gt;"执行卖出","",IFERROR(LOOKUP(2,1/(单次交易!$A$2:$A$88=B32),单次交易!$AP$2:$AP$88),""))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IF(B33="","",IFERROR(LOOKUP(2,1/(单次交易!$A$2:$A$88=B33),单次交易!$B$2:$B$88),""))</f>
        <v/>
      </c>
      <c r="D33" s="12"/>
      <c r="E33" s="10"/>
      <c r="F33" s="10"/>
      <c r="G33" s="2"/>
      <c r="H33" s="15"/>
      <c r="I33" s="10"/>
      <c r="J33" s="12"/>
      <c r="K33" s="2"/>
      <c r="L33" s="2"/>
      <c r="M33" s="2"/>
      <c r="N33" s="5" t="str">
        <f>IF(B33="","",IFERROR(LOOKUP(2,1/(单次交易!$A$2:$A$88=B33),单次交易!$N$2:$N$88),""))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IF(X33&lt;&gt;"执行卖出","",IFERROR(LOOKUP(2,1/(单次交易!$A$2:$A$88=B33),单次交易!$AP$2:$AP$88),""))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IF(B34="","",IFERROR(LOOKUP(2,1/(单次交易!$A$2:$A$88=B34),单次交易!$B$2:$B$88),""))</f>
        <v/>
      </c>
      <c r="D34" s="12"/>
      <c r="E34" s="10"/>
      <c r="F34" s="10"/>
      <c r="G34" s="2"/>
      <c r="H34" s="15"/>
      <c r="I34" s="10"/>
      <c r="J34" s="12"/>
      <c r="K34" s="2"/>
      <c r="L34" s="2"/>
      <c r="M34" s="2"/>
      <c r="N34" s="5" t="str">
        <f>IF(B34="","",IFERROR(LOOKUP(2,1/(单次交易!$A$2:$A$88=B34),单次交易!$N$2:$N$88),""))</f>
        <v/>
      </c>
      <c r="O34" s="5" t="str">
        <f t="shared" ref="O34:O65" si="9">IF(A34&lt;&gt;"每日跟踪","",IF(OR(B34="",H34="",I34=""),"",IFERROR(SUMPRODUCT(MAX((($A$2:$A$157="每日跟踪")*($B$2:$B$157=B34)*($H$2:$H$157&lt;=H34))*$I$2:$I$157)),"")))</f>
        <v/>
      </c>
      <c r="P34" s="11" t="str">
        <f t="shared" ref="P34:P65" si="10">IF(A34&lt;&gt;"每日跟踪","",IF(O34="","",IFERROR(SUMPRODUCT(MAX((($A$2:$A$157="止损计划")*($B$2:$B$157=B34)*($E$2:$E$157&lt;=O34))*$D$2:$D$157)),0)))</f>
        <v/>
      </c>
      <c r="Q34" s="5" t="str">
        <f t="shared" ref="Q34:Q65" si="11">IF(A34&lt;&gt;"每日跟踪","",IF(N34="","",MAX(N34,IFERROR(SUMPRODUCT(MAX((($A$2:$A$157="止损计划")*($B$2:$B$157=B34)*($E$2:$E$157&lt;=O34))*$F$2:$F$157)),0))))</f>
        <v/>
      </c>
      <c r="R34" s="10"/>
      <c r="S34" s="5" t="str">
        <f t="shared" ref="S34:S65" si="12">IF(A34&lt;&gt;"每日跟踪","",IF(Q34="","",MAX(Q34,IFERROR(SUMPRODUCT(MAX((($A$2:$A$157="每日跟踪")*($B$2:$B$157=B34)*($H$2:$H$157&lt;=H34))*$R$2:$R$157)),0))))</f>
        <v/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IF(X34&lt;&gt;"执行卖出","",IFERROR(LOOKUP(2,1/(单次交易!$A$2:$A$88=B34),单次交易!$AP$2:$AP$88),""))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IF(B35="","",IFERROR(LOOKUP(2,1/(单次交易!$A$2:$A$88=B35),单次交易!$B$2:$B$88),""))</f>
        <v/>
      </c>
      <c r="D35" s="12"/>
      <c r="E35" s="10"/>
      <c r="F35" s="10"/>
      <c r="G35" s="2"/>
      <c r="H35" s="15"/>
      <c r="I35" s="10"/>
      <c r="J35" s="12"/>
      <c r="K35" s="2"/>
      <c r="L35" s="2"/>
      <c r="M35" s="2"/>
      <c r="N35" s="5" t="str">
        <f>IF(B35="","",IFERROR(LOOKUP(2,1/(单次交易!$A$2:$A$88=B35),单次交易!$N$2:$N$88),""))</f>
        <v/>
      </c>
      <c r="O35" s="5" t="str">
        <f t="shared" si="9"/>
        <v/>
      </c>
      <c r="P35" s="11" t="str">
        <f t="shared" si="10"/>
        <v/>
      </c>
      <c r="Q35" s="5" t="str">
        <f t="shared" si="11"/>
        <v/>
      </c>
      <c r="R35" s="10"/>
      <c r="S35" s="5" t="str">
        <f t="shared" si="12"/>
        <v/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IF(X35&lt;&gt;"执行卖出","",IFERROR(LOOKUP(2,1/(单次交易!$A$2:$A$88=B35),单次交易!$AP$2:$AP$88),""))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IF(B36="","",IFERROR(LOOKUP(2,1/(单次交易!$A$2:$A$88=B36),单次交易!$B$2:$B$88),""))</f>
        <v/>
      </c>
      <c r="D36" s="12"/>
      <c r="E36" s="10"/>
      <c r="F36" s="10"/>
      <c r="G36" s="2"/>
      <c r="H36" s="15"/>
      <c r="I36" s="10"/>
      <c r="J36" s="12"/>
      <c r="K36" s="2"/>
      <c r="L36" s="2"/>
      <c r="M36" s="2"/>
      <c r="N36" s="5" t="str">
        <f>IF(B36="","",IFERROR(LOOKUP(2,1/(单次交易!$A$2:$A$88=B36),单次交易!$N$2:$N$88),""))</f>
        <v/>
      </c>
      <c r="O36" s="5" t="str">
        <f t="shared" si="9"/>
        <v/>
      </c>
      <c r="P36" s="11" t="str">
        <f t="shared" si="10"/>
        <v/>
      </c>
      <c r="Q36" s="5" t="str">
        <f t="shared" si="11"/>
        <v/>
      </c>
      <c r="R36" s="10"/>
      <c r="S36" s="5" t="str">
        <f t="shared" si="12"/>
        <v/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IF(X36&lt;&gt;"执行卖出","",IFERROR(LOOKUP(2,1/(单次交易!$A$2:$A$88=B36),单次交易!$AP$2:$AP$88),""))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IF(B37="","",IFERROR(LOOKUP(2,1/(单次交易!$A$2:$A$88=B37),单次交易!$B$2:$B$88),""))</f>
        <v/>
      </c>
      <c r="D37" s="12"/>
      <c r="E37" s="10"/>
      <c r="F37" s="10"/>
      <c r="G37" s="2"/>
      <c r="H37" s="15"/>
      <c r="I37" s="10"/>
      <c r="J37" s="12"/>
      <c r="K37" s="2"/>
      <c r="L37" s="2"/>
      <c r="M37" s="2"/>
      <c r="N37" s="5" t="str">
        <f>IF(B37="","",IFERROR(LOOKUP(2,1/(单次交易!$A$2:$A$88=B37),单次交易!$N$2:$N$88),""))</f>
        <v/>
      </c>
      <c r="O37" s="5" t="str">
        <f t="shared" si="9"/>
        <v/>
      </c>
      <c r="P37" s="11" t="str">
        <f t="shared" si="10"/>
        <v/>
      </c>
      <c r="Q37" s="5" t="str">
        <f t="shared" si="11"/>
        <v/>
      </c>
      <c r="R37" s="10"/>
      <c r="S37" s="5" t="str">
        <f t="shared" si="12"/>
        <v/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IF(X37&lt;&gt;"执行卖出","",IFERROR(LOOKUP(2,1/(单次交易!$A$2:$A$88=B37),单次交易!$AP$2:$AP$88),""))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IF(B38="","",IFERROR(LOOKUP(2,1/(单次交易!$A$2:$A$88=B38),单次交易!$B$2:$B$88),""))</f>
        <v/>
      </c>
      <c r="D38" s="12"/>
      <c r="E38" s="10"/>
      <c r="F38" s="10"/>
      <c r="G38" s="2"/>
      <c r="H38" s="15"/>
      <c r="I38" s="10"/>
      <c r="J38" s="12"/>
      <c r="K38" s="2"/>
      <c r="L38" s="2"/>
      <c r="M38" s="2"/>
      <c r="N38" s="5" t="str">
        <f>IF(B38="","",IFERROR(LOOKUP(2,1/(单次交易!$A$2:$A$88=B38),单次交易!$N$2:$N$88),""))</f>
        <v/>
      </c>
      <c r="O38" s="5" t="str">
        <f t="shared" si="9"/>
        <v/>
      </c>
      <c r="P38" s="11" t="str">
        <f t="shared" si="10"/>
        <v/>
      </c>
      <c r="Q38" s="5" t="str">
        <f t="shared" si="11"/>
        <v/>
      </c>
      <c r="R38" s="10"/>
      <c r="S38" s="5" t="str">
        <f t="shared" si="12"/>
        <v/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IF(X38&lt;&gt;"执行卖出","",IFERROR(LOOKUP(2,1/(单次交易!$A$2:$A$88=B38),单次交易!$AP$2:$AP$88),""))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IF(B39="","",IFERROR(LOOKUP(2,1/(单次交易!$A$2:$A$88=B39),单次交易!$B$2:$B$88),""))</f>
        <v/>
      </c>
      <c r="D39" s="12"/>
      <c r="E39" s="10"/>
      <c r="F39" s="10"/>
      <c r="G39" s="2"/>
      <c r="H39" s="15"/>
      <c r="I39" s="10"/>
      <c r="J39" s="12"/>
      <c r="K39" s="2"/>
      <c r="L39" s="2"/>
      <c r="M39" s="2"/>
      <c r="N39" s="5" t="str">
        <f>IF(B39="","",IFERROR(LOOKUP(2,1/(单次交易!$A$2:$A$88=B39),单次交易!$N$2:$N$88),""))</f>
        <v/>
      </c>
      <c r="O39" s="5" t="str">
        <f t="shared" si="9"/>
        <v/>
      </c>
      <c r="P39" s="11" t="str">
        <f t="shared" si="10"/>
        <v/>
      </c>
      <c r="Q39" s="5" t="str">
        <f t="shared" si="11"/>
        <v/>
      </c>
      <c r="R39" s="10"/>
      <c r="S39" s="5" t="str">
        <f t="shared" si="12"/>
        <v/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IF(X39&lt;&gt;"执行卖出","",IFERROR(LOOKUP(2,1/(单次交易!$A$2:$A$88=B39),单次交易!$AP$2:$AP$88),""))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IF(B40="","",IFERROR(LOOKUP(2,1/(单次交易!$A$2:$A$88=B40),单次交易!$B$2:$B$88),""))</f>
        <v/>
      </c>
      <c r="D40" s="12"/>
      <c r="E40" s="10"/>
      <c r="F40" s="10"/>
      <c r="G40" s="2"/>
      <c r="H40" s="15"/>
      <c r="I40" s="10"/>
      <c r="J40" s="12"/>
      <c r="K40" s="2"/>
      <c r="L40" s="2"/>
      <c r="M40" s="2"/>
      <c r="N40" s="5" t="str">
        <f>IF(B40="","",IFERROR(LOOKUP(2,1/(单次交易!$A$2:$A$88=B40),单次交易!$N$2:$N$88),""))</f>
        <v/>
      </c>
      <c r="O40" s="5" t="str">
        <f t="shared" si="9"/>
        <v/>
      </c>
      <c r="P40" s="11" t="str">
        <f t="shared" si="10"/>
        <v/>
      </c>
      <c r="Q40" s="5" t="str">
        <f t="shared" si="11"/>
        <v/>
      </c>
      <c r="R40" s="10"/>
      <c r="S40" s="5" t="str">
        <f t="shared" si="12"/>
        <v/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IF(X40&lt;&gt;"执行卖出","",IFERROR(LOOKUP(2,1/(单次交易!$A$2:$A$88=B40),单次交易!$AP$2:$AP$88),""))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IF(B41="","",IFERROR(LOOKUP(2,1/(单次交易!$A$2:$A$88=B41),单次交易!$B$2:$B$88),""))</f>
        <v/>
      </c>
      <c r="D41" s="12"/>
      <c r="E41" s="10"/>
      <c r="F41" s="10"/>
      <c r="G41" s="2"/>
      <c r="H41" s="15"/>
      <c r="I41" s="10"/>
      <c r="J41" s="12"/>
      <c r="K41" s="2"/>
      <c r="L41" s="2"/>
      <c r="M41" s="2"/>
      <c r="N41" s="5" t="str">
        <f>IF(B41="","",IFERROR(LOOKUP(2,1/(单次交易!$A$2:$A$88=B41),单次交易!$N$2:$N$88),""))</f>
        <v/>
      </c>
      <c r="O41" s="5" t="str">
        <f t="shared" si="9"/>
        <v/>
      </c>
      <c r="P41" s="11" t="str">
        <f t="shared" si="10"/>
        <v/>
      </c>
      <c r="Q41" s="5" t="str">
        <f t="shared" si="11"/>
        <v/>
      </c>
      <c r="R41" s="10"/>
      <c r="S41" s="5" t="str">
        <f t="shared" si="12"/>
        <v/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IF(X41&lt;&gt;"执行卖出","",IFERROR(LOOKUP(2,1/(单次交易!$A$2:$A$88=B41),单次交易!$AP$2:$AP$88),""))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IF(B42="","",IFERROR(LOOKUP(2,1/(单次交易!$A$2:$A$88=B42),单次交易!$B$2:$B$88),""))</f>
        <v/>
      </c>
      <c r="D42" s="12"/>
      <c r="E42" s="10"/>
      <c r="F42" s="10"/>
      <c r="G42" s="2"/>
      <c r="H42" s="15"/>
      <c r="I42" s="10"/>
      <c r="J42" s="12"/>
      <c r="K42" s="2"/>
      <c r="L42" s="2"/>
      <c r="M42" s="2"/>
      <c r="N42" s="5" t="str">
        <f>IF(B42="","",IFERROR(LOOKUP(2,1/(单次交易!$A$2:$A$88=B42),单次交易!$N$2:$N$88),""))</f>
        <v/>
      </c>
      <c r="O42" s="5" t="str">
        <f t="shared" si="9"/>
        <v/>
      </c>
      <c r="P42" s="11" t="str">
        <f t="shared" si="10"/>
        <v/>
      </c>
      <c r="Q42" s="5" t="str">
        <f t="shared" si="11"/>
        <v/>
      </c>
      <c r="R42" s="10"/>
      <c r="S42" s="5" t="str">
        <f t="shared" si="12"/>
        <v/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/>
      </c>
      <c r="X42" s="2"/>
      <c r="Y42" s="10"/>
      <c r="Z42" s="11" t="str">
        <f>IF(X42&lt;&gt;"执行卖出","",IFERROR(LOOKUP(2,1/(单次交易!$A$2:$A$88=B42),单次交易!$AP$2:$AP$88),""))</f>
        <v/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IF(B43="","",IFERROR(LOOKUP(2,1/(单次交易!$A$2:$A$88=B43),单次交易!$B$2:$B$88),""))</f>
        <v/>
      </c>
      <c r="D43" s="12"/>
      <c r="E43" s="10"/>
      <c r="F43" s="10"/>
      <c r="G43" s="2"/>
      <c r="H43" s="15"/>
      <c r="I43" s="10"/>
      <c r="J43" s="12"/>
      <c r="K43" s="2"/>
      <c r="L43" s="2"/>
      <c r="M43" s="2"/>
      <c r="N43" s="5" t="str">
        <f>IF(B43="","",IFERROR(LOOKUP(2,1/(单次交易!$A$2:$A$88=B43),单次交易!$N$2:$N$88),""))</f>
        <v/>
      </c>
      <c r="O43" s="5" t="str">
        <f t="shared" si="9"/>
        <v/>
      </c>
      <c r="P43" s="11" t="str">
        <f t="shared" si="10"/>
        <v/>
      </c>
      <c r="Q43" s="5" t="str">
        <f t="shared" si="11"/>
        <v/>
      </c>
      <c r="R43" s="10"/>
      <c r="S43" s="5" t="str">
        <f t="shared" si="12"/>
        <v/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/>
      </c>
      <c r="X43" s="2"/>
      <c r="Y43" s="10"/>
      <c r="Z43" s="11" t="str">
        <f>IF(X43&lt;&gt;"执行卖出","",IFERROR(LOOKUP(2,1/(单次交易!$A$2:$A$88=B43),单次交易!$AP$2:$AP$88),""))</f>
        <v/>
      </c>
      <c r="AA43" s="10"/>
      <c r="AB43" s="8" t="str">
        <f t="shared" si="17"/>
        <v/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IF(B44="","",IFERROR(LOOKUP(2,1/(单次交易!$A$2:$A$88=B44),单次交易!$B$2:$B$88),""))</f>
        <v/>
      </c>
      <c r="D44" s="12"/>
      <c r="E44" s="10"/>
      <c r="F44" s="10"/>
      <c r="G44" s="2"/>
      <c r="H44" s="15"/>
      <c r="I44" s="10"/>
      <c r="J44" s="12"/>
      <c r="K44" s="2"/>
      <c r="L44" s="2"/>
      <c r="M44" s="2"/>
      <c r="N44" s="5" t="str">
        <f>IF(B44="","",IFERROR(LOOKUP(2,1/(单次交易!$A$2:$A$88=B44),单次交易!$N$2:$N$88),""))</f>
        <v/>
      </c>
      <c r="O44" s="5" t="str">
        <f t="shared" si="9"/>
        <v/>
      </c>
      <c r="P44" s="11" t="str">
        <f t="shared" si="10"/>
        <v/>
      </c>
      <c r="Q44" s="5" t="str">
        <f t="shared" si="11"/>
        <v/>
      </c>
      <c r="R44" s="10"/>
      <c r="S44" s="5" t="str">
        <f t="shared" si="12"/>
        <v/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/>
      </c>
      <c r="X44" s="2"/>
      <c r="Y44" s="10"/>
      <c r="Z44" s="11" t="str">
        <f>IF(X44&lt;&gt;"执行卖出","",IFERROR(LOOKUP(2,1/(单次交易!$A$2:$A$88=B44),单次交易!$AP$2:$AP$88),""))</f>
        <v/>
      </c>
      <c r="AA44" s="10"/>
      <c r="AB44" s="8" t="str">
        <f t="shared" si="17"/>
        <v/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IF(B45="","",IFERROR(LOOKUP(2,1/(单次交易!$A$2:$A$88=B45),单次交易!$B$2:$B$88),""))</f>
        <v/>
      </c>
      <c r="D45" s="12"/>
      <c r="E45" s="10"/>
      <c r="F45" s="10"/>
      <c r="G45" s="2"/>
      <c r="H45" s="15"/>
      <c r="I45" s="10"/>
      <c r="J45" s="12"/>
      <c r="K45" s="2"/>
      <c r="L45" s="2"/>
      <c r="M45" s="2"/>
      <c r="N45" s="5" t="str">
        <f>IF(B45="","",IFERROR(LOOKUP(2,1/(单次交易!$A$2:$A$88=B45),单次交易!$N$2:$N$88),""))</f>
        <v/>
      </c>
      <c r="O45" s="5" t="str">
        <f t="shared" si="9"/>
        <v/>
      </c>
      <c r="P45" s="11" t="str">
        <f t="shared" si="10"/>
        <v/>
      </c>
      <c r="Q45" s="5" t="str">
        <f t="shared" si="11"/>
        <v/>
      </c>
      <c r="R45" s="10"/>
      <c r="S45" s="5" t="str">
        <f t="shared" si="12"/>
        <v/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/>
      </c>
      <c r="X45" s="2"/>
      <c r="Y45" s="10"/>
      <c r="Z45" s="11" t="str">
        <f>IF(X45&lt;&gt;"执行卖出","",IFERROR(LOOKUP(2,1/(单次交易!$A$2:$A$88=B45),单次交易!$AP$2:$AP$88),""))</f>
        <v/>
      </c>
      <c r="AA45" s="10"/>
      <c r="AB45" s="8" t="str">
        <f t="shared" si="17"/>
        <v/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IF(B46="","",IFERROR(LOOKUP(2,1/(单次交易!$A$2:$A$88=B46),单次交易!$B$2:$B$88),""))</f>
        <v/>
      </c>
      <c r="D46" s="12"/>
      <c r="E46" s="10"/>
      <c r="F46" s="10"/>
      <c r="G46" s="2"/>
      <c r="H46" s="15"/>
      <c r="I46" s="10"/>
      <c r="J46" s="12"/>
      <c r="K46" s="2"/>
      <c r="L46" s="2"/>
      <c r="M46" s="2"/>
      <c r="N46" s="5" t="str">
        <f>IF(B46="","",IFERROR(LOOKUP(2,1/(单次交易!$A$2:$A$88=B46),单次交易!$N$2:$N$88),""))</f>
        <v/>
      </c>
      <c r="O46" s="5" t="str">
        <f t="shared" si="9"/>
        <v/>
      </c>
      <c r="P46" s="11" t="str">
        <f t="shared" si="10"/>
        <v/>
      </c>
      <c r="Q46" s="5" t="str">
        <f t="shared" si="11"/>
        <v/>
      </c>
      <c r="R46" s="10"/>
      <c r="S46" s="5" t="str">
        <f t="shared" si="12"/>
        <v/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/>
      </c>
      <c r="X46" s="2"/>
      <c r="Y46" s="10"/>
      <c r="Z46" s="11" t="str">
        <f>IF(X46&lt;&gt;"执行卖出","",IFERROR(LOOKUP(2,1/(单次交易!$A$2:$A$88=B46),单次交易!$AP$2:$AP$88),""))</f>
        <v/>
      </c>
      <c r="AA46" s="10"/>
      <c r="AB46" s="8" t="str">
        <f t="shared" si="17"/>
        <v/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IF(B47="","",IFERROR(LOOKUP(2,1/(单次交易!$A$2:$A$88=B47),单次交易!$B$2:$B$88),""))</f>
        <v/>
      </c>
      <c r="D47" s="12"/>
      <c r="E47" s="10"/>
      <c r="F47" s="10"/>
      <c r="G47" s="2"/>
      <c r="H47" s="15"/>
      <c r="I47" s="10"/>
      <c r="J47" s="12"/>
      <c r="K47" s="2"/>
      <c r="L47" s="2"/>
      <c r="M47" s="2"/>
      <c r="N47" s="5" t="str">
        <f>IF(B47="","",IFERROR(LOOKUP(2,1/(单次交易!$A$2:$A$88=B47),单次交易!$N$2:$N$88),""))</f>
        <v/>
      </c>
      <c r="O47" s="5" t="str">
        <f t="shared" si="9"/>
        <v/>
      </c>
      <c r="P47" s="11" t="str">
        <f t="shared" si="10"/>
        <v/>
      </c>
      <c r="Q47" s="5" t="str">
        <f t="shared" si="11"/>
        <v/>
      </c>
      <c r="R47" s="10"/>
      <c r="S47" s="5" t="str">
        <f t="shared" si="12"/>
        <v/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/>
      </c>
      <c r="X47" s="2"/>
      <c r="Y47" s="10"/>
      <c r="Z47" s="11" t="str">
        <f>IF(X47&lt;&gt;"执行卖出","",IFERROR(LOOKUP(2,1/(单次交易!$A$2:$A$88=B47),单次交易!$AP$2:$AP$88),""))</f>
        <v/>
      </c>
      <c r="AA47" s="10"/>
      <c r="AB47" s="8" t="str">
        <f t="shared" si="17"/>
        <v/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IF(B48="","",IFERROR(LOOKUP(2,1/(单次交易!$A$2:$A$88=B48),单次交易!$B$2:$B$88),""))</f>
        <v/>
      </c>
      <c r="D48" s="12"/>
      <c r="E48" s="10"/>
      <c r="F48" s="10"/>
      <c r="G48" s="2"/>
      <c r="H48" s="15"/>
      <c r="I48" s="10"/>
      <c r="J48" s="12"/>
      <c r="K48" s="2"/>
      <c r="L48" s="2"/>
      <c r="M48" s="2"/>
      <c r="N48" s="5" t="str">
        <f>IF(B48="","",IFERROR(LOOKUP(2,1/(单次交易!$A$2:$A$88=B48),单次交易!$N$2:$N$88),""))</f>
        <v/>
      </c>
      <c r="O48" s="5" t="str">
        <f t="shared" si="9"/>
        <v/>
      </c>
      <c r="P48" s="11" t="str">
        <f t="shared" si="10"/>
        <v/>
      </c>
      <c r="Q48" s="5" t="str">
        <f t="shared" si="11"/>
        <v/>
      </c>
      <c r="R48" s="10"/>
      <c r="S48" s="5" t="str">
        <f t="shared" si="12"/>
        <v/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/>
      </c>
      <c r="X48" s="2"/>
      <c r="Y48" s="10"/>
      <c r="Z48" s="11" t="str">
        <f>IF(X48&lt;&gt;"执行卖出","",IFERROR(LOOKUP(2,1/(单次交易!$A$2:$A$88=B48),单次交易!$AP$2:$AP$88),""))</f>
        <v/>
      </c>
      <c r="AA48" s="10"/>
      <c r="AB48" s="8" t="str">
        <f t="shared" si="17"/>
        <v/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IF(B49="","",IFERROR(LOOKUP(2,1/(单次交易!$A$2:$A$88=B49),单次交易!$B$2:$B$88),""))</f>
        <v/>
      </c>
      <c r="D49" s="12"/>
      <c r="E49" s="10"/>
      <c r="F49" s="10"/>
      <c r="G49" s="2"/>
      <c r="H49" s="15"/>
      <c r="I49" s="10"/>
      <c r="J49" s="12"/>
      <c r="K49" s="2"/>
      <c r="L49" s="2"/>
      <c r="M49" s="2"/>
      <c r="N49" s="5" t="str">
        <f>IF(B49="","",IFERROR(LOOKUP(2,1/(单次交易!$A$2:$A$88=B49),单次交易!$N$2:$N$88),""))</f>
        <v/>
      </c>
      <c r="O49" s="5" t="str">
        <f t="shared" si="9"/>
        <v/>
      </c>
      <c r="P49" s="11" t="str">
        <f t="shared" si="10"/>
        <v/>
      </c>
      <c r="Q49" s="5" t="str">
        <f t="shared" si="11"/>
        <v/>
      </c>
      <c r="R49" s="10"/>
      <c r="S49" s="5" t="str">
        <f t="shared" si="12"/>
        <v/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/>
      </c>
      <c r="X49" s="2"/>
      <c r="Y49" s="10"/>
      <c r="Z49" s="11" t="str">
        <f>IF(X49&lt;&gt;"执行卖出","",IFERROR(LOOKUP(2,1/(单次交易!$A$2:$A$88=B49),单次交易!$AP$2:$AP$88),""))</f>
        <v/>
      </c>
      <c r="AA49" s="10"/>
      <c r="AB49" s="8" t="str">
        <f t="shared" si="17"/>
        <v/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IF(B50="","",IFERROR(LOOKUP(2,1/(单次交易!$A$2:$A$88=B50),单次交易!$B$2:$B$88),""))</f>
        <v/>
      </c>
      <c r="D50" s="12"/>
      <c r="E50" s="10"/>
      <c r="F50" s="10"/>
      <c r="G50" s="2"/>
      <c r="H50" s="15"/>
      <c r="I50" s="10"/>
      <c r="J50" s="12"/>
      <c r="K50" s="2"/>
      <c r="L50" s="2"/>
      <c r="M50" s="2"/>
      <c r="N50" s="5" t="str">
        <f>IF(B50="","",IFERROR(LOOKUP(2,1/(单次交易!$A$2:$A$88=B50),单次交易!$N$2:$N$88),""))</f>
        <v/>
      </c>
      <c r="O50" s="5" t="str">
        <f t="shared" si="9"/>
        <v/>
      </c>
      <c r="P50" s="11" t="str">
        <f t="shared" si="10"/>
        <v/>
      </c>
      <c r="Q50" s="5" t="str">
        <f t="shared" si="11"/>
        <v/>
      </c>
      <c r="R50" s="10"/>
      <c r="S50" s="5" t="str">
        <f t="shared" si="12"/>
        <v/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/>
      </c>
      <c r="X50" s="2"/>
      <c r="Y50" s="10"/>
      <c r="Z50" s="11" t="str">
        <f>IF(X50&lt;&gt;"执行卖出","",IFERROR(LOOKUP(2,1/(单次交易!$A$2:$A$88=B50),单次交易!$AP$2:$AP$88),""))</f>
        <v/>
      </c>
      <c r="AA50" s="10"/>
      <c r="AB50" s="8" t="str">
        <f t="shared" si="17"/>
        <v/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IF(B51="","",IFERROR(LOOKUP(2,1/(单次交易!$A$2:$A$88=B51),单次交易!$B$2:$B$88),""))</f>
        <v/>
      </c>
      <c r="D51" s="12"/>
      <c r="E51" s="10"/>
      <c r="F51" s="10"/>
      <c r="G51" s="2"/>
      <c r="H51" s="15"/>
      <c r="I51" s="10"/>
      <c r="J51" s="12"/>
      <c r="K51" s="2"/>
      <c r="L51" s="2"/>
      <c r="M51" s="2"/>
      <c r="N51" s="5" t="str">
        <f>IF(B51="","",IFERROR(LOOKUP(2,1/(单次交易!$A$2:$A$88=B51),单次交易!$N$2:$N$88),""))</f>
        <v/>
      </c>
      <c r="O51" s="5" t="str">
        <f t="shared" si="9"/>
        <v/>
      </c>
      <c r="P51" s="11" t="str">
        <f t="shared" si="10"/>
        <v/>
      </c>
      <c r="Q51" s="5" t="str">
        <f t="shared" si="11"/>
        <v/>
      </c>
      <c r="R51" s="10"/>
      <c r="S51" s="5" t="str">
        <f t="shared" si="12"/>
        <v/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/>
      </c>
      <c r="X51" s="2"/>
      <c r="Y51" s="10"/>
      <c r="Z51" s="11" t="str">
        <f>IF(X51&lt;&gt;"执行卖出","",IFERROR(LOOKUP(2,1/(单次交易!$A$2:$A$88=B51),单次交易!$AP$2:$AP$88),""))</f>
        <v/>
      </c>
      <c r="AA51" s="10"/>
      <c r="AB51" s="8" t="str">
        <f t="shared" si="17"/>
        <v/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IF(B52="","",IFERROR(LOOKUP(2,1/(单次交易!$A$2:$A$88=B52),单次交易!$B$2:$B$88),""))</f>
        <v/>
      </c>
      <c r="D52" s="12"/>
      <c r="E52" s="10"/>
      <c r="F52" s="10"/>
      <c r="G52" s="2"/>
      <c r="H52" s="15"/>
      <c r="I52" s="10"/>
      <c r="J52" s="12"/>
      <c r="K52" s="2"/>
      <c r="L52" s="2"/>
      <c r="M52" s="2"/>
      <c r="N52" s="5" t="str">
        <f>IF(B52="","",IFERROR(LOOKUP(2,1/(单次交易!$A$2:$A$88=B52),单次交易!$N$2:$N$88),""))</f>
        <v/>
      </c>
      <c r="O52" s="5" t="str">
        <f t="shared" si="9"/>
        <v/>
      </c>
      <c r="P52" s="11" t="str">
        <f t="shared" si="10"/>
        <v/>
      </c>
      <c r="Q52" s="5" t="str">
        <f t="shared" si="11"/>
        <v/>
      </c>
      <c r="R52" s="10"/>
      <c r="S52" s="5" t="str">
        <f t="shared" si="12"/>
        <v/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/>
      </c>
      <c r="X52" s="2"/>
      <c r="Y52" s="10"/>
      <c r="Z52" s="11" t="str">
        <f>IF(X52&lt;&gt;"执行卖出","",IFERROR(LOOKUP(2,1/(单次交易!$A$2:$A$88=B52),单次交易!$AP$2:$AP$88),""))</f>
        <v/>
      </c>
      <c r="AA52" s="10"/>
      <c r="AB52" s="8" t="str">
        <f t="shared" si="17"/>
        <v/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IF(B53="","",IFERROR(LOOKUP(2,1/(单次交易!$A$2:$A$88=B53),单次交易!$B$2:$B$88),""))</f>
        <v/>
      </c>
      <c r="D53" s="12"/>
      <c r="E53" s="10"/>
      <c r="F53" s="10"/>
      <c r="G53" s="2"/>
      <c r="H53" s="15"/>
      <c r="I53" s="10"/>
      <c r="J53" s="12"/>
      <c r="K53" s="2"/>
      <c r="L53" s="2"/>
      <c r="M53" s="2"/>
      <c r="N53" s="5" t="str">
        <f>IF(B53="","",IFERROR(LOOKUP(2,1/(单次交易!$A$2:$A$88=B53),单次交易!$N$2:$N$88),""))</f>
        <v/>
      </c>
      <c r="O53" s="5" t="str">
        <f t="shared" si="9"/>
        <v/>
      </c>
      <c r="P53" s="11" t="str">
        <f t="shared" si="10"/>
        <v/>
      </c>
      <c r="Q53" s="5" t="str">
        <f t="shared" si="11"/>
        <v/>
      </c>
      <c r="R53" s="10"/>
      <c r="S53" s="5" t="str">
        <f t="shared" si="12"/>
        <v/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/>
      </c>
      <c r="X53" s="2"/>
      <c r="Y53" s="10"/>
      <c r="Z53" s="11" t="str">
        <f>IF(X53&lt;&gt;"执行卖出","",IFERROR(LOOKUP(2,1/(单次交易!$A$2:$A$88=B53),单次交易!$AP$2:$AP$88),""))</f>
        <v/>
      </c>
      <c r="AA53" s="10"/>
      <c r="AB53" s="8" t="str">
        <f t="shared" si="17"/>
        <v/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IF(B54="","",IFERROR(LOOKUP(2,1/(单次交易!$A$2:$A$88=B54),单次交易!$B$2:$B$88),""))</f>
        <v/>
      </c>
      <c r="D54" s="12"/>
      <c r="E54" s="10"/>
      <c r="F54" s="10"/>
      <c r="G54" s="2"/>
      <c r="H54" s="15"/>
      <c r="I54" s="10"/>
      <c r="J54" s="12"/>
      <c r="K54" s="2"/>
      <c r="L54" s="2"/>
      <c r="M54" s="2"/>
      <c r="N54" s="5" t="str">
        <f>IF(B54="","",IFERROR(LOOKUP(2,1/(单次交易!$A$2:$A$88=B54),单次交易!$N$2:$N$88),""))</f>
        <v/>
      </c>
      <c r="O54" s="5" t="str">
        <f t="shared" si="9"/>
        <v/>
      </c>
      <c r="P54" s="11" t="str">
        <f t="shared" si="10"/>
        <v/>
      </c>
      <c r="Q54" s="5" t="str">
        <f t="shared" si="11"/>
        <v/>
      </c>
      <c r="R54" s="10"/>
      <c r="S54" s="5" t="str">
        <f t="shared" si="12"/>
        <v/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/>
      </c>
      <c r="X54" s="2"/>
      <c r="Y54" s="10"/>
      <c r="Z54" s="11" t="str">
        <f>IF(X54&lt;&gt;"执行卖出","",IFERROR(LOOKUP(2,1/(单次交易!$A$2:$A$88=B54),单次交易!$AP$2:$AP$88),""))</f>
        <v/>
      </c>
      <c r="AA54" s="10"/>
      <c r="AB54" s="8" t="str">
        <f t="shared" si="17"/>
        <v/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IF(B55="","",IFERROR(LOOKUP(2,1/(单次交易!$A$2:$A$88=B55),单次交易!$B$2:$B$88),""))</f>
        <v/>
      </c>
      <c r="D55" s="12"/>
      <c r="E55" s="10"/>
      <c r="F55" s="10"/>
      <c r="G55" s="2"/>
      <c r="H55" s="15"/>
      <c r="I55" s="10"/>
      <c r="J55" s="12"/>
      <c r="K55" s="2"/>
      <c r="L55" s="2"/>
      <c r="M55" s="2"/>
      <c r="N55" s="5" t="str">
        <f>IF(B55="","",IFERROR(LOOKUP(2,1/(单次交易!$A$2:$A$88=B55),单次交易!$N$2:$N$88),""))</f>
        <v/>
      </c>
      <c r="O55" s="5" t="str">
        <f t="shared" si="9"/>
        <v/>
      </c>
      <c r="P55" s="11" t="str">
        <f t="shared" si="10"/>
        <v/>
      </c>
      <c r="Q55" s="5" t="str">
        <f t="shared" si="11"/>
        <v/>
      </c>
      <c r="R55" s="10"/>
      <c r="S55" s="5" t="str">
        <f t="shared" si="12"/>
        <v/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/>
      </c>
      <c r="X55" s="2"/>
      <c r="Y55" s="10"/>
      <c r="Z55" s="11" t="str">
        <f>IF(X55&lt;&gt;"执行卖出","",IFERROR(LOOKUP(2,1/(单次交易!$A$2:$A$88=B55),单次交易!$AP$2:$AP$88),""))</f>
        <v/>
      </c>
      <c r="AA55" s="10"/>
      <c r="AB55" s="8" t="str">
        <f t="shared" si="17"/>
        <v/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IF(B56="","",IFERROR(LOOKUP(2,1/(单次交易!$A$2:$A$88=B56),单次交易!$B$2:$B$88),""))</f>
        <v/>
      </c>
      <c r="D56" s="12"/>
      <c r="E56" s="10"/>
      <c r="F56" s="10"/>
      <c r="G56" s="2"/>
      <c r="H56" s="15"/>
      <c r="I56" s="10"/>
      <c r="J56" s="12"/>
      <c r="K56" s="2"/>
      <c r="L56" s="2"/>
      <c r="M56" s="2"/>
      <c r="N56" s="5" t="str">
        <f>IF(B56="","",IFERROR(LOOKUP(2,1/(单次交易!$A$2:$A$88=B56),单次交易!$N$2:$N$88),""))</f>
        <v/>
      </c>
      <c r="O56" s="5" t="str">
        <f t="shared" si="9"/>
        <v/>
      </c>
      <c r="P56" s="11" t="str">
        <f t="shared" si="10"/>
        <v/>
      </c>
      <c r="Q56" s="5" t="str">
        <f t="shared" si="11"/>
        <v/>
      </c>
      <c r="R56" s="10"/>
      <c r="S56" s="5" t="str">
        <f t="shared" si="12"/>
        <v/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/>
      </c>
      <c r="X56" s="2"/>
      <c r="Y56" s="10"/>
      <c r="Z56" s="11" t="str">
        <f>IF(X56&lt;&gt;"执行卖出","",IFERROR(LOOKUP(2,1/(单次交易!$A$2:$A$88=B56),单次交易!$AP$2:$AP$88),""))</f>
        <v/>
      </c>
      <c r="AA56" s="10"/>
      <c r="AB56" s="8" t="str">
        <f t="shared" si="17"/>
        <v/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IF(B57="","",IFERROR(LOOKUP(2,1/(单次交易!$A$2:$A$88=B57),单次交易!$B$2:$B$88),""))</f>
        <v/>
      </c>
      <c r="D57" s="12"/>
      <c r="E57" s="10"/>
      <c r="F57" s="10"/>
      <c r="G57" s="2"/>
      <c r="H57" s="15"/>
      <c r="I57" s="10"/>
      <c r="J57" s="12"/>
      <c r="K57" s="2"/>
      <c r="L57" s="2"/>
      <c r="M57" s="2"/>
      <c r="N57" s="5" t="str">
        <f>IF(B57="","",IFERROR(LOOKUP(2,1/(单次交易!$A$2:$A$88=B57),单次交易!$N$2:$N$88),""))</f>
        <v/>
      </c>
      <c r="O57" s="5" t="str">
        <f t="shared" si="9"/>
        <v/>
      </c>
      <c r="P57" s="11" t="str">
        <f t="shared" si="10"/>
        <v/>
      </c>
      <c r="Q57" s="5" t="str">
        <f t="shared" si="11"/>
        <v/>
      </c>
      <c r="R57" s="10"/>
      <c r="S57" s="5" t="str">
        <f t="shared" si="12"/>
        <v/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/>
      </c>
      <c r="X57" s="2"/>
      <c r="Y57" s="10"/>
      <c r="Z57" s="11" t="str">
        <f>IF(X57&lt;&gt;"执行卖出","",IFERROR(LOOKUP(2,1/(单次交易!$A$2:$A$88=B57),单次交易!$AP$2:$AP$88),""))</f>
        <v/>
      </c>
      <c r="AA57" s="10"/>
      <c r="AB57" s="8" t="str">
        <f t="shared" si="17"/>
        <v/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IF(B58="","",IFERROR(LOOKUP(2,1/(单次交易!$A$2:$A$88=B58),单次交易!$B$2:$B$88),""))</f>
        <v/>
      </c>
      <c r="D58" s="12"/>
      <c r="E58" s="10"/>
      <c r="F58" s="10"/>
      <c r="G58" s="2"/>
      <c r="H58" s="15"/>
      <c r="I58" s="10"/>
      <c r="J58" s="12"/>
      <c r="K58" s="2"/>
      <c r="L58" s="2"/>
      <c r="M58" s="2"/>
      <c r="N58" s="5" t="str">
        <f>IF(B58="","",IFERROR(LOOKUP(2,1/(单次交易!$A$2:$A$88=B58),单次交易!$N$2:$N$88),""))</f>
        <v/>
      </c>
      <c r="O58" s="5" t="str">
        <f t="shared" si="9"/>
        <v/>
      </c>
      <c r="P58" s="11" t="str">
        <f t="shared" si="10"/>
        <v/>
      </c>
      <c r="Q58" s="5" t="str">
        <f t="shared" si="11"/>
        <v/>
      </c>
      <c r="R58" s="10"/>
      <c r="S58" s="5" t="str">
        <f t="shared" si="12"/>
        <v/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/>
      </c>
      <c r="X58" s="2"/>
      <c r="Y58" s="10"/>
      <c r="Z58" s="11" t="str">
        <f>IF(X58&lt;&gt;"执行卖出","",IFERROR(LOOKUP(2,1/(单次交易!$A$2:$A$88=B58),单次交易!$AP$2:$AP$88),""))</f>
        <v/>
      </c>
      <c r="AA58" s="10"/>
      <c r="AB58" s="8" t="str">
        <f t="shared" si="17"/>
        <v/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IF(B59="","",IFERROR(LOOKUP(2,1/(单次交易!$A$2:$A$88=B59),单次交易!$B$2:$B$88),""))</f>
        <v/>
      </c>
      <c r="D59" s="12"/>
      <c r="E59" s="10"/>
      <c r="F59" s="10"/>
      <c r="G59" s="2"/>
      <c r="H59" s="15"/>
      <c r="I59" s="10"/>
      <c r="J59" s="12"/>
      <c r="K59" s="2"/>
      <c r="L59" s="2"/>
      <c r="M59" s="2"/>
      <c r="N59" s="5" t="str">
        <f>IF(B59="","",IFERROR(LOOKUP(2,1/(单次交易!$A$2:$A$88=B59),单次交易!$N$2:$N$88),""))</f>
        <v/>
      </c>
      <c r="O59" s="5" t="str">
        <f t="shared" si="9"/>
        <v/>
      </c>
      <c r="P59" s="11" t="str">
        <f t="shared" si="10"/>
        <v/>
      </c>
      <c r="Q59" s="5" t="str">
        <f t="shared" si="11"/>
        <v/>
      </c>
      <c r="R59" s="10"/>
      <c r="S59" s="5" t="str">
        <f t="shared" si="12"/>
        <v/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/>
      </c>
      <c r="X59" s="2"/>
      <c r="Y59" s="10"/>
      <c r="Z59" s="11" t="str">
        <f>IF(X59&lt;&gt;"执行卖出","",IFERROR(LOOKUP(2,1/(单次交易!$A$2:$A$88=B59),单次交易!$AP$2:$AP$88),""))</f>
        <v/>
      </c>
      <c r="AA59" s="10"/>
      <c r="AB59" s="8" t="str">
        <f t="shared" si="17"/>
        <v/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IF(B60="","",IFERROR(LOOKUP(2,1/(单次交易!$A$2:$A$88=B60),单次交易!$B$2:$B$88),""))</f>
        <v/>
      </c>
      <c r="D60" s="12"/>
      <c r="E60" s="10"/>
      <c r="F60" s="10"/>
      <c r="G60" s="2"/>
      <c r="H60" s="15"/>
      <c r="I60" s="10"/>
      <c r="J60" s="12"/>
      <c r="K60" s="2"/>
      <c r="L60" s="2"/>
      <c r="M60" s="2"/>
      <c r="N60" s="5" t="str">
        <f>IF(B60="","",IFERROR(LOOKUP(2,1/(单次交易!$A$2:$A$88=B60),单次交易!$N$2:$N$88),""))</f>
        <v/>
      </c>
      <c r="O60" s="5" t="str">
        <f t="shared" si="9"/>
        <v/>
      </c>
      <c r="P60" s="11" t="str">
        <f t="shared" si="10"/>
        <v/>
      </c>
      <c r="Q60" s="5" t="str">
        <f t="shared" si="11"/>
        <v/>
      </c>
      <c r="R60" s="10"/>
      <c r="S60" s="5" t="str">
        <f t="shared" si="12"/>
        <v/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/>
      </c>
      <c r="X60" s="2"/>
      <c r="Y60" s="10"/>
      <c r="Z60" s="11" t="str">
        <f>IF(X60&lt;&gt;"执行卖出","",IFERROR(LOOKUP(2,1/(单次交易!$A$2:$A$88=B60),单次交易!$AP$2:$AP$88),""))</f>
        <v/>
      </c>
      <c r="AA60" s="10"/>
      <c r="AB60" s="8" t="str">
        <f t="shared" si="17"/>
        <v/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IF(B61="","",IFERROR(LOOKUP(2,1/(单次交易!$A$2:$A$88=B61),单次交易!$B$2:$B$88),""))</f>
        <v/>
      </c>
      <c r="D61" s="12"/>
      <c r="E61" s="10"/>
      <c r="F61" s="10"/>
      <c r="G61" s="2"/>
      <c r="H61" s="15"/>
      <c r="I61" s="10"/>
      <c r="J61" s="12"/>
      <c r="K61" s="2"/>
      <c r="L61" s="2"/>
      <c r="M61" s="2"/>
      <c r="N61" s="5" t="str">
        <f>IF(B61="","",IFERROR(LOOKUP(2,1/(单次交易!$A$2:$A$88=B61),单次交易!$N$2:$N$88),""))</f>
        <v/>
      </c>
      <c r="O61" s="5" t="str">
        <f t="shared" si="9"/>
        <v/>
      </c>
      <c r="P61" s="11" t="str">
        <f t="shared" si="10"/>
        <v/>
      </c>
      <c r="Q61" s="5" t="str">
        <f t="shared" si="11"/>
        <v/>
      </c>
      <c r="R61" s="10"/>
      <c r="S61" s="5" t="str">
        <f t="shared" si="12"/>
        <v/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/>
      </c>
      <c r="X61" s="2"/>
      <c r="Y61" s="10"/>
      <c r="Z61" s="11" t="str">
        <f>IF(X61&lt;&gt;"执行卖出","",IFERROR(LOOKUP(2,1/(单次交易!$A$2:$A$88=B61),单次交易!$AP$2:$AP$88),""))</f>
        <v/>
      </c>
      <c r="AA61" s="10"/>
      <c r="AB61" s="8" t="str">
        <f t="shared" si="17"/>
        <v/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IF(B62="","",IFERROR(LOOKUP(2,1/(单次交易!$A$2:$A$88=B62),单次交易!$B$2:$B$88),""))</f>
        <v/>
      </c>
      <c r="D62" s="12"/>
      <c r="E62" s="10"/>
      <c r="F62" s="10"/>
      <c r="G62" s="2"/>
      <c r="H62" s="15"/>
      <c r="I62" s="10"/>
      <c r="J62" s="12"/>
      <c r="K62" s="2"/>
      <c r="L62" s="2"/>
      <c r="M62" s="2"/>
      <c r="N62" s="5" t="str">
        <f>IF(B62="","",IFERROR(LOOKUP(2,1/(单次交易!$A$2:$A$88=B62),单次交易!$N$2:$N$88),""))</f>
        <v/>
      </c>
      <c r="O62" s="5" t="str">
        <f t="shared" si="9"/>
        <v/>
      </c>
      <c r="P62" s="11" t="str">
        <f t="shared" si="10"/>
        <v/>
      </c>
      <c r="Q62" s="5" t="str">
        <f t="shared" si="11"/>
        <v/>
      </c>
      <c r="R62" s="10"/>
      <c r="S62" s="5" t="str">
        <f t="shared" si="12"/>
        <v/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/>
      </c>
      <c r="X62" s="2"/>
      <c r="Y62" s="10"/>
      <c r="Z62" s="11" t="str">
        <f>IF(X62&lt;&gt;"执行卖出","",IFERROR(LOOKUP(2,1/(单次交易!$A$2:$A$88=B62),单次交易!$AP$2:$AP$88),""))</f>
        <v/>
      </c>
      <c r="AA62" s="10"/>
      <c r="AB62" s="8" t="str">
        <f t="shared" si="17"/>
        <v/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IF(B63="","",IFERROR(LOOKUP(2,1/(单次交易!$A$2:$A$88=B63),单次交易!$B$2:$B$88),""))</f>
        <v/>
      </c>
      <c r="D63" s="12"/>
      <c r="E63" s="10"/>
      <c r="F63" s="10"/>
      <c r="G63" s="2"/>
      <c r="H63" s="15"/>
      <c r="I63" s="10"/>
      <c r="J63" s="12"/>
      <c r="K63" s="2"/>
      <c r="L63" s="2"/>
      <c r="M63" s="2"/>
      <c r="N63" s="5" t="str">
        <f>IF(B63="","",IFERROR(LOOKUP(2,1/(单次交易!$A$2:$A$88=B63),单次交易!$N$2:$N$88),""))</f>
        <v/>
      </c>
      <c r="O63" s="5" t="str">
        <f t="shared" si="9"/>
        <v/>
      </c>
      <c r="P63" s="11" t="str">
        <f t="shared" si="10"/>
        <v/>
      </c>
      <c r="Q63" s="5" t="str">
        <f t="shared" si="11"/>
        <v/>
      </c>
      <c r="R63" s="10"/>
      <c r="S63" s="5" t="str">
        <f t="shared" si="12"/>
        <v/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/>
      </c>
      <c r="X63" s="2"/>
      <c r="Y63" s="10"/>
      <c r="Z63" s="11" t="str">
        <f>IF(X63&lt;&gt;"执行卖出","",IFERROR(LOOKUP(2,1/(单次交易!$A$2:$A$88=B63),单次交易!$AP$2:$AP$88),""))</f>
        <v/>
      </c>
      <c r="AA63" s="10"/>
      <c r="AB63" s="8" t="str">
        <f t="shared" si="17"/>
        <v/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IF(B64="","",IFERROR(LOOKUP(2,1/(单次交易!$A$2:$A$88=B64),单次交易!$B$2:$B$88),""))</f>
        <v/>
      </c>
      <c r="D64" s="12"/>
      <c r="E64" s="10"/>
      <c r="F64" s="10"/>
      <c r="G64" s="2"/>
      <c r="H64" s="15"/>
      <c r="I64" s="10"/>
      <c r="J64" s="12"/>
      <c r="K64" s="2"/>
      <c r="L64" s="2"/>
      <c r="M64" s="2"/>
      <c r="N64" s="5" t="str">
        <f>IF(B64="","",IFERROR(LOOKUP(2,1/(单次交易!$A$2:$A$88=B64),单次交易!$N$2:$N$88),""))</f>
        <v/>
      </c>
      <c r="O64" s="5" t="str">
        <f t="shared" si="9"/>
        <v/>
      </c>
      <c r="P64" s="11" t="str">
        <f t="shared" si="10"/>
        <v/>
      </c>
      <c r="Q64" s="5" t="str">
        <f t="shared" si="11"/>
        <v/>
      </c>
      <c r="R64" s="10"/>
      <c r="S64" s="5" t="str">
        <f t="shared" si="12"/>
        <v/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/>
      </c>
      <c r="X64" s="2"/>
      <c r="Y64" s="10"/>
      <c r="Z64" s="11" t="str">
        <f>IF(X64&lt;&gt;"执行卖出","",IFERROR(LOOKUP(2,1/(单次交易!$A$2:$A$88=B64),单次交易!$AP$2:$AP$88),""))</f>
        <v/>
      </c>
      <c r="AA64" s="10"/>
      <c r="AB64" s="8" t="str">
        <f t="shared" si="17"/>
        <v/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IF(B65="","",IFERROR(LOOKUP(2,1/(单次交易!$A$2:$A$88=B65),单次交易!$B$2:$B$88),""))</f>
        <v/>
      </c>
      <c r="D65" s="12"/>
      <c r="E65" s="10"/>
      <c r="F65" s="10"/>
      <c r="G65" s="2"/>
      <c r="H65" s="15"/>
      <c r="I65" s="10"/>
      <c r="J65" s="12"/>
      <c r="K65" s="2"/>
      <c r="L65" s="2"/>
      <c r="M65" s="2"/>
      <c r="N65" s="5" t="str">
        <f>IF(B65="","",IFERROR(LOOKUP(2,1/(单次交易!$A$2:$A$88=B65),单次交易!$N$2:$N$88),""))</f>
        <v/>
      </c>
      <c r="O65" s="5" t="str">
        <f t="shared" si="9"/>
        <v/>
      </c>
      <c r="P65" s="11" t="str">
        <f t="shared" si="10"/>
        <v/>
      </c>
      <c r="Q65" s="5" t="str">
        <f t="shared" si="11"/>
        <v/>
      </c>
      <c r="R65" s="10"/>
      <c r="S65" s="5" t="str">
        <f t="shared" si="12"/>
        <v/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/>
      </c>
      <c r="X65" s="2"/>
      <c r="Y65" s="10"/>
      <c r="Z65" s="11" t="str">
        <f>IF(X65&lt;&gt;"执行卖出","",IFERROR(LOOKUP(2,1/(单次交易!$A$2:$A$88=B65),单次交易!$AP$2:$AP$88),""))</f>
        <v/>
      </c>
      <c r="AA65" s="10"/>
      <c r="AB65" s="8" t="str">
        <f t="shared" si="17"/>
        <v/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IF(B66="","",IFERROR(LOOKUP(2,1/(单次交易!$A$2:$A$88=B66),单次交易!$B$2:$B$88),""))</f>
        <v/>
      </c>
      <c r="D66" s="12"/>
      <c r="E66" s="10"/>
      <c r="F66" s="10"/>
      <c r="G66" s="2"/>
      <c r="H66" s="15"/>
      <c r="I66" s="10"/>
      <c r="J66" s="12"/>
      <c r="K66" s="2"/>
      <c r="L66" s="2"/>
      <c r="M66" s="2"/>
      <c r="N66" s="5" t="str">
        <f>IF(B66="","",IFERROR(LOOKUP(2,1/(单次交易!$A$2:$A$88=B66),单次交易!$N$2:$N$88),""))</f>
        <v/>
      </c>
      <c r="O66" s="5" t="str">
        <f t="shared" ref="O66:O97" si="18">IF(A66&lt;&gt;"每日跟踪","",IF(OR(B66="",H66="",I66=""),"",IFERROR(SUMPRODUCT(MAX((($A$2:$A$157="每日跟踪")*($B$2:$B$157=B66)*($H$2:$H$157&lt;=H66))*$I$2:$I$157)),"")))</f>
        <v/>
      </c>
      <c r="P66" s="11" t="str">
        <f t="shared" ref="P66:P97" si="19">IF(A66&lt;&gt;"每日跟踪","",IF(O66="","",IFERROR(SUMPRODUCT(MAX((($A$2:$A$157="止损计划")*($B$2:$B$157=B66)*($E$2:$E$157&lt;=O66))*$D$2:$D$157)),0)))</f>
        <v/>
      </c>
      <c r="Q66" s="5" t="str">
        <f t="shared" ref="Q66:Q97" si="20">IF(A66&lt;&gt;"每日跟踪","",IF(N66="","",MAX(N66,IFERROR(SUMPRODUCT(MAX((($A$2:$A$157="止损计划")*($B$2:$B$157=B66)*($E$2:$E$157&lt;=O66))*$F$2:$F$157)),0))))</f>
        <v/>
      </c>
      <c r="R66" s="10"/>
      <c r="S66" s="5" t="str">
        <f t="shared" ref="S66:S97" si="21">IF(A66&lt;&gt;"每日跟踪","",IF(Q66="","",MAX(Q66,IFERROR(SUMPRODUCT(MAX((($A$2:$A$157="每日跟踪")*($B$2:$B$157=B66)*($H$2:$H$157&lt;=H66))*$R$2:$R$157)),0))))</f>
        <v/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/>
      </c>
      <c r="X66" s="2"/>
      <c r="Y66" s="10"/>
      <c r="Z66" s="11" t="str">
        <f>IF(X66&lt;&gt;"执行卖出","",IFERROR(LOOKUP(2,1/(单次交易!$A$2:$A$88=B66),单次交易!$AP$2:$AP$88),""))</f>
        <v/>
      </c>
      <c r="AA66" s="10"/>
      <c r="AB66" s="8" t="str">
        <f t="shared" si="17"/>
        <v/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IF(B67="","",IFERROR(LOOKUP(2,1/(单次交易!$A$2:$A$88=B67),单次交易!$B$2:$B$88),""))</f>
        <v/>
      </c>
      <c r="D67" s="12"/>
      <c r="E67" s="10"/>
      <c r="F67" s="10"/>
      <c r="G67" s="2"/>
      <c r="H67" s="15"/>
      <c r="I67" s="10"/>
      <c r="J67" s="12"/>
      <c r="K67" s="2"/>
      <c r="L67" s="2"/>
      <c r="M67" s="2"/>
      <c r="N67" s="5" t="str">
        <f>IF(B67="","",IFERROR(LOOKUP(2,1/(单次交易!$A$2:$A$88=B67),单次交易!$N$2:$N$88),""))</f>
        <v/>
      </c>
      <c r="O67" s="5" t="str">
        <f t="shared" si="18"/>
        <v/>
      </c>
      <c r="P67" s="11" t="str">
        <f t="shared" si="19"/>
        <v/>
      </c>
      <c r="Q67" s="5" t="str">
        <f t="shared" si="20"/>
        <v/>
      </c>
      <c r="R67" s="10"/>
      <c r="S67" s="5" t="str">
        <f t="shared" si="21"/>
        <v/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IF(X67&lt;&gt;"执行卖出","",IFERROR(LOOKUP(2,1/(单次交易!$A$2:$A$88=B67),单次交易!$AP$2:$AP$88),""))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IF(B68="","",IFERROR(LOOKUP(2,1/(单次交易!$A$2:$A$88=B68),单次交易!$B$2:$B$88),""))</f>
        <v/>
      </c>
      <c r="D68" s="12"/>
      <c r="E68" s="10"/>
      <c r="F68" s="10"/>
      <c r="G68" s="2"/>
      <c r="H68" s="15"/>
      <c r="I68" s="10"/>
      <c r="J68" s="12"/>
      <c r="K68" s="2"/>
      <c r="L68" s="2"/>
      <c r="M68" s="2"/>
      <c r="N68" s="5" t="str">
        <f>IF(B68="","",IFERROR(LOOKUP(2,1/(单次交易!$A$2:$A$88=B68),单次交易!$N$2:$N$88),""))</f>
        <v/>
      </c>
      <c r="O68" s="5" t="str">
        <f t="shared" si="18"/>
        <v/>
      </c>
      <c r="P68" s="11" t="str">
        <f t="shared" si="19"/>
        <v/>
      </c>
      <c r="Q68" s="5" t="str">
        <f t="shared" si="20"/>
        <v/>
      </c>
      <c r="R68" s="10"/>
      <c r="S68" s="5" t="str">
        <f t="shared" si="21"/>
        <v/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IF(X68&lt;&gt;"执行卖出","",IFERROR(LOOKUP(2,1/(单次交易!$A$2:$A$88=B68),单次交易!$AP$2:$AP$88),""))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IF(B69="","",IFERROR(LOOKUP(2,1/(单次交易!$A$2:$A$88=B69),单次交易!$B$2:$B$88),""))</f>
        <v/>
      </c>
      <c r="D69" s="12"/>
      <c r="E69" s="10"/>
      <c r="F69" s="10"/>
      <c r="G69" s="2"/>
      <c r="H69" s="15"/>
      <c r="I69" s="10"/>
      <c r="J69" s="12"/>
      <c r="K69" s="2"/>
      <c r="L69" s="2"/>
      <c r="M69" s="2"/>
      <c r="N69" s="5" t="str">
        <f>IF(B69="","",IFERROR(LOOKUP(2,1/(单次交易!$A$2:$A$88=B69),单次交易!$N$2:$N$88),""))</f>
        <v/>
      </c>
      <c r="O69" s="5" t="str">
        <f t="shared" si="18"/>
        <v/>
      </c>
      <c r="P69" s="11" t="str">
        <f t="shared" si="19"/>
        <v/>
      </c>
      <c r="Q69" s="5" t="str">
        <f t="shared" si="20"/>
        <v/>
      </c>
      <c r="R69" s="10"/>
      <c r="S69" s="5" t="str">
        <f t="shared" si="21"/>
        <v/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IF(X69&lt;&gt;"执行卖出","",IFERROR(LOOKUP(2,1/(单次交易!$A$2:$A$88=B69),单次交易!$AP$2:$AP$88),""))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IF(B70="","",IFERROR(LOOKUP(2,1/(单次交易!$A$2:$A$88=B70),单次交易!$B$2:$B$88),""))</f>
        <v/>
      </c>
      <c r="D70" s="12"/>
      <c r="E70" s="10"/>
      <c r="F70" s="10"/>
      <c r="G70" s="2"/>
      <c r="H70" s="15"/>
      <c r="I70" s="10"/>
      <c r="J70" s="12"/>
      <c r="K70" s="2"/>
      <c r="L70" s="2"/>
      <c r="M70" s="2"/>
      <c r="N70" s="5" t="str">
        <f>IF(B70="","",IFERROR(LOOKUP(2,1/(单次交易!$A$2:$A$88=B70),单次交易!$N$2:$N$88),""))</f>
        <v/>
      </c>
      <c r="O70" s="5" t="str">
        <f t="shared" si="18"/>
        <v/>
      </c>
      <c r="P70" s="11" t="str">
        <f t="shared" si="19"/>
        <v/>
      </c>
      <c r="Q70" s="5" t="str">
        <f t="shared" si="20"/>
        <v/>
      </c>
      <c r="R70" s="10"/>
      <c r="S70" s="5" t="str">
        <f t="shared" si="21"/>
        <v/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IF(X70&lt;&gt;"执行卖出","",IFERROR(LOOKUP(2,1/(单次交易!$A$2:$A$88=B70),单次交易!$AP$2:$AP$88),""))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IF(B71="","",IFERROR(LOOKUP(2,1/(单次交易!$A$2:$A$88=B71),单次交易!$B$2:$B$88),""))</f>
        <v/>
      </c>
      <c r="D71" s="12"/>
      <c r="E71" s="10"/>
      <c r="F71" s="10"/>
      <c r="G71" s="2"/>
      <c r="H71" s="15"/>
      <c r="I71" s="10"/>
      <c r="J71" s="12"/>
      <c r="K71" s="2"/>
      <c r="L71" s="2"/>
      <c r="M71" s="2"/>
      <c r="N71" s="5" t="str">
        <f>IF(B71="","",IFERROR(LOOKUP(2,1/(单次交易!$A$2:$A$88=B71),单次交易!$N$2:$N$88),""))</f>
        <v/>
      </c>
      <c r="O71" s="5" t="str">
        <f t="shared" si="18"/>
        <v/>
      </c>
      <c r="P71" s="11" t="str">
        <f t="shared" si="19"/>
        <v/>
      </c>
      <c r="Q71" s="5" t="str">
        <f t="shared" si="20"/>
        <v/>
      </c>
      <c r="R71" s="10"/>
      <c r="S71" s="5" t="str">
        <f t="shared" si="21"/>
        <v/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IF(X71&lt;&gt;"执行卖出","",IFERROR(LOOKUP(2,1/(单次交易!$A$2:$A$88=B71),单次交易!$AP$2:$AP$88),""))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IF(B72="","",IFERROR(LOOKUP(2,1/(单次交易!$A$2:$A$88=B72),单次交易!$B$2:$B$88),""))</f>
        <v/>
      </c>
      <c r="D72" s="12"/>
      <c r="E72" s="10"/>
      <c r="F72" s="10"/>
      <c r="G72" s="2"/>
      <c r="H72" s="15"/>
      <c r="I72" s="10"/>
      <c r="J72" s="12"/>
      <c r="K72" s="2"/>
      <c r="L72" s="2"/>
      <c r="M72" s="2"/>
      <c r="N72" s="5" t="str">
        <f>IF(B72="","",IFERROR(LOOKUP(2,1/(单次交易!$A$2:$A$88=B72),单次交易!$N$2:$N$88),""))</f>
        <v/>
      </c>
      <c r="O72" s="5" t="str">
        <f t="shared" si="18"/>
        <v/>
      </c>
      <c r="P72" s="11" t="str">
        <f t="shared" si="19"/>
        <v/>
      </c>
      <c r="Q72" s="5" t="str">
        <f t="shared" si="20"/>
        <v/>
      </c>
      <c r="R72" s="10"/>
      <c r="S72" s="5" t="str">
        <f t="shared" si="21"/>
        <v/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IF(X72&lt;&gt;"执行卖出","",IFERROR(LOOKUP(2,1/(单次交易!$A$2:$A$88=B72),单次交易!$AP$2:$AP$88),""))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IF(B73="","",IFERROR(LOOKUP(2,1/(单次交易!$A$2:$A$88=B73),单次交易!$B$2:$B$88),""))</f>
        <v/>
      </c>
      <c r="D73" s="12"/>
      <c r="E73" s="10"/>
      <c r="F73" s="10"/>
      <c r="G73" s="2"/>
      <c r="H73" s="15"/>
      <c r="I73" s="10"/>
      <c r="J73" s="12"/>
      <c r="K73" s="2"/>
      <c r="L73" s="2"/>
      <c r="M73" s="2"/>
      <c r="N73" s="5" t="str">
        <f>IF(B73="","",IFERROR(LOOKUP(2,1/(单次交易!$A$2:$A$88=B73),单次交易!$N$2:$N$88),""))</f>
        <v/>
      </c>
      <c r="O73" s="5" t="str">
        <f t="shared" si="18"/>
        <v/>
      </c>
      <c r="P73" s="11" t="str">
        <f t="shared" si="19"/>
        <v/>
      </c>
      <c r="Q73" s="5" t="str">
        <f t="shared" si="20"/>
        <v/>
      </c>
      <c r="R73" s="10"/>
      <c r="S73" s="5" t="str">
        <f t="shared" si="21"/>
        <v/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IF(X73&lt;&gt;"执行卖出","",IFERROR(LOOKUP(2,1/(单次交易!$A$2:$A$88=B73),单次交易!$AP$2:$AP$88),""))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IF(B74="","",IFERROR(LOOKUP(2,1/(单次交易!$A$2:$A$88=B74),单次交易!$B$2:$B$88),""))</f>
        <v/>
      </c>
      <c r="D74" s="12"/>
      <c r="E74" s="10"/>
      <c r="F74" s="10"/>
      <c r="G74" s="2"/>
      <c r="H74" s="15"/>
      <c r="I74" s="10"/>
      <c r="J74" s="12"/>
      <c r="K74" s="2"/>
      <c r="L74" s="2"/>
      <c r="M74" s="2"/>
      <c r="N74" s="5" t="str">
        <f>IF(B74="","",IFERROR(LOOKUP(2,1/(单次交易!$A$2:$A$88=B74),单次交易!$N$2:$N$88),""))</f>
        <v/>
      </c>
      <c r="O74" s="5" t="str">
        <f t="shared" si="18"/>
        <v/>
      </c>
      <c r="P74" s="11" t="str">
        <f t="shared" si="19"/>
        <v/>
      </c>
      <c r="Q74" s="5" t="str">
        <f t="shared" si="20"/>
        <v/>
      </c>
      <c r="R74" s="10"/>
      <c r="S74" s="5" t="str">
        <f t="shared" si="21"/>
        <v/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IF(X74&lt;&gt;"执行卖出","",IFERROR(LOOKUP(2,1/(单次交易!$A$2:$A$88=B74),单次交易!$AP$2:$AP$88),""))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IF(B75="","",IFERROR(LOOKUP(2,1/(单次交易!$A$2:$A$88=B75),单次交易!$B$2:$B$88),""))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IF(B75="","",IFERROR(LOOKUP(2,1/(单次交易!$A$2:$A$88=B75),单次交易!$N$2:$N$88),""))</f>
        <v/>
      </c>
      <c r="O75" s="5" t="str">
        <f t="shared" si="18"/>
        <v/>
      </c>
      <c r="P75" s="11" t="str">
        <f t="shared" si="19"/>
        <v/>
      </c>
      <c r="Q75" s="5" t="str">
        <f t="shared" si="20"/>
        <v/>
      </c>
      <c r="R75" s="10"/>
      <c r="S75" s="5" t="str">
        <f t="shared" si="21"/>
        <v/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IF(X75&lt;&gt;"执行卖出","",IFERROR(LOOKUP(2,1/(单次交易!$A$2:$A$88=B75),单次交易!$AP$2:$AP$88),""))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IF(B76="","",IFERROR(LOOKUP(2,1/(单次交易!$A$2:$A$88=B76),单次交易!$B$2:$B$88),""))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IF(B76="","",IFERROR(LOOKUP(2,1/(单次交易!$A$2:$A$88=B76),单次交易!$N$2:$N$88),""))</f>
        <v/>
      </c>
      <c r="O76" s="5" t="str">
        <f t="shared" si="18"/>
        <v/>
      </c>
      <c r="P76" s="11" t="str">
        <f t="shared" si="19"/>
        <v/>
      </c>
      <c r="Q76" s="5" t="str">
        <f t="shared" si="20"/>
        <v/>
      </c>
      <c r="R76" s="10"/>
      <c r="S76" s="5" t="str">
        <f t="shared" si="21"/>
        <v/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IF(X76&lt;&gt;"执行卖出","",IFERROR(LOOKUP(2,1/(单次交易!$A$2:$A$88=B76),单次交易!$AP$2:$AP$88),""))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IF(B77="","",IFERROR(LOOKUP(2,1/(单次交易!$A$2:$A$88=B77),单次交易!$B$2:$B$88),""))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IF(B77="","",IFERROR(LOOKUP(2,1/(单次交易!$A$2:$A$88=B77),单次交易!$N$2:$N$88),""))</f>
        <v/>
      </c>
      <c r="O77" s="5" t="str">
        <f t="shared" si="18"/>
        <v/>
      </c>
      <c r="P77" s="11" t="str">
        <f t="shared" si="19"/>
        <v/>
      </c>
      <c r="Q77" s="5" t="str">
        <f t="shared" si="20"/>
        <v/>
      </c>
      <c r="R77" s="10"/>
      <c r="S77" s="5" t="str">
        <f t="shared" si="21"/>
        <v/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IF(X77&lt;&gt;"执行卖出","",IFERROR(LOOKUP(2,1/(单次交易!$A$2:$A$88=B77),单次交易!$AP$2:$AP$88),""))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IF(B78="","",IFERROR(LOOKUP(2,1/(单次交易!$A$2:$A$88=B78),单次交易!$B$2:$B$88),""))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IF(B78="","",IFERROR(LOOKUP(2,1/(单次交易!$A$2:$A$88=B78),单次交易!$N$2:$N$88),""))</f>
        <v/>
      </c>
      <c r="O78" s="5" t="str">
        <f t="shared" si="18"/>
        <v/>
      </c>
      <c r="P78" s="11" t="str">
        <f t="shared" si="19"/>
        <v/>
      </c>
      <c r="Q78" s="5" t="str">
        <f t="shared" si="20"/>
        <v/>
      </c>
      <c r="R78" s="10"/>
      <c r="S78" s="5" t="str">
        <f t="shared" si="21"/>
        <v/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IF(X78&lt;&gt;"执行卖出","",IFERROR(LOOKUP(2,1/(单次交易!$A$2:$A$88=B78),单次交易!$AP$2:$AP$88),""))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IF(B79="","",IFERROR(LOOKUP(2,1/(单次交易!$A$2:$A$88=B79),单次交易!$B$2:$B$88),""))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IF(B79="","",IFERROR(LOOKUP(2,1/(单次交易!$A$2:$A$88=B79),单次交易!$N$2:$N$88),""))</f>
        <v/>
      </c>
      <c r="O79" s="5" t="str">
        <f t="shared" si="18"/>
        <v/>
      </c>
      <c r="P79" s="11" t="str">
        <f t="shared" si="19"/>
        <v/>
      </c>
      <c r="Q79" s="5" t="str">
        <f t="shared" si="20"/>
        <v/>
      </c>
      <c r="R79" s="10"/>
      <c r="S79" s="5" t="str">
        <f t="shared" si="21"/>
        <v/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IF(X79&lt;&gt;"执行卖出","",IFERROR(LOOKUP(2,1/(单次交易!$A$2:$A$88=B79),单次交易!$AP$2:$AP$88),""))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IF(B80="","",IFERROR(LOOKUP(2,1/(单次交易!$A$2:$A$88=B80),单次交易!$B$2:$B$88),""))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IF(B80="","",IFERROR(LOOKUP(2,1/(单次交易!$A$2:$A$88=B80),单次交易!$N$2:$N$88),""))</f>
        <v/>
      </c>
      <c r="O80" s="5" t="str">
        <f t="shared" si="18"/>
        <v/>
      </c>
      <c r="P80" s="11" t="str">
        <f t="shared" si="19"/>
        <v/>
      </c>
      <c r="Q80" s="5" t="str">
        <f t="shared" si="20"/>
        <v/>
      </c>
      <c r="R80" s="10"/>
      <c r="S80" s="5" t="str">
        <f t="shared" si="21"/>
        <v/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IF(X80&lt;&gt;"执行卖出","",IFERROR(LOOKUP(2,1/(单次交易!$A$2:$A$88=B80),单次交易!$AP$2:$AP$88),""))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IF(B81="","",IFERROR(LOOKUP(2,1/(单次交易!$A$2:$A$88=B81),单次交易!$B$2:$B$88),""))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IF(B81="","",IFERROR(LOOKUP(2,1/(单次交易!$A$2:$A$88=B81),单次交易!$N$2:$N$88),""))</f>
        <v/>
      </c>
      <c r="O81" s="5" t="str">
        <f t="shared" si="18"/>
        <v/>
      </c>
      <c r="P81" s="11" t="str">
        <f t="shared" si="19"/>
        <v/>
      </c>
      <c r="Q81" s="5" t="str">
        <f t="shared" si="20"/>
        <v/>
      </c>
      <c r="R81" s="10"/>
      <c r="S81" s="5" t="str">
        <f t="shared" si="21"/>
        <v/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IF(X81&lt;&gt;"执行卖出","",IFERROR(LOOKUP(2,1/(单次交易!$A$2:$A$88=B81),单次交易!$AP$2:$AP$88),""))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IF(B82="","",IFERROR(LOOKUP(2,1/(单次交易!$A$2:$A$88=B82),单次交易!$B$2:$B$88),""))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IF(B82="","",IFERROR(LOOKUP(2,1/(单次交易!$A$2:$A$88=B82),单次交易!$N$2:$N$88),""))</f>
        <v/>
      </c>
      <c r="O82" s="5" t="str">
        <f t="shared" si="18"/>
        <v/>
      </c>
      <c r="P82" s="11" t="str">
        <f t="shared" si="19"/>
        <v/>
      </c>
      <c r="Q82" s="5" t="str">
        <f t="shared" si="20"/>
        <v/>
      </c>
      <c r="R82" s="10"/>
      <c r="S82" s="5" t="str">
        <f t="shared" si="21"/>
        <v/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IF(X82&lt;&gt;"执行卖出","",IFERROR(LOOKUP(2,1/(单次交易!$A$2:$A$88=B82),单次交易!$AP$2:$AP$88),""))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IF(B83="","",IFERROR(LOOKUP(2,1/(单次交易!$A$2:$A$88=B83),单次交易!$B$2:$B$88),""))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IF(B83="","",IFERROR(LOOKUP(2,1/(单次交易!$A$2:$A$88=B83),单次交易!$N$2:$N$88),""))</f>
        <v/>
      </c>
      <c r="O83" s="5" t="str">
        <f t="shared" si="18"/>
        <v/>
      </c>
      <c r="P83" s="11" t="str">
        <f t="shared" si="19"/>
        <v/>
      </c>
      <c r="Q83" s="5" t="str">
        <f t="shared" si="20"/>
        <v/>
      </c>
      <c r="R83" s="10"/>
      <c r="S83" s="5" t="str">
        <f t="shared" si="21"/>
        <v/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IF(X83&lt;&gt;"执行卖出","",IFERROR(LOOKUP(2,1/(单次交易!$A$2:$A$88=B83),单次交易!$AP$2:$AP$88),""))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IF(B84="","",IFERROR(LOOKUP(2,1/(单次交易!$A$2:$A$88=B84),单次交易!$B$2:$B$88),""))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IF(B84="","",IFERROR(LOOKUP(2,1/(单次交易!$A$2:$A$88=B84),单次交易!$N$2:$N$88),""))</f>
        <v/>
      </c>
      <c r="O84" s="5" t="str">
        <f t="shared" si="18"/>
        <v/>
      </c>
      <c r="P84" s="11" t="str">
        <f t="shared" si="19"/>
        <v/>
      </c>
      <c r="Q84" s="5" t="str">
        <f t="shared" si="20"/>
        <v/>
      </c>
      <c r="R84" s="10"/>
      <c r="S84" s="5" t="str">
        <f t="shared" si="21"/>
        <v/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IF(X84&lt;&gt;"执行卖出","",IFERROR(LOOKUP(2,1/(单次交易!$A$2:$A$88=B84),单次交易!$AP$2:$AP$88),""))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IF(B85="","",IFERROR(LOOKUP(2,1/(单次交易!$A$2:$A$88=B85),单次交易!$B$2:$B$88),""))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IF(B85="","",IFERROR(LOOKUP(2,1/(单次交易!$A$2:$A$88=B85),单次交易!$N$2:$N$88),""))</f>
        <v/>
      </c>
      <c r="O85" s="5" t="str">
        <f t="shared" si="18"/>
        <v/>
      </c>
      <c r="P85" s="11" t="str">
        <f t="shared" si="19"/>
        <v/>
      </c>
      <c r="Q85" s="5" t="str">
        <f t="shared" si="20"/>
        <v/>
      </c>
      <c r="R85" s="10"/>
      <c r="S85" s="5" t="str">
        <f t="shared" si="21"/>
        <v/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IF(X85&lt;&gt;"执行卖出","",IFERROR(LOOKUP(2,1/(单次交易!$A$2:$A$88=B85),单次交易!$AP$2:$AP$88),""))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IF(B86="","",IFERROR(LOOKUP(2,1/(单次交易!$A$2:$A$88=B86),单次交易!$B$2:$B$88),""))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IF(B86="","",IFERROR(LOOKUP(2,1/(单次交易!$A$2:$A$88=B86),单次交易!$N$2:$N$88),""))</f>
        <v/>
      </c>
      <c r="O86" s="5" t="str">
        <f t="shared" si="18"/>
        <v/>
      </c>
      <c r="P86" s="11" t="str">
        <f t="shared" si="19"/>
        <v/>
      </c>
      <c r="Q86" s="5" t="str">
        <f t="shared" si="20"/>
        <v/>
      </c>
      <c r="R86" s="10"/>
      <c r="S86" s="5" t="str">
        <f t="shared" si="21"/>
        <v/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IF(X86&lt;&gt;"执行卖出","",IFERROR(LOOKUP(2,1/(单次交易!$A$2:$A$88=B86),单次交易!$AP$2:$AP$88),""))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IF(B87="","",IFERROR(LOOKUP(2,1/(单次交易!$A$2:$A$88=B87),单次交易!$B$2:$B$88),""))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IF(B87="","",IFERROR(LOOKUP(2,1/(单次交易!$A$2:$A$88=B87),单次交易!$N$2:$N$88),""))</f>
        <v/>
      </c>
      <c r="O87" s="5" t="str">
        <f t="shared" si="18"/>
        <v/>
      </c>
      <c r="P87" s="11" t="str">
        <f t="shared" si="19"/>
        <v/>
      </c>
      <c r="Q87" s="5" t="str">
        <f t="shared" si="20"/>
        <v/>
      </c>
      <c r="R87" s="10"/>
      <c r="S87" s="5" t="str">
        <f t="shared" si="21"/>
        <v/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IF(X87&lt;&gt;"执行卖出","",IFERROR(LOOKUP(2,1/(单次交易!$A$2:$A$88=B87),单次交易!$AP$2:$AP$88),""))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IF(B88="","",IFERROR(LOOKUP(2,1/(单次交易!$A$2:$A$88=B88),单次交易!$B$2:$B$88),""))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IF(B88="","",IFERROR(LOOKUP(2,1/(单次交易!$A$2:$A$88=B88),单次交易!$N$2:$N$88),""))</f>
        <v/>
      </c>
      <c r="O88" s="5" t="str">
        <f t="shared" si="18"/>
        <v/>
      </c>
      <c r="P88" s="11" t="str">
        <f t="shared" si="19"/>
        <v/>
      </c>
      <c r="Q88" s="5" t="str">
        <f t="shared" si="20"/>
        <v/>
      </c>
      <c r="R88" s="10"/>
      <c r="S88" s="5" t="str">
        <f t="shared" si="21"/>
        <v/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IF(X88&lt;&gt;"执行卖出","",IFERROR(LOOKUP(2,1/(单次交易!$A$2:$A$88=B88),单次交易!$AP$2:$AP$88),""))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conditionalFormatting sqref="W2:W157">
    <cfRule type="expression" dxfId="0" priority="2">
      <formula>LEFT($W2,4)="触发止损"</formula>
    </cfRule>
  </conditionalFormatting>
  <conditionalFormatting sqref="A2:AC157">
    <cfRule type="expression" dxfId="2" priority="1">
      <formula>$A2="止损计划"</formula>
    </cfRule>
  </conditionalFormatting>
  <conditionalFormatting sqref="AB2:AC157">
    <cfRule type="expression" dxfId="0" priority="3">
      <formula>OR(LEFT($AB2,2)="违规",ISNUMBER(SEARCH("无效",$AC2)))</formula>
    </cfRule>
  </conditionalFormatting>
  <dataValidations count="8">
    <dataValidation type="list" allowBlank="1" sqref="A2:A157">
      <formula1>"止损计划,每日跟踪"</formula1>
    </dataValidation>
    <dataValidation type="list" allowBlank="1" sqref="B2:B157">
      <formula1>_TradeIds</formula1>
    </dataValidation>
    <dataValidation type="whole" operator="greaterThanOrEqual" allowBlank="1" sqref="D2:D157">
      <formula1>1</formula1>
    </dataValidation>
    <dataValidation type="date" operator="between" allowBlank="1" sqref="H2:H157">
      <formula1>DATE(2000,1,1)</formula1>
      <formula2>DATE(2100,12,31)</formula2>
    </dataValidation>
    <dataValidation type="list" allowBlank="1" sqref="L2:L157">
      <formula1>"吸筹,启动,趋势上行,加速上涨,高位分歧,回调确认,破位,其他"</formula1>
    </dataValidation>
    <dataValidation type="decimal" operator="greaterThan" allowBlank="1" sqref="R2:R157 Y2:Y157 E2:F157 I2:J157">
      <formula1>0</formula1>
    </dataValidation>
    <dataValidation type="list" allowBlank="1" sqref="X2:X157">
      <formula1>"继续持有,执行卖出"</formula1>
    </dataValidation>
    <dataValidation type="decimal" operator="greaterThanOrEqual" allowBlank="1" sqref="AA2:AA15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9"/>
  <sheetViews>
    <sheetView workbookViewId="0">
      <pane ySplit="1" topLeftCell="A23" activePane="bottomLeft" state="frozen"/>
      <selection/>
      <selection pane="bottomLeft" activeCell="H35" sqref="H35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91</v>
      </c>
      <c r="D1" s="1" t="s">
        <v>92</v>
      </c>
      <c r="E1" s="1" t="s">
        <v>69</v>
      </c>
      <c r="F1" s="1" t="s">
        <v>93</v>
      </c>
      <c r="G1" s="1" t="s">
        <v>94</v>
      </c>
      <c r="H1" s="1" t="s">
        <v>95</v>
      </c>
      <c r="I1" s="1" t="s">
        <v>96</v>
      </c>
      <c r="J1" t="s">
        <v>31</v>
      </c>
      <c r="K1" t="s">
        <v>97</v>
      </c>
      <c r="L1" t="s">
        <v>98</v>
      </c>
    </row>
    <row r="2" spans="1:12">
      <c r="A2" s="2"/>
      <c r="B2" s="2"/>
      <c r="C2" s="2"/>
      <c r="D2" s="2"/>
      <c r="E2" s="15"/>
      <c r="F2" s="2"/>
      <c r="G2" s="2"/>
      <c r="H2" s="2"/>
      <c r="I2" s="2"/>
    </row>
    <row r="3" spans="1:12">
      <c r="A3" s="2"/>
      <c r="B3" s="2"/>
      <c r="C3" s="2"/>
      <c r="D3" s="2"/>
      <c r="E3" s="15"/>
      <c r="F3" s="2"/>
      <c r="G3" s="2"/>
      <c r="H3" s="2"/>
      <c r="I3" s="2"/>
    </row>
    <row r="4" spans="1:12">
      <c r="A4" s="2"/>
      <c r="B4" s="2"/>
      <c r="C4" s="2"/>
      <c r="D4" s="2"/>
      <c r="E4" s="15"/>
      <c r="F4" s="2"/>
      <c r="G4" s="2"/>
      <c r="H4" s="2"/>
      <c r="I4" s="2"/>
    </row>
    <row r="5" spans="1:12">
      <c r="A5" s="2"/>
      <c r="B5" s="2"/>
      <c r="C5" s="2"/>
      <c r="D5" s="2"/>
      <c r="E5" s="15"/>
      <c r="F5" s="2"/>
      <c r="G5" s="2"/>
      <c r="H5" s="2"/>
      <c r="I5" s="2"/>
    </row>
    <row r="6" spans="1:12">
      <c r="A6" s="2"/>
      <c r="B6" s="2"/>
      <c r="C6" s="2"/>
      <c r="D6" s="2"/>
      <c r="E6" s="15"/>
      <c r="F6" s="2"/>
      <c r="G6" s="2"/>
      <c r="H6" s="2"/>
      <c r="I6" s="2"/>
    </row>
    <row r="7" spans="1:12">
      <c r="A7" s="2"/>
      <c r="B7" s="2"/>
      <c r="C7" s="2"/>
      <c r="D7" s="2"/>
      <c r="E7" s="15"/>
      <c r="F7" s="2"/>
      <c r="G7" s="2"/>
      <c r="H7" s="2"/>
      <c r="I7" s="2"/>
    </row>
    <row r="8" spans="1:12">
      <c r="A8" s="2"/>
      <c r="B8" s="2"/>
      <c r="C8" s="2"/>
      <c r="D8" s="2"/>
      <c r="E8" s="15"/>
      <c r="F8" s="2"/>
      <c r="G8" s="2"/>
      <c r="H8" s="2"/>
      <c r="I8" s="2"/>
    </row>
    <row r="9" spans="1:12">
      <c r="A9" s="2"/>
      <c r="B9" s="2"/>
      <c r="C9" s="2"/>
      <c r="D9" s="2"/>
      <c r="E9" s="15"/>
      <c r="F9" s="2"/>
      <c r="G9" s="2"/>
      <c r="H9" s="2"/>
      <c r="I9" s="2"/>
    </row>
    <row r="10" spans="1:12">
      <c r="A10" s="2"/>
      <c r="B10" s="2"/>
      <c r="C10" s="2"/>
      <c r="D10" s="2"/>
      <c r="E10" s="15"/>
      <c r="F10" s="2"/>
      <c r="G10" s="2"/>
      <c r="H10" s="2"/>
      <c r="I10" s="2"/>
    </row>
    <row r="11" spans="1:12">
      <c r="A11" s="2"/>
      <c r="B11" s="2"/>
      <c r="C11" s="2"/>
      <c r="D11" s="2"/>
      <c r="E11" s="15"/>
      <c r="F11" s="2"/>
      <c r="G11" s="2"/>
      <c r="H11" s="2"/>
      <c r="I11" s="2"/>
    </row>
    <row r="12" spans="1:12">
      <c r="A12" s="2"/>
      <c r="B12" s="2"/>
      <c r="C12" s="2"/>
      <c r="D12" s="2"/>
      <c r="E12" s="15"/>
      <c r="F12" s="2"/>
      <c r="G12" s="2"/>
      <c r="H12" s="2"/>
      <c r="I12" s="2"/>
    </row>
    <row r="13" spans="1:12">
      <c r="A13" s="2"/>
      <c r="B13" s="2"/>
      <c r="C13" s="2"/>
      <c r="D13" s="2"/>
      <c r="E13" s="15"/>
      <c r="F13" s="2"/>
      <c r="G13" s="2"/>
      <c r="H13" s="2"/>
      <c r="I13" s="2"/>
    </row>
    <row r="14" ht="51" spans="1:12">
      <c r="A14" s="2">
        <v>1</v>
      </c>
      <c r="B14" s="2"/>
      <c r="C14" s="2"/>
      <c r="D14" s="2"/>
      <c r="E14" s="15"/>
      <c r="F14" s="2"/>
      <c r="G14" s="2"/>
      <c r="H14" s="2"/>
      <c r="I14" s="13" t="s">
        <v>99</v>
      </c>
    </row>
    <row r="15" ht="51" spans="1:12">
      <c r="A15" s="2">
        <v>2</v>
      </c>
      <c r="B15" s="2"/>
      <c r="C15" s="2"/>
      <c r="D15" s="2"/>
      <c r="E15" s="15"/>
      <c r="F15" s="2"/>
      <c r="G15" s="2"/>
      <c r="H15" s="2"/>
      <c r="I15" s="13" t="s">
        <v>100</v>
      </c>
    </row>
    <row r="16" ht="68" spans="1:12">
      <c r="A16" s="2">
        <v>3</v>
      </c>
      <c r="B16" s="2"/>
      <c r="C16" s="2"/>
      <c r="D16" s="2"/>
      <c r="E16" s="15"/>
      <c r="F16" s="2"/>
      <c r="G16" s="2"/>
      <c r="H16" s="2"/>
      <c r="I16" s="13" t="s">
        <v>101</v>
      </c>
    </row>
    <row r="17" ht="51" spans="1:9">
      <c r="A17" s="2">
        <v>4</v>
      </c>
      <c r="B17" s="2"/>
      <c r="C17" s="2"/>
      <c r="D17" s="2"/>
      <c r="E17" s="15"/>
      <c r="F17" s="2"/>
      <c r="G17" s="2"/>
      <c r="H17" s="2"/>
      <c r="I17" s="13" t="s">
        <v>102</v>
      </c>
    </row>
    <row r="18" ht="68" spans="1:9">
      <c r="A18" s="2">
        <v>5</v>
      </c>
      <c r="B18" s="2"/>
      <c r="C18" s="2"/>
      <c r="D18" s="2"/>
      <c r="E18" s="15"/>
      <c r="F18" s="2"/>
      <c r="G18" s="2"/>
      <c r="H18" s="2"/>
      <c r="I18" s="13" t="s">
        <v>103</v>
      </c>
    </row>
    <row r="19" ht="51" spans="1:9">
      <c r="A19" s="2">
        <v>6</v>
      </c>
      <c r="B19" s="2"/>
      <c r="C19" s="2"/>
      <c r="D19" s="2"/>
      <c r="E19" s="15"/>
      <c r="F19" s="2"/>
      <c r="G19" s="2"/>
      <c r="H19" s="2"/>
      <c r="I19" s="13" t="s">
        <v>104</v>
      </c>
    </row>
    <row r="20" ht="17" spans="1:9">
      <c r="A20" s="2">
        <v>7</v>
      </c>
      <c r="B20" s="2"/>
      <c r="C20" s="2"/>
      <c r="D20" s="2"/>
      <c r="E20" s="15"/>
      <c r="F20" s="2"/>
      <c r="G20" s="2"/>
      <c r="H20" s="2"/>
      <c r="I20" s="13" t="s">
        <v>105</v>
      </c>
    </row>
    <row r="21" ht="17" spans="1:9">
      <c r="A21" s="2">
        <v>8</v>
      </c>
      <c r="B21" s="2"/>
      <c r="C21" s="2"/>
      <c r="D21" s="2"/>
      <c r="E21" s="15"/>
      <c r="F21" s="2"/>
      <c r="G21" s="2"/>
      <c r="H21" s="2"/>
      <c r="I21" s="2" t="s">
        <v>106</v>
      </c>
    </row>
    <row r="22" ht="34" spans="1:9">
      <c r="A22" s="2">
        <v>9</v>
      </c>
      <c r="B22" s="2"/>
      <c r="C22" s="2"/>
      <c r="D22" s="2"/>
      <c r="E22" s="15"/>
      <c r="F22" s="2"/>
      <c r="G22" s="2"/>
      <c r="H22" s="2"/>
      <c r="I22" s="2" t="s">
        <v>107</v>
      </c>
    </row>
    <row r="23" ht="51" spans="1:9">
      <c r="A23" s="2">
        <v>10</v>
      </c>
      <c r="B23" s="2"/>
      <c r="C23" s="2"/>
      <c r="D23" s="2"/>
      <c r="E23" s="15"/>
      <c r="F23" s="2"/>
      <c r="G23" s="2"/>
      <c r="H23" s="2"/>
      <c r="I23" s="2" t="s">
        <v>108</v>
      </c>
    </row>
    <row r="24" ht="51" spans="1:9">
      <c r="A24" s="2">
        <v>11</v>
      </c>
      <c r="B24" s="2"/>
      <c r="C24" s="2"/>
      <c r="D24" s="2"/>
      <c r="E24" s="15"/>
      <c r="F24" s="2"/>
      <c r="G24" s="2"/>
      <c r="H24" s="2"/>
      <c r="I24" s="16" t="s">
        <v>109</v>
      </c>
    </row>
    <row r="25" ht="51" spans="1:9">
      <c r="A25" s="2">
        <v>12</v>
      </c>
      <c r="B25" s="2"/>
      <c r="C25" s="2"/>
      <c r="D25" s="2"/>
      <c r="E25" s="15"/>
      <c r="F25" s="2"/>
      <c r="G25" s="2"/>
      <c r="H25" s="2"/>
      <c r="I25" s="16" t="s">
        <v>110</v>
      </c>
    </row>
    <row r="26" ht="17" spans="1:9">
      <c r="A26" s="2">
        <v>13</v>
      </c>
      <c r="B26" s="2"/>
      <c r="C26" s="2"/>
      <c r="D26" s="2"/>
      <c r="E26" s="15"/>
      <c r="F26" s="2"/>
      <c r="G26" s="2"/>
      <c r="H26" s="2"/>
      <c r="I26" s="16" t="s">
        <v>111</v>
      </c>
    </row>
    <row r="27" ht="34" spans="1:9">
      <c r="A27" s="2">
        <v>14</v>
      </c>
      <c r="B27" s="2"/>
      <c r="C27" s="2"/>
      <c r="D27" s="2"/>
      <c r="E27" s="15"/>
      <c r="F27" s="2"/>
      <c r="G27" s="2"/>
      <c r="H27" s="2"/>
      <c r="I27" s="16" t="s">
        <v>112</v>
      </c>
    </row>
    <row r="28" ht="17" spans="1:9">
      <c r="A28" s="2">
        <v>15</v>
      </c>
      <c r="B28" s="2"/>
      <c r="C28" s="2"/>
      <c r="D28" s="2"/>
      <c r="E28" s="15"/>
      <c r="F28" s="2"/>
      <c r="G28" s="2"/>
      <c r="H28" s="2"/>
      <c r="I28" s="16" t="s">
        <v>113</v>
      </c>
    </row>
    <row r="29" ht="17" spans="1:9">
      <c r="A29" s="2">
        <v>16</v>
      </c>
      <c r="B29" s="2"/>
      <c r="C29" s="2"/>
      <c r="D29" s="2"/>
      <c r="E29" s="15"/>
      <c r="F29" s="2"/>
      <c r="G29" s="2"/>
      <c r="H29" s="2"/>
      <c r="I29" s="16" t="s">
        <v>114</v>
      </c>
    </row>
    <row r="30" ht="17" spans="1:9">
      <c r="A30" s="2">
        <v>17</v>
      </c>
      <c r="B30" s="2"/>
      <c r="C30" s="2"/>
      <c r="D30" s="2"/>
      <c r="E30" s="15"/>
      <c r="F30" s="2"/>
      <c r="G30" s="2"/>
      <c r="H30" s="2"/>
      <c r="I30" s="16" t="s">
        <v>115</v>
      </c>
    </row>
    <row r="31" ht="34" spans="1:9">
      <c r="A31" s="2">
        <v>18</v>
      </c>
      <c r="B31" s="2"/>
      <c r="C31" s="2"/>
      <c r="D31" s="2"/>
      <c r="E31" s="15"/>
      <c r="F31" s="2"/>
      <c r="G31" s="2"/>
      <c r="H31" s="2"/>
      <c r="I31" s="2" t="s">
        <v>116</v>
      </c>
    </row>
    <row r="32" ht="34" spans="1:9">
      <c r="A32" s="2">
        <v>19</v>
      </c>
      <c r="B32" s="2"/>
      <c r="C32" s="2"/>
      <c r="D32" s="2"/>
      <c r="E32" s="15"/>
      <c r="F32" s="2"/>
      <c r="G32" s="2"/>
      <c r="H32" s="2"/>
      <c r="I32" s="2" t="s">
        <v>117</v>
      </c>
    </row>
    <row r="33" ht="34" spans="1:9">
      <c r="A33" s="2">
        <v>20</v>
      </c>
      <c r="B33" s="2"/>
      <c r="C33" s="2"/>
      <c r="D33" s="2"/>
      <c r="E33" s="15"/>
      <c r="F33" s="2"/>
      <c r="G33" s="2"/>
      <c r="H33" s="2"/>
      <c r="I33" s="2" t="s">
        <v>118</v>
      </c>
    </row>
    <row r="34" ht="17" spans="1:9">
      <c r="A34" s="2">
        <v>21</v>
      </c>
      <c r="B34" s="2"/>
      <c r="C34" s="2"/>
      <c r="D34" s="2"/>
      <c r="E34" s="15"/>
      <c r="F34" s="2"/>
      <c r="G34" s="2"/>
      <c r="H34" s="2"/>
      <c r="I34" s="2" t="s">
        <v>119</v>
      </c>
    </row>
    <row r="35" spans="1:9">
      <c r="A35" s="2"/>
      <c r="B35" s="2"/>
      <c r="C35" s="2"/>
      <c r="D35" s="2"/>
      <c r="E35" s="15"/>
      <c r="F35" s="2"/>
      <c r="G35" s="2"/>
      <c r="H35" s="2"/>
      <c r="I35" s="2"/>
    </row>
    <row r="36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spans="1:9">
      <c r="A42" s="2"/>
      <c r="B42" s="2"/>
      <c r="C42" s="2"/>
      <c r="D42" s="2"/>
      <c r="E42" s="15"/>
      <c r="F42" s="2"/>
      <c r="G42" s="2"/>
      <c r="H42" s="2"/>
      <c r="I42" s="2"/>
    </row>
    <row r="43" spans="1:9">
      <c r="A43" s="2"/>
      <c r="B43" s="2"/>
      <c r="C43" s="2"/>
      <c r="D43" s="2"/>
      <c r="E43" s="15"/>
      <c r="F43" s="2"/>
      <c r="G43" s="2"/>
      <c r="H43" s="2"/>
      <c r="I43" s="2"/>
    </row>
    <row r="44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spans="1:9">
      <c r="A50" s="2"/>
      <c r="B50" s="2"/>
      <c r="C50" s="2"/>
      <c r="D50" s="2"/>
      <c r="E50" s="15"/>
      <c r="F50" s="2"/>
      <c r="G50" s="2"/>
      <c r="H50" s="2"/>
      <c r="I50" s="2"/>
    </row>
    <row r="51" spans="1:9">
      <c r="A51" s="2"/>
      <c r="B51" s="2"/>
      <c r="C51" s="2"/>
      <c r="D51" s="2"/>
      <c r="E51" s="15"/>
      <c r="F51" s="2"/>
      <c r="G51" s="2"/>
      <c r="H51" s="2"/>
      <c r="I51" s="2"/>
    </row>
    <row r="52" spans="1:9">
      <c r="A52" s="2"/>
      <c r="B52" s="2"/>
      <c r="C52" s="2"/>
      <c r="D52" s="2"/>
      <c r="E52" s="15"/>
      <c r="F52" s="2"/>
      <c r="G52" s="2"/>
      <c r="H52" s="2"/>
      <c r="I52" s="2"/>
    </row>
    <row r="53" spans="1:9">
      <c r="A53" s="2"/>
      <c r="B53" s="2"/>
      <c r="C53" s="2"/>
      <c r="D53" s="2"/>
      <c r="E53" s="15"/>
      <c r="F53" s="2"/>
      <c r="G53" s="2"/>
      <c r="H53" s="2"/>
      <c r="I53" s="2"/>
    </row>
    <row r="54" spans="1:9">
      <c r="A54" s="2"/>
      <c r="B54" s="2"/>
      <c r="C54" s="2"/>
      <c r="D54" s="2"/>
      <c r="E54" s="15"/>
      <c r="F54" s="2"/>
      <c r="G54" s="2"/>
      <c r="H54" s="2"/>
      <c r="I54" s="2"/>
    </row>
    <row r="55" spans="1:9">
      <c r="A55" s="2"/>
      <c r="B55" s="2"/>
      <c r="C55" s="2"/>
      <c r="D55" s="2"/>
      <c r="E55" s="15"/>
      <c r="F55" s="2"/>
      <c r="G55" s="2"/>
      <c r="H55" s="2"/>
      <c r="I55" s="2"/>
    </row>
    <row r="56" spans="1:9">
      <c r="A56" s="2"/>
      <c r="B56" s="2"/>
      <c r="C56" s="2"/>
      <c r="D56" s="2"/>
      <c r="E56" s="15"/>
      <c r="F56" s="2"/>
      <c r="G56" s="2"/>
      <c r="H56" s="2"/>
      <c r="I56" s="2"/>
    </row>
    <row r="57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spans="1:9">
      <c r="A59" s="2"/>
      <c r="B59" s="2"/>
      <c r="C59" s="2"/>
      <c r="D59" s="2"/>
      <c r="E59" s="15"/>
      <c r="F59" s="2"/>
      <c r="G59" s="2"/>
      <c r="H59" s="2"/>
      <c r="I59" s="2"/>
    </row>
    <row r="60" spans="1:9">
      <c r="A60" s="2"/>
      <c r="B60" s="2"/>
      <c r="C60" s="2"/>
      <c r="D60" s="2"/>
      <c r="E60" s="15"/>
      <c r="F60" s="2"/>
      <c r="G60" s="2"/>
      <c r="H60" s="2"/>
      <c r="I60" s="2"/>
    </row>
    <row r="61" spans="1:9">
      <c r="A61" s="2"/>
      <c r="B61" s="2"/>
      <c r="C61" s="2"/>
      <c r="D61" s="2"/>
      <c r="E61" s="15"/>
      <c r="F61" s="2"/>
      <c r="G61" s="2"/>
      <c r="H61" s="2"/>
      <c r="I61" s="2"/>
    </row>
    <row r="62" spans="1:9">
      <c r="A62" s="2"/>
      <c r="B62" s="2"/>
      <c r="C62" s="2"/>
      <c r="D62" s="2"/>
      <c r="E62" s="15"/>
      <c r="F62" s="2"/>
      <c r="G62" s="2"/>
      <c r="H62" s="2"/>
      <c r="I62" s="2"/>
    </row>
    <row r="63" spans="1:9">
      <c r="A63" s="2"/>
      <c r="B63" s="2"/>
      <c r="C63" s="2"/>
      <c r="D63" s="2"/>
      <c r="E63" s="15"/>
      <c r="F63" s="2"/>
      <c r="G63" s="2"/>
      <c r="H63" s="2"/>
      <c r="I63" s="2"/>
    </row>
    <row r="64" spans="1:9">
      <c r="A64" s="2"/>
      <c r="B64" s="2"/>
      <c r="C64" s="2"/>
      <c r="D64" s="2"/>
      <c r="E64" s="15"/>
      <c r="F64" s="2"/>
      <c r="G64" s="2"/>
      <c r="H64" s="2"/>
      <c r="I64" s="2"/>
    </row>
    <row r="65" spans="1:9">
      <c r="A65" s="2"/>
      <c r="B65" s="2"/>
      <c r="C65" s="2"/>
      <c r="D65" s="2"/>
      <c r="E65" s="15"/>
      <c r="F65" s="2"/>
      <c r="G65" s="2"/>
      <c r="H65" s="2"/>
      <c r="I65" s="2"/>
    </row>
    <row r="66" spans="1:9">
      <c r="A66" s="2"/>
      <c r="B66" s="2"/>
      <c r="C66" s="2"/>
      <c r="D66" s="2"/>
      <c r="E66" s="15"/>
      <c r="F66" s="2"/>
      <c r="G66" s="2"/>
      <c r="H66" s="2"/>
      <c r="I66" s="2"/>
    </row>
    <row r="67" spans="1:9">
      <c r="A67" s="2"/>
      <c r="B67" s="2"/>
      <c r="C67" s="2"/>
      <c r="D67" s="2"/>
      <c r="E67" s="15"/>
      <c r="F67" s="2"/>
      <c r="G67" s="2"/>
      <c r="H67" s="2"/>
      <c r="I67" s="2"/>
    </row>
    <row r="68" spans="1:9">
      <c r="A68" s="2"/>
      <c r="B68" s="2"/>
      <c r="C68" s="2"/>
      <c r="D68" s="2"/>
      <c r="E68" s="15"/>
      <c r="F68" s="2"/>
      <c r="G68" s="2"/>
      <c r="H68" s="2"/>
      <c r="I68" s="2"/>
    </row>
    <row r="69" spans="1:9">
      <c r="A69" s="2"/>
      <c r="B69" s="2"/>
      <c r="C69" s="2"/>
      <c r="D69" s="2"/>
      <c r="E69" s="15"/>
      <c r="F69" s="2"/>
      <c r="G69" s="2"/>
      <c r="H69" s="2"/>
      <c r="I69" s="2"/>
    </row>
    <row r="70" spans="1:9">
      <c r="A70" s="2"/>
      <c r="B70" s="2"/>
      <c r="C70" s="2"/>
      <c r="D70" s="2"/>
      <c r="E70" s="15"/>
      <c r="F70" s="2"/>
      <c r="G70" s="2"/>
      <c r="H70" s="2"/>
      <c r="I70" s="2"/>
    </row>
    <row r="71" spans="1:9">
      <c r="A71" s="2"/>
      <c r="B71" s="2"/>
      <c r="C71" s="2"/>
      <c r="D71" s="2"/>
      <c r="E71" s="15"/>
      <c r="F71" s="2"/>
      <c r="G71" s="2"/>
      <c r="H71" s="2"/>
      <c r="I71" s="2"/>
    </row>
    <row r="72" spans="1:9">
      <c r="A72" s="2"/>
      <c r="B72" s="2"/>
      <c r="C72" s="2"/>
      <c r="D72" s="2"/>
      <c r="E72" s="15"/>
      <c r="F72" s="2"/>
      <c r="G72" s="2"/>
      <c r="H72" s="2"/>
      <c r="I72" s="2"/>
    </row>
    <row r="73" spans="1:9">
      <c r="A73" s="2"/>
      <c r="B73" s="2"/>
      <c r="C73" s="2"/>
      <c r="D73" s="2"/>
      <c r="E73" s="15"/>
      <c r="F73" s="2"/>
      <c r="G73" s="2"/>
      <c r="H73" s="2"/>
      <c r="I73" s="2"/>
    </row>
    <row r="74" spans="1:9">
      <c r="A74" s="2"/>
      <c r="B74" s="2"/>
      <c r="C74" s="2"/>
      <c r="D74" s="2"/>
      <c r="E74" s="15"/>
      <c r="F74" s="2"/>
      <c r="G74" s="2"/>
      <c r="H74" s="2"/>
      <c r="I74" s="2"/>
    </row>
    <row r="75" spans="1:9">
      <c r="A75" s="2"/>
      <c r="B75" s="2"/>
      <c r="C75" s="2"/>
      <c r="D75" s="2"/>
      <c r="E75" s="15"/>
      <c r="F75" s="2"/>
      <c r="G75" s="2"/>
      <c r="H75" s="2"/>
      <c r="I75" s="2"/>
    </row>
    <row r="76" spans="1:9">
      <c r="A76" s="2"/>
      <c r="B76" s="2"/>
      <c r="C76" s="2"/>
      <c r="D76" s="2"/>
      <c r="E76" s="15"/>
      <c r="F76" s="2"/>
      <c r="G76" s="2"/>
      <c r="H76" s="2"/>
      <c r="I76" s="2"/>
    </row>
    <row r="77" spans="1:9">
      <c r="A77" s="2"/>
      <c r="B77" s="2"/>
      <c r="C77" s="2"/>
      <c r="D77" s="2"/>
      <c r="E77" s="15"/>
      <c r="F77" s="2"/>
      <c r="G77" s="2"/>
      <c r="H77" s="2"/>
      <c r="I77" s="2"/>
    </row>
    <row r="78" spans="1:9">
      <c r="A78" s="2"/>
      <c r="B78" s="2"/>
      <c r="C78" s="2"/>
      <c r="D78" s="2"/>
      <c r="E78" s="15"/>
      <c r="F78" s="2"/>
      <c r="G78" s="2"/>
      <c r="H78" s="2"/>
      <c r="I78" s="2"/>
    </row>
    <row r="79" spans="1:9">
      <c r="A79" s="2"/>
      <c r="B79" s="2"/>
      <c r="C79" s="2"/>
      <c r="D79" s="2"/>
      <c r="E79" s="15"/>
      <c r="F79" s="2"/>
      <c r="G79" s="2"/>
      <c r="H79" s="2"/>
      <c r="I79" s="2"/>
    </row>
    <row r="80" spans="1:9">
      <c r="A80" s="2"/>
      <c r="B80" s="2"/>
      <c r="C80" s="2"/>
      <c r="D80" s="2"/>
      <c r="E80" s="15"/>
      <c r="F80" s="2"/>
      <c r="G80" s="2"/>
      <c r="H80" s="2"/>
      <c r="I80" s="2"/>
    </row>
    <row r="81" spans="1:9">
      <c r="A81" s="2"/>
      <c r="B81" s="2"/>
      <c r="C81" s="2"/>
      <c r="D81" s="2"/>
      <c r="E81" s="15"/>
      <c r="F81" s="2"/>
      <c r="G81" s="2"/>
      <c r="H81" s="2"/>
      <c r="I81" s="2"/>
    </row>
    <row r="82" spans="1:9">
      <c r="A82" s="2"/>
      <c r="B82" s="2"/>
      <c r="C82" s="2"/>
      <c r="D82" s="2"/>
      <c r="E82" s="15"/>
      <c r="F82" s="2"/>
      <c r="G82" s="2"/>
      <c r="H82" s="2"/>
      <c r="I82" s="2"/>
    </row>
    <row r="83" spans="1:9">
      <c r="A83" s="2"/>
      <c r="B83" s="2"/>
      <c r="C83" s="2"/>
      <c r="D83" s="2"/>
      <c r="E83" s="15"/>
      <c r="F83" s="2"/>
      <c r="G83" s="2"/>
      <c r="H83" s="2"/>
      <c r="I83" s="2"/>
    </row>
    <row r="84" spans="1:9">
      <c r="A84" s="2"/>
      <c r="B84" s="2"/>
      <c r="C84" s="2"/>
      <c r="D84" s="2"/>
      <c r="E84" s="15"/>
      <c r="F84" s="2"/>
      <c r="G84" s="2"/>
      <c r="H84" s="2"/>
      <c r="I84" s="2"/>
    </row>
    <row r="85" spans="1:9">
      <c r="A85" s="2"/>
      <c r="B85" s="2"/>
      <c r="C85" s="2"/>
      <c r="D85" s="2"/>
      <c r="E85" s="15"/>
      <c r="F85" s="2"/>
      <c r="G85" s="2"/>
      <c r="H85" s="2"/>
      <c r="I85" s="2"/>
    </row>
    <row r="86" spans="1:9">
      <c r="A86" s="2"/>
      <c r="B86" s="2"/>
      <c r="C86" s="2"/>
      <c r="D86" s="2"/>
      <c r="E86" s="15"/>
      <c r="F86" s="2"/>
      <c r="G86" s="2"/>
      <c r="H86" s="2"/>
      <c r="I86" s="2"/>
    </row>
    <row r="87" spans="1:9">
      <c r="A87" s="2"/>
      <c r="B87" s="2"/>
      <c r="C87" s="2"/>
      <c r="D87" s="2"/>
      <c r="E87" s="15"/>
      <c r="F87" s="2"/>
      <c r="G87" s="2"/>
      <c r="H87" s="2"/>
      <c r="I87" s="2"/>
    </row>
    <row r="88" spans="1:9">
      <c r="A88" s="2"/>
      <c r="B88" s="2"/>
      <c r="C88" s="2"/>
      <c r="D88" s="2"/>
      <c r="E88" s="15"/>
      <c r="F88" s="2"/>
      <c r="G88" s="2"/>
      <c r="H88" s="2"/>
      <c r="I88" s="2"/>
    </row>
    <row r="89" spans="1:9">
      <c r="A89" s="2"/>
      <c r="B89" s="2"/>
      <c r="C89" s="2"/>
      <c r="D89" s="2"/>
      <c r="E89" s="15"/>
      <c r="F89" s="2"/>
      <c r="G89" s="2"/>
      <c r="H89" s="2"/>
      <c r="I89" s="2"/>
    </row>
    <row r="90" spans="1:9">
      <c r="A90" s="2"/>
      <c r="B90" s="2"/>
      <c r="C90" s="2"/>
      <c r="D90" s="2"/>
      <c r="E90" s="15"/>
      <c r="F90" s="2"/>
      <c r="G90" s="2"/>
      <c r="H90" s="2"/>
      <c r="I90" s="2"/>
    </row>
    <row r="91" spans="1:9">
      <c r="A91" s="2"/>
      <c r="B91" s="2"/>
      <c r="C91" s="2"/>
      <c r="D91" s="2"/>
      <c r="E91" s="15"/>
      <c r="F91" s="2"/>
      <c r="G91" s="2"/>
      <c r="H91" s="2"/>
      <c r="I91" s="2"/>
    </row>
    <row r="92" spans="1:9">
      <c r="A92" s="2"/>
      <c r="B92" s="2"/>
      <c r="C92" s="2"/>
      <c r="D92" s="2"/>
      <c r="E92" s="15"/>
      <c r="F92" s="2"/>
      <c r="G92" s="2"/>
      <c r="H92" s="2"/>
      <c r="I92" s="2"/>
    </row>
    <row r="93" spans="1:9">
      <c r="A93" s="2"/>
      <c r="B93" s="2"/>
      <c r="C93" s="2"/>
      <c r="D93" s="2"/>
      <c r="E93" s="15"/>
      <c r="F93" s="2"/>
      <c r="G93" s="2"/>
      <c r="H93" s="2"/>
      <c r="I93" s="2"/>
    </row>
    <row r="94" spans="1:9">
      <c r="A94" s="2"/>
      <c r="B94" s="2"/>
      <c r="C94" s="2"/>
      <c r="D94" s="2"/>
      <c r="E94" s="15"/>
      <c r="F94" s="2"/>
      <c r="G94" s="2"/>
      <c r="H94" s="2"/>
      <c r="I94" s="2"/>
    </row>
    <row r="95" spans="1:9">
      <c r="A95" s="2"/>
      <c r="B95" s="2"/>
      <c r="C95" s="2"/>
      <c r="D95" s="2"/>
      <c r="E95" s="15"/>
      <c r="F95" s="2"/>
      <c r="G95" s="2"/>
      <c r="H95" s="2"/>
      <c r="I95" s="2"/>
    </row>
    <row r="96" spans="1:9">
      <c r="A96" s="2"/>
      <c r="B96" s="2"/>
      <c r="C96" s="2"/>
      <c r="D96" s="2"/>
      <c r="E96" s="15"/>
      <c r="F96" s="2"/>
      <c r="G96" s="2"/>
      <c r="H96" s="2"/>
      <c r="I96" s="2"/>
    </row>
    <row r="97" spans="1:9">
      <c r="A97" s="2"/>
      <c r="B97" s="2"/>
      <c r="C97" s="2"/>
      <c r="D97" s="2"/>
      <c r="E97" s="15"/>
      <c r="F97" s="2"/>
      <c r="G97" s="2"/>
      <c r="H97" s="2"/>
      <c r="I97" s="2"/>
    </row>
    <row r="98" spans="1:9">
      <c r="A98" s="2"/>
      <c r="B98" s="2"/>
      <c r="C98" s="2"/>
      <c r="D98" s="2"/>
      <c r="E98" s="15"/>
      <c r="F98" s="2"/>
      <c r="G98" s="2"/>
      <c r="H98" s="2"/>
      <c r="I98" s="2"/>
    </row>
    <row r="99" spans="1:9">
      <c r="A99" s="2"/>
      <c r="B99" s="2"/>
      <c r="C99" s="2"/>
      <c r="D99" s="2"/>
      <c r="E99" s="15"/>
      <c r="F99" s="2"/>
      <c r="G99" s="2"/>
      <c r="H99" s="2"/>
      <c r="I99" s="2"/>
    </row>
    <row r="100" spans="1:9">
      <c r="A100" s="2"/>
      <c r="B100" s="2"/>
      <c r="C100" s="2"/>
      <c r="D100" s="2"/>
      <c r="E100" s="15"/>
      <c r="F100" s="2"/>
      <c r="G100" s="2"/>
      <c r="H100" s="2"/>
      <c r="I100" s="2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</sheetData>
  <dataValidations count="3">
    <dataValidation type="list" allowBlank="1" sqref="D2:D399">
      <formula1>"买入,持续追踪,卖出"</formula1>
    </dataValidation>
    <dataValidation type="date" operator="between" allowBlank="1" sqref="E2:E399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5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120</v>
      </c>
      <c r="B1" s="3" t="s">
        <v>121</v>
      </c>
      <c r="C1" s="3" t="s">
        <v>122</v>
      </c>
    </row>
    <row r="2" ht="17" spans="1:3">
      <c r="A2" s="4" t="s">
        <v>123</v>
      </c>
      <c r="B2" s="8">
        <f>COUNT(单次交易!M2:M88)</f>
        <v>21</v>
      </c>
      <c r="C2" s="4" t="s">
        <v>124</v>
      </c>
    </row>
    <row r="3" ht="17" spans="1:3">
      <c r="A3" s="4" t="s">
        <v>125</v>
      </c>
      <c r="B3" s="8">
        <f>COUNTIF(单次交易!X2:X88,"&gt;0")</f>
        <v>7</v>
      </c>
      <c r="C3" s="4" t="s">
        <v>126</v>
      </c>
    </row>
    <row r="4" ht="17" spans="1:3">
      <c r="A4" s="4" t="s">
        <v>127</v>
      </c>
      <c r="B4" s="8">
        <f>COUNTIF(单次交易!X2:X88,"&lt;0")</f>
        <v>14</v>
      </c>
      <c r="C4" s="4" t="s">
        <v>128</v>
      </c>
    </row>
    <row r="5" ht="17" spans="1:3">
      <c r="A5" s="4" t="s">
        <v>129</v>
      </c>
      <c r="B5" s="8">
        <f>COUNTIFS(单次交易!M2:M88,"&lt;&gt;",单次交易!X2:X88,"=0")</f>
        <v>0</v>
      </c>
      <c r="C5" s="4" t="s">
        <v>130</v>
      </c>
    </row>
    <row r="6" ht="17" spans="1:3">
      <c r="A6" s="4" t="s">
        <v>131</v>
      </c>
      <c r="B6" s="7">
        <f>IFERROR(B3/(B3+B4),"")</f>
        <v>0.333333333333333</v>
      </c>
      <c r="C6" s="4" t="s">
        <v>132</v>
      </c>
    </row>
    <row r="7" ht="17" spans="1:3">
      <c r="A7" s="4" t="s">
        <v>133</v>
      </c>
      <c r="B7" s="7">
        <f>IFERROR(B4/(B3+B4),"")</f>
        <v>0.666666666666667</v>
      </c>
      <c r="C7" s="4" t="s">
        <v>134</v>
      </c>
    </row>
    <row r="8" ht="17" spans="1:3">
      <c r="A8" s="4" t="s">
        <v>135</v>
      </c>
      <c r="B8" s="7">
        <f>IFERROR(AVERAGEIF(单次交易!X2:X88,"&gt;0",单次交易!AE2:AE88),"")</f>
        <v>0.0714879167431971</v>
      </c>
      <c r="C8" s="4" t="s">
        <v>136</v>
      </c>
    </row>
    <row r="9" ht="17" spans="1:3">
      <c r="A9" s="4" t="s">
        <v>137</v>
      </c>
      <c r="B9" s="7">
        <f>IFERROR(-AVERAGEIF(单次交易!X2:X88,"&lt;0",单次交易!AE2:AE88),"")</f>
        <v>0.0197133062906498</v>
      </c>
      <c r="C9" s="4" t="s">
        <v>138</v>
      </c>
    </row>
    <row r="10" ht="17" spans="1:3">
      <c r="A10" s="4" t="s">
        <v>139</v>
      </c>
      <c r="B10" s="8">
        <f>SUMIF(单次交易!X2:X88,"&gt;0",单次交易!AA2:AA88)</f>
        <v>1023</v>
      </c>
      <c r="C10" s="4" t="s">
        <v>140</v>
      </c>
    </row>
    <row r="11" ht="17" spans="1:3">
      <c r="A11" s="4" t="s">
        <v>141</v>
      </c>
      <c r="B11" s="8">
        <f>SUMIF(单次交易!X2:X88,"&lt;0",单次交易!AA2:AA88)</f>
        <v>530</v>
      </c>
      <c r="C11" s="4" t="s">
        <v>140</v>
      </c>
    </row>
    <row r="12" ht="17" spans="1:3">
      <c r="A12" s="4" t="s">
        <v>142</v>
      </c>
      <c r="B12" s="5">
        <f>IFERROR(SUMPRODUCT(单次交易!AO2:AO88,单次交易!AP2:AP88)/COUNT(单次交易!AP2:AP88),"")</f>
        <v>44506</v>
      </c>
      <c r="C12" s="4" t="s">
        <v>143</v>
      </c>
    </row>
    <row r="13" ht="17" spans="1:3">
      <c r="A13" s="4" t="s">
        <v>144</v>
      </c>
      <c r="B13" s="7">
        <f>IF(OR(B6="",B7="",B8="",B9=""),"",B6*B8-B7*B9)</f>
        <v>0.0106871013872992</v>
      </c>
      <c r="C13" s="4" t="s">
        <v>145</v>
      </c>
    </row>
    <row r="14" ht="17" spans="1:3">
      <c r="A14" s="4" t="s">
        <v>146</v>
      </c>
      <c r="B14" s="7">
        <f>IF(COUNT(单次交易!AE2:AE88)=0,"",EXP(SUMPRODUCT(IFERROR(LN(1+单次交易!AE2:AE88),0)))-1)</f>
        <v>0.215208248322736</v>
      </c>
      <c r="C14" s="4" t="s">
        <v>147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C12" sqref="C12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120</v>
      </c>
      <c r="B1" s="9" t="s">
        <v>148</v>
      </c>
      <c r="C1" s="9" t="s">
        <v>149</v>
      </c>
    </row>
    <row r="2" ht="17" spans="1:3">
      <c r="A2" s="4" t="s">
        <v>150</v>
      </c>
      <c r="B2" s="10">
        <v>100000</v>
      </c>
      <c r="C2" s="4" t="s">
        <v>151</v>
      </c>
    </row>
    <row r="3" ht="17" spans="1:3">
      <c r="A3" s="4" t="s">
        <v>152</v>
      </c>
      <c r="B3" s="5">
        <f>IF(B2="","",B2+SUM(单次交易!X2:X88))</f>
        <v>121516</v>
      </c>
      <c r="C3" s="4" t="s">
        <v>153</v>
      </c>
    </row>
    <row r="4" ht="17" spans="1:3">
      <c r="A4" s="4" t="s">
        <v>154</v>
      </c>
      <c r="B4" s="6">
        <v>0.02</v>
      </c>
      <c r="C4" s="4" t="s">
        <v>155</v>
      </c>
    </row>
    <row r="5" ht="17" spans="1:3">
      <c r="A5" s="4" t="s">
        <v>156</v>
      </c>
      <c r="B5" s="5">
        <f>IF(B3="","",B3*B4)</f>
        <v>2430.32</v>
      </c>
      <c r="C5" s="4" t="s">
        <v>157</v>
      </c>
    </row>
    <row r="6" ht="17" spans="1:3">
      <c r="A6" s="4" t="s">
        <v>158</v>
      </c>
      <c r="B6" s="6">
        <v>0.06</v>
      </c>
      <c r="C6" s="4" t="s">
        <v>159</v>
      </c>
    </row>
    <row r="7" ht="17" spans="1:3">
      <c r="A7" s="4" t="s">
        <v>160</v>
      </c>
      <c r="B7" s="5">
        <f>IF(B3="","",B3*B6)</f>
        <v>7290.96</v>
      </c>
      <c r="C7" s="4" t="s">
        <v>161</v>
      </c>
    </row>
    <row r="8" ht="17" spans="1:3">
      <c r="A8" s="4" t="s">
        <v>162</v>
      </c>
      <c r="B8" s="5">
        <f ca="1">SUMIFS(单次交易!X2:X88,单次交易!X2:X88,"&lt;0",单次交易!M2:M88,"&gt;="&amp;EOMONTH(TODAY(),-1)+1,单次交易!M2:M88,"&lt;="&amp;EOMONTH(TODAY(),0))</f>
        <v>0</v>
      </c>
      <c r="C8" s="4" t="s">
        <v>163</v>
      </c>
    </row>
    <row r="9" ht="17" spans="1:3">
      <c r="A9" s="4" t="s">
        <v>164</v>
      </c>
      <c r="B9" s="5">
        <f>IFERROR(SUM(单次交易!AQ2:AQ88),0)</f>
        <v>0</v>
      </c>
      <c r="C9" s="4" t="s">
        <v>165</v>
      </c>
    </row>
    <row r="10" ht="17" spans="1:3">
      <c r="A10" s="4" t="s">
        <v>166</v>
      </c>
      <c r="B10" s="5">
        <f>IF(OR(B7="",B9=""),"",B7-B9)</f>
        <v>7290.96</v>
      </c>
      <c r="C10" s="4" t="s">
        <v>167</v>
      </c>
    </row>
    <row r="11" ht="17" spans="1:3">
      <c r="A11" s="4" t="s">
        <v>168</v>
      </c>
      <c r="B11" s="7">
        <f>IF(OR(B2="",B3="",B2&lt;=0),"",B3/B2-1)</f>
        <v>0.21516</v>
      </c>
      <c r="C11" s="4" t="s">
        <v>169</v>
      </c>
    </row>
    <row r="12" spans="1:3">
      <c r="A12" s="4"/>
      <c r="B12" s="4"/>
      <c r="C12" s="4"/>
    </row>
    <row r="13" ht="17" spans="1:3">
      <c r="A13" s="4" t="s">
        <v>170</v>
      </c>
      <c r="B13" s="6">
        <v>0.06</v>
      </c>
      <c r="C13" s="4" t="s">
        <v>171</v>
      </c>
    </row>
    <row r="14" ht="17" spans="1:3">
      <c r="A14" s="4" t="s">
        <v>172</v>
      </c>
      <c r="B14" s="11">
        <f>IFERROR(LOOKUP(2,1/((单次交易!$M$2:$M$88&lt;&gt;"")*(单次交易!$X$2:$X$88&gt;0)),ROW(单次交易!$X$2:$X$88)-1),0)</f>
        <v>21</v>
      </c>
      <c r="C14" s="4" t="s">
        <v>173</v>
      </c>
    </row>
    <row r="15" ht="17" spans="1:3">
      <c r="A15" s="4" t="s">
        <v>174</v>
      </c>
      <c r="B15" s="11">
        <f>IFERROR(LOOKUP(2,1/(单次交易!$M$2:$M$88&lt;&gt;""),ROW(单次交易!$M$2:$M$88)-1),0)</f>
        <v>21</v>
      </c>
      <c r="C15" s="4" t="s">
        <v>175</v>
      </c>
    </row>
    <row r="16" ht="17" spans="1:3">
      <c r="A16" s="4" t="s">
        <v>176</v>
      </c>
      <c r="B16" s="12"/>
      <c r="C16" s="4" t="s">
        <v>177</v>
      </c>
    </row>
    <row r="17" ht="17" spans="1:3">
      <c r="A17" s="4" t="s">
        <v>178</v>
      </c>
      <c r="B17" s="13" t="s">
        <v>179</v>
      </c>
      <c r="C17" s="14" t="s">
        <v>180</v>
      </c>
    </row>
    <row r="18" ht="17" spans="1:3">
      <c r="A18" s="4" t="s">
        <v>181</v>
      </c>
      <c r="B18" s="11">
        <f>MAX(B14,IF(AND(ISNUMBER(B16),B16&gt;=1,B16&lt;=B15,B17&lt;&gt;""),B16,0))</f>
        <v>21</v>
      </c>
      <c r="C18" s="4" t="s">
        <v>182</v>
      </c>
    </row>
    <row r="19" ht="17" spans="1:3">
      <c r="A19" s="4" t="s">
        <v>183</v>
      </c>
      <c r="B19" s="5" t="e">
        <f ca="1">IF(B2="","",IF(B18=0,B2,B2+SUM(单次交易!#REF!:INDEX(单次交易!$X:$X,B18+1))))</f>
        <v>#REF!</v>
      </c>
      <c r="C19" s="4" t="s">
        <v>184</v>
      </c>
    </row>
    <row r="20" ht="17" spans="1:3">
      <c r="A20" s="4" t="s">
        <v>185</v>
      </c>
      <c r="B20" s="5">
        <f>IF(B18&gt;=B15,0,-SUMPRODUCT((ROW(单次交易!$X$2:$X$88)-1&gt;B18)*(单次交易!$M$2:$M$88&lt;&gt;"")*(IFERROR(单次交易!$X$2:$X$88,0)&lt;0)*IFERROR(单次交易!$X$2:$X$88,0)))</f>
        <v>0</v>
      </c>
      <c r="C20" s="4" t="s">
        <v>186</v>
      </c>
    </row>
    <row r="21" ht="17" spans="1:3">
      <c r="A21" s="4" t="s">
        <v>187</v>
      </c>
      <c r="B21" s="7" t="e">
        <f ca="1">IF(OR(B19="",B19&lt;=0),"",B20/B19)</f>
        <v>#REF!</v>
      </c>
      <c r="C21" s="4" t="s">
        <v>188</v>
      </c>
    </row>
    <row r="22" ht="17" spans="1:3">
      <c r="A22" s="4" t="s">
        <v>189</v>
      </c>
      <c r="B22" s="7" t="e">
        <f ca="1">IF(OR(B13="",B13&lt;=0,B21=""),"",B21/B13)</f>
        <v>#REF!</v>
      </c>
      <c r="C22" s="4" t="s">
        <v>190</v>
      </c>
    </row>
    <row r="23" ht="17" spans="1:3">
      <c r="A23" s="4" t="s">
        <v>191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192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120</v>
      </c>
      <c r="B1" s="3" t="s">
        <v>148</v>
      </c>
      <c r="C1" s="3" t="s">
        <v>122</v>
      </c>
    </row>
    <row r="2" ht="17" spans="1:3">
      <c r="A2" s="4" t="s">
        <v>193</v>
      </c>
      <c r="B2" s="5">
        <f>账户数据!B3</f>
        <v>121516</v>
      </c>
      <c r="C2" s="4" t="s">
        <v>194</v>
      </c>
    </row>
    <row r="3" ht="17" spans="1:3">
      <c r="A3" s="4" t="s">
        <v>195</v>
      </c>
      <c r="B3" s="6">
        <v>0.1</v>
      </c>
      <c r="C3" s="4" t="s">
        <v>196</v>
      </c>
    </row>
    <row r="4" ht="17" spans="1:3">
      <c r="A4" s="4" t="s">
        <v>197</v>
      </c>
      <c r="B4" s="5">
        <f>IF(OR(B2="",B3=""),"",B2*B3)</f>
        <v>12151.6</v>
      </c>
      <c r="C4" s="4" t="s">
        <v>198</v>
      </c>
    </row>
    <row r="5" ht="17" spans="1:3">
      <c r="A5" s="4" t="s">
        <v>142</v>
      </c>
      <c r="B5" s="5">
        <f>多次统计数据!B12</f>
        <v>44506</v>
      </c>
      <c r="C5" s="4" t="s">
        <v>199</v>
      </c>
    </row>
    <row r="6" ht="17" spans="1:3">
      <c r="A6" s="4" t="s">
        <v>200</v>
      </c>
      <c r="B6" s="7">
        <f>多次统计数据!B13</f>
        <v>0.0106871013872992</v>
      </c>
      <c r="C6" s="4" t="s">
        <v>201</v>
      </c>
    </row>
    <row r="7" ht="17" spans="1:3">
      <c r="A7" s="4" t="s">
        <v>202</v>
      </c>
      <c r="B7" s="8">
        <f>IF(OR(B3="",B6="",B3&lt;=0,B6&lt;=0),"暂不可计算",ROUNDUP(LN(1+B3)/LN(1+B6),0))</f>
        <v>9</v>
      </c>
      <c r="C7" s="4" t="s">
        <v>203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204</v>
      </c>
      <c r="B1" s="1" t="s">
        <v>205</v>
      </c>
      <c r="C1" s="1" t="s">
        <v>206</v>
      </c>
    </row>
    <row r="2" ht="17" spans="1:3">
      <c r="A2" s="2" t="s">
        <v>207</v>
      </c>
      <c r="B2" s="2" t="s">
        <v>208</v>
      </c>
      <c r="C2" s="2" t="s">
        <v>209</v>
      </c>
    </row>
    <row r="3" ht="17" spans="1:3">
      <c r="A3" s="2" t="s">
        <v>210</v>
      </c>
      <c r="B3" s="2" t="s">
        <v>211</v>
      </c>
      <c r="C3" s="2" t="s">
        <v>212</v>
      </c>
    </row>
    <row r="4" ht="17" spans="1:3">
      <c r="A4" s="2" t="s">
        <v>213</v>
      </c>
      <c r="B4" s="2" t="s">
        <v>214</v>
      </c>
      <c r="C4" s="2" t="s">
        <v>215</v>
      </c>
    </row>
    <row r="5" ht="17" spans="1:3">
      <c r="A5" s="2" t="s">
        <v>216</v>
      </c>
      <c r="B5" s="2" t="s">
        <v>211</v>
      </c>
      <c r="C5" s="2" t="s">
        <v>217</v>
      </c>
    </row>
    <row r="6" ht="17" spans="1:3">
      <c r="A6" s="2" t="s">
        <v>71</v>
      </c>
      <c r="B6" s="2" t="s">
        <v>218</v>
      </c>
      <c r="C6" s="2" t="s">
        <v>219</v>
      </c>
    </row>
    <row r="7" ht="17" spans="1:3">
      <c r="A7" s="2" t="s">
        <v>220</v>
      </c>
      <c r="B7" s="2" t="s">
        <v>214</v>
      </c>
      <c r="C7" s="2" t="s">
        <v>221</v>
      </c>
    </row>
    <row r="8" ht="17" spans="1:3">
      <c r="A8" s="2" t="s">
        <v>222</v>
      </c>
      <c r="B8" s="2" t="s">
        <v>214</v>
      </c>
      <c r="C8" s="2" t="s">
        <v>223</v>
      </c>
    </row>
    <row r="9" ht="17" spans="1:3">
      <c r="A9" s="2" t="s">
        <v>224</v>
      </c>
      <c r="B9" s="2" t="s">
        <v>225</v>
      </c>
      <c r="C9" s="2" t="s">
        <v>226</v>
      </c>
    </row>
    <row r="10" ht="17" spans="1:3">
      <c r="A10" s="2" t="s">
        <v>227</v>
      </c>
      <c r="B10" s="2" t="s">
        <v>228</v>
      </c>
      <c r="C10" s="2" t="s">
        <v>229</v>
      </c>
    </row>
    <row r="11" ht="17" spans="1:3">
      <c r="A11" s="2" t="s">
        <v>230</v>
      </c>
      <c r="B11" s="2" t="s">
        <v>228</v>
      </c>
      <c r="C11" s="2" t="s">
        <v>231</v>
      </c>
    </row>
    <row r="12" ht="17" spans="1:3">
      <c r="A12" s="2" t="s">
        <v>232</v>
      </c>
      <c r="B12" s="2" t="s">
        <v>208</v>
      </c>
      <c r="C12" s="2" t="s">
        <v>233</v>
      </c>
    </row>
    <row r="13" ht="17" spans="1:3">
      <c r="A13" s="2" t="s">
        <v>234</v>
      </c>
      <c r="B13" s="2" t="s">
        <v>208</v>
      </c>
      <c r="C13" s="2" t="s">
        <v>235</v>
      </c>
    </row>
    <row r="14" ht="17" spans="1:3">
      <c r="A14" s="2" t="s">
        <v>236</v>
      </c>
      <c r="B14" s="2" t="s">
        <v>211</v>
      </c>
      <c r="C14" s="2" t="s">
        <v>237</v>
      </c>
    </row>
    <row r="15" ht="17" spans="1:3">
      <c r="A15" s="2" t="s">
        <v>238</v>
      </c>
      <c r="B15" s="2" t="s">
        <v>211</v>
      </c>
      <c r="C15" s="2" t="s">
        <v>239</v>
      </c>
    </row>
    <row r="16" ht="17" spans="1:3">
      <c r="A16" s="2" t="s">
        <v>240</v>
      </c>
      <c r="B16" s="2" t="s">
        <v>218</v>
      </c>
      <c r="C16" s="2" t="s">
        <v>241</v>
      </c>
    </row>
    <row r="17" ht="17" spans="1:3">
      <c r="A17" s="2" t="s">
        <v>242</v>
      </c>
      <c r="B17" s="2" t="s">
        <v>214</v>
      </c>
      <c r="C17" s="2" t="s">
        <v>243</v>
      </c>
    </row>
    <row r="18" ht="17" spans="1:3">
      <c r="A18" s="2" t="s">
        <v>244</v>
      </c>
      <c r="B18" s="2" t="s">
        <v>225</v>
      </c>
      <c r="C18" s="2" t="s">
        <v>245</v>
      </c>
    </row>
    <row r="19" ht="17" spans="1:3">
      <c r="A19" s="2" t="s">
        <v>246</v>
      </c>
      <c r="B19" s="2" t="s">
        <v>218</v>
      </c>
      <c r="C19" s="2" t="s">
        <v>247</v>
      </c>
    </row>
    <row r="20" ht="17" spans="1:3">
      <c r="A20" s="2" t="s">
        <v>248</v>
      </c>
      <c r="B20" s="2" t="s">
        <v>249</v>
      </c>
      <c r="C20" s="2" t="s">
        <v>250</v>
      </c>
    </row>
    <row r="21" ht="17" spans="1:3">
      <c r="A21" s="2" t="s">
        <v>251</v>
      </c>
      <c r="B21" s="2" t="s">
        <v>252</v>
      </c>
      <c r="C21" s="2" t="s">
        <v>253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2026-07-26T08:10:00Z</dcterms:created>
  <dcterms:modified xsi:type="dcterms:W3CDTF">2026-08-27T22:05:39Z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